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Incoming Trains" sheetId="3" state="visible" r:id="rId3"/>
    <sheet xmlns:r="http://schemas.openxmlformats.org/officeDocument/2006/relationships" name="Wagon Groups" sheetId="4" state="visible" r:id="rId4"/>
    <sheet xmlns:r="http://schemas.openxmlformats.org/officeDocument/2006/relationships" name="Outbound Trains" sheetId="5" state="visible" r:id="rId5"/>
    <sheet xmlns:r="http://schemas.openxmlformats.org/officeDocument/2006/relationships" name="Drive Stats" sheetId="6" state="visible" r:id="rId6"/>
    <sheet xmlns:r="http://schemas.openxmlformats.org/officeDocument/2006/relationships" name="WG Yard Times" sheetId="7" state="visible" r:id="rId7"/>
    <sheet xmlns:r="http://schemas.openxmlformats.org/officeDocument/2006/relationships" name="Activities (raw)" sheetId="8" state="visible" r:id="rId8"/>
    <sheet xmlns:r="http://schemas.openxmlformats.org/officeDocument/2006/relationships" name="OBTs (raw)" sheetId="9" state="visible" r:id="rId9"/>
    <sheet xmlns:r="http://schemas.openxmlformats.org/officeDocument/2006/relationships" name="WGs (raw)" sheetId="10" state="visible" r:id="rId10"/>
  </sheets>
  <definedNames>
    <definedName name="_xlnm._FilterDatabase" localSheetId="2" hidden="1">'Incoming Trains'!$A$1:$T$332</definedName>
    <definedName name="_xlnm._FilterDatabase" localSheetId="3" hidden="1">'Wagon Groups'!$A$1:$Q$1190</definedName>
    <definedName name="_xlnm._FilterDatabase" localSheetId="4" hidden="1">'Outbound Trains'!$A$1:$O$427</definedName>
    <definedName name="_xlnm._FilterDatabase" localSheetId="5" hidden="1">'Drive Stats'!$A$1:$N$68</definedName>
    <definedName name="_xlnm._FilterDatabase" localSheetId="6" hidden="1">'WG Yard Times'!$A$1:$L$1089</definedName>
    <definedName name="_xlnm._FilterDatabase" localSheetId="7" hidden="1">'Activities (raw)'!$A$1:$L$3982</definedName>
    <definedName name="_xlnm._FilterDatabase" localSheetId="8" hidden="1">'OBTs (raw)'!$A$1:$N$427</definedName>
    <definedName name="_xlnm._FilterDatabase" localSheetId="9" hidden="1">'WGs (raw)'!$A$1:$H$1077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"/>
    <numFmt numFmtId="166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46" fontId="3" fillId="0" borderId="0" pivotButton="0" quotePrefix="0" xfId="0"/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4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</cols>
  <sheetData>
    <row r="1" ht="45" customHeight="1">
      <c r="A1" s="1" t="inlineStr">
        <is>
          <t>Metric</t>
        </is>
      </c>
      <c r="B1" s="1" t="inlineStr">
        <is>
          <t>Definition</t>
        </is>
      </c>
      <c r="C1" s="1" t="inlineStr">
        <is>
          <t>Formula / source</t>
        </is>
      </c>
    </row>
    <row r="2">
      <c r="A2" s="2" t="inlineStr">
        <is>
          <t>— Sheets overview —</t>
        </is>
      </c>
      <c r="B2" s="2" t="inlineStr"/>
      <c r="C2" s="2" t="inlineStr"/>
    </row>
    <row r="3">
      <c r="A3" s="3" t="inlineStr">
        <is>
          <t>Incoming Trains</t>
        </is>
      </c>
      <c r="B3" s="3" t="inlineStr">
        <is>
          <t>One row per inbound train, full lifecycle on a single line (identity, timestamps, derived waits/durations).</t>
        </is>
      </c>
      <c r="C3" s="3" t="inlineStr">
        <is>
          <t>tab 2; built by build_incoming_trains_sheet.</t>
        </is>
      </c>
    </row>
    <row r="4">
      <c r="A4" s="3" t="inlineStr">
        <is>
          <t>Wagon Groups</t>
        </is>
      </c>
      <c r="B4" s="3" t="inlineStr">
        <is>
          <t>One row per wagon group, full lifecycle (parent train → classification → parent OBT → departure).</t>
        </is>
      </c>
      <c r="C4" s="3" t="inlineStr">
        <is>
          <t>tab 3; built by build_wagon_groups_sheet.</t>
        </is>
      </c>
    </row>
    <row r="5">
      <c r="A5" s="3" t="inlineStr">
        <is>
          <t>Outbound Trains</t>
        </is>
      </c>
      <c r="B5" s="3" t="inlineStr">
        <is>
          <t>One row per outbound train (OBT), full lifecycle on the classification side (OBTP, exit gate, DEPD).</t>
        </is>
      </c>
      <c r="C5" s="3" t="inlineStr">
        <is>
          <t>tab 4; built by build_outbound_trains_sheet.</t>
        </is>
      </c>
    </row>
    <row r="6">
      <c r="A6" s="3" t="inlineStr">
        <is>
          <t>WG Yard Times</t>
        </is>
      </c>
      <c r="B6" s="3" t="inlineStr">
        <is>
          <t>Per-WG cross-check of arrival-yard and classification-yard dwell times, with all the supporting timestamps shown.</t>
        </is>
      </c>
      <c r="C6" s="3" t="inlineStr">
        <is>
          <t>built by build_wg_yard_times_sheet.</t>
        </is>
      </c>
    </row>
    <row r="7">
      <c r="A7" s="3" t="inlineStr">
        <is>
          <t>Activities (raw)</t>
        </is>
      </c>
      <c r="B7" s="3" t="inlineStr">
        <is>
          <t>One row per completed activity instance. Identity (type, id, entity, length), drive context (from/to/distance), timestamps (initialized/started/completed), duration.</t>
        </is>
      </c>
      <c r="C7" s="3" t="inlineStr">
        <is>
          <t>built by build_activities_raw_sheet.</t>
        </is>
      </c>
    </row>
    <row r="8">
      <c r="A8" s="3" t="inlineStr">
        <is>
          <t>OBTs (raw) / WGs (raw)</t>
        </is>
      </c>
      <c r="B8" s="3" t="inlineStr">
        <is>
          <t>Flat rows for outbound trains and classified wagon groups; redundant with the per-entity sheets but kept for legacy cross-references.</t>
        </is>
      </c>
      <c r="C8" s="3" t="inlineStr">
        <is>
          <t>built by build_obts_raw_sheet / build_wgs_raw_sheet.</t>
        </is>
      </c>
    </row>
    <row r="9">
      <c r="A9" s="2" t="inlineStr">
        <is>
          <t>— Incoming Trains KPIs —</t>
        </is>
      </c>
      <c r="B9" s="2" t="inlineStr"/>
      <c r="C9" s="2" t="inlineStr"/>
    </row>
    <row r="10">
      <c r="A10" s="3" t="inlineStr">
        <is>
          <t>Entry Queue wait (hh:mm:ss)</t>
        </is>
      </c>
      <c r="B10" s="3" t="inlineStr">
        <is>
          <t>Time the train sat in the entry queue waiting for an arrival track to free up. Pure queue time — does NOT include the drive.</t>
        </is>
      </c>
      <c r="C10" s="3" t="inlineStr">
        <is>
          <t>Incoming Trains!M = (E − D)  = ArrivalDriveStart − EntryToStation</t>
        </is>
      </c>
    </row>
    <row r="11">
      <c r="A11" s="3" t="inlineStr">
        <is>
          <t>Arrival drive duration (hh:mm:ss)</t>
        </is>
      </c>
      <c r="B11" s="3" t="inlineStr">
        <is>
          <t>Time the train spent physically driving from the entry gate to its assigned arrival track.</t>
        </is>
      </c>
      <c r="C11" s="3" t="inlineStr">
        <is>
          <t>Incoming Trains!N = (F − E)  = AtArrivalTrack − ArrivalDriveStart</t>
        </is>
      </c>
    </row>
    <row r="12">
      <c r="A12" s="3" t="inlineStr">
        <is>
          <t>ITP wait (hh:mm:ss)</t>
        </is>
      </c>
      <c r="B12" s="3" t="inlineStr">
        <is>
          <t>Time between ITP being submitted to ResourceCU and the work actually commencing. Captures worker + shunt-loco allocation + travel-to-site time.</t>
        </is>
      </c>
      <c r="C12" s="3" t="inlineStr">
        <is>
          <t>Incoming Trains!O = (H − G)  = ITP_Starts − ITP_Init</t>
        </is>
      </c>
    </row>
    <row r="13">
      <c r="A13" s="3" t="inlineStr">
        <is>
          <t>ITP duration (hh:mm:ss)</t>
        </is>
      </c>
      <c r="B13" s="3" t="inlineStr">
        <is>
          <t>Time the ITP work itself ran, once resources arrived.</t>
        </is>
      </c>
      <c r="C13" s="3" t="inlineStr">
        <is>
          <t>Incoming Trains!P = (I − H)  = ITP_Ends − ITP_Starts</t>
        </is>
      </c>
    </row>
    <row r="14">
      <c r="A14" s="3" t="inlineStr">
        <is>
          <t>PushOff wait (hh:mm:ss)</t>
        </is>
      </c>
      <c r="B14" s="3" t="inlineStr">
        <is>
          <t>Time between PushOff being submitted and the work actually commencing. Captures worker re-allocation + passage-track wait.</t>
        </is>
      </c>
      <c r="C14" s="3" t="inlineStr">
        <is>
          <t>Incoming Trains!Q = (K − J)  = PushOff_Starts − PushOff_Init</t>
        </is>
      </c>
    </row>
    <row r="15">
      <c r="A15" s="3" t="inlineStr">
        <is>
          <t>PushOff duration (hh:mm:ss)</t>
        </is>
      </c>
      <c r="B15" s="3" t="inlineStr">
        <is>
          <t>Time the entire PushOff envelope ran (all sub-drives + loco pull-backs between them).</t>
        </is>
      </c>
      <c r="C15" s="3" t="inlineStr">
        <is>
          <t>Incoming Trains!R = (L − K)  = PushOff_Ends − PushOff_Starts</t>
        </is>
      </c>
    </row>
    <row r="16">
      <c r="A16" s="3" t="inlineStr">
        <is>
          <t>Total in arrival yard (hh:mm:ss)</t>
        </is>
      </c>
      <c r="B16" s="3" t="inlineStr">
        <is>
          <t>Total time the inbound train physically occupied an arrival track (from arrival to last WG pushed off).</t>
        </is>
      </c>
      <c r="C16" s="3" t="inlineStr">
        <is>
          <t>Incoming Trains!S = (L − F)  = PushOff_Ends − AtArrivalTrack</t>
        </is>
      </c>
    </row>
    <row r="17">
      <c r="A17" s="3" t="inlineStr">
        <is>
          <t>Total in system (hh:mm:ss)</t>
        </is>
      </c>
      <c r="B17" s="3" t="inlineStr">
        <is>
          <t>End-to-end inbound time: from entry-queue arrival until PushOff completed.</t>
        </is>
      </c>
      <c r="C17" s="3" t="inlineStr">
        <is>
          <t>Incoming Trains!T = (L − D)  = PushOff_Ends − EntryToStation</t>
        </is>
      </c>
    </row>
    <row r="18">
      <c r="A18" s="2" t="inlineStr">
        <is>
          <t>— Wagon Groups KPIs —</t>
        </is>
      </c>
      <c r="B18" s="2" t="inlineStr"/>
      <c r="C18" s="2" t="inlineStr"/>
    </row>
    <row r="19">
      <c r="A19" s="3" t="inlineStr">
        <is>
          <t>Time in arrival yard (hh:mm:ss)</t>
        </is>
      </c>
      <c r="B19" s="3" t="inlineStr">
        <is>
          <t>Time the WG was on the arrival track as part of its parent train, from arrival to being pushed off.</t>
        </is>
      </c>
      <c r="C19" s="3" t="inlineStr">
        <is>
          <t>Wagon Groups!M = (G − E)  = PushOffDriveEnds − AtArrivalTrack</t>
        </is>
      </c>
    </row>
    <row r="20">
      <c r="A20" s="3" t="inlineStr">
        <is>
          <t>Time in classification yard (hh:mm:ss)</t>
        </is>
      </c>
      <c r="B20" s="3" t="inlineStr">
        <is>
          <t>Time the WG sat on its classification track, from arriving there (= PushOffDrive ends) until the parent OBT physically departed.</t>
        </is>
      </c>
      <c r="C20" s="3" t="inlineStr">
        <is>
          <t>Wagon Groups!N = (L − G)  = DepartureDriveEnds − PushOffDriveEnds</t>
        </is>
      </c>
    </row>
    <row r="21">
      <c r="A21" s="3" t="inlineStr">
        <is>
          <t>Idle time on classification track (hh:mm:ss)</t>
        </is>
      </c>
      <c r="B21" s="3" t="inlineStr">
        <is>
          <t>Time the WG waits after getting coupled or secured until the OBTP activity starts — the 'doing nothing' window after its own prep is done but before OBT-wide work begins.</t>
        </is>
      </c>
      <c r="C21" s="3" t="inlineStr">
        <is>
          <t>Wagon Groups!P = (I − O)  = OBTP_Starts − SEC/COP_End</t>
        </is>
      </c>
    </row>
    <row r="22">
      <c r="A22" s="3" t="inlineStr">
        <is>
          <t>Classification context</t>
        </is>
      </c>
      <c r="B22" s="3" t="inlineStr">
        <is>
          <t>Plain-language narrative of the WG's time on the classification track: how it joined (secured first, or coupled to the sibling already there), the wait before each later sibling coupled, the OBTP window, and departure.</t>
        </is>
      </c>
      <c r="C22" s="3" t="inlineStr">
        <is>
          <t>Wagon Groups!Q; built in parse_wagon_groups.</t>
        </is>
      </c>
    </row>
    <row r="23">
      <c r="A23" s="2" t="inlineStr">
        <is>
          <t>— Outbound Trains KPIs —</t>
        </is>
      </c>
      <c r="B23" s="2" t="inlineStr"/>
      <c r="C23" s="2" t="inlineStr"/>
    </row>
    <row r="24">
      <c r="A24" s="3" t="inlineStr">
        <is>
          <t>OBTP wait (hh:mm:ss)</t>
        </is>
      </c>
      <c r="B24" s="3" t="inlineStr">
        <is>
          <t>Time between OBTP being submitted and actually starting. Captures worker + train-loco allocation + travel.</t>
        </is>
      </c>
      <c r="C24" s="3" t="inlineStr">
        <is>
          <t>Outbound Trains!K = (F − E)  = OBTP_Starts − OBTP_Init</t>
        </is>
      </c>
    </row>
    <row r="25">
      <c r="A25" s="3" t="inlineStr">
        <is>
          <t>OBTP duration (hh:mm:ss)</t>
        </is>
      </c>
      <c r="B25" s="3" t="inlineStr">
        <is>
          <t>Time the OBTP work itself ran.</t>
        </is>
      </c>
      <c r="C25" s="3" t="inlineStr">
        <is>
          <t>Outbound Trains!L = (G − F)  = OBTP_Ends − OBTP_Starts</t>
        </is>
      </c>
    </row>
    <row r="26">
      <c r="A26" s="3" t="inlineStr">
        <is>
          <t>DEPD gate wait (hh:mm:ss)</t>
        </is>
      </c>
      <c r="B26" s="3" t="inlineStr">
        <is>
          <t>Time the OBT was ready to depart (DEPD submitted) but stuck waiting for the single exit-gate resource. Headline bottleneck metric given exitGateCount = 1.</t>
        </is>
      </c>
      <c r="C26" s="3" t="inlineStr">
        <is>
          <t>Outbound Trains!M = (I − H)  = DEPD_Starts − DEPD_Init</t>
        </is>
      </c>
    </row>
    <row r="27">
      <c r="A27" s="3" t="inlineStr">
        <is>
          <t>DEPD duration (hh:mm:ss)</t>
        </is>
      </c>
      <c r="B27" s="3" t="inlineStr">
        <is>
          <t>Time the train spent physically driving from its classification track to the exit gate.</t>
        </is>
      </c>
      <c r="C27" s="3" t="inlineStr">
        <is>
          <t>Outbound Trains!N = (J − I)  = DEPD_Ends − DEPD_Starts</t>
        </is>
      </c>
    </row>
    <row r="28">
      <c r="A28" s="3" t="inlineStr">
        <is>
          <t>Total on classification track (hh:mm:ss)</t>
        </is>
      </c>
      <c r="B28" s="3" t="inlineStr">
        <is>
          <t>End-to-end outbound time, from OBT-creation moment (≈ OBTP init) until DEPD completes.</t>
        </is>
      </c>
      <c r="C28" s="3" t="inlineStr">
        <is>
          <t>Outbound Trains!O = (J − E)  = DEPD_Ends − OBTP_Init</t>
        </is>
      </c>
    </row>
    <row r="29">
      <c r="A29" s="2" t="inlineStr">
        <is>
          <t>— Activities (raw) reference —</t>
        </is>
      </c>
      <c r="B29" s="2" t="inlineStr"/>
      <c r="C29" s="2" t="inlineStr"/>
    </row>
    <row r="30">
      <c r="A30" s="3" t="inlineStr">
        <is>
          <t>Activity row</t>
        </is>
      </c>
      <c r="B30" s="3" t="inlineStr">
        <is>
          <t>One row per completed activity (Started AND Completed present). Pending / cancelled activities are excluded from this sheet.</t>
        </is>
      </c>
      <c r="C30" s="3" t="inlineStr">
        <is>
          <t>parse_activity_durations in analytics.py.</t>
        </is>
      </c>
    </row>
    <row r="31">
      <c r="A31" s="3" t="inlineStr">
        <is>
          <t>From / To / Drive length</t>
        </is>
      </c>
      <c r="B31" s="3" t="inlineStr">
        <is>
          <t>Populated only for the three driving activity types (ArrivalDrive, DepartureDrive, PushOffDrive). Distance values come from static maps near the top of analytics.py (ported from C# Models/*DriveActivity.cs and Models/PushOffActivity.cs).</t>
        </is>
      </c>
      <c r="C31" s="3" t="inlineStr">
        <is>
          <t>ARRIVAL_DRIVE_DISTANCES + DEPARTURE_DRIVE_DISTANCES + PUSH_ARRIVAL_LEG + PUSH_CLASS_LEG (in analytics.py).</t>
        </is>
      </c>
    </row>
    <row r="32">
      <c r="A32" s="3" t="inlineStr">
        <is>
          <t>Duration (hh:mm:ss)</t>
        </is>
      </c>
      <c r="B32" s="3" t="inlineStr">
        <is>
          <t>Wall-clock time the activity spent in its 'running' state. Rendered as hh:mm:ss across the whole workbook.</t>
        </is>
      </c>
      <c r="C32" s="3" t="inlineStr">
        <is>
          <t>Activities (raw)!K = Completed − Started</t>
        </is>
      </c>
    </row>
    <row r="33">
      <c r="A33" s="2" t="inlineStr">
        <is>
          <t>— Activity type glossary —</t>
        </is>
      </c>
      <c r="B33" s="2" t="inlineStr"/>
      <c r="C33" s="2" t="inlineStr"/>
    </row>
    <row r="34">
      <c r="A34" s="3" t="inlineStr">
        <is>
          <t>Activity type abbreviations</t>
        </is>
      </c>
      <c r="B34" s="3" t="inlineStr">
        <is>
          <t>ARRD = ArrivalDrive (train enters yard on own loco); ITP = IncomingTrainPreparation (workers prep arriving train); PO = PushOff (parent envelope); POD = PushOffDrive (one sub-drive per consecutive-same-destination cut of WGs); SEC = Securing (first WG on a classification track); COP = Coupling (joining WG to existing WGs on track); OBTP = OutboundTrainPreparation (workers + train loco prep OBT); DEPD = DepartureDrive (OBT exits through gate).</t>
        </is>
      </c>
      <c r="C34" s="3" t="inlineStr">
        <is>
          <t>(reference — see Models/Activity.cs GetActivityAbbreviation).</t>
        </is>
      </c>
    </row>
    <row r="35">
      <c r="A35" s="2" t="inlineStr">
        <is>
          <t>— WG → OBT matching —</t>
        </is>
      </c>
      <c r="B35" s="2" t="inlineStr"/>
      <c r="C35" s="2" t="inlineStr"/>
    </row>
    <row r="36">
      <c r="A36" s="3" t="inlineStr">
        <is>
          <t>How parent OBT is derived for a WG</t>
        </is>
      </c>
      <c r="B36" s="3" t="inlineStr">
        <is>
          <t>WGs are matched to OBTs by classification track + time window: an OBT created at time T on track X owns every WG that arrived on track X at or before T and wasn't already claimed by an earlier OBT on the same track. Greedy, earliest-OBT-first.</t>
        </is>
      </c>
      <c r="C36" s="3" t="inlineStr">
        <is>
          <t>parse_obts_and_wgs in analytics.py.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Wiener Neustadt Shunting Yard — Overview</t>
        </is>
      </c>
    </row>
    <row r="2"/>
    <row r="3">
      <c r="A3" s="5" t="inlineStr">
        <is>
          <t>— Run summary —</t>
        </is>
      </c>
      <c r="B3" s="5" t="inlineStr">
        <is>
          <t>Value</t>
        </is>
      </c>
    </row>
    <row r="4">
      <c r="A4" s="6" t="inlineStr">
        <is>
          <t>Inbound trains processed</t>
        </is>
      </c>
      <c r="B4" s="7">
        <f>COUNTA('Incoming Trains'!A:A)-1</f>
        <v/>
      </c>
    </row>
    <row r="5">
      <c r="A5" s="6" t="inlineStr">
        <is>
          <t>OBTs created</t>
        </is>
      </c>
      <c r="B5" s="7">
        <f>COUNTA('Outbound Trains'!A:A)-1</f>
        <v/>
      </c>
    </row>
    <row r="6">
      <c r="A6" s="6" t="inlineStr">
        <is>
          <t>WGs classified</t>
        </is>
      </c>
      <c r="B6" s="7">
        <f>COUNTA('Wagon Groups'!A:A)-1</f>
        <v/>
      </c>
    </row>
    <row r="7">
      <c r="A7" s="6" t="inlineStr">
        <is>
          <t>Activity instances logged</t>
        </is>
      </c>
      <c r="B7" s="7">
        <f>COUNTA('Activities (raw)'!A:A)-1</f>
        <v/>
      </c>
    </row>
    <row r="8">
      <c r="A8" s="6" t="inlineStr">
        <is>
          <t>Sim duration (hh:mm:ss)</t>
        </is>
      </c>
      <c r="B8" s="8" t="n">
        <v>29.77418981481481</v>
      </c>
    </row>
    <row r="9"/>
    <row r="10">
      <c r="A10" s="5" t="inlineStr">
        <is>
          <t>— Incoming Trains KPIs (per-train averages) —</t>
        </is>
      </c>
      <c r="B10" s="5" t="inlineStr">
        <is>
          <t>Mean</t>
        </is>
      </c>
      <c r="C10" s="5" t="inlineStr">
        <is>
          <t>Min</t>
        </is>
      </c>
      <c r="D10" s="5" t="inlineStr">
        <is>
          <t>Max</t>
        </is>
      </c>
      <c r="E10" s="5" t="inlineStr">
        <is>
          <t>Median</t>
        </is>
      </c>
    </row>
    <row r="11">
      <c r="A11" s="6" t="inlineStr">
        <is>
          <t>Entry Queue wait</t>
        </is>
      </c>
      <c r="B11" s="8">
        <f>IFERROR(AVERAGE('Incoming Trains'!M:M),0)</f>
        <v/>
      </c>
      <c r="C11" s="8">
        <f>IFERROR(MIN('Incoming Trains'!M:M),0)</f>
        <v/>
      </c>
      <c r="D11" s="8">
        <f>IFERROR(MAX('Incoming Trains'!M:M),0)</f>
        <v/>
      </c>
      <c r="E11" s="8">
        <f>IFERROR(MEDIAN('Incoming Trains'!M:M),0)</f>
        <v/>
      </c>
    </row>
    <row r="12">
      <c r="A12" s="6" t="inlineStr">
        <is>
          <t>Arrival drive duration</t>
        </is>
      </c>
      <c r="B12" s="8">
        <f>IFERROR(AVERAGE('Incoming Trains'!N:N),0)</f>
        <v/>
      </c>
      <c r="C12" s="8">
        <f>IFERROR(MIN('Incoming Trains'!N:N),0)</f>
        <v/>
      </c>
      <c r="D12" s="8">
        <f>IFERROR(MAX('Incoming Trains'!N:N),0)</f>
        <v/>
      </c>
      <c r="E12" s="8">
        <f>IFERROR(MEDIAN('Incoming Trains'!N:N),0)</f>
        <v/>
      </c>
    </row>
    <row r="13">
      <c r="A13" s="6" t="inlineStr">
        <is>
          <t>ITP wait</t>
        </is>
      </c>
      <c r="B13" s="8">
        <f>IFERROR(AVERAGE('Incoming Trains'!O:O),0)</f>
        <v/>
      </c>
      <c r="C13" s="8">
        <f>IFERROR(MIN('Incoming Trains'!O:O),0)</f>
        <v/>
      </c>
      <c r="D13" s="8">
        <f>IFERROR(MAX('Incoming Trains'!O:O),0)</f>
        <v/>
      </c>
      <c r="E13" s="8">
        <f>IFERROR(MEDIAN('Incoming Trains'!O:O),0)</f>
        <v/>
      </c>
    </row>
    <row r="14">
      <c r="A14" s="6" t="inlineStr">
        <is>
          <t>ITP duration</t>
        </is>
      </c>
      <c r="B14" s="8">
        <f>IFERROR(AVERAGE('Incoming Trains'!P:P),0)</f>
        <v/>
      </c>
      <c r="C14" s="8">
        <f>IFERROR(MIN('Incoming Trains'!P:P),0)</f>
        <v/>
      </c>
      <c r="D14" s="8">
        <f>IFERROR(MAX('Incoming Trains'!P:P),0)</f>
        <v/>
      </c>
      <c r="E14" s="8">
        <f>IFERROR(MEDIAN('Incoming Trains'!P:P),0)</f>
        <v/>
      </c>
    </row>
    <row r="15">
      <c r="A15" s="6" t="inlineStr">
        <is>
          <t>PushOff wait</t>
        </is>
      </c>
      <c r="B15" s="8">
        <f>IFERROR(AVERAGE('Incoming Trains'!Q:Q),0)</f>
        <v/>
      </c>
      <c r="C15" s="8">
        <f>IFERROR(MIN('Incoming Trains'!Q:Q),0)</f>
        <v/>
      </c>
      <c r="D15" s="8">
        <f>IFERROR(MAX('Incoming Trains'!Q:Q),0)</f>
        <v/>
      </c>
      <c r="E15" s="8">
        <f>IFERROR(MEDIAN('Incoming Trains'!Q:Q),0)</f>
        <v/>
      </c>
    </row>
    <row r="16">
      <c r="A16" s="6" t="inlineStr">
        <is>
          <t>PushOff duration</t>
        </is>
      </c>
      <c r="B16" s="8">
        <f>IFERROR(AVERAGE('Incoming Trains'!R:R),0)</f>
        <v/>
      </c>
      <c r="C16" s="8">
        <f>IFERROR(MIN('Incoming Trains'!R:R),0)</f>
        <v/>
      </c>
      <c r="D16" s="8">
        <f>IFERROR(MAX('Incoming Trains'!R:R),0)</f>
        <v/>
      </c>
      <c r="E16" s="8">
        <f>IFERROR(MEDIAN('Incoming Trains'!R:R),0)</f>
        <v/>
      </c>
    </row>
    <row r="17">
      <c r="A17" s="6" t="inlineStr">
        <is>
          <t>Total in arrival yard</t>
        </is>
      </c>
      <c r="B17" s="8">
        <f>IFERROR(AVERAGE('Incoming Trains'!S:S),0)</f>
        <v/>
      </c>
      <c r="C17" s="8">
        <f>IFERROR(MIN('Incoming Trains'!S:S),0)</f>
        <v/>
      </c>
      <c r="D17" s="8">
        <f>IFERROR(MAX('Incoming Trains'!S:S),0)</f>
        <v/>
      </c>
      <c r="E17" s="8">
        <f>IFERROR(MEDIAN('Incoming Trains'!S:S),0)</f>
        <v/>
      </c>
    </row>
    <row r="18">
      <c r="A18" s="6" t="inlineStr">
        <is>
          <t>Total in system</t>
        </is>
      </c>
      <c r="B18" s="8">
        <f>IFERROR(AVERAGE('Incoming Trains'!T:T),0)</f>
        <v/>
      </c>
      <c r="C18" s="8">
        <f>IFERROR(MIN('Incoming Trains'!T:T),0)</f>
        <v/>
      </c>
      <c r="D18" s="8">
        <f>IFERROR(MAX('Incoming Trains'!T:T),0)</f>
        <v/>
      </c>
      <c r="E18" s="8">
        <f>IFERROR(MEDIAN('Incoming Trains'!T:T),0)</f>
        <v/>
      </c>
    </row>
    <row r="19"/>
    <row r="20">
      <c r="A20" s="5" t="inlineStr">
        <is>
          <t>— Wagon Groups KPIs (per-WG averages) —</t>
        </is>
      </c>
      <c r="B20" s="5" t="inlineStr">
        <is>
          <t>Mean</t>
        </is>
      </c>
      <c r="C20" s="5" t="inlineStr">
        <is>
          <t>Min</t>
        </is>
      </c>
      <c r="D20" s="5" t="inlineStr">
        <is>
          <t>Max</t>
        </is>
      </c>
      <c r="E20" s="5" t="inlineStr">
        <is>
          <t>Median</t>
        </is>
      </c>
    </row>
    <row r="21">
      <c r="A21" s="6" t="inlineStr">
        <is>
          <t>Time in arrival yard</t>
        </is>
      </c>
      <c r="B21" s="8">
        <f>IFERROR(AVERAGE('Wagon Groups'!M:M),0)</f>
        <v/>
      </c>
      <c r="C21" s="8">
        <f>IFERROR(MIN('Wagon Groups'!M:M),0)</f>
        <v/>
      </c>
      <c r="D21" s="8">
        <f>IFERROR(MAX('Wagon Groups'!M:M),0)</f>
        <v/>
      </c>
      <c r="E21" s="8">
        <f>IFERROR(MEDIAN('Wagon Groups'!M:M),0)</f>
        <v/>
      </c>
    </row>
    <row r="22">
      <c r="A22" s="6" t="inlineStr">
        <is>
          <t>Time in classification yard</t>
        </is>
      </c>
      <c r="B22" s="8">
        <f>IFERROR(AVERAGE('Wagon Groups'!N:N),0)</f>
        <v/>
      </c>
      <c r="C22" s="8">
        <f>IFERROR(MIN('Wagon Groups'!N:N),0)</f>
        <v/>
      </c>
      <c r="D22" s="8">
        <f>IFERROR(MAX('Wagon Groups'!N:N),0)</f>
        <v/>
      </c>
      <c r="E22" s="8">
        <f>IFERROR(MEDIAN('Wagon Groups'!N:N),0)</f>
        <v/>
      </c>
    </row>
    <row r="23">
      <c r="A23" s="6" t="inlineStr">
        <is>
          <t>Idle time on classification track</t>
        </is>
      </c>
      <c r="B23" s="8">
        <f>IFERROR(AVERAGE('Wagon Groups'!P:P),0)</f>
        <v/>
      </c>
      <c r="C23" s="8">
        <f>IFERROR(MIN('Wagon Groups'!P:P),0)</f>
        <v/>
      </c>
      <c r="D23" s="8">
        <f>IFERROR(MAX('Wagon Groups'!P:P),0)</f>
        <v/>
      </c>
      <c r="E23" s="8">
        <f>IFERROR(MEDIAN('Wagon Groups'!P:P),0)</f>
        <v/>
      </c>
    </row>
    <row r="24"/>
    <row r="25">
      <c r="A25" s="5" t="inlineStr">
        <is>
          <t>— Outbound Trains KPIs (per-OBT averages) —</t>
        </is>
      </c>
      <c r="B25" s="5" t="inlineStr">
        <is>
          <t>Mean</t>
        </is>
      </c>
      <c r="C25" s="5" t="inlineStr">
        <is>
          <t>Min</t>
        </is>
      </c>
      <c r="D25" s="5" t="inlineStr">
        <is>
          <t>Max</t>
        </is>
      </c>
      <c r="E25" s="5" t="inlineStr">
        <is>
          <t>Median</t>
        </is>
      </c>
    </row>
    <row r="26">
      <c r="A26" s="6" t="inlineStr">
        <is>
          <t>OBTP wait</t>
        </is>
      </c>
      <c r="B26" s="8">
        <f>IFERROR(AVERAGE('Outbound Trains'!K:K),0)</f>
        <v/>
      </c>
      <c r="C26" s="8">
        <f>IFERROR(MIN('Outbound Trains'!K:K),0)</f>
        <v/>
      </c>
      <c r="D26" s="8">
        <f>IFERROR(MAX('Outbound Trains'!K:K),0)</f>
        <v/>
      </c>
      <c r="E26" s="8">
        <f>IFERROR(MEDIAN('Outbound Trains'!K:K),0)</f>
        <v/>
      </c>
    </row>
    <row r="27">
      <c r="A27" s="6" t="inlineStr">
        <is>
          <t>OBTP duration</t>
        </is>
      </c>
      <c r="B27" s="8">
        <f>IFERROR(AVERAGE('Outbound Trains'!L:L),0)</f>
        <v/>
      </c>
      <c r="C27" s="8">
        <f>IFERROR(MIN('Outbound Trains'!L:L),0)</f>
        <v/>
      </c>
      <c r="D27" s="8">
        <f>IFERROR(MAX('Outbound Trains'!L:L),0)</f>
        <v/>
      </c>
      <c r="E27" s="8">
        <f>IFERROR(MEDIAN('Outbound Trains'!L:L),0)</f>
        <v/>
      </c>
    </row>
    <row r="28">
      <c r="A28" s="6" t="inlineStr">
        <is>
          <t>DEPD gate wait</t>
        </is>
      </c>
      <c r="B28" s="8">
        <f>IFERROR(AVERAGE('Outbound Trains'!M:M),0)</f>
        <v/>
      </c>
      <c r="C28" s="8">
        <f>IFERROR(MIN('Outbound Trains'!M:M),0)</f>
        <v/>
      </c>
      <c r="D28" s="8">
        <f>IFERROR(MAX('Outbound Trains'!M:M),0)</f>
        <v/>
      </c>
      <c r="E28" s="8">
        <f>IFERROR(MEDIAN('Outbound Trains'!M:M),0)</f>
        <v/>
      </c>
    </row>
    <row r="29">
      <c r="A29" s="6" t="inlineStr">
        <is>
          <t>DEPD duration</t>
        </is>
      </c>
      <c r="B29" s="8">
        <f>IFERROR(AVERAGE('Outbound Trains'!N:N),0)</f>
        <v/>
      </c>
      <c r="C29" s="8">
        <f>IFERROR(MIN('Outbound Trains'!N:N),0)</f>
        <v/>
      </c>
      <c r="D29" s="8">
        <f>IFERROR(MAX('Outbound Trains'!N:N),0)</f>
        <v/>
      </c>
      <c r="E29" s="8">
        <f>IFERROR(MEDIAN('Outbound Trains'!N:N),0)</f>
        <v/>
      </c>
    </row>
    <row r="30">
      <c r="A30" s="6" t="inlineStr">
        <is>
          <t>Total on classification track</t>
        </is>
      </c>
      <c r="B30" s="8">
        <f>IFERROR(AVERAGE('Outbound Trains'!O:O),0)</f>
        <v/>
      </c>
      <c r="C30" s="8">
        <f>IFERROR(MIN('Outbound Trains'!O:O),0)</f>
        <v/>
      </c>
      <c r="D30" s="8">
        <f>IFERROR(MAX('Outbound Trains'!O:O),0)</f>
        <v/>
      </c>
      <c r="E30" s="8">
        <f>IFERROR(MEDIAN('Outbound Trains'!O:O),0)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width="8.199999999999999" customWidth="1" min="19" max="19"/>
    <col width="8.199999999999999" customWidth="1" min="20" max="20"/>
  </cols>
  <sheetData>
    <row r="1" ht="45" customHeight="1">
      <c r="A1" s="1" t="inlineStr">
        <is>
          <t>ID</t>
        </is>
      </c>
      <c r="B1" s="1" t="inlineStr">
        <is>
          <t>Length (m)</t>
        </is>
      </c>
      <c r="C1" s="1" t="inlineStr">
        <is>
          <t>Track</t>
        </is>
      </c>
      <c r="D1" s="1" t="inlineStr">
        <is>
          <t>Entry to station</t>
        </is>
      </c>
      <c r="E1" s="1" t="inlineStr">
        <is>
          <t>Arrival drive start</t>
        </is>
      </c>
      <c r="F1" s="1" t="inlineStr">
        <is>
          <t>At arrival track</t>
        </is>
      </c>
      <c r="G1" s="1" t="inlineStr">
        <is>
          <t>ITP init</t>
        </is>
      </c>
      <c r="H1" s="1" t="inlineStr">
        <is>
          <t>ITP starts</t>
        </is>
      </c>
      <c r="I1" s="1" t="inlineStr">
        <is>
          <t>ITP ends</t>
        </is>
      </c>
      <c r="J1" s="1" t="inlineStr">
        <is>
          <t>PushOff init</t>
        </is>
      </c>
      <c r="K1" s="1" t="inlineStr">
        <is>
          <t>PushOff starts</t>
        </is>
      </c>
      <c r="L1" s="1" t="inlineStr">
        <is>
          <t>PushOff ends</t>
        </is>
      </c>
      <c r="M1" s="1" t="inlineStr">
        <is>
          <t>Entry Queue wait (hh:mm:ss)</t>
        </is>
      </c>
      <c r="N1" s="1" t="inlineStr">
        <is>
          <t>Arrival drive dur (hh:mm:ss)</t>
        </is>
      </c>
      <c r="O1" s="1" t="inlineStr">
        <is>
          <t>ITP wait (hh:mm:ss)</t>
        </is>
      </c>
      <c r="P1" s="1" t="inlineStr">
        <is>
          <t>ITP duration (hh:mm:ss)</t>
        </is>
      </c>
      <c r="Q1" s="1" t="inlineStr">
        <is>
          <t>PushOff wait (hh:mm:ss)</t>
        </is>
      </c>
      <c r="R1" s="1" t="inlineStr">
        <is>
          <t>PushOff duration (hh:mm:ss)</t>
        </is>
      </c>
      <c r="S1" s="1" t="inlineStr">
        <is>
          <t>Total in arrival yard (hh:mm:ss)</t>
        </is>
      </c>
      <c r="T1" s="1" t="inlineStr">
        <is>
          <t>Total in system (hh:mm:ss)</t>
        </is>
      </c>
    </row>
    <row r="2">
      <c r="A2" s="3" t="inlineStr">
        <is>
          <t>10001</t>
        </is>
      </c>
      <c r="B2" s="9" t="n">
        <v>227.02</v>
      </c>
      <c r="C2" s="3" t="inlineStr">
        <is>
          <t>703</t>
        </is>
      </c>
      <c r="D2" s="10" t="n">
        <v>45659.11092592592</v>
      </c>
      <c r="E2" s="10" t="n">
        <v>45659.11092592592</v>
      </c>
      <c r="F2" s="10" t="n">
        <v>45659.11304398148</v>
      </c>
      <c r="G2" s="10" t="n">
        <v>45659.11304398148</v>
      </c>
      <c r="H2" s="10" t="n">
        <v>45659.11582175926</v>
      </c>
      <c r="I2" s="10" t="n">
        <v>45659.12013888889</v>
      </c>
      <c r="J2" s="10" t="n">
        <v>45659.12013888889</v>
      </c>
      <c r="K2" s="10" t="n">
        <v>45659.12101851852</v>
      </c>
      <c r="L2" s="10" t="n">
        <v>45659.12777777778</v>
      </c>
      <c r="M2" s="11">
        <f>IF(AND(ISNUMBER(D2),ISNUMBER(E2)),(E2-D2),"")</f>
        <v/>
      </c>
      <c r="N2" s="11">
        <f>IF(AND(ISNUMBER(E2),ISNUMBER(F2)),(F2-E2),"")</f>
        <v/>
      </c>
      <c r="O2" s="11">
        <f>IF(AND(ISNUMBER(G2),ISNUMBER(H2)),(H2-G2),"")</f>
        <v/>
      </c>
      <c r="P2" s="11">
        <f>IF(AND(ISNUMBER(H2),ISNUMBER(I2)),(I2-H2),"")</f>
        <v/>
      </c>
      <c r="Q2" s="11">
        <f>IF(AND(ISNUMBER(J2),ISNUMBER(K2)),(K2-J2),"")</f>
        <v/>
      </c>
      <c r="R2" s="11">
        <f>IF(AND(ISNUMBER(K2),ISNUMBER(L2)),(L2-K2),"")</f>
        <v/>
      </c>
      <c r="S2" s="11">
        <f>IF(AND(ISNUMBER(F2),ISNUMBER(L2)),(L2-F2),"")</f>
        <v/>
      </c>
      <c r="T2" s="11">
        <f>IF(AND(ISNUMBER(D2),ISNUMBER(L2)),(L2-D2),"")</f>
        <v/>
      </c>
    </row>
    <row r="3">
      <c r="A3" s="3" t="inlineStr">
        <is>
          <t>10002</t>
        </is>
      </c>
      <c r="B3" s="9" t="n">
        <v>182.7</v>
      </c>
      <c r="C3" s="3" t="inlineStr">
        <is>
          <t>703</t>
        </is>
      </c>
      <c r="D3" s="10" t="n">
        <v>45659.26921296296</v>
      </c>
      <c r="E3" s="10" t="n">
        <v>45659.26921296296</v>
      </c>
      <c r="F3" s="10" t="n">
        <v>45659.27122685185</v>
      </c>
      <c r="G3" s="10" t="n">
        <v>45659.27122685185</v>
      </c>
      <c r="H3" s="10" t="n">
        <v>45659.27400462963</v>
      </c>
      <c r="I3" s="10" t="n">
        <v>45659.27540509259</v>
      </c>
      <c r="J3" s="10" t="n">
        <v>45659.27540509259</v>
      </c>
      <c r="K3" s="10" t="n">
        <v>45659.27619212963</v>
      </c>
      <c r="L3" s="10" t="n">
        <v>45659.2778587963</v>
      </c>
      <c r="M3" s="11">
        <f>IF(AND(ISNUMBER(D3),ISNUMBER(E3)),(E3-D3),"")</f>
        <v/>
      </c>
      <c r="N3" s="11">
        <f>IF(AND(ISNUMBER(E3),ISNUMBER(F3)),(F3-E3),"")</f>
        <v/>
      </c>
      <c r="O3" s="11">
        <f>IF(AND(ISNUMBER(G3),ISNUMBER(H3)),(H3-G3),"")</f>
        <v/>
      </c>
      <c r="P3" s="11">
        <f>IF(AND(ISNUMBER(H3),ISNUMBER(I3)),(I3-H3),"")</f>
        <v/>
      </c>
      <c r="Q3" s="11">
        <f>IF(AND(ISNUMBER(J3),ISNUMBER(K3)),(K3-J3),"")</f>
        <v/>
      </c>
      <c r="R3" s="11">
        <f>IF(AND(ISNUMBER(K3),ISNUMBER(L3)),(L3-K3),"")</f>
        <v/>
      </c>
      <c r="S3" s="11">
        <f>IF(AND(ISNUMBER(F3),ISNUMBER(L3)),(L3-F3),"")</f>
        <v/>
      </c>
      <c r="T3" s="11">
        <f>IF(AND(ISNUMBER(D3),ISNUMBER(L3)),(L3-D3),"")</f>
        <v/>
      </c>
    </row>
    <row r="4">
      <c r="A4" s="3" t="inlineStr">
        <is>
          <t>10003</t>
        </is>
      </c>
      <c r="B4" s="9" t="n">
        <v>578.1799999999999</v>
      </c>
      <c r="C4" s="3" t="inlineStr">
        <is>
          <t>727</t>
        </is>
      </c>
      <c r="D4" s="10" t="n">
        <v>45659.29792824074</v>
      </c>
      <c r="E4" s="10" t="n">
        <v>45659.29792824074</v>
      </c>
      <c r="F4" s="10" t="n">
        <v>45659.30041666667</v>
      </c>
      <c r="G4" s="10" t="n">
        <v>45659.30041666667</v>
      </c>
      <c r="H4" s="10" t="n">
        <v>45659.30319444444</v>
      </c>
      <c r="I4" s="10" t="n">
        <v>45659.31820601852</v>
      </c>
      <c r="J4" s="10" t="n">
        <v>45659.31820601852</v>
      </c>
      <c r="K4" s="10" t="n">
        <v>45659.31907407408</v>
      </c>
      <c r="L4" s="10" t="n">
        <v>45659.33913194444</v>
      </c>
      <c r="M4" s="11">
        <f>IF(AND(ISNUMBER(D4),ISNUMBER(E4)),(E4-D4),"")</f>
        <v/>
      </c>
      <c r="N4" s="11">
        <f>IF(AND(ISNUMBER(E4),ISNUMBER(F4)),(F4-E4),"")</f>
        <v/>
      </c>
      <c r="O4" s="11">
        <f>IF(AND(ISNUMBER(G4),ISNUMBER(H4)),(H4-G4),"")</f>
        <v/>
      </c>
      <c r="P4" s="11">
        <f>IF(AND(ISNUMBER(H4),ISNUMBER(I4)),(I4-H4),"")</f>
        <v/>
      </c>
      <c r="Q4" s="11">
        <f>IF(AND(ISNUMBER(J4),ISNUMBER(K4)),(K4-J4),"")</f>
        <v/>
      </c>
      <c r="R4" s="11">
        <f>IF(AND(ISNUMBER(K4),ISNUMBER(L4)),(L4-K4),"")</f>
        <v/>
      </c>
      <c r="S4" s="11">
        <f>IF(AND(ISNUMBER(F4),ISNUMBER(L4)),(L4-F4),"")</f>
        <v/>
      </c>
      <c r="T4" s="11">
        <f>IF(AND(ISNUMBER(D4),ISNUMBER(L4)),(L4-D4),"")</f>
        <v/>
      </c>
    </row>
    <row r="5">
      <c r="A5" s="3" t="inlineStr">
        <is>
          <t>10004</t>
        </is>
      </c>
      <c r="B5" s="9" t="n">
        <v>188.96</v>
      </c>
      <c r="C5" s="3" t="inlineStr">
        <is>
          <t>703</t>
        </is>
      </c>
      <c r="D5" s="10" t="n">
        <v>45659.30684027778</v>
      </c>
      <c r="E5" s="10" t="n">
        <v>45659.30684027778</v>
      </c>
      <c r="F5" s="10" t="n">
        <v>45659.30886574074</v>
      </c>
      <c r="G5" s="10" t="n">
        <v>45659.30886574074</v>
      </c>
      <c r="H5" s="10" t="n">
        <v>45659.31164351852</v>
      </c>
      <c r="I5" s="10" t="n">
        <v>45659.31309027778</v>
      </c>
      <c r="J5" s="10" t="n">
        <v>45659.31309027778</v>
      </c>
      <c r="K5" s="10" t="n">
        <v>45659.31395833333</v>
      </c>
      <c r="L5" s="10" t="n">
        <v>45659.31631944444</v>
      </c>
      <c r="M5" s="11">
        <f>IF(AND(ISNUMBER(D5),ISNUMBER(E5)),(E5-D5),"")</f>
        <v/>
      </c>
      <c r="N5" s="11">
        <f>IF(AND(ISNUMBER(E5),ISNUMBER(F5)),(F5-E5),"")</f>
        <v/>
      </c>
      <c r="O5" s="11">
        <f>IF(AND(ISNUMBER(G5),ISNUMBER(H5)),(H5-G5),"")</f>
        <v/>
      </c>
      <c r="P5" s="11">
        <f>IF(AND(ISNUMBER(H5),ISNUMBER(I5)),(I5-H5),"")</f>
        <v/>
      </c>
      <c r="Q5" s="11">
        <f>IF(AND(ISNUMBER(J5),ISNUMBER(K5)),(K5-J5),"")</f>
        <v/>
      </c>
      <c r="R5" s="11">
        <f>IF(AND(ISNUMBER(K5),ISNUMBER(L5)),(L5-K5),"")</f>
        <v/>
      </c>
      <c r="S5" s="11">
        <f>IF(AND(ISNUMBER(F5),ISNUMBER(L5)),(L5-F5),"")</f>
        <v/>
      </c>
      <c r="T5" s="11">
        <f>IF(AND(ISNUMBER(D5),ISNUMBER(L5)),(L5-D5),"")</f>
        <v/>
      </c>
    </row>
    <row r="6">
      <c r="A6" s="3" t="inlineStr">
        <is>
          <t>10005</t>
        </is>
      </c>
      <c r="B6" s="9" t="n">
        <v>396.5600000000001</v>
      </c>
      <c r="C6" s="3" t="inlineStr">
        <is>
          <t>703</t>
        </is>
      </c>
      <c r="D6" s="10" t="n">
        <v>45659.33384259259</v>
      </c>
      <c r="E6" s="10" t="n">
        <v>45659.33384259259</v>
      </c>
      <c r="F6" s="10" t="n">
        <v>45659.33635416667</v>
      </c>
      <c r="G6" s="10" t="n">
        <v>45659.33635416667</v>
      </c>
      <c r="H6" s="10" t="n">
        <v>45659.33913194444</v>
      </c>
      <c r="I6" s="10" t="n">
        <v>45659.34232638889</v>
      </c>
      <c r="J6" s="10" t="n">
        <v>45659.34232638889</v>
      </c>
      <c r="K6" s="10" t="n">
        <v>45659.34319444445</v>
      </c>
      <c r="L6" s="10" t="n">
        <v>45659.34535879629</v>
      </c>
      <c r="M6" s="11">
        <f>IF(AND(ISNUMBER(D6),ISNUMBER(E6)),(E6-D6),"")</f>
        <v/>
      </c>
      <c r="N6" s="11">
        <f>IF(AND(ISNUMBER(E6),ISNUMBER(F6)),(F6-E6),"")</f>
        <v/>
      </c>
      <c r="O6" s="11">
        <f>IF(AND(ISNUMBER(G6),ISNUMBER(H6)),(H6-G6),"")</f>
        <v/>
      </c>
      <c r="P6" s="11">
        <f>IF(AND(ISNUMBER(H6),ISNUMBER(I6)),(I6-H6),"")</f>
        <v/>
      </c>
      <c r="Q6" s="11">
        <f>IF(AND(ISNUMBER(J6),ISNUMBER(K6)),(K6-J6),"")</f>
        <v/>
      </c>
      <c r="R6" s="11">
        <f>IF(AND(ISNUMBER(K6),ISNUMBER(L6)),(L6-K6),"")</f>
        <v/>
      </c>
      <c r="S6" s="11">
        <f>IF(AND(ISNUMBER(F6),ISNUMBER(L6)),(L6-F6),"")</f>
        <v/>
      </c>
      <c r="T6" s="11">
        <f>IF(AND(ISNUMBER(D6),ISNUMBER(L6)),(L6-D6),"")</f>
        <v/>
      </c>
    </row>
    <row r="7">
      <c r="A7" s="3" t="inlineStr">
        <is>
          <t>10006</t>
        </is>
      </c>
      <c r="B7" s="9" t="n">
        <v>440.26</v>
      </c>
      <c r="C7" s="3" t="inlineStr">
        <is>
          <t>703</t>
        </is>
      </c>
      <c r="D7" s="10" t="n">
        <v>45659.36704861111</v>
      </c>
      <c r="E7" s="10" t="n">
        <v>45659.36704861111</v>
      </c>
      <c r="F7" s="10" t="n">
        <v>45659.36965277778</v>
      </c>
      <c r="G7" s="10" t="n">
        <v>45659.36965277778</v>
      </c>
      <c r="H7" s="10" t="n">
        <v>45659.37243055556</v>
      </c>
      <c r="I7" s="10" t="n">
        <v>45659.38614583333</v>
      </c>
      <c r="J7" s="10" t="n">
        <v>45659.38614583333</v>
      </c>
      <c r="K7" s="10" t="n">
        <v>45659.38766203704</v>
      </c>
      <c r="L7" s="10" t="n">
        <v>45659.40601851852</v>
      </c>
      <c r="M7" s="11">
        <f>IF(AND(ISNUMBER(D7),ISNUMBER(E7)),(E7-D7),"")</f>
        <v/>
      </c>
      <c r="N7" s="11">
        <f>IF(AND(ISNUMBER(E7),ISNUMBER(F7)),(F7-E7),"")</f>
        <v/>
      </c>
      <c r="O7" s="11">
        <f>IF(AND(ISNUMBER(G7),ISNUMBER(H7)),(H7-G7),"")</f>
        <v/>
      </c>
      <c r="P7" s="11">
        <f>IF(AND(ISNUMBER(H7),ISNUMBER(I7)),(I7-H7),"")</f>
        <v/>
      </c>
      <c r="Q7" s="11">
        <f>IF(AND(ISNUMBER(J7),ISNUMBER(K7)),(K7-J7),"")</f>
        <v/>
      </c>
      <c r="R7" s="11">
        <f>IF(AND(ISNUMBER(K7),ISNUMBER(L7)),(L7-K7),"")</f>
        <v/>
      </c>
      <c r="S7" s="11">
        <f>IF(AND(ISNUMBER(F7),ISNUMBER(L7)),(L7-F7),"")</f>
        <v/>
      </c>
      <c r="T7" s="11">
        <f>IF(AND(ISNUMBER(D7),ISNUMBER(L7)),(L7-D7),"")</f>
        <v/>
      </c>
    </row>
    <row r="8">
      <c r="A8" s="3" t="inlineStr">
        <is>
          <t>10007</t>
        </is>
      </c>
      <c r="B8" s="9" t="n">
        <v>212.7</v>
      </c>
      <c r="C8" s="3" t="inlineStr">
        <is>
          <t>727</t>
        </is>
      </c>
      <c r="D8" s="10" t="n">
        <v>45659.37511574074</v>
      </c>
      <c r="E8" s="10" t="n">
        <v>45659.37511574074</v>
      </c>
      <c r="F8" s="10" t="n">
        <v>45659.37675925926</v>
      </c>
      <c r="G8" s="10" t="n">
        <v>45659.37675925926</v>
      </c>
      <c r="H8" s="10" t="n">
        <v>45659.37953703704</v>
      </c>
      <c r="I8" s="10" t="n">
        <v>45659.38202546296</v>
      </c>
      <c r="J8" s="10" t="n">
        <v>45659.38202546296</v>
      </c>
      <c r="K8" s="10" t="n">
        <v>45659.38289351852</v>
      </c>
      <c r="L8" s="10" t="n">
        <v>45659.38689814815</v>
      </c>
      <c r="M8" s="11">
        <f>IF(AND(ISNUMBER(D8),ISNUMBER(E8)),(E8-D8),"")</f>
        <v/>
      </c>
      <c r="N8" s="11">
        <f>IF(AND(ISNUMBER(E8),ISNUMBER(F8)),(F8-E8),"")</f>
        <v/>
      </c>
      <c r="O8" s="11">
        <f>IF(AND(ISNUMBER(G8),ISNUMBER(H8)),(H8-G8),"")</f>
        <v/>
      </c>
      <c r="P8" s="11">
        <f>IF(AND(ISNUMBER(H8),ISNUMBER(I8)),(I8-H8),"")</f>
        <v/>
      </c>
      <c r="Q8" s="11">
        <f>IF(AND(ISNUMBER(J8),ISNUMBER(K8)),(K8-J8),"")</f>
        <v/>
      </c>
      <c r="R8" s="11">
        <f>IF(AND(ISNUMBER(K8),ISNUMBER(L8)),(L8-K8),"")</f>
        <v/>
      </c>
      <c r="S8" s="11">
        <f>IF(AND(ISNUMBER(F8),ISNUMBER(L8)),(L8-F8),"")</f>
        <v/>
      </c>
      <c r="T8" s="11">
        <f>IF(AND(ISNUMBER(D8),ISNUMBER(L8)),(L8-D8),"")</f>
        <v/>
      </c>
    </row>
    <row r="9">
      <c r="A9" s="3" t="inlineStr">
        <is>
          <t>10008</t>
        </is>
      </c>
      <c r="B9" s="9" t="n">
        <v>387.0600000000001</v>
      </c>
      <c r="C9" s="3" t="inlineStr">
        <is>
          <t>703</t>
        </is>
      </c>
      <c r="D9" s="10" t="n">
        <v>45659.43684027778</v>
      </c>
      <c r="E9" s="10" t="n">
        <v>45659.43684027778</v>
      </c>
      <c r="F9" s="10" t="n">
        <v>45659.4393287037</v>
      </c>
      <c r="G9" s="10" t="n">
        <v>45659.4393287037</v>
      </c>
      <c r="H9" s="10" t="n">
        <v>45659.44210648148</v>
      </c>
      <c r="I9" s="10" t="n">
        <v>45659.4471875</v>
      </c>
      <c r="J9" s="10" t="n">
        <v>45659.4471875</v>
      </c>
      <c r="K9" s="10" t="n">
        <v>45659.44806712963</v>
      </c>
      <c r="L9" s="10" t="n">
        <v>45659.453125</v>
      </c>
      <c r="M9" s="11">
        <f>IF(AND(ISNUMBER(D9),ISNUMBER(E9)),(E9-D9),"")</f>
        <v/>
      </c>
      <c r="N9" s="11">
        <f>IF(AND(ISNUMBER(E9),ISNUMBER(F9)),(F9-E9),"")</f>
        <v/>
      </c>
      <c r="O9" s="11">
        <f>IF(AND(ISNUMBER(G9),ISNUMBER(H9)),(H9-G9),"")</f>
        <v/>
      </c>
      <c r="P9" s="11">
        <f>IF(AND(ISNUMBER(H9),ISNUMBER(I9)),(I9-H9),"")</f>
        <v/>
      </c>
      <c r="Q9" s="11">
        <f>IF(AND(ISNUMBER(J9),ISNUMBER(K9)),(K9-J9),"")</f>
        <v/>
      </c>
      <c r="R9" s="11">
        <f>IF(AND(ISNUMBER(K9),ISNUMBER(L9)),(L9-K9),"")</f>
        <v/>
      </c>
      <c r="S9" s="11">
        <f>IF(AND(ISNUMBER(F9),ISNUMBER(L9)),(L9-F9),"")</f>
        <v/>
      </c>
      <c r="T9" s="11">
        <f>IF(AND(ISNUMBER(D9),ISNUMBER(L9)),(L9-D9),"")</f>
        <v/>
      </c>
    </row>
    <row r="10">
      <c r="A10" s="3" t="inlineStr">
        <is>
          <t>10009</t>
        </is>
      </c>
      <c r="B10" s="9" t="n">
        <v>287.1200000000001</v>
      </c>
      <c r="C10" s="3" t="inlineStr">
        <is>
          <t>703</t>
        </is>
      </c>
      <c r="D10" s="10" t="n">
        <v>45659.60717592593</v>
      </c>
      <c r="E10" s="10" t="n">
        <v>45659.60717592593</v>
      </c>
      <c r="F10" s="10" t="n">
        <v>45659.60943287037</v>
      </c>
      <c r="G10" s="10" t="n">
        <v>45659.60943287037</v>
      </c>
      <c r="H10" s="10" t="n">
        <v>45659.61221064815</v>
      </c>
      <c r="I10" s="10" t="n">
        <v>45659.61456018518</v>
      </c>
      <c r="J10" s="10" t="n">
        <v>45659.61456018518</v>
      </c>
      <c r="K10" s="10" t="n">
        <v>45659.61542824074</v>
      </c>
      <c r="L10" s="10" t="n">
        <v>45659.61733796296</v>
      </c>
      <c r="M10" s="11">
        <f>IF(AND(ISNUMBER(D10),ISNUMBER(E10)),(E10-D10),"")</f>
        <v/>
      </c>
      <c r="N10" s="11">
        <f>IF(AND(ISNUMBER(E10),ISNUMBER(F10)),(F10-E10),"")</f>
        <v/>
      </c>
      <c r="O10" s="11">
        <f>IF(AND(ISNUMBER(G10),ISNUMBER(H10)),(H10-G10),"")</f>
        <v/>
      </c>
      <c r="P10" s="11">
        <f>IF(AND(ISNUMBER(H10),ISNUMBER(I10)),(I10-H10),"")</f>
        <v/>
      </c>
      <c r="Q10" s="11">
        <f>IF(AND(ISNUMBER(J10),ISNUMBER(K10)),(K10-J10),"")</f>
        <v/>
      </c>
      <c r="R10" s="11">
        <f>IF(AND(ISNUMBER(K10),ISNUMBER(L10)),(L10-K10),"")</f>
        <v/>
      </c>
      <c r="S10" s="11">
        <f>IF(AND(ISNUMBER(F10),ISNUMBER(L10)),(L10-F10),"")</f>
        <v/>
      </c>
      <c r="T10" s="11">
        <f>IF(AND(ISNUMBER(D10),ISNUMBER(L10)),(L10-D10),"")</f>
        <v/>
      </c>
    </row>
    <row r="11">
      <c r="A11" s="3" t="inlineStr">
        <is>
          <t>10010</t>
        </is>
      </c>
      <c r="B11" s="9" t="n">
        <v>571.9000000000001</v>
      </c>
      <c r="C11" s="3" t="inlineStr">
        <is>
          <t>727</t>
        </is>
      </c>
      <c r="D11" s="10" t="n">
        <v>45659.62467592592</v>
      </c>
      <c r="E11" s="10" t="n">
        <v>45659.62467592592</v>
      </c>
      <c r="F11" s="10" t="n">
        <v>45659.62715277778</v>
      </c>
      <c r="G11" s="10" t="n">
        <v>45659.62715277778</v>
      </c>
      <c r="H11" s="10" t="n">
        <v>45659.62993055556</v>
      </c>
      <c r="I11" s="10" t="n">
        <v>45659.64165509259</v>
      </c>
      <c r="J11" s="10" t="n">
        <v>45659.64165509259</v>
      </c>
      <c r="K11" s="10" t="n">
        <v>45659.64252314815</v>
      </c>
      <c r="L11" s="10" t="n">
        <v>45659.65738425926</v>
      </c>
      <c r="M11" s="11">
        <f>IF(AND(ISNUMBER(D11),ISNUMBER(E11)),(E11-D11),"")</f>
        <v/>
      </c>
      <c r="N11" s="11">
        <f>IF(AND(ISNUMBER(E11),ISNUMBER(F11)),(F11-E11),"")</f>
        <v/>
      </c>
      <c r="O11" s="11">
        <f>IF(AND(ISNUMBER(G11),ISNUMBER(H11)),(H11-G11),"")</f>
        <v/>
      </c>
      <c r="P11" s="11">
        <f>IF(AND(ISNUMBER(H11),ISNUMBER(I11)),(I11-H11),"")</f>
        <v/>
      </c>
      <c r="Q11" s="11">
        <f>IF(AND(ISNUMBER(J11),ISNUMBER(K11)),(K11-J11),"")</f>
        <v/>
      </c>
      <c r="R11" s="11">
        <f>IF(AND(ISNUMBER(K11),ISNUMBER(L11)),(L11-K11),"")</f>
        <v/>
      </c>
      <c r="S11" s="11">
        <f>IF(AND(ISNUMBER(F11),ISNUMBER(L11)),(L11-F11),"")</f>
        <v/>
      </c>
      <c r="T11" s="11">
        <f>IF(AND(ISNUMBER(D11),ISNUMBER(L11)),(L11-D11),"")</f>
        <v/>
      </c>
    </row>
    <row r="12">
      <c r="A12" s="3" t="inlineStr">
        <is>
          <t>10011</t>
        </is>
      </c>
      <c r="B12" s="9" t="n">
        <v>267.58</v>
      </c>
      <c r="C12" s="3" t="inlineStr">
        <is>
          <t>703</t>
        </is>
      </c>
      <c r="D12" s="10" t="n">
        <v>45659.62642361111</v>
      </c>
      <c r="E12" s="10" t="n">
        <v>45659.62642361111</v>
      </c>
      <c r="F12" s="10" t="n">
        <v>45659.62863425926</v>
      </c>
      <c r="G12" s="10" t="n">
        <v>45659.62863425926</v>
      </c>
      <c r="H12" s="10" t="n">
        <v>45659.63141203704</v>
      </c>
      <c r="I12" s="10" t="n">
        <v>45659.63361111111</v>
      </c>
      <c r="J12" s="10" t="n">
        <v>45659.63361111111</v>
      </c>
      <c r="K12" s="10" t="n">
        <v>45659.63447916666</v>
      </c>
      <c r="L12" s="10" t="n">
        <v>45659.6369675926</v>
      </c>
      <c r="M12" s="11">
        <f>IF(AND(ISNUMBER(D12),ISNUMBER(E12)),(E12-D12),"")</f>
        <v/>
      </c>
      <c r="N12" s="11">
        <f>IF(AND(ISNUMBER(E12),ISNUMBER(F12)),(F12-E12),"")</f>
        <v/>
      </c>
      <c r="O12" s="11">
        <f>IF(AND(ISNUMBER(G12),ISNUMBER(H12)),(H12-G12),"")</f>
        <v/>
      </c>
      <c r="P12" s="11">
        <f>IF(AND(ISNUMBER(H12),ISNUMBER(I12)),(I12-H12),"")</f>
        <v/>
      </c>
      <c r="Q12" s="11">
        <f>IF(AND(ISNUMBER(J12),ISNUMBER(K12)),(K12-J12),"")</f>
        <v/>
      </c>
      <c r="R12" s="11">
        <f>IF(AND(ISNUMBER(K12),ISNUMBER(L12)),(L12-K12),"")</f>
        <v/>
      </c>
      <c r="S12" s="11">
        <f>IF(AND(ISNUMBER(F12),ISNUMBER(L12)),(L12-F12),"")</f>
        <v/>
      </c>
      <c r="T12" s="11">
        <f>IF(AND(ISNUMBER(D12),ISNUMBER(L12)),(L12-D12),"")</f>
        <v/>
      </c>
    </row>
    <row r="13">
      <c r="A13" s="3" t="inlineStr">
        <is>
          <t>10012</t>
        </is>
      </c>
      <c r="B13" s="9" t="n">
        <v>580.9799999999999</v>
      </c>
      <c r="C13" s="3" t="inlineStr">
        <is>
          <t>727</t>
        </is>
      </c>
      <c r="D13" s="10" t="n">
        <v>45659.73721064815</v>
      </c>
      <c r="E13" s="10" t="n">
        <v>45659.73721064815</v>
      </c>
      <c r="F13" s="10" t="n">
        <v>45659.73971064815</v>
      </c>
      <c r="G13" s="10" t="n">
        <v>45659.73971064815</v>
      </c>
      <c r="H13" s="10" t="n">
        <v>45659.74248842592</v>
      </c>
      <c r="I13" s="10" t="n">
        <v>45659.75847222222</v>
      </c>
      <c r="J13" s="10" t="n">
        <v>45659.75847222222</v>
      </c>
      <c r="K13" s="10" t="n">
        <v>45659.75923611111</v>
      </c>
      <c r="L13" s="10" t="n">
        <v>45659.77873842593</v>
      </c>
      <c r="M13" s="11">
        <f>IF(AND(ISNUMBER(D13),ISNUMBER(E13)),(E13-D13),"")</f>
        <v/>
      </c>
      <c r="N13" s="11">
        <f>IF(AND(ISNUMBER(E13),ISNUMBER(F13)),(F13-E13),"")</f>
        <v/>
      </c>
      <c r="O13" s="11">
        <f>IF(AND(ISNUMBER(G13),ISNUMBER(H13)),(H13-G13),"")</f>
        <v/>
      </c>
      <c r="P13" s="11">
        <f>IF(AND(ISNUMBER(H13),ISNUMBER(I13)),(I13-H13),"")</f>
        <v/>
      </c>
      <c r="Q13" s="11">
        <f>IF(AND(ISNUMBER(J13),ISNUMBER(K13)),(K13-J13),"")</f>
        <v/>
      </c>
      <c r="R13" s="11">
        <f>IF(AND(ISNUMBER(K13),ISNUMBER(L13)),(L13-K13),"")</f>
        <v/>
      </c>
      <c r="S13" s="11">
        <f>IF(AND(ISNUMBER(F13),ISNUMBER(L13)),(L13-F13),"")</f>
        <v/>
      </c>
      <c r="T13" s="11">
        <f>IF(AND(ISNUMBER(D13),ISNUMBER(L13)),(L13-D13),"")</f>
        <v/>
      </c>
    </row>
    <row r="14">
      <c r="A14" s="3" t="inlineStr">
        <is>
          <t>10013</t>
        </is>
      </c>
      <c r="B14" s="9" t="n">
        <v>350.42</v>
      </c>
      <c r="C14" s="3" t="inlineStr">
        <is>
          <t>703</t>
        </is>
      </c>
      <c r="D14" s="10" t="n">
        <v>45659.83844907407</v>
      </c>
      <c r="E14" s="10" t="n">
        <v>45659.83844907407</v>
      </c>
      <c r="F14" s="10" t="n">
        <v>45659.84085648148</v>
      </c>
      <c r="G14" s="10" t="n">
        <v>45659.84085648148</v>
      </c>
      <c r="H14" s="10" t="n">
        <v>45659.84363425926</v>
      </c>
      <c r="I14" s="10" t="n">
        <v>45659.85675925926</v>
      </c>
      <c r="J14" s="10" t="n">
        <v>45659.85675925926</v>
      </c>
      <c r="K14" s="10" t="n">
        <v>45659.85762731481</v>
      </c>
      <c r="L14" s="10" t="n">
        <v>45659.87604166667</v>
      </c>
      <c r="M14" s="11">
        <f>IF(AND(ISNUMBER(D14),ISNUMBER(E14)),(E14-D14),"")</f>
        <v/>
      </c>
      <c r="N14" s="11">
        <f>IF(AND(ISNUMBER(E14),ISNUMBER(F14)),(F14-E14),"")</f>
        <v/>
      </c>
      <c r="O14" s="11">
        <f>IF(AND(ISNUMBER(G14),ISNUMBER(H14)),(H14-G14),"")</f>
        <v/>
      </c>
      <c r="P14" s="11">
        <f>IF(AND(ISNUMBER(H14),ISNUMBER(I14)),(I14-H14),"")</f>
        <v/>
      </c>
      <c r="Q14" s="11">
        <f>IF(AND(ISNUMBER(J14),ISNUMBER(K14)),(K14-J14),"")</f>
        <v/>
      </c>
      <c r="R14" s="11">
        <f>IF(AND(ISNUMBER(K14),ISNUMBER(L14)),(L14-K14),"")</f>
        <v/>
      </c>
      <c r="S14" s="11">
        <f>IF(AND(ISNUMBER(F14),ISNUMBER(L14)),(L14-F14),"")</f>
        <v/>
      </c>
      <c r="T14" s="11">
        <f>IF(AND(ISNUMBER(D14),ISNUMBER(L14)),(L14-D14),"")</f>
        <v/>
      </c>
    </row>
    <row r="15">
      <c r="A15" s="3" t="inlineStr">
        <is>
          <t>10014</t>
        </is>
      </c>
      <c r="B15" s="9" t="n">
        <v>140.44</v>
      </c>
      <c r="C15" s="3" t="inlineStr">
        <is>
          <t>703</t>
        </is>
      </c>
      <c r="D15" s="10" t="n">
        <v>45660.11060185185</v>
      </c>
      <c r="E15" s="10" t="n">
        <v>45660.11060185185</v>
      </c>
      <c r="F15" s="10" t="n">
        <v>45660.11252314815</v>
      </c>
      <c r="G15" s="10" t="n">
        <v>45660.11252314815</v>
      </c>
      <c r="H15" s="10" t="n">
        <v>45660.11530092593</v>
      </c>
      <c r="I15" s="10" t="n">
        <v>45660.11940972223</v>
      </c>
      <c r="J15" s="10" t="n">
        <v>45660.11940972223</v>
      </c>
      <c r="K15" s="10" t="n">
        <v>45660.12027777778</v>
      </c>
      <c r="L15" s="10" t="n">
        <v>45660.12644675926</v>
      </c>
      <c r="M15" s="11">
        <f>IF(AND(ISNUMBER(D15),ISNUMBER(E15)),(E15-D15),"")</f>
        <v/>
      </c>
      <c r="N15" s="11">
        <f>IF(AND(ISNUMBER(E15),ISNUMBER(F15)),(F15-E15),"")</f>
        <v/>
      </c>
      <c r="O15" s="11">
        <f>IF(AND(ISNUMBER(G15),ISNUMBER(H15)),(H15-G15),"")</f>
        <v/>
      </c>
      <c r="P15" s="11">
        <f>IF(AND(ISNUMBER(H15),ISNUMBER(I15)),(I15-H15),"")</f>
        <v/>
      </c>
      <c r="Q15" s="11">
        <f>IF(AND(ISNUMBER(J15),ISNUMBER(K15)),(K15-J15),"")</f>
        <v/>
      </c>
      <c r="R15" s="11">
        <f>IF(AND(ISNUMBER(K15),ISNUMBER(L15)),(L15-K15),"")</f>
        <v/>
      </c>
      <c r="S15" s="11">
        <f>IF(AND(ISNUMBER(F15),ISNUMBER(L15)),(L15-F15),"")</f>
        <v/>
      </c>
      <c r="T15" s="11">
        <f>IF(AND(ISNUMBER(D15),ISNUMBER(L15)),(L15-D15),"")</f>
        <v/>
      </c>
    </row>
    <row r="16">
      <c r="A16" s="3" t="inlineStr">
        <is>
          <t>10015</t>
        </is>
      </c>
      <c r="B16" s="9" t="n">
        <v>497</v>
      </c>
      <c r="C16" s="3" t="inlineStr">
        <is>
          <t>703</t>
        </is>
      </c>
      <c r="D16" s="10" t="n">
        <v>45660.19019675926</v>
      </c>
      <c r="E16" s="10" t="n">
        <v>45660.19019675926</v>
      </c>
      <c r="F16" s="10" t="n">
        <v>45660.19293981481</v>
      </c>
      <c r="G16" s="10" t="n">
        <v>45660.19293981481</v>
      </c>
      <c r="H16" s="10" t="n">
        <v>45660.19571759259</v>
      </c>
      <c r="I16" s="10" t="n">
        <v>45660.19956018519</v>
      </c>
      <c r="J16" s="10" t="n">
        <v>45660.19956018519</v>
      </c>
      <c r="K16" s="10" t="n">
        <v>45660.20042824074</v>
      </c>
      <c r="L16" s="10" t="n">
        <v>45660.20282407408</v>
      </c>
      <c r="M16" s="11">
        <f>IF(AND(ISNUMBER(D16),ISNUMBER(E16)),(E16-D16),"")</f>
        <v/>
      </c>
      <c r="N16" s="11">
        <f>IF(AND(ISNUMBER(E16),ISNUMBER(F16)),(F16-E16),"")</f>
        <v/>
      </c>
      <c r="O16" s="11">
        <f>IF(AND(ISNUMBER(G16),ISNUMBER(H16)),(H16-G16),"")</f>
        <v/>
      </c>
      <c r="P16" s="11">
        <f>IF(AND(ISNUMBER(H16),ISNUMBER(I16)),(I16-H16),"")</f>
        <v/>
      </c>
      <c r="Q16" s="11">
        <f>IF(AND(ISNUMBER(J16),ISNUMBER(K16)),(K16-J16),"")</f>
        <v/>
      </c>
      <c r="R16" s="11">
        <f>IF(AND(ISNUMBER(K16),ISNUMBER(L16)),(L16-K16),"")</f>
        <v/>
      </c>
      <c r="S16" s="11">
        <f>IF(AND(ISNUMBER(F16),ISNUMBER(L16)),(L16-F16),"")</f>
        <v/>
      </c>
      <c r="T16" s="11">
        <f>IF(AND(ISNUMBER(D16),ISNUMBER(L16)),(L16-D16),"")</f>
        <v/>
      </c>
    </row>
    <row r="17">
      <c r="A17" s="3" t="inlineStr">
        <is>
          <t>10016</t>
        </is>
      </c>
      <c r="B17" s="9" t="n">
        <v>412.04</v>
      </c>
      <c r="C17" s="3" t="inlineStr">
        <is>
          <t>703</t>
        </is>
      </c>
      <c r="D17" s="10" t="n">
        <v>45660.23157407407</v>
      </c>
      <c r="E17" s="10" t="n">
        <v>45660.23157407407</v>
      </c>
      <c r="F17" s="10" t="n">
        <v>45660.23412037037</v>
      </c>
      <c r="G17" s="10" t="n">
        <v>45660.23412037037</v>
      </c>
      <c r="H17" s="10" t="n">
        <v>45660.23689814815</v>
      </c>
      <c r="I17" s="10" t="n">
        <v>45660.25017361111</v>
      </c>
      <c r="J17" s="10" t="n">
        <v>45660.25017361111</v>
      </c>
      <c r="K17" s="10" t="n">
        <v>45660.25104166667</v>
      </c>
      <c r="L17" s="10" t="n">
        <v>45660.27108796296</v>
      </c>
      <c r="M17" s="11">
        <f>IF(AND(ISNUMBER(D17),ISNUMBER(E17)),(E17-D17),"")</f>
        <v/>
      </c>
      <c r="N17" s="11">
        <f>IF(AND(ISNUMBER(E17),ISNUMBER(F17)),(F17-E17),"")</f>
        <v/>
      </c>
      <c r="O17" s="11">
        <f>IF(AND(ISNUMBER(G17),ISNUMBER(H17)),(H17-G17),"")</f>
        <v/>
      </c>
      <c r="P17" s="11">
        <f>IF(AND(ISNUMBER(H17),ISNUMBER(I17)),(I17-H17),"")</f>
        <v/>
      </c>
      <c r="Q17" s="11">
        <f>IF(AND(ISNUMBER(J17),ISNUMBER(K17)),(K17-J17),"")</f>
        <v/>
      </c>
      <c r="R17" s="11">
        <f>IF(AND(ISNUMBER(K17),ISNUMBER(L17)),(L17-K17),"")</f>
        <v/>
      </c>
      <c r="S17" s="11">
        <f>IF(AND(ISNUMBER(F17),ISNUMBER(L17)),(L17-F17),"")</f>
        <v/>
      </c>
      <c r="T17" s="11">
        <f>IF(AND(ISNUMBER(D17),ISNUMBER(L17)),(L17-D17),"")</f>
        <v/>
      </c>
    </row>
    <row r="18">
      <c r="A18" s="3" t="inlineStr">
        <is>
          <t>10017</t>
        </is>
      </c>
      <c r="B18" s="9" t="n">
        <v>297</v>
      </c>
      <c r="C18" s="3" t="inlineStr">
        <is>
          <t>703</t>
        </is>
      </c>
      <c r="D18" s="10" t="n">
        <v>45660.27189814814</v>
      </c>
      <c r="E18" s="10" t="n">
        <v>45660.27189814814</v>
      </c>
      <c r="F18" s="10" t="n">
        <v>45660.27417824074</v>
      </c>
      <c r="G18" s="10" t="n">
        <v>45660.27417824074</v>
      </c>
      <c r="H18" s="10" t="n">
        <v>45660.27695601852</v>
      </c>
      <c r="I18" s="10" t="n">
        <v>45660.27925925926</v>
      </c>
      <c r="J18" s="10" t="n">
        <v>45660.27925925926</v>
      </c>
      <c r="K18" s="10" t="n">
        <v>45660.28012731481</v>
      </c>
      <c r="L18" s="10" t="n">
        <v>45660.28252314815</v>
      </c>
      <c r="M18" s="11">
        <f>IF(AND(ISNUMBER(D18),ISNUMBER(E18)),(E18-D18),"")</f>
        <v/>
      </c>
      <c r="N18" s="11">
        <f>IF(AND(ISNUMBER(E18),ISNUMBER(F18)),(F18-E18),"")</f>
        <v/>
      </c>
      <c r="O18" s="11">
        <f>IF(AND(ISNUMBER(G18),ISNUMBER(H18)),(H18-G18),"")</f>
        <v/>
      </c>
      <c r="P18" s="11">
        <f>IF(AND(ISNUMBER(H18),ISNUMBER(I18)),(I18-H18),"")</f>
        <v/>
      </c>
      <c r="Q18" s="11">
        <f>IF(AND(ISNUMBER(J18),ISNUMBER(K18)),(K18-J18),"")</f>
        <v/>
      </c>
      <c r="R18" s="11">
        <f>IF(AND(ISNUMBER(K18),ISNUMBER(L18)),(L18-K18),"")</f>
        <v/>
      </c>
      <c r="S18" s="11">
        <f>IF(AND(ISNUMBER(F18),ISNUMBER(L18)),(L18-F18),"")</f>
        <v/>
      </c>
      <c r="T18" s="11">
        <f>IF(AND(ISNUMBER(D18),ISNUMBER(L18)),(L18-D18),"")</f>
        <v/>
      </c>
    </row>
    <row r="19">
      <c r="A19" s="3" t="inlineStr">
        <is>
          <t>10018</t>
        </is>
      </c>
      <c r="B19" s="9" t="n">
        <v>306.6799999999999</v>
      </c>
      <c r="C19" s="3" t="inlineStr">
        <is>
          <t>703</t>
        </is>
      </c>
      <c r="D19" s="10" t="n">
        <v>45660.3019212963</v>
      </c>
      <c r="E19" s="10" t="n">
        <v>45660.3019212963</v>
      </c>
      <c r="F19" s="10" t="n">
        <v>45660.30422453704</v>
      </c>
      <c r="G19" s="10" t="n">
        <v>45660.30422453704</v>
      </c>
      <c r="H19" s="10" t="n">
        <v>45660.30700231482</v>
      </c>
      <c r="I19" s="10" t="n">
        <v>45660.31542824074</v>
      </c>
      <c r="J19" s="10" t="n">
        <v>45660.31542824074</v>
      </c>
      <c r="K19" s="10" t="n">
        <v>45660.31630787037</v>
      </c>
      <c r="L19" s="10" t="n">
        <v>45660.32837962963</v>
      </c>
      <c r="M19" s="11">
        <f>IF(AND(ISNUMBER(D19),ISNUMBER(E19)),(E19-D19),"")</f>
        <v/>
      </c>
      <c r="N19" s="11">
        <f>IF(AND(ISNUMBER(E19),ISNUMBER(F19)),(F19-E19),"")</f>
        <v/>
      </c>
      <c r="O19" s="11">
        <f>IF(AND(ISNUMBER(G19),ISNUMBER(H19)),(H19-G19),"")</f>
        <v/>
      </c>
      <c r="P19" s="11">
        <f>IF(AND(ISNUMBER(H19),ISNUMBER(I19)),(I19-H19),"")</f>
        <v/>
      </c>
      <c r="Q19" s="11">
        <f>IF(AND(ISNUMBER(J19),ISNUMBER(K19)),(K19-J19),"")</f>
        <v/>
      </c>
      <c r="R19" s="11">
        <f>IF(AND(ISNUMBER(K19),ISNUMBER(L19)),(L19-K19),"")</f>
        <v/>
      </c>
      <c r="S19" s="11">
        <f>IF(AND(ISNUMBER(F19),ISNUMBER(L19)),(L19-F19),"")</f>
        <v/>
      </c>
      <c r="T19" s="11">
        <f>IF(AND(ISNUMBER(D19),ISNUMBER(L19)),(L19-D19),"")</f>
        <v/>
      </c>
    </row>
    <row r="20">
      <c r="A20" s="3" t="inlineStr">
        <is>
          <t>10019</t>
        </is>
      </c>
      <c r="B20" s="9" t="n">
        <v>256.9</v>
      </c>
      <c r="C20" s="3" t="inlineStr">
        <is>
          <t>727</t>
        </is>
      </c>
      <c r="D20" s="10" t="n">
        <v>45660.31019675926</v>
      </c>
      <c r="E20" s="10" t="n">
        <v>45660.31019675926</v>
      </c>
      <c r="F20" s="10" t="n">
        <v>45660.31194444445</v>
      </c>
      <c r="G20" s="10" t="n">
        <v>45660.31194444445</v>
      </c>
      <c r="H20" s="10" t="n">
        <v>45660.31472222223</v>
      </c>
      <c r="I20" s="10" t="n">
        <v>45660.31671296297</v>
      </c>
      <c r="J20" s="10" t="n">
        <v>45660.31671296297</v>
      </c>
      <c r="K20" s="10" t="n">
        <v>45660.32924768519</v>
      </c>
      <c r="L20" s="10" t="n">
        <v>45660.33168981481</v>
      </c>
      <c r="M20" s="11">
        <f>IF(AND(ISNUMBER(D20),ISNUMBER(E20)),(E20-D20),"")</f>
        <v/>
      </c>
      <c r="N20" s="11">
        <f>IF(AND(ISNUMBER(E20),ISNUMBER(F20)),(F20-E20),"")</f>
        <v/>
      </c>
      <c r="O20" s="11">
        <f>IF(AND(ISNUMBER(G20),ISNUMBER(H20)),(H20-G20),"")</f>
        <v/>
      </c>
      <c r="P20" s="11">
        <f>IF(AND(ISNUMBER(H20),ISNUMBER(I20)),(I20-H20),"")</f>
        <v/>
      </c>
      <c r="Q20" s="11">
        <f>IF(AND(ISNUMBER(J20),ISNUMBER(K20)),(K20-J20),"")</f>
        <v/>
      </c>
      <c r="R20" s="11">
        <f>IF(AND(ISNUMBER(K20),ISNUMBER(L20)),(L20-K20),"")</f>
        <v/>
      </c>
      <c r="S20" s="11">
        <f>IF(AND(ISNUMBER(F20),ISNUMBER(L20)),(L20-F20),"")</f>
        <v/>
      </c>
      <c r="T20" s="11">
        <f>IF(AND(ISNUMBER(D20),ISNUMBER(L20)),(L20-D20),"")</f>
        <v/>
      </c>
    </row>
    <row r="21">
      <c r="A21" s="3" t="inlineStr">
        <is>
          <t>10020</t>
        </is>
      </c>
      <c r="B21" s="9" t="n">
        <v>396.5600000000001</v>
      </c>
      <c r="C21" s="3" t="inlineStr">
        <is>
          <t>703</t>
        </is>
      </c>
      <c r="D21" s="10" t="n">
        <v>45660.33145833333</v>
      </c>
      <c r="E21" s="10" t="n">
        <v>45660.33145833333</v>
      </c>
      <c r="F21" s="10" t="n">
        <v>45660.33396990741</v>
      </c>
      <c r="G21" s="10" t="n">
        <v>45660.33396990741</v>
      </c>
      <c r="H21" s="10" t="n">
        <v>45660.33674768519</v>
      </c>
      <c r="I21" s="10" t="n">
        <v>45660.34019675926</v>
      </c>
      <c r="J21" s="10" t="n">
        <v>45660.34019675926</v>
      </c>
      <c r="K21" s="10" t="n">
        <v>45660.34096064815</v>
      </c>
      <c r="L21" s="10" t="n">
        <v>45660.34387731482</v>
      </c>
      <c r="M21" s="11">
        <f>IF(AND(ISNUMBER(D21),ISNUMBER(E21)),(E21-D21),"")</f>
        <v/>
      </c>
      <c r="N21" s="11">
        <f>IF(AND(ISNUMBER(E21),ISNUMBER(F21)),(F21-E21),"")</f>
        <v/>
      </c>
      <c r="O21" s="11">
        <f>IF(AND(ISNUMBER(G21),ISNUMBER(H21)),(H21-G21),"")</f>
        <v/>
      </c>
      <c r="P21" s="11">
        <f>IF(AND(ISNUMBER(H21),ISNUMBER(I21)),(I21-H21),"")</f>
        <v/>
      </c>
      <c r="Q21" s="11">
        <f>IF(AND(ISNUMBER(J21),ISNUMBER(K21)),(K21-J21),"")</f>
        <v/>
      </c>
      <c r="R21" s="11">
        <f>IF(AND(ISNUMBER(K21),ISNUMBER(L21)),(L21-K21),"")</f>
        <v/>
      </c>
      <c r="S21" s="11">
        <f>IF(AND(ISNUMBER(F21),ISNUMBER(L21)),(L21-F21),"")</f>
        <v/>
      </c>
      <c r="T21" s="11">
        <f>IF(AND(ISNUMBER(D21),ISNUMBER(L21)),(L21-D21),"")</f>
        <v/>
      </c>
    </row>
    <row r="22">
      <c r="A22" s="3" t="inlineStr">
        <is>
          <t>10021</t>
        </is>
      </c>
      <c r="B22" s="9" t="n">
        <v>279.1</v>
      </c>
      <c r="C22" s="3" t="inlineStr">
        <is>
          <t>703</t>
        </is>
      </c>
      <c r="D22" s="10" t="n">
        <v>45660.36520833334</v>
      </c>
      <c r="E22" s="10" t="n">
        <v>45660.36520833334</v>
      </c>
      <c r="F22" s="10" t="n">
        <v>45660.36744212963</v>
      </c>
      <c r="G22" s="10" t="n">
        <v>45660.36744212963</v>
      </c>
      <c r="H22" s="10" t="n">
        <v>45660.37021990741</v>
      </c>
      <c r="I22" s="10" t="n">
        <v>45660.37324074074</v>
      </c>
      <c r="J22" s="10" t="n">
        <v>45660.37324074074</v>
      </c>
      <c r="K22" s="10" t="n">
        <v>45660.37412037037</v>
      </c>
      <c r="L22" s="10" t="n">
        <v>45660.37836805556</v>
      </c>
      <c r="M22" s="11">
        <f>IF(AND(ISNUMBER(D22),ISNUMBER(E22)),(E22-D22),"")</f>
        <v/>
      </c>
      <c r="N22" s="11">
        <f>IF(AND(ISNUMBER(E22),ISNUMBER(F22)),(F22-E22),"")</f>
        <v/>
      </c>
      <c r="O22" s="11">
        <f>IF(AND(ISNUMBER(G22),ISNUMBER(H22)),(H22-G22),"")</f>
        <v/>
      </c>
      <c r="P22" s="11">
        <f>IF(AND(ISNUMBER(H22),ISNUMBER(I22)),(I22-H22),"")</f>
        <v/>
      </c>
      <c r="Q22" s="11">
        <f>IF(AND(ISNUMBER(J22),ISNUMBER(K22)),(K22-J22),"")</f>
        <v/>
      </c>
      <c r="R22" s="11">
        <f>IF(AND(ISNUMBER(K22),ISNUMBER(L22)),(L22-K22),"")</f>
        <v/>
      </c>
      <c r="S22" s="11">
        <f>IF(AND(ISNUMBER(F22),ISNUMBER(L22)),(L22-F22),"")</f>
        <v/>
      </c>
      <c r="T22" s="11">
        <f>IF(AND(ISNUMBER(D22),ISNUMBER(L22)),(L22-D22),"")</f>
        <v/>
      </c>
    </row>
    <row r="23">
      <c r="A23" s="3" t="inlineStr">
        <is>
          <t>10022</t>
        </is>
      </c>
      <c r="B23" s="9" t="n">
        <v>433.6999999999999</v>
      </c>
      <c r="C23" s="3" t="inlineStr">
        <is>
          <t>703</t>
        </is>
      </c>
      <c r="D23" s="10" t="n">
        <v>45660.43730324074</v>
      </c>
      <c r="E23" s="10" t="n">
        <v>45660.43730324074</v>
      </c>
      <c r="F23" s="10" t="n">
        <v>45660.43989583333</v>
      </c>
      <c r="G23" s="10" t="n">
        <v>45660.43989583333</v>
      </c>
      <c r="H23" s="10" t="n">
        <v>45660.44267361111</v>
      </c>
      <c r="I23" s="10" t="n">
        <v>45660.44875</v>
      </c>
      <c r="J23" s="10" t="n">
        <v>45660.44875</v>
      </c>
      <c r="K23" s="10" t="n">
        <v>45660.44951388889</v>
      </c>
      <c r="L23" s="10" t="n">
        <v>45660.45607638889</v>
      </c>
      <c r="M23" s="11">
        <f>IF(AND(ISNUMBER(D23),ISNUMBER(E23)),(E23-D23),"")</f>
        <v/>
      </c>
      <c r="N23" s="11">
        <f>IF(AND(ISNUMBER(E23),ISNUMBER(F23)),(F23-E23),"")</f>
        <v/>
      </c>
      <c r="O23" s="11">
        <f>IF(AND(ISNUMBER(G23),ISNUMBER(H23)),(H23-G23),"")</f>
        <v/>
      </c>
      <c r="P23" s="11">
        <f>IF(AND(ISNUMBER(H23),ISNUMBER(I23)),(I23-H23),"")</f>
        <v/>
      </c>
      <c r="Q23" s="11">
        <f>IF(AND(ISNUMBER(J23),ISNUMBER(K23)),(K23-J23),"")</f>
        <v/>
      </c>
      <c r="R23" s="11">
        <f>IF(AND(ISNUMBER(K23),ISNUMBER(L23)),(L23-K23),"")</f>
        <v/>
      </c>
      <c r="S23" s="11">
        <f>IF(AND(ISNUMBER(F23),ISNUMBER(L23)),(L23-F23),"")</f>
        <v/>
      </c>
      <c r="T23" s="11">
        <f>IF(AND(ISNUMBER(D23),ISNUMBER(L23)),(L23-D23),"")</f>
        <v/>
      </c>
    </row>
    <row r="24">
      <c r="A24" s="3" t="inlineStr">
        <is>
          <t>10023</t>
        </is>
      </c>
      <c r="B24" s="9" t="n">
        <v>278.02</v>
      </c>
      <c r="C24" s="3" t="inlineStr">
        <is>
          <t>703</t>
        </is>
      </c>
      <c r="D24" s="10" t="n">
        <v>45660.54097222222</v>
      </c>
      <c r="E24" s="10" t="n">
        <v>45660.54097222222</v>
      </c>
      <c r="F24" s="10" t="n">
        <v>45660.54320601852</v>
      </c>
      <c r="G24" s="10" t="n">
        <v>45660.54320601852</v>
      </c>
      <c r="H24" s="10" t="n">
        <v>45660.5459837963</v>
      </c>
      <c r="I24" s="10" t="n">
        <v>45660.54802083333</v>
      </c>
      <c r="J24" s="10" t="n">
        <v>45660.54802083333</v>
      </c>
      <c r="K24" s="10" t="n">
        <v>45660.54890046296</v>
      </c>
      <c r="L24" s="10" t="n">
        <v>45660.55142361111</v>
      </c>
      <c r="M24" s="11">
        <f>IF(AND(ISNUMBER(D24),ISNUMBER(E24)),(E24-D24),"")</f>
        <v/>
      </c>
      <c r="N24" s="11">
        <f>IF(AND(ISNUMBER(E24),ISNUMBER(F24)),(F24-E24),"")</f>
        <v/>
      </c>
      <c r="O24" s="11">
        <f>IF(AND(ISNUMBER(G24),ISNUMBER(H24)),(H24-G24),"")</f>
        <v/>
      </c>
      <c r="P24" s="11">
        <f>IF(AND(ISNUMBER(H24),ISNUMBER(I24)),(I24-H24),"")</f>
        <v/>
      </c>
      <c r="Q24" s="11">
        <f>IF(AND(ISNUMBER(J24),ISNUMBER(K24)),(K24-J24),"")</f>
        <v/>
      </c>
      <c r="R24" s="11">
        <f>IF(AND(ISNUMBER(K24),ISNUMBER(L24)),(L24-K24),"")</f>
        <v/>
      </c>
      <c r="S24" s="11">
        <f>IF(AND(ISNUMBER(F24),ISNUMBER(L24)),(L24-F24),"")</f>
        <v/>
      </c>
      <c r="T24" s="11">
        <f>IF(AND(ISNUMBER(D24),ISNUMBER(L24)),(L24-D24),"")</f>
        <v/>
      </c>
    </row>
    <row r="25">
      <c r="A25" s="3" t="inlineStr">
        <is>
          <t>10024</t>
        </is>
      </c>
      <c r="B25" s="9" t="n">
        <v>62.96</v>
      </c>
      <c r="C25" s="3" t="inlineStr">
        <is>
          <t>731</t>
        </is>
      </c>
      <c r="D25" s="10" t="n">
        <v>45660.59663194444</v>
      </c>
      <c r="E25" s="10" t="n">
        <v>45660.59663194444</v>
      </c>
      <c r="F25" s="10" t="n">
        <v>45660.59799768519</v>
      </c>
      <c r="G25" s="10" t="n">
        <v>45660.59799768519</v>
      </c>
      <c r="H25" s="10" t="n">
        <v>45660.60077546296</v>
      </c>
      <c r="I25" s="10" t="n">
        <v>45660.60131944445</v>
      </c>
      <c r="J25" s="10" t="n">
        <v>45660.60131944445</v>
      </c>
      <c r="K25" s="10" t="n">
        <v>45660.60208333333</v>
      </c>
      <c r="L25" s="10" t="n">
        <v>45660.60427083333</v>
      </c>
      <c r="M25" s="11">
        <f>IF(AND(ISNUMBER(D25),ISNUMBER(E25)),(E25-D25),"")</f>
        <v/>
      </c>
      <c r="N25" s="11">
        <f>IF(AND(ISNUMBER(E25),ISNUMBER(F25)),(F25-E25),"")</f>
        <v/>
      </c>
      <c r="O25" s="11">
        <f>IF(AND(ISNUMBER(G25),ISNUMBER(H25)),(H25-G25),"")</f>
        <v/>
      </c>
      <c r="P25" s="11">
        <f>IF(AND(ISNUMBER(H25),ISNUMBER(I25)),(I25-H25),"")</f>
        <v/>
      </c>
      <c r="Q25" s="11">
        <f>IF(AND(ISNUMBER(J25),ISNUMBER(K25)),(K25-J25),"")</f>
        <v/>
      </c>
      <c r="R25" s="11">
        <f>IF(AND(ISNUMBER(K25),ISNUMBER(L25)),(L25-K25),"")</f>
        <v/>
      </c>
      <c r="S25" s="11">
        <f>IF(AND(ISNUMBER(F25),ISNUMBER(L25)),(L25-F25),"")</f>
        <v/>
      </c>
      <c r="T25" s="11">
        <f>IF(AND(ISNUMBER(D25),ISNUMBER(L25)),(L25-D25),"")</f>
        <v/>
      </c>
    </row>
    <row r="26">
      <c r="A26" s="3" t="inlineStr">
        <is>
          <t>10025</t>
        </is>
      </c>
      <c r="B26" s="9" t="n">
        <v>399.78</v>
      </c>
      <c r="C26" s="3" t="inlineStr">
        <is>
          <t>703</t>
        </is>
      </c>
      <c r="D26" s="10" t="n">
        <v>45660.62752314815</v>
      </c>
      <c r="E26" s="10" t="n">
        <v>45660.62752314815</v>
      </c>
      <c r="F26" s="10" t="n">
        <v>45660.63003472222</v>
      </c>
      <c r="G26" s="10" t="n">
        <v>45660.63003472222</v>
      </c>
      <c r="H26" s="10" t="n">
        <v>45660.6328125</v>
      </c>
      <c r="I26" s="10" t="n">
        <v>45660.64547453704</v>
      </c>
      <c r="J26" s="10" t="n">
        <v>45660.64547453704</v>
      </c>
      <c r="K26" s="10" t="n">
        <v>45660.64635416667</v>
      </c>
      <c r="L26" s="10" t="n">
        <v>45660.66556712963</v>
      </c>
      <c r="M26" s="11">
        <f>IF(AND(ISNUMBER(D26),ISNUMBER(E26)),(E26-D26),"")</f>
        <v/>
      </c>
      <c r="N26" s="11">
        <f>IF(AND(ISNUMBER(E26),ISNUMBER(F26)),(F26-E26),"")</f>
        <v/>
      </c>
      <c r="O26" s="11">
        <f>IF(AND(ISNUMBER(G26),ISNUMBER(H26)),(H26-G26),"")</f>
        <v/>
      </c>
      <c r="P26" s="11">
        <f>IF(AND(ISNUMBER(H26),ISNUMBER(I26)),(I26-H26),"")</f>
        <v/>
      </c>
      <c r="Q26" s="11">
        <f>IF(AND(ISNUMBER(J26),ISNUMBER(K26)),(K26-J26),"")</f>
        <v/>
      </c>
      <c r="R26" s="11">
        <f>IF(AND(ISNUMBER(K26),ISNUMBER(L26)),(L26-K26),"")</f>
        <v/>
      </c>
      <c r="S26" s="11">
        <f>IF(AND(ISNUMBER(F26),ISNUMBER(L26)),(L26-F26),"")</f>
        <v/>
      </c>
      <c r="T26" s="11">
        <f>IF(AND(ISNUMBER(D26),ISNUMBER(L26)),(L26-D26),"")</f>
        <v/>
      </c>
    </row>
    <row r="27">
      <c r="A27" s="3" t="inlineStr">
        <is>
          <t>10026</t>
        </is>
      </c>
      <c r="B27" s="9" t="n">
        <v>62.96</v>
      </c>
      <c r="C27" s="3" t="inlineStr">
        <is>
          <t>731</t>
        </is>
      </c>
      <c r="D27" s="10" t="n">
        <v>45660.64899305555</v>
      </c>
      <c r="E27" s="10" t="n">
        <v>45660.64899305555</v>
      </c>
      <c r="F27" s="10" t="n">
        <v>45660.65035879629</v>
      </c>
      <c r="G27" s="10" t="n">
        <v>45660.65035879629</v>
      </c>
      <c r="H27" s="10" t="n">
        <v>45660.65313657407</v>
      </c>
      <c r="I27" s="10" t="n">
        <v>45660.65359953704</v>
      </c>
      <c r="J27" s="10" t="n">
        <v>45660.65359953704</v>
      </c>
      <c r="K27" s="10" t="n">
        <v>45660.66633101852</v>
      </c>
      <c r="L27" s="10" t="n">
        <v>45660.66851851852</v>
      </c>
      <c r="M27" s="11">
        <f>IF(AND(ISNUMBER(D27),ISNUMBER(E27)),(E27-D27),"")</f>
        <v/>
      </c>
      <c r="N27" s="11">
        <f>IF(AND(ISNUMBER(E27),ISNUMBER(F27)),(F27-E27),"")</f>
        <v/>
      </c>
      <c r="O27" s="11">
        <f>IF(AND(ISNUMBER(G27),ISNUMBER(H27)),(H27-G27),"")</f>
        <v/>
      </c>
      <c r="P27" s="11">
        <f>IF(AND(ISNUMBER(H27),ISNUMBER(I27)),(I27-H27),"")</f>
        <v/>
      </c>
      <c r="Q27" s="11">
        <f>IF(AND(ISNUMBER(J27),ISNUMBER(K27)),(K27-J27),"")</f>
        <v/>
      </c>
      <c r="R27" s="11">
        <f>IF(AND(ISNUMBER(K27),ISNUMBER(L27)),(L27-K27),"")</f>
        <v/>
      </c>
      <c r="S27" s="11">
        <f>IF(AND(ISNUMBER(F27),ISNUMBER(L27)),(L27-F27),"")</f>
        <v/>
      </c>
      <c r="T27" s="11">
        <f>IF(AND(ISNUMBER(D27),ISNUMBER(L27)),(L27-D27),"")</f>
        <v/>
      </c>
    </row>
    <row r="28">
      <c r="A28" s="3" t="inlineStr">
        <is>
          <t>10027</t>
        </is>
      </c>
      <c r="B28" s="9" t="n">
        <v>278.8800000000001</v>
      </c>
      <c r="C28" s="3" t="inlineStr">
        <is>
          <t>703</t>
        </is>
      </c>
      <c r="D28" s="10" t="n">
        <v>45660.71618055556</v>
      </c>
      <c r="E28" s="10" t="n">
        <v>45660.71618055556</v>
      </c>
      <c r="F28" s="10" t="n">
        <v>45660.71841435185</v>
      </c>
      <c r="G28" s="10" t="n">
        <v>45660.71841435185</v>
      </c>
      <c r="H28" s="10" t="n">
        <v>45660.72119212963</v>
      </c>
      <c r="I28" s="10" t="n">
        <v>45660.72362268518</v>
      </c>
      <c r="J28" s="10" t="n">
        <v>45660.72362268518</v>
      </c>
      <c r="K28" s="10" t="n">
        <v>45660.72438657407</v>
      </c>
      <c r="L28" s="10" t="n">
        <v>45660.72690972222</v>
      </c>
      <c r="M28" s="11">
        <f>IF(AND(ISNUMBER(D28),ISNUMBER(E28)),(E28-D28),"")</f>
        <v/>
      </c>
      <c r="N28" s="11">
        <f>IF(AND(ISNUMBER(E28),ISNUMBER(F28)),(F28-E28),"")</f>
        <v/>
      </c>
      <c r="O28" s="11">
        <f>IF(AND(ISNUMBER(G28),ISNUMBER(H28)),(H28-G28),"")</f>
        <v/>
      </c>
      <c r="P28" s="11">
        <f>IF(AND(ISNUMBER(H28),ISNUMBER(I28)),(I28-H28),"")</f>
        <v/>
      </c>
      <c r="Q28" s="11">
        <f>IF(AND(ISNUMBER(J28),ISNUMBER(K28)),(K28-J28),"")</f>
        <v/>
      </c>
      <c r="R28" s="11">
        <f>IF(AND(ISNUMBER(K28),ISNUMBER(L28)),(L28-K28),"")</f>
        <v/>
      </c>
      <c r="S28" s="11">
        <f>IF(AND(ISNUMBER(F28),ISNUMBER(L28)),(L28-F28),"")</f>
        <v/>
      </c>
      <c r="T28" s="11">
        <f>IF(AND(ISNUMBER(D28),ISNUMBER(L28)),(L28-D28),"")</f>
        <v/>
      </c>
    </row>
    <row r="29">
      <c r="A29" s="3" t="inlineStr">
        <is>
          <t>10028</t>
        </is>
      </c>
      <c r="B29" s="9" t="n">
        <v>595.8999999999999</v>
      </c>
      <c r="C29" s="3" t="inlineStr">
        <is>
          <t>725</t>
        </is>
      </c>
      <c r="D29" s="10" t="n">
        <v>45660.83313657407</v>
      </c>
      <c r="E29" s="10" t="n">
        <v>45660.83313657407</v>
      </c>
      <c r="F29" s="10" t="n">
        <v>45660.83549768518</v>
      </c>
      <c r="G29" s="10" t="n">
        <v>45660.83549768518</v>
      </c>
      <c r="H29" s="10" t="n">
        <v>45660.83827546296</v>
      </c>
      <c r="I29" s="10" t="n">
        <v>45660.84945601852</v>
      </c>
      <c r="J29" s="10" t="n">
        <v>45660.84945601852</v>
      </c>
      <c r="K29" s="10" t="n">
        <v>45660.85033564815</v>
      </c>
      <c r="L29" s="10" t="n">
        <v>45660.86420138889</v>
      </c>
      <c r="M29" s="11">
        <f>IF(AND(ISNUMBER(D29),ISNUMBER(E29)),(E29-D29),"")</f>
        <v/>
      </c>
      <c r="N29" s="11">
        <f>IF(AND(ISNUMBER(E29),ISNUMBER(F29)),(F29-E29),"")</f>
        <v/>
      </c>
      <c r="O29" s="11">
        <f>IF(AND(ISNUMBER(G29),ISNUMBER(H29)),(H29-G29),"")</f>
        <v/>
      </c>
      <c r="P29" s="11">
        <f>IF(AND(ISNUMBER(H29),ISNUMBER(I29)),(I29-H29),"")</f>
        <v/>
      </c>
      <c r="Q29" s="11">
        <f>IF(AND(ISNUMBER(J29),ISNUMBER(K29)),(K29-J29),"")</f>
        <v/>
      </c>
      <c r="R29" s="11">
        <f>IF(AND(ISNUMBER(K29),ISNUMBER(L29)),(L29-K29),"")</f>
        <v/>
      </c>
      <c r="S29" s="11">
        <f>IF(AND(ISNUMBER(F29),ISNUMBER(L29)),(L29-F29),"")</f>
        <v/>
      </c>
      <c r="T29" s="11">
        <f>IF(AND(ISNUMBER(D29),ISNUMBER(L29)),(L29-D29),"")</f>
        <v/>
      </c>
    </row>
    <row r="30">
      <c r="A30" s="3" t="inlineStr">
        <is>
          <t>10029</t>
        </is>
      </c>
      <c r="B30" s="9" t="n">
        <v>541.14</v>
      </c>
      <c r="C30" s="3" t="inlineStr">
        <is>
          <t>727</t>
        </is>
      </c>
      <c r="D30" s="10" t="n">
        <v>45660.87109953703</v>
      </c>
      <c r="E30" s="10" t="n">
        <v>45660.87109953703</v>
      </c>
      <c r="F30" s="10" t="n">
        <v>45660.87350694444</v>
      </c>
      <c r="G30" s="10" t="n">
        <v>45660.87350694444</v>
      </c>
      <c r="H30" s="10" t="n">
        <v>45660.87628472222</v>
      </c>
      <c r="I30" s="10" t="n">
        <v>45660.89300925926</v>
      </c>
      <c r="J30" s="10" t="n">
        <v>45660.89300925926</v>
      </c>
      <c r="K30" s="10" t="n">
        <v>45660.89387731482</v>
      </c>
      <c r="L30" s="10" t="n">
        <v>45660.91327546296</v>
      </c>
      <c r="M30" s="11">
        <f>IF(AND(ISNUMBER(D30),ISNUMBER(E30)),(E30-D30),"")</f>
        <v/>
      </c>
      <c r="N30" s="11">
        <f>IF(AND(ISNUMBER(E30),ISNUMBER(F30)),(F30-E30),"")</f>
        <v/>
      </c>
      <c r="O30" s="11">
        <f>IF(AND(ISNUMBER(G30),ISNUMBER(H30)),(H30-G30),"")</f>
        <v/>
      </c>
      <c r="P30" s="11">
        <f>IF(AND(ISNUMBER(H30),ISNUMBER(I30)),(I30-H30),"")</f>
        <v/>
      </c>
      <c r="Q30" s="11">
        <f>IF(AND(ISNUMBER(J30),ISNUMBER(K30)),(K30-J30),"")</f>
        <v/>
      </c>
      <c r="R30" s="11">
        <f>IF(AND(ISNUMBER(K30),ISNUMBER(L30)),(L30-K30),"")</f>
        <v/>
      </c>
      <c r="S30" s="11">
        <f>IF(AND(ISNUMBER(F30),ISNUMBER(L30)),(L30-F30),"")</f>
        <v/>
      </c>
      <c r="T30" s="11">
        <f>IF(AND(ISNUMBER(D30),ISNUMBER(L30)),(L30-D30),"")</f>
        <v/>
      </c>
    </row>
    <row r="31">
      <c r="A31" s="3" t="inlineStr">
        <is>
          <t>10030</t>
        </is>
      </c>
      <c r="B31" s="9" t="n">
        <v>294.98</v>
      </c>
      <c r="C31" s="3" t="inlineStr">
        <is>
          <t>703</t>
        </is>
      </c>
      <c r="D31" s="10" t="n">
        <v>45661.23519675926</v>
      </c>
      <c r="E31" s="10" t="n">
        <v>45661.23519675926</v>
      </c>
      <c r="F31" s="10" t="n">
        <v>45661.23746527778</v>
      </c>
      <c r="G31" s="10" t="n">
        <v>45661.23746527778</v>
      </c>
      <c r="H31" s="10" t="n">
        <v>45661.24024305555</v>
      </c>
      <c r="I31" s="10" t="n">
        <v>45661.24451388889</v>
      </c>
      <c r="J31" s="10" t="n">
        <v>45661.24451388889</v>
      </c>
      <c r="K31" s="10" t="n">
        <v>45661.24539351852</v>
      </c>
      <c r="L31" s="10" t="n">
        <v>45661.25035879629</v>
      </c>
      <c r="M31" s="11">
        <f>IF(AND(ISNUMBER(D31),ISNUMBER(E31)),(E31-D31),"")</f>
        <v/>
      </c>
      <c r="N31" s="11">
        <f>IF(AND(ISNUMBER(E31),ISNUMBER(F31)),(F31-E31),"")</f>
        <v/>
      </c>
      <c r="O31" s="11">
        <f>IF(AND(ISNUMBER(G31),ISNUMBER(H31)),(H31-G31),"")</f>
        <v/>
      </c>
      <c r="P31" s="11">
        <f>IF(AND(ISNUMBER(H31),ISNUMBER(I31)),(I31-H31),"")</f>
        <v/>
      </c>
      <c r="Q31" s="11">
        <f>IF(AND(ISNUMBER(J31),ISNUMBER(K31)),(K31-J31),"")</f>
        <v/>
      </c>
      <c r="R31" s="11">
        <f>IF(AND(ISNUMBER(K31),ISNUMBER(L31)),(L31-K31),"")</f>
        <v/>
      </c>
      <c r="S31" s="11">
        <f>IF(AND(ISNUMBER(F31),ISNUMBER(L31)),(L31-F31),"")</f>
        <v/>
      </c>
      <c r="T31" s="11">
        <f>IF(AND(ISNUMBER(D31),ISNUMBER(L31)),(L31-D31),"")</f>
        <v/>
      </c>
    </row>
    <row r="32">
      <c r="A32" s="3" t="inlineStr">
        <is>
          <t>10031</t>
        </is>
      </c>
      <c r="B32" s="9" t="n">
        <v>535.3200000000001</v>
      </c>
      <c r="C32" s="3" t="inlineStr">
        <is>
          <t>727</t>
        </is>
      </c>
      <c r="D32" s="10" t="n">
        <v>45662.7305787037</v>
      </c>
      <c r="E32" s="10" t="n">
        <v>45662.7305787037</v>
      </c>
      <c r="F32" s="10" t="n">
        <v>45662.73297453704</v>
      </c>
      <c r="G32" s="10" t="n">
        <v>45662.73297453704</v>
      </c>
      <c r="H32" s="10" t="n">
        <v>45662.73575231482</v>
      </c>
      <c r="I32" s="10" t="n">
        <v>45662.74243055555</v>
      </c>
      <c r="J32" s="10" t="n">
        <v>45662.74243055555</v>
      </c>
      <c r="K32" s="10" t="n">
        <v>45662.74329861111</v>
      </c>
      <c r="L32" s="10" t="n">
        <v>45662.74873842593</v>
      </c>
      <c r="M32" s="11">
        <f>IF(AND(ISNUMBER(D32),ISNUMBER(E32)),(E32-D32),"")</f>
        <v/>
      </c>
      <c r="N32" s="11">
        <f>IF(AND(ISNUMBER(E32),ISNUMBER(F32)),(F32-E32),"")</f>
        <v/>
      </c>
      <c r="O32" s="11">
        <f>IF(AND(ISNUMBER(G32),ISNUMBER(H32)),(H32-G32),"")</f>
        <v/>
      </c>
      <c r="P32" s="11">
        <f>IF(AND(ISNUMBER(H32),ISNUMBER(I32)),(I32-H32),"")</f>
        <v/>
      </c>
      <c r="Q32" s="11">
        <f>IF(AND(ISNUMBER(J32),ISNUMBER(K32)),(K32-J32),"")</f>
        <v/>
      </c>
      <c r="R32" s="11">
        <f>IF(AND(ISNUMBER(K32),ISNUMBER(L32)),(L32-K32),"")</f>
        <v/>
      </c>
      <c r="S32" s="11">
        <f>IF(AND(ISNUMBER(F32),ISNUMBER(L32)),(L32-F32),"")</f>
        <v/>
      </c>
      <c r="T32" s="11">
        <f>IF(AND(ISNUMBER(D32),ISNUMBER(L32)),(L32-D32),"")</f>
        <v/>
      </c>
    </row>
    <row r="33">
      <c r="A33" s="3" t="inlineStr">
        <is>
          <t>10032</t>
        </is>
      </c>
      <c r="B33" s="9" t="n">
        <v>590.7800000000001</v>
      </c>
      <c r="C33" s="3" t="inlineStr">
        <is>
          <t>727</t>
        </is>
      </c>
      <c r="D33" s="10" t="n">
        <v>45662.83770833333</v>
      </c>
      <c r="E33" s="10" t="n">
        <v>45662.83770833333</v>
      </c>
      <c r="F33" s="10" t="n">
        <v>45662.84023148148</v>
      </c>
      <c r="G33" s="10" t="n">
        <v>45662.84023148148</v>
      </c>
      <c r="H33" s="10" t="n">
        <v>45662.84300925926</v>
      </c>
      <c r="I33" s="10" t="n">
        <v>45662.84952546296</v>
      </c>
      <c r="J33" s="10" t="n">
        <v>45662.84952546296</v>
      </c>
      <c r="K33" s="10" t="n">
        <v>45662.85040509259</v>
      </c>
      <c r="L33" s="10" t="n">
        <v>45662.85672453704</v>
      </c>
      <c r="M33" s="11">
        <f>IF(AND(ISNUMBER(D33),ISNUMBER(E33)),(E33-D33),"")</f>
        <v/>
      </c>
      <c r="N33" s="11">
        <f>IF(AND(ISNUMBER(E33),ISNUMBER(F33)),(F33-E33),"")</f>
        <v/>
      </c>
      <c r="O33" s="11">
        <f>IF(AND(ISNUMBER(G33),ISNUMBER(H33)),(H33-G33),"")</f>
        <v/>
      </c>
      <c r="P33" s="11">
        <f>IF(AND(ISNUMBER(H33),ISNUMBER(I33)),(I33-H33),"")</f>
        <v/>
      </c>
      <c r="Q33" s="11">
        <f>IF(AND(ISNUMBER(J33),ISNUMBER(K33)),(K33-J33),"")</f>
        <v/>
      </c>
      <c r="R33" s="11">
        <f>IF(AND(ISNUMBER(K33),ISNUMBER(L33)),(L33-K33),"")</f>
        <v/>
      </c>
      <c r="S33" s="11">
        <f>IF(AND(ISNUMBER(F33),ISNUMBER(L33)),(L33-F33),"")</f>
        <v/>
      </c>
      <c r="T33" s="11">
        <f>IF(AND(ISNUMBER(D33),ISNUMBER(L33)),(L33-D33),"")</f>
        <v/>
      </c>
    </row>
    <row r="34">
      <c r="A34" s="3" t="inlineStr">
        <is>
          <t>10033</t>
        </is>
      </c>
      <c r="B34" s="9" t="n">
        <v>241.38</v>
      </c>
      <c r="C34" s="3" t="inlineStr">
        <is>
          <t>703</t>
        </is>
      </c>
      <c r="D34" s="10" t="n">
        <v>45663.73539351852</v>
      </c>
      <c r="E34" s="10" t="n">
        <v>45663.73539351852</v>
      </c>
      <c r="F34" s="10" t="n">
        <v>45663.7375462963</v>
      </c>
      <c r="G34" s="10" t="n">
        <v>45663.7375462963</v>
      </c>
      <c r="H34" s="10" t="n">
        <v>45663.74032407408</v>
      </c>
      <c r="I34" s="10" t="n">
        <v>45663.74232638889</v>
      </c>
      <c r="J34" s="10" t="n">
        <v>45663.74232638889</v>
      </c>
      <c r="K34" s="10" t="n">
        <v>45663.74319444445</v>
      </c>
      <c r="L34" s="10" t="n">
        <v>45663.745</v>
      </c>
      <c r="M34" s="11">
        <f>IF(AND(ISNUMBER(D34),ISNUMBER(E34)),(E34-D34),"")</f>
        <v/>
      </c>
      <c r="N34" s="11">
        <f>IF(AND(ISNUMBER(E34),ISNUMBER(F34)),(F34-E34),"")</f>
        <v/>
      </c>
      <c r="O34" s="11">
        <f>IF(AND(ISNUMBER(G34),ISNUMBER(H34)),(H34-G34),"")</f>
        <v/>
      </c>
      <c r="P34" s="11">
        <f>IF(AND(ISNUMBER(H34),ISNUMBER(I34)),(I34-H34),"")</f>
        <v/>
      </c>
      <c r="Q34" s="11">
        <f>IF(AND(ISNUMBER(J34),ISNUMBER(K34)),(K34-J34),"")</f>
        <v/>
      </c>
      <c r="R34" s="11">
        <f>IF(AND(ISNUMBER(K34),ISNUMBER(L34)),(L34-K34),"")</f>
        <v/>
      </c>
      <c r="S34" s="11">
        <f>IF(AND(ISNUMBER(F34),ISNUMBER(L34)),(L34-F34),"")</f>
        <v/>
      </c>
      <c r="T34" s="11">
        <f>IF(AND(ISNUMBER(D34),ISNUMBER(L34)),(L34-D34),"")</f>
        <v/>
      </c>
    </row>
    <row r="35">
      <c r="A35" s="3" t="inlineStr">
        <is>
          <t>10034</t>
        </is>
      </c>
      <c r="B35" s="9" t="n">
        <v>291.16</v>
      </c>
      <c r="C35" s="3" t="inlineStr">
        <is>
          <t>703</t>
        </is>
      </c>
      <c r="D35" s="10" t="n">
        <v>45664.1130787037</v>
      </c>
      <c r="E35" s="10" t="n">
        <v>45664.1130787037</v>
      </c>
      <c r="F35" s="10" t="n">
        <v>45664.11534722222</v>
      </c>
      <c r="G35" s="10" t="n">
        <v>45664.11534722222</v>
      </c>
      <c r="H35" s="10" t="n">
        <v>45664.118125</v>
      </c>
      <c r="I35" s="10" t="n">
        <v>45664.124375</v>
      </c>
      <c r="J35" s="10" t="n">
        <v>45664.124375</v>
      </c>
      <c r="K35" s="10" t="n">
        <v>45664.12525462963</v>
      </c>
      <c r="L35" s="10" t="n">
        <v>45664.13451388889</v>
      </c>
      <c r="M35" s="11">
        <f>IF(AND(ISNUMBER(D35),ISNUMBER(E35)),(E35-D35),"")</f>
        <v/>
      </c>
      <c r="N35" s="11">
        <f>IF(AND(ISNUMBER(E35),ISNUMBER(F35)),(F35-E35),"")</f>
        <v/>
      </c>
      <c r="O35" s="11">
        <f>IF(AND(ISNUMBER(G35),ISNUMBER(H35)),(H35-G35),"")</f>
        <v/>
      </c>
      <c r="P35" s="11">
        <f>IF(AND(ISNUMBER(H35),ISNUMBER(I35)),(I35-H35),"")</f>
        <v/>
      </c>
      <c r="Q35" s="11">
        <f>IF(AND(ISNUMBER(J35),ISNUMBER(K35)),(K35-J35),"")</f>
        <v/>
      </c>
      <c r="R35" s="11">
        <f>IF(AND(ISNUMBER(K35),ISNUMBER(L35)),(L35-K35),"")</f>
        <v/>
      </c>
      <c r="S35" s="11">
        <f>IF(AND(ISNUMBER(F35),ISNUMBER(L35)),(L35-F35),"")</f>
        <v/>
      </c>
      <c r="T35" s="11">
        <f>IF(AND(ISNUMBER(D35),ISNUMBER(L35)),(L35-D35),"")</f>
        <v/>
      </c>
    </row>
    <row r="36">
      <c r="A36" s="3" t="inlineStr">
        <is>
          <t>10035</t>
        </is>
      </c>
      <c r="B36" s="9" t="n">
        <v>297</v>
      </c>
      <c r="C36" s="3" t="inlineStr">
        <is>
          <t>703</t>
        </is>
      </c>
      <c r="D36" s="10" t="n">
        <v>45664.2709837963</v>
      </c>
      <c r="E36" s="10" t="n">
        <v>45664.2709837963</v>
      </c>
      <c r="F36" s="10" t="n">
        <v>45664.27326388889</v>
      </c>
      <c r="G36" s="10" t="n">
        <v>45664.27326388889</v>
      </c>
      <c r="H36" s="10" t="n">
        <v>45664.27604166666</v>
      </c>
      <c r="I36" s="10" t="n">
        <v>45664.27851851852</v>
      </c>
      <c r="J36" s="10" t="n">
        <v>45664.27851851852</v>
      </c>
      <c r="K36" s="10" t="n">
        <v>45664.27938657408</v>
      </c>
      <c r="L36" s="10" t="n">
        <v>45664.28119212963</v>
      </c>
      <c r="M36" s="11">
        <f>IF(AND(ISNUMBER(D36),ISNUMBER(E36)),(E36-D36),"")</f>
        <v/>
      </c>
      <c r="N36" s="11">
        <f>IF(AND(ISNUMBER(E36),ISNUMBER(F36)),(F36-E36),"")</f>
        <v/>
      </c>
      <c r="O36" s="11">
        <f>IF(AND(ISNUMBER(G36),ISNUMBER(H36)),(H36-G36),"")</f>
        <v/>
      </c>
      <c r="P36" s="11">
        <f>IF(AND(ISNUMBER(H36),ISNUMBER(I36)),(I36-H36),"")</f>
        <v/>
      </c>
      <c r="Q36" s="11">
        <f>IF(AND(ISNUMBER(J36),ISNUMBER(K36)),(K36-J36),"")</f>
        <v/>
      </c>
      <c r="R36" s="11">
        <f>IF(AND(ISNUMBER(K36),ISNUMBER(L36)),(L36-K36),"")</f>
        <v/>
      </c>
      <c r="S36" s="11">
        <f>IF(AND(ISNUMBER(F36),ISNUMBER(L36)),(L36-F36),"")</f>
        <v/>
      </c>
      <c r="T36" s="11">
        <f>IF(AND(ISNUMBER(D36),ISNUMBER(L36)),(L36-D36),"")</f>
        <v/>
      </c>
    </row>
    <row r="37">
      <c r="A37" s="3" t="inlineStr">
        <is>
          <t>10036</t>
        </is>
      </c>
      <c r="B37" s="9" t="n">
        <v>268.52</v>
      </c>
      <c r="C37" s="3" t="inlineStr">
        <is>
          <t>703</t>
        </is>
      </c>
      <c r="D37" s="10" t="n">
        <v>45664.30180555556</v>
      </c>
      <c r="E37" s="10" t="n">
        <v>45664.30180555556</v>
      </c>
      <c r="F37" s="10" t="n">
        <v>45664.30401620371</v>
      </c>
      <c r="G37" s="10" t="n">
        <v>45664.30401620371</v>
      </c>
      <c r="H37" s="10" t="n">
        <v>45664.30679398148</v>
      </c>
      <c r="I37" s="10" t="n">
        <v>45664.31488425926</v>
      </c>
      <c r="J37" s="10" t="n">
        <v>45664.31488425926</v>
      </c>
      <c r="K37" s="10" t="n">
        <v>45664.32237268519</v>
      </c>
      <c r="L37" s="10" t="n">
        <v>45664.33313657407</v>
      </c>
      <c r="M37" s="11">
        <f>IF(AND(ISNUMBER(D37),ISNUMBER(E37)),(E37-D37),"")</f>
        <v/>
      </c>
      <c r="N37" s="11">
        <f>IF(AND(ISNUMBER(E37),ISNUMBER(F37)),(F37-E37),"")</f>
        <v/>
      </c>
      <c r="O37" s="11">
        <f>IF(AND(ISNUMBER(G37),ISNUMBER(H37)),(H37-G37),"")</f>
        <v/>
      </c>
      <c r="P37" s="11">
        <f>IF(AND(ISNUMBER(H37),ISNUMBER(I37)),(I37-H37),"")</f>
        <v/>
      </c>
      <c r="Q37" s="11">
        <f>IF(AND(ISNUMBER(J37),ISNUMBER(K37)),(K37-J37),"")</f>
        <v/>
      </c>
      <c r="R37" s="11">
        <f>IF(AND(ISNUMBER(K37),ISNUMBER(L37)),(L37-K37),"")</f>
        <v/>
      </c>
      <c r="S37" s="11">
        <f>IF(AND(ISNUMBER(F37),ISNUMBER(L37)),(L37-F37),"")</f>
        <v/>
      </c>
      <c r="T37" s="11">
        <f>IF(AND(ISNUMBER(D37),ISNUMBER(L37)),(L37-D37),"")</f>
        <v/>
      </c>
    </row>
    <row r="38">
      <c r="A38" s="3" t="inlineStr">
        <is>
          <t>10037</t>
        </is>
      </c>
      <c r="B38" s="9" t="n">
        <v>396.5600000000001</v>
      </c>
      <c r="C38" s="3" t="inlineStr">
        <is>
          <t>727</t>
        </is>
      </c>
      <c r="D38" s="10" t="n">
        <v>45664.30606481482</v>
      </c>
      <c r="E38" s="10" t="n">
        <v>45664.30606481482</v>
      </c>
      <c r="F38" s="10" t="n">
        <v>45664.30813657407</v>
      </c>
      <c r="G38" s="10" t="n">
        <v>45664.30813657407</v>
      </c>
      <c r="H38" s="10" t="n">
        <v>45664.31091435185</v>
      </c>
      <c r="I38" s="10" t="n">
        <v>45664.31421296296</v>
      </c>
      <c r="J38" s="10" t="n">
        <v>45664.31421296296</v>
      </c>
      <c r="K38" s="10" t="n">
        <v>45664.31594907407</v>
      </c>
      <c r="L38" s="10" t="n">
        <v>45664.31876157408</v>
      </c>
      <c r="M38" s="11">
        <f>IF(AND(ISNUMBER(D38),ISNUMBER(E38)),(E38-D38),"")</f>
        <v/>
      </c>
      <c r="N38" s="11">
        <f>IF(AND(ISNUMBER(E38),ISNUMBER(F38)),(F38-E38),"")</f>
        <v/>
      </c>
      <c r="O38" s="11">
        <f>IF(AND(ISNUMBER(G38),ISNUMBER(H38)),(H38-G38),"")</f>
        <v/>
      </c>
      <c r="P38" s="11">
        <f>IF(AND(ISNUMBER(H38),ISNUMBER(I38)),(I38-H38),"")</f>
        <v/>
      </c>
      <c r="Q38" s="11">
        <f>IF(AND(ISNUMBER(J38),ISNUMBER(K38)),(K38-J38),"")</f>
        <v/>
      </c>
      <c r="R38" s="11">
        <f>IF(AND(ISNUMBER(K38),ISNUMBER(L38)),(L38-K38),"")</f>
        <v/>
      </c>
      <c r="S38" s="11">
        <f>IF(AND(ISNUMBER(F38),ISNUMBER(L38)),(L38-F38),"")</f>
        <v/>
      </c>
      <c r="T38" s="11">
        <f>IF(AND(ISNUMBER(D38),ISNUMBER(L38)),(L38-D38),"")</f>
        <v/>
      </c>
    </row>
    <row r="39">
      <c r="A39" s="3" t="inlineStr">
        <is>
          <t>10038</t>
        </is>
      </c>
      <c r="B39" s="9" t="n">
        <v>189.86</v>
      </c>
      <c r="C39" s="3" t="inlineStr">
        <is>
          <t>725</t>
        </is>
      </c>
      <c r="D39" s="10" t="n">
        <v>45664.30878472222</v>
      </c>
      <c r="E39" s="10" t="n">
        <v>45664.30878472222</v>
      </c>
      <c r="F39" s="10" t="n">
        <v>45664.31020833334</v>
      </c>
      <c r="G39" s="10" t="n">
        <v>45664.31020833334</v>
      </c>
      <c r="H39" s="10" t="n">
        <v>45664.31298611111</v>
      </c>
      <c r="I39" s="10" t="n">
        <v>45664.31446759259</v>
      </c>
      <c r="J39" s="10" t="n">
        <v>45664.31446759259</v>
      </c>
      <c r="K39" s="10" t="n">
        <v>45664.31962962963</v>
      </c>
      <c r="L39" s="10" t="n">
        <v>45664.32150462963</v>
      </c>
      <c r="M39" s="11">
        <f>IF(AND(ISNUMBER(D39),ISNUMBER(E39)),(E39-D39),"")</f>
        <v/>
      </c>
      <c r="N39" s="11">
        <f>IF(AND(ISNUMBER(E39),ISNUMBER(F39)),(F39-E39),"")</f>
        <v/>
      </c>
      <c r="O39" s="11">
        <f>IF(AND(ISNUMBER(G39),ISNUMBER(H39)),(H39-G39),"")</f>
        <v/>
      </c>
      <c r="P39" s="11">
        <f>IF(AND(ISNUMBER(H39),ISNUMBER(I39)),(I39-H39),"")</f>
        <v/>
      </c>
      <c r="Q39" s="11">
        <f>IF(AND(ISNUMBER(J39),ISNUMBER(K39)),(K39-J39),"")</f>
        <v/>
      </c>
      <c r="R39" s="11">
        <f>IF(AND(ISNUMBER(K39),ISNUMBER(L39)),(L39-K39),"")</f>
        <v/>
      </c>
      <c r="S39" s="11">
        <f>IF(AND(ISNUMBER(F39),ISNUMBER(L39)),(L39-F39),"")</f>
        <v/>
      </c>
      <c r="T39" s="11">
        <f>IF(AND(ISNUMBER(D39),ISNUMBER(L39)),(L39-D39),"")</f>
        <v/>
      </c>
    </row>
    <row r="40">
      <c r="A40" s="3" t="inlineStr">
        <is>
          <t>10039</t>
        </is>
      </c>
      <c r="B40" s="9" t="n">
        <v>393.9</v>
      </c>
      <c r="C40" s="3" t="inlineStr">
        <is>
          <t>703</t>
        </is>
      </c>
      <c r="D40" s="10" t="n">
        <v>45664.34462962963</v>
      </c>
      <c r="E40" s="10" t="n">
        <v>45664.34462962963</v>
      </c>
      <c r="F40" s="10" t="n">
        <v>45664.34712962963</v>
      </c>
      <c r="G40" s="10" t="n">
        <v>45664.34712962963</v>
      </c>
      <c r="H40" s="10" t="n">
        <v>45664.34990740741</v>
      </c>
      <c r="I40" s="10" t="n">
        <v>45664.35447916666</v>
      </c>
      <c r="J40" s="10" t="n">
        <v>45664.35447916666</v>
      </c>
      <c r="K40" s="10" t="n">
        <v>45664.35524305556</v>
      </c>
      <c r="L40" s="10" t="n">
        <v>45664.35927083333</v>
      </c>
      <c r="M40" s="11">
        <f>IF(AND(ISNUMBER(D40),ISNUMBER(E40)),(E40-D40),"")</f>
        <v/>
      </c>
      <c r="N40" s="11">
        <f>IF(AND(ISNUMBER(E40),ISNUMBER(F40)),(F40-E40),"")</f>
        <v/>
      </c>
      <c r="O40" s="11">
        <f>IF(AND(ISNUMBER(G40),ISNUMBER(H40)),(H40-G40),"")</f>
        <v/>
      </c>
      <c r="P40" s="11">
        <f>IF(AND(ISNUMBER(H40),ISNUMBER(I40)),(I40-H40),"")</f>
        <v/>
      </c>
      <c r="Q40" s="11">
        <f>IF(AND(ISNUMBER(J40),ISNUMBER(K40)),(K40-J40),"")</f>
        <v/>
      </c>
      <c r="R40" s="11">
        <f>IF(AND(ISNUMBER(K40),ISNUMBER(L40)),(L40-K40),"")</f>
        <v/>
      </c>
      <c r="S40" s="11">
        <f>IF(AND(ISNUMBER(F40),ISNUMBER(L40)),(L40-F40),"")</f>
        <v/>
      </c>
      <c r="T40" s="11">
        <f>IF(AND(ISNUMBER(D40),ISNUMBER(L40)),(L40-D40),"")</f>
        <v/>
      </c>
    </row>
    <row r="41">
      <c r="A41" s="3" t="inlineStr">
        <is>
          <t>10040</t>
        </is>
      </c>
      <c r="B41" s="9" t="n">
        <v>296.98</v>
      </c>
      <c r="C41" s="3" t="inlineStr">
        <is>
          <t>727</t>
        </is>
      </c>
      <c r="D41" s="10" t="n">
        <v>45664.35887731481</v>
      </c>
      <c r="E41" s="10" t="n">
        <v>45664.35887731481</v>
      </c>
      <c r="F41" s="10" t="n">
        <v>45664.36071759259</v>
      </c>
      <c r="G41" s="10" t="n">
        <v>45664.36071759259</v>
      </c>
      <c r="H41" s="10" t="n">
        <v>45664.36349537037</v>
      </c>
      <c r="I41" s="10" t="n">
        <v>45664.37247685185</v>
      </c>
      <c r="J41" s="10" t="n">
        <v>45664.37247685185</v>
      </c>
      <c r="K41" s="10" t="n">
        <v>45664.37334490741</v>
      </c>
      <c r="L41" s="10" t="n">
        <v>45664.38528935185</v>
      </c>
      <c r="M41" s="11">
        <f>IF(AND(ISNUMBER(D41),ISNUMBER(E41)),(E41-D41),"")</f>
        <v/>
      </c>
      <c r="N41" s="11">
        <f>IF(AND(ISNUMBER(E41),ISNUMBER(F41)),(F41-E41),"")</f>
        <v/>
      </c>
      <c r="O41" s="11">
        <f>IF(AND(ISNUMBER(G41),ISNUMBER(H41)),(H41-G41),"")</f>
        <v/>
      </c>
      <c r="P41" s="11">
        <f>IF(AND(ISNUMBER(H41),ISNUMBER(I41)),(I41-H41),"")</f>
        <v/>
      </c>
      <c r="Q41" s="11">
        <f>IF(AND(ISNUMBER(J41),ISNUMBER(K41)),(K41-J41),"")</f>
        <v/>
      </c>
      <c r="R41" s="11">
        <f>IF(AND(ISNUMBER(K41),ISNUMBER(L41)),(L41-K41),"")</f>
        <v/>
      </c>
      <c r="S41" s="11">
        <f>IF(AND(ISNUMBER(F41),ISNUMBER(L41)),(L41-F41),"")</f>
        <v/>
      </c>
      <c r="T41" s="11">
        <f>IF(AND(ISNUMBER(D41),ISNUMBER(L41)),(L41-D41),"")</f>
        <v/>
      </c>
    </row>
    <row r="42">
      <c r="A42" s="3" t="inlineStr">
        <is>
          <t>10041</t>
        </is>
      </c>
      <c r="B42" s="9" t="n">
        <v>448.64</v>
      </c>
      <c r="C42" s="3" t="inlineStr">
        <is>
          <t>703</t>
        </is>
      </c>
      <c r="D42" s="10" t="n">
        <v>45664.43878472222</v>
      </c>
      <c r="E42" s="10" t="n">
        <v>45664.43878472222</v>
      </c>
      <c r="F42" s="10" t="n">
        <v>45664.44141203703</v>
      </c>
      <c r="G42" s="10" t="n">
        <v>45664.44141203703</v>
      </c>
      <c r="H42" s="10" t="n">
        <v>45664.44418981481</v>
      </c>
      <c r="I42" s="10" t="n">
        <v>45664.45038194444</v>
      </c>
      <c r="J42" s="10" t="n">
        <v>45664.45038194444</v>
      </c>
      <c r="K42" s="10" t="n">
        <v>45664.45114583334</v>
      </c>
      <c r="L42" s="10" t="n">
        <v>45664.45717592593</v>
      </c>
      <c r="M42" s="11">
        <f>IF(AND(ISNUMBER(D42),ISNUMBER(E42)),(E42-D42),"")</f>
        <v/>
      </c>
      <c r="N42" s="11">
        <f>IF(AND(ISNUMBER(E42),ISNUMBER(F42)),(F42-E42),"")</f>
        <v/>
      </c>
      <c r="O42" s="11">
        <f>IF(AND(ISNUMBER(G42),ISNUMBER(H42)),(H42-G42),"")</f>
        <v/>
      </c>
      <c r="P42" s="11">
        <f>IF(AND(ISNUMBER(H42),ISNUMBER(I42)),(I42-H42),"")</f>
        <v/>
      </c>
      <c r="Q42" s="11">
        <f>IF(AND(ISNUMBER(J42),ISNUMBER(K42)),(K42-J42),"")</f>
        <v/>
      </c>
      <c r="R42" s="11">
        <f>IF(AND(ISNUMBER(K42),ISNUMBER(L42)),(L42-K42),"")</f>
        <v/>
      </c>
      <c r="S42" s="11">
        <f>IF(AND(ISNUMBER(F42),ISNUMBER(L42)),(L42-F42),"")</f>
        <v/>
      </c>
      <c r="T42" s="11">
        <f>IF(AND(ISNUMBER(D42),ISNUMBER(L42)),(L42-D42),"")</f>
        <v/>
      </c>
    </row>
    <row r="43">
      <c r="A43" s="3" t="inlineStr">
        <is>
          <t>10042</t>
        </is>
      </c>
      <c r="B43" s="9" t="n">
        <v>192.54</v>
      </c>
      <c r="C43" s="3" t="inlineStr">
        <is>
          <t>703</t>
        </is>
      </c>
      <c r="D43" s="10" t="n">
        <v>45664.54135416666</v>
      </c>
      <c r="E43" s="10" t="n">
        <v>45664.54135416666</v>
      </c>
      <c r="F43" s="10" t="n">
        <v>45664.5433912037</v>
      </c>
      <c r="G43" s="10" t="n">
        <v>45664.5433912037</v>
      </c>
      <c r="H43" s="10" t="n">
        <v>45664.54616898148</v>
      </c>
      <c r="I43" s="10" t="n">
        <v>45664.54758101852</v>
      </c>
      <c r="J43" s="10" t="n">
        <v>45664.54758101852</v>
      </c>
      <c r="K43" s="10" t="n">
        <v>45664.54844907407</v>
      </c>
      <c r="L43" s="10" t="n">
        <v>45664.55087962963</v>
      </c>
      <c r="M43" s="11">
        <f>IF(AND(ISNUMBER(D43),ISNUMBER(E43)),(E43-D43),"")</f>
        <v/>
      </c>
      <c r="N43" s="11">
        <f>IF(AND(ISNUMBER(E43),ISNUMBER(F43)),(F43-E43),"")</f>
        <v/>
      </c>
      <c r="O43" s="11">
        <f>IF(AND(ISNUMBER(G43),ISNUMBER(H43)),(H43-G43),"")</f>
        <v/>
      </c>
      <c r="P43" s="11">
        <f>IF(AND(ISNUMBER(H43),ISNUMBER(I43)),(I43-H43),"")</f>
        <v/>
      </c>
      <c r="Q43" s="11">
        <f>IF(AND(ISNUMBER(J43),ISNUMBER(K43)),(K43-J43),"")</f>
        <v/>
      </c>
      <c r="R43" s="11">
        <f>IF(AND(ISNUMBER(K43),ISNUMBER(L43)),(L43-K43),"")</f>
        <v/>
      </c>
      <c r="S43" s="11">
        <f>IF(AND(ISNUMBER(F43),ISNUMBER(L43)),(L43-F43),"")</f>
        <v/>
      </c>
      <c r="T43" s="11">
        <f>IF(AND(ISNUMBER(D43),ISNUMBER(L43)),(L43-D43),"")</f>
        <v/>
      </c>
    </row>
    <row r="44">
      <c r="A44" s="3" t="inlineStr">
        <is>
          <t>10043</t>
        </is>
      </c>
      <c r="B44" s="9" t="n">
        <v>398.0400000000001</v>
      </c>
      <c r="C44" s="3" t="inlineStr">
        <is>
          <t>703</t>
        </is>
      </c>
      <c r="D44" s="10" t="n">
        <v>45664.59305555555</v>
      </c>
      <c r="E44" s="10" t="n">
        <v>45664.59305555555</v>
      </c>
      <c r="F44" s="10" t="n">
        <v>45664.59556712963</v>
      </c>
      <c r="G44" s="10" t="n">
        <v>45664.59556712963</v>
      </c>
      <c r="H44" s="10" t="n">
        <v>45664.5983449074</v>
      </c>
      <c r="I44" s="10" t="n">
        <v>45664.60180555555</v>
      </c>
      <c r="J44" s="10" t="n">
        <v>45664.60180555555</v>
      </c>
      <c r="K44" s="10" t="n">
        <v>45664.60255787037</v>
      </c>
      <c r="L44" s="10" t="n">
        <v>45664.60460648148</v>
      </c>
      <c r="M44" s="11">
        <f>IF(AND(ISNUMBER(D44),ISNUMBER(E44)),(E44-D44),"")</f>
        <v/>
      </c>
      <c r="N44" s="11">
        <f>IF(AND(ISNUMBER(E44),ISNUMBER(F44)),(F44-E44),"")</f>
        <v/>
      </c>
      <c r="O44" s="11">
        <f>IF(AND(ISNUMBER(G44),ISNUMBER(H44)),(H44-G44),"")</f>
        <v/>
      </c>
      <c r="P44" s="11">
        <f>IF(AND(ISNUMBER(H44),ISNUMBER(I44)),(I44-H44),"")</f>
        <v/>
      </c>
      <c r="Q44" s="11">
        <f>IF(AND(ISNUMBER(J44),ISNUMBER(K44)),(K44-J44),"")</f>
        <v/>
      </c>
      <c r="R44" s="11">
        <f>IF(AND(ISNUMBER(K44),ISNUMBER(L44)),(L44-K44),"")</f>
        <v/>
      </c>
      <c r="S44" s="11">
        <f>IF(AND(ISNUMBER(F44),ISNUMBER(L44)),(L44-F44),"")</f>
        <v/>
      </c>
      <c r="T44" s="11">
        <f>IF(AND(ISNUMBER(D44),ISNUMBER(L44)),(L44-D44),"")</f>
        <v/>
      </c>
    </row>
    <row r="45">
      <c r="A45" s="3" t="inlineStr">
        <is>
          <t>10044</t>
        </is>
      </c>
      <c r="B45" s="9" t="n">
        <v>321.1</v>
      </c>
      <c r="C45" s="3" t="inlineStr">
        <is>
          <t>703</t>
        </is>
      </c>
      <c r="D45" s="10" t="n">
        <v>45664.62402777778</v>
      </c>
      <c r="E45" s="10" t="n">
        <v>45664.62402777778</v>
      </c>
      <c r="F45" s="10" t="n">
        <v>45664.62636574074</v>
      </c>
      <c r="G45" s="10" t="n">
        <v>45664.62636574074</v>
      </c>
      <c r="H45" s="10" t="n">
        <v>45664.62914351852</v>
      </c>
      <c r="I45" s="10" t="n">
        <v>45664.64252314815</v>
      </c>
      <c r="J45" s="10" t="n">
        <v>45664.64252314815</v>
      </c>
      <c r="K45" s="10" t="n">
        <v>45664.6433912037</v>
      </c>
      <c r="L45" s="10" t="n">
        <v>45664.66076388889</v>
      </c>
      <c r="M45" s="11">
        <f>IF(AND(ISNUMBER(D45),ISNUMBER(E45)),(E45-D45),"")</f>
        <v/>
      </c>
      <c r="N45" s="11">
        <f>IF(AND(ISNUMBER(E45),ISNUMBER(F45)),(F45-E45),"")</f>
        <v/>
      </c>
      <c r="O45" s="11">
        <f>IF(AND(ISNUMBER(G45),ISNUMBER(H45)),(H45-G45),"")</f>
        <v/>
      </c>
      <c r="P45" s="11">
        <f>IF(AND(ISNUMBER(H45),ISNUMBER(I45)),(I45-H45),"")</f>
        <v/>
      </c>
      <c r="Q45" s="11">
        <f>IF(AND(ISNUMBER(J45),ISNUMBER(K45)),(K45-J45),"")</f>
        <v/>
      </c>
      <c r="R45" s="11">
        <f>IF(AND(ISNUMBER(K45),ISNUMBER(L45)),(L45-K45),"")</f>
        <v/>
      </c>
      <c r="S45" s="11">
        <f>IF(AND(ISNUMBER(F45),ISNUMBER(L45)),(L45-F45),"")</f>
        <v/>
      </c>
      <c r="T45" s="11">
        <f>IF(AND(ISNUMBER(D45),ISNUMBER(L45)),(L45-D45),"")</f>
        <v/>
      </c>
    </row>
    <row r="46">
      <c r="A46" s="3" t="inlineStr">
        <is>
          <t>10045</t>
        </is>
      </c>
      <c r="B46" s="9" t="n">
        <v>393.5000000000001</v>
      </c>
      <c r="C46" s="3" t="inlineStr">
        <is>
          <t>727</t>
        </is>
      </c>
      <c r="D46" s="10" t="n">
        <v>45664.63990740741</v>
      </c>
      <c r="E46" s="10" t="n">
        <v>45664.63990740741</v>
      </c>
      <c r="F46" s="10" t="n">
        <v>45664.64196759259</v>
      </c>
      <c r="G46" s="10" t="n">
        <v>45664.64196759259</v>
      </c>
      <c r="H46" s="10" t="n">
        <v>45664.64474537037</v>
      </c>
      <c r="I46" s="10" t="n">
        <v>45664.64780092592</v>
      </c>
      <c r="J46" s="10" t="n">
        <v>45664.64780092592</v>
      </c>
      <c r="K46" s="10" t="n">
        <v>45664.66163194444</v>
      </c>
      <c r="L46" s="10" t="n">
        <v>45664.66443287037</v>
      </c>
      <c r="M46" s="11">
        <f>IF(AND(ISNUMBER(D46),ISNUMBER(E46)),(E46-D46),"")</f>
        <v/>
      </c>
      <c r="N46" s="11">
        <f>IF(AND(ISNUMBER(E46),ISNUMBER(F46)),(F46-E46),"")</f>
        <v/>
      </c>
      <c r="O46" s="11">
        <f>IF(AND(ISNUMBER(G46),ISNUMBER(H46)),(H46-G46),"")</f>
        <v/>
      </c>
      <c r="P46" s="11">
        <f>IF(AND(ISNUMBER(H46),ISNUMBER(I46)),(I46-H46),"")</f>
        <v/>
      </c>
      <c r="Q46" s="11">
        <f>IF(AND(ISNUMBER(J46),ISNUMBER(K46)),(K46-J46),"")</f>
        <v/>
      </c>
      <c r="R46" s="11">
        <f>IF(AND(ISNUMBER(K46),ISNUMBER(L46)),(L46-K46),"")</f>
        <v/>
      </c>
      <c r="S46" s="11">
        <f>IF(AND(ISNUMBER(F46),ISNUMBER(L46)),(L46-F46),"")</f>
        <v/>
      </c>
      <c r="T46" s="11">
        <f>IF(AND(ISNUMBER(D46),ISNUMBER(L46)),(L46-D46),"")</f>
        <v/>
      </c>
    </row>
    <row r="47">
      <c r="A47" s="3" t="inlineStr">
        <is>
          <t>10046</t>
        </is>
      </c>
      <c r="B47" s="9" t="n">
        <v>110.3</v>
      </c>
      <c r="C47" s="3" t="inlineStr">
        <is>
          <t>703</t>
        </is>
      </c>
      <c r="D47" s="10" t="n">
        <v>45664.66711805556</v>
      </c>
      <c r="E47" s="10" t="n">
        <v>45664.66711805556</v>
      </c>
      <c r="F47" s="10" t="n">
        <v>45664.66895833334</v>
      </c>
      <c r="G47" s="10" t="n">
        <v>45664.66895833334</v>
      </c>
      <c r="H47" s="10" t="n">
        <v>45664.67173611111</v>
      </c>
      <c r="I47" s="10" t="n">
        <v>45664.67378472222</v>
      </c>
      <c r="J47" s="10" t="n">
        <v>45664.67378472222</v>
      </c>
      <c r="K47" s="10" t="n">
        <v>45664.67453703703</v>
      </c>
      <c r="L47" s="10" t="n">
        <v>45664.67825231481</v>
      </c>
      <c r="M47" s="11">
        <f>IF(AND(ISNUMBER(D47),ISNUMBER(E47)),(E47-D47),"")</f>
        <v/>
      </c>
      <c r="N47" s="11">
        <f>IF(AND(ISNUMBER(E47),ISNUMBER(F47)),(F47-E47),"")</f>
        <v/>
      </c>
      <c r="O47" s="11">
        <f>IF(AND(ISNUMBER(G47),ISNUMBER(H47)),(H47-G47),"")</f>
        <v/>
      </c>
      <c r="P47" s="11">
        <f>IF(AND(ISNUMBER(H47),ISNUMBER(I47)),(I47-H47),"")</f>
        <v/>
      </c>
      <c r="Q47" s="11">
        <f>IF(AND(ISNUMBER(J47),ISNUMBER(K47)),(K47-J47),"")</f>
        <v/>
      </c>
      <c r="R47" s="11">
        <f>IF(AND(ISNUMBER(K47),ISNUMBER(L47)),(L47-K47),"")</f>
        <v/>
      </c>
      <c r="S47" s="11">
        <f>IF(AND(ISNUMBER(F47),ISNUMBER(L47)),(L47-F47),"")</f>
        <v/>
      </c>
      <c r="T47" s="11">
        <f>IF(AND(ISNUMBER(D47),ISNUMBER(L47)),(L47-D47),"")</f>
        <v/>
      </c>
    </row>
    <row r="48">
      <c r="A48" s="3" t="inlineStr">
        <is>
          <t>10047</t>
        </is>
      </c>
      <c r="B48" s="9" t="n">
        <v>424.52</v>
      </c>
      <c r="C48" s="3" t="inlineStr">
        <is>
          <t>703</t>
        </is>
      </c>
      <c r="D48" s="10" t="n">
        <v>45664.72255787037</v>
      </c>
      <c r="E48" s="10" t="n">
        <v>45664.72255787037</v>
      </c>
      <c r="F48" s="10" t="n">
        <v>45664.72512731481</v>
      </c>
      <c r="G48" s="10" t="n">
        <v>45664.72512731481</v>
      </c>
      <c r="H48" s="10" t="n">
        <v>45664.72790509259</v>
      </c>
      <c r="I48" s="10" t="n">
        <v>45664.74222222222</v>
      </c>
      <c r="J48" s="10" t="n">
        <v>45664.74222222222</v>
      </c>
      <c r="K48" s="10" t="n">
        <v>45664.74309027778</v>
      </c>
      <c r="L48" s="10" t="n">
        <v>45664.76478009259</v>
      </c>
      <c r="M48" s="11">
        <f>IF(AND(ISNUMBER(D48),ISNUMBER(E48)),(E48-D48),"")</f>
        <v/>
      </c>
      <c r="N48" s="11">
        <f>IF(AND(ISNUMBER(E48),ISNUMBER(F48)),(F48-E48),"")</f>
        <v/>
      </c>
      <c r="O48" s="11">
        <f>IF(AND(ISNUMBER(G48),ISNUMBER(H48)),(H48-G48),"")</f>
        <v/>
      </c>
      <c r="P48" s="11">
        <f>IF(AND(ISNUMBER(H48),ISNUMBER(I48)),(I48-H48),"")</f>
        <v/>
      </c>
      <c r="Q48" s="11">
        <f>IF(AND(ISNUMBER(J48),ISNUMBER(K48)),(K48-J48),"")</f>
        <v/>
      </c>
      <c r="R48" s="11">
        <f>IF(AND(ISNUMBER(K48),ISNUMBER(L48)),(L48-K48),"")</f>
        <v/>
      </c>
      <c r="S48" s="11">
        <f>IF(AND(ISNUMBER(F48),ISNUMBER(L48)),(L48-F48),"")</f>
        <v/>
      </c>
      <c r="T48" s="11">
        <f>IF(AND(ISNUMBER(D48),ISNUMBER(L48)),(L48-D48),"")</f>
        <v/>
      </c>
    </row>
    <row r="49">
      <c r="A49" s="3" t="inlineStr">
        <is>
          <t>10048</t>
        </is>
      </c>
      <c r="B49" s="9" t="n">
        <v>211.98</v>
      </c>
      <c r="C49" s="3" t="inlineStr">
        <is>
          <t>727</t>
        </is>
      </c>
      <c r="D49" s="10" t="n">
        <v>45664.75287037037</v>
      </c>
      <c r="E49" s="10" t="n">
        <v>45664.75287037037</v>
      </c>
      <c r="F49" s="10" t="n">
        <v>45664.75451388889</v>
      </c>
      <c r="G49" s="10" t="n">
        <v>45664.75451388889</v>
      </c>
      <c r="H49" s="10" t="n">
        <v>45664.75729166667</v>
      </c>
      <c r="I49" s="10" t="n">
        <v>45664.75881944445</v>
      </c>
      <c r="J49" s="10" t="n">
        <v>45664.75881944445</v>
      </c>
      <c r="K49" s="10" t="n">
        <v>45664.76554398148</v>
      </c>
      <c r="L49" s="10" t="n">
        <v>45664.76758101852</v>
      </c>
      <c r="M49" s="11">
        <f>IF(AND(ISNUMBER(D49),ISNUMBER(E49)),(E49-D49),"")</f>
        <v/>
      </c>
      <c r="N49" s="11">
        <f>IF(AND(ISNUMBER(E49),ISNUMBER(F49)),(F49-E49),"")</f>
        <v/>
      </c>
      <c r="O49" s="11">
        <f>IF(AND(ISNUMBER(G49),ISNUMBER(H49)),(H49-G49),"")</f>
        <v/>
      </c>
      <c r="P49" s="11">
        <f>IF(AND(ISNUMBER(H49),ISNUMBER(I49)),(I49-H49),"")</f>
        <v/>
      </c>
      <c r="Q49" s="11">
        <f>IF(AND(ISNUMBER(J49),ISNUMBER(K49)),(K49-J49),"")</f>
        <v/>
      </c>
      <c r="R49" s="11">
        <f>IF(AND(ISNUMBER(K49),ISNUMBER(L49)),(L49-K49),"")</f>
        <v/>
      </c>
      <c r="S49" s="11">
        <f>IF(AND(ISNUMBER(F49),ISNUMBER(L49)),(L49-F49),"")</f>
        <v/>
      </c>
      <c r="T49" s="11">
        <f>IF(AND(ISNUMBER(D49),ISNUMBER(L49)),(L49-D49),"")</f>
        <v/>
      </c>
    </row>
    <row r="50">
      <c r="A50" s="3" t="inlineStr">
        <is>
          <t>10049</t>
        </is>
      </c>
      <c r="B50" s="9" t="n">
        <v>389.0600000000001</v>
      </c>
      <c r="C50" s="3" t="inlineStr">
        <is>
          <t>703</t>
        </is>
      </c>
      <c r="D50" s="10" t="n">
        <v>45664.87525462963</v>
      </c>
      <c r="E50" s="10" t="n">
        <v>45664.87525462963</v>
      </c>
      <c r="F50" s="10" t="n">
        <v>45664.87774305556</v>
      </c>
      <c r="G50" s="10" t="n">
        <v>45664.87774305556</v>
      </c>
      <c r="H50" s="10" t="n">
        <v>45664.88052083334</v>
      </c>
      <c r="I50" s="10" t="n">
        <v>45664.88364583333</v>
      </c>
      <c r="J50" s="10" t="n">
        <v>45664.88364583333</v>
      </c>
      <c r="K50" s="10" t="n">
        <v>45664.88443287037</v>
      </c>
      <c r="L50" s="10" t="n">
        <v>45664.88657407407</v>
      </c>
      <c r="M50" s="11">
        <f>IF(AND(ISNUMBER(D50),ISNUMBER(E50)),(E50-D50),"")</f>
        <v/>
      </c>
      <c r="N50" s="11">
        <f>IF(AND(ISNUMBER(E50),ISNUMBER(F50)),(F50-E50),"")</f>
        <v/>
      </c>
      <c r="O50" s="11">
        <f>IF(AND(ISNUMBER(G50),ISNUMBER(H50)),(H50-G50),"")</f>
        <v/>
      </c>
      <c r="P50" s="11">
        <f>IF(AND(ISNUMBER(H50),ISNUMBER(I50)),(I50-H50),"")</f>
        <v/>
      </c>
      <c r="Q50" s="11">
        <f>IF(AND(ISNUMBER(J50),ISNUMBER(K50)),(K50-J50),"")</f>
        <v/>
      </c>
      <c r="R50" s="11">
        <f>IF(AND(ISNUMBER(K50),ISNUMBER(L50)),(L50-K50),"")</f>
        <v/>
      </c>
      <c r="S50" s="11">
        <f>IF(AND(ISNUMBER(F50),ISNUMBER(L50)),(L50-F50),"")</f>
        <v/>
      </c>
      <c r="T50" s="11">
        <f>IF(AND(ISNUMBER(D50),ISNUMBER(L50)),(L50-D50),"")</f>
        <v/>
      </c>
    </row>
    <row r="51">
      <c r="A51" s="3" t="inlineStr">
        <is>
          <t>10050</t>
        </is>
      </c>
      <c r="B51" s="9" t="n">
        <v>325.22</v>
      </c>
      <c r="C51" s="3" t="inlineStr">
        <is>
          <t>703</t>
        </is>
      </c>
      <c r="D51" s="10" t="n">
        <v>45665.11354166667</v>
      </c>
      <c r="E51" s="10" t="n">
        <v>45665.11354166667</v>
      </c>
      <c r="F51" s="10" t="n">
        <v>45665.11587962963</v>
      </c>
      <c r="G51" s="10" t="n">
        <v>45665.11587962963</v>
      </c>
      <c r="H51" s="10" t="n">
        <v>45665.11865740741</v>
      </c>
      <c r="I51" s="10" t="n">
        <v>45665.12614583333</v>
      </c>
      <c r="J51" s="10" t="n">
        <v>45665.12614583333</v>
      </c>
      <c r="K51" s="10" t="n">
        <v>45665.12701388889</v>
      </c>
      <c r="L51" s="10" t="n">
        <v>45665.1378125</v>
      </c>
      <c r="M51" s="11">
        <f>IF(AND(ISNUMBER(D51),ISNUMBER(E51)),(E51-D51),"")</f>
        <v/>
      </c>
      <c r="N51" s="11">
        <f>IF(AND(ISNUMBER(E51),ISNUMBER(F51)),(F51-E51),"")</f>
        <v/>
      </c>
      <c r="O51" s="11">
        <f>IF(AND(ISNUMBER(G51),ISNUMBER(H51)),(H51-G51),"")</f>
        <v/>
      </c>
      <c r="P51" s="11">
        <f>IF(AND(ISNUMBER(H51),ISNUMBER(I51)),(I51-H51),"")</f>
        <v/>
      </c>
      <c r="Q51" s="11">
        <f>IF(AND(ISNUMBER(J51),ISNUMBER(K51)),(K51-J51),"")</f>
        <v/>
      </c>
      <c r="R51" s="11">
        <f>IF(AND(ISNUMBER(K51),ISNUMBER(L51)),(L51-K51),"")</f>
        <v/>
      </c>
      <c r="S51" s="11">
        <f>IF(AND(ISNUMBER(F51),ISNUMBER(L51)),(L51-F51),"")</f>
        <v/>
      </c>
      <c r="T51" s="11">
        <f>IF(AND(ISNUMBER(D51),ISNUMBER(L51)),(L51-D51),"")</f>
        <v/>
      </c>
    </row>
    <row r="52">
      <c r="A52" s="3" t="inlineStr">
        <is>
          <t>10051</t>
        </is>
      </c>
      <c r="B52" s="9" t="n">
        <v>514.3</v>
      </c>
      <c r="C52" s="3" t="inlineStr">
        <is>
          <t>703</t>
        </is>
      </c>
      <c r="D52" s="10" t="n">
        <v>45665.15678240741</v>
      </c>
      <c r="E52" s="10" t="n">
        <v>45665.15678240741</v>
      </c>
      <c r="F52" s="10" t="n">
        <v>45665.15956018519</v>
      </c>
      <c r="G52" s="10" t="n">
        <v>45665.15956018519</v>
      </c>
      <c r="H52" s="10" t="n">
        <v>45665.16233796296</v>
      </c>
      <c r="I52" s="10" t="n">
        <v>45665.16666666666</v>
      </c>
      <c r="J52" s="10" t="n">
        <v>45665.16666666666</v>
      </c>
      <c r="K52" s="10" t="n">
        <v>45665.16743055556</v>
      </c>
      <c r="L52" s="10" t="n">
        <v>45665.16996527778</v>
      </c>
      <c r="M52" s="11">
        <f>IF(AND(ISNUMBER(D52),ISNUMBER(E52)),(E52-D52),"")</f>
        <v/>
      </c>
      <c r="N52" s="11">
        <f>IF(AND(ISNUMBER(E52),ISNUMBER(F52)),(F52-E52),"")</f>
        <v/>
      </c>
      <c r="O52" s="11">
        <f>IF(AND(ISNUMBER(G52),ISNUMBER(H52)),(H52-G52),"")</f>
        <v/>
      </c>
      <c r="P52" s="11">
        <f>IF(AND(ISNUMBER(H52),ISNUMBER(I52)),(I52-H52),"")</f>
        <v/>
      </c>
      <c r="Q52" s="11">
        <f>IF(AND(ISNUMBER(J52),ISNUMBER(K52)),(K52-J52),"")</f>
        <v/>
      </c>
      <c r="R52" s="11">
        <f>IF(AND(ISNUMBER(K52),ISNUMBER(L52)),(L52-K52),"")</f>
        <v/>
      </c>
      <c r="S52" s="11">
        <f>IF(AND(ISNUMBER(F52),ISNUMBER(L52)),(L52-F52),"")</f>
        <v/>
      </c>
      <c r="T52" s="11">
        <f>IF(AND(ISNUMBER(D52),ISNUMBER(L52)),(L52-D52),"")</f>
        <v/>
      </c>
    </row>
    <row r="53">
      <c r="A53" s="3" t="inlineStr">
        <is>
          <t>10052</t>
        </is>
      </c>
      <c r="B53" s="9" t="n">
        <v>297</v>
      </c>
      <c r="C53" s="3" t="inlineStr">
        <is>
          <t>703</t>
        </is>
      </c>
      <c r="D53" s="10" t="n">
        <v>45665.25085648148</v>
      </c>
      <c r="E53" s="10" t="n">
        <v>45665.25085648148</v>
      </c>
      <c r="F53" s="10" t="n">
        <v>45665.25313657407</v>
      </c>
      <c r="G53" s="10" t="n">
        <v>45665.25313657407</v>
      </c>
      <c r="H53" s="10" t="n">
        <v>45665.25591435185</v>
      </c>
      <c r="I53" s="10" t="n">
        <v>45665.25805555555</v>
      </c>
      <c r="J53" s="10" t="n">
        <v>45665.25805555555</v>
      </c>
      <c r="K53" s="10" t="n">
        <v>45665.25892361111</v>
      </c>
      <c r="L53" s="10" t="n">
        <v>45665.26084490741</v>
      </c>
      <c r="M53" s="11">
        <f>IF(AND(ISNUMBER(D53),ISNUMBER(E53)),(E53-D53),"")</f>
        <v/>
      </c>
      <c r="N53" s="11">
        <f>IF(AND(ISNUMBER(E53),ISNUMBER(F53)),(F53-E53),"")</f>
        <v/>
      </c>
      <c r="O53" s="11">
        <f>IF(AND(ISNUMBER(G53),ISNUMBER(H53)),(H53-G53),"")</f>
        <v/>
      </c>
      <c r="P53" s="11">
        <f>IF(AND(ISNUMBER(H53),ISNUMBER(I53)),(I53-H53),"")</f>
        <v/>
      </c>
      <c r="Q53" s="11">
        <f>IF(AND(ISNUMBER(J53),ISNUMBER(K53)),(K53-J53),"")</f>
        <v/>
      </c>
      <c r="R53" s="11">
        <f>IF(AND(ISNUMBER(K53),ISNUMBER(L53)),(L53-K53),"")</f>
        <v/>
      </c>
      <c r="S53" s="11">
        <f>IF(AND(ISNUMBER(F53),ISNUMBER(L53)),(L53-F53),"")</f>
        <v/>
      </c>
      <c r="T53" s="11">
        <f>IF(AND(ISNUMBER(D53),ISNUMBER(L53)),(L53-D53),"")</f>
        <v/>
      </c>
    </row>
    <row r="54">
      <c r="A54" s="3" t="inlineStr">
        <is>
          <t>10053</t>
        </is>
      </c>
      <c r="B54" s="9" t="n">
        <v>572.02</v>
      </c>
      <c r="C54" s="3" t="inlineStr">
        <is>
          <t>727</t>
        </is>
      </c>
      <c r="D54" s="10" t="n">
        <v>45665.30302083334</v>
      </c>
      <c r="E54" s="10" t="n">
        <v>45665.30302083334</v>
      </c>
      <c r="F54" s="10" t="n">
        <v>45665.30549768519</v>
      </c>
      <c r="G54" s="10" t="n">
        <v>45665.30549768519</v>
      </c>
      <c r="H54" s="10" t="n">
        <v>45665.30827546296</v>
      </c>
      <c r="I54" s="10" t="n">
        <v>45665.32863425926</v>
      </c>
      <c r="J54" s="10" t="n">
        <v>45665.32863425926</v>
      </c>
      <c r="K54" s="10" t="n">
        <v>45665.32950231482</v>
      </c>
      <c r="L54" s="10" t="n">
        <v>45665.35546296297</v>
      </c>
      <c r="M54" s="11">
        <f>IF(AND(ISNUMBER(D54),ISNUMBER(E54)),(E54-D54),"")</f>
        <v/>
      </c>
      <c r="N54" s="11">
        <f>IF(AND(ISNUMBER(E54),ISNUMBER(F54)),(F54-E54),"")</f>
        <v/>
      </c>
      <c r="O54" s="11">
        <f>IF(AND(ISNUMBER(G54),ISNUMBER(H54)),(H54-G54),"")</f>
        <v/>
      </c>
      <c r="P54" s="11">
        <f>IF(AND(ISNUMBER(H54),ISNUMBER(I54)),(I54-H54),"")</f>
        <v/>
      </c>
      <c r="Q54" s="11">
        <f>IF(AND(ISNUMBER(J54),ISNUMBER(K54)),(K54-J54),"")</f>
        <v/>
      </c>
      <c r="R54" s="11">
        <f>IF(AND(ISNUMBER(K54),ISNUMBER(L54)),(L54-K54),"")</f>
        <v/>
      </c>
      <c r="S54" s="11">
        <f>IF(AND(ISNUMBER(F54),ISNUMBER(L54)),(L54-F54),"")</f>
        <v/>
      </c>
      <c r="T54" s="11">
        <f>IF(AND(ISNUMBER(D54),ISNUMBER(L54)),(L54-D54),"")</f>
        <v/>
      </c>
    </row>
    <row r="55">
      <c r="A55" s="3" t="inlineStr">
        <is>
          <t>10054</t>
        </is>
      </c>
      <c r="B55" s="9" t="n">
        <v>156.74</v>
      </c>
      <c r="C55" s="3" t="inlineStr">
        <is>
          <t>703</t>
        </is>
      </c>
      <c r="D55" s="10" t="n">
        <v>45665.30568287037</v>
      </c>
      <c r="E55" s="10" t="n">
        <v>45665.30568287037</v>
      </c>
      <c r="F55" s="10" t="n">
        <v>45665.30763888889</v>
      </c>
      <c r="G55" s="10" t="n">
        <v>45665.30763888889</v>
      </c>
      <c r="H55" s="10" t="n">
        <v>45665.31041666667</v>
      </c>
      <c r="I55" s="10" t="n">
        <v>45665.31153935185</v>
      </c>
      <c r="J55" s="10" t="n">
        <v>45665.31153935185</v>
      </c>
      <c r="K55" s="10" t="n">
        <v>45665.31240740741</v>
      </c>
      <c r="L55" s="10" t="n">
        <v>45665.31413194445</v>
      </c>
      <c r="M55" s="11">
        <f>IF(AND(ISNUMBER(D55),ISNUMBER(E55)),(E55-D55),"")</f>
        <v/>
      </c>
      <c r="N55" s="11">
        <f>IF(AND(ISNUMBER(E55),ISNUMBER(F55)),(F55-E55),"")</f>
        <v/>
      </c>
      <c r="O55" s="11">
        <f>IF(AND(ISNUMBER(G55),ISNUMBER(H55)),(H55-G55),"")</f>
        <v/>
      </c>
      <c r="P55" s="11">
        <f>IF(AND(ISNUMBER(H55),ISNUMBER(I55)),(I55-H55),"")</f>
        <v/>
      </c>
      <c r="Q55" s="11">
        <f>IF(AND(ISNUMBER(J55),ISNUMBER(K55)),(K55-J55),"")</f>
        <v/>
      </c>
      <c r="R55" s="11">
        <f>IF(AND(ISNUMBER(K55),ISNUMBER(L55)),(L55-K55),"")</f>
        <v/>
      </c>
      <c r="S55" s="11">
        <f>IF(AND(ISNUMBER(F55),ISNUMBER(L55)),(L55-F55),"")</f>
        <v/>
      </c>
      <c r="T55" s="11">
        <f>IF(AND(ISNUMBER(D55),ISNUMBER(L55)),(L55-D55),"")</f>
        <v/>
      </c>
    </row>
    <row r="56">
      <c r="A56" s="3" t="inlineStr">
        <is>
          <t>10055</t>
        </is>
      </c>
      <c r="B56" s="9" t="n">
        <v>389.8000000000001</v>
      </c>
      <c r="C56" s="3" t="inlineStr">
        <is>
          <t>703</t>
        </is>
      </c>
      <c r="D56" s="10" t="n">
        <v>45665.33435185185</v>
      </c>
      <c r="E56" s="10" t="n">
        <v>45665.33435185185</v>
      </c>
      <c r="F56" s="10" t="n">
        <v>45665.33684027778</v>
      </c>
      <c r="G56" s="10" t="n">
        <v>45665.33684027778</v>
      </c>
      <c r="H56" s="10" t="n">
        <v>45665.33961805556</v>
      </c>
      <c r="I56" s="10" t="n">
        <v>45665.34289351852</v>
      </c>
      <c r="J56" s="10" t="n">
        <v>45665.34289351852</v>
      </c>
      <c r="K56" s="10" t="n">
        <v>45665.35633101852</v>
      </c>
      <c r="L56" s="10" t="n">
        <v>45665.3584837963</v>
      </c>
      <c r="M56" s="11">
        <f>IF(AND(ISNUMBER(D56),ISNUMBER(E56)),(E56-D56),"")</f>
        <v/>
      </c>
      <c r="N56" s="11">
        <f>IF(AND(ISNUMBER(E56),ISNUMBER(F56)),(F56-E56),"")</f>
        <v/>
      </c>
      <c r="O56" s="11">
        <f>IF(AND(ISNUMBER(G56),ISNUMBER(H56)),(H56-G56),"")</f>
        <v/>
      </c>
      <c r="P56" s="11">
        <f>IF(AND(ISNUMBER(H56),ISNUMBER(I56)),(I56-H56),"")</f>
        <v/>
      </c>
      <c r="Q56" s="11">
        <f>IF(AND(ISNUMBER(J56),ISNUMBER(K56)),(K56-J56),"")</f>
        <v/>
      </c>
      <c r="R56" s="11">
        <f>IF(AND(ISNUMBER(K56),ISNUMBER(L56)),(L56-K56),"")</f>
        <v/>
      </c>
      <c r="S56" s="11">
        <f>IF(AND(ISNUMBER(F56),ISNUMBER(L56)),(L56-F56),"")</f>
        <v/>
      </c>
      <c r="T56" s="11">
        <f>IF(AND(ISNUMBER(D56),ISNUMBER(L56)),(L56-D56),"")</f>
        <v/>
      </c>
    </row>
    <row r="57">
      <c r="A57" s="3" t="inlineStr">
        <is>
          <t>10056</t>
        </is>
      </c>
      <c r="B57" s="9" t="n">
        <v>235.2</v>
      </c>
      <c r="C57" s="3" t="inlineStr">
        <is>
          <t>703</t>
        </is>
      </c>
      <c r="D57" s="10" t="n">
        <v>45665.37415509259</v>
      </c>
      <c r="E57" s="10" t="n">
        <v>45665.37415509259</v>
      </c>
      <c r="F57" s="10" t="n">
        <v>45665.37628472222</v>
      </c>
      <c r="G57" s="10" t="n">
        <v>45665.37628472222</v>
      </c>
      <c r="H57" s="10" t="n">
        <v>45665.3790625</v>
      </c>
      <c r="I57" s="10" t="n">
        <v>45665.38225694445</v>
      </c>
      <c r="J57" s="10" t="n">
        <v>45665.38225694445</v>
      </c>
      <c r="K57" s="10" t="n">
        <v>45665.383125</v>
      </c>
      <c r="L57" s="10" t="n">
        <v>45665.38671296297</v>
      </c>
      <c r="M57" s="11">
        <f>IF(AND(ISNUMBER(D57),ISNUMBER(E57)),(E57-D57),"")</f>
        <v/>
      </c>
      <c r="N57" s="11">
        <f>IF(AND(ISNUMBER(E57),ISNUMBER(F57)),(F57-E57),"")</f>
        <v/>
      </c>
      <c r="O57" s="11">
        <f>IF(AND(ISNUMBER(G57),ISNUMBER(H57)),(H57-G57),"")</f>
        <v/>
      </c>
      <c r="P57" s="11">
        <f>IF(AND(ISNUMBER(H57),ISNUMBER(I57)),(I57-H57),"")</f>
        <v/>
      </c>
      <c r="Q57" s="11">
        <f>IF(AND(ISNUMBER(J57),ISNUMBER(K57)),(K57-J57),"")</f>
        <v/>
      </c>
      <c r="R57" s="11">
        <f>IF(AND(ISNUMBER(K57),ISNUMBER(L57)),(L57-K57),"")</f>
        <v/>
      </c>
      <c r="S57" s="11">
        <f>IF(AND(ISNUMBER(F57),ISNUMBER(L57)),(L57-F57),"")</f>
        <v/>
      </c>
      <c r="T57" s="11">
        <f>IF(AND(ISNUMBER(D57),ISNUMBER(L57)),(L57-D57),"")</f>
        <v/>
      </c>
    </row>
    <row r="58">
      <c r="A58" s="3" t="inlineStr">
        <is>
          <t>10057</t>
        </is>
      </c>
      <c r="B58" s="9" t="n">
        <v>443.1600000000001</v>
      </c>
      <c r="C58" s="3" t="inlineStr">
        <is>
          <t>703</t>
        </is>
      </c>
      <c r="D58" s="10" t="n">
        <v>45665.42600694444</v>
      </c>
      <c r="E58" s="10" t="n">
        <v>45665.42600694444</v>
      </c>
      <c r="F58" s="10" t="n">
        <v>45665.42862268518</v>
      </c>
      <c r="G58" s="10" t="n">
        <v>45665.42862268518</v>
      </c>
      <c r="H58" s="10" t="n">
        <v>45665.43140046296</v>
      </c>
      <c r="I58" s="10" t="n">
        <v>45665.43699074074</v>
      </c>
      <c r="J58" s="10" t="n">
        <v>45665.43699074074</v>
      </c>
      <c r="K58" s="10" t="n">
        <v>45665.43785879629</v>
      </c>
      <c r="L58" s="10" t="n">
        <v>45665.443125</v>
      </c>
      <c r="M58" s="11">
        <f>IF(AND(ISNUMBER(D58),ISNUMBER(E58)),(E58-D58),"")</f>
        <v/>
      </c>
      <c r="N58" s="11">
        <f>IF(AND(ISNUMBER(E58),ISNUMBER(F58)),(F58-E58),"")</f>
        <v/>
      </c>
      <c r="O58" s="11">
        <f>IF(AND(ISNUMBER(G58),ISNUMBER(H58)),(H58-G58),"")</f>
        <v/>
      </c>
      <c r="P58" s="11">
        <f>IF(AND(ISNUMBER(H58),ISNUMBER(I58)),(I58-H58),"")</f>
        <v/>
      </c>
      <c r="Q58" s="11">
        <f>IF(AND(ISNUMBER(J58),ISNUMBER(K58)),(K58-J58),"")</f>
        <v/>
      </c>
      <c r="R58" s="11">
        <f>IF(AND(ISNUMBER(K58),ISNUMBER(L58)),(L58-K58),"")</f>
        <v/>
      </c>
      <c r="S58" s="11">
        <f>IF(AND(ISNUMBER(F58),ISNUMBER(L58)),(L58-F58),"")</f>
        <v/>
      </c>
      <c r="T58" s="11">
        <f>IF(AND(ISNUMBER(D58),ISNUMBER(L58)),(L58-D58),"")</f>
        <v/>
      </c>
    </row>
    <row r="59">
      <c r="A59" s="3" t="inlineStr">
        <is>
          <t>10058</t>
        </is>
      </c>
      <c r="B59" s="9" t="n">
        <v>296.8</v>
      </c>
      <c r="C59" s="3" t="inlineStr">
        <is>
          <t>703</t>
        </is>
      </c>
      <c r="D59" s="10" t="n">
        <v>45665.5321875</v>
      </c>
      <c r="E59" s="10" t="n">
        <v>45665.5321875</v>
      </c>
      <c r="F59" s="10" t="n">
        <v>45665.5344675926</v>
      </c>
      <c r="G59" s="10" t="n">
        <v>45665.5344675926</v>
      </c>
      <c r="H59" s="10" t="n">
        <v>45665.53724537037</v>
      </c>
      <c r="I59" s="10" t="n">
        <v>45665.53981481482</v>
      </c>
      <c r="J59" s="10" t="n">
        <v>45665.53981481482</v>
      </c>
      <c r="K59" s="10" t="n">
        <v>45665.54068287037</v>
      </c>
      <c r="L59" s="10" t="n">
        <v>45665.5425</v>
      </c>
      <c r="M59" s="11">
        <f>IF(AND(ISNUMBER(D59),ISNUMBER(E59)),(E59-D59),"")</f>
        <v/>
      </c>
      <c r="N59" s="11">
        <f>IF(AND(ISNUMBER(E59),ISNUMBER(F59)),(F59-E59),"")</f>
        <v/>
      </c>
      <c r="O59" s="11">
        <f>IF(AND(ISNUMBER(G59),ISNUMBER(H59)),(H59-G59),"")</f>
        <v/>
      </c>
      <c r="P59" s="11">
        <f>IF(AND(ISNUMBER(H59),ISNUMBER(I59)),(I59-H59),"")</f>
        <v/>
      </c>
      <c r="Q59" s="11">
        <f>IF(AND(ISNUMBER(J59),ISNUMBER(K59)),(K59-J59),"")</f>
        <v/>
      </c>
      <c r="R59" s="11">
        <f>IF(AND(ISNUMBER(K59),ISNUMBER(L59)),(L59-K59),"")</f>
        <v/>
      </c>
      <c r="S59" s="11">
        <f>IF(AND(ISNUMBER(F59),ISNUMBER(L59)),(L59-F59),"")</f>
        <v/>
      </c>
      <c r="T59" s="11">
        <f>IF(AND(ISNUMBER(D59),ISNUMBER(L59)),(L59-D59),"")</f>
        <v/>
      </c>
    </row>
    <row r="60">
      <c r="A60" s="3" t="inlineStr">
        <is>
          <t>10059</t>
        </is>
      </c>
      <c r="B60" s="9" t="n">
        <v>365.8200000000001</v>
      </c>
      <c r="C60" s="3" t="inlineStr">
        <is>
          <t>703</t>
        </is>
      </c>
      <c r="D60" s="10" t="n">
        <v>45665.60168981482</v>
      </c>
      <c r="E60" s="10" t="n">
        <v>45665.60168981482</v>
      </c>
      <c r="F60" s="10" t="n">
        <v>45665.60413194444</v>
      </c>
      <c r="G60" s="10" t="n">
        <v>45665.60413194444</v>
      </c>
      <c r="H60" s="10" t="n">
        <v>45665.60690972222</v>
      </c>
      <c r="I60" s="10" t="n">
        <v>45665.60980324074</v>
      </c>
      <c r="J60" s="10" t="n">
        <v>45665.60980324074</v>
      </c>
      <c r="K60" s="10" t="n">
        <v>45665.61067129629</v>
      </c>
      <c r="L60" s="10" t="n">
        <v>45665.61263888889</v>
      </c>
      <c r="M60" s="11">
        <f>IF(AND(ISNUMBER(D60),ISNUMBER(E60)),(E60-D60),"")</f>
        <v/>
      </c>
      <c r="N60" s="11">
        <f>IF(AND(ISNUMBER(E60),ISNUMBER(F60)),(F60-E60),"")</f>
        <v/>
      </c>
      <c r="O60" s="11">
        <f>IF(AND(ISNUMBER(G60),ISNUMBER(H60)),(H60-G60),"")</f>
        <v/>
      </c>
      <c r="P60" s="11">
        <f>IF(AND(ISNUMBER(H60),ISNUMBER(I60)),(I60-H60),"")</f>
        <v/>
      </c>
      <c r="Q60" s="11">
        <f>IF(AND(ISNUMBER(J60),ISNUMBER(K60)),(K60-J60),"")</f>
        <v/>
      </c>
      <c r="R60" s="11">
        <f>IF(AND(ISNUMBER(K60),ISNUMBER(L60)),(L60-K60),"")</f>
        <v/>
      </c>
      <c r="S60" s="11">
        <f>IF(AND(ISNUMBER(F60),ISNUMBER(L60)),(L60-F60),"")</f>
        <v/>
      </c>
      <c r="T60" s="11">
        <f>IF(AND(ISNUMBER(D60),ISNUMBER(L60)),(L60-D60),"")</f>
        <v/>
      </c>
    </row>
    <row r="61">
      <c r="A61" s="3" t="inlineStr">
        <is>
          <t>10060</t>
        </is>
      </c>
      <c r="B61" s="9" t="n">
        <v>316.62</v>
      </c>
      <c r="C61" s="3" t="inlineStr">
        <is>
          <t>703</t>
        </is>
      </c>
      <c r="D61" s="10" t="n">
        <v>45665.620625</v>
      </c>
      <c r="E61" s="10" t="n">
        <v>45665.620625</v>
      </c>
      <c r="F61" s="10" t="n">
        <v>45665.62295138889</v>
      </c>
      <c r="G61" s="10" t="n">
        <v>45665.62295138889</v>
      </c>
      <c r="H61" s="10" t="n">
        <v>45665.62572916667</v>
      </c>
      <c r="I61" s="10" t="n">
        <v>45665.63993055555</v>
      </c>
      <c r="J61" s="10" t="n">
        <v>45665.63993055555</v>
      </c>
      <c r="K61" s="10" t="n">
        <v>45665.64069444445</v>
      </c>
      <c r="L61" s="10" t="n">
        <v>45665.65857638889</v>
      </c>
      <c r="M61" s="11">
        <f>IF(AND(ISNUMBER(D61),ISNUMBER(E61)),(E61-D61),"")</f>
        <v/>
      </c>
      <c r="N61" s="11">
        <f>IF(AND(ISNUMBER(E61),ISNUMBER(F61)),(F61-E61),"")</f>
        <v/>
      </c>
      <c r="O61" s="11">
        <f>IF(AND(ISNUMBER(G61),ISNUMBER(H61)),(H61-G61),"")</f>
        <v/>
      </c>
      <c r="P61" s="11">
        <f>IF(AND(ISNUMBER(H61),ISNUMBER(I61)),(I61-H61),"")</f>
        <v/>
      </c>
      <c r="Q61" s="11">
        <f>IF(AND(ISNUMBER(J61),ISNUMBER(K61)),(K61-J61),"")</f>
        <v/>
      </c>
      <c r="R61" s="11">
        <f>IF(AND(ISNUMBER(K61),ISNUMBER(L61)),(L61-K61),"")</f>
        <v/>
      </c>
      <c r="S61" s="11">
        <f>IF(AND(ISNUMBER(F61),ISNUMBER(L61)),(L61-F61),"")</f>
        <v/>
      </c>
      <c r="T61" s="11">
        <f>IF(AND(ISNUMBER(D61),ISNUMBER(L61)),(L61-D61),"")</f>
        <v/>
      </c>
    </row>
    <row r="62">
      <c r="A62" s="3" t="inlineStr">
        <is>
          <t>10061</t>
        </is>
      </c>
      <c r="B62" s="9" t="n">
        <v>362.0200000000001</v>
      </c>
      <c r="C62" s="3" t="inlineStr">
        <is>
          <t>727</t>
        </is>
      </c>
      <c r="D62" s="10" t="n">
        <v>45665.63310185185</v>
      </c>
      <c r="E62" s="10" t="n">
        <v>45665.63310185185</v>
      </c>
      <c r="F62" s="10" t="n">
        <v>45665.63509259259</v>
      </c>
      <c r="G62" s="10" t="n">
        <v>45665.63509259259</v>
      </c>
      <c r="H62" s="10" t="n">
        <v>45665.63787037037</v>
      </c>
      <c r="I62" s="10" t="n">
        <v>45665.64074074074</v>
      </c>
      <c r="J62" s="10" t="n">
        <v>45665.64074074074</v>
      </c>
      <c r="K62" s="10" t="n">
        <v>45665.65944444444</v>
      </c>
      <c r="L62" s="10" t="n">
        <v>45665.66150462963</v>
      </c>
      <c r="M62" s="11">
        <f>IF(AND(ISNUMBER(D62),ISNUMBER(E62)),(E62-D62),"")</f>
        <v/>
      </c>
      <c r="N62" s="11">
        <f>IF(AND(ISNUMBER(E62),ISNUMBER(F62)),(F62-E62),"")</f>
        <v/>
      </c>
      <c r="O62" s="11">
        <f>IF(AND(ISNUMBER(G62),ISNUMBER(H62)),(H62-G62),"")</f>
        <v/>
      </c>
      <c r="P62" s="11">
        <f>IF(AND(ISNUMBER(H62),ISNUMBER(I62)),(I62-H62),"")</f>
        <v/>
      </c>
      <c r="Q62" s="11">
        <f>IF(AND(ISNUMBER(J62),ISNUMBER(K62)),(K62-J62),"")</f>
        <v/>
      </c>
      <c r="R62" s="11">
        <f>IF(AND(ISNUMBER(K62),ISNUMBER(L62)),(L62-K62),"")</f>
        <v/>
      </c>
      <c r="S62" s="11">
        <f>IF(AND(ISNUMBER(F62),ISNUMBER(L62)),(L62-F62),"")</f>
        <v/>
      </c>
      <c r="T62" s="11">
        <f>IF(AND(ISNUMBER(D62),ISNUMBER(L62)),(L62-D62),"")</f>
        <v/>
      </c>
    </row>
    <row r="63">
      <c r="A63" s="3" t="inlineStr">
        <is>
          <t>10062</t>
        </is>
      </c>
      <c r="B63" s="9" t="n">
        <v>209.16</v>
      </c>
      <c r="C63" s="3" t="inlineStr">
        <is>
          <t>703</t>
        </is>
      </c>
      <c r="D63" s="10" t="n">
        <v>45665.72311342593</v>
      </c>
      <c r="E63" s="10" t="n">
        <v>45665.72311342593</v>
      </c>
      <c r="F63" s="10" t="n">
        <v>45665.72518518518</v>
      </c>
      <c r="G63" s="10" t="n">
        <v>45665.72518518518</v>
      </c>
      <c r="H63" s="10" t="n">
        <v>45665.72796296296</v>
      </c>
      <c r="I63" s="10" t="n">
        <v>45665.72961805556</v>
      </c>
      <c r="J63" s="10" t="n">
        <v>45665.72961805556</v>
      </c>
      <c r="K63" s="10" t="n">
        <v>45665.73038194444</v>
      </c>
      <c r="L63" s="10" t="n">
        <v>45665.73199074074</v>
      </c>
      <c r="M63" s="11">
        <f>IF(AND(ISNUMBER(D63),ISNUMBER(E63)),(E63-D63),"")</f>
        <v/>
      </c>
      <c r="N63" s="11">
        <f>IF(AND(ISNUMBER(E63),ISNUMBER(F63)),(F63-E63),"")</f>
        <v/>
      </c>
      <c r="O63" s="11">
        <f>IF(AND(ISNUMBER(G63),ISNUMBER(H63)),(H63-G63),"")</f>
        <v/>
      </c>
      <c r="P63" s="11">
        <f>IF(AND(ISNUMBER(H63),ISNUMBER(I63)),(I63-H63),"")</f>
        <v/>
      </c>
      <c r="Q63" s="11">
        <f>IF(AND(ISNUMBER(J63),ISNUMBER(K63)),(K63-J63),"")</f>
        <v/>
      </c>
      <c r="R63" s="11">
        <f>IF(AND(ISNUMBER(K63),ISNUMBER(L63)),(L63-K63),"")</f>
        <v/>
      </c>
      <c r="S63" s="11">
        <f>IF(AND(ISNUMBER(F63),ISNUMBER(L63)),(L63-F63),"")</f>
        <v/>
      </c>
      <c r="T63" s="11">
        <f>IF(AND(ISNUMBER(D63),ISNUMBER(L63)),(L63-D63),"")</f>
        <v/>
      </c>
    </row>
    <row r="64">
      <c r="A64" s="3" t="inlineStr">
        <is>
          <t>10063</t>
        </is>
      </c>
      <c r="B64" s="9" t="n">
        <v>15.74</v>
      </c>
      <c r="C64" s="3" t="inlineStr">
        <is>
          <t>731</t>
        </is>
      </c>
      <c r="D64" s="10" t="n">
        <v>45665.74987268518</v>
      </c>
      <c r="E64" s="10" t="n">
        <v>45665.74987268518</v>
      </c>
      <c r="F64" s="10" t="n">
        <v>45665.75112268519</v>
      </c>
      <c r="G64" s="10" t="n">
        <v>45665.75112268519</v>
      </c>
      <c r="H64" s="10" t="n">
        <v>45665.75390046297</v>
      </c>
      <c r="I64" s="10" t="n">
        <v>45665.7540162037</v>
      </c>
      <c r="J64" s="10" t="n">
        <v>45665.7540162037</v>
      </c>
      <c r="K64" s="10" t="n">
        <v>45665.75488425926</v>
      </c>
      <c r="L64" s="10" t="n">
        <v>45665.75652777778</v>
      </c>
      <c r="M64" s="11">
        <f>IF(AND(ISNUMBER(D64),ISNUMBER(E64)),(E64-D64),"")</f>
        <v/>
      </c>
      <c r="N64" s="11">
        <f>IF(AND(ISNUMBER(E64),ISNUMBER(F64)),(F64-E64),"")</f>
        <v/>
      </c>
      <c r="O64" s="11">
        <f>IF(AND(ISNUMBER(G64),ISNUMBER(H64)),(H64-G64),"")</f>
        <v/>
      </c>
      <c r="P64" s="11">
        <f>IF(AND(ISNUMBER(H64),ISNUMBER(I64)),(I64-H64),"")</f>
        <v/>
      </c>
      <c r="Q64" s="11">
        <f>IF(AND(ISNUMBER(J64),ISNUMBER(K64)),(K64-J64),"")</f>
        <v/>
      </c>
      <c r="R64" s="11">
        <f>IF(AND(ISNUMBER(K64),ISNUMBER(L64)),(L64-K64),"")</f>
        <v/>
      </c>
      <c r="S64" s="11">
        <f>IF(AND(ISNUMBER(F64),ISNUMBER(L64)),(L64-F64),"")</f>
        <v/>
      </c>
      <c r="T64" s="11">
        <f>IF(AND(ISNUMBER(D64),ISNUMBER(L64)),(L64-D64),"")</f>
        <v/>
      </c>
    </row>
    <row r="65">
      <c r="A65" s="3" t="inlineStr">
        <is>
          <t>10064</t>
        </is>
      </c>
      <c r="B65" s="9" t="n">
        <v>244.1</v>
      </c>
      <c r="C65" s="3" t="inlineStr">
        <is>
          <t>703</t>
        </is>
      </c>
      <c r="D65" s="10" t="n">
        <v>45665.81972222222</v>
      </c>
      <c r="E65" s="10" t="n">
        <v>45665.81972222222</v>
      </c>
      <c r="F65" s="10" t="n">
        <v>45665.821875</v>
      </c>
      <c r="G65" s="10" t="n">
        <v>45665.821875</v>
      </c>
      <c r="H65" s="10" t="n">
        <v>45665.82465277778</v>
      </c>
      <c r="I65" s="10" t="n">
        <v>45665.83491898148</v>
      </c>
      <c r="J65" s="10" t="n">
        <v>45665.83491898148</v>
      </c>
      <c r="K65" s="10" t="n">
        <v>45665.83568287037</v>
      </c>
      <c r="L65" s="10" t="n">
        <v>45665.85040509259</v>
      </c>
      <c r="M65" s="11">
        <f>IF(AND(ISNUMBER(D65),ISNUMBER(E65)),(E65-D65),"")</f>
        <v/>
      </c>
      <c r="N65" s="11">
        <f>IF(AND(ISNUMBER(E65),ISNUMBER(F65)),(F65-E65),"")</f>
        <v/>
      </c>
      <c r="O65" s="11">
        <f>IF(AND(ISNUMBER(G65),ISNUMBER(H65)),(H65-G65),"")</f>
        <v/>
      </c>
      <c r="P65" s="11">
        <f>IF(AND(ISNUMBER(H65),ISNUMBER(I65)),(I65-H65),"")</f>
        <v/>
      </c>
      <c r="Q65" s="11">
        <f>IF(AND(ISNUMBER(J65),ISNUMBER(K65)),(K65-J65),"")</f>
        <v/>
      </c>
      <c r="R65" s="11">
        <f>IF(AND(ISNUMBER(K65),ISNUMBER(L65)),(L65-K65),"")</f>
        <v/>
      </c>
      <c r="S65" s="11">
        <f>IF(AND(ISNUMBER(F65),ISNUMBER(L65)),(L65-F65),"")</f>
        <v/>
      </c>
      <c r="T65" s="11">
        <f>IF(AND(ISNUMBER(D65),ISNUMBER(L65)),(L65-D65),"")</f>
        <v/>
      </c>
    </row>
    <row r="66">
      <c r="A66" s="3" t="inlineStr">
        <is>
          <t>10065</t>
        </is>
      </c>
      <c r="B66" s="9" t="n">
        <v>99.5</v>
      </c>
      <c r="C66" s="3" t="inlineStr">
        <is>
          <t>727</t>
        </is>
      </c>
      <c r="D66" s="10" t="n">
        <v>45665.83609953704</v>
      </c>
      <c r="E66" s="10" t="n">
        <v>45665.83609953704</v>
      </c>
      <c r="F66" s="10" t="n">
        <v>45665.83748842592</v>
      </c>
      <c r="G66" s="10" t="n">
        <v>45665.83748842592</v>
      </c>
      <c r="H66" s="10" t="n">
        <v>45665.8402662037</v>
      </c>
      <c r="I66" s="10" t="n">
        <v>45665.84105324074</v>
      </c>
      <c r="J66" s="10" t="n">
        <v>45665.84105324074</v>
      </c>
      <c r="K66" s="10" t="n">
        <v>45665.85127314815</v>
      </c>
      <c r="L66" s="10" t="n">
        <v>45665.85271990741</v>
      </c>
      <c r="M66" s="11">
        <f>IF(AND(ISNUMBER(D66),ISNUMBER(E66)),(E66-D66),"")</f>
        <v/>
      </c>
      <c r="N66" s="11">
        <f>IF(AND(ISNUMBER(E66),ISNUMBER(F66)),(F66-E66),"")</f>
        <v/>
      </c>
      <c r="O66" s="11">
        <f>IF(AND(ISNUMBER(G66),ISNUMBER(H66)),(H66-G66),"")</f>
        <v/>
      </c>
      <c r="P66" s="11">
        <f>IF(AND(ISNUMBER(H66),ISNUMBER(I66)),(I66-H66),"")</f>
        <v/>
      </c>
      <c r="Q66" s="11">
        <f>IF(AND(ISNUMBER(J66),ISNUMBER(K66)),(K66-J66),"")</f>
        <v/>
      </c>
      <c r="R66" s="11">
        <f>IF(AND(ISNUMBER(K66),ISNUMBER(L66)),(L66-K66),"")</f>
        <v/>
      </c>
      <c r="S66" s="11">
        <f>IF(AND(ISNUMBER(F66),ISNUMBER(L66)),(L66-F66),"")</f>
        <v/>
      </c>
      <c r="T66" s="11">
        <f>IF(AND(ISNUMBER(D66),ISNUMBER(L66)),(L66-D66),"")</f>
        <v/>
      </c>
    </row>
    <row r="67">
      <c r="A67" s="3" t="inlineStr">
        <is>
          <t>10066</t>
        </is>
      </c>
      <c r="B67" s="9" t="n">
        <v>164.48</v>
      </c>
      <c r="C67" s="3" t="inlineStr">
        <is>
          <t>703</t>
        </is>
      </c>
      <c r="D67" s="10" t="n">
        <v>45666.11569444444</v>
      </c>
      <c r="E67" s="10" t="n">
        <v>45666.11569444444</v>
      </c>
      <c r="F67" s="10" t="n">
        <v>45666.11766203704</v>
      </c>
      <c r="G67" s="10" t="n">
        <v>45666.11766203704</v>
      </c>
      <c r="H67" s="10" t="n">
        <v>45666.12043981482</v>
      </c>
      <c r="I67" s="10" t="n">
        <v>45666.12370370371</v>
      </c>
      <c r="J67" s="10" t="n">
        <v>45666.12370370371</v>
      </c>
      <c r="K67" s="10" t="n">
        <v>45666.12457175926</v>
      </c>
      <c r="L67" s="10" t="n">
        <v>45666.1299074074</v>
      </c>
      <c r="M67" s="11">
        <f>IF(AND(ISNUMBER(D67),ISNUMBER(E67)),(E67-D67),"")</f>
        <v/>
      </c>
      <c r="N67" s="11">
        <f>IF(AND(ISNUMBER(E67),ISNUMBER(F67)),(F67-E67),"")</f>
        <v/>
      </c>
      <c r="O67" s="11">
        <f>IF(AND(ISNUMBER(G67),ISNUMBER(H67)),(H67-G67),"")</f>
        <v/>
      </c>
      <c r="P67" s="11">
        <f>IF(AND(ISNUMBER(H67),ISNUMBER(I67)),(I67-H67),"")</f>
        <v/>
      </c>
      <c r="Q67" s="11">
        <f>IF(AND(ISNUMBER(J67),ISNUMBER(K67)),(K67-J67),"")</f>
        <v/>
      </c>
      <c r="R67" s="11">
        <f>IF(AND(ISNUMBER(K67),ISNUMBER(L67)),(L67-K67),"")</f>
        <v/>
      </c>
      <c r="S67" s="11">
        <f>IF(AND(ISNUMBER(F67),ISNUMBER(L67)),(L67-F67),"")</f>
        <v/>
      </c>
      <c r="T67" s="11">
        <f>IF(AND(ISNUMBER(D67),ISNUMBER(L67)),(L67-D67),"")</f>
        <v/>
      </c>
    </row>
    <row r="68">
      <c r="A68" s="3" t="inlineStr">
        <is>
          <t>10067</t>
        </is>
      </c>
      <c r="B68" s="9" t="n">
        <v>376.12</v>
      </c>
      <c r="C68" s="3" t="inlineStr">
        <is>
          <t>703</t>
        </is>
      </c>
      <c r="D68" s="10" t="n">
        <v>45666.25451388889</v>
      </c>
      <c r="E68" s="10" t="n">
        <v>45666.25451388889</v>
      </c>
      <c r="F68" s="10" t="n">
        <v>45666.25697916667</v>
      </c>
      <c r="G68" s="10" t="n">
        <v>45666.25697916667</v>
      </c>
      <c r="H68" s="10" t="n">
        <v>45666.25975694445</v>
      </c>
      <c r="I68" s="10" t="n">
        <v>45666.27103009259</v>
      </c>
      <c r="J68" s="10" t="n">
        <v>45666.27103009259</v>
      </c>
      <c r="K68" s="10" t="n">
        <v>45666.27179398148</v>
      </c>
      <c r="L68" s="10" t="n">
        <v>45666.28641203704</v>
      </c>
      <c r="M68" s="11">
        <f>IF(AND(ISNUMBER(D68),ISNUMBER(E68)),(E68-D68),"")</f>
        <v/>
      </c>
      <c r="N68" s="11">
        <f>IF(AND(ISNUMBER(E68),ISNUMBER(F68)),(F68-E68),"")</f>
        <v/>
      </c>
      <c r="O68" s="11">
        <f>IF(AND(ISNUMBER(G68),ISNUMBER(H68)),(H68-G68),"")</f>
        <v/>
      </c>
      <c r="P68" s="11">
        <f>IF(AND(ISNUMBER(H68),ISNUMBER(I68)),(I68-H68),"")</f>
        <v/>
      </c>
      <c r="Q68" s="11">
        <f>IF(AND(ISNUMBER(J68),ISNUMBER(K68)),(K68-J68),"")</f>
        <v/>
      </c>
      <c r="R68" s="11">
        <f>IF(AND(ISNUMBER(K68),ISNUMBER(L68)),(L68-K68),"")</f>
        <v/>
      </c>
      <c r="S68" s="11">
        <f>IF(AND(ISNUMBER(F68),ISNUMBER(L68)),(L68-F68),"")</f>
        <v/>
      </c>
      <c r="T68" s="11">
        <f>IF(AND(ISNUMBER(D68),ISNUMBER(L68)),(L68-D68),"")</f>
        <v/>
      </c>
    </row>
    <row r="69">
      <c r="A69" s="3" t="inlineStr">
        <is>
          <t>10068</t>
        </is>
      </c>
      <c r="B69" s="9" t="n">
        <v>185.9</v>
      </c>
      <c r="C69" s="3" t="inlineStr">
        <is>
          <t>727</t>
        </is>
      </c>
      <c r="D69" s="10" t="n">
        <v>45666.27219907408</v>
      </c>
      <c r="E69" s="10" t="n">
        <v>45666.27219907408</v>
      </c>
      <c r="F69" s="10" t="n">
        <v>45666.27378472222</v>
      </c>
      <c r="G69" s="10" t="n">
        <v>45666.27378472222</v>
      </c>
      <c r="H69" s="10" t="n">
        <v>45666.2765625</v>
      </c>
      <c r="I69" s="10" t="n">
        <v>45666.27802083334</v>
      </c>
      <c r="J69" s="10" t="n">
        <v>45666.27802083334</v>
      </c>
      <c r="K69" s="10" t="n">
        <v>45666.28728009259</v>
      </c>
      <c r="L69" s="10" t="n">
        <v>45666.28954861111</v>
      </c>
      <c r="M69" s="11">
        <f>IF(AND(ISNUMBER(D69),ISNUMBER(E69)),(E69-D69),"")</f>
        <v/>
      </c>
      <c r="N69" s="11">
        <f>IF(AND(ISNUMBER(E69),ISNUMBER(F69)),(F69-E69),"")</f>
        <v/>
      </c>
      <c r="O69" s="11">
        <f>IF(AND(ISNUMBER(G69),ISNUMBER(H69)),(H69-G69),"")</f>
        <v/>
      </c>
      <c r="P69" s="11">
        <f>IF(AND(ISNUMBER(H69),ISNUMBER(I69)),(I69-H69),"")</f>
        <v/>
      </c>
      <c r="Q69" s="11">
        <f>IF(AND(ISNUMBER(J69),ISNUMBER(K69)),(K69-J69),"")</f>
        <v/>
      </c>
      <c r="R69" s="11">
        <f>IF(AND(ISNUMBER(K69),ISNUMBER(L69)),(L69-K69),"")</f>
        <v/>
      </c>
      <c r="S69" s="11">
        <f>IF(AND(ISNUMBER(F69),ISNUMBER(L69)),(L69-F69),"")</f>
        <v/>
      </c>
      <c r="T69" s="11">
        <f>IF(AND(ISNUMBER(D69),ISNUMBER(L69)),(L69-D69),"")</f>
        <v/>
      </c>
    </row>
    <row r="70">
      <c r="A70" s="3" t="inlineStr">
        <is>
          <t>10069</t>
        </is>
      </c>
      <c r="B70" s="9" t="n">
        <v>278.68</v>
      </c>
      <c r="C70" s="3" t="inlineStr">
        <is>
          <t>703</t>
        </is>
      </c>
      <c r="D70" s="10" t="n">
        <v>45666.3006712963</v>
      </c>
      <c r="E70" s="10" t="n">
        <v>45666.3006712963</v>
      </c>
      <c r="F70" s="10" t="n">
        <v>45666.30290509259</v>
      </c>
      <c r="G70" s="10" t="n">
        <v>45666.30290509259</v>
      </c>
      <c r="H70" s="10" t="n">
        <v>45666.30568287037</v>
      </c>
      <c r="I70" s="10" t="n">
        <v>45666.31384259259</v>
      </c>
      <c r="J70" s="10" t="n">
        <v>45666.31384259259</v>
      </c>
      <c r="K70" s="10" t="n">
        <v>45666.31711805556</v>
      </c>
      <c r="L70" s="10" t="n">
        <v>45666.32789351852</v>
      </c>
      <c r="M70" s="11">
        <f>IF(AND(ISNUMBER(D70),ISNUMBER(E70)),(E70-D70),"")</f>
        <v/>
      </c>
      <c r="N70" s="11">
        <f>IF(AND(ISNUMBER(E70),ISNUMBER(F70)),(F70-E70),"")</f>
        <v/>
      </c>
      <c r="O70" s="11">
        <f>IF(AND(ISNUMBER(G70),ISNUMBER(H70)),(H70-G70),"")</f>
        <v/>
      </c>
      <c r="P70" s="11">
        <f>IF(AND(ISNUMBER(H70),ISNUMBER(I70)),(I70-H70),"")</f>
        <v/>
      </c>
      <c r="Q70" s="11">
        <f>IF(AND(ISNUMBER(J70),ISNUMBER(K70)),(K70-J70),"")</f>
        <v/>
      </c>
      <c r="R70" s="11">
        <f>IF(AND(ISNUMBER(K70),ISNUMBER(L70)),(L70-K70),"")</f>
        <v/>
      </c>
      <c r="S70" s="11">
        <f>IF(AND(ISNUMBER(F70),ISNUMBER(L70)),(L70-F70),"")</f>
        <v/>
      </c>
      <c r="T70" s="11">
        <f>IF(AND(ISNUMBER(D70),ISNUMBER(L70)),(L70-D70),"")</f>
        <v/>
      </c>
    </row>
    <row r="71">
      <c r="A71" s="3" t="inlineStr">
        <is>
          <t>10070</t>
        </is>
      </c>
      <c r="B71" s="9" t="n">
        <v>324.9800000000001</v>
      </c>
      <c r="C71" s="3" t="inlineStr">
        <is>
          <t>727</t>
        </is>
      </c>
      <c r="D71" s="10" t="n">
        <v>45666.30615740741</v>
      </c>
      <c r="E71" s="10" t="n">
        <v>45666.30615740741</v>
      </c>
      <c r="F71" s="10" t="n">
        <v>45666.30806712963</v>
      </c>
      <c r="G71" s="10" t="n">
        <v>45666.30806712963</v>
      </c>
      <c r="H71" s="10" t="n">
        <v>45666.31084490741</v>
      </c>
      <c r="I71" s="10" t="n">
        <v>45666.31327546296</v>
      </c>
      <c r="J71" s="10" t="n">
        <v>45666.31327546296</v>
      </c>
      <c r="K71" s="10" t="n">
        <v>45666.31414351852</v>
      </c>
      <c r="L71" s="10" t="n">
        <v>45666.31633101852</v>
      </c>
      <c r="M71" s="11">
        <f>IF(AND(ISNUMBER(D71),ISNUMBER(E71)),(E71-D71),"")</f>
        <v/>
      </c>
      <c r="N71" s="11">
        <f>IF(AND(ISNUMBER(E71),ISNUMBER(F71)),(F71-E71),"")</f>
        <v/>
      </c>
      <c r="O71" s="11">
        <f>IF(AND(ISNUMBER(G71),ISNUMBER(H71)),(H71-G71),"")</f>
        <v/>
      </c>
      <c r="P71" s="11">
        <f>IF(AND(ISNUMBER(H71),ISNUMBER(I71)),(I71-H71),"")</f>
        <v/>
      </c>
      <c r="Q71" s="11">
        <f>IF(AND(ISNUMBER(J71),ISNUMBER(K71)),(K71-J71),"")</f>
        <v/>
      </c>
      <c r="R71" s="11">
        <f>IF(AND(ISNUMBER(K71),ISNUMBER(L71)),(L71-K71),"")</f>
        <v/>
      </c>
      <c r="S71" s="11">
        <f>IF(AND(ISNUMBER(F71),ISNUMBER(L71)),(L71-F71),"")</f>
        <v/>
      </c>
      <c r="T71" s="11">
        <f>IF(AND(ISNUMBER(D71),ISNUMBER(L71)),(L71-D71),"")</f>
        <v/>
      </c>
    </row>
    <row r="72">
      <c r="A72" s="3" t="inlineStr">
        <is>
          <t>10071</t>
        </is>
      </c>
      <c r="B72" s="9" t="n">
        <v>381.5600000000001</v>
      </c>
      <c r="C72" s="3" t="inlineStr">
        <is>
          <t>727</t>
        </is>
      </c>
      <c r="D72" s="10" t="n">
        <v>45666.32731481481</v>
      </c>
      <c r="E72" s="10" t="n">
        <v>45666.32731481481</v>
      </c>
      <c r="F72" s="10" t="n">
        <v>45666.32935185185</v>
      </c>
      <c r="G72" s="10" t="n">
        <v>45666.32935185185</v>
      </c>
      <c r="H72" s="10" t="n">
        <v>45666.33212962963</v>
      </c>
      <c r="I72" s="10" t="n">
        <v>45666.33543981481</v>
      </c>
      <c r="J72" s="10" t="n">
        <v>45666.33543981481</v>
      </c>
      <c r="K72" s="10" t="n">
        <v>45666.33622685185</v>
      </c>
      <c r="L72" s="10" t="n">
        <v>45666.33900462963</v>
      </c>
      <c r="M72" s="11">
        <f>IF(AND(ISNUMBER(D72),ISNUMBER(E72)),(E72-D72),"")</f>
        <v/>
      </c>
      <c r="N72" s="11">
        <f>IF(AND(ISNUMBER(E72),ISNUMBER(F72)),(F72-E72),"")</f>
        <v/>
      </c>
      <c r="O72" s="11">
        <f>IF(AND(ISNUMBER(G72),ISNUMBER(H72)),(H72-G72),"")</f>
        <v/>
      </c>
      <c r="P72" s="11">
        <f>IF(AND(ISNUMBER(H72),ISNUMBER(I72)),(I72-H72),"")</f>
        <v/>
      </c>
      <c r="Q72" s="11">
        <f>IF(AND(ISNUMBER(J72),ISNUMBER(K72)),(K72-J72),"")</f>
        <v/>
      </c>
      <c r="R72" s="11">
        <f>IF(AND(ISNUMBER(K72),ISNUMBER(L72)),(L72-K72),"")</f>
        <v/>
      </c>
      <c r="S72" s="11">
        <f>IF(AND(ISNUMBER(F72),ISNUMBER(L72)),(L72-F72),"")</f>
        <v/>
      </c>
      <c r="T72" s="11">
        <f>IF(AND(ISNUMBER(D72),ISNUMBER(L72)),(L72-D72),"")</f>
        <v/>
      </c>
    </row>
    <row r="73">
      <c r="A73" s="3" t="inlineStr">
        <is>
          <t>10072</t>
        </is>
      </c>
      <c r="B73" s="9" t="n">
        <v>362</v>
      </c>
      <c r="C73" s="3" t="inlineStr">
        <is>
          <t>703</t>
        </is>
      </c>
      <c r="D73" s="10" t="n">
        <v>45666.36471064815</v>
      </c>
      <c r="E73" s="10" t="n">
        <v>45666.36471064815</v>
      </c>
      <c r="F73" s="10" t="n">
        <v>45666.3671412037</v>
      </c>
      <c r="G73" s="10" t="n">
        <v>45666.3671412037</v>
      </c>
      <c r="H73" s="10" t="n">
        <v>45666.36991898148</v>
      </c>
      <c r="I73" s="10" t="n">
        <v>45666.37390046296</v>
      </c>
      <c r="J73" s="10" t="n">
        <v>45666.37390046296</v>
      </c>
      <c r="K73" s="10" t="n">
        <v>45666.37476851852</v>
      </c>
      <c r="L73" s="10" t="n">
        <v>45666.37917824074</v>
      </c>
      <c r="M73" s="11">
        <f>IF(AND(ISNUMBER(D73),ISNUMBER(E73)),(E73-D73),"")</f>
        <v/>
      </c>
      <c r="N73" s="11">
        <f>IF(AND(ISNUMBER(E73),ISNUMBER(F73)),(F73-E73),"")</f>
        <v/>
      </c>
      <c r="O73" s="11">
        <f>IF(AND(ISNUMBER(G73),ISNUMBER(H73)),(H73-G73),"")</f>
        <v/>
      </c>
      <c r="P73" s="11">
        <f>IF(AND(ISNUMBER(H73),ISNUMBER(I73)),(I73-H73),"")</f>
        <v/>
      </c>
      <c r="Q73" s="11">
        <f>IF(AND(ISNUMBER(J73),ISNUMBER(K73)),(K73-J73),"")</f>
        <v/>
      </c>
      <c r="R73" s="11">
        <f>IF(AND(ISNUMBER(K73),ISNUMBER(L73)),(L73-K73),"")</f>
        <v/>
      </c>
      <c r="S73" s="11">
        <f>IF(AND(ISNUMBER(F73),ISNUMBER(L73)),(L73-F73),"")</f>
        <v/>
      </c>
      <c r="T73" s="11">
        <f>IF(AND(ISNUMBER(D73),ISNUMBER(L73)),(L73-D73),"")</f>
        <v/>
      </c>
    </row>
    <row r="74">
      <c r="A74" s="3" t="inlineStr">
        <is>
          <t>10073</t>
        </is>
      </c>
      <c r="B74" s="9" t="n">
        <v>435.6799999999999</v>
      </c>
      <c r="C74" s="3" t="inlineStr">
        <is>
          <t>703</t>
        </is>
      </c>
      <c r="D74" s="10" t="n">
        <v>45666.45163194444</v>
      </c>
      <c r="E74" s="10" t="n">
        <v>45666.45163194444</v>
      </c>
      <c r="F74" s="10" t="n">
        <v>45666.45423611111</v>
      </c>
      <c r="G74" s="10" t="n">
        <v>45666.45423611111</v>
      </c>
      <c r="H74" s="10" t="n">
        <v>45666.45701388889</v>
      </c>
      <c r="I74" s="10" t="n">
        <v>45666.46164351852</v>
      </c>
      <c r="J74" s="10" t="n">
        <v>45666.46164351852</v>
      </c>
      <c r="K74" s="10" t="n">
        <v>45666.46251157407</v>
      </c>
      <c r="L74" s="10" t="n">
        <v>45666.46708333334</v>
      </c>
      <c r="M74" s="11">
        <f>IF(AND(ISNUMBER(D74),ISNUMBER(E74)),(E74-D74),"")</f>
        <v/>
      </c>
      <c r="N74" s="11">
        <f>IF(AND(ISNUMBER(E74),ISNUMBER(F74)),(F74-E74),"")</f>
        <v/>
      </c>
      <c r="O74" s="11">
        <f>IF(AND(ISNUMBER(G74),ISNUMBER(H74)),(H74-G74),"")</f>
        <v/>
      </c>
      <c r="P74" s="11">
        <f>IF(AND(ISNUMBER(H74),ISNUMBER(I74)),(I74-H74),"")</f>
        <v/>
      </c>
      <c r="Q74" s="11">
        <f>IF(AND(ISNUMBER(J74),ISNUMBER(K74)),(K74-J74),"")</f>
        <v/>
      </c>
      <c r="R74" s="11">
        <f>IF(AND(ISNUMBER(K74),ISNUMBER(L74)),(L74-K74),"")</f>
        <v/>
      </c>
      <c r="S74" s="11">
        <f>IF(AND(ISNUMBER(F74),ISNUMBER(L74)),(L74-F74),"")</f>
        <v/>
      </c>
      <c r="T74" s="11">
        <f>IF(AND(ISNUMBER(D74),ISNUMBER(L74)),(L74-D74),"")</f>
        <v/>
      </c>
    </row>
    <row r="75">
      <c r="A75" s="3" t="inlineStr">
        <is>
          <t>10074</t>
        </is>
      </c>
      <c r="B75" s="9" t="n">
        <v>241.38</v>
      </c>
      <c r="C75" s="3" t="inlineStr">
        <is>
          <t>703</t>
        </is>
      </c>
      <c r="D75" s="10" t="n">
        <v>45666.60678240741</v>
      </c>
      <c r="E75" s="10" t="n">
        <v>45666.60678240741</v>
      </c>
      <c r="F75" s="10" t="n">
        <v>45666.60893518518</v>
      </c>
      <c r="G75" s="10" t="n">
        <v>45666.60893518518</v>
      </c>
      <c r="H75" s="10" t="n">
        <v>45666.61171296296</v>
      </c>
      <c r="I75" s="10" t="n">
        <v>45666.61364583333</v>
      </c>
      <c r="J75" s="10" t="n">
        <v>45666.61364583333</v>
      </c>
      <c r="K75" s="10" t="n">
        <v>45666.61451388889</v>
      </c>
      <c r="L75" s="10" t="n">
        <v>45666.61677083333</v>
      </c>
      <c r="M75" s="11">
        <f>IF(AND(ISNUMBER(D75),ISNUMBER(E75)),(E75-D75),"")</f>
        <v/>
      </c>
      <c r="N75" s="11">
        <f>IF(AND(ISNUMBER(E75),ISNUMBER(F75)),(F75-E75),"")</f>
        <v/>
      </c>
      <c r="O75" s="11">
        <f>IF(AND(ISNUMBER(G75),ISNUMBER(H75)),(H75-G75),"")</f>
        <v/>
      </c>
      <c r="P75" s="11">
        <f>IF(AND(ISNUMBER(H75),ISNUMBER(I75)),(I75-H75),"")</f>
        <v/>
      </c>
      <c r="Q75" s="11">
        <f>IF(AND(ISNUMBER(J75),ISNUMBER(K75)),(K75-J75),"")</f>
        <v/>
      </c>
      <c r="R75" s="11">
        <f>IF(AND(ISNUMBER(K75),ISNUMBER(L75)),(L75-K75),"")</f>
        <v/>
      </c>
      <c r="S75" s="11">
        <f>IF(AND(ISNUMBER(F75),ISNUMBER(L75)),(L75-F75),"")</f>
        <v/>
      </c>
      <c r="T75" s="11">
        <f>IF(AND(ISNUMBER(D75),ISNUMBER(L75)),(L75-D75),"")</f>
        <v/>
      </c>
    </row>
    <row r="76">
      <c r="A76" s="3" t="inlineStr">
        <is>
          <t>10075</t>
        </is>
      </c>
      <c r="B76" s="9" t="n">
        <v>407.54</v>
      </c>
      <c r="C76" s="3" t="inlineStr">
        <is>
          <t>703</t>
        </is>
      </c>
      <c r="D76" s="10" t="n">
        <v>45666.62534722222</v>
      </c>
      <c r="E76" s="10" t="n">
        <v>45666.62534722222</v>
      </c>
      <c r="F76" s="10" t="n">
        <v>45666.62788194444</v>
      </c>
      <c r="G76" s="10" t="n">
        <v>45666.62788194444</v>
      </c>
      <c r="H76" s="10" t="n">
        <v>45666.63065972222</v>
      </c>
      <c r="I76" s="10" t="n">
        <v>45666.63829861111</v>
      </c>
      <c r="J76" s="10" t="n">
        <v>45666.63829861111</v>
      </c>
      <c r="K76" s="10" t="n">
        <v>45666.63916666667</v>
      </c>
      <c r="L76" s="10" t="n">
        <v>45666.64798611111</v>
      </c>
      <c r="M76" s="11">
        <f>IF(AND(ISNUMBER(D76),ISNUMBER(E76)),(E76-D76),"")</f>
        <v/>
      </c>
      <c r="N76" s="11">
        <f>IF(AND(ISNUMBER(E76),ISNUMBER(F76)),(F76-E76),"")</f>
        <v/>
      </c>
      <c r="O76" s="11">
        <f>IF(AND(ISNUMBER(G76),ISNUMBER(H76)),(H76-G76),"")</f>
        <v/>
      </c>
      <c r="P76" s="11">
        <f>IF(AND(ISNUMBER(H76),ISNUMBER(I76)),(I76-H76),"")</f>
        <v/>
      </c>
      <c r="Q76" s="11">
        <f>IF(AND(ISNUMBER(J76),ISNUMBER(K76)),(K76-J76),"")</f>
        <v/>
      </c>
      <c r="R76" s="11">
        <f>IF(AND(ISNUMBER(K76),ISNUMBER(L76)),(L76-K76),"")</f>
        <v/>
      </c>
      <c r="S76" s="11">
        <f>IF(AND(ISNUMBER(F76),ISNUMBER(L76)),(L76-F76),"")</f>
        <v/>
      </c>
      <c r="T76" s="11">
        <f>IF(AND(ISNUMBER(D76),ISNUMBER(L76)),(L76-D76),"")</f>
        <v/>
      </c>
    </row>
    <row r="77">
      <c r="A77" s="3" t="inlineStr">
        <is>
          <t>10076</t>
        </is>
      </c>
      <c r="B77" s="9" t="n">
        <v>314.8000000000001</v>
      </c>
      <c r="C77" s="3" t="inlineStr">
        <is>
          <t>727</t>
        </is>
      </c>
      <c r="D77" s="10" t="n">
        <v>45666.64368055556</v>
      </c>
      <c r="E77" s="10" t="n">
        <v>45666.64368055556</v>
      </c>
      <c r="F77" s="10" t="n">
        <v>45666.64556712963</v>
      </c>
      <c r="G77" s="10" t="n">
        <v>45666.64556712963</v>
      </c>
      <c r="H77" s="10" t="n">
        <v>45666.64834490741</v>
      </c>
      <c r="I77" s="10" t="n">
        <v>45666.65091435185</v>
      </c>
      <c r="J77" s="10" t="n">
        <v>45666.65091435185</v>
      </c>
      <c r="K77" s="10" t="n">
        <v>45666.65178240741</v>
      </c>
      <c r="L77" s="10" t="n">
        <v>45666.65394675926</v>
      </c>
      <c r="M77" s="11">
        <f>IF(AND(ISNUMBER(D77),ISNUMBER(E77)),(E77-D77),"")</f>
        <v/>
      </c>
      <c r="N77" s="11">
        <f>IF(AND(ISNUMBER(E77),ISNUMBER(F77)),(F77-E77),"")</f>
        <v/>
      </c>
      <c r="O77" s="11">
        <f>IF(AND(ISNUMBER(G77),ISNUMBER(H77)),(H77-G77),"")</f>
        <v/>
      </c>
      <c r="P77" s="11">
        <f>IF(AND(ISNUMBER(H77),ISNUMBER(I77)),(I77-H77),"")</f>
        <v/>
      </c>
      <c r="Q77" s="11">
        <f>IF(AND(ISNUMBER(J77),ISNUMBER(K77)),(K77-J77),"")</f>
        <v/>
      </c>
      <c r="R77" s="11">
        <f>IF(AND(ISNUMBER(K77),ISNUMBER(L77)),(L77-K77),"")</f>
        <v/>
      </c>
      <c r="S77" s="11">
        <f>IF(AND(ISNUMBER(F77),ISNUMBER(L77)),(L77-F77),"")</f>
        <v/>
      </c>
      <c r="T77" s="11">
        <f>IF(AND(ISNUMBER(D77),ISNUMBER(L77)),(L77-D77),"")</f>
        <v/>
      </c>
    </row>
    <row r="78">
      <c r="A78" s="3" t="inlineStr">
        <is>
          <t>10077</t>
        </is>
      </c>
      <c r="B78" s="9" t="n">
        <v>318.98</v>
      </c>
      <c r="C78" s="3" t="inlineStr">
        <is>
          <t>703</t>
        </is>
      </c>
      <c r="D78" s="10" t="n">
        <v>45666.7384375</v>
      </c>
      <c r="E78" s="10" t="n">
        <v>45666.7384375</v>
      </c>
      <c r="F78" s="10" t="n">
        <v>45666.74076388889</v>
      </c>
      <c r="G78" s="10" t="n">
        <v>45666.74076388889</v>
      </c>
      <c r="H78" s="10" t="n">
        <v>45666.74354166666</v>
      </c>
      <c r="I78" s="10" t="n">
        <v>45666.75511574074</v>
      </c>
      <c r="J78" s="10" t="n">
        <v>45666.75511574074</v>
      </c>
      <c r="K78" s="10" t="n">
        <v>45666.75599537037</v>
      </c>
      <c r="L78" s="10" t="n">
        <v>45666.77054398148</v>
      </c>
      <c r="M78" s="11">
        <f>IF(AND(ISNUMBER(D78),ISNUMBER(E78)),(E78-D78),"")</f>
        <v/>
      </c>
      <c r="N78" s="11">
        <f>IF(AND(ISNUMBER(E78),ISNUMBER(F78)),(F78-E78),"")</f>
        <v/>
      </c>
      <c r="O78" s="11">
        <f>IF(AND(ISNUMBER(G78),ISNUMBER(H78)),(H78-G78),"")</f>
        <v/>
      </c>
      <c r="P78" s="11">
        <f>IF(AND(ISNUMBER(H78),ISNUMBER(I78)),(I78-H78),"")</f>
        <v/>
      </c>
      <c r="Q78" s="11">
        <f>IF(AND(ISNUMBER(J78),ISNUMBER(K78)),(K78-J78),"")</f>
        <v/>
      </c>
      <c r="R78" s="11">
        <f>IF(AND(ISNUMBER(K78),ISNUMBER(L78)),(L78-K78),"")</f>
        <v/>
      </c>
      <c r="S78" s="11">
        <f>IF(AND(ISNUMBER(F78),ISNUMBER(L78)),(L78-F78),"")</f>
        <v/>
      </c>
      <c r="T78" s="11">
        <f>IF(AND(ISNUMBER(D78),ISNUMBER(L78)),(L78-D78),"")</f>
        <v/>
      </c>
    </row>
    <row r="79">
      <c r="A79" s="3" t="inlineStr">
        <is>
          <t>10078</t>
        </is>
      </c>
      <c r="B79" s="9" t="n">
        <v>47.22</v>
      </c>
      <c r="C79" s="3" t="inlineStr">
        <is>
          <t>731</t>
        </is>
      </c>
      <c r="D79" s="10" t="n">
        <v>45666.74002314815</v>
      </c>
      <c r="E79" s="10" t="n">
        <v>45666.74002314815</v>
      </c>
      <c r="F79" s="10" t="n">
        <v>45666.74135416667</v>
      </c>
      <c r="G79" s="10" t="n">
        <v>45666.74135416667</v>
      </c>
      <c r="H79" s="10" t="n">
        <v>45666.74413194445</v>
      </c>
      <c r="I79" s="10" t="n">
        <v>45666.74450231482</v>
      </c>
      <c r="J79" s="10" t="n">
        <v>45666.74450231482</v>
      </c>
      <c r="K79" s="10" t="n">
        <v>45666.74613425926</v>
      </c>
      <c r="L79" s="10" t="n">
        <v>45666.74795138889</v>
      </c>
      <c r="M79" s="11">
        <f>IF(AND(ISNUMBER(D79),ISNUMBER(E79)),(E79-D79),"")</f>
        <v/>
      </c>
      <c r="N79" s="11">
        <f>IF(AND(ISNUMBER(E79),ISNUMBER(F79)),(F79-E79),"")</f>
        <v/>
      </c>
      <c r="O79" s="11">
        <f>IF(AND(ISNUMBER(G79),ISNUMBER(H79)),(H79-G79),"")</f>
        <v/>
      </c>
      <c r="P79" s="11">
        <f>IF(AND(ISNUMBER(H79),ISNUMBER(I79)),(I79-H79),"")</f>
        <v/>
      </c>
      <c r="Q79" s="11">
        <f>IF(AND(ISNUMBER(J79),ISNUMBER(K79)),(K79-J79),"")</f>
        <v/>
      </c>
      <c r="R79" s="11">
        <f>IF(AND(ISNUMBER(K79),ISNUMBER(L79)),(L79-K79),"")</f>
        <v/>
      </c>
      <c r="S79" s="11">
        <f>IF(AND(ISNUMBER(F79),ISNUMBER(L79)),(L79-F79),"")</f>
        <v/>
      </c>
      <c r="T79" s="11">
        <f>IF(AND(ISNUMBER(D79),ISNUMBER(L79)),(L79-D79),"")</f>
        <v/>
      </c>
    </row>
    <row r="80">
      <c r="A80" s="3" t="inlineStr">
        <is>
          <t>10079</t>
        </is>
      </c>
      <c r="B80" s="9" t="n">
        <v>417.54</v>
      </c>
      <c r="C80" s="3" t="inlineStr">
        <is>
          <t>727</t>
        </is>
      </c>
      <c r="D80" s="10" t="n">
        <v>45666.74115740741</v>
      </c>
      <c r="E80" s="10" t="n">
        <v>45666.74115740741</v>
      </c>
      <c r="F80" s="10" t="n">
        <v>45666.74327546296</v>
      </c>
      <c r="G80" s="10" t="n">
        <v>45666.74327546296</v>
      </c>
      <c r="H80" s="10" t="n">
        <v>45666.74605324074</v>
      </c>
      <c r="I80" s="10" t="n">
        <v>45666.75890046296</v>
      </c>
      <c r="J80" s="10" t="n">
        <v>45666.75890046296</v>
      </c>
      <c r="K80" s="10" t="n">
        <v>45666.77141203704</v>
      </c>
      <c r="L80" s="10" t="n">
        <v>45666.79045138889</v>
      </c>
      <c r="M80" s="11">
        <f>IF(AND(ISNUMBER(D80),ISNUMBER(E80)),(E80-D80),"")</f>
        <v/>
      </c>
      <c r="N80" s="11">
        <f>IF(AND(ISNUMBER(E80),ISNUMBER(F80)),(F80-E80),"")</f>
        <v/>
      </c>
      <c r="O80" s="11">
        <f>IF(AND(ISNUMBER(G80),ISNUMBER(H80)),(H80-G80),"")</f>
        <v/>
      </c>
      <c r="P80" s="11">
        <f>IF(AND(ISNUMBER(H80),ISNUMBER(I80)),(I80-H80),"")</f>
        <v/>
      </c>
      <c r="Q80" s="11">
        <f>IF(AND(ISNUMBER(J80),ISNUMBER(K80)),(K80-J80),"")</f>
        <v/>
      </c>
      <c r="R80" s="11">
        <f>IF(AND(ISNUMBER(K80),ISNUMBER(L80)),(L80-K80),"")</f>
        <v/>
      </c>
      <c r="S80" s="11">
        <f>IF(AND(ISNUMBER(F80),ISNUMBER(L80)),(L80-F80),"")</f>
        <v/>
      </c>
      <c r="T80" s="11">
        <f>IF(AND(ISNUMBER(D80),ISNUMBER(L80)),(L80-D80),"")</f>
        <v/>
      </c>
    </row>
    <row r="81">
      <c r="A81" s="3" t="inlineStr">
        <is>
          <t>10080</t>
        </is>
      </c>
      <c r="B81" s="9" t="n">
        <v>291.68</v>
      </c>
      <c r="C81" s="3" t="inlineStr">
        <is>
          <t>703</t>
        </is>
      </c>
      <c r="D81" s="10" t="n">
        <v>45666.83482638889</v>
      </c>
      <c r="E81" s="10" t="n">
        <v>45666.83482638889</v>
      </c>
      <c r="F81" s="10" t="n">
        <v>45666.83709490741</v>
      </c>
      <c r="G81" s="10" t="n">
        <v>45666.83709490741</v>
      </c>
      <c r="H81" s="10" t="n">
        <v>45666.83987268519</v>
      </c>
      <c r="I81" s="10" t="n">
        <v>45666.84945601852</v>
      </c>
      <c r="J81" s="10" t="n">
        <v>45666.84945601852</v>
      </c>
      <c r="K81" s="10" t="n">
        <v>45666.85032407408</v>
      </c>
      <c r="L81" s="10" t="n">
        <v>45666.86372685185</v>
      </c>
      <c r="M81" s="11">
        <f>IF(AND(ISNUMBER(D81),ISNUMBER(E81)),(E81-D81),"")</f>
        <v/>
      </c>
      <c r="N81" s="11">
        <f>IF(AND(ISNUMBER(E81),ISNUMBER(F81)),(F81-E81),"")</f>
        <v/>
      </c>
      <c r="O81" s="11">
        <f>IF(AND(ISNUMBER(G81),ISNUMBER(H81)),(H81-G81),"")</f>
        <v/>
      </c>
      <c r="P81" s="11">
        <f>IF(AND(ISNUMBER(H81),ISNUMBER(I81)),(I81-H81),"")</f>
        <v/>
      </c>
      <c r="Q81" s="11">
        <f>IF(AND(ISNUMBER(J81),ISNUMBER(K81)),(K81-J81),"")</f>
        <v/>
      </c>
      <c r="R81" s="11">
        <f>IF(AND(ISNUMBER(K81),ISNUMBER(L81)),(L81-K81),"")</f>
        <v/>
      </c>
      <c r="S81" s="11">
        <f>IF(AND(ISNUMBER(F81),ISNUMBER(L81)),(L81-F81),"")</f>
        <v/>
      </c>
      <c r="T81" s="11">
        <f>IF(AND(ISNUMBER(D81),ISNUMBER(L81)),(L81-D81),"")</f>
        <v/>
      </c>
    </row>
    <row r="82">
      <c r="A82" s="3" t="inlineStr">
        <is>
          <t>10081</t>
        </is>
      </c>
      <c r="B82" s="9" t="n">
        <v>309.24</v>
      </c>
      <c r="C82" s="3" t="inlineStr">
        <is>
          <t>703</t>
        </is>
      </c>
      <c r="D82" s="10" t="n">
        <v>45667.11229166666</v>
      </c>
      <c r="E82" s="10" t="n">
        <v>45667.11229166666</v>
      </c>
      <c r="F82" s="10" t="n">
        <v>45667.11459490741</v>
      </c>
      <c r="G82" s="10" t="n">
        <v>45667.11459490741</v>
      </c>
      <c r="H82" s="10" t="n">
        <v>45667.11737268518</v>
      </c>
      <c r="I82" s="10" t="n">
        <v>45667.12350694444</v>
      </c>
      <c r="J82" s="10" t="n">
        <v>45667.12350694444</v>
      </c>
      <c r="K82" s="10" t="n">
        <v>45667.12427083333</v>
      </c>
      <c r="L82" s="10" t="n">
        <v>45667.13174768518</v>
      </c>
      <c r="M82" s="11">
        <f>IF(AND(ISNUMBER(D82),ISNUMBER(E82)),(E82-D82),"")</f>
        <v/>
      </c>
      <c r="N82" s="11">
        <f>IF(AND(ISNUMBER(E82),ISNUMBER(F82)),(F82-E82),"")</f>
        <v/>
      </c>
      <c r="O82" s="11">
        <f>IF(AND(ISNUMBER(G82),ISNUMBER(H82)),(H82-G82),"")</f>
        <v/>
      </c>
      <c r="P82" s="11">
        <f>IF(AND(ISNUMBER(H82),ISNUMBER(I82)),(I82-H82),"")</f>
        <v/>
      </c>
      <c r="Q82" s="11">
        <f>IF(AND(ISNUMBER(J82),ISNUMBER(K82)),(K82-J82),"")</f>
        <v/>
      </c>
      <c r="R82" s="11">
        <f>IF(AND(ISNUMBER(K82),ISNUMBER(L82)),(L82-K82),"")</f>
        <v/>
      </c>
      <c r="S82" s="11">
        <f>IF(AND(ISNUMBER(F82),ISNUMBER(L82)),(L82-F82),"")</f>
        <v/>
      </c>
      <c r="T82" s="11">
        <f>IF(AND(ISNUMBER(D82),ISNUMBER(L82)),(L82-D82),"")</f>
        <v/>
      </c>
    </row>
    <row r="83">
      <c r="A83" s="3" t="inlineStr">
        <is>
          <t>10082</t>
        </is>
      </c>
      <c r="B83" s="9" t="n">
        <v>219.5</v>
      </c>
      <c r="C83" s="3" t="inlineStr">
        <is>
          <t>703</t>
        </is>
      </c>
      <c r="D83" s="10" t="n">
        <v>45667.18908564815</v>
      </c>
      <c r="E83" s="10" t="n">
        <v>45667.18908564815</v>
      </c>
      <c r="F83" s="10" t="n">
        <v>45667.19118055556</v>
      </c>
      <c r="G83" s="10" t="n">
        <v>45667.19118055556</v>
      </c>
      <c r="H83" s="10" t="n">
        <v>45667.19395833334</v>
      </c>
      <c r="I83" s="10" t="n">
        <v>45667.19556712963</v>
      </c>
      <c r="J83" s="10" t="n">
        <v>45667.19556712963</v>
      </c>
      <c r="K83" s="10" t="n">
        <v>45667.19644675926</v>
      </c>
      <c r="L83" s="10" t="n">
        <v>45667.1980787037</v>
      </c>
      <c r="M83" s="11">
        <f>IF(AND(ISNUMBER(D83),ISNUMBER(E83)),(E83-D83),"")</f>
        <v/>
      </c>
      <c r="N83" s="11">
        <f>IF(AND(ISNUMBER(E83),ISNUMBER(F83)),(F83-E83),"")</f>
        <v/>
      </c>
      <c r="O83" s="11">
        <f>IF(AND(ISNUMBER(G83),ISNUMBER(H83)),(H83-G83),"")</f>
        <v/>
      </c>
      <c r="P83" s="11">
        <f>IF(AND(ISNUMBER(H83),ISNUMBER(I83)),(I83-H83),"")</f>
        <v/>
      </c>
      <c r="Q83" s="11">
        <f>IF(AND(ISNUMBER(J83),ISNUMBER(K83)),(K83-J83),"")</f>
        <v/>
      </c>
      <c r="R83" s="11">
        <f>IF(AND(ISNUMBER(K83),ISNUMBER(L83)),(L83-K83),"")</f>
        <v/>
      </c>
      <c r="S83" s="11">
        <f>IF(AND(ISNUMBER(F83),ISNUMBER(L83)),(L83-F83),"")</f>
        <v/>
      </c>
      <c r="T83" s="11">
        <f>IF(AND(ISNUMBER(D83),ISNUMBER(L83)),(L83-D83),"")</f>
        <v/>
      </c>
    </row>
    <row r="84">
      <c r="A84" s="3" t="inlineStr">
        <is>
          <t>10083</t>
        </is>
      </c>
      <c r="B84" s="9" t="n">
        <v>298</v>
      </c>
      <c r="C84" s="3" t="inlineStr">
        <is>
          <t>703</t>
        </is>
      </c>
      <c r="D84" s="10" t="n">
        <v>45667.24026620371</v>
      </c>
      <c r="E84" s="10" t="n">
        <v>45667.24026620371</v>
      </c>
      <c r="F84" s="10" t="n">
        <v>45667.24254629629</v>
      </c>
      <c r="G84" s="10" t="n">
        <v>45667.24254629629</v>
      </c>
      <c r="H84" s="10" t="n">
        <v>45667.24532407407</v>
      </c>
      <c r="I84" s="10" t="n">
        <v>45667.24791666667</v>
      </c>
      <c r="J84" s="10" t="n">
        <v>45667.24791666667</v>
      </c>
      <c r="K84" s="10" t="n">
        <v>45667.24868055555</v>
      </c>
      <c r="L84" s="10" t="n">
        <v>45667.25072916667</v>
      </c>
      <c r="M84" s="11">
        <f>IF(AND(ISNUMBER(D84),ISNUMBER(E84)),(E84-D84),"")</f>
        <v/>
      </c>
      <c r="N84" s="11">
        <f>IF(AND(ISNUMBER(E84),ISNUMBER(F84)),(F84-E84),"")</f>
        <v/>
      </c>
      <c r="O84" s="11">
        <f>IF(AND(ISNUMBER(G84),ISNUMBER(H84)),(H84-G84),"")</f>
        <v/>
      </c>
      <c r="P84" s="11">
        <f>IF(AND(ISNUMBER(H84),ISNUMBER(I84)),(I84-H84),"")</f>
        <v/>
      </c>
      <c r="Q84" s="11">
        <f>IF(AND(ISNUMBER(J84),ISNUMBER(K84)),(K84-J84),"")</f>
        <v/>
      </c>
      <c r="R84" s="11">
        <f>IF(AND(ISNUMBER(K84),ISNUMBER(L84)),(L84-K84),"")</f>
        <v/>
      </c>
      <c r="S84" s="11">
        <f>IF(AND(ISNUMBER(F84),ISNUMBER(L84)),(L84-F84),"")</f>
        <v/>
      </c>
      <c r="T84" s="11">
        <f>IF(AND(ISNUMBER(D84),ISNUMBER(L84)),(L84-D84),"")</f>
        <v/>
      </c>
    </row>
    <row r="85">
      <c r="A85" s="3" t="inlineStr">
        <is>
          <t>10084</t>
        </is>
      </c>
      <c r="B85" s="9" t="n">
        <v>386.2599999999999</v>
      </c>
      <c r="C85" s="3" t="inlineStr">
        <is>
          <t>703</t>
        </is>
      </c>
      <c r="D85" s="10" t="n">
        <v>45667.2774537037</v>
      </c>
      <c r="E85" s="10" t="n">
        <v>45667.2774537037</v>
      </c>
      <c r="F85" s="10" t="n">
        <v>45667.27994212963</v>
      </c>
      <c r="G85" s="10" t="n">
        <v>45667.27994212963</v>
      </c>
      <c r="H85" s="10" t="n">
        <v>45667.28271990741</v>
      </c>
      <c r="I85" s="10" t="n">
        <v>45667.29332175926</v>
      </c>
      <c r="J85" s="10" t="n">
        <v>45667.29332175926</v>
      </c>
      <c r="K85" s="10" t="n">
        <v>45667.29420138889</v>
      </c>
      <c r="L85" s="10" t="n">
        <v>45667.31010416667</v>
      </c>
      <c r="M85" s="11">
        <f>IF(AND(ISNUMBER(D85),ISNUMBER(E85)),(E85-D85),"")</f>
        <v/>
      </c>
      <c r="N85" s="11">
        <f>IF(AND(ISNUMBER(E85),ISNUMBER(F85)),(F85-E85),"")</f>
        <v/>
      </c>
      <c r="O85" s="11">
        <f>IF(AND(ISNUMBER(G85),ISNUMBER(H85)),(H85-G85),"")</f>
        <v/>
      </c>
      <c r="P85" s="11">
        <f>IF(AND(ISNUMBER(H85),ISNUMBER(I85)),(I85-H85),"")</f>
        <v/>
      </c>
      <c r="Q85" s="11">
        <f>IF(AND(ISNUMBER(J85),ISNUMBER(K85)),(K85-J85),"")</f>
        <v/>
      </c>
      <c r="R85" s="11">
        <f>IF(AND(ISNUMBER(K85),ISNUMBER(L85)),(L85-K85),"")</f>
        <v/>
      </c>
      <c r="S85" s="11">
        <f>IF(AND(ISNUMBER(F85),ISNUMBER(L85)),(L85-F85),"")</f>
        <v/>
      </c>
      <c r="T85" s="11">
        <f>IF(AND(ISNUMBER(D85),ISNUMBER(L85)),(L85-D85),"")</f>
        <v/>
      </c>
    </row>
    <row r="86">
      <c r="A86" s="3" t="inlineStr">
        <is>
          <t>10085</t>
        </is>
      </c>
      <c r="B86" s="9" t="n">
        <v>193.12</v>
      </c>
      <c r="C86" s="3" t="inlineStr">
        <is>
          <t>703</t>
        </is>
      </c>
      <c r="D86" s="10" t="n">
        <v>45667.31016203704</v>
      </c>
      <c r="E86" s="10" t="n">
        <v>45667.31016203704</v>
      </c>
      <c r="F86" s="10" t="n">
        <v>45667.31219907408</v>
      </c>
      <c r="G86" s="10" t="n">
        <v>45667.31219907408</v>
      </c>
      <c r="H86" s="10" t="n">
        <v>45667.31497685185</v>
      </c>
      <c r="I86" s="10" t="n">
        <v>45667.31658564815</v>
      </c>
      <c r="J86" s="10" t="n">
        <v>45667.31658564815</v>
      </c>
      <c r="K86" s="10" t="n">
        <v>45667.3174537037</v>
      </c>
      <c r="L86" s="10" t="n">
        <v>45667.31981481481</v>
      </c>
      <c r="M86" s="11">
        <f>IF(AND(ISNUMBER(D86),ISNUMBER(E86)),(E86-D86),"")</f>
        <v/>
      </c>
      <c r="N86" s="11">
        <f>IF(AND(ISNUMBER(E86),ISNUMBER(F86)),(F86-E86),"")</f>
        <v/>
      </c>
      <c r="O86" s="11">
        <f>IF(AND(ISNUMBER(G86),ISNUMBER(H86)),(H86-G86),"")</f>
        <v/>
      </c>
      <c r="P86" s="11">
        <f>IF(AND(ISNUMBER(H86),ISNUMBER(I86)),(I86-H86),"")</f>
        <v/>
      </c>
      <c r="Q86" s="11">
        <f>IF(AND(ISNUMBER(J86),ISNUMBER(K86)),(K86-J86),"")</f>
        <v/>
      </c>
      <c r="R86" s="11">
        <f>IF(AND(ISNUMBER(K86),ISNUMBER(L86)),(L86-K86),"")</f>
        <v/>
      </c>
      <c r="S86" s="11">
        <f>IF(AND(ISNUMBER(F86),ISNUMBER(L86)),(L86-F86),"")</f>
        <v/>
      </c>
      <c r="T86" s="11">
        <f>IF(AND(ISNUMBER(D86),ISNUMBER(L86)),(L86-D86),"")</f>
        <v/>
      </c>
    </row>
    <row r="87">
      <c r="A87" s="3" t="inlineStr">
        <is>
          <t>10086</t>
        </is>
      </c>
      <c r="B87" s="9" t="n">
        <v>380.8200000000001</v>
      </c>
      <c r="C87" s="3" t="inlineStr">
        <is>
          <t>703</t>
        </is>
      </c>
      <c r="D87" s="10" t="n">
        <v>45667.33010416666</v>
      </c>
      <c r="E87" s="10" t="n">
        <v>45667.33010416666</v>
      </c>
      <c r="F87" s="10" t="n">
        <v>45667.33258101852</v>
      </c>
      <c r="G87" s="10" t="n">
        <v>45667.33258101852</v>
      </c>
      <c r="H87" s="10" t="n">
        <v>45667.3353587963</v>
      </c>
      <c r="I87" s="10" t="n">
        <v>45667.33826388889</v>
      </c>
      <c r="J87" s="10" t="n">
        <v>45667.33826388889</v>
      </c>
      <c r="K87" s="10" t="n">
        <v>45667.33914351852</v>
      </c>
      <c r="L87" s="10" t="n">
        <v>45667.34171296296</v>
      </c>
      <c r="M87" s="11">
        <f>IF(AND(ISNUMBER(D87),ISNUMBER(E87)),(E87-D87),"")</f>
        <v/>
      </c>
      <c r="N87" s="11">
        <f>IF(AND(ISNUMBER(E87),ISNUMBER(F87)),(F87-E87),"")</f>
        <v/>
      </c>
      <c r="O87" s="11">
        <f>IF(AND(ISNUMBER(G87),ISNUMBER(H87)),(H87-G87),"")</f>
        <v/>
      </c>
      <c r="P87" s="11">
        <f>IF(AND(ISNUMBER(H87),ISNUMBER(I87)),(I87-H87),"")</f>
        <v/>
      </c>
      <c r="Q87" s="11">
        <f>IF(AND(ISNUMBER(J87),ISNUMBER(K87)),(K87-J87),"")</f>
        <v/>
      </c>
      <c r="R87" s="11">
        <f>IF(AND(ISNUMBER(K87),ISNUMBER(L87)),(L87-K87),"")</f>
        <v/>
      </c>
      <c r="S87" s="11">
        <f>IF(AND(ISNUMBER(F87),ISNUMBER(L87)),(L87-F87),"")</f>
        <v/>
      </c>
      <c r="T87" s="11">
        <f>IF(AND(ISNUMBER(D87),ISNUMBER(L87)),(L87-D87),"")</f>
        <v/>
      </c>
    </row>
    <row r="88">
      <c r="A88" s="3" t="inlineStr">
        <is>
          <t>10087</t>
        </is>
      </c>
      <c r="B88" s="9" t="n">
        <v>588.42</v>
      </c>
      <c r="C88" s="3" t="inlineStr">
        <is>
          <t>727</t>
        </is>
      </c>
      <c r="D88" s="10" t="n">
        <v>45667.36486111111</v>
      </c>
      <c r="E88" s="10" t="n">
        <v>45667.36486111111</v>
      </c>
      <c r="F88" s="10" t="n">
        <v>45667.36737268518</v>
      </c>
      <c r="G88" s="10" t="n">
        <v>45667.36737268518</v>
      </c>
      <c r="H88" s="10" t="n">
        <v>45667.37015046296</v>
      </c>
      <c r="I88" s="10" t="n">
        <v>45667.38728009259</v>
      </c>
      <c r="J88" s="10" t="n">
        <v>45667.38728009259</v>
      </c>
      <c r="K88" s="10" t="n">
        <v>45667.38930555555</v>
      </c>
      <c r="L88" s="10" t="n">
        <v>45667.40922453703</v>
      </c>
      <c r="M88" s="11">
        <f>IF(AND(ISNUMBER(D88),ISNUMBER(E88)),(E88-D88),"")</f>
        <v/>
      </c>
      <c r="N88" s="11">
        <f>IF(AND(ISNUMBER(E88),ISNUMBER(F88)),(F88-E88),"")</f>
        <v/>
      </c>
      <c r="O88" s="11">
        <f>IF(AND(ISNUMBER(G88),ISNUMBER(H88)),(H88-G88),"")</f>
        <v/>
      </c>
      <c r="P88" s="11">
        <f>IF(AND(ISNUMBER(H88),ISNUMBER(I88)),(I88-H88),"")</f>
        <v/>
      </c>
      <c r="Q88" s="11">
        <f>IF(AND(ISNUMBER(J88),ISNUMBER(K88)),(K88-J88),"")</f>
        <v/>
      </c>
      <c r="R88" s="11">
        <f>IF(AND(ISNUMBER(K88),ISNUMBER(L88)),(L88-K88),"")</f>
        <v/>
      </c>
      <c r="S88" s="11">
        <f>IF(AND(ISNUMBER(F88),ISNUMBER(L88)),(L88-F88),"")</f>
        <v/>
      </c>
      <c r="T88" s="11">
        <f>IF(AND(ISNUMBER(D88),ISNUMBER(L88)),(L88-D88),"")</f>
        <v/>
      </c>
    </row>
    <row r="89">
      <c r="A89" s="3" t="inlineStr">
        <is>
          <t>10088</t>
        </is>
      </c>
      <c r="B89" s="9" t="n">
        <v>206.3</v>
      </c>
      <c r="C89" s="3" t="inlineStr">
        <is>
          <t>703</t>
        </is>
      </c>
      <c r="D89" s="10" t="n">
        <v>45667.3740625</v>
      </c>
      <c r="E89" s="10" t="n">
        <v>45667.3740625</v>
      </c>
      <c r="F89" s="10" t="n">
        <v>45667.37613425926</v>
      </c>
      <c r="G89" s="10" t="n">
        <v>45667.37613425926</v>
      </c>
      <c r="H89" s="10" t="n">
        <v>45667.37891203703</v>
      </c>
      <c r="I89" s="10" t="n">
        <v>45667.3825</v>
      </c>
      <c r="J89" s="10" t="n">
        <v>45667.3825</v>
      </c>
      <c r="K89" s="10" t="n">
        <v>45667.38336805555</v>
      </c>
      <c r="L89" s="10" t="n">
        <v>45667.38842592593</v>
      </c>
      <c r="M89" s="11">
        <f>IF(AND(ISNUMBER(D89),ISNUMBER(E89)),(E89-D89),"")</f>
        <v/>
      </c>
      <c r="N89" s="11">
        <f>IF(AND(ISNUMBER(E89),ISNUMBER(F89)),(F89-E89),"")</f>
        <v/>
      </c>
      <c r="O89" s="11">
        <f>IF(AND(ISNUMBER(G89),ISNUMBER(H89)),(H89-G89),"")</f>
        <v/>
      </c>
      <c r="P89" s="11">
        <f>IF(AND(ISNUMBER(H89),ISNUMBER(I89)),(I89-H89),"")</f>
        <v/>
      </c>
      <c r="Q89" s="11">
        <f>IF(AND(ISNUMBER(J89),ISNUMBER(K89)),(K89-J89),"")</f>
        <v/>
      </c>
      <c r="R89" s="11">
        <f>IF(AND(ISNUMBER(K89),ISNUMBER(L89)),(L89-K89),"")</f>
        <v/>
      </c>
      <c r="S89" s="11">
        <f>IF(AND(ISNUMBER(F89),ISNUMBER(L89)),(L89-F89),"")</f>
        <v/>
      </c>
      <c r="T89" s="11">
        <f>IF(AND(ISNUMBER(D89),ISNUMBER(L89)),(L89-D89),"")</f>
        <v/>
      </c>
    </row>
    <row r="90">
      <c r="A90" s="3" t="inlineStr">
        <is>
          <t>10089</t>
        </is>
      </c>
      <c r="B90" s="9" t="n">
        <v>259.66</v>
      </c>
      <c r="C90" s="3" t="inlineStr">
        <is>
          <t>703</t>
        </is>
      </c>
      <c r="D90" s="10" t="n">
        <v>45667.42962962963</v>
      </c>
      <c r="E90" s="10" t="n">
        <v>45667.42962962963</v>
      </c>
      <c r="F90" s="10" t="n">
        <v>45667.43181712963</v>
      </c>
      <c r="G90" s="10" t="n">
        <v>45667.43181712963</v>
      </c>
      <c r="H90" s="10" t="n">
        <v>45667.4345949074</v>
      </c>
      <c r="I90" s="10" t="n">
        <v>45667.43686342592</v>
      </c>
      <c r="J90" s="10" t="n">
        <v>45667.43686342592</v>
      </c>
      <c r="K90" s="10" t="n">
        <v>45667.43765046296</v>
      </c>
      <c r="L90" s="10" t="n">
        <v>45667.44012731482</v>
      </c>
      <c r="M90" s="11">
        <f>IF(AND(ISNUMBER(D90),ISNUMBER(E90)),(E90-D90),"")</f>
        <v/>
      </c>
      <c r="N90" s="11">
        <f>IF(AND(ISNUMBER(E90),ISNUMBER(F90)),(F90-E90),"")</f>
        <v/>
      </c>
      <c r="O90" s="11">
        <f>IF(AND(ISNUMBER(G90),ISNUMBER(H90)),(H90-G90),"")</f>
        <v/>
      </c>
      <c r="P90" s="11">
        <f>IF(AND(ISNUMBER(H90),ISNUMBER(I90)),(I90-H90),"")</f>
        <v/>
      </c>
      <c r="Q90" s="11">
        <f>IF(AND(ISNUMBER(J90),ISNUMBER(K90)),(K90-J90),"")</f>
        <v/>
      </c>
      <c r="R90" s="11">
        <f>IF(AND(ISNUMBER(K90),ISNUMBER(L90)),(L90-K90),"")</f>
        <v/>
      </c>
      <c r="S90" s="11">
        <f>IF(AND(ISNUMBER(F90),ISNUMBER(L90)),(L90-F90),"")</f>
        <v/>
      </c>
      <c r="T90" s="11">
        <f>IF(AND(ISNUMBER(D90),ISNUMBER(L90)),(L90-D90),"")</f>
        <v/>
      </c>
    </row>
    <row r="91">
      <c r="A91" s="3" t="inlineStr">
        <is>
          <t>10090</t>
        </is>
      </c>
      <c r="B91" s="9" t="n">
        <v>95.33999999999999</v>
      </c>
      <c r="C91" s="3" t="inlineStr">
        <is>
          <t>703</t>
        </is>
      </c>
      <c r="D91" s="10" t="n">
        <v>45667.54498842593</v>
      </c>
      <c r="E91" s="10" t="n">
        <v>45667.54498842593</v>
      </c>
      <c r="F91" s="10" t="n">
        <v>45667.54679398148</v>
      </c>
      <c r="G91" s="10" t="n">
        <v>45667.54679398148</v>
      </c>
      <c r="H91" s="10" t="n">
        <v>45667.54957175926</v>
      </c>
      <c r="I91" s="10" t="n">
        <v>45667.55028935185</v>
      </c>
      <c r="J91" s="10" t="n">
        <v>45667.55028935185</v>
      </c>
      <c r="K91" s="10" t="n">
        <v>45667.55116898148</v>
      </c>
      <c r="L91" s="10" t="n">
        <v>45667.55262731481</v>
      </c>
      <c r="M91" s="11">
        <f>IF(AND(ISNUMBER(D91),ISNUMBER(E91)),(E91-D91),"")</f>
        <v/>
      </c>
      <c r="N91" s="11">
        <f>IF(AND(ISNUMBER(E91),ISNUMBER(F91)),(F91-E91),"")</f>
        <v/>
      </c>
      <c r="O91" s="11">
        <f>IF(AND(ISNUMBER(G91),ISNUMBER(H91)),(H91-G91),"")</f>
        <v/>
      </c>
      <c r="P91" s="11">
        <f>IF(AND(ISNUMBER(H91),ISNUMBER(I91)),(I91-H91),"")</f>
        <v/>
      </c>
      <c r="Q91" s="11">
        <f>IF(AND(ISNUMBER(J91),ISNUMBER(K91)),(K91-J91),"")</f>
        <v/>
      </c>
      <c r="R91" s="11">
        <f>IF(AND(ISNUMBER(K91),ISNUMBER(L91)),(L91-K91),"")</f>
        <v/>
      </c>
      <c r="S91" s="11">
        <f>IF(AND(ISNUMBER(F91),ISNUMBER(L91)),(L91-F91),"")</f>
        <v/>
      </c>
      <c r="T91" s="11">
        <f>IF(AND(ISNUMBER(D91),ISNUMBER(L91)),(L91-D91),"")</f>
        <v/>
      </c>
    </row>
    <row r="92">
      <c r="A92" s="3" t="inlineStr">
        <is>
          <t>10091</t>
        </is>
      </c>
      <c r="B92" s="9" t="n">
        <v>23.24</v>
      </c>
      <c r="C92" s="3" t="inlineStr">
        <is>
          <t>731</t>
        </is>
      </c>
      <c r="D92" s="10" t="n">
        <v>45667.59134259259</v>
      </c>
      <c r="E92" s="10" t="n">
        <v>45667.59134259259</v>
      </c>
      <c r="F92" s="10" t="n">
        <v>45667.59261574074</v>
      </c>
      <c r="G92" s="10" t="n">
        <v>45667.59261574074</v>
      </c>
      <c r="H92" s="10" t="n">
        <v>45667.59539351852</v>
      </c>
      <c r="I92" s="10" t="n">
        <v>45667.59559027778</v>
      </c>
      <c r="J92" s="10" t="n">
        <v>45667.59559027778</v>
      </c>
      <c r="K92" s="10" t="n">
        <v>45667.59638888889</v>
      </c>
      <c r="L92" s="10" t="n">
        <v>45667.5980324074</v>
      </c>
      <c r="M92" s="11">
        <f>IF(AND(ISNUMBER(D92),ISNUMBER(E92)),(E92-D92),"")</f>
        <v/>
      </c>
      <c r="N92" s="11">
        <f>IF(AND(ISNUMBER(E92),ISNUMBER(F92)),(F92-E92),"")</f>
        <v/>
      </c>
      <c r="O92" s="11">
        <f>IF(AND(ISNUMBER(G92),ISNUMBER(H92)),(H92-G92),"")</f>
        <v/>
      </c>
      <c r="P92" s="11">
        <f>IF(AND(ISNUMBER(H92),ISNUMBER(I92)),(I92-H92),"")</f>
        <v/>
      </c>
      <c r="Q92" s="11">
        <f>IF(AND(ISNUMBER(J92),ISNUMBER(K92)),(K92-J92),"")</f>
        <v/>
      </c>
      <c r="R92" s="11">
        <f>IF(AND(ISNUMBER(K92),ISNUMBER(L92)),(L92-K92),"")</f>
        <v/>
      </c>
      <c r="S92" s="11">
        <f>IF(AND(ISNUMBER(F92),ISNUMBER(L92)),(L92-F92),"")</f>
        <v/>
      </c>
      <c r="T92" s="11">
        <f>IF(AND(ISNUMBER(D92),ISNUMBER(L92)),(L92-D92),"")</f>
        <v/>
      </c>
    </row>
    <row r="93">
      <c r="A93" s="3" t="inlineStr">
        <is>
          <t>10092</t>
        </is>
      </c>
      <c r="B93" s="9" t="n">
        <v>393.5000000000001</v>
      </c>
      <c r="C93" s="3" t="inlineStr">
        <is>
          <t>703</t>
        </is>
      </c>
      <c r="D93" s="10" t="n">
        <v>45667.61743055555</v>
      </c>
      <c r="E93" s="10" t="n">
        <v>45667.61743055555</v>
      </c>
      <c r="F93" s="10" t="n">
        <v>45667.61993055556</v>
      </c>
      <c r="G93" s="10" t="n">
        <v>45667.61993055556</v>
      </c>
      <c r="H93" s="10" t="n">
        <v>45667.62270833334</v>
      </c>
      <c r="I93" s="10" t="n">
        <v>45667.62564814815</v>
      </c>
      <c r="J93" s="10" t="n">
        <v>45667.62564814815</v>
      </c>
      <c r="K93" s="10" t="n">
        <v>45667.62652777778</v>
      </c>
      <c r="L93" s="10" t="n">
        <v>45667.62931712963</v>
      </c>
      <c r="M93" s="11">
        <f>IF(AND(ISNUMBER(D93),ISNUMBER(E93)),(E93-D93),"")</f>
        <v/>
      </c>
      <c r="N93" s="11">
        <f>IF(AND(ISNUMBER(E93),ISNUMBER(F93)),(F93-E93),"")</f>
        <v/>
      </c>
      <c r="O93" s="11">
        <f>IF(AND(ISNUMBER(G93),ISNUMBER(H93)),(H93-G93),"")</f>
        <v/>
      </c>
      <c r="P93" s="11">
        <f>IF(AND(ISNUMBER(H93),ISNUMBER(I93)),(I93-H93),"")</f>
        <v/>
      </c>
      <c r="Q93" s="11">
        <f>IF(AND(ISNUMBER(J93),ISNUMBER(K93)),(K93-J93),"")</f>
        <v/>
      </c>
      <c r="R93" s="11">
        <f>IF(AND(ISNUMBER(K93),ISNUMBER(L93)),(L93-K93),"")</f>
        <v/>
      </c>
      <c r="S93" s="11">
        <f>IF(AND(ISNUMBER(F93),ISNUMBER(L93)),(L93-F93),"")</f>
        <v/>
      </c>
      <c r="T93" s="11">
        <f>IF(AND(ISNUMBER(D93),ISNUMBER(L93)),(L93-D93),"")</f>
        <v/>
      </c>
    </row>
    <row r="94">
      <c r="A94" s="3" t="inlineStr">
        <is>
          <t>10093</t>
        </is>
      </c>
      <c r="B94" s="9" t="n">
        <v>302.1200000000001</v>
      </c>
      <c r="C94" s="3" t="inlineStr">
        <is>
          <t>703</t>
        </is>
      </c>
      <c r="D94" s="10" t="n">
        <v>45667.72825231482</v>
      </c>
      <c r="E94" s="10" t="n">
        <v>45667.72825231482</v>
      </c>
      <c r="F94" s="10" t="n">
        <v>45667.73054398148</v>
      </c>
      <c r="G94" s="10" t="n">
        <v>45667.73054398148</v>
      </c>
      <c r="H94" s="10" t="n">
        <v>45667.73332175926</v>
      </c>
      <c r="I94" s="10" t="n">
        <v>45667.73594907407</v>
      </c>
      <c r="J94" s="10" t="n">
        <v>45667.73594907407</v>
      </c>
      <c r="K94" s="10" t="n">
        <v>45667.73674768519</v>
      </c>
      <c r="L94" s="10" t="n">
        <v>45667.73868055556</v>
      </c>
      <c r="M94" s="11">
        <f>IF(AND(ISNUMBER(D94),ISNUMBER(E94)),(E94-D94),"")</f>
        <v/>
      </c>
      <c r="N94" s="11">
        <f>IF(AND(ISNUMBER(E94),ISNUMBER(F94)),(F94-E94),"")</f>
        <v/>
      </c>
      <c r="O94" s="11">
        <f>IF(AND(ISNUMBER(G94),ISNUMBER(H94)),(H94-G94),"")</f>
        <v/>
      </c>
      <c r="P94" s="11">
        <f>IF(AND(ISNUMBER(H94),ISNUMBER(I94)),(I94-H94),"")</f>
        <v/>
      </c>
      <c r="Q94" s="11">
        <f>IF(AND(ISNUMBER(J94),ISNUMBER(K94)),(K94-J94),"")</f>
        <v/>
      </c>
      <c r="R94" s="11">
        <f>IF(AND(ISNUMBER(K94),ISNUMBER(L94)),(L94-K94),"")</f>
        <v/>
      </c>
      <c r="S94" s="11">
        <f>IF(AND(ISNUMBER(F94),ISNUMBER(L94)),(L94-F94),"")</f>
        <v/>
      </c>
      <c r="T94" s="11">
        <f>IF(AND(ISNUMBER(D94),ISNUMBER(L94)),(L94-D94),"")</f>
        <v/>
      </c>
    </row>
    <row r="95">
      <c r="A95" s="3" t="inlineStr">
        <is>
          <t>10094</t>
        </is>
      </c>
      <c r="B95" s="9" t="n">
        <v>577.5999999999999</v>
      </c>
      <c r="C95" s="3" t="inlineStr">
        <is>
          <t>727</t>
        </is>
      </c>
      <c r="D95" s="10" t="n">
        <v>45667.73519675926</v>
      </c>
      <c r="E95" s="10" t="n">
        <v>45667.73519675926</v>
      </c>
      <c r="F95" s="10" t="n">
        <v>45667.73768518519</v>
      </c>
      <c r="G95" s="10" t="n">
        <v>45667.73768518519</v>
      </c>
      <c r="H95" s="10" t="n">
        <v>45667.74046296296</v>
      </c>
      <c r="I95" s="10" t="n">
        <v>45667.75810185185</v>
      </c>
      <c r="J95" s="10" t="n">
        <v>45667.75810185185</v>
      </c>
      <c r="K95" s="10" t="n">
        <v>45667.75888888889</v>
      </c>
      <c r="L95" s="10" t="n">
        <v>45667.77939814814</v>
      </c>
      <c r="M95" s="11">
        <f>IF(AND(ISNUMBER(D95),ISNUMBER(E95)),(E95-D95),"")</f>
        <v/>
      </c>
      <c r="N95" s="11">
        <f>IF(AND(ISNUMBER(E95),ISNUMBER(F95)),(F95-E95),"")</f>
        <v/>
      </c>
      <c r="O95" s="11">
        <f>IF(AND(ISNUMBER(G95),ISNUMBER(H95)),(H95-G95),"")</f>
        <v/>
      </c>
      <c r="P95" s="11">
        <f>IF(AND(ISNUMBER(H95),ISNUMBER(I95)),(I95-H95),"")</f>
        <v/>
      </c>
      <c r="Q95" s="11">
        <f>IF(AND(ISNUMBER(J95),ISNUMBER(K95)),(K95-J95),"")</f>
        <v/>
      </c>
      <c r="R95" s="11">
        <f>IF(AND(ISNUMBER(K95),ISNUMBER(L95)),(L95-K95),"")</f>
        <v/>
      </c>
      <c r="S95" s="11">
        <f>IF(AND(ISNUMBER(F95),ISNUMBER(L95)),(L95-F95),"")</f>
        <v/>
      </c>
      <c r="T95" s="11">
        <f>IF(AND(ISNUMBER(D95),ISNUMBER(L95)),(L95-D95),"")</f>
        <v/>
      </c>
    </row>
    <row r="96">
      <c r="A96" s="3" t="inlineStr">
        <is>
          <t>10095</t>
        </is>
      </c>
      <c r="B96" s="9" t="n">
        <v>300.46</v>
      </c>
      <c r="C96" s="3" t="inlineStr">
        <is>
          <t>703</t>
        </is>
      </c>
      <c r="D96" s="10" t="n">
        <v>45667.84109953704</v>
      </c>
      <c r="E96" s="10" t="n">
        <v>45667.84109953704</v>
      </c>
      <c r="F96" s="10" t="n">
        <v>45667.84339120371</v>
      </c>
      <c r="G96" s="10" t="n">
        <v>45667.84339120371</v>
      </c>
      <c r="H96" s="10" t="n">
        <v>45667.84616898148</v>
      </c>
      <c r="I96" s="10" t="n">
        <v>45667.85612268518</v>
      </c>
      <c r="J96" s="10" t="n">
        <v>45667.85612268518</v>
      </c>
      <c r="K96" s="10" t="n">
        <v>45667.85699074074</v>
      </c>
      <c r="L96" s="10" t="n">
        <v>45667.87052083333</v>
      </c>
      <c r="M96" s="11">
        <f>IF(AND(ISNUMBER(D96),ISNUMBER(E96)),(E96-D96),"")</f>
        <v/>
      </c>
      <c r="N96" s="11">
        <f>IF(AND(ISNUMBER(E96),ISNUMBER(F96)),(F96-E96),"")</f>
        <v/>
      </c>
      <c r="O96" s="11">
        <f>IF(AND(ISNUMBER(G96),ISNUMBER(H96)),(H96-G96),"")</f>
        <v/>
      </c>
      <c r="P96" s="11">
        <f>IF(AND(ISNUMBER(H96),ISNUMBER(I96)),(I96-H96),"")</f>
        <v/>
      </c>
      <c r="Q96" s="11">
        <f>IF(AND(ISNUMBER(J96),ISNUMBER(K96)),(K96-J96),"")</f>
        <v/>
      </c>
      <c r="R96" s="11">
        <f>IF(AND(ISNUMBER(K96),ISNUMBER(L96)),(L96-K96),"")</f>
        <v/>
      </c>
      <c r="S96" s="11">
        <f>IF(AND(ISNUMBER(F96),ISNUMBER(L96)),(L96-F96),"")</f>
        <v/>
      </c>
      <c r="T96" s="11">
        <f>IF(AND(ISNUMBER(D96),ISNUMBER(L96)),(L96-D96),"")</f>
        <v/>
      </c>
    </row>
    <row r="97">
      <c r="A97" s="3" t="inlineStr">
        <is>
          <t>10096</t>
        </is>
      </c>
      <c r="B97" s="9" t="n">
        <v>366.58</v>
      </c>
      <c r="C97" s="3" t="inlineStr">
        <is>
          <t>703</t>
        </is>
      </c>
      <c r="D97" s="10" t="n">
        <v>45668.20681712963</v>
      </c>
      <c r="E97" s="10" t="n">
        <v>45668.20681712963</v>
      </c>
      <c r="F97" s="10" t="n">
        <v>45668.20925925926</v>
      </c>
      <c r="G97" s="10" t="n">
        <v>45668.20925925926</v>
      </c>
      <c r="H97" s="10" t="n">
        <v>45668.21203703704</v>
      </c>
      <c r="I97" s="10" t="n">
        <v>45668.21706018518</v>
      </c>
      <c r="J97" s="10" t="n">
        <v>45668.21706018518</v>
      </c>
      <c r="K97" s="10" t="n">
        <v>45668.21792824074</v>
      </c>
      <c r="L97" s="10" t="n">
        <v>45668.22392361111</v>
      </c>
      <c r="M97" s="11">
        <f>IF(AND(ISNUMBER(D97),ISNUMBER(E97)),(E97-D97),"")</f>
        <v/>
      </c>
      <c r="N97" s="11">
        <f>IF(AND(ISNUMBER(E97),ISNUMBER(F97)),(F97-E97),"")</f>
        <v/>
      </c>
      <c r="O97" s="11">
        <f>IF(AND(ISNUMBER(G97),ISNUMBER(H97)),(H97-G97),"")</f>
        <v/>
      </c>
      <c r="P97" s="11">
        <f>IF(AND(ISNUMBER(H97),ISNUMBER(I97)),(I97-H97),"")</f>
        <v/>
      </c>
      <c r="Q97" s="11">
        <f>IF(AND(ISNUMBER(J97),ISNUMBER(K97)),(K97-J97),"")</f>
        <v/>
      </c>
      <c r="R97" s="11">
        <f>IF(AND(ISNUMBER(K97),ISNUMBER(L97)),(L97-K97),"")</f>
        <v/>
      </c>
      <c r="S97" s="11">
        <f>IF(AND(ISNUMBER(F97),ISNUMBER(L97)),(L97-F97),"")</f>
        <v/>
      </c>
      <c r="T97" s="11">
        <f>IF(AND(ISNUMBER(D97),ISNUMBER(L97)),(L97-D97),"")</f>
        <v/>
      </c>
    </row>
    <row r="98">
      <c r="A98" s="3" t="inlineStr">
        <is>
          <t>10097</t>
        </is>
      </c>
      <c r="B98" s="9" t="n">
        <v>382.72</v>
      </c>
      <c r="C98" s="3" t="inlineStr">
        <is>
          <t>703</t>
        </is>
      </c>
      <c r="D98" s="10" t="n">
        <v>45668.22872685185</v>
      </c>
      <c r="E98" s="10" t="n">
        <v>45668.22872685185</v>
      </c>
      <c r="F98" s="10" t="n">
        <v>45668.2312037037</v>
      </c>
      <c r="G98" s="10" t="n">
        <v>45668.2312037037</v>
      </c>
      <c r="H98" s="10" t="n">
        <v>45668.23398148148</v>
      </c>
      <c r="I98" s="10" t="n">
        <v>45668.24030092593</v>
      </c>
      <c r="J98" s="10" t="n">
        <v>45668.24030092593</v>
      </c>
      <c r="K98" s="10" t="n">
        <v>45668.24116898148</v>
      </c>
      <c r="L98" s="10" t="n">
        <v>45668.2491087963</v>
      </c>
      <c r="M98" s="11">
        <f>IF(AND(ISNUMBER(D98),ISNUMBER(E98)),(E98-D98),"")</f>
        <v/>
      </c>
      <c r="N98" s="11">
        <f>IF(AND(ISNUMBER(E98),ISNUMBER(F98)),(F98-E98),"")</f>
        <v/>
      </c>
      <c r="O98" s="11">
        <f>IF(AND(ISNUMBER(G98),ISNUMBER(H98)),(H98-G98),"")</f>
        <v/>
      </c>
      <c r="P98" s="11">
        <f>IF(AND(ISNUMBER(H98),ISNUMBER(I98)),(I98-H98),"")</f>
        <v/>
      </c>
      <c r="Q98" s="11">
        <f>IF(AND(ISNUMBER(J98),ISNUMBER(K98)),(K98-J98),"")</f>
        <v/>
      </c>
      <c r="R98" s="11">
        <f>IF(AND(ISNUMBER(K98),ISNUMBER(L98)),(L98-K98),"")</f>
        <v/>
      </c>
      <c r="S98" s="11">
        <f>IF(AND(ISNUMBER(F98),ISNUMBER(L98)),(L98-F98),"")</f>
        <v/>
      </c>
      <c r="T98" s="11">
        <f>IF(AND(ISNUMBER(D98),ISNUMBER(L98)),(L98-D98),"")</f>
        <v/>
      </c>
    </row>
    <row r="99">
      <c r="A99" s="3" t="inlineStr">
        <is>
          <t>10098</t>
        </is>
      </c>
      <c r="B99" s="9" t="n">
        <v>554.1200000000001</v>
      </c>
      <c r="C99" s="3" t="inlineStr">
        <is>
          <t>727</t>
        </is>
      </c>
      <c r="D99" s="10" t="n">
        <v>45669.73712962963</v>
      </c>
      <c r="E99" s="10" t="n">
        <v>45669.73712962963</v>
      </c>
      <c r="F99" s="10" t="n">
        <v>45669.73956018518</v>
      </c>
      <c r="G99" s="10" t="n">
        <v>45669.73956018518</v>
      </c>
      <c r="H99" s="10" t="n">
        <v>45669.74233796296</v>
      </c>
      <c r="I99" s="10" t="n">
        <v>45669.74886574074</v>
      </c>
      <c r="J99" s="10" t="n">
        <v>45669.74886574074</v>
      </c>
      <c r="K99" s="10" t="n">
        <v>45669.74974537037</v>
      </c>
      <c r="L99" s="10" t="n">
        <v>45669.75589120371</v>
      </c>
      <c r="M99" s="11">
        <f>IF(AND(ISNUMBER(D99),ISNUMBER(E99)),(E99-D99),"")</f>
        <v/>
      </c>
      <c r="N99" s="11">
        <f>IF(AND(ISNUMBER(E99),ISNUMBER(F99)),(F99-E99),"")</f>
        <v/>
      </c>
      <c r="O99" s="11">
        <f>IF(AND(ISNUMBER(G99),ISNUMBER(H99)),(H99-G99),"")</f>
        <v/>
      </c>
      <c r="P99" s="11">
        <f>IF(AND(ISNUMBER(H99),ISNUMBER(I99)),(I99-H99),"")</f>
        <v/>
      </c>
      <c r="Q99" s="11">
        <f>IF(AND(ISNUMBER(J99),ISNUMBER(K99)),(K99-J99),"")</f>
        <v/>
      </c>
      <c r="R99" s="11">
        <f>IF(AND(ISNUMBER(K99),ISNUMBER(L99)),(L99-K99),"")</f>
        <v/>
      </c>
      <c r="S99" s="11">
        <f>IF(AND(ISNUMBER(F99),ISNUMBER(L99)),(L99-F99),"")</f>
        <v/>
      </c>
      <c r="T99" s="11">
        <f>IF(AND(ISNUMBER(D99),ISNUMBER(L99)),(L99-D99),"")</f>
        <v/>
      </c>
    </row>
    <row r="100">
      <c r="A100" s="3" t="inlineStr">
        <is>
          <t>10099</t>
        </is>
      </c>
      <c r="B100" s="9" t="n">
        <v>208.1</v>
      </c>
      <c r="C100" s="3" t="inlineStr">
        <is>
          <t>703</t>
        </is>
      </c>
      <c r="D100" s="10" t="n">
        <v>45669.83498842592</v>
      </c>
      <c r="E100" s="10" t="n">
        <v>45669.83498842592</v>
      </c>
      <c r="F100" s="10" t="n">
        <v>45669.83706018519</v>
      </c>
      <c r="G100" s="10" t="n">
        <v>45669.83706018519</v>
      </c>
      <c r="H100" s="10" t="n">
        <v>45669.83983796297</v>
      </c>
      <c r="I100" s="10" t="n">
        <v>45669.84259259259</v>
      </c>
      <c r="J100" s="10" t="n">
        <v>45669.84259259259</v>
      </c>
      <c r="K100" s="10" t="n">
        <v>45669.84346064815</v>
      </c>
      <c r="L100" s="10" t="n">
        <v>45669.84717592593</v>
      </c>
      <c r="M100" s="11">
        <f>IF(AND(ISNUMBER(D100),ISNUMBER(E100)),(E100-D100),"")</f>
        <v/>
      </c>
      <c r="N100" s="11">
        <f>IF(AND(ISNUMBER(E100),ISNUMBER(F100)),(F100-E100),"")</f>
        <v/>
      </c>
      <c r="O100" s="11">
        <f>IF(AND(ISNUMBER(G100),ISNUMBER(H100)),(H100-G100),"")</f>
        <v/>
      </c>
      <c r="P100" s="11">
        <f>IF(AND(ISNUMBER(H100),ISNUMBER(I100)),(I100-H100),"")</f>
        <v/>
      </c>
      <c r="Q100" s="11">
        <f>IF(AND(ISNUMBER(J100),ISNUMBER(K100)),(K100-J100),"")</f>
        <v/>
      </c>
      <c r="R100" s="11">
        <f>IF(AND(ISNUMBER(K100),ISNUMBER(L100)),(L100-K100),"")</f>
        <v/>
      </c>
      <c r="S100" s="11">
        <f>IF(AND(ISNUMBER(F100),ISNUMBER(L100)),(L100-F100),"")</f>
        <v/>
      </c>
      <c r="T100" s="11">
        <f>IF(AND(ISNUMBER(D100),ISNUMBER(L100)),(L100-D100),"")</f>
        <v/>
      </c>
    </row>
    <row r="101">
      <c r="A101" s="3" t="inlineStr">
        <is>
          <t>10100</t>
        </is>
      </c>
      <c r="B101" s="9" t="n">
        <v>181.54</v>
      </c>
      <c r="C101" s="3" t="inlineStr">
        <is>
          <t>703</t>
        </is>
      </c>
      <c r="D101" s="10" t="n">
        <v>45670.10342592592</v>
      </c>
      <c r="E101" s="10" t="n">
        <v>45670.10342592592</v>
      </c>
      <c r="F101" s="10" t="n">
        <v>45670.10543981481</v>
      </c>
      <c r="G101" s="10" t="n">
        <v>45670.10543981481</v>
      </c>
      <c r="H101" s="10" t="n">
        <v>45670.10821759259</v>
      </c>
      <c r="I101" s="10" t="n">
        <v>45670.11070601852</v>
      </c>
      <c r="J101" s="10" t="n">
        <v>45670.11070601852</v>
      </c>
      <c r="K101" s="10" t="n">
        <v>45670.11158564815</v>
      </c>
      <c r="L101" s="10" t="n">
        <v>45670.11494212963</v>
      </c>
      <c r="M101" s="11">
        <f>IF(AND(ISNUMBER(D101),ISNUMBER(E101)),(E101-D101),"")</f>
        <v/>
      </c>
      <c r="N101" s="11">
        <f>IF(AND(ISNUMBER(E101),ISNUMBER(F101)),(F101-E101),"")</f>
        <v/>
      </c>
      <c r="O101" s="11">
        <f>IF(AND(ISNUMBER(G101),ISNUMBER(H101)),(H101-G101),"")</f>
        <v/>
      </c>
      <c r="P101" s="11">
        <f>IF(AND(ISNUMBER(H101),ISNUMBER(I101)),(I101-H101),"")</f>
        <v/>
      </c>
      <c r="Q101" s="11">
        <f>IF(AND(ISNUMBER(J101),ISNUMBER(K101)),(K101-J101),"")</f>
        <v/>
      </c>
      <c r="R101" s="11">
        <f>IF(AND(ISNUMBER(K101),ISNUMBER(L101)),(L101-K101),"")</f>
        <v/>
      </c>
      <c r="S101" s="11">
        <f>IF(AND(ISNUMBER(F101),ISNUMBER(L101)),(L101-F101),"")</f>
        <v/>
      </c>
      <c r="T101" s="11">
        <f>IF(AND(ISNUMBER(D101),ISNUMBER(L101)),(L101-D101),"")</f>
        <v/>
      </c>
    </row>
    <row r="102">
      <c r="A102" s="3" t="inlineStr">
        <is>
          <t>10101</t>
        </is>
      </c>
      <c r="B102" s="9" t="n">
        <v>301.2</v>
      </c>
      <c r="C102" s="3" t="inlineStr">
        <is>
          <t>703</t>
        </is>
      </c>
      <c r="D102" s="10" t="n">
        <v>45670.18650462963</v>
      </c>
      <c r="E102" s="10" t="n">
        <v>45670.18650462963</v>
      </c>
      <c r="F102" s="10" t="n">
        <v>45670.18879629629</v>
      </c>
      <c r="G102" s="10" t="n">
        <v>45670.18879629629</v>
      </c>
      <c r="H102" s="10" t="n">
        <v>45670.19157407407</v>
      </c>
      <c r="I102" s="10" t="n">
        <v>45670.19400462963</v>
      </c>
      <c r="J102" s="10" t="n">
        <v>45670.19400462963</v>
      </c>
      <c r="K102" s="10" t="n">
        <v>45670.19487268518</v>
      </c>
      <c r="L102" s="10" t="n">
        <v>45670.19755787037</v>
      </c>
      <c r="M102" s="11">
        <f>IF(AND(ISNUMBER(D102),ISNUMBER(E102)),(E102-D102),"")</f>
        <v/>
      </c>
      <c r="N102" s="11">
        <f>IF(AND(ISNUMBER(E102),ISNUMBER(F102)),(F102-E102),"")</f>
        <v/>
      </c>
      <c r="O102" s="11">
        <f>IF(AND(ISNUMBER(G102),ISNUMBER(H102)),(H102-G102),"")</f>
        <v/>
      </c>
      <c r="P102" s="11">
        <f>IF(AND(ISNUMBER(H102),ISNUMBER(I102)),(I102-H102),"")</f>
        <v/>
      </c>
      <c r="Q102" s="11">
        <f>IF(AND(ISNUMBER(J102),ISNUMBER(K102)),(K102-J102),"")</f>
        <v/>
      </c>
      <c r="R102" s="11">
        <f>IF(AND(ISNUMBER(K102),ISNUMBER(L102)),(L102-K102),"")</f>
        <v/>
      </c>
      <c r="S102" s="11">
        <f>IF(AND(ISNUMBER(F102),ISNUMBER(L102)),(L102-F102),"")</f>
        <v/>
      </c>
      <c r="T102" s="11">
        <f>IF(AND(ISNUMBER(D102),ISNUMBER(L102)),(L102-D102),"")</f>
        <v/>
      </c>
    </row>
    <row r="103">
      <c r="A103" s="3" t="inlineStr">
        <is>
          <t>10102</t>
        </is>
      </c>
      <c r="B103" s="9" t="n">
        <v>298</v>
      </c>
      <c r="C103" s="3" t="inlineStr">
        <is>
          <t>703</t>
        </is>
      </c>
      <c r="D103" s="10" t="n">
        <v>45670.25335648148</v>
      </c>
      <c r="E103" s="10" t="n">
        <v>45670.25335648148</v>
      </c>
      <c r="F103" s="10" t="n">
        <v>45670.25563657407</v>
      </c>
      <c r="G103" s="10" t="n">
        <v>45670.25563657407</v>
      </c>
      <c r="H103" s="10" t="n">
        <v>45670.25841435185</v>
      </c>
      <c r="I103" s="10" t="n">
        <v>45670.26079861111</v>
      </c>
      <c r="J103" s="10" t="n">
        <v>45670.26079861111</v>
      </c>
      <c r="K103" s="10" t="n">
        <v>45670.26167824074</v>
      </c>
      <c r="L103" s="10" t="n">
        <v>45670.26436342593</v>
      </c>
      <c r="M103" s="11">
        <f>IF(AND(ISNUMBER(D103),ISNUMBER(E103)),(E103-D103),"")</f>
        <v/>
      </c>
      <c r="N103" s="11">
        <f>IF(AND(ISNUMBER(E103),ISNUMBER(F103)),(F103-E103),"")</f>
        <v/>
      </c>
      <c r="O103" s="11">
        <f>IF(AND(ISNUMBER(G103),ISNUMBER(H103)),(H103-G103),"")</f>
        <v/>
      </c>
      <c r="P103" s="11">
        <f>IF(AND(ISNUMBER(H103),ISNUMBER(I103)),(I103-H103),"")</f>
        <v/>
      </c>
      <c r="Q103" s="11">
        <f>IF(AND(ISNUMBER(J103),ISNUMBER(K103)),(K103-J103),"")</f>
        <v/>
      </c>
      <c r="R103" s="11">
        <f>IF(AND(ISNUMBER(K103),ISNUMBER(L103)),(L103-K103),"")</f>
        <v/>
      </c>
      <c r="S103" s="11">
        <f>IF(AND(ISNUMBER(F103),ISNUMBER(L103)),(L103-F103),"")</f>
        <v/>
      </c>
      <c r="T103" s="11">
        <f>IF(AND(ISNUMBER(D103),ISNUMBER(L103)),(L103-D103),"")</f>
        <v/>
      </c>
    </row>
    <row r="104">
      <c r="A104" s="3" t="inlineStr">
        <is>
          <t>10103</t>
        </is>
      </c>
      <c r="B104" s="9" t="n">
        <v>205.52</v>
      </c>
      <c r="C104" s="3" t="inlineStr">
        <is>
          <t>703</t>
        </is>
      </c>
      <c r="D104" s="10" t="n">
        <v>45670.29318287037</v>
      </c>
      <c r="E104" s="10" t="n">
        <v>45670.29318287037</v>
      </c>
      <c r="F104" s="10" t="n">
        <v>45670.29525462963</v>
      </c>
      <c r="G104" s="10" t="n">
        <v>45670.29525462963</v>
      </c>
      <c r="H104" s="10" t="n">
        <v>45670.29803240741</v>
      </c>
      <c r="I104" s="10" t="n">
        <v>45670.2996875</v>
      </c>
      <c r="J104" s="10" t="n">
        <v>45670.2996875</v>
      </c>
      <c r="K104" s="10" t="n">
        <v>45670.30055555556</v>
      </c>
      <c r="L104" s="10" t="n">
        <v>45670.30271990741</v>
      </c>
      <c r="M104" s="11">
        <f>IF(AND(ISNUMBER(D104),ISNUMBER(E104)),(E104-D104),"")</f>
        <v/>
      </c>
      <c r="N104" s="11">
        <f>IF(AND(ISNUMBER(E104),ISNUMBER(F104)),(F104-E104),"")</f>
        <v/>
      </c>
      <c r="O104" s="11">
        <f>IF(AND(ISNUMBER(G104),ISNUMBER(H104)),(H104-G104),"")</f>
        <v/>
      </c>
      <c r="P104" s="11">
        <f>IF(AND(ISNUMBER(H104),ISNUMBER(I104)),(I104-H104),"")</f>
        <v/>
      </c>
      <c r="Q104" s="11">
        <f>IF(AND(ISNUMBER(J104),ISNUMBER(K104)),(K104-J104),"")</f>
        <v/>
      </c>
      <c r="R104" s="11">
        <f>IF(AND(ISNUMBER(K104),ISNUMBER(L104)),(L104-K104),"")</f>
        <v/>
      </c>
      <c r="S104" s="11">
        <f>IF(AND(ISNUMBER(F104),ISNUMBER(L104)),(L104-F104),"")</f>
        <v/>
      </c>
      <c r="T104" s="11">
        <f>IF(AND(ISNUMBER(D104),ISNUMBER(L104)),(L104-D104),"")</f>
        <v/>
      </c>
    </row>
    <row r="105">
      <c r="A105" s="3" t="inlineStr">
        <is>
          <t>10104</t>
        </is>
      </c>
      <c r="B105" s="9" t="n">
        <v>397.3000000000001</v>
      </c>
      <c r="C105" s="3" t="inlineStr">
        <is>
          <t>727</t>
        </is>
      </c>
      <c r="D105" s="10" t="n">
        <v>45670.30211805556</v>
      </c>
      <c r="E105" s="10" t="n">
        <v>45670.30211805556</v>
      </c>
      <c r="F105" s="10" t="n">
        <v>45670.30418981481</v>
      </c>
      <c r="G105" s="10" t="n">
        <v>45670.30418981481</v>
      </c>
      <c r="H105" s="10" t="n">
        <v>45670.30696759259</v>
      </c>
      <c r="I105" s="10" t="n">
        <v>45670.31015046296</v>
      </c>
      <c r="J105" s="10" t="n">
        <v>45670.31015046296</v>
      </c>
      <c r="K105" s="10" t="n">
        <v>45670.31101851852</v>
      </c>
      <c r="L105" s="10" t="n">
        <v>45670.31383101852</v>
      </c>
      <c r="M105" s="11">
        <f>IF(AND(ISNUMBER(D105),ISNUMBER(E105)),(E105-D105),"")</f>
        <v/>
      </c>
      <c r="N105" s="11">
        <f>IF(AND(ISNUMBER(E105),ISNUMBER(F105)),(F105-E105),"")</f>
        <v/>
      </c>
      <c r="O105" s="11">
        <f>IF(AND(ISNUMBER(G105),ISNUMBER(H105)),(H105-G105),"")</f>
        <v/>
      </c>
      <c r="P105" s="11">
        <f>IF(AND(ISNUMBER(H105),ISNUMBER(I105)),(I105-H105),"")</f>
        <v/>
      </c>
      <c r="Q105" s="11">
        <f>IF(AND(ISNUMBER(J105),ISNUMBER(K105)),(K105-J105),"")</f>
        <v/>
      </c>
      <c r="R105" s="11">
        <f>IF(AND(ISNUMBER(K105),ISNUMBER(L105)),(L105-K105),"")</f>
        <v/>
      </c>
      <c r="S105" s="11">
        <f>IF(AND(ISNUMBER(F105),ISNUMBER(L105)),(L105-F105),"")</f>
        <v/>
      </c>
      <c r="T105" s="11">
        <f>IF(AND(ISNUMBER(D105),ISNUMBER(L105)),(L105-D105),"")</f>
        <v/>
      </c>
    </row>
    <row r="106">
      <c r="A106" s="3" t="inlineStr">
        <is>
          <t>10105</t>
        </is>
      </c>
      <c r="B106" s="9" t="n">
        <v>497.28</v>
      </c>
      <c r="C106" s="3" t="inlineStr">
        <is>
          <t>703</t>
        </is>
      </c>
      <c r="D106" s="10" t="n">
        <v>45670.30451388889</v>
      </c>
      <c r="E106" s="10" t="n">
        <v>45670.30451388889</v>
      </c>
      <c r="F106" s="10" t="n">
        <v>45670.30725694444</v>
      </c>
      <c r="G106" s="10" t="n">
        <v>45670.30725694444</v>
      </c>
      <c r="H106" s="10" t="n">
        <v>45670.31003472222</v>
      </c>
      <c r="I106" s="10" t="n">
        <v>45670.32804398148</v>
      </c>
      <c r="J106" s="10" t="n">
        <v>45670.32804398148</v>
      </c>
      <c r="K106" s="10" t="n">
        <v>45670.32891203704</v>
      </c>
      <c r="L106" s="10" t="n">
        <v>45670.35166666667</v>
      </c>
      <c r="M106" s="11">
        <f>IF(AND(ISNUMBER(D106),ISNUMBER(E106)),(E106-D106),"")</f>
        <v/>
      </c>
      <c r="N106" s="11">
        <f>IF(AND(ISNUMBER(E106),ISNUMBER(F106)),(F106-E106),"")</f>
        <v/>
      </c>
      <c r="O106" s="11">
        <f>IF(AND(ISNUMBER(G106),ISNUMBER(H106)),(H106-G106),"")</f>
        <v/>
      </c>
      <c r="P106" s="11">
        <f>IF(AND(ISNUMBER(H106),ISNUMBER(I106)),(I106-H106),"")</f>
        <v/>
      </c>
      <c r="Q106" s="11">
        <f>IF(AND(ISNUMBER(J106),ISNUMBER(K106)),(K106-J106),"")</f>
        <v/>
      </c>
      <c r="R106" s="11">
        <f>IF(AND(ISNUMBER(K106),ISNUMBER(L106)),(L106-K106),"")</f>
        <v/>
      </c>
      <c r="S106" s="11">
        <f>IF(AND(ISNUMBER(F106),ISNUMBER(L106)),(L106-F106),"")</f>
        <v/>
      </c>
      <c r="T106" s="11">
        <f>IF(AND(ISNUMBER(D106),ISNUMBER(L106)),(L106-D106),"")</f>
        <v/>
      </c>
    </row>
    <row r="107">
      <c r="A107" s="3" t="inlineStr">
        <is>
          <t>10106</t>
        </is>
      </c>
      <c r="B107" s="9" t="n">
        <v>393.8</v>
      </c>
      <c r="C107" s="3" t="inlineStr">
        <is>
          <t>703</t>
        </is>
      </c>
      <c r="D107" s="10" t="n">
        <v>45670.37506944445</v>
      </c>
      <c r="E107" s="10" t="n">
        <v>45670.37506944445</v>
      </c>
      <c r="F107" s="10" t="n">
        <v>45670.37756944444</v>
      </c>
      <c r="G107" s="10" t="n">
        <v>45670.37756944444</v>
      </c>
      <c r="H107" s="10" t="n">
        <v>45670.38034722222</v>
      </c>
      <c r="I107" s="10" t="n">
        <v>45670.384375</v>
      </c>
      <c r="J107" s="10" t="n">
        <v>45670.384375</v>
      </c>
      <c r="K107" s="10" t="n">
        <v>45670.38524305556</v>
      </c>
      <c r="L107" s="10" t="n">
        <v>45670.38938657408</v>
      </c>
      <c r="M107" s="11">
        <f>IF(AND(ISNUMBER(D107),ISNUMBER(E107)),(E107-D107),"")</f>
        <v/>
      </c>
      <c r="N107" s="11">
        <f>IF(AND(ISNUMBER(E107),ISNUMBER(F107)),(F107-E107),"")</f>
        <v/>
      </c>
      <c r="O107" s="11">
        <f>IF(AND(ISNUMBER(G107),ISNUMBER(H107)),(H107-G107),"")</f>
        <v/>
      </c>
      <c r="P107" s="11">
        <f>IF(AND(ISNUMBER(H107),ISNUMBER(I107)),(I107-H107),"")</f>
        <v/>
      </c>
      <c r="Q107" s="11">
        <f>IF(AND(ISNUMBER(J107),ISNUMBER(K107)),(K107-J107),"")</f>
        <v/>
      </c>
      <c r="R107" s="11">
        <f>IF(AND(ISNUMBER(K107),ISNUMBER(L107)),(L107-K107),"")</f>
        <v/>
      </c>
      <c r="S107" s="11">
        <f>IF(AND(ISNUMBER(F107),ISNUMBER(L107)),(L107-F107),"")</f>
        <v/>
      </c>
      <c r="T107" s="11">
        <f>IF(AND(ISNUMBER(D107),ISNUMBER(L107)),(L107-D107),"")</f>
        <v/>
      </c>
    </row>
    <row r="108">
      <c r="A108" s="3" t="inlineStr">
        <is>
          <t>10107</t>
        </is>
      </c>
      <c r="B108" s="9" t="n">
        <v>445.28</v>
      </c>
      <c r="C108" s="3" t="inlineStr">
        <is>
          <t>727</t>
        </is>
      </c>
      <c r="D108" s="10" t="n">
        <v>45670.37604166667</v>
      </c>
      <c r="E108" s="10" t="n">
        <v>45670.37604166667</v>
      </c>
      <c r="F108" s="10" t="n">
        <v>45670.37822916666</v>
      </c>
      <c r="G108" s="10" t="n">
        <v>45670.37822916666</v>
      </c>
      <c r="H108" s="10" t="n">
        <v>45670.38100694444</v>
      </c>
      <c r="I108" s="10" t="n">
        <v>45670.39427083333</v>
      </c>
      <c r="J108" s="10" t="n">
        <v>45670.39427083333</v>
      </c>
      <c r="K108" s="10" t="n">
        <v>45670.39513888889</v>
      </c>
      <c r="L108" s="10" t="n">
        <v>45670.41101851852</v>
      </c>
      <c r="M108" s="11">
        <f>IF(AND(ISNUMBER(D108),ISNUMBER(E108)),(E108-D108),"")</f>
        <v/>
      </c>
      <c r="N108" s="11">
        <f>IF(AND(ISNUMBER(E108),ISNUMBER(F108)),(F108-E108),"")</f>
        <v/>
      </c>
      <c r="O108" s="11">
        <f>IF(AND(ISNUMBER(G108),ISNUMBER(H108)),(H108-G108),"")</f>
        <v/>
      </c>
      <c r="P108" s="11">
        <f>IF(AND(ISNUMBER(H108),ISNUMBER(I108)),(I108-H108),"")</f>
        <v/>
      </c>
      <c r="Q108" s="11">
        <f>IF(AND(ISNUMBER(J108),ISNUMBER(K108)),(K108-J108),"")</f>
        <v/>
      </c>
      <c r="R108" s="11">
        <f>IF(AND(ISNUMBER(K108),ISNUMBER(L108)),(L108-K108),"")</f>
        <v/>
      </c>
      <c r="S108" s="11">
        <f>IF(AND(ISNUMBER(F108),ISNUMBER(L108)),(L108-F108),"")</f>
        <v/>
      </c>
      <c r="T108" s="11">
        <f>IF(AND(ISNUMBER(D108),ISNUMBER(L108)),(L108-D108),"")</f>
        <v/>
      </c>
    </row>
    <row r="109">
      <c r="A109" s="3" t="inlineStr">
        <is>
          <t>10108</t>
        </is>
      </c>
      <c r="B109" s="9" t="n">
        <v>407.92</v>
      </c>
      <c r="C109" s="3" t="inlineStr">
        <is>
          <t>703</t>
        </is>
      </c>
      <c r="D109" s="10" t="n">
        <v>45670.41900462963</v>
      </c>
      <c r="E109" s="10" t="n">
        <v>45670.41900462963</v>
      </c>
      <c r="F109" s="10" t="n">
        <v>45670.42153935185</v>
      </c>
      <c r="G109" s="10" t="n">
        <v>45670.42153935185</v>
      </c>
      <c r="H109" s="10" t="n">
        <v>45670.42431712963</v>
      </c>
      <c r="I109" s="10" t="n">
        <v>45670.42996527778</v>
      </c>
      <c r="J109" s="10" t="n">
        <v>45670.42996527778</v>
      </c>
      <c r="K109" s="10" t="n">
        <v>45670.43083333333</v>
      </c>
      <c r="L109" s="10" t="n">
        <v>45670.43663194445</v>
      </c>
      <c r="M109" s="11">
        <f>IF(AND(ISNUMBER(D109),ISNUMBER(E109)),(E109-D109),"")</f>
        <v/>
      </c>
      <c r="N109" s="11">
        <f>IF(AND(ISNUMBER(E109),ISNUMBER(F109)),(F109-E109),"")</f>
        <v/>
      </c>
      <c r="O109" s="11">
        <f>IF(AND(ISNUMBER(G109),ISNUMBER(H109)),(H109-G109),"")</f>
        <v/>
      </c>
      <c r="P109" s="11">
        <f>IF(AND(ISNUMBER(H109),ISNUMBER(I109)),(I109-H109),"")</f>
        <v/>
      </c>
      <c r="Q109" s="11">
        <f>IF(AND(ISNUMBER(J109),ISNUMBER(K109)),(K109-J109),"")</f>
        <v/>
      </c>
      <c r="R109" s="11">
        <f>IF(AND(ISNUMBER(K109),ISNUMBER(L109)),(L109-K109),"")</f>
        <v/>
      </c>
      <c r="S109" s="11">
        <f>IF(AND(ISNUMBER(F109),ISNUMBER(L109)),(L109-F109),"")</f>
        <v/>
      </c>
      <c r="T109" s="11">
        <f>IF(AND(ISNUMBER(D109),ISNUMBER(L109)),(L109-D109),"")</f>
        <v/>
      </c>
    </row>
    <row r="110">
      <c r="A110" s="3" t="inlineStr">
        <is>
          <t>10109</t>
        </is>
      </c>
      <c r="B110" s="9" t="n">
        <v>234.8800000000001</v>
      </c>
      <c r="C110" s="3" t="inlineStr">
        <is>
          <t>703</t>
        </is>
      </c>
      <c r="D110" s="10" t="n">
        <v>45670.51152777778</v>
      </c>
      <c r="E110" s="10" t="n">
        <v>45670.51152777778</v>
      </c>
      <c r="F110" s="10" t="n">
        <v>45670.51365740741</v>
      </c>
      <c r="G110" s="10" t="n">
        <v>45670.51365740741</v>
      </c>
      <c r="H110" s="10" t="n">
        <v>45670.51643518519</v>
      </c>
      <c r="I110" s="10" t="n">
        <v>45670.51824074074</v>
      </c>
      <c r="J110" s="10" t="n">
        <v>45670.51824074074</v>
      </c>
      <c r="K110" s="10" t="n">
        <v>45670.5191087963</v>
      </c>
      <c r="L110" s="10" t="n">
        <v>45670.52090277777</v>
      </c>
      <c r="M110" s="11">
        <f>IF(AND(ISNUMBER(D110),ISNUMBER(E110)),(E110-D110),"")</f>
        <v/>
      </c>
      <c r="N110" s="11">
        <f>IF(AND(ISNUMBER(E110),ISNUMBER(F110)),(F110-E110),"")</f>
        <v/>
      </c>
      <c r="O110" s="11">
        <f>IF(AND(ISNUMBER(G110),ISNUMBER(H110)),(H110-G110),"")</f>
        <v/>
      </c>
      <c r="P110" s="11">
        <f>IF(AND(ISNUMBER(H110),ISNUMBER(I110)),(I110-H110),"")</f>
        <v/>
      </c>
      <c r="Q110" s="11">
        <f>IF(AND(ISNUMBER(J110),ISNUMBER(K110)),(K110-J110),"")</f>
        <v/>
      </c>
      <c r="R110" s="11">
        <f>IF(AND(ISNUMBER(K110),ISNUMBER(L110)),(L110-K110),"")</f>
        <v/>
      </c>
      <c r="S110" s="11">
        <f>IF(AND(ISNUMBER(F110),ISNUMBER(L110)),(L110-F110),"")</f>
        <v/>
      </c>
      <c r="T110" s="11">
        <f>IF(AND(ISNUMBER(D110),ISNUMBER(L110)),(L110-D110),"")</f>
        <v/>
      </c>
    </row>
    <row r="111">
      <c r="A111" s="3" t="inlineStr">
        <is>
          <t>10110</t>
        </is>
      </c>
      <c r="B111" s="9" t="n">
        <v>388.3200000000001</v>
      </c>
      <c r="C111" s="3" t="inlineStr">
        <is>
          <t>703</t>
        </is>
      </c>
      <c r="D111" s="10" t="n">
        <v>45670.60200231482</v>
      </c>
      <c r="E111" s="10" t="n">
        <v>45670.60200231482</v>
      </c>
      <c r="F111" s="10" t="n">
        <v>45670.60449074074</v>
      </c>
      <c r="G111" s="10" t="n">
        <v>45670.60449074074</v>
      </c>
      <c r="H111" s="10" t="n">
        <v>45670.60726851852</v>
      </c>
      <c r="I111" s="10" t="n">
        <v>45670.61053240741</v>
      </c>
      <c r="J111" s="10" t="n">
        <v>45670.61053240741</v>
      </c>
      <c r="K111" s="10" t="n">
        <v>45670.61140046296</v>
      </c>
      <c r="L111" s="10" t="n">
        <v>45670.61342592593</v>
      </c>
      <c r="M111" s="11">
        <f>IF(AND(ISNUMBER(D111),ISNUMBER(E111)),(E111-D111),"")</f>
        <v/>
      </c>
      <c r="N111" s="11">
        <f>IF(AND(ISNUMBER(E111),ISNUMBER(F111)),(F111-E111),"")</f>
        <v/>
      </c>
      <c r="O111" s="11">
        <f>IF(AND(ISNUMBER(G111),ISNUMBER(H111)),(H111-G111),"")</f>
        <v/>
      </c>
      <c r="P111" s="11">
        <f>IF(AND(ISNUMBER(H111),ISNUMBER(I111)),(I111-H111),"")</f>
        <v/>
      </c>
      <c r="Q111" s="11">
        <f>IF(AND(ISNUMBER(J111),ISNUMBER(K111)),(K111-J111),"")</f>
        <v/>
      </c>
      <c r="R111" s="11">
        <f>IF(AND(ISNUMBER(K111),ISNUMBER(L111)),(L111-K111),"")</f>
        <v/>
      </c>
      <c r="S111" s="11">
        <f>IF(AND(ISNUMBER(F111),ISNUMBER(L111)),(L111-F111),"")</f>
        <v/>
      </c>
      <c r="T111" s="11">
        <f>IF(AND(ISNUMBER(D111),ISNUMBER(L111)),(L111-D111),"")</f>
        <v/>
      </c>
    </row>
    <row r="112">
      <c r="A112" s="3" t="inlineStr">
        <is>
          <t>10111</t>
        </is>
      </c>
      <c r="B112" s="9" t="n">
        <v>367.5</v>
      </c>
      <c r="C112" s="3" t="inlineStr">
        <is>
          <t>703</t>
        </is>
      </c>
      <c r="D112" s="10" t="n">
        <v>45670.61545138889</v>
      </c>
      <c r="E112" s="10" t="n">
        <v>45670.61545138889</v>
      </c>
      <c r="F112" s="10" t="n">
        <v>45670.61789351852</v>
      </c>
      <c r="G112" s="10" t="n">
        <v>45670.61789351852</v>
      </c>
      <c r="H112" s="10" t="n">
        <v>45670.6206712963</v>
      </c>
      <c r="I112" s="10" t="n">
        <v>45670.63356481482</v>
      </c>
      <c r="J112" s="10" t="n">
        <v>45670.63356481482</v>
      </c>
      <c r="K112" s="10" t="n">
        <v>45670.63443287037</v>
      </c>
      <c r="L112" s="10" t="n">
        <v>45670.65453703704</v>
      </c>
      <c r="M112" s="11">
        <f>IF(AND(ISNUMBER(D112),ISNUMBER(E112)),(E112-D112),"")</f>
        <v/>
      </c>
      <c r="N112" s="11">
        <f>IF(AND(ISNUMBER(E112),ISNUMBER(F112)),(F112-E112),"")</f>
        <v/>
      </c>
      <c r="O112" s="11">
        <f>IF(AND(ISNUMBER(G112),ISNUMBER(H112)),(H112-G112),"")</f>
        <v/>
      </c>
      <c r="P112" s="11">
        <f>IF(AND(ISNUMBER(H112),ISNUMBER(I112)),(I112-H112),"")</f>
        <v/>
      </c>
      <c r="Q112" s="11">
        <f>IF(AND(ISNUMBER(J112),ISNUMBER(K112)),(K112-J112),"")</f>
        <v/>
      </c>
      <c r="R112" s="11">
        <f>IF(AND(ISNUMBER(K112),ISNUMBER(L112)),(L112-K112),"")</f>
        <v/>
      </c>
      <c r="S112" s="11">
        <f>IF(AND(ISNUMBER(F112),ISNUMBER(L112)),(L112-F112),"")</f>
        <v/>
      </c>
      <c r="T112" s="11">
        <f>IF(AND(ISNUMBER(D112),ISNUMBER(L112)),(L112-D112),"")</f>
        <v/>
      </c>
    </row>
    <row r="113">
      <c r="A113" s="3" t="inlineStr">
        <is>
          <t>10112</t>
        </is>
      </c>
      <c r="B113" s="9" t="n">
        <v>393.5000000000001</v>
      </c>
      <c r="C113" s="3" t="inlineStr">
        <is>
          <t>727</t>
        </is>
      </c>
      <c r="D113" s="10" t="n">
        <v>45670.6394212963</v>
      </c>
      <c r="E113" s="10" t="n">
        <v>45670.6394212963</v>
      </c>
      <c r="F113" s="10" t="n">
        <v>45670.64148148148</v>
      </c>
      <c r="G113" s="10" t="n">
        <v>45670.64148148148</v>
      </c>
      <c r="H113" s="10" t="n">
        <v>45670.64425925926</v>
      </c>
      <c r="I113" s="10" t="n">
        <v>45670.64729166667</v>
      </c>
      <c r="J113" s="10" t="n">
        <v>45670.64729166667</v>
      </c>
      <c r="K113" s="10" t="n">
        <v>45670.65540509259</v>
      </c>
      <c r="L113" s="10" t="n">
        <v>45670.65763888889</v>
      </c>
      <c r="M113" s="11">
        <f>IF(AND(ISNUMBER(D113),ISNUMBER(E113)),(E113-D113),"")</f>
        <v/>
      </c>
      <c r="N113" s="11">
        <f>IF(AND(ISNUMBER(E113),ISNUMBER(F113)),(F113-E113),"")</f>
        <v/>
      </c>
      <c r="O113" s="11">
        <f>IF(AND(ISNUMBER(G113),ISNUMBER(H113)),(H113-G113),"")</f>
        <v/>
      </c>
      <c r="P113" s="11">
        <f>IF(AND(ISNUMBER(H113),ISNUMBER(I113)),(I113-H113),"")</f>
        <v/>
      </c>
      <c r="Q113" s="11">
        <f>IF(AND(ISNUMBER(J113),ISNUMBER(K113)),(K113-J113),"")</f>
        <v/>
      </c>
      <c r="R113" s="11">
        <f>IF(AND(ISNUMBER(K113),ISNUMBER(L113)),(L113-K113),"")</f>
        <v/>
      </c>
      <c r="S113" s="11">
        <f>IF(AND(ISNUMBER(F113),ISNUMBER(L113)),(L113-F113),"")</f>
        <v/>
      </c>
      <c r="T113" s="11">
        <f>IF(AND(ISNUMBER(D113),ISNUMBER(L113)),(L113-D113),"")</f>
        <v/>
      </c>
    </row>
    <row r="114">
      <c r="A114" s="3" t="inlineStr">
        <is>
          <t>10113</t>
        </is>
      </c>
      <c r="B114" s="9" t="n">
        <v>387.6</v>
      </c>
      <c r="C114" s="3" t="inlineStr">
        <is>
          <t>703</t>
        </is>
      </c>
      <c r="D114" s="10" t="n">
        <v>45670.66716435185</v>
      </c>
      <c r="E114" s="10" t="n">
        <v>45670.66716435185</v>
      </c>
      <c r="F114" s="10" t="n">
        <v>45670.66965277777</v>
      </c>
      <c r="G114" s="10" t="n">
        <v>45670.66965277777</v>
      </c>
      <c r="H114" s="10" t="n">
        <v>45670.67243055555</v>
      </c>
      <c r="I114" s="10" t="n">
        <v>45670.67679398148</v>
      </c>
      <c r="J114" s="10" t="n">
        <v>45670.67679398148</v>
      </c>
      <c r="K114" s="10" t="n">
        <v>45670.67766203704</v>
      </c>
      <c r="L114" s="10" t="n">
        <v>45670.68224537037</v>
      </c>
      <c r="M114" s="11">
        <f>IF(AND(ISNUMBER(D114),ISNUMBER(E114)),(E114-D114),"")</f>
        <v/>
      </c>
      <c r="N114" s="11">
        <f>IF(AND(ISNUMBER(E114),ISNUMBER(F114)),(F114-E114),"")</f>
        <v/>
      </c>
      <c r="O114" s="11">
        <f>IF(AND(ISNUMBER(G114),ISNUMBER(H114)),(H114-G114),"")</f>
        <v/>
      </c>
      <c r="P114" s="11">
        <f>IF(AND(ISNUMBER(H114),ISNUMBER(I114)),(I114-H114),"")</f>
        <v/>
      </c>
      <c r="Q114" s="11">
        <f>IF(AND(ISNUMBER(J114),ISNUMBER(K114)),(K114-J114),"")</f>
        <v/>
      </c>
      <c r="R114" s="11">
        <f>IF(AND(ISNUMBER(K114),ISNUMBER(L114)),(L114-K114),"")</f>
        <v/>
      </c>
      <c r="S114" s="11">
        <f>IF(AND(ISNUMBER(F114),ISNUMBER(L114)),(L114-F114),"")</f>
        <v/>
      </c>
      <c r="T114" s="11">
        <f>IF(AND(ISNUMBER(D114),ISNUMBER(L114)),(L114-D114),"")</f>
        <v/>
      </c>
    </row>
    <row r="115">
      <c r="A115" s="3" t="inlineStr">
        <is>
          <t>10114</t>
        </is>
      </c>
      <c r="B115" s="9" t="n">
        <v>185.92</v>
      </c>
      <c r="C115" s="3" t="inlineStr">
        <is>
          <t>703</t>
        </is>
      </c>
      <c r="D115" s="10" t="n">
        <v>45670.72684027778</v>
      </c>
      <c r="E115" s="10" t="n">
        <v>45670.72684027778</v>
      </c>
      <c r="F115" s="10" t="n">
        <v>45670.72886574074</v>
      </c>
      <c r="G115" s="10" t="n">
        <v>45670.72886574074</v>
      </c>
      <c r="H115" s="10" t="n">
        <v>45670.73164351852</v>
      </c>
      <c r="I115" s="10" t="n">
        <v>45670.73306712963</v>
      </c>
      <c r="J115" s="10" t="n">
        <v>45670.73306712963</v>
      </c>
      <c r="K115" s="10" t="n">
        <v>45670.73393518518</v>
      </c>
      <c r="L115" s="10" t="n">
        <v>45670.73548611111</v>
      </c>
      <c r="M115" s="11">
        <f>IF(AND(ISNUMBER(D115),ISNUMBER(E115)),(E115-D115),"")</f>
        <v/>
      </c>
      <c r="N115" s="11">
        <f>IF(AND(ISNUMBER(E115),ISNUMBER(F115)),(F115-E115),"")</f>
        <v/>
      </c>
      <c r="O115" s="11">
        <f>IF(AND(ISNUMBER(G115),ISNUMBER(H115)),(H115-G115),"")</f>
        <v/>
      </c>
      <c r="P115" s="11">
        <f>IF(AND(ISNUMBER(H115),ISNUMBER(I115)),(I115-H115),"")</f>
        <v/>
      </c>
      <c r="Q115" s="11">
        <f>IF(AND(ISNUMBER(J115),ISNUMBER(K115)),(K115-J115),"")</f>
        <v/>
      </c>
      <c r="R115" s="11">
        <f>IF(AND(ISNUMBER(K115),ISNUMBER(L115)),(L115-K115),"")</f>
        <v/>
      </c>
      <c r="S115" s="11">
        <f>IF(AND(ISNUMBER(F115),ISNUMBER(L115)),(L115-F115),"")</f>
        <v/>
      </c>
      <c r="T115" s="11">
        <f>IF(AND(ISNUMBER(D115),ISNUMBER(L115)),(L115-D115),"")</f>
        <v/>
      </c>
    </row>
    <row r="116">
      <c r="A116" s="3" t="inlineStr">
        <is>
          <t>10115</t>
        </is>
      </c>
      <c r="B116" s="9" t="n">
        <v>389.0600000000001</v>
      </c>
      <c r="C116" s="3" t="inlineStr">
        <is>
          <t>703</t>
        </is>
      </c>
      <c r="D116" s="10" t="n">
        <v>45670.8777662037</v>
      </c>
      <c r="E116" s="10" t="n">
        <v>45670.8777662037</v>
      </c>
      <c r="F116" s="10" t="n">
        <v>45670.88025462963</v>
      </c>
      <c r="G116" s="10" t="n">
        <v>45670.88025462963</v>
      </c>
      <c r="H116" s="10" t="n">
        <v>45670.88303240741</v>
      </c>
      <c r="I116" s="10" t="n">
        <v>45670.88630787037</v>
      </c>
      <c r="J116" s="10" t="n">
        <v>45670.88630787037</v>
      </c>
      <c r="K116" s="10" t="n">
        <v>45670.88717592593</v>
      </c>
      <c r="L116" s="10" t="n">
        <v>45670.88920138889</v>
      </c>
      <c r="M116" s="11">
        <f>IF(AND(ISNUMBER(D116),ISNUMBER(E116)),(E116-D116),"")</f>
        <v/>
      </c>
      <c r="N116" s="11">
        <f>IF(AND(ISNUMBER(E116),ISNUMBER(F116)),(F116-E116),"")</f>
        <v/>
      </c>
      <c r="O116" s="11">
        <f>IF(AND(ISNUMBER(G116),ISNUMBER(H116)),(H116-G116),"")</f>
        <v/>
      </c>
      <c r="P116" s="11">
        <f>IF(AND(ISNUMBER(H116),ISNUMBER(I116)),(I116-H116),"")</f>
        <v/>
      </c>
      <c r="Q116" s="11">
        <f>IF(AND(ISNUMBER(J116),ISNUMBER(K116)),(K116-J116),"")</f>
        <v/>
      </c>
      <c r="R116" s="11">
        <f>IF(AND(ISNUMBER(K116),ISNUMBER(L116)),(L116-K116),"")</f>
        <v/>
      </c>
      <c r="S116" s="11">
        <f>IF(AND(ISNUMBER(F116),ISNUMBER(L116)),(L116-F116),"")</f>
        <v/>
      </c>
      <c r="T116" s="11">
        <f>IF(AND(ISNUMBER(D116),ISNUMBER(L116)),(L116-D116),"")</f>
        <v/>
      </c>
    </row>
    <row r="117">
      <c r="A117" s="3" t="inlineStr">
        <is>
          <t>10116</t>
        </is>
      </c>
      <c r="B117" s="9" t="n">
        <v>147.42</v>
      </c>
      <c r="C117" s="3" t="inlineStr">
        <is>
          <t>703</t>
        </is>
      </c>
      <c r="D117" s="10" t="n">
        <v>45671.10247685185</v>
      </c>
      <c r="E117" s="10" t="n">
        <v>45671.10247685185</v>
      </c>
      <c r="F117" s="10" t="n">
        <v>45671.10440972223</v>
      </c>
      <c r="G117" s="10" t="n">
        <v>45671.10440972223</v>
      </c>
      <c r="H117" s="10" t="n">
        <v>45671.1071875</v>
      </c>
      <c r="I117" s="10" t="n">
        <v>45671.11134259259</v>
      </c>
      <c r="J117" s="10" t="n">
        <v>45671.11134259259</v>
      </c>
      <c r="K117" s="10" t="n">
        <v>45671.11221064815</v>
      </c>
      <c r="L117" s="10" t="n">
        <v>45671.11928240741</v>
      </c>
      <c r="M117" s="11">
        <f>IF(AND(ISNUMBER(D117),ISNUMBER(E117)),(E117-D117),"")</f>
        <v/>
      </c>
      <c r="N117" s="11">
        <f>IF(AND(ISNUMBER(E117),ISNUMBER(F117)),(F117-E117),"")</f>
        <v/>
      </c>
      <c r="O117" s="11">
        <f>IF(AND(ISNUMBER(G117),ISNUMBER(H117)),(H117-G117),"")</f>
        <v/>
      </c>
      <c r="P117" s="11">
        <f>IF(AND(ISNUMBER(H117),ISNUMBER(I117)),(I117-H117),"")</f>
        <v/>
      </c>
      <c r="Q117" s="11">
        <f>IF(AND(ISNUMBER(J117),ISNUMBER(K117)),(K117-J117),"")</f>
        <v/>
      </c>
      <c r="R117" s="11">
        <f>IF(AND(ISNUMBER(K117),ISNUMBER(L117)),(L117-K117),"")</f>
        <v/>
      </c>
      <c r="S117" s="11">
        <f>IF(AND(ISNUMBER(F117),ISNUMBER(L117)),(L117-F117),"")</f>
        <v/>
      </c>
      <c r="T117" s="11">
        <f>IF(AND(ISNUMBER(D117),ISNUMBER(L117)),(L117-D117),"")</f>
        <v/>
      </c>
    </row>
    <row r="118">
      <c r="A118" s="3" t="inlineStr">
        <is>
          <t>10117</t>
        </is>
      </c>
      <c r="B118" s="9" t="n">
        <v>297</v>
      </c>
      <c r="C118" s="3" t="inlineStr">
        <is>
          <t>703</t>
        </is>
      </c>
      <c r="D118" s="10" t="n">
        <v>45671.27049768518</v>
      </c>
      <c r="E118" s="10" t="n">
        <v>45671.27049768518</v>
      </c>
      <c r="F118" s="10" t="n">
        <v>45671.27277777778</v>
      </c>
      <c r="G118" s="10" t="n">
        <v>45671.27277777778</v>
      </c>
      <c r="H118" s="10" t="n">
        <v>45671.27555555556</v>
      </c>
      <c r="I118" s="10" t="n">
        <v>45671.27804398148</v>
      </c>
      <c r="J118" s="10" t="n">
        <v>45671.27804398148</v>
      </c>
      <c r="K118" s="10" t="n">
        <v>45671.27891203704</v>
      </c>
      <c r="L118" s="10" t="n">
        <v>45671.28072916667</v>
      </c>
      <c r="M118" s="11">
        <f>IF(AND(ISNUMBER(D118),ISNUMBER(E118)),(E118-D118),"")</f>
        <v/>
      </c>
      <c r="N118" s="11">
        <f>IF(AND(ISNUMBER(E118),ISNUMBER(F118)),(F118-E118),"")</f>
        <v/>
      </c>
      <c r="O118" s="11">
        <f>IF(AND(ISNUMBER(G118),ISNUMBER(H118)),(H118-G118),"")</f>
        <v/>
      </c>
      <c r="P118" s="11">
        <f>IF(AND(ISNUMBER(H118),ISNUMBER(I118)),(I118-H118),"")</f>
        <v/>
      </c>
      <c r="Q118" s="11">
        <f>IF(AND(ISNUMBER(J118),ISNUMBER(K118)),(K118-J118),"")</f>
        <v/>
      </c>
      <c r="R118" s="11">
        <f>IF(AND(ISNUMBER(K118),ISNUMBER(L118)),(L118-K118),"")</f>
        <v/>
      </c>
      <c r="S118" s="11">
        <f>IF(AND(ISNUMBER(F118),ISNUMBER(L118)),(L118-F118),"")</f>
        <v/>
      </c>
      <c r="T118" s="11">
        <f>IF(AND(ISNUMBER(D118),ISNUMBER(L118)),(L118-D118),"")</f>
        <v/>
      </c>
    </row>
    <row r="119">
      <c r="A119" s="3" t="inlineStr">
        <is>
          <t>10118</t>
        </is>
      </c>
      <c r="B119" s="9" t="n">
        <v>363.78</v>
      </c>
      <c r="C119" s="3" t="inlineStr">
        <is>
          <t>727</t>
        </is>
      </c>
      <c r="D119" s="10" t="n">
        <v>45671.27636574074</v>
      </c>
      <c r="E119" s="10" t="n">
        <v>45671.27636574074</v>
      </c>
      <c r="F119" s="10" t="n">
        <v>45671.27835648148</v>
      </c>
      <c r="G119" s="10" t="n">
        <v>45671.27835648148</v>
      </c>
      <c r="H119" s="10" t="n">
        <v>45671.28113425926</v>
      </c>
      <c r="I119" s="10" t="n">
        <v>45671.28996527778</v>
      </c>
      <c r="J119" s="10" t="n">
        <v>45671.28996527778</v>
      </c>
      <c r="K119" s="10" t="n">
        <v>45671.29083333333</v>
      </c>
      <c r="L119" s="10" t="n">
        <v>45671.30319444444</v>
      </c>
      <c r="M119" s="11">
        <f>IF(AND(ISNUMBER(D119),ISNUMBER(E119)),(E119-D119),"")</f>
        <v/>
      </c>
      <c r="N119" s="11">
        <f>IF(AND(ISNUMBER(E119),ISNUMBER(F119)),(F119-E119),"")</f>
        <v/>
      </c>
      <c r="O119" s="11">
        <f>IF(AND(ISNUMBER(G119),ISNUMBER(H119)),(H119-G119),"")</f>
        <v/>
      </c>
      <c r="P119" s="11">
        <f>IF(AND(ISNUMBER(H119),ISNUMBER(I119)),(I119-H119),"")</f>
        <v/>
      </c>
      <c r="Q119" s="11">
        <f>IF(AND(ISNUMBER(J119),ISNUMBER(K119)),(K119-J119),"")</f>
        <v/>
      </c>
      <c r="R119" s="11">
        <f>IF(AND(ISNUMBER(K119),ISNUMBER(L119)),(L119-K119),"")</f>
        <v/>
      </c>
      <c r="S119" s="11">
        <f>IF(AND(ISNUMBER(F119),ISNUMBER(L119)),(L119-F119),"")</f>
        <v/>
      </c>
      <c r="T119" s="11">
        <f>IF(AND(ISNUMBER(D119),ISNUMBER(L119)),(L119-D119),"")</f>
        <v/>
      </c>
    </row>
    <row r="120">
      <c r="A120" s="3" t="inlineStr">
        <is>
          <t>10119</t>
        </is>
      </c>
      <c r="B120" s="9" t="n">
        <v>213.84</v>
      </c>
      <c r="C120" s="3" t="inlineStr">
        <is>
          <t>703</t>
        </is>
      </c>
      <c r="D120" s="10" t="n">
        <v>45671.30534722222</v>
      </c>
      <c r="E120" s="10" t="n">
        <v>45671.30534722222</v>
      </c>
      <c r="F120" s="10" t="n">
        <v>45671.30743055556</v>
      </c>
      <c r="G120" s="10" t="n">
        <v>45671.30743055556</v>
      </c>
      <c r="H120" s="10" t="n">
        <v>45671.31020833334</v>
      </c>
      <c r="I120" s="10" t="n">
        <v>45671.31199074074</v>
      </c>
      <c r="J120" s="10" t="n">
        <v>45671.31199074074</v>
      </c>
      <c r="K120" s="10" t="n">
        <v>45671.31271990741</v>
      </c>
      <c r="L120" s="10" t="n">
        <v>45671.31490740741</v>
      </c>
      <c r="M120" s="11">
        <f>IF(AND(ISNUMBER(D120),ISNUMBER(E120)),(E120-D120),"")</f>
        <v/>
      </c>
      <c r="N120" s="11">
        <f>IF(AND(ISNUMBER(E120),ISNUMBER(F120)),(F120-E120),"")</f>
        <v/>
      </c>
      <c r="O120" s="11">
        <f>IF(AND(ISNUMBER(G120),ISNUMBER(H120)),(H120-G120),"")</f>
        <v/>
      </c>
      <c r="P120" s="11">
        <f>IF(AND(ISNUMBER(H120),ISNUMBER(I120)),(I120-H120),"")</f>
        <v/>
      </c>
      <c r="Q120" s="11">
        <f>IF(AND(ISNUMBER(J120),ISNUMBER(K120)),(K120-J120),"")</f>
        <v/>
      </c>
      <c r="R120" s="11">
        <f>IF(AND(ISNUMBER(K120),ISNUMBER(L120)),(L120-K120),"")</f>
        <v/>
      </c>
      <c r="S120" s="11">
        <f>IF(AND(ISNUMBER(F120),ISNUMBER(L120)),(L120-F120),"")</f>
        <v/>
      </c>
      <c r="T120" s="11">
        <f>IF(AND(ISNUMBER(D120),ISNUMBER(L120)),(L120-D120),"")</f>
        <v/>
      </c>
    </row>
    <row r="121">
      <c r="A121" s="3" t="inlineStr">
        <is>
          <t>10120</t>
        </is>
      </c>
      <c r="B121" s="9" t="n">
        <v>389.8000000000001</v>
      </c>
      <c r="C121" s="3" t="inlineStr">
        <is>
          <t>703</t>
        </is>
      </c>
      <c r="D121" s="10" t="n">
        <v>45671.33368055556</v>
      </c>
      <c r="E121" s="10" t="n">
        <v>45671.33368055556</v>
      </c>
      <c r="F121" s="10" t="n">
        <v>45671.33616898148</v>
      </c>
      <c r="G121" s="10" t="n">
        <v>45671.33616898148</v>
      </c>
      <c r="H121" s="10" t="n">
        <v>45671.33894675926</v>
      </c>
      <c r="I121" s="10" t="n">
        <v>45671.34172453704</v>
      </c>
      <c r="J121" s="10" t="n">
        <v>45671.34172453704</v>
      </c>
      <c r="K121" s="10" t="n">
        <v>45671.34260416667</v>
      </c>
      <c r="L121" s="10" t="n">
        <v>45671.34474537037</v>
      </c>
      <c r="M121" s="11">
        <f>IF(AND(ISNUMBER(D121),ISNUMBER(E121)),(E121-D121),"")</f>
        <v/>
      </c>
      <c r="N121" s="11">
        <f>IF(AND(ISNUMBER(E121),ISNUMBER(F121)),(F121-E121),"")</f>
        <v/>
      </c>
      <c r="O121" s="11">
        <f>IF(AND(ISNUMBER(G121),ISNUMBER(H121)),(H121-G121),"")</f>
        <v/>
      </c>
      <c r="P121" s="11">
        <f>IF(AND(ISNUMBER(H121),ISNUMBER(I121)),(I121-H121),"")</f>
        <v/>
      </c>
      <c r="Q121" s="11">
        <f>IF(AND(ISNUMBER(J121),ISNUMBER(K121)),(K121-J121),"")</f>
        <v/>
      </c>
      <c r="R121" s="11">
        <f>IF(AND(ISNUMBER(K121),ISNUMBER(L121)),(L121-K121),"")</f>
        <v/>
      </c>
      <c r="S121" s="11">
        <f>IF(AND(ISNUMBER(F121),ISNUMBER(L121)),(L121-F121),"")</f>
        <v/>
      </c>
      <c r="T121" s="11">
        <f>IF(AND(ISNUMBER(D121),ISNUMBER(L121)),(L121-D121),"")</f>
        <v/>
      </c>
    </row>
    <row r="122">
      <c r="A122" s="3" t="inlineStr">
        <is>
          <t>10121</t>
        </is>
      </c>
      <c r="B122" s="9" t="n">
        <v>591.62</v>
      </c>
      <c r="C122" s="3" t="inlineStr">
        <is>
          <t>727</t>
        </is>
      </c>
      <c r="D122" s="10" t="n">
        <v>45671.37503472222</v>
      </c>
      <c r="E122" s="10" t="n">
        <v>45671.37503472222</v>
      </c>
      <c r="F122" s="10" t="n">
        <v>45671.37755787037</v>
      </c>
      <c r="G122" s="10" t="n">
        <v>45671.37755787037</v>
      </c>
      <c r="H122" s="10" t="n">
        <v>45671.38033564815</v>
      </c>
      <c r="I122" s="10" t="n">
        <v>45671.39746527778</v>
      </c>
      <c r="J122" s="10" t="n">
        <v>45671.39746527778</v>
      </c>
      <c r="K122" s="10" t="n">
        <v>45671.39833333333</v>
      </c>
      <c r="L122" s="10" t="n">
        <v>45671.42071759259</v>
      </c>
      <c r="M122" s="11">
        <f>IF(AND(ISNUMBER(D122),ISNUMBER(E122)),(E122-D122),"")</f>
        <v/>
      </c>
      <c r="N122" s="11">
        <f>IF(AND(ISNUMBER(E122),ISNUMBER(F122)),(F122-E122),"")</f>
        <v/>
      </c>
      <c r="O122" s="11">
        <f>IF(AND(ISNUMBER(G122),ISNUMBER(H122)),(H122-G122),"")</f>
        <v/>
      </c>
      <c r="P122" s="11">
        <f>IF(AND(ISNUMBER(H122),ISNUMBER(I122)),(I122-H122),"")</f>
        <v/>
      </c>
      <c r="Q122" s="11">
        <f>IF(AND(ISNUMBER(J122),ISNUMBER(K122)),(K122-J122),"")</f>
        <v/>
      </c>
      <c r="R122" s="11">
        <f>IF(AND(ISNUMBER(K122),ISNUMBER(L122)),(L122-K122),"")</f>
        <v/>
      </c>
      <c r="S122" s="11">
        <f>IF(AND(ISNUMBER(F122),ISNUMBER(L122)),(L122-F122),"")</f>
        <v/>
      </c>
      <c r="T122" s="11">
        <f>IF(AND(ISNUMBER(D122),ISNUMBER(L122)),(L122-D122),"")</f>
        <v/>
      </c>
    </row>
    <row r="123">
      <c r="A123" s="3" t="inlineStr">
        <is>
          <t>10122</t>
        </is>
      </c>
      <c r="B123" s="9" t="n">
        <v>393.9</v>
      </c>
      <c r="C123" s="3" t="inlineStr">
        <is>
          <t>703</t>
        </is>
      </c>
      <c r="D123" s="10" t="n">
        <v>45671.3781712963</v>
      </c>
      <c r="E123" s="10" t="n">
        <v>45671.3781712963</v>
      </c>
      <c r="F123" s="10" t="n">
        <v>45671.3806712963</v>
      </c>
      <c r="G123" s="10" t="n">
        <v>45671.3806712963</v>
      </c>
      <c r="H123" s="10" t="n">
        <v>45671.38344907408</v>
      </c>
      <c r="I123" s="10" t="n">
        <v>45671.38835648148</v>
      </c>
      <c r="J123" s="10" t="n">
        <v>45671.38835648148</v>
      </c>
      <c r="K123" s="10" t="n">
        <v>45671.38922453704</v>
      </c>
      <c r="L123" s="10" t="n">
        <v>45671.39546296297</v>
      </c>
      <c r="M123" s="11">
        <f>IF(AND(ISNUMBER(D123),ISNUMBER(E123)),(E123-D123),"")</f>
        <v/>
      </c>
      <c r="N123" s="11">
        <f>IF(AND(ISNUMBER(E123),ISNUMBER(F123)),(F123-E123),"")</f>
        <v/>
      </c>
      <c r="O123" s="11">
        <f>IF(AND(ISNUMBER(G123),ISNUMBER(H123)),(H123-G123),"")</f>
        <v/>
      </c>
      <c r="P123" s="11">
        <f>IF(AND(ISNUMBER(H123),ISNUMBER(I123)),(I123-H123),"")</f>
        <v/>
      </c>
      <c r="Q123" s="11">
        <f>IF(AND(ISNUMBER(J123),ISNUMBER(K123)),(K123-J123),"")</f>
        <v/>
      </c>
      <c r="R123" s="11">
        <f>IF(AND(ISNUMBER(K123),ISNUMBER(L123)),(L123-K123),"")</f>
        <v/>
      </c>
      <c r="S123" s="11">
        <f>IF(AND(ISNUMBER(F123),ISNUMBER(L123)),(L123-F123),"")</f>
        <v/>
      </c>
      <c r="T123" s="11">
        <f>IF(AND(ISNUMBER(D123),ISNUMBER(L123)),(L123-D123),"")</f>
        <v/>
      </c>
    </row>
    <row r="124">
      <c r="A124" s="3" t="inlineStr">
        <is>
          <t>10123</t>
        </is>
      </c>
      <c r="B124" s="9" t="n">
        <v>439.66</v>
      </c>
      <c r="C124" s="3" t="inlineStr">
        <is>
          <t>703</t>
        </is>
      </c>
      <c r="D124" s="10" t="n">
        <v>45671.40924768519</v>
      </c>
      <c r="E124" s="10" t="n">
        <v>45671.40924768519</v>
      </c>
      <c r="F124" s="10" t="n">
        <v>45671.41185185185</v>
      </c>
      <c r="G124" s="10" t="n">
        <v>45671.41185185185</v>
      </c>
      <c r="H124" s="10" t="n">
        <v>45671.41462962963</v>
      </c>
      <c r="I124" s="10" t="n">
        <v>45671.41912037037</v>
      </c>
      <c r="J124" s="10" t="n">
        <v>45671.41912037037</v>
      </c>
      <c r="K124" s="10" t="n">
        <v>45671.42158564815</v>
      </c>
      <c r="L124" s="10" t="n">
        <v>45671.42541666667</v>
      </c>
      <c r="M124" s="11">
        <f>IF(AND(ISNUMBER(D124),ISNUMBER(E124)),(E124-D124),"")</f>
        <v/>
      </c>
      <c r="N124" s="11">
        <f>IF(AND(ISNUMBER(E124),ISNUMBER(F124)),(F124-E124),"")</f>
        <v/>
      </c>
      <c r="O124" s="11">
        <f>IF(AND(ISNUMBER(G124),ISNUMBER(H124)),(H124-G124),"")</f>
        <v/>
      </c>
      <c r="P124" s="11">
        <f>IF(AND(ISNUMBER(H124),ISNUMBER(I124)),(I124-H124),"")</f>
        <v/>
      </c>
      <c r="Q124" s="11">
        <f>IF(AND(ISNUMBER(J124),ISNUMBER(K124)),(K124-J124),"")</f>
        <v/>
      </c>
      <c r="R124" s="11">
        <f>IF(AND(ISNUMBER(K124),ISNUMBER(L124)),(L124-K124),"")</f>
        <v/>
      </c>
      <c r="S124" s="11">
        <f>IF(AND(ISNUMBER(F124),ISNUMBER(L124)),(L124-F124),"")</f>
        <v/>
      </c>
      <c r="T124" s="11">
        <f>IF(AND(ISNUMBER(D124),ISNUMBER(L124)),(L124-D124),"")</f>
        <v/>
      </c>
    </row>
    <row r="125">
      <c r="A125" s="3" t="inlineStr">
        <is>
          <t>10124</t>
        </is>
      </c>
      <c r="B125" s="9" t="n">
        <v>297.8</v>
      </c>
      <c r="C125" s="3" t="inlineStr">
        <is>
          <t>703</t>
        </is>
      </c>
      <c r="D125" s="10" t="n">
        <v>45671.5354050926</v>
      </c>
      <c r="E125" s="10" t="n">
        <v>45671.5354050926</v>
      </c>
      <c r="F125" s="10" t="n">
        <v>45671.53768518518</v>
      </c>
      <c r="G125" s="10" t="n">
        <v>45671.53768518518</v>
      </c>
      <c r="H125" s="10" t="n">
        <v>45671.54046296296</v>
      </c>
      <c r="I125" s="10" t="n">
        <v>45671.54293981481</v>
      </c>
      <c r="J125" s="10" t="n">
        <v>45671.54293981481</v>
      </c>
      <c r="K125" s="10" t="n">
        <v>45671.54380787037</v>
      </c>
      <c r="L125" s="10" t="n">
        <v>45671.54584490741</v>
      </c>
      <c r="M125" s="11">
        <f>IF(AND(ISNUMBER(D125),ISNUMBER(E125)),(E125-D125),"")</f>
        <v/>
      </c>
      <c r="N125" s="11">
        <f>IF(AND(ISNUMBER(E125),ISNUMBER(F125)),(F125-E125),"")</f>
        <v/>
      </c>
      <c r="O125" s="11">
        <f>IF(AND(ISNUMBER(G125),ISNUMBER(H125)),(H125-G125),"")</f>
        <v/>
      </c>
      <c r="P125" s="11">
        <f>IF(AND(ISNUMBER(H125),ISNUMBER(I125)),(I125-H125),"")</f>
        <v/>
      </c>
      <c r="Q125" s="11">
        <f>IF(AND(ISNUMBER(J125),ISNUMBER(K125)),(K125-J125),"")</f>
        <v/>
      </c>
      <c r="R125" s="11">
        <f>IF(AND(ISNUMBER(K125),ISNUMBER(L125)),(L125-K125),"")</f>
        <v/>
      </c>
      <c r="S125" s="11">
        <f>IF(AND(ISNUMBER(F125),ISNUMBER(L125)),(L125-F125),"")</f>
        <v/>
      </c>
      <c r="T125" s="11">
        <f>IF(AND(ISNUMBER(D125),ISNUMBER(L125)),(L125-D125),"")</f>
        <v/>
      </c>
    </row>
    <row r="126">
      <c r="A126" s="3" t="inlineStr">
        <is>
          <t>10125</t>
        </is>
      </c>
      <c r="B126" s="9" t="n">
        <v>225.64</v>
      </c>
      <c r="C126" s="3" t="inlineStr">
        <is>
          <t>703</t>
        </is>
      </c>
      <c r="D126" s="10" t="n">
        <v>45671.59960648148</v>
      </c>
      <c r="E126" s="10" t="n">
        <v>45671.59960648148</v>
      </c>
      <c r="F126" s="10" t="n">
        <v>45671.60172453704</v>
      </c>
      <c r="G126" s="10" t="n">
        <v>45671.60172453704</v>
      </c>
      <c r="H126" s="10" t="n">
        <v>45671.60450231482</v>
      </c>
      <c r="I126" s="10" t="n">
        <v>45671.60628472222</v>
      </c>
      <c r="J126" s="10" t="n">
        <v>45671.60628472222</v>
      </c>
      <c r="K126" s="10" t="n">
        <v>45671.60715277777</v>
      </c>
      <c r="L126" s="10" t="n">
        <v>45671.60902777778</v>
      </c>
      <c r="M126" s="11">
        <f>IF(AND(ISNUMBER(D126),ISNUMBER(E126)),(E126-D126),"")</f>
        <v/>
      </c>
      <c r="N126" s="11">
        <f>IF(AND(ISNUMBER(E126),ISNUMBER(F126)),(F126-E126),"")</f>
        <v/>
      </c>
      <c r="O126" s="11">
        <f>IF(AND(ISNUMBER(G126),ISNUMBER(H126)),(H126-G126),"")</f>
        <v/>
      </c>
      <c r="P126" s="11">
        <f>IF(AND(ISNUMBER(H126),ISNUMBER(I126)),(I126-H126),"")</f>
        <v/>
      </c>
      <c r="Q126" s="11">
        <f>IF(AND(ISNUMBER(J126),ISNUMBER(K126)),(K126-J126),"")</f>
        <v/>
      </c>
      <c r="R126" s="11">
        <f>IF(AND(ISNUMBER(K126),ISNUMBER(L126)),(L126-K126),"")</f>
        <v/>
      </c>
      <c r="S126" s="11">
        <f>IF(AND(ISNUMBER(F126),ISNUMBER(L126)),(L126-F126),"")</f>
        <v/>
      </c>
      <c r="T126" s="11">
        <f>IF(AND(ISNUMBER(D126),ISNUMBER(L126)),(L126-D126),"")</f>
        <v/>
      </c>
    </row>
    <row r="127">
      <c r="A127" s="3" t="inlineStr">
        <is>
          <t>10126</t>
        </is>
      </c>
      <c r="B127" s="9" t="n">
        <v>584.6</v>
      </c>
      <c r="C127" s="3" t="inlineStr">
        <is>
          <t>727</t>
        </is>
      </c>
      <c r="D127" s="10" t="n">
        <v>45671.61978009259</v>
      </c>
      <c r="E127" s="10" t="n">
        <v>45671.61978009259</v>
      </c>
      <c r="F127" s="10" t="n">
        <v>45671.62229166667</v>
      </c>
      <c r="G127" s="10" t="n">
        <v>45671.62229166667</v>
      </c>
      <c r="H127" s="10" t="n">
        <v>45671.62506944445</v>
      </c>
      <c r="I127" s="10" t="n">
        <v>45671.64103009259</v>
      </c>
      <c r="J127" s="10" t="n">
        <v>45671.64103009259</v>
      </c>
      <c r="K127" s="10" t="n">
        <v>45671.64189814815</v>
      </c>
      <c r="L127" s="10" t="n">
        <v>45671.66046296297</v>
      </c>
      <c r="M127" s="11">
        <f>IF(AND(ISNUMBER(D127),ISNUMBER(E127)),(E127-D127),"")</f>
        <v/>
      </c>
      <c r="N127" s="11">
        <f>IF(AND(ISNUMBER(E127),ISNUMBER(F127)),(F127-E127),"")</f>
        <v/>
      </c>
      <c r="O127" s="11">
        <f>IF(AND(ISNUMBER(G127),ISNUMBER(H127)),(H127-G127),"")</f>
        <v/>
      </c>
      <c r="P127" s="11">
        <f>IF(AND(ISNUMBER(H127),ISNUMBER(I127)),(I127-H127),"")</f>
        <v/>
      </c>
      <c r="Q127" s="11">
        <f>IF(AND(ISNUMBER(J127),ISNUMBER(K127)),(K127-J127),"")</f>
        <v/>
      </c>
      <c r="R127" s="11">
        <f>IF(AND(ISNUMBER(K127),ISNUMBER(L127)),(L127-K127),"")</f>
        <v/>
      </c>
      <c r="S127" s="11">
        <f>IF(AND(ISNUMBER(F127),ISNUMBER(L127)),(L127-F127),"")</f>
        <v/>
      </c>
      <c r="T127" s="11">
        <f>IF(AND(ISNUMBER(D127),ISNUMBER(L127)),(L127-D127),"")</f>
        <v/>
      </c>
    </row>
    <row r="128">
      <c r="A128" s="3" t="inlineStr">
        <is>
          <t>10127</t>
        </is>
      </c>
      <c r="B128" s="9" t="n">
        <v>173.14</v>
      </c>
      <c r="C128" s="3" t="inlineStr">
        <is>
          <t>703</t>
        </is>
      </c>
      <c r="D128" s="10" t="n">
        <v>45671.6440162037</v>
      </c>
      <c r="E128" s="10" t="n">
        <v>45671.6440162037</v>
      </c>
      <c r="F128" s="10" t="n">
        <v>45671.64600694444</v>
      </c>
      <c r="G128" s="10" t="n">
        <v>45671.64600694444</v>
      </c>
      <c r="H128" s="10" t="n">
        <v>45671.64878472222</v>
      </c>
      <c r="I128" s="10" t="n">
        <v>45671.65021990741</v>
      </c>
      <c r="J128" s="10" t="n">
        <v>45671.65021990741</v>
      </c>
      <c r="K128" s="10" t="n">
        <v>45671.66133101852</v>
      </c>
      <c r="L128" s="10" t="n">
        <v>45671.66342592592</v>
      </c>
      <c r="M128" s="11">
        <f>IF(AND(ISNUMBER(D128),ISNUMBER(E128)),(E128-D128),"")</f>
        <v/>
      </c>
      <c r="N128" s="11">
        <f>IF(AND(ISNUMBER(E128),ISNUMBER(F128)),(F128-E128),"")</f>
        <v/>
      </c>
      <c r="O128" s="11">
        <f>IF(AND(ISNUMBER(G128),ISNUMBER(H128)),(H128-G128),"")</f>
        <v/>
      </c>
      <c r="P128" s="11">
        <f>IF(AND(ISNUMBER(H128),ISNUMBER(I128)),(I128-H128),"")</f>
        <v/>
      </c>
      <c r="Q128" s="11">
        <f>IF(AND(ISNUMBER(J128),ISNUMBER(K128)),(K128-J128),"")</f>
        <v/>
      </c>
      <c r="R128" s="11">
        <f>IF(AND(ISNUMBER(K128),ISNUMBER(L128)),(L128-K128),"")</f>
        <v/>
      </c>
      <c r="S128" s="11">
        <f>IF(AND(ISNUMBER(F128),ISNUMBER(L128)),(L128-F128),"")</f>
        <v/>
      </c>
      <c r="T128" s="11">
        <f>IF(AND(ISNUMBER(D128),ISNUMBER(L128)),(L128-D128),"")</f>
        <v/>
      </c>
    </row>
    <row r="129">
      <c r="A129" s="3" t="inlineStr">
        <is>
          <t>10128</t>
        </is>
      </c>
      <c r="B129" s="9" t="n">
        <v>40.9</v>
      </c>
      <c r="C129" s="3" t="inlineStr">
        <is>
          <t>731</t>
        </is>
      </c>
      <c r="D129" s="10" t="n">
        <v>45671.65216435185</v>
      </c>
      <c r="E129" s="10" t="n">
        <v>45671.65216435185</v>
      </c>
      <c r="F129" s="10" t="n">
        <v>45671.65347222222</v>
      </c>
      <c r="G129" s="10" t="n">
        <v>45671.65347222222</v>
      </c>
      <c r="H129" s="10" t="n">
        <v>45671.65625</v>
      </c>
      <c r="I129" s="10" t="n">
        <v>45671.65659722222</v>
      </c>
      <c r="J129" s="10" t="n">
        <v>45671.65659722222</v>
      </c>
      <c r="K129" s="10" t="n">
        <v>45671.66429398148</v>
      </c>
      <c r="L129" s="10" t="n">
        <v>45671.66631944444</v>
      </c>
      <c r="M129" s="11">
        <f>IF(AND(ISNUMBER(D129),ISNUMBER(E129)),(E129-D129),"")</f>
        <v/>
      </c>
      <c r="N129" s="11">
        <f>IF(AND(ISNUMBER(E129),ISNUMBER(F129)),(F129-E129),"")</f>
        <v/>
      </c>
      <c r="O129" s="11">
        <f>IF(AND(ISNUMBER(G129),ISNUMBER(H129)),(H129-G129),"")</f>
        <v/>
      </c>
      <c r="P129" s="11">
        <f>IF(AND(ISNUMBER(H129),ISNUMBER(I129)),(I129-H129),"")</f>
        <v/>
      </c>
      <c r="Q129" s="11">
        <f>IF(AND(ISNUMBER(J129),ISNUMBER(K129)),(K129-J129),"")</f>
        <v/>
      </c>
      <c r="R129" s="11">
        <f>IF(AND(ISNUMBER(K129),ISNUMBER(L129)),(L129-K129),"")</f>
        <v/>
      </c>
      <c r="S129" s="11">
        <f>IF(AND(ISNUMBER(F129),ISNUMBER(L129)),(L129-F129),"")</f>
        <v/>
      </c>
      <c r="T129" s="11">
        <f>IF(AND(ISNUMBER(D129),ISNUMBER(L129)),(L129-D129),"")</f>
        <v/>
      </c>
    </row>
    <row r="130">
      <c r="A130" s="3" t="inlineStr">
        <is>
          <t>10129</t>
        </is>
      </c>
      <c r="B130" s="9" t="n">
        <v>490.1199999999999</v>
      </c>
      <c r="C130" s="3" t="inlineStr">
        <is>
          <t>703</t>
        </is>
      </c>
      <c r="D130" s="10" t="n">
        <v>45671.73002314815</v>
      </c>
      <c r="E130" s="10" t="n">
        <v>45671.73002314815</v>
      </c>
      <c r="F130" s="10" t="n">
        <v>45671.73274305555</v>
      </c>
      <c r="G130" s="10" t="n">
        <v>45671.73274305555</v>
      </c>
      <c r="H130" s="10" t="n">
        <v>45671.73552083333</v>
      </c>
      <c r="I130" s="10" t="n">
        <v>45671.74964120371</v>
      </c>
      <c r="J130" s="10" t="n">
        <v>45671.74964120371</v>
      </c>
      <c r="K130" s="10" t="n">
        <v>45671.75305555556</v>
      </c>
      <c r="L130" s="10" t="n">
        <v>45671.77013888889</v>
      </c>
      <c r="M130" s="11">
        <f>IF(AND(ISNUMBER(D130),ISNUMBER(E130)),(E130-D130),"")</f>
        <v/>
      </c>
      <c r="N130" s="11">
        <f>IF(AND(ISNUMBER(E130),ISNUMBER(F130)),(F130-E130),"")</f>
        <v/>
      </c>
      <c r="O130" s="11">
        <f>IF(AND(ISNUMBER(G130),ISNUMBER(H130)),(H130-G130),"")</f>
        <v/>
      </c>
      <c r="P130" s="11">
        <f>IF(AND(ISNUMBER(H130),ISNUMBER(I130)),(I130-H130),"")</f>
        <v/>
      </c>
      <c r="Q130" s="11">
        <f>IF(AND(ISNUMBER(J130),ISNUMBER(K130)),(K130-J130),"")</f>
        <v/>
      </c>
      <c r="R130" s="11">
        <f>IF(AND(ISNUMBER(K130),ISNUMBER(L130)),(L130-K130),"")</f>
        <v/>
      </c>
      <c r="S130" s="11">
        <f>IF(AND(ISNUMBER(F130),ISNUMBER(L130)),(L130-F130),"")</f>
        <v/>
      </c>
      <c r="T130" s="11">
        <f>IF(AND(ISNUMBER(D130),ISNUMBER(L130)),(L130-D130),"")</f>
        <v/>
      </c>
    </row>
    <row r="131">
      <c r="A131" s="3" t="inlineStr">
        <is>
          <t>10130</t>
        </is>
      </c>
      <c r="B131" s="9" t="n">
        <v>62.96</v>
      </c>
      <c r="C131" s="3" t="inlineStr">
        <is>
          <t>731</t>
        </is>
      </c>
      <c r="D131" s="10" t="n">
        <v>45671.74459490741</v>
      </c>
      <c r="E131" s="10" t="n">
        <v>45671.74459490741</v>
      </c>
      <c r="F131" s="10" t="n">
        <v>45671.74596064815</v>
      </c>
      <c r="G131" s="10" t="n">
        <v>45671.74596064815</v>
      </c>
      <c r="H131" s="10" t="n">
        <v>45671.74873842593</v>
      </c>
      <c r="I131" s="10" t="n">
        <v>45671.74922453704</v>
      </c>
      <c r="J131" s="10" t="n">
        <v>45671.74922453704</v>
      </c>
      <c r="K131" s="10" t="n">
        <v>45671.75010416667</v>
      </c>
      <c r="L131" s="10" t="n">
        <v>45671.7521875</v>
      </c>
      <c r="M131" s="11">
        <f>IF(AND(ISNUMBER(D131),ISNUMBER(E131)),(E131-D131),"")</f>
        <v/>
      </c>
      <c r="N131" s="11">
        <f>IF(AND(ISNUMBER(E131),ISNUMBER(F131)),(F131-E131),"")</f>
        <v/>
      </c>
      <c r="O131" s="11">
        <f>IF(AND(ISNUMBER(G131),ISNUMBER(H131)),(H131-G131),"")</f>
        <v/>
      </c>
      <c r="P131" s="11">
        <f>IF(AND(ISNUMBER(H131),ISNUMBER(I131)),(I131-H131),"")</f>
        <v/>
      </c>
      <c r="Q131" s="11">
        <f>IF(AND(ISNUMBER(J131),ISNUMBER(K131)),(K131-J131),"")</f>
        <v/>
      </c>
      <c r="R131" s="11">
        <f>IF(AND(ISNUMBER(K131),ISNUMBER(L131)),(L131-K131),"")</f>
        <v/>
      </c>
      <c r="S131" s="11">
        <f>IF(AND(ISNUMBER(F131),ISNUMBER(L131)),(L131-F131),"")</f>
        <v/>
      </c>
      <c r="T131" s="11">
        <f>IF(AND(ISNUMBER(D131),ISNUMBER(L131)),(L131-D131),"")</f>
        <v/>
      </c>
    </row>
    <row r="132">
      <c r="A132" s="3" t="inlineStr">
        <is>
          <t>10131</t>
        </is>
      </c>
      <c r="B132" s="9" t="n">
        <v>15.74</v>
      </c>
      <c r="C132" s="3" t="inlineStr">
        <is>
          <t>731</t>
        </is>
      </c>
      <c r="D132" s="10" t="n">
        <v>45671.82476851852</v>
      </c>
      <c r="E132" s="10" t="n">
        <v>45671.82476851852</v>
      </c>
      <c r="F132" s="10" t="n">
        <v>45671.82601851852</v>
      </c>
      <c r="G132" s="10" t="n">
        <v>45671.82601851852</v>
      </c>
      <c r="H132" s="10" t="n">
        <v>45671.82879629629</v>
      </c>
      <c r="I132" s="10" t="n">
        <v>45671.82893518519</v>
      </c>
      <c r="J132" s="10" t="n">
        <v>45671.82893518519</v>
      </c>
      <c r="K132" s="10" t="n">
        <v>45671.82981481482</v>
      </c>
      <c r="L132" s="10" t="n">
        <v>45671.83133101852</v>
      </c>
      <c r="M132" s="11">
        <f>IF(AND(ISNUMBER(D132),ISNUMBER(E132)),(E132-D132),"")</f>
        <v/>
      </c>
      <c r="N132" s="11">
        <f>IF(AND(ISNUMBER(E132),ISNUMBER(F132)),(F132-E132),"")</f>
        <v/>
      </c>
      <c r="O132" s="11">
        <f>IF(AND(ISNUMBER(G132),ISNUMBER(H132)),(H132-G132),"")</f>
        <v/>
      </c>
      <c r="P132" s="11">
        <f>IF(AND(ISNUMBER(H132),ISNUMBER(I132)),(I132-H132),"")</f>
        <v/>
      </c>
      <c r="Q132" s="11">
        <f>IF(AND(ISNUMBER(J132),ISNUMBER(K132)),(K132-J132),"")</f>
        <v/>
      </c>
      <c r="R132" s="11">
        <f>IF(AND(ISNUMBER(K132),ISNUMBER(L132)),(L132-K132),"")</f>
        <v/>
      </c>
      <c r="S132" s="11">
        <f>IF(AND(ISNUMBER(F132),ISNUMBER(L132)),(L132-F132),"")</f>
        <v/>
      </c>
      <c r="T132" s="11">
        <f>IF(AND(ISNUMBER(D132),ISNUMBER(L132)),(L132-D132),"")</f>
        <v/>
      </c>
    </row>
    <row r="133">
      <c r="A133" s="3" t="inlineStr">
        <is>
          <t>10132</t>
        </is>
      </c>
      <c r="B133" s="9" t="n">
        <v>313.18</v>
      </c>
      <c r="C133" s="3" t="inlineStr">
        <is>
          <t>703</t>
        </is>
      </c>
      <c r="D133" s="10" t="n">
        <v>45672.09983796296</v>
      </c>
      <c r="E133" s="10" t="n">
        <v>45672.09983796296</v>
      </c>
      <c r="F133" s="10" t="n">
        <v>45672.10215277778</v>
      </c>
      <c r="G133" s="10" t="n">
        <v>45672.10215277778</v>
      </c>
      <c r="H133" s="10" t="n">
        <v>45672.10493055556</v>
      </c>
      <c r="I133" s="10" t="n">
        <v>45672.11020833333</v>
      </c>
      <c r="J133" s="10" t="n">
        <v>45672.11020833333</v>
      </c>
      <c r="K133" s="10" t="n">
        <v>45672.11107638889</v>
      </c>
      <c r="L133" s="10" t="n">
        <v>45672.11896990741</v>
      </c>
      <c r="M133" s="11">
        <f>IF(AND(ISNUMBER(D133),ISNUMBER(E133)),(E133-D133),"")</f>
        <v/>
      </c>
      <c r="N133" s="11">
        <f>IF(AND(ISNUMBER(E133),ISNUMBER(F133)),(F133-E133),"")</f>
        <v/>
      </c>
      <c r="O133" s="11">
        <f>IF(AND(ISNUMBER(G133),ISNUMBER(H133)),(H133-G133),"")</f>
        <v/>
      </c>
      <c r="P133" s="11">
        <f>IF(AND(ISNUMBER(H133),ISNUMBER(I133)),(I133-H133),"")</f>
        <v/>
      </c>
      <c r="Q133" s="11">
        <f>IF(AND(ISNUMBER(J133),ISNUMBER(K133)),(K133-J133),"")</f>
        <v/>
      </c>
      <c r="R133" s="11">
        <f>IF(AND(ISNUMBER(K133),ISNUMBER(L133)),(L133-K133),"")</f>
        <v/>
      </c>
      <c r="S133" s="11">
        <f>IF(AND(ISNUMBER(F133),ISNUMBER(L133)),(L133-F133),"")</f>
        <v/>
      </c>
      <c r="T133" s="11">
        <f>IF(AND(ISNUMBER(D133),ISNUMBER(L133)),(L133-D133),"")</f>
        <v/>
      </c>
    </row>
    <row r="134">
      <c r="A134" s="3" t="inlineStr">
        <is>
          <t>10133</t>
        </is>
      </c>
      <c r="B134" s="9" t="n">
        <v>521.9</v>
      </c>
      <c r="C134" s="3" t="inlineStr">
        <is>
          <t>703</t>
        </is>
      </c>
      <c r="D134" s="10" t="n">
        <v>45672.19112268519</v>
      </c>
      <c r="E134" s="10" t="n">
        <v>45672.19112268519</v>
      </c>
      <c r="F134" s="10" t="n">
        <v>45672.19392361111</v>
      </c>
      <c r="G134" s="10" t="n">
        <v>45672.19392361111</v>
      </c>
      <c r="H134" s="10" t="n">
        <v>45672.19670138889</v>
      </c>
      <c r="I134" s="10" t="n">
        <v>45672.20108796296</v>
      </c>
      <c r="J134" s="10" t="n">
        <v>45672.20108796296</v>
      </c>
      <c r="K134" s="10" t="n">
        <v>45672.20196759259</v>
      </c>
      <c r="L134" s="10" t="n">
        <v>45672.20488425926</v>
      </c>
      <c r="M134" s="11">
        <f>IF(AND(ISNUMBER(D134),ISNUMBER(E134)),(E134-D134),"")</f>
        <v/>
      </c>
      <c r="N134" s="11">
        <f>IF(AND(ISNUMBER(E134),ISNUMBER(F134)),(F134-E134),"")</f>
        <v/>
      </c>
      <c r="O134" s="11">
        <f>IF(AND(ISNUMBER(G134),ISNUMBER(H134)),(H134-G134),"")</f>
        <v/>
      </c>
      <c r="P134" s="11">
        <f>IF(AND(ISNUMBER(H134),ISNUMBER(I134)),(I134-H134),"")</f>
        <v/>
      </c>
      <c r="Q134" s="11">
        <f>IF(AND(ISNUMBER(J134),ISNUMBER(K134)),(K134-J134),"")</f>
        <v/>
      </c>
      <c r="R134" s="11">
        <f>IF(AND(ISNUMBER(K134),ISNUMBER(L134)),(L134-K134),"")</f>
        <v/>
      </c>
      <c r="S134" s="11">
        <f>IF(AND(ISNUMBER(F134),ISNUMBER(L134)),(L134-F134),"")</f>
        <v/>
      </c>
      <c r="T134" s="11">
        <f>IF(AND(ISNUMBER(D134),ISNUMBER(L134)),(L134-D134),"")</f>
        <v/>
      </c>
    </row>
    <row r="135">
      <c r="A135" s="3" t="inlineStr">
        <is>
          <t>10134</t>
        </is>
      </c>
      <c r="B135" s="9" t="n">
        <v>298</v>
      </c>
      <c r="C135" s="3" t="inlineStr">
        <is>
          <t>703</t>
        </is>
      </c>
      <c r="D135" s="10" t="n">
        <v>45672.26991898148</v>
      </c>
      <c r="E135" s="10" t="n">
        <v>45672.26991898148</v>
      </c>
      <c r="F135" s="10" t="n">
        <v>45672.27219907408</v>
      </c>
      <c r="G135" s="10" t="n">
        <v>45672.27219907408</v>
      </c>
      <c r="H135" s="10" t="n">
        <v>45672.27497685186</v>
      </c>
      <c r="I135" s="10" t="n">
        <v>45672.27722222222</v>
      </c>
      <c r="J135" s="10" t="n">
        <v>45672.27722222222</v>
      </c>
      <c r="K135" s="10" t="n">
        <v>45672.27809027778</v>
      </c>
      <c r="L135" s="10" t="n">
        <v>45672.27989583334</v>
      </c>
      <c r="M135" s="11">
        <f>IF(AND(ISNUMBER(D135),ISNUMBER(E135)),(E135-D135),"")</f>
        <v/>
      </c>
      <c r="N135" s="11">
        <f>IF(AND(ISNUMBER(E135),ISNUMBER(F135)),(F135-E135),"")</f>
        <v/>
      </c>
      <c r="O135" s="11">
        <f>IF(AND(ISNUMBER(G135),ISNUMBER(H135)),(H135-G135),"")</f>
        <v/>
      </c>
      <c r="P135" s="11">
        <f>IF(AND(ISNUMBER(H135),ISNUMBER(I135)),(I135-H135),"")</f>
        <v/>
      </c>
      <c r="Q135" s="11">
        <f>IF(AND(ISNUMBER(J135),ISNUMBER(K135)),(K135-J135),"")</f>
        <v/>
      </c>
      <c r="R135" s="11">
        <f>IF(AND(ISNUMBER(K135),ISNUMBER(L135)),(L135-K135),"")</f>
        <v/>
      </c>
      <c r="S135" s="11">
        <f>IF(AND(ISNUMBER(F135),ISNUMBER(L135)),(L135-F135),"")</f>
        <v/>
      </c>
      <c r="T135" s="11">
        <f>IF(AND(ISNUMBER(D135),ISNUMBER(L135)),(L135-D135),"")</f>
        <v/>
      </c>
    </row>
    <row r="136">
      <c r="A136" s="3" t="inlineStr">
        <is>
          <t>10135</t>
        </is>
      </c>
      <c r="B136" s="9" t="n">
        <v>406.34</v>
      </c>
      <c r="C136" s="3" t="inlineStr">
        <is>
          <t>703</t>
        </is>
      </c>
      <c r="D136" s="10" t="n">
        <v>45672.29699074074</v>
      </c>
      <c r="E136" s="10" t="n">
        <v>45672.29699074074</v>
      </c>
      <c r="F136" s="10" t="n">
        <v>45672.29952546296</v>
      </c>
      <c r="G136" s="10" t="n">
        <v>45672.29952546296</v>
      </c>
      <c r="H136" s="10" t="n">
        <v>45672.30230324074</v>
      </c>
      <c r="I136" s="10" t="n">
        <v>45672.31460648148</v>
      </c>
      <c r="J136" s="10" t="n">
        <v>45672.31460648148</v>
      </c>
      <c r="K136" s="10" t="n">
        <v>45672.31547453703</v>
      </c>
      <c r="L136" s="10" t="n">
        <v>45672.33166666667</v>
      </c>
      <c r="M136" s="11">
        <f>IF(AND(ISNUMBER(D136),ISNUMBER(E136)),(E136-D136),"")</f>
        <v/>
      </c>
      <c r="N136" s="11">
        <f>IF(AND(ISNUMBER(E136),ISNUMBER(F136)),(F136-E136),"")</f>
        <v/>
      </c>
      <c r="O136" s="11">
        <f>IF(AND(ISNUMBER(G136),ISNUMBER(H136)),(H136-G136),"")</f>
        <v/>
      </c>
      <c r="P136" s="11">
        <f>IF(AND(ISNUMBER(H136),ISNUMBER(I136)),(I136-H136),"")</f>
        <v/>
      </c>
      <c r="Q136" s="11">
        <f>IF(AND(ISNUMBER(J136),ISNUMBER(K136)),(K136-J136),"")</f>
        <v/>
      </c>
      <c r="R136" s="11">
        <f>IF(AND(ISNUMBER(K136),ISNUMBER(L136)),(L136-K136),"")</f>
        <v/>
      </c>
      <c r="S136" s="11">
        <f>IF(AND(ISNUMBER(F136),ISNUMBER(L136)),(L136-F136),"")</f>
        <v/>
      </c>
      <c r="T136" s="11">
        <f>IF(AND(ISNUMBER(D136),ISNUMBER(L136)),(L136-D136),"")</f>
        <v/>
      </c>
    </row>
    <row r="137">
      <c r="A137" s="3" t="inlineStr">
        <is>
          <t>10136</t>
        </is>
      </c>
      <c r="B137" s="9" t="n">
        <v>256.98</v>
      </c>
      <c r="C137" s="3" t="inlineStr">
        <is>
          <t>727</t>
        </is>
      </c>
      <c r="D137" s="10" t="n">
        <v>45672.31155092592</v>
      </c>
      <c r="E137" s="10" t="n">
        <v>45672.31155092592</v>
      </c>
      <c r="F137" s="10" t="n">
        <v>45672.31329861111</v>
      </c>
      <c r="G137" s="10" t="n">
        <v>45672.31329861111</v>
      </c>
      <c r="H137" s="10" t="n">
        <v>45672.31607638889</v>
      </c>
      <c r="I137" s="10" t="n">
        <v>45672.31800925926</v>
      </c>
      <c r="J137" s="10" t="n">
        <v>45672.31800925926</v>
      </c>
      <c r="K137" s="10" t="n">
        <v>45672.3325462963</v>
      </c>
      <c r="L137" s="10" t="n">
        <v>45672.33482638889</v>
      </c>
      <c r="M137" s="11">
        <f>IF(AND(ISNUMBER(D137),ISNUMBER(E137)),(E137-D137),"")</f>
        <v/>
      </c>
      <c r="N137" s="11">
        <f>IF(AND(ISNUMBER(E137),ISNUMBER(F137)),(F137-E137),"")</f>
        <v/>
      </c>
      <c r="O137" s="11">
        <f>IF(AND(ISNUMBER(G137),ISNUMBER(H137)),(H137-G137),"")</f>
        <v/>
      </c>
      <c r="P137" s="11">
        <f>IF(AND(ISNUMBER(H137),ISNUMBER(I137)),(I137-H137),"")</f>
        <v/>
      </c>
      <c r="Q137" s="11">
        <f>IF(AND(ISNUMBER(J137),ISNUMBER(K137)),(K137-J137),"")</f>
        <v/>
      </c>
      <c r="R137" s="11">
        <f>IF(AND(ISNUMBER(K137),ISNUMBER(L137)),(L137-K137),"")</f>
        <v/>
      </c>
      <c r="S137" s="11">
        <f>IF(AND(ISNUMBER(F137),ISNUMBER(L137)),(L137-F137),"")</f>
        <v/>
      </c>
      <c r="T137" s="11">
        <f>IF(AND(ISNUMBER(D137),ISNUMBER(L137)),(L137-D137),"")</f>
        <v/>
      </c>
    </row>
    <row r="138">
      <c r="A138" s="3" t="inlineStr">
        <is>
          <t>10137</t>
        </is>
      </c>
      <c r="B138" s="9" t="n">
        <v>374.0600000000001</v>
      </c>
      <c r="C138" s="3" t="inlineStr">
        <is>
          <t>703</t>
        </is>
      </c>
      <c r="D138" s="10" t="n">
        <v>45672.33540509259</v>
      </c>
      <c r="E138" s="10" t="n">
        <v>45672.33540509259</v>
      </c>
      <c r="F138" s="10" t="n">
        <v>45672.33785879629</v>
      </c>
      <c r="G138" s="10" t="n">
        <v>45672.33785879629</v>
      </c>
      <c r="H138" s="10" t="n">
        <v>45672.34063657407</v>
      </c>
      <c r="I138" s="10" t="n">
        <v>45672.3434375</v>
      </c>
      <c r="J138" s="10" t="n">
        <v>45672.3434375</v>
      </c>
      <c r="K138" s="10" t="n">
        <v>45672.34431712963</v>
      </c>
      <c r="L138" s="10" t="n">
        <v>45672.34710648148</v>
      </c>
      <c r="M138" s="11">
        <f>IF(AND(ISNUMBER(D138),ISNUMBER(E138)),(E138-D138),"")</f>
        <v/>
      </c>
      <c r="N138" s="11">
        <f>IF(AND(ISNUMBER(E138),ISNUMBER(F138)),(F138-E138),"")</f>
        <v/>
      </c>
      <c r="O138" s="11">
        <f>IF(AND(ISNUMBER(G138),ISNUMBER(H138)),(H138-G138),"")</f>
        <v/>
      </c>
      <c r="P138" s="11">
        <f>IF(AND(ISNUMBER(H138),ISNUMBER(I138)),(I138-H138),"")</f>
        <v/>
      </c>
      <c r="Q138" s="11">
        <f>IF(AND(ISNUMBER(J138),ISNUMBER(K138)),(K138-J138),"")</f>
        <v/>
      </c>
      <c r="R138" s="11">
        <f>IF(AND(ISNUMBER(K138),ISNUMBER(L138)),(L138-K138),"")</f>
        <v/>
      </c>
      <c r="S138" s="11">
        <f>IF(AND(ISNUMBER(F138),ISNUMBER(L138)),(L138-F138),"")</f>
        <v/>
      </c>
      <c r="T138" s="11">
        <f>IF(AND(ISNUMBER(D138),ISNUMBER(L138)),(L138-D138),"")</f>
        <v/>
      </c>
    </row>
    <row r="139">
      <c r="A139" s="3" t="inlineStr">
        <is>
          <t>10138</t>
        </is>
      </c>
      <c r="B139" s="9" t="n">
        <v>285.72</v>
      </c>
      <c r="C139" s="3" t="inlineStr">
        <is>
          <t>703</t>
        </is>
      </c>
      <c r="D139" s="10" t="n">
        <v>45672.37032407407</v>
      </c>
      <c r="E139" s="10" t="n">
        <v>45672.37032407407</v>
      </c>
      <c r="F139" s="10" t="n">
        <v>45672.37258101852</v>
      </c>
      <c r="G139" s="10" t="n">
        <v>45672.37258101852</v>
      </c>
      <c r="H139" s="10" t="n">
        <v>45672.37535879629</v>
      </c>
      <c r="I139" s="10" t="n">
        <v>45672.38489583333</v>
      </c>
      <c r="J139" s="10" t="n">
        <v>45672.38489583333</v>
      </c>
      <c r="K139" s="10" t="n">
        <v>45672.38576388889</v>
      </c>
      <c r="L139" s="10" t="n">
        <v>45672.39929398148</v>
      </c>
      <c r="M139" s="11">
        <f>IF(AND(ISNUMBER(D139),ISNUMBER(E139)),(E139-D139),"")</f>
        <v/>
      </c>
      <c r="N139" s="11">
        <f>IF(AND(ISNUMBER(E139),ISNUMBER(F139)),(F139-E139),"")</f>
        <v/>
      </c>
      <c r="O139" s="11">
        <f>IF(AND(ISNUMBER(G139),ISNUMBER(H139)),(H139-G139),"")</f>
        <v/>
      </c>
      <c r="P139" s="11">
        <f>IF(AND(ISNUMBER(H139),ISNUMBER(I139)),(I139-H139),"")</f>
        <v/>
      </c>
      <c r="Q139" s="11">
        <f>IF(AND(ISNUMBER(J139),ISNUMBER(K139)),(K139-J139),"")</f>
        <v/>
      </c>
      <c r="R139" s="11">
        <f>IF(AND(ISNUMBER(K139),ISNUMBER(L139)),(L139-K139),"")</f>
        <v/>
      </c>
      <c r="S139" s="11">
        <f>IF(AND(ISNUMBER(F139),ISNUMBER(L139)),(L139-F139),"")</f>
        <v/>
      </c>
      <c r="T139" s="11">
        <f>IF(AND(ISNUMBER(D139),ISNUMBER(L139)),(L139-D139),"")</f>
        <v/>
      </c>
    </row>
    <row r="140">
      <c r="A140" s="3" t="inlineStr">
        <is>
          <t>10139</t>
        </is>
      </c>
      <c r="B140" s="9" t="n">
        <v>355.3</v>
      </c>
      <c r="C140" s="3" t="inlineStr">
        <is>
          <t>727</t>
        </is>
      </c>
      <c r="D140" s="10" t="n">
        <v>45672.37873842593</v>
      </c>
      <c r="E140" s="10" t="n">
        <v>45672.37873842593</v>
      </c>
      <c r="F140" s="10" t="n">
        <v>45672.38071759259</v>
      </c>
      <c r="G140" s="10" t="n">
        <v>45672.38071759259</v>
      </c>
      <c r="H140" s="10" t="n">
        <v>45672.38349537037</v>
      </c>
      <c r="I140" s="10" t="n">
        <v>45672.38712962963</v>
      </c>
      <c r="J140" s="10" t="n">
        <v>45672.38712962963</v>
      </c>
      <c r="K140" s="10" t="n">
        <v>45672.40016203704</v>
      </c>
      <c r="L140" s="10" t="n">
        <v>45672.40363425926</v>
      </c>
      <c r="M140" s="11">
        <f>IF(AND(ISNUMBER(D140),ISNUMBER(E140)),(E140-D140),"")</f>
        <v/>
      </c>
      <c r="N140" s="11">
        <f>IF(AND(ISNUMBER(E140),ISNUMBER(F140)),(F140-E140),"")</f>
        <v/>
      </c>
      <c r="O140" s="11">
        <f>IF(AND(ISNUMBER(G140),ISNUMBER(H140)),(H140-G140),"")</f>
        <v/>
      </c>
      <c r="P140" s="11">
        <f>IF(AND(ISNUMBER(H140),ISNUMBER(I140)),(I140-H140),"")</f>
        <v/>
      </c>
      <c r="Q140" s="11">
        <f>IF(AND(ISNUMBER(J140),ISNUMBER(K140)),(K140-J140),"")</f>
        <v/>
      </c>
      <c r="R140" s="11">
        <f>IF(AND(ISNUMBER(K140),ISNUMBER(L140)),(L140-K140),"")</f>
        <v/>
      </c>
      <c r="S140" s="11">
        <f>IF(AND(ISNUMBER(F140),ISNUMBER(L140)),(L140-F140),"")</f>
        <v/>
      </c>
      <c r="T140" s="11">
        <f>IF(AND(ISNUMBER(D140),ISNUMBER(L140)),(L140-D140),"")</f>
        <v/>
      </c>
    </row>
    <row r="141">
      <c r="A141" s="3" t="inlineStr">
        <is>
          <t>10140</t>
        </is>
      </c>
      <c r="B141" s="9" t="n">
        <v>273.6</v>
      </c>
      <c r="C141" s="3" t="inlineStr">
        <is>
          <t>703</t>
        </is>
      </c>
      <c r="D141" s="10" t="n">
        <v>45672.41457175926</v>
      </c>
      <c r="E141" s="10" t="n">
        <v>45672.41457175926</v>
      </c>
      <c r="F141" s="10" t="n">
        <v>45672.41679398148</v>
      </c>
      <c r="G141" s="10" t="n">
        <v>45672.41679398148</v>
      </c>
      <c r="H141" s="10" t="n">
        <v>45672.41957175926</v>
      </c>
      <c r="I141" s="10" t="n">
        <v>45672.42285879629</v>
      </c>
      <c r="J141" s="10" t="n">
        <v>45672.42285879629</v>
      </c>
      <c r="K141" s="10" t="n">
        <v>45672.42372685186</v>
      </c>
      <c r="L141" s="10" t="n">
        <v>45672.42753472222</v>
      </c>
      <c r="M141" s="11">
        <f>IF(AND(ISNUMBER(D141),ISNUMBER(E141)),(E141-D141),"")</f>
        <v/>
      </c>
      <c r="N141" s="11">
        <f>IF(AND(ISNUMBER(E141),ISNUMBER(F141)),(F141-E141),"")</f>
        <v/>
      </c>
      <c r="O141" s="11">
        <f>IF(AND(ISNUMBER(G141),ISNUMBER(H141)),(H141-G141),"")</f>
        <v/>
      </c>
      <c r="P141" s="11">
        <f>IF(AND(ISNUMBER(H141),ISNUMBER(I141)),(I141-H141),"")</f>
        <v/>
      </c>
      <c r="Q141" s="11">
        <f>IF(AND(ISNUMBER(J141),ISNUMBER(K141)),(K141-J141),"")</f>
        <v/>
      </c>
      <c r="R141" s="11">
        <f>IF(AND(ISNUMBER(K141),ISNUMBER(L141)),(L141-K141),"")</f>
        <v/>
      </c>
      <c r="S141" s="11">
        <f>IF(AND(ISNUMBER(F141),ISNUMBER(L141)),(L141-F141),"")</f>
        <v/>
      </c>
      <c r="T141" s="11">
        <f>IF(AND(ISNUMBER(D141),ISNUMBER(L141)),(L141-D141),"")</f>
        <v/>
      </c>
    </row>
    <row r="142">
      <c r="A142" s="3" t="inlineStr">
        <is>
          <t>10141</t>
        </is>
      </c>
      <c r="B142" s="9" t="n">
        <v>120.92</v>
      </c>
      <c r="C142" s="3" t="inlineStr">
        <is>
          <t>703</t>
        </is>
      </c>
      <c r="D142" s="10" t="n">
        <v>45672.54091435186</v>
      </c>
      <c r="E142" s="10" t="n">
        <v>45672.54091435186</v>
      </c>
      <c r="F142" s="10" t="n">
        <v>45672.54278935185</v>
      </c>
      <c r="G142" s="10" t="n">
        <v>45672.54278935185</v>
      </c>
      <c r="H142" s="10" t="n">
        <v>45672.54556712963</v>
      </c>
      <c r="I142" s="10" t="n">
        <v>45672.54650462963</v>
      </c>
      <c r="J142" s="10" t="n">
        <v>45672.54650462963</v>
      </c>
      <c r="K142" s="10" t="n">
        <v>45672.54737268519</v>
      </c>
      <c r="L142" s="10" t="n">
        <v>45672.54936342593</v>
      </c>
      <c r="M142" s="11">
        <f>IF(AND(ISNUMBER(D142),ISNUMBER(E142)),(E142-D142),"")</f>
        <v/>
      </c>
      <c r="N142" s="11">
        <f>IF(AND(ISNUMBER(E142),ISNUMBER(F142)),(F142-E142),"")</f>
        <v/>
      </c>
      <c r="O142" s="11">
        <f>IF(AND(ISNUMBER(G142),ISNUMBER(H142)),(H142-G142),"")</f>
        <v/>
      </c>
      <c r="P142" s="11">
        <f>IF(AND(ISNUMBER(H142),ISNUMBER(I142)),(I142-H142),"")</f>
        <v/>
      </c>
      <c r="Q142" s="11">
        <f>IF(AND(ISNUMBER(J142),ISNUMBER(K142)),(K142-J142),"")</f>
        <v/>
      </c>
      <c r="R142" s="11">
        <f>IF(AND(ISNUMBER(K142),ISNUMBER(L142)),(L142-K142),"")</f>
        <v/>
      </c>
      <c r="S142" s="11">
        <f>IF(AND(ISNUMBER(F142),ISNUMBER(L142)),(L142-F142),"")</f>
        <v/>
      </c>
      <c r="T142" s="11">
        <f>IF(AND(ISNUMBER(D142),ISNUMBER(L142)),(L142-D142),"")</f>
        <v/>
      </c>
    </row>
    <row r="143">
      <c r="A143" s="3" t="inlineStr">
        <is>
          <t>10142</t>
        </is>
      </c>
      <c r="B143" s="9" t="n">
        <v>515.64</v>
      </c>
      <c r="C143" s="3" t="inlineStr">
        <is>
          <t>703</t>
        </is>
      </c>
      <c r="D143" s="10" t="n">
        <v>45672.62741898148</v>
      </c>
      <c r="E143" s="10" t="n">
        <v>45672.62741898148</v>
      </c>
      <c r="F143" s="10" t="n">
        <v>45672.63020833334</v>
      </c>
      <c r="G143" s="10" t="n">
        <v>45672.63020833334</v>
      </c>
      <c r="H143" s="10" t="n">
        <v>45672.63298611111</v>
      </c>
      <c r="I143" s="10" t="n">
        <v>45672.64682870371</v>
      </c>
      <c r="J143" s="10" t="n">
        <v>45672.64682870371</v>
      </c>
      <c r="K143" s="10" t="n">
        <v>45672.64769675926</v>
      </c>
      <c r="L143" s="10" t="n">
        <v>45672.66550925926</v>
      </c>
      <c r="M143" s="11">
        <f>IF(AND(ISNUMBER(D143),ISNUMBER(E143)),(E143-D143),"")</f>
        <v/>
      </c>
      <c r="N143" s="11">
        <f>IF(AND(ISNUMBER(E143),ISNUMBER(F143)),(F143-E143),"")</f>
        <v/>
      </c>
      <c r="O143" s="11">
        <f>IF(AND(ISNUMBER(G143),ISNUMBER(H143)),(H143-G143),"")</f>
        <v/>
      </c>
      <c r="P143" s="11">
        <f>IF(AND(ISNUMBER(H143),ISNUMBER(I143)),(I143-H143),"")</f>
        <v/>
      </c>
      <c r="Q143" s="11">
        <f>IF(AND(ISNUMBER(J143),ISNUMBER(K143)),(K143-J143),"")</f>
        <v/>
      </c>
      <c r="R143" s="11">
        <f>IF(AND(ISNUMBER(K143),ISNUMBER(L143)),(L143-K143),"")</f>
        <v/>
      </c>
      <c r="S143" s="11">
        <f>IF(AND(ISNUMBER(F143),ISNUMBER(L143)),(L143-F143),"")</f>
        <v/>
      </c>
      <c r="T143" s="11">
        <f>IF(AND(ISNUMBER(D143),ISNUMBER(L143)),(L143-D143),"")</f>
        <v/>
      </c>
    </row>
    <row r="144">
      <c r="A144" s="3" t="inlineStr">
        <is>
          <t>10143</t>
        </is>
      </c>
      <c r="B144" s="9" t="n">
        <v>110.18</v>
      </c>
      <c r="C144" s="3" t="inlineStr">
        <is>
          <t>727</t>
        </is>
      </c>
      <c r="D144" s="10" t="n">
        <v>45672.64776620371</v>
      </c>
      <c r="E144" s="10" t="n">
        <v>45672.64776620371</v>
      </c>
      <c r="F144" s="10" t="n">
        <v>45672.64917824074</v>
      </c>
      <c r="G144" s="10" t="n">
        <v>45672.64917824074</v>
      </c>
      <c r="H144" s="10" t="n">
        <v>45672.65195601852</v>
      </c>
      <c r="I144" s="10" t="n">
        <v>45672.65284722222</v>
      </c>
      <c r="J144" s="10" t="n">
        <v>45672.65284722222</v>
      </c>
      <c r="K144" s="10" t="n">
        <v>45672.66637731482</v>
      </c>
      <c r="L144" s="10" t="n">
        <v>45672.66784722222</v>
      </c>
      <c r="M144" s="11">
        <f>IF(AND(ISNUMBER(D144),ISNUMBER(E144)),(E144-D144),"")</f>
        <v/>
      </c>
      <c r="N144" s="11">
        <f>IF(AND(ISNUMBER(E144),ISNUMBER(F144)),(F144-E144),"")</f>
        <v/>
      </c>
      <c r="O144" s="11">
        <f>IF(AND(ISNUMBER(G144),ISNUMBER(H144)),(H144-G144),"")</f>
        <v/>
      </c>
      <c r="P144" s="11">
        <f>IF(AND(ISNUMBER(H144),ISNUMBER(I144)),(I144-H144),"")</f>
        <v/>
      </c>
      <c r="Q144" s="11">
        <f>IF(AND(ISNUMBER(J144),ISNUMBER(K144)),(K144-J144),"")</f>
        <v/>
      </c>
      <c r="R144" s="11">
        <f>IF(AND(ISNUMBER(K144),ISNUMBER(L144)),(L144-K144),"")</f>
        <v/>
      </c>
      <c r="S144" s="11">
        <f>IF(AND(ISNUMBER(F144),ISNUMBER(L144)),(L144-F144),"")</f>
        <v/>
      </c>
      <c r="T144" s="11">
        <f>IF(AND(ISNUMBER(D144),ISNUMBER(L144)),(L144-D144),"")</f>
        <v/>
      </c>
    </row>
    <row r="145">
      <c r="A145" s="3" t="inlineStr">
        <is>
          <t>10144</t>
        </is>
      </c>
      <c r="B145" s="9" t="n">
        <v>325.3600000000001</v>
      </c>
      <c r="C145" s="3" t="inlineStr">
        <is>
          <t>703</t>
        </is>
      </c>
      <c r="D145" s="10" t="n">
        <v>45672.71831018518</v>
      </c>
      <c r="E145" s="10" t="n">
        <v>45672.71831018518</v>
      </c>
      <c r="F145" s="10" t="n">
        <v>45672.72064814815</v>
      </c>
      <c r="G145" s="10" t="n">
        <v>45672.72064814815</v>
      </c>
      <c r="H145" s="10" t="n">
        <v>45672.72342592593</v>
      </c>
      <c r="I145" s="10" t="n">
        <v>45672.72596064815</v>
      </c>
      <c r="J145" s="10" t="n">
        <v>45672.72596064815</v>
      </c>
      <c r="K145" s="10" t="n">
        <v>45672.7268287037</v>
      </c>
      <c r="L145" s="10" t="n">
        <v>45672.7287037037</v>
      </c>
      <c r="M145" s="11">
        <f>IF(AND(ISNUMBER(D145),ISNUMBER(E145)),(E145-D145),"")</f>
        <v/>
      </c>
      <c r="N145" s="11">
        <f>IF(AND(ISNUMBER(E145),ISNUMBER(F145)),(F145-E145),"")</f>
        <v/>
      </c>
      <c r="O145" s="11">
        <f>IF(AND(ISNUMBER(G145),ISNUMBER(H145)),(H145-G145),"")</f>
        <v/>
      </c>
      <c r="P145" s="11">
        <f>IF(AND(ISNUMBER(H145),ISNUMBER(I145)),(I145-H145),"")</f>
        <v/>
      </c>
      <c r="Q145" s="11">
        <f>IF(AND(ISNUMBER(J145),ISNUMBER(K145)),(K145-J145),"")</f>
        <v/>
      </c>
      <c r="R145" s="11">
        <f>IF(AND(ISNUMBER(K145),ISNUMBER(L145)),(L145-K145),"")</f>
        <v/>
      </c>
      <c r="S145" s="11">
        <f>IF(AND(ISNUMBER(F145),ISNUMBER(L145)),(L145-F145),"")</f>
        <v/>
      </c>
      <c r="T145" s="11">
        <f>IF(AND(ISNUMBER(D145),ISNUMBER(L145)),(L145-D145),"")</f>
        <v/>
      </c>
    </row>
    <row r="146">
      <c r="A146" s="3" t="inlineStr">
        <is>
          <t>10145</t>
        </is>
      </c>
      <c r="B146" s="9" t="n">
        <v>296.64</v>
      </c>
      <c r="C146" s="3" t="inlineStr">
        <is>
          <t>703</t>
        </is>
      </c>
      <c r="D146" s="10" t="n">
        <v>45672.73539351852</v>
      </c>
      <c r="E146" s="10" t="n">
        <v>45672.73539351852</v>
      </c>
      <c r="F146" s="10" t="n">
        <v>45672.73767361111</v>
      </c>
      <c r="G146" s="10" t="n">
        <v>45672.73767361111</v>
      </c>
      <c r="H146" s="10" t="n">
        <v>45672.74045138889</v>
      </c>
      <c r="I146" s="10" t="n">
        <v>45672.75361111111</v>
      </c>
      <c r="J146" s="10" t="n">
        <v>45672.75361111111</v>
      </c>
      <c r="K146" s="10" t="n">
        <v>45672.75447916667</v>
      </c>
      <c r="L146" s="10" t="n">
        <v>45672.77318287037</v>
      </c>
      <c r="M146" s="11">
        <f>IF(AND(ISNUMBER(D146),ISNUMBER(E146)),(E146-D146),"")</f>
        <v/>
      </c>
      <c r="N146" s="11">
        <f>IF(AND(ISNUMBER(E146),ISNUMBER(F146)),(F146-E146),"")</f>
        <v/>
      </c>
      <c r="O146" s="11">
        <f>IF(AND(ISNUMBER(G146),ISNUMBER(H146)),(H146-G146),"")</f>
        <v/>
      </c>
      <c r="P146" s="11">
        <f>IF(AND(ISNUMBER(H146),ISNUMBER(I146)),(I146-H146),"")</f>
        <v/>
      </c>
      <c r="Q146" s="11">
        <f>IF(AND(ISNUMBER(J146),ISNUMBER(K146)),(K146-J146),"")</f>
        <v/>
      </c>
      <c r="R146" s="11">
        <f>IF(AND(ISNUMBER(K146),ISNUMBER(L146)),(L146-K146),"")</f>
        <v/>
      </c>
      <c r="S146" s="11">
        <f>IF(AND(ISNUMBER(F146),ISNUMBER(L146)),(L146-F146),"")</f>
        <v/>
      </c>
      <c r="T146" s="11">
        <f>IF(AND(ISNUMBER(D146),ISNUMBER(L146)),(L146-D146),"")</f>
        <v/>
      </c>
    </row>
    <row r="147">
      <c r="A147" s="3" t="inlineStr">
        <is>
          <t>10146</t>
        </is>
      </c>
      <c r="B147" s="9" t="n">
        <v>200.34</v>
      </c>
      <c r="C147" s="3" t="inlineStr">
        <is>
          <t>703</t>
        </is>
      </c>
      <c r="D147" s="10" t="n">
        <v>45673.11050925926</v>
      </c>
      <c r="E147" s="10" t="n">
        <v>45673.11050925926</v>
      </c>
      <c r="F147" s="10" t="n">
        <v>45673.11255787037</v>
      </c>
      <c r="G147" s="10" t="n">
        <v>45673.11255787037</v>
      </c>
      <c r="H147" s="10" t="n">
        <v>45673.11533564814</v>
      </c>
      <c r="I147" s="10" t="n">
        <v>45673.119375</v>
      </c>
      <c r="J147" s="10" t="n">
        <v>45673.119375</v>
      </c>
      <c r="K147" s="10" t="n">
        <v>45673.12016203703</v>
      </c>
      <c r="L147" s="10" t="n">
        <v>45673.1253125</v>
      </c>
      <c r="M147" s="11">
        <f>IF(AND(ISNUMBER(D147),ISNUMBER(E147)),(E147-D147),"")</f>
        <v/>
      </c>
      <c r="N147" s="11">
        <f>IF(AND(ISNUMBER(E147),ISNUMBER(F147)),(F147-E147),"")</f>
        <v/>
      </c>
      <c r="O147" s="11">
        <f>IF(AND(ISNUMBER(G147),ISNUMBER(H147)),(H147-G147),"")</f>
        <v/>
      </c>
      <c r="P147" s="11">
        <f>IF(AND(ISNUMBER(H147),ISNUMBER(I147)),(I147-H147),"")</f>
        <v/>
      </c>
      <c r="Q147" s="11">
        <f>IF(AND(ISNUMBER(J147),ISNUMBER(K147)),(K147-J147),"")</f>
        <v/>
      </c>
      <c r="R147" s="11">
        <f>IF(AND(ISNUMBER(K147),ISNUMBER(L147)),(L147-K147),"")</f>
        <v/>
      </c>
      <c r="S147" s="11">
        <f>IF(AND(ISNUMBER(F147),ISNUMBER(L147)),(L147-F147),"")</f>
        <v/>
      </c>
      <c r="T147" s="11">
        <f>IF(AND(ISNUMBER(D147),ISNUMBER(L147)),(L147-D147),"")</f>
        <v/>
      </c>
    </row>
    <row r="148">
      <c r="A148" s="3" t="inlineStr">
        <is>
          <t>10147</t>
        </is>
      </c>
      <c r="B148" s="9" t="n">
        <v>297</v>
      </c>
      <c r="C148" s="3" t="inlineStr">
        <is>
          <t>703</t>
        </is>
      </c>
      <c r="D148" s="10" t="n">
        <v>45673.26471064815</v>
      </c>
      <c r="E148" s="10" t="n">
        <v>45673.26471064815</v>
      </c>
      <c r="F148" s="10" t="n">
        <v>45673.26699074074</v>
      </c>
      <c r="G148" s="10" t="n">
        <v>45673.26699074074</v>
      </c>
      <c r="H148" s="10" t="n">
        <v>45673.26976851852</v>
      </c>
      <c r="I148" s="10" t="n">
        <v>45673.27193287037</v>
      </c>
      <c r="J148" s="10" t="n">
        <v>45673.27193287037</v>
      </c>
      <c r="K148" s="10" t="n">
        <v>45673.27280092592</v>
      </c>
      <c r="L148" s="10" t="n">
        <v>45673.27460648148</v>
      </c>
      <c r="M148" s="11">
        <f>IF(AND(ISNUMBER(D148),ISNUMBER(E148)),(E148-D148),"")</f>
        <v/>
      </c>
      <c r="N148" s="11">
        <f>IF(AND(ISNUMBER(E148),ISNUMBER(F148)),(F148-E148),"")</f>
        <v/>
      </c>
      <c r="O148" s="11">
        <f>IF(AND(ISNUMBER(G148),ISNUMBER(H148)),(H148-G148),"")</f>
        <v/>
      </c>
      <c r="P148" s="11">
        <f>IF(AND(ISNUMBER(H148),ISNUMBER(I148)),(I148-H148),"")</f>
        <v/>
      </c>
      <c r="Q148" s="11">
        <f>IF(AND(ISNUMBER(J148),ISNUMBER(K148)),(K148-J148),"")</f>
        <v/>
      </c>
      <c r="R148" s="11">
        <f>IF(AND(ISNUMBER(K148),ISNUMBER(L148)),(L148-K148),"")</f>
        <v/>
      </c>
      <c r="S148" s="11">
        <f>IF(AND(ISNUMBER(F148),ISNUMBER(L148)),(L148-F148),"")</f>
        <v/>
      </c>
      <c r="T148" s="11">
        <f>IF(AND(ISNUMBER(D148),ISNUMBER(L148)),(L148-D148),"")</f>
        <v/>
      </c>
    </row>
    <row r="149">
      <c r="A149" s="3" t="inlineStr">
        <is>
          <t>10148</t>
        </is>
      </c>
      <c r="B149" s="9" t="n">
        <v>390.7</v>
      </c>
      <c r="C149" s="3" t="inlineStr">
        <is>
          <t>703</t>
        </is>
      </c>
      <c r="D149" s="10" t="n">
        <v>45673.30105324074</v>
      </c>
      <c r="E149" s="10" t="n">
        <v>45673.30105324074</v>
      </c>
      <c r="F149" s="10" t="n">
        <v>45673.30355324074</v>
      </c>
      <c r="G149" s="10" t="n">
        <v>45673.30355324074</v>
      </c>
      <c r="H149" s="10" t="n">
        <v>45673.30633101852</v>
      </c>
      <c r="I149" s="10" t="n">
        <v>45673.31854166667</v>
      </c>
      <c r="J149" s="10" t="n">
        <v>45673.31854166667</v>
      </c>
      <c r="K149" s="10" t="n">
        <v>45673.3194212963</v>
      </c>
      <c r="L149" s="10" t="n">
        <v>45673.33865740741</v>
      </c>
      <c r="M149" s="11">
        <f>IF(AND(ISNUMBER(D149),ISNUMBER(E149)),(E149-D149),"")</f>
        <v/>
      </c>
      <c r="N149" s="11">
        <f>IF(AND(ISNUMBER(E149),ISNUMBER(F149)),(F149-E149),"")</f>
        <v/>
      </c>
      <c r="O149" s="11">
        <f>IF(AND(ISNUMBER(G149),ISNUMBER(H149)),(H149-G149),"")</f>
        <v/>
      </c>
      <c r="P149" s="11">
        <f>IF(AND(ISNUMBER(H149),ISNUMBER(I149)),(I149-H149),"")</f>
        <v/>
      </c>
      <c r="Q149" s="11">
        <f>IF(AND(ISNUMBER(J149),ISNUMBER(K149)),(K149-J149),"")</f>
        <v/>
      </c>
      <c r="R149" s="11">
        <f>IF(AND(ISNUMBER(K149),ISNUMBER(L149)),(L149-K149),"")</f>
        <v/>
      </c>
      <c r="S149" s="11">
        <f>IF(AND(ISNUMBER(F149),ISNUMBER(L149)),(L149-F149),"")</f>
        <v/>
      </c>
      <c r="T149" s="11">
        <f>IF(AND(ISNUMBER(D149),ISNUMBER(L149)),(L149-D149),"")</f>
        <v/>
      </c>
    </row>
    <row r="150">
      <c r="A150" s="3" t="inlineStr">
        <is>
          <t>10149</t>
        </is>
      </c>
      <c r="B150" s="9" t="n">
        <v>126</v>
      </c>
      <c r="C150" s="3" t="inlineStr">
        <is>
          <t>727</t>
        </is>
      </c>
      <c r="D150" s="10" t="n">
        <v>45673.30131944444</v>
      </c>
      <c r="E150" s="10" t="n">
        <v>45673.30131944444</v>
      </c>
      <c r="F150" s="10" t="n">
        <v>45673.30276620371</v>
      </c>
      <c r="G150" s="10" t="n">
        <v>45673.30276620371</v>
      </c>
      <c r="H150" s="10" t="n">
        <v>45673.30554398148</v>
      </c>
      <c r="I150" s="10" t="n">
        <v>45673.30663194445</v>
      </c>
      <c r="J150" s="10" t="n">
        <v>45673.30663194445</v>
      </c>
      <c r="K150" s="10" t="n">
        <v>45673.30751157407</v>
      </c>
      <c r="L150" s="10" t="n">
        <v>45673.30969907407</v>
      </c>
      <c r="M150" s="11">
        <f>IF(AND(ISNUMBER(D150),ISNUMBER(E150)),(E150-D150),"")</f>
        <v/>
      </c>
      <c r="N150" s="11">
        <f>IF(AND(ISNUMBER(E150),ISNUMBER(F150)),(F150-E150),"")</f>
        <v/>
      </c>
      <c r="O150" s="11">
        <f>IF(AND(ISNUMBER(G150),ISNUMBER(H150)),(H150-G150),"")</f>
        <v/>
      </c>
      <c r="P150" s="11">
        <f>IF(AND(ISNUMBER(H150),ISNUMBER(I150)),(I150-H150),"")</f>
        <v/>
      </c>
      <c r="Q150" s="11">
        <f>IF(AND(ISNUMBER(J150),ISNUMBER(K150)),(K150-J150),"")</f>
        <v/>
      </c>
      <c r="R150" s="11">
        <f>IF(AND(ISNUMBER(K150),ISNUMBER(L150)),(L150-K150),"")</f>
        <v/>
      </c>
      <c r="S150" s="11">
        <f>IF(AND(ISNUMBER(F150),ISNUMBER(L150)),(L150-F150),"")</f>
        <v/>
      </c>
      <c r="T150" s="11">
        <f>IF(AND(ISNUMBER(D150),ISNUMBER(L150)),(L150-D150),"")</f>
        <v/>
      </c>
    </row>
    <row r="151">
      <c r="A151" s="3" t="inlineStr">
        <is>
          <t>10150</t>
        </is>
      </c>
      <c r="B151" s="9" t="n">
        <v>396.5600000000001</v>
      </c>
      <c r="C151" s="3" t="inlineStr">
        <is>
          <t>727</t>
        </is>
      </c>
      <c r="D151" s="10" t="n">
        <v>45673.33083333333</v>
      </c>
      <c r="E151" s="10" t="n">
        <v>45673.33083333333</v>
      </c>
      <c r="F151" s="10" t="n">
        <v>45673.33290509259</v>
      </c>
      <c r="G151" s="10" t="n">
        <v>45673.33290509259</v>
      </c>
      <c r="H151" s="10" t="n">
        <v>45673.33568287037</v>
      </c>
      <c r="I151" s="10" t="n">
        <v>45673.33857638889</v>
      </c>
      <c r="J151" s="10" t="n">
        <v>45673.33857638889</v>
      </c>
      <c r="K151" s="10" t="n">
        <v>45673.33952546296</v>
      </c>
      <c r="L151" s="10" t="n">
        <v>45673.34153935185</v>
      </c>
      <c r="M151" s="11">
        <f>IF(AND(ISNUMBER(D151),ISNUMBER(E151)),(E151-D151),"")</f>
        <v/>
      </c>
      <c r="N151" s="11">
        <f>IF(AND(ISNUMBER(E151),ISNUMBER(F151)),(F151-E151),"")</f>
        <v/>
      </c>
      <c r="O151" s="11">
        <f>IF(AND(ISNUMBER(G151),ISNUMBER(H151)),(H151-G151),"")</f>
        <v/>
      </c>
      <c r="P151" s="11">
        <f>IF(AND(ISNUMBER(H151),ISNUMBER(I151)),(I151-H151),"")</f>
        <v/>
      </c>
      <c r="Q151" s="11">
        <f>IF(AND(ISNUMBER(J151),ISNUMBER(K151)),(K151-J151),"")</f>
        <v/>
      </c>
      <c r="R151" s="11">
        <f>IF(AND(ISNUMBER(K151),ISNUMBER(L151)),(L151-K151),"")</f>
        <v/>
      </c>
      <c r="S151" s="11">
        <f>IF(AND(ISNUMBER(F151),ISNUMBER(L151)),(L151-F151),"")</f>
        <v/>
      </c>
      <c r="T151" s="11">
        <f>IF(AND(ISNUMBER(D151),ISNUMBER(L151)),(L151-D151),"")</f>
        <v/>
      </c>
    </row>
    <row r="152">
      <c r="A152" s="3" t="inlineStr">
        <is>
          <t>10151</t>
        </is>
      </c>
      <c r="B152" s="9" t="n">
        <v>417.48</v>
      </c>
      <c r="C152" s="3" t="inlineStr">
        <is>
          <t>703</t>
        </is>
      </c>
      <c r="D152" s="10" t="n">
        <v>45673.37540509259</v>
      </c>
      <c r="E152" s="10" t="n">
        <v>45673.37540509259</v>
      </c>
      <c r="F152" s="10" t="n">
        <v>45673.37796296296</v>
      </c>
      <c r="G152" s="10" t="n">
        <v>45673.37796296296</v>
      </c>
      <c r="H152" s="10" t="n">
        <v>45673.38074074074</v>
      </c>
      <c r="I152" s="10" t="n">
        <v>45673.39422453703</v>
      </c>
      <c r="J152" s="10" t="n">
        <v>45673.39422453703</v>
      </c>
      <c r="K152" s="10" t="n">
        <v>45673.39501157407</v>
      </c>
      <c r="L152" s="10" t="n">
        <v>45673.41155092593</v>
      </c>
      <c r="M152" s="11">
        <f>IF(AND(ISNUMBER(D152),ISNUMBER(E152)),(E152-D152),"")</f>
        <v/>
      </c>
      <c r="N152" s="11">
        <f>IF(AND(ISNUMBER(E152),ISNUMBER(F152)),(F152-E152),"")</f>
        <v/>
      </c>
      <c r="O152" s="11">
        <f>IF(AND(ISNUMBER(G152),ISNUMBER(H152)),(H152-G152),"")</f>
        <v/>
      </c>
      <c r="P152" s="11">
        <f>IF(AND(ISNUMBER(H152),ISNUMBER(I152)),(I152-H152),"")</f>
        <v/>
      </c>
      <c r="Q152" s="11">
        <f>IF(AND(ISNUMBER(J152),ISNUMBER(K152)),(K152-J152),"")</f>
        <v/>
      </c>
      <c r="R152" s="11">
        <f>IF(AND(ISNUMBER(K152),ISNUMBER(L152)),(L152-K152),"")</f>
        <v/>
      </c>
      <c r="S152" s="11">
        <f>IF(AND(ISNUMBER(F152),ISNUMBER(L152)),(L152-F152),"")</f>
        <v/>
      </c>
      <c r="T152" s="11">
        <f>IF(AND(ISNUMBER(D152),ISNUMBER(L152)),(L152-D152),"")</f>
        <v/>
      </c>
    </row>
    <row r="153">
      <c r="A153" s="3" t="inlineStr">
        <is>
          <t>10152</t>
        </is>
      </c>
      <c r="B153" s="9" t="n">
        <v>389.4</v>
      </c>
      <c r="C153" s="3" t="inlineStr">
        <is>
          <t>727</t>
        </is>
      </c>
      <c r="D153" s="10" t="n">
        <v>45673.37616898148</v>
      </c>
      <c r="E153" s="10" t="n">
        <v>45673.37616898148</v>
      </c>
      <c r="F153" s="10" t="n">
        <v>45673.3782175926</v>
      </c>
      <c r="G153" s="10" t="n">
        <v>45673.3782175926</v>
      </c>
      <c r="H153" s="10" t="n">
        <v>45673.38099537037</v>
      </c>
      <c r="I153" s="10" t="n">
        <v>45673.38525462963</v>
      </c>
      <c r="J153" s="10" t="n">
        <v>45673.38525462963</v>
      </c>
      <c r="K153" s="10" t="n">
        <v>45673.38605324074</v>
      </c>
      <c r="L153" s="10" t="n">
        <v>45673.39049768518</v>
      </c>
      <c r="M153" s="11">
        <f>IF(AND(ISNUMBER(D153),ISNUMBER(E153)),(E153-D153),"")</f>
        <v/>
      </c>
      <c r="N153" s="11">
        <f>IF(AND(ISNUMBER(E153),ISNUMBER(F153)),(F153-E153),"")</f>
        <v/>
      </c>
      <c r="O153" s="11">
        <f>IF(AND(ISNUMBER(G153),ISNUMBER(H153)),(H153-G153),"")</f>
        <v/>
      </c>
      <c r="P153" s="11">
        <f>IF(AND(ISNUMBER(H153),ISNUMBER(I153)),(I153-H153),"")</f>
        <v/>
      </c>
      <c r="Q153" s="11">
        <f>IF(AND(ISNUMBER(J153),ISNUMBER(K153)),(K153-J153),"")</f>
        <v/>
      </c>
      <c r="R153" s="11">
        <f>IF(AND(ISNUMBER(K153),ISNUMBER(L153)),(L153-K153),"")</f>
        <v/>
      </c>
      <c r="S153" s="11">
        <f>IF(AND(ISNUMBER(F153),ISNUMBER(L153)),(L153-F153),"")</f>
        <v/>
      </c>
      <c r="T153" s="11">
        <f>IF(AND(ISNUMBER(D153),ISNUMBER(L153)),(L153-D153),"")</f>
        <v/>
      </c>
    </row>
    <row r="154">
      <c r="A154" s="3" t="inlineStr">
        <is>
          <t>10153</t>
        </is>
      </c>
      <c r="B154" s="9" t="n">
        <v>359.3400000000001</v>
      </c>
      <c r="C154" s="3" t="inlineStr">
        <is>
          <t>703</t>
        </is>
      </c>
      <c r="D154" s="10" t="n">
        <v>45673.4411574074</v>
      </c>
      <c r="E154" s="10" t="n">
        <v>45673.4411574074</v>
      </c>
      <c r="F154" s="10" t="n">
        <v>45673.44357638889</v>
      </c>
      <c r="G154" s="10" t="n">
        <v>45673.44357638889</v>
      </c>
      <c r="H154" s="10" t="n">
        <v>45673.44635416667</v>
      </c>
      <c r="I154" s="10" t="n">
        <v>45673.45034722222</v>
      </c>
      <c r="J154" s="10" t="n">
        <v>45673.45034722222</v>
      </c>
      <c r="K154" s="10" t="n">
        <v>45673.45113425926</v>
      </c>
      <c r="L154" s="10" t="n">
        <v>45673.45478009259</v>
      </c>
      <c r="M154" s="11">
        <f>IF(AND(ISNUMBER(D154),ISNUMBER(E154)),(E154-D154),"")</f>
        <v/>
      </c>
      <c r="N154" s="11">
        <f>IF(AND(ISNUMBER(E154),ISNUMBER(F154)),(F154-E154),"")</f>
        <v/>
      </c>
      <c r="O154" s="11">
        <f>IF(AND(ISNUMBER(G154),ISNUMBER(H154)),(H154-G154),"")</f>
        <v/>
      </c>
      <c r="P154" s="11">
        <f>IF(AND(ISNUMBER(H154),ISNUMBER(I154)),(I154-H154),"")</f>
        <v/>
      </c>
      <c r="Q154" s="11">
        <f>IF(AND(ISNUMBER(J154),ISNUMBER(K154)),(K154-J154),"")</f>
        <v/>
      </c>
      <c r="R154" s="11">
        <f>IF(AND(ISNUMBER(K154),ISNUMBER(L154)),(L154-K154),"")</f>
        <v/>
      </c>
      <c r="S154" s="11">
        <f>IF(AND(ISNUMBER(F154),ISNUMBER(L154)),(L154-F154),"")</f>
        <v/>
      </c>
      <c r="T154" s="11">
        <f>IF(AND(ISNUMBER(D154),ISNUMBER(L154)),(L154-D154),"")</f>
        <v/>
      </c>
    </row>
    <row r="155">
      <c r="A155" s="3" t="inlineStr">
        <is>
          <t>10154</t>
        </is>
      </c>
      <c r="B155" s="9" t="n">
        <v>172.98</v>
      </c>
      <c r="C155" s="3" t="inlineStr">
        <is>
          <t>703</t>
        </is>
      </c>
      <c r="D155" s="10" t="n">
        <v>45673.53206018519</v>
      </c>
      <c r="E155" s="10" t="n">
        <v>45673.53206018519</v>
      </c>
      <c r="F155" s="10" t="n">
        <v>45673.53405092593</v>
      </c>
      <c r="G155" s="10" t="n">
        <v>45673.53405092593</v>
      </c>
      <c r="H155" s="10" t="n">
        <v>45673.53682870371</v>
      </c>
      <c r="I155" s="10" t="n">
        <v>45673.538125</v>
      </c>
      <c r="J155" s="10" t="n">
        <v>45673.538125</v>
      </c>
      <c r="K155" s="10" t="n">
        <v>45673.53900462963</v>
      </c>
      <c r="L155" s="10" t="n">
        <v>45673.54138888889</v>
      </c>
      <c r="M155" s="11">
        <f>IF(AND(ISNUMBER(D155),ISNUMBER(E155)),(E155-D155),"")</f>
        <v/>
      </c>
      <c r="N155" s="11">
        <f>IF(AND(ISNUMBER(E155),ISNUMBER(F155)),(F155-E155),"")</f>
        <v/>
      </c>
      <c r="O155" s="11">
        <f>IF(AND(ISNUMBER(G155),ISNUMBER(H155)),(H155-G155),"")</f>
        <v/>
      </c>
      <c r="P155" s="11">
        <f>IF(AND(ISNUMBER(H155),ISNUMBER(I155)),(I155-H155),"")</f>
        <v/>
      </c>
      <c r="Q155" s="11">
        <f>IF(AND(ISNUMBER(J155),ISNUMBER(K155)),(K155-J155),"")</f>
        <v/>
      </c>
      <c r="R155" s="11">
        <f>IF(AND(ISNUMBER(K155),ISNUMBER(L155)),(L155-K155),"")</f>
        <v/>
      </c>
      <c r="S155" s="11">
        <f>IF(AND(ISNUMBER(F155),ISNUMBER(L155)),(L155-F155),"")</f>
        <v/>
      </c>
      <c r="T155" s="11">
        <f>IF(AND(ISNUMBER(D155),ISNUMBER(L155)),(L155-D155),"")</f>
        <v/>
      </c>
    </row>
    <row r="156">
      <c r="A156" s="3" t="inlineStr">
        <is>
          <t>10155</t>
        </is>
      </c>
      <c r="B156" s="9" t="n">
        <v>233.88</v>
      </c>
      <c r="C156" s="3" t="inlineStr">
        <is>
          <t>703</t>
        </is>
      </c>
      <c r="D156" s="10" t="n">
        <v>45673.60488425926</v>
      </c>
      <c r="E156" s="10" t="n">
        <v>45673.60488425926</v>
      </c>
      <c r="F156" s="10" t="n">
        <v>45673.60701388889</v>
      </c>
      <c r="G156" s="10" t="n">
        <v>45673.60701388889</v>
      </c>
      <c r="H156" s="10" t="n">
        <v>45673.60979166667</v>
      </c>
      <c r="I156" s="10" t="n">
        <v>45673.61168981482</v>
      </c>
      <c r="J156" s="10" t="n">
        <v>45673.61168981482</v>
      </c>
      <c r="K156" s="10" t="n">
        <v>45673.61247685185</v>
      </c>
      <c r="L156" s="10" t="n">
        <v>45673.61425925926</v>
      </c>
      <c r="M156" s="11">
        <f>IF(AND(ISNUMBER(D156),ISNUMBER(E156)),(E156-D156),"")</f>
        <v/>
      </c>
      <c r="N156" s="11">
        <f>IF(AND(ISNUMBER(E156),ISNUMBER(F156)),(F156-E156),"")</f>
        <v/>
      </c>
      <c r="O156" s="11">
        <f>IF(AND(ISNUMBER(G156),ISNUMBER(H156)),(H156-G156),"")</f>
        <v/>
      </c>
      <c r="P156" s="11">
        <f>IF(AND(ISNUMBER(H156),ISNUMBER(I156)),(I156-H156),"")</f>
        <v/>
      </c>
      <c r="Q156" s="11">
        <f>IF(AND(ISNUMBER(J156),ISNUMBER(K156)),(K156-J156),"")</f>
        <v/>
      </c>
      <c r="R156" s="11">
        <f>IF(AND(ISNUMBER(K156),ISNUMBER(L156)),(L156-K156),"")</f>
        <v/>
      </c>
      <c r="S156" s="11">
        <f>IF(AND(ISNUMBER(F156),ISNUMBER(L156)),(L156-F156),"")</f>
        <v/>
      </c>
      <c r="T156" s="11">
        <f>IF(AND(ISNUMBER(D156),ISNUMBER(L156)),(L156-D156),"")</f>
        <v/>
      </c>
    </row>
    <row r="157">
      <c r="A157" s="3" t="inlineStr">
        <is>
          <t>10156</t>
        </is>
      </c>
      <c r="B157" s="9" t="n">
        <v>338.94</v>
      </c>
      <c r="C157" s="3" t="inlineStr">
        <is>
          <t>703</t>
        </is>
      </c>
      <c r="D157" s="10" t="n">
        <v>45673.614375</v>
      </c>
      <c r="E157" s="10" t="n">
        <v>45673.614375</v>
      </c>
      <c r="F157" s="10" t="n">
        <v>45673.61674768518</v>
      </c>
      <c r="G157" s="10" t="n">
        <v>45673.61674768518</v>
      </c>
      <c r="H157" s="10" t="n">
        <v>45673.61952546296</v>
      </c>
      <c r="I157" s="10" t="n">
        <v>45673.62789351852</v>
      </c>
      <c r="J157" s="10" t="n">
        <v>45673.62789351852</v>
      </c>
      <c r="K157" s="10" t="n">
        <v>45673.62877314815</v>
      </c>
      <c r="L157" s="10" t="n">
        <v>45673.64075231482</v>
      </c>
      <c r="M157" s="11">
        <f>IF(AND(ISNUMBER(D157),ISNUMBER(E157)),(E157-D157),"")</f>
        <v/>
      </c>
      <c r="N157" s="11">
        <f>IF(AND(ISNUMBER(E157),ISNUMBER(F157)),(F157-E157),"")</f>
        <v/>
      </c>
      <c r="O157" s="11">
        <f>IF(AND(ISNUMBER(G157),ISNUMBER(H157)),(H157-G157),"")</f>
        <v/>
      </c>
      <c r="P157" s="11">
        <f>IF(AND(ISNUMBER(H157),ISNUMBER(I157)),(I157-H157),"")</f>
        <v/>
      </c>
      <c r="Q157" s="11">
        <f>IF(AND(ISNUMBER(J157),ISNUMBER(K157)),(K157-J157),"")</f>
        <v/>
      </c>
      <c r="R157" s="11">
        <f>IF(AND(ISNUMBER(K157),ISNUMBER(L157)),(L157-K157),"")</f>
        <v/>
      </c>
      <c r="S157" s="11">
        <f>IF(AND(ISNUMBER(F157),ISNUMBER(L157)),(L157-F157),"")</f>
        <v/>
      </c>
      <c r="T157" s="11">
        <f>IF(AND(ISNUMBER(D157),ISNUMBER(L157)),(L157-D157),"")</f>
        <v/>
      </c>
    </row>
    <row r="158">
      <c r="A158" s="3" t="inlineStr">
        <is>
          <t>10157</t>
        </is>
      </c>
      <c r="B158" s="9" t="n">
        <v>62.96</v>
      </c>
      <c r="C158" s="3" t="inlineStr">
        <is>
          <t>731</t>
        </is>
      </c>
      <c r="D158" s="10" t="n">
        <v>45673.64357638889</v>
      </c>
      <c r="E158" s="10" t="n">
        <v>45673.64357638889</v>
      </c>
      <c r="F158" s="10" t="n">
        <v>45673.64494212963</v>
      </c>
      <c r="G158" s="10" t="n">
        <v>45673.64494212963</v>
      </c>
      <c r="H158" s="10" t="n">
        <v>45673.64771990741</v>
      </c>
      <c r="I158" s="10" t="n">
        <v>45673.64822916667</v>
      </c>
      <c r="J158" s="10" t="n">
        <v>45673.64822916667</v>
      </c>
      <c r="K158" s="10" t="n">
        <v>45673.6490162037</v>
      </c>
      <c r="L158" s="10" t="n">
        <v>45673.65143518519</v>
      </c>
      <c r="M158" s="11">
        <f>IF(AND(ISNUMBER(D158),ISNUMBER(E158)),(E158-D158),"")</f>
        <v/>
      </c>
      <c r="N158" s="11">
        <f>IF(AND(ISNUMBER(E158),ISNUMBER(F158)),(F158-E158),"")</f>
        <v/>
      </c>
      <c r="O158" s="11">
        <f>IF(AND(ISNUMBER(G158),ISNUMBER(H158)),(H158-G158),"")</f>
        <v/>
      </c>
      <c r="P158" s="11">
        <f>IF(AND(ISNUMBER(H158),ISNUMBER(I158)),(I158-H158),"")</f>
        <v/>
      </c>
      <c r="Q158" s="11">
        <f>IF(AND(ISNUMBER(J158),ISNUMBER(K158)),(K158-J158),"")</f>
        <v/>
      </c>
      <c r="R158" s="11">
        <f>IF(AND(ISNUMBER(K158),ISNUMBER(L158)),(L158-K158),"")</f>
        <v/>
      </c>
      <c r="S158" s="11">
        <f>IF(AND(ISNUMBER(F158),ISNUMBER(L158)),(L158-F158),"")</f>
        <v/>
      </c>
      <c r="T158" s="11">
        <f>IF(AND(ISNUMBER(D158),ISNUMBER(L158)),(L158-D158),"")</f>
        <v/>
      </c>
    </row>
    <row r="159">
      <c r="A159" s="3" t="inlineStr">
        <is>
          <t>10158</t>
        </is>
      </c>
      <c r="B159" s="9" t="n">
        <v>119.3</v>
      </c>
      <c r="C159" s="3" t="inlineStr">
        <is>
          <t>703</t>
        </is>
      </c>
      <c r="D159" s="10" t="n">
        <v>45673.67059027778</v>
      </c>
      <c r="E159" s="10" t="n">
        <v>45673.67059027778</v>
      </c>
      <c r="F159" s="10" t="n">
        <v>45673.6724537037</v>
      </c>
      <c r="G159" s="10" t="n">
        <v>45673.6724537037</v>
      </c>
      <c r="H159" s="10" t="n">
        <v>45673.67523148148</v>
      </c>
      <c r="I159" s="10" t="n">
        <v>45673.67709490741</v>
      </c>
      <c r="J159" s="10" t="n">
        <v>45673.67709490741</v>
      </c>
      <c r="K159" s="10" t="n">
        <v>45673.67797453704</v>
      </c>
      <c r="L159" s="10" t="n">
        <v>45673.68129629629</v>
      </c>
      <c r="M159" s="11">
        <f>IF(AND(ISNUMBER(D159),ISNUMBER(E159)),(E159-D159),"")</f>
        <v/>
      </c>
      <c r="N159" s="11">
        <f>IF(AND(ISNUMBER(E159),ISNUMBER(F159)),(F159-E159),"")</f>
        <v/>
      </c>
      <c r="O159" s="11">
        <f>IF(AND(ISNUMBER(G159),ISNUMBER(H159)),(H159-G159),"")</f>
        <v/>
      </c>
      <c r="P159" s="11">
        <f>IF(AND(ISNUMBER(H159),ISNUMBER(I159)),(I159-H159),"")</f>
        <v/>
      </c>
      <c r="Q159" s="11">
        <f>IF(AND(ISNUMBER(J159),ISNUMBER(K159)),(K159-J159),"")</f>
        <v/>
      </c>
      <c r="R159" s="11">
        <f>IF(AND(ISNUMBER(K159),ISNUMBER(L159)),(L159-K159),"")</f>
        <v/>
      </c>
      <c r="S159" s="11">
        <f>IF(AND(ISNUMBER(F159),ISNUMBER(L159)),(L159-F159),"")</f>
        <v/>
      </c>
      <c r="T159" s="11">
        <f>IF(AND(ISNUMBER(D159),ISNUMBER(L159)),(L159-D159),"")</f>
        <v/>
      </c>
    </row>
    <row r="160">
      <c r="A160" s="3" t="inlineStr">
        <is>
          <t>10159</t>
        </is>
      </c>
      <c r="B160" s="9" t="n">
        <v>503.12</v>
      </c>
      <c r="C160" s="3" t="inlineStr">
        <is>
          <t>703</t>
        </is>
      </c>
      <c r="D160" s="10" t="n">
        <v>45673.72673611111</v>
      </c>
      <c r="E160" s="10" t="n">
        <v>45673.72673611111</v>
      </c>
      <c r="F160" s="10" t="n">
        <v>45673.72949074074</v>
      </c>
      <c r="G160" s="10" t="n">
        <v>45673.72949074074</v>
      </c>
      <c r="H160" s="10" t="n">
        <v>45673.73226851852</v>
      </c>
      <c r="I160" s="10" t="n">
        <v>45673.74064814814</v>
      </c>
      <c r="J160" s="10" t="n">
        <v>45673.74064814814</v>
      </c>
      <c r="K160" s="10" t="n">
        <v>45673.74144675926</v>
      </c>
      <c r="L160" s="10" t="n">
        <v>45673.75012731482</v>
      </c>
      <c r="M160" s="11">
        <f>IF(AND(ISNUMBER(D160),ISNUMBER(E160)),(E160-D160),"")</f>
        <v/>
      </c>
      <c r="N160" s="11">
        <f>IF(AND(ISNUMBER(E160),ISNUMBER(F160)),(F160-E160),"")</f>
        <v/>
      </c>
      <c r="O160" s="11">
        <f>IF(AND(ISNUMBER(G160),ISNUMBER(H160)),(H160-G160),"")</f>
        <v/>
      </c>
      <c r="P160" s="11">
        <f>IF(AND(ISNUMBER(H160),ISNUMBER(I160)),(I160-H160),"")</f>
        <v/>
      </c>
      <c r="Q160" s="11">
        <f>IF(AND(ISNUMBER(J160),ISNUMBER(K160)),(K160-J160),"")</f>
        <v/>
      </c>
      <c r="R160" s="11">
        <f>IF(AND(ISNUMBER(K160),ISNUMBER(L160)),(L160-K160),"")</f>
        <v/>
      </c>
      <c r="S160" s="11">
        <f>IF(AND(ISNUMBER(F160),ISNUMBER(L160)),(L160-F160),"")</f>
        <v/>
      </c>
      <c r="T160" s="11">
        <f>IF(AND(ISNUMBER(D160),ISNUMBER(L160)),(L160-D160),"")</f>
        <v/>
      </c>
    </row>
    <row r="161">
      <c r="A161" s="3" t="inlineStr">
        <is>
          <t>10160</t>
        </is>
      </c>
      <c r="B161" s="9" t="n">
        <v>220.98</v>
      </c>
      <c r="C161" s="3" t="inlineStr">
        <is>
          <t>703</t>
        </is>
      </c>
      <c r="D161" s="10" t="n">
        <v>45673.83513888889</v>
      </c>
      <c r="E161" s="10" t="n">
        <v>45673.83513888889</v>
      </c>
      <c r="F161" s="10" t="n">
        <v>45673.83724537037</v>
      </c>
      <c r="G161" s="10" t="n">
        <v>45673.83724537037</v>
      </c>
      <c r="H161" s="10" t="n">
        <v>45673.84002314815</v>
      </c>
      <c r="I161" s="10" t="n">
        <v>45673.8475</v>
      </c>
      <c r="J161" s="10" t="n">
        <v>45673.8475</v>
      </c>
      <c r="K161" s="10" t="n">
        <v>45673.84837962963</v>
      </c>
      <c r="L161" s="10" t="n">
        <v>45673.85993055555</v>
      </c>
      <c r="M161" s="11">
        <f>IF(AND(ISNUMBER(D161),ISNUMBER(E161)),(E161-D161),"")</f>
        <v/>
      </c>
      <c r="N161" s="11">
        <f>IF(AND(ISNUMBER(E161),ISNUMBER(F161)),(F161-E161),"")</f>
        <v/>
      </c>
      <c r="O161" s="11">
        <f>IF(AND(ISNUMBER(G161),ISNUMBER(H161)),(H161-G161),"")</f>
        <v/>
      </c>
      <c r="P161" s="11">
        <f>IF(AND(ISNUMBER(H161),ISNUMBER(I161)),(I161-H161),"")</f>
        <v/>
      </c>
      <c r="Q161" s="11">
        <f>IF(AND(ISNUMBER(J161),ISNUMBER(K161)),(K161-J161),"")</f>
        <v/>
      </c>
      <c r="R161" s="11">
        <f>IF(AND(ISNUMBER(K161),ISNUMBER(L161)),(L161-K161),"")</f>
        <v/>
      </c>
      <c r="S161" s="11">
        <f>IF(AND(ISNUMBER(F161),ISNUMBER(L161)),(L161-F161),"")</f>
        <v/>
      </c>
      <c r="T161" s="11">
        <f>IF(AND(ISNUMBER(D161),ISNUMBER(L161)),(L161-D161),"")</f>
        <v/>
      </c>
    </row>
    <row r="162">
      <c r="A162" s="3" t="inlineStr">
        <is>
          <t>10161</t>
        </is>
      </c>
      <c r="B162" s="9" t="n">
        <v>209.32</v>
      </c>
      <c r="C162" s="3" t="inlineStr">
        <is>
          <t>703</t>
        </is>
      </c>
      <c r="D162" s="10" t="n">
        <v>45674.11395833334</v>
      </c>
      <c r="E162" s="10" t="n">
        <v>45674.11395833334</v>
      </c>
      <c r="F162" s="10" t="n">
        <v>45674.11603009259</v>
      </c>
      <c r="G162" s="10" t="n">
        <v>45674.11603009259</v>
      </c>
      <c r="H162" s="10" t="n">
        <v>45674.11880787037</v>
      </c>
      <c r="I162" s="10" t="n">
        <v>45674.12373842593</v>
      </c>
      <c r="J162" s="10" t="n">
        <v>45674.12373842593</v>
      </c>
      <c r="K162" s="10" t="n">
        <v>45674.12452546296</v>
      </c>
      <c r="L162" s="10" t="n">
        <v>45674.13195601852</v>
      </c>
      <c r="M162" s="11">
        <f>IF(AND(ISNUMBER(D162),ISNUMBER(E162)),(E162-D162),"")</f>
        <v/>
      </c>
      <c r="N162" s="11">
        <f>IF(AND(ISNUMBER(E162),ISNUMBER(F162)),(F162-E162),"")</f>
        <v/>
      </c>
      <c r="O162" s="11">
        <f>IF(AND(ISNUMBER(G162),ISNUMBER(H162)),(H162-G162),"")</f>
        <v/>
      </c>
      <c r="P162" s="11">
        <f>IF(AND(ISNUMBER(H162),ISNUMBER(I162)),(I162-H162),"")</f>
        <v/>
      </c>
      <c r="Q162" s="11">
        <f>IF(AND(ISNUMBER(J162),ISNUMBER(K162)),(K162-J162),"")</f>
        <v/>
      </c>
      <c r="R162" s="11">
        <f>IF(AND(ISNUMBER(K162),ISNUMBER(L162)),(L162-K162),"")</f>
        <v/>
      </c>
      <c r="S162" s="11">
        <f>IF(AND(ISNUMBER(F162),ISNUMBER(L162)),(L162-F162),"")</f>
        <v/>
      </c>
      <c r="T162" s="11">
        <f>IF(AND(ISNUMBER(D162),ISNUMBER(L162)),(L162-D162),"")</f>
        <v/>
      </c>
    </row>
    <row r="163">
      <c r="A163" s="3" t="inlineStr">
        <is>
          <t>10162</t>
        </is>
      </c>
      <c r="B163" s="9" t="n">
        <v>513.3</v>
      </c>
      <c r="C163" s="3" t="inlineStr">
        <is>
          <t>703</t>
        </is>
      </c>
      <c r="D163" s="10" t="n">
        <v>45674.18435185185</v>
      </c>
      <c r="E163" s="10" t="n">
        <v>45674.18435185185</v>
      </c>
      <c r="F163" s="10" t="n">
        <v>45674.18712962963</v>
      </c>
      <c r="G163" s="10" t="n">
        <v>45674.18712962963</v>
      </c>
      <c r="H163" s="10" t="n">
        <v>45674.18990740741</v>
      </c>
      <c r="I163" s="10" t="n">
        <v>45674.19373842593</v>
      </c>
      <c r="J163" s="10" t="n">
        <v>45674.19373842593</v>
      </c>
      <c r="K163" s="10" t="n">
        <v>45674.19461805555</v>
      </c>
      <c r="L163" s="10" t="n">
        <v>45674.19771990741</v>
      </c>
      <c r="M163" s="11">
        <f>IF(AND(ISNUMBER(D163),ISNUMBER(E163)),(E163-D163),"")</f>
        <v/>
      </c>
      <c r="N163" s="11">
        <f>IF(AND(ISNUMBER(E163),ISNUMBER(F163)),(F163-E163),"")</f>
        <v/>
      </c>
      <c r="O163" s="11">
        <f>IF(AND(ISNUMBER(G163),ISNUMBER(H163)),(H163-G163),"")</f>
        <v/>
      </c>
      <c r="P163" s="11">
        <f>IF(AND(ISNUMBER(H163),ISNUMBER(I163)),(I163-H163),"")</f>
        <v/>
      </c>
      <c r="Q163" s="11">
        <f>IF(AND(ISNUMBER(J163),ISNUMBER(K163)),(K163-J163),"")</f>
        <v/>
      </c>
      <c r="R163" s="11">
        <f>IF(AND(ISNUMBER(K163),ISNUMBER(L163)),(L163-K163),"")</f>
        <v/>
      </c>
      <c r="S163" s="11">
        <f>IF(AND(ISNUMBER(F163),ISNUMBER(L163)),(L163-F163),"")</f>
        <v/>
      </c>
      <c r="T163" s="11">
        <f>IF(AND(ISNUMBER(D163),ISNUMBER(L163)),(L163-D163),"")</f>
        <v/>
      </c>
    </row>
    <row r="164">
      <c r="A164" s="3" t="inlineStr">
        <is>
          <t>10163</t>
        </is>
      </c>
      <c r="B164" s="9" t="n">
        <v>297</v>
      </c>
      <c r="C164" s="3" t="inlineStr">
        <is>
          <t>703</t>
        </is>
      </c>
      <c r="D164" s="10" t="n">
        <v>45674.26960648148</v>
      </c>
      <c r="E164" s="10" t="n">
        <v>45674.26960648148</v>
      </c>
      <c r="F164" s="10" t="n">
        <v>45674.27188657408</v>
      </c>
      <c r="G164" s="10" t="n">
        <v>45674.27188657408</v>
      </c>
      <c r="H164" s="10" t="n">
        <v>45674.27466435185</v>
      </c>
      <c r="I164" s="10" t="n">
        <v>45674.27707175926</v>
      </c>
      <c r="J164" s="10" t="n">
        <v>45674.27707175926</v>
      </c>
      <c r="K164" s="10" t="n">
        <v>45674.2778587963</v>
      </c>
      <c r="L164" s="10" t="n">
        <v>45674.27978009259</v>
      </c>
      <c r="M164" s="11">
        <f>IF(AND(ISNUMBER(D164),ISNUMBER(E164)),(E164-D164),"")</f>
        <v/>
      </c>
      <c r="N164" s="11">
        <f>IF(AND(ISNUMBER(E164),ISNUMBER(F164)),(F164-E164),"")</f>
        <v/>
      </c>
      <c r="O164" s="11">
        <f>IF(AND(ISNUMBER(G164),ISNUMBER(H164)),(H164-G164),"")</f>
        <v/>
      </c>
      <c r="P164" s="11">
        <f>IF(AND(ISNUMBER(H164),ISNUMBER(I164)),(I164-H164),"")</f>
        <v/>
      </c>
      <c r="Q164" s="11">
        <f>IF(AND(ISNUMBER(J164),ISNUMBER(K164)),(K164-J164),"")</f>
        <v/>
      </c>
      <c r="R164" s="11">
        <f>IF(AND(ISNUMBER(K164),ISNUMBER(L164)),(L164-K164),"")</f>
        <v/>
      </c>
      <c r="S164" s="11">
        <f>IF(AND(ISNUMBER(F164),ISNUMBER(L164)),(L164-F164),"")</f>
        <v/>
      </c>
      <c r="T164" s="11">
        <f>IF(AND(ISNUMBER(D164),ISNUMBER(L164)),(L164-D164),"")</f>
        <v/>
      </c>
    </row>
    <row r="165">
      <c r="A165" s="3" t="inlineStr">
        <is>
          <t>10164</t>
        </is>
      </c>
      <c r="B165" s="9" t="n">
        <v>492.3000000000001</v>
      </c>
      <c r="C165" s="3" t="inlineStr">
        <is>
          <t>703</t>
        </is>
      </c>
      <c r="D165" s="10" t="n">
        <v>45674.28966435185</v>
      </c>
      <c r="E165" s="10" t="n">
        <v>45674.28966435185</v>
      </c>
      <c r="F165" s="10" t="n">
        <v>45674.29239583333</v>
      </c>
      <c r="G165" s="10" t="n">
        <v>45674.29239583333</v>
      </c>
      <c r="H165" s="10" t="n">
        <v>45674.29517361111</v>
      </c>
      <c r="I165" s="10" t="n">
        <v>45674.30662037037</v>
      </c>
      <c r="J165" s="10" t="n">
        <v>45674.30662037037</v>
      </c>
      <c r="K165" s="10" t="n">
        <v>45674.3075</v>
      </c>
      <c r="L165" s="10" t="n">
        <v>45674.32436342593</v>
      </c>
      <c r="M165" s="11">
        <f>IF(AND(ISNUMBER(D165),ISNUMBER(E165)),(E165-D165),"")</f>
        <v/>
      </c>
      <c r="N165" s="11">
        <f>IF(AND(ISNUMBER(E165),ISNUMBER(F165)),(F165-E165),"")</f>
        <v/>
      </c>
      <c r="O165" s="11">
        <f>IF(AND(ISNUMBER(G165),ISNUMBER(H165)),(H165-G165),"")</f>
        <v/>
      </c>
      <c r="P165" s="11">
        <f>IF(AND(ISNUMBER(H165),ISNUMBER(I165)),(I165-H165),"")</f>
        <v/>
      </c>
      <c r="Q165" s="11">
        <f>IF(AND(ISNUMBER(J165),ISNUMBER(K165)),(K165-J165),"")</f>
        <v/>
      </c>
      <c r="R165" s="11">
        <f>IF(AND(ISNUMBER(K165),ISNUMBER(L165)),(L165-K165),"")</f>
        <v/>
      </c>
      <c r="S165" s="11">
        <f>IF(AND(ISNUMBER(F165),ISNUMBER(L165)),(L165-F165),"")</f>
        <v/>
      </c>
      <c r="T165" s="11">
        <f>IF(AND(ISNUMBER(D165),ISNUMBER(L165)),(L165-D165),"")</f>
        <v/>
      </c>
    </row>
    <row r="166">
      <c r="A166" s="3" t="inlineStr">
        <is>
          <t>10165</t>
        </is>
      </c>
      <c r="B166" s="9" t="n">
        <v>339.8400000000001</v>
      </c>
      <c r="C166" s="3" t="inlineStr">
        <is>
          <t>727</t>
        </is>
      </c>
      <c r="D166" s="10" t="n">
        <v>45674.31145833333</v>
      </c>
      <c r="E166" s="10" t="n">
        <v>45674.31145833333</v>
      </c>
      <c r="F166" s="10" t="n">
        <v>45674.31340277778</v>
      </c>
      <c r="G166" s="10" t="n">
        <v>45674.31340277778</v>
      </c>
      <c r="H166" s="10" t="n">
        <v>45674.31618055556</v>
      </c>
      <c r="I166" s="10" t="n">
        <v>45674.31871527778</v>
      </c>
      <c r="J166" s="10" t="n">
        <v>45674.31871527778</v>
      </c>
      <c r="K166" s="10" t="n">
        <v>45674.32516203704</v>
      </c>
      <c r="L166" s="10" t="n">
        <v>45674.32716435185</v>
      </c>
      <c r="M166" s="11">
        <f>IF(AND(ISNUMBER(D166),ISNUMBER(E166)),(E166-D166),"")</f>
        <v/>
      </c>
      <c r="N166" s="11">
        <f>IF(AND(ISNUMBER(E166),ISNUMBER(F166)),(F166-E166),"")</f>
        <v/>
      </c>
      <c r="O166" s="11">
        <f>IF(AND(ISNUMBER(G166),ISNUMBER(H166)),(H166-G166),"")</f>
        <v/>
      </c>
      <c r="P166" s="11">
        <f>IF(AND(ISNUMBER(H166),ISNUMBER(I166)),(I166-H166),"")</f>
        <v/>
      </c>
      <c r="Q166" s="11">
        <f>IF(AND(ISNUMBER(J166),ISNUMBER(K166)),(K166-J166),"")</f>
        <v/>
      </c>
      <c r="R166" s="11">
        <f>IF(AND(ISNUMBER(K166),ISNUMBER(L166)),(L166-K166),"")</f>
        <v/>
      </c>
      <c r="S166" s="11">
        <f>IF(AND(ISNUMBER(F166),ISNUMBER(L166)),(L166-F166),"")</f>
        <v/>
      </c>
      <c r="T166" s="11">
        <f>IF(AND(ISNUMBER(D166),ISNUMBER(L166)),(L166-D166),"")</f>
        <v/>
      </c>
    </row>
    <row r="167">
      <c r="A167" s="3" t="inlineStr">
        <is>
          <t>10166</t>
        </is>
      </c>
      <c r="B167" s="9" t="n">
        <v>287.86</v>
      </c>
      <c r="C167" s="3" t="inlineStr">
        <is>
          <t>703</t>
        </is>
      </c>
      <c r="D167" s="10" t="n">
        <v>45674.3322800926</v>
      </c>
      <c r="E167" s="10" t="n">
        <v>45674.3322800926</v>
      </c>
      <c r="F167" s="10" t="n">
        <v>45674.33453703704</v>
      </c>
      <c r="G167" s="10" t="n">
        <v>45674.33453703704</v>
      </c>
      <c r="H167" s="10" t="n">
        <v>45674.33731481482</v>
      </c>
      <c r="I167" s="10" t="n">
        <v>45674.33962962963</v>
      </c>
      <c r="J167" s="10" t="n">
        <v>45674.33962962963</v>
      </c>
      <c r="K167" s="10" t="n">
        <v>45674.34050925926</v>
      </c>
      <c r="L167" s="10" t="n">
        <v>45674.34289351852</v>
      </c>
      <c r="M167" s="11">
        <f>IF(AND(ISNUMBER(D167),ISNUMBER(E167)),(E167-D167),"")</f>
        <v/>
      </c>
      <c r="N167" s="11">
        <f>IF(AND(ISNUMBER(E167),ISNUMBER(F167)),(F167-E167),"")</f>
        <v/>
      </c>
      <c r="O167" s="11">
        <f>IF(AND(ISNUMBER(G167),ISNUMBER(H167)),(H167-G167),"")</f>
        <v/>
      </c>
      <c r="P167" s="11">
        <f>IF(AND(ISNUMBER(H167),ISNUMBER(I167)),(I167-H167),"")</f>
        <v/>
      </c>
      <c r="Q167" s="11">
        <f>IF(AND(ISNUMBER(J167),ISNUMBER(K167)),(K167-J167),"")</f>
        <v/>
      </c>
      <c r="R167" s="11">
        <f>IF(AND(ISNUMBER(K167),ISNUMBER(L167)),(L167-K167),"")</f>
        <v/>
      </c>
      <c r="S167" s="11">
        <f>IF(AND(ISNUMBER(F167),ISNUMBER(L167)),(L167-F167),"")</f>
        <v/>
      </c>
      <c r="T167" s="11">
        <f>IF(AND(ISNUMBER(D167),ISNUMBER(L167)),(L167-D167),"")</f>
        <v/>
      </c>
    </row>
    <row r="168">
      <c r="A168" s="3" t="inlineStr">
        <is>
          <t>10167</t>
        </is>
      </c>
      <c r="B168" s="9" t="n">
        <v>560.62</v>
      </c>
      <c r="C168" s="3" t="inlineStr">
        <is>
          <t>727</t>
        </is>
      </c>
      <c r="D168" s="10" t="n">
        <v>45674.3594212963</v>
      </c>
      <c r="E168" s="10" t="n">
        <v>45674.3594212963</v>
      </c>
      <c r="F168" s="10" t="n">
        <v>45674.361875</v>
      </c>
      <c r="G168" s="10" t="n">
        <v>45674.361875</v>
      </c>
      <c r="H168" s="10" t="n">
        <v>45674.36465277777</v>
      </c>
      <c r="I168" s="10" t="n">
        <v>45674.37887731481</v>
      </c>
      <c r="J168" s="10" t="n">
        <v>45674.37887731481</v>
      </c>
      <c r="K168" s="10" t="n">
        <v>45674.37974537037</v>
      </c>
      <c r="L168" s="10" t="n">
        <v>45674.39795138889</v>
      </c>
      <c r="M168" s="11">
        <f>IF(AND(ISNUMBER(D168),ISNUMBER(E168)),(E168-D168),"")</f>
        <v/>
      </c>
      <c r="N168" s="11">
        <f>IF(AND(ISNUMBER(E168),ISNUMBER(F168)),(F168-E168),"")</f>
        <v/>
      </c>
      <c r="O168" s="11">
        <f>IF(AND(ISNUMBER(G168),ISNUMBER(H168)),(H168-G168),"")</f>
        <v/>
      </c>
      <c r="P168" s="11">
        <f>IF(AND(ISNUMBER(H168),ISNUMBER(I168)),(I168-H168),"")</f>
        <v/>
      </c>
      <c r="Q168" s="11">
        <f>IF(AND(ISNUMBER(J168),ISNUMBER(K168)),(K168-J168),"")</f>
        <v/>
      </c>
      <c r="R168" s="11">
        <f>IF(AND(ISNUMBER(K168),ISNUMBER(L168)),(L168-K168),"")</f>
        <v/>
      </c>
      <c r="S168" s="11">
        <f>IF(AND(ISNUMBER(F168),ISNUMBER(L168)),(L168-F168),"")</f>
        <v/>
      </c>
      <c r="T168" s="11">
        <f>IF(AND(ISNUMBER(D168),ISNUMBER(L168)),(L168-D168),"")</f>
        <v/>
      </c>
    </row>
    <row r="169">
      <c r="A169" s="3" t="inlineStr">
        <is>
          <t>10168</t>
        </is>
      </c>
      <c r="B169" s="9" t="n">
        <v>336.5</v>
      </c>
      <c r="C169" s="3" t="inlineStr">
        <is>
          <t>703</t>
        </is>
      </c>
      <c r="D169" s="10" t="n">
        <v>45674.36641203704</v>
      </c>
      <c r="E169" s="10" t="n">
        <v>45674.36641203704</v>
      </c>
      <c r="F169" s="10" t="n">
        <v>45674.36878472222</v>
      </c>
      <c r="G169" s="10" t="n">
        <v>45674.36878472222</v>
      </c>
      <c r="H169" s="10" t="n">
        <v>45674.3715625</v>
      </c>
      <c r="I169" s="10" t="n">
        <v>45674.3750462963</v>
      </c>
      <c r="J169" s="10" t="n">
        <v>45674.3750462963</v>
      </c>
      <c r="K169" s="10" t="n">
        <v>45674.37591435185</v>
      </c>
      <c r="L169" s="10" t="n">
        <v>45674.37744212963</v>
      </c>
      <c r="M169" s="11">
        <f>IF(AND(ISNUMBER(D169),ISNUMBER(E169)),(E169-D169),"")</f>
        <v/>
      </c>
      <c r="N169" s="11">
        <f>IF(AND(ISNUMBER(E169),ISNUMBER(F169)),(F169-E169),"")</f>
        <v/>
      </c>
      <c r="O169" s="11">
        <f>IF(AND(ISNUMBER(G169),ISNUMBER(H169)),(H169-G169),"")</f>
        <v/>
      </c>
      <c r="P169" s="11">
        <f>IF(AND(ISNUMBER(H169),ISNUMBER(I169)),(I169-H169),"")</f>
        <v/>
      </c>
      <c r="Q169" s="11">
        <f>IF(AND(ISNUMBER(J169),ISNUMBER(K169)),(K169-J169),"")</f>
        <v/>
      </c>
      <c r="R169" s="11">
        <f>IF(AND(ISNUMBER(K169),ISNUMBER(L169)),(L169-K169),"")</f>
        <v/>
      </c>
      <c r="S169" s="11">
        <f>IF(AND(ISNUMBER(F169),ISNUMBER(L169)),(L169-F169),"")</f>
        <v/>
      </c>
      <c r="T169" s="11">
        <f>IF(AND(ISNUMBER(D169),ISNUMBER(L169)),(L169-D169),"")</f>
        <v/>
      </c>
    </row>
    <row r="170">
      <c r="A170" s="3" t="inlineStr">
        <is>
          <t>10169</t>
        </is>
      </c>
      <c r="B170" s="9" t="n">
        <v>443.2</v>
      </c>
      <c r="C170" s="3" t="inlineStr">
        <is>
          <t>703</t>
        </is>
      </c>
      <c r="D170" s="10" t="n">
        <v>45674.42303240741</v>
      </c>
      <c r="E170" s="10" t="n">
        <v>45674.42303240741</v>
      </c>
      <c r="F170" s="10" t="n">
        <v>45674.42564814815</v>
      </c>
      <c r="G170" s="10" t="n">
        <v>45674.42564814815</v>
      </c>
      <c r="H170" s="10" t="n">
        <v>45674.42842592593</v>
      </c>
      <c r="I170" s="10" t="n">
        <v>45674.4334375</v>
      </c>
      <c r="J170" s="10" t="n">
        <v>45674.4334375</v>
      </c>
      <c r="K170" s="10" t="n">
        <v>45674.43430555556</v>
      </c>
      <c r="L170" s="10" t="n">
        <v>45674.43547453704</v>
      </c>
      <c r="M170" s="11">
        <f>IF(AND(ISNUMBER(D170),ISNUMBER(E170)),(E170-D170),"")</f>
        <v/>
      </c>
      <c r="N170" s="11">
        <f>IF(AND(ISNUMBER(E170),ISNUMBER(F170)),(F170-E170),"")</f>
        <v/>
      </c>
      <c r="O170" s="11">
        <f>IF(AND(ISNUMBER(G170),ISNUMBER(H170)),(H170-G170),"")</f>
        <v/>
      </c>
      <c r="P170" s="11">
        <f>IF(AND(ISNUMBER(H170),ISNUMBER(I170)),(I170-H170),"")</f>
        <v/>
      </c>
      <c r="Q170" s="11">
        <f>IF(AND(ISNUMBER(J170),ISNUMBER(K170)),(K170-J170),"")</f>
        <v/>
      </c>
      <c r="R170" s="11">
        <f>IF(AND(ISNUMBER(K170),ISNUMBER(L170)),(L170-K170),"")</f>
        <v/>
      </c>
      <c r="S170" s="11">
        <f>IF(AND(ISNUMBER(F170),ISNUMBER(L170)),(L170-F170),"")</f>
        <v/>
      </c>
      <c r="T170" s="11">
        <f>IF(AND(ISNUMBER(D170),ISNUMBER(L170)),(L170-D170),"")</f>
        <v/>
      </c>
    </row>
    <row r="171">
      <c r="A171" s="3" t="inlineStr">
        <is>
          <t>10170</t>
        </is>
      </c>
      <c r="B171" s="9" t="n">
        <v>238.44</v>
      </c>
      <c r="C171" s="3" t="inlineStr">
        <is>
          <t>703</t>
        </is>
      </c>
      <c r="D171" s="10" t="n">
        <v>45674.53434027778</v>
      </c>
      <c r="E171" s="10" t="n">
        <v>45674.53434027778</v>
      </c>
      <c r="F171" s="10" t="n">
        <v>45674.53648148148</v>
      </c>
      <c r="G171" s="10" t="n">
        <v>45674.53648148148</v>
      </c>
      <c r="H171" s="10" t="n">
        <v>45674.53925925926</v>
      </c>
      <c r="I171" s="10" t="n">
        <v>45674.54107638889</v>
      </c>
      <c r="J171" s="10" t="n">
        <v>45674.54107638889</v>
      </c>
      <c r="K171" s="10" t="n">
        <v>45674.54195601852</v>
      </c>
      <c r="L171" s="10" t="n">
        <v>45674.54375</v>
      </c>
      <c r="M171" s="11">
        <f>IF(AND(ISNUMBER(D171),ISNUMBER(E171)),(E171-D171),"")</f>
        <v/>
      </c>
      <c r="N171" s="11">
        <f>IF(AND(ISNUMBER(E171),ISNUMBER(F171)),(F171-E171),"")</f>
        <v/>
      </c>
      <c r="O171" s="11">
        <f>IF(AND(ISNUMBER(G171),ISNUMBER(H171)),(H171-G171),"")</f>
        <v/>
      </c>
      <c r="P171" s="11">
        <f>IF(AND(ISNUMBER(H171),ISNUMBER(I171)),(I171-H171),"")</f>
        <v/>
      </c>
      <c r="Q171" s="11">
        <f>IF(AND(ISNUMBER(J171),ISNUMBER(K171)),(K171-J171),"")</f>
        <v/>
      </c>
      <c r="R171" s="11">
        <f>IF(AND(ISNUMBER(K171),ISNUMBER(L171)),(L171-K171),"")</f>
        <v/>
      </c>
      <c r="S171" s="11">
        <f>IF(AND(ISNUMBER(F171),ISNUMBER(L171)),(L171-F171),"")</f>
        <v/>
      </c>
      <c r="T171" s="11">
        <f>IF(AND(ISNUMBER(D171),ISNUMBER(L171)),(L171-D171),"")</f>
        <v/>
      </c>
    </row>
    <row r="172">
      <c r="A172" s="3" t="inlineStr">
        <is>
          <t>10171</t>
        </is>
      </c>
      <c r="B172" s="9" t="n">
        <v>220.36</v>
      </c>
      <c r="C172" s="3" t="inlineStr">
        <is>
          <t>703</t>
        </is>
      </c>
      <c r="D172" s="10" t="n">
        <v>45674.64765046296</v>
      </c>
      <c r="E172" s="10" t="n">
        <v>45674.64765046296</v>
      </c>
      <c r="F172" s="10" t="n">
        <v>45674.64974537037</v>
      </c>
      <c r="G172" s="10" t="n">
        <v>45674.64974537037</v>
      </c>
      <c r="H172" s="10" t="n">
        <v>45674.65252314815</v>
      </c>
      <c r="I172" s="10" t="n">
        <v>45674.65444444444</v>
      </c>
      <c r="J172" s="10" t="n">
        <v>45674.65444444444</v>
      </c>
      <c r="K172" s="10" t="n">
        <v>45674.6553125</v>
      </c>
      <c r="L172" s="10" t="n">
        <v>45674.65782407407</v>
      </c>
      <c r="M172" s="11">
        <f>IF(AND(ISNUMBER(D172),ISNUMBER(E172)),(E172-D172),"")</f>
        <v/>
      </c>
      <c r="N172" s="11">
        <f>IF(AND(ISNUMBER(E172),ISNUMBER(F172)),(F172-E172),"")</f>
        <v/>
      </c>
      <c r="O172" s="11">
        <f>IF(AND(ISNUMBER(G172),ISNUMBER(H172)),(H172-G172),"")</f>
        <v/>
      </c>
      <c r="P172" s="11">
        <f>IF(AND(ISNUMBER(H172),ISNUMBER(I172)),(I172-H172),"")</f>
        <v/>
      </c>
      <c r="Q172" s="11">
        <f>IF(AND(ISNUMBER(J172),ISNUMBER(K172)),(K172-J172),"")</f>
        <v/>
      </c>
      <c r="R172" s="11">
        <f>IF(AND(ISNUMBER(K172),ISNUMBER(L172)),(L172-K172),"")</f>
        <v/>
      </c>
      <c r="S172" s="11">
        <f>IF(AND(ISNUMBER(F172),ISNUMBER(L172)),(L172-F172),"")</f>
        <v/>
      </c>
      <c r="T172" s="11">
        <f>IF(AND(ISNUMBER(D172),ISNUMBER(L172)),(L172-D172),"")</f>
        <v/>
      </c>
    </row>
    <row r="173">
      <c r="A173" s="3" t="inlineStr">
        <is>
          <t>10172</t>
        </is>
      </c>
      <c r="B173" s="9" t="n">
        <v>302.1200000000001</v>
      </c>
      <c r="C173" s="3" t="inlineStr">
        <is>
          <t>703</t>
        </is>
      </c>
      <c r="D173" s="10" t="n">
        <v>45674.72908564815</v>
      </c>
      <c r="E173" s="10" t="n">
        <v>45674.72908564815</v>
      </c>
      <c r="F173" s="10" t="n">
        <v>45674.73137731481</v>
      </c>
      <c r="G173" s="10" t="n">
        <v>45674.73137731481</v>
      </c>
      <c r="H173" s="10" t="n">
        <v>45674.73415509259</v>
      </c>
      <c r="I173" s="10" t="n">
        <v>45674.73645833333</v>
      </c>
      <c r="J173" s="10" t="n">
        <v>45674.73645833333</v>
      </c>
      <c r="K173" s="10" t="n">
        <v>45674.73733796296</v>
      </c>
      <c r="L173" s="10" t="n">
        <v>45674.73916666667</v>
      </c>
      <c r="M173" s="11">
        <f>IF(AND(ISNUMBER(D173),ISNUMBER(E173)),(E173-D173),"")</f>
        <v/>
      </c>
      <c r="N173" s="11">
        <f>IF(AND(ISNUMBER(E173),ISNUMBER(F173)),(F173-E173),"")</f>
        <v/>
      </c>
      <c r="O173" s="11">
        <f>IF(AND(ISNUMBER(G173),ISNUMBER(H173)),(H173-G173),"")</f>
        <v/>
      </c>
      <c r="P173" s="11">
        <f>IF(AND(ISNUMBER(H173),ISNUMBER(I173)),(I173-H173),"")</f>
        <v/>
      </c>
      <c r="Q173" s="11">
        <f>IF(AND(ISNUMBER(J173),ISNUMBER(K173)),(K173-J173),"")</f>
        <v/>
      </c>
      <c r="R173" s="11">
        <f>IF(AND(ISNUMBER(K173),ISNUMBER(L173)),(L173-K173),"")</f>
        <v/>
      </c>
      <c r="S173" s="11">
        <f>IF(AND(ISNUMBER(F173),ISNUMBER(L173)),(L173-F173),"")</f>
        <v/>
      </c>
      <c r="T173" s="11">
        <f>IF(AND(ISNUMBER(D173),ISNUMBER(L173)),(L173-D173),"")</f>
        <v/>
      </c>
    </row>
    <row r="174">
      <c r="A174" s="3" t="inlineStr">
        <is>
          <t>10173</t>
        </is>
      </c>
      <c r="B174" s="9" t="n">
        <v>110.18</v>
      </c>
      <c r="C174" s="3" t="inlineStr">
        <is>
          <t>703</t>
        </is>
      </c>
      <c r="D174" s="10" t="n">
        <v>45674.74975694445</v>
      </c>
      <c r="E174" s="10" t="n">
        <v>45674.74975694445</v>
      </c>
      <c r="F174" s="10" t="n">
        <v>45674.75159722222</v>
      </c>
      <c r="G174" s="10" t="n">
        <v>45674.75159722222</v>
      </c>
      <c r="H174" s="10" t="n">
        <v>45674.754375</v>
      </c>
      <c r="I174" s="10" t="n">
        <v>45674.75533564815</v>
      </c>
      <c r="J174" s="10" t="n">
        <v>45674.75533564815</v>
      </c>
      <c r="K174" s="10" t="n">
        <v>45674.75620370371</v>
      </c>
      <c r="L174" s="10" t="n">
        <v>45674.75837962963</v>
      </c>
      <c r="M174" s="11">
        <f>IF(AND(ISNUMBER(D174),ISNUMBER(E174)),(E174-D174),"")</f>
        <v/>
      </c>
      <c r="N174" s="11">
        <f>IF(AND(ISNUMBER(E174),ISNUMBER(F174)),(F174-E174),"")</f>
        <v/>
      </c>
      <c r="O174" s="11">
        <f>IF(AND(ISNUMBER(G174),ISNUMBER(H174)),(H174-G174),"")</f>
        <v/>
      </c>
      <c r="P174" s="11">
        <f>IF(AND(ISNUMBER(H174),ISNUMBER(I174)),(I174-H174),"")</f>
        <v/>
      </c>
      <c r="Q174" s="11">
        <f>IF(AND(ISNUMBER(J174),ISNUMBER(K174)),(K174-J174),"")</f>
        <v/>
      </c>
      <c r="R174" s="11">
        <f>IF(AND(ISNUMBER(K174),ISNUMBER(L174)),(L174-K174),"")</f>
        <v/>
      </c>
      <c r="S174" s="11">
        <f>IF(AND(ISNUMBER(F174),ISNUMBER(L174)),(L174-F174),"")</f>
        <v/>
      </c>
      <c r="T174" s="11">
        <f>IF(AND(ISNUMBER(D174),ISNUMBER(L174)),(L174-D174),"")</f>
        <v/>
      </c>
    </row>
    <row r="175">
      <c r="A175" s="3" t="inlineStr">
        <is>
          <t>10174</t>
        </is>
      </c>
      <c r="B175" s="9" t="n">
        <v>344.9999999999999</v>
      </c>
      <c r="C175" s="3" t="inlineStr">
        <is>
          <t>703</t>
        </is>
      </c>
      <c r="D175" s="10" t="n">
        <v>45674.83754629629</v>
      </c>
      <c r="E175" s="10" t="n">
        <v>45674.83754629629</v>
      </c>
      <c r="F175" s="10" t="n">
        <v>45674.83993055556</v>
      </c>
      <c r="G175" s="10" t="n">
        <v>45674.83993055556</v>
      </c>
      <c r="H175" s="10" t="n">
        <v>45674.84270833333</v>
      </c>
      <c r="I175" s="10" t="n">
        <v>45674.85239583333</v>
      </c>
      <c r="J175" s="10" t="n">
        <v>45674.85239583333</v>
      </c>
      <c r="K175" s="10" t="n">
        <v>45674.85327546296</v>
      </c>
      <c r="L175" s="10" t="n">
        <v>45674.86612268518</v>
      </c>
      <c r="M175" s="11">
        <f>IF(AND(ISNUMBER(D175),ISNUMBER(E175)),(E175-D175),"")</f>
        <v/>
      </c>
      <c r="N175" s="11">
        <f>IF(AND(ISNUMBER(E175),ISNUMBER(F175)),(F175-E175),"")</f>
        <v/>
      </c>
      <c r="O175" s="11">
        <f>IF(AND(ISNUMBER(G175),ISNUMBER(H175)),(H175-G175),"")</f>
        <v/>
      </c>
      <c r="P175" s="11">
        <f>IF(AND(ISNUMBER(H175),ISNUMBER(I175)),(I175-H175),"")</f>
        <v/>
      </c>
      <c r="Q175" s="11">
        <f>IF(AND(ISNUMBER(J175),ISNUMBER(K175)),(K175-J175),"")</f>
        <v/>
      </c>
      <c r="R175" s="11">
        <f>IF(AND(ISNUMBER(K175),ISNUMBER(L175)),(L175-K175),"")</f>
        <v/>
      </c>
      <c r="S175" s="11">
        <f>IF(AND(ISNUMBER(F175),ISNUMBER(L175)),(L175-F175),"")</f>
        <v/>
      </c>
      <c r="T175" s="11">
        <f>IF(AND(ISNUMBER(D175),ISNUMBER(L175)),(L175-D175),"")</f>
        <v/>
      </c>
    </row>
    <row r="176">
      <c r="A176" s="3" t="inlineStr">
        <is>
          <t>10175</t>
        </is>
      </c>
      <c r="B176" s="9" t="n">
        <v>371.52</v>
      </c>
      <c r="C176" s="3" t="inlineStr">
        <is>
          <t>703</t>
        </is>
      </c>
      <c r="D176" s="10" t="n">
        <v>45675.01616898148</v>
      </c>
      <c r="E176" s="10" t="n">
        <v>45675.01616898148</v>
      </c>
      <c r="F176" s="10" t="n">
        <v>45675.01862268519</v>
      </c>
      <c r="G176" s="10" t="n">
        <v>45675.01862268519</v>
      </c>
      <c r="H176" s="10" t="n">
        <v>45675.02140046296</v>
      </c>
      <c r="I176" s="10" t="n">
        <v>45675.0280787037</v>
      </c>
      <c r="J176" s="10" t="n">
        <v>45675.0280787037</v>
      </c>
      <c r="K176" s="10" t="n">
        <v>45675.02894675926</v>
      </c>
      <c r="L176" s="10" t="n">
        <v>45675.03469907407</v>
      </c>
      <c r="M176" s="11">
        <f>IF(AND(ISNUMBER(D176),ISNUMBER(E176)),(E176-D176),"")</f>
        <v/>
      </c>
      <c r="N176" s="11">
        <f>IF(AND(ISNUMBER(E176),ISNUMBER(F176)),(F176-E176),"")</f>
        <v/>
      </c>
      <c r="O176" s="11">
        <f>IF(AND(ISNUMBER(G176),ISNUMBER(H176)),(H176-G176),"")</f>
        <v/>
      </c>
      <c r="P176" s="11">
        <f>IF(AND(ISNUMBER(H176),ISNUMBER(I176)),(I176-H176),"")</f>
        <v/>
      </c>
      <c r="Q176" s="11">
        <f>IF(AND(ISNUMBER(J176),ISNUMBER(K176)),(K176-J176),"")</f>
        <v/>
      </c>
      <c r="R176" s="11">
        <f>IF(AND(ISNUMBER(K176),ISNUMBER(L176)),(L176-K176),"")</f>
        <v/>
      </c>
      <c r="S176" s="11">
        <f>IF(AND(ISNUMBER(F176),ISNUMBER(L176)),(L176-F176),"")</f>
        <v/>
      </c>
      <c r="T176" s="11">
        <f>IF(AND(ISNUMBER(D176),ISNUMBER(L176)),(L176-D176),"")</f>
        <v/>
      </c>
    </row>
    <row r="177">
      <c r="A177" s="3" t="inlineStr">
        <is>
          <t>10176</t>
        </is>
      </c>
      <c r="B177" s="9" t="n">
        <v>413.14</v>
      </c>
      <c r="C177" s="3" t="inlineStr">
        <is>
          <t>703</t>
        </is>
      </c>
      <c r="D177" s="10" t="n">
        <v>45675.23789351852</v>
      </c>
      <c r="E177" s="10" t="n">
        <v>45675.23789351852</v>
      </c>
      <c r="F177" s="10" t="n">
        <v>45675.24043981481</v>
      </c>
      <c r="G177" s="10" t="n">
        <v>45675.24043981481</v>
      </c>
      <c r="H177" s="10" t="n">
        <v>45675.24321759259</v>
      </c>
      <c r="I177" s="10" t="n">
        <v>45675.24837962963</v>
      </c>
      <c r="J177" s="10" t="n">
        <v>45675.24837962963</v>
      </c>
      <c r="K177" s="10" t="n">
        <v>45675.24925925926</v>
      </c>
      <c r="L177" s="10" t="n">
        <v>45675.25267361111</v>
      </c>
      <c r="M177" s="11">
        <f>IF(AND(ISNUMBER(D177),ISNUMBER(E177)),(E177-D177),"")</f>
        <v/>
      </c>
      <c r="N177" s="11">
        <f>IF(AND(ISNUMBER(E177),ISNUMBER(F177)),(F177-E177),"")</f>
        <v/>
      </c>
      <c r="O177" s="11">
        <f>IF(AND(ISNUMBER(G177),ISNUMBER(H177)),(H177-G177),"")</f>
        <v/>
      </c>
      <c r="P177" s="11">
        <f>IF(AND(ISNUMBER(H177),ISNUMBER(I177)),(I177-H177),"")</f>
        <v/>
      </c>
      <c r="Q177" s="11">
        <f>IF(AND(ISNUMBER(J177),ISNUMBER(K177)),(K177-J177),"")</f>
        <v/>
      </c>
      <c r="R177" s="11">
        <f>IF(AND(ISNUMBER(K177),ISNUMBER(L177)),(L177-K177),"")</f>
        <v/>
      </c>
      <c r="S177" s="11">
        <f>IF(AND(ISNUMBER(F177),ISNUMBER(L177)),(L177-F177),"")</f>
        <v/>
      </c>
      <c r="T177" s="11">
        <f>IF(AND(ISNUMBER(D177),ISNUMBER(L177)),(L177-D177),"")</f>
        <v/>
      </c>
    </row>
    <row r="178">
      <c r="A178" s="3" t="inlineStr">
        <is>
          <t>10177</t>
        </is>
      </c>
      <c r="B178" s="9" t="n">
        <v>256.8</v>
      </c>
      <c r="C178" s="3" t="inlineStr">
        <is>
          <t>703</t>
        </is>
      </c>
      <c r="D178" s="10" t="n">
        <v>45675.26814814815</v>
      </c>
      <c r="E178" s="10" t="n">
        <v>45675.26814814815</v>
      </c>
      <c r="F178" s="10" t="n">
        <v>45675.27033564815</v>
      </c>
      <c r="G178" s="10" t="n">
        <v>45675.27033564815</v>
      </c>
      <c r="H178" s="10" t="n">
        <v>45675.27311342592</v>
      </c>
      <c r="I178" s="10" t="n">
        <v>45675.28565972222</v>
      </c>
      <c r="J178" s="10" t="n">
        <v>45675.28565972222</v>
      </c>
      <c r="K178" s="10" t="n">
        <v>45675.28652777777</v>
      </c>
      <c r="L178" s="10" t="n">
        <v>45675.29893518519</v>
      </c>
      <c r="M178" s="11">
        <f>IF(AND(ISNUMBER(D178),ISNUMBER(E178)),(E178-D178),"")</f>
        <v/>
      </c>
      <c r="N178" s="11">
        <f>IF(AND(ISNUMBER(E178),ISNUMBER(F178)),(F178-E178),"")</f>
        <v/>
      </c>
      <c r="O178" s="11">
        <f>IF(AND(ISNUMBER(G178),ISNUMBER(H178)),(H178-G178),"")</f>
        <v/>
      </c>
      <c r="P178" s="11">
        <f>IF(AND(ISNUMBER(H178),ISNUMBER(I178)),(I178-H178),"")</f>
        <v/>
      </c>
      <c r="Q178" s="11">
        <f>IF(AND(ISNUMBER(J178),ISNUMBER(K178)),(K178-J178),"")</f>
        <v/>
      </c>
      <c r="R178" s="11">
        <f>IF(AND(ISNUMBER(K178),ISNUMBER(L178)),(L178-K178),"")</f>
        <v/>
      </c>
      <c r="S178" s="11">
        <f>IF(AND(ISNUMBER(F178),ISNUMBER(L178)),(L178-F178),"")</f>
        <v/>
      </c>
      <c r="T178" s="11">
        <f>IF(AND(ISNUMBER(D178),ISNUMBER(L178)),(L178-D178),"")</f>
        <v/>
      </c>
    </row>
    <row r="179">
      <c r="A179" s="3" t="inlineStr">
        <is>
          <t>10178</t>
        </is>
      </c>
      <c r="B179" s="9" t="n">
        <v>592.2400000000001</v>
      </c>
      <c r="C179" s="3" t="inlineStr">
        <is>
          <t>727</t>
        </is>
      </c>
      <c r="D179" s="10" t="n">
        <v>45676.72971064815</v>
      </c>
      <c r="E179" s="10" t="n">
        <v>45676.72971064815</v>
      </c>
      <c r="F179" s="10" t="n">
        <v>45676.7322337963</v>
      </c>
      <c r="G179" s="10" t="n">
        <v>45676.7322337963</v>
      </c>
      <c r="H179" s="10" t="n">
        <v>45676.73501157408</v>
      </c>
      <c r="I179" s="10" t="n">
        <v>45676.74054398148</v>
      </c>
      <c r="J179" s="10" t="n">
        <v>45676.74054398148</v>
      </c>
      <c r="K179" s="10" t="n">
        <v>45676.74142361111</v>
      </c>
      <c r="L179" s="10" t="n">
        <v>45676.74618055556</v>
      </c>
      <c r="M179" s="11">
        <f>IF(AND(ISNUMBER(D179),ISNUMBER(E179)),(E179-D179),"")</f>
        <v/>
      </c>
      <c r="N179" s="11">
        <f>IF(AND(ISNUMBER(E179),ISNUMBER(F179)),(F179-E179),"")</f>
        <v/>
      </c>
      <c r="O179" s="11">
        <f>IF(AND(ISNUMBER(G179),ISNUMBER(H179)),(H179-G179),"")</f>
        <v/>
      </c>
      <c r="P179" s="11">
        <f>IF(AND(ISNUMBER(H179),ISNUMBER(I179)),(I179-H179),"")</f>
        <v/>
      </c>
      <c r="Q179" s="11">
        <f>IF(AND(ISNUMBER(J179),ISNUMBER(K179)),(K179-J179),"")</f>
        <v/>
      </c>
      <c r="R179" s="11">
        <f>IF(AND(ISNUMBER(K179),ISNUMBER(L179)),(L179-K179),"")</f>
        <v/>
      </c>
      <c r="S179" s="11">
        <f>IF(AND(ISNUMBER(F179),ISNUMBER(L179)),(L179-F179),"")</f>
        <v/>
      </c>
      <c r="T179" s="11">
        <f>IF(AND(ISNUMBER(D179),ISNUMBER(L179)),(L179-D179),"")</f>
        <v/>
      </c>
    </row>
    <row r="180">
      <c r="A180" s="3" t="inlineStr">
        <is>
          <t>10179</t>
        </is>
      </c>
      <c r="B180" s="9" t="n">
        <v>170.18</v>
      </c>
      <c r="C180" s="3" t="inlineStr">
        <is>
          <t>703</t>
        </is>
      </c>
      <c r="D180" s="10" t="n">
        <v>45676.84182870371</v>
      </c>
      <c r="E180" s="10" t="n">
        <v>45676.84182870371</v>
      </c>
      <c r="F180" s="10" t="n">
        <v>45676.84380787037</v>
      </c>
      <c r="G180" s="10" t="n">
        <v>45676.84380787037</v>
      </c>
      <c r="H180" s="10" t="n">
        <v>45676.84658564815</v>
      </c>
      <c r="I180" s="10" t="n">
        <v>45676.84922453704</v>
      </c>
      <c r="J180" s="10" t="n">
        <v>45676.84922453704</v>
      </c>
      <c r="K180" s="10" t="n">
        <v>45676.85009259259</v>
      </c>
      <c r="L180" s="10" t="n">
        <v>45676.85393518519</v>
      </c>
      <c r="M180" s="11">
        <f>IF(AND(ISNUMBER(D180),ISNUMBER(E180)),(E180-D180),"")</f>
        <v/>
      </c>
      <c r="N180" s="11">
        <f>IF(AND(ISNUMBER(E180),ISNUMBER(F180)),(F180-E180),"")</f>
        <v/>
      </c>
      <c r="O180" s="11">
        <f>IF(AND(ISNUMBER(G180),ISNUMBER(H180)),(H180-G180),"")</f>
        <v/>
      </c>
      <c r="P180" s="11">
        <f>IF(AND(ISNUMBER(H180),ISNUMBER(I180)),(I180-H180),"")</f>
        <v/>
      </c>
      <c r="Q180" s="11">
        <f>IF(AND(ISNUMBER(J180),ISNUMBER(K180)),(K180-J180),"")</f>
        <v/>
      </c>
      <c r="R180" s="11">
        <f>IF(AND(ISNUMBER(K180),ISNUMBER(L180)),(L180-K180),"")</f>
        <v/>
      </c>
      <c r="S180" s="11">
        <f>IF(AND(ISNUMBER(F180),ISNUMBER(L180)),(L180-F180),"")</f>
        <v/>
      </c>
      <c r="T180" s="11">
        <f>IF(AND(ISNUMBER(D180),ISNUMBER(L180)),(L180-D180),"")</f>
        <v/>
      </c>
    </row>
    <row r="181">
      <c r="A181" s="3" t="inlineStr">
        <is>
          <t>10180</t>
        </is>
      </c>
      <c r="B181" s="9" t="n">
        <v>260.7</v>
      </c>
      <c r="C181" s="3" t="inlineStr">
        <is>
          <t>703</t>
        </is>
      </c>
      <c r="D181" s="10" t="n">
        <v>45677.10258101852</v>
      </c>
      <c r="E181" s="10" t="n">
        <v>45677.10258101852</v>
      </c>
      <c r="F181" s="10" t="n">
        <v>45677.1047800926</v>
      </c>
      <c r="G181" s="10" t="n">
        <v>45677.1047800926</v>
      </c>
      <c r="H181" s="10" t="n">
        <v>45677.10755787037</v>
      </c>
      <c r="I181" s="10" t="n">
        <v>45677.11255787037</v>
      </c>
      <c r="J181" s="10" t="n">
        <v>45677.11255787037</v>
      </c>
      <c r="K181" s="10" t="n">
        <v>45677.1134375</v>
      </c>
      <c r="L181" s="10" t="n">
        <v>45677.12099537037</v>
      </c>
      <c r="M181" s="11">
        <f>IF(AND(ISNUMBER(D181),ISNUMBER(E181)),(E181-D181),"")</f>
        <v/>
      </c>
      <c r="N181" s="11">
        <f>IF(AND(ISNUMBER(E181),ISNUMBER(F181)),(F181-E181),"")</f>
        <v/>
      </c>
      <c r="O181" s="11">
        <f>IF(AND(ISNUMBER(G181),ISNUMBER(H181)),(H181-G181),"")</f>
        <v/>
      </c>
      <c r="P181" s="11">
        <f>IF(AND(ISNUMBER(H181),ISNUMBER(I181)),(I181-H181),"")</f>
        <v/>
      </c>
      <c r="Q181" s="11">
        <f>IF(AND(ISNUMBER(J181),ISNUMBER(K181)),(K181-J181),"")</f>
        <v/>
      </c>
      <c r="R181" s="11">
        <f>IF(AND(ISNUMBER(K181),ISNUMBER(L181)),(L181-K181),"")</f>
        <v/>
      </c>
      <c r="S181" s="11">
        <f>IF(AND(ISNUMBER(F181),ISNUMBER(L181)),(L181-F181),"")</f>
        <v/>
      </c>
      <c r="T181" s="11">
        <f>IF(AND(ISNUMBER(D181),ISNUMBER(L181)),(L181-D181),"")</f>
        <v/>
      </c>
    </row>
    <row r="182">
      <c r="A182" s="3" t="inlineStr">
        <is>
          <t>10181</t>
        </is>
      </c>
      <c r="B182" s="9" t="n">
        <v>329.7</v>
      </c>
      <c r="C182" s="3" t="inlineStr">
        <is>
          <t>703</t>
        </is>
      </c>
      <c r="D182" s="10" t="n">
        <v>45677.18804398148</v>
      </c>
      <c r="E182" s="10" t="n">
        <v>45677.18804398148</v>
      </c>
      <c r="F182" s="10" t="n">
        <v>45677.19039351852</v>
      </c>
      <c r="G182" s="10" t="n">
        <v>45677.19039351852</v>
      </c>
      <c r="H182" s="10" t="n">
        <v>45677.1931712963</v>
      </c>
      <c r="I182" s="10" t="n">
        <v>45677.19605324074</v>
      </c>
      <c r="J182" s="10" t="n">
        <v>45677.19605324074</v>
      </c>
      <c r="K182" s="10" t="n">
        <v>45677.19692129629</v>
      </c>
      <c r="L182" s="10" t="n">
        <v>45677.19967592593</v>
      </c>
      <c r="M182" s="11">
        <f>IF(AND(ISNUMBER(D182),ISNUMBER(E182)),(E182-D182),"")</f>
        <v/>
      </c>
      <c r="N182" s="11">
        <f>IF(AND(ISNUMBER(E182),ISNUMBER(F182)),(F182-E182),"")</f>
        <v/>
      </c>
      <c r="O182" s="11">
        <f>IF(AND(ISNUMBER(G182),ISNUMBER(H182)),(H182-G182),"")</f>
        <v/>
      </c>
      <c r="P182" s="11">
        <f>IF(AND(ISNUMBER(H182),ISNUMBER(I182)),(I182-H182),"")</f>
        <v/>
      </c>
      <c r="Q182" s="11">
        <f>IF(AND(ISNUMBER(J182),ISNUMBER(K182)),(K182-J182),"")</f>
        <v/>
      </c>
      <c r="R182" s="11">
        <f>IF(AND(ISNUMBER(K182),ISNUMBER(L182)),(L182-K182),"")</f>
        <v/>
      </c>
      <c r="S182" s="11">
        <f>IF(AND(ISNUMBER(F182),ISNUMBER(L182)),(L182-F182),"")</f>
        <v/>
      </c>
      <c r="T182" s="11">
        <f>IF(AND(ISNUMBER(D182),ISNUMBER(L182)),(L182-D182),"")</f>
        <v/>
      </c>
    </row>
    <row r="183">
      <c r="A183" s="3" t="inlineStr">
        <is>
          <t>10182</t>
        </is>
      </c>
      <c r="B183" s="9" t="n">
        <v>293.44</v>
      </c>
      <c r="C183" s="3" t="inlineStr">
        <is>
          <t>703</t>
        </is>
      </c>
      <c r="D183" s="10" t="n">
        <v>45677.24716435185</v>
      </c>
      <c r="E183" s="10" t="n">
        <v>45677.24716435185</v>
      </c>
      <c r="F183" s="10" t="n">
        <v>45677.24943287037</v>
      </c>
      <c r="G183" s="10" t="n">
        <v>45677.24943287037</v>
      </c>
      <c r="H183" s="10" t="n">
        <v>45677.25221064815</v>
      </c>
      <c r="I183" s="10" t="n">
        <v>45677.25445601852</v>
      </c>
      <c r="J183" s="10" t="n">
        <v>45677.25445601852</v>
      </c>
      <c r="K183" s="10" t="n">
        <v>45677.25533564815</v>
      </c>
      <c r="L183" s="10" t="n">
        <v>45677.25533564815</v>
      </c>
      <c r="M183" s="11">
        <f>IF(AND(ISNUMBER(D183),ISNUMBER(E183)),(E183-D183),"")</f>
        <v/>
      </c>
      <c r="N183" s="11">
        <f>IF(AND(ISNUMBER(E183),ISNUMBER(F183)),(F183-E183),"")</f>
        <v/>
      </c>
      <c r="O183" s="11">
        <f>IF(AND(ISNUMBER(G183),ISNUMBER(H183)),(H183-G183),"")</f>
        <v/>
      </c>
      <c r="P183" s="11">
        <f>IF(AND(ISNUMBER(H183),ISNUMBER(I183)),(I183-H183),"")</f>
        <v/>
      </c>
      <c r="Q183" s="11">
        <f>IF(AND(ISNUMBER(J183),ISNUMBER(K183)),(K183-J183),"")</f>
        <v/>
      </c>
      <c r="R183" s="11">
        <f>IF(AND(ISNUMBER(K183),ISNUMBER(L183)),(L183-K183),"")</f>
        <v/>
      </c>
      <c r="S183" s="11">
        <f>IF(AND(ISNUMBER(F183),ISNUMBER(L183)),(L183-F183),"")</f>
        <v/>
      </c>
      <c r="T183" s="11">
        <f>IF(AND(ISNUMBER(D183),ISNUMBER(L183)),(L183-D183),"")</f>
        <v/>
      </c>
    </row>
    <row r="184">
      <c r="A184" s="3" t="inlineStr">
        <is>
          <t>10183</t>
        </is>
      </c>
      <c r="B184" s="9" t="n">
        <v>594.3200000000001</v>
      </c>
      <c r="C184" s="3" t="inlineStr">
        <is>
          <t>725</t>
        </is>
      </c>
      <c r="D184" s="10" t="n">
        <v>45677.30219907407</v>
      </c>
      <c r="E184" s="10" t="n">
        <v>45677.30219907407</v>
      </c>
      <c r="F184" s="10" t="n">
        <v>45677.30456018518</v>
      </c>
      <c r="G184" s="10" t="n">
        <v>45677.30456018518</v>
      </c>
      <c r="H184" s="10" t="n">
        <v>45677.30733796296</v>
      </c>
      <c r="I184" s="10" t="n">
        <v>45677.32971064815</v>
      </c>
      <c r="J184" s="10" t="n">
        <v>45677.32971064815</v>
      </c>
      <c r="K184" s="10" t="n">
        <v>45677.3305787037</v>
      </c>
      <c r="L184" s="10" t="n">
        <v>45677.35186342592</v>
      </c>
      <c r="M184" s="11">
        <f>IF(AND(ISNUMBER(D184),ISNUMBER(E184)),(E184-D184),"")</f>
        <v/>
      </c>
      <c r="N184" s="11">
        <f>IF(AND(ISNUMBER(E184),ISNUMBER(F184)),(F184-E184),"")</f>
        <v/>
      </c>
      <c r="O184" s="11">
        <f>IF(AND(ISNUMBER(G184),ISNUMBER(H184)),(H184-G184),"")</f>
        <v/>
      </c>
      <c r="P184" s="11">
        <f>IF(AND(ISNUMBER(H184),ISNUMBER(I184)),(I184-H184),"")</f>
        <v/>
      </c>
      <c r="Q184" s="11">
        <f>IF(AND(ISNUMBER(J184),ISNUMBER(K184)),(K184-J184),"")</f>
        <v/>
      </c>
      <c r="R184" s="11">
        <f>IF(AND(ISNUMBER(K184),ISNUMBER(L184)),(L184-K184),"")</f>
        <v/>
      </c>
      <c r="S184" s="11">
        <f>IF(AND(ISNUMBER(F184),ISNUMBER(L184)),(L184-F184),"")</f>
        <v/>
      </c>
      <c r="T184" s="11">
        <f>IF(AND(ISNUMBER(D184),ISNUMBER(L184)),(L184-D184),"")</f>
        <v/>
      </c>
    </row>
    <row r="185">
      <c r="A185" s="3" t="inlineStr">
        <is>
          <t>10184</t>
        </is>
      </c>
      <c r="B185" s="9" t="n">
        <v>380.8200000000001</v>
      </c>
      <c r="C185" s="3" t="inlineStr">
        <is>
          <t>703</t>
        </is>
      </c>
      <c r="D185" s="10" t="n">
        <v>45677.30975694444</v>
      </c>
      <c r="E185" s="10" t="n">
        <v>45677.30975694444</v>
      </c>
      <c r="F185" s="10" t="n">
        <v>45677.3122337963</v>
      </c>
      <c r="G185" s="10" t="n">
        <v>45677.3122337963</v>
      </c>
      <c r="H185" s="10" t="n">
        <v>45677.31501157407</v>
      </c>
      <c r="I185" s="10" t="n">
        <v>45677.31791666667</v>
      </c>
      <c r="J185" s="10" t="n">
        <v>45677.31791666667</v>
      </c>
      <c r="K185" s="10" t="n">
        <v>45677.31951388889</v>
      </c>
      <c r="L185" s="10" t="n">
        <v>45677.31951388889</v>
      </c>
      <c r="M185" s="11">
        <f>IF(AND(ISNUMBER(D185),ISNUMBER(E185)),(E185-D185),"")</f>
        <v/>
      </c>
      <c r="N185" s="11">
        <f>IF(AND(ISNUMBER(E185),ISNUMBER(F185)),(F185-E185),"")</f>
        <v/>
      </c>
      <c r="O185" s="11">
        <f>IF(AND(ISNUMBER(G185),ISNUMBER(H185)),(H185-G185),"")</f>
        <v/>
      </c>
      <c r="P185" s="11">
        <f>IF(AND(ISNUMBER(H185),ISNUMBER(I185)),(I185-H185),"")</f>
        <v/>
      </c>
      <c r="Q185" s="11">
        <f>IF(AND(ISNUMBER(J185),ISNUMBER(K185)),(K185-J185),"")</f>
        <v/>
      </c>
      <c r="R185" s="11">
        <f>IF(AND(ISNUMBER(K185),ISNUMBER(L185)),(L185-K185),"")</f>
        <v/>
      </c>
      <c r="S185" s="11">
        <f>IF(AND(ISNUMBER(F185),ISNUMBER(L185)),(L185-F185),"")</f>
        <v/>
      </c>
      <c r="T185" s="11">
        <f>IF(AND(ISNUMBER(D185),ISNUMBER(L185)),(L185-D185),"")</f>
        <v/>
      </c>
    </row>
    <row r="186">
      <c r="A186" s="3" t="inlineStr">
        <is>
          <t>10185</t>
        </is>
      </c>
      <c r="B186" s="9" t="n">
        <v>330.7800000000001</v>
      </c>
      <c r="C186" s="3" t="inlineStr">
        <is>
          <t>727</t>
        </is>
      </c>
      <c r="D186" s="10" t="n">
        <v>45677.31261574074</v>
      </c>
      <c r="E186" s="10" t="n">
        <v>45677.31261574074</v>
      </c>
      <c r="F186" s="10" t="n">
        <v>45677.31453703704</v>
      </c>
      <c r="G186" s="10" t="n">
        <v>45677.31453703704</v>
      </c>
      <c r="H186" s="10" t="n">
        <v>45677.31731481481</v>
      </c>
      <c r="I186" s="10" t="n">
        <v>45677.31978009259</v>
      </c>
      <c r="J186" s="10" t="n">
        <v>45677.31978009259</v>
      </c>
      <c r="K186" s="10" t="n">
        <v>45677.32111111111</v>
      </c>
      <c r="L186" s="10" t="n">
        <v>45677.32111111111</v>
      </c>
      <c r="M186" s="11">
        <f>IF(AND(ISNUMBER(D186),ISNUMBER(E186)),(E186-D186),"")</f>
        <v/>
      </c>
      <c r="N186" s="11">
        <f>IF(AND(ISNUMBER(E186),ISNUMBER(F186)),(F186-E186),"")</f>
        <v/>
      </c>
      <c r="O186" s="11">
        <f>IF(AND(ISNUMBER(G186),ISNUMBER(H186)),(H186-G186),"")</f>
        <v/>
      </c>
      <c r="P186" s="11">
        <f>IF(AND(ISNUMBER(H186),ISNUMBER(I186)),(I186-H186),"")</f>
        <v/>
      </c>
      <c r="Q186" s="11">
        <f>IF(AND(ISNUMBER(J186),ISNUMBER(K186)),(K186-J186),"")</f>
        <v/>
      </c>
      <c r="R186" s="11">
        <f>IF(AND(ISNUMBER(K186),ISNUMBER(L186)),(L186-K186),"")</f>
        <v/>
      </c>
      <c r="S186" s="11">
        <f>IF(AND(ISNUMBER(F186),ISNUMBER(L186)),(L186-F186),"")</f>
        <v/>
      </c>
      <c r="T186" s="11">
        <f>IF(AND(ISNUMBER(D186),ISNUMBER(L186)),(L186-D186),"")</f>
        <v/>
      </c>
    </row>
    <row r="187">
      <c r="A187" s="3" t="inlineStr">
        <is>
          <t>10186</t>
        </is>
      </c>
      <c r="B187" s="9" t="n">
        <v>520.8</v>
      </c>
      <c r="C187" s="3" t="inlineStr">
        <is>
          <t>703</t>
        </is>
      </c>
      <c r="D187" s="10" t="n">
        <v>45677.36388888889</v>
      </c>
      <c r="E187" s="10" t="n">
        <v>45677.36388888889</v>
      </c>
      <c r="F187" s="10" t="n">
        <v>45677.36668981481</v>
      </c>
      <c r="G187" s="10" t="n">
        <v>45677.36668981481</v>
      </c>
      <c r="H187" s="10" t="n">
        <v>45677.36946759259</v>
      </c>
      <c r="I187" s="10" t="n">
        <v>45677.38775462963</v>
      </c>
      <c r="J187" s="10" t="n">
        <v>45677.38775462963</v>
      </c>
      <c r="K187" s="10" t="n">
        <v>45677.38854166667</v>
      </c>
      <c r="L187" s="10" t="n">
        <v>45677.40758101852</v>
      </c>
      <c r="M187" s="11">
        <f>IF(AND(ISNUMBER(D187),ISNUMBER(E187)),(E187-D187),"")</f>
        <v/>
      </c>
      <c r="N187" s="11">
        <f>IF(AND(ISNUMBER(E187),ISNUMBER(F187)),(F187-E187),"")</f>
        <v/>
      </c>
      <c r="O187" s="11">
        <f>IF(AND(ISNUMBER(G187),ISNUMBER(H187)),(H187-G187),"")</f>
        <v/>
      </c>
      <c r="P187" s="11">
        <f>IF(AND(ISNUMBER(H187),ISNUMBER(I187)),(I187-H187),"")</f>
        <v/>
      </c>
      <c r="Q187" s="11">
        <f>IF(AND(ISNUMBER(J187),ISNUMBER(K187)),(K187-J187),"")</f>
        <v/>
      </c>
      <c r="R187" s="11">
        <f>IF(AND(ISNUMBER(K187),ISNUMBER(L187)),(L187-K187),"")</f>
        <v/>
      </c>
      <c r="S187" s="11">
        <f>IF(AND(ISNUMBER(F187),ISNUMBER(L187)),(L187-F187),"")</f>
        <v/>
      </c>
      <c r="T187" s="11">
        <f>IF(AND(ISNUMBER(D187),ISNUMBER(L187)),(L187-D187),"")</f>
        <v/>
      </c>
    </row>
    <row r="188">
      <c r="A188" s="3" t="inlineStr">
        <is>
          <t>10187</t>
        </is>
      </c>
      <c r="B188" s="9" t="n">
        <v>386.4</v>
      </c>
      <c r="C188" s="3" t="inlineStr">
        <is>
          <t>727</t>
        </is>
      </c>
      <c r="D188" s="10" t="n">
        <v>45677.374375</v>
      </c>
      <c r="E188" s="10" t="n">
        <v>45677.374375</v>
      </c>
      <c r="F188" s="10" t="n">
        <v>45677.37642361111</v>
      </c>
      <c r="G188" s="10" t="n">
        <v>45677.37642361111</v>
      </c>
      <c r="H188" s="10" t="n">
        <v>45677.37920138889</v>
      </c>
      <c r="I188" s="10" t="n">
        <v>45677.38333333333</v>
      </c>
      <c r="J188" s="10" t="n">
        <v>45677.38333333333</v>
      </c>
      <c r="K188" s="10" t="n">
        <v>45677.38413194445</v>
      </c>
      <c r="L188" s="10" t="n">
        <v>45677.38555555556</v>
      </c>
      <c r="M188" s="11">
        <f>IF(AND(ISNUMBER(D188),ISNUMBER(E188)),(E188-D188),"")</f>
        <v/>
      </c>
      <c r="N188" s="11">
        <f>IF(AND(ISNUMBER(E188),ISNUMBER(F188)),(F188-E188),"")</f>
        <v/>
      </c>
      <c r="O188" s="11">
        <f>IF(AND(ISNUMBER(G188),ISNUMBER(H188)),(H188-G188),"")</f>
        <v/>
      </c>
      <c r="P188" s="11">
        <f>IF(AND(ISNUMBER(H188),ISNUMBER(I188)),(I188-H188),"")</f>
        <v/>
      </c>
      <c r="Q188" s="11">
        <f>IF(AND(ISNUMBER(J188),ISNUMBER(K188)),(K188-J188),"")</f>
        <v/>
      </c>
      <c r="R188" s="11">
        <f>IF(AND(ISNUMBER(K188),ISNUMBER(L188)),(L188-K188),"")</f>
        <v/>
      </c>
      <c r="S188" s="11">
        <f>IF(AND(ISNUMBER(F188),ISNUMBER(L188)),(L188-F188),"")</f>
        <v/>
      </c>
      <c r="T188" s="11">
        <f>IF(AND(ISNUMBER(D188),ISNUMBER(L188)),(L188-D188),"")</f>
        <v/>
      </c>
    </row>
    <row r="189">
      <c r="A189" s="3" t="inlineStr">
        <is>
          <t>10188</t>
        </is>
      </c>
      <c r="B189" s="9" t="n">
        <v>319.68</v>
      </c>
      <c r="C189" s="3" t="inlineStr">
        <is>
          <t>703</t>
        </is>
      </c>
      <c r="D189" s="10" t="n">
        <v>45677.43983796296</v>
      </c>
      <c r="E189" s="10" t="n">
        <v>45677.43983796296</v>
      </c>
      <c r="F189" s="10" t="n">
        <v>45677.44216435185</v>
      </c>
      <c r="G189" s="10" t="n">
        <v>45677.44216435185</v>
      </c>
      <c r="H189" s="10" t="n">
        <v>45677.44494212963</v>
      </c>
      <c r="I189" s="10" t="n">
        <v>45677.44957175926</v>
      </c>
      <c r="J189" s="10" t="n">
        <v>45677.44957175926</v>
      </c>
      <c r="K189" s="10" t="n">
        <v>45677.45043981481</v>
      </c>
      <c r="L189" s="10" t="n">
        <v>45677.45511574074</v>
      </c>
      <c r="M189" s="11">
        <f>IF(AND(ISNUMBER(D189),ISNUMBER(E189)),(E189-D189),"")</f>
        <v/>
      </c>
      <c r="N189" s="11">
        <f>IF(AND(ISNUMBER(E189),ISNUMBER(F189)),(F189-E189),"")</f>
        <v/>
      </c>
      <c r="O189" s="11">
        <f>IF(AND(ISNUMBER(G189),ISNUMBER(H189)),(H189-G189),"")</f>
        <v/>
      </c>
      <c r="P189" s="11">
        <f>IF(AND(ISNUMBER(H189),ISNUMBER(I189)),(I189-H189),"")</f>
        <v/>
      </c>
      <c r="Q189" s="11">
        <f>IF(AND(ISNUMBER(J189),ISNUMBER(K189)),(K189-J189),"")</f>
        <v/>
      </c>
      <c r="R189" s="11">
        <f>IF(AND(ISNUMBER(K189),ISNUMBER(L189)),(L189-K189),"")</f>
        <v/>
      </c>
      <c r="S189" s="11">
        <f>IF(AND(ISNUMBER(F189),ISNUMBER(L189)),(L189-F189),"")</f>
        <v/>
      </c>
      <c r="T189" s="11">
        <f>IF(AND(ISNUMBER(D189),ISNUMBER(L189)),(L189-D189),"")</f>
        <v/>
      </c>
    </row>
    <row r="190">
      <c r="A190" s="3" t="inlineStr">
        <is>
          <t>10189</t>
        </is>
      </c>
      <c r="B190" s="9" t="n">
        <v>104.96</v>
      </c>
      <c r="C190" s="3" t="inlineStr">
        <is>
          <t>703</t>
        </is>
      </c>
      <c r="D190" s="10" t="n">
        <v>45677.53071759259</v>
      </c>
      <c r="E190" s="10" t="n">
        <v>45677.53071759259</v>
      </c>
      <c r="F190" s="10" t="n">
        <v>45677.53254629629</v>
      </c>
      <c r="G190" s="10" t="n">
        <v>45677.53254629629</v>
      </c>
      <c r="H190" s="10" t="n">
        <v>45677.53532407407</v>
      </c>
      <c r="I190" s="10" t="n">
        <v>45677.53621527777</v>
      </c>
      <c r="J190" s="10" t="n">
        <v>45677.53621527777</v>
      </c>
      <c r="K190" s="10" t="n">
        <v>45677.53708333334</v>
      </c>
      <c r="L190" s="10" t="n">
        <v>45677.53920138889</v>
      </c>
      <c r="M190" s="11">
        <f>IF(AND(ISNUMBER(D190),ISNUMBER(E190)),(E190-D190),"")</f>
        <v/>
      </c>
      <c r="N190" s="11">
        <f>IF(AND(ISNUMBER(E190),ISNUMBER(F190)),(F190-E190),"")</f>
        <v/>
      </c>
      <c r="O190" s="11">
        <f>IF(AND(ISNUMBER(G190),ISNUMBER(H190)),(H190-G190),"")</f>
        <v/>
      </c>
      <c r="P190" s="11">
        <f>IF(AND(ISNUMBER(H190),ISNUMBER(I190)),(I190-H190),"")</f>
        <v/>
      </c>
      <c r="Q190" s="11">
        <f>IF(AND(ISNUMBER(J190),ISNUMBER(K190)),(K190-J190),"")</f>
        <v/>
      </c>
      <c r="R190" s="11">
        <f>IF(AND(ISNUMBER(K190),ISNUMBER(L190)),(L190-K190),"")</f>
        <v/>
      </c>
      <c r="S190" s="11">
        <f>IF(AND(ISNUMBER(F190),ISNUMBER(L190)),(L190-F190),"")</f>
        <v/>
      </c>
      <c r="T190" s="11">
        <f>IF(AND(ISNUMBER(D190),ISNUMBER(L190)),(L190-D190),"")</f>
        <v/>
      </c>
    </row>
    <row r="191">
      <c r="A191" s="3" t="inlineStr">
        <is>
          <t>10190</t>
        </is>
      </c>
      <c r="B191" s="9" t="n">
        <v>389.0600000000001</v>
      </c>
      <c r="C191" s="3" t="inlineStr">
        <is>
          <t>703</t>
        </is>
      </c>
      <c r="D191" s="10" t="n">
        <v>45677.59935185185</v>
      </c>
      <c r="E191" s="10" t="n">
        <v>45677.59935185185</v>
      </c>
      <c r="F191" s="10" t="n">
        <v>45677.60184027778</v>
      </c>
      <c r="G191" s="10" t="n">
        <v>45677.60184027778</v>
      </c>
      <c r="H191" s="10" t="n">
        <v>45677.60461805556</v>
      </c>
      <c r="I191" s="10" t="n">
        <v>45677.60759259259</v>
      </c>
      <c r="J191" s="10" t="n">
        <v>45677.60759259259</v>
      </c>
      <c r="K191" s="10" t="n">
        <v>45677.60847222222</v>
      </c>
      <c r="L191" s="10" t="n">
        <v>45677.61094907407</v>
      </c>
      <c r="M191" s="11">
        <f>IF(AND(ISNUMBER(D191),ISNUMBER(E191)),(E191-D191),"")</f>
        <v/>
      </c>
      <c r="N191" s="11">
        <f>IF(AND(ISNUMBER(E191),ISNUMBER(F191)),(F191-E191),"")</f>
        <v/>
      </c>
      <c r="O191" s="11">
        <f>IF(AND(ISNUMBER(G191),ISNUMBER(H191)),(H191-G191),"")</f>
        <v/>
      </c>
      <c r="P191" s="11">
        <f>IF(AND(ISNUMBER(H191),ISNUMBER(I191)),(I191-H191),"")</f>
        <v/>
      </c>
      <c r="Q191" s="11">
        <f>IF(AND(ISNUMBER(J191),ISNUMBER(K191)),(K191-J191),"")</f>
        <v/>
      </c>
      <c r="R191" s="11">
        <f>IF(AND(ISNUMBER(K191),ISNUMBER(L191)),(L191-K191),"")</f>
        <v/>
      </c>
      <c r="S191" s="11">
        <f>IF(AND(ISNUMBER(F191),ISNUMBER(L191)),(L191-F191),"")</f>
        <v/>
      </c>
      <c r="T191" s="11">
        <f>IF(AND(ISNUMBER(D191),ISNUMBER(L191)),(L191-D191),"")</f>
        <v/>
      </c>
    </row>
    <row r="192">
      <c r="A192" s="3" t="inlineStr">
        <is>
          <t>10191</t>
        </is>
      </c>
      <c r="B192" s="9" t="n">
        <v>301.52</v>
      </c>
      <c r="C192" s="3" t="inlineStr">
        <is>
          <t>703</t>
        </is>
      </c>
      <c r="D192" s="10" t="n">
        <v>45677.62982638889</v>
      </c>
      <c r="E192" s="10" t="n">
        <v>45677.62982638889</v>
      </c>
      <c r="F192" s="10" t="n">
        <v>45677.63211805555</v>
      </c>
      <c r="G192" s="10" t="n">
        <v>45677.63211805555</v>
      </c>
      <c r="H192" s="10" t="n">
        <v>45677.63489583333</v>
      </c>
      <c r="I192" s="10" t="n">
        <v>45677.64743055555</v>
      </c>
      <c r="J192" s="10" t="n">
        <v>45677.64743055555</v>
      </c>
      <c r="K192" s="10" t="n">
        <v>45677.64829861111</v>
      </c>
      <c r="L192" s="10" t="n">
        <v>45677.664375</v>
      </c>
      <c r="M192" s="11">
        <f>IF(AND(ISNUMBER(D192),ISNUMBER(E192)),(E192-D192),"")</f>
        <v/>
      </c>
      <c r="N192" s="11">
        <f>IF(AND(ISNUMBER(E192),ISNUMBER(F192)),(F192-E192),"")</f>
        <v/>
      </c>
      <c r="O192" s="11">
        <f>IF(AND(ISNUMBER(G192),ISNUMBER(H192)),(H192-G192),"")</f>
        <v/>
      </c>
      <c r="P192" s="11">
        <f>IF(AND(ISNUMBER(H192),ISNUMBER(I192)),(I192-H192),"")</f>
        <v/>
      </c>
      <c r="Q192" s="11">
        <f>IF(AND(ISNUMBER(J192),ISNUMBER(K192)),(K192-J192),"")</f>
        <v/>
      </c>
      <c r="R192" s="11">
        <f>IF(AND(ISNUMBER(K192),ISNUMBER(L192)),(L192-K192),"")</f>
        <v/>
      </c>
      <c r="S192" s="11">
        <f>IF(AND(ISNUMBER(F192),ISNUMBER(L192)),(L192-F192),"")</f>
        <v/>
      </c>
      <c r="T192" s="11">
        <f>IF(AND(ISNUMBER(D192),ISNUMBER(L192)),(L192-D192),"")</f>
        <v/>
      </c>
    </row>
    <row r="193">
      <c r="A193" s="3" t="inlineStr">
        <is>
          <t>10192</t>
        </is>
      </c>
      <c r="B193" s="9" t="n">
        <v>229.6</v>
      </c>
      <c r="C193" s="3" t="inlineStr">
        <is>
          <t>727</t>
        </is>
      </c>
      <c r="D193" s="10" t="n">
        <v>45677.65744212963</v>
      </c>
      <c r="E193" s="10" t="n">
        <v>45677.65744212963</v>
      </c>
      <c r="F193" s="10" t="n">
        <v>45677.65913194444</v>
      </c>
      <c r="G193" s="10" t="n">
        <v>45677.65913194444</v>
      </c>
      <c r="H193" s="10" t="n">
        <v>45677.66190972222</v>
      </c>
      <c r="I193" s="10" t="n">
        <v>45677.6649537037</v>
      </c>
      <c r="J193" s="10" t="n">
        <v>45677.6649537037</v>
      </c>
      <c r="K193" s="10" t="n">
        <v>45677.66670138889</v>
      </c>
      <c r="L193" s="10" t="n">
        <v>45677.66814814815</v>
      </c>
      <c r="M193" s="11">
        <f>IF(AND(ISNUMBER(D193),ISNUMBER(E193)),(E193-D193),"")</f>
        <v/>
      </c>
      <c r="N193" s="11">
        <f>IF(AND(ISNUMBER(E193),ISNUMBER(F193)),(F193-E193),"")</f>
        <v/>
      </c>
      <c r="O193" s="11">
        <f>IF(AND(ISNUMBER(G193),ISNUMBER(H193)),(H193-G193),"")</f>
        <v/>
      </c>
      <c r="P193" s="11">
        <f>IF(AND(ISNUMBER(H193),ISNUMBER(I193)),(I193-H193),"")</f>
        <v/>
      </c>
      <c r="Q193" s="11">
        <f>IF(AND(ISNUMBER(J193),ISNUMBER(K193)),(K193-J193),"")</f>
        <v/>
      </c>
      <c r="R193" s="11">
        <f>IF(AND(ISNUMBER(K193),ISNUMBER(L193)),(L193-K193),"")</f>
        <v/>
      </c>
      <c r="S193" s="11">
        <f>IF(AND(ISNUMBER(F193),ISNUMBER(L193)),(L193-F193),"")</f>
        <v/>
      </c>
      <c r="T193" s="11">
        <f>IF(AND(ISNUMBER(D193),ISNUMBER(L193)),(L193-D193),"")</f>
        <v/>
      </c>
    </row>
    <row r="194">
      <c r="A194" s="3" t="inlineStr">
        <is>
          <t>10193</t>
        </is>
      </c>
      <c r="B194" s="9" t="n">
        <v>110.18</v>
      </c>
      <c r="C194" s="3" t="inlineStr">
        <is>
          <t>725</t>
        </is>
      </c>
      <c r="D194" s="10" t="n">
        <v>45677.65918981482</v>
      </c>
      <c r="E194" s="10" t="n">
        <v>45677.65918981482</v>
      </c>
      <c r="F194" s="10" t="n">
        <v>45677.66042824074</v>
      </c>
      <c r="G194" s="10" t="n">
        <v>45677.66042824074</v>
      </c>
      <c r="H194" s="10" t="n">
        <v>45677.66320601852</v>
      </c>
      <c r="I194" s="10" t="n">
        <v>45677.66409722222</v>
      </c>
      <c r="J194" s="10" t="n">
        <v>45677.66409722222</v>
      </c>
      <c r="K194" s="10" t="n">
        <v>45677.66583333333</v>
      </c>
      <c r="L194" s="10" t="n">
        <v>45677.66583333333</v>
      </c>
      <c r="M194" s="11">
        <f>IF(AND(ISNUMBER(D194),ISNUMBER(E194)),(E194-D194),"")</f>
        <v/>
      </c>
      <c r="N194" s="11">
        <f>IF(AND(ISNUMBER(E194),ISNUMBER(F194)),(F194-E194),"")</f>
        <v/>
      </c>
      <c r="O194" s="11">
        <f>IF(AND(ISNUMBER(G194),ISNUMBER(H194)),(H194-G194),"")</f>
        <v/>
      </c>
      <c r="P194" s="11">
        <f>IF(AND(ISNUMBER(H194),ISNUMBER(I194)),(I194-H194),"")</f>
        <v/>
      </c>
      <c r="Q194" s="11">
        <f>IF(AND(ISNUMBER(J194),ISNUMBER(K194)),(K194-J194),"")</f>
        <v/>
      </c>
      <c r="R194" s="11">
        <f>IF(AND(ISNUMBER(K194),ISNUMBER(L194)),(L194-K194),"")</f>
        <v/>
      </c>
      <c r="S194" s="11">
        <f>IF(AND(ISNUMBER(F194),ISNUMBER(L194)),(L194-F194),"")</f>
        <v/>
      </c>
      <c r="T194" s="11">
        <f>IF(AND(ISNUMBER(D194),ISNUMBER(L194)),(L194-D194),"")</f>
        <v/>
      </c>
    </row>
    <row r="195">
      <c r="A195" s="3" t="inlineStr">
        <is>
          <t>10194</t>
        </is>
      </c>
      <c r="B195" s="9" t="n">
        <v>325.3600000000001</v>
      </c>
      <c r="C195" s="3" t="inlineStr">
        <is>
          <t>703</t>
        </is>
      </c>
      <c r="D195" s="10" t="n">
        <v>45677.70783564815</v>
      </c>
      <c r="E195" s="10" t="n">
        <v>45677.70783564815</v>
      </c>
      <c r="F195" s="10" t="n">
        <v>45677.71017361111</v>
      </c>
      <c r="G195" s="10" t="n">
        <v>45677.71017361111</v>
      </c>
      <c r="H195" s="10" t="n">
        <v>45677.71295138889</v>
      </c>
      <c r="I195" s="10" t="n">
        <v>45677.71546296297</v>
      </c>
      <c r="J195" s="10" t="n">
        <v>45677.71546296297</v>
      </c>
      <c r="K195" s="10" t="n">
        <v>45677.71633101852</v>
      </c>
      <c r="L195" s="10" t="n">
        <v>45677.71821759259</v>
      </c>
      <c r="M195" s="11">
        <f>IF(AND(ISNUMBER(D195),ISNUMBER(E195)),(E195-D195),"")</f>
        <v/>
      </c>
      <c r="N195" s="11">
        <f>IF(AND(ISNUMBER(E195),ISNUMBER(F195)),(F195-E195),"")</f>
        <v/>
      </c>
      <c r="O195" s="11">
        <f>IF(AND(ISNUMBER(G195),ISNUMBER(H195)),(H195-G195),"")</f>
        <v/>
      </c>
      <c r="P195" s="11">
        <f>IF(AND(ISNUMBER(H195),ISNUMBER(I195)),(I195-H195),"")</f>
        <v/>
      </c>
      <c r="Q195" s="11">
        <f>IF(AND(ISNUMBER(J195),ISNUMBER(K195)),(K195-J195),"")</f>
        <v/>
      </c>
      <c r="R195" s="11">
        <f>IF(AND(ISNUMBER(K195),ISNUMBER(L195)),(L195-K195),"")</f>
        <v/>
      </c>
      <c r="S195" s="11">
        <f>IF(AND(ISNUMBER(F195),ISNUMBER(L195)),(L195-F195),"")</f>
        <v/>
      </c>
      <c r="T195" s="11">
        <f>IF(AND(ISNUMBER(D195),ISNUMBER(L195)),(L195-D195),"")</f>
        <v/>
      </c>
    </row>
    <row r="196">
      <c r="A196" s="3" t="inlineStr">
        <is>
          <t>10195</t>
        </is>
      </c>
      <c r="B196" s="9" t="n">
        <v>398.0400000000001</v>
      </c>
      <c r="C196" s="3" t="inlineStr">
        <is>
          <t>703</t>
        </is>
      </c>
      <c r="D196" s="10" t="n">
        <v>45677.87538194445</v>
      </c>
      <c r="E196" s="10" t="n">
        <v>45677.87538194445</v>
      </c>
      <c r="F196" s="10" t="n">
        <v>45677.87789351852</v>
      </c>
      <c r="G196" s="10" t="n">
        <v>45677.87789351852</v>
      </c>
      <c r="H196" s="10" t="n">
        <v>45677.8806712963</v>
      </c>
      <c r="I196" s="10" t="n">
        <v>45677.88381944445</v>
      </c>
      <c r="J196" s="10" t="n">
        <v>45677.88381944445</v>
      </c>
      <c r="K196" s="10" t="n">
        <v>45677.88469907407</v>
      </c>
      <c r="L196" s="10" t="n">
        <v>45677.88761574074</v>
      </c>
      <c r="M196" s="11">
        <f>IF(AND(ISNUMBER(D196),ISNUMBER(E196)),(E196-D196),"")</f>
        <v/>
      </c>
      <c r="N196" s="11">
        <f>IF(AND(ISNUMBER(E196),ISNUMBER(F196)),(F196-E196),"")</f>
        <v/>
      </c>
      <c r="O196" s="11">
        <f>IF(AND(ISNUMBER(G196),ISNUMBER(H196)),(H196-G196),"")</f>
        <v/>
      </c>
      <c r="P196" s="11">
        <f>IF(AND(ISNUMBER(H196),ISNUMBER(I196)),(I196-H196),"")</f>
        <v/>
      </c>
      <c r="Q196" s="11">
        <f>IF(AND(ISNUMBER(J196),ISNUMBER(K196)),(K196-J196),"")</f>
        <v/>
      </c>
      <c r="R196" s="11">
        <f>IF(AND(ISNUMBER(K196),ISNUMBER(L196)),(L196-K196),"")</f>
        <v/>
      </c>
      <c r="S196" s="11">
        <f>IF(AND(ISNUMBER(F196),ISNUMBER(L196)),(L196-F196),"")</f>
        <v/>
      </c>
      <c r="T196" s="11">
        <f>IF(AND(ISNUMBER(D196),ISNUMBER(L196)),(L196-D196),"")</f>
        <v/>
      </c>
    </row>
    <row r="197">
      <c r="A197" s="3" t="inlineStr">
        <is>
          <t>10196</t>
        </is>
      </c>
      <c r="B197" s="9" t="n">
        <v>315.58</v>
      </c>
      <c r="C197" s="3" t="inlineStr">
        <is>
          <t>703</t>
        </is>
      </c>
      <c r="D197" s="10" t="n">
        <v>45678.11712962963</v>
      </c>
      <c r="E197" s="10" t="n">
        <v>45678.11712962963</v>
      </c>
      <c r="F197" s="10" t="n">
        <v>45678.11945601852</v>
      </c>
      <c r="G197" s="10" t="n">
        <v>45678.11945601852</v>
      </c>
      <c r="H197" s="10" t="n">
        <v>45678.1222337963</v>
      </c>
      <c r="I197" s="10" t="n">
        <v>45678.12869212963</v>
      </c>
      <c r="J197" s="10" t="n">
        <v>45678.12869212963</v>
      </c>
      <c r="K197" s="10" t="n">
        <v>45678.12956018518</v>
      </c>
      <c r="L197" s="10" t="n">
        <v>45678.13895833334</v>
      </c>
      <c r="M197" s="11">
        <f>IF(AND(ISNUMBER(D197),ISNUMBER(E197)),(E197-D197),"")</f>
        <v/>
      </c>
      <c r="N197" s="11">
        <f>IF(AND(ISNUMBER(E197),ISNUMBER(F197)),(F197-E197),"")</f>
        <v/>
      </c>
      <c r="O197" s="11">
        <f>IF(AND(ISNUMBER(G197),ISNUMBER(H197)),(H197-G197),"")</f>
        <v/>
      </c>
      <c r="P197" s="11">
        <f>IF(AND(ISNUMBER(H197),ISNUMBER(I197)),(I197-H197),"")</f>
        <v/>
      </c>
      <c r="Q197" s="11">
        <f>IF(AND(ISNUMBER(J197),ISNUMBER(K197)),(K197-J197),"")</f>
        <v/>
      </c>
      <c r="R197" s="11">
        <f>IF(AND(ISNUMBER(K197),ISNUMBER(L197)),(L197-K197),"")</f>
        <v/>
      </c>
      <c r="S197" s="11">
        <f>IF(AND(ISNUMBER(F197),ISNUMBER(L197)),(L197-F197),"")</f>
        <v/>
      </c>
      <c r="T197" s="11">
        <f>IF(AND(ISNUMBER(D197),ISNUMBER(L197)),(L197-D197),"")</f>
        <v/>
      </c>
    </row>
    <row r="198">
      <c r="A198" s="3" t="inlineStr">
        <is>
          <t>10197</t>
        </is>
      </c>
      <c r="B198" s="9" t="n">
        <v>233.08</v>
      </c>
      <c r="C198" s="3" t="inlineStr">
        <is>
          <t>703</t>
        </is>
      </c>
      <c r="D198" s="10" t="n">
        <v>45678.27481481482</v>
      </c>
      <c r="E198" s="10" t="n">
        <v>45678.27481481482</v>
      </c>
      <c r="F198" s="10" t="n">
        <v>45678.27694444444</v>
      </c>
      <c r="G198" s="10" t="n">
        <v>45678.27694444444</v>
      </c>
      <c r="H198" s="10" t="n">
        <v>45678.27972222222</v>
      </c>
      <c r="I198" s="10" t="n">
        <v>45678.28157407408</v>
      </c>
      <c r="J198" s="10" t="n">
        <v>45678.28157407408</v>
      </c>
      <c r="K198" s="10" t="n">
        <v>45678.2824537037</v>
      </c>
      <c r="L198" s="10" t="n">
        <v>45678.28434027778</v>
      </c>
      <c r="M198" s="11">
        <f>IF(AND(ISNUMBER(D198),ISNUMBER(E198)),(E198-D198),"")</f>
        <v/>
      </c>
      <c r="N198" s="11">
        <f>IF(AND(ISNUMBER(E198),ISNUMBER(F198)),(F198-E198),"")</f>
        <v/>
      </c>
      <c r="O198" s="11">
        <f>IF(AND(ISNUMBER(G198),ISNUMBER(H198)),(H198-G198),"")</f>
        <v/>
      </c>
      <c r="P198" s="11">
        <f>IF(AND(ISNUMBER(H198),ISNUMBER(I198)),(I198-H198),"")</f>
        <v/>
      </c>
      <c r="Q198" s="11">
        <f>IF(AND(ISNUMBER(J198),ISNUMBER(K198)),(K198-J198),"")</f>
        <v/>
      </c>
      <c r="R198" s="11">
        <f>IF(AND(ISNUMBER(K198),ISNUMBER(L198)),(L198-K198),"")</f>
        <v/>
      </c>
      <c r="S198" s="11">
        <f>IF(AND(ISNUMBER(F198),ISNUMBER(L198)),(L198-F198),"")</f>
        <v/>
      </c>
      <c r="T198" s="11">
        <f>IF(AND(ISNUMBER(D198),ISNUMBER(L198)),(L198-D198),"")</f>
        <v/>
      </c>
    </row>
    <row r="199">
      <c r="A199" s="3" t="inlineStr">
        <is>
          <t>10198</t>
        </is>
      </c>
      <c r="B199" s="9" t="n">
        <v>394.96</v>
      </c>
      <c r="C199" s="3" t="inlineStr">
        <is>
          <t>703</t>
        </is>
      </c>
      <c r="D199" s="10" t="n">
        <v>45678.3003587963</v>
      </c>
      <c r="E199" s="10" t="n">
        <v>45678.3003587963</v>
      </c>
      <c r="F199" s="10" t="n">
        <v>45678.3028587963</v>
      </c>
      <c r="G199" s="10" t="n">
        <v>45678.3028587963</v>
      </c>
      <c r="H199" s="10" t="n">
        <v>45678.30563657408</v>
      </c>
      <c r="I199" s="10" t="n">
        <v>45678.31775462963</v>
      </c>
      <c r="J199" s="10" t="n">
        <v>45678.31775462963</v>
      </c>
      <c r="K199" s="10" t="n">
        <v>45678.31862268518</v>
      </c>
      <c r="L199" s="10" t="n">
        <v>45678.33297453704</v>
      </c>
      <c r="M199" s="11">
        <f>IF(AND(ISNUMBER(D199),ISNUMBER(E199)),(E199-D199),"")</f>
        <v/>
      </c>
      <c r="N199" s="11">
        <f>IF(AND(ISNUMBER(E199),ISNUMBER(F199)),(F199-E199),"")</f>
        <v/>
      </c>
      <c r="O199" s="11">
        <f>IF(AND(ISNUMBER(G199),ISNUMBER(H199)),(H199-G199),"")</f>
        <v/>
      </c>
      <c r="P199" s="11">
        <f>IF(AND(ISNUMBER(H199),ISNUMBER(I199)),(I199-H199),"")</f>
        <v/>
      </c>
      <c r="Q199" s="11">
        <f>IF(AND(ISNUMBER(J199),ISNUMBER(K199)),(K199-J199),"")</f>
        <v/>
      </c>
      <c r="R199" s="11">
        <f>IF(AND(ISNUMBER(K199),ISNUMBER(L199)),(L199-K199),"")</f>
        <v/>
      </c>
      <c r="S199" s="11">
        <f>IF(AND(ISNUMBER(F199),ISNUMBER(L199)),(L199-F199),"")</f>
        <v/>
      </c>
      <c r="T199" s="11">
        <f>IF(AND(ISNUMBER(D199),ISNUMBER(L199)),(L199-D199),"")</f>
        <v/>
      </c>
    </row>
    <row r="200">
      <c r="A200" s="3" t="inlineStr">
        <is>
          <t>10199</t>
        </is>
      </c>
      <c r="B200" s="9" t="n">
        <v>381.5600000000001</v>
      </c>
      <c r="C200" s="3" t="inlineStr">
        <is>
          <t>727</t>
        </is>
      </c>
      <c r="D200" s="10" t="n">
        <v>45678.30596064815</v>
      </c>
      <c r="E200" s="10" t="n">
        <v>45678.30596064815</v>
      </c>
      <c r="F200" s="10" t="n">
        <v>45678.30799768519</v>
      </c>
      <c r="G200" s="10" t="n">
        <v>45678.30799768519</v>
      </c>
      <c r="H200" s="10" t="n">
        <v>45678.31077546296</v>
      </c>
      <c r="I200" s="10" t="n">
        <v>45678.31379629629</v>
      </c>
      <c r="J200" s="10" t="n">
        <v>45678.31379629629</v>
      </c>
      <c r="K200" s="10" t="n">
        <v>45678.31466435185</v>
      </c>
      <c r="L200" s="10" t="n">
        <v>45678.31466435185</v>
      </c>
      <c r="M200" s="11">
        <f>IF(AND(ISNUMBER(D200),ISNUMBER(E200)),(E200-D200),"")</f>
        <v/>
      </c>
      <c r="N200" s="11">
        <f>IF(AND(ISNUMBER(E200),ISNUMBER(F200)),(F200-E200),"")</f>
        <v/>
      </c>
      <c r="O200" s="11">
        <f>IF(AND(ISNUMBER(G200),ISNUMBER(H200)),(H200-G200),"")</f>
        <v/>
      </c>
      <c r="P200" s="11">
        <f>IF(AND(ISNUMBER(H200),ISNUMBER(I200)),(I200-H200),"")</f>
        <v/>
      </c>
      <c r="Q200" s="11">
        <f>IF(AND(ISNUMBER(J200),ISNUMBER(K200)),(K200-J200),"")</f>
        <v/>
      </c>
      <c r="R200" s="11">
        <f>IF(AND(ISNUMBER(K200),ISNUMBER(L200)),(L200-K200),"")</f>
        <v/>
      </c>
      <c r="S200" s="11">
        <f>IF(AND(ISNUMBER(F200),ISNUMBER(L200)),(L200-F200),"")</f>
        <v/>
      </c>
      <c r="T200" s="11">
        <f>IF(AND(ISNUMBER(D200),ISNUMBER(L200)),(L200-D200),"")</f>
        <v/>
      </c>
    </row>
    <row r="201">
      <c r="A201" s="3" t="inlineStr">
        <is>
          <t>10200</t>
        </is>
      </c>
      <c r="B201" s="9" t="n">
        <v>339.1</v>
      </c>
      <c r="C201" s="3" t="inlineStr">
        <is>
          <t>725</t>
        </is>
      </c>
      <c r="D201" s="10" t="n">
        <v>45678.31408564815</v>
      </c>
      <c r="E201" s="10" t="n">
        <v>45678.31408564815</v>
      </c>
      <c r="F201" s="10" t="n">
        <v>45678.31585648148</v>
      </c>
      <c r="G201" s="10" t="n">
        <v>45678.31585648148</v>
      </c>
      <c r="H201" s="10" t="n">
        <v>45678.31863425926</v>
      </c>
      <c r="I201" s="10" t="n">
        <v>45678.32137731482</v>
      </c>
      <c r="J201" s="10" t="n">
        <v>45678.32137731482</v>
      </c>
      <c r="K201" s="10" t="n">
        <v>45678.33384259259</v>
      </c>
      <c r="L201" s="10" t="n">
        <v>45678.33640046296</v>
      </c>
      <c r="M201" s="11">
        <f>IF(AND(ISNUMBER(D201),ISNUMBER(E201)),(E201-D201),"")</f>
        <v/>
      </c>
      <c r="N201" s="11">
        <f>IF(AND(ISNUMBER(E201),ISNUMBER(F201)),(F201-E201),"")</f>
        <v/>
      </c>
      <c r="O201" s="11">
        <f>IF(AND(ISNUMBER(G201),ISNUMBER(H201)),(H201-G201),"")</f>
        <v/>
      </c>
      <c r="P201" s="11">
        <f>IF(AND(ISNUMBER(H201),ISNUMBER(I201)),(I201-H201),"")</f>
        <v/>
      </c>
      <c r="Q201" s="11">
        <f>IF(AND(ISNUMBER(J201),ISNUMBER(K201)),(K201-J201),"")</f>
        <v/>
      </c>
      <c r="R201" s="11">
        <f>IF(AND(ISNUMBER(K201),ISNUMBER(L201)),(L201-K201),"")</f>
        <v/>
      </c>
      <c r="S201" s="11">
        <f>IF(AND(ISNUMBER(F201),ISNUMBER(L201)),(L201-F201),"")</f>
        <v/>
      </c>
      <c r="T201" s="11">
        <f>IF(AND(ISNUMBER(D201),ISNUMBER(L201)),(L201-D201),"")</f>
        <v/>
      </c>
    </row>
    <row r="202">
      <c r="A202" s="3" t="inlineStr">
        <is>
          <t>10201</t>
        </is>
      </c>
      <c r="B202" s="9" t="n">
        <v>469.52</v>
      </c>
      <c r="C202" s="3" t="inlineStr">
        <is>
          <t>703</t>
        </is>
      </c>
      <c r="D202" s="10" t="n">
        <v>45678.365625</v>
      </c>
      <c r="E202" s="10" t="n">
        <v>45678.365625</v>
      </c>
      <c r="F202" s="10" t="n">
        <v>45678.36829861111</v>
      </c>
      <c r="G202" s="10" t="n">
        <v>45678.36829861111</v>
      </c>
      <c r="H202" s="10" t="n">
        <v>45678.37107638889</v>
      </c>
      <c r="I202" s="10" t="n">
        <v>45678.38348379629</v>
      </c>
      <c r="J202" s="10" t="n">
        <v>45678.38348379629</v>
      </c>
      <c r="K202" s="10" t="n">
        <v>45678.38715277778</v>
      </c>
      <c r="L202" s="10" t="n">
        <v>45678.40018518519</v>
      </c>
      <c r="M202" s="11">
        <f>IF(AND(ISNUMBER(D202),ISNUMBER(E202)),(E202-D202),"")</f>
        <v/>
      </c>
      <c r="N202" s="11">
        <f>IF(AND(ISNUMBER(E202),ISNUMBER(F202)),(F202-E202),"")</f>
        <v/>
      </c>
      <c r="O202" s="11">
        <f>IF(AND(ISNUMBER(G202),ISNUMBER(H202)),(H202-G202),"")</f>
        <v/>
      </c>
      <c r="P202" s="11">
        <f>IF(AND(ISNUMBER(H202),ISNUMBER(I202)),(I202-H202),"")</f>
        <v/>
      </c>
      <c r="Q202" s="11">
        <f>IF(AND(ISNUMBER(J202),ISNUMBER(K202)),(K202-J202),"")</f>
        <v/>
      </c>
      <c r="R202" s="11">
        <f>IF(AND(ISNUMBER(K202),ISNUMBER(L202)),(L202-K202),"")</f>
        <v/>
      </c>
      <c r="S202" s="11">
        <f>IF(AND(ISNUMBER(F202),ISNUMBER(L202)),(L202-F202),"")</f>
        <v/>
      </c>
      <c r="T202" s="11">
        <f>IF(AND(ISNUMBER(D202),ISNUMBER(L202)),(L202-D202),"")</f>
        <v/>
      </c>
    </row>
    <row r="203">
      <c r="A203" s="3" t="inlineStr">
        <is>
          <t>10202</t>
        </is>
      </c>
      <c r="B203" s="9" t="n">
        <v>114.8</v>
      </c>
      <c r="C203" s="3" t="inlineStr">
        <is>
          <t>727</t>
        </is>
      </c>
      <c r="D203" s="10" t="n">
        <v>45678.37600694445</v>
      </c>
      <c r="E203" s="10" t="n">
        <v>45678.37600694445</v>
      </c>
      <c r="F203" s="10" t="n">
        <v>45678.37743055556</v>
      </c>
      <c r="G203" s="10" t="n">
        <v>45678.37743055556</v>
      </c>
      <c r="H203" s="10" t="n">
        <v>45678.38020833334</v>
      </c>
      <c r="I203" s="10" t="n">
        <v>45678.38215277778</v>
      </c>
      <c r="J203" s="10" t="n">
        <v>45678.38215277778</v>
      </c>
      <c r="K203" s="10" t="n">
        <v>45678.38303240741</v>
      </c>
      <c r="L203" s="10" t="n">
        <v>45678.38628472222</v>
      </c>
      <c r="M203" s="11">
        <f>IF(AND(ISNUMBER(D203),ISNUMBER(E203)),(E203-D203),"")</f>
        <v/>
      </c>
      <c r="N203" s="11">
        <f>IF(AND(ISNUMBER(E203),ISNUMBER(F203)),(F203-E203),"")</f>
        <v/>
      </c>
      <c r="O203" s="11">
        <f>IF(AND(ISNUMBER(G203),ISNUMBER(H203)),(H203-G203),"")</f>
        <v/>
      </c>
      <c r="P203" s="11">
        <f>IF(AND(ISNUMBER(H203),ISNUMBER(I203)),(I203-H203),"")</f>
        <v/>
      </c>
      <c r="Q203" s="11">
        <f>IF(AND(ISNUMBER(J203),ISNUMBER(K203)),(K203-J203),"")</f>
        <v/>
      </c>
      <c r="R203" s="11">
        <f>IF(AND(ISNUMBER(K203),ISNUMBER(L203)),(L203-K203),"")</f>
        <v/>
      </c>
      <c r="S203" s="11">
        <f>IF(AND(ISNUMBER(F203),ISNUMBER(L203)),(L203-F203),"")</f>
        <v/>
      </c>
      <c r="T203" s="11">
        <f>IF(AND(ISNUMBER(D203),ISNUMBER(L203)),(L203-D203),"")</f>
        <v/>
      </c>
    </row>
    <row r="204">
      <c r="A204" s="3" t="inlineStr">
        <is>
          <t>10203</t>
        </is>
      </c>
      <c r="B204" s="9" t="n">
        <v>418.38</v>
      </c>
      <c r="C204" s="3" t="inlineStr">
        <is>
          <t>703</t>
        </is>
      </c>
      <c r="D204" s="10" t="n">
        <v>45678.41872685185</v>
      </c>
      <c r="E204" s="10" t="n">
        <v>45678.41872685185</v>
      </c>
      <c r="F204" s="10" t="n">
        <v>45678.42128472222</v>
      </c>
      <c r="G204" s="10" t="n">
        <v>45678.42128472222</v>
      </c>
      <c r="H204" s="10" t="n">
        <v>45678.4240625</v>
      </c>
      <c r="I204" s="10" t="n">
        <v>45678.42960648148</v>
      </c>
      <c r="J204" s="10" t="n">
        <v>45678.42960648148</v>
      </c>
      <c r="K204" s="10" t="n">
        <v>45678.43047453704</v>
      </c>
      <c r="L204" s="10" t="n">
        <v>45678.43640046296</v>
      </c>
      <c r="M204" s="11">
        <f>IF(AND(ISNUMBER(D204),ISNUMBER(E204)),(E204-D204),"")</f>
        <v/>
      </c>
      <c r="N204" s="11">
        <f>IF(AND(ISNUMBER(E204),ISNUMBER(F204)),(F204-E204),"")</f>
        <v/>
      </c>
      <c r="O204" s="11">
        <f>IF(AND(ISNUMBER(G204),ISNUMBER(H204)),(H204-G204),"")</f>
        <v/>
      </c>
      <c r="P204" s="11">
        <f>IF(AND(ISNUMBER(H204),ISNUMBER(I204)),(I204-H204),"")</f>
        <v/>
      </c>
      <c r="Q204" s="11">
        <f>IF(AND(ISNUMBER(J204),ISNUMBER(K204)),(K204-J204),"")</f>
        <v/>
      </c>
      <c r="R204" s="11">
        <f>IF(AND(ISNUMBER(K204),ISNUMBER(L204)),(L204-K204),"")</f>
        <v/>
      </c>
      <c r="S204" s="11">
        <f>IF(AND(ISNUMBER(F204),ISNUMBER(L204)),(L204-F204),"")</f>
        <v/>
      </c>
      <c r="T204" s="11">
        <f>IF(AND(ISNUMBER(D204),ISNUMBER(L204)),(L204-D204),"")</f>
        <v/>
      </c>
    </row>
    <row r="205">
      <c r="A205" s="3" t="inlineStr">
        <is>
          <t>10204</t>
        </is>
      </c>
      <c r="B205" s="9" t="n">
        <v>398.0400000000001</v>
      </c>
      <c r="C205" s="3" t="inlineStr">
        <is>
          <t>703</t>
        </is>
      </c>
      <c r="D205" s="10" t="n">
        <v>45678.60212962963</v>
      </c>
      <c r="E205" s="10" t="n">
        <v>45678.60212962963</v>
      </c>
      <c r="F205" s="10" t="n">
        <v>45678.6046412037</v>
      </c>
      <c r="G205" s="10" t="n">
        <v>45678.6046412037</v>
      </c>
      <c r="H205" s="10" t="n">
        <v>45678.60741898148</v>
      </c>
      <c r="I205" s="10" t="n">
        <v>45678.61047453704</v>
      </c>
      <c r="J205" s="10" t="n">
        <v>45678.61047453704</v>
      </c>
      <c r="K205" s="10" t="n">
        <v>45678.61135416666</v>
      </c>
      <c r="L205" s="10" t="n">
        <v>45678.61420138889</v>
      </c>
      <c r="M205" s="11">
        <f>IF(AND(ISNUMBER(D205),ISNUMBER(E205)),(E205-D205),"")</f>
        <v/>
      </c>
      <c r="N205" s="11">
        <f>IF(AND(ISNUMBER(E205),ISNUMBER(F205)),(F205-E205),"")</f>
        <v/>
      </c>
      <c r="O205" s="11">
        <f>IF(AND(ISNUMBER(G205),ISNUMBER(H205)),(H205-G205),"")</f>
        <v/>
      </c>
      <c r="P205" s="11">
        <f>IF(AND(ISNUMBER(H205),ISNUMBER(I205)),(I205-H205),"")</f>
        <v/>
      </c>
      <c r="Q205" s="11">
        <f>IF(AND(ISNUMBER(J205),ISNUMBER(K205)),(K205-J205),"")</f>
        <v/>
      </c>
      <c r="R205" s="11">
        <f>IF(AND(ISNUMBER(K205),ISNUMBER(L205)),(L205-K205),"")</f>
        <v/>
      </c>
      <c r="S205" s="11">
        <f>IF(AND(ISNUMBER(F205),ISNUMBER(L205)),(L205-F205),"")</f>
        <v/>
      </c>
      <c r="T205" s="11">
        <f>IF(AND(ISNUMBER(D205),ISNUMBER(L205)),(L205-D205),"")</f>
        <v/>
      </c>
    </row>
    <row r="206">
      <c r="A206" s="3" t="inlineStr">
        <is>
          <t>10205</t>
        </is>
      </c>
      <c r="B206" s="9" t="n">
        <v>582.38</v>
      </c>
      <c r="C206" s="3" t="inlineStr">
        <is>
          <t>727</t>
        </is>
      </c>
      <c r="D206" s="10" t="n">
        <v>45678.60863425926</v>
      </c>
      <c r="E206" s="10" t="n">
        <v>45678.60863425926</v>
      </c>
      <c r="F206" s="10" t="n">
        <v>45678.61113425926</v>
      </c>
      <c r="G206" s="10" t="n">
        <v>45678.61113425926</v>
      </c>
      <c r="H206" s="10" t="n">
        <v>45678.61391203704</v>
      </c>
      <c r="I206" s="10" t="n">
        <v>45678.62582175926</v>
      </c>
      <c r="J206" s="10" t="n">
        <v>45678.62582175926</v>
      </c>
      <c r="K206" s="10" t="n">
        <v>45678.62670138889</v>
      </c>
      <c r="L206" s="10" t="n">
        <v>45678.64023148148</v>
      </c>
      <c r="M206" s="11">
        <f>IF(AND(ISNUMBER(D206),ISNUMBER(E206)),(E206-D206),"")</f>
        <v/>
      </c>
      <c r="N206" s="11">
        <f>IF(AND(ISNUMBER(E206),ISNUMBER(F206)),(F206-E206),"")</f>
        <v/>
      </c>
      <c r="O206" s="11">
        <f>IF(AND(ISNUMBER(G206),ISNUMBER(H206)),(H206-G206),"")</f>
        <v/>
      </c>
      <c r="P206" s="11">
        <f>IF(AND(ISNUMBER(H206),ISNUMBER(I206)),(I206-H206),"")</f>
        <v/>
      </c>
      <c r="Q206" s="11">
        <f>IF(AND(ISNUMBER(J206),ISNUMBER(K206)),(K206-J206),"")</f>
        <v/>
      </c>
      <c r="R206" s="11">
        <f>IF(AND(ISNUMBER(K206),ISNUMBER(L206)),(L206-K206),"")</f>
        <v/>
      </c>
      <c r="S206" s="11">
        <f>IF(AND(ISNUMBER(F206),ISNUMBER(L206)),(L206-F206),"")</f>
        <v/>
      </c>
      <c r="T206" s="11">
        <f>IF(AND(ISNUMBER(D206),ISNUMBER(L206)),(L206-D206),"")</f>
        <v/>
      </c>
    </row>
    <row r="207">
      <c r="A207" s="3" t="inlineStr">
        <is>
          <t>10206</t>
        </is>
      </c>
      <c r="B207" s="9" t="n">
        <v>125.92</v>
      </c>
      <c r="C207" s="3" t="inlineStr">
        <is>
          <t>703</t>
        </is>
      </c>
      <c r="D207" s="10" t="n">
        <v>45678.62542824074</v>
      </c>
      <c r="E207" s="10" t="n">
        <v>45678.62542824074</v>
      </c>
      <c r="F207" s="10" t="n">
        <v>45678.62731481482</v>
      </c>
      <c r="G207" s="10" t="n">
        <v>45678.62731481482</v>
      </c>
      <c r="H207" s="10" t="n">
        <v>45678.63009259259</v>
      </c>
      <c r="I207" s="10" t="n">
        <v>45678.63108796296</v>
      </c>
      <c r="J207" s="10" t="n">
        <v>45678.63108796296</v>
      </c>
      <c r="K207" s="10" t="n">
        <v>45678.64109953704</v>
      </c>
      <c r="L207" s="10" t="n">
        <v>45678.64329861111</v>
      </c>
      <c r="M207" s="11">
        <f>IF(AND(ISNUMBER(D207),ISNUMBER(E207)),(E207-D207),"")</f>
        <v/>
      </c>
      <c r="N207" s="11">
        <f>IF(AND(ISNUMBER(E207),ISNUMBER(F207)),(F207-E207),"")</f>
        <v/>
      </c>
      <c r="O207" s="11">
        <f>IF(AND(ISNUMBER(G207),ISNUMBER(H207)),(H207-G207),"")</f>
        <v/>
      </c>
      <c r="P207" s="11">
        <f>IF(AND(ISNUMBER(H207),ISNUMBER(I207)),(I207-H207),"")</f>
        <v/>
      </c>
      <c r="Q207" s="11">
        <f>IF(AND(ISNUMBER(J207),ISNUMBER(K207)),(K207-J207),"")</f>
        <v/>
      </c>
      <c r="R207" s="11">
        <f>IF(AND(ISNUMBER(K207),ISNUMBER(L207)),(L207-K207),"")</f>
        <v/>
      </c>
      <c r="S207" s="11">
        <f>IF(AND(ISNUMBER(F207),ISNUMBER(L207)),(L207-F207),"")</f>
        <v/>
      </c>
      <c r="T207" s="11">
        <f>IF(AND(ISNUMBER(D207),ISNUMBER(L207)),(L207-D207),"")</f>
        <v/>
      </c>
    </row>
    <row r="208">
      <c r="A208" s="3" t="inlineStr">
        <is>
          <t>10207</t>
        </is>
      </c>
      <c r="B208" s="9" t="n">
        <v>187.4</v>
      </c>
      <c r="C208" s="3" t="inlineStr">
        <is>
          <t>703</t>
        </is>
      </c>
      <c r="D208" s="10" t="n">
        <v>45678.86826388889</v>
      </c>
      <c r="E208" s="10" t="n">
        <v>45678.86826388889</v>
      </c>
      <c r="F208" s="10" t="n">
        <v>45678.87028935185</v>
      </c>
      <c r="G208" s="10" t="n">
        <v>45678.87028935185</v>
      </c>
      <c r="H208" s="10" t="n">
        <v>45678.87306712963</v>
      </c>
      <c r="I208" s="10" t="n">
        <v>45678.87454861111</v>
      </c>
      <c r="J208" s="10" t="n">
        <v>45678.87454861111</v>
      </c>
      <c r="K208" s="10" t="n">
        <v>45678.87542824074</v>
      </c>
      <c r="L208" s="10" t="n">
        <v>45678.87777777778</v>
      </c>
      <c r="M208" s="11">
        <f>IF(AND(ISNUMBER(D208),ISNUMBER(E208)),(E208-D208),"")</f>
        <v/>
      </c>
      <c r="N208" s="11">
        <f>IF(AND(ISNUMBER(E208),ISNUMBER(F208)),(F208-E208),"")</f>
        <v/>
      </c>
      <c r="O208" s="11">
        <f>IF(AND(ISNUMBER(G208),ISNUMBER(H208)),(H208-G208),"")</f>
        <v/>
      </c>
      <c r="P208" s="11">
        <f>IF(AND(ISNUMBER(H208),ISNUMBER(I208)),(I208-H208),"")</f>
        <v/>
      </c>
      <c r="Q208" s="11">
        <f>IF(AND(ISNUMBER(J208),ISNUMBER(K208)),(K208-J208),"")</f>
        <v/>
      </c>
      <c r="R208" s="11">
        <f>IF(AND(ISNUMBER(K208),ISNUMBER(L208)),(L208-K208),"")</f>
        <v/>
      </c>
      <c r="S208" s="11">
        <f>IF(AND(ISNUMBER(F208),ISNUMBER(L208)),(L208-F208),"")</f>
        <v/>
      </c>
      <c r="T208" s="11">
        <f>IF(AND(ISNUMBER(D208),ISNUMBER(L208)),(L208-D208),"")</f>
        <v/>
      </c>
    </row>
    <row r="209">
      <c r="A209" s="3" t="inlineStr">
        <is>
          <t>10208</t>
        </is>
      </c>
      <c r="B209" s="9" t="n">
        <v>298.58</v>
      </c>
      <c r="C209" s="3" t="inlineStr">
        <is>
          <t>703</t>
        </is>
      </c>
      <c r="D209" s="10" t="n">
        <v>45679.10296296296</v>
      </c>
      <c r="E209" s="10" t="n">
        <v>45679.10296296296</v>
      </c>
      <c r="F209" s="10" t="n">
        <v>45679.10524305556</v>
      </c>
      <c r="G209" s="10" t="n">
        <v>45679.10524305556</v>
      </c>
      <c r="H209" s="10" t="n">
        <v>45679.10802083334</v>
      </c>
      <c r="I209" s="10" t="n">
        <v>45679.11366898148</v>
      </c>
      <c r="J209" s="10" t="n">
        <v>45679.11366898148</v>
      </c>
      <c r="K209" s="10" t="n">
        <v>45679.11453703704</v>
      </c>
      <c r="L209" s="10" t="n">
        <v>45679.12127314815</v>
      </c>
      <c r="M209" s="11">
        <f>IF(AND(ISNUMBER(D209),ISNUMBER(E209)),(E209-D209),"")</f>
        <v/>
      </c>
      <c r="N209" s="11">
        <f>IF(AND(ISNUMBER(E209),ISNUMBER(F209)),(F209-E209),"")</f>
        <v/>
      </c>
      <c r="O209" s="11">
        <f>IF(AND(ISNUMBER(G209),ISNUMBER(H209)),(H209-G209),"")</f>
        <v/>
      </c>
      <c r="P209" s="11">
        <f>IF(AND(ISNUMBER(H209),ISNUMBER(I209)),(I209-H209),"")</f>
        <v/>
      </c>
      <c r="Q209" s="11">
        <f>IF(AND(ISNUMBER(J209),ISNUMBER(K209)),(K209-J209),"")</f>
        <v/>
      </c>
      <c r="R209" s="11">
        <f>IF(AND(ISNUMBER(K209),ISNUMBER(L209)),(L209-K209),"")</f>
        <v/>
      </c>
      <c r="S209" s="11">
        <f>IF(AND(ISNUMBER(F209),ISNUMBER(L209)),(L209-F209),"")</f>
        <v/>
      </c>
      <c r="T209" s="11">
        <f>IF(AND(ISNUMBER(D209),ISNUMBER(L209)),(L209-D209),"")</f>
        <v/>
      </c>
    </row>
    <row r="210">
      <c r="A210" s="3" t="inlineStr">
        <is>
          <t>10209</t>
        </is>
      </c>
      <c r="B210" s="9" t="n">
        <v>366.6</v>
      </c>
      <c r="C210" s="3" t="inlineStr">
        <is>
          <t>703</t>
        </is>
      </c>
      <c r="D210" s="10" t="n">
        <v>45679.18989583333</v>
      </c>
      <c r="E210" s="10" t="n">
        <v>45679.18989583333</v>
      </c>
      <c r="F210" s="10" t="n">
        <v>45679.19233796297</v>
      </c>
      <c r="G210" s="10" t="n">
        <v>45679.19233796297</v>
      </c>
      <c r="H210" s="10" t="n">
        <v>45679.19511574074</v>
      </c>
      <c r="I210" s="10" t="n">
        <v>45679.19802083333</v>
      </c>
      <c r="J210" s="10" t="n">
        <v>45679.19802083333</v>
      </c>
      <c r="K210" s="10" t="n">
        <v>45679.19890046296</v>
      </c>
      <c r="L210" s="10" t="n">
        <v>45679.20173611111</v>
      </c>
      <c r="M210" s="11">
        <f>IF(AND(ISNUMBER(D210),ISNUMBER(E210)),(E210-D210),"")</f>
        <v/>
      </c>
      <c r="N210" s="11">
        <f>IF(AND(ISNUMBER(E210),ISNUMBER(F210)),(F210-E210),"")</f>
        <v/>
      </c>
      <c r="O210" s="11">
        <f>IF(AND(ISNUMBER(G210),ISNUMBER(H210)),(H210-G210),"")</f>
        <v/>
      </c>
      <c r="P210" s="11">
        <f>IF(AND(ISNUMBER(H210),ISNUMBER(I210)),(I210-H210),"")</f>
        <v/>
      </c>
      <c r="Q210" s="11">
        <f>IF(AND(ISNUMBER(J210),ISNUMBER(K210)),(K210-J210),"")</f>
        <v/>
      </c>
      <c r="R210" s="11">
        <f>IF(AND(ISNUMBER(K210),ISNUMBER(L210)),(L210-K210),"")</f>
        <v/>
      </c>
      <c r="S210" s="11">
        <f>IF(AND(ISNUMBER(F210),ISNUMBER(L210)),(L210-F210),"")</f>
        <v/>
      </c>
      <c r="T210" s="11">
        <f>IF(AND(ISNUMBER(D210),ISNUMBER(L210)),(L210-D210),"")</f>
        <v/>
      </c>
    </row>
    <row r="211">
      <c r="A211" s="3" t="inlineStr">
        <is>
          <t>10210</t>
        </is>
      </c>
      <c r="B211" s="9" t="n">
        <v>291.7</v>
      </c>
      <c r="C211" s="3" t="inlineStr">
        <is>
          <t>703</t>
        </is>
      </c>
      <c r="D211" s="10" t="n">
        <v>45679.264375</v>
      </c>
      <c r="E211" s="10" t="n">
        <v>45679.264375</v>
      </c>
      <c r="F211" s="10" t="n">
        <v>45679.26664351852</v>
      </c>
      <c r="G211" s="10" t="n">
        <v>45679.26664351852</v>
      </c>
      <c r="H211" s="10" t="n">
        <v>45679.2694212963</v>
      </c>
      <c r="I211" s="10" t="n">
        <v>45679.27178240741</v>
      </c>
      <c r="J211" s="10" t="n">
        <v>45679.27178240741</v>
      </c>
      <c r="K211" s="10" t="n">
        <v>45679.27265046296</v>
      </c>
      <c r="L211" s="10" t="n">
        <v>45679.27524305556</v>
      </c>
      <c r="M211" s="11">
        <f>IF(AND(ISNUMBER(D211),ISNUMBER(E211)),(E211-D211),"")</f>
        <v/>
      </c>
      <c r="N211" s="11">
        <f>IF(AND(ISNUMBER(E211),ISNUMBER(F211)),(F211-E211),"")</f>
        <v/>
      </c>
      <c r="O211" s="11">
        <f>IF(AND(ISNUMBER(G211),ISNUMBER(H211)),(H211-G211),"")</f>
        <v/>
      </c>
      <c r="P211" s="11">
        <f>IF(AND(ISNUMBER(H211),ISNUMBER(I211)),(I211-H211),"")</f>
        <v/>
      </c>
      <c r="Q211" s="11">
        <f>IF(AND(ISNUMBER(J211),ISNUMBER(K211)),(K211-J211),"")</f>
        <v/>
      </c>
      <c r="R211" s="11">
        <f>IF(AND(ISNUMBER(K211),ISNUMBER(L211)),(L211-K211),"")</f>
        <v/>
      </c>
      <c r="S211" s="11">
        <f>IF(AND(ISNUMBER(F211),ISNUMBER(L211)),(L211-F211),"")</f>
        <v/>
      </c>
      <c r="T211" s="11">
        <f>IF(AND(ISNUMBER(D211),ISNUMBER(L211)),(L211-D211),"")</f>
        <v/>
      </c>
    </row>
    <row r="212">
      <c r="A212" s="3" t="inlineStr">
        <is>
          <t>10211</t>
        </is>
      </c>
      <c r="B212" s="9" t="n">
        <v>467.5200000000001</v>
      </c>
      <c r="C212" s="3" t="inlineStr">
        <is>
          <t>703</t>
        </is>
      </c>
      <c r="D212" s="10" t="n">
        <v>45679.28184027778</v>
      </c>
      <c r="E212" s="10" t="n">
        <v>45679.28184027778</v>
      </c>
      <c r="F212" s="10" t="n">
        <v>45679.28451388889</v>
      </c>
      <c r="G212" s="10" t="n">
        <v>45679.28451388889</v>
      </c>
      <c r="H212" s="10" t="n">
        <v>45679.28729166667</v>
      </c>
      <c r="I212" s="10" t="n">
        <v>45679.30141203704</v>
      </c>
      <c r="J212" s="10" t="n">
        <v>45679.30141203704</v>
      </c>
      <c r="K212" s="10" t="n">
        <v>45679.30229166667</v>
      </c>
      <c r="L212" s="10" t="n">
        <v>45679.32076388889</v>
      </c>
      <c r="M212" s="11">
        <f>IF(AND(ISNUMBER(D212),ISNUMBER(E212)),(E212-D212),"")</f>
        <v/>
      </c>
      <c r="N212" s="11">
        <f>IF(AND(ISNUMBER(E212),ISNUMBER(F212)),(F212-E212),"")</f>
        <v/>
      </c>
      <c r="O212" s="11">
        <f>IF(AND(ISNUMBER(G212),ISNUMBER(H212)),(H212-G212),"")</f>
        <v/>
      </c>
      <c r="P212" s="11">
        <f>IF(AND(ISNUMBER(H212),ISNUMBER(I212)),(I212-H212),"")</f>
        <v/>
      </c>
      <c r="Q212" s="11">
        <f>IF(AND(ISNUMBER(J212),ISNUMBER(K212)),(K212-J212),"")</f>
        <v/>
      </c>
      <c r="R212" s="11">
        <f>IF(AND(ISNUMBER(K212),ISNUMBER(L212)),(L212-K212),"")</f>
        <v/>
      </c>
      <c r="S212" s="11">
        <f>IF(AND(ISNUMBER(F212),ISNUMBER(L212)),(L212-F212),"")</f>
        <v/>
      </c>
      <c r="T212" s="11">
        <f>IF(AND(ISNUMBER(D212),ISNUMBER(L212)),(L212-D212),"")</f>
        <v/>
      </c>
    </row>
    <row r="213">
      <c r="A213" s="3" t="inlineStr">
        <is>
          <t>10212</t>
        </is>
      </c>
      <c r="B213" s="9" t="n">
        <v>330.7</v>
      </c>
      <c r="C213" s="3" t="inlineStr">
        <is>
          <t>727</t>
        </is>
      </c>
      <c r="D213" s="10" t="n">
        <v>45679.31153935185</v>
      </c>
      <c r="E213" s="10" t="n">
        <v>45679.31153935185</v>
      </c>
      <c r="F213" s="10" t="n">
        <v>45679.31346064815</v>
      </c>
      <c r="G213" s="10" t="n">
        <v>45679.31346064815</v>
      </c>
      <c r="H213" s="10" t="n">
        <v>45679.31623842593</v>
      </c>
      <c r="I213" s="10" t="n">
        <v>45679.31885416667</v>
      </c>
      <c r="J213" s="10" t="n">
        <v>45679.31885416667</v>
      </c>
      <c r="K213" s="10" t="n">
        <v>45679.32163194445</v>
      </c>
      <c r="L213" s="10" t="n">
        <v>45679.32163194445</v>
      </c>
      <c r="M213" s="11">
        <f>IF(AND(ISNUMBER(D213),ISNUMBER(E213)),(E213-D213),"")</f>
        <v/>
      </c>
      <c r="N213" s="11">
        <f>IF(AND(ISNUMBER(E213),ISNUMBER(F213)),(F213-E213),"")</f>
        <v/>
      </c>
      <c r="O213" s="11">
        <f>IF(AND(ISNUMBER(G213),ISNUMBER(H213)),(H213-G213),"")</f>
        <v/>
      </c>
      <c r="P213" s="11">
        <f>IF(AND(ISNUMBER(H213),ISNUMBER(I213)),(I213-H213),"")</f>
        <v/>
      </c>
      <c r="Q213" s="11">
        <f>IF(AND(ISNUMBER(J213),ISNUMBER(K213)),(K213-J213),"")</f>
        <v/>
      </c>
      <c r="R213" s="11">
        <f>IF(AND(ISNUMBER(K213),ISNUMBER(L213)),(L213-K213),"")</f>
        <v/>
      </c>
      <c r="S213" s="11">
        <f>IF(AND(ISNUMBER(F213),ISNUMBER(L213)),(L213-F213),"")</f>
        <v/>
      </c>
      <c r="T213" s="11">
        <f>IF(AND(ISNUMBER(D213),ISNUMBER(L213)),(L213-D213),"")</f>
        <v/>
      </c>
    </row>
    <row r="214">
      <c r="A214" s="3" t="inlineStr">
        <is>
          <t>10213</t>
        </is>
      </c>
      <c r="B214" s="9" t="n">
        <v>295.3600000000001</v>
      </c>
      <c r="C214" s="3" t="inlineStr">
        <is>
          <t>703</t>
        </is>
      </c>
      <c r="D214" s="10" t="n">
        <v>45679.33138888889</v>
      </c>
      <c r="E214" s="10" t="n">
        <v>45679.33138888889</v>
      </c>
      <c r="F214" s="10" t="n">
        <v>45679.33365740741</v>
      </c>
      <c r="G214" s="10" t="n">
        <v>45679.33365740741</v>
      </c>
      <c r="H214" s="10" t="n">
        <v>45679.33643518519</v>
      </c>
      <c r="I214" s="10" t="n">
        <v>45679.3390162037</v>
      </c>
      <c r="J214" s="10" t="n">
        <v>45679.3390162037</v>
      </c>
      <c r="K214" s="10" t="n">
        <v>45679.33980324074</v>
      </c>
      <c r="L214" s="10" t="n">
        <v>45679.33980324074</v>
      </c>
      <c r="M214" s="11">
        <f>IF(AND(ISNUMBER(D214),ISNUMBER(E214)),(E214-D214),"")</f>
        <v/>
      </c>
      <c r="N214" s="11">
        <f>IF(AND(ISNUMBER(E214),ISNUMBER(F214)),(F214-E214),"")</f>
        <v/>
      </c>
      <c r="O214" s="11">
        <f>IF(AND(ISNUMBER(G214),ISNUMBER(H214)),(H214-G214),"")</f>
        <v/>
      </c>
      <c r="P214" s="11">
        <f>IF(AND(ISNUMBER(H214),ISNUMBER(I214)),(I214-H214),"")</f>
        <v/>
      </c>
      <c r="Q214" s="11">
        <f>IF(AND(ISNUMBER(J214),ISNUMBER(K214)),(K214-J214),"")</f>
        <v/>
      </c>
      <c r="R214" s="11">
        <f>IF(AND(ISNUMBER(K214),ISNUMBER(L214)),(L214-K214),"")</f>
        <v/>
      </c>
      <c r="S214" s="11">
        <f>IF(AND(ISNUMBER(F214),ISNUMBER(L214)),(L214-F214),"")</f>
        <v/>
      </c>
      <c r="T214" s="11">
        <f>IF(AND(ISNUMBER(D214),ISNUMBER(L214)),(L214-D214),"")</f>
        <v/>
      </c>
    </row>
    <row r="215">
      <c r="A215" s="3" t="inlineStr">
        <is>
          <t>10214</t>
        </is>
      </c>
      <c r="B215" s="9" t="n">
        <v>331.2</v>
      </c>
      <c r="C215" s="3" t="inlineStr">
        <is>
          <t>703</t>
        </is>
      </c>
      <c r="D215" s="10" t="n">
        <v>45679.34877314815</v>
      </c>
      <c r="E215" s="10" t="n">
        <v>45679.34877314815</v>
      </c>
      <c r="F215" s="10" t="n">
        <v>45679.35113425926</v>
      </c>
      <c r="G215" s="10" t="n">
        <v>45679.35113425926</v>
      </c>
      <c r="H215" s="10" t="n">
        <v>45679.35391203704</v>
      </c>
      <c r="I215" s="10" t="n">
        <v>45679.35733796296</v>
      </c>
      <c r="J215" s="10" t="n">
        <v>45679.35733796296</v>
      </c>
      <c r="K215" s="10" t="n">
        <v>45679.35821759259</v>
      </c>
      <c r="L215" s="10" t="n">
        <v>45679.36122685186</v>
      </c>
      <c r="M215" s="11">
        <f>IF(AND(ISNUMBER(D215),ISNUMBER(E215)),(E215-D215),"")</f>
        <v/>
      </c>
      <c r="N215" s="11">
        <f>IF(AND(ISNUMBER(E215),ISNUMBER(F215)),(F215-E215),"")</f>
        <v/>
      </c>
      <c r="O215" s="11">
        <f>IF(AND(ISNUMBER(G215),ISNUMBER(H215)),(H215-G215),"")</f>
        <v/>
      </c>
      <c r="P215" s="11">
        <f>IF(AND(ISNUMBER(H215),ISNUMBER(I215)),(I215-H215),"")</f>
        <v/>
      </c>
      <c r="Q215" s="11">
        <f>IF(AND(ISNUMBER(J215),ISNUMBER(K215)),(K215-J215),"")</f>
        <v/>
      </c>
      <c r="R215" s="11">
        <f>IF(AND(ISNUMBER(K215),ISNUMBER(L215)),(L215-K215),"")</f>
        <v/>
      </c>
      <c r="S215" s="11">
        <f>IF(AND(ISNUMBER(F215),ISNUMBER(L215)),(L215-F215),"")</f>
        <v/>
      </c>
      <c r="T215" s="11">
        <f>IF(AND(ISNUMBER(D215),ISNUMBER(L215)),(L215-D215),"")</f>
        <v/>
      </c>
    </row>
    <row r="216">
      <c r="A216" s="3" t="inlineStr">
        <is>
          <t>10215</t>
        </is>
      </c>
      <c r="B216" s="9" t="n">
        <v>515.1799999999999</v>
      </c>
      <c r="C216" s="3" t="inlineStr">
        <is>
          <t>703</t>
        </is>
      </c>
      <c r="D216" s="10" t="n">
        <v>45679.37909722222</v>
      </c>
      <c r="E216" s="10" t="n">
        <v>45679.37909722222</v>
      </c>
      <c r="F216" s="10" t="n">
        <v>45679.381875</v>
      </c>
      <c r="G216" s="10" t="n">
        <v>45679.381875</v>
      </c>
      <c r="H216" s="10" t="n">
        <v>45679.38465277778</v>
      </c>
      <c r="I216" s="10" t="n">
        <v>45679.39945601852</v>
      </c>
      <c r="J216" s="10" t="n">
        <v>45679.39945601852</v>
      </c>
      <c r="K216" s="10" t="n">
        <v>45679.40025462963</v>
      </c>
      <c r="L216" s="10" t="n">
        <v>45679.41890046297</v>
      </c>
      <c r="M216" s="11">
        <f>IF(AND(ISNUMBER(D216),ISNUMBER(E216)),(E216-D216),"")</f>
        <v/>
      </c>
      <c r="N216" s="11">
        <f>IF(AND(ISNUMBER(E216),ISNUMBER(F216)),(F216-E216),"")</f>
        <v/>
      </c>
      <c r="O216" s="11">
        <f>IF(AND(ISNUMBER(G216),ISNUMBER(H216)),(H216-G216),"")</f>
        <v/>
      </c>
      <c r="P216" s="11">
        <f>IF(AND(ISNUMBER(H216),ISNUMBER(I216)),(I216-H216),"")</f>
        <v/>
      </c>
      <c r="Q216" s="11">
        <f>IF(AND(ISNUMBER(J216),ISNUMBER(K216)),(K216-J216),"")</f>
        <v/>
      </c>
      <c r="R216" s="11">
        <f>IF(AND(ISNUMBER(K216),ISNUMBER(L216)),(L216-K216),"")</f>
        <v/>
      </c>
      <c r="S216" s="11">
        <f>IF(AND(ISNUMBER(F216),ISNUMBER(L216)),(L216-F216),"")</f>
        <v/>
      </c>
      <c r="T216" s="11">
        <f>IF(AND(ISNUMBER(D216),ISNUMBER(L216)),(L216-D216),"")</f>
        <v/>
      </c>
    </row>
    <row r="217">
      <c r="A217" s="3" t="inlineStr">
        <is>
          <t>10216</t>
        </is>
      </c>
      <c r="B217" s="9" t="n">
        <v>446.2400000000001</v>
      </c>
      <c r="C217" s="3" t="inlineStr">
        <is>
          <t>703</t>
        </is>
      </c>
      <c r="D217" s="10" t="n">
        <v>45679.43238425926</v>
      </c>
      <c r="E217" s="10" t="n">
        <v>45679.43238425926</v>
      </c>
      <c r="F217" s="10" t="n">
        <v>45679.43501157407</v>
      </c>
      <c r="G217" s="10" t="n">
        <v>45679.43501157407</v>
      </c>
      <c r="H217" s="10" t="n">
        <v>45679.43778935185</v>
      </c>
      <c r="I217" s="10" t="n">
        <v>45679.44109953703</v>
      </c>
      <c r="J217" s="10" t="n">
        <v>45679.44109953703</v>
      </c>
      <c r="K217" s="10" t="n">
        <v>45679.44196759259</v>
      </c>
      <c r="L217" s="10" t="n">
        <v>45679.44413194444</v>
      </c>
      <c r="M217" s="11">
        <f>IF(AND(ISNUMBER(D217),ISNUMBER(E217)),(E217-D217),"")</f>
        <v/>
      </c>
      <c r="N217" s="11">
        <f>IF(AND(ISNUMBER(E217),ISNUMBER(F217)),(F217-E217),"")</f>
        <v/>
      </c>
      <c r="O217" s="11">
        <f>IF(AND(ISNUMBER(G217),ISNUMBER(H217)),(H217-G217),"")</f>
        <v/>
      </c>
      <c r="P217" s="11">
        <f>IF(AND(ISNUMBER(H217),ISNUMBER(I217)),(I217-H217),"")</f>
        <v/>
      </c>
      <c r="Q217" s="11">
        <f>IF(AND(ISNUMBER(J217),ISNUMBER(K217)),(K217-J217),"")</f>
        <v/>
      </c>
      <c r="R217" s="11">
        <f>IF(AND(ISNUMBER(K217),ISNUMBER(L217)),(L217-K217),"")</f>
        <v/>
      </c>
      <c r="S217" s="11">
        <f>IF(AND(ISNUMBER(F217),ISNUMBER(L217)),(L217-F217),"")</f>
        <v/>
      </c>
      <c r="T217" s="11">
        <f>IF(AND(ISNUMBER(D217),ISNUMBER(L217)),(L217-D217),"")</f>
        <v/>
      </c>
    </row>
    <row r="218">
      <c r="A218" s="3" t="inlineStr">
        <is>
          <t>10217</t>
        </is>
      </c>
      <c r="B218" s="9" t="n">
        <v>33.9</v>
      </c>
      <c r="C218" s="3" t="inlineStr">
        <is>
          <t>731</t>
        </is>
      </c>
      <c r="D218" s="10" t="n">
        <v>45679.54150462963</v>
      </c>
      <c r="E218" s="10" t="n">
        <v>45679.54150462963</v>
      </c>
      <c r="F218" s="10" t="n">
        <v>45679.54280092593</v>
      </c>
      <c r="G218" s="10" t="n">
        <v>45679.54280092593</v>
      </c>
      <c r="H218" s="10" t="n">
        <v>45679.54557870371</v>
      </c>
      <c r="I218" s="10" t="n">
        <v>45679.54586805555</v>
      </c>
      <c r="J218" s="10" t="n">
        <v>45679.54586805555</v>
      </c>
      <c r="K218" s="10" t="n">
        <v>45679.54666666667</v>
      </c>
      <c r="L218" s="10" t="n">
        <v>45679.54821759259</v>
      </c>
      <c r="M218" s="11">
        <f>IF(AND(ISNUMBER(D218),ISNUMBER(E218)),(E218-D218),"")</f>
        <v/>
      </c>
      <c r="N218" s="11">
        <f>IF(AND(ISNUMBER(E218),ISNUMBER(F218)),(F218-E218),"")</f>
        <v/>
      </c>
      <c r="O218" s="11">
        <f>IF(AND(ISNUMBER(G218),ISNUMBER(H218)),(H218-G218),"")</f>
        <v/>
      </c>
      <c r="P218" s="11">
        <f>IF(AND(ISNUMBER(H218),ISNUMBER(I218)),(I218-H218),"")</f>
        <v/>
      </c>
      <c r="Q218" s="11">
        <f>IF(AND(ISNUMBER(J218),ISNUMBER(K218)),(K218-J218),"")</f>
        <v/>
      </c>
      <c r="R218" s="11">
        <f>IF(AND(ISNUMBER(K218),ISNUMBER(L218)),(L218-K218),"")</f>
        <v/>
      </c>
      <c r="S218" s="11">
        <f>IF(AND(ISNUMBER(F218),ISNUMBER(L218)),(L218-F218),"")</f>
        <v/>
      </c>
      <c r="T218" s="11">
        <f>IF(AND(ISNUMBER(D218),ISNUMBER(L218)),(L218-D218),"")</f>
        <v/>
      </c>
    </row>
    <row r="219">
      <c r="A219" s="3" t="inlineStr">
        <is>
          <t>10218</t>
        </is>
      </c>
      <c r="B219" s="9" t="n">
        <v>62.96</v>
      </c>
      <c r="C219" s="3" t="inlineStr">
        <is>
          <t>731</t>
        </is>
      </c>
      <c r="D219" s="10" t="n">
        <v>45679.63328703704</v>
      </c>
      <c r="E219" s="10" t="n">
        <v>45679.63328703704</v>
      </c>
      <c r="F219" s="10" t="n">
        <v>45679.63465277778</v>
      </c>
      <c r="G219" s="10" t="n">
        <v>45679.63465277778</v>
      </c>
      <c r="H219" s="10" t="n">
        <v>45679.63743055556</v>
      </c>
      <c r="I219" s="10" t="n">
        <v>45679.63789351852</v>
      </c>
      <c r="J219" s="10" t="n">
        <v>45679.63789351852</v>
      </c>
      <c r="K219" s="10" t="n">
        <v>45679.63877314814</v>
      </c>
      <c r="L219" s="10" t="n">
        <v>45679.64039351852</v>
      </c>
      <c r="M219" s="11">
        <f>IF(AND(ISNUMBER(D219),ISNUMBER(E219)),(E219-D219),"")</f>
        <v/>
      </c>
      <c r="N219" s="11">
        <f>IF(AND(ISNUMBER(E219),ISNUMBER(F219)),(F219-E219),"")</f>
        <v/>
      </c>
      <c r="O219" s="11">
        <f>IF(AND(ISNUMBER(G219),ISNUMBER(H219)),(H219-G219),"")</f>
        <v/>
      </c>
      <c r="P219" s="11">
        <f>IF(AND(ISNUMBER(H219),ISNUMBER(I219)),(I219-H219),"")</f>
        <v/>
      </c>
      <c r="Q219" s="11">
        <f>IF(AND(ISNUMBER(J219),ISNUMBER(K219)),(K219-J219),"")</f>
        <v/>
      </c>
      <c r="R219" s="11">
        <f>IF(AND(ISNUMBER(K219),ISNUMBER(L219)),(L219-K219),"")</f>
        <v/>
      </c>
      <c r="S219" s="11">
        <f>IF(AND(ISNUMBER(F219),ISNUMBER(L219)),(L219-F219),"")</f>
        <v/>
      </c>
      <c r="T219" s="11">
        <f>IF(AND(ISNUMBER(D219),ISNUMBER(L219)),(L219-D219),"")</f>
        <v/>
      </c>
    </row>
    <row r="220">
      <c r="A220" s="3" t="inlineStr">
        <is>
          <t>10219</t>
        </is>
      </c>
      <c r="B220" s="9" t="n">
        <v>591.5000000000001</v>
      </c>
      <c r="C220" s="3" t="inlineStr">
        <is>
          <t>727</t>
        </is>
      </c>
      <c r="D220" s="10" t="n">
        <v>45679.7228125</v>
      </c>
      <c r="E220" s="10" t="n">
        <v>45679.7228125</v>
      </c>
      <c r="F220" s="10" t="n">
        <v>45679.72533564815</v>
      </c>
      <c r="G220" s="10" t="n">
        <v>45679.72533564815</v>
      </c>
      <c r="H220" s="10" t="n">
        <v>45679.72811342592</v>
      </c>
      <c r="I220" s="10" t="n">
        <v>45679.74357638889</v>
      </c>
      <c r="J220" s="10" t="n">
        <v>45679.74357638889</v>
      </c>
      <c r="K220" s="10" t="n">
        <v>45679.74444444444</v>
      </c>
      <c r="L220" s="10" t="n">
        <v>45679.76121527778</v>
      </c>
      <c r="M220" s="11">
        <f>IF(AND(ISNUMBER(D220),ISNUMBER(E220)),(E220-D220),"")</f>
        <v/>
      </c>
      <c r="N220" s="11">
        <f>IF(AND(ISNUMBER(E220),ISNUMBER(F220)),(F220-E220),"")</f>
        <v/>
      </c>
      <c r="O220" s="11">
        <f>IF(AND(ISNUMBER(G220),ISNUMBER(H220)),(H220-G220),"")</f>
        <v/>
      </c>
      <c r="P220" s="11">
        <f>IF(AND(ISNUMBER(H220),ISNUMBER(I220)),(I220-H220),"")</f>
        <v/>
      </c>
      <c r="Q220" s="11">
        <f>IF(AND(ISNUMBER(J220),ISNUMBER(K220)),(K220-J220),"")</f>
        <v/>
      </c>
      <c r="R220" s="11">
        <f>IF(AND(ISNUMBER(K220),ISNUMBER(L220)),(L220-K220),"")</f>
        <v/>
      </c>
      <c r="S220" s="11">
        <f>IF(AND(ISNUMBER(F220),ISNUMBER(L220)),(L220-F220),"")</f>
        <v/>
      </c>
      <c r="T220" s="11">
        <f>IF(AND(ISNUMBER(D220),ISNUMBER(L220)),(L220-D220),"")</f>
        <v/>
      </c>
    </row>
    <row r="221">
      <c r="A221" s="3" t="inlineStr">
        <is>
          <t>10220</t>
        </is>
      </c>
      <c r="B221" s="9" t="n">
        <v>325.3600000000001</v>
      </c>
      <c r="C221" s="3" t="inlineStr">
        <is>
          <t>703</t>
        </is>
      </c>
      <c r="D221" s="10" t="n">
        <v>45679.73109953704</v>
      </c>
      <c r="E221" s="10" t="n">
        <v>45679.73109953704</v>
      </c>
      <c r="F221" s="10" t="n">
        <v>45679.7334375</v>
      </c>
      <c r="G221" s="10" t="n">
        <v>45679.7334375</v>
      </c>
      <c r="H221" s="10" t="n">
        <v>45679.73621527778</v>
      </c>
      <c r="I221" s="10" t="n">
        <v>45679.73863425926</v>
      </c>
      <c r="J221" s="10" t="n">
        <v>45679.73863425926</v>
      </c>
      <c r="K221" s="10" t="n">
        <v>45679.73950231481</v>
      </c>
      <c r="L221" s="10" t="n">
        <v>45679.74137731481</v>
      </c>
      <c r="M221" s="11">
        <f>IF(AND(ISNUMBER(D221),ISNUMBER(E221)),(E221-D221),"")</f>
        <v/>
      </c>
      <c r="N221" s="11">
        <f>IF(AND(ISNUMBER(E221),ISNUMBER(F221)),(F221-E221),"")</f>
        <v/>
      </c>
      <c r="O221" s="11">
        <f>IF(AND(ISNUMBER(G221),ISNUMBER(H221)),(H221-G221),"")</f>
        <v/>
      </c>
      <c r="P221" s="11">
        <f>IF(AND(ISNUMBER(H221),ISNUMBER(I221)),(I221-H221),"")</f>
        <v/>
      </c>
      <c r="Q221" s="11">
        <f>IF(AND(ISNUMBER(J221),ISNUMBER(K221)),(K221-J221),"")</f>
        <v/>
      </c>
      <c r="R221" s="11">
        <f>IF(AND(ISNUMBER(K221),ISNUMBER(L221)),(L221-K221),"")</f>
        <v/>
      </c>
      <c r="S221" s="11">
        <f>IF(AND(ISNUMBER(F221),ISNUMBER(L221)),(L221-F221),"")</f>
        <v/>
      </c>
      <c r="T221" s="11">
        <f>IF(AND(ISNUMBER(D221),ISNUMBER(L221)),(L221-D221),"")</f>
        <v/>
      </c>
    </row>
    <row r="222">
      <c r="A222" s="3" t="inlineStr">
        <is>
          <t>10221</t>
        </is>
      </c>
      <c r="B222" s="9" t="n">
        <v>74.62</v>
      </c>
      <c r="C222" s="3" t="inlineStr">
        <is>
          <t>703</t>
        </is>
      </c>
      <c r="D222" s="10" t="n">
        <v>45679.74193287037</v>
      </c>
      <c r="E222" s="10" t="n">
        <v>45679.74193287037</v>
      </c>
      <c r="F222" s="10" t="n">
        <v>45679.74369212963</v>
      </c>
      <c r="G222" s="10" t="n">
        <v>45679.74369212963</v>
      </c>
      <c r="H222" s="10" t="n">
        <v>45679.7464699074</v>
      </c>
      <c r="I222" s="10" t="n">
        <v>45679.74702546297</v>
      </c>
      <c r="J222" s="10" t="n">
        <v>45679.74702546297</v>
      </c>
      <c r="K222" s="10" t="n">
        <v>45679.76200231481</v>
      </c>
      <c r="L222" s="10" t="n">
        <v>45679.76200231481</v>
      </c>
      <c r="M222" s="11">
        <f>IF(AND(ISNUMBER(D222),ISNUMBER(E222)),(E222-D222),"")</f>
        <v/>
      </c>
      <c r="N222" s="11">
        <f>IF(AND(ISNUMBER(E222),ISNUMBER(F222)),(F222-E222),"")</f>
        <v/>
      </c>
      <c r="O222" s="11">
        <f>IF(AND(ISNUMBER(G222),ISNUMBER(H222)),(H222-G222),"")</f>
        <v/>
      </c>
      <c r="P222" s="11">
        <f>IF(AND(ISNUMBER(H222),ISNUMBER(I222)),(I222-H222),"")</f>
        <v/>
      </c>
      <c r="Q222" s="11">
        <f>IF(AND(ISNUMBER(J222),ISNUMBER(K222)),(K222-J222),"")</f>
        <v/>
      </c>
      <c r="R222" s="11">
        <f>IF(AND(ISNUMBER(K222),ISNUMBER(L222)),(L222-K222),"")</f>
        <v/>
      </c>
      <c r="S222" s="11">
        <f>IF(AND(ISNUMBER(F222),ISNUMBER(L222)),(L222-F222),"")</f>
        <v/>
      </c>
      <c r="T222" s="11">
        <f>IF(AND(ISNUMBER(D222),ISNUMBER(L222)),(L222-D222),"")</f>
        <v/>
      </c>
    </row>
    <row r="223">
      <c r="A223" s="3" t="inlineStr">
        <is>
          <t>10222</t>
        </is>
      </c>
      <c r="B223" s="9" t="n">
        <v>298.72</v>
      </c>
      <c r="C223" s="3" t="inlineStr">
        <is>
          <t>703</t>
        </is>
      </c>
      <c r="D223" s="10" t="n">
        <v>45679.83502314815</v>
      </c>
      <c r="E223" s="10" t="n">
        <v>45679.83502314815</v>
      </c>
      <c r="F223" s="10" t="n">
        <v>45679.83730324074</v>
      </c>
      <c r="G223" s="10" t="n">
        <v>45679.83730324074</v>
      </c>
      <c r="H223" s="10" t="n">
        <v>45679.84008101852</v>
      </c>
      <c r="I223" s="10" t="n">
        <v>45679.84912037037</v>
      </c>
      <c r="J223" s="10" t="n">
        <v>45679.84912037037</v>
      </c>
      <c r="K223" s="10" t="n">
        <v>45679.84998842593</v>
      </c>
      <c r="L223" s="10" t="n">
        <v>45679.86423611111</v>
      </c>
      <c r="M223" s="11">
        <f>IF(AND(ISNUMBER(D223),ISNUMBER(E223)),(E223-D223),"")</f>
        <v/>
      </c>
      <c r="N223" s="11">
        <f>IF(AND(ISNUMBER(E223),ISNUMBER(F223)),(F223-E223),"")</f>
        <v/>
      </c>
      <c r="O223" s="11">
        <f>IF(AND(ISNUMBER(G223),ISNUMBER(H223)),(H223-G223),"")</f>
        <v/>
      </c>
      <c r="P223" s="11">
        <f>IF(AND(ISNUMBER(H223),ISNUMBER(I223)),(I223-H223),"")</f>
        <v/>
      </c>
      <c r="Q223" s="11">
        <f>IF(AND(ISNUMBER(J223),ISNUMBER(K223)),(K223-J223),"")</f>
        <v/>
      </c>
      <c r="R223" s="11">
        <f>IF(AND(ISNUMBER(K223),ISNUMBER(L223)),(L223-K223),"")</f>
        <v/>
      </c>
      <c r="S223" s="11">
        <f>IF(AND(ISNUMBER(F223),ISNUMBER(L223)),(L223-F223),"")</f>
        <v/>
      </c>
      <c r="T223" s="11">
        <f>IF(AND(ISNUMBER(D223),ISNUMBER(L223)),(L223-D223),"")</f>
        <v/>
      </c>
    </row>
    <row r="224">
      <c r="A224" s="3" t="inlineStr">
        <is>
          <t>10223</t>
        </is>
      </c>
      <c r="B224" s="9" t="n">
        <v>310.44</v>
      </c>
      <c r="C224" s="3" t="inlineStr">
        <is>
          <t>703</t>
        </is>
      </c>
      <c r="D224" s="10" t="n">
        <v>45680.11217592593</v>
      </c>
      <c r="E224" s="10" t="n">
        <v>45680.11217592593</v>
      </c>
      <c r="F224" s="10" t="n">
        <v>45680.11449074074</v>
      </c>
      <c r="G224" s="10" t="n">
        <v>45680.11449074074</v>
      </c>
      <c r="H224" s="10" t="n">
        <v>45680.11726851852</v>
      </c>
      <c r="I224" s="10" t="n">
        <v>45680.12265046296</v>
      </c>
      <c r="J224" s="10" t="n">
        <v>45680.12265046296</v>
      </c>
      <c r="K224" s="10" t="n">
        <v>45680.1234375</v>
      </c>
      <c r="L224" s="10" t="n">
        <v>45680.13020833334</v>
      </c>
      <c r="M224" s="11">
        <f>IF(AND(ISNUMBER(D224),ISNUMBER(E224)),(E224-D224),"")</f>
        <v/>
      </c>
      <c r="N224" s="11">
        <f>IF(AND(ISNUMBER(E224),ISNUMBER(F224)),(F224-E224),"")</f>
        <v/>
      </c>
      <c r="O224" s="11">
        <f>IF(AND(ISNUMBER(G224),ISNUMBER(H224)),(H224-G224),"")</f>
        <v/>
      </c>
      <c r="P224" s="11">
        <f>IF(AND(ISNUMBER(H224),ISNUMBER(I224)),(I224-H224),"")</f>
        <v/>
      </c>
      <c r="Q224" s="11">
        <f>IF(AND(ISNUMBER(J224),ISNUMBER(K224)),(K224-J224),"")</f>
        <v/>
      </c>
      <c r="R224" s="11">
        <f>IF(AND(ISNUMBER(K224),ISNUMBER(L224)),(L224-K224),"")</f>
        <v/>
      </c>
      <c r="S224" s="11">
        <f>IF(AND(ISNUMBER(F224),ISNUMBER(L224)),(L224-F224),"")</f>
        <v/>
      </c>
      <c r="T224" s="11">
        <f>IF(AND(ISNUMBER(D224),ISNUMBER(L224)),(L224-D224),"")</f>
        <v/>
      </c>
    </row>
    <row r="225">
      <c r="A225" s="3" t="inlineStr">
        <is>
          <t>10224</t>
        </is>
      </c>
      <c r="B225" s="9" t="n">
        <v>144.44</v>
      </c>
      <c r="C225" s="3" t="inlineStr">
        <is>
          <t>703</t>
        </is>
      </c>
      <c r="D225" s="10" t="n">
        <v>45680.26320601852</v>
      </c>
      <c r="E225" s="10" t="n">
        <v>45680.26320601852</v>
      </c>
      <c r="F225" s="10" t="n">
        <v>45680.26512731481</v>
      </c>
      <c r="G225" s="10" t="n">
        <v>45680.26512731481</v>
      </c>
      <c r="H225" s="10" t="n">
        <v>45680.26790509259</v>
      </c>
      <c r="I225" s="10" t="n">
        <v>45680.26899305556</v>
      </c>
      <c r="J225" s="10" t="n">
        <v>45680.26899305556</v>
      </c>
      <c r="K225" s="10" t="n">
        <v>45680.26986111111</v>
      </c>
      <c r="L225" s="10" t="n">
        <v>45680.27217592593</v>
      </c>
      <c r="M225" s="11">
        <f>IF(AND(ISNUMBER(D225),ISNUMBER(E225)),(E225-D225),"")</f>
        <v/>
      </c>
      <c r="N225" s="11">
        <f>IF(AND(ISNUMBER(E225),ISNUMBER(F225)),(F225-E225),"")</f>
        <v/>
      </c>
      <c r="O225" s="11">
        <f>IF(AND(ISNUMBER(G225),ISNUMBER(H225)),(H225-G225),"")</f>
        <v/>
      </c>
      <c r="P225" s="11">
        <f>IF(AND(ISNUMBER(H225),ISNUMBER(I225)),(I225-H225),"")</f>
        <v/>
      </c>
      <c r="Q225" s="11">
        <f>IF(AND(ISNUMBER(J225),ISNUMBER(K225)),(K225-J225),"")</f>
        <v/>
      </c>
      <c r="R225" s="11">
        <f>IF(AND(ISNUMBER(K225),ISNUMBER(L225)),(L225-K225),"")</f>
        <v/>
      </c>
      <c r="S225" s="11">
        <f>IF(AND(ISNUMBER(F225),ISNUMBER(L225)),(L225-F225),"")</f>
        <v/>
      </c>
      <c r="T225" s="11">
        <f>IF(AND(ISNUMBER(D225),ISNUMBER(L225)),(L225-D225),"")</f>
        <v/>
      </c>
    </row>
    <row r="226">
      <c r="A226" s="3" t="inlineStr">
        <is>
          <t>10225</t>
        </is>
      </c>
      <c r="B226" s="9" t="n">
        <v>257.6</v>
      </c>
      <c r="C226" s="3" t="inlineStr">
        <is>
          <t>703</t>
        </is>
      </c>
      <c r="D226" s="10" t="n">
        <v>45680.28145833333</v>
      </c>
      <c r="E226" s="10" t="n">
        <v>45680.28145833333</v>
      </c>
      <c r="F226" s="10" t="n">
        <v>45680.28364583333</v>
      </c>
      <c r="G226" s="10" t="n">
        <v>45680.28364583333</v>
      </c>
      <c r="H226" s="10" t="n">
        <v>45680.28642361111</v>
      </c>
      <c r="I226" s="10" t="n">
        <v>45680.29543981481</v>
      </c>
      <c r="J226" s="10" t="n">
        <v>45680.29543981481</v>
      </c>
      <c r="K226" s="10" t="n">
        <v>45680.29622685185</v>
      </c>
      <c r="L226" s="10" t="n">
        <v>45680.30479166667</v>
      </c>
      <c r="M226" s="11">
        <f>IF(AND(ISNUMBER(D226),ISNUMBER(E226)),(E226-D226),"")</f>
        <v/>
      </c>
      <c r="N226" s="11">
        <f>IF(AND(ISNUMBER(E226),ISNUMBER(F226)),(F226-E226),"")</f>
        <v/>
      </c>
      <c r="O226" s="11">
        <f>IF(AND(ISNUMBER(G226),ISNUMBER(H226)),(H226-G226),"")</f>
        <v/>
      </c>
      <c r="P226" s="11">
        <f>IF(AND(ISNUMBER(H226),ISNUMBER(I226)),(I226-H226),"")</f>
        <v/>
      </c>
      <c r="Q226" s="11">
        <f>IF(AND(ISNUMBER(J226),ISNUMBER(K226)),(K226-J226),"")</f>
        <v/>
      </c>
      <c r="R226" s="11">
        <f>IF(AND(ISNUMBER(K226),ISNUMBER(L226)),(L226-K226),"")</f>
        <v/>
      </c>
      <c r="S226" s="11">
        <f>IF(AND(ISNUMBER(F226),ISNUMBER(L226)),(L226-F226),"")</f>
        <v/>
      </c>
      <c r="T226" s="11">
        <f>IF(AND(ISNUMBER(D226),ISNUMBER(L226)),(L226-D226),"")</f>
        <v/>
      </c>
    </row>
    <row r="227">
      <c r="A227" s="3" t="inlineStr">
        <is>
          <t>10226</t>
        </is>
      </c>
      <c r="B227" s="9" t="n">
        <v>205.52</v>
      </c>
      <c r="C227" s="3" t="inlineStr">
        <is>
          <t>727</t>
        </is>
      </c>
      <c r="D227" s="10" t="n">
        <v>45680.29526620371</v>
      </c>
      <c r="E227" s="10" t="n">
        <v>45680.29526620371</v>
      </c>
      <c r="F227" s="10" t="n">
        <v>45680.29689814815</v>
      </c>
      <c r="G227" s="10" t="n">
        <v>45680.29689814815</v>
      </c>
      <c r="H227" s="10" t="n">
        <v>45680.29967592593</v>
      </c>
      <c r="I227" s="10" t="n">
        <v>45680.30123842593</v>
      </c>
      <c r="J227" s="10" t="n">
        <v>45680.30123842593</v>
      </c>
      <c r="K227" s="10" t="n">
        <v>45680.30565972222</v>
      </c>
      <c r="L227" s="10" t="n">
        <v>45680.30565972222</v>
      </c>
      <c r="M227" s="11">
        <f>IF(AND(ISNUMBER(D227),ISNUMBER(E227)),(E227-D227),"")</f>
        <v/>
      </c>
      <c r="N227" s="11">
        <f>IF(AND(ISNUMBER(E227),ISNUMBER(F227)),(F227-E227),"")</f>
        <v/>
      </c>
      <c r="O227" s="11">
        <f>IF(AND(ISNUMBER(G227),ISNUMBER(H227)),(H227-G227),"")</f>
        <v/>
      </c>
      <c r="P227" s="11">
        <f>IF(AND(ISNUMBER(H227),ISNUMBER(I227)),(I227-H227),"")</f>
        <v/>
      </c>
      <c r="Q227" s="11">
        <f>IF(AND(ISNUMBER(J227),ISNUMBER(K227)),(K227-J227),"")</f>
        <v/>
      </c>
      <c r="R227" s="11">
        <f>IF(AND(ISNUMBER(K227),ISNUMBER(L227)),(L227-K227),"")</f>
        <v/>
      </c>
      <c r="S227" s="11">
        <f>IF(AND(ISNUMBER(F227),ISNUMBER(L227)),(L227-F227),"")</f>
        <v/>
      </c>
      <c r="T227" s="11">
        <f>IF(AND(ISNUMBER(D227),ISNUMBER(L227)),(L227-D227),"")</f>
        <v/>
      </c>
    </row>
    <row r="228">
      <c r="A228" s="3" t="inlineStr">
        <is>
          <t>10227</t>
        </is>
      </c>
      <c r="B228" s="9" t="n">
        <v>397.3000000000001</v>
      </c>
      <c r="C228" s="3" t="inlineStr">
        <is>
          <t>703</t>
        </is>
      </c>
      <c r="D228" s="10" t="n">
        <v>45680.31908564815</v>
      </c>
      <c r="E228" s="10" t="n">
        <v>45680.31908564815</v>
      </c>
      <c r="F228" s="10" t="n">
        <v>45680.32159722222</v>
      </c>
      <c r="G228" s="10" t="n">
        <v>45680.32159722222</v>
      </c>
      <c r="H228" s="10" t="n">
        <v>45680.324375</v>
      </c>
      <c r="I228" s="10" t="n">
        <v>45680.32756944445</v>
      </c>
      <c r="J228" s="10" t="n">
        <v>45680.32756944445</v>
      </c>
      <c r="K228" s="10" t="n">
        <v>45680.32829861111</v>
      </c>
      <c r="L228" s="10" t="n">
        <v>45680.32829861111</v>
      </c>
      <c r="M228" s="11">
        <f>IF(AND(ISNUMBER(D228),ISNUMBER(E228)),(E228-D228),"")</f>
        <v/>
      </c>
      <c r="N228" s="11">
        <f>IF(AND(ISNUMBER(E228),ISNUMBER(F228)),(F228-E228),"")</f>
        <v/>
      </c>
      <c r="O228" s="11">
        <f>IF(AND(ISNUMBER(G228),ISNUMBER(H228)),(H228-G228),"")</f>
        <v/>
      </c>
      <c r="P228" s="11">
        <f>IF(AND(ISNUMBER(H228),ISNUMBER(I228)),(I228-H228),"")</f>
        <v/>
      </c>
      <c r="Q228" s="11">
        <f>IF(AND(ISNUMBER(J228),ISNUMBER(K228)),(K228-J228),"")</f>
        <v/>
      </c>
      <c r="R228" s="11">
        <f>IF(AND(ISNUMBER(K228),ISNUMBER(L228)),(L228-K228),"")</f>
        <v/>
      </c>
      <c r="S228" s="11">
        <f>IF(AND(ISNUMBER(F228),ISNUMBER(L228)),(L228-F228),"")</f>
        <v/>
      </c>
      <c r="T228" s="11">
        <f>IF(AND(ISNUMBER(D228),ISNUMBER(L228)),(L228-D228),"")</f>
        <v/>
      </c>
    </row>
    <row r="229">
      <c r="A229" s="3" t="inlineStr">
        <is>
          <t>10228</t>
        </is>
      </c>
      <c r="B229" s="9" t="n">
        <v>396.5</v>
      </c>
      <c r="C229" s="3" t="inlineStr">
        <is>
          <t>703</t>
        </is>
      </c>
      <c r="D229" s="10" t="n">
        <v>45680.36128472222</v>
      </c>
      <c r="E229" s="10" t="n">
        <v>45680.36128472222</v>
      </c>
      <c r="F229" s="10" t="n">
        <v>45680.3637962963</v>
      </c>
      <c r="G229" s="10" t="n">
        <v>45680.3637962963</v>
      </c>
      <c r="H229" s="10" t="n">
        <v>45680.36657407408</v>
      </c>
      <c r="I229" s="10" t="n">
        <v>45680.37028935185</v>
      </c>
      <c r="J229" s="10" t="n">
        <v>45680.37028935185</v>
      </c>
      <c r="K229" s="10" t="n">
        <v>45680.3711574074</v>
      </c>
      <c r="L229" s="10" t="n">
        <v>45680.37564814815</v>
      </c>
      <c r="M229" s="11">
        <f>IF(AND(ISNUMBER(D229),ISNUMBER(E229)),(E229-D229),"")</f>
        <v/>
      </c>
      <c r="N229" s="11">
        <f>IF(AND(ISNUMBER(E229),ISNUMBER(F229)),(F229-E229),"")</f>
        <v/>
      </c>
      <c r="O229" s="11">
        <f>IF(AND(ISNUMBER(G229),ISNUMBER(H229)),(H229-G229),"")</f>
        <v/>
      </c>
      <c r="P229" s="11">
        <f>IF(AND(ISNUMBER(H229),ISNUMBER(I229)),(I229-H229),"")</f>
        <v/>
      </c>
      <c r="Q229" s="11">
        <f>IF(AND(ISNUMBER(J229),ISNUMBER(K229)),(K229-J229),"")</f>
        <v/>
      </c>
      <c r="R229" s="11">
        <f>IF(AND(ISNUMBER(K229),ISNUMBER(L229)),(L229-K229),"")</f>
        <v/>
      </c>
      <c r="S229" s="11">
        <f>IF(AND(ISNUMBER(F229),ISNUMBER(L229)),(L229-F229),"")</f>
        <v/>
      </c>
      <c r="T229" s="11">
        <f>IF(AND(ISNUMBER(D229),ISNUMBER(L229)),(L229-D229),"")</f>
        <v/>
      </c>
    </row>
    <row r="230">
      <c r="A230" s="3" t="inlineStr">
        <is>
          <t>10229</t>
        </is>
      </c>
      <c r="B230" s="9" t="n">
        <v>543.9399999999999</v>
      </c>
      <c r="C230" s="3" t="inlineStr">
        <is>
          <t>727</t>
        </is>
      </c>
      <c r="D230" s="10" t="n">
        <v>45680.37637731482</v>
      </c>
      <c r="E230" s="10" t="n">
        <v>45680.37637731482</v>
      </c>
      <c r="F230" s="10" t="n">
        <v>45680.37878472222</v>
      </c>
      <c r="G230" s="10" t="n">
        <v>45680.37878472222</v>
      </c>
      <c r="H230" s="10" t="n">
        <v>45680.3815625</v>
      </c>
      <c r="I230" s="10" t="n">
        <v>45680.39777777778</v>
      </c>
      <c r="J230" s="10" t="n">
        <v>45680.39777777778</v>
      </c>
      <c r="K230" s="10" t="n">
        <v>45680.39851851852</v>
      </c>
      <c r="L230" s="10" t="n">
        <v>45680.41721064815</v>
      </c>
      <c r="M230" s="11">
        <f>IF(AND(ISNUMBER(D230),ISNUMBER(E230)),(E230-D230),"")</f>
        <v/>
      </c>
      <c r="N230" s="11">
        <f>IF(AND(ISNUMBER(E230),ISNUMBER(F230)),(F230-E230),"")</f>
        <v/>
      </c>
      <c r="O230" s="11">
        <f>IF(AND(ISNUMBER(G230),ISNUMBER(H230)),(H230-G230),"")</f>
        <v/>
      </c>
      <c r="P230" s="11">
        <f>IF(AND(ISNUMBER(H230),ISNUMBER(I230)),(I230-H230),"")</f>
        <v/>
      </c>
      <c r="Q230" s="11">
        <f>IF(AND(ISNUMBER(J230),ISNUMBER(K230)),(K230-J230),"")</f>
        <v/>
      </c>
      <c r="R230" s="11">
        <f>IF(AND(ISNUMBER(K230),ISNUMBER(L230)),(L230-K230),"")</f>
        <v/>
      </c>
      <c r="S230" s="11">
        <f>IF(AND(ISNUMBER(F230),ISNUMBER(L230)),(L230-F230),"")</f>
        <v/>
      </c>
      <c r="T230" s="11">
        <f>IF(AND(ISNUMBER(D230),ISNUMBER(L230)),(L230-D230),"")</f>
        <v/>
      </c>
    </row>
    <row r="231">
      <c r="A231" s="3" t="inlineStr">
        <is>
          <t>10230</t>
        </is>
      </c>
      <c r="B231" s="9" t="n">
        <v>448.7</v>
      </c>
      <c r="C231" s="3" t="inlineStr">
        <is>
          <t>703</t>
        </is>
      </c>
      <c r="D231" s="10" t="n">
        <v>45680.43478009259</v>
      </c>
      <c r="E231" s="10" t="n">
        <v>45680.43478009259</v>
      </c>
      <c r="F231" s="10" t="n">
        <v>45680.43740740741</v>
      </c>
      <c r="G231" s="10" t="n">
        <v>45680.43740740741</v>
      </c>
      <c r="H231" s="10" t="n">
        <v>45680.44018518519</v>
      </c>
      <c r="I231" s="10" t="n">
        <v>45680.44787037037</v>
      </c>
      <c r="J231" s="10" t="n">
        <v>45680.44787037037</v>
      </c>
      <c r="K231" s="10" t="n">
        <v>45680.44863425926</v>
      </c>
      <c r="L231" s="10" t="n">
        <v>45680.45149305555</v>
      </c>
      <c r="M231" s="11">
        <f>IF(AND(ISNUMBER(D231),ISNUMBER(E231)),(E231-D231),"")</f>
        <v/>
      </c>
      <c r="N231" s="11">
        <f>IF(AND(ISNUMBER(E231),ISNUMBER(F231)),(F231-E231),"")</f>
        <v/>
      </c>
      <c r="O231" s="11">
        <f>IF(AND(ISNUMBER(G231),ISNUMBER(H231)),(H231-G231),"")</f>
        <v/>
      </c>
      <c r="P231" s="11">
        <f>IF(AND(ISNUMBER(H231),ISNUMBER(I231)),(I231-H231),"")</f>
        <v/>
      </c>
      <c r="Q231" s="11">
        <f>IF(AND(ISNUMBER(J231),ISNUMBER(K231)),(K231-J231),"")</f>
        <v/>
      </c>
      <c r="R231" s="11">
        <f>IF(AND(ISNUMBER(K231),ISNUMBER(L231)),(L231-K231),"")</f>
        <v/>
      </c>
      <c r="S231" s="11">
        <f>IF(AND(ISNUMBER(F231),ISNUMBER(L231)),(L231-F231),"")</f>
        <v/>
      </c>
      <c r="T231" s="11">
        <f>IF(AND(ISNUMBER(D231),ISNUMBER(L231)),(L231-D231),"")</f>
        <v/>
      </c>
    </row>
    <row r="232">
      <c r="A232" s="3" t="inlineStr">
        <is>
          <t>10231</t>
        </is>
      </c>
      <c r="B232" s="9" t="n">
        <v>396.5600000000001</v>
      </c>
      <c r="C232" s="3" t="inlineStr">
        <is>
          <t>703</t>
        </is>
      </c>
      <c r="D232" s="10" t="n">
        <v>45680.60194444445</v>
      </c>
      <c r="E232" s="10" t="n">
        <v>45680.60194444445</v>
      </c>
      <c r="F232" s="10" t="n">
        <v>45680.60445601852</v>
      </c>
      <c r="G232" s="10" t="n">
        <v>45680.60445601852</v>
      </c>
      <c r="H232" s="10" t="n">
        <v>45680.6072337963</v>
      </c>
      <c r="I232" s="10" t="n">
        <v>45680.61011574074</v>
      </c>
      <c r="J232" s="10" t="n">
        <v>45680.61011574074</v>
      </c>
      <c r="K232" s="10" t="n">
        <v>45680.61098379629</v>
      </c>
      <c r="L232" s="10" t="n">
        <v>45680.61325231481</v>
      </c>
      <c r="M232" s="11">
        <f>IF(AND(ISNUMBER(D232),ISNUMBER(E232)),(E232-D232),"")</f>
        <v/>
      </c>
      <c r="N232" s="11">
        <f>IF(AND(ISNUMBER(E232),ISNUMBER(F232)),(F232-E232),"")</f>
        <v/>
      </c>
      <c r="O232" s="11">
        <f>IF(AND(ISNUMBER(G232),ISNUMBER(H232)),(H232-G232),"")</f>
        <v/>
      </c>
      <c r="P232" s="11">
        <f>IF(AND(ISNUMBER(H232),ISNUMBER(I232)),(I232-H232),"")</f>
        <v/>
      </c>
      <c r="Q232" s="11">
        <f>IF(AND(ISNUMBER(J232),ISNUMBER(K232)),(K232-J232),"")</f>
        <v/>
      </c>
      <c r="R232" s="11">
        <f>IF(AND(ISNUMBER(K232),ISNUMBER(L232)),(L232-K232),"")</f>
        <v/>
      </c>
      <c r="S232" s="11">
        <f>IF(AND(ISNUMBER(F232),ISNUMBER(L232)),(L232-F232),"")</f>
        <v/>
      </c>
      <c r="T232" s="11">
        <f>IF(AND(ISNUMBER(D232),ISNUMBER(L232)),(L232-D232),"")</f>
        <v/>
      </c>
    </row>
    <row r="233">
      <c r="A233" s="3" t="inlineStr">
        <is>
          <t>10232</t>
        </is>
      </c>
      <c r="B233" s="9" t="n">
        <v>318.4399999999999</v>
      </c>
      <c r="C233" s="3" t="inlineStr">
        <is>
          <t>727</t>
        </is>
      </c>
      <c r="D233" s="10" t="n">
        <v>45680.61155092593</v>
      </c>
      <c r="E233" s="10" t="n">
        <v>45680.61155092593</v>
      </c>
      <c r="F233" s="10" t="n">
        <v>45680.6134375</v>
      </c>
      <c r="G233" s="10" t="n">
        <v>45680.6134375</v>
      </c>
      <c r="H233" s="10" t="n">
        <v>45680.61621527778</v>
      </c>
      <c r="I233" s="10" t="n">
        <v>45680.62604166667</v>
      </c>
      <c r="J233" s="10" t="n">
        <v>45680.62604166667</v>
      </c>
      <c r="K233" s="10" t="n">
        <v>45680.62690972222</v>
      </c>
      <c r="L233" s="10" t="n">
        <v>45680.63822916667</v>
      </c>
      <c r="M233" s="11">
        <f>IF(AND(ISNUMBER(D233),ISNUMBER(E233)),(E233-D233),"")</f>
        <v/>
      </c>
      <c r="N233" s="11">
        <f>IF(AND(ISNUMBER(E233),ISNUMBER(F233)),(F233-E233),"")</f>
        <v/>
      </c>
      <c r="O233" s="11">
        <f>IF(AND(ISNUMBER(G233),ISNUMBER(H233)),(H233-G233),"")</f>
        <v/>
      </c>
      <c r="P233" s="11">
        <f>IF(AND(ISNUMBER(H233),ISNUMBER(I233)),(I233-H233),"")</f>
        <v/>
      </c>
      <c r="Q233" s="11">
        <f>IF(AND(ISNUMBER(J233),ISNUMBER(K233)),(K233-J233),"")</f>
        <v/>
      </c>
      <c r="R233" s="11">
        <f>IF(AND(ISNUMBER(K233),ISNUMBER(L233)),(L233-K233),"")</f>
        <v/>
      </c>
      <c r="S233" s="11">
        <f>IF(AND(ISNUMBER(F233),ISNUMBER(L233)),(L233-F233),"")</f>
        <v/>
      </c>
      <c r="T233" s="11">
        <f>IF(AND(ISNUMBER(D233),ISNUMBER(L233)),(L233-D233),"")</f>
        <v/>
      </c>
    </row>
    <row r="234">
      <c r="A234" s="3" t="inlineStr">
        <is>
          <t>10233</t>
        </is>
      </c>
      <c r="B234" s="9" t="n">
        <v>94.44</v>
      </c>
      <c r="C234" s="3" t="inlineStr">
        <is>
          <t>703</t>
        </is>
      </c>
      <c r="D234" s="10" t="n">
        <v>45680.64292824074</v>
      </c>
      <c r="E234" s="10" t="n">
        <v>45680.64292824074</v>
      </c>
      <c r="F234" s="10" t="n">
        <v>45680.6447337963</v>
      </c>
      <c r="G234" s="10" t="n">
        <v>45680.6447337963</v>
      </c>
      <c r="H234" s="10" t="n">
        <v>45680.64751157408</v>
      </c>
      <c r="I234" s="10" t="n">
        <v>45680.64825231482</v>
      </c>
      <c r="J234" s="10" t="n">
        <v>45680.64825231482</v>
      </c>
      <c r="K234" s="10" t="n">
        <v>45680.64903935185</v>
      </c>
      <c r="L234" s="10" t="n">
        <v>45680.64903935185</v>
      </c>
      <c r="M234" s="11">
        <f>IF(AND(ISNUMBER(D234),ISNUMBER(E234)),(E234-D234),"")</f>
        <v/>
      </c>
      <c r="N234" s="11">
        <f>IF(AND(ISNUMBER(E234),ISNUMBER(F234)),(F234-E234),"")</f>
        <v/>
      </c>
      <c r="O234" s="11">
        <f>IF(AND(ISNUMBER(G234),ISNUMBER(H234)),(H234-G234),"")</f>
        <v/>
      </c>
      <c r="P234" s="11">
        <f>IF(AND(ISNUMBER(H234),ISNUMBER(I234)),(I234-H234),"")</f>
        <v/>
      </c>
      <c r="Q234" s="11">
        <f>IF(AND(ISNUMBER(J234),ISNUMBER(K234)),(K234-J234),"")</f>
        <v/>
      </c>
      <c r="R234" s="11">
        <f>IF(AND(ISNUMBER(K234),ISNUMBER(L234)),(L234-K234),"")</f>
        <v/>
      </c>
      <c r="S234" s="11">
        <f>IF(AND(ISNUMBER(F234),ISNUMBER(L234)),(L234-F234),"")</f>
        <v/>
      </c>
      <c r="T234" s="11">
        <f>IF(AND(ISNUMBER(D234),ISNUMBER(L234)),(L234-D234),"")</f>
        <v/>
      </c>
    </row>
    <row r="235">
      <c r="A235" s="3" t="inlineStr">
        <is>
          <t>10234</t>
        </is>
      </c>
      <c r="B235" s="9" t="n">
        <v>144.4</v>
      </c>
      <c r="C235" s="3" t="inlineStr">
        <is>
          <t>703</t>
        </is>
      </c>
      <c r="D235" s="10" t="n">
        <v>45680.65494212963</v>
      </c>
      <c r="E235" s="10" t="n">
        <v>45680.65494212963</v>
      </c>
      <c r="F235" s="10" t="n">
        <v>45680.65686342592</v>
      </c>
      <c r="G235" s="10" t="n">
        <v>45680.65686342592</v>
      </c>
      <c r="H235" s="10" t="n">
        <v>45680.6596412037</v>
      </c>
      <c r="I235" s="10" t="n">
        <v>45680.66163194444</v>
      </c>
      <c r="J235" s="10" t="n">
        <v>45680.66163194444</v>
      </c>
      <c r="K235" s="10" t="n">
        <v>45680.6625</v>
      </c>
      <c r="L235" s="10" t="n">
        <v>45680.6625</v>
      </c>
      <c r="M235" s="11">
        <f>IF(AND(ISNUMBER(D235),ISNUMBER(E235)),(E235-D235),"")</f>
        <v/>
      </c>
      <c r="N235" s="11">
        <f>IF(AND(ISNUMBER(E235),ISNUMBER(F235)),(F235-E235),"")</f>
        <v/>
      </c>
      <c r="O235" s="11">
        <f>IF(AND(ISNUMBER(G235),ISNUMBER(H235)),(H235-G235),"")</f>
        <v/>
      </c>
      <c r="P235" s="11">
        <f>IF(AND(ISNUMBER(H235),ISNUMBER(I235)),(I235-H235),"")</f>
        <v/>
      </c>
      <c r="Q235" s="11">
        <f>IF(AND(ISNUMBER(J235),ISNUMBER(K235)),(K235-J235),"")</f>
        <v/>
      </c>
      <c r="R235" s="11">
        <f>IF(AND(ISNUMBER(K235),ISNUMBER(L235)),(L235-K235),"")</f>
        <v/>
      </c>
      <c r="S235" s="11">
        <f>IF(AND(ISNUMBER(F235),ISNUMBER(L235)),(L235-F235),"")</f>
        <v/>
      </c>
      <c r="T235" s="11">
        <f>IF(AND(ISNUMBER(D235),ISNUMBER(L235)),(L235-D235),"")</f>
        <v/>
      </c>
    </row>
    <row r="236">
      <c r="A236" s="3" t="inlineStr">
        <is>
          <t>10235</t>
        </is>
      </c>
      <c r="B236" s="9" t="n">
        <v>331.26</v>
      </c>
      <c r="C236" s="3" t="inlineStr">
        <is>
          <t>703</t>
        </is>
      </c>
      <c r="D236" s="10" t="n">
        <v>45680.70855324074</v>
      </c>
      <c r="E236" s="10" t="n">
        <v>45680.70855324074</v>
      </c>
      <c r="F236" s="10" t="n">
        <v>45680.71091435185</v>
      </c>
      <c r="G236" s="10" t="n">
        <v>45680.71091435185</v>
      </c>
      <c r="H236" s="10" t="n">
        <v>45680.71369212963</v>
      </c>
      <c r="I236" s="10" t="n">
        <v>45680.72774305556</v>
      </c>
      <c r="J236" s="10" t="n">
        <v>45680.72774305556</v>
      </c>
      <c r="K236" s="10" t="n">
        <v>45680.72853009259</v>
      </c>
      <c r="L236" s="10" t="n">
        <v>45680.74832175926</v>
      </c>
      <c r="M236" s="11">
        <f>IF(AND(ISNUMBER(D236),ISNUMBER(E236)),(E236-D236),"")</f>
        <v/>
      </c>
      <c r="N236" s="11">
        <f>IF(AND(ISNUMBER(E236),ISNUMBER(F236)),(F236-E236),"")</f>
        <v/>
      </c>
      <c r="O236" s="11">
        <f>IF(AND(ISNUMBER(G236),ISNUMBER(H236)),(H236-G236),"")</f>
        <v/>
      </c>
      <c r="P236" s="11">
        <f>IF(AND(ISNUMBER(H236),ISNUMBER(I236)),(I236-H236),"")</f>
        <v/>
      </c>
      <c r="Q236" s="11">
        <f>IF(AND(ISNUMBER(J236),ISNUMBER(K236)),(K236-J236),"")</f>
        <v/>
      </c>
      <c r="R236" s="11">
        <f>IF(AND(ISNUMBER(K236),ISNUMBER(L236)),(L236-K236),"")</f>
        <v/>
      </c>
      <c r="S236" s="11">
        <f>IF(AND(ISNUMBER(F236),ISNUMBER(L236)),(L236-F236),"")</f>
        <v/>
      </c>
      <c r="T236" s="11">
        <f>IF(AND(ISNUMBER(D236),ISNUMBER(L236)),(L236-D236),"")</f>
        <v/>
      </c>
    </row>
    <row r="237">
      <c r="A237" s="3" t="inlineStr">
        <is>
          <t>10236</t>
        </is>
      </c>
      <c r="B237" s="9" t="n">
        <v>54.72</v>
      </c>
      <c r="C237" s="3" t="inlineStr">
        <is>
          <t>731</t>
        </is>
      </c>
      <c r="D237" s="10" t="n">
        <v>45680.73325231481</v>
      </c>
      <c r="E237" s="10" t="n">
        <v>45680.73325231481</v>
      </c>
      <c r="F237" s="10" t="n">
        <v>45680.73459490741</v>
      </c>
      <c r="G237" s="10" t="n">
        <v>45680.73459490741</v>
      </c>
      <c r="H237" s="10" t="n">
        <v>45680.73737268519</v>
      </c>
      <c r="I237" s="10" t="n">
        <v>45680.73780092593</v>
      </c>
      <c r="J237" s="10" t="n">
        <v>45680.73780092593</v>
      </c>
      <c r="K237" s="10" t="n">
        <v>45680.74918981481</v>
      </c>
      <c r="L237" s="10" t="n">
        <v>45680.75112268519</v>
      </c>
      <c r="M237" s="11">
        <f>IF(AND(ISNUMBER(D237),ISNUMBER(E237)),(E237-D237),"")</f>
        <v/>
      </c>
      <c r="N237" s="11">
        <f>IF(AND(ISNUMBER(E237),ISNUMBER(F237)),(F237-E237),"")</f>
        <v/>
      </c>
      <c r="O237" s="11">
        <f>IF(AND(ISNUMBER(G237),ISNUMBER(H237)),(H237-G237),"")</f>
        <v/>
      </c>
      <c r="P237" s="11">
        <f>IF(AND(ISNUMBER(H237),ISNUMBER(I237)),(I237-H237),"")</f>
        <v/>
      </c>
      <c r="Q237" s="11">
        <f>IF(AND(ISNUMBER(J237),ISNUMBER(K237)),(K237-J237),"")</f>
        <v/>
      </c>
      <c r="R237" s="11">
        <f>IF(AND(ISNUMBER(K237),ISNUMBER(L237)),(L237-K237),"")</f>
        <v/>
      </c>
      <c r="S237" s="11">
        <f>IF(AND(ISNUMBER(F237),ISNUMBER(L237)),(L237-F237),"")</f>
        <v/>
      </c>
      <c r="T237" s="11">
        <f>IF(AND(ISNUMBER(D237),ISNUMBER(L237)),(L237-D237),"")</f>
        <v/>
      </c>
    </row>
    <row r="238">
      <c r="A238" s="3" t="inlineStr">
        <is>
          <t>10237</t>
        </is>
      </c>
      <c r="B238" s="9" t="n">
        <v>85.45999999999999</v>
      </c>
      <c r="C238" s="3" t="inlineStr">
        <is>
          <t>703</t>
        </is>
      </c>
      <c r="D238" s="10" t="n">
        <v>45680.87337962963</v>
      </c>
      <c r="E238" s="10" t="n">
        <v>45680.87337962963</v>
      </c>
      <c r="F238" s="10" t="n">
        <v>45680.87517361111</v>
      </c>
      <c r="G238" s="10" t="n">
        <v>45680.87517361111</v>
      </c>
      <c r="H238" s="10" t="n">
        <v>45680.87795138889</v>
      </c>
      <c r="I238" s="10" t="n">
        <v>45680.87859953703</v>
      </c>
      <c r="J238" s="10" t="n">
        <v>45680.87859953703</v>
      </c>
      <c r="K238" s="10" t="n">
        <v>45680.87946759259</v>
      </c>
      <c r="L238" s="10" t="n">
        <v>45680.88112268518</v>
      </c>
      <c r="M238" s="11">
        <f>IF(AND(ISNUMBER(D238),ISNUMBER(E238)),(E238-D238),"")</f>
        <v/>
      </c>
      <c r="N238" s="11">
        <f>IF(AND(ISNUMBER(E238),ISNUMBER(F238)),(F238-E238),"")</f>
        <v/>
      </c>
      <c r="O238" s="11">
        <f>IF(AND(ISNUMBER(G238),ISNUMBER(H238)),(H238-G238),"")</f>
        <v/>
      </c>
      <c r="P238" s="11">
        <f>IF(AND(ISNUMBER(H238),ISNUMBER(I238)),(I238-H238),"")</f>
        <v/>
      </c>
      <c r="Q238" s="11">
        <f>IF(AND(ISNUMBER(J238),ISNUMBER(K238)),(K238-J238),"")</f>
        <v/>
      </c>
      <c r="R238" s="11">
        <f>IF(AND(ISNUMBER(K238),ISNUMBER(L238)),(L238-K238),"")</f>
        <v/>
      </c>
      <c r="S238" s="11">
        <f>IF(AND(ISNUMBER(F238),ISNUMBER(L238)),(L238-F238),"")</f>
        <v/>
      </c>
      <c r="T238" s="11">
        <f>IF(AND(ISNUMBER(D238),ISNUMBER(L238)),(L238-D238),"")</f>
        <v/>
      </c>
    </row>
    <row r="239">
      <c r="A239" s="3" t="inlineStr">
        <is>
          <t>10238</t>
        </is>
      </c>
      <c r="B239" s="9" t="n">
        <v>295.24</v>
      </c>
      <c r="C239" s="3" t="inlineStr">
        <is>
          <t>703</t>
        </is>
      </c>
      <c r="D239" s="10" t="n">
        <v>45681.11052083333</v>
      </c>
      <c r="E239" s="10" t="n">
        <v>45681.11052083333</v>
      </c>
      <c r="F239" s="10" t="n">
        <v>45681.11278935185</v>
      </c>
      <c r="G239" s="10" t="n">
        <v>45681.11278935185</v>
      </c>
      <c r="H239" s="10" t="n">
        <v>45681.11556712963</v>
      </c>
      <c r="I239" s="10" t="n">
        <v>45681.12167824074</v>
      </c>
      <c r="J239" s="10" t="n">
        <v>45681.12167824074</v>
      </c>
      <c r="K239" s="10" t="n">
        <v>45681.12246527777</v>
      </c>
      <c r="L239" s="10" t="n">
        <v>45681.13111111111</v>
      </c>
      <c r="M239" s="11">
        <f>IF(AND(ISNUMBER(D239),ISNUMBER(E239)),(E239-D239),"")</f>
        <v/>
      </c>
      <c r="N239" s="11">
        <f>IF(AND(ISNUMBER(E239),ISNUMBER(F239)),(F239-E239),"")</f>
        <v/>
      </c>
      <c r="O239" s="11">
        <f>IF(AND(ISNUMBER(G239),ISNUMBER(H239)),(H239-G239),"")</f>
        <v/>
      </c>
      <c r="P239" s="11">
        <f>IF(AND(ISNUMBER(H239),ISNUMBER(I239)),(I239-H239),"")</f>
        <v/>
      </c>
      <c r="Q239" s="11">
        <f>IF(AND(ISNUMBER(J239),ISNUMBER(K239)),(K239-J239),"")</f>
        <v/>
      </c>
      <c r="R239" s="11">
        <f>IF(AND(ISNUMBER(K239),ISNUMBER(L239)),(L239-K239),"")</f>
        <v/>
      </c>
      <c r="S239" s="11">
        <f>IF(AND(ISNUMBER(F239),ISNUMBER(L239)),(L239-F239),"")</f>
        <v/>
      </c>
      <c r="T239" s="11">
        <f>IF(AND(ISNUMBER(D239),ISNUMBER(L239)),(L239-D239),"")</f>
        <v/>
      </c>
    </row>
    <row r="240">
      <c r="A240" s="3" t="inlineStr">
        <is>
          <t>10239</t>
        </is>
      </c>
      <c r="B240" s="9" t="n">
        <v>118.2</v>
      </c>
      <c r="C240" s="3" t="inlineStr">
        <is>
          <t>703</t>
        </is>
      </c>
      <c r="D240" s="10" t="n">
        <v>45681.18877314815</v>
      </c>
      <c r="E240" s="10" t="n">
        <v>45681.18877314815</v>
      </c>
      <c r="F240" s="10" t="n">
        <v>45681.19063657407</v>
      </c>
      <c r="G240" s="10" t="n">
        <v>45681.19063657407</v>
      </c>
      <c r="H240" s="10" t="n">
        <v>45681.19341435185</v>
      </c>
      <c r="I240" s="10" t="n">
        <v>45681.19431712963</v>
      </c>
      <c r="J240" s="10" t="n">
        <v>45681.19431712963</v>
      </c>
      <c r="K240" s="10" t="n">
        <v>45681.19518518518</v>
      </c>
      <c r="L240" s="10" t="n">
        <v>45681.19717592592</v>
      </c>
      <c r="M240" s="11">
        <f>IF(AND(ISNUMBER(D240),ISNUMBER(E240)),(E240-D240),"")</f>
        <v/>
      </c>
      <c r="N240" s="11">
        <f>IF(AND(ISNUMBER(E240),ISNUMBER(F240)),(F240-E240),"")</f>
        <v/>
      </c>
      <c r="O240" s="11">
        <f>IF(AND(ISNUMBER(G240),ISNUMBER(H240)),(H240-G240),"")</f>
        <v/>
      </c>
      <c r="P240" s="11">
        <f>IF(AND(ISNUMBER(H240),ISNUMBER(I240)),(I240-H240),"")</f>
        <v/>
      </c>
      <c r="Q240" s="11">
        <f>IF(AND(ISNUMBER(J240),ISNUMBER(K240)),(K240-J240),"")</f>
        <v/>
      </c>
      <c r="R240" s="11">
        <f>IF(AND(ISNUMBER(K240),ISNUMBER(L240)),(L240-K240),"")</f>
        <v/>
      </c>
      <c r="S240" s="11">
        <f>IF(AND(ISNUMBER(F240),ISNUMBER(L240)),(L240-F240),"")</f>
        <v/>
      </c>
      <c r="T240" s="11">
        <f>IF(AND(ISNUMBER(D240),ISNUMBER(L240)),(L240-D240),"")</f>
        <v/>
      </c>
    </row>
    <row r="241">
      <c r="A241" s="3" t="inlineStr">
        <is>
          <t>10240</t>
        </is>
      </c>
      <c r="B241" s="9" t="n">
        <v>297</v>
      </c>
      <c r="C241" s="3" t="inlineStr">
        <is>
          <t>703</t>
        </is>
      </c>
      <c r="D241" s="10" t="n">
        <v>45681.25770833333</v>
      </c>
      <c r="E241" s="10" t="n">
        <v>45681.25770833333</v>
      </c>
      <c r="F241" s="10" t="n">
        <v>45681.25998842593</v>
      </c>
      <c r="G241" s="10" t="n">
        <v>45681.25998842593</v>
      </c>
      <c r="H241" s="10" t="n">
        <v>45681.2627662037</v>
      </c>
      <c r="I241" s="10" t="n">
        <v>45681.26498842592</v>
      </c>
      <c r="J241" s="10" t="n">
        <v>45681.26498842592</v>
      </c>
      <c r="K241" s="10" t="n">
        <v>45681.26577546296</v>
      </c>
      <c r="L241" s="10" t="n">
        <v>45681.26759259259</v>
      </c>
      <c r="M241" s="11">
        <f>IF(AND(ISNUMBER(D241),ISNUMBER(E241)),(E241-D241),"")</f>
        <v/>
      </c>
      <c r="N241" s="11">
        <f>IF(AND(ISNUMBER(E241),ISNUMBER(F241)),(F241-E241),"")</f>
        <v/>
      </c>
      <c r="O241" s="11">
        <f>IF(AND(ISNUMBER(G241),ISNUMBER(H241)),(H241-G241),"")</f>
        <v/>
      </c>
      <c r="P241" s="11">
        <f>IF(AND(ISNUMBER(H241),ISNUMBER(I241)),(I241-H241),"")</f>
        <v/>
      </c>
      <c r="Q241" s="11">
        <f>IF(AND(ISNUMBER(J241),ISNUMBER(K241)),(K241-J241),"")</f>
        <v/>
      </c>
      <c r="R241" s="11">
        <f>IF(AND(ISNUMBER(K241),ISNUMBER(L241)),(L241-K241),"")</f>
        <v/>
      </c>
      <c r="S241" s="11">
        <f>IF(AND(ISNUMBER(F241),ISNUMBER(L241)),(L241-F241),"")</f>
        <v/>
      </c>
      <c r="T241" s="11">
        <f>IF(AND(ISNUMBER(D241),ISNUMBER(L241)),(L241-D241),"")</f>
        <v/>
      </c>
    </row>
    <row r="242">
      <c r="A242" s="3" t="inlineStr">
        <is>
          <t>10241</t>
        </is>
      </c>
      <c r="B242" s="9" t="n">
        <v>240.42</v>
      </c>
      <c r="C242" s="3" t="inlineStr">
        <is>
          <t>703</t>
        </is>
      </c>
      <c r="D242" s="10" t="n">
        <v>45681.28934027778</v>
      </c>
      <c r="E242" s="10" t="n">
        <v>45681.28934027778</v>
      </c>
      <c r="F242" s="10" t="n">
        <v>45681.29149305556</v>
      </c>
      <c r="G242" s="10" t="n">
        <v>45681.29149305556</v>
      </c>
      <c r="H242" s="10" t="n">
        <v>45681.29427083334</v>
      </c>
      <c r="I242" s="10" t="n">
        <v>45681.29608796296</v>
      </c>
      <c r="J242" s="10" t="n">
        <v>45681.29608796296</v>
      </c>
      <c r="K242" s="10" t="n">
        <v>45681.29695601852</v>
      </c>
      <c r="L242" s="10" t="n">
        <v>45681.29920138889</v>
      </c>
      <c r="M242" s="11">
        <f>IF(AND(ISNUMBER(D242),ISNUMBER(E242)),(E242-D242),"")</f>
        <v/>
      </c>
      <c r="N242" s="11">
        <f>IF(AND(ISNUMBER(E242),ISNUMBER(F242)),(F242-E242),"")</f>
        <v/>
      </c>
      <c r="O242" s="11">
        <f>IF(AND(ISNUMBER(G242),ISNUMBER(H242)),(H242-G242),"")</f>
        <v/>
      </c>
      <c r="P242" s="11">
        <f>IF(AND(ISNUMBER(H242),ISNUMBER(I242)),(I242-H242),"")</f>
        <v/>
      </c>
      <c r="Q242" s="11">
        <f>IF(AND(ISNUMBER(J242),ISNUMBER(K242)),(K242-J242),"")</f>
        <v/>
      </c>
      <c r="R242" s="11">
        <f>IF(AND(ISNUMBER(K242),ISNUMBER(L242)),(L242-K242),"")</f>
        <v/>
      </c>
      <c r="S242" s="11">
        <f>IF(AND(ISNUMBER(F242),ISNUMBER(L242)),(L242-F242),"")</f>
        <v/>
      </c>
      <c r="T242" s="11">
        <f>IF(AND(ISNUMBER(D242),ISNUMBER(L242)),(L242-D242),"")</f>
        <v/>
      </c>
    </row>
    <row r="243">
      <c r="A243" s="3" t="inlineStr">
        <is>
          <t>10242</t>
        </is>
      </c>
      <c r="B243" s="9" t="n">
        <v>406.2</v>
      </c>
      <c r="C243" s="3" t="inlineStr">
        <is>
          <t>703</t>
        </is>
      </c>
      <c r="D243" s="10" t="n">
        <v>45681.29988425926</v>
      </c>
      <c r="E243" s="10" t="n">
        <v>45681.29988425926</v>
      </c>
      <c r="F243" s="10" t="n">
        <v>45681.30241898148</v>
      </c>
      <c r="G243" s="10" t="n">
        <v>45681.30241898148</v>
      </c>
      <c r="H243" s="10" t="n">
        <v>45681.30519675926</v>
      </c>
      <c r="I243" s="10" t="n">
        <v>45681.31990740741</v>
      </c>
      <c r="J243" s="10" t="n">
        <v>45681.31990740741</v>
      </c>
      <c r="K243" s="10" t="n">
        <v>45681.32078703704</v>
      </c>
      <c r="L243" s="10" t="n">
        <v>45681.33050925926</v>
      </c>
      <c r="M243" s="11">
        <f>IF(AND(ISNUMBER(D243),ISNUMBER(E243)),(E243-D243),"")</f>
        <v/>
      </c>
      <c r="N243" s="11">
        <f>IF(AND(ISNUMBER(E243),ISNUMBER(F243)),(F243-E243),"")</f>
        <v/>
      </c>
      <c r="O243" s="11">
        <f>IF(AND(ISNUMBER(G243),ISNUMBER(H243)),(H243-G243),"")</f>
        <v/>
      </c>
      <c r="P243" s="11">
        <f>IF(AND(ISNUMBER(H243),ISNUMBER(I243)),(I243-H243),"")</f>
        <v/>
      </c>
      <c r="Q243" s="11">
        <f>IF(AND(ISNUMBER(J243),ISNUMBER(K243)),(K243-J243),"")</f>
        <v/>
      </c>
      <c r="R243" s="11">
        <f>IF(AND(ISNUMBER(K243),ISNUMBER(L243)),(L243-K243),"")</f>
        <v/>
      </c>
      <c r="S243" s="11">
        <f>IF(AND(ISNUMBER(F243),ISNUMBER(L243)),(L243-F243),"")</f>
        <v/>
      </c>
      <c r="T243" s="11">
        <f>IF(AND(ISNUMBER(D243),ISNUMBER(L243)),(L243-D243),"")</f>
        <v/>
      </c>
    </row>
    <row r="244">
      <c r="A244" s="3" t="inlineStr">
        <is>
          <t>10243</t>
        </is>
      </c>
      <c r="B244" s="9" t="n">
        <v>390.5400000000001</v>
      </c>
      <c r="C244" s="3" t="inlineStr">
        <is>
          <t>727</t>
        </is>
      </c>
      <c r="D244" s="10" t="n">
        <v>45681.30413194445</v>
      </c>
      <c r="E244" s="10" t="n">
        <v>45681.30413194445</v>
      </c>
      <c r="F244" s="10" t="n">
        <v>45681.30619212963</v>
      </c>
      <c r="G244" s="10" t="n">
        <v>45681.30619212963</v>
      </c>
      <c r="H244" s="10" t="n">
        <v>45681.3089699074</v>
      </c>
      <c r="I244" s="10" t="n">
        <v>45681.31193287037</v>
      </c>
      <c r="J244" s="10" t="n">
        <v>45681.31193287037</v>
      </c>
      <c r="K244" s="10" t="n">
        <v>45681.3128125</v>
      </c>
      <c r="L244" s="10" t="n">
        <v>45681.3128125</v>
      </c>
      <c r="M244" s="11">
        <f>IF(AND(ISNUMBER(D244),ISNUMBER(E244)),(E244-D244),"")</f>
        <v/>
      </c>
      <c r="N244" s="11">
        <f>IF(AND(ISNUMBER(E244),ISNUMBER(F244)),(F244-E244),"")</f>
        <v/>
      </c>
      <c r="O244" s="11">
        <f>IF(AND(ISNUMBER(G244),ISNUMBER(H244)),(H244-G244),"")</f>
        <v/>
      </c>
      <c r="P244" s="11">
        <f>IF(AND(ISNUMBER(H244),ISNUMBER(I244)),(I244-H244),"")</f>
        <v/>
      </c>
      <c r="Q244" s="11">
        <f>IF(AND(ISNUMBER(J244),ISNUMBER(K244)),(K244-J244),"")</f>
        <v/>
      </c>
      <c r="R244" s="11">
        <f>IF(AND(ISNUMBER(K244),ISNUMBER(L244)),(L244-K244),"")</f>
        <v/>
      </c>
      <c r="S244" s="11">
        <f>IF(AND(ISNUMBER(F244),ISNUMBER(L244)),(L244-F244),"")</f>
        <v/>
      </c>
      <c r="T244" s="11">
        <f>IF(AND(ISNUMBER(D244),ISNUMBER(L244)),(L244-D244),"")</f>
        <v/>
      </c>
    </row>
    <row r="245">
      <c r="A245" s="3" t="inlineStr">
        <is>
          <t>10244</t>
        </is>
      </c>
      <c r="B245" s="9" t="n">
        <v>147.8</v>
      </c>
      <c r="C245" s="3" t="inlineStr">
        <is>
          <t>703</t>
        </is>
      </c>
      <c r="D245" s="10" t="n">
        <v>45681.36511574074</v>
      </c>
      <c r="E245" s="10" t="n">
        <v>45681.36511574074</v>
      </c>
      <c r="F245" s="10" t="n">
        <v>45681.36704861111</v>
      </c>
      <c r="G245" s="10" t="n">
        <v>45681.36704861111</v>
      </c>
      <c r="H245" s="10" t="n">
        <v>45681.36982638889</v>
      </c>
      <c r="I245" s="10" t="n">
        <v>45681.3720949074</v>
      </c>
      <c r="J245" s="10" t="n">
        <v>45681.3720949074</v>
      </c>
      <c r="K245" s="10" t="n">
        <v>45681.37297453704</v>
      </c>
      <c r="L245" s="10" t="n">
        <v>45681.37631944445</v>
      </c>
      <c r="M245" s="11">
        <f>IF(AND(ISNUMBER(D245),ISNUMBER(E245)),(E245-D245),"")</f>
        <v/>
      </c>
      <c r="N245" s="11">
        <f>IF(AND(ISNUMBER(E245),ISNUMBER(F245)),(F245-E245),"")</f>
        <v/>
      </c>
      <c r="O245" s="11">
        <f>IF(AND(ISNUMBER(G245),ISNUMBER(H245)),(H245-G245),"")</f>
        <v/>
      </c>
      <c r="P245" s="11">
        <f>IF(AND(ISNUMBER(H245),ISNUMBER(I245)),(I245-H245),"")</f>
        <v/>
      </c>
      <c r="Q245" s="11">
        <f>IF(AND(ISNUMBER(J245),ISNUMBER(K245)),(K245-J245),"")</f>
        <v/>
      </c>
      <c r="R245" s="11">
        <f>IF(AND(ISNUMBER(K245),ISNUMBER(L245)),(L245-K245),"")</f>
        <v/>
      </c>
      <c r="S245" s="11">
        <f>IF(AND(ISNUMBER(F245),ISNUMBER(L245)),(L245-F245),"")</f>
        <v/>
      </c>
      <c r="T245" s="11">
        <f>IF(AND(ISNUMBER(D245),ISNUMBER(L245)),(L245-D245),"")</f>
        <v/>
      </c>
    </row>
    <row r="246">
      <c r="A246" s="3" t="inlineStr">
        <is>
          <t>10245</t>
        </is>
      </c>
      <c r="B246" s="9" t="n">
        <v>318.78</v>
      </c>
      <c r="C246" s="3" t="inlineStr">
        <is>
          <t>727</t>
        </is>
      </c>
      <c r="D246" s="10" t="n">
        <v>45681.37537037037</v>
      </c>
      <c r="E246" s="10" t="n">
        <v>45681.37537037037</v>
      </c>
      <c r="F246" s="10" t="n">
        <v>45681.37725694444</v>
      </c>
      <c r="G246" s="10" t="n">
        <v>45681.37725694444</v>
      </c>
      <c r="H246" s="10" t="n">
        <v>45681.38003472222</v>
      </c>
      <c r="I246" s="10" t="n">
        <v>45681.38989583333</v>
      </c>
      <c r="J246" s="10" t="n">
        <v>45681.38989583333</v>
      </c>
      <c r="K246" s="10" t="n">
        <v>45681.39076388889</v>
      </c>
      <c r="L246" s="10" t="n">
        <v>45681.39903935185</v>
      </c>
      <c r="M246" s="11">
        <f>IF(AND(ISNUMBER(D246),ISNUMBER(E246)),(E246-D246),"")</f>
        <v/>
      </c>
      <c r="N246" s="11">
        <f>IF(AND(ISNUMBER(E246),ISNUMBER(F246)),(F246-E246),"")</f>
        <v/>
      </c>
      <c r="O246" s="11">
        <f>IF(AND(ISNUMBER(G246),ISNUMBER(H246)),(H246-G246),"")</f>
        <v/>
      </c>
      <c r="P246" s="11">
        <f>IF(AND(ISNUMBER(H246),ISNUMBER(I246)),(I246-H246),"")</f>
        <v/>
      </c>
      <c r="Q246" s="11">
        <f>IF(AND(ISNUMBER(J246),ISNUMBER(K246)),(K246-J246),"")</f>
        <v/>
      </c>
      <c r="R246" s="11">
        <f>IF(AND(ISNUMBER(K246),ISNUMBER(L246)),(L246-K246),"")</f>
        <v/>
      </c>
      <c r="S246" s="11">
        <f>IF(AND(ISNUMBER(F246),ISNUMBER(L246)),(L246-F246),"")</f>
        <v/>
      </c>
      <c r="T246" s="11">
        <f>IF(AND(ISNUMBER(D246),ISNUMBER(L246)),(L246-D246),"")</f>
        <v/>
      </c>
    </row>
    <row r="247">
      <c r="A247" s="3" t="inlineStr">
        <is>
          <t>10246</t>
        </is>
      </c>
      <c r="B247" s="9" t="n">
        <v>437.48</v>
      </c>
      <c r="C247" s="3" t="inlineStr">
        <is>
          <t>703</t>
        </is>
      </c>
      <c r="D247" s="10" t="n">
        <v>45681.4109375</v>
      </c>
      <c r="E247" s="10" t="n">
        <v>45681.4109375</v>
      </c>
      <c r="F247" s="10" t="n">
        <v>45681.41354166667</v>
      </c>
      <c r="G247" s="10" t="n">
        <v>45681.41354166667</v>
      </c>
      <c r="H247" s="10" t="n">
        <v>45681.41631944444</v>
      </c>
      <c r="I247" s="10" t="n">
        <v>45681.4209375</v>
      </c>
      <c r="J247" s="10" t="n">
        <v>45681.4209375</v>
      </c>
      <c r="K247" s="10" t="n">
        <v>45681.42180555555</v>
      </c>
      <c r="L247" s="10" t="n">
        <v>45681.4230787037</v>
      </c>
      <c r="M247" s="11">
        <f>IF(AND(ISNUMBER(D247),ISNUMBER(E247)),(E247-D247),"")</f>
        <v/>
      </c>
      <c r="N247" s="11">
        <f>IF(AND(ISNUMBER(E247),ISNUMBER(F247)),(F247-E247),"")</f>
        <v/>
      </c>
      <c r="O247" s="11">
        <f>IF(AND(ISNUMBER(G247),ISNUMBER(H247)),(H247-G247),"")</f>
        <v/>
      </c>
      <c r="P247" s="11">
        <f>IF(AND(ISNUMBER(H247),ISNUMBER(I247)),(I247-H247),"")</f>
        <v/>
      </c>
      <c r="Q247" s="11">
        <f>IF(AND(ISNUMBER(J247),ISNUMBER(K247)),(K247-J247),"")</f>
        <v/>
      </c>
      <c r="R247" s="11">
        <f>IF(AND(ISNUMBER(K247),ISNUMBER(L247)),(L247-K247),"")</f>
        <v/>
      </c>
      <c r="S247" s="11">
        <f>IF(AND(ISNUMBER(F247),ISNUMBER(L247)),(L247-F247),"")</f>
        <v/>
      </c>
      <c r="T247" s="11">
        <f>IF(AND(ISNUMBER(D247),ISNUMBER(L247)),(L247-D247),"")</f>
        <v/>
      </c>
    </row>
    <row r="248">
      <c r="A248" s="3" t="inlineStr">
        <is>
          <t>10247</t>
        </is>
      </c>
      <c r="B248" s="9" t="n">
        <v>177.54</v>
      </c>
      <c r="C248" s="3" t="inlineStr">
        <is>
          <t>703</t>
        </is>
      </c>
      <c r="D248" s="10" t="n">
        <v>45681.54230324074</v>
      </c>
      <c r="E248" s="10" t="n">
        <v>45681.54230324074</v>
      </c>
      <c r="F248" s="10" t="n">
        <v>45681.54430555556</v>
      </c>
      <c r="G248" s="10" t="n">
        <v>45681.54430555556</v>
      </c>
      <c r="H248" s="10" t="n">
        <v>45681.54708333333</v>
      </c>
      <c r="I248" s="10" t="n">
        <v>45681.54850694445</v>
      </c>
      <c r="J248" s="10" t="n">
        <v>45681.54850694445</v>
      </c>
      <c r="K248" s="10" t="n">
        <v>45681.54938657407</v>
      </c>
      <c r="L248" s="10" t="n">
        <v>45681.55148148148</v>
      </c>
      <c r="M248" s="11">
        <f>IF(AND(ISNUMBER(D248),ISNUMBER(E248)),(E248-D248),"")</f>
        <v/>
      </c>
      <c r="N248" s="11">
        <f>IF(AND(ISNUMBER(E248),ISNUMBER(F248)),(F248-E248),"")</f>
        <v/>
      </c>
      <c r="O248" s="11">
        <f>IF(AND(ISNUMBER(G248),ISNUMBER(H248)),(H248-G248),"")</f>
        <v/>
      </c>
      <c r="P248" s="11">
        <f>IF(AND(ISNUMBER(H248),ISNUMBER(I248)),(I248-H248),"")</f>
        <v/>
      </c>
      <c r="Q248" s="11">
        <f>IF(AND(ISNUMBER(J248),ISNUMBER(K248)),(K248-J248),"")</f>
        <v/>
      </c>
      <c r="R248" s="11">
        <f>IF(AND(ISNUMBER(K248),ISNUMBER(L248)),(L248-K248),"")</f>
        <v/>
      </c>
      <c r="S248" s="11">
        <f>IF(AND(ISNUMBER(F248),ISNUMBER(L248)),(L248-F248),"")</f>
        <v/>
      </c>
      <c r="T248" s="11">
        <f>IF(AND(ISNUMBER(D248),ISNUMBER(L248)),(L248-D248),"")</f>
        <v/>
      </c>
    </row>
    <row r="249">
      <c r="A249" s="3" t="inlineStr">
        <is>
          <t>10248</t>
        </is>
      </c>
      <c r="B249" s="9" t="n">
        <v>296.1</v>
      </c>
      <c r="C249" s="3" t="inlineStr">
        <is>
          <t>703</t>
        </is>
      </c>
      <c r="D249" s="10" t="n">
        <v>45681.60270833333</v>
      </c>
      <c r="E249" s="10" t="n">
        <v>45681.60270833333</v>
      </c>
      <c r="F249" s="10" t="n">
        <v>45681.60498842593</v>
      </c>
      <c r="G249" s="10" t="n">
        <v>45681.60498842593</v>
      </c>
      <c r="H249" s="10" t="n">
        <v>45681.60776620371</v>
      </c>
      <c r="I249" s="10" t="n">
        <v>45681.61016203704</v>
      </c>
      <c r="J249" s="10" t="n">
        <v>45681.61016203704</v>
      </c>
      <c r="K249" s="10" t="n">
        <v>45681.61103009259</v>
      </c>
      <c r="L249" s="10" t="n">
        <v>45681.61363425926</v>
      </c>
      <c r="M249" s="11">
        <f>IF(AND(ISNUMBER(D249),ISNUMBER(E249)),(E249-D249),"")</f>
        <v/>
      </c>
      <c r="N249" s="11">
        <f>IF(AND(ISNUMBER(E249),ISNUMBER(F249)),(F249-E249),"")</f>
        <v/>
      </c>
      <c r="O249" s="11">
        <f>IF(AND(ISNUMBER(G249),ISNUMBER(H249)),(H249-G249),"")</f>
        <v/>
      </c>
      <c r="P249" s="11">
        <f>IF(AND(ISNUMBER(H249),ISNUMBER(I249)),(I249-H249),"")</f>
        <v/>
      </c>
      <c r="Q249" s="11">
        <f>IF(AND(ISNUMBER(J249),ISNUMBER(K249)),(K249-J249),"")</f>
        <v/>
      </c>
      <c r="R249" s="11">
        <f>IF(AND(ISNUMBER(K249),ISNUMBER(L249)),(L249-K249),"")</f>
        <v/>
      </c>
      <c r="S249" s="11">
        <f>IF(AND(ISNUMBER(F249),ISNUMBER(L249)),(L249-F249),"")</f>
        <v/>
      </c>
      <c r="T249" s="11">
        <f>IF(AND(ISNUMBER(D249),ISNUMBER(L249)),(L249-D249),"")</f>
        <v/>
      </c>
    </row>
    <row r="250">
      <c r="A250" s="3" t="inlineStr">
        <is>
          <t>10249</t>
        </is>
      </c>
      <c r="B250" s="9" t="n">
        <v>313.04</v>
      </c>
      <c r="C250" s="3" t="inlineStr">
        <is>
          <t>703</t>
        </is>
      </c>
      <c r="D250" s="10" t="n">
        <v>45681.61980324074</v>
      </c>
      <c r="E250" s="10" t="n">
        <v>45681.61980324074</v>
      </c>
      <c r="F250" s="10" t="n">
        <v>45681.62211805556</v>
      </c>
      <c r="G250" s="10" t="n">
        <v>45681.62211805556</v>
      </c>
      <c r="H250" s="10" t="n">
        <v>45681.62489583333</v>
      </c>
      <c r="I250" s="10" t="n">
        <v>45681.63574074074</v>
      </c>
      <c r="J250" s="10" t="n">
        <v>45681.63574074074</v>
      </c>
      <c r="K250" s="10" t="n">
        <v>45681.63652777778</v>
      </c>
      <c r="L250" s="10" t="n">
        <v>45681.64881944445</v>
      </c>
      <c r="M250" s="11">
        <f>IF(AND(ISNUMBER(D250),ISNUMBER(E250)),(E250-D250),"")</f>
        <v/>
      </c>
      <c r="N250" s="11">
        <f>IF(AND(ISNUMBER(E250),ISNUMBER(F250)),(F250-E250),"")</f>
        <v/>
      </c>
      <c r="O250" s="11">
        <f>IF(AND(ISNUMBER(G250),ISNUMBER(H250)),(H250-G250),"")</f>
        <v/>
      </c>
      <c r="P250" s="11">
        <f>IF(AND(ISNUMBER(H250),ISNUMBER(I250)),(I250-H250),"")</f>
        <v/>
      </c>
      <c r="Q250" s="11">
        <f>IF(AND(ISNUMBER(J250),ISNUMBER(K250)),(K250-J250),"")</f>
        <v/>
      </c>
      <c r="R250" s="11">
        <f>IF(AND(ISNUMBER(K250),ISNUMBER(L250)),(L250-K250),"")</f>
        <v/>
      </c>
      <c r="S250" s="11">
        <f>IF(AND(ISNUMBER(F250),ISNUMBER(L250)),(L250-F250),"")</f>
        <v/>
      </c>
      <c r="T250" s="11">
        <f>IF(AND(ISNUMBER(D250),ISNUMBER(L250)),(L250-D250),"")</f>
        <v/>
      </c>
    </row>
    <row r="251">
      <c r="A251" s="3" t="inlineStr">
        <is>
          <t>10250</t>
        </is>
      </c>
      <c r="B251" s="9" t="n">
        <v>15.74</v>
      </c>
      <c r="C251" s="3" t="inlineStr">
        <is>
          <t>731</t>
        </is>
      </c>
      <c r="D251" s="10" t="n">
        <v>45681.63271990741</v>
      </c>
      <c r="E251" s="10" t="n">
        <v>45681.63271990741</v>
      </c>
      <c r="F251" s="10" t="n">
        <v>45681.63396990741</v>
      </c>
      <c r="G251" s="10" t="n">
        <v>45681.63396990741</v>
      </c>
      <c r="H251" s="10" t="n">
        <v>45681.63674768519</v>
      </c>
      <c r="I251" s="10" t="n">
        <v>45681.636875</v>
      </c>
      <c r="J251" s="10" t="n">
        <v>45681.636875</v>
      </c>
      <c r="K251" s="10" t="n">
        <v>45681.64969907407</v>
      </c>
      <c r="L251" s="10" t="n">
        <v>45681.64969907407</v>
      </c>
      <c r="M251" s="11">
        <f>IF(AND(ISNUMBER(D251),ISNUMBER(E251)),(E251-D251),"")</f>
        <v/>
      </c>
      <c r="N251" s="11">
        <f>IF(AND(ISNUMBER(E251),ISNUMBER(F251)),(F251-E251),"")</f>
        <v/>
      </c>
      <c r="O251" s="11">
        <f>IF(AND(ISNUMBER(G251),ISNUMBER(H251)),(H251-G251),"")</f>
        <v/>
      </c>
      <c r="P251" s="11">
        <f>IF(AND(ISNUMBER(H251),ISNUMBER(I251)),(I251-H251),"")</f>
        <v/>
      </c>
      <c r="Q251" s="11">
        <f>IF(AND(ISNUMBER(J251),ISNUMBER(K251)),(K251-J251),"")</f>
        <v/>
      </c>
      <c r="R251" s="11">
        <f>IF(AND(ISNUMBER(K251),ISNUMBER(L251)),(L251-K251),"")</f>
        <v/>
      </c>
      <c r="S251" s="11">
        <f>IF(AND(ISNUMBER(F251),ISNUMBER(L251)),(L251-F251),"")</f>
        <v/>
      </c>
      <c r="T251" s="11">
        <f>IF(AND(ISNUMBER(D251),ISNUMBER(L251)),(L251-D251),"")</f>
        <v/>
      </c>
    </row>
    <row r="252">
      <c r="A252" s="3" t="inlineStr">
        <is>
          <t>10251</t>
        </is>
      </c>
      <c r="B252" s="9" t="n">
        <v>232.4</v>
      </c>
      <c r="C252" s="3" t="inlineStr">
        <is>
          <t>703</t>
        </is>
      </c>
      <c r="D252" s="10" t="n">
        <v>45681.72847222222</v>
      </c>
      <c r="E252" s="10" t="n">
        <v>45681.72847222222</v>
      </c>
      <c r="F252" s="10" t="n">
        <v>45681.73060185185</v>
      </c>
      <c r="G252" s="10" t="n">
        <v>45681.73060185185</v>
      </c>
      <c r="H252" s="10" t="n">
        <v>45681.73337962963</v>
      </c>
      <c r="I252" s="10" t="n">
        <v>45681.7352662037</v>
      </c>
      <c r="J252" s="10" t="n">
        <v>45681.7352662037</v>
      </c>
      <c r="K252" s="10" t="n">
        <v>45681.7378125</v>
      </c>
      <c r="L252" s="10" t="n">
        <v>45681.74026620371</v>
      </c>
      <c r="M252" s="11">
        <f>IF(AND(ISNUMBER(D252),ISNUMBER(E252)),(E252-D252),"")</f>
        <v/>
      </c>
      <c r="N252" s="11">
        <f>IF(AND(ISNUMBER(E252),ISNUMBER(F252)),(F252-E252),"")</f>
        <v/>
      </c>
      <c r="O252" s="11">
        <f>IF(AND(ISNUMBER(G252),ISNUMBER(H252)),(H252-G252),"")</f>
        <v/>
      </c>
      <c r="P252" s="11">
        <f>IF(AND(ISNUMBER(H252),ISNUMBER(I252)),(I252-H252),"")</f>
        <v/>
      </c>
      <c r="Q252" s="11">
        <f>IF(AND(ISNUMBER(J252),ISNUMBER(K252)),(K252-J252),"")</f>
        <v/>
      </c>
      <c r="R252" s="11">
        <f>IF(AND(ISNUMBER(K252),ISNUMBER(L252)),(L252-K252),"")</f>
        <v/>
      </c>
      <c r="S252" s="11">
        <f>IF(AND(ISNUMBER(F252),ISNUMBER(L252)),(L252-F252),"")</f>
        <v/>
      </c>
      <c r="T252" s="11">
        <f>IF(AND(ISNUMBER(D252),ISNUMBER(L252)),(L252-D252),"")</f>
        <v/>
      </c>
    </row>
    <row r="253">
      <c r="A253" s="3" t="inlineStr">
        <is>
          <t>10252</t>
        </is>
      </c>
      <c r="B253" s="9" t="n">
        <v>134.7</v>
      </c>
      <c r="C253" s="3" t="inlineStr">
        <is>
          <t>727</t>
        </is>
      </c>
      <c r="D253" s="10" t="n">
        <v>45681.72916666666</v>
      </c>
      <c r="E253" s="10" t="n">
        <v>45681.72916666666</v>
      </c>
      <c r="F253" s="10" t="n">
        <v>45681.73063657407</v>
      </c>
      <c r="G253" s="10" t="n">
        <v>45681.73063657407</v>
      </c>
      <c r="H253" s="10" t="n">
        <v>45681.73341435185</v>
      </c>
      <c r="I253" s="10" t="n">
        <v>45681.73443287037</v>
      </c>
      <c r="J253" s="10" t="n">
        <v>45681.73443287037</v>
      </c>
      <c r="K253" s="10" t="n">
        <v>45681.73530092592</v>
      </c>
      <c r="L253" s="10" t="n">
        <v>45681.73693287037</v>
      </c>
      <c r="M253" s="11">
        <f>IF(AND(ISNUMBER(D253),ISNUMBER(E253)),(E253-D253),"")</f>
        <v/>
      </c>
      <c r="N253" s="11">
        <f>IF(AND(ISNUMBER(E253),ISNUMBER(F253)),(F253-E253),"")</f>
        <v/>
      </c>
      <c r="O253" s="11">
        <f>IF(AND(ISNUMBER(G253),ISNUMBER(H253)),(H253-G253),"")</f>
        <v/>
      </c>
      <c r="P253" s="11">
        <f>IF(AND(ISNUMBER(H253),ISNUMBER(I253)),(I253-H253),"")</f>
        <v/>
      </c>
      <c r="Q253" s="11">
        <f>IF(AND(ISNUMBER(J253),ISNUMBER(K253)),(K253-J253),"")</f>
        <v/>
      </c>
      <c r="R253" s="11">
        <f>IF(AND(ISNUMBER(K253),ISNUMBER(L253)),(L253-K253),"")</f>
        <v/>
      </c>
      <c r="S253" s="11">
        <f>IF(AND(ISNUMBER(F253),ISNUMBER(L253)),(L253-F253),"")</f>
        <v/>
      </c>
      <c r="T253" s="11">
        <f>IF(AND(ISNUMBER(D253),ISNUMBER(L253)),(L253-D253),"")</f>
        <v/>
      </c>
    </row>
    <row r="254">
      <c r="A254" s="3" t="inlineStr">
        <is>
          <t>10253</t>
        </is>
      </c>
      <c r="B254" s="9" t="n">
        <v>582.48</v>
      </c>
      <c r="C254" s="3" t="inlineStr">
        <is>
          <t>727</t>
        </is>
      </c>
      <c r="D254" s="10" t="n">
        <v>45682.06975694445</v>
      </c>
      <c r="E254" s="10" t="n">
        <v>45682.06975694445</v>
      </c>
      <c r="F254" s="10" t="n">
        <v>45682.07225694445</v>
      </c>
      <c r="G254" s="10" t="n">
        <v>45682.07225694445</v>
      </c>
      <c r="H254" s="10" t="n">
        <v>45682.07503472222</v>
      </c>
      <c r="I254" s="10" t="n">
        <v>45682.08190972222</v>
      </c>
      <c r="J254" s="10" t="n">
        <v>45682.08190972222</v>
      </c>
      <c r="K254" s="10" t="n">
        <v>45682.08277777778</v>
      </c>
      <c r="L254" s="10" t="n">
        <v>45682.08873842593</v>
      </c>
      <c r="M254" s="11">
        <f>IF(AND(ISNUMBER(D254),ISNUMBER(E254)),(E254-D254),"")</f>
        <v/>
      </c>
      <c r="N254" s="11">
        <f>IF(AND(ISNUMBER(E254),ISNUMBER(F254)),(F254-E254),"")</f>
        <v/>
      </c>
      <c r="O254" s="11">
        <f>IF(AND(ISNUMBER(G254),ISNUMBER(H254)),(H254-G254),"")</f>
        <v/>
      </c>
      <c r="P254" s="11">
        <f>IF(AND(ISNUMBER(H254),ISNUMBER(I254)),(I254-H254),"")</f>
        <v/>
      </c>
      <c r="Q254" s="11">
        <f>IF(AND(ISNUMBER(J254),ISNUMBER(K254)),(K254-J254),"")</f>
        <v/>
      </c>
      <c r="R254" s="11">
        <f>IF(AND(ISNUMBER(K254),ISNUMBER(L254)),(L254-K254),"")</f>
        <v/>
      </c>
      <c r="S254" s="11">
        <f>IF(AND(ISNUMBER(F254),ISNUMBER(L254)),(L254-F254),"")</f>
        <v/>
      </c>
      <c r="T254" s="11">
        <f>IF(AND(ISNUMBER(D254),ISNUMBER(L254)),(L254-D254),"")</f>
        <v/>
      </c>
    </row>
    <row r="255">
      <c r="A255" s="3" t="inlineStr">
        <is>
          <t>10254</t>
        </is>
      </c>
      <c r="B255" s="9" t="n">
        <v>560.0200000000001</v>
      </c>
      <c r="C255" s="3" t="inlineStr">
        <is>
          <t>727</t>
        </is>
      </c>
      <c r="D255" s="10" t="n">
        <v>45683.7403587963</v>
      </c>
      <c r="E255" s="10" t="n">
        <v>45683.7403587963</v>
      </c>
      <c r="F255" s="10" t="n">
        <v>45683.7428125</v>
      </c>
      <c r="G255" s="10" t="n">
        <v>45683.7428125</v>
      </c>
      <c r="H255" s="10" t="n">
        <v>45683.74559027778</v>
      </c>
      <c r="I255" s="10" t="n">
        <v>45683.75217592593</v>
      </c>
      <c r="J255" s="10" t="n">
        <v>45683.75217592593</v>
      </c>
      <c r="K255" s="10" t="n">
        <v>45683.75304398148</v>
      </c>
      <c r="L255" s="10" t="n">
        <v>45683.75886574074</v>
      </c>
      <c r="M255" s="11">
        <f>IF(AND(ISNUMBER(D255),ISNUMBER(E255)),(E255-D255),"")</f>
        <v/>
      </c>
      <c r="N255" s="11">
        <f>IF(AND(ISNUMBER(E255),ISNUMBER(F255)),(F255-E255),"")</f>
        <v/>
      </c>
      <c r="O255" s="11">
        <f>IF(AND(ISNUMBER(G255),ISNUMBER(H255)),(H255-G255),"")</f>
        <v/>
      </c>
      <c r="P255" s="11">
        <f>IF(AND(ISNUMBER(H255),ISNUMBER(I255)),(I255-H255),"")</f>
        <v/>
      </c>
      <c r="Q255" s="11">
        <f>IF(AND(ISNUMBER(J255),ISNUMBER(K255)),(K255-J255),"")</f>
        <v/>
      </c>
      <c r="R255" s="11">
        <f>IF(AND(ISNUMBER(K255),ISNUMBER(L255)),(L255-K255),"")</f>
        <v/>
      </c>
      <c r="S255" s="11">
        <f>IF(AND(ISNUMBER(F255),ISNUMBER(L255)),(L255-F255),"")</f>
        <v/>
      </c>
      <c r="T255" s="11">
        <f>IF(AND(ISNUMBER(D255),ISNUMBER(L255)),(L255-D255),"")</f>
        <v/>
      </c>
    </row>
    <row r="256">
      <c r="A256" s="3" t="inlineStr">
        <is>
          <t>10255</t>
        </is>
      </c>
      <c r="B256" s="9" t="n">
        <v>258.96</v>
      </c>
      <c r="C256" s="3" t="inlineStr">
        <is>
          <t>703</t>
        </is>
      </c>
      <c r="D256" s="10" t="n">
        <v>45684.10805555555</v>
      </c>
      <c r="E256" s="10" t="n">
        <v>45684.10805555555</v>
      </c>
      <c r="F256" s="10" t="n">
        <v>45684.11024305555</v>
      </c>
      <c r="G256" s="10" t="n">
        <v>45684.11024305555</v>
      </c>
      <c r="H256" s="10" t="n">
        <v>45684.11302083333</v>
      </c>
      <c r="I256" s="10" t="n">
        <v>45684.11835648148</v>
      </c>
      <c r="J256" s="10" t="n">
        <v>45684.11835648148</v>
      </c>
      <c r="K256" s="10" t="n">
        <v>45684.11922453704</v>
      </c>
      <c r="L256" s="10" t="n">
        <v>45684.12677083333</v>
      </c>
      <c r="M256" s="11">
        <f>IF(AND(ISNUMBER(D256),ISNUMBER(E256)),(E256-D256),"")</f>
        <v/>
      </c>
      <c r="N256" s="11">
        <f>IF(AND(ISNUMBER(E256),ISNUMBER(F256)),(F256-E256),"")</f>
        <v/>
      </c>
      <c r="O256" s="11">
        <f>IF(AND(ISNUMBER(G256),ISNUMBER(H256)),(H256-G256),"")</f>
        <v/>
      </c>
      <c r="P256" s="11">
        <f>IF(AND(ISNUMBER(H256),ISNUMBER(I256)),(I256-H256),"")</f>
        <v/>
      </c>
      <c r="Q256" s="11">
        <f>IF(AND(ISNUMBER(J256),ISNUMBER(K256)),(K256-J256),"")</f>
        <v/>
      </c>
      <c r="R256" s="11">
        <f>IF(AND(ISNUMBER(K256),ISNUMBER(L256)),(L256-K256),"")</f>
        <v/>
      </c>
      <c r="S256" s="11">
        <f>IF(AND(ISNUMBER(F256),ISNUMBER(L256)),(L256-F256),"")</f>
        <v/>
      </c>
      <c r="T256" s="11">
        <f>IF(AND(ISNUMBER(D256),ISNUMBER(L256)),(L256-D256),"")</f>
        <v/>
      </c>
    </row>
    <row r="257">
      <c r="A257" s="3" t="inlineStr">
        <is>
          <t>10256</t>
        </is>
      </c>
      <c r="B257" s="9" t="n">
        <v>298.2</v>
      </c>
      <c r="C257" s="3" t="inlineStr">
        <is>
          <t>703</t>
        </is>
      </c>
      <c r="D257" s="10" t="n">
        <v>45684.18857638889</v>
      </c>
      <c r="E257" s="10" t="n">
        <v>45684.18857638889</v>
      </c>
      <c r="F257" s="10" t="n">
        <v>45684.19085648148</v>
      </c>
      <c r="G257" s="10" t="n">
        <v>45684.19085648148</v>
      </c>
      <c r="H257" s="10" t="n">
        <v>45684.19363425926</v>
      </c>
      <c r="I257" s="10" t="n">
        <v>45684.19603009259</v>
      </c>
      <c r="J257" s="10" t="n">
        <v>45684.19603009259</v>
      </c>
      <c r="K257" s="10" t="n">
        <v>45684.19689814815</v>
      </c>
      <c r="L257" s="10" t="n">
        <v>45684.19871527778</v>
      </c>
      <c r="M257" s="11">
        <f>IF(AND(ISNUMBER(D257),ISNUMBER(E257)),(E257-D257),"")</f>
        <v/>
      </c>
      <c r="N257" s="11">
        <f>IF(AND(ISNUMBER(E257),ISNUMBER(F257)),(F257-E257),"")</f>
        <v/>
      </c>
      <c r="O257" s="11">
        <f>IF(AND(ISNUMBER(G257),ISNUMBER(H257)),(H257-G257),"")</f>
        <v/>
      </c>
      <c r="P257" s="11">
        <f>IF(AND(ISNUMBER(H257),ISNUMBER(I257)),(I257-H257),"")</f>
        <v/>
      </c>
      <c r="Q257" s="11">
        <f>IF(AND(ISNUMBER(J257),ISNUMBER(K257)),(K257-J257),"")</f>
        <v/>
      </c>
      <c r="R257" s="11">
        <f>IF(AND(ISNUMBER(K257),ISNUMBER(L257)),(L257-K257),"")</f>
        <v/>
      </c>
      <c r="S257" s="11">
        <f>IF(AND(ISNUMBER(F257),ISNUMBER(L257)),(L257-F257),"")</f>
        <v/>
      </c>
      <c r="T257" s="11">
        <f>IF(AND(ISNUMBER(D257),ISNUMBER(L257)),(L257-D257),"")</f>
        <v/>
      </c>
    </row>
    <row r="258">
      <c r="A258" s="3" t="inlineStr">
        <is>
          <t>10257</t>
        </is>
      </c>
      <c r="B258" s="9" t="n">
        <v>284.8</v>
      </c>
      <c r="C258" s="3" t="inlineStr">
        <is>
          <t>703</t>
        </is>
      </c>
      <c r="D258" s="10" t="n">
        <v>45684.27391203704</v>
      </c>
      <c r="E258" s="10" t="n">
        <v>45684.27391203704</v>
      </c>
      <c r="F258" s="10" t="n">
        <v>45684.27615740741</v>
      </c>
      <c r="G258" s="10" t="n">
        <v>45684.27615740741</v>
      </c>
      <c r="H258" s="10" t="n">
        <v>45684.27893518518</v>
      </c>
      <c r="I258" s="10" t="n">
        <v>45684.28125</v>
      </c>
      <c r="J258" s="10" t="n">
        <v>45684.28125</v>
      </c>
      <c r="K258" s="10" t="n">
        <v>45684.28211805555</v>
      </c>
      <c r="L258" s="10" t="n">
        <v>45684.28449074074</v>
      </c>
      <c r="M258" s="11">
        <f>IF(AND(ISNUMBER(D258),ISNUMBER(E258)),(E258-D258),"")</f>
        <v/>
      </c>
      <c r="N258" s="11">
        <f>IF(AND(ISNUMBER(E258),ISNUMBER(F258)),(F258-E258),"")</f>
        <v/>
      </c>
      <c r="O258" s="11">
        <f>IF(AND(ISNUMBER(G258),ISNUMBER(H258)),(H258-G258),"")</f>
        <v/>
      </c>
      <c r="P258" s="11">
        <f>IF(AND(ISNUMBER(H258),ISNUMBER(I258)),(I258-H258),"")</f>
        <v/>
      </c>
      <c r="Q258" s="11">
        <f>IF(AND(ISNUMBER(J258),ISNUMBER(K258)),(K258-J258),"")</f>
        <v/>
      </c>
      <c r="R258" s="11">
        <f>IF(AND(ISNUMBER(K258),ISNUMBER(L258)),(L258-K258),"")</f>
        <v/>
      </c>
      <c r="S258" s="11">
        <f>IF(AND(ISNUMBER(F258),ISNUMBER(L258)),(L258-F258),"")</f>
        <v/>
      </c>
      <c r="T258" s="11">
        <f>IF(AND(ISNUMBER(D258),ISNUMBER(L258)),(L258-D258),"")</f>
        <v/>
      </c>
    </row>
    <row r="259">
      <c r="A259" s="3" t="inlineStr">
        <is>
          <t>10258</t>
        </is>
      </c>
      <c r="B259" s="9" t="n">
        <v>589.1999999999999</v>
      </c>
      <c r="C259" s="3" t="inlineStr">
        <is>
          <t>727</t>
        </is>
      </c>
      <c r="D259" s="10" t="n">
        <v>45684.29644675926</v>
      </c>
      <c r="E259" s="10" t="n">
        <v>45684.29644675926</v>
      </c>
      <c r="F259" s="10" t="n">
        <v>45684.29895833333</v>
      </c>
      <c r="G259" s="10" t="n">
        <v>45684.29895833333</v>
      </c>
      <c r="H259" s="10" t="n">
        <v>45684.30173611111</v>
      </c>
      <c r="I259" s="10" t="n">
        <v>45684.31375</v>
      </c>
      <c r="J259" s="10" t="n">
        <v>45684.31375</v>
      </c>
      <c r="K259" s="10" t="n">
        <v>45684.31454861111</v>
      </c>
      <c r="L259" s="10" t="n">
        <v>45684.32141203704</v>
      </c>
      <c r="M259" s="11">
        <f>IF(AND(ISNUMBER(D259),ISNUMBER(E259)),(E259-D259),"")</f>
        <v/>
      </c>
      <c r="N259" s="11">
        <f>IF(AND(ISNUMBER(E259),ISNUMBER(F259)),(F259-E259),"")</f>
        <v/>
      </c>
      <c r="O259" s="11">
        <f>IF(AND(ISNUMBER(G259),ISNUMBER(H259)),(H259-G259),"")</f>
        <v/>
      </c>
      <c r="P259" s="11">
        <f>IF(AND(ISNUMBER(H259),ISNUMBER(I259)),(I259-H259),"")</f>
        <v/>
      </c>
      <c r="Q259" s="11">
        <f>IF(AND(ISNUMBER(J259),ISNUMBER(K259)),(K259-J259),"")</f>
        <v/>
      </c>
      <c r="R259" s="11">
        <f>IF(AND(ISNUMBER(K259),ISNUMBER(L259)),(L259-K259),"")</f>
        <v/>
      </c>
      <c r="S259" s="11">
        <f>IF(AND(ISNUMBER(F259),ISNUMBER(L259)),(L259-F259),"")</f>
        <v/>
      </c>
      <c r="T259" s="11">
        <f>IF(AND(ISNUMBER(D259),ISNUMBER(L259)),(L259-D259),"")</f>
        <v/>
      </c>
    </row>
    <row r="260">
      <c r="A260" s="3" t="inlineStr">
        <is>
          <t>10259</t>
        </is>
      </c>
      <c r="B260" s="9" t="n">
        <v>253.64</v>
      </c>
      <c r="C260" s="3" t="inlineStr">
        <is>
          <t>703</t>
        </is>
      </c>
      <c r="D260" s="10" t="n">
        <v>45684.31041666667</v>
      </c>
      <c r="E260" s="10" t="n">
        <v>45684.31041666667</v>
      </c>
      <c r="F260" s="10" t="n">
        <v>45684.31259259259</v>
      </c>
      <c r="G260" s="10" t="n">
        <v>45684.31259259259</v>
      </c>
      <c r="H260" s="10" t="n">
        <v>45684.31537037037</v>
      </c>
      <c r="I260" s="10" t="n">
        <v>45684.31743055556</v>
      </c>
      <c r="J260" s="10" t="n">
        <v>45684.31743055556</v>
      </c>
      <c r="K260" s="10" t="n">
        <v>45684.32229166666</v>
      </c>
      <c r="L260" s="10" t="n">
        <v>45684.32229166666</v>
      </c>
      <c r="M260" s="11">
        <f>IF(AND(ISNUMBER(D260),ISNUMBER(E260)),(E260-D260),"")</f>
        <v/>
      </c>
      <c r="N260" s="11">
        <f>IF(AND(ISNUMBER(E260),ISNUMBER(F260)),(F260-E260),"")</f>
        <v/>
      </c>
      <c r="O260" s="11">
        <f>IF(AND(ISNUMBER(G260),ISNUMBER(H260)),(H260-G260),"")</f>
        <v/>
      </c>
      <c r="P260" s="11">
        <f>IF(AND(ISNUMBER(H260),ISNUMBER(I260)),(I260-H260),"")</f>
        <v/>
      </c>
      <c r="Q260" s="11">
        <f>IF(AND(ISNUMBER(J260),ISNUMBER(K260)),(K260-J260),"")</f>
        <v/>
      </c>
      <c r="R260" s="11">
        <f>IF(AND(ISNUMBER(K260),ISNUMBER(L260)),(L260-K260),"")</f>
        <v/>
      </c>
      <c r="S260" s="11">
        <f>IF(AND(ISNUMBER(F260),ISNUMBER(L260)),(L260-F260),"")</f>
        <v/>
      </c>
      <c r="T260" s="11">
        <f>IF(AND(ISNUMBER(D260),ISNUMBER(L260)),(L260-D260),"")</f>
        <v/>
      </c>
    </row>
    <row r="261">
      <c r="A261" s="3" t="inlineStr">
        <is>
          <t>10260</t>
        </is>
      </c>
      <c r="B261" s="9" t="n">
        <v>389.0600000000001</v>
      </c>
      <c r="C261" s="3" t="inlineStr">
        <is>
          <t>703</t>
        </is>
      </c>
      <c r="D261" s="10" t="n">
        <v>45684.32866898148</v>
      </c>
      <c r="E261" s="10" t="n">
        <v>45684.32866898148</v>
      </c>
      <c r="F261" s="10" t="n">
        <v>45684.33115740741</v>
      </c>
      <c r="G261" s="10" t="n">
        <v>45684.33115740741</v>
      </c>
      <c r="H261" s="10" t="n">
        <v>45684.33393518518</v>
      </c>
      <c r="I261" s="10" t="n">
        <v>45684.33708333333</v>
      </c>
      <c r="J261" s="10" t="n">
        <v>45684.33708333333</v>
      </c>
      <c r="K261" s="10" t="n">
        <v>45684.33795138889</v>
      </c>
      <c r="L261" s="10" t="n">
        <v>45684.33795138889</v>
      </c>
      <c r="M261" s="11">
        <f>IF(AND(ISNUMBER(D261),ISNUMBER(E261)),(E261-D261),"")</f>
        <v/>
      </c>
      <c r="N261" s="11">
        <f>IF(AND(ISNUMBER(E261),ISNUMBER(F261)),(F261-E261),"")</f>
        <v/>
      </c>
      <c r="O261" s="11">
        <f>IF(AND(ISNUMBER(G261),ISNUMBER(H261)),(H261-G261),"")</f>
        <v/>
      </c>
      <c r="P261" s="11">
        <f>IF(AND(ISNUMBER(H261),ISNUMBER(I261)),(I261-H261),"")</f>
        <v/>
      </c>
      <c r="Q261" s="11">
        <f>IF(AND(ISNUMBER(J261),ISNUMBER(K261)),(K261-J261),"")</f>
        <v/>
      </c>
      <c r="R261" s="11">
        <f>IF(AND(ISNUMBER(K261),ISNUMBER(L261)),(L261-K261),"")</f>
        <v/>
      </c>
      <c r="S261" s="11">
        <f>IF(AND(ISNUMBER(F261),ISNUMBER(L261)),(L261-F261),"")</f>
        <v/>
      </c>
      <c r="T261" s="11">
        <f>IF(AND(ISNUMBER(D261),ISNUMBER(L261)),(L261-D261),"")</f>
        <v/>
      </c>
    </row>
    <row r="262">
      <c r="A262" s="3" t="inlineStr">
        <is>
          <t>10261</t>
        </is>
      </c>
      <c r="B262" s="9" t="n">
        <v>586.66</v>
      </c>
      <c r="C262" s="3" t="inlineStr">
        <is>
          <t>727</t>
        </is>
      </c>
      <c r="D262" s="10" t="n">
        <v>45684.35304398148</v>
      </c>
      <c r="E262" s="10" t="n">
        <v>45684.35304398148</v>
      </c>
      <c r="F262" s="10" t="n">
        <v>45684.35555555556</v>
      </c>
      <c r="G262" s="10" t="n">
        <v>45684.35555555556</v>
      </c>
      <c r="H262" s="10" t="n">
        <v>45684.35833333333</v>
      </c>
      <c r="I262" s="10" t="n">
        <v>45684.37493055555</v>
      </c>
      <c r="J262" s="10" t="n">
        <v>45684.37493055555</v>
      </c>
      <c r="K262" s="10" t="n">
        <v>45684.37579861111</v>
      </c>
      <c r="L262" s="10" t="n">
        <v>45684.39085648148</v>
      </c>
      <c r="M262" s="11">
        <f>IF(AND(ISNUMBER(D262),ISNUMBER(E262)),(E262-D262),"")</f>
        <v/>
      </c>
      <c r="N262" s="11">
        <f>IF(AND(ISNUMBER(E262),ISNUMBER(F262)),(F262-E262),"")</f>
        <v/>
      </c>
      <c r="O262" s="11">
        <f>IF(AND(ISNUMBER(G262),ISNUMBER(H262)),(H262-G262),"")</f>
        <v/>
      </c>
      <c r="P262" s="11">
        <f>IF(AND(ISNUMBER(H262),ISNUMBER(I262)),(I262-H262),"")</f>
        <v/>
      </c>
      <c r="Q262" s="11">
        <f>IF(AND(ISNUMBER(J262),ISNUMBER(K262)),(K262-J262),"")</f>
        <v/>
      </c>
      <c r="R262" s="11">
        <f>IF(AND(ISNUMBER(K262),ISNUMBER(L262)),(L262-K262),"")</f>
        <v/>
      </c>
      <c r="S262" s="11">
        <f>IF(AND(ISNUMBER(F262),ISNUMBER(L262)),(L262-F262),"")</f>
        <v/>
      </c>
      <c r="T262" s="11">
        <f>IF(AND(ISNUMBER(D262),ISNUMBER(L262)),(L262-D262),"")</f>
        <v/>
      </c>
    </row>
    <row r="263">
      <c r="A263" s="3" t="inlineStr">
        <is>
          <t>10262</t>
        </is>
      </c>
      <c r="B263" s="9" t="n">
        <v>390.5</v>
      </c>
      <c r="C263" s="3" t="inlineStr">
        <is>
          <t>703</t>
        </is>
      </c>
      <c r="D263" s="10" t="n">
        <v>45684.35335648148</v>
      </c>
      <c r="E263" s="10" t="n">
        <v>45684.35335648148</v>
      </c>
      <c r="F263" s="10" t="n">
        <v>45684.35585648148</v>
      </c>
      <c r="G263" s="10" t="n">
        <v>45684.35585648148</v>
      </c>
      <c r="H263" s="10" t="n">
        <v>45684.35863425926</v>
      </c>
      <c r="I263" s="10" t="n">
        <v>45684.36260416666</v>
      </c>
      <c r="J263" s="10" t="n">
        <v>45684.36260416666</v>
      </c>
      <c r="K263" s="10" t="n">
        <v>45684.36347222222</v>
      </c>
      <c r="L263" s="10" t="n">
        <v>45684.36347222222</v>
      </c>
      <c r="M263" s="11">
        <f>IF(AND(ISNUMBER(D263),ISNUMBER(E263)),(E263-D263),"")</f>
        <v/>
      </c>
      <c r="N263" s="11">
        <f>IF(AND(ISNUMBER(E263),ISNUMBER(F263)),(F263-E263),"")</f>
        <v/>
      </c>
      <c r="O263" s="11">
        <f>IF(AND(ISNUMBER(G263),ISNUMBER(H263)),(H263-G263),"")</f>
        <v/>
      </c>
      <c r="P263" s="11">
        <f>IF(AND(ISNUMBER(H263),ISNUMBER(I263)),(I263-H263),"")</f>
        <v/>
      </c>
      <c r="Q263" s="11">
        <f>IF(AND(ISNUMBER(J263),ISNUMBER(K263)),(K263-J263),"")</f>
        <v/>
      </c>
      <c r="R263" s="11">
        <f>IF(AND(ISNUMBER(K263),ISNUMBER(L263)),(L263-K263),"")</f>
        <v/>
      </c>
      <c r="S263" s="11">
        <f>IF(AND(ISNUMBER(F263),ISNUMBER(L263)),(L263-F263),"")</f>
        <v/>
      </c>
      <c r="T263" s="11">
        <f>IF(AND(ISNUMBER(D263),ISNUMBER(L263)),(L263-D263),"")</f>
        <v/>
      </c>
    </row>
    <row r="264">
      <c r="A264" s="3" t="inlineStr">
        <is>
          <t>10263</t>
        </is>
      </c>
      <c r="B264" s="9" t="n">
        <v>435.4999999999999</v>
      </c>
      <c r="C264" s="3" t="inlineStr">
        <is>
          <t>703</t>
        </is>
      </c>
      <c r="D264" s="10" t="n">
        <v>45684.43711805555</v>
      </c>
      <c r="E264" s="10" t="n">
        <v>45684.43711805555</v>
      </c>
      <c r="F264" s="10" t="n">
        <v>45684.43972222223</v>
      </c>
      <c r="G264" s="10" t="n">
        <v>45684.43972222223</v>
      </c>
      <c r="H264" s="10" t="n">
        <v>45684.4425</v>
      </c>
      <c r="I264" s="10" t="n">
        <v>45684.44703703704</v>
      </c>
      <c r="J264" s="10" t="n">
        <v>45684.44703703704</v>
      </c>
      <c r="K264" s="10" t="n">
        <v>45684.44790509259</v>
      </c>
      <c r="L264" s="10" t="n">
        <v>45684.45202546296</v>
      </c>
      <c r="M264" s="11">
        <f>IF(AND(ISNUMBER(D264),ISNUMBER(E264)),(E264-D264),"")</f>
        <v/>
      </c>
      <c r="N264" s="11">
        <f>IF(AND(ISNUMBER(E264),ISNUMBER(F264)),(F264-E264),"")</f>
        <v/>
      </c>
      <c r="O264" s="11">
        <f>IF(AND(ISNUMBER(G264),ISNUMBER(H264)),(H264-G264),"")</f>
        <v/>
      </c>
      <c r="P264" s="11">
        <f>IF(AND(ISNUMBER(H264),ISNUMBER(I264)),(I264-H264),"")</f>
        <v/>
      </c>
      <c r="Q264" s="11">
        <f>IF(AND(ISNUMBER(J264),ISNUMBER(K264)),(K264-J264),"")</f>
        <v/>
      </c>
      <c r="R264" s="11">
        <f>IF(AND(ISNUMBER(K264),ISNUMBER(L264)),(L264-K264),"")</f>
        <v/>
      </c>
      <c r="S264" s="11">
        <f>IF(AND(ISNUMBER(F264),ISNUMBER(L264)),(L264-F264),"")</f>
        <v/>
      </c>
      <c r="T264" s="11">
        <f>IF(AND(ISNUMBER(D264),ISNUMBER(L264)),(L264-D264),"")</f>
        <v/>
      </c>
    </row>
    <row r="265">
      <c r="A265" s="3" t="inlineStr">
        <is>
          <t>10264</t>
        </is>
      </c>
      <c r="B265" s="9" t="n">
        <v>212.1</v>
      </c>
      <c r="C265" s="3" t="inlineStr">
        <is>
          <t>703</t>
        </is>
      </c>
      <c r="D265" s="10" t="n">
        <v>45684.52861111111</v>
      </c>
      <c r="E265" s="10" t="n">
        <v>45684.52861111111</v>
      </c>
      <c r="F265" s="10" t="n">
        <v>45684.53069444445</v>
      </c>
      <c r="G265" s="10" t="n">
        <v>45684.53069444445</v>
      </c>
      <c r="H265" s="10" t="n">
        <v>45684.53347222223</v>
      </c>
      <c r="I265" s="10" t="n">
        <v>45684.53518518519</v>
      </c>
      <c r="J265" s="10" t="n">
        <v>45684.53518518519</v>
      </c>
      <c r="K265" s="10" t="n">
        <v>45684.53606481481</v>
      </c>
      <c r="L265" s="10" t="n">
        <v>45684.53824074074</v>
      </c>
      <c r="M265" s="11">
        <f>IF(AND(ISNUMBER(D265),ISNUMBER(E265)),(E265-D265),"")</f>
        <v/>
      </c>
      <c r="N265" s="11">
        <f>IF(AND(ISNUMBER(E265),ISNUMBER(F265)),(F265-E265),"")</f>
        <v/>
      </c>
      <c r="O265" s="11">
        <f>IF(AND(ISNUMBER(G265),ISNUMBER(H265)),(H265-G265),"")</f>
        <v/>
      </c>
      <c r="P265" s="11">
        <f>IF(AND(ISNUMBER(H265),ISNUMBER(I265)),(I265-H265),"")</f>
        <v/>
      </c>
      <c r="Q265" s="11">
        <f>IF(AND(ISNUMBER(J265),ISNUMBER(K265)),(K265-J265),"")</f>
        <v/>
      </c>
      <c r="R265" s="11">
        <f>IF(AND(ISNUMBER(K265),ISNUMBER(L265)),(L265-K265),"")</f>
        <v/>
      </c>
      <c r="S265" s="11">
        <f>IF(AND(ISNUMBER(F265),ISNUMBER(L265)),(L265-F265),"")</f>
        <v/>
      </c>
      <c r="T265" s="11">
        <f>IF(AND(ISNUMBER(D265),ISNUMBER(L265)),(L265-D265),"")</f>
        <v/>
      </c>
    </row>
    <row r="266">
      <c r="A266" s="3" t="inlineStr">
        <is>
          <t>10265</t>
        </is>
      </c>
      <c r="B266" s="9" t="n">
        <v>381.5600000000001</v>
      </c>
      <c r="C266" s="3" t="inlineStr">
        <is>
          <t>703</t>
        </is>
      </c>
      <c r="D266" s="10" t="n">
        <v>45684.59751157407</v>
      </c>
      <c r="E266" s="10" t="n">
        <v>45684.59751157407</v>
      </c>
      <c r="F266" s="10" t="n">
        <v>45684.59998842593</v>
      </c>
      <c r="G266" s="10" t="n">
        <v>45684.59998842593</v>
      </c>
      <c r="H266" s="10" t="n">
        <v>45684.6027662037</v>
      </c>
      <c r="I266" s="10" t="n">
        <v>45684.60583333333</v>
      </c>
      <c r="J266" s="10" t="n">
        <v>45684.60583333333</v>
      </c>
      <c r="K266" s="10" t="n">
        <v>45684.60670138889</v>
      </c>
      <c r="L266" s="10" t="n">
        <v>45684.60950231482</v>
      </c>
      <c r="M266" s="11">
        <f>IF(AND(ISNUMBER(D266),ISNUMBER(E266)),(E266-D266),"")</f>
        <v/>
      </c>
      <c r="N266" s="11">
        <f>IF(AND(ISNUMBER(E266),ISNUMBER(F266)),(F266-E266),"")</f>
        <v/>
      </c>
      <c r="O266" s="11">
        <f>IF(AND(ISNUMBER(G266),ISNUMBER(H266)),(H266-G266),"")</f>
        <v/>
      </c>
      <c r="P266" s="11">
        <f>IF(AND(ISNUMBER(H266),ISNUMBER(I266)),(I266-H266),"")</f>
        <v/>
      </c>
      <c r="Q266" s="11">
        <f>IF(AND(ISNUMBER(J266),ISNUMBER(K266)),(K266-J266),"")</f>
        <v/>
      </c>
      <c r="R266" s="11">
        <f>IF(AND(ISNUMBER(K266),ISNUMBER(L266)),(L266-K266),"")</f>
        <v/>
      </c>
      <c r="S266" s="11">
        <f>IF(AND(ISNUMBER(F266),ISNUMBER(L266)),(L266-F266),"")</f>
        <v/>
      </c>
      <c r="T266" s="11">
        <f>IF(AND(ISNUMBER(D266),ISNUMBER(L266)),(L266-D266),"")</f>
        <v/>
      </c>
    </row>
    <row r="267">
      <c r="A267" s="3" t="inlineStr">
        <is>
          <t>10266</t>
        </is>
      </c>
      <c r="B267" s="9" t="n">
        <v>15.74</v>
      </c>
      <c r="C267" s="3" t="inlineStr">
        <is>
          <t>731</t>
        </is>
      </c>
      <c r="D267" s="10" t="n">
        <v>45684.64305555556</v>
      </c>
      <c r="E267" s="10" t="n">
        <v>45684.64305555556</v>
      </c>
      <c r="F267" s="10" t="n">
        <v>45684.64430555556</v>
      </c>
      <c r="G267" s="10" t="n">
        <v>45684.64430555556</v>
      </c>
      <c r="H267" s="10" t="n">
        <v>45684.64708333334</v>
      </c>
      <c r="I267" s="10" t="n">
        <v>45684.64721064815</v>
      </c>
      <c r="J267" s="10" t="n">
        <v>45684.64721064815</v>
      </c>
      <c r="K267" s="10" t="n">
        <v>45684.64809027778</v>
      </c>
      <c r="L267" s="10" t="n">
        <v>45684.65017361111</v>
      </c>
      <c r="M267" s="11">
        <f>IF(AND(ISNUMBER(D267),ISNUMBER(E267)),(E267-D267),"")</f>
        <v/>
      </c>
      <c r="N267" s="11">
        <f>IF(AND(ISNUMBER(E267),ISNUMBER(F267)),(F267-E267),"")</f>
        <v/>
      </c>
      <c r="O267" s="11">
        <f>IF(AND(ISNUMBER(G267),ISNUMBER(H267)),(H267-G267),"")</f>
        <v/>
      </c>
      <c r="P267" s="11">
        <f>IF(AND(ISNUMBER(H267),ISNUMBER(I267)),(I267-H267),"")</f>
        <v/>
      </c>
      <c r="Q267" s="11">
        <f>IF(AND(ISNUMBER(J267),ISNUMBER(K267)),(K267-J267),"")</f>
        <v/>
      </c>
      <c r="R267" s="11">
        <f>IF(AND(ISNUMBER(K267),ISNUMBER(L267)),(L267-K267),"")</f>
        <v/>
      </c>
      <c r="S267" s="11">
        <f>IF(AND(ISNUMBER(F267),ISNUMBER(L267)),(L267-F267),"")</f>
        <v/>
      </c>
      <c r="T267" s="11">
        <f>IF(AND(ISNUMBER(D267),ISNUMBER(L267)),(L267-D267),"")</f>
        <v/>
      </c>
    </row>
    <row r="268">
      <c r="A268" s="3" t="inlineStr">
        <is>
          <t>10267</t>
        </is>
      </c>
      <c r="B268" s="9" t="n">
        <v>383.1</v>
      </c>
      <c r="C268" s="3" t="inlineStr">
        <is>
          <t>703</t>
        </is>
      </c>
      <c r="D268" s="10" t="n">
        <v>45684.66283564815</v>
      </c>
      <c r="E268" s="10" t="n">
        <v>45684.66283564815</v>
      </c>
      <c r="F268" s="10" t="n">
        <v>45684.6653125</v>
      </c>
      <c r="G268" s="10" t="n">
        <v>45684.6653125</v>
      </c>
      <c r="H268" s="10" t="n">
        <v>45684.66809027778</v>
      </c>
      <c r="I268" s="10" t="n">
        <v>45684.67221064815</v>
      </c>
      <c r="J268" s="10" t="n">
        <v>45684.67221064815</v>
      </c>
      <c r="K268" s="10" t="n">
        <v>45684.6730787037</v>
      </c>
      <c r="L268" s="10" t="n">
        <v>45684.67765046296</v>
      </c>
      <c r="M268" s="11">
        <f>IF(AND(ISNUMBER(D268),ISNUMBER(E268)),(E268-D268),"")</f>
        <v/>
      </c>
      <c r="N268" s="11">
        <f>IF(AND(ISNUMBER(E268),ISNUMBER(F268)),(F268-E268),"")</f>
        <v/>
      </c>
      <c r="O268" s="11">
        <f>IF(AND(ISNUMBER(G268),ISNUMBER(H268)),(H268-G268),"")</f>
        <v/>
      </c>
      <c r="P268" s="11">
        <f>IF(AND(ISNUMBER(H268),ISNUMBER(I268)),(I268-H268),"")</f>
        <v/>
      </c>
      <c r="Q268" s="11">
        <f>IF(AND(ISNUMBER(J268),ISNUMBER(K268)),(K268-J268),"")</f>
        <v/>
      </c>
      <c r="R268" s="11">
        <f>IF(AND(ISNUMBER(K268),ISNUMBER(L268)),(L268-K268),"")</f>
        <v/>
      </c>
      <c r="S268" s="11">
        <f>IF(AND(ISNUMBER(F268),ISNUMBER(L268)),(L268-F268),"")</f>
        <v/>
      </c>
      <c r="T268" s="11">
        <f>IF(AND(ISNUMBER(D268),ISNUMBER(L268)),(L268-D268),"")</f>
        <v/>
      </c>
    </row>
    <row r="269">
      <c r="A269" s="3" t="inlineStr">
        <is>
          <t>10268</t>
        </is>
      </c>
      <c r="B269" s="9" t="n">
        <v>232.4</v>
      </c>
      <c r="C269" s="3" t="inlineStr">
        <is>
          <t>703</t>
        </is>
      </c>
      <c r="D269" s="10" t="n">
        <v>45684.73018518519</v>
      </c>
      <c r="E269" s="10" t="n">
        <v>45684.73018518519</v>
      </c>
      <c r="F269" s="10" t="n">
        <v>45684.73231481481</v>
      </c>
      <c r="G269" s="10" t="n">
        <v>45684.73231481481</v>
      </c>
      <c r="H269" s="10" t="n">
        <v>45684.73509259259</v>
      </c>
      <c r="I269" s="10" t="n">
        <v>45684.73697916666</v>
      </c>
      <c r="J269" s="10" t="n">
        <v>45684.73697916666</v>
      </c>
      <c r="K269" s="10" t="n">
        <v>45684.73784722222</v>
      </c>
      <c r="L269" s="10" t="n">
        <v>45684.7397337963</v>
      </c>
      <c r="M269" s="11">
        <f>IF(AND(ISNUMBER(D269),ISNUMBER(E269)),(E269-D269),"")</f>
        <v/>
      </c>
      <c r="N269" s="11">
        <f>IF(AND(ISNUMBER(E269),ISNUMBER(F269)),(F269-E269),"")</f>
        <v/>
      </c>
      <c r="O269" s="11">
        <f>IF(AND(ISNUMBER(G269),ISNUMBER(H269)),(H269-G269),"")</f>
        <v/>
      </c>
      <c r="P269" s="11">
        <f>IF(AND(ISNUMBER(H269),ISNUMBER(I269)),(I269-H269),"")</f>
        <v/>
      </c>
      <c r="Q269" s="11">
        <f>IF(AND(ISNUMBER(J269),ISNUMBER(K269)),(K269-J269),"")</f>
        <v/>
      </c>
      <c r="R269" s="11">
        <f>IF(AND(ISNUMBER(K269),ISNUMBER(L269)),(L269-K269),"")</f>
        <v/>
      </c>
      <c r="S269" s="11">
        <f>IF(AND(ISNUMBER(F269),ISNUMBER(L269)),(L269-F269),"")</f>
        <v/>
      </c>
      <c r="T269" s="11">
        <f>IF(AND(ISNUMBER(D269),ISNUMBER(L269)),(L269-D269),"")</f>
        <v/>
      </c>
    </row>
    <row r="270">
      <c r="A270" s="3" t="inlineStr">
        <is>
          <t>10269</t>
        </is>
      </c>
      <c r="B270" s="9" t="n">
        <v>445.98</v>
      </c>
      <c r="C270" s="3" t="inlineStr">
        <is>
          <t>727</t>
        </is>
      </c>
      <c r="D270" s="10" t="n">
        <v>45684.73627314815</v>
      </c>
      <c r="E270" s="10" t="n">
        <v>45684.73627314815</v>
      </c>
      <c r="F270" s="10" t="n">
        <v>45684.73846064815</v>
      </c>
      <c r="G270" s="10" t="n">
        <v>45684.73846064815</v>
      </c>
      <c r="H270" s="10" t="n">
        <v>45684.74123842592</v>
      </c>
      <c r="I270" s="10" t="n">
        <v>45684.74700231481</v>
      </c>
      <c r="J270" s="10" t="n">
        <v>45684.74700231481</v>
      </c>
      <c r="K270" s="10" t="n">
        <v>45684.74787037037</v>
      </c>
      <c r="L270" s="10" t="n">
        <v>45684.75385416667</v>
      </c>
      <c r="M270" s="11">
        <f>IF(AND(ISNUMBER(D270),ISNUMBER(E270)),(E270-D270),"")</f>
        <v/>
      </c>
      <c r="N270" s="11">
        <f>IF(AND(ISNUMBER(E270),ISNUMBER(F270)),(F270-E270),"")</f>
        <v/>
      </c>
      <c r="O270" s="11">
        <f>IF(AND(ISNUMBER(G270),ISNUMBER(H270)),(H270-G270),"")</f>
        <v/>
      </c>
      <c r="P270" s="11">
        <f>IF(AND(ISNUMBER(H270),ISNUMBER(I270)),(I270-H270),"")</f>
        <v/>
      </c>
      <c r="Q270" s="11">
        <f>IF(AND(ISNUMBER(J270),ISNUMBER(K270)),(K270-J270),"")</f>
        <v/>
      </c>
      <c r="R270" s="11">
        <f>IF(AND(ISNUMBER(K270),ISNUMBER(L270)),(L270-K270),"")</f>
        <v/>
      </c>
      <c r="S270" s="11">
        <f>IF(AND(ISNUMBER(F270),ISNUMBER(L270)),(L270-F270),"")</f>
        <v/>
      </c>
      <c r="T270" s="11">
        <f>IF(AND(ISNUMBER(D270),ISNUMBER(L270)),(L270-D270),"")</f>
        <v/>
      </c>
    </row>
    <row r="271">
      <c r="A271" s="3" t="inlineStr">
        <is>
          <t>10270</t>
        </is>
      </c>
      <c r="B271" s="9" t="n">
        <v>397.3000000000001</v>
      </c>
      <c r="C271" s="3" t="inlineStr">
        <is>
          <t>703</t>
        </is>
      </c>
      <c r="D271" s="10" t="n">
        <v>45684.87395833333</v>
      </c>
      <c r="E271" s="10" t="n">
        <v>45684.87395833333</v>
      </c>
      <c r="F271" s="10" t="n">
        <v>45684.87646990741</v>
      </c>
      <c r="G271" s="10" t="n">
        <v>45684.87646990741</v>
      </c>
      <c r="H271" s="10" t="n">
        <v>45684.87924768519</v>
      </c>
      <c r="I271" s="10" t="n">
        <v>45684.88243055555</v>
      </c>
      <c r="J271" s="10" t="n">
        <v>45684.88243055555</v>
      </c>
      <c r="K271" s="10" t="n">
        <v>45684.88331018519</v>
      </c>
      <c r="L271" s="10" t="n">
        <v>45684.88546296296</v>
      </c>
      <c r="M271" s="11">
        <f>IF(AND(ISNUMBER(D271),ISNUMBER(E271)),(E271-D271),"")</f>
        <v/>
      </c>
      <c r="N271" s="11">
        <f>IF(AND(ISNUMBER(E271),ISNUMBER(F271)),(F271-E271),"")</f>
        <v/>
      </c>
      <c r="O271" s="11">
        <f>IF(AND(ISNUMBER(G271),ISNUMBER(H271)),(H271-G271),"")</f>
        <v/>
      </c>
      <c r="P271" s="11">
        <f>IF(AND(ISNUMBER(H271),ISNUMBER(I271)),(I271-H271),"")</f>
        <v/>
      </c>
      <c r="Q271" s="11">
        <f>IF(AND(ISNUMBER(J271),ISNUMBER(K271)),(K271-J271),"")</f>
        <v/>
      </c>
      <c r="R271" s="11">
        <f>IF(AND(ISNUMBER(K271),ISNUMBER(L271)),(L271-K271),"")</f>
        <v/>
      </c>
      <c r="S271" s="11">
        <f>IF(AND(ISNUMBER(F271),ISNUMBER(L271)),(L271-F271),"")</f>
        <v/>
      </c>
      <c r="T271" s="11">
        <f>IF(AND(ISNUMBER(D271),ISNUMBER(L271)),(L271-D271),"")</f>
        <v/>
      </c>
    </row>
    <row r="272">
      <c r="A272" s="3" t="inlineStr">
        <is>
          <t>10271</t>
        </is>
      </c>
      <c r="B272" s="9" t="n">
        <v>145.68</v>
      </c>
      <c r="C272" s="3" t="inlineStr">
        <is>
          <t>703</t>
        </is>
      </c>
      <c r="D272" s="10" t="n">
        <v>45685.11961805556</v>
      </c>
      <c r="E272" s="10" t="n">
        <v>45685.11961805556</v>
      </c>
      <c r="F272" s="10" t="n">
        <v>45685.12155092593</v>
      </c>
      <c r="G272" s="10" t="n">
        <v>45685.12155092593</v>
      </c>
      <c r="H272" s="10" t="n">
        <v>45685.12432870371</v>
      </c>
      <c r="I272" s="10" t="n">
        <v>45685.12766203703</v>
      </c>
      <c r="J272" s="10" t="n">
        <v>45685.12766203703</v>
      </c>
      <c r="K272" s="10" t="n">
        <v>45685.1285300926</v>
      </c>
      <c r="L272" s="10" t="n">
        <v>45685.13381944445</v>
      </c>
      <c r="M272" s="11">
        <f>IF(AND(ISNUMBER(D272),ISNUMBER(E272)),(E272-D272),"")</f>
        <v/>
      </c>
      <c r="N272" s="11">
        <f>IF(AND(ISNUMBER(E272),ISNUMBER(F272)),(F272-E272),"")</f>
        <v/>
      </c>
      <c r="O272" s="11">
        <f>IF(AND(ISNUMBER(G272),ISNUMBER(H272)),(H272-G272),"")</f>
        <v/>
      </c>
      <c r="P272" s="11">
        <f>IF(AND(ISNUMBER(H272),ISNUMBER(I272)),(I272-H272),"")</f>
        <v/>
      </c>
      <c r="Q272" s="11">
        <f>IF(AND(ISNUMBER(J272),ISNUMBER(K272)),(K272-J272),"")</f>
        <v/>
      </c>
      <c r="R272" s="11">
        <f>IF(AND(ISNUMBER(K272),ISNUMBER(L272)),(L272-K272),"")</f>
        <v/>
      </c>
      <c r="S272" s="11">
        <f>IF(AND(ISNUMBER(F272),ISNUMBER(L272)),(L272-F272),"")</f>
        <v/>
      </c>
      <c r="T272" s="11">
        <f>IF(AND(ISNUMBER(D272),ISNUMBER(L272)),(L272-D272),"")</f>
        <v/>
      </c>
    </row>
    <row r="273">
      <c r="A273" s="3" t="inlineStr">
        <is>
          <t>10272</t>
        </is>
      </c>
      <c r="B273" s="9" t="n">
        <v>297</v>
      </c>
      <c r="C273" s="3" t="inlineStr">
        <is>
          <t>703</t>
        </is>
      </c>
      <c r="D273" s="10" t="n">
        <v>45685.27017361111</v>
      </c>
      <c r="E273" s="10" t="n">
        <v>45685.27017361111</v>
      </c>
      <c r="F273" s="10" t="n">
        <v>45685.27245370371</v>
      </c>
      <c r="G273" s="10" t="n">
        <v>45685.27245370371</v>
      </c>
      <c r="H273" s="10" t="n">
        <v>45685.27523148148</v>
      </c>
      <c r="I273" s="10" t="n">
        <v>45685.27760416667</v>
      </c>
      <c r="J273" s="10" t="n">
        <v>45685.27760416667</v>
      </c>
      <c r="K273" s="10" t="n">
        <v>45685.2784837963</v>
      </c>
      <c r="L273" s="10" t="n">
        <v>45685.28075231481</v>
      </c>
      <c r="M273" s="11">
        <f>IF(AND(ISNUMBER(D273),ISNUMBER(E273)),(E273-D273),"")</f>
        <v/>
      </c>
      <c r="N273" s="11">
        <f>IF(AND(ISNUMBER(E273),ISNUMBER(F273)),(F273-E273),"")</f>
        <v/>
      </c>
      <c r="O273" s="11">
        <f>IF(AND(ISNUMBER(G273),ISNUMBER(H273)),(H273-G273),"")</f>
        <v/>
      </c>
      <c r="P273" s="11">
        <f>IF(AND(ISNUMBER(H273),ISNUMBER(I273)),(I273-H273),"")</f>
        <v/>
      </c>
      <c r="Q273" s="11">
        <f>IF(AND(ISNUMBER(J273),ISNUMBER(K273)),(K273-J273),"")</f>
        <v/>
      </c>
      <c r="R273" s="11">
        <f>IF(AND(ISNUMBER(K273),ISNUMBER(L273)),(L273-K273),"")</f>
        <v/>
      </c>
      <c r="S273" s="11">
        <f>IF(AND(ISNUMBER(F273),ISNUMBER(L273)),(L273-F273),"")</f>
        <v/>
      </c>
      <c r="T273" s="11">
        <f>IF(AND(ISNUMBER(D273),ISNUMBER(L273)),(L273-D273),"")</f>
        <v/>
      </c>
    </row>
    <row r="274">
      <c r="A274" s="3" t="inlineStr">
        <is>
          <t>10273</t>
        </is>
      </c>
      <c r="B274" s="9" t="n">
        <v>299.88</v>
      </c>
      <c r="C274" s="3" t="inlineStr">
        <is>
          <t>703</t>
        </is>
      </c>
      <c r="D274" s="10" t="n">
        <v>45685.29991898148</v>
      </c>
      <c r="E274" s="10" t="n">
        <v>45685.29991898148</v>
      </c>
      <c r="F274" s="10" t="n">
        <v>45685.30219907407</v>
      </c>
      <c r="G274" s="10" t="n">
        <v>45685.30219907407</v>
      </c>
      <c r="H274" s="10" t="n">
        <v>45685.30497685185</v>
      </c>
      <c r="I274" s="10" t="n">
        <v>45685.31386574074</v>
      </c>
      <c r="J274" s="10" t="n">
        <v>45685.31386574074</v>
      </c>
      <c r="K274" s="10" t="n">
        <v>45685.31473379629</v>
      </c>
      <c r="L274" s="10" t="n">
        <v>45685.32399305556</v>
      </c>
      <c r="M274" s="11">
        <f>IF(AND(ISNUMBER(D274),ISNUMBER(E274)),(E274-D274),"")</f>
        <v/>
      </c>
      <c r="N274" s="11">
        <f>IF(AND(ISNUMBER(E274),ISNUMBER(F274)),(F274-E274),"")</f>
        <v/>
      </c>
      <c r="O274" s="11">
        <f>IF(AND(ISNUMBER(G274),ISNUMBER(H274)),(H274-G274),"")</f>
        <v/>
      </c>
      <c r="P274" s="11">
        <f>IF(AND(ISNUMBER(H274),ISNUMBER(I274)),(I274-H274),"")</f>
        <v/>
      </c>
      <c r="Q274" s="11">
        <f>IF(AND(ISNUMBER(J274),ISNUMBER(K274)),(K274-J274),"")</f>
        <v/>
      </c>
      <c r="R274" s="11">
        <f>IF(AND(ISNUMBER(K274),ISNUMBER(L274)),(L274-K274),"")</f>
        <v/>
      </c>
      <c r="S274" s="11">
        <f>IF(AND(ISNUMBER(F274),ISNUMBER(L274)),(L274-F274),"")</f>
        <v/>
      </c>
      <c r="T274" s="11">
        <f>IF(AND(ISNUMBER(D274),ISNUMBER(L274)),(L274-D274),"")</f>
        <v/>
      </c>
    </row>
    <row r="275">
      <c r="A275" s="3" t="inlineStr">
        <is>
          <t>10274</t>
        </is>
      </c>
      <c r="B275" s="9" t="n">
        <v>157.48</v>
      </c>
      <c r="C275" s="3" t="inlineStr">
        <is>
          <t>727</t>
        </is>
      </c>
      <c r="D275" s="10" t="n">
        <v>45685.31354166667</v>
      </c>
      <c r="E275" s="10" t="n">
        <v>45685.31354166667</v>
      </c>
      <c r="F275" s="10" t="n">
        <v>45685.31505787037</v>
      </c>
      <c r="G275" s="10" t="n">
        <v>45685.31505787037</v>
      </c>
      <c r="H275" s="10" t="n">
        <v>45685.31783564815</v>
      </c>
      <c r="I275" s="10" t="n">
        <v>45685.3191087963</v>
      </c>
      <c r="J275" s="10" t="n">
        <v>45685.3191087963</v>
      </c>
      <c r="K275" s="10" t="n">
        <v>45685.32478009259</v>
      </c>
      <c r="L275" s="10" t="n">
        <v>45685.32478009259</v>
      </c>
      <c r="M275" s="11">
        <f>IF(AND(ISNUMBER(D275),ISNUMBER(E275)),(E275-D275),"")</f>
        <v/>
      </c>
      <c r="N275" s="11">
        <f>IF(AND(ISNUMBER(E275),ISNUMBER(F275)),(F275-E275),"")</f>
        <v/>
      </c>
      <c r="O275" s="11">
        <f>IF(AND(ISNUMBER(G275),ISNUMBER(H275)),(H275-G275),"")</f>
        <v/>
      </c>
      <c r="P275" s="11">
        <f>IF(AND(ISNUMBER(H275),ISNUMBER(I275)),(I275-H275),"")</f>
        <v/>
      </c>
      <c r="Q275" s="11">
        <f>IF(AND(ISNUMBER(J275),ISNUMBER(K275)),(K275-J275),"")</f>
        <v/>
      </c>
      <c r="R275" s="11">
        <f>IF(AND(ISNUMBER(K275),ISNUMBER(L275)),(L275-K275),"")</f>
        <v/>
      </c>
      <c r="S275" s="11">
        <f>IF(AND(ISNUMBER(F275),ISNUMBER(L275)),(L275-F275),"")</f>
        <v/>
      </c>
      <c r="T275" s="11">
        <f>IF(AND(ISNUMBER(D275),ISNUMBER(L275)),(L275-D275),"")</f>
        <v/>
      </c>
    </row>
    <row r="276">
      <c r="A276" s="3" t="inlineStr">
        <is>
          <t>10275</t>
        </is>
      </c>
      <c r="B276" s="9" t="n">
        <v>398.0400000000001</v>
      </c>
      <c r="C276" s="3" t="inlineStr">
        <is>
          <t>725</t>
        </is>
      </c>
      <c r="D276" s="10" t="n">
        <v>45685.32068287037</v>
      </c>
      <c r="E276" s="10" t="n">
        <v>45685.32068287037</v>
      </c>
      <c r="F276" s="10" t="n">
        <v>45685.32259259259</v>
      </c>
      <c r="G276" s="10" t="n">
        <v>45685.32259259259</v>
      </c>
      <c r="H276" s="10" t="n">
        <v>45685.32537037037</v>
      </c>
      <c r="I276" s="10" t="n">
        <v>45685.32859953704</v>
      </c>
      <c r="J276" s="10" t="n">
        <v>45685.32859953704</v>
      </c>
      <c r="K276" s="10" t="n">
        <v>45685.32946759259</v>
      </c>
      <c r="L276" s="10" t="n">
        <v>45685.32946759259</v>
      </c>
      <c r="M276" s="11">
        <f>IF(AND(ISNUMBER(D276),ISNUMBER(E276)),(E276-D276),"")</f>
        <v/>
      </c>
      <c r="N276" s="11">
        <f>IF(AND(ISNUMBER(E276),ISNUMBER(F276)),(F276-E276),"")</f>
        <v/>
      </c>
      <c r="O276" s="11">
        <f>IF(AND(ISNUMBER(G276),ISNUMBER(H276)),(H276-G276),"")</f>
        <v/>
      </c>
      <c r="P276" s="11">
        <f>IF(AND(ISNUMBER(H276),ISNUMBER(I276)),(I276-H276),"")</f>
        <v/>
      </c>
      <c r="Q276" s="11">
        <f>IF(AND(ISNUMBER(J276),ISNUMBER(K276)),(K276-J276),"")</f>
        <v/>
      </c>
      <c r="R276" s="11">
        <f>IF(AND(ISNUMBER(K276),ISNUMBER(L276)),(L276-K276),"")</f>
        <v/>
      </c>
      <c r="S276" s="11">
        <f>IF(AND(ISNUMBER(F276),ISNUMBER(L276)),(L276-F276),"")</f>
        <v/>
      </c>
      <c r="T276" s="11">
        <f>IF(AND(ISNUMBER(D276),ISNUMBER(L276)),(L276-D276),"")</f>
        <v/>
      </c>
    </row>
    <row r="277">
      <c r="A277" s="3" t="inlineStr">
        <is>
          <t>10276</t>
        </is>
      </c>
      <c r="B277" s="9" t="n">
        <v>584.2199999999999</v>
      </c>
      <c r="C277" s="3" t="inlineStr">
        <is>
          <t>727</t>
        </is>
      </c>
      <c r="D277" s="10" t="n">
        <v>45685.36489583334</v>
      </c>
      <c r="E277" s="10" t="n">
        <v>45685.36489583334</v>
      </c>
      <c r="F277" s="10" t="n">
        <v>45685.36739583333</v>
      </c>
      <c r="G277" s="10" t="n">
        <v>45685.36739583333</v>
      </c>
      <c r="H277" s="10" t="n">
        <v>45685.37017361111</v>
      </c>
      <c r="I277" s="10" t="n">
        <v>45685.38888888889</v>
      </c>
      <c r="J277" s="10" t="n">
        <v>45685.38888888889</v>
      </c>
      <c r="K277" s="10" t="n">
        <v>45685.39259259259</v>
      </c>
      <c r="L277" s="10" t="n">
        <v>45685.41163194444</v>
      </c>
      <c r="M277" s="11">
        <f>IF(AND(ISNUMBER(D277),ISNUMBER(E277)),(E277-D277),"")</f>
        <v/>
      </c>
      <c r="N277" s="11">
        <f>IF(AND(ISNUMBER(E277),ISNUMBER(F277)),(F277-E277),"")</f>
        <v/>
      </c>
      <c r="O277" s="11">
        <f>IF(AND(ISNUMBER(G277),ISNUMBER(H277)),(H277-G277),"")</f>
        <v/>
      </c>
      <c r="P277" s="11">
        <f>IF(AND(ISNUMBER(H277),ISNUMBER(I277)),(I277-H277),"")</f>
        <v/>
      </c>
      <c r="Q277" s="11">
        <f>IF(AND(ISNUMBER(J277),ISNUMBER(K277)),(K277-J277),"")</f>
        <v/>
      </c>
      <c r="R277" s="11">
        <f>IF(AND(ISNUMBER(K277),ISNUMBER(L277)),(L277-K277),"")</f>
        <v/>
      </c>
      <c r="S277" s="11">
        <f>IF(AND(ISNUMBER(F277),ISNUMBER(L277)),(L277-F277),"")</f>
        <v/>
      </c>
      <c r="T277" s="11">
        <f>IF(AND(ISNUMBER(D277),ISNUMBER(L277)),(L277-D277),"")</f>
        <v/>
      </c>
    </row>
    <row r="278">
      <c r="A278" s="3" t="inlineStr">
        <is>
          <t>10277</t>
        </is>
      </c>
      <c r="B278" s="9" t="n">
        <v>222.8</v>
      </c>
      <c r="C278" s="3" t="inlineStr">
        <is>
          <t>703</t>
        </is>
      </c>
      <c r="D278" s="10" t="n">
        <v>45685.37877314815</v>
      </c>
      <c r="E278" s="10" t="n">
        <v>45685.37877314815</v>
      </c>
      <c r="F278" s="10" t="n">
        <v>45685.38087962963</v>
      </c>
      <c r="G278" s="10" t="n">
        <v>45685.38087962963</v>
      </c>
      <c r="H278" s="10" t="n">
        <v>45685.38365740741</v>
      </c>
      <c r="I278" s="10" t="n">
        <v>45685.38652777778</v>
      </c>
      <c r="J278" s="10" t="n">
        <v>45685.38652777778</v>
      </c>
      <c r="K278" s="10" t="n">
        <v>45685.38739583334</v>
      </c>
      <c r="L278" s="10" t="n">
        <v>45685.39171296296</v>
      </c>
      <c r="M278" s="11">
        <f>IF(AND(ISNUMBER(D278),ISNUMBER(E278)),(E278-D278),"")</f>
        <v/>
      </c>
      <c r="N278" s="11">
        <f>IF(AND(ISNUMBER(E278),ISNUMBER(F278)),(F278-E278),"")</f>
        <v/>
      </c>
      <c r="O278" s="11">
        <f>IF(AND(ISNUMBER(G278),ISNUMBER(H278)),(H278-G278),"")</f>
        <v/>
      </c>
      <c r="P278" s="11">
        <f>IF(AND(ISNUMBER(H278),ISNUMBER(I278)),(I278-H278),"")</f>
        <v/>
      </c>
      <c r="Q278" s="11">
        <f>IF(AND(ISNUMBER(J278),ISNUMBER(K278)),(K278-J278),"")</f>
        <v/>
      </c>
      <c r="R278" s="11">
        <f>IF(AND(ISNUMBER(K278),ISNUMBER(L278)),(L278-K278),"")</f>
        <v/>
      </c>
      <c r="S278" s="11">
        <f>IF(AND(ISNUMBER(F278),ISNUMBER(L278)),(L278-F278),"")</f>
        <v/>
      </c>
      <c r="T278" s="11">
        <f>IF(AND(ISNUMBER(D278),ISNUMBER(L278)),(L278-D278),"")</f>
        <v/>
      </c>
    </row>
    <row r="279">
      <c r="A279" s="3" t="inlineStr">
        <is>
          <t>10278</t>
        </is>
      </c>
      <c r="B279" s="9" t="n">
        <v>273.02</v>
      </c>
      <c r="C279" s="3" t="inlineStr">
        <is>
          <t>703</t>
        </is>
      </c>
      <c r="D279" s="10" t="n">
        <v>45685.43729166667</v>
      </c>
      <c r="E279" s="10" t="n">
        <v>45685.43729166667</v>
      </c>
      <c r="F279" s="10" t="n">
        <v>45685.43951388889</v>
      </c>
      <c r="G279" s="10" t="n">
        <v>45685.43951388889</v>
      </c>
      <c r="H279" s="10" t="n">
        <v>45685.44229166667</v>
      </c>
      <c r="I279" s="10" t="n">
        <v>45685.44681712963</v>
      </c>
      <c r="J279" s="10" t="n">
        <v>45685.44681712963</v>
      </c>
      <c r="K279" s="10" t="n">
        <v>45685.44758101852</v>
      </c>
      <c r="L279" s="10" t="n">
        <v>45685.45369212963</v>
      </c>
      <c r="M279" s="11">
        <f>IF(AND(ISNUMBER(D279),ISNUMBER(E279)),(E279-D279),"")</f>
        <v/>
      </c>
      <c r="N279" s="11">
        <f>IF(AND(ISNUMBER(E279),ISNUMBER(F279)),(F279-E279),"")</f>
        <v/>
      </c>
      <c r="O279" s="11">
        <f>IF(AND(ISNUMBER(G279),ISNUMBER(H279)),(H279-G279),"")</f>
        <v/>
      </c>
      <c r="P279" s="11">
        <f>IF(AND(ISNUMBER(H279),ISNUMBER(I279)),(I279-H279),"")</f>
        <v/>
      </c>
      <c r="Q279" s="11">
        <f>IF(AND(ISNUMBER(J279),ISNUMBER(K279)),(K279-J279),"")</f>
        <v/>
      </c>
      <c r="R279" s="11">
        <f>IF(AND(ISNUMBER(K279),ISNUMBER(L279)),(L279-K279),"")</f>
        <v/>
      </c>
      <c r="S279" s="11">
        <f>IF(AND(ISNUMBER(F279),ISNUMBER(L279)),(L279-F279),"")</f>
        <v/>
      </c>
      <c r="T279" s="11">
        <f>IF(AND(ISNUMBER(D279),ISNUMBER(L279)),(L279-D279),"")</f>
        <v/>
      </c>
    </row>
    <row r="280">
      <c r="A280" s="3" t="inlineStr">
        <is>
          <t>10279</t>
        </is>
      </c>
      <c r="B280" s="9" t="n">
        <v>291.9</v>
      </c>
      <c r="C280" s="3" t="inlineStr">
        <is>
          <t>703</t>
        </is>
      </c>
      <c r="D280" s="10" t="n">
        <v>45685.53866898148</v>
      </c>
      <c r="E280" s="10" t="n">
        <v>45685.53866898148</v>
      </c>
      <c r="F280" s="10" t="n">
        <v>45685.5409375</v>
      </c>
      <c r="G280" s="10" t="n">
        <v>45685.5409375</v>
      </c>
      <c r="H280" s="10" t="n">
        <v>45685.54371527778</v>
      </c>
      <c r="I280" s="10" t="n">
        <v>45685.54584490741</v>
      </c>
      <c r="J280" s="10" t="n">
        <v>45685.54584490741</v>
      </c>
      <c r="K280" s="10" t="n">
        <v>45685.54671296296</v>
      </c>
      <c r="L280" s="10" t="n">
        <v>45685.54851851852</v>
      </c>
      <c r="M280" s="11">
        <f>IF(AND(ISNUMBER(D280),ISNUMBER(E280)),(E280-D280),"")</f>
        <v/>
      </c>
      <c r="N280" s="11">
        <f>IF(AND(ISNUMBER(E280),ISNUMBER(F280)),(F280-E280),"")</f>
        <v/>
      </c>
      <c r="O280" s="11">
        <f>IF(AND(ISNUMBER(G280),ISNUMBER(H280)),(H280-G280),"")</f>
        <v/>
      </c>
      <c r="P280" s="11">
        <f>IF(AND(ISNUMBER(H280),ISNUMBER(I280)),(I280-H280),"")</f>
        <v/>
      </c>
      <c r="Q280" s="11">
        <f>IF(AND(ISNUMBER(J280),ISNUMBER(K280)),(K280-J280),"")</f>
        <v/>
      </c>
      <c r="R280" s="11">
        <f>IF(AND(ISNUMBER(K280),ISNUMBER(L280)),(L280-K280),"")</f>
        <v/>
      </c>
      <c r="S280" s="11">
        <f>IF(AND(ISNUMBER(F280),ISNUMBER(L280)),(L280-F280),"")</f>
        <v/>
      </c>
      <c r="T280" s="11">
        <f>IF(AND(ISNUMBER(D280),ISNUMBER(L280)),(L280-D280),"")</f>
        <v/>
      </c>
    </row>
    <row r="281">
      <c r="A281" s="3" t="inlineStr">
        <is>
          <t>10280</t>
        </is>
      </c>
      <c r="B281" s="9" t="n">
        <v>389.8000000000001</v>
      </c>
      <c r="C281" s="3" t="inlineStr">
        <is>
          <t>703</t>
        </is>
      </c>
      <c r="D281" s="10" t="n">
        <v>45685.59378472222</v>
      </c>
      <c r="E281" s="10" t="n">
        <v>45685.59378472222</v>
      </c>
      <c r="F281" s="10" t="n">
        <v>45685.59627314815</v>
      </c>
      <c r="G281" s="10" t="n">
        <v>45685.59627314815</v>
      </c>
      <c r="H281" s="10" t="n">
        <v>45685.59905092593</v>
      </c>
      <c r="I281" s="10" t="n">
        <v>45685.60233796296</v>
      </c>
      <c r="J281" s="10" t="n">
        <v>45685.60233796296</v>
      </c>
      <c r="K281" s="10" t="n">
        <v>45685.60310185186</v>
      </c>
      <c r="L281" s="10" t="n">
        <v>45685.60599537037</v>
      </c>
      <c r="M281" s="11">
        <f>IF(AND(ISNUMBER(D281),ISNUMBER(E281)),(E281-D281),"")</f>
        <v/>
      </c>
      <c r="N281" s="11">
        <f>IF(AND(ISNUMBER(E281),ISNUMBER(F281)),(F281-E281),"")</f>
        <v/>
      </c>
      <c r="O281" s="11">
        <f>IF(AND(ISNUMBER(G281),ISNUMBER(H281)),(H281-G281),"")</f>
        <v/>
      </c>
      <c r="P281" s="11">
        <f>IF(AND(ISNUMBER(H281),ISNUMBER(I281)),(I281-H281),"")</f>
        <v/>
      </c>
      <c r="Q281" s="11">
        <f>IF(AND(ISNUMBER(J281),ISNUMBER(K281)),(K281-J281),"")</f>
        <v/>
      </c>
      <c r="R281" s="11">
        <f>IF(AND(ISNUMBER(K281),ISNUMBER(L281)),(L281-K281),"")</f>
        <v/>
      </c>
      <c r="S281" s="11">
        <f>IF(AND(ISNUMBER(F281),ISNUMBER(L281)),(L281-F281),"")</f>
        <v/>
      </c>
      <c r="T281" s="11">
        <f>IF(AND(ISNUMBER(D281),ISNUMBER(L281)),(L281-D281),"")</f>
        <v/>
      </c>
    </row>
    <row r="282">
      <c r="A282" s="3" t="inlineStr">
        <is>
          <t>10281</t>
        </is>
      </c>
      <c r="B282" s="9" t="n">
        <v>558.12</v>
      </c>
      <c r="C282" s="3" t="inlineStr">
        <is>
          <t>727</t>
        </is>
      </c>
      <c r="D282" s="10" t="n">
        <v>45685.60090277778</v>
      </c>
      <c r="E282" s="10" t="n">
        <v>45685.60090277778</v>
      </c>
      <c r="F282" s="10" t="n">
        <v>45685.60334490741</v>
      </c>
      <c r="G282" s="10" t="n">
        <v>45685.60334490741</v>
      </c>
      <c r="H282" s="10" t="n">
        <v>45685.60612268518</v>
      </c>
      <c r="I282" s="10" t="n">
        <v>45685.61972222223</v>
      </c>
      <c r="J282" s="10" t="n">
        <v>45685.61972222223</v>
      </c>
      <c r="K282" s="10" t="n">
        <v>45685.62048611111</v>
      </c>
      <c r="L282" s="10" t="n">
        <v>45685.6322337963</v>
      </c>
      <c r="M282" s="11">
        <f>IF(AND(ISNUMBER(D282),ISNUMBER(E282)),(E282-D282),"")</f>
        <v/>
      </c>
      <c r="N282" s="11">
        <f>IF(AND(ISNUMBER(E282),ISNUMBER(F282)),(F282-E282),"")</f>
        <v/>
      </c>
      <c r="O282" s="11">
        <f>IF(AND(ISNUMBER(G282),ISNUMBER(H282)),(H282-G282),"")</f>
        <v/>
      </c>
      <c r="P282" s="11">
        <f>IF(AND(ISNUMBER(H282),ISNUMBER(I282)),(I282-H282),"")</f>
        <v/>
      </c>
      <c r="Q282" s="11">
        <f>IF(AND(ISNUMBER(J282),ISNUMBER(K282)),(K282-J282),"")</f>
        <v/>
      </c>
      <c r="R282" s="11">
        <f>IF(AND(ISNUMBER(K282),ISNUMBER(L282)),(L282-K282),"")</f>
        <v/>
      </c>
      <c r="S282" s="11">
        <f>IF(AND(ISNUMBER(F282),ISNUMBER(L282)),(L282-F282),"")</f>
        <v/>
      </c>
      <c r="T282" s="11">
        <f>IF(AND(ISNUMBER(D282),ISNUMBER(L282)),(L282-D282),"")</f>
        <v/>
      </c>
    </row>
    <row r="283">
      <c r="A283" s="3" t="inlineStr">
        <is>
          <t>10282</t>
        </is>
      </c>
      <c r="B283" s="9" t="n">
        <v>31.48</v>
      </c>
      <c r="C283" s="3" t="inlineStr">
        <is>
          <t>731</t>
        </is>
      </c>
      <c r="D283" s="10" t="n">
        <v>45685.64644675926</v>
      </c>
      <c r="E283" s="10" t="n">
        <v>45685.64644675926</v>
      </c>
      <c r="F283" s="10" t="n">
        <v>45685.64773148148</v>
      </c>
      <c r="G283" s="10" t="n">
        <v>45685.64773148148</v>
      </c>
      <c r="H283" s="10" t="n">
        <v>45685.65050925926</v>
      </c>
      <c r="I283" s="10" t="n">
        <v>45685.65076388889</v>
      </c>
      <c r="J283" s="10" t="n">
        <v>45685.65076388889</v>
      </c>
      <c r="K283" s="10" t="n">
        <v>45685.65163194444</v>
      </c>
      <c r="L283" s="10" t="n">
        <v>45685.65163194444</v>
      </c>
      <c r="M283" s="11">
        <f>IF(AND(ISNUMBER(D283),ISNUMBER(E283)),(E283-D283),"")</f>
        <v/>
      </c>
      <c r="N283" s="11">
        <f>IF(AND(ISNUMBER(E283),ISNUMBER(F283)),(F283-E283),"")</f>
        <v/>
      </c>
      <c r="O283" s="11">
        <f>IF(AND(ISNUMBER(G283),ISNUMBER(H283)),(H283-G283),"")</f>
        <v/>
      </c>
      <c r="P283" s="11">
        <f>IF(AND(ISNUMBER(H283),ISNUMBER(I283)),(I283-H283),"")</f>
        <v/>
      </c>
      <c r="Q283" s="11">
        <f>IF(AND(ISNUMBER(J283),ISNUMBER(K283)),(K283-J283),"")</f>
        <v/>
      </c>
      <c r="R283" s="11">
        <f>IF(AND(ISNUMBER(K283),ISNUMBER(L283)),(L283-K283),"")</f>
        <v/>
      </c>
      <c r="S283" s="11">
        <f>IF(AND(ISNUMBER(F283),ISNUMBER(L283)),(L283-F283),"")</f>
        <v/>
      </c>
      <c r="T283" s="11">
        <f>IF(AND(ISNUMBER(D283),ISNUMBER(L283)),(L283-D283),"")</f>
        <v/>
      </c>
    </row>
    <row r="284">
      <c r="A284" s="3" t="inlineStr">
        <is>
          <t>10283</t>
        </is>
      </c>
      <c r="B284" s="9" t="n">
        <v>232.68</v>
      </c>
      <c r="C284" s="3" t="inlineStr">
        <is>
          <t>703</t>
        </is>
      </c>
      <c r="D284" s="10" t="n">
        <v>45685.81157407408</v>
      </c>
      <c r="E284" s="10" t="n">
        <v>45685.81157407408</v>
      </c>
      <c r="F284" s="10" t="n">
        <v>45685.8137037037</v>
      </c>
      <c r="G284" s="10" t="n">
        <v>45685.8137037037</v>
      </c>
      <c r="H284" s="10" t="n">
        <v>45685.81648148148</v>
      </c>
      <c r="I284" s="10" t="n">
        <v>45685.81829861111</v>
      </c>
      <c r="J284" s="10" t="n">
        <v>45685.81829861111</v>
      </c>
      <c r="K284" s="10" t="n">
        <v>45685.81916666667</v>
      </c>
      <c r="L284" s="10" t="n">
        <v>45685.82138888889</v>
      </c>
      <c r="M284" s="11">
        <f>IF(AND(ISNUMBER(D284),ISNUMBER(E284)),(E284-D284),"")</f>
        <v/>
      </c>
      <c r="N284" s="11">
        <f>IF(AND(ISNUMBER(E284),ISNUMBER(F284)),(F284-E284),"")</f>
        <v/>
      </c>
      <c r="O284" s="11">
        <f>IF(AND(ISNUMBER(G284),ISNUMBER(H284)),(H284-G284),"")</f>
        <v/>
      </c>
      <c r="P284" s="11">
        <f>IF(AND(ISNUMBER(H284),ISNUMBER(I284)),(I284-H284),"")</f>
        <v/>
      </c>
      <c r="Q284" s="11">
        <f>IF(AND(ISNUMBER(J284),ISNUMBER(K284)),(K284-J284),"")</f>
        <v/>
      </c>
      <c r="R284" s="11">
        <f>IF(AND(ISNUMBER(K284),ISNUMBER(L284)),(L284-K284),"")</f>
        <v/>
      </c>
      <c r="S284" s="11">
        <f>IF(AND(ISNUMBER(F284),ISNUMBER(L284)),(L284-F284),"")</f>
        <v/>
      </c>
      <c r="T284" s="11">
        <f>IF(AND(ISNUMBER(D284),ISNUMBER(L284)),(L284-D284),"")</f>
        <v/>
      </c>
    </row>
    <row r="285">
      <c r="A285" s="3" t="inlineStr">
        <is>
          <t>10284</t>
        </is>
      </c>
      <c r="B285" s="9" t="n">
        <v>397.3000000000001</v>
      </c>
      <c r="C285" s="3" t="inlineStr">
        <is>
          <t>703</t>
        </is>
      </c>
      <c r="D285" s="10" t="n">
        <v>45685.8740625</v>
      </c>
      <c r="E285" s="10" t="n">
        <v>45685.8740625</v>
      </c>
      <c r="F285" s="10" t="n">
        <v>45685.87657407407</v>
      </c>
      <c r="G285" s="10" t="n">
        <v>45685.87657407407</v>
      </c>
      <c r="H285" s="10" t="n">
        <v>45685.87935185185</v>
      </c>
      <c r="I285" s="10" t="n">
        <v>45685.88246527778</v>
      </c>
      <c r="J285" s="10" t="n">
        <v>45685.88246527778</v>
      </c>
      <c r="K285" s="10" t="n">
        <v>45685.88334490741</v>
      </c>
      <c r="L285" s="10" t="n">
        <v>45685.88561342593</v>
      </c>
      <c r="M285" s="11">
        <f>IF(AND(ISNUMBER(D285),ISNUMBER(E285)),(E285-D285),"")</f>
        <v/>
      </c>
      <c r="N285" s="11">
        <f>IF(AND(ISNUMBER(E285),ISNUMBER(F285)),(F285-E285),"")</f>
        <v/>
      </c>
      <c r="O285" s="11">
        <f>IF(AND(ISNUMBER(G285),ISNUMBER(H285)),(H285-G285),"")</f>
        <v/>
      </c>
      <c r="P285" s="11">
        <f>IF(AND(ISNUMBER(H285),ISNUMBER(I285)),(I285-H285),"")</f>
        <v/>
      </c>
      <c r="Q285" s="11">
        <f>IF(AND(ISNUMBER(J285),ISNUMBER(K285)),(K285-J285),"")</f>
        <v/>
      </c>
      <c r="R285" s="11">
        <f>IF(AND(ISNUMBER(K285),ISNUMBER(L285)),(L285-K285),"")</f>
        <v/>
      </c>
      <c r="S285" s="11">
        <f>IF(AND(ISNUMBER(F285),ISNUMBER(L285)),(L285-F285),"")</f>
        <v/>
      </c>
      <c r="T285" s="11">
        <f>IF(AND(ISNUMBER(D285),ISNUMBER(L285)),(L285-D285),"")</f>
        <v/>
      </c>
    </row>
    <row r="286">
      <c r="A286" s="3" t="inlineStr">
        <is>
          <t>10285</t>
        </is>
      </c>
      <c r="B286" s="9" t="n">
        <v>260.32</v>
      </c>
      <c r="C286" s="3" t="inlineStr">
        <is>
          <t>703</t>
        </is>
      </c>
      <c r="D286" s="10" t="n">
        <v>45686.1135300926</v>
      </c>
      <c r="E286" s="10" t="n">
        <v>45686.1135300926</v>
      </c>
      <c r="F286" s="10" t="n">
        <v>45686.11571759259</v>
      </c>
      <c r="G286" s="10" t="n">
        <v>45686.11571759259</v>
      </c>
      <c r="H286" s="10" t="n">
        <v>45686.11849537037</v>
      </c>
      <c r="I286" s="10" t="n">
        <v>45686.12355324074</v>
      </c>
      <c r="J286" s="10" t="n">
        <v>45686.12355324074</v>
      </c>
      <c r="K286" s="10" t="n">
        <v>45686.1244212963</v>
      </c>
      <c r="L286" s="10" t="n">
        <v>45686.13181712963</v>
      </c>
      <c r="M286" s="11">
        <f>IF(AND(ISNUMBER(D286),ISNUMBER(E286)),(E286-D286),"")</f>
        <v/>
      </c>
      <c r="N286" s="11">
        <f>IF(AND(ISNUMBER(E286),ISNUMBER(F286)),(F286-E286),"")</f>
        <v/>
      </c>
      <c r="O286" s="11">
        <f>IF(AND(ISNUMBER(G286),ISNUMBER(H286)),(H286-G286),"")</f>
        <v/>
      </c>
      <c r="P286" s="11">
        <f>IF(AND(ISNUMBER(H286),ISNUMBER(I286)),(I286-H286),"")</f>
        <v/>
      </c>
      <c r="Q286" s="11">
        <f>IF(AND(ISNUMBER(J286),ISNUMBER(K286)),(K286-J286),"")</f>
        <v/>
      </c>
      <c r="R286" s="11">
        <f>IF(AND(ISNUMBER(K286),ISNUMBER(L286)),(L286-K286),"")</f>
        <v/>
      </c>
      <c r="S286" s="11">
        <f>IF(AND(ISNUMBER(F286),ISNUMBER(L286)),(L286-F286),"")</f>
        <v/>
      </c>
      <c r="T286" s="11">
        <f>IF(AND(ISNUMBER(D286),ISNUMBER(L286)),(L286-D286),"")</f>
        <v/>
      </c>
    </row>
    <row r="287">
      <c r="A287" s="3" t="inlineStr">
        <is>
          <t>10286</t>
        </is>
      </c>
      <c r="B287" s="9" t="n">
        <v>106.9</v>
      </c>
      <c r="C287" s="3" t="inlineStr">
        <is>
          <t>703</t>
        </is>
      </c>
      <c r="D287" s="10" t="n">
        <v>45686.17954861111</v>
      </c>
      <c r="E287" s="10" t="n">
        <v>45686.17954861111</v>
      </c>
      <c r="F287" s="10" t="n">
        <v>45686.18138888889</v>
      </c>
      <c r="G287" s="10" t="n">
        <v>45686.18138888889</v>
      </c>
      <c r="H287" s="10" t="n">
        <v>45686.18416666667</v>
      </c>
      <c r="I287" s="10" t="n">
        <v>45686.185</v>
      </c>
      <c r="J287" s="10" t="n">
        <v>45686.185</v>
      </c>
      <c r="K287" s="10" t="n">
        <v>45686.18587962963</v>
      </c>
      <c r="L287" s="10" t="n">
        <v>45686.18737268518</v>
      </c>
      <c r="M287" s="11">
        <f>IF(AND(ISNUMBER(D287),ISNUMBER(E287)),(E287-D287),"")</f>
        <v/>
      </c>
      <c r="N287" s="11">
        <f>IF(AND(ISNUMBER(E287),ISNUMBER(F287)),(F287-E287),"")</f>
        <v/>
      </c>
      <c r="O287" s="11">
        <f>IF(AND(ISNUMBER(G287),ISNUMBER(H287)),(H287-G287),"")</f>
        <v/>
      </c>
      <c r="P287" s="11">
        <f>IF(AND(ISNUMBER(H287),ISNUMBER(I287)),(I287-H287),"")</f>
        <v/>
      </c>
      <c r="Q287" s="11">
        <f>IF(AND(ISNUMBER(J287),ISNUMBER(K287)),(K287-J287),"")</f>
        <v/>
      </c>
      <c r="R287" s="11">
        <f>IF(AND(ISNUMBER(K287),ISNUMBER(L287)),(L287-K287),"")</f>
        <v/>
      </c>
      <c r="S287" s="11">
        <f>IF(AND(ISNUMBER(F287),ISNUMBER(L287)),(L287-F287),"")</f>
        <v/>
      </c>
      <c r="T287" s="11">
        <f>IF(AND(ISNUMBER(D287),ISNUMBER(L287)),(L287-D287),"")</f>
        <v/>
      </c>
    </row>
    <row r="288">
      <c r="A288" s="3" t="inlineStr">
        <is>
          <t>10287</t>
        </is>
      </c>
      <c r="B288" s="9" t="n">
        <v>297</v>
      </c>
      <c r="C288" s="3" t="inlineStr">
        <is>
          <t>703</t>
        </is>
      </c>
      <c r="D288" s="10" t="n">
        <v>45686.26010416666</v>
      </c>
      <c r="E288" s="10" t="n">
        <v>45686.26010416666</v>
      </c>
      <c r="F288" s="10" t="n">
        <v>45686.26238425926</v>
      </c>
      <c r="G288" s="10" t="n">
        <v>45686.26238425926</v>
      </c>
      <c r="H288" s="10" t="n">
        <v>45686.26516203704</v>
      </c>
      <c r="I288" s="10" t="n">
        <v>45686.26747685186</v>
      </c>
      <c r="J288" s="10" t="n">
        <v>45686.26747685186</v>
      </c>
      <c r="K288" s="10" t="n">
        <v>45686.26834490741</v>
      </c>
      <c r="L288" s="10" t="n">
        <v>45686.27061342593</v>
      </c>
      <c r="M288" s="11">
        <f>IF(AND(ISNUMBER(D288),ISNUMBER(E288)),(E288-D288),"")</f>
        <v/>
      </c>
      <c r="N288" s="11">
        <f>IF(AND(ISNUMBER(E288),ISNUMBER(F288)),(F288-E288),"")</f>
        <v/>
      </c>
      <c r="O288" s="11">
        <f>IF(AND(ISNUMBER(G288),ISNUMBER(H288)),(H288-G288),"")</f>
        <v/>
      </c>
      <c r="P288" s="11">
        <f>IF(AND(ISNUMBER(H288),ISNUMBER(I288)),(I288-H288),"")</f>
        <v/>
      </c>
      <c r="Q288" s="11">
        <f>IF(AND(ISNUMBER(J288),ISNUMBER(K288)),(K288-J288),"")</f>
        <v/>
      </c>
      <c r="R288" s="11">
        <f>IF(AND(ISNUMBER(K288),ISNUMBER(L288)),(L288-K288),"")</f>
        <v/>
      </c>
      <c r="S288" s="11">
        <f>IF(AND(ISNUMBER(F288),ISNUMBER(L288)),(L288-F288),"")</f>
        <v/>
      </c>
      <c r="T288" s="11">
        <f>IF(AND(ISNUMBER(D288),ISNUMBER(L288)),(L288-D288),"")</f>
        <v/>
      </c>
    </row>
    <row r="289">
      <c r="A289" s="3" t="inlineStr">
        <is>
          <t>10288</t>
        </is>
      </c>
      <c r="B289" s="9" t="n">
        <v>397.3000000000001</v>
      </c>
      <c r="C289" s="3" t="inlineStr">
        <is>
          <t>703</t>
        </is>
      </c>
      <c r="D289" s="10" t="n">
        <v>45686.30298611111</v>
      </c>
      <c r="E289" s="10" t="n">
        <v>45686.30298611111</v>
      </c>
      <c r="F289" s="10" t="n">
        <v>45686.30549768519</v>
      </c>
      <c r="G289" s="10" t="n">
        <v>45686.30549768519</v>
      </c>
      <c r="H289" s="10" t="n">
        <v>45686.30827546296</v>
      </c>
      <c r="I289" s="10" t="n">
        <v>45686.31138888889</v>
      </c>
      <c r="J289" s="10" t="n">
        <v>45686.31138888889</v>
      </c>
      <c r="K289" s="10" t="n">
        <v>45686.31226851852</v>
      </c>
      <c r="L289" s="10" t="n">
        <v>45686.31510416666</v>
      </c>
      <c r="M289" s="11">
        <f>IF(AND(ISNUMBER(D289),ISNUMBER(E289)),(E289-D289),"")</f>
        <v/>
      </c>
      <c r="N289" s="11">
        <f>IF(AND(ISNUMBER(E289),ISNUMBER(F289)),(F289-E289),"")</f>
        <v/>
      </c>
      <c r="O289" s="11">
        <f>IF(AND(ISNUMBER(G289),ISNUMBER(H289)),(H289-G289),"")</f>
        <v/>
      </c>
      <c r="P289" s="11">
        <f>IF(AND(ISNUMBER(H289),ISNUMBER(I289)),(I289-H289),"")</f>
        <v/>
      </c>
      <c r="Q289" s="11">
        <f>IF(AND(ISNUMBER(J289),ISNUMBER(K289)),(K289-J289),"")</f>
        <v/>
      </c>
      <c r="R289" s="11">
        <f>IF(AND(ISNUMBER(K289),ISNUMBER(L289)),(L289-K289),"")</f>
        <v/>
      </c>
      <c r="S289" s="11">
        <f>IF(AND(ISNUMBER(F289),ISNUMBER(L289)),(L289-F289),"")</f>
        <v/>
      </c>
      <c r="T289" s="11">
        <f>IF(AND(ISNUMBER(D289),ISNUMBER(L289)),(L289-D289),"")</f>
        <v/>
      </c>
    </row>
    <row r="290">
      <c r="A290" s="3" t="inlineStr">
        <is>
          <t>10289</t>
        </is>
      </c>
      <c r="B290" s="9" t="n">
        <v>129.34</v>
      </c>
      <c r="C290" s="3" t="inlineStr">
        <is>
          <t>727</t>
        </is>
      </c>
      <c r="D290" s="10" t="n">
        <v>45686.31210648148</v>
      </c>
      <c r="E290" s="10" t="n">
        <v>45686.31210648148</v>
      </c>
      <c r="F290" s="10" t="n">
        <v>45686.31355324074</v>
      </c>
      <c r="G290" s="10" t="n">
        <v>45686.31355324074</v>
      </c>
      <c r="H290" s="10" t="n">
        <v>45686.31633101852</v>
      </c>
      <c r="I290" s="10" t="n">
        <v>45686.31734953704</v>
      </c>
      <c r="J290" s="10" t="n">
        <v>45686.31734953704</v>
      </c>
      <c r="K290" s="10" t="n">
        <v>45686.31822916667</v>
      </c>
      <c r="L290" s="10" t="n">
        <v>45686.32038194445</v>
      </c>
      <c r="M290" s="11">
        <f>IF(AND(ISNUMBER(D290),ISNUMBER(E290)),(E290-D290),"")</f>
        <v/>
      </c>
      <c r="N290" s="11">
        <f>IF(AND(ISNUMBER(E290),ISNUMBER(F290)),(F290-E290),"")</f>
        <v/>
      </c>
      <c r="O290" s="11">
        <f>IF(AND(ISNUMBER(G290),ISNUMBER(H290)),(H290-G290),"")</f>
        <v/>
      </c>
      <c r="P290" s="11">
        <f>IF(AND(ISNUMBER(H290),ISNUMBER(I290)),(I290-H290),"")</f>
        <v/>
      </c>
      <c r="Q290" s="11">
        <f>IF(AND(ISNUMBER(J290),ISNUMBER(K290)),(K290-J290),"")</f>
        <v/>
      </c>
      <c r="R290" s="11">
        <f>IF(AND(ISNUMBER(K290),ISNUMBER(L290)),(L290-K290),"")</f>
        <v/>
      </c>
      <c r="S290" s="11">
        <f>IF(AND(ISNUMBER(F290),ISNUMBER(L290)),(L290-F290),"")</f>
        <v/>
      </c>
      <c r="T290" s="11">
        <f>IF(AND(ISNUMBER(D290),ISNUMBER(L290)),(L290-D290),"")</f>
        <v/>
      </c>
    </row>
    <row r="291">
      <c r="A291" s="3" t="inlineStr">
        <is>
          <t>10290</t>
        </is>
      </c>
      <c r="B291" s="9" t="n">
        <v>79.5</v>
      </c>
      <c r="C291" s="3" t="inlineStr">
        <is>
          <t>703</t>
        </is>
      </c>
      <c r="D291" s="10" t="n">
        <v>45686.34625</v>
      </c>
      <c r="E291" s="10" t="n">
        <v>45686.34625</v>
      </c>
      <c r="F291" s="10" t="n">
        <v>45686.34802083333</v>
      </c>
      <c r="G291" s="10" t="n">
        <v>45686.34802083333</v>
      </c>
      <c r="H291" s="10" t="n">
        <v>45686.35079861111</v>
      </c>
      <c r="I291" s="10" t="n">
        <v>45686.35241898148</v>
      </c>
      <c r="J291" s="10" t="n">
        <v>45686.35241898148</v>
      </c>
      <c r="K291" s="10" t="n">
        <v>45686.35329861111</v>
      </c>
      <c r="L291" s="10" t="n">
        <v>45686.35652777777</v>
      </c>
      <c r="M291" s="11">
        <f>IF(AND(ISNUMBER(D291),ISNUMBER(E291)),(E291-D291),"")</f>
        <v/>
      </c>
      <c r="N291" s="11">
        <f>IF(AND(ISNUMBER(E291),ISNUMBER(F291)),(F291-E291),"")</f>
        <v/>
      </c>
      <c r="O291" s="11">
        <f>IF(AND(ISNUMBER(G291),ISNUMBER(H291)),(H291-G291),"")</f>
        <v/>
      </c>
      <c r="P291" s="11">
        <f>IF(AND(ISNUMBER(H291),ISNUMBER(I291)),(I291-H291),"")</f>
        <v/>
      </c>
      <c r="Q291" s="11">
        <f>IF(AND(ISNUMBER(J291),ISNUMBER(K291)),(K291-J291),"")</f>
        <v/>
      </c>
      <c r="R291" s="11">
        <f>IF(AND(ISNUMBER(K291),ISNUMBER(L291)),(L291-K291),"")</f>
        <v/>
      </c>
      <c r="S291" s="11">
        <f>IF(AND(ISNUMBER(F291),ISNUMBER(L291)),(L291-F291),"")</f>
        <v/>
      </c>
      <c r="T291" s="11">
        <f>IF(AND(ISNUMBER(D291),ISNUMBER(L291)),(L291-D291),"")</f>
        <v/>
      </c>
    </row>
    <row r="292">
      <c r="A292" s="3" t="inlineStr">
        <is>
          <t>10291</t>
        </is>
      </c>
      <c r="B292" s="9" t="n">
        <v>436</v>
      </c>
      <c r="C292" s="3" t="inlineStr">
        <is>
          <t>703</t>
        </is>
      </c>
      <c r="D292" s="10" t="n">
        <v>45686.37605324074</v>
      </c>
      <c r="E292" s="10" t="n">
        <v>45686.37605324074</v>
      </c>
      <c r="F292" s="10" t="n">
        <v>45686.3786574074</v>
      </c>
      <c r="G292" s="10" t="n">
        <v>45686.3786574074</v>
      </c>
      <c r="H292" s="10" t="n">
        <v>45686.38143518518</v>
      </c>
      <c r="I292" s="10" t="n">
        <v>45686.39427083333</v>
      </c>
      <c r="J292" s="10" t="n">
        <v>45686.39427083333</v>
      </c>
      <c r="K292" s="10" t="n">
        <v>45686.39513888889</v>
      </c>
      <c r="L292" s="10" t="n">
        <v>45686.40734953704</v>
      </c>
      <c r="M292" s="11">
        <f>IF(AND(ISNUMBER(D292),ISNUMBER(E292)),(E292-D292),"")</f>
        <v/>
      </c>
      <c r="N292" s="11">
        <f>IF(AND(ISNUMBER(E292),ISNUMBER(F292)),(F292-E292),"")</f>
        <v/>
      </c>
      <c r="O292" s="11">
        <f>IF(AND(ISNUMBER(G292),ISNUMBER(H292)),(H292-G292),"")</f>
        <v/>
      </c>
      <c r="P292" s="11">
        <f>IF(AND(ISNUMBER(H292),ISNUMBER(I292)),(I292-H292),"")</f>
        <v/>
      </c>
      <c r="Q292" s="11">
        <f>IF(AND(ISNUMBER(J292),ISNUMBER(K292)),(K292-J292),"")</f>
        <v/>
      </c>
      <c r="R292" s="11">
        <f>IF(AND(ISNUMBER(K292),ISNUMBER(L292)),(L292-K292),"")</f>
        <v/>
      </c>
      <c r="S292" s="11">
        <f>IF(AND(ISNUMBER(F292),ISNUMBER(L292)),(L292-F292),"")</f>
        <v/>
      </c>
      <c r="T292" s="11">
        <f>IF(AND(ISNUMBER(D292),ISNUMBER(L292)),(L292-D292),"")</f>
        <v/>
      </c>
    </row>
    <row r="293">
      <c r="A293" s="3" t="inlineStr">
        <is>
          <t>10292</t>
        </is>
      </c>
      <c r="B293" s="9" t="n">
        <v>241.3</v>
      </c>
      <c r="C293" s="3" t="inlineStr">
        <is>
          <t>703</t>
        </is>
      </c>
      <c r="D293" s="10" t="n">
        <v>45686.43738425926</v>
      </c>
      <c r="E293" s="10" t="n">
        <v>45686.43738425926</v>
      </c>
      <c r="F293" s="10" t="n">
        <v>45686.43953703704</v>
      </c>
      <c r="G293" s="10" t="n">
        <v>45686.43953703704</v>
      </c>
      <c r="H293" s="10" t="n">
        <v>45686.44231481481</v>
      </c>
      <c r="I293" s="10" t="n">
        <v>45686.44517361111</v>
      </c>
      <c r="J293" s="10" t="n">
        <v>45686.44517361111</v>
      </c>
      <c r="K293" s="10" t="n">
        <v>45686.44605324074</v>
      </c>
      <c r="L293" s="10" t="n">
        <v>45686.44965277778</v>
      </c>
      <c r="M293" s="11">
        <f>IF(AND(ISNUMBER(D293),ISNUMBER(E293)),(E293-D293),"")</f>
        <v/>
      </c>
      <c r="N293" s="11">
        <f>IF(AND(ISNUMBER(E293),ISNUMBER(F293)),(F293-E293),"")</f>
        <v/>
      </c>
      <c r="O293" s="11">
        <f>IF(AND(ISNUMBER(G293),ISNUMBER(H293)),(H293-G293),"")</f>
        <v/>
      </c>
      <c r="P293" s="11">
        <f>IF(AND(ISNUMBER(H293),ISNUMBER(I293)),(I293-H293),"")</f>
        <v/>
      </c>
      <c r="Q293" s="11">
        <f>IF(AND(ISNUMBER(J293),ISNUMBER(K293)),(K293-J293),"")</f>
        <v/>
      </c>
      <c r="R293" s="11">
        <f>IF(AND(ISNUMBER(K293),ISNUMBER(L293)),(L293-K293),"")</f>
        <v/>
      </c>
      <c r="S293" s="11">
        <f>IF(AND(ISNUMBER(F293),ISNUMBER(L293)),(L293-F293),"")</f>
        <v/>
      </c>
      <c r="T293" s="11">
        <f>IF(AND(ISNUMBER(D293),ISNUMBER(L293)),(L293-D293),"")</f>
        <v/>
      </c>
    </row>
    <row r="294">
      <c r="A294" s="3" t="inlineStr">
        <is>
          <t>10293</t>
        </is>
      </c>
      <c r="B294" s="9" t="n">
        <v>259.66</v>
      </c>
      <c r="C294" s="3" t="inlineStr">
        <is>
          <t>703</t>
        </is>
      </c>
      <c r="D294" s="10" t="n">
        <v>45686.54465277777</v>
      </c>
      <c r="E294" s="10" t="n">
        <v>45686.54465277777</v>
      </c>
      <c r="F294" s="10" t="n">
        <v>45686.54684027778</v>
      </c>
      <c r="G294" s="10" t="n">
        <v>45686.54684027778</v>
      </c>
      <c r="H294" s="10" t="n">
        <v>45686.54961805556</v>
      </c>
      <c r="I294" s="10" t="n">
        <v>45686.55168981481</v>
      </c>
      <c r="J294" s="10" t="n">
        <v>45686.55168981481</v>
      </c>
      <c r="K294" s="10" t="n">
        <v>45686.55255787037</v>
      </c>
      <c r="L294" s="10" t="n">
        <v>45686.55428240741</v>
      </c>
      <c r="M294" s="11">
        <f>IF(AND(ISNUMBER(D294),ISNUMBER(E294)),(E294-D294),"")</f>
        <v/>
      </c>
      <c r="N294" s="11">
        <f>IF(AND(ISNUMBER(E294),ISNUMBER(F294)),(F294-E294),"")</f>
        <v/>
      </c>
      <c r="O294" s="11">
        <f>IF(AND(ISNUMBER(G294),ISNUMBER(H294)),(H294-G294),"")</f>
        <v/>
      </c>
      <c r="P294" s="11">
        <f>IF(AND(ISNUMBER(H294),ISNUMBER(I294)),(I294-H294),"")</f>
        <v/>
      </c>
      <c r="Q294" s="11">
        <f>IF(AND(ISNUMBER(J294),ISNUMBER(K294)),(K294-J294),"")</f>
        <v/>
      </c>
      <c r="R294" s="11">
        <f>IF(AND(ISNUMBER(K294),ISNUMBER(L294)),(L294-K294),"")</f>
        <v/>
      </c>
      <c r="S294" s="11">
        <f>IF(AND(ISNUMBER(F294),ISNUMBER(L294)),(L294-F294),"")</f>
        <v/>
      </c>
      <c r="T294" s="11">
        <f>IF(AND(ISNUMBER(D294),ISNUMBER(L294)),(L294-D294),"")</f>
        <v/>
      </c>
    </row>
    <row r="295">
      <c r="A295" s="3" t="inlineStr">
        <is>
          <t>10294</t>
        </is>
      </c>
      <c r="B295" s="9" t="n">
        <v>398.0400000000001</v>
      </c>
      <c r="C295" s="3" t="inlineStr">
        <is>
          <t>703</t>
        </is>
      </c>
      <c r="D295" s="10" t="n">
        <v>45686.60335648148</v>
      </c>
      <c r="E295" s="10" t="n">
        <v>45686.60335648148</v>
      </c>
      <c r="F295" s="10" t="n">
        <v>45686.60586805556</v>
      </c>
      <c r="G295" s="10" t="n">
        <v>45686.60586805556</v>
      </c>
      <c r="H295" s="10" t="n">
        <v>45686.60864583333</v>
      </c>
      <c r="I295" s="10" t="n">
        <v>45686.61170138889</v>
      </c>
      <c r="J295" s="10" t="n">
        <v>45686.61170138889</v>
      </c>
      <c r="K295" s="10" t="n">
        <v>45686.61258101852</v>
      </c>
      <c r="L295" s="10" t="n">
        <v>45686.61462962963</v>
      </c>
      <c r="M295" s="11">
        <f>IF(AND(ISNUMBER(D295),ISNUMBER(E295)),(E295-D295),"")</f>
        <v/>
      </c>
      <c r="N295" s="11">
        <f>IF(AND(ISNUMBER(E295),ISNUMBER(F295)),(F295-E295),"")</f>
        <v/>
      </c>
      <c r="O295" s="11">
        <f>IF(AND(ISNUMBER(G295),ISNUMBER(H295)),(H295-G295),"")</f>
        <v/>
      </c>
      <c r="P295" s="11">
        <f>IF(AND(ISNUMBER(H295),ISNUMBER(I295)),(I295-H295),"")</f>
        <v/>
      </c>
      <c r="Q295" s="11">
        <f>IF(AND(ISNUMBER(J295),ISNUMBER(K295)),(K295-J295),"")</f>
        <v/>
      </c>
      <c r="R295" s="11">
        <f>IF(AND(ISNUMBER(K295),ISNUMBER(L295)),(L295-K295),"")</f>
        <v/>
      </c>
      <c r="S295" s="11">
        <f>IF(AND(ISNUMBER(F295),ISNUMBER(L295)),(L295-F295),"")</f>
        <v/>
      </c>
      <c r="T295" s="11">
        <f>IF(AND(ISNUMBER(D295),ISNUMBER(L295)),(L295-D295),"")</f>
        <v/>
      </c>
    </row>
    <row r="296">
      <c r="A296" s="3" t="inlineStr">
        <is>
          <t>10295</t>
        </is>
      </c>
      <c r="B296" s="9" t="n">
        <v>504.14</v>
      </c>
      <c r="C296" s="3" t="inlineStr">
        <is>
          <t>703</t>
        </is>
      </c>
      <c r="D296" s="10" t="n">
        <v>45686.61792824074</v>
      </c>
      <c r="E296" s="10" t="n">
        <v>45686.61792824074</v>
      </c>
      <c r="F296" s="10" t="n">
        <v>45686.62068287037</v>
      </c>
      <c r="G296" s="10" t="n">
        <v>45686.62068287037</v>
      </c>
      <c r="H296" s="10" t="n">
        <v>45686.62346064814</v>
      </c>
      <c r="I296" s="10" t="n">
        <v>45686.63789351852</v>
      </c>
      <c r="J296" s="10" t="n">
        <v>45686.63789351852</v>
      </c>
      <c r="K296" s="10" t="n">
        <v>45686.63876157408</v>
      </c>
      <c r="L296" s="10" t="n">
        <v>45686.65472222222</v>
      </c>
      <c r="M296" s="11">
        <f>IF(AND(ISNUMBER(D296),ISNUMBER(E296)),(E296-D296),"")</f>
        <v/>
      </c>
      <c r="N296" s="11">
        <f>IF(AND(ISNUMBER(E296),ISNUMBER(F296)),(F296-E296),"")</f>
        <v/>
      </c>
      <c r="O296" s="11">
        <f>IF(AND(ISNUMBER(G296),ISNUMBER(H296)),(H296-G296),"")</f>
        <v/>
      </c>
      <c r="P296" s="11">
        <f>IF(AND(ISNUMBER(H296),ISNUMBER(I296)),(I296-H296),"")</f>
        <v/>
      </c>
      <c r="Q296" s="11">
        <f>IF(AND(ISNUMBER(J296),ISNUMBER(K296)),(K296-J296),"")</f>
        <v/>
      </c>
      <c r="R296" s="11">
        <f>IF(AND(ISNUMBER(K296),ISNUMBER(L296)),(L296-K296),"")</f>
        <v/>
      </c>
      <c r="S296" s="11">
        <f>IF(AND(ISNUMBER(F296),ISNUMBER(L296)),(L296-F296),"")</f>
        <v/>
      </c>
      <c r="T296" s="11">
        <f>IF(AND(ISNUMBER(D296),ISNUMBER(L296)),(L296-D296),"")</f>
        <v/>
      </c>
    </row>
    <row r="297">
      <c r="A297" s="3" t="inlineStr">
        <is>
          <t>10296</t>
        </is>
      </c>
      <c r="B297" s="9" t="n">
        <v>15.74</v>
      </c>
      <c r="C297" s="3" t="inlineStr">
        <is>
          <t>731</t>
        </is>
      </c>
      <c r="D297" s="10" t="n">
        <v>45686.65853009259</v>
      </c>
      <c r="E297" s="10" t="n">
        <v>45686.65853009259</v>
      </c>
      <c r="F297" s="10" t="n">
        <v>45686.6597800926</v>
      </c>
      <c r="G297" s="10" t="n">
        <v>45686.6597800926</v>
      </c>
      <c r="H297" s="10" t="n">
        <v>45686.66255787037</v>
      </c>
      <c r="I297" s="10" t="n">
        <v>45686.66269675926</v>
      </c>
      <c r="J297" s="10" t="n">
        <v>45686.66269675926</v>
      </c>
      <c r="K297" s="10" t="n">
        <v>45686.6634837963</v>
      </c>
      <c r="L297" s="10" t="n">
        <v>45686.6634837963</v>
      </c>
      <c r="M297" s="11">
        <f>IF(AND(ISNUMBER(D297),ISNUMBER(E297)),(E297-D297),"")</f>
        <v/>
      </c>
      <c r="N297" s="11">
        <f>IF(AND(ISNUMBER(E297),ISNUMBER(F297)),(F297-E297),"")</f>
        <v/>
      </c>
      <c r="O297" s="11">
        <f>IF(AND(ISNUMBER(G297),ISNUMBER(H297)),(H297-G297),"")</f>
        <v/>
      </c>
      <c r="P297" s="11">
        <f>IF(AND(ISNUMBER(H297),ISNUMBER(I297)),(I297-H297),"")</f>
        <v/>
      </c>
      <c r="Q297" s="11">
        <f>IF(AND(ISNUMBER(J297),ISNUMBER(K297)),(K297-J297),"")</f>
        <v/>
      </c>
      <c r="R297" s="11">
        <f>IF(AND(ISNUMBER(K297),ISNUMBER(L297)),(L297-K297),"")</f>
        <v/>
      </c>
      <c r="S297" s="11">
        <f>IF(AND(ISNUMBER(F297),ISNUMBER(L297)),(L297-F297),"")</f>
        <v/>
      </c>
      <c r="T297" s="11">
        <f>IF(AND(ISNUMBER(D297),ISNUMBER(L297)),(L297-D297),"")</f>
        <v/>
      </c>
    </row>
    <row r="298">
      <c r="A298" s="3" t="inlineStr">
        <is>
          <t>10297</t>
        </is>
      </c>
      <c r="B298" s="9" t="n">
        <v>302.1200000000001</v>
      </c>
      <c r="C298" s="3" t="inlineStr">
        <is>
          <t>703</t>
        </is>
      </c>
      <c r="D298" s="10" t="n">
        <v>45686.72850694445</v>
      </c>
      <c r="E298" s="10" t="n">
        <v>45686.72850694445</v>
      </c>
      <c r="F298" s="10" t="n">
        <v>45686.73079861111</v>
      </c>
      <c r="G298" s="10" t="n">
        <v>45686.73079861111</v>
      </c>
      <c r="H298" s="10" t="n">
        <v>45686.73357638889</v>
      </c>
      <c r="I298" s="10" t="n">
        <v>45686.73579861111</v>
      </c>
      <c r="J298" s="10" t="n">
        <v>45686.73579861111</v>
      </c>
      <c r="K298" s="10" t="n">
        <v>45686.73666666666</v>
      </c>
      <c r="L298" s="10" t="n">
        <v>45686.73849537037</v>
      </c>
      <c r="M298" s="11">
        <f>IF(AND(ISNUMBER(D298),ISNUMBER(E298)),(E298-D298),"")</f>
        <v/>
      </c>
      <c r="N298" s="11">
        <f>IF(AND(ISNUMBER(E298),ISNUMBER(F298)),(F298-E298),"")</f>
        <v/>
      </c>
      <c r="O298" s="11">
        <f>IF(AND(ISNUMBER(G298),ISNUMBER(H298)),(H298-G298),"")</f>
        <v/>
      </c>
      <c r="P298" s="11">
        <f>IF(AND(ISNUMBER(H298),ISNUMBER(I298)),(I298-H298),"")</f>
        <v/>
      </c>
      <c r="Q298" s="11">
        <f>IF(AND(ISNUMBER(J298),ISNUMBER(K298)),(K298-J298),"")</f>
        <v/>
      </c>
      <c r="R298" s="11">
        <f>IF(AND(ISNUMBER(K298),ISNUMBER(L298)),(L298-K298),"")</f>
        <v/>
      </c>
      <c r="S298" s="11">
        <f>IF(AND(ISNUMBER(F298),ISNUMBER(L298)),(L298-F298),"")</f>
        <v/>
      </c>
      <c r="T298" s="11">
        <f>IF(AND(ISNUMBER(D298),ISNUMBER(L298)),(L298-D298),"")</f>
        <v/>
      </c>
    </row>
    <row r="299">
      <c r="A299" s="3" t="inlineStr">
        <is>
          <t>10298</t>
        </is>
      </c>
      <c r="B299" s="9" t="n">
        <v>377.42</v>
      </c>
      <c r="C299" s="3" t="inlineStr">
        <is>
          <t>727</t>
        </is>
      </c>
      <c r="D299" s="10" t="n">
        <v>45686.73331018518</v>
      </c>
      <c r="E299" s="10" t="n">
        <v>45686.73331018518</v>
      </c>
      <c r="F299" s="10" t="n">
        <v>45686.73533564815</v>
      </c>
      <c r="G299" s="10" t="n">
        <v>45686.73533564815</v>
      </c>
      <c r="H299" s="10" t="n">
        <v>45686.73811342593</v>
      </c>
      <c r="I299" s="10" t="n">
        <v>45686.75237268519</v>
      </c>
      <c r="J299" s="10" t="n">
        <v>45686.75237268519</v>
      </c>
      <c r="K299" s="10" t="n">
        <v>45686.75324074074</v>
      </c>
      <c r="L299" s="10" t="n">
        <v>45686.77116898148</v>
      </c>
      <c r="M299" s="11">
        <f>IF(AND(ISNUMBER(D299),ISNUMBER(E299)),(E299-D299),"")</f>
        <v/>
      </c>
      <c r="N299" s="11">
        <f>IF(AND(ISNUMBER(E299),ISNUMBER(F299)),(F299-E299),"")</f>
        <v/>
      </c>
      <c r="O299" s="11">
        <f>IF(AND(ISNUMBER(G299),ISNUMBER(H299)),(H299-G299),"")</f>
        <v/>
      </c>
      <c r="P299" s="11">
        <f>IF(AND(ISNUMBER(H299),ISNUMBER(I299)),(I299-H299),"")</f>
        <v/>
      </c>
      <c r="Q299" s="11">
        <f>IF(AND(ISNUMBER(J299),ISNUMBER(K299)),(K299-J299),"")</f>
        <v/>
      </c>
      <c r="R299" s="11">
        <f>IF(AND(ISNUMBER(K299),ISNUMBER(L299)),(L299-K299),"")</f>
        <v/>
      </c>
      <c r="S299" s="11">
        <f>IF(AND(ISNUMBER(F299),ISNUMBER(L299)),(L299-F299),"")</f>
        <v/>
      </c>
      <c r="T299" s="11">
        <f>IF(AND(ISNUMBER(D299),ISNUMBER(L299)),(L299-D299),"")</f>
        <v/>
      </c>
    </row>
    <row r="300">
      <c r="A300" s="3" t="inlineStr">
        <is>
          <t>10299</t>
        </is>
      </c>
      <c r="B300" s="9" t="n">
        <v>380.8200000000001</v>
      </c>
      <c r="C300" s="3" t="inlineStr">
        <is>
          <t>703</t>
        </is>
      </c>
      <c r="D300" s="10" t="n">
        <v>45686.86508101852</v>
      </c>
      <c r="E300" s="10" t="n">
        <v>45686.86508101852</v>
      </c>
      <c r="F300" s="10" t="n">
        <v>45686.86755787037</v>
      </c>
      <c r="G300" s="10" t="n">
        <v>45686.86755787037</v>
      </c>
      <c r="H300" s="10" t="n">
        <v>45686.87033564815</v>
      </c>
      <c r="I300" s="10" t="n">
        <v>45686.87364583334</v>
      </c>
      <c r="J300" s="10" t="n">
        <v>45686.87364583334</v>
      </c>
      <c r="K300" s="10" t="n">
        <v>45686.87451388889</v>
      </c>
      <c r="L300" s="10" t="n">
        <v>45686.87708333333</v>
      </c>
      <c r="M300" s="11">
        <f>IF(AND(ISNUMBER(D300),ISNUMBER(E300)),(E300-D300),"")</f>
        <v/>
      </c>
      <c r="N300" s="11">
        <f>IF(AND(ISNUMBER(E300),ISNUMBER(F300)),(F300-E300),"")</f>
        <v/>
      </c>
      <c r="O300" s="11">
        <f>IF(AND(ISNUMBER(G300),ISNUMBER(H300)),(H300-G300),"")</f>
        <v/>
      </c>
      <c r="P300" s="11">
        <f>IF(AND(ISNUMBER(H300),ISNUMBER(I300)),(I300-H300),"")</f>
        <v/>
      </c>
      <c r="Q300" s="11">
        <f>IF(AND(ISNUMBER(J300),ISNUMBER(K300)),(K300-J300),"")</f>
        <v/>
      </c>
      <c r="R300" s="11">
        <f>IF(AND(ISNUMBER(K300),ISNUMBER(L300)),(L300-K300),"")</f>
        <v/>
      </c>
      <c r="S300" s="11">
        <f>IF(AND(ISNUMBER(F300),ISNUMBER(L300)),(L300-F300),"")</f>
        <v/>
      </c>
      <c r="T300" s="11">
        <f>IF(AND(ISNUMBER(D300),ISNUMBER(L300)),(L300-D300),"")</f>
        <v/>
      </c>
    </row>
    <row r="301">
      <c r="A301" s="3" t="inlineStr">
        <is>
          <t>10300</t>
        </is>
      </c>
      <c r="B301" s="9" t="n">
        <v>136.9</v>
      </c>
      <c r="C301" s="3" t="inlineStr">
        <is>
          <t>703</t>
        </is>
      </c>
      <c r="D301" s="10" t="n">
        <v>45687.11238425926</v>
      </c>
      <c r="E301" s="10" t="n">
        <v>45687.11238425926</v>
      </c>
      <c r="F301" s="10" t="n">
        <v>45687.11429398148</v>
      </c>
      <c r="G301" s="10" t="n">
        <v>45687.11429398148</v>
      </c>
      <c r="H301" s="10" t="n">
        <v>45687.11707175926</v>
      </c>
      <c r="I301" s="10" t="n">
        <v>45687.12230324074</v>
      </c>
      <c r="J301" s="10" t="n">
        <v>45687.12230324074</v>
      </c>
      <c r="K301" s="10" t="n">
        <v>45687.1231712963</v>
      </c>
      <c r="L301" s="10" t="n">
        <v>45687.13140046296</v>
      </c>
      <c r="M301" s="11">
        <f>IF(AND(ISNUMBER(D301),ISNUMBER(E301)),(E301-D301),"")</f>
        <v/>
      </c>
      <c r="N301" s="11">
        <f>IF(AND(ISNUMBER(E301),ISNUMBER(F301)),(F301-E301),"")</f>
        <v/>
      </c>
      <c r="O301" s="11">
        <f>IF(AND(ISNUMBER(G301),ISNUMBER(H301)),(H301-G301),"")</f>
        <v/>
      </c>
      <c r="P301" s="11">
        <f>IF(AND(ISNUMBER(H301),ISNUMBER(I301)),(I301-H301),"")</f>
        <v/>
      </c>
      <c r="Q301" s="11">
        <f>IF(AND(ISNUMBER(J301),ISNUMBER(K301)),(K301-J301),"")</f>
        <v/>
      </c>
      <c r="R301" s="11">
        <f>IF(AND(ISNUMBER(K301),ISNUMBER(L301)),(L301-K301),"")</f>
        <v/>
      </c>
      <c r="S301" s="11">
        <f>IF(AND(ISNUMBER(F301),ISNUMBER(L301)),(L301-F301),"")</f>
        <v/>
      </c>
      <c r="T301" s="11">
        <f>IF(AND(ISNUMBER(D301),ISNUMBER(L301)),(L301-D301),"")</f>
        <v/>
      </c>
    </row>
    <row r="302">
      <c r="A302" s="3" t="inlineStr">
        <is>
          <t>10301</t>
        </is>
      </c>
      <c r="B302" s="9" t="n">
        <v>297</v>
      </c>
      <c r="C302" s="3" t="inlineStr">
        <is>
          <t>703</t>
        </is>
      </c>
      <c r="D302" s="10" t="n">
        <v>45687.26184027778</v>
      </c>
      <c r="E302" s="10" t="n">
        <v>45687.26184027778</v>
      </c>
      <c r="F302" s="10" t="n">
        <v>45687.26412037037</v>
      </c>
      <c r="G302" s="10" t="n">
        <v>45687.26412037037</v>
      </c>
      <c r="H302" s="10" t="n">
        <v>45687.26689814815</v>
      </c>
      <c r="I302" s="10" t="n">
        <v>45687.26949074074</v>
      </c>
      <c r="J302" s="10" t="n">
        <v>45687.26949074074</v>
      </c>
      <c r="K302" s="10" t="n">
        <v>45687.2703587963</v>
      </c>
      <c r="L302" s="10" t="n">
        <v>45687.27228009259</v>
      </c>
      <c r="M302" s="11">
        <f>IF(AND(ISNUMBER(D302),ISNUMBER(E302)),(E302-D302),"")</f>
        <v/>
      </c>
      <c r="N302" s="11">
        <f>IF(AND(ISNUMBER(E302),ISNUMBER(F302)),(F302-E302),"")</f>
        <v/>
      </c>
      <c r="O302" s="11">
        <f>IF(AND(ISNUMBER(G302),ISNUMBER(H302)),(H302-G302),"")</f>
        <v/>
      </c>
      <c r="P302" s="11">
        <f>IF(AND(ISNUMBER(H302),ISNUMBER(I302)),(I302-H302),"")</f>
        <v/>
      </c>
      <c r="Q302" s="11">
        <f>IF(AND(ISNUMBER(J302),ISNUMBER(K302)),(K302-J302),"")</f>
        <v/>
      </c>
      <c r="R302" s="11">
        <f>IF(AND(ISNUMBER(K302),ISNUMBER(L302)),(L302-K302),"")</f>
        <v/>
      </c>
      <c r="S302" s="11">
        <f>IF(AND(ISNUMBER(F302),ISNUMBER(L302)),(L302-F302),"")</f>
        <v/>
      </c>
      <c r="T302" s="11">
        <f>IF(AND(ISNUMBER(D302),ISNUMBER(L302)),(L302-D302),"")</f>
        <v/>
      </c>
    </row>
    <row r="303">
      <c r="A303" s="3" t="inlineStr">
        <is>
          <t>10302</t>
        </is>
      </c>
      <c r="B303" s="9" t="n">
        <v>336.5</v>
      </c>
      <c r="C303" s="3" t="inlineStr">
        <is>
          <t>703</t>
        </is>
      </c>
      <c r="D303" s="10" t="n">
        <v>45687.28871527778</v>
      </c>
      <c r="E303" s="10" t="n">
        <v>45687.28871527778</v>
      </c>
      <c r="F303" s="10" t="n">
        <v>45687.29108796296</v>
      </c>
      <c r="G303" s="10" t="n">
        <v>45687.29108796296</v>
      </c>
      <c r="H303" s="10" t="n">
        <v>45687.29386574074</v>
      </c>
      <c r="I303" s="10" t="n">
        <v>45687.29646990741</v>
      </c>
      <c r="J303" s="10" t="n">
        <v>45687.29646990741</v>
      </c>
      <c r="K303" s="10" t="n">
        <v>45687.29734953704</v>
      </c>
      <c r="L303" s="10" t="n">
        <v>45687.29734953704</v>
      </c>
      <c r="M303" s="11">
        <f>IF(AND(ISNUMBER(D303),ISNUMBER(E303)),(E303-D303),"")</f>
        <v/>
      </c>
      <c r="N303" s="11">
        <f>IF(AND(ISNUMBER(E303),ISNUMBER(F303)),(F303-E303),"")</f>
        <v/>
      </c>
      <c r="O303" s="11">
        <f>IF(AND(ISNUMBER(G303),ISNUMBER(H303)),(H303-G303),"")</f>
        <v/>
      </c>
      <c r="P303" s="11">
        <f>IF(AND(ISNUMBER(H303),ISNUMBER(I303)),(I303-H303),"")</f>
        <v/>
      </c>
      <c r="Q303" s="11">
        <f>IF(AND(ISNUMBER(J303),ISNUMBER(K303)),(K303-J303),"")</f>
        <v/>
      </c>
      <c r="R303" s="11">
        <f>IF(AND(ISNUMBER(K303),ISNUMBER(L303)),(L303-K303),"")</f>
        <v/>
      </c>
      <c r="S303" s="11">
        <f>IF(AND(ISNUMBER(F303),ISNUMBER(L303)),(L303-F303),"")</f>
        <v/>
      </c>
      <c r="T303" s="11">
        <f>IF(AND(ISNUMBER(D303),ISNUMBER(L303)),(L303-D303),"")</f>
        <v/>
      </c>
    </row>
    <row r="304">
      <c r="A304" s="3" t="inlineStr">
        <is>
          <t>10303</t>
        </is>
      </c>
      <c r="B304" s="9" t="n">
        <v>598.8799999999999</v>
      </c>
      <c r="C304" s="3" t="inlineStr">
        <is>
          <t>725</t>
        </is>
      </c>
      <c r="D304" s="10" t="n">
        <v>45687.3000462963</v>
      </c>
      <c r="E304" s="10" t="n">
        <v>45687.3000462963</v>
      </c>
      <c r="F304" s="10" t="n">
        <v>45687.30241898148</v>
      </c>
      <c r="G304" s="10" t="n">
        <v>45687.30241898148</v>
      </c>
      <c r="H304" s="10" t="n">
        <v>45687.30519675926</v>
      </c>
      <c r="I304" s="10" t="n">
        <v>45687.32302083333</v>
      </c>
      <c r="J304" s="10" t="n">
        <v>45687.32302083333</v>
      </c>
      <c r="K304" s="10" t="n">
        <v>45687.32388888889</v>
      </c>
      <c r="L304" s="10" t="n">
        <v>45687.3394212963</v>
      </c>
      <c r="M304" s="11">
        <f>IF(AND(ISNUMBER(D304),ISNUMBER(E304)),(E304-D304),"")</f>
        <v/>
      </c>
      <c r="N304" s="11">
        <f>IF(AND(ISNUMBER(E304),ISNUMBER(F304)),(F304-E304),"")</f>
        <v/>
      </c>
      <c r="O304" s="11">
        <f>IF(AND(ISNUMBER(G304),ISNUMBER(H304)),(H304-G304),"")</f>
        <v/>
      </c>
      <c r="P304" s="11">
        <f>IF(AND(ISNUMBER(H304),ISNUMBER(I304)),(I304-H304),"")</f>
        <v/>
      </c>
      <c r="Q304" s="11">
        <f>IF(AND(ISNUMBER(J304),ISNUMBER(K304)),(K304-J304),"")</f>
        <v/>
      </c>
      <c r="R304" s="11">
        <f>IF(AND(ISNUMBER(K304),ISNUMBER(L304)),(L304-K304),"")</f>
        <v/>
      </c>
      <c r="S304" s="11">
        <f>IF(AND(ISNUMBER(F304),ISNUMBER(L304)),(L304-F304),"")</f>
        <v/>
      </c>
      <c r="T304" s="11">
        <f>IF(AND(ISNUMBER(D304),ISNUMBER(L304)),(L304-D304),"")</f>
        <v/>
      </c>
    </row>
    <row r="305">
      <c r="A305" s="3" t="inlineStr">
        <is>
          <t>10304</t>
        </is>
      </c>
      <c r="B305" s="9" t="n">
        <v>380.8200000000001</v>
      </c>
      <c r="C305" s="3" t="inlineStr">
        <is>
          <t>703</t>
        </is>
      </c>
      <c r="D305" s="10" t="n">
        <v>45687.32748842592</v>
      </c>
      <c r="E305" s="10" t="n">
        <v>45687.32748842592</v>
      </c>
      <c r="F305" s="10" t="n">
        <v>45687.32996527778</v>
      </c>
      <c r="G305" s="10" t="n">
        <v>45687.32996527778</v>
      </c>
      <c r="H305" s="10" t="n">
        <v>45687.33274305556</v>
      </c>
      <c r="I305" s="10" t="n">
        <v>45687.33605324074</v>
      </c>
      <c r="J305" s="10" t="n">
        <v>45687.33605324074</v>
      </c>
      <c r="K305" s="10" t="n">
        <v>45687.34030092593</v>
      </c>
      <c r="L305" s="10" t="n">
        <v>45687.34275462963</v>
      </c>
      <c r="M305" s="11">
        <f>IF(AND(ISNUMBER(D305),ISNUMBER(E305)),(E305-D305),"")</f>
        <v/>
      </c>
      <c r="N305" s="11">
        <f>IF(AND(ISNUMBER(E305),ISNUMBER(F305)),(F305-E305),"")</f>
        <v/>
      </c>
      <c r="O305" s="11">
        <f>IF(AND(ISNUMBER(G305),ISNUMBER(H305)),(H305-G305),"")</f>
        <v/>
      </c>
      <c r="P305" s="11">
        <f>IF(AND(ISNUMBER(H305),ISNUMBER(I305)),(I305-H305),"")</f>
        <v/>
      </c>
      <c r="Q305" s="11">
        <f>IF(AND(ISNUMBER(J305),ISNUMBER(K305)),(K305-J305),"")</f>
        <v/>
      </c>
      <c r="R305" s="11">
        <f>IF(AND(ISNUMBER(K305),ISNUMBER(L305)),(L305-K305),"")</f>
        <v/>
      </c>
      <c r="S305" s="11">
        <f>IF(AND(ISNUMBER(F305),ISNUMBER(L305)),(L305-F305),"")</f>
        <v/>
      </c>
      <c r="T305" s="11">
        <f>IF(AND(ISNUMBER(D305),ISNUMBER(L305)),(L305-D305),"")</f>
        <v/>
      </c>
    </row>
    <row r="306">
      <c r="A306" s="3" t="inlineStr">
        <is>
          <t>10305</t>
        </is>
      </c>
      <c r="B306" s="9" t="n">
        <v>213.1</v>
      </c>
      <c r="C306" s="3" t="inlineStr">
        <is>
          <t>703</t>
        </is>
      </c>
      <c r="D306" s="10" t="n">
        <v>45687.3483912037</v>
      </c>
      <c r="E306" s="10" t="n">
        <v>45687.3483912037</v>
      </c>
      <c r="F306" s="10" t="n">
        <v>45687.35047453704</v>
      </c>
      <c r="G306" s="10" t="n">
        <v>45687.35047453704</v>
      </c>
      <c r="H306" s="10" t="n">
        <v>45687.35325231482</v>
      </c>
      <c r="I306" s="10" t="n">
        <v>45687.35740740741</v>
      </c>
      <c r="J306" s="10" t="n">
        <v>45687.35740740741</v>
      </c>
      <c r="K306" s="10" t="n">
        <v>45687.35827546296</v>
      </c>
      <c r="L306" s="10" t="n">
        <v>45687.36032407408</v>
      </c>
      <c r="M306" s="11">
        <f>IF(AND(ISNUMBER(D306),ISNUMBER(E306)),(E306-D306),"")</f>
        <v/>
      </c>
      <c r="N306" s="11">
        <f>IF(AND(ISNUMBER(E306),ISNUMBER(F306)),(F306-E306),"")</f>
        <v/>
      </c>
      <c r="O306" s="11">
        <f>IF(AND(ISNUMBER(G306),ISNUMBER(H306)),(H306-G306),"")</f>
        <v/>
      </c>
      <c r="P306" s="11">
        <f>IF(AND(ISNUMBER(H306),ISNUMBER(I306)),(I306-H306),"")</f>
        <v/>
      </c>
      <c r="Q306" s="11">
        <f>IF(AND(ISNUMBER(J306),ISNUMBER(K306)),(K306-J306),"")</f>
        <v/>
      </c>
      <c r="R306" s="11">
        <f>IF(AND(ISNUMBER(K306),ISNUMBER(L306)),(L306-K306),"")</f>
        <v/>
      </c>
      <c r="S306" s="11">
        <f>IF(AND(ISNUMBER(F306),ISNUMBER(L306)),(L306-F306),"")</f>
        <v/>
      </c>
      <c r="T306" s="11">
        <f>IF(AND(ISNUMBER(D306),ISNUMBER(L306)),(L306-D306),"")</f>
        <v/>
      </c>
    </row>
    <row r="307">
      <c r="A307" s="3" t="inlineStr">
        <is>
          <t>10306</t>
        </is>
      </c>
      <c r="B307" s="9" t="n">
        <v>355.78</v>
      </c>
      <c r="C307" s="3" t="inlineStr">
        <is>
          <t>703</t>
        </is>
      </c>
      <c r="D307" s="10" t="n">
        <v>45687.38030092593</v>
      </c>
      <c r="E307" s="10" t="n">
        <v>45687.38030092593</v>
      </c>
      <c r="F307" s="10" t="n">
        <v>45687.38271990741</v>
      </c>
      <c r="G307" s="10" t="n">
        <v>45687.38271990741</v>
      </c>
      <c r="H307" s="10" t="n">
        <v>45687.38549768519</v>
      </c>
      <c r="I307" s="10" t="n">
        <v>45687.39346064815</v>
      </c>
      <c r="J307" s="10" t="n">
        <v>45687.39346064815</v>
      </c>
      <c r="K307" s="10" t="n">
        <v>45687.39434027778</v>
      </c>
      <c r="L307" s="10" t="n">
        <v>45687.40459490741</v>
      </c>
      <c r="M307" s="11">
        <f>IF(AND(ISNUMBER(D307),ISNUMBER(E307)),(E307-D307),"")</f>
        <v/>
      </c>
      <c r="N307" s="11">
        <f>IF(AND(ISNUMBER(E307),ISNUMBER(F307)),(F307-E307),"")</f>
        <v/>
      </c>
      <c r="O307" s="11">
        <f>IF(AND(ISNUMBER(G307),ISNUMBER(H307)),(H307-G307),"")</f>
        <v/>
      </c>
      <c r="P307" s="11">
        <f>IF(AND(ISNUMBER(H307),ISNUMBER(I307)),(I307-H307),"")</f>
        <v/>
      </c>
      <c r="Q307" s="11">
        <f>IF(AND(ISNUMBER(J307),ISNUMBER(K307)),(K307-J307),"")</f>
        <v/>
      </c>
      <c r="R307" s="11">
        <f>IF(AND(ISNUMBER(K307),ISNUMBER(L307)),(L307-K307),"")</f>
        <v/>
      </c>
      <c r="S307" s="11">
        <f>IF(AND(ISNUMBER(F307),ISNUMBER(L307)),(L307-F307),"")</f>
        <v/>
      </c>
      <c r="T307" s="11">
        <f>IF(AND(ISNUMBER(D307),ISNUMBER(L307)),(L307-D307),"")</f>
        <v/>
      </c>
    </row>
    <row r="308">
      <c r="A308" s="3" t="inlineStr">
        <is>
          <t>10307</t>
        </is>
      </c>
      <c r="B308" s="9" t="n">
        <v>435.14</v>
      </c>
      <c r="C308" s="3" t="inlineStr">
        <is>
          <t>703</t>
        </is>
      </c>
      <c r="D308" s="10" t="n">
        <v>45687.41116898148</v>
      </c>
      <c r="E308" s="10" t="n">
        <v>45687.41116898148</v>
      </c>
      <c r="F308" s="10" t="n">
        <v>45687.41376157408</v>
      </c>
      <c r="G308" s="10" t="n">
        <v>45687.41376157408</v>
      </c>
      <c r="H308" s="10" t="n">
        <v>45687.41653935185</v>
      </c>
      <c r="I308" s="10" t="n">
        <v>45687.42262731482</v>
      </c>
      <c r="J308" s="10" t="n">
        <v>45687.42262731482</v>
      </c>
      <c r="K308" s="10" t="n">
        <v>45687.42349537037</v>
      </c>
      <c r="L308" s="10" t="n">
        <v>45687.42349537037</v>
      </c>
      <c r="M308" s="11">
        <f>IF(AND(ISNUMBER(D308),ISNUMBER(E308)),(E308-D308),"")</f>
        <v/>
      </c>
      <c r="N308" s="11">
        <f>IF(AND(ISNUMBER(E308),ISNUMBER(F308)),(F308-E308),"")</f>
        <v/>
      </c>
      <c r="O308" s="11">
        <f>IF(AND(ISNUMBER(G308),ISNUMBER(H308)),(H308-G308),"")</f>
        <v/>
      </c>
      <c r="P308" s="11">
        <f>IF(AND(ISNUMBER(H308),ISNUMBER(I308)),(I308-H308),"")</f>
        <v/>
      </c>
      <c r="Q308" s="11">
        <f>IF(AND(ISNUMBER(J308),ISNUMBER(K308)),(K308-J308),"")</f>
        <v/>
      </c>
      <c r="R308" s="11">
        <f>IF(AND(ISNUMBER(K308),ISNUMBER(L308)),(L308-K308),"")</f>
        <v/>
      </c>
      <c r="S308" s="11">
        <f>IF(AND(ISNUMBER(F308),ISNUMBER(L308)),(L308-F308),"")</f>
        <v/>
      </c>
      <c r="T308" s="11">
        <f>IF(AND(ISNUMBER(D308),ISNUMBER(L308)),(L308-D308),"")</f>
        <v/>
      </c>
    </row>
    <row r="309">
      <c r="A309" s="3" t="inlineStr">
        <is>
          <t>10308</t>
        </is>
      </c>
      <c r="B309" s="9" t="n">
        <v>291.7</v>
      </c>
      <c r="C309" s="3" t="inlineStr">
        <is>
          <t>703</t>
        </is>
      </c>
      <c r="D309" s="10" t="n">
        <v>45687.53928240741</v>
      </c>
      <c r="E309" s="10" t="n">
        <v>45687.53928240741</v>
      </c>
      <c r="F309" s="10" t="n">
        <v>45687.54155092593</v>
      </c>
      <c r="G309" s="10" t="n">
        <v>45687.54155092593</v>
      </c>
      <c r="H309" s="10" t="n">
        <v>45687.54432870371</v>
      </c>
      <c r="I309" s="10" t="n">
        <v>45687.54658564815</v>
      </c>
      <c r="J309" s="10" t="n">
        <v>45687.54658564815</v>
      </c>
      <c r="K309" s="10" t="n">
        <v>45687.54746527778</v>
      </c>
      <c r="L309" s="10" t="n">
        <v>45687.54925925926</v>
      </c>
      <c r="M309" s="11">
        <f>IF(AND(ISNUMBER(D309),ISNUMBER(E309)),(E309-D309),"")</f>
        <v/>
      </c>
      <c r="N309" s="11">
        <f>IF(AND(ISNUMBER(E309),ISNUMBER(F309)),(F309-E309),"")</f>
        <v/>
      </c>
      <c r="O309" s="11">
        <f>IF(AND(ISNUMBER(G309),ISNUMBER(H309)),(H309-G309),"")</f>
        <v/>
      </c>
      <c r="P309" s="11">
        <f>IF(AND(ISNUMBER(H309),ISNUMBER(I309)),(I309-H309),"")</f>
        <v/>
      </c>
      <c r="Q309" s="11">
        <f>IF(AND(ISNUMBER(J309),ISNUMBER(K309)),(K309-J309),"")</f>
        <v/>
      </c>
      <c r="R309" s="11">
        <f>IF(AND(ISNUMBER(K309),ISNUMBER(L309)),(L309-K309),"")</f>
        <v/>
      </c>
      <c r="S309" s="11">
        <f>IF(AND(ISNUMBER(F309),ISNUMBER(L309)),(L309-F309),"")</f>
        <v/>
      </c>
      <c r="T309" s="11">
        <f>IF(AND(ISNUMBER(D309),ISNUMBER(L309)),(L309-D309),"")</f>
        <v/>
      </c>
    </row>
    <row r="310">
      <c r="A310" s="3" t="inlineStr">
        <is>
          <t>10309</t>
        </is>
      </c>
      <c r="B310" s="9" t="n">
        <v>388.3200000000001</v>
      </c>
      <c r="C310" s="3" t="inlineStr">
        <is>
          <t>703</t>
        </is>
      </c>
      <c r="D310" s="10" t="n">
        <v>45687.60337962963</v>
      </c>
      <c r="E310" s="10" t="n">
        <v>45687.60337962963</v>
      </c>
      <c r="F310" s="10" t="n">
        <v>45687.60586805556</v>
      </c>
      <c r="G310" s="10" t="n">
        <v>45687.60586805556</v>
      </c>
      <c r="H310" s="10" t="n">
        <v>45687.60864583333</v>
      </c>
      <c r="I310" s="10" t="n">
        <v>45687.61203703703</v>
      </c>
      <c r="J310" s="10" t="n">
        <v>45687.61203703703</v>
      </c>
      <c r="K310" s="10" t="n">
        <v>45687.6129050926</v>
      </c>
      <c r="L310" s="10" t="n">
        <v>45687.6129050926</v>
      </c>
      <c r="M310" s="11">
        <f>IF(AND(ISNUMBER(D310),ISNUMBER(E310)),(E310-D310),"")</f>
        <v/>
      </c>
      <c r="N310" s="11">
        <f>IF(AND(ISNUMBER(E310),ISNUMBER(F310)),(F310-E310),"")</f>
        <v/>
      </c>
      <c r="O310" s="11">
        <f>IF(AND(ISNUMBER(G310),ISNUMBER(H310)),(H310-G310),"")</f>
        <v/>
      </c>
      <c r="P310" s="11">
        <f>IF(AND(ISNUMBER(H310),ISNUMBER(I310)),(I310-H310),"")</f>
        <v/>
      </c>
      <c r="Q310" s="11">
        <f>IF(AND(ISNUMBER(J310),ISNUMBER(K310)),(K310-J310),"")</f>
        <v/>
      </c>
      <c r="R310" s="11">
        <f>IF(AND(ISNUMBER(K310),ISNUMBER(L310)),(L310-K310),"")</f>
        <v/>
      </c>
      <c r="S310" s="11">
        <f>IF(AND(ISNUMBER(F310),ISNUMBER(L310)),(L310-F310),"")</f>
        <v/>
      </c>
      <c r="T310" s="11">
        <f>IF(AND(ISNUMBER(D310),ISNUMBER(L310)),(L310-D310),"")</f>
        <v/>
      </c>
    </row>
    <row r="311">
      <c r="A311" s="3" t="inlineStr">
        <is>
          <t>10310</t>
        </is>
      </c>
      <c r="B311" s="9" t="n">
        <v>267.54</v>
      </c>
      <c r="C311" s="3" t="inlineStr">
        <is>
          <t>703</t>
        </is>
      </c>
      <c r="D311" s="10" t="n">
        <v>45687.61896990741</v>
      </c>
      <c r="E311" s="10" t="n">
        <v>45687.61896990741</v>
      </c>
      <c r="F311" s="10" t="n">
        <v>45687.62118055556</v>
      </c>
      <c r="G311" s="10" t="n">
        <v>45687.62118055556</v>
      </c>
      <c r="H311" s="10" t="n">
        <v>45687.62395833333</v>
      </c>
      <c r="I311" s="10" t="n">
        <v>45687.63332175926</v>
      </c>
      <c r="J311" s="10" t="n">
        <v>45687.63332175926</v>
      </c>
      <c r="K311" s="10" t="n">
        <v>45687.63420138889</v>
      </c>
      <c r="L311" s="10" t="n">
        <v>45687.64767361111</v>
      </c>
      <c r="M311" s="11">
        <f>IF(AND(ISNUMBER(D311),ISNUMBER(E311)),(E311-D311),"")</f>
        <v/>
      </c>
      <c r="N311" s="11">
        <f>IF(AND(ISNUMBER(E311),ISNUMBER(F311)),(F311-E311),"")</f>
        <v/>
      </c>
      <c r="O311" s="11">
        <f>IF(AND(ISNUMBER(G311),ISNUMBER(H311)),(H311-G311),"")</f>
        <v/>
      </c>
      <c r="P311" s="11">
        <f>IF(AND(ISNUMBER(H311),ISNUMBER(I311)),(I311-H311),"")</f>
        <v/>
      </c>
      <c r="Q311" s="11">
        <f>IF(AND(ISNUMBER(J311),ISNUMBER(K311)),(K311-J311),"")</f>
        <v/>
      </c>
      <c r="R311" s="11">
        <f>IF(AND(ISNUMBER(K311),ISNUMBER(L311)),(L311-K311),"")</f>
        <v/>
      </c>
      <c r="S311" s="11">
        <f>IF(AND(ISNUMBER(F311),ISNUMBER(L311)),(L311-F311),"")</f>
        <v/>
      </c>
      <c r="T311" s="11">
        <f>IF(AND(ISNUMBER(D311),ISNUMBER(L311)),(L311-D311),"")</f>
        <v/>
      </c>
    </row>
    <row r="312">
      <c r="A312" s="3" t="inlineStr">
        <is>
          <t>10311</t>
        </is>
      </c>
      <c r="B312" s="9" t="n">
        <v>15.74</v>
      </c>
      <c r="C312" s="3" t="inlineStr">
        <is>
          <t>731</t>
        </is>
      </c>
      <c r="D312" s="10" t="n">
        <v>45687.64775462963</v>
      </c>
      <c r="E312" s="10" t="n">
        <v>45687.64775462963</v>
      </c>
      <c r="F312" s="10" t="n">
        <v>45687.64900462963</v>
      </c>
      <c r="G312" s="10" t="n">
        <v>45687.64900462963</v>
      </c>
      <c r="H312" s="10" t="n">
        <v>45687.65178240741</v>
      </c>
      <c r="I312" s="10" t="n">
        <v>45687.6519212963</v>
      </c>
      <c r="J312" s="10" t="n">
        <v>45687.6519212963</v>
      </c>
      <c r="K312" s="10" t="n">
        <v>45687.65278935185</v>
      </c>
      <c r="L312" s="10" t="n">
        <v>45687.65430555555</v>
      </c>
      <c r="M312" s="11">
        <f>IF(AND(ISNUMBER(D312),ISNUMBER(E312)),(E312-D312),"")</f>
        <v/>
      </c>
      <c r="N312" s="11">
        <f>IF(AND(ISNUMBER(E312),ISNUMBER(F312)),(F312-E312),"")</f>
        <v/>
      </c>
      <c r="O312" s="11">
        <f>IF(AND(ISNUMBER(G312),ISNUMBER(H312)),(H312-G312),"")</f>
        <v/>
      </c>
      <c r="P312" s="11">
        <f>IF(AND(ISNUMBER(H312),ISNUMBER(I312)),(I312-H312),"")</f>
        <v/>
      </c>
      <c r="Q312" s="11">
        <f>IF(AND(ISNUMBER(J312),ISNUMBER(K312)),(K312-J312),"")</f>
        <v/>
      </c>
      <c r="R312" s="11">
        <f>IF(AND(ISNUMBER(K312),ISNUMBER(L312)),(L312-K312),"")</f>
        <v/>
      </c>
      <c r="S312" s="11">
        <f>IF(AND(ISNUMBER(F312),ISNUMBER(L312)),(L312-F312),"")</f>
        <v/>
      </c>
      <c r="T312" s="11">
        <f>IF(AND(ISNUMBER(D312),ISNUMBER(L312)),(L312-D312),"")</f>
        <v/>
      </c>
    </row>
    <row r="313">
      <c r="A313" s="3" t="inlineStr">
        <is>
          <t>10312</t>
        </is>
      </c>
      <c r="B313" s="9" t="n">
        <v>47.22</v>
      </c>
      <c r="C313" s="3" t="inlineStr">
        <is>
          <t>731</t>
        </is>
      </c>
      <c r="D313" s="10" t="n">
        <v>45687.72369212963</v>
      </c>
      <c r="E313" s="10" t="n">
        <v>45687.72369212963</v>
      </c>
      <c r="F313" s="10" t="n">
        <v>45687.72502314814</v>
      </c>
      <c r="G313" s="10" t="n">
        <v>45687.72502314814</v>
      </c>
      <c r="H313" s="10" t="n">
        <v>45687.72780092592</v>
      </c>
      <c r="I313" s="10" t="n">
        <v>45687.72815972222</v>
      </c>
      <c r="J313" s="10" t="n">
        <v>45687.72815972222</v>
      </c>
      <c r="K313" s="10" t="n">
        <v>45687.72903935185</v>
      </c>
      <c r="L313" s="10" t="n">
        <v>45687.730625</v>
      </c>
      <c r="M313" s="11">
        <f>IF(AND(ISNUMBER(D313),ISNUMBER(E313)),(E313-D313),"")</f>
        <v/>
      </c>
      <c r="N313" s="11">
        <f>IF(AND(ISNUMBER(E313),ISNUMBER(F313)),(F313-E313),"")</f>
        <v/>
      </c>
      <c r="O313" s="11">
        <f>IF(AND(ISNUMBER(G313),ISNUMBER(H313)),(H313-G313),"")</f>
        <v/>
      </c>
      <c r="P313" s="11">
        <f>IF(AND(ISNUMBER(H313),ISNUMBER(I313)),(I313-H313),"")</f>
        <v/>
      </c>
      <c r="Q313" s="11">
        <f>IF(AND(ISNUMBER(J313),ISNUMBER(K313)),(K313-J313),"")</f>
        <v/>
      </c>
      <c r="R313" s="11">
        <f>IF(AND(ISNUMBER(K313),ISNUMBER(L313)),(L313-K313),"")</f>
        <v/>
      </c>
      <c r="S313" s="11">
        <f>IF(AND(ISNUMBER(F313),ISNUMBER(L313)),(L313-F313),"")</f>
        <v/>
      </c>
      <c r="T313" s="11">
        <f>IF(AND(ISNUMBER(D313),ISNUMBER(L313)),(L313-D313),"")</f>
        <v/>
      </c>
    </row>
    <row r="314">
      <c r="A314" s="3" t="inlineStr">
        <is>
          <t>10313</t>
        </is>
      </c>
      <c r="B314" s="9" t="n">
        <v>135.14</v>
      </c>
      <c r="C314" s="3" t="inlineStr">
        <is>
          <t>703</t>
        </is>
      </c>
      <c r="D314" s="10" t="n">
        <v>45687.82130787037</v>
      </c>
      <c r="E314" s="10" t="n">
        <v>45687.82130787037</v>
      </c>
      <c r="F314" s="10" t="n">
        <v>45687.82320601852</v>
      </c>
      <c r="G314" s="10" t="n">
        <v>45687.82320601852</v>
      </c>
      <c r="H314" s="10" t="n">
        <v>45687.8259837963</v>
      </c>
      <c r="I314" s="10" t="n">
        <v>45687.82716435185</v>
      </c>
      <c r="J314" s="10" t="n">
        <v>45687.82716435185</v>
      </c>
      <c r="K314" s="10" t="n">
        <v>45687.82803240741</v>
      </c>
      <c r="L314" s="10" t="n">
        <v>45687.82946759259</v>
      </c>
      <c r="M314" s="11">
        <f>IF(AND(ISNUMBER(D314),ISNUMBER(E314)),(E314-D314),"")</f>
        <v/>
      </c>
      <c r="N314" s="11">
        <f>IF(AND(ISNUMBER(E314),ISNUMBER(F314)),(F314-E314),"")</f>
        <v/>
      </c>
      <c r="O314" s="11">
        <f>IF(AND(ISNUMBER(G314),ISNUMBER(H314)),(H314-G314),"")</f>
        <v/>
      </c>
      <c r="P314" s="11">
        <f>IF(AND(ISNUMBER(H314),ISNUMBER(I314)),(I314-H314),"")</f>
        <v/>
      </c>
      <c r="Q314" s="11">
        <f>IF(AND(ISNUMBER(J314),ISNUMBER(K314)),(K314-J314),"")</f>
        <v/>
      </c>
      <c r="R314" s="11">
        <f>IF(AND(ISNUMBER(K314),ISNUMBER(L314)),(L314-K314),"")</f>
        <v/>
      </c>
      <c r="S314" s="11">
        <f>IF(AND(ISNUMBER(F314),ISNUMBER(L314)),(L314-F314),"")</f>
        <v/>
      </c>
      <c r="T314" s="11">
        <f>IF(AND(ISNUMBER(D314),ISNUMBER(L314)),(L314-D314),"")</f>
        <v/>
      </c>
    </row>
    <row r="315">
      <c r="A315" s="3" t="inlineStr">
        <is>
          <t>10314</t>
        </is>
      </c>
      <c r="B315" s="9" t="n">
        <v>389.0600000000001</v>
      </c>
      <c r="C315" s="3" t="inlineStr">
        <is>
          <t>703</t>
        </is>
      </c>
      <c r="D315" s="10" t="n">
        <v>45687.85091435185</v>
      </c>
      <c r="E315" s="10" t="n">
        <v>45687.85091435185</v>
      </c>
      <c r="F315" s="10" t="n">
        <v>45687.85340277778</v>
      </c>
      <c r="G315" s="10" t="n">
        <v>45687.85340277778</v>
      </c>
      <c r="H315" s="10" t="n">
        <v>45687.85618055556</v>
      </c>
      <c r="I315" s="10" t="n">
        <v>45687.85920138889</v>
      </c>
      <c r="J315" s="10" t="n">
        <v>45687.85920138889</v>
      </c>
      <c r="K315" s="10" t="n">
        <v>45687.86008101852</v>
      </c>
      <c r="L315" s="10" t="n">
        <v>45687.86284722222</v>
      </c>
      <c r="M315" s="11">
        <f>IF(AND(ISNUMBER(D315),ISNUMBER(E315)),(E315-D315),"")</f>
        <v/>
      </c>
      <c r="N315" s="11">
        <f>IF(AND(ISNUMBER(E315),ISNUMBER(F315)),(F315-E315),"")</f>
        <v/>
      </c>
      <c r="O315" s="11">
        <f>IF(AND(ISNUMBER(G315),ISNUMBER(H315)),(H315-G315),"")</f>
        <v/>
      </c>
      <c r="P315" s="11">
        <f>IF(AND(ISNUMBER(H315),ISNUMBER(I315)),(I315-H315),"")</f>
        <v/>
      </c>
      <c r="Q315" s="11">
        <f>IF(AND(ISNUMBER(J315),ISNUMBER(K315)),(K315-J315),"")</f>
        <v/>
      </c>
      <c r="R315" s="11">
        <f>IF(AND(ISNUMBER(K315),ISNUMBER(L315)),(L315-K315),"")</f>
        <v/>
      </c>
      <c r="S315" s="11">
        <f>IF(AND(ISNUMBER(F315),ISNUMBER(L315)),(L315-F315),"")</f>
        <v/>
      </c>
      <c r="T315" s="11">
        <f>IF(AND(ISNUMBER(D315),ISNUMBER(L315)),(L315-D315),"")</f>
        <v/>
      </c>
    </row>
    <row r="316">
      <c r="A316" s="3" t="inlineStr">
        <is>
          <t>10315</t>
        </is>
      </c>
      <c r="B316" s="9" t="n">
        <v>199.94</v>
      </c>
      <c r="C316" s="3" t="inlineStr">
        <is>
          <t>703</t>
        </is>
      </c>
      <c r="D316" s="10" t="n">
        <v>45688.11563657408</v>
      </c>
      <c r="E316" s="10" t="n">
        <v>45688.11563657408</v>
      </c>
      <c r="F316" s="10" t="n">
        <v>45688.11768518519</v>
      </c>
      <c r="G316" s="10" t="n">
        <v>45688.11768518519</v>
      </c>
      <c r="H316" s="10" t="n">
        <v>45688.12046296296</v>
      </c>
      <c r="I316" s="10" t="n">
        <v>45688.12679398148</v>
      </c>
      <c r="J316" s="10" t="n">
        <v>45688.12679398148</v>
      </c>
      <c r="K316" s="10" t="n">
        <v>45688.12766203703</v>
      </c>
      <c r="L316" s="10" t="n">
        <v>45688.13540509259</v>
      </c>
      <c r="M316" s="11">
        <f>IF(AND(ISNUMBER(D316),ISNUMBER(E316)),(E316-D316),"")</f>
        <v/>
      </c>
      <c r="N316" s="11">
        <f>IF(AND(ISNUMBER(E316),ISNUMBER(F316)),(F316-E316),"")</f>
        <v/>
      </c>
      <c r="O316" s="11">
        <f>IF(AND(ISNUMBER(G316),ISNUMBER(H316)),(H316-G316),"")</f>
        <v/>
      </c>
      <c r="P316" s="11">
        <f>IF(AND(ISNUMBER(H316),ISNUMBER(I316)),(I316-H316),"")</f>
        <v/>
      </c>
      <c r="Q316" s="11">
        <f>IF(AND(ISNUMBER(J316),ISNUMBER(K316)),(K316-J316),"")</f>
        <v/>
      </c>
      <c r="R316" s="11">
        <f>IF(AND(ISNUMBER(K316),ISNUMBER(L316)),(L316-K316),"")</f>
        <v/>
      </c>
      <c r="S316" s="11">
        <f>IF(AND(ISNUMBER(F316),ISNUMBER(L316)),(L316-F316),"")</f>
        <v/>
      </c>
      <c r="T316" s="11">
        <f>IF(AND(ISNUMBER(D316),ISNUMBER(L316)),(L316-D316),"")</f>
        <v/>
      </c>
    </row>
    <row r="317">
      <c r="A317" s="3" t="inlineStr">
        <is>
          <t>10316</t>
        </is>
      </c>
      <c r="B317" s="9" t="n">
        <v>238.6</v>
      </c>
      <c r="C317" s="3" t="inlineStr">
        <is>
          <t>703</t>
        </is>
      </c>
      <c r="D317" s="10" t="n">
        <v>45688.18496527777</v>
      </c>
      <c r="E317" s="10" t="n">
        <v>45688.18496527777</v>
      </c>
      <c r="F317" s="10" t="n">
        <v>45688.18710648148</v>
      </c>
      <c r="G317" s="10" t="n">
        <v>45688.18710648148</v>
      </c>
      <c r="H317" s="10" t="n">
        <v>45688.18988425926</v>
      </c>
      <c r="I317" s="10" t="n">
        <v>45688.19173611111</v>
      </c>
      <c r="J317" s="10" t="n">
        <v>45688.19173611111</v>
      </c>
      <c r="K317" s="10" t="n">
        <v>45688.19261574074</v>
      </c>
      <c r="L317" s="10" t="n">
        <v>45688.19261574074</v>
      </c>
      <c r="M317" s="11">
        <f>IF(AND(ISNUMBER(D317),ISNUMBER(E317)),(E317-D317),"")</f>
        <v/>
      </c>
      <c r="N317" s="11">
        <f>IF(AND(ISNUMBER(E317),ISNUMBER(F317)),(F317-E317),"")</f>
        <v/>
      </c>
      <c r="O317" s="11">
        <f>IF(AND(ISNUMBER(G317),ISNUMBER(H317)),(H317-G317),"")</f>
        <v/>
      </c>
      <c r="P317" s="11">
        <f>IF(AND(ISNUMBER(H317),ISNUMBER(I317)),(I317-H317),"")</f>
        <v/>
      </c>
      <c r="Q317" s="11">
        <f>IF(AND(ISNUMBER(J317),ISNUMBER(K317)),(K317-J317),"")</f>
        <v/>
      </c>
      <c r="R317" s="11">
        <f>IF(AND(ISNUMBER(K317),ISNUMBER(L317)),(L317-K317),"")</f>
        <v/>
      </c>
      <c r="S317" s="11">
        <f>IF(AND(ISNUMBER(F317),ISNUMBER(L317)),(L317-F317),"")</f>
        <v/>
      </c>
      <c r="T317" s="11">
        <f>IF(AND(ISNUMBER(D317),ISNUMBER(L317)),(L317-D317),"")</f>
        <v/>
      </c>
    </row>
    <row r="318">
      <c r="A318" s="3" t="inlineStr">
        <is>
          <t>10317</t>
        </is>
      </c>
      <c r="B318" s="9" t="n">
        <v>297</v>
      </c>
      <c r="C318" s="3" t="inlineStr">
        <is>
          <t>703</t>
        </is>
      </c>
      <c r="D318" s="10" t="n">
        <v>45688.24753472222</v>
      </c>
      <c r="E318" s="10" t="n">
        <v>45688.24753472222</v>
      </c>
      <c r="F318" s="10" t="n">
        <v>45688.24981481482</v>
      </c>
      <c r="G318" s="10" t="n">
        <v>45688.24981481482</v>
      </c>
      <c r="H318" s="10" t="n">
        <v>45688.25259259259</v>
      </c>
      <c r="I318" s="10" t="n">
        <v>45688.25518518518</v>
      </c>
      <c r="J318" s="10" t="n">
        <v>45688.25518518518</v>
      </c>
      <c r="K318" s="10" t="n">
        <v>45688.25605324074</v>
      </c>
      <c r="L318" s="10" t="n">
        <v>45688.25797453704</v>
      </c>
      <c r="M318" s="11">
        <f>IF(AND(ISNUMBER(D318),ISNUMBER(E318)),(E318-D318),"")</f>
        <v/>
      </c>
      <c r="N318" s="11">
        <f>IF(AND(ISNUMBER(E318),ISNUMBER(F318)),(F318-E318),"")</f>
        <v/>
      </c>
      <c r="O318" s="11">
        <f>IF(AND(ISNUMBER(G318),ISNUMBER(H318)),(H318-G318),"")</f>
        <v/>
      </c>
      <c r="P318" s="11">
        <f>IF(AND(ISNUMBER(H318),ISNUMBER(I318)),(I318-H318),"")</f>
        <v/>
      </c>
      <c r="Q318" s="11">
        <f>IF(AND(ISNUMBER(J318),ISNUMBER(K318)),(K318-J318),"")</f>
        <v/>
      </c>
      <c r="R318" s="11">
        <f>IF(AND(ISNUMBER(K318),ISNUMBER(L318)),(L318-K318),"")</f>
        <v/>
      </c>
      <c r="S318" s="11">
        <f>IF(AND(ISNUMBER(F318),ISNUMBER(L318)),(L318-F318),"")</f>
        <v/>
      </c>
      <c r="T318" s="11">
        <f>IF(AND(ISNUMBER(D318),ISNUMBER(L318)),(L318-D318),"")</f>
        <v/>
      </c>
    </row>
    <row r="319">
      <c r="A319" s="3" t="inlineStr">
        <is>
          <t>10318</t>
        </is>
      </c>
      <c r="B319" s="9" t="n">
        <v>74.62</v>
      </c>
      <c r="C319" s="3" t="inlineStr">
        <is>
          <t>703</t>
        </is>
      </c>
      <c r="D319" s="10" t="n">
        <v>45688.29119212963</v>
      </c>
      <c r="E319" s="10" t="n">
        <v>45688.29119212963</v>
      </c>
      <c r="F319" s="10" t="n">
        <v>45688.29295138889</v>
      </c>
      <c r="G319" s="10" t="n">
        <v>45688.29295138889</v>
      </c>
      <c r="H319" s="10" t="n">
        <v>45688.29572916667</v>
      </c>
      <c r="I319" s="10" t="n">
        <v>45688.29630787037</v>
      </c>
      <c r="J319" s="10" t="n">
        <v>45688.29630787037</v>
      </c>
      <c r="K319" s="10" t="n">
        <v>45688.2971875</v>
      </c>
      <c r="L319" s="10" t="n">
        <v>45688.29923611111</v>
      </c>
      <c r="M319" s="11">
        <f>IF(AND(ISNUMBER(D319),ISNUMBER(E319)),(E319-D319),"")</f>
        <v/>
      </c>
      <c r="N319" s="11">
        <f>IF(AND(ISNUMBER(E319),ISNUMBER(F319)),(F319-E319),"")</f>
        <v/>
      </c>
      <c r="O319" s="11">
        <f>IF(AND(ISNUMBER(G319),ISNUMBER(H319)),(H319-G319),"")</f>
        <v/>
      </c>
      <c r="P319" s="11">
        <f>IF(AND(ISNUMBER(H319),ISNUMBER(I319)),(I319-H319),"")</f>
        <v/>
      </c>
      <c r="Q319" s="11">
        <f>IF(AND(ISNUMBER(J319),ISNUMBER(K319)),(K319-J319),"")</f>
        <v/>
      </c>
      <c r="R319" s="11">
        <f>IF(AND(ISNUMBER(K319),ISNUMBER(L319)),(L319-K319),"")</f>
        <v/>
      </c>
      <c r="S319" s="11">
        <f>IF(AND(ISNUMBER(F319),ISNUMBER(L319)),(L319-F319),"")</f>
        <v/>
      </c>
      <c r="T319" s="11">
        <f>IF(AND(ISNUMBER(D319),ISNUMBER(L319)),(L319-D319),"")</f>
        <v/>
      </c>
    </row>
    <row r="320">
      <c r="A320" s="3" t="inlineStr">
        <is>
          <t>10319</t>
        </is>
      </c>
      <c r="B320" s="9" t="n">
        <v>585.2800000000001</v>
      </c>
      <c r="C320" s="3" t="inlineStr">
        <is>
          <t>727</t>
        </is>
      </c>
      <c r="D320" s="10" t="n">
        <v>45688.29407407407</v>
      </c>
      <c r="E320" s="10" t="n">
        <v>45688.29407407407</v>
      </c>
      <c r="F320" s="10" t="n">
        <v>45688.29658564815</v>
      </c>
      <c r="G320" s="10" t="n">
        <v>45688.29658564815</v>
      </c>
      <c r="H320" s="10" t="n">
        <v>45688.29936342593</v>
      </c>
      <c r="I320" s="10" t="n">
        <v>45688.31304398148</v>
      </c>
      <c r="J320" s="10" t="n">
        <v>45688.31304398148</v>
      </c>
      <c r="K320" s="10" t="n">
        <v>45688.31392361111</v>
      </c>
      <c r="L320" s="10" t="n">
        <v>45688.33064814815</v>
      </c>
      <c r="M320" s="11">
        <f>IF(AND(ISNUMBER(D320),ISNUMBER(E320)),(E320-D320),"")</f>
        <v/>
      </c>
      <c r="N320" s="11">
        <f>IF(AND(ISNUMBER(E320),ISNUMBER(F320)),(F320-E320),"")</f>
        <v/>
      </c>
      <c r="O320" s="11">
        <f>IF(AND(ISNUMBER(G320),ISNUMBER(H320)),(H320-G320),"")</f>
        <v/>
      </c>
      <c r="P320" s="11">
        <f>IF(AND(ISNUMBER(H320),ISNUMBER(I320)),(I320-H320),"")</f>
        <v/>
      </c>
      <c r="Q320" s="11">
        <f>IF(AND(ISNUMBER(J320),ISNUMBER(K320)),(K320-J320),"")</f>
        <v/>
      </c>
      <c r="R320" s="11">
        <f>IF(AND(ISNUMBER(K320),ISNUMBER(L320)),(L320-K320),"")</f>
        <v/>
      </c>
      <c r="S320" s="11">
        <f>IF(AND(ISNUMBER(F320),ISNUMBER(L320)),(L320-F320),"")</f>
        <v/>
      </c>
      <c r="T320" s="11">
        <f>IF(AND(ISNUMBER(D320),ISNUMBER(L320)),(L320-D320),"")</f>
        <v/>
      </c>
    </row>
    <row r="321">
      <c r="A321" s="3" t="inlineStr">
        <is>
          <t>10320</t>
        </is>
      </c>
      <c r="B321" s="9" t="n">
        <v>381.5600000000001</v>
      </c>
      <c r="C321" s="3" t="inlineStr">
        <is>
          <t>703</t>
        </is>
      </c>
      <c r="D321" s="10" t="n">
        <v>45688.33378472222</v>
      </c>
      <c r="E321" s="10" t="n">
        <v>45688.33378472222</v>
      </c>
      <c r="F321" s="10" t="n">
        <v>45688.33626157408</v>
      </c>
      <c r="G321" s="10" t="n">
        <v>45688.33626157408</v>
      </c>
      <c r="H321" s="10" t="n">
        <v>45688.33903935185</v>
      </c>
      <c r="I321" s="10" t="n">
        <v>45688.34184027778</v>
      </c>
      <c r="J321" s="10" t="n">
        <v>45688.34184027778</v>
      </c>
      <c r="K321" s="10" t="n">
        <v>45688.34271990741</v>
      </c>
      <c r="L321" s="10" t="n">
        <v>45688.34548611111</v>
      </c>
      <c r="M321" s="11">
        <f>IF(AND(ISNUMBER(D321),ISNUMBER(E321)),(E321-D321),"")</f>
        <v/>
      </c>
      <c r="N321" s="11">
        <f>IF(AND(ISNUMBER(E321),ISNUMBER(F321)),(F321-E321),"")</f>
        <v/>
      </c>
      <c r="O321" s="11">
        <f>IF(AND(ISNUMBER(G321),ISNUMBER(H321)),(H321-G321),"")</f>
        <v/>
      </c>
      <c r="P321" s="11">
        <f>IF(AND(ISNUMBER(H321),ISNUMBER(I321)),(I321-H321),"")</f>
        <v/>
      </c>
      <c r="Q321" s="11">
        <f>IF(AND(ISNUMBER(J321),ISNUMBER(K321)),(K321-J321),"")</f>
        <v/>
      </c>
      <c r="R321" s="11">
        <f>IF(AND(ISNUMBER(K321),ISNUMBER(L321)),(L321-K321),"")</f>
        <v/>
      </c>
      <c r="S321" s="11">
        <f>IF(AND(ISNUMBER(F321),ISNUMBER(L321)),(L321-F321),"")</f>
        <v/>
      </c>
      <c r="T321" s="11">
        <f>IF(AND(ISNUMBER(D321),ISNUMBER(L321)),(L321-D321),"")</f>
        <v/>
      </c>
    </row>
    <row r="322">
      <c r="A322" s="3" t="inlineStr">
        <is>
          <t>10321</t>
        </is>
      </c>
      <c r="B322" s="9" t="n">
        <v>237.1</v>
      </c>
      <c r="C322" s="3" t="inlineStr">
        <is>
          <t>703</t>
        </is>
      </c>
      <c r="D322" s="10" t="n">
        <v>45688.36934027778</v>
      </c>
      <c r="E322" s="10" t="n">
        <v>45688.36934027778</v>
      </c>
      <c r="F322" s="10" t="n">
        <v>45688.37148148148</v>
      </c>
      <c r="G322" s="10" t="n">
        <v>45688.37148148148</v>
      </c>
      <c r="H322" s="10" t="n">
        <v>45688.37425925926</v>
      </c>
      <c r="I322" s="10" t="n">
        <v>45688.37717592593</v>
      </c>
      <c r="J322" s="10" t="n">
        <v>45688.37717592593</v>
      </c>
      <c r="K322" s="10" t="n">
        <v>45688.37804398148</v>
      </c>
      <c r="L322" s="10" t="n">
        <v>45688.38171296296</v>
      </c>
      <c r="M322" s="11">
        <f>IF(AND(ISNUMBER(D322),ISNUMBER(E322)),(E322-D322),"")</f>
        <v/>
      </c>
      <c r="N322" s="11">
        <f>IF(AND(ISNUMBER(E322),ISNUMBER(F322)),(F322-E322),"")</f>
        <v/>
      </c>
      <c r="O322" s="11">
        <f>IF(AND(ISNUMBER(G322),ISNUMBER(H322)),(H322-G322),"")</f>
        <v/>
      </c>
      <c r="P322" s="11">
        <f>IF(AND(ISNUMBER(H322),ISNUMBER(I322)),(I322-H322),"")</f>
        <v/>
      </c>
      <c r="Q322" s="11">
        <f>IF(AND(ISNUMBER(J322),ISNUMBER(K322)),(K322-J322),"")</f>
        <v/>
      </c>
      <c r="R322" s="11">
        <f>IF(AND(ISNUMBER(K322),ISNUMBER(L322)),(L322-K322),"")</f>
        <v/>
      </c>
      <c r="S322" s="11">
        <f>IF(AND(ISNUMBER(F322),ISNUMBER(L322)),(L322-F322),"")</f>
        <v/>
      </c>
      <c r="T322" s="11">
        <f>IF(AND(ISNUMBER(D322),ISNUMBER(L322)),(L322-D322),"")</f>
        <v/>
      </c>
    </row>
    <row r="323">
      <c r="A323" s="3" t="inlineStr">
        <is>
          <t>10322</t>
        </is>
      </c>
      <c r="B323" s="9" t="n">
        <v>376.62</v>
      </c>
      <c r="C323" s="3" t="inlineStr">
        <is>
          <t>727</t>
        </is>
      </c>
      <c r="D323" s="10" t="n">
        <v>45688.37464120371</v>
      </c>
      <c r="E323" s="10" t="n">
        <v>45688.37464120371</v>
      </c>
      <c r="F323" s="10" t="n">
        <v>45688.37666666666</v>
      </c>
      <c r="G323" s="10" t="n">
        <v>45688.37666666666</v>
      </c>
      <c r="H323" s="10" t="n">
        <v>45688.37944444444</v>
      </c>
      <c r="I323" s="10" t="n">
        <v>45688.38976851852</v>
      </c>
      <c r="J323" s="10" t="n">
        <v>45688.38976851852</v>
      </c>
      <c r="K323" s="10" t="n">
        <v>45688.39063657408</v>
      </c>
      <c r="L323" s="10" t="n">
        <v>45688.40158564815</v>
      </c>
      <c r="M323" s="11">
        <f>IF(AND(ISNUMBER(D323),ISNUMBER(E323)),(E323-D323),"")</f>
        <v/>
      </c>
      <c r="N323" s="11">
        <f>IF(AND(ISNUMBER(E323),ISNUMBER(F323)),(F323-E323),"")</f>
        <v/>
      </c>
      <c r="O323" s="11">
        <f>IF(AND(ISNUMBER(G323),ISNUMBER(H323)),(H323-G323),"")</f>
        <v/>
      </c>
      <c r="P323" s="11">
        <f>IF(AND(ISNUMBER(H323),ISNUMBER(I323)),(I323-H323),"")</f>
        <v/>
      </c>
      <c r="Q323" s="11">
        <f>IF(AND(ISNUMBER(J323),ISNUMBER(K323)),(K323-J323),"")</f>
        <v/>
      </c>
      <c r="R323" s="11">
        <f>IF(AND(ISNUMBER(K323),ISNUMBER(L323)),(L323-K323),"")</f>
        <v/>
      </c>
      <c r="S323" s="11">
        <f>IF(AND(ISNUMBER(F323),ISNUMBER(L323)),(L323-F323),"")</f>
        <v/>
      </c>
      <c r="T323" s="11">
        <f>IF(AND(ISNUMBER(D323),ISNUMBER(L323)),(L323-D323),"")</f>
        <v/>
      </c>
    </row>
    <row r="324">
      <c r="A324" s="3" t="inlineStr">
        <is>
          <t>10323</t>
        </is>
      </c>
      <c r="B324" s="9" t="n">
        <v>445.36</v>
      </c>
      <c r="C324" s="3" t="inlineStr">
        <is>
          <t>703</t>
        </is>
      </c>
      <c r="D324" s="10" t="n">
        <v>45688.43908564815</v>
      </c>
      <c r="E324" s="10" t="n">
        <v>45688.43908564815</v>
      </c>
      <c r="F324" s="10" t="n">
        <v>45688.44170138889</v>
      </c>
      <c r="G324" s="10" t="n">
        <v>45688.44170138889</v>
      </c>
      <c r="H324" s="10" t="n">
        <v>45688.44447916667</v>
      </c>
      <c r="I324" s="10" t="n">
        <v>45688.45041666667</v>
      </c>
      <c r="J324" s="10" t="n">
        <v>45688.45041666667</v>
      </c>
      <c r="K324" s="10" t="n">
        <v>45688.45128472222</v>
      </c>
      <c r="L324" s="10" t="n">
        <v>45688.45701388889</v>
      </c>
      <c r="M324" s="11">
        <f>IF(AND(ISNUMBER(D324),ISNUMBER(E324)),(E324-D324),"")</f>
        <v/>
      </c>
      <c r="N324" s="11">
        <f>IF(AND(ISNUMBER(E324),ISNUMBER(F324)),(F324-E324),"")</f>
        <v/>
      </c>
      <c r="O324" s="11">
        <f>IF(AND(ISNUMBER(G324),ISNUMBER(H324)),(H324-G324),"")</f>
        <v/>
      </c>
      <c r="P324" s="11">
        <f>IF(AND(ISNUMBER(H324),ISNUMBER(I324)),(I324-H324),"")</f>
        <v/>
      </c>
      <c r="Q324" s="11">
        <f>IF(AND(ISNUMBER(J324),ISNUMBER(K324)),(K324-J324),"")</f>
        <v/>
      </c>
      <c r="R324" s="11">
        <f>IF(AND(ISNUMBER(K324),ISNUMBER(L324)),(L324-K324),"")</f>
        <v/>
      </c>
      <c r="S324" s="11">
        <f>IF(AND(ISNUMBER(F324),ISNUMBER(L324)),(L324-F324),"")</f>
        <v/>
      </c>
      <c r="T324" s="11">
        <f>IF(AND(ISNUMBER(D324),ISNUMBER(L324)),(L324-D324),"")</f>
        <v/>
      </c>
    </row>
    <row r="325">
      <c r="A325" s="3" t="inlineStr">
        <is>
          <t>10324</t>
        </is>
      </c>
      <c r="B325" s="9" t="n">
        <v>247.34</v>
      </c>
      <c r="C325" s="3" t="inlineStr">
        <is>
          <t>703</t>
        </is>
      </c>
      <c r="D325" s="10" t="n">
        <v>45688.51858796296</v>
      </c>
      <c r="E325" s="10" t="n">
        <v>45688.51858796296</v>
      </c>
      <c r="F325" s="10" t="n">
        <v>45688.52075231481</v>
      </c>
      <c r="G325" s="10" t="n">
        <v>45688.52075231481</v>
      </c>
      <c r="H325" s="10" t="n">
        <v>45688.52353009259</v>
      </c>
      <c r="I325" s="10" t="n">
        <v>45688.52538194445</v>
      </c>
      <c r="J325" s="10" t="n">
        <v>45688.52538194445</v>
      </c>
      <c r="K325" s="10" t="n">
        <v>45688.52626157407</v>
      </c>
      <c r="L325" s="10" t="n">
        <v>45688.52841435185</v>
      </c>
      <c r="M325" s="11">
        <f>IF(AND(ISNUMBER(D325),ISNUMBER(E325)),(E325-D325),"")</f>
        <v/>
      </c>
      <c r="N325" s="11">
        <f>IF(AND(ISNUMBER(E325),ISNUMBER(F325)),(F325-E325),"")</f>
        <v/>
      </c>
      <c r="O325" s="11">
        <f>IF(AND(ISNUMBER(G325),ISNUMBER(H325)),(H325-G325),"")</f>
        <v/>
      </c>
      <c r="P325" s="11">
        <f>IF(AND(ISNUMBER(H325),ISNUMBER(I325)),(I325-H325),"")</f>
        <v/>
      </c>
      <c r="Q325" s="11">
        <f>IF(AND(ISNUMBER(J325),ISNUMBER(K325)),(K325-J325),"")</f>
        <v/>
      </c>
      <c r="R325" s="11">
        <f>IF(AND(ISNUMBER(K325),ISNUMBER(L325)),(L325-K325),"")</f>
        <v/>
      </c>
      <c r="S325" s="11">
        <f>IF(AND(ISNUMBER(F325),ISNUMBER(L325)),(L325-F325),"")</f>
        <v/>
      </c>
      <c r="T325" s="11">
        <f>IF(AND(ISNUMBER(D325),ISNUMBER(L325)),(L325-D325),"")</f>
        <v/>
      </c>
    </row>
    <row r="326">
      <c r="A326" s="3" t="inlineStr">
        <is>
          <t>10325</t>
        </is>
      </c>
      <c r="B326" s="9" t="n">
        <v>186.66</v>
      </c>
      <c r="C326" s="3" t="inlineStr">
        <is>
          <t>703</t>
        </is>
      </c>
      <c r="D326" s="10" t="n">
        <v>45688.59146990741</v>
      </c>
      <c r="E326" s="10" t="n">
        <v>45688.59146990741</v>
      </c>
      <c r="F326" s="10" t="n">
        <v>45688.59349537037</v>
      </c>
      <c r="G326" s="10" t="n">
        <v>45688.59349537037</v>
      </c>
      <c r="H326" s="10" t="n">
        <v>45688.59627314815</v>
      </c>
      <c r="I326" s="10" t="n">
        <v>45688.59782407407</v>
      </c>
      <c r="J326" s="10" t="n">
        <v>45688.59782407407</v>
      </c>
      <c r="K326" s="10" t="n">
        <v>45688.59869212963</v>
      </c>
      <c r="L326" s="10" t="n">
        <v>45688.60025462963</v>
      </c>
      <c r="M326" s="11">
        <f>IF(AND(ISNUMBER(D326),ISNUMBER(E326)),(E326-D326),"")</f>
        <v/>
      </c>
      <c r="N326" s="11">
        <f>IF(AND(ISNUMBER(E326),ISNUMBER(F326)),(F326-E326),"")</f>
        <v/>
      </c>
      <c r="O326" s="11">
        <f>IF(AND(ISNUMBER(G326),ISNUMBER(H326)),(H326-G326),"")</f>
        <v/>
      </c>
      <c r="P326" s="11">
        <f>IF(AND(ISNUMBER(H326),ISNUMBER(I326)),(I326-H326),"")</f>
        <v/>
      </c>
      <c r="Q326" s="11">
        <f>IF(AND(ISNUMBER(J326),ISNUMBER(K326)),(K326-J326),"")</f>
        <v/>
      </c>
      <c r="R326" s="11">
        <f>IF(AND(ISNUMBER(K326),ISNUMBER(L326)),(L326-K326),"")</f>
        <v/>
      </c>
      <c r="S326" s="11">
        <f>IF(AND(ISNUMBER(F326),ISNUMBER(L326)),(L326-F326),"")</f>
        <v/>
      </c>
      <c r="T326" s="11">
        <f>IF(AND(ISNUMBER(D326),ISNUMBER(L326)),(L326-D326),"")</f>
        <v/>
      </c>
    </row>
    <row r="327">
      <c r="A327" s="3" t="inlineStr">
        <is>
          <t>10326</t>
        </is>
      </c>
      <c r="B327" s="9" t="n">
        <v>332.46</v>
      </c>
      <c r="C327" s="3" t="inlineStr">
        <is>
          <t>703</t>
        </is>
      </c>
      <c r="D327" s="10" t="n">
        <v>45688.62574074074</v>
      </c>
      <c r="E327" s="10" t="n">
        <v>45688.62574074074</v>
      </c>
      <c r="F327" s="10" t="n">
        <v>45688.62810185185</v>
      </c>
      <c r="G327" s="10" t="n">
        <v>45688.62810185185</v>
      </c>
      <c r="H327" s="10" t="n">
        <v>45688.63087962963</v>
      </c>
      <c r="I327" s="10" t="n">
        <v>45688.64017361111</v>
      </c>
      <c r="J327" s="10" t="n">
        <v>45688.64017361111</v>
      </c>
      <c r="K327" s="10" t="n">
        <v>45688.64104166667</v>
      </c>
      <c r="L327" s="10" t="n">
        <v>45688.6541087963</v>
      </c>
      <c r="M327" s="11">
        <f>IF(AND(ISNUMBER(D327),ISNUMBER(E327)),(E327-D327),"")</f>
        <v/>
      </c>
      <c r="N327" s="11">
        <f>IF(AND(ISNUMBER(E327),ISNUMBER(F327)),(F327-E327),"")</f>
        <v/>
      </c>
      <c r="O327" s="11">
        <f>IF(AND(ISNUMBER(G327),ISNUMBER(H327)),(H327-G327),"")</f>
        <v/>
      </c>
      <c r="P327" s="11">
        <f>IF(AND(ISNUMBER(H327),ISNUMBER(I327)),(I327-H327),"")</f>
        <v/>
      </c>
      <c r="Q327" s="11">
        <f>IF(AND(ISNUMBER(J327),ISNUMBER(K327)),(K327-J327),"")</f>
        <v/>
      </c>
      <c r="R327" s="11">
        <f>IF(AND(ISNUMBER(K327),ISNUMBER(L327)),(L327-K327),"")</f>
        <v/>
      </c>
      <c r="S327" s="11">
        <f>IF(AND(ISNUMBER(F327),ISNUMBER(L327)),(L327-F327),"")</f>
        <v/>
      </c>
      <c r="T327" s="11">
        <f>IF(AND(ISNUMBER(D327),ISNUMBER(L327)),(L327-D327),"")</f>
        <v/>
      </c>
    </row>
    <row r="328">
      <c r="A328" s="3" t="inlineStr">
        <is>
          <t>10327</t>
        </is>
      </c>
      <c r="B328" s="9" t="n">
        <v>420.5599999999999</v>
      </c>
      <c r="C328" s="3" t="inlineStr">
        <is>
          <t>727</t>
        </is>
      </c>
      <c r="D328" s="10" t="n">
        <v>45688.63793981481</v>
      </c>
      <c r="E328" s="10" t="n">
        <v>45688.63793981481</v>
      </c>
      <c r="F328" s="10" t="n">
        <v>45688.64006944445</v>
      </c>
      <c r="G328" s="10" t="n">
        <v>45688.64006944445</v>
      </c>
      <c r="H328" s="10" t="n">
        <v>45688.64284722223</v>
      </c>
      <c r="I328" s="10" t="n">
        <v>45688.65746527778</v>
      </c>
      <c r="J328" s="10" t="n">
        <v>45688.65746527778</v>
      </c>
      <c r="K328" s="10" t="n">
        <v>45688.65833333333</v>
      </c>
      <c r="L328" s="10" t="n">
        <v>45688.67579861111</v>
      </c>
      <c r="M328" s="11">
        <f>IF(AND(ISNUMBER(D328),ISNUMBER(E328)),(E328-D328),"")</f>
        <v/>
      </c>
      <c r="N328" s="11">
        <f>IF(AND(ISNUMBER(E328),ISNUMBER(F328)),(F328-E328),"")</f>
        <v/>
      </c>
      <c r="O328" s="11">
        <f>IF(AND(ISNUMBER(G328),ISNUMBER(H328)),(H328-G328),"")</f>
        <v/>
      </c>
      <c r="P328" s="11">
        <f>IF(AND(ISNUMBER(H328),ISNUMBER(I328)),(I328-H328),"")</f>
        <v/>
      </c>
      <c r="Q328" s="11">
        <f>IF(AND(ISNUMBER(J328),ISNUMBER(K328)),(K328-J328),"")</f>
        <v/>
      </c>
      <c r="R328" s="11">
        <f>IF(AND(ISNUMBER(K328),ISNUMBER(L328)),(L328-K328),"")</f>
        <v/>
      </c>
      <c r="S328" s="11">
        <f>IF(AND(ISNUMBER(F328),ISNUMBER(L328)),(L328-F328),"")</f>
        <v/>
      </c>
      <c r="T328" s="11">
        <f>IF(AND(ISNUMBER(D328),ISNUMBER(L328)),(L328-D328),"")</f>
        <v/>
      </c>
    </row>
    <row r="329">
      <c r="A329" s="3" t="inlineStr">
        <is>
          <t>10328</t>
        </is>
      </c>
      <c r="B329" s="9" t="n">
        <v>47.22</v>
      </c>
      <c r="C329" s="3" t="inlineStr">
        <is>
          <t>731</t>
        </is>
      </c>
      <c r="D329" s="10" t="n">
        <v>45688.64741898148</v>
      </c>
      <c r="E329" s="10" t="n">
        <v>45688.64741898148</v>
      </c>
      <c r="F329" s="10" t="n">
        <v>45688.64875</v>
      </c>
      <c r="G329" s="10" t="n">
        <v>45688.64875</v>
      </c>
      <c r="H329" s="10" t="n">
        <v>45688.65152777778</v>
      </c>
      <c r="I329" s="10" t="n">
        <v>45688.651875</v>
      </c>
      <c r="J329" s="10" t="n">
        <v>45688.651875</v>
      </c>
      <c r="K329" s="10" t="n">
        <v>45688.65497685185</v>
      </c>
      <c r="L329" s="10" t="n">
        <v>45688.65497685185</v>
      </c>
      <c r="M329" s="11">
        <f>IF(AND(ISNUMBER(D329),ISNUMBER(E329)),(E329-D329),"")</f>
        <v/>
      </c>
      <c r="N329" s="11">
        <f>IF(AND(ISNUMBER(E329),ISNUMBER(F329)),(F329-E329),"")</f>
        <v/>
      </c>
      <c r="O329" s="11">
        <f>IF(AND(ISNUMBER(G329),ISNUMBER(H329)),(H329-G329),"")</f>
        <v/>
      </c>
      <c r="P329" s="11">
        <f>IF(AND(ISNUMBER(H329),ISNUMBER(I329)),(I329-H329),"")</f>
        <v/>
      </c>
      <c r="Q329" s="11">
        <f>IF(AND(ISNUMBER(J329),ISNUMBER(K329)),(K329-J329),"")</f>
        <v/>
      </c>
      <c r="R329" s="11">
        <f>IF(AND(ISNUMBER(K329),ISNUMBER(L329)),(L329-K329),"")</f>
        <v/>
      </c>
      <c r="S329" s="11">
        <f>IF(AND(ISNUMBER(F329),ISNUMBER(L329)),(L329-F329),"")</f>
        <v/>
      </c>
      <c r="T329" s="11">
        <f>IF(AND(ISNUMBER(D329),ISNUMBER(L329)),(L329-D329),"")</f>
        <v/>
      </c>
    </row>
    <row r="330">
      <c r="A330" s="3" t="inlineStr">
        <is>
          <t>10329</t>
        </is>
      </c>
      <c r="B330" s="9" t="n">
        <v>302.1200000000001</v>
      </c>
      <c r="C330" s="3" t="inlineStr">
        <is>
          <t>703</t>
        </is>
      </c>
      <c r="D330" s="10" t="n">
        <v>45688.72976851852</v>
      </c>
      <c r="E330" s="10" t="n">
        <v>45688.72976851852</v>
      </c>
      <c r="F330" s="10" t="n">
        <v>45688.73206018518</v>
      </c>
      <c r="G330" s="10" t="n">
        <v>45688.73206018518</v>
      </c>
      <c r="H330" s="10" t="n">
        <v>45688.73483796296</v>
      </c>
      <c r="I330" s="10" t="n">
        <v>45688.73734953703</v>
      </c>
      <c r="J330" s="10" t="n">
        <v>45688.73734953703</v>
      </c>
      <c r="K330" s="10" t="n">
        <v>45688.7382175926</v>
      </c>
      <c r="L330" s="10" t="n">
        <v>45688.74016203704</v>
      </c>
      <c r="M330" s="11">
        <f>IF(AND(ISNUMBER(D330),ISNUMBER(E330)),(E330-D330),"")</f>
        <v/>
      </c>
      <c r="N330" s="11">
        <f>IF(AND(ISNUMBER(E330),ISNUMBER(F330)),(F330-E330),"")</f>
        <v/>
      </c>
      <c r="O330" s="11">
        <f>IF(AND(ISNUMBER(G330),ISNUMBER(H330)),(H330-G330),"")</f>
        <v/>
      </c>
      <c r="P330" s="11">
        <f>IF(AND(ISNUMBER(H330),ISNUMBER(I330)),(I330-H330),"")</f>
        <v/>
      </c>
      <c r="Q330" s="11">
        <f>IF(AND(ISNUMBER(J330),ISNUMBER(K330)),(K330-J330),"")</f>
        <v/>
      </c>
      <c r="R330" s="11">
        <f>IF(AND(ISNUMBER(K330),ISNUMBER(L330)),(L330-K330),"")</f>
        <v/>
      </c>
      <c r="S330" s="11">
        <f>IF(AND(ISNUMBER(F330),ISNUMBER(L330)),(L330-F330),"")</f>
        <v/>
      </c>
      <c r="T330" s="11">
        <f>IF(AND(ISNUMBER(D330),ISNUMBER(L330)),(L330-D330),"")</f>
        <v/>
      </c>
    </row>
    <row r="331">
      <c r="A331" s="3" t="inlineStr">
        <is>
          <t>10330</t>
        </is>
      </c>
      <c r="B331" s="9" t="n">
        <v>193.12</v>
      </c>
      <c r="C331" s="3" t="inlineStr">
        <is>
          <t>727</t>
        </is>
      </c>
      <c r="D331" s="10" t="n">
        <v>45688.73995370371</v>
      </c>
      <c r="E331" s="10" t="n">
        <v>45688.73995370371</v>
      </c>
      <c r="F331" s="10" t="n">
        <v>45688.74155092592</v>
      </c>
      <c r="G331" s="10" t="n">
        <v>45688.74155092592</v>
      </c>
      <c r="H331" s="10" t="n">
        <v>45688.7443287037</v>
      </c>
      <c r="I331" s="10" t="n">
        <v>45688.74583333333</v>
      </c>
      <c r="J331" s="10" t="n">
        <v>45688.74583333333</v>
      </c>
      <c r="K331" s="10" t="n">
        <v>45688.74671296297</v>
      </c>
      <c r="L331" s="10" t="n">
        <v>45688.74900462963</v>
      </c>
      <c r="M331" s="11">
        <f>IF(AND(ISNUMBER(D331),ISNUMBER(E331)),(E331-D331),"")</f>
        <v/>
      </c>
      <c r="N331" s="11">
        <f>IF(AND(ISNUMBER(E331),ISNUMBER(F331)),(F331-E331),"")</f>
        <v/>
      </c>
      <c r="O331" s="11">
        <f>IF(AND(ISNUMBER(G331),ISNUMBER(H331)),(H331-G331),"")</f>
        <v/>
      </c>
      <c r="P331" s="11">
        <f>IF(AND(ISNUMBER(H331),ISNUMBER(I331)),(I331-H331),"")</f>
        <v/>
      </c>
      <c r="Q331" s="11">
        <f>IF(AND(ISNUMBER(J331),ISNUMBER(K331)),(K331-J331),"")</f>
        <v/>
      </c>
      <c r="R331" s="11">
        <f>IF(AND(ISNUMBER(K331),ISNUMBER(L331)),(L331-K331),"")</f>
        <v/>
      </c>
      <c r="S331" s="11">
        <f>IF(AND(ISNUMBER(F331),ISNUMBER(L331)),(L331-F331),"")</f>
        <v/>
      </c>
      <c r="T331" s="11">
        <f>IF(AND(ISNUMBER(D331),ISNUMBER(L331)),(L331-D331),"")</f>
        <v/>
      </c>
    </row>
    <row r="332">
      <c r="A332" s="3" t="inlineStr">
        <is>
          <t>10331</t>
        </is>
      </c>
      <c r="B332" s="9" t="n">
        <v>351.04</v>
      </c>
      <c r="C332" s="3" t="inlineStr">
        <is>
          <t>703</t>
        </is>
      </c>
      <c r="D332" s="10" t="n">
        <v>45688.83652777778</v>
      </c>
      <c r="E332" s="10" t="n">
        <v>45688.83652777778</v>
      </c>
      <c r="F332" s="10" t="n">
        <v>45688.83893518519</v>
      </c>
      <c r="G332" s="10" t="n">
        <v>45688.83893518519</v>
      </c>
      <c r="H332" s="10" t="n">
        <v>45688.84171296296</v>
      </c>
      <c r="I332" s="10" t="n">
        <v>45688.85017361111</v>
      </c>
      <c r="J332" s="10" t="n">
        <v>45688.85017361111</v>
      </c>
      <c r="K332" s="10" t="n">
        <v>45688.85105324074</v>
      </c>
      <c r="L332" s="10" t="n">
        <v>45688.86248842593</v>
      </c>
      <c r="M332" s="11">
        <f>IF(AND(ISNUMBER(D332),ISNUMBER(E332)),(E332-D332),"")</f>
        <v/>
      </c>
      <c r="N332" s="11">
        <f>IF(AND(ISNUMBER(E332),ISNUMBER(F332)),(F332-E332),"")</f>
        <v/>
      </c>
      <c r="O332" s="11">
        <f>IF(AND(ISNUMBER(G332),ISNUMBER(H332)),(H332-G332),"")</f>
        <v/>
      </c>
      <c r="P332" s="11">
        <f>IF(AND(ISNUMBER(H332),ISNUMBER(I332)),(I332-H332),"")</f>
        <v/>
      </c>
      <c r="Q332" s="11">
        <f>IF(AND(ISNUMBER(J332),ISNUMBER(K332)),(K332-J332),"")</f>
        <v/>
      </c>
      <c r="R332" s="11">
        <f>IF(AND(ISNUMBER(K332),ISNUMBER(L332)),(L332-K332),"")</f>
        <v/>
      </c>
      <c r="S332" s="11">
        <f>IF(AND(ISNUMBER(F332),ISNUMBER(L332)),(L332-F332),"")</f>
        <v/>
      </c>
      <c r="T332" s="11">
        <f>IF(AND(ISNUMBER(D332),ISNUMBER(L332)),(L332-D332),"")</f>
        <v/>
      </c>
    </row>
  </sheetData>
  <autoFilter ref="A1:T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19" customWidth="1" min="5" max="5"/>
    <col width="19" customWidth="1" min="6" max="6"/>
    <col width="19" customWidth="1" min="7" max="7"/>
    <col width="8.199999999999999" customWidth="1" min="8" max="8"/>
    <col width="19" customWidth="1" min="9" max="9"/>
    <col width="19" customWidth="1" min="10" max="10"/>
    <col width="19" customWidth="1" min="11" max="11"/>
    <col width="19" customWidth="1" min="12" max="12"/>
    <col width="8.199999999999999" customWidth="1" min="13" max="13"/>
    <col width="8.199999999999999" customWidth="1" min="14" max="14"/>
    <col width="19" customWidth="1" min="15" max="15"/>
    <col width="8.199999999999999" customWidth="1" min="16" max="16"/>
    <col width="100" customWidth="1" min="17" max="17"/>
  </cols>
  <sheetData>
    <row r="1" ht="45" customHeight="1">
      <c r="A1" s="1" t="inlineStr">
        <is>
          <t>ID</t>
        </is>
      </c>
      <c r="B1" s="1" t="inlineStr">
        <is>
          <t>Parent incoming train</t>
        </is>
      </c>
      <c r="C1" s="1" t="inlineStr">
        <is>
          <t>Length (m)</t>
        </is>
      </c>
      <c r="D1" s="1" t="inlineStr">
        <is>
          <t>Destination</t>
        </is>
      </c>
      <c r="E1" s="1" t="inlineStr">
        <is>
          <t>At arrival track</t>
        </is>
      </c>
      <c r="F1" s="1" t="inlineStr">
        <is>
          <t>PushOffDrive starts</t>
        </is>
      </c>
      <c r="G1" s="1" t="inlineStr">
        <is>
          <t>PushOffDrive ends</t>
        </is>
      </c>
      <c r="H1" s="1" t="inlineStr">
        <is>
          <t>Parent outbound train</t>
        </is>
      </c>
      <c r="I1" s="1" t="inlineStr">
        <is>
          <t>OBTP starts</t>
        </is>
      </c>
      <c r="J1" s="1" t="inlineStr">
        <is>
          <t>OBTP ends</t>
        </is>
      </c>
      <c r="K1" s="1" t="inlineStr">
        <is>
          <t>Departure drive starts</t>
        </is>
      </c>
      <c r="L1" s="1" t="inlineStr">
        <is>
          <t>Departure drive ends</t>
        </is>
      </c>
      <c r="M1" s="1" t="inlineStr">
        <is>
          <t>Time in arrival yard (hh:mm:ss)</t>
        </is>
      </c>
      <c r="N1" s="1" t="inlineStr">
        <is>
          <t>Time in classification yard (hh:mm:ss)</t>
        </is>
      </c>
      <c r="O1" s="1" t="inlineStr">
        <is>
          <t>SEC/COP end</t>
        </is>
      </c>
      <c r="P1" s="1" t="inlineStr">
        <is>
          <t>Idle time on classification track (hh:mm:ss)</t>
        </is>
      </c>
      <c r="Q1" s="1" t="inlineStr">
        <is>
          <t>Classification context</t>
        </is>
      </c>
    </row>
    <row r="2">
      <c r="A2" s="3" t="inlineStr">
        <is>
          <t>1000101</t>
        </is>
      </c>
      <c r="B2" s="3" t="inlineStr">
        <is>
          <t>10001</t>
        </is>
      </c>
      <c r="C2" s="9" t="n">
        <v>19.9</v>
      </c>
      <c r="D2" s="3" t="inlineStr">
        <is>
          <t>Other sidings south</t>
        </is>
      </c>
      <c r="E2" s="10" t="n">
        <v>45659.11304398148</v>
      </c>
      <c r="F2" s="10" t="n">
        <v>45659.12101851852</v>
      </c>
      <c r="G2" s="10" t="n">
        <v>45659.1221875</v>
      </c>
      <c r="H2" s="3" t="inlineStr">
        <is>
          <t>OBT030125061555-Other sidings south</t>
        </is>
      </c>
      <c r="I2" s="10" t="n">
        <v>45660.26269675926</v>
      </c>
      <c r="J2" s="10" t="n">
        <v>45660.28053240741</v>
      </c>
      <c r="K2" s="10" t="n">
        <v>45660.28053240741</v>
      </c>
      <c r="L2" s="10" t="n">
        <v>45660.28123842592</v>
      </c>
      <c r="M2" s="11">
        <f>IF(AND(ISNUMBER(E2),ISNUMBER(G2)),(G2-E2),"")</f>
        <v/>
      </c>
      <c r="N2" s="11">
        <f>IF(AND(ISNUMBER(G2),ISNUMBER(L2)),(L2-G2),"")</f>
        <v/>
      </c>
      <c r="O2" s="10" t="n">
        <v>45659.124375</v>
      </c>
      <c r="P2" s="11">
        <f>IF(AND(ISNUMBER(I2),ISNUMBER(O2)),(I2-O2),"")</f>
        <v/>
      </c>
      <c r="Q2" s="12" t="inlineStr">
        <is>
          <t>WG 1000101 entered track and got secured then waited 4:47:39 for WG 1000301 to get coupled then waited 10:33:50 for WG 1001201 to get coupled then waited 8:42:56 for WG 1001402 to get coupled then waited 0:04:13 for WG 1001404 to get coupled then waited 3:08:11 for WG 1001604 to get coupled, OBTP started on 06:18:17 finished on 06:43:58 and then left at 06:44:59</t>
        </is>
      </c>
    </row>
    <row r="3">
      <c r="A3" s="3" t="inlineStr">
        <is>
          <t>1000102</t>
        </is>
      </c>
      <c r="B3" s="3" t="inlineStr">
        <is>
          <t>10001</t>
        </is>
      </c>
      <c r="C3" s="9" t="n">
        <v>103.9</v>
      </c>
      <c r="D3" s="3" t="inlineStr">
        <is>
          <t>Neunkirchen (loading tracks)</t>
        </is>
      </c>
      <c r="E3" s="10" t="n">
        <v>45659.11304398148</v>
      </c>
      <c r="F3" s="10" t="n">
        <v>45659.1221875</v>
      </c>
      <c r="G3" s="10" t="n">
        <v>45659.12366898148</v>
      </c>
      <c r="H3" s="3" t="inlineStr">
        <is>
          <t>OBT020125030112-Neunkirchen (loading tracks)</t>
        </is>
      </c>
      <c r="I3" s="10" t="n">
        <v>45659.12670138889</v>
      </c>
      <c r="J3" s="10" t="n">
        <v>45659.1447337963</v>
      </c>
      <c r="K3" s="10" t="n">
        <v>45659.1447337963</v>
      </c>
      <c r="L3" s="10" t="n">
        <v>45659.14540509259</v>
      </c>
      <c r="M3" s="11">
        <f>IF(AND(ISNUMBER(E3),ISNUMBER(G3)),(G3-E3),"")</f>
        <v/>
      </c>
      <c r="N3" s="11">
        <f>IF(AND(ISNUMBER(G3),ISNUMBER(L3)),(L3-G3),"")</f>
        <v/>
      </c>
      <c r="O3" s="10" t="n">
        <v>45659.12583333333</v>
      </c>
      <c r="P3" s="11">
        <f>IF(AND(ISNUMBER(I3),ISNUMBER(O3)),(I3-O3),"")</f>
        <v/>
      </c>
      <c r="Q3" s="12" t="inlineStr">
        <is>
          <t>WG 1000102 entered track and got secured, OBTP started on 03:02:27 finished on 03:28:25 and then left at 03:29:23</t>
        </is>
      </c>
    </row>
    <row r="4">
      <c r="A4" s="3" t="inlineStr">
        <is>
          <t>1000103</t>
        </is>
      </c>
      <c r="B4" s="3" t="inlineStr">
        <is>
          <t>10001</t>
        </is>
      </c>
      <c r="C4" s="9" t="n">
        <v>71.73999999999999</v>
      </c>
      <c r="D4" s="3" t="inlineStr">
        <is>
          <t>Ternitz (Schoeller-Bleckmann)</t>
        </is>
      </c>
      <c r="E4" s="10" t="n">
        <v>45659.11304398148</v>
      </c>
      <c r="F4" s="10" t="n">
        <v>45659.12366898148</v>
      </c>
      <c r="G4" s="10" t="n">
        <v>45659.12571759259</v>
      </c>
      <c r="H4" s="3" t="inlineStr">
        <is>
          <t>OBT020125152222-Ternitz (Schoeller-Bleckmann)</t>
        </is>
      </c>
      <c r="I4" s="10" t="n">
        <v>45659.64138888889</v>
      </c>
      <c r="J4" s="10" t="n">
        <v>45659.70447916666</v>
      </c>
      <c r="K4" s="10" t="n">
        <v>45659.70460648148</v>
      </c>
      <c r="L4" s="10" t="n">
        <v>45659.70583333333</v>
      </c>
      <c r="M4" s="11">
        <f>IF(AND(ISNUMBER(E4),ISNUMBER(G4)),(G4-E4),"")</f>
        <v/>
      </c>
      <c r="N4" s="11">
        <f>IF(AND(ISNUMBER(G4),ISNUMBER(L4)),(L4-G4),"")</f>
        <v/>
      </c>
      <c r="O4" s="10" t="n">
        <v>45659.12789351852</v>
      </c>
      <c r="P4" s="11">
        <f>IF(AND(ISNUMBER(I4),ISNUMBER(O4)),(I4-O4),"")</f>
        <v/>
      </c>
      <c r="Q4" s="12" t="inlineStr">
        <is>
          <t>WG 1000103 entered track and got secured then waited 4:51:04 for WG 1000304 to get coupled then waited 1:47:17 for WG 1000606 to get coupled then waited 5:39:51 for WG 1001101 to get coupled, OBTP started on 15:23:36 finished on 16:54:27 and then left at 16:56:24</t>
        </is>
      </c>
    </row>
    <row r="5">
      <c r="A5" s="3" t="inlineStr">
        <is>
          <t>1000104</t>
        </is>
      </c>
      <c r="B5" s="3" t="inlineStr">
        <is>
          <t>10001</t>
        </is>
      </c>
      <c r="C5" s="9" t="n">
        <v>31.48</v>
      </c>
      <c r="D5" s="3" t="inlineStr">
        <is>
          <t>Gloggnitz</t>
        </is>
      </c>
      <c r="E5" s="10" t="n">
        <v>45659.11304398148</v>
      </c>
      <c r="F5" s="10" t="n">
        <v>45659.12571759259</v>
      </c>
      <c r="G5" s="10" t="n">
        <v>45659.12777777778</v>
      </c>
      <c r="H5" s="3" t="inlineStr">
        <is>
          <t>OBT030125063005-Gloggnitz</t>
        </is>
      </c>
      <c r="I5" s="10" t="n">
        <v>45660.27732638889</v>
      </c>
      <c r="J5" s="10" t="n">
        <v>45660.31285879629</v>
      </c>
      <c r="K5" s="10" t="n">
        <v>45660.31285879629</v>
      </c>
      <c r="L5" s="10" t="n">
        <v>45660.31383101852</v>
      </c>
      <c r="M5" s="11">
        <f>IF(AND(ISNUMBER(E5),ISNUMBER(G5)),(G5-E5),"")</f>
        <v/>
      </c>
      <c r="N5" s="11">
        <f>IF(AND(ISNUMBER(G5),ISNUMBER(L5)),(L5-G5),"")</f>
        <v/>
      </c>
      <c r="O5" s="10" t="n">
        <v>45659.12994212963</v>
      </c>
      <c r="P5" s="11">
        <f>IF(AND(ISNUMBER(I5),ISNUMBER(O5)),(I5-O5),"")</f>
        <v/>
      </c>
      <c r="Q5" s="12" t="inlineStr">
        <is>
          <t>WG 1000104 entered track and got secured then waited 6:47:00 for WG 1000610 to get coupled then waited 8:29:19 for WG 1001202 to get coupled then waited 2:22:59 for WG 1001302 to get coupled then waited 9:43:40 for WG 1001609 to get coupled, OBTP started on 06:39:21 finished on 07:30:31 and then left at 07:31:55</t>
        </is>
      </c>
    </row>
    <row r="6">
      <c r="A6" s="3" t="inlineStr">
        <is>
          <t>1000201</t>
        </is>
      </c>
      <c r="B6" s="3" t="inlineStr">
        <is>
          <t>10002</t>
        </is>
      </c>
      <c r="C6" s="9" t="n">
        <v>182.7</v>
      </c>
      <c r="D6" s="3" t="inlineStr">
        <is>
          <t>Wien Kledering</t>
        </is>
      </c>
      <c r="E6" s="10" t="n">
        <v>45659.27122685185</v>
      </c>
      <c r="F6" s="10" t="n">
        <v>45659.27619212963</v>
      </c>
      <c r="G6" s="10" t="n">
        <v>45659.2778587963</v>
      </c>
      <c r="H6" s="3" t="inlineStr">
        <is>
          <t>OBT020125064334-Wien Kledering</t>
        </is>
      </c>
      <c r="I6" s="10" t="n">
        <v>45659.28109953704</v>
      </c>
      <c r="J6" s="10" t="n">
        <v>45659.3128125</v>
      </c>
      <c r="K6" s="10" t="n">
        <v>45659.3128125</v>
      </c>
      <c r="L6" s="10" t="n">
        <v>45659.31366898148</v>
      </c>
      <c r="M6" s="11">
        <f>IF(AND(ISNUMBER(E6),ISNUMBER(G6)),(G6-E6),"")</f>
        <v/>
      </c>
      <c r="N6" s="11">
        <f>IF(AND(ISNUMBER(G6),ISNUMBER(L6)),(L6-G6),"")</f>
        <v/>
      </c>
      <c r="O6" s="10" t="n">
        <v>45659.28025462963</v>
      </c>
      <c r="P6" s="11">
        <f>IF(AND(ISNUMBER(I6),ISNUMBER(O6)),(I6-O6),"")</f>
        <v/>
      </c>
      <c r="Q6" s="12" t="inlineStr">
        <is>
          <t>WG 1000201 entered track and got secured, OBTP started on 06:44:47 finished on 07:30:27 and then left at 07:31:41</t>
        </is>
      </c>
    </row>
    <row r="7">
      <c r="A7" s="3" t="inlineStr">
        <is>
          <t>1000301</t>
        </is>
      </c>
      <c r="B7" s="3" t="inlineStr">
        <is>
          <t>10003</t>
        </is>
      </c>
      <c r="C7" s="9" t="n">
        <v>15.74</v>
      </c>
      <c r="D7" s="3" t="inlineStr">
        <is>
          <t>Other sidings south</t>
        </is>
      </c>
      <c r="E7" s="10" t="n">
        <v>45659.30041666667</v>
      </c>
      <c r="F7" s="10" t="n">
        <v>45659.31907407408</v>
      </c>
      <c r="G7" s="10" t="n">
        <v>45659.32020833333</v>
      </c>
      <c r="H7" s="3" t="inlineStr">
        <is>
          <t>OBT030125061555-Other sidings south</t>
        </is>
      </c>
      <c r="I7" s="10" t="n">
        <v>45660.26269675926</v>
      </c>
      <c r="J7" s="10" t="n">
        <v>45660.28053240741</v>
      </c>
      <c r="K7" s="10" t="n">
        <v>45660.28053240741</v>
      </c>
      <c r="L7" s="10" t="n">
        <v>45660.28123842592</v>
      </c>
      <c r="M7" s="11">
        <f>IF(AND(ISNUMBER(E7),ISNUMBER(G7)),(G7-E7),"")</f>
        <v/>
      </c>
      <c r="N7" s="11">
        <f>IF(AND(ISNUMBER(G7),ISNUMBER(L7)),(L7-G7),"")</f>
        <v/>
      </c>
      <c r="O7" s="10" t="n">
        <v>45659.32413194444</v>
      </c>
      <c r="P7" s="11">
        <f>IF(AND(ISNUMBER(I7),ISNUMBER(O7)),(I7-O7),"")</f>
        <v/>
      </c>
      <c r="Q7" s="12" t="inlineStr">
        <is>
          <t>WG 1000301 entered track and got coupled to WG 1000101 then waited 10:33:50 for WG 1001201 to get coupled then waited 8:42:56 for WG 1001402 to get coupled then waited 0:04:13 for WG 1001404 to get coupled then waited 3:08:11 for WG 1001604 to get coupled, OBTP started on 06:18:17 finished on 06:43:58 and then left at 06:44:59</t>
        </is>
      </c>
    </row>
    <row r="8">
      <c r="A8" s="3" t="inlineStr">
        <is>
          <t>1000302</t>
        </is>
      </c>
      <c r="B8" s="3" t="inlineStr">
        <is>
          <t>10003</t>
        </is>
      </c>
      <c r="C8" s="9" t="n">
        <v>264.62</v>
      </c>
      <c r="D8" s="3" t="inlineStr">
        <is>
          <t>Pitten (Hamburger)</t>
        </is>
      </c>
      <c r="E8" s="10" t="n">
        <v>45659.30041666667</v>
      </c>
      <c r="F8" s="10" t="n">
        <v>45659.32020833333</v>
      </c>
      <c r="G8" s="10" t="n">
        <v>45659.32248842593</v>
      </c>
      <c r="H8" s="3" t="inlineStr">
        <is>
          <t>OBT020125074750-Pitten (Hamburger)</t>
        </is>
      </c>
      <c r="I8" s="10" t="n">
        <v>45659.32586805556</v>
      </c>
      <c r="J8" s="10" t="n">
        <v>45659.37180555556</v>
      </c>
      <c r="K8" s="10" t="n">
        <v>45659.37180555556</v>
      </c>
      <c r="L8" s="10" t="n">
        <v>45659.37302083334</v>
      </c>
      <c r="M8" s="11">
        <f>IF(AND(ISNUMBER(E8),ISNUMBER(G8)),(G8-E8),"")</f>
        <v/>
      </c>
      <c r="N8" s="11">
        <f>IF(AND(ISNUMBER(G8),ISNUMBER(L8)),(L8-G8),"")</f>
        <v/>
      </c>
      <c r="O8" s="10" t="n">
        <v>45659.32488425926</v>
      </c>
      <c r="P8" s="11">
        <f>IF(AND(ISNUMBER(I8),ISNUMBER(O8)),(I8-O8),"")</f>
        <v/>
      </c>
      <c r="Q8" s="12" t="inlineStr">
        <is>
          <t>WG 1000302 entered track and got secured, OBTP started on 07:49:15 finished on 08:55:24 and then left at 08:57:09</t>
        </is>
      </c>
    </row>
    <row r="9">
      <c r="A9" s="3" t="inlineStr">
        <is>
          <t>1000303</t>
        </is>
      </c>
      <c r="B9" s="3" t="inlineStr">
        <is>
          <t>10003</t>
        </is>
      </c>
      <c r="C9" s="9" t="n">
        <v>21</v>
      </c>
      <c r="D9" s="3" t="inlineStr">
        <is>
          <t>Neunkirchen (loading tracks)</t>
        </is>
      </c>
      <c r="E9" s="10" t="n">
        <v>45659.30041666667</v>
      </c>
      <c r="F9" s="10" t="n">
        <v>45659.32248842593</v>
      </c>
      <c r="G9" s="10" t="n">
        <v>45659.32422453703</v>
      </c>
      <c r="H9" s="3" t="inlineStr">
        <is>
          <t>OBT020125184418-Neunkirchen (loading tracks)</t>
        </is>
      </c>
      <c r="I9" s="10" t="n">
        <v>45659.78405092593</v>
      </c>
      <c r="J9" s="10" t="n">
        <v>45659.80189814815</v>
      </c>
      <c r="K9" s="10" t="n">
        <v>45659.80189814815</v>
      </c>
      <c r="L9" s="10" t="n">
        <v>45659.80267361111</v>
      </c>
      <c r="M9" s="11">
        <f>IF(AND(ISNUMBER(E9),ISNUMBER(G9)),(G9-E9),"")</f>
        <v/>
      </c>
      <c r="N9" s="11">
        <f>IF(AND(ISNUMBER(G9),ISNUMBER(L9)),(L9-G9),"")</f>
        <v/>
      </c>
      <c r="O9" s="10" t="n">
        <v>45659.32659722222</v>
      </c>
      <c r="P9" s="11">
        <f>IF(AND(ISNUMBER(I9),ISNUMBER(O9)),(I9-O9),"")</f>
        <v/>
      </c>
      <c r="Q9" s="12" t="inlineStr">
        <is>
          <t>WG 1000303 entered track and got secured then waited 0:17:26 for WG 1000309 to get coupled then waited 7:40:59 for WG 1001007 to get coupled then waited 2:55:35 for WG 1001210 to get coupled, OBTP started on 18:49:02 finished on 19:14:44 and then left at 19:15:51</t>
        </is>
      </c>
    </row>
    <row r="10">
      <c r="A10" s="3" t="inlineStr">
        <is>
          <t>1000304</t>
        </is>
      </c>
      <c r="B10" s="3" t="inlineStr">
        <is>
          <t>10003</t>
        </is>
      </c>
      <c r="C10" s="9" t="n">
        <v>12.04</v>
      </c>
      <c r="D10" s="3" t="inlineStr">
        <is>
          <t>Ternitz (Schoeller-Bleckmann)</t>
        </is>
      </c>
      <c r="E10" s="10" t="n">
        <v>45659.30041666667</v>
      </c>
      <c r="F10" s="10" t="n">
        <v>45659.32422453703</v>
      </c>
      <c r="G10" s="10" t="n">
        <v>45659.32609953704</v>
      </c>
      <c r="H10" s="3" t="inlineStr">
        <is>
          <t>OBT020125152222-Ternitz (Schoeller-Bleckmann)</t>
        </is>
      </c>
      <c r="I10" s="10" t="n">
        <v>45659.64138888889</v>
      </c>
      <c r="J10" s="10" t="n">
        <v>45659.70447916666</v>
      </c>
      <c r="K10" s="10" t="n">
        <v>45659.70460648148</v>
      </c>
      <c r="L10" s="10" t="n">
        <v>45659.70583333333</v>
      </c>
      <c r="M10" s="11">
        <f>IF(AND(ISNUMBER(E10),ISNUMBER(G10)),(G10-E10),"")</f>
        <v/>
      </c>
      <c r="N10" s="11">
        <f>IF(AND(ISNUMBER(G10),ISNUMBER(L10)),(L10-G10),"")</f>
        <v/>
      </c>
      <c r="O10" s="10" t="n">
        <v>45659.33002314815</v>
      </c>
      <c r="P10" s="11">
        <f>IF(AND(ISNUMBER(I10),ISNUMBER(O10)),(I10-O10),"")</f>
        <v/>
      </c>
      <c r="Q10" s="12" t="inlineStr">
        <is>
          <t>WG 1000304 entered track and got coupled to WG 1000103 then waited 1:47:17 for WG 1000606 to get coupled then waited 5:39:51 for WG 1001101 to get coupled, OBTP started on 15:23:36 finished on 16:54:27 and then left at 16:56:24</t>
        </is>
      </c>
    </row>
    <row r="11">
      <c r="A11" s="3" t="inlineStr">
        <is>
          <t>1000305</t>
        </is>
      </c>
      <c r="B11" s="3" t="inlineStr">
        <is>
          <t>10003</t>
        </is>
      </c>
      <c r="C11" s="9" t="n">
        <v>98.59999999999999</v>
      </c>
      <c r="D11" s="3" t="inlineStr">
        <is>
          <t>Other sidings north</t>
        </is>
      </c>
      <c r="E11" s="10" t="n">
        <v>45659.30041666667</v>
      </c>
      <c r="F11" s="10" t="n">
        <v>45659.32609953704</v>
      </c>
      <c r="G11" s="10" t="n">
        <v>45659.32821759259</v>
      </c>
      <c r="H11" s="3" t="inlineStr">
        <is>
          <t>OBT020125093208-Other sidings north</t>
        </is>
      </c>
      <c r="I11" s="10" t="n">
        <v>45659.41431712963</v>
      </c>
      <c r="J11" s="10" t="n">
        <v>45659.43761574074</v>
      </c>
      <c r="K11" s="10" t="n">
        <v>45659.43761574074</v>
      </c>
      <c r="L11" s="10" t="n">
        <v>45659.43848379629</v>
      </c>
      <c r="M11" s="11">
        <f>IF(AND(ISNUMBER(E11),ISNUMBER(G11)),(G11-E11),"")</f>
        <v/>
      </c>
      <c r="N11" s="11">
        <f>IF(AND(ISNUMBER(G11),ISNUMBER(L11)),(L11-G11),"")</f>
        <v/>
      </c>
      <c r="O11" s="10" t="n">
        <v>45659.33059027778</v>
      </c>
      <c r="P11" s="11">
        <f>IF(AND(ISNUMBER(I11),ISNUMBER(O11)),(I11-O11),"")</f>
        <v/>
      </c>
      <c r="Q11" s="12" t="inlineStr">
        <is>
          <t>WG 1000305 entered track and got secured then waited 1:36:05 for WG 1000603 to get coupled, OBTP started on 09:56:37 finished on 10:30:10 and then left at 10:31:25</t>
        </is>
      </c>
    </row>
    <row r="12">
      <c r="A12" s="3" t="inlineStr">
        <is>
          <t>1000306</t>
        </is>
      </c>
      <c r="B12" s="3" t="inlineStr">
        <is>
          <t>10003</t>
        </is>
      </c>
      <c r="C12" s="9" t="n">
        <v>21</v>
      </c>
      <c r="D12" s="3" t="inlineStr">
        <is>
          <t>Neudörfl (FunderMax)</t>
        </is>
      </c>
      <c r="E12" s="10" t="n">
        <v>45659.30041666667</v>
      </c>
      <c r="F12" s="10" t="n">
        <v>45659.32821759259</v>
      </c>
      <c r="G12" s="10" t="n">
        <v>45659.32991898148</v>
      </c>
      <c r="H12" s="3" t="inlineStr">
        <is>
          <t>OBT020125154035-Neudörfl (FunderMax)</t>
        </is>
      </c>
      <c r="I12" s="10" t="n">
        <v>45659.66200231481</v>
      </c>
      <c r="J12" s="10" t="n">
        <v>45659.68193287037</v>
      </c>
      <c r="K12" s="10" t="n">
        <v>45659.68193287037</v>
      </c>
      <c r="L12" s="10" t="n">
        <v>45659.68270833333</v>
      </c>
      <c r="M12" s="11">
        <f>IF(AND(ISNUMBER(E12),ISNUMBER(G12)),(G12-E12),"")</f>
        <v/>
      </c>
      <c r="N12" s="11">
        <f>IF(AND(ISNUMBER(G12),ISNUMBER(L12)),(L12-G12),"")</f>
        <v/>
      </c>
      <c r="O12" s="10" t="n">
        <v>45659.33328703704</v>
      </c>
      <c r="P12" s="11">
        <f>IF(AND(ISNUMBER(I12),ISNUMBER(O12)),(I12-O12),"")</f>
        <v/>
      </c>
      <c r="Q12" s="12" t="inlineStr">
        <is>
          <t>WG 1000306 entered track and got secured then waited 0:14:38 for WG 1000311 to get coupled then waited 1:11:18 for WG 1000601 to get coupled then waited 0:09:45 for WG 1000604 to get coupled then waited 6:04:58 for WG 1001004 to get coupled, OBTP started on 15:53:17 finished on 16:21:59 and then left at 16:23:06</t>
        </is>
      </c>
    </row>
    <row r="13">
      <c r="A13" s="3" t="inlineStr">
        <is>
          <t>1000307</t>
        </is>
      </c>
      <c r="B13" s="3" t="inlineStr">
        <is>
          <t>10003</t>
        </is>
      </c>
      <c r="C13" s="9" t="n">
        <v>15.74</v>
      </c>
      <c r="D13" s="3" t="inlineStr">
        <is>
          <t>Other sidings local</t>
        </is>
      </c>
      <c r="E13" s="10" t="n">
        <v>45659.30041666667</v>
      </c>
      <c r="F13" s="10" t="n">
        <v>45659.32991898148</v>
      </c>
      <c r="G13" s="10" t="n">
        <v>45659.33150462963</v>
      </c>
      <c r="H13" s="3" t="inlineStr">
        <is>
          <t>OBT030125205107-Other sidings local</t>
        </is>
      </c>
      <c r="I13" s="10" t="n">
        <v>45660.89475694444</v>
      </c>
      <c r="J13" s="10" t="n">
        <v>45660.91472222222</v>
      </c>
      <c r="K13" s="10" t="n">
        <v>45660.91472222222</v>
      </c>
      <c r="L13" s="10" t="n">
        <v>45660.91559027778</v>
      </c>
      <c r="M13" s="11">
        <f>IF(AND(ISNUMBER(E13),ISNUMBER(G13)),(G13-E13),"")</f>
        <v/>
      </c>
      <c r="N13" s="11">
        <f>IF(AND(ISNUMBER(G13),ISNUMBER(L13)),(L13-G13),"")</f>
        <v/>
      </c>
      <c r="O13" s="10" t="n">
        <v>45659.33387731481</v>
      </c>
      <c r="P13" s="11">
        <f>IF(AND(ISNUMBER(I13),ISNUMBER(O13)),(I13-O13),"")</f>
        <v/>
      </c>
      <c r="Q13" s="12" t="inlineStr">
        <is>
          <t>WG 1000307 entered track and got secured then waited 1:27:56 for WG 1000602 to get coupled then waited 8:58:50 for WG 1001204 to get coupled then waited 11:41:53 for WG 1001601 to get coupled then waited 1:49:03 for WG 1001807 to get coupled then waited 12:52:38 for WG 1002807 to get coupled, OBTP started on 21:28:27 finished on 21:57:12 and then left at 21:58:27</t>
        </is>
      </c>
    </row>
    <row r="14">
      <c r="A14" s="3" t="inlineStr">
        <is>
          <t>1000308</t>
        </is>
      </c>
      <c r="B14" s="3" t="inlineStr">
        <is>
          <t>10003</t>
        </is>
      </c>
      <c r="C14" s="9" t="n">
        <v>54</v>
      </c>
      <c r="D14" s="3" t="inlineStr">
        <is>
          <t>Wr. Neustadt (Hödlmayr)</t>
        </is>
      </c>
      <c r="E14" s="10" t="n">
        <v>45659.30041666667</v>
      </c>
      <c r="F14" s="10" t="n">
        <v>45659.33150462963</v>
      </c>
      <c r="G14" s="10" t="n">
        <v>45659.33306712963</v>
      </c>
      <c r="H14" s="3" t="inlineStr">
        <is>
          <t>OBT020125093825-Wr. Neustadt (Hödlmayr)</t>
        </is>
      </c>
      <c r="I14" s="10" t="n">
        <v>45659.41649305556</v>
      </c>
      <c r="J14" s="10" t="n">
        <v>45659.43524305556</v>
      </c>
      <c r="K14" s="10" t="n">
        <v>45659.43524305556</v>
      </c>
      <c r="L14" s="10" t="n">
        <v>45659.43603009259</v>
      </c>
      <c r="M14" s="11">
        <f>IF(AND(ISNUMBER(E14),ISNUMBER(G14)),(G14-E14),"")</f>
        <v/>
      </c>
      <c r="N14" s="11">
        <f>IF(AND(ISNUMBER(G14),ISNUMBER(L14)),(L14-G14),"")</f>
        <v/>
      </c>
      <c r="O14" s="10" t="n">
        <v>45659.33655092592</v>
      </c>
      <c r="P14" s="11">
        <f>IF(AND(ISNUMBER(I14),ISNUMBER(O14)),(I14-O14),"")</f>
        <v/>
      </c>
      <c r="Q14" s="12" t="inlineStr">
        <is>
          <t>WG 1000308 entered track and got secured then waited 1:33:47 for WG 1000605 to get coupled, OBTP started on 09:59:45 finished on 10:26:45 and then left at 10:27:53</t>
        </is>
      </c>
    </row>
    <row r="15">
      <c r="A15" s="3" t="inlineStr">
        <is>
          <t>1000309</t>
        </is>
      </c>
      <c r="B15" s="3" t="inlineStr">
        <is>
          <t>10003</t>
        </is>
      </c>
      <c r="C15" s="9" t="n">
        <v>19.9</v>
      </c>
      <c r="D15" s="3" t="inlineStr">
        <is>
          <t>Neunkirchen (loading tracks)</t>
        </is>
      </c>
      <c r="E15" s="10" t="n">
        <v>45659.30041666667</v>
      </c>
      <c r="F15" s="10" t="n">
        <v>45659.33306712963</v>
      </c>
      <c r="G15" s="10" t="n">
        <v>45659.33480324074</v>
      </c>
      <c r="H15" s="3" t="inlineStr">
        <is>
          <t>OBT020125184418-Neunkirchen (loading tracks)</t>
        </is>
      </c>
      <c r="I15" s="10" t="n">
        <v>45659.78405092593</v>
      </c>
      <c r="J15" s="10" t="n">
        <v>45659.80189814815</v>
      </c>
      <c r="K15" s="10" t="n">
        <v>45659.80189814815</v>
      </c>
      <c r="L15" s="10" t="n">
        <v>45659.80267361111</v>
      </c>
      <c r="M15" s="11">
        <f>IF(AND(ISNUMBER(E15),ISNUMBER(G15)),(G15-E15),"")</f>
        <v/>
      </c>
      <c r="N15" s="11">
        <f>IF(AND(ISNUMBER(G15),ISNUMBER(L15)),(L15-G15),"")</f>
        <v/>
      </c>
      <c r="O15" s="10" t="n">
        <v>45659.3387037037</v>
      </c>
      <c r="P15" s="11">
        <f>IF(AND(ISNUMBER(I15),ISNUMBER(O15)),(I15-O15),"")</f>
        <v/>
      </c>
      <c r="Q15" s="12" t="inlineStr">
        <is>
          <t>WG 1000309 entered track and got coupled to WG 1000303 then waited 7:40:59 for WG 1001007 to get coupled then waited 2:55:35 for WG 1001210 to get coupled, OBTP started on 18:49:02 finished on 19:14:44 and then left at 19:15:51</t>
        </is>
      </c>
    </row>
    <row r="16">
      <c r="A16" s="3" t="inlineStr">
        <is>
          <t>1000310</t>
        </is>
      </c>
      <c r="B16" s="3" t="inlineStr">
        <is>
          <t>10003</t>
        </is>
      </c>
      <c r="C16" s="9" t="n">
        <v>15.74</v>
      </c>
      <c r="D16" s="3" t="inlineStr">
        <is>
          <t>Ebenfurth (beet loading)</t>
        </is>
      </c>
      <c r="E16" s="10" t="n">
        <v>45659.30041666667</v>
      </c>
      <c r="F16" s="10" t="n">
        <v>45659.33480324074</v>
      </c>
      <c r="G16" s="10" t="n">
        <v>45659.33615740741</v>
      </c>
      <c r="H16" s="3" t="inlineStr">
        <is>
          <t>OBT020125205242-Ebenfurth (beet loading)</t>
        </is>
      </c>
      <c r="I16" s="10" t="n">
        <v>45659.87079861111</v>
      </c>
      <c r="J16" s="10" t="n">
        <v>45659.898125</v>
      </c>
      <c r="K16" s="10" t="n">
        <v>45659.898125</v>
      </c>
      <c r="L16" s="10" t="n">
        <v>45659.89896990741</v>
      </c>
      <c r="M16" s="11">
        <f>IF(AND(ISNUMBER(E16),ISNUMBER(G16)),(G16-E16),"")</f>
        <v/>
      </c>
      <c r="N16" s="11">
        <f>IF(AND(ISNUMBER(G16),ISNUMBER(L16)),(L16-G16),"")</f>
        <v/>
      </c>
      <c r="O16" s="10" t="n">
        <v>45659.33981481481</v>
      </c>
      <c r="P16" s="11">
        <f>IF(AND(ISNUMBER(I16),ISNUMBER(O16)),(I16-O16),"")</f>
        <v/>
      </c>
      <c r="Q16" s="12" t="inlineStr">
        <is>
          <t>WG 1000310 entered track and got secured then waited 1:35:21 for WG 1000607 to get coupled then waited 6:02:07 for WG 1001006 to get coupled then waited 2:45:53 for WG 1001206 to get coupled then waited 2:20:01 for WG 1001305 to get coupled, OBTP started on 20:53:57 finished on 21:33:18 and then left at 21:34:31</t>
        </is>
      </c>
    </row>
    <row r="17">
      <c r="A17" s="3" t="inlineStr">
        <is>
          <t>1000311</t>
        </is>
      </c>
      <c r="B17" s="3" t="inlineStr">
        <is>
          <t>10003</t>
        </is>
      </c>
      <c r="C17" s="9" t="n">
        <v>19.9</v>
      </c>
      <c r="D17" s="3" t="inlineStr">
        <is>
          <t>Neudörfl (FunderMax)</t>
        </is>
      </c>
      <c r="E17" s="10" t="n">
        <v>45659.30041666667</v>
      </c>
      <c r="F17" s="10" t="n">
        <v>45659.33615740741</v>
      </c>
      <c r="G17" s="10" t="n">
        <v>45659.33785879629</v>
      </c>
      <c r="H17" s="3" t="inlineStr">
        <is>
          <t>OBT020125154035-Neudörfl (FunderMax)</t>
        </is>
      </c>
      <c r="I17" s="10" t="n">
        <v>45659.66200231481</v>
      </c>
      <c r="J17" s="10" t="n">
        <v>45659.68193287037</v>
      </c>
      <c r="K17" s="10" t="n">
        <v>45659.68193287037</v>
      </c>
      <c r="L17" s="10" t="n">
        <v>45659.68270833333</v>
      </c>
      <c r="M17" s="11">
        <f>IF(AND(ISNUMBER(E17),ISNUMBER(G17)),(G17-E17),"")</f>
        <v/>
      </c>
      <c r="N17" s="11">
        <f>IF(AND(ISNUMBER(G17),ISNUMBER(L17)),(L17-G17),"")</f>
        <v/>
      </c>
      <c r="O17" s="10" t="n">
        <v>45659.34344907408</v>
      </c>
      <c r="P17" s="11">
        <f>IF(AND(ISNUMBER(I17),ISNUMBER(O17)),(I17-O17),"")</f>
        <v/>
      </c>
      <c r="Q17" s="12" t="inlineStr">
        <is>
          <t>WG 1000311 entered track and got coupled to WG 1000306 then waited 1:11:18 for WG 1000601 to get coupled then waited 0:09:45 for WG 1000604 to get coupled then waited 6:04:58 for WG 1001004 to get coupled, OBTP started on 15:53:17 finished on 16:21:59 and then left at 16:23:06</t>
        </is>
      </c>
    </row>
    <row r="18">
      <c r="A18" s="3" t="inlineStr">
        <is>
          <t>1000312</t>
        </is>
      </c>
      <c r="B18" s="3" t="inlineStr">
        <is>
          <t>10003</t>
        </is>
      </c>
      <c r="C18" s="9" t="n">
        <v>19.9</v>
      </c>
      <c r="D18" s="3" t="inlineStr">
        <is>
          <t>Wr. Neustadt Ausfahrbf (Furtenbach)</t>
        </is>
      </c>
      <c r="E18" s="10" t="n">
        <v>45659.30041666667</v>
      </c>
      <c r="F18" s="10" t="n">
        <v>45659.33785879629</v>
      </c>
      <c r="G18" s="10" t="n">
        <v>45659.33913194444</v>
      </c>
      <c r="H18" s="3" t="inlineStr">
        <is>
          <t>OBT030125160132-Wr. Neustadt Ausfahrbf (Furtenbach)</t>
        </is>
      </c>
      <c r="I18" s="10" t="n">
        <v>45660.66859953704</v>
      </c>
      <c r="J18" s="10" t="n">
        <v>45660.6893287037</v>
      </c>
      <c r="K18" s="10" t="n">
        <v>45660.6893287037</v>
      </c>
      <c r="L18" s="10" t="n">
        <v>45660.69015046296</v>
      </c>
      <c r="M18" s="11">
        <f>IF(AND(ISNUMBER(E18),ISNUMBER(G18)),(G18-E18),"")</f>
        <v/>
      </c>
      <c r="N18" s="11">
        <f>IF(AND(ISNUMBER(G18),ISNUMBER(L18)),(L18-G18),"")</f>
        <v/>
      </c>
      <c r="O18" s="10" t="n">
        <v>45659.34307870371</v>
      </c>
      <c r="P18" s="11">
        <f>IF(AND(ISNUMBER(I18),ISNUMBER(O18)),(I18-O18),"")</f>
        <v/>
      </c>
      <c r="Q18" s="12" t="inlineStr">
        <is>
          <t>WG 1000312 entered track and got secured then waited 12:50:45 for WG 1001310 to get coupled then waited 18:51:18 for WG 1002508 to get coupled then waited 0:05:27 for WG 1002510 to get coupled, OBTP started on 16:02:47 finished on 16:32:38 and then left at 16:33:49</t>
        </is>
      </c>
    </row>
    <row r="19">
      <c r="A19" s="3" t="inlineStr">
        <is>
          <t>1000401</t>
        </is>
      </c>
      <c r="B19" s="3" t="inlineStr">
        <is>
          <t>10004</t>
        </is>
      </c>
      <c r="C19" s="9" t="n">
        <v>188.96</v>
      </c>
      <c r="D19" s="3" t="inlineStr">
        <is>
          <t>Wien Kledering</t>
        </is>
      </c>
      <c r="E19" s="10" t="n">
        <v>45659.30886574074</v>
      </c>
      <c r="F19" s="10" t="n">
        <v>45659.31395833333</v>
      </c>
      <c r="G19" s="10" t="n">
        <v>45659.31631944444</v>
      </c>
      <c r="H19" s="3" t="inlineStr">
        <is>
          <t>OBT020125073857-Wien Kledering</t>
        </is>
      </c>
      <c r="I19" s="10" t="n">
        <v>45659.31954861111</v>
      </c>
      <c r="J19" s="10" t="n">
        <v>45659.35234953704</v>
      </c>
      <c r="K19" s="10" t="n">
        <v>45659.35234953704</v>
      </c>
      <c r="L19" s="10" t="n">
        <v>45659.35333333333</v>
      </c>
      <c r="M19" s="11">
        <f>IF(AND(ISNUMBER(E19),ISNUMBER(G19)),(G19-E19),"")</f>
        <v/>
      </c>
      <c r="N19" s="11">
        <f>IF(AND(ISNUMBER(G19),ISNUMBER(L19)),(L19-G19),"")</f>
        <v/>
      </c>
      <c r="O19" s="10" t="n">
        <v>45659.31871527778</v>
      </c>
      <c r="P19" s="11">
        <f>IF(AND(ISNUMBER(I19),ISNUMBER(O19)),(I19-O19),"")</f>
        <v/>
      </c>
      <c r="Q19" s="12" t="inlineStr">
        <is>
          <t>WG 1000401 entered track and got secured, OBTP started on 07:40:09 finished on 08:27:23 and then left at 08:28:48</t>
        </is>
      </c>
    </row>
    <row r="20">
      <c r="A20" s="3" t="inlineStr">
        <is>
          <t>1000501</t>
        </is>
      </c>
      <c r="B20" s="3" t="inlineStr">
        <is>
          <t>10005</t>
        </is>
      </c>
      <c r="C20" s="9" t="n">
        <v>396.5600000000001</v>
      </c>
      <c r="D20" s="3" t="inlineStr">
        <is>
          <t>Wien Kledering</t>
        </is>
      </c>
      <c r="E20" s="10" t="n">
        <v>45659.33635416667</v>
      </c>
      <c r="F20" s="10" t="n">
        <v>45659.34319444445</v>
      </c>
      <c r="G20" s="10" t="n">
        <v>45659.34535879629</v>
      </c>
      <c r="H20" s="3" t="inlineStr">
        <is>
          <t>OBT020125082044-Wien Kledering</t>
        </is>
      </c>
      <c r="I20" s="10" t="n">
        <v>45659.34944444444</v>
      </c>
      <c r="J20" s="10" t="n">
        <v>45659.41829861111</v>
      </c>
      <c r="K20" s="10" t="n">
        <v>45659.41829861111</v>
      </c>
      <c r="L20" s="10" t="n">
        <v>45659.41964120371</v>
      </c>
      <c r="M20" s="11">
        <f>IF(AND(ISNUMBER(E20),ISNUMBER(G20)),(G20-E20),"")</f>
        <v/>
      </c>
      <c r="N20" s="11">
        <f>IF(AND(ISNUMBER(G20),ISNUMBER(L20)),(L20-G20),"")</f>
        <v/>
      </c>
      <c r="O20" s="10" t="n">
        <v>45659.34773148148</v>
      </c>
      <c r="P20" s="11">
        <f>IF(AND(ISNUMBER(I20),ISNUMBER(O20)),(I20-O20),"")</f>
        <v/>
      </c>
      <c r="Q20" s="12" t="inlineStr">
        <is>
          <t>WG 1000501 entered track and got secured, OBTP started on 08:23:12 finished on 10:02:21 and then left at 10:04:17</t>
        </is>
      </c>
    </row>
    <row r="21">
      <c r="A21" s="3" t="inlineStr">
        <is>
          <t>1000601</t>
        </is>
      </c>
      <c r="B21" s="3" t="inlineStr">
        <is>
          <t>10006</t>
        </is>
      </c>
      <c r="C21" s="9" t="n">
        <v>21</v>
      </c>
      <c r="D21" s="3" t="inlineStr">
        <is>
          <t>Neudörfl (FunderMax)</t>
        </is>
      </c>
      <c r="E21" s="10" t="n">
        <v>45659.36965277778</v>
      </c>
      <c r="F21" s="10" t="n">
        <v>45659.38766203704</v>
      </c>
      <c r="G21" s="10" t="n">
        <v>45659.38939814815</v>
      </c>
      <c r="H21" s="3" t="inlineStr">
        <is>
          <t>OBT020125154035-Neudörfl (FunderMax)</t>
        </is>
      </c>
      <c r="I21" s="10" t="n">
        <v>45659.66200231481</v>
      </c>
      <c r="J21" s="10" t="n">
        <v>45659.68193287037</v>
      </c>
      <c r="K21" s="10" t="n">
        <v>45659.68193287037</v>
      </c>
      <c r="L21" s="10" t="n">
        <v>45659.68270833333</v>
      </c>
      <c r="M21" s="11">
        <f>IF(AND(ISNUMBER(E21),ISNUMBER(G21)),(G21-E21),"")</f>
        <v/>
      </c>
      <c r="N21" s="11">
        <f>IF(AND(ISNUMBER(G21),ISNUMBER(L21)),(L21-G21),"")</f>
        <v/>
      </c>
      <c r="O21" s="10" t="n">
        <v>45659.39296296296</v>
      </c>
      <c r="P21" s="11">
        <f>IF(AND(ISNUMBER(I21),ISNUMBER(O21)),(I21-O21),"")</f>
        <v/>
      </c>
      <c r="Q21" s="12" t="inlineStr">
        <is>
          <t>WG 1000601 entered track and got coupled to WG 1000311 then waited 0:09:45 for WG 1000604 to get coupled then waited 6:04:58 for WG 1001004 to get coupled, OBTP started on 15:53:17 finished on 16:21:59 and then left at 16:23:06</t>
        </is>
      </c>
    </row>
    <row r="22">
      <c r="A22" s="3" t="inlineStr">
        <is>
          <t>1000602</t>
        </is>
      </c>
      <c r="B22" s="3" t="inlineStr">
        <is>
          <t>10006</t>
        </is>
      </c>
      <c r="C22" s="9" t="n">
        <v>19.9</v>
      </c>
      <c r="D22" s="3" t="inlineStr">
        <is>
          <t>Other sidings local</t>
        </is>
      </c>
      <c r="E22" s="10" t="n">
        <v>45659.36965277778</v>
      </c>
      <c r="F22" s="10" t="n">
        <v>45659.38939814815</v>
      </c>
      <c r="G22" s="10" t="n">
        <v>45659.39101851852</v>
      </c>
      <c r="H22" s="3" t="inlineStr">
        <is>
          <t>OBT030125205107-Other sidings local</t>
        </is>
      </c>
      <c r="I22" s="10" t="n">
        <v>45660.89475694444</v>
      </c>
      <c r="J22" s="10" t="n">
        <v>45660.91472222222</v>
      </c>
      <c r="K22" s="10" t="n">
        <v>45660.91472222222</v>
      </c>
      <c r="L22" s="10" t="n">
        <v>45660.91559027778</v>
      </c>
      <c r="M22" s="11">
        <f>IF(AND(ISNUMBER(E22),ISNUMBER(G22)),(G22-E22),"")</f>
        <v/>
      </c>
      <c r="N22" s="11">
        <f>IF(AND(ISNUMBER(G22),ISNUMBER(L22)),(L22-G22),"")</f>
        <v/>
      </c>
      <c r="O22" s="10" t="n">
        <v>45659.39494212963</v>
      </c>
      <c r="P22" s="11">
        <f>IF(AND(ISNUMBER(I22),ISNUMBER(O22)),(I22-O22),"")</f>
        <v/>
      </c>
      <c r="Q22" s="12" t="inlineStr">
        <is>
          <t>WG 1000602 entered track and got coupled to WG 1000307 then waited 8:58:50 for WG 1001204 to get coupled then waited 11:41:53 for WG 1001601 to get coupled then waited 1:49:03 for WG 1001807 to get coupled then waited 12:52:38 for WG 1002807 to get coupled, OBTP started on 21:28:27 finished on 21:57:12 and then left at 21:58:27</t>
        </is>
      </c>
    </row>
    <row r="23">
      <c r="A23" s="3" t="inlineStr">
        <is>
          <t>1000603</t>
        </is>
      </c>
      <c r="B23" s="3" t="inlineStr">
        <is>
          <t>10006</t>
        </is>
      </c>
      <c r="C23" s="9" t="n">
        <v>35.64</v>
      </c>
      <c r="D23" s="3" t="inlineStr">
        <is>
          <t>Other sidings north</t>
        </is>
      </c>
      <c r="E23" s="10" t="n">
        <v>45659.36965277778</v>
      </c>
      <c r="F23" s="10" t="n">
        <v>45659.39101851852</v>
      </c>
      <c r="G23" s="10" t="n">
        <v>45659.39302083333</v>
      </c>
      <c r="H23" s="3" t="inlineStr">
        <is>
          <t>OBT020125093208-Other sidings north</t>
        </is>
      </c>
      <c r="I23" s="10" t="n">
        <v>45659.41431712963</v>
      </c>
      <c r="J23" s="10" t="n">
        <v>45659.43761574074</v>
      </c>
      <c r="K23" s="10" t="n">
        <v>45659.43761574074</v>
      </c>
      <c r="L23" s="10" t="n">
        <v>45659.43848379629</v>
      </c>
      <c r="M23" s="11">
        <f>IF(AND(ISNUMBER(E23),ISNUMBER(G23)),(G23-E23),"")</f>
        <v/>
      </c>
      <c r="N23" s="11">
        <f>IF(AND(ISNUMBER(G23),ISNUMBER(L23)),(L23-G23),"")</f>
        <v/>
      </c>
      <c r="O23" s="10" t="n">
        <v>45659.39731481481</v>
      </c>
      <c r="P23" s="11">
        <f>IF(AND(ISNUMBER(I23),ISNUMBER(O23)),(I23-O23),"")</f>
        <v/>
      </c>
      <c r="Q23" s="12" t="inlineStr">
        <is>
          <t>WG 1000603 entered track and got coupled to WG 1000305, OBTP started on 09:56:37 finished on 10:30:10 and then left at 10:31:25</t>
        </is>
      </c>
    </row>
    <row r="24">
      <c r="A24" s="3" t="inlineStr">
        <is>
          <t>1000604</t>
        </is>
      </c>
      <c r="B24" s="3" t="inlineStr">
        <is>
          <t>10006</t>
        </is>
      </c>
      <c r="C24" s="9" t="n">
        <v>36.4</v>
      </c>
      <c r="D24" s="3" t="inlineStr">
        <is>
          <t>Neudörfl (FunderMax)</t>
        </is>
      </c>
      <c r="E24" s="10" t="n">
        <v>45659.36965277778</v>
      </c>
      <c r="F24" s="10" t="n">
        <v>45659.39302083333</v>
      </c>
      <c r="G24" s="10" t="n">
        <v>45659.39479166667</v>
      </c>
      <c r="H24" s="3" t="inlineStr">
        <is>
          <t>OBT020125154035-Neudörfl (FunderMax)</t>
        </is>
      </c>
      <c r="I24" s="10" t="n">
        <v>45659.66200231481</v>
      </c>
      <c r="J24" s="10" t="n">
        <v>45659.68193287037</v>
      </c>
      <c r="K24" s="10" t="n">
        <v>45659.68193287037</v>
      </c>
      <c r="L24" s="10" t="n">
        <v>45659.68270833333</v>
      </c>
      <c r="M24" s="11">
        <f>IF(AND(ISNUMBER(E24),ISNUMBER(G24)),(G24-E24),"")</f>
        <v/>
      </c>
      <c r="N24" s="11">
        <f>IF(AND(ISNUMBER(G24),ISNUMBER(L24)),(L24-G24),"")</f>
        <v/>
      </c>
      <c r="O24" s="10" t="n">
        <v>45659.39973379629</v>
      </c>
      <c r="P24" s="11">
        <f>IF(AND(ISNUMBER(I24),ISNUMBER(O24)),(I24-O24),"")</f>
        <v/>
      </c>
      <c r="Q24" s="12" t="inlineStr">
        <is>
          <t>WG 1000604 entered track and got coupled to WG 1000601 then waited 6:04:58 for WG 1001004 to get coupled, OBTP started on 15:53:17 finished on 16:21:59 and then left at 16:23:06</t>
        </is>
      </c>
    </row>
    <row r="25">
      <c r="A25" s="3" t="inlineStr">
        <is>
          <t>1000605</t>
        </is>
      </c>
      <c r="B25" s="3" t="inlineStr">
        <is>
          <t>10006</t>
        </is>
      </c>
      <c r="C25" s="9" t="n">
        <v>54</v>
      </c>
      <c r="D25" s="3" t="inlineStr">
        <is>
          <t>Wr. Neustadt (Hödlmayr)</t>
        </is>
      </c>
      <c r="E25" s="10" t="n">
        <v>45659.36965277778</v>
      </c>
      <c r="F25" s="10" t="n">
        <v>45659.39479166667</v>
      </c>
      <c r="G25" s="10" t="n">
        <v>45659.39637731481</v>
      </c>
      <c r="H25" s="3" t="inlineStr">
        <is>
          <t>OBT020125093825-Wr. Neustadt (Hödlmayr)</t>
        </is>
      </c>
      <c r="I25" s="10" t="n">
        <v>45659.41649305556</v>
      </c>
      <c r="J25" s="10" t="n">
        <v>45659.43524305556</v>
      </c>
      <c r="K25" s="10" t="n">
        <v>45659.43524305556</v>
      </c>
      <c r="L25" s="10" t="n">
        <v>45659.43603009259</v>
      </c>
      <c r="M25" s="11">
        <f>IF(AND(ISNUMBER(E25),ISNUMBER(G25)),(G25-E25),"")</f>
        <v/>
      </c>
      <c r="N25" s="11">
        <f>IF(AND(ISNUMBER(G25),ISNUMBER(L25)),(L25-G25),"")</f>
        <v/>
      </c>
      <c r="O25" s="10" t="n">
        <v>45659.40167824074</v>
      </c>
      <c r="P25" s="11">
        <f>IF(AND(ISNUMBER(I25),ISNUMBER(O25)),(I25-O25),"")</f>
        <v/>
      </c>
      <c r="Q25" s="12" t="inlineStr">
        <is>
          <t>WG 1000605 entered track and got coupled to WG 1000308, OBTP started on 09:59:45 finished on 10:26:45 and then left at 10:27:53</t>
        </is>
      </c>
    </row>
    <row r="26">
      <c r="A26" s="3" t="inlineStr">
        <is>
          <t>1000606</t>
        </is>
      </c>
      <c r="B26" s="3" t="inlineStr">
        <is>
          <t>10006</t>
        </is>
      </c>
      <c r="C26" s="9" t="n">
        <v>12.04</v>
      </c>
      <c r="D26" s="3" t="inlineStr">
        <is>
          <t>Ternitz (Schoeller-Bleckmann)</t>
        </is>
      </c>
      <c r="E26" s="10" t="n">
        <v>45659.36965277778</v>
      </c>
      <c r="F26" s="10" t="n">
        <v>45659.39637731481</v>
      </c>
      <c r="G26" s="10" t="n">
        <v>45659.39827546296</v>
      </c>
      <c r="H26" s="3" t="inlineStr">
        <is>
          <t>OBT020125152222-Ternitz (Schoeller-Bleckmann)</t>
        </is>
      </c>
      <c r="I26" s="10" t="n">
        <v>45659.64138888889</v>
      </c>
      <c r="J26" s="10" t="n">
        <v>45659.70447916666</v>
      </c>
      <c r="K26" s="10" t="n">
        <v>45659.70460648148</v>
      </c>
      <c r="L26" s="10" t="n">
        <v>45659.70583333333</v>
      </c>
      <c r="M26" s="11">
        <f>IF(AND(ISNUMBER(E26),ISNUMBER(G26)),(G26-E26),"")</f>
        <v/>
      </c>
      <c r="N26" s="11">
        <f>IF(AND(ISNUMBER(G26),ISNUMBER(L26)),(L26-G26),"")</f>
        <v/>
      </c>
      <c r="O26" s="10" t="n">
        <v>45659.40452546296</v>
      </c>
      <c r="P26" s="11">
        <f>IF(AND(ISNUMBER(I26),ISNUMBER(O26)),(I26-O26),"")</f>
        <v/>
      </c>
      <c r="Q26" s="12" t="inlineStr">
        <is>
          <t>WG 1000606 entered track and got coupled to WG 1000304 then waited 5:39:51 for WG 1001101 to get coupled, OBTP started on 15:23:36 finished on 16:54:27 and then left at 16:56:24</t>
        </is>
      </c>
    </row>
    <row r="27">
      <c r="A27" s="3" t="inlineStr">
        <is>
          <t>1000607</t>
        </is>
      </c>
      <c r="B27" s="3" t="inlineStr">
        <is>
          <t>10006</t>
        </is>
      </c>
      <c r="C27" s="9" t="n">
        <v>31.48</v>
      </c>
      <c r="D27" s="3" t="inlineStr">
        <is>
          <t>Ebenfurth (beet loading)</t>
        </is>
      </c>
      <c r="E27" s="10" t="n">
        <v>45659.36965277778</v>
      </c>
      <c r="F27" s="10" t="n">
        <v>45659.39827546296</v>
      </c>
      <c r="G27" s="10" t="n">
        <v>45659.39969907407</v>
      </c>
      <c r="H27" s="3" t="inlineStr">
        <is>
          <t>OBT020125205242-Ebenfurth (beet loading)</t>
        </is>
      </c>
      <c r="I27" s="10" t="n">
        <v>45659.87079861111</v>
      </c>
      <c r="J27" s="10" t="n">
        <v>45659.898125</v>
      </c>
      <c r="K27" s="10" t="n">
        <v>45659.898125</v>
      </c>
      <c r="L27" s="10" t="n">
        <v>45659.89896990741</v>
      </c>
      <c r="M27" s="11">
        <f>IF(AND(ISNUMBER(E27),ISNUMBER(G27)),(G27-E27),"")</f>
        <v/>
      </c>
      <c r="N27" s="11">
        <f>IF(AND(ISNUMBER(G27),ISNUMBER(L27)),(L27-G27),"")</f>
        <v/>
      </c>
      <c r="O27" s="10" t="n">
        <v>45659.40603009259</v>
      </c>
      <c r="P27" s="11">
        <f>IF(AND(ISNUMBER(I27),ISNUMBER(O27)),(I27-O27),"")</f>
        <v/>
      </c>
      <c r="Q27" s="12" t="inlineStr">
        <is>
          <t>WG 1000607 entered track and got coupled to WG 1000310 then waited 6:02:07 for WG 1001006 to get coupled then waited 2:45:53 for WG 1001206 to get coupled then waited 2:20:01 for WG 1001305 to get coupled, OBTP started on 20:53:57 finished on 21:33:18 and then left at 21:34:31</t>
        </is>
      </c>
    </row>
    <row r="28">
      <c r="A28" s="3" t="inlineStr">
        <is>
          <t>1000608</t>
        </is>
      </c>
      <c r="B28" s="3" t="inlineStr">
        <is>
          <t>10006</t>
        </is>
      </c>
      <c r="C28" s="9" t="n">
        <v>19.9</v>
      </c>
      <c r="D28" s="3" t="inlineStr">
        <is>
          <t>Felixdorf/Sollenau (Bundesheer, Maba)</t>
        </is>
      </c>
      <c r="E28" s="10" t="n">
        <v>45659.36965277778</v>
      </c>
      <c r="F28" s="10" t="n">
        <v>45659.39969907407</v>
      </c>
      <c r="G28" s="10" t="n">
        <v>45659.40166666666</v>
      </c>
      <c r="H28" s="3" t="inlineStr">
        <is>
          <t>OBT030125075311-Felixdorf/Sollenau (Bundesheer, Maba)</t>
        </is>
      </c>
      <c r="I28" s="10" t="n">
        <v>45660.33030092593</v>
      </c>
      <c r="J28" s="10" t="n">
        <v>45660.36226851852</v>
      </c>
      <c r="K28" s="10" t="n">
        <v>45660.36226851852</v>
      </c>
      <c r="L28" s="10" t="n">
        <v>45660.36324074074</v>
      </c>
      <c r="M28" s="11">
        <f>IF(AND(ISNUMBER(E28),ISNUMBER(G28)),(G28-E28),"")</f>
        <v/>
      </c>
      <c r="N28" s="11">
        <f>IF(AND(ISNUMBER(G28),ISNUMBER(L28)),(L28-G28),"")</f>
        <v/>
      </c>
      <c r="O28" s="10" t="n">
        <v>45659.40778935186</v>
      </c>
      <c r="P28" s="11">
        <f>IF(AND(ISNUMBER(I28),ISNUMBER(O28)),(I28-O28),"")</f>
        <v/>
      </c>
      <c r="Q28" s="12" t="inlineStr">
        <is>
          <t>WG 1000608 entered track and got secured then waited 8:54:37 for WG 1001209 to get coupled then waited 13:11:21 for WG 1001805 to get coupled, OBTP started on 07:55:38 finished on 08:41:40 and then left at 08:43:04</t>
        </is>
      </c>
    </row>
    <row r="29">
      <c r="A29" s="3" t="inlineStr">
        <is>
          <t>1000609</t>
        </is>
      </c>
      <c r="B29" s="3" t="inlineStr">
        <is>
          <t>10006</t>
        </is>
      </c>
      <c r="C29" s="9" t="n">
        <v>194.16</v>
      </c>
      <c r="D29" s="3" t="inlineStr">
        <is>
          <t>Pitten (Hamburger)</t>
        </is>
      </c>
      <c r="E29" s="10" t="n">
        <v>45659.36965277778</v>
      </c>
      <c r="F29" s="10" t="n">
        <v>45659.40166666666</v>
      </c>
      <c r="G29" s="10" t="n">
        <v>45659.40399305556</v>
      </c>
      <c r="H29" s="3" t="inlineStr">
        <is>
          <t>OBT020125094857-Pitten (Hamburger)</t>
        </is>
      </c>
      <c r="I29" s="10" t="n">
        <v>45659.42003472222</v>
      </c>
      <c r="J29" s="10" t="n">
        <v>45659.45373842592</v>
      </c>
      <c r="K29" s="10" t="n">
        <v>45659.45373842592</v>
      </c>
      <c r="L29" s="10" t="n">
        <v>45659.45457175926</v>
      </c>
      <c r="M29" s="11">
        <f>IF(AND(ISNUMBER(E29),ISNUMBER(G29)),(G29-E29),"")</f>
        <v/>
      </c>
      <c r="N29" s="11">
        <f>IF(AND(ISNUMBER(G29),ISNUMBER(L29)),(L29-G29),"")</f>
        <v/>
      </c>
      <c r="O29" s="10" t="n">
        <v>45659.40899305556</v>
      </c>
      <c r="P29" s="11">
        <f>IF(AND(ISNUMBER(I29),ISNUMBER(O29)),(I29-O29),"")</f>
        <v/>
      </c>
      <c r="Q29" s="12" t="inlineStr">
        <is>
          <t>WG 1000609 entered track and got secured, OBTP started on 10:04:51 finished on 10:53:23 and then left at 10:54:35</t>
        </is>
      </c>
    </row>
    <row r="30">
      <c r="A30" s="3" t="inlineStr">
        <is>
          <t>1000610</t>
        </is>
      </c>
      <c r="B30" s="3" t="inlineStr">
        <is>
          <t>10006</t>
        </is>
      </c>
      <c r="C30" s="9" t="n">
        <v>15.74</v>
      </c>
      <c r="D30" s="3" t="inlineStr">
        <is>
          <t>Gloggnitz</t>
        </is>
      </c>
      <c r="E30" s="10" t="n">
        <v>45659.36965277778</v>
      </c>
      <c r="F30" s="10" t="n">
        <v>45659.40399305556</v>
      </c>
      <c r="G30" s="10" t="n">
        <v>45659.40601851852</v>
      </c>
      <c r="H30" s="3" t="inlineStr">
        <is>
          <t>OBT030125063005-Gloggnitz</t>
        </is>
      </c>
      <c r="I30" s="10" t="n">
        <v>45660.27732638889</v>
      </c>
      <c r="J30" s="10" t="n">
        <v>45660.31285879629</v>
      </c>
      <c r="K30" s="10" t="n">
        <v>45660.31285879629</v>
      </c>
      <c r="L30" s="10" t="n">
        <v>45660.31383101852</v>
      </c>
      <c r="M30" s="11">
        <f>IF(AND(ISNUMBER(E30),ISNUMBER(G30)),(G30-E30),"")</f>
        <v/>
      </c>
      <c r="N30" s="11">
        <f>IF(AND(ISNUMBER(G30),ISNUMBER(L30)),(L30-G30),"")</f>
        <v/>
      </c>
      <c r="O30" s="10" t="n">
        <v>45659.41258101852</v>
      </c>
      <c r="P30" s="11">
        <f>IF(AND(ISNUMBER(I30),ISNUMBER(O30)),(I30-O30),"")</f>
        <v/>
      </c>
      <c r="Q30" s="12" t="inlineStr">
        <is>
          <t>WG 1000610 entered track and got coupled to WG 1000104 then waited 8:29:19 for WG 1001202 to get coupled then waited 2:22:59 for WG 1001302 to get coupled then waited 9:43:40 for WG 1001609 to get coupled, OBTP started on 06:39:21 finished on 07:30:31 and then left at 07:31:55</t>
        </is>
      </c>
    </row>
    <row r="31">
      <c r="A31" s="3" t="inlineStr">
        <is>
          <t>1000701</t>
        </is>
      </c>
      <c r="B31" s="3" t="inlineStr">
        <is>
          <t>10007</t>
        </is>
      </c>
      <c r="C31" s="9" t="n">
        <v>70.5</v>
      </c>
      <c r="D31" s="3" t="inlineStr">
        <is>
          <t>St. Veit an der Glan</t>
        </is>
      </c>
      <c r="E31" s="10" t="n">
        <v>45659.37675925926</v>
      </c>
      <c r="F31" s="10" t="n">
        <v>45659.38289351852</v>
      </c>
      <c r="G31" s="10" t="n">
        <v>45659.38472222222</v>
      </c>
      <c r="H31" s="3" t="inlineStr">
        <is>
          <t>OBT030125090715-St. Veit an der Glan</t>
        </is>
      </c>
      <c r="I31" s="10" t="n">
        <v>45660.38177083333</v>
      </c>
      <c r="J31" s="10" t="n">
        <v>45660.42026620371</v>
      </c>
      <c r="K31" s="10" t="n">
        <v>45660.42116898148</v>
      </c>
      <c r="L31" s="10" t="n">
        <v>45660.42228009259</v>
      </c>
      <c r="M31" s="11">
        <f>IF(AND(ISNUMBER(E31),ISNUMBER(G31)),(G31-E31),"")</f>
        <v/>
      </c>
      <c r="N31" s="11">
        <f>IF(AND(ISNUMBER(G31),ISNUMBER(L31)),(L31-G31),"")</f>
        <v/>
      </c>
      <c r="O31" s="10" t="n">
        <v>45659.38708333333</v>
      </c>
      <c r="P31" s="11">
        <f>IF(AND(ISNUMBER(I31),ISNUMBER(O31)),(I31-O31),"")</f>
        <v/>
      </c>
      <c r="Q31" s="12" t="inlineStr">
        <is>
          <t>WG 1000701 entered track and got secured then waited 1:37:22 for WG 1000802 to get coupled then waited 22:12:29 for WG 1002101 to get coupled, OBTP started on 09:09:45 finished on 10:05:11 and then left at 10:08:05</t>
        </is>
      </c>
    </row>
    <row r="32">
      <c r="A32" s="3" t="inlineStr">
        <is>
          <t>1000702</t>
        </is>
      </c>
      <c r="B32" s="3" t="inlineStr">
        <is>
          <t>10007</t>
        </is>
      </c>
      <c r="C32" s="9" t="n">
        <v>142.2</v>
      </c>
      <c r="D32" s="3" t="inlineStr">
        <is>
          <t>Wien Kledering</t>
        </is>
      </c>
      <c r="E32" s="10" t="n">
        <v>45659.37675925926</v>
      </c>
      <c r="F32" s="10" t="n">
        <v>45659.38472222222</v>
      </c>
      <c r="G32" s="10" t="n">
        <v>45659.38689814815</v>
      </c>
      <c r="H32" s="3" t="inlineStr">
        <is>
          <t>OBT020125092035-Wien Kledering</t>
        </is>
      </c>
      <c r="I32" s="10" t="n">
        <v>45659.39012731481</v>
      </c>
      <c r="J32" s="10" t="n">
        <v>45659.41481481482</v>
      </c>
      <c r="K32" s="10" t="n">
        <v>45659.41481481482</v>
      </c>
      <c r="L32" s="10" t="n">
        <v>45659.41552083333</v>
      </c>
      <c r="M32" s="11">
        <f>IF(AND(ISNUMBER(E32),ISNUMBER(G32)),(G32-E32),"")</f>
        <v/>
      </c>
      <c r="N32" s="11">
        <f>IF(AND(ISNUMBER(G32),ISNUMBER(L32)),(L32-G32),"")</f>
        <v/>
      </c>
      <c r="O32" s="10" t="n">
        <v>45659.38929398148</v>
      </c>
      <c r="P32" s="11">
        <f>IF(AND(ISNUMBER(I32),ISNUMBER(O32)),(I32-O32),"")</f>
        <v/>
      </c>
      <c r="Q32" s="12" t="inlineStr">
        <is>
          <t>WG 1000702 entered track and got secured, OBTP started on 09:21:47 finished on 09:57:20 and then left at 09:58:21</t>
        </is>
      </c>
    </row>
    <row r="33">
      <c r="A33" s="3" t="inlineStr">
        <is>
          <t>1000801</t>
        </is>
      </c>
      <c r="B33" s="3" t="inlineStr">
        <is>
          <t>10008</t>
        </is>
      </c>
      <c r="C33" s="9" t="n">
        <v>39.8</v>
      </c>
      <c r="D33" s="3" t="inlineStr">
        <is>
          <t>Wien Kledering</t>
        </is>
      </c>
      <c r="E33" s="10" t="n">
        <v>45659.4393287037</v>
      </c>
      <c r="F33" s="10" t="n">
        <v>45659.44806712963</v>
      </c>
      <c r="G33" s="10" t="n">
        <v>45659.44939814815</v>
      </c>
      <c r="H33" s="3" t="inlineStr">
        <is>
          <t>OBT020125105809-Wien Kledering</t>
        </is>
      </c>
      <c r="I33" s="10" t="n">
        <v>45659.45791666667</v>
      </c>
      <c r="J33" s="10" t="n">
        <v>45659.52166666667</v>
      </c>
      <c r="K33" s="10" t="n">
        <v>45659.52166666667</v>
      </c>
      <c r="L33" s="10" t="n">
        <v>45659.52293981481</v>
      </c>
      <c r="M33" s="11">
        <f>IF(AND(ISNUMBER(E33),ISNUMBER(G33)),(G33-E33),"")</f>
        <v/>
      </c>
      <c r="N33" s="11">
        <f>IF(AND(ISNUMBER(G33),ISNUMBER(L33)),(L33-G33),"")</f>
        <v/>
      </c>
      <c r="O33" s="10" t="n">
        <v>45659.45179398148</v>
      </c>
      <c r="P33" s="11">
        <f>IF(AND(ISNUMBER(I33),ISNUMBER(O33)),(I33-O33),"")</f>
        <v/>
      </c>
      <c r="Q33" s="12" t="inlineStr">
        <is>
          <t>WG 1000801 entered track and got secured then waited 0:07:34 for WG 1000803 to get coupled, OBTP started on 10:59:24 finished on 12:31:12 and then left at 12:33:02</t>
        </is>
      </c>
    </row>
    <row r="34">
      <c r="A34" s="3" t="inlineStr">
        <is>
          <t>1000802</t>
        </is>
      </c>
      <c r="B34" s="3" t="inlineStr">
        <is>
          <t>10008</t>
        </is>
      </c>
      <c r="C34" s="9" t="n">
        <v>19.9</v>
      </c>
      <c r="D34" s="3" t="inlineStr">
        <is>
          <t>St. Veit an der Glan</t>
        </is>
      </c>
      <c r="E34" s="10" t="n">
        <v>45659.4393287037</v>
      </c>
      <c r="F34" s="10" t="n">
        <v>45659.44939814815</v>
      </c>
      <c r="G34" s="10" t="n">
        <v>45659.45113425926</v>
      </c>
      <c r="H34" s="3" t="inlineStr">
        <is>
          <t>OBT030125090715-St. Veit an der Glan</t>
        </is>
      </c>
      <c r="I34" s="10" t="n">
        <v>45660.38177083333</v>
      </c>
      <c r="J34" s="10" t="n">
        <v>45660.42026620371</v>
      </c>
      <c r="K34" s="10" t="n">
        <v>45660.42116898148</v>
      </c>
      <c r="L34" s="10" t="n">
        <v>45660.42228009259</v>
      </c>
      <c r="M34" s="11">
        <f>IF(AND(ISNUMBER(E34),ISNUMBER(G34)),(G34-E34),"")</f>
        <v/>
      </c>
      <c r="N34" s="11">
        <f>IF(AND(ISNUMBER(G34),ISNUMBER(L34)),(L34-G34),"")</f>
        <v/>
      </c>
      <c r="O34" s="10" t="n">
        <v>45659.45469907407</v>
      </c>
      <c r="P34" s="11">
        <f>IF(AND(ISNUMBER(I34),ISNUMBER(O34)),(I34-O34),"")</f>
        <v/>
      </c>
      <c r="Q34" s="12" t="inlineStr">
        <is>
          <t>WG 1000802 entered track and got coupled to WG 1000701 then waited 22:12:29 for WG 1002101 to get coupled, OBTP started on 09:09:45 finished on 10:05:11 and then left at 10:08:05</t>
        </is>
      </c>
    </row>
    <row r="35">
      <c r="A35" s="3" t="inlineStr">
        <is>
          <t>1000803</t>
        </is>
      </c>
      <c r="B35" s="3" t="inlineStr">
        <is>
          <t>10008</t>
        </is>
      </c>
      <c r="C35" s="9" t="n">
        <v>327.3600000000001</v>
      </c>
      <c r="D35" s="3" t="inlineStr">
        <is>
          <t>Wien Kledering</t>
        </is>
      </c>
      <c r="E35" s="10" t="n">
        <v>45659.4393287037</v>
      </c>
      <c r="F35" s="10" t="n">
        <v>45659.45113425926</v>
      </c>
      <c r="G35" s="10" t="n">
        <v>45659.453125</v>
      </c>
      <c r="H35" s="3" t="inlineStr">
        <is>
          <t>OBT020125105809-Wien Kledering</t>
        </is>
      </c>
      <c r="I35" s="10" t="n">
        <v>45659.45791666667</v>
      </c>
      <c r="J35" s="10" t="n">
        <v>45659.52166666667</v>
      </c>
      <c r="K35" s="10" t="n">
        <v>45659.52166666667</v>
      </c>
      <c r="L35" s="10" t="n">
        <v>45659.52293981481</v>
      </c>
      <c r="M35" s="11">
        <f>IF(AND(ISNUMBER(E35),ISNUMBER(G35)),(G35-E35),"")</f>
        <v/>
      </c>
      <c r="N35" s="11">
        <f>IF(AND(ISNUMBER(G35),ISNUMBER(L35)),(L35-G35),"")</f>
        <v/>
      </c>
      <c r="O35" s="10" t="n">
        <v>45659.45704861111</v>
      </c>
      <c r="P35" s="11">
        <f>IF(AND(ISNUMBER(I35),ISNUMBER(O35)),(I35-O35),"")</f>
        <v/>
      </c>
      <c r="Q35" s="12" t="inlineStr">
        <is>
          <t>WG 1000803 entered track and got coupled to WG 1000801, OBTP started on 10:59:24 finished on 12:31:12 and then left at 12:33:02</t>
        </is>
      </c>
    </row>
    <row r="36">
      <c r="A36" s="3" t="inlineStr">
        <is>
          <t>1000901</t>
        </is>
      </c>
      <c r="B36" s="3" t="inlineStr">
        <is>
          <t>10009</t>
        </is>
      </c>
      <c r="C36" s="9" t="n">
        <v>287.1200000000001</v>
      </c>
      <c r="D36" s="3" t="inlineStr">
        <is>
          <t>Wien Kledering</t>
        </is>
      </c>
      <c r="E36" s="10" t="n">
        <v>45659.60943287037</v>
      </c>
      <c r="F36" s="10" t="n">
        <v>45659.61542824074</v>
      </c>
      <c r="G36" s="10" t="n">
        <v>45659.61733796296</v>
      </c>
      <c r="H36" s="3" t="inlineStr">
        <is>
          <t>OBT020125145206-Wien Kledering</t>
        </is>
      </c>
      <c r="I36" s="10" t="n">
        <v>45659.62038194444</v>
      </c>
      <c r="J36" s="10" t="n">
        <v>45659.67023148148</v>
      </c>
      <c r="K36" s="10" t="n">
        <v>45659.67023148148</v>
      </c>
      <c r="L36" s="10" t="n">
        <v>45659.67131944445</v>
      </c>
      <c r="M36" s="11">
        <f>IF(AND(ISNUMBER(E36),ISNUMBER(G36)),(G36-E36),"")</f>
        <v/>
      </c>
      <c r="N36" s="11">
        <f>IF(AND(ISNUMBER(G36),ISNUMBER(L36)),(L36-G36),"")</f>
        <v/>
      </c>
      <c r="O36" s="10" t="n">
        <v>45659.61951388889</v>
      </c>
      <c r="P36" s="11">
        <f>IF(AND(ISNUMBER(I36),ISNUMBER(O36)),(I36-O36),"")</f>
        <v/>
      </c>
      <c r="Q36" s="12" t="inlineStr">
        <is>
          <t>WG 1000901 entered track and got secured, OBTP started on 14:53:21 finished on 16:05:08 and then left at 16:06:42</t>
        </is>
      </c>
    </row>
    <row r="37">
      <c r="A37" s="3" t="inlineStr">
        <is>
          <t>1001001</t>
        </is>
      </c>
      <c r="B37" s="3" t="inlineStr">
        <is>
          <t>10010</t>
        </is>
      </c>
      <c r="C37" s="9" t="n">
        <v>81</v>
      </c>
      <c r="D37" s="3" t="inlineStr">
        <is>
          <t>Wr. Neustadt (Hödlmayr)</t>
        </is>
      </c>
      <c r="E37" s="10" t="n">
        <v>45659.62715277778</v>
      </c>
      <c r="F37" s="10" t="n">
        <v>45659.64252314815</v>
      </c>
      <c r="G37" s="10" t="n">
        <v>45659.6445949074</v>
      </c>
      <c r="H37" s="3" t="inlineStr">
        <is>
          <t>OBT020125183042-Wr. Neustadt (Hödlmayr)</t>
        </is>
      </c>
      <c r="I37" s="10" t="n">
        <v>45659.77215277778</v>
      </c>
      <c r="J37" s="10" t="n">
        <v>45659.80965277777</v>
      </c>
      <c r="K37" s="10" t="n">
        <v>45659.80965277777</v>
      </c>
      <c r="L37" s="10" t="n">
        <v>45659.81069444444</v>
      </c>
      <c r="M37" s="11">
        <f>IF(AND(ISNUMBER(E37),ISNUMBER(G37)),(G37-E37),"")</f>
        <v/>
      </c>
      <c r="N37" s="11">
        <f>IF(AND(ISNUMBER(G37),ISNUMBER(L37)),(L37-G37),"")</f>
        <v/>
      </c>
      <c r="O37" s="10" t="n">
        <v>45659.64677083334</v>
      </c>
      <c r="P37" s="11">
        <f>IF(AND(ISNUMBER(I37),ISNUMBER(O37)),(I37-O37),"")</f>
        <v/>
      </c>
      <c r="Q37" s="12" t="inlineStr">
        <is>
          <t>WG 1001001 entered track and got secured then waited 2:59:21 for WG 1001205 to get coupled, OBTP started on 18:31:54 finished on 19:25:54 and then left at 19:27:24</t>
        </is>
      </c>
    </row>
    <row r="38">
      <c r="A38" s="3" t="inlineStr">
        <is>
          <t>1001002</t>
        </is>
      </c>
      <c r="B38" s="3" t="inlineStr">
        <is>
          <t>10010</t>
        </is>
      </c>
      <c r="C38" s="9" t="n">
        <v>12.04</v>
      </c>
      <c r="D38" s="3" t="inlineStr">
        <is>
          <t>Ternitz (Schoeller-Bleckmann)</t>
        </is>
      </c>
      <c r="E38" s="10" t="n">
        <v>45659.62715277778</v>
      </c>
      <c r="F38" s="10" t="n">
        <v>45659.6445949074</v>
      </c>
      <c r="G38" s="10" t="n">
        <v>45659.64646990741</v>
      </c>
      <c r="H38" s="3" t="inlineStr">
        <is>
          <t>OBT020125183645-Pitten (Hamburger)</t>
        </is>
      </c>
      <c r="I38" s="10" t="n">
        <v>45659.77638888889</v>
      </c>
      <c r="J38" s="10" t="n">
        <v>45659.81009259259</v>
      </c>
      <c r="K38" s="10" t="n">
        <v>45659.81069444444</v>
      </c>
      <c r="L38" s="10" t="n">
        <v>45659.81153935185</v>
      </c>
      <c r="M38" s="11">
        <f>IF(AND(ISNUMBER(E38),ISNUMBER(G38)),(G38-E38),"")</f>
        <v/>
      </c>
      <c r="N38" s="11">
        <f>IF(AND(ISNUMBER(G38),ISNUMBER(L38)),(L38-G38),"")</f>
        <v/>
      </c>
      <c r="O38" s="10" t="n">
        <v>45659.64863425926</v>
      </c>
      <c r="P38" s="11">
        <f>IF(AND(ISNUMBER(I38),ISNUMBER(O38)),(I38-O38),"")</f>
        <v/>
      </c>
      <c r="Q38" s="12" t="inlineStr">
        <is>
          <t>WG 1001002 entered track and got secured then waited 3:02:43 for WG 1001208 to get coupled, OBTP started on 18:38:00 finished on 19:26:32 and then left at 19:28:37</t>
        </is>
      </c>
    </row>
    <row r="39">
      <c r="A39" s="3" t="inlineStr">
        <is>
          <t>1001003</t>
        </is>
      </c>
      <c r="B39" s="3" t="inlineStr">
        <is>
          <t>10010</t>
        </is>
      </c>
      <c r="C39" s="9" t="n">
        <v>14</v>
      </c>
      <c r="D39" s="3" t="inlineStr">
        <is>
          <t>Wr. Neustadt (Brenntag)</t>
        </is>
      </c>
      <c r="E39" s="10" t="n">
        <v>45659.62715277778</v>
      </c>
      <c r="F39" s="10" t="n">
        <v>45659.64646990741</v>
      </c>
      <c r="G39" s="10" t="n">
        <v>45659.64793981481</v>
      </c>
      <c r="H39" s="3" t="inlineStr">
        <is>
          <t>OBT090125074546-Wr. Neustadt (Brenntag)</t>
        </is>
      </c>
      <c r="I39" s="10" t="n">
        <v>45666.32508101852</v>
      </c>
      <c r="J39" s="10" t="n">
        <v>45666.39607638889</v>
      </c>
      <c r="K39" s="10" t="n">
        <v>45666.39607638889</v>
      </c>
      <c r="L39" s="10" t="n">
        <v>45666.39756944445</v>
      </c>
      <c r="M39" s="11">
        <f>IF(AND(ISNUMBER(E39),ISNUMBER(G39)),(G39-E39),"")</f>
        <v/>
      </c>
      <c r="N39" s="11">
        <f>IF(AND(ISNUMBER(G39),ISNUMBER(L39)),(L39-G39),"")</f>
        <v/>
      </c>
      <c r="O39" s="10" t="n">
        <v>45659.65011574074</v>
      </c>
      <c r="P39" s="11">
        <f>IF(AND(ISNUMBER(I39),ISNUMBER(O39)),(I39-O39),"")</f>
        <v/>
      </c>
      <c r="Q39" s="12" t="inlineStr">
        <is>
          <t>WG 1001003 entered track and got secured then waited 5:11:53 for WG 1001303 to get coupled then waited 114:58:04 for WG 1004406 to get coupled then waited 16:53:04 for WG 1005315 to get coupled then waited 7:19:41 for WG 1006011 to get coupled then waited 15:42:16 for WG 1007001 to get coupled then waited 0:04:38 for WG 1006902 to get coupled, OBTP started on 07:48:07 finished on 09:30:21 and then left at 09:32:30</t>
        </is>
      </c>
    </row>
    <row r="40">
      <c r="A40" s="3" t="inlineStr">
        <is>
          <t>1001004</t>
        </is>
      </c>
      <c r="B40" s="3" t="inlineStr">
        <is>
          <t>10010</t>
        </is>
      </c>
      <c r="C40" s="9" t="n">
        <v>16.5</v>
      </c>
      <c r="D40" s="3" t="inlineStr">
        <is>
          <t>Neudörfl (FunderMax)</t>
        </is>
      </c>
      <c r="E40" s="10" t="n">
        <v>45659.62715277778</v>
      </c>
      <c r="F40" s="10" t="n">
        <v>45659.64793981481</v>
      </c>
      <c r="G40" s="10" t="n">
        <v>45659.64962962963</v>
      </c>
      <c r="H40" s="3" t="inlineStr">
        <is>
          <t>OBT020125154035-Neudörfl (FunderMax)</t>
        </is>
      </c>
      <c r="I40" s="10" t="n">
        <v>45659.66200231481</v>
      </c>
      <c r="J40" s="10" t="n">
        <v>45659.68193287037</v>
      </c>
      <c r="K40" s="10" t="n">
        <v>45659.68193287037</v>
      </c>
      <c r="L40" s="10" t="n">
        <v>45659.68270833333</v>
      </c>
      <c r="M40" s="11">
        <f>IF(AND(ISNUMBER(E40),ISNUMBER(G40)),(G40-E40),"")</f>
        <v/>
      </c>
      <c r="N40" s="11">
        <f>IF(AND(ISNUMBER(G40),ISNUMBER(L40)),(L40-G40),"")</f>
        <v/>
      </c>
      <c r="O40" s="10" t="n">
        <v>45659.65318287037</v>
      </c>
      <c r="P40" s="11">
        <f>IF(AND(ISNUMBER(I40),ISNUMBER(O40)),(I40-O40),"")</f>
        <v/>
      </c>
      <c r="Q40" s="12" t="inlineStr">
        <is>
          <t>WG 1001004 entered track and got coupled to WG 1000604, OBTP started on 15:53:17 finished on 16:21:59 and then left at 16:23:06</t>
        </is>
      </c>
    </row>
    <row r="41">
      <c r="A41" s="3" t="inlineStr">
        <is>
          <t>1001005</t>
        </is>
      </c>
      <c r="B41" s="3" t="inlineStr">
        <is>
          <t>10010</t>
        </is>
      </c>
      <c r="C41" s="9" t="n">
        <v>257.1200000000001</v>
      </c>
      <c r="D41" s="3" t="inlineStr">
        <is>
          <t>Pitten (Hamburger)</t>
        </is>
      </c>
      <c r="E41" s="10" t="n">
        <v>45659.62715277778</v>
      </c>
      <c r="F41" s="10" t="n">
        <v>45659.64962962963</v>
      </c>
      <c r="G41" s="10" t="n">
        <v>45659.65208333333</v>
      </c>
      <c r="H41" s="3" t="inlineStr">
        <is>
          <t>OBT020125154208-Pitten (Hamburger)</t>
        </is>
      </c>
      <c r="I41" s="10" t="n">
        <v>45659.67196759259</v>
      </c>
      <c r="J41" s="10" t="n">
        <v>45659.7166087963</v>
      </c>
      <c r="K41" s="10" t="n">
        <v>45659.7166087963</v>
      </c>
      <c r="L41" s="10" t="n">
        <v>45659.71758101852</v>
      </c>
      <c r="M41" s="11">
        <f>IF(AND(ISNUMBER(E41),ISNUMBER(G41)),(G41-E41),"")</f>
        <v/>
      </c>
      <c r="N41" s="11">
        <f>IF(AND(ISNUMBER(G41),ISNUMBER(L41)),(L41-G41),"")</f>
        <v/>
      </c>
      <c r="O41" s="10" t="n">
        <v>45659.65425925926</v>
      </c>
      <c r="P41" s="11">
        <f>IF(AND(ISNUMBER(I41),ISNUMBER(O41)),(I41-O41),"")</f>
        <v/>
      </c>
      <c r="Q41" s="12" t="inlineStr">
        <is>
          <t>WG 1001005 entered track and got secured, OBTP started on 16:07:38 finished on 17:11:55 and then left at 17:13:19</t>
        </is>
      </c>
    </row>
    <row r="42">
      <c r="A42" s="3" t="inlineStr">
        <is>
          <t>1001006</t>
        </is>
      </c>
      <c r="B42" s="3" t="inlineStr">
        <is>
          <t>10010</t>
        </is>
      </c>
      <c r="C42" s="9" t="n">
        <v>31.48</v>
      </c>
      <c r="D42" s="3" t="inlineStr">
        <is>
          <t>Ebenfurth (beet loading)</t>
        </is>
      </c>
      <c r="E42" s="10" t="n">
        <v>45659.62715277778</v>
      </c>
      <c r="F42" s="10" t="n">
        <v>45659.65208333333</v>
      </c>
      <c r="G42" s="10" t="n">
        <v>45659.65347222222</v>
      </c>
      <c r="H42" s="3" t="inlineStr">
        <is>
          <t>OBT020125205242-Ebenfurth (beet loading)</t>
        </is>
      </c>
      <c r="I42" s="10" t="n">
        <v>45659.87079861111</v>
      </c>
      <c r="J42" s="10" t="n">
        <v>45659.898125</v>
      </c>
      <c r="K42" s="10" t="n">
        <v>45659.898125</v>
      </c>
      <c r="L42" s="10" t="n">
        <v>45659.89896990741</v>
      </c>
      <c r="M42" s="11">
        <f>IF(AND(ISNUMBER(E42),ISNUMBER(G42)),(G42-E42),"")</f>
        <v/>
      </c>
      <c r="N42" s="11">
        <f>IF(AND(ISNUMBER(G42),ISNUMBER(L42)),(L42-G42),"")</f>
        <v/>
      </c>
      <c r="O42" s="10" t="n">
        <v>45659.6575</v>
      </c>
      <c r="P42" s="11">
        <f>IF(AND(ISNUMBER(I42),ISNUMBER(O42)),(I42-O42),"")</f>
        <v/>
      </c>
      <c r="Q42" s="12" t="inlineStr">
        <is>
          <t>WG 1001006 entered track and got coupled to WG 1000607 then waited 2:45:53 for WG 1001206 to get coupled then waited 2:20:01 for WG 1001305 to get coupled, OBTP started on 20:53:57 finished on 21:33:18 and then left at 21:34:31</t>
        </is>
      </c>
    </row>
    <row r="43">
      <c r="A43" s="3" t="inlineStr">
        <is>
          <t>1001007</t>
        </is>
      </c>
      <c r="B43" s="3" t="inlineStr">
        <is>
          <t>10010</t>
        </is>
      </c>
      <c r="C43" s="9" t="n">
        <v>42</v>
      </c>
      <c r="D43" s="3" t="inlineStr">
        <is>
          <t>Neunkirchen (loading tracks)</t>
        </is>
      </c>
      <c r="E43" s="10" t="n">
        <v>45659.62715277778</v>
      </c>
      <c r="F43" s="10" t="n">
        <v>45659.65347222222</v>
      </c>
      <c r="G43" s="10" t="n">
        <v>45659.65525462963</v>
      </c>
      <c r="H43" s="3" t="inlineStr">
        <is>
          <t>OBT020125184418-Neunkirchen (loading tracks)</t>
        </is>
      </c>
      <c r="I43" s="10" t="n">
        <v>45659.78405092593</v>
      </c>
      <c r="J43" s="10" t="n">
        <v>45659.80189814815</v>
      </c>
      <c r="K43" s="10" t="n">
        <v>45659.80189814815</v>
      </c>
      <c r="L43" s="10" t="n">
        <v>45659.80267361111</v>
      </c>
      <c r="M43" s="11">
        <f>IF(AND(ISNUMBER(E43),ISNUMBER(G43)),(G43-E43),"")</f>
        <v/>
      </c>
      <c r="N43" s="11">
        <f>IF(AND(ISNUMBER(G43),ISNUMBER(L43)),(L43-G43),"")</f>
        <v/>
      </c>
      <c r="O43" s="10" t="n">
        <v>45659.65883101852</v>
      </c>
      <c r="P43" s="11">
        <f>IF(AND(ISNUMBER(I43),ISNUMBER(O43)),(I43-O43),"")</f>
        <v/>
      </c>
      <c r="Q43" s="12" t="inlineStr">
        <is>
          <t>WG 1001007 entered track and got coupled to WG 1000309 then waited 2:55:35 for WG 1001210 to get coupled, OBTP started on 18:49:02 finished on 19:14:44 and then left at 19:15:51</t>
        </is>
      </c>
    </row>
    <row r="44">
      <c r="A44" s="3" t="inlineStr">
        <is>
          <t>1001008</t>
        </is>
      </c>
      <c r="B44" s="3" t="inlineStr">
        <is>
          <t>10010</t>
        </is>
      </c>
      <c r="C44" s="9" t="n">
        <v>117.76</v>
      </c>
      <c r="D44" s="3" t="inlineStr">
        <is>
          <t>Other sidings north</t>
        </is>
      </c>
      <c r="E44" s="10" t="n">
        <v>45659.62715277778</v>
      </c>
      <c r="F44" s="10" t="n">
        <v>45659.65525462963</v>
      </c>
      <c r="G44" s="10" t="n">
        <v>45659.65738425926</v>
      </c>
      <c r="H44" s="3" t="inlineStr">
        <is>
          <t>OBT020125155102-Other sidings north</t>
        </is>
      </c>
      <c r="I44" s="10" t="n">
        <v>45659.68350694444</v>
      </c>
      <c r="J44" s="10" t="n">
        <v>45659.70394675926</v>
      </c>
      <c r="K44" s="10" t="n">
        <v>45659.70394675926</v>
      </c>
      <c r="L44" s="10" t="n">
        <v>45659.70460648148</v>
      </c>
      <c r="M44" s="11">
        <f>IF(AND(ISNUMBER(E44),ISNUMBER(G44)),(G44-E44),"")</f>
        <v/>
      </c>
      <c r="N44" s="11">
        <f>IF(AND(ISNUMBER(G44),ISNUMBER(L44)),(L44-G44),"")</f>
        <v/>
      </c>
      <c r="O44" s="10" t="n">
        <v>45659.66043981481</v>
      </c>
      <c r="P44" s="11">
        <f>IF(AND(ISNUMBER(I44),ISNUMBER(O44)),(I44-O44),"")</f>
        <v/>
      </c>
      <c r="Q44" s="12" t="inlineStr">
        <is>
          <t>WG 1001008 entered track and got secured, OBTP started on 16:24:15 finished on 16:53:41 and then left at 16:54:38</t>
        </is>
      </c>
    </row>
    <row r="45">
      <c r="A45" s="3" t="inlineStr">
        <is>
          <t>1001101</t>
        </is>
      </c>
      <c r="B45" s="3" t="inlineStr">
        <is>
          <t>10011</t>
        </is>
      </c>
      <c r="C45" s="9" t="n">
        <v>267.58</v>
      </c>
      <c r="D45" s="3" t="inlineStr">
        <is>
          <t>Wien Kledering</t>
        </is>
      </c>
      <c r="E45" s="10" t="n">
        <v>45659.62863425926</v>
      </c>
      <c r="F45" s="10" t="n">
        <v>45659.63447916666</v>
      </c>
      <c r="G45" s="10" t="n">
        <v>45659.6369675926</v>
      </c>
      <c r="H45" s="3" t="inlineStr">
        <is>
          <t>OBT020125152222-Ternitz (Schoeller-Bleckmann)</t>
        </is>
      </c>
      <c r="I45" s="10" t="n">
        <v>45659.64138888889</v>
      </c>
      <c r="J45" s="10" t="n">
        <v>45659.70447916666</v>
      </c>
      <c r="K45" s="10" t="n">
        <v>45659.70460648148</v>
      </c>
      <c r="L45" s="10" t="n">
        <v>45659.70583333333</v>
      </c>
      <c r="M45" s="11">
        <f>IF(AND(ISNUMBER(E45),ISNUMBER(G45)),(G45-E45),"")</f>
        <v/>
      </c>
      <c r="N45" s="11">
        <f>IF(AND(ISNUMBER(G45),ISNUMBER(L45)),(L45-G45),"")</f>
        <v/>
      </c>
      <c r="O45" s="10" t="n">
        <v>45659.64053240741</v>
      </c>
      <c r="P45" s="11">
        <f>IF(AND(ISNUMBER(I45),ISNUMBER(O45)),(I45-O45),"")</f>
        <v/>
      </c>
      <c r="Q45" s="12" t="inlineStr">
        <is>
          <t>WG 1001101 entered track and got coupled to WG 1000606, OBTP started on 15:23:36 finished on 16:54:27 and then left at 16:56:24</t>
        </is>
      </c>
    </row>
    <row r="46">
      <c r="A46" s="3" t="inlineStr">
        <is>
          <t>1001201</t>
        </is>
      </c>
      <c r="B46" s="3" t="inlineStr">
        <is>
          <t>10012</t>
        </is>
      </c>
      <c r="C46" s="9" t="n">
        <v>15.74</v>
      </c>
      <c r="D46" s="3" t="inlineStr">
        <is>
          <t>Other sidings south</t>
        </is>
      </c>
      <c r="E46" s="10" t="n">
        <v>45659.73971064815</v>
      </c>
      <c r="F46" s="10" t="n">
        <v>45659.75923611111</v>
      </c>
      <c r="G46" s="10" t="n">
        <v>45659.76037037037</v>
      </c>
      <c r="H46" s="3" t="inlineStr">
        <is>
          <t>OBT030125061555-Other sidings south</t>
        </is>
      </c>
      <c r="I46" s="10" t="n">
        <v>45660.26269675926</v>
      </c>
      <c r="J46" s="10" t="n">
        <v>45660.28053240741</v>
      </c>
      <c r="K46" s="10" t="n">
        <v>45660.28053240741</v>
      </c>
      <c r="L46" s="10" t="n">
        <v>45660.28123842592</v>
      </c>
      <c r="M46" s="11">
        <f>IF(AND(ISNUMBER(E46),ISNUMBER(G46)),(G46-E46),"")</f>
        <v/>
      </c>
      <c r="N46" s="11">
        <f>IF(AND(ISNUMBER(G46),ISNUMBER(L46)),(L46-G46),"")</f>
        <v/>
      </c>
      <c r="O46" s="10" t="n">
        <v>45659.76429398148</v>
      </c>
      <c r="P46" s="11">
        <f>IF(AND(ISNUMBER(I46),ISNUMBER(O46)),(I46-O46),"")</f>
        <v/>
      </c>
      <c r="Q46" s="12" t="inlineStr">
        <is>
          <t>WG 1001201 entered track and got coupled to WG 1000301 then waited 8:42:56 for WG 1001402 to get coupled then waited 0:04:13 for WG 1001404 to get coupled then waited 3:08:11 for WG 1001604 to get coupled, OBTP started on 06:18:17 finished on 06:43:58 and then left at 06:44:59</t>
        </is>
      </c>
    </row>
    <row r="47">
      <c r="A47" s="3" t="inlineStr">
        <is>
          <t>1001202</t>
        </is>
      </c>
      <c r="B47" s="3" t="inlineStr">
        <is>
          <t>10012</t>
        </is>
      </c>
      <c r="C47" s="9" t="n">
        <v>15.74</v>
      </c>
      <c r="D47" s="3" t="inlineStr">
        <is>
          <t>Gloggnitz</t>
        </is>
      </c>
      <c r="E47" s="10" t="n">
        <v>45659.73971064815</v>
      </c>
      <c r="F47" s="10" t="n">
        <v>45659.76037037037</v>
      </c>
      <c r="G47" s="10" t="n">
        <v>45659.76237268518</v>
      </c>
      <c r="H47" s="3" t="inlineStr">
        <is>
          <t>OBT030125063005-Gloggnitz</t>
        </is>
      </c>
      <c r="I47" s="10" t="n">
        <v>45660.27732638889</v>
      </c>
      <c r="J47" s="10" t="n">
        <v>45660.31285879629</v>
      </c>
      <c r="K47" s="10" t="n">
        <v>45660.31285879629</v>
      </c>
      <c r="L47" s="10" t="n">
        <v>45660.31383101852</v>
      </c>
      <c r="M47" s="11">
        <f>IF(AND(ISNUMBER(E47),ISNUMBER(G47)),(G47-E47),"")</f>
        <v/>
      </c>
      <c r="N47" s="11">
        <f>IF(AND(ISNUMBER(G47),ISNUMBER(L47)),(L47-G47),"")</f>
        <v/>
      </c>
      <c r="O47" s="10" t="n">
        <v>45659.76627314815</v>
      </c>
      <c r="P47" s="11">
        <f>IF(AND(ISNUMBER(I47),ISNUMBER(O47)),(I47-O47),"")</f>
        <v/>
      </c>
      <c r="Q47" s="12" t="inlineStr">
        <is>
          <t>WG 1001202 entered track and got coupled to WG 1000610 then waited 2:22:59 for WG 1001302 to get coupled then waited 9:43:40 for WG 1001609 to get coupled, OBTP started on 06:39:21 finished on 07:30:31 and then left at 07:31:55</t>
        </is>
      </c>
    </row>
    <row r="48">
      <c r="A48" s="3" t="inlineStr">
        <is>
          <t>1001203</t>
        </is>
      </c>
      <c r="B48" s="3" t="inlineStr">
        <is>
          <t>10012</t>
        </is>
      </c>
      <c r="C48" s="9" t="n">
        <v>21</v>
      </c>
      <c r="D48" s="3" t="inlineStr">
        <is>
          <t>Neudörfl (FunderMax)</t>
        </is>
      </c>
      <c r="E48" s="10" t="n">
        <v>45659.73971064815</v>
      </c>
      <c r="F48" s="10" t="n">
        <v>45659.76237268518</v>
      </c>
      <c r="G48" s="10" t="n">
        <v>45659.76363425926</v>
      </c>
      <c r="H48" s="3" t="inlineStr">
        <is>
          <t>OBT020125210709-Neudörfl (FunderMax)</t>
        </is>
      </c>
      <c r="I48" s="10" t="n">
        <v>45659.88170138889</v>
      </c>
      <c r="J48" s="10" t="n">
        <v>45659.89935185185</v>
      </c>
      <c r="K48" s="10" t="n">
        <v>45659.89935185185</v>
      </c>
      <c r="L48" s="10" t="n">
        <v>45659.90002314815</v>
      </c>
      <c r="M48" s="11">
        <f>IF(AND(ISNUMBER(E48),ISNUMBER(G48)),(G48-E48),"")</f>
        <v/>
      </c>
      <c r="N48" s="11">
        <f>IF(AND(ISNUMBER(G48),ISNUMBER(L48)),(L48-G48),"")</f>
        <v/>
      </c>
      <c r="O48" s="10" t="n">
        <v>45659.76603009259</v>
      </c>
      <c r="P48" s="11">
        <f>IF(AND(ISNUMBER(I48),ISNUMBER(O48)),(I48-O48),"")</f>
        <v/>
      </c>
      <c r="Q48" s="12" t="inlineStr">
        <is>
          <t>WG 1001203 entered track and got secured then waited 2:27:26 for WG 1001304 to get coupled then waited 0:16:38 for WG 1001311 to get coupled, OBTP started on 21:09:39 finished on 21:35:04 and then left at 21:36:02</t>
        </is>
      </c>
    </row>
    <row r="49">
      <c r="A49" s="3" t="inlineStr">
        <is>
          <t>1001204</t>
        </is>
      </c>
      <c r="B49" s="3" t="inlineStr">
        <is>
          <t>10012</t>
        </is>
      </c>
      <c r="C49" s="9" t="n">
        <v>14</v>
      </c>
      <c r="D49" s="3" t="inlineStr">
        <is>
          <t>Other sidings local</t>
        </is>
      </c>
      <c r="E49" s="10" t="n">
        <v>45659.73971064815</v>
      </c>
      <c r="F49" s="10" t="n">
        <v>45659.76363425926</v>
      </c>
      <c r="G49" s="10" t="n">
        <v>45659.76520833333</v>
      </c>
      <c r="H49" s="3" t="inlineStr">
        <is>
          <t>OBT030125205107-Other sidings local</t>
        </is>
      </c>
      <c r="I49" s="10" t="n">
        <v>45660.89475694444</v>
      </c>
      <c r="J49" s="10" t="n">
        <v>45660.91472222222</v>
      </c>
      <c r="K49" s="10" t="n">
        <v>45660.91472222222</v>
      </c>
      <c r="L49" s="10" t="n">
        <v>45660.91559027778</v>
      </c>
      <c r="M49" s="11">
        <f>IF(AND(ISNUMBER(E49),ISNUMBER(G49)),(G49-E49),"")</f>
        <v/>
      </c>
      <c r="N49" s="11">
        <f>IF(AND(ISNUMBER(G49),ISNUMBER(L49)),(L49-G49),"")</f>
        <v/>
      </c>
      <c r="O49" s="10" t="n">
        <v>45659.76913194444</v>
      </c>
      <c r="P49" s="11">
        <f>IF(AND(ISNUMBER(I49),ISNUMBER(O49)),(I49-O49),"")</f>
        <v/>
      </c>
      <c r="Q49" s="12" t="inlineStr">
        <is>
          <t>WG 1001204 entered track and got coupled to WG 1000602 then waited 11:41:53 for WG 1001601 to get coupled then waited 1:49:03 for WG 1001807 to get coupled then waited 12:52:38 for WG 1002807 to get coupled, OBTP started on 21:28:27 finished on 21:57:12 and then left at 21:58:27</t>
        </is>
      </c>
    </row>
    <row r="50">
      <c r="A50" s="3" t="inlineStr">
        <is>
          <t>1001205</t>
        </is>
      </c>
      <c r="B50" s="3" t="inlineStr">
        <is>
          <t>10012</t>
        </is>
      </c>
      <c r="C50" s="9" t="n">
        <v>135</v>
      </c>
      <c r="D50" s="3" t="inlineStr">
        <is>
          <t>Wr. Neustadt (Hödlmayr)</t>
        </is>
      </c>
      <c r="E50" s="10" t="n">
        <v>45659.73971064815</v>
      </c>
      <c r="F50" s="10" t="n">
        <v>45659.76520833333</v>
      </c>
      <c r="G50" s="10" t="n">
        <v>45659.76740740741</v>
      </c>
      <c r="H50" s="3" t="inlineStr">
        <is>
          <t>OBT020125183042-Wr. Neustadt (Hödlmayr)</t>
        </is>
      </c>
      <c r="I50" s="10" t="n">
        <v>45659.77215277778</v>
      </c>
      <c r="J50" s="10" t="n">
        <v>45659.80965277777</v>
      </c>
      <c r="K50" s="10" t="n">
        <v>45659.80965277777</v>
      </c>
      <c r="L50" s="10" t="n">
        <v>45659.81069444444</v>
      </c>
      <c r="M50" s="11">
        <f>IF(AND(ISNUMBER(E50),ISNUMBER(G50)),(G50-E50),"")</f>
        <v/>
      </c>
      <c r="N50" s="11">
        <f>IF(AND(ISNUMBER(G50),ISNUMBER(L50)),(L50-G50),"")</f>
        <v/>
      </c>
      <c r="O50" s="10" t="n">
        <v>45659.77131944444</v>
      </c>
      <c r="P50" s="11">
        <f>IF(AND(ISNUMBER(I50),ISNUMBER(O50)),(I50-O50),"")</f>
        <v/>
      </c>
      <c r="Q50" s="12" t="inlineStr">
        <is>
          <t>WG 1001205 entered track and got coupled to WG 1001001, OBTP started on 18:31:54 finished on 19:25:54 and then left at 19:27:24</t>
        </is>
      </c>
    </row>
    <row r="51">
      <c r="A51" s="3" t="inlineStr">
        <is>
          <t>1001206</t>
        </is>
      </c>
      <c r="B51" s="3" t="inlineStr">
        <is>
          <t>10012</t>
        </is>
      </c>
      <c r="C51" s="9" t="n">
        <v>15.74</v>
      </c>
      <c r="D51" s="3" t="inlineStr">
        <is>
          <t>Ebenfurth (beet loading)</t>
        </is>
      </c>
      <c r="E51" s="10" t="n">
        <v>45659.73971064815</v>
      </c>
      <c r="F51" s="10" t="n">
        <v>45659.76740740741</v>
      </c>
      <c r="G51" s="10" t="n">
        <v>45659.76877314815</v>
      </c>
      <c r="H51" s="3" t="inlineStr">
        <is>
          <t>OBT020125205242-Ebenfurth (beet loading)</t>
        </is>
      </c>
      <c r="I51" s="10" t="n">
        <v>45659.87079861111</v>
      </c>
      <c r="J51" s="10" t="n">
        <v>45659.898125</v>
      </c>
      <c r="K51" s="10" t="n">
        <v>45659.898125</v>
      </c>
      <c r="L51" s="10" t="n">
        <v>45659.89896990741</v>
      </c>
      <c r="M51" s="11">
        <f>IF(AND(ISNUMBER(E51),ISNUMBER(G51)),(G51-E51),"")</f>
        <v/>
      </c>
      <c r="N51" s="11">
        <f>IF(AND(ISNUMBER(G51),ISNUMBER(L51)),(L51-G51),"")</f>
        <v/>
      </c>
      <c r="O51" s="10" t="n">
        <v>45659.77269675926</v>
      </c>
      <c r="P51" s="11">
        <f>IF(AND(ISNUMBER(I51),ISNUMBER(O51)),(I51-O51),"")</f>
        <v/>
      </c>
      <c r="Q51" s="12" t="inlineStr">
        <is>
          <t>WG 1001206 entered track and got coupled to WG 1001006 then waited 2:20:01 for WG 1001305 to get coupled, OBTP started on 20:53:57 finished on 21:33:18 and then left at 21:34:31</t>
        </is>
      </c>
    </row>
    <row r="52">
      <c r="A52" s="3" t="inlineStr">
        <is>
          <t>1001207</t>
        </is>
      </c>
      <c r="B52" s="3" t="inlineStr">
        <is>
          <t>10012</t>
        </is>
      </c>
      <c r="C52" s="9" t="n">
        <v>97.85999999999999</v>
      </c>
      <c r="D52" s="3" t="inlineStr">
        <is>
          <t>Other sidings north</t>
        </is>
      </c>
      <c r="E52" s="10" t="n">
        <v>45659.73971064815</v>
      </c>
      <c r="F52" s="10" t="n">
        <v>45659.76877314815</v>
      </c>
      <c r="G52" s="10" t="n">
        <v>45659.77084490741</v>
      </c>
      <c r="H52" s="3" t="inlineStr">
        <is>
          <t>OBT020125210324-Other sidings north</t>
        </is>
      </c>
      <c r="I52" s="10" t="n">
        <v>45659.8790625</v>
      </c>
      <c r="J52" s="10" t="n">
        <v>45659.89950231482</v>
      </c>
      <c r="K52" s="10" t="n">
        <v>45659.90002314815</v>
      </c>
      <c r="L52" s="10" t="n">
        <v>45659.90067129629</v>
      </c>
      <c r="M52" s="11">
        <f>IF(AND(ISNUMBER(E52),ISNUMBER(G52)),(G52-E52),"")</f>
        <v/>
      </c>
      <c r="N52" s="11">
        <f>IF(AND(ISNUMBER(G52),ISNUMBER(L52)),(L52-G52),"")</f>
        <v/>
      </c>
      <c r="O52" s="10" t="n">
        <v>45659.77324074074</v>
      </c>
      <c r="P52" s="11">
        <f>IF(AND(ISNUMBER(I52),ISNUMBER(O52)),(I52-O52),"")</f>
        <v/>
      </c>
      <c r="Q52" s="12" t="inlineStr">
        <is>
          <t>WG 1001207 entered track and got secured then waited 2:29:56 for WG 1001309 to get coupled, OBTP started on 21:05:51 finished on 21:35:17 and then left at 21:36:58</t>
        </is>
      </c>
    </row>
    <row r="53">
      <c r="A53" s="3" t="inlineStr">
        <is>
          <t>1001208</t>
        </is>
      </c>
      <c r="B53" s="3" t="inlineStr">
        <is>
          <t>10012</t>
        </is>
      </c>
      <c r="C53" s="9" t="n">
        <v>194.16</v>
      </c>
      <c r="D53" s="3" t="inlineStr">
        <is>
          <t>Pitten (Hamburger)</t>
        </is>
      </c>
      <c r="E53" s="10" t="n">
        <v>45659.73971064815</v>
      </c>
      <c r="F53" s="10" t="n">
        <v>45659.77084490741</v>
      </c>
      <c r="G53" s="10" t="n">
        <v>45659.77314814815</v>
      </c>
      <c r="H53" s="3" t="inlineStr">
        <is>
          <t>OBT020125183645-Pitten (Hamburger)</t>
        </is>
      </c>
      <c r="I53" s="10" t="n">
        <v>45659.77638888889</v>
      </c>
      <c r="J53" s="10" t="n">
        <v>45659.81009259259</v>
      </c>
      <c r="K53" s="10" t="n">
        <v>45659.81069444444</v>
      </c>
      <c r="L53" s="10" t="n">
        <v>45659.81153935185</v>
      </c>
      <c r="M53" s="11">
        <f>IF(AND(ISNUMBER(E53),ISNUMBER(G53)),(G53-E53),"")</f>
        <v/>
      </c>
      <c r="N53" s="11">
        <f>IF(AND(ISNUMBER(G53),ISNUMBER(L53)),(L53-G53),"")</f>
        <v/>
      </c>
      <c r="O53" s="10" t="n">
        <v>45659.77552083333</v>
      </c>
      <c r="P53" s="11">
        <f>IF(AND(ISNUMBER(I53),ISNUMBER(O53)),(I53-O53),"")</f>
        <v/>
      </c>
      <c r="Q53" s="12" t="inlineStr">
        <is>
          <t>WG 1001208 entered track and got secured, OBTP started on 18:38:00 finished on 19:26:32 and then left at 19:28:37</t>
        </is>
      </c>
    </row>
    <row r="54">
      <c r="A54" s="3" t="inlineStr">
        <is>
          <t>1001209</t>
        </is>
      </c>
      <c r="B54" s="3" t="inlineStr">
        <is>
          <t>10012</t>
        </is>
      </c>
      <c r="C54" s="9" t="n">
        <v>39.8</v>
      </c>
      <c r="D54" s="3" t="inlineStr">
        <is>
          <t>Felixdorf/Sollenau (Bundesheer, Maba)</t>
        </is>
      </c>
      <c r="E54" s="10" t="n">
        <v>45659.73971064815</v>
      </c>
      <c r="F54" s="10" t="n">
        <v>45659.77314814815</v>
      </c>
      <c r="G54" s="10" t="n">
        <v>45659.77512731482</v>
      </c>
      <c r="H54" s="3" t="inlineStr">
        <is>
          <t>OBT030125075311-Felixdorf/Sollenau (Bundesheer, Maba)</t>
        </is>
      </c>
      <c r="I54" s="10" t="n">
        <v>45660.33030092593</v>
      </c>
      <c r="J54" s="10" t="n">
        <v>45660.36226851852</v>
      </c>
      <c r="K54" s="10" t="n">
        <v>45660.36226851852</v>
      </c>
      <c r="L54" s="10" t="n">
        <v>45660.36324074074</v>
      </c>
      <c r="M54" s="11">
        <f>IF(AND(ISNUMBER(E54),ISNUMBER(G54)),(G54-E54),"")</f>
        <v/>
      </c>
      <c r="N54" s="11">
        <f>IF(AND(ISNUMBER(G54),ISNUMBER(L54)),(L54-G54),"")</f>
        <v/>
      </c>
      <c r="O54" s="10" t="n">
        <v>45659.77905092593</v>
      </c>
      <c r="P54" s="11">
        <f>IF(AND(ISNUMBER(I54),ISNUMBER(O54)),(I54-O54),"")</f>
        <v/>
      </c>
      <c r="Q54" s="12" t="inlineStr">
        <is>
          <t>WG 1001209 entered track and got coupled to WG 1000608 then waited 13:11:21 for WG 1001805 to get coupled, OBTP started on 07:55:38 finished on 08:41:40 and then left at 08:43:04</t>
        </is>
      </c>
    </row>
    <row r="55">
      <c r="A55" s="3" t="inlineStr">
        <is>
          <t>1001210</t>
        </is>
      </c>
      <c r="B55" s="3" t="inlineStr">
        <is>
          <t>10012</t>
        </is>
      </c>
      <c r="C55" s="9" t="n">
        <v>19.9</v>
      </c>
      <c r="D55" s="3" t="inlineStr">
        <is>
          <t>Neunkirchen (loading tracks)</t>
        </is>
      </c>
      <c r="E55" s="10" t="n">
        <v>45659.73971064815</v>
      </c>
      <c r="F55" s="10" t="n">
        <v>45659.77512731482</v>
      </c>
      <c r="G55" s="10" t="n">
        <v>45659.77686342593</v>
      </c>
      <c r="H55" s="3" t="inlineStr">
        <is>
          <t>OBT020125184418-Neunkirchen (loading tracks)</t>
        </is>
      </c>
      <c r="I55" s="10" t="n">
        <v>45659.78405092593</v>
      </c>
      <c r="J55" s="10" t="n">
        <v>45659.80189814815</v>
      </c>
      <c r="K55" s="10" t="n">
        <v>45659.80189814815</v>
      </c>
      <c r="L55" s="10" t="n">
        <v>45659.80267361111</v>
      </c>
      <c r="M55" s="11">
        <f>IF(AND(ISNUMBER(E55),ISNUMBER(G55)),(G55-E55),"")</f>
        <v/>
      </c>
      <c r="N55" s="11">
        <f>IF(AND(ISNUMBER(G55),ISNUMBER(L55)),(L55-G55),"")</f>
        <v/>
      </c>
      <c r="O55" s="10" t="n">
        <v>45659.78076388889</v>
      </c>
      <c r="P55" s="11">
        <f>IF(AND(ISNUMBER(I55),ISNUMBER(O55)),(I55-O55),"")</f>
        <v/>
      </c>
      <c r="Q55" s="12" t="inlineStr">
        <is>
          <t>WG 1001210 entered track and got coupled to WG 1001007, OBTP started on 18:49:02 finished on 19:14:44 and then left at 19:15:51</t>
        </is>
      </c>
    </row>
    <row r="56">
      <c r="A56" s="3" t="inlineStr">
        <is>
          <t>1001211</t>
        </is>
      </c>
      <c r="B56" s="3" t="inlineStr">
        <is>
          <t>10012</t>
        </is>
      </c>
      <c r="C56" s="9" t="n">
        <v>12.04</v>
      </c>
      <c r="D56" s="3" t="inlineStr">
        <is>
          <t>Ternitz (Schoeller-Bleckmann)</t>
        </is>
      </c>
      <c r="E56" s="10" t="n">
        <v>45659.73971064815</v>
      </c>
      <c r="F56" s="10" t="n">
        <v>45659.77686342593</v>
      </c>
      <c r="G56" s="10" t="n">
        <v>45659.77873842593</v>
      </c>
      <c r="H56" s="3" t="inlineStr">
        <is>
          <t>OBT030125030120-Pitten (Hamburger)</t>
        </is>
      </c>
      <c r="I56" s="10" t="n">
        <v>45660.12675925926</v>
      </c>
      <c r="J56" s="10" t="n">
        <v>45660.15010416666</v>
      </c>
      <c r="K56" s="10" t="n">
        <v>45660.15010416666</v>
      </c>
      <c r="L56" s="10" t="n">
        <v>45660.15079861111</v>
      </c>
      <c r="M56" s="11">
        <f>IF(AND(ISNUMBER(E56),ISNUMBER(G56)),(G56-E56),"")</f>
        <v/>
      </c>
      <c r="N56" s="11">
        <f>IF(AND(ISNUMBER(G56),ISNUMBER(L56)),(L56-G56),"")</f>
        <v/>
      </c>
      <c r="O56" s="10" t="n">
        <v>45659.78231481482</v>
      </c>
      <c r="P56" s="11">
        <f>IF(AND(ISNUMBER(I56),ISNUMBER(O56)),(I56-O56),"")</f>
        <v/>
      </c>
      <c r="Q56" s="12" t="inlineStr">
        <is>
          <t>WG 1001211 entered track and got secured then waited 1:54:27 for WG 1001301 to get coupled then waited 6:20:21 for WG 1001401 to get coupled, OBTP started on 03:02:32 finished on 03:36:09 and then left at 03:37:09</t>
        </is>
      </c>
    </row>
    <row r="57">
      <c r="A57" s="3" t="inlineStr">
        <is>
          <t>1001301</t>
        </is>
      </c>
      <c r="B57" s="3" t="inlineStr">
        <is>
          <t>10013</t>
        </is>
      </c>
      <c r="C57" s="9" t="n">
        <v>46.48</v>
      </c>
      <c r="D57" s="3" t="inlineStr">
        <is>
          <t>Pitten (Hamburger)</t>
        </is>
      </c>
      <c r="E57" s="10" t="n">
        <v>45659.84085648148</v>
      </c>
      <c r="F57" s="10" t="n">
        <v>45659.85762731481</v>
      </c>
      <c r="G57" s="10" t="n">
        <v>45659.85960648148</v>
      </c>
      <c r="H57" s="3" t="inlineStr">
        <is>
          <t>OBT030125030120-Pitten (Hamburger)</t>
        </is>
      </c>
      <c r="I57" s="10" t="n">
        <v>45660.12675925926</v>
      </c>
      <c r="J57" s="10" t="n">
        <v>45660.15010416666</v>
      </c>
      <c r="K57" s="10" t="n">
        <v>45660.15010416666</v>
      </c>
      <c r="L57" s="10" t="n">
        <v>45660.15079861111</v>
      </c>
      <c r="M57" s="11">
        <f>IF(AND(ISNUMBER(E57),ISNUMBER(G57)),(G57-E57),"")</f>
        <v/>
      </c>
      <c r="N57" s="11">
        <f>IF(AND(ISNUMBER(G57),ISNUMBER(L57)),(L57-G57),"")</f>
        <v/>
      </c>
      <c r="O57" s="10" t="n">
        <v>45659.86179398148</v>
      </c>
      <c r="P57" s="11">
        <f>IF(AND(ISNUMBER(I57),ISNUMBER(O57)),(I57-O57),"")</f>
        <v/>
      </c>
      <c r="Q57" s="12" t="inlineStr">
        <is>
          <t>WG 1001301 entered track and got secured then waited 6:20:21 for WG 1001401 to get coupled, OBTP started on 03:02:32 finished on 03:36:09 and then left at 03:37:09</t>
        </is>
      </c>
    </row>
    <row r="58">
      <c r="A58" s="3" t="inlineStr">
        <is>
          <t>1001302</t>
        </is>
      </c>
      <c r="B58" s="3" t="inlineStr">
        <is>
          <t>10013</t>
        </is>
      </c>
      <c r="C58" s="9" t="n">
        <v>15.74</v>
      </c>
      <c r="D58" s="3" t="inlineStr">
        <is>
          <t>Gloggnitz</t>
        </is>
      </c>
      <c r="E58" s="10" t="n">
        <v>45659.84085648148</v>
      </c>
      <c r="F58" s="10" t="n">
        <v>45659.85960648148</v>
      </c>
      <c r="G58" s="10" t="n">
        <v>45659.86164351852</v>
      </c>
      <c r="H58" s="3" t="inlineStr">
        <is>
          <t>OBT030125063005-Gloggnitz</t>
        </is>
      </c>
      <c r="I58" s="10" t="n">
        <v>45660.27732638889</v>
      </c>
      <c r="J58" s="10" t="n">
        <v>45660.31285879629</v>
      </c>
      <c r="K58" s="10" t="n">
        <v>45660.31285879629</v>
      </c>
      <c r="L58" s="10" t="n">
        <v>45660.31383101852</v>
      </c>
      <c r="M58" s="11">
        <f>IF(AND(ISNUMBER(E58),ISNUMBER(G58)),(G58-E58),"")</f>
        <v/>
      </c>
      <c r="N58" s="11">
        <f>IF(AND(ISNUMBER(G58),ISNUMBER(L58)),(L58-G58),"")</f>
        <v/>
      </c>
      <c r="O58" s="10" t="n">
        <v>45659.86556712963</v>
      </c>
      <c r="P58" s="11">
        <f>IF(AND(ISNUMBER(I58),ISNUMBER(O58)),(I58-O58),"")</f>
        <v/>
      </c>
      <c r="Q58" s="12" t="inlineStr">
        <is>
          <t>WG 1001302 entered track and got coupled to WG 1001202 then waited 9:43:40 for WG 1001609 to get coupled, OBTP started on 06:39:21 finished on 07:30:31 and then left at 07:31:55</t>
        </is>
      </c>
    </row>
    <row r="59">
      <c r="A59" s="3" t="inlineStr">
        <is>
          <t>1001303</t>
        </is>
      </c>
      <c r="B59" s="3" t="inlineStr">
        <is>
          <t>10013</t>
        </is>
      </c>
      <c r="C59" s="9" t="n">
        <v>14</v>
      </c>
      <c r="D59" s="3" t="inlineStr">
        <is>
          <t>Wr. Neustadt (Brenntag)</t>
        </is>
      </c>
      <c r="E59" s="10" t="n">
        <v>45659.84085648148</v>
      </c>
      <c r="F59" s="10" t="n">
        <v>45659.86164351852</v>
      </c>
      <c r="G59" s="10" t="n">
        <v>45659.86313657407</v>
      </c>
      <c r="H59" s="3" t="inlineStr">
        <is>
          <t>OBT090125074546-Wr. Neustadt (Brenntag)</t>
        </is>
      </c>
      <c r="I59" s="10" t="n">
        <v>45666.32508101852</v>
      </c>
      <c r="J59" s="10" t="n">
        <v>45666.39607638889</v>
      </c>
      <c r="K59" s="10" t="n">
        <v>45666.39607638889</v>
      </c>
      <c r="L59" s="10" t="n">
        <v>45666.39756944445</v>
      </c>
      <c r="M59" s="11">
        <f>IF(AND(ISNUMBER(E59),ISNUMBER(G59)),(G59-E59),"")</f>
        <v/>
      </c>
      <c r="N59" s="11">
        <f>IF(AND(ISNUMBER(G59),ISNUMBER(L59)),(L59-G59),"")</f>
        <v/>
      </c>
      <c r="O59" s="10" t="n">
        <v>45659.86670138889</v>
      </c>
      <c r="P59" s="11">
        <f>IF(AND(ISNUMBER(I59),ISNUMBER(O59)),(I59-O59),"")</f>
        <v/>
      </c>
      <c r="Q59" s="12" t="inlineStr">
        <is>
          <t>WG 1001303 entered track and got coupled to WG 1001003 then waited 114:58:04 for WG 1004406 to get coupled then waited 16:53:04 for WG 1005315 to get coupled then waited 7:19:41 for WG 1006011 to get coupled then waited 15:42:16 for WG 1007001 to get coupled then waited 0:04:38 for WG 1006902 to get coupled, OBTP started on 07:48:07 finished on 09:30:21 and then left at 09:32:30</t>
        </is>
      </c>
    </row>
    <row r="60">
      <c r="A60" s="3" t="inlineStr">
        <is>
          <t>1001304</t>
        </is>
      </c>
      <c r="B60" s="3" t="inlineStr">
        <is>
          <t>10013</t>
        </is>
      </c>
      <c r="C60" s="9" t="n">
        <v>60.8</v>
      </c>
      <c r="D60" s="3" t="inlineStr">
        <is>
          <t>Neudörfl (FunderMax)</t>
        </is>
      </c>
      <c r="E60" s="10" t="n">
        <v>45659.84085648148</v>
      </c>
      <c r="F60" s="10" t="n">
        <v>45659.86313657407</v>
      </c>
      <c r="G60" s="10" t="n">
        <v>45659.86451388889</v>
      </c>
      <c r="H60" s="3" t="inlineStr">
        <is>
          <t>OBT020125210709-Neudörfl (FunderMax)</t>
        </is>
      </c>
      <c r="I60" s="10" t="n">
        <v>45659.88170138889</v>
      </c>
      <c r="J60" s="10" t="n">
        <v>45659.89935185185</v>
      </c>
      <c r="K60" s="10" t="n">
        <v>45659.89935185185</v>
      </c>
      <c r="L60" s="10" t="n">
        <v>45659.90002314815</v>
      </c>
      <c r="M60" s="11">
        <f>IF(AND(ISNUMBER(E60),ISNUMBER(G60)),(G60-E60),"")</f>
        <v/>
      </c>
      <c r="N60" s="11">
        <f>IF(AND(ISNUMBER(G60),ISNUMBER(L60)),(L60-G60),"")</f>
        <v/>
      </c>
      <c r="O60" s="10" t="n">
        <v>45659.86841435185</v>
      </c>
      <c r="P60" s="11">
        <f>IF(AND(ISNUMBER(I60),ISNUMBER(O60)),(I60-O60),"")</f>
        <v/>
      </c>
      <c r="Q60" s="12" t="inlineStr">
        <is>
          <t>WG 1001304 entered track and got coupled to WG 1001203 then waited 0:16:38 for WG 1001311 to get coupled, OBTP started on 21:09:39 finished on 21:35:04 and then left at 21:36:02</t>
        </is>
      </c>
    </row>
    <row r="61">
      <c r="A61" s="3" t="inlineStr">
        <is>
          <t>1001305</t>
        </is>
      </c>
      <c r="B61" s="3" t="inlineStr">
        <is>
          <t>10013</t>
        </is>
      </c>
      <c r="C61" s="9" t="n">
        <v>62.96</v>
      </c>
      <c r="D61" s="3" t="inlineStr">
        <is>
          <t>Ebenfurth (beet loading)</t>
        </is>
      </c>
      <c r="E61" s="10" t="n">
        <v>45659.84085648148</v>
      </c>
      <c r="F61" s="10" t="n">
        <v>45659.86451388889</v>
      </c>
      <c r="G61" s="10" t="n">
        <v>45659.86600694444</v>
      </c>
      <c r="H61" s="3" t="inlineStr">
        <is>
          <t>OBT020125205242-Ebenfurth (beet loading)</t>
        </is>
      </c>
      <c r="I61" s="10" t="n">
        <v>45659.87079861111</v>
      </c>
      <c r="J61" s="10" t="n">
        <v>45659.898125</v>
      </c>
      <c r="K61" s="10" t="n">
        <v>45659.898125</v>
      </c>
      <c r="L61" s="10" t="n">
        <v>45659.89896990741</v>
      </c>
      <c r="M61" s="11">
        <f>IF(AND(ISNUMBER(E61),ISNUMBER(G61)),(G61-E61),"")</f>
        <v/>
      </c>
      <c r="N61" s="11">
        <f>IF(AND(ISNUMBER(G61),ISNUMBER(L61)),(L61-G61),"")</f>
        <v/>
      </c>
      <c r="O61" s="10" t="n">
        <v>45659.86993055556</v>
      </c>
      <c r="P61" s="11">
        <f>IF(AND(ISNUMBER(I61),ISNUMBER(O61)),(I61-O61),"")</f>
        <v/>
      </c>
      <c r="Q61" s="12" t="inlineStr">
        <is>
          <t>WG 1001305 entered track and got coupled to WG 1001206, OBTP started on 20:53:57 finished on 21:33:18 and then left at 21:34:31</t>
        </is>
      </c>
    </row>
    <row r="62">
      <c r="A62" s="3" t="inlineStr">
        <is>
          <t>1001306</t>
        </is>
      </c>
      <c r="B62" s="3" t="inlineStr">
        <is>
          <t>10013</t>
        </is>
      </c>
      <c r="C62" s="9" t="n">
        <v>21</v>
      </c>
      <c r="D62" s="3" t="inlineStr">
        <is>
          <t>Neunkirchen (loading tracks)</t>
        </is>
      </c>
      <c r="E62" s="10" t="n">
        <v>45659.84085648148</v>
      </c>
      <c r="F62" s="10" t="n">
        <v>45659.86600694444</v>
      </c>
      <c r="G62" s="10" t="n">
        <v>45659.86777777778</v>
      </c>
      <c r="H62" s="3" t="inlineStr">
        <is>
          <t>OBT030125070748-Neunkirchen (loading tracks)</t>
        </is>
      </c>
      <c r="I62" s="10" t="n">
        <v>45660.3090625</v>
      </c>
      <c r="J62" s="10" t="n">
        <v>45660.37137731481</v>
      </c>
      <c r="K62" s="10" t="n">
        <v>45660.37137731481</v>
      </c>
      <c r="L62" s="10" t="n">
        <v>45660.37274305556</v>
      </c>
      <c r="M62" s="11">
        <f>IF(AND(ISNUMBER(E62),ISNUMBER(G62)),(G62-E62),"")</f>
        <v/>
      </c>
      <c r="N62" s="11">
        <f>IF(AND(ISNUMBER(G62),ISNUMBER(L62)),(L62-G62),"")</f>
        <v/>
      </c>
      <c r="O62" s="10" t="n">
        <v>45659.8699537037</v>
      </c>
      <c r="P62" s="11">
        <f>IF(AND(ISNUMBER(I62),ISNUMBER(O62)),(I62-O62),"")</f>
        <v/>
      </c>
      <c r="Q62" s="12" t="inlineStr">
        <is>
          <t>WG 1001306 entered track and got secured then waited 6:13:18 for WG 1001403 to get coupled then waited 3:08:44 for WG 1001603 to get coupled then waited 0:53:02 for WG 1001701 to get coupled, OBTP started on 07:25:03 finished on 08:54:47 and then left at 08:56:45</t>
        </is>
      </c>
    </row>
    <row r="63">
      <c r="A63" s="3" t="inlineStr">
        <is>
          <t>1001307</t>
        </is>
      </c>
      <c r="B63" s="3" t="inlineStr">
        <is>
          <t>10013</t>
        </is>
      </c>
      <c r="C63" s="9" t="n">
        <v>54</v>
      </c>
      <c r="D63" s="3" t="inlineStr">
        <is>
          <t>Wr. Neustadt (Hödlmayr)</t>
        </is>
      </c>
      <c r="E63" s="10" t="n">
        <v>45659.84085648148</v>
      </c>
      <c r="F63" s="10" t="n">
        <v>45659.86777777778</v>
      </c>
      <c r="G63" s="10" t="n">
        <v>45659.86981481482</v>
      </c>
      <c r="H63" s="3" t="inlineStr">
        <is>
          <t>OBT030125063655-Wr. Neustadt (Hödlmayr)</t>
        </is>
      </c>
      <c r="I63" s="10" t="n">
        <v>45660.29878472222</v>
      </c>
      <c r="J63" s="10" t="n">
        <v>45660.31753472222</v>
      </c>
      <c r="K63" s="10" t="n">
        <v>45660.31753472222</v>
      </c>
      <c r="L63" s="10" t="n">
        <v>45660.31833333334</v>
      </c>
      <c r="M63" s="11">
        <f>IF(AND(ISNUMBER(E63),ISNUMBER(G63)),(G63-E63),"")</f>
        <v/>
      </c>
      <c r="N63" s="11">
        <f>IF(AND(ISNUMBER(G63),ISNUMBER(L63)),(L63-G63),"")</f>
        <v/>
      </c>
      <c r="O63" s="10" t="n">
        <v>45659.8721875</v>
      </c>
      <c r="P63" s="11">
        <f>IF(AND(ISNUMBER(I63),ISNUMBER(O63)),(I63-O63),"")</f>
        <v/>
      </c>
      <c r="Q63" s="12" t="inlineStr">
        <is>
          <t>WG 1001307 entered track and got secured then waited 9:24:51 for WG 1001606 to get coupled then waited 0:16:07 for WG 1001611 to get coupled, OBTP started on 07:10:15 finished on 07:37:15 and then left at 07:38:24</t>
        </is>
      </c>
    </row>
    <row r="64">
      <c r="A64" s="3" t="inlineStr">
        <is>
          <t>1001308</t>
        </is>
      </c>
      <c r="B64" s="3" t="inlineStr">
        <is>
          <t>10013</t>
        </is>
      </c>
      <c r="C64" s="9" t="n">
        <v>15.74</v>
      </c>
      <c r="D64" s="3" t="inlineStr">
        <is>
          <t>Steinabrückl/Wöllersdorf</t>
        </is>
      </c>
      <c r="E64" s="10" t="n">
        <v>45659.84085648148</v>
      </c>
      <c r="F64" s="10" t="n">
        <v>45659.86981481482</v>
      </c>
      <c r="G64" s="10" t="n">
        <v>45659.87153935185</v>
      </c>
      <c r="H64" s="3" t="inlineStr">
        <is>
          <t>OBT090125184210-Steinabrückl/Wöllersdorf</t>
        </is>
      </c>
      <c r="I64" s="10" t="n">
        <v>45666.79709490741</v>
      </c>
      <c r="J64" s="10" t="n">
        <v>45666.81622685185</v>
      </c>
      <c r="K64" s="10" t="n">
        <v>45666.81667824074</v>
      </c>
      <c r="L64" s="10" t="n">
        <v>45666.8174537037</v>
      </c>
      <c r="M64" s="11">
        <f>IF(AND(ISNUMBER(E64),ISNUMBER(G64)),(G64-E64),"")</f>
        <v/>
      </c>
      <c r="N64" s="11">
        <f>IF(AND(ISNUMBER(G64),ISNUMBER(L64)),(L64-G64),"")</f>
        <v/>
      </c>
      <c r="O64" s="10" t="n">
        <v>45659.87393518518</v>
      </c>
      <c r="P64" s="11">
        <f>IF(AND(ISNUMBER(I64),ISNUMBER(O64)),(I64-O64),"")</f>
        <v/>
      </c>
      <c r="Q64" s="12" t="inlineStr">
        <is>
          <t>WG 1001308 entered track and got secured then waited 114:39:05 for WG 1004402 to get coupled then waited 2:43:11 for WG 1004710 to get coupled then waited 25:54:36 for WG 1006403 to get coupled then waited 22:06:13 for WG 1007703 to get coupled then waited 0:20:37 for WG 1007902 to get coupled, OBTP started on 19:07:49 finished on 19:35:22 and then left at 19:37:08</t>
        </is>
      </c>
    </row>
    <row r="65">
      <c r="A65" s="3" t="inlineStr">
        <is>
          <t>1001309</t>
        </is>
      </c>
      <c r="B65" s="3" t="inlineStr">
        <is>
          <t>10013</t>
        </is>
      </c>
      <c r="C65" s="9" t="n">
        <v>19.9</v>
      </c>
      <c r="D65" s="3" t="inlineStr">
        <is>
          <t>Other sidings north</t>
        </is>
      </c>
      <c r="E65" s="10" t="n">
        <v>45659.84085648148</v>
      </c>
      <c r="F65" s="10" t="n">
        <v>45659.87153935185</v>
      </c>
      <c r="G65" s="10" t="n">
        <v>45659.87346064814</v>
      </c>
      <c r="H65" s="3" t="inlineStr">
        <is>
          <t>OBT020125210324-Other sidings north</t>
        </is>
      </c>
      <c r="I65" s="10" t="n">
        <v>45659.8790625</v>
      </c>
      <c r="J65" s="10" t="n">
        <v>45659.89950231482</v>
      </c>
      <c r="K65" s="10" t="n">
        <v>45659.90002314815</v>
      </c>
      <c r="L65" s="10" t="n">
        <v>45659.90067129629</v>
      </c>
      <c r="M65" s="11">
        <f>IF(AND(ISNUMBER(E65),ISNUMBER(G65)),(G65-E65),"")</f>
        <v/>
      </c>
      <c r="N65" s="11">
        <f>IF(AND(ISNUMBER(G65),ISNUMBER(L65)),(L65-G65),"")</f>
        <v/>
      </c>
      <c r="O65" s="10" t="n">
        <v>45659.87736111111</v>
      </c>
      <c r="P65" s="11">
        <f>IF(AND(ISNUMBER(I65),ISNUMBER(O65)),(I65-O65),"")</f>
        <v/>
      </c>
      <c r="Q65" s="12" t="inlineStr">
        <is>
          <t>WG 1001309 entered track and got coupled to WG 1001207, OBTP started on 21:05:51 finished on 21:35:17 and then left at 21:36:58</t>
        </is>
      </c>
    </row>
    <row r="66">
      <c r="A66" s="3" t="inlineStr">
        <is>
          <t>1001310</t>
        </is>
      </c>
      <c r="B66" s="3" t="inlineStr">
        <is>
          <t>10013</t>
        </is>
      </c>
      <c r="C66" s="9" t="n">
        <v>19.9</v>
      </c>
      <c r="D66" s="3" t="inlineStr">
        <is>
          <t>Wr. Neustadt Ausfahrbf (Furtenbach)</t>
        </is>
      </c>
      <c r="E66" s="10" t="n">
        <v>45659.84085648148</v>
      </c>
      <c r="F66" s="10" t="n">
        <v>45659.87346064814</v>
      </c>
      <c r="G66" s="10" t="n">
        <v>45659.87475694445</v>
      </c>
      <c r="H66" s="3" t="inlineStr">
        <is>
          <t>OBT030125160132-Wr. Neustadt Ausfahrbf (Furtenbach)</t>
        </is>
      </c>
      <c r="I66" s="10" t="n">
        <v>45660.66859953704</v>
      </c>
      <c r="J66" s="10" t="n">
        <v>45660.6893287037</v>
      </c>
      <c r="K66" s="10" t="n">
        <v>45660.6893287037</v>
      </c>
      <c r="L66" s="10" t="n">
        <v>45660.69015046296</v>
      </c>
      <c r="M66" s="11">
        <f>IF(AND(ISNUMBER(E66),ISNUMBER(G66)),(G66-E66),"")</f>
        <v/>
      </c>
      <c r="N66" s="11">
        <f>IF(AND(ISNUMBER(G66),ISNUMBER(L66)),(L66-G66),"")</f>
        <v/>
      </c>
      <c r="O66" s="10" t="n">
        <v>45659.87832175926</v>
      </c>
      <c r="P66" s="11">
        <f>IF(AND(ISNUMBER(I66),ISNUMBER(O66)),(I66-O66),"")</f>
        <v/>
      </c>
      <c r="Q66" s="12" t="inlineStr">
        <is>
          <t>WG 1001310 entered track and got coupled to WG 1000312 then waited 18:51:18 for WG 1002508 to get coupled then waited 0:05:27 for WG 1002510 to get coupled, OBTP started on 16:02:47 finished on 16:32:38 and then left at 16:33:49</t>
        </is>
      </c>
    </row>
    <row r="67">
      <c r="A67" s="3" t="inlineStr">
        <is>
          <t>1001311</t>
        </is>
      </c>
      <c r="B67" s="3" t="inlineStr">
        <is>
          <t>10013</t>
        </is>
      </c>
      <c r="C67" s="9" t="n">
        <v>19.9</v>
      </c>
      <c r="D67" s="3" t="inlineStr">
        <is>
          <t>Neudörfl (FunderMax)</t>
        </is>
      </c>
      <c r="E67" s="10" t="n">
        <v>45659.84085648148</v>
      </c>
      <c r="F67" s="10" t="n">
        <v>45659.87475694445</v>
      </c>
      <c r="G67" s="10" t="n">
        <v>45659.87604166667</v>
      </c>
      <c r="H67" s="3" t="inlineStr">
        <is>
          <t>OBT020125210709-Neudörfl (FunderMax)</t>
        </is>
      </c>
      <c r="I67" s="10" t="n">
        <v>45659.88170138889</v>
      </c>
      <c r="J67" s="10" t="n">
        <v>45659.89935185185</v>
      </c>
      <c r="K67" s="10" t="n">
        <v>45659.89935185185</v>
      </c>
      <c r="L67" s="10" t="n">
        <v>45659.90002314815</v>
      </c>
      <c r="M67" s="11">
        <f>IF(AND(ISNUMBER(E67),ISNUMBER(G67)),(G67-E67),"")</f>
        <v/>
      </c>
      <c r="N67" s="11">
        <f>IF(AND(ISNUMBER(G67),ISNUMBER(L67)),(L67-G67),"")</f>
        <v/>
      </c>
      <c r="O67" s="10" t="n">
        <v>45659.87996527777</v>
      </c>
      <c r="P67" s="11">
        <f>IF(AND(ISNUMBER(I67),ISNUMBER(O67)),(I67-O67),"")</f>
        <v/>
      </c>
      <c r="Q67" s="12" t="inlineStr">
        <is>
          <t>WG 1001311 entered track and got coupled to WG 1001304, OBTP started on 21:09:39 finished on 21:35:04 and then left at 21:36:02</t>
        </is>
      </c>
    </row>
    <row r="68">
      <c r="A68" s="3" t="inlineStr">
        <is>
          <t>1001401</t>
        </is>
      </c>
      <c r="B68" s="3" t="inlineStr">
        <is>
          <t>10014</t>
        </is>
      </c>
      <c r="C68" s="9" t="n">
        <v>87.95999999999998</v>
      </c>
      <c r="D68" s="3" t="inlineStr">
        <is>
          <t>Ternitz (Schoeller-Bleckmann)</t>
        </is>
      </c>
      <c r="E68" s="10" t="n">
        <v>45660.11252314815</v>
      </c>
      <c r="F68" s="10" t="n">
        <v>45660.12027777778</v>
      </c>
      <c r="G68" s="10" t="n">
        <v>45660.12236111111</v>
      </c>
      <c r="H68" s="3" t="inlineStr">
        <is>
          <t>OBT030125030120-Pitten (Hamburger)</t>
        </is>
      </c>
      <c r="I68" s="10" t="n">
        <v>45660.12675925926</v>
      </c>
      <c r="J68" s="10" t="n">
        <v>45660.15010416666</v>
      </c>
      <c r="K68" s="10" t="n">
        <v>45660.15010416666</v>
      </c>
      <c r="L68" s="10" t="n">
        <v>45660.15079861111</v>
      </c>
      <c r="M68" s="11">
        <f>IF(AND(ISNUMBER(E68),ISNUMBER(G68)),(G68-E68),"")</f>
        <v/>
      </c>
      <c r="N68" s="11">
        <f>IF(AND(ISNUMBER(G68),ISNUMBER(L68)),(L68-G68),"")</f>
        <v/>
      </c>
      <c r="O68" s="10" t="n">
        <v>45660.12592592592</v>
      </c>
      <c r="P68" s="11">
        <f>IF(AND(ISNUMBER(I68),ISNUMBER(O68)),(I68-O68),"")</f>
        <v/>
      </c>
      <c r="Q68" s="12" t="inlineStr">
        <is>
          <t>WG 1001401 entered track and got coupled to WG 1001301, OBTP started on 03:02:32 finished on 03:36:09 and then left at 03:37:09</t>
        </is>
      </c>
    </row>
    <row r="69">
      <c r="A69" s="3" t="inlineStr">
        <is>
          <t>1001402</t>
        </is>
      </c>
      <c r="B69" s="3" t="inlineStr">
        <is>
          <t>10014</t>
        </is>
      </c>
      <c r="C69" s="9" t="n">
        <v>15.74</v>
      </c>
      <c r="D69" s="3" t="inlineStr">
        <is>
          <t>Other sidings south</t>
        </is>
      </c>
      <c r="E69" s="10" t="n">
        <v>45660.11252314815</v>
      </c>
      <c r="F69" s="10" t="n">
        <v>45660.12236111111</v>
      </c>
      <c r="G69" s="10" t="n">
        <v>45660.12351851852</v>
      </c>
      <c r="H69" s="3" t="inlineStr">
        <is>
          <t>OBT030125061555-Other sidings south</t>
        </is>
      </c>
      <c r="I69" s="10" t="n">
        <v>45660.26269675926</v>
      </c>
      <c r="J69" s="10" t="n">
        <v>45660.28053240741</v>
      </c>
      <c r="K69" s="10" t="n">
        <v>45660.28053240741</v>
      </c>
      <c r="L69" s="10" t="n">
        <v>45660.28123842592</v>
      </c>
      <c r="M69" s="11">
        <f>IF(AND(ISNUMBER(E69),ISNUMBER(G69)),(G69-E69),"")</f>
        <v/>
      </c>
      <c r="N69" s="11">
        <f>IF(AND(ISNUMBER(G69),ISNUMBER(L69)),(L69-G69),"")</f>
        <v/>
      </c>
      <c r="O69" s="10" t="n">
        <v>45660.12744212963</v>
      </c>
      <c r="P69" s="11">
        <f>IF(AND(ISNUMBER(I69),ISNUMBER(O69)),(I69-O69),"")</f>
        <v/>
      </c>
      <c r="Q69" s="12" t="inlineStr">
        <is>
          <t>WG 1001402 entered track and got coupled to WG 1001201 then waited 0:04:13 for WG 1001404 to get coupled then waited 3:08:11 for WG 1001604 to get coupled, OBTP started on 06:18:17 finished on 06:43:58 and then left at 06:44:59</t>
        </is>
      </c>
    </row>
    <row r="70">
      <c r="A70" s="3" t="inlineStr">
        <is>
          <t>1001403</t>
        </is>
      </c>
      <c r="B70" s="3" t="inlineStr">
        <is>
          <t>10014</t>
        </is>
      </c>
      <c r="C70" s="9" t="n">
        <v>21</v>
      </c>
      <c r="D70" s="3" t="inlineStr">
        <is>
          <t>Neunkirchen (loading tracks)</t>
        </is>
      </c>
      <c r="E70" s="10" t="n">
        <v>45660.11252314815</v>
      </c>
      <c r="F70" s="10" t="n">
        <v>45660.12351851852</v>
      </c>
      <c r="G70" s="10" t="n">
        <v>45660.12527777778</v>
      </c>
      <c r="H70" s="3" t="inlineStr">
        <is>
          <t>OBT030125070748-Neunkirchen (loading tracks)</t>
        </is>
      </c>
      <c r="I70" s="10" t="n">
        <v>45660.3090625</v>
      </c>
      <c r="J70" s="10" t="n">
        <v>45660.37137731481</v>
      </c>
      <c r="K70" s="10" t="n">
        <v>45660.37137731481</v>
      </c>
      <c r="L70" s="10" t="n">
        <v>45660.37274305556</v>
      </c>
      <c r="M70" s="11">
        <f>IF(AND(ISNUMBER(E70),ISNUMBER(G70)),(G70-E70),"")</f>
        <v/>
      </c>
      <c r="N70" s="11">
        <f>IF(AND(ISNUMBER(G70),ISNUMBER(L70)),(L70-G70),"")</f>
        <v/>
      </c>
      <c r="O70" s="10" t="n">
        <v>45660.12918981481</v>
      </c>
      <c r="P70" s="11">
        <f>IF(AND(ISNUMBER(I70),ISNUMBER(O70)),(I70-O70),"")</f>
        <v/>
      </c>
      <c r="Q70" s="12" t="inlineStr">
        <is>
          <t>WG 1001403 entered track and got coupled to WG 1001306 then waited 3:08:44 for WG 1001603 to get coupled then waited 0:53:02 for WG 1001701 to get coupled, OBTP started on 07:25:03 finished on 08:54:47 and then left at 08:56:45</t>
        </is>
      </c>
    </row>
    <row r="71">
      <c r="A71" s="3" t="inlineStr">
        <is>
          <t>1001404</t>
        </is>
      </c>
      <c r="B71" s="3" t="inlineStr">
        <is>
          <t>10014</t>
        </is>
      </c>
      <c r="C71" s="9" t="n">
        <v>15.74</v>
      </c>
      <c r="D71" s="3" t="inlineStr">
        <is>
          <t>Other sidings south</t>
        </is>
      </c>
      <c r="E71" s="10" t="n">
        <v>45660.11252314815</v>
      </c>
      <c r="F71" s="10" t="n">
        <v>45660.12527777778</v>
      </c>
      <c r="G71" s="10" t="n">
        <v>45660.12644675926</v>
      </c>
      <c r="H71" s="3" t="inlineStr">
        <is>
          <t>OBT030125061555-Other sidings south</t>
        </is>
      </c>
      <c r="I71" s="10" t="n">
        <v>45660.26269675926</v>
      </c>
      <c r="J71" s="10" t="n">
        <v>45660.28053240741</v>
      </c>
      <c r="K71" s="10" t="n">
        <v>45660.28053240741</v>
      </c>
      <c r="L71" s="10" t="n">
        <v>45660.28123842592</v>
      </c>
      <c r="M71" s="11">
        <f>IF(AND(ISNUMBER(E71),ISNUMBER(G71)),(G71-E71),"")</f>
        <v/>
      </c>
      <c r="N71" s="11">
        <f>IF(AND(ISNUMBER(G71),ISNUMBER(L71)),(L71-G71),"")</f>
        <v/>
      </c>
      <c r="O71" s="10" t="n">
        <v>45660.13037037037</v>
      </c>
      <c r="P71" s="11">
        <f>IF(AND(ISNUMBER(I71),ISNUMBER(O71)),(I71-O71),"")</f>
        <v/>
      </c>
      <c r="Q71" s="12" t="inlineStr">
        <is>
          <t>WG 1001404 entered track and got coupled to WG 1001402 then waited 3:08:11 for WG 1001604 to get coupled, OBTP started on 06:18:17 finished on 06:43:58 and then left at 06:44:59</t>
        </is>
      </c>
    </row>
    <row r="72">
      <c r="A72" s="3" t="inlineStr">
        <is>
          <t>1001501</t>
        </is>
      </c>
      <c r="B72" s="3" t="inlineStr">
        <is>
          <t>10015</t>
        </is>
      </c>
      <c r="C72" s="9" t="n">
        <v>497</v>
      </c>
      <c r="D72" s="3" t="inlineStr">
        <is>
          <t>Neudörfl (FunderMax)</t>
        </is>
      </c>
      <c r="E72" s="10" t="n">
        <v>45660.19293981481</v>
      </c>
      <c r="F72" s="10" t="n">
        <v>45660.20042824074</v>
      </c>
      <c r="G72" s="10" t="n">
        <v>45660.20282407408</v>
      </c>
      <c r="H72" s="3" t="inlineStr">
        <is>
          <t>OBT030125045529-Neudörfl (FunderMax)</t>
        </is>
      </c>
      <c r="I72" s="10" t="n">
        <v>45660.20606481482</v>
      </c>
      <c r="J72" s="10" t="n">
        <v>45660.29234953703</v>
      </c>
      <c r="K72" s="10" t="n">
        <v>45660.29234953703</v>
      </c>
      <c r="L72" s="10" t="n">
        <v>45660.29392361111</v>
      </c>
      <c r="M72" s="11">
        <f>IF(AND(ISNUMBER(E72),ISNUMBER(G72)),(G72-E72),"")</f>
        <v/>
      </c>
      <c r="N72" s="11">
        <f>IF(AND(ISNUMBER(G72),ISNUMBER(L72)),(L72-G72),"")</f>
        <v/>
      </c>
      <c r="O72" s="10" t="n">
        <v>45660.20519675926</v>
      </c>
      <c r="P72" s="11">
        <f>IF(AND(ISNUMBER(I72),ISNUMBER(O72)),(I72-O72),"")</f>
        <v/>
      </c>
      <c r="Q72" s="12" t="inlineStr">
        <is>
          <t>WG 1001501 entered track and got secured, OBTP started on 04:56:44 finished on 07:00:59 and then left at 07:03:15</t>
        </is>
      </c>
    </row>
    <row r="73">
      <c r="A73" s="3" t="inlineStr">
        <is>
          <t>1001601</t>
        </is>
      </c>
      <c r="B73" s="3" t="inlineStr">
        <is>
          <t>10016</t>
        </is>
      </c>
      <c r="C73" s="9" t="n">
        <v>15.74</v>
      </c>
      <c r="D73" s="3" t="inlineStr">
        <is>
          <t>Other sidings local</t>
        </is>
      </c>
      <c r="E73" s="10" t="n">
        <v>45660.23412037037</v>
      </c>
      <c r="F73" s="10" t="n">
        <v>45660.25104166667</v>
      </c>
      <c r="G73" s="10" t="n">
        <v>45660.25265046296</v>
      </c>
      <c r="H73" s="3" t="inlineStr">
        <is>
          <t>OBT030125205107-Other sidings local</t>
        </is>
      </c>
      <c r="I73" s="10" t="n">
        <v>45660.89475694444</v>
      </c>
      <c r="J73" s="10" t="n">
        <v>45660.91472222222</v>
      </c>
      <c r="K73" s="10" t="n">
        <v>45660.91472222222</v>
      </c>
      <c r="L73" s="10" t="n">
        <v>45660.91559027778</v>
      </c>
      <c r="M73" s="11">
        <f>IF(AND(ISNUMBER(E73),ISNUMBER(G73)),(G73-E73),"")</f>
        <v/>
      </c>
      <c r="N73" s="11">
        <f>IF(AND(ISNUMBER(G73),ISNUMBER(L73)),(L73-G73),"")</f>
        <v/>
      </c>
      <c r="O73" s="10" t="n">
        <v>45660.25655092593</v>
      </c>
      <c r="P73" s="11">
        <f>IF(AND(ISNUMBER(I73),ISNUMBER(O73)),(I73-O73),"")</f>
        <v/>
      </c>
      <c r="Q73" s="12" t="inlineStr">
        <is>
          <t>WG 1001601 entered track and got coupled to WG 1001204 then waited 1:49:03 for WG 1001807 to get coupled then waited 12:52:38 for WG 1002807 to get coupled, OBTP started on 21:28:27 finished on 21:57:12 and then left at 21:58:27</t>
        </is>
      </c>
    </row>
    <row r="74">
      <c r="A74" s="3" t="inlineStr">
        <is>
          <t>1001602</t>
        </is>
      </c>
      <c r="B74" s="3" t="inlineStr">
        <is>
          <t>10016</t>
        </is>
      </c>
      <c r="C74" s="9" t="n">
        <v>19.9</v>
      </c>
      <c r="D74" s="3" t="inlineStr">
        <is>
          <t>Ternitz (Schoeller-Bleckmann)</t>
        </is>
      </c>
      <c r="E74" s="10" t="n">
        <v>45660.23412037037</v>
      </c>
      <c r="F74" s="10" t="n">
        <v>45660.25265046296</v>
      </c>
      <c r="G74" s="10" t="n">
        <v>45660.25457175926</v>
      </c>
      <c r="H74" s="3" t="inlineStr">
        <is>
          <t>OBT030125063320-Ternitz (Schoeller-Bleckmann)</t>
        </is>
      </c>
      <c r="I74" s="10" t="n">
        <v>45660.28226851852</v>
      </c>
      <c r="J74" s="10" t="n">
        <v>45660.30732638889</v>
      </c>
      <c r="K74" s="10" t="n">
        <v>45660.30732638889</v>
      </c>
      <c r="L74" s="10" t="n">
        <v>45660.30805555556</v>
      </c>
      <c r="M74" s="11">
        <f>IF(AND(ISNUMBER(E74),ISNUMBER(G74)),(G74-E74),"")</f>
        <v/>
      </c>
      <c r="N74" s="11">
        <f>IF(AND(ISNUMBER(G74),ISNUMBER(L74)),(L74-G74),"")</f>
        <v/>
      </c>
      <c r="O74" s="10" t="n">
        <v>45660.25673611111</v>
      </c>
      <c r="P74" s="11">
        <f>IF(AND(ISNUMBER(I74),ISNUMBER(O74)),(I74-O74),"")</f>
        <v/>
      </c>
      <c r="Q74" s="12" t="inlineStr">
        <is>
          <t>WG 1001602 entered track and got secured then waited 0:17:22 for WG 1001608 to get coupled then waited 0:06:16 for WG 1001610 to get coupled, OBTP started on 06:46:28 finished on 07:22:33 and then left at 07:23:36</t>
        </is>
      </c>
    </row>
    <row r="75">
      <c r="A75" s="3" t="inlineStr">
        <is>
          <t>1001603</t>
        </is>
      </c>
      <c r="B75" s="3" t="inlineStr">
        <is>
          <t>10016</t>
        </is>
      </c>
      <c r="C75" s="9" t="n">
        <v>19.9</v>
      </c>
      <c r="D75" s="3" t="inlineStr">
        <is>
          <t>Neunkirchen (loading tracks)</t>
        </is>
      </c>
      <c r="E75" s="10" t="n">
        <v>45660.23412037037</v>
      </c>
      <c r="F75" s="10" t="n">
        <v>45660.25457175926</v>
      </c>
      <c r="G75" s="10" t="n">
        <v>45660.25633101852</v>
      </c>
      <c r="H75" s="3" t="inlineStr">
        <is>
          <t>OBT030125070748-Neunkirchen (loading tracks)</t>
        </is>
      </c>
      <c r="I75" s="10" t="n">
        <v>45660.3090625</v>
      </c>
      <c r="J75" s="10" t="n">
        <v>45660.37137731481</v>
      </c>
      <c r="K75" s="10" t="n">
        <v>45660.37137731481</v>
      </c>
      <c r="L75" s="10" t="n">
        <v>45660.37274305556</v>
      </c>
      <c r="M75" s="11">
        <f>IF(AND(ISNUMBER(E75),ISNUMBER(G75)),(G75-E75),"")</f>
        <v/>
      </c>
      <c r="N75" s="11">
        <f>IF(AND(ISNUMBER(G75),ISNUMBER(L75)),(L75-G75),"")</f>
        <v/>
      </c>
      <c r="O75" s="10" t="n">
        <v>45660.26025462963</v>
      </c>
      <c r="P75" s="11">
        <f>IF(AND(ISNUMBER(I75),ISNUMBER(O75)),(I75-O75),"")</f>
        <v/>
      </c>
      <c r="Q75" s="12" t="inlineStr">
        <is>
          <t>WG 1001603 entered track and got coupled to WG 1001403 then waited 0:53:02 for WG 1001701 to get coupled, OBTP started on 07:25:03 finished on 08:54:47 and then left at 08:56:45</t>
        </is>
      </c>
    </row>
    <row r="76">
      <c r="A76" s="3" t="inlineStr">
        <is>
          <t>1001604</t>
        </is>
      </c>
      <c r="B76" s="3" t="inlineStr">
        <is>
          <t>10016</t>
        </is>
      </c>
      <c r="C76" s="9" t="n">
        <v>19.9</v>
      </c>
      <c r="D76" s="3" t="inlineStr">
        <is>
          <t>Other sidings south</t>
        </is>
      </c>
      <c r="E76" s="10" t="n">
        <v>45660.23412037037</v>
      </c>
      <c r="F76" s="10" t="n">
        <v>45660.25633101852</v>
      </c>
      <c r="G76" s="10" t="n">
        <v>45660.25751157408</v>
      </c>
      <c r="H76" s="3" t="inlineStr">
        <is>
          <t>OBT030125061555-Other sidings south</t>
        </is>
      </c>
      <c r="I76" s="10" t="n">
        <v>45660.26269675926</v>
      </c>
      <c r="J76" s="10" t="n">
        <v>45660.28053240741</v>
      </c>
      <c r="K76" s="10" t="n">
        <v>45660.28053240741</v>
      </c>
      <c r="L76" s="10" t="n">
        <v>45660.28123842592</v>
      </c>
      <c r="M76" s="11">
        <f>IF(AND(ISNUMBER(E76),ISNUMBER(G76)),(G76-E76),"")</f>
        <v/>
      </c>
      <c r="N76" s="11">
        <f>IF(AND(ISNUMBER(G76),ISNUMBER(L76)),(L76-G76),"")</f>
        <v/>
      </c>
      <c r="O76" s="10" t="n">
        <v>45660.26105324074</v>
      </c>
      <c r="P76" s="11">
        <f>IF(AND(ISNUMBER(I76),ISNUMBER(O76)),(I76-O76),"")</f>
        <v/>
      </c>
      <c r="Q76" s="12" t="inlineStr">
        <is>
          <t>WG 1001604 entered track and got coupled to WG 1001404, OBTP started on 06:18:17 finished on 06:43:58 and then left at 06:44:59</t>
        </is>
      </c>
    </row>
    <row r="77">
      <c r="A77" s="3" t="inlineStr">
        <is>
          <t>1001605</t>
        </is>
      </c>
      <c r="B77" s="3" t="inlineStr">
        <is>
          <t>10016</t>
        </is>
      </c>
      <c r="C77" s="9" t="n">
        <v>16.5</v>
      </c>
      <c r="D77" s="3" t="inlineStr">
        <is>
          <t>Neudörfl (FunderMax)</t>
        </is>
      </c>
      <c r="E77" s="10" t="n">
        <v>45660.23412037037</v>
      </c>
      <c r="F77" s="10" t="n">
        <v>45660.25751157408</v>
      </c>
      <c r="G77" s="10" t="n">
        <v>45660.25890046296</v>
      </c>
      <c r="H77" s="3" t="inlineStr">
        <is>
          <t>OBT030125220232-Neudörfl (FunderMax)</t>
        </is>
      </c>
      <c r="I77" s="10" t="n">
        <v>45660.91929398148</v>
      </c>
      <c r="J77" s="10" t="n">
        <v>45660.9384375</v>
      </c>
      <c r="K77" s="10" t="n">
        <v>45660.9384375</v>
      </c>
      <c r="L77" s="10" t="n">
        <v>45660.93917824074</v>
      </c>
      <c r="M77" s="11">
        <f>IF(AND(ISNUMBER(E77),ISNUMBER(G77)),(G77-E77),"")</f>
        <v/>
      </c>
      <c r="N77" s="11">
        <f>IF(AND(ISNUMBER(G77),ISNUMBER(L77)),(L77-G77),"")</f>
        <v/>
      </c>
      <c r="O77" s="10" t="n">
        <v>45660.26127314815</v>
      </c>
      <c r="P77" s="11">
        <f>IF(AND(ISNUMBER(I77),ISNUMBER(O77)),(I77-O77),"")</f>
        <v/>
      </c>
      <c r="Q77" s="12" t="inlineStr">
        <is>
          <t>WG 1001605 entered track and got secured then waited 9:32:23 for WG 1002505 to get coupled then waited 5:03:11 for WG 1002808 to get coupled then waited 1:03:56 for WG 1002907 to get coupled then waited 0:06:48 for WG 1002911 to get coupled, OBTP started on 22:03:47 finished on 22:31:21 and then left at 22:32:25</t>
        </is>
      </c>
    </row>
    <row r="78">
      <c r="A78" s="3" t="inlineStr">
        <is>
          <t>1001606</t>
        </is>
      </c>
      <c r="B78" s="3" t="inlineStr">
        <is>
          <t>10016</t>
        </is>
      </c>
      <c r="C78" s="9" t="n">
        <v>27</v>
      </c>
      <c r="D78" s="3" t="inlineStr">
        <is>
          <t>Wr. Neustadt (Hödlmayr)</t>
        </is>
      </c>
      <c r="E78" s="10" t="n">
        <v>45660.23412037037</v>
      </c>
      <c r="F78" s="10" t="n">
        <v>45660.25890046296</v>
      </c>
      <c r="G78" s="10" t="n">
        <v>45660.26087962963</v>
      </c>
      <c r="H78" s="3" t="inlineStr">
        <is>
          <t>OBT030125063655-Wr. Neustadt (Hödlmayr)</t>
        </is>
      </c>
      <c r="I78" s="10" t="n">
        <v>45660.29878472222</v>
      </c>
      <c r="J78" s="10" t="n">
        <v>45660.31753472222</v>
      </c>
      <c r="K78" s="10" t="n">
        <v>45660.31753472222</v>
      </c>
      <c r="L78" s="10" t="n">
        <v>45660.31833333334</v>
      </c>
      <c r="M78" s="11">
        <f>IF(AND(ISNUMBER(E78),ISNUMBER(G78)),(G78-E78),"")</f>
        <v/>
      </c>
      <c r="N78" s="11">
        <f>IF(AND(ISNUMBER(G78),ISNUMBER(L78)),(L78-G78),"")</f>
        <v/>
      </c>
      <c r="O78" s="10" t="n">
        <v>45660.26444444444</v>
      </c>
      <c r="P78" s="11">
        <f>IF(AND(ISNUMBER(I78),ISNUMBER(O78)),(I78-O78),"")</f>
        <v/>
      </c>
      <c r="Q78" s="12" t="inlineStr">
        <is>
          <t>WG 1001606 entered track and got coupled to WG 1001307 then waited 0:16:07 for WG 1001611 to get coupled, OBTP started on 07:10:15 finished on 07:37:15 and then left at 07:38:24</t>
        </is>
      </c>
    </row>
    <row r="79">
      <c r="A79" s="3" t="inlineStr">
        <is>
          <t>1001607</t>
        </is>
      </c>
      <c r="B79" s="3" t="inlineStr">
        <is>
          <t>10016</t>
        </is>
      </c>
      <c r="C79" s="9" t="n">
        <v>15.74</v>
      </c>
      <c r="D79" s="3" t="inlineStr">
        <is>
          <t>Other sidings north</t>
        </is>
      </c>
      <c r="E79" s="10" t="n">
        <v>45660.23412037037</v>
      </c>
      <c r="F79" s="10" t="n">
        <v>45660.26087962963</v>
      </c>
      <c r="G79" s="10" t="n">
        <v>45660.26278935185</v>
      </c>
      <c r="H79" s="3" t="inlineStr">
        <is>
          <t>OBT030125203217-Other sidings north</t>
        </is>
      </c>
      <c r="I79" s="10" t="n">
        <v>45660.85662037037</v>
      </c>
      <c r="J79" s="10" t="n">
        <v>45660.87576388889</v>
      </c>
      <c r="K79" s="10" t="n">
        <v>45660.87576388889</v>
      </c>
      <c r="L79" s="10" t="n">
        <v>45660.87640046296</v>
      </c>
      <c r="M79" s="11">
        <f>IF(AND(ISNUMBER(E79),ISNUMBER(G79)),(G79-E79),"")</f>
        <v/>
      </c>
      <c r="N79" s="11">
        <f>IF(AND(ISNUMBER(G79),ISNUMBER(L79)),(L79-G79),"")</f>
        <v/>
      </c>
      <c r="O79" s="10" t="n">
        <v>45660.26516203704</v>
      </c>
      <c r="P79" s="11">
        <f>IF(AND(ISNUMBER(I79),ISNUMBER(O79)),(I79-O79),"")</f>
        <v/>
      </c>
      <c r="Q79" s="12" t="inlineStr">
        <is>
          <t>WG 1001607 entered track and got secured then waited 1:22:01 for WG 1001801 to get coupled then waited 8:10:52 for WG 1002507 to get coupled then waited 4:37:34 for WG 1002801 to get coupled, OBTP started on 20:33:32 finished on 21:01:06 and then left at 21:02:01</t>
        </is>
      </c>
    </row>
    <row r="80">
      <c r="A80" s="3" t="inlineStr">
        <is>
          <t>1001608</t>
        </is>
      </c>
      <c r="B80" s="3" t="inlineStr">
        <is>
          <t>10016</t>
        </is>
      </c>
      <c r="C80" s="9" t="n">
        <v>15.74</v>
      </c>
      <c r="D80" s="3" t="inlineStr">
        <is>
          <t>Pitten (Hamburger)</t>
        </is>
      </c>
      <c r="E80" s="10" t="n">
        <v>45660.23412037037</v>
      </c>
      <c r="F80" s="10" t="n">
        <v>45660.26278935185</v>
      </c>
      <c r="G80" s="10" t="n">
        <v>45660.26469907408</v>
      </c>
      <c r="H80" s="3" t="inlineStr">
        <is>
          <t>OBT030125063320-Ternitz (Schoeller-Bleckmann)</t>
        </is>
      </c>
      <c r="I80" s="10" t="n">
        <v>45660.28226851852</v>
      </c>
      <c r="J80" s="10" t="n">
        <v>45660.30732638889</v>
      </c>
      <c r="K80" s="10" t="n">
        <v>45660.30732638889</v>
      </c>
      <c r="L80" s="10" t="n">
        <v>45660.30805555556</v>
      </c>
      <c r="M80" s="11">
        <f>IF(AND(ISNUMBER(E80),ISNUMBER(G80)),(G80-E80),"")</f>
        <v/>
      </c>
      <c r="N80" s="11">
        <f>IF(AND(ISNUMBER(G80),ISNUMBER(L80)),(L80-G80),"")</f>
        <v/>
      </c>
      <c r="O80" s="10" t="n">
        <v>45660.2687962963</v>
      </c>
      <c r="P80" s="11">
        <f>IF(AND(ISNUMBER(I80),ISNUMBER(O80)),(I80-O80),"")</f>
        <v/>
      </c>
      <c r="Q80" s="12" t="inlineStr">
        <is>
          <t>WG 1001608 entered track and got coupled to WG 1001602 then waited 0:06:16 for WG 1001610 to get coupled, OBTP started on 06:46:28 finished on 07:22:33 and then left at 07:23:36</t>
        </is>
      </c>
    </row>
    <row r="81">
      <c r="A81" s="3" t="inlineStr">
        <is>
          <t>1001609</t>
        </is>
      </c>
      <c r="B81" s="3" t="inlineStr">
        <is>
          <t>10016</t>
        </is>
      </c>
      <c r="C81" s="9" t="n">
        <v>125.92</v>
      </c>
      <c r="D81" s="3" t="inlineStr">
        <is>
          <t>Ebenfurth (beet loading)</t>
        </is>
      </c>
      <c r="E81" s="10" t="n">
        <v>45660.23412037037</v>
      </c>
      <c r="F81" s="10" t="n">
        <v>45660.26469907408</v>
      </c>
      <c r="G81" s="10" t="n">
        <v>45660.26697916666</v>
      </c>
      <c r="H81" s="3" t="inlineStr">
        <is>
          <t>OBT030125063005-Gloggnitz</t>
        </is>
      </c>
      <c r="I81" s="10" t="n">
        <v>45660.27732638889</v>
      </c>
      <c r="J81" s="10" t="n">
        <v>45660.31285879629</v>
      </c>
      <c r="K81" s="10" t="n">
        <v>45660.31285879629</v>
      </c>
      <c r="L81" s="10" t="n">
        <v>45660.31383101852</v>
      </c>
      <c r="M81" s="11">
        <f>IF(AND(ISNUMBER(E81),ISNUMBER(G81)),(G81-E81),"")</f>
        <v/>
      </c>
      <c r="N81" s="11">
        <f>IF(AND(ISNUMBER(G81),ISNUMBER(L81)),(L81-G81),"")</f>
        <v/>
      </c>
      <c r="O81" s="10" t="n">
        <v>45660.27089120371</v>
      </c>
      <c r="P81" s="11">
        <f>IF(AND(ISNUMBER(I81),ISNUMBER(O81)),(I81-O81),"")</f>
        <v/>
      </c>
      <c r="Q81" s="12" t="inlineStr">
        <is>
          <t>WG 1001609 entered track and got coupled to WG 1001302, OBTP started on 06:39:21 finished on 07:30:31 and then left at 07:31:55</t>
        </is>
      </c>
    </row>
    <row r="82">
      <c r="A82" s="3" t="inlineStr">
        <is>
          <t>1001610</t>
        </is>
      </c>
      <c r="B82" s="3" t="inlineStr">
        <is>
          <t>10016</t>
        </is>
      </c>
      <c r="C82" s="9" t="n">
        <v>108.7</v>
      </c>
      <c r="D82" s="3" t="inlineStr">
        <is>
          <t>Pitten (Hamburger)</t>
        </is>
      </c>
      <c r="E82" s="10" t="n">
        <v>45660.23412037037</v>
      </c>
      <c r="F82" s="10" t="n">
        <v>45660.26697916666</v>
      </c>
      <c r="G82" s="10" t="n">
        <v>45660.2691087963</v>
      </c>
      <c r="H82" s="3" t="inlineStr">
        <is>
          <t>OBT030125063320-Ternitz (Schoeller-Bleckmann)</t>
        </is>
      </c>
      <c r="I82" s="10" t="n">
        <v>45660.28226851852</v>
      </c>
      <c r="J82" s="10" t="n">
        <v>45660.30732638889</v>
      </c>
      <c r="K82" s="10" t="n">
        <v>45660.30732638889</v>
      </c>
      <c r="L82" s="10" t="n">
        <v>45660.30805555556</v>
      </c>
      <c r="M82" s="11">
        <f>IF(AND(ISNUMBER(E82),ISNUMBER(G82)),(G82-E82),"")</f>
        <v/>
      </c>
      <c r="N82" s="11">
        <f>IF(AND(ISNUMBER(G82),ISNUMBER(L82)),(L82-G82),"")</f>
        <v/>
      </c>
      <c r="O82" s="10" t="n">
        <v>45660.27314814815</v>
      </c>
      <c r="P82" s="11">
        <f>IF(AND(ISNUMBER(I82),ISNUMBER(O82)),(I82-O82),"")</f>
        <v/>
      </c>
      <c r="Q82" s="12" t="inlineStr">
        <is>
          <t>WG 1001610 entered track and got coupled to WG 1001608, OBTP started on 06:46:28 finished on 07:22:33 and then left at 07:23:36</t>
        </is>
      </c>
    </row>
    <row r="83">
      <c r="A83" s="3" t="inlineStr">
        <is>
          <t>1001611</t>
        </is>
      </c>
      <c r="B83" s="3" t="inlineStr">
        <is>
          <t>10016</t>
        </is>
      </c>
      <c r="C83" s="9" t="n">
        <v>27</v>
      </c>
      <c r="D83" s="3" t="inlineStr">
        <is>
          <t>Wr. Neustadt (Hödlmayr)</t>
        </is>
      </c>
      <c r="E83" s="10" t="n">
        <v>45660.23412037037</v>
      </c>
      <c r="F83" s="10" t="n">
        <v>45660.2691087963</v>
      </c>
      <c r="G83" s="10" t="n">
        <v>45660.27108796296</v>
      </c>
      <c r="H83" s="3" t="inlineStr">
        <is>
          <t>OBT030125063655-Wr. Neustadt (Hödlmayr)</t>
        </is>
      </c>
      <c r="I83" s="10" t="n">
        <v>45660.29878472222</v>
      </c>
      <c r="J83" s="10" t="n">
        <v>45660.31753472222</v>
      </c>
      <c r="K83" s="10" t="n">
        <v>45660.31753472222</v>
      </c>
      <c r="L83" s="10" t="n">
        <v>45660.31833333334</v>
      </c>
      <c r="M83" s="11">
        <f>IF(AND(ISNUMBER(E83),ISNUMBER(G83)),(G83-E83),"")</f>
        <v/>
      </c>
      <c r="N83" s="11">
        <f>IF(AND(ISNUMBER(G83),ISNUMBER(L83)),(L83-G83),"")</f>
        <v/>
      </c>
      <c r="O83" s="10" t="n">
        <v>45660.27563657407</v>
      </c>
      <c r="P83" s="11">
        <f>IF(AND(ISNUMBER(I83),ISNUMBER(O83)),(I83-O83),"")</f>
        <v/>
      </c>
      <c r="Q83" s="12" t="inlineStr">
        <is>
          <t>WG 1001611 entered track and got coupled to WG 1001606, OBTP started on 07:10:15 finished on 07:37:15 and then left at 07:38:24</t>
        </is>
      </c>
    </row>
    <row r="84">
      <c r="A84" s="3" t="inlineStr">
        <is>
          <t>1001701</t>
        </is>
      </c>
      <c r="B84" s="3" t="inlineStr">
        <is>
          <t>10017</t>
        </is>
      </c>
      <c r="C84" s="9" t="n">
        <v>297</v>
      </c>
      <c r="D84" s="3" t="inlineStr">
        <is>
          <t>Wien Kledering</t>
        </is>
      </c>
      <c r="E84" s="10" t="n">
        <v>45660.27417824074</v>
      </c>
      <c r="F84" s="10" t="n">
        <v>45660.28012731481</v>
      </c>
      <c r="G84" s="10" t="n">
        <v>45660.28252314815</v>
      </c>
      <c r="H84" s="3" t="inlineStr">
        <is>
          <t>OBT030125070748-Neunkirchen (loading tracks)</t>
        </is>
      </c>
      <c r="I84" s="10" t="n">
        <v>45660.3090625</v>
      </c>
      <c r="J84" s="10" t="n">
        <v>45660.37137731481</v>
      </c>
      <c r="K84" s="10" t="n">
        <v>45660.37137731481</v>
      </c>
      <c r="L84" s="10" t="n">
        <v>45660.37274305556</v>
      </c>
      <c r="M84" s="11">
        <f>IF(AND(ISNUMBER(E84),ISNUMBER(G84)),(G84-E84),"")</f>
        <v/>
      </c>
      <c r="N84" s="11">
        <f>IF(AND(ISNUMBER(G84),ISNUMBER(L84)),(L84-G84),"")</f>
        <v/>
      </c>
      <c r="O84" s="10" t="n">
        <v>45660.29708333333</v>
      </c>
      <c r="P84" s="11">
        <f>IF(AND(ISNUMBER(I84),ISNUMBER(O84)),(I84-O84),"")</f>
        <v/>
      </c>
      <c r="Q84" s="12" t="inlineStr">
        <is>
          <t>WG 1001701 entered track and got coupled to WG 1001603, OBTP started on 07:25:03 finished on 08:54:47 and then left at 08:56:45</t>
        </is>
      </c>
    </row>
    <row r="85">
      <c r="A85" s="3" t="inlineStr">
        <is>
          <t>1001801</t>
        </is>
      </c>
      <c r="B85" s="3" t="inlineStr">
        <is>
          <t>10018</t>
        </is>
      </c>
      <c r="C85" s="9" t="n">
        <v>15.74</v>
      </c>
      <c r="D85" s="3" t="inlineStr">
        <is>
          <t>Other sidings north</t>
        </is>
      </c>
      <c r="E85" s="10" t="n">
        <v>45660.30422453704</v>
      </c>
      <c r="F85" s="10" t="n">
        <v>45660.31630787037</v>
      </c>
      <c r="G85" s="10" t="n">
        <v>45660.31821759259</v>
      </c>
      <c r="H85" s="3" t="inlineStr">
        <is>
          <t>OBT030125203217-Other sidings north</t>
        </is>
      </c>
      <c r="I85" s="10" t="n">
        <v>45660.85662037037</v>
      </c>
      <c r="J85" s="10" t="n">
        <v>45660.87576388889</v>
      </c>
      <c r="K85" s="10" t="n">
        <v>45660.87576388889</v>
      </c>
      <c r="L85" s="10" t="n">
        <v>45660.87640046296</v>
      </c>
      <c r="M85" s="11">
        <f>IF(AND(ISNUMBER(E85),ISNUMBER(G85)),(G85-E85),"")</f>
        <v/>
      </c>
      <c r="N85" s="11">
        <f>IF(AND(ISNUMBER(G85),ISNUMBER(L85)),(L85-G85),"")</f>
        <v/>
      </c>
      <c r="O85" s="10" t="n">
        <v>45660.32211805556</v>
      </c>
      <c r="P85" s="11">
        <f>IF(AND(ISNUMBER(I85),ISNUMBER(O85)),(I85-O85),"")</f>
        <v/>
      </c>
      <c r="Q85" s="12" t="inlineStr">
        <is>
          <t>WG 1001801 entered track and got coupled to WG 1001607 then waited 8:10:52 for WG 1002507 to get coupled then waited 4:37:34 for WG 1002801 to get coupled, OBTP started on 20:33:32 finished on 21:01:06 and then left at 21:02:01</t>
        </is>
      </c>
    </row>
    <row r="86">
      <c r="A86" s="3" t="inlineStr">
        <is>
          <t>1001802</t>
        </is>
      </c>
      <c r="B86" s="3" t="inlineStr">
        <is>
          <t>10018</t>
        </is>
      </c>
      <c r="C86" s="9" t="n">
        <v>19.9</v>
      </c>
      <c r="D86" s="3" t="inlineStr">
        <is>
          <t>Other sidings south</t>
        </is>
      </c>
      <c r="E86" s="10" t="n">
        <v>45660.30422453704</v>
      </c>
      <c r="F86" s="10" t="n">
        <v>45660.31821759259</v>
      </c>
      <c r="G86" s="10" t="n">
        <v>45660.31938657408</v>
      </c>
      <c r="H86" s="3" t="inlineStr">
        <is>
          <t>OBT030125220353-Other sidings south</t>
        </is>
      </c>
      <c r="I86" s="10" t="n">
        <v>45660.92020833334</v>
      </c>
      <c r="J86" s="10" t="n">
        <v>45660.94625</v>
      </c>
      <c r="K86" s="10" t="n">
        <v>45660.94625</v>
      </c>
      <c r="L86" s="10" t="n">
        <v>45660.94706018519</v>
      </c>
      <c r="M86" s="11">
        <f>IF(AND(ISNUMBER(E86),ISNUMBER(G86)),(G86-E86),"")</f>
        <v/>
      </c>
      <c r="N86" s="11">
        <f>IF(AND(ISNUMBER(G86),ISNUMBER(L86)),(L86-G86),"")</f>
        <v/>
      </c>
      <c r="O86" s="10" t="n">
        <v>45660.32178240741</v>
      </c>
      <c r="P86" s="11">
        <f>IF(AND(ISNUMBER(I86),ISNUMBER(O86)),(I86-O86),"")</f>
        <v/>
      </c>
      <c r="Q86" s="12" t="inlineStr">
        <is>
          <t>WG 1001802 entered track and got secured then waited 14:19:13 for WG 1002910 to get coupled then waited 0:01:18 for WG 1002912 to get coupled, OBTP started on 22:05:06 finished on 22:42:36 and then left at 22:43:46</t>
        </is>
      </c>
    </row>
    <row r="87">
      <c r="A87" s="3" t="inlineStr">
        <is>
          <t>1001803</t>
        </is>
      </c>
      <c r="B87" s="3" t="inlineStr">
        <is>
          <t>10018</t>
        </is>
      </c>
      <c r="C87" s="9" t="n">
        <v>40.9</v>
      </c>
      <c r="D87" s="3" t="inlineStr">
        <is>
          <t>Neunkirchen (loading tracks)</t>
        </is>
      </c>
      <c r="E87" s="10" t="n">
        <v>45660.30422453704</v>
      </c>
      <c r="F87" s="10" t="n">
        <v>45660.31938657408</v>
      </c>
      <c r="G87" s="10" t="n">
        <v>45660.3212037037</v>
      </c>
      <c r="H87" s="3" t="inlineStr">
        <is>
          <t>OBT070125031735-Neunkirchen (loading tracks)</t>
        </is>
      </c>
      <c r="I87" s="10" t="n">
        <v>45664.13804398148</v>
      </c>
      <c r="J87" s="10" t="n">
        <v>45664.18449074074</v>
      </c>
      <c r="K87" s="10" t="n">
        <v>45664.18449074074</v>
      </c>
      <c r="L87" s="10" t="n">
        <v>45664.18564814814</v>
      </c>
      <c r="M87" s="11">
        <f>IF(AND(ISNUMBER(E87),ISNUMBER(G87)),(G87-E87),"")</f>
        <v/>
      </c>
      <c r="N87" s="11">
        <f>IF(AND(ISNUMBER(G87),ISNUMBER(L87)),(L87-G87),"")</f>
        <v/>
      </c>
      <c r="O87" s="10" t="n">
        <v>45660.32356481482</v>
      </c>
      <c r="P87" s="11">
        <f>IF(AND(ISNUMBER(I87),ISNUMBER(O87)),(I87-O87),"")</f>
        <v/>
      </c>
      <c r="Q87" s="12" t="inlineStr">
        <is>
          <t>WG 1001803 entered track and got secured then waited 8:15:36 for WG 1002511 to get coupled then waited 5:54:47 for WG 1002908 to get coupled then waited 77:21:16 for WG 1003404 to get coupled, OBTP started on 03:18:47 finished on 04:25:40 and then left at 04:27:20</t>
        </is>
      </c>
    </row>
    <row r="88">
      <c r="A88" s="3" t="inlineStr">
        <is>
          <t>1001804</t>
        </is>
      </c>
      <c r="B88" s="3" t="inlineStr">
        <is>
          <t>10018</t>
        </is>
      </c>
      <c r="C88" s="9" t="n">
        <v>27</v>
      </c>
      <c r="D88" s="3" t="inlineStr">
        <is>
          <t>Wr. Neustadt (Hödlmayr)</t>
        </is>
      </c>
      <c r="E88" s="10" t="n">
        <v>45660.30422453704</v>
      </c>
      <c r="F88" s="10" t="n">
        <v>45660.3212037037</v>
      </c>
      <c r="G88" s="10" t="n">
        <v>45660.3225</v>
      </c>
      <c r="H88" s="3" t="inlineStr">
        <is>
          <t>OBT030125203727-Wr. Neustadt (Hödlmayr)</t>
        </is>
      </c>
      <c r="I88" s="10" t="n">
        <v>45660.86020833333</v>
      </c>
      <c r="J88" s="10" t="n">
        <v>45660.89302083333</v>
      </c>
      <c r="K88" s="10" t="n">
        <v>45660.89302083333</v>
      </c>
      <c r="L88" s="10" t="n">
        <v>45660.89388888889</v>
      </c>
      <c r="M88" s="11">
        <f>IF(AND(ISNUMBER(E88),ISNUMBER(G88)),(G88-E88),"")</f>
        <v/>
      </c>
      <c r="N88" s="11">
        <f>IF(AND(ISNUMBER(G88),ISNUMBER(L88)),(L88-G88),"")</f>
        <v/>
      </c>
      <c r="O88" s="10" t="n">
        <v>45660.32467592593</v>
      </c>
      <c r="P88" s="11">
        <f>IF(AND(ISNUMBER(I88),ISNUMBER(O88)),(I88-O88),"")</f>
        <v/>
      </c>
      <c r="Q88" s="12" t="inlineStr">
        <is>
          <t>WG 1001804 entered track and got secured then waited 7:56:48 for WG 1002503 to get coupled then waited 4:53:07 for WG 1002803 to get coupled, OBTP started on 20:38:42 finished on 21:25:57 and then left at 21:27:12</t>
        </is>
      </c>
    </row>
    <row r="89">
      <c r="A89" s="3" t="inlineStr">
        <is>
          <t>1001805</t>
        </is>
      </c>
      <c r="B89" s="3" t="inlineStr">
        <is>
          <t>10018</t>
        </is>
      </c>
      <c r="C89" s="9" t="n">
        <v>124.44</v>
      </c>
      <c r="D89" s="3" t="inlineStr">
        <is>
          <t>Pitten (Hamburger)</t>
        </is>
      </c>
      <c r="E89" s="10" t="n">
        <v>45660.30422453704</v>
      </c>
      <c r="F89" s="10" t="n">
        <v>45660.3225</v>
      </c>
      <c r="G89" s="10" t="n">
        <v>45660.32471064815</v>
      </c>
      <c r="H89" s="3" t="inlineStr">
        <is>
          <t>OBT030125075311-Felixdorf/Sollenau (Bundesheer, Maba)</t>
        </is>
      </c>
      <c r="I89" s="10" t="n">
        <v>45660.33030092593</v>
      </c>
      <c r="J89" s="10" t="n">
        <v>45660.36226851852</v>
      </c>
      <c r="K89" s="10" t="n">
        <v>45660.36226851852</v>
      </c>
      <c r="L89" s="10" t="n">
        <v>45660.36324074074</v>
      </c>
      <c r="M89" s="11">
        <f>IF(AND(ISNUMBER(E89),ISNUMBER(G89)),(G89-E89),"")</f>
        <v/>
      </c>
      <c r="N89" s="11">
        <f>IF(AND(ISNUMBER(G89),ISNUMBER(L89)),(L89-G89),"")</f>
        <v/>
      </c>
      <c r="O89" s="10" t="n">
        <v>45660.32859953704</v>
      </c>
      <c r="P89" s="11">
        <f>IF(AND(ISNUMBER(I89),ISNUMBER(O89)),(I89-O89),"")</f>
        <v/>
      </c>
      <c r="Q89" s="12" t="inlineStr">
        <is>
          <t>WG 1001805 entered track and got coupled to WG 1001209, OBTP started on 07:55:38 finished on 08:41:40 and then left at 08:43:04</t>
        </is>
      </c>
    </row>
    <row r="90">
      <c r="A90" s="3" t="inlineStr">
        <is>
          <t>1001806</t>
        </is>
      </c>
      <c r="B90" s="3" t="inlineStr">
        <is>
          <t>10018</t>
        </is>
      </c>
      <c r="C90" s="9" t="n">
        <v>62.96</v>
      </c>
      <c r="D90" s="3" t="inlineStr">
        <is>
          <t>Ebenfurth (beet loading)</t>
        </is>
      </c>
      <c r="E90" s="10" t="n">
        <v>45660.30422453704</v>
      </c>
      <c r="F90" s="10" t="n">
        <v>45660.32471064815</v>
      </c>
      <c r="G90" s="10" t="n">
        <v>45660.32677083334</v>
      </c>
      <c r="H90" s="3" t="inlineStr">
        <is>
          <t>OBT030125090958-Ebenfurth (beet loading)</t>
        </is>
      </c>
      <c r="I90" s="10" t="n">
        <v>45660.38354166667</v>
      </c>
      <c r="J90" s="10" t="n">
        <v>45660.42012731481</v>
      </c>
      <c r="K90" s="10" t="n">
        <v>45660.42012731481</v>
      </c>
      <c r="L90" s="10" t="n">
        <v>45660.42116898148</v>
      </c>
      <c r="M90" s="11">
        <f>IF(AND(ISNUMBER(E90),ISNUMBER(G90)),(G90-E90),"")</f>
        <v/>
      </c>
      <c r="N90" s="11">
        <f>IF(AND(ISNUMBER(G90),ISNUMBER(L90)),(L90-G90),"")</f>
        <v/>
      </c>
      <c r="O90" s="10" t="n">
        <v>45660.32894675926</v>
      </c>
      <c r="P90" s="11">
        <f>IF(AND(ISNUMBER(I90),ISNUMBER(O90)),(I90-O90),"")</f>
        <v/>
      </c>
      <c r="Q90" s="12" t="inlineStr">
        <is>
          <t>WG 1001806 entered track and got secured then waited 1:16:17 for WG 1002102 to get coupled, OBTP started on 09:12:18 finished on 10:04:59 and then left at 10:06:29</t>
        </is>
      </c>
    </row>
    <row r="91">
      <c r="A91" s="3" t="inlineStr">
        <is>
          <t>1001807</t>
        </is>
      </c>
      <c r="B91" s="3" t="inlineStr">
        <is>
          <t>10018</t>
        </is>
      </c>
      <c r="C91" s="9" t="n">
        <v>15.74</v>
      </c>
      <c r="D91" s="3" t="inlineStr">
        <is>
          <t>Other sidings local</t>
        </is>
      </c>
      <c r="E91" s="10" t="n">
        <v>45660.30422453704</v>
      </c>
      <c r="F91" s="10" t="n">
        <v>45660.32677083334</v>
      </c>
      <c r="G91" s="10" t="n">
        <v>45660.32837962963</v>
      </c>
      <c r="H91" s="3" t="inlineStr">
        <is>
          <t>OBT030125205107-Other sidings local</t>
        </is>
      </c>
      <c r="I91" s="10" t="n">
        <v>45660.89475694444</v>
      </c>
      <c r="J91" s="10" t="n">
        <v>45660.91472222222</v>
      </c>
      <c r="K91" s="10" t="n">
        <v>45660.91472222222</v>
      </c>
      <c r="L91" s="10" t="n">
        <v>45660.91559027778</v>
      </c>
      <c r="M91" s="11">
        <f>IF(AND(ISNUMBER(E91),ISNUMBER(G91)),(G91-E91),"")</f>
        <v/>
      </c>
      <c r="N91" s="11">
        <f>IF(AND(ISNUMBER(G91),ISNUMBER(L91)),(L91-G91),"")</f>
        <v/>
      </c>
      <c r="O91" s="10" t="n">
        <v>45660.3322800926</v>
      </c>
      <c r="P91" s="11">
        <f>IF(AND(ISNUMBER(I91),ISNUMBER(O91)),(I91-O91),"")</f>
        <v/>
      </c>
      <c r="Q91" s="12" t="inlineStr">
        <is>
          <t>WG 1001807 entered track and got coupled to WG 1001601 then waited 12:52:38 for WG 1002807 to get coupled, OBTP started on 21:28:27 finished on 21:57:12 and then left at 21:58:27</t>
        </is>
      </c>
    </row>
    <row r="92">
      <c r="A92" s="3" t="inlineStr">
        <is>
          <t>1001901</t>
        </is>
      </c>
      <c r="B92" s="3" t="inlineStr">
        <is>
          <t>10019</t>
        </is>
      </c>
      <c r="C92" s="9" t="n">
        <v>256.9</v>
      </c>
      <c r="D92" s="3" t="inlineStr">
        <is>
          <t>Wien Kledering</t>
        </is>
      </c>
      <c r="E92" s="10" t="n">
        <v>45660.31194444445</v>
      </c>
      <c r="F92" s="10" t="n">
        <v>45660.32924768519</v>
      </c>
      <c r="G92" s="10" t="n">
        <v>45660.33168981481</v>
      </c>
      <c r="H92" s="3" t="inlineStr">
        <is>
          <t>OBT030125080046-Wien Kledering</t>
        </is>
      </c>
      <c r="I92" s="10" t="n">
        <v>45660.33550925926</v>
      </c>
      <c r="J92" s="10" t="n">
        <v>45660.38010416667</v>
      </c>
      <c r="K92" s="10" t="n">
        <v>45660.38010416667</v>
      </c>
      <c r="L92" s="10" t="n">
        <v>45660.38109953704</v>
      </c>
      <c r="M92" s="11">
        <f>IF(AND(ISNUMBER(E92),ISNUMBER(G92)),(G92-E92),"")</f>
        <v/>
      </c>
      <c r="N92" s="11">
        <f>IF(AND(ISNUMBER(G92),ISNUMBER(L92)),(L92-G92),"")</f>
        <v/>
      </c>
      <c r="O92" s="10" t="n">
        <v>45660.33386574074</v>
      </c>
      <c r="P92" s="11">
        <f>IF(AND(ISNUMBER(I92),ISNUMBER(O92)),(I92-O92),"")</f>
        <v/>
      </c>
      <c r="Q92" s="12" t="inlineStr">
        <is>
          <t>WG 1001901 entered track and got secured, OBTP started on 08:03:08 finished on 09:07:21 and then left at 09:08:47</t>
        </is>
      </c>
    </row>
    <row r="93">
      <c r="A93" s="3" t="inlineStr">
        <is>
          <t>1002001</t>
        </is>
      </c>
      <c r="B93" s="3" t="inlineStr">
        <is>
          <t>10020</t>
        </is>
      </c>
      <c r="C93" s="9" t="n">
        <v>396.5600000000001</v>
      </c>
      <c r="D93" s="3" t="inlineStr">
        <is>
          <t>Wien Kledering</t>
        </is>
      </c>
      <c r="E93" s="10" t="n">
        <v>45660.33396990741</v>
      </c>
      <c r="F93" s="10" t="n">
        <v>45660.34096064815</v>
      </c>
      <c r="G93" s="10" t="n">
        <v>45660.34387731482</v>
      </c>
      <c r="H93" s="3" t="inlineStr">
        <is>
          <t>OBT030125084617-Wien Kledering</t>
        </is>
      </c>
      <c r="I93" s="10" t="n">
        <v>45660.36717592592</v>
      </c>
      <c r="J93" s="10" t="n">
        <v>45660.43603009259</v>
      </c>
      <c r="K93" s="10" t="n">
        <v>45660.43603009259</v>
      </c>
      <c r="L93" s="10" t="n">
        <v>45660.43744212963</v>
      </c>
      <c r="M93" s="11">
        <f>IF(AND(ISNUMBER(E93),ISNUMBER(G93)),(G93-E93),"")</f>
        <v/>
      </c>
      <c r="N93" s="11">
        <f>IF(AND(ISNUMBER(G93),ISNUMBER(L93)),(L93-G93),"")</f>
        <v/>
      </c>
      <c r="O93" s="10" t="n">
        <v>45660.36547453704</v>
      </c>
      <c r="P93" s="11">
        <f>IF(AND(ISNUMBER(I93),ISNUMBER(O93)),(I93-O93),"")</f>
        <v/>
      </c>
      <c r="Q93" s="12" t="inlineStr">
        <is>
          <t>WG 1002001 entered track and got secured, OBTP started on 08:48:44 finished on 10:27:53 and then left at 10:29:55</t>
        </is>
      </c>
    </row>
    <row r="94">
      <c r="A94" s="3" t="inlineStr">
        <is>
          <t>1002101</t>
        </is>
      </c>
      <c r="B94" s="3" t="inlineStr">
        <is>
          <t>10021</t>
        </is>
      </c>
      <c r="C94" s="9" t="n">
        <v>131.3</v>
      </c>
      <c r="D94" s="3" t="inlineStr">
        <is>
          <t>St. Veit an der Glan</t>
        </is>
      </c>
      <c r="E94" s="10" t="n">
        <v>45660.36744212963</v>
      </c>
      <c r="F94" s="10" t="n">
        <v>45660.37412037037</v>
      </c>
      <c r="G94" s="10" t="n">
        <v>45660.37611111111</v>
      </c>
      <c r="H94" s="3" t="inlineStr">
        <is>
          <t>OBT030125090715-St. Veit an der Glan</t>
        </is>
      </c>
      <c r="I94" s="10" t="n">
        <v>45660.38177083333</v>
      </c>
      <c r="J94" s="10" t="n">
        <v>45660.42026620371</v>
      </c>
      <c r="K94" s="10" t="n">
        <v>45660.42116898148</v>
      </c>
      <c r="L94" s="10" t="n">
        <v>45660.42228009259</v>
      </c>
      <c r="M94" s="11">
        <f>IF(AND(ISNUMBER(E94),ISNUMBER(G94)),(G94-E94),"")</f>
        <v/>
      </c>
      <c r="N94" s="11">
        <f>IF(AND(ISNUMBER(G94),ISNUMBER(L94)),(L94-G94),"")</f>
        <v/>
      </c>
      <c r="O94" s="10" t="n">
        <v>45660.38003472222</v>
      </c>
      <c r="P94" s="11">
        <f>IF(AND(ISNUMBER(I94),ISNUMBER(O94)),(I94-O94),"")</f>
        <v/>
      </c>
      <c r="Q94" s="12" t="inlineStr">
        <is>
          <t>WG 1002101 entered track and got coupled to WG 1000802, OBTP started on 09:09:45 finished on 10:05:11 and then left at 10:08:05</t>
        </is>
      </c>
    </row>
    <row r="95">
      <c r="A95" s="3" t="inlineStr">
        <is>
          <t>1002102</t>
        </is>
      </c>
      <c r="B95" s="3" t="inlineStr">
        <is>
          <t>10021</t>
        </is>
      </c>
      <c r="C95" s="9" t="n">
        <v>147.8</v>
      </c>
      <c r="D95" s="3" t="inlineStr">
        <is>
          <t>Wien Kledering</t>
        </is>
      </c>
      <c r="E95" s="10" t="n">
        <v>45660.36744212963</v>
      </c>
      <c r="F95" s="10" t="n">
        <v>45660.37611111111</v>
      </c>
      <c r="G95" s="10" t="n">
        <v>45660.37836805556</v>
      </c>
      <c r="H95" s="3" t="inlineStr">
        <is>
          <t>OBT030125090958-Ebenfurth (beet loading)</t>
        </is>
      </c>
      <c r="I95" s="10" t="n">
        <v>45660.38354166667</v>
      </c>
      <c r="J95" s="10" t="n">
        <v>45660.42012731481</v>
      </c>
      <c r="K95" s="10" t="n">
        <v>45660.42012731481</v>
      </c>
      <c r="L95" s="10" t="n">
        <v>45660.42116898148</v>
      </c>
      <c r="M95" s="11">
        <f>IF(AND(ISNUMBER(E95),ISNUMBER(G95)),(G95-E95),"")</f>
        <v/>
      </c>
      <c r="N95" s="11">
        <f>IF(AND(ISNUMBER(G95),ISNUMBER(L95)),(L95-G95),"")</f>
        <v/>
      </c>
      <c r="O95" s="10" t="n">
        <v>45660.3819212963</v>
      </c>
      <c r="P95" s="11">
        <f>IF(AND(ISNUMBER(I95),ISNUMBER(O95)),(I95-O95),"")</f>
        <v/>
      </c>
      <c r="Q95" s="12" t="inlineStr">
        <is>
          <t>WG 1002102 entered track and got coupled to WG 1001806, OBTP started on 09:12:18 finished on 10:04:59 and then left at 10:06:29</t>
        </is>
      </c>
    </row>
    <row r="96">
      <c r="A96" s="3" t="inlineStr">
        <is>
          <t>1002201</t>
        </is>
      </c>
      <c r="B96" s="3" t="inlineStr">
        <is>
          <t>10022</t>
        </is>
      </c>
      <c r="C96" s="9" t="n">
        <v>266.4</v>
      </c>
      <c r="D96" s="3" t="inlineStr">
        <is>
          <t>Wien Kledering</t>
        </is>
      </c>
      <c r="E96" s="10" t="n">
        <v>45660.43989583333</v>
      </c>
      <c r="F96" s="10" t="n">
        <v>45660.44951388889</v>
      </c>
      <c r="G96" s="10" t="n">
        <v>45660.45200231481</v>
      </c>
      <c r="H96" s="3" t="inlineStr">
        <is>
          <t>OBT030125105420-Wien Kledering</t>
        </is>
      </c>
      <c r="I96" s="10" t="n">
        <v>45660.45524305556</v>
      </c>
      <c r="J96" s="10" t="n">
        <v>45660.50149305556</v>
      </c>
      <c r="K96" s="10" t="n">
        <v>45660.50149305556</v>
      </c>
      <c r="L96" s="10" t="n">
        <v>45660.50251157407</v>
      </c>
      <c r="M96" s="11">
        <f>IF(AND(ISNUMBER(E96),ISNUMBER(G96)),(G96-E96),"")</f>
        <v/>
      </c>
      <c r="N96" s="11">
        <f>IF(AND(ISNUMBER(G96),ISNUMBER(L96)),(L96-G96),"")</f>
        <v/>
      </c>
      <c r="O96" s="10" t="n">
        <v>45660.45439814815</v>
      </c>
      <c r="P96" s="11">
        <f>IF(AND(ISNUMBER(I96),ISNUMBER(O96)),(I96-O96),"")</f>
        <v/>
      </c>
      <c r="Q96" s="12" t="inlineStr">
        <is>
          <t>WG 1002201 entered track and got secured, OBTP started on 10:55:33 finished on 12:02:09 and then left at 12:03:37</t>
        </is>
      </c>
    </row>
    <row r="97">
      <c r="A97" s="3" t="inlineStr">
        <is>
          <t>1002202</t>
        </is>
      </c>
      <c r="B97" s="3" t="inlineStr">
        <is>
          <t>10022</t>
        </is>
      </c>
      <c r="C97" s="9" t="n">
        <v>21</v>
      </c>
      <c r="D97" s="3" t="inlineStr">
        <is>
          <t>St. Veit an der Glan</t>
        </is>
      </c>
      <c r="E97" s="10" t="n">
        <v>45660.43989583333</v>
      </c>
      <c r="F97" s="10" t="n">
        <v>45660.45200231481</v>
      </c>
      <c r="G97" s="10" t="n">
        <v>45660.45403935185</v>
      </c>
      <c r="H97" s="3" t="inlineStr">
        <is>
          <t>OBT070125084545-St. Veit an der Glan</t>
        </is>
      </c>
      <c r="I97" s="10" t="n">
        <v>45664.40565972222</v>
      </c>
      <c r="J97" s="10" t="n">
        <v>45664.43702546296</v>
      </c>
      <c r="K97" s="10" t="n">
        <v>45664.43702546296</v>
      </c>
      <c r="L97" s="10" t="n">
        <v>45664.43795138889</v>
      </c>
      <c r="M97" s="11">
        <f>IF(AND(ISNUMBER(E97),ISNUMBER(G97)),(G97-E97),"")</f>
        <v/>
      </c>
      <c r="N97" s="11">
        <f>IF(AND(ISNUMBER(G97),ISNUMBER(L97)),(L97-G97),"")</f>
        <v/>
      </c>
      <c r="O97" s="10" t="n">
        <v>45660.45641203703</v>
      </c>
      <c r="P97" s="11">
        <f>IF(AND(ISNUMBER(I97),ISNUMBER(O97)),(I97-O97),"")</f>
        <v/>
      </c>
      <c r="Q97" s="12" t="inlineStr">
        <is>
          <t>WG 1002202 entered track and got secured then waited 5:02:18 for WG 1002509 to get coupled then waited 83:11:42 for WG 1003402 to get coupled then waited 5:34:31 for WG 1003902 to get coupled, OBTP started on 09:44:09 finished on 10:29:19 and then left at 10:30:39</t>
        </is>
      </c>
    </row>
    <row r="98">
      <c r="A98" s="3" t="inlineStr">
        <is>
          <t>1002203</t>
        </is>
      </c>
      <c r="B98" s="3" t="inlineStr">
        <is>
          <t>10022</t>
        </is>
      </c>
      <c r="C98" s="9" t="n">
        <v>146.3</v>
      </c>
      <c r="D98" s="3" t="inlineStr">
        <is>
          <t>Wien Kledering</t>
        </is>
      </c>
      <c r="E98" s="10" t="n">
        <v>45660.43989583333</v>
      </c>
      <c r="F98" s="10" t="n">
        <v>45660.45403935185</v>
      </c>
      <c r="G98" s="10" t="n">
        <v>45660.45607638889</v>
      </c>
      <c r="H98" s="3" t="inlineStr">
        <is>
          <t>OBT030125110012-Wien Kledering</t>
        </is>
      </c>
      <c r="I98" s="10" t="n">
        <v>45660.45934027778</v>
      </c>
      <c r="J98" s="10" t="n">
        <v>45660.48473379629</v>
      </c>
      <c r="K98" s="10" t="n">
        <v>45660.48473379629</v>
      </c>
      <c r="L98" s="10" t="n">
        <v>45660.48567129629</v>
      </c>
      <c r="M98" s="11">
        <f>IF(AND(ISNUMBER(E98),ISNUMBER(G98)),(G98-E98),"")</f>
        <v/>
      </c>
      <c r="N98" s="11">
        <f>IF(AND(ISNUMBER(G98),ISNUMBER(L98)),(L98-G98),"")</f>
        <v/>
      </c>
      <c r="O98" s="10" t="n">
        <v>45660.45847222222</v>
      </c>
      <c r="P98" s="11">
        <f>IF(AND(ISNUMBER(I98),ISNUMBER(O98)),(I98-O98),"")</f>
        <v/>
      </c>
      <c r="Q98" s="12" t="inlineStr">
        <is>
          <t>WG 1002203 entered track and got secured, OBTP started on 11:01:27 finished on 11:38:01 and then left at 11:39:22</t>
        </is>
      </c>
    </row>
    <row r="99">
      <c r="A99" s="3" t="inlineStr">
        <is>
          <t>1002301</t>
        </is>
      </c>
      <c r="B99" s="3" t="inlineStr">
        <is>
          <t>10023</t>
        </is>
      </c>
      <c r="C99" s="9" t="n">
        <v>278.02</v>
      </c>
      <c r="D99" s="3" t="inlineStr">
        <is>
          <t>Wien Kledering</t>
        </is>
      </c>
      <c r="E99" s="10" t="n">
        <v>45660.54320601852</v>
      </c>
      <c r="F99" s="10" t="n">
        <v>45660.54890046296</v>
      </c>
      <c r="G99" s="10" t="n">
        <v>45660.55142361111</v>
      </c>
      <c r="H99" s="3" t="inlineStr">
        <is>
          <t>OBT030125131727-Wien Kledering</t>
        </is>
      </c>
      <c r="I99" s="10" t="n">
        <v>45660.55465277778</v>
      </c>
      <c r="J99" s="10" t="n">
        <v>45660.60292824074</v>
      </c>
      <c r="K99" s="10" t="n">
        <v>45660.60292824074</v>
      </c>
      <c r="L99" s="10" t="n">
        <v>45660.60395833333</v>
      </c>
      <c r="M99" s="11">
        <f>IF(AND(ISNUMBER(E99),ISNUMBER(G99)),(G99-E99),"")</f>
        <v/>
      </c>
      <c r="N99" s="11">
        <f>IF(AND(ISNUMBER(G99),ISNUMBER(L99)),(L99-G99),"")</f>
        <v/>
      </c>
      <c r="O99" s="10" t="n">
        <v>45660.55378472222</v>
      </c>
      <c r="P99" s="11">
        <f>IF(AND(ISNUMBER(I99),ISNUMBER(O99)),(I99-O99),"")</f>
        <v/>
      </c>
      <c r="Q99" s="12" t="inlineStr">
        <is>
          <t>WG 1002301 entered track and got secured, OBTP started on 13:18:42 finished on 14:28:13 and then left at 14:29:42</t>
        </is>
      </c>
    </row>
    <row r="100">
      <c r="A100" s="3" t="inlineStr">
        <is>
          <t>1002401</t>
        </is>
      </c>
      <c r="B100" s="3" t="inlineStr">
        <is>
          <t>10024</t>
        </is>
      </c>
      <c r="C100" s="9" t="n">
        <v>62.96</v>
      </c>
      <c r="D100" s="3" t="inlineStr">
        <is>
          <t>Wien Kledering</t>
        </is>
      </c>
      <c r="E100" s="10" t="n">
        <v>45660.59799768519</v>
      </c>
      <c r="F100" s="10" t="n">
        <v>45660.60208333333</v>
      </c>
      <c r="G100" s="10" t="n">
        <v>45660.60427083333</v>
      </c>
      <c r="H100" s="3" t="inlineStr">
        <is>
          <t>OBT030125160747-Wien Kledering</t>
        </is>
      </c>
      <c r="I100" s="10" t="n">
        <v>45660.67371527778</v>
      </c>
      <c r="J100" s="10" t="n">
        <v>45660.69556712963</v>
      </c>
      <c r="K100" s="10" t="n">
        <v>45660.69556712963</v>
      </c>
      <c r="L100" s="10" t="n">
        <v>45660.69645833333</v>
      </c>
      <c r="M100" s="11">
        <f>IF(AND(ISNUMBER(E100),ISNUMBER(G100)),(G100-E100),"")</f>
        <v/>
      </c>
      <c r="N100" s="11">
        <f>IF(AND(ISNUMBER(G100),ISNUMBER(L100)),(L100-G100),"")</f>
        <v/>
      </c>
      <c r="O100" s="10" t="n">
        <v>45660.60666666667</v>
      </c>
      <c r="P100" s="11">
        <f>IF(AND(ISNUMBER(I100),ISNUMBER(O100)),(I100-O100),"")</f>
        <v/>
      </c>
      <c r="Q100" s="12" t="inlineStr">
        <is>
          <t>WG 1002401 entered track and got secured then waited 1:34:11 for WG 1002601 to get coupled, OBTP started on 16:10:09 finished on 16:41:37 and then left at 16:42:54</t>
        </is>
      </c>
    </row>
    <row r="101">
      <c r="A101" s="3" t="inlineStr">
        <is>
          <t>1002501</t>
        </is>
      </c>
      <c r="B101" s="3" t="inlineStr">
        <is>
          <t>10025</t>
        </is>
      </c>
      <c r="C101" s="9" t="n">
        <v>15.74</v>
      </c>
      <c r="D101" s="3" t="inlineStr">
        <is>
          <t>Ebenfurth (beet loading)</t>
        </is>
      </c>
      <c r="E101" s="10" t="n">
        <v>45660.63003472222</v>
      </c>
      <c r="F101" s="10" t="n">
        <v>45660.64635416667</v>
      </c>
      <c r="G101" s="10" t="n">
        <v>45660.64829861111</v>
      </c>
      <c r="H101" s="3" t="inlineStr">
        <is>
          <t>OBT030125204417-Ebenfurth (beet loading)</t>
        </is>
      </c>
      <c r="I101" s="10" t="n">
        <v>45660.87092592593</v>
      </c>
      <c r="J101" s="10" t="n">
        <v>45660.90098379629</v>
      </c>
      <c r="K101" s="10" t="n">
        <v>45660.90098379629</v>
      </c>
      <c r="L101" s="10" t="n">
        <v>45660.90193287037</v>
      </c>
      <c r="M101" s="11">
        <f>IF(AND(ISNUMBER(E101),ISNUMBER(G101)),(G101-E101),"")</f>
        <v/>
      </c>
      <c r="N101" s="11">
        <f>IF(AND(ISNUMBER(G101),ISNUMBER(L101)),(L101-G101),"")</f>
        <v/>
      </c>
      <c r="O101" s="10" t="n">
        <v>45660.65069444444</v>
      </c>
      <c r="P101" s="11">
        <f>IF(AND(ISNUMBER(I101),ISNUMBER(O101)),(I101-O101),"")</f>
        <v/>
      </c>
      <c r="Q101" s="12" t="inlineStr">
        <is>
          <t>WG 1002501 entered track and got secured then waited 0:10:07 for WG 1002504 to get coupled then waited 4:57:10 for WG 1002805 to get coupled, OBTP started on 20:54:08 finished on 21:37:25 and then left at 21:38:47</t>
        </is>
      </c>
    </row>
    <row r="102">
      <c r="A102" s="3" t="inlineStr">
        <is>
          <t>1002502</t>
        </is>
      </c>
      <c r="B102" s="3" t="inlineStr">
        <is>
          <t>10025</t>
        </is>
      </c>
      <c r="C102" s="9" t="n">
        <v>164.16</v>
      </c>
      <c r="D102" s="3" t="inlineStr">
        <is>
          <t>Pitten (Hamburger)</t>
        </is>
      </c>
      <c r="E102" s="10" t="n">
        <v>45660.63003472222</v>
      </c>
      <c r="F102" s="10" t="n">
        <v>45660.64829861111</v>
      </c>
      <c r="G102" s="10" t="n">
        <v>45660.65055555556</v>
      </c>
      <c r="H102" s="3" t="inlineStr">
        <is>
          <t>OBT030125154014-Pitten (Hamburger)</t>
        </is>
      </c>
      <c r="I102" s="10" t="n">
        <v>45660.65377314815</v>
      </c>
      <c r="J102" s="10" t="n">
        <v>45660.68226851852</v>
      </c>
      <c r="K102" s="10" t="n">
        <v>45660.68226851852</v>
      </c>
      <c r="L102" s="10" t="n">
        <v>45660.68304398148</v>
      </c>
      <c r="M102" s="11">
        <f>IF(AND(ISNUMBER(E102),ISNUMBER(G102)),(G102-E102),"")</f>
        <v/>
      </c>
      <c r="N102" s="11">
        <f>IF(AND(ISNUMBER(G102),ISNUMBER(L102)),(L102-G102),"")</f>
        <v/>
      </c>
      <c r="O102" s="10" t="n">
        <v>45660.65293981481</v>
      </c>
      <c r="P102" s="11">
        <f>IF(AND(ISNUMBER(I102),ISNUMBER(O102)),(I102-O102),"")</f>
        <v/>
      </c>
      <c r="Q102" s="12" t="inlineStr">
        <is>
          <t>WG 1002502 entered track and got secured, OBTP started on 15:41:26 finished on 16:22:28 and then left at 16:23:35</t>
        </is>
      </c>
    </row>
    <row r="103">
      <c r="A103" s="3" t="inlineStr">
        <is>
          <t>1002503</t>
        </is>
      </c>
      <c r="B103" s="3" t="inlineStr">
        <is>
          <t>10025</t>
        </is>
      </c>
      <c r="C103" s="9" t="n">
        <v>27</v>
      </c>
      <c r="D103" s="3" t="inlineStr">
        <is>
          <t>Wr. Neustadt (Hödlmayr)</t>
        </is>
      </c>
      <c r="E103" s="10" t="n">
        <v>45660.63003472222</v>
      </c>
      <c r="F103" s="10" t="n">
        <v>45660.65055555556</v>
      </c>
      <c r="G103" s="10" t="n">
        <v>45660.65186342593</v>
      </c>
      <c r="H103" s="3" t="inlineStr">
        <is>
          <t>OBT030125203727-Wr. Neustadt (Hödlmayr)</t>
        </is>
      </c>
      <c r="I103" s="10" t="n">
        <v>45660.86020833333</v>
      </c>
      <c r="J103" s="10" t="n">
        <v>45660.89302083333</v>
      </c>
      <c r="K103" s="10" t="n">
        <v>45660.89302083333</v>
      </c>
      <c r="L103" s="10" t="n">
        <v>45660.89388888889</v>
      </c>
      <c r="M103" s="11">
        <f>IF(AND(ISNUMBER(E103),ISNUMBER(G103)),(G103-E103),"")</f>
        <v/>
      </c>
      <c r="N103" s="11">
        <f>IF(AND(ISNUMBER(G103),ISNUMBER(L103)),(L103-G103),"")</f>
        <v/>
      </c>
      <c r="O103" s="10" t="n">
        <v>45660.65578703704</v>
      </c>
      <c r="P103" s="11">
        <f>IF(AND(ISNUMBER(I103),ISNUMBER(O103)),(I103-O103),"")</f>
        <v/>
      </c>
      <c r="Q103" s="12" t="inlineStr">
        <is>
          <t>WG 1002503 entered track and got coupled to WG 1001804 then waited 4:53:07 for WG 1002803 to get coupled, OBTP started on 20:38:42 finished on 21:25:57 and then left at 21:27:12</t>
        </is>
      </c>
    </row>
    <row r="104">
      <c r="A104" s="3" t="inlineStr">
        <is>
          <t>1002504</t>
        </is>
      </c>
      <c r="B104" s="3" t="inlineStr">
        <is>
          <t>10025</t>
        </is>
      </c>
      <c r="C104" s="9" t="n">
        <v>15.74</v>
      </c>
      <c r="D104" s="3" t="inlineStr">
        <is>
          <t>Ebenfurth (beet loading)</t>
        </is>
      </c>
      <c r="E104" s="10" t="n">
        <v>45660.63003472222</v>
      </c>
      <c r="F104" s="10" t="n">
        <v>45660.65186342593</v>
      </c>
      <c r="G104" s="10" t="n">
        <v>45660.65381944444</v>
      </c>
      <c r="H104" s="3" t="inlineStr">
        <is>
          <t>OBT030125204417-Ebenfurth (beet loading)</t>
        </is>
      </c>
      <c r="I104" s="10" t="n">
        <v>45660.87092592593</v>
      </c>
      <c r="J104" s="10" t="n">
        <v>45660.90098379629</v>
      </c>
      <c r="K104" s="10" t="n">
        <v>45660.90098379629</v>
      </c>
      <c r="L104" s="10" t="n">
        <v>45660.90193287037</v>
      </c>
      <c r="M104" s="11">
        <f>IF(AND(ISNUMBER(E104),ISNUMBER(G104)),(G104-E104),"")</f>
        <v/>
      </c>
      <c r="N104" s="11">
        <f>IF(AND(ISNUMBER(G104),ISNUMBER(L104)),(L104-G104),"")</f>
        <v/>
      </c>
      <c r="O104" s="10" t="n">
        <v>45660.65771990741</v>
      </c>
      <c r="P104" s="11">
        <f>IF(AND(ISNUMBER(I104),ISNUMBER(O104)),(I104-O104),"")</f>
        <v/>
      </c>
      <c r="Q104" s="12" t="inlineStr">
        <is>
          <t>WG 1002504 entered track and got coupled to WG 1002501 then waited 4:57:10 for WG 1002805 to get coupled, OBTP started on 20:54:08 finished on 21:37:25 and then left at 21:38:47</t>
        </is>
      </c>
    </row>
    <row r="105">
      <c r="A105" s="3" t="inlineStr">
        <is>
          <t>1002505</t>
        </is>
      </c>
      <c r="B105" s="3" t="inlineStr">
        <is>
          <t>10025</t>
        </is>
      </c>
      <c r="C105" s="9" t="n">
        <v>21</v>
      </c>
      <c r="D105" s="3" t="inlineStr">
        <is>
          <t>Neudörfl (FunderMax)</t>
        </is>
      </c>
      <c r="E105" s="10" t="n">
        <v>45660.63003472222</v>
      </c>
      <c r="F105" s="10" t="n">
        <v>45660.65381944444</v>
      </c>
      <c r="G105" s="10" t="n">
        <v>45660.65521990741</v>
      </c>
      <c r="H105" s="3" t="inlineStr">
        <is>
          <t>OBT030125220232-Neudörfl (FunderMax)</t>
        </is>
      </c>
      <c r="I105" s="10" t="n">
        <v>45660.91929398148</v>
      </c>
      <c r="J105" s="10" t="n">
        <v>45660.9384375</v>
      </c>
      <c r="K105" s="10" t="n">
        <v>45660.9384375</v>
      </c>
      <c r="L105" s="10" t="n">
        <v>45660.93917824074</v>
      </c>
      <c r="M105" s="11">
        <f>IF(AND(ISNUMBER(E105),ISNUMBER(G105)),(G105-E105),"")</f>
        <v/>
      </c>
      <c r="N105" s="11">
        <f>IF(AND(ISNUMBER(G105),ISNUMBER(L105)),(L105-G105),"")</f>
        <v/>
      </c>
      <c r="O105" s="10" t="n">
        <v>45660.65876157407</v>
      </c>
      <c r="P105" s="11">
        <f>IF(AND(ISNUMBER(I105),ISNUMBER(O105)),(I105-O105),"")</f>
        <v/>
      </c>
      <c r="Q105" s="12" t="inlineStr">
        <is>
          <t>WG 1002505 entered track and got coupled to WG 1001605 then waited 5:03:11 for WG 1002808 to get coupled then waited 1:03:56 for WG 1002907 to get coupled then waited 0:06:48 for WG 1002911 to get coupled, OBTP started on 22:03:47 finished on 22:31:21 and then left at 22:32:25</t>
        </is>
      </c>
    </row>
    <row r="106">
      <c r="A106" s="3" t="inlineStr">
        <is>
          <t>1002506</t>
        </is>
      </c>
      <c r="B106" s="3" t="inlineStr">
        <is>
          <t>10025</t>
        </is>
      </c>
      <c r="C106" s="9" t="n">
        <v>19.9</v>
      </c>
      <c r="D106" s="3" t="inlineStr">
        <is>
          <t>Felixdorf/Sollenau (Bundesheer, Maba)</t>
        </is>
      </c>
      <c r="E106" s="10" t="n">
        <v>45660.63003472222</v>
      </c>
      <c r="F106" s="10" t="n">
        <v>45660.65521990741</v>
      </c>
      <c r="G106" s="10" t="n">
        <v>45660.65717592592</v>
      </c>
      <c r="H106" s="3" t="inlineStr">
        <is>
          <t>OBT080125153109-Felixdorf/Sollenau (Bundesheer, Maba)</t>
        </is>
      </c>
      <c r="I106" s="10" t="n">
        <v>45665.64836805555</v>
      </c>
      <c r="J106" s="10" t="n">
        <v>45665.67254629629</v>
      </c>
      <c r="K106" s="10" t="n">
        <v>45665.67254629629</v>
      </c>
      <c r="L106" s="10" t="n">
        <v>45665.67341435186</v>
      </c>
      <c r="M106" s="11">
        <f>IF(AND(ISNUMBER(E106),ISNUMBER(G106)),(G106-E106),"")</f>
        <v/>
      </c>
      <c r="N106" s="11">
        <f>IF(AND(ISNUMBER(G106),ISNUMBER(L106)),(L106-G106),"")</f>
        <v/>
      </c>
      <c r="O106" s="10" t="n">
        <v>45660.65957175926</v>
      </c>
      <c r="P106" s="11">
        <f>IF(AND(ISNUMBER(I106),ISNUMBER(O106)),(I106-O106),"")</f>
        <v/>
      </c>
      <c r="Q106" s="12" t="inlineStr">
        <is>
          <t>WG 1002506 entered track and got secured then waited 4:45:40 for WG 1002802 to get coupled then waited 1:21:43 for WG 1002909 to get coupled then waited 92:22:16 for WG 1004709 to get coupled then waited 13:46:11 for WG 1005302 to get coupled then waited 7:25:32 for WG 1006001 to get coupled, OBTP started on 15:33:39 finished on 16:08:28 and then left at 16:09:43</t>
        </is>
      </c>
    </row>
    <row r="107">
      <c r="A107" s="3" t="inlineStr">
        <is>
          <t>1002507</t>
        </is>
      </c>
      <c r="B107" s="3" t="inlineStr">
        <is>
          <t>10025</t>
        </is>
      </c>
      <c r="C107" s="9" t="n">
        <v>19.9</v>
      </c>
      <c r="D107" s="3" t="inlineStr">
        <is>
          <t>Other sidings north</t>
        </is>
      </c>
      <c r="E107" s="10" t="n">
        <v>45660.63003472222</v>
      </c>
      <c r="F107" s="10" t="n">
        <v>45660.65717592592</v>
      </c>
      <c r="G107" s="10" t="n">
        <v>45660.65909722223</v>
      </c>
      <c r="H107" s="3" t="inlineStr">
        <is>
          <t>OBT030125203217-Other sidings north</t>
        </is>
      </c>
      <c r="I107" s="10" t="n">
        <v>45660.85662037037</v>
      </c>
      <c r="J107" s="10" t="n">
        <v>45660.87576388889</v>
      </c>
      <c r="K107" s="10" t="n">
        <v>45660.87576388889</v>
      </c>
      <c r="L107" s="10" t="n">
        <v>45660.87640046296</v>
      </c>
      <c r="M107" s="11">
        <f>IF(AND(ISNUMBER(E107),ISNUMBER(G107)),(G107-E107),"")</f>
        <v/>
      </c>
      <c r="N107" s="11">
        <f>IF(AND(ISNUMBER(G107),ISNUMBER(L107)),(L107-G107),"")</f>
        <v/>
      </c>
      <c r="O107" s="10" t="n">
        <v>45660.66299768518</v>
      </c>
      <c r="P107" s="11">
        <f>IF(AND(ISNUMBER(I107),ISNUMBER(O107)),(I107-O107),"")</f>
        <v/>
      </c>
      <c r="Q107" s="12" t="inlineStr">
        <is>
          <t>WG 1002507 entered track and got coupled to WG 1001801 then waited 4:37:34 for WG 1002801 to get coupled, OBTP started on 20:33:32 finished on 21:01:06 and then left at 21:02:01</t>
        </is>
      </c>
    </row>
    <row r="108">
      <c r="A108" s="3" t="inlineStr">
        <is>
          <t>1002508</t>
        </is>
      </c>
      <c r="B108" s="3" t="inlineStr">
        <is>
          <t>10025</t>
        </is>
      </c>
      <c r="C108" s="9" t="n">
        <v>19.9</v>
      </c>
      <c r="D108" s="3" t="inlineStr">
        <is>
          <t>Wr. Neustadt Ausfahrbf (Furtenbach)</t>
        </is>
      </c>
      <c r="E108" s="10" t="n">
        <v>45660.63003472222</v>
      </c>
      <c r="F108" s="10" t="n">
        <v>45660.65909722223</v>
      </c>
      <c r="G108" s="10" t="n">
        <v>45660.66039351852</v>
      </c>
      <c r="H108" s="3" t="inlineStr">
        <is>
          <t>OBT030125160132-Wr. Neustadt Ausfahrbf (Furtenbach)</t>
        </is>
      </c>
      <c r="I108" s="10" t="n">
        <v>45660.66859953704</v>
      </c>
      <c r="J108" s="10" t="n">
        <v>45660.6893287037</v>
      </c>
      <c r="K108" s="10" t="n">
        <v>45660.6893287037</v>
      </c>
      <c r="L108" s="10" t="n">
        <v>45660.69015046296</v>
      </c>
      <c r="M108" s="11">
        <f>IF(AND(ISNUMBER(E108),ISNUMBER(G108)),(G108-E108),"")</f>
        <v/>
      </c>
      <c r="N108" s="11">
        <f>IF(AND(ISNUMBER(G108),ISNUMBER(L108)),(L108-G108),"")</f>
        <v/>
      </c>
      <c r="O108" s="10" t="n">
        <v>45660.66394675926</v>
      </c>
      <c r="P108" s="11">
        <f>IF(AND(ISNUMBER(I108),ISNUMBER(O108)),(I108-O108),"")</f>
        <v/>
      </c>
      <c r="Q108" s="12" t="inlineStr">
        <is>
          <t>WG 1002508 entered track and got coupled to WG 1001310 then waited 0:05:27 for WG 1002510 to get coupled, OBTP started on 16:02:47 finished on 16:32:38 and then left at 16:33:49</t>
        </is>
      </c>
    </row>
    <row r="109">
      <c r="A109" s="3" t="inlineStr">
        <is>
          <t>1002509</t>
        </is>
      </c>
      <c r="B109" s="3" t="inlineStr">
        <is>
          <t>10025</t>
        </is>
      </c>
      <c r="C109" s="9" t="n">
        <v>15.74</v>
      </c>
      <c r="D109" s="3" t="inlineStr">
        <is>
          <t>Gloggnitz</t>
        </is>
      </c>
      <c r="E109" s="10" t="n">
        <v>45660.63003472222</v>
      </c>
      <c r="F109" s="10" t="n">
        <v>45660.66039351852</v>
      </c>
      <c r="G109" s="10" t="n">
        <v>45660.66241898148</v>
      </c>
      <c r="H109" s="3" t="inlineStr">
        <is>
          <t>OBT070125084545-St. Veit an der Glan</t>
        </is>
      </c>
      <c r="I109" s="10" t="n">
        <v>45664.40565972222</v>
      </c>
      <c r="J109" s="10" t="n">
        <v>45664.43702546296</v>
      </c>
      <c r="K109" s="10" t="n">
        <v>45664.43702546296</v>
      </c>
      <c r="L109" s="10" t="n">
        <v>45664.43795138889</v>
      </c>
      <c r="M109" s="11">
        <f>IF(AND(ISNUMBER(E109),ISNUMBER(G109)),(G109-E109),"")</f>
        <v/>
      </c>
      <c r="N109" s="11">
        <f>IF(AND(ISNUMBER(G109),ISNUMBER(L109)),(L109-G109),"")</f>
        <v/>
      </c>
      <c r="O109" s="10" t="n">
        <v>45660.66634259259</v>
      </c>
      <c r="P109" s="11">
        <f>IF(AND(ISNUMBER(I109),ISNUMBER(O109)),(I109-O109),"")</f>
        <v/>
      </c>
      <c r="Q109" s="12" t="inlineStr">
        <is>
          <t>WG 1002509 entered track and got coupled to WG 1002202 then waited 83:11:42 for WG 1003402 to get coupled then waited 5:34:31 for WG 1003902 to get coupled, OBTP started on 09:44:09 finished on 10:29:19 and then left at 10:30:39</t>
        </is>
      </c>
    </row>
    <row r="110">
      <c r="A110" s="3" t="inlineStr">
        <is>
          <t>1002510</t>
        </is>
      </c>
      <c r="B110" s="3" t="inlineStr">
        <is>
          <t>10025</t>
        </is>
      </c>
      <c r="C110" s="9" t="n">
        <v>59.7</v>
      </c>
      <c r="D110" s="3" t="inlineStr">
        <is>
          <t>Wr. Neustadt Ausfahrbf (Furtenbach)</t>
        </is>
      </c>
      <c r="E110" s="10" t="n">
        <v>45660.63003472222</v>
      </c>
      <c r="F110" s="10" t="n">
        <v>45660.66241898148</v>
      </c>
      <c r="G110" s="10" t="n">
        <v>45660.66380787037</v>
      </c>
      <c r="H110" s="3" t="inlineStr">
        <is>
          <t>OBT030125160132-Wr. Neustadt Ausfahrbf (Furtenbach)</t>
        </is>
      </c>
      <c r="I110" s="10" t="n">
        <v>45660.66859953704</v>
      </c>
      <c r="J110" s="10" t="n">
        <v>45660.6893287037</v>
      </c>
      <c r="K110" s="10" t="n">
        <v>45660.6893287037</v>
      </c>
      <c r="L110" s="10" t="n">
        <v>45660.69015046296</v>
      </c>
      <c r="M110" s="11">
        <f>IF(AND(ISNUMBER(E110),ISNUMBER(G110)),(G110-E110),"")</f>
        <v/>
      </c>
      <c r="N110" s="11">
        <f>IF(AND(ISNUMBER(G110),ISNUMBER(L110)),(L110-G110),"")</f>
        <v/>
      </c>
      <c r="O110" s="10" t="n">
        <v>45660.66773148148</v>
      </c>
      <c r="P110" s="11">
        <f>IF(AND(ISNUMBER(I110),ISNUMBER(O110)),(I110-O110),"")</f>
        <v/>
      </c>
      <c r="Q110" s="12" t="inlineStr">
        <is>
          <t>WG 1002510 entered track and got coupled to WG 1002508, OBTP started on 16:02:47 finished on 16:32:38 and then left at 16:33:49</t>
        </is>
      </c>
    </row>
    <row r="111">
      <c r="A111" s="3" t="inlineStr">
        <is>
          <t>1002511</t>
        </is>
      </c>
      <c r="B111" s="3" t="inlineStr">
        <is>
          <t>10025</t>
        </is>
      </c>
      <c r="C111" s="9" t="n">
        <v>21</v>
      </c>
      <c r="D111" s="3" t="inlineStr">
        <is>
          <t>Neunkirchen (loading tracks)</t>
        </is>
      </c>
      <c r="E111" s="10" t="n">
        <v>45660.63003472222</v>
      </c>
      <c r="F111" s="10" t="n">
        <v>45660.66380787037</v>
      </c>
      <c r="G111" s="10" t="n">
        <v>45660.66556712963</v>
      </c>
      <c r="H111" s="3" t="inlineStr">
        <is>
          <t>OBT070125031735-Neunkirchen (loading tracks)</t>
        </is>
      </c>
      <c r="I111" s="10" t="n">
        <v>45664.13804398148</v>
      </c>
      <c r="J111" s="10" t="n">
        <v>45664.18449074074</v>
      </c>
      <c r="K111" s="10" t="n">
        <v>45664.18449074074</v>
      </c>
      <c r="L111" s="10" t="n">
        <v>45664.18564814814</v>
      </c>
      <c r="M111" s="11">
        <f>IF(AND(ISNUMBER(E111),ISNUMBER(G111)),(G111-E111),"")</f>
        <v/>
      </c>
      <c r="N111" s="11">
        <f>IF(AND(ISNUMBER(G111),ISNUMBER(L111)),(L111-G111),"")</f>
        <v/>
      </c>
      <c r="O111" s="10" t="n">
        <v>45660.66773148148</v>
      </c>
      <c r="P111" s="11">
        <f>IF(AND(ISNUMBER(I111),ISNUMBER(O111)),(I111-O111),"")</f>
        <v/>
      </c>
      <c r="Q111" s="12" t="inlineStr">
        <is>
          <t>WG 1002511 entered track and got secured then waited 5:54:47 for WG 1002908 to get coupled then waited 77:21:16 for WG 1003404 to get coupled, OBTP started on 03:18:47 finished on 04:25:40 and then left at 04:27:20</t>
        </is>
      </c>
    </row>
    <row r="112">
      <c r="A112" s="3" t="inlineStr">
        <is>
          <t>1002601</t>
        </is>
      </c>
      <c r="B112" s="3" t="inlineStr">
        <is>
          <t>10026</t>
        </is>
      </c>
      <c r="C112" s="9" t="n">
        <v>62.96</v>
      </c>
      <c r="D112" s="3" t="inlineStr">
        <is>
          <t>Wien Kledering</t>
        </is>
      </c>
      <c r="E112" s="10" t="n">
        <v>45660.65035879629</v>
      </c>
      <c r="F112" s="10" t="n">
        <v>45660.66633101852</v>
      </c>
      <c r="G112" s="10" t="n">
        <v>45660.66851851852</v>
      </c>
      <c r="H112" s="3" t="inlineStr">
        <is>
          <t>OBT030125160747-Wien Kledering</t>
        </is>
      </c>
      <c r="I112" s="10" t="n">
        <v>45660.67371527778</v>
      </c>
      <c r="J112" s="10" t="n">
        <v>45660.69556712963</v>
      </c>
      <c r="K112" s="10" t="n">
        <v>45660.69556712963</v>
      </c>
      <c r="L112" s="10" t="n">
        <v>45660.69645833333</v>
      </c>
      <c r="M112" s="11">
        <f>IF(AND(ISNUMBER(E112),ISNUMBER(G112)),(G112-E112),"")</f>
        <v/>
      </c>
      <c r="N112" s="11">
        <f>IF(AND(ISNUMBER(G112),ISNUMBER(L112)),(L112-G112),"")</f>
        <v/>
      </c>
      <c r="O112" s="10" t="n">
        <v>45660.67207175926</v>
      </c>
      <c r="P112" s="11">
        <f>IF(AND(ISNUMBER(I112),ISNUMBER(O112)),(I112-O112),"")</f>
        <v/>
      </c>
      <c r="Q112" s="12" t="inlineStr">
        <is>
          <t>WG 1002601 entered track and got coupled to WG 1002401, OBTP started on 16:10:09 finished on 16:41:37 and then left at 16:42:54</t>
        </is>
      </c>
    </row>
    <row r="113">
      <c r="A113" s="3" t="inlineStr">
        <is>
          <t>1002701</t>
        </is>
      </c>
      <c r="B113" s="3" t="inlineStr">
        <is>
          <t>10027</t>
        </is>
      </c>
      <c r="C113" s="9" t="n">
        <v>278.8800000000001</v>
      </c>
      <c r="D113" s="3" t="inlineStr">
        <is>
          <t>Wien Kledering</t>
        </is>
      </c>
      <c r="E113" s="10" t="n">
        <v>45660.71841435185</v>
      </c>
      <c r="F113" s="10" t="n">
        <v>45660.72438657407</v>
      </c>
      <c r="G113" s="10" t="n">
        <v>45660.72690972222</v>
      </c>
      <c r="H113" s="3" t="inlineStr">
        <is>
          <t>OBT030125173012-Wien Kledering</t>
        </is>
      </c>
      <c r="I113" s="10" t="n">
        <v>45660.73015046296</v>
      </c>
      <c r="J113" s="10" t="n">
        <v>45660.77856481481</v>
      </c>
      <c r="K113" s="10" t="n">
        <v>45660.77856481481</v>
      </c>
      <c r="L113" s="10" t="n">
        <v>45660.77960648148</v>
      </c>
      <c r="M113" s="11">
        <f>IF(AND(ISNUMBER(E113),ISNUMBER(G113)),(G113-E113),"")</f>
        <v/>
      </c>
      <c r="N113" s="11">
        <f>IF(AND(ISNUMBER(G113),ISNUMBER(L113)),(L113-G113),"")</f>
        <v/>
      </c>
      <c r="O113" s="10" t="n">
        <v>45660.72930555556</v>
      </c>
      <c r="P113" s="11">
        <f>IF(AND(ISNUMBER(I113),ISNUMBER(O113)),(I113-O113),"")</f>
        <v/>
      </c>
      <c r="Q113" s="12" t="inlineStr">
        <is>
          <t>WG 1002701 entered track and got secured, OBTP started on 17:31:25 finished on 18:41:08 and then left at 18:42:38</t>
        </is>
      </c>
    </row>
    <row r="114">
      <c r="A114" s="3" t="inlineStr">
        <is>
          <t>1002801</t>
        </is>
      </c>
      <c r="B114" s="3" t="inlineStr">
        <is>
          <t>10028</t>
        </is>
      </c>
      <c r="C114" s="9" t="n">
        <v>58.88</v>
      </c>
      <c r="D114" s="3" t="inlineStr">
        <is>
          <t>Other sidings north</t>
        </is>
      </c>
      <c r="E114" s="10" t="n">
        <v>45660.83549768518</v>
      </c>
      <c r="F114" s="10" t="n">
        <v>45660.85033564815</v>
      </c>
      <c r="G114" s="10" t="n">
        <v>45660.85221064815</v>
      </c>
      <c r="H114" s="3" t="inlineStr">
        <is>
          <t>OBT030125203217-Other sidings north</t>
        </is>
      </c>
      <c r="I114" s="10" t="n">
        <v>45660.85662037037</v>
      </c>
      <c r="J114" s="10" t="n">
        <v>45660.87576388889</v>
      </c>
      <c r="K114" s="10" t="n">
        <v>45660.87576388889</v>
      </c>
      <c r="L114" s="10" t="n">
        <v>45660.87640046296</v>
      </c>
      <c r="M114" s="11">
        <f>IF(AND(ISNUMBER(E114),ISNUMBER(G114)),(G114-E114),"")</f>
        <v/>
      </c>
      <c r="N114" s="11">
        <f>IF(AND(ISNUMBER(G114),ISNUMBER(L114)),(L114-G114),"")</f>
        <v/>
      </c>
      <c r="O114" s="10" t="n">
        <v>45660.85575231481</v>
      </c>
      <c r="P114" s="11">
        <f>IF(AND(ISNUMBER(I114),ISNUMBER(O114)),(I114-O114),"")</f>
        <v/>
      </c>
      <c r="Q114" s="12" t="inlineStr">
        <is>
          <t>WG 1002801 entered track and got coupled to WG 1002507, OBTP started on 20:33:32 finished on 21:01:06 and then left at 21:02:01</t>
        </is>
      </c>
    </row>
    <row r="115">
      <c r="A115" s="3" t="inlineStr">
        <is>
          <t>1002802</t>
        </is>
      </c>
      <c r="B115" s="3" t="inlineStr">
        <is>
          <t>10028</t>
        </is>
      </c>
      <c r="C115" s="9" t="n">
        <v>19.9</v>
      </c>
      <c r="D115" s="3" t="inlineStr">
        <is>
          <t>Felixdorf/Sollenau (Bundesheer, Maba)</t>
        </is>
      </c>
      <c r="E115" s="10" t="n">
        <v>45660.83549768518</v>
      </c>
      <c r="F115" s="10" t="n">
        <v>45660.85221064815</v>
      </c>
      <c r="G115" s="10" t="n">
        <v>45660.85402777778</v>
      </c>
      <c r="H115" s="3" t="inlineStr">
        <is>
          <t>OBT080125153109-Felixdorf/Sollenau (Bundesheer, Maba)</t>
        </is>
      </c>
      <c r="I115" s="10" t="n">
        <v>45665.64836805555</v>
      </c>
      <c r="J115" s="10" t="n">
        <v>45665.67254629629</v>
      </c>
      <c r="K115" s="10" t="n">
        <v>45665.67254629629</v>
      </c>
      <c r="L115" s="10" t="n">
        <v>45665.67341435186</v>
      </c>
      <c r="M115" s="11">
        <f>IF(AND(ISNUMBER(E115),ISNUMBER(G115)),(G115-E115),"")</f>
        <v/>
      </c>
      <c r="N115" s="11">
        <f>IF(AND(ISNUMBER(G115),ISNUMBER(L115)),(L115-G115),"")</f>
        <v/>
      </c>
      <c r="O115" s="10" t="n">
        <v>45660.85795138889</v>
      </c>
      <c r="P115" s="11">
        <f>IF(AND(ISNUMBER(I115),ISNUMBER(O115)),(I115-O115),"")</f>
        <v/>
      </c>
      <c r="Q115" s="12" t="inlineStr">
        <is>
          <t>WG 1002802 entered track and got coupled to WG 1002506 then waited 1:21:43 for WG 1002909 to get coupled then waited 92:22:16 for WG 1004709 to get coupled then waited 13:46:11 for WG 1005302 to get coupled then waited 7:25:32 for WG 1006001 to get coupled, OBTP started on 15:33:39 finished on 16:08:28 and then left at 16:09:43</t>
        </is>
      </c>
    </row>
    <row r="116">
      <c r="A116" s="3" t="inlineStr">
        <is>
          <t>1002803</t>
        </is>
      </c>
      <c r="B116" s="3" t="inlineStr">
        <is>
          <t>10028</t>
        </is>
      </c>
      <c r="C116" s="9" t="n">
        <v>135</v>
      </c>
      <c r="D116" s="3" t="inlineStr">
        <is>
          <t>Wr. Neustadt (Hödlmayr)</t>
        </is>
      </c>
      <c r="E116" s="10" t="n">
        <v>45660.83549768518</v>
      </c>
      <c r="F116" s="10" t="n">
        <v>45660.85402777778</v>
      </c>
      <c r="G116" s="10" t="n">
        <v>45660.85543981481</v>
      </c>
      <c r="H116" s="3" t="inlineStr">
        <is>
          <t>OBT030125203727-Wr. Neustadt (Hödlmayr)</t>
        </is>
      </c>
      <c r="I116" s="10" t="n">
        <v>45660.86020833333</v>
      </c>
      <c r="J116" s="10" t="n">
        <v>45660.89302083333</v>
      </c>
      <c r="K116" s="10" t="n">
        <v>45660.89302083333</v>
      </c>
      <c r="L116" s="10" t="n">
        <v>45660.89388888889</v>
      </c>
      <c r="M116" s="11">
        <f>IF(AND(ISNUMBER(E116),ISNUMBER(G116)),(G116-E116),"")</f>
        <v/>
      </c>
      <c r="N116" s="11">
        <f>IF(AND(ISNUMBER(G116),ISNUMBER(L116)),(L116-G116),"")</f>
        <v/>
      </c>
      <c r="O116" s="10" t="n">
        <v>45660.85934027778</v>
      </c>
      <c r="P116" s="11">
        <f>IF(AND(ISNUMBER(I116),ISNUMBER(O116)),(I116-O116),"")</f>
        <v/>
      </c>
      <c r="Q116" s="12" t="inlineStr">
        <is>
          <t>WG 1002803 entered track and got coupled to WG 1002503, OBTP started on 20:38:42 finished on 21:25:57 and then left at 21:27:12</t>
        </is>
      </c>
    </row>
    <row r="117">
      <c r="A117" s="3" t="inlineStr">
        <is>
          <t>1002804</t>
        </is>
      </c>
      <c r="B117" s="3" t="inlineStr">
        <is>
          <t>10028</t>
        </is>
      </c>
      <c r="C117" s="9" t="n">
        <v>77.95999999999999</v>
      </c>
      <c r="D117" s="3" t="inlineStr">
        <is>
          <t>Pitten (Hamburger)</t>
        </is>
      </c>
      <c r="E117" s="10" t="n">
        <v>45660.83549768518</v>
      </c>
      <c r="F117" s="10" t="n">
        <v>45660.85543981481</v>
      </c>
      <c r="G117" s="10" t="n">
        <v>45660.85734953704</v>
      </c>
      <c r="H117" s="3" t="inlineStr">
        <is>
          <t>OBT030125204535-Pitten (Hamburger)</t>
        </is>
      </c>
      <c r="I117" s="10" t="n">
        <v>45660.8775</v>
      </c>
      <c r="J117" s="10" t="n">
        <v>45660.9099074074</v>
      </c>
      <c r="K117" s="10" t="n">
        <v>45660.9099074074</v>
      </c>
      <c r="L117" s="10" t="n">
        <v>45660.91072916667</v>
      </c>
      <c r="M117" s="11">
        <f>IF(AND(ISNUMBER(E117),ISNUMBER(G117)),(G117-E117),"")</f>
        <v/>
      </c>
      <c r="N117" s="11">
        <f>IF(AND(ISNUMBER(G117),ISNUMBER(L117)),(L117-G117),"")</f>
        <v/>
      </c>
      <c r="O117" s="10" t="n">
        <v>45660.85951388889</v>
      </c>
      <c r="P117" s="11">
        <f>IF(AND(ISNUMBER(I117),ISNUMBER(O117)),(I117-O117),"")</f>
        <v/>
      </c>
      <c r="Q117" s="12" t="inlineStr">
        <is>
          <t>WG 1002804 entered track and got secured then waited 0:07:53 for WG 1002806 to get coupled, OBTP started on 21:03:36 finished on 21:50:16 and then left at 21:51:27</t>
        </is>
      </c>
    </row>
    <row r="118">
      <c r="A118" s="3" t="inlineStr">
        <is>
          <t>1002805</t>
        </is>
      </c>
      <c r="B118" s="3" t="inlineStr">
        <is>
          <t>10028</t>
        </is>
      </c>
      <c r="C118" s="9" t="n">
        <v>141.66</v>
      </c>
      <c r="D118" s="3" t="inlineStr">
        <is>
          <t>Ebenfurth (beet loading)</t>
        </is>
      </c>
      <c r="E118" s="10" t="n">
        <v>45660.83549768518</v>
      </c>
      <c r="F118" s="10" t="n">
        <v>45660.85734953704</v>
      </c>
      <c r="G118" s="10" t="n">
        <v>45660.85945601852</v>
      </c>
      <c r="H118" s="3" t="inlineStr">
        <is>
          <t>OBT030125204417-Ebenfurth (beet loading)</t>
        </is>
      </c>
      <c r="I118" s="10" t="n">
        <v>45660.87092592593</v>
      </c>
      <c r="J118" s="10" t="n">
        <v>45660.90098379629</v>
      </c>
      <c r="K118" s="10" t="n">
        <v>45660.90098379629</v>
      </c>
      <c r="L118" s="10" t="n">
        <v>45660.90193287037</v>
      </c>
      <c r="M118" s="11">
        <f>IF(AND(ISNUMBER(E118),ISNUMBER(G118)),(G118-E118),"")</f>
        <v/>
      </c>
      <c r="N118" s="11">
        <f>IF(AND(ISNUMBER(G118),ISNUMBER(L118)),(L118-G118),"")</f>
        <v/>
      </c>
      <c r="O118" s="10" t="n">
        <v>45660.86408564815</v>
      </c>
      <c r="P118" s="11">
        <f>IF(AND(ISNUMBER(I118),ISNUMBER(O118)),(I118-O118),"")</f>
        <v/>
      </c>
      <c r="Q118" s="12" t="inlineStr">
        <is>
          <t>WG 1002805 entered track and got coupled to WG 1002504, OBTP started on 20:54:08 finished on 21:37:25 and then left at 21:38:47</t>
        </is>
      </c>
    </row>
    <row r="119">
      <c r="A119" s="3" t="inlineStr">
        <is>
          <t>1002806</t>
        </is>
      </c>
      <c r="B119" s="3" t="inlineStr">
        <is>
          <t>10028</t>
        </is>
      </c>
      <c r="C119" s="9" t="n">
        <v>108.7</v>
      </c>
      <c r="D119" s="3" t="inlineStr">
        <is>
          <t>Pitten (Hamburger)</t>
        </is>
      </c>
      <c r="E119" s="10" t="n">
        <v>45660.83549768518</v>
      </c>
      <c r="F119" s="10" t="n">
        <v>45660.85945601852</v>
      </c>
      <c r="G119" s="10" t="n">
        <v>45660.86143518519</v>
      </c>
      <c r="H119" s="3" t="inlineStr">
        <is>
          <t>OBT030125204535-Pitten (Hamburger)</t>
        </is>
      </c>
      <c r="I119" s="10" t="n">
        <v>45660.8775</v>
      </c>
      <c r="J119" s="10" t="n">
        <v>45660.9099074074</v>
      </c>
      <c r="K119" s="10" t="n">
        <v>45660.9099074074</v>
      </c>
      <c r="L119" s="10" t="n">
        <v>45660.91072916667</v>
      </c>
      <c r="M119" s="11">
        <f>IF(AND(ISNUMBER(E119),ISNUMBER(G119)),(G119-E119),"")</f>
        <v/>
      </c>
      <c r="N119" s="11">
        <f>IF(AND(ISNUMBER(G119),ISNUMBER(L119)),(L119-G119),"")</f>
        <v/>
      </c>
      <c r="O119" s="10" t="n">
        <v>45660.86498842593</v>
      </c>
      <c r="P119" s="11">
        <f>IF(AND(ISNUMBER(I119),ISNUMBER(O119)),(I119-O119),"")</f>
        <v/>
      </c>
      <c r="Q119" s="12" t="inlineStr">
        <is>
          <t>WG 1002806 entered track and got coupled to WG 1002804, OBTP started on 21:03:36 finished on 21:50:16 and then left at 21:51:27</t>
        </is>
      </c>
    </row>
    <row r="120">
      <c r="A120" s="3" t="inlineStr">
        <is>
          <t>1002807</t>
        </is>
      </c>
      <c r="B120" s="3" t="inlineStr">
        <is>
          <t>10028</t>
        </is>
      </c>
      <c r="C120" s="9" t="n">
        <v>33.9</v>
      </c>
      <c r="D120" s="3" t="inlineStr">
        <is>
          <t>Other sidings local</t>
        </is>
      </c>
      <c r="E120" s="10" t="n">
        <v>45660.83549768518</v>
      </c>
      <c r="F120" s="10" t="n">
        <v>45660.86143518519</v>
      </c>
      <c r="G120" s="10" t="n">
        <v>45660.86295138889</v>
      </c>
      <c r="H120" s="3" t="inlineStr">
        <is>
          <t>OBT030125205107-Other sidings local</t>
        </is>
      </c>
      <c r="I120" s="10" t="n">
        <v>45660.89475694444</v>
      </c>
      <c r="J120" s="10" t="n">
        <v>45660.91472222222</v>
      </c>
      <c r="K120" s="10" t="n">
        <v>45660.91472222222</v>
      </c>
      <c r="L120" s="10" t="n">
        <v>45660.91559027778</v>
      </c>
      <c r="M120" s="11">
        <f>IF(AND(ISNUMBER(E120),ISNUMBER(G120)),(G120-E120),"")</f>
        <v/>
      </c>
      <c r="N120" s="11">
        <f>IF(AND(ISNUMBER(G120),ISNUMBER(L120)),(L120-G120),"")</f>
        <v/>
      </c>
      <c r="O120" s="10" t="n">
        <v>45660.86883101852</v>
      </c>
      <c r="P120" s="11">
        <f>IF(AND(ISNUMBER(I120),ISNUMBER(O120)),(I120-O120),"")</f>
        <v/>
      </c>
      <c r="Q120" s="12" t="inlineStr">
        <is>
          <t>WG 1002807 entered track and got coupled to WG 1001807, OBTP started on 21:28:27 finished on 21:57:12 and then left at 21:58:27</t>
        </is>
      </c>
    </row>
    <row r="121">
      <c r="A121" s="3" t="inlineStr">
        <is>
          <t>1002808</t>
        </is>
      </c>
      <c r="B121" s="3" t="inlineStr">
        <is>
          <t>10028</t>
        </is>
      </c>
      <c r="C121" s="9" t="n">
        <v>19.9</v>
      </c>
      <c r="D121" s="3" t="inlineStr">
        <is>
          <t>Neudörfl (FunderMax)</t>
        </is>
      </c>
      <c r="E121" s="10" t="n">
        <v>45660.83549768518</v>
      </c>
      <c r="F121" s="10" t="n">
        <v>45660.86295138889</v>
      </c>
      <c r="G121" s="10" t="n">
        <v>45660.86420138889</v>
      </c>
      <c r="H121" s="3" t="inlineStr">
        <is>
          <t>OBT030125220232-Neudörfl (FunderMax)</t>
        </is>
      </c>
      <c r="I121" s="10" t="n">
        <v>45660.91929398148</v>
      </c>
      <c r="J121" s="10" t="n">
        <v>45660.9384375</v>
      </c>
      <c r="K121" s="10" t="n">
        <v>45660.9384375</v>
      </c>
      <c r="L121" s="10" t="n">
        <v>45660.93917824074</v>
      </c>
      <c r="M121" s="11">
        <f>IF(AND(ISNUMBER(E121),ISNUMBER(G121)),(G121-E121),"")</f>
        <v/>
      </c>
      <c r="N121" s="11">
        <f>IF(AND(ISNUMBER(G121),ISNUMBER(L121)),(L121-G121),"")</f>
        <v/>
      </c>
      <c r="O121" s="10" t="n">
        <v>45660.86930555556</v>
      </c>
      <c r="P121" s="11">
        <f>IF(AND(ISNUMBER(I121),ISNUMBER(O121)),(I121-O121),"")</f>
        <v/>
      </c>
      <c r="Q121" s="12" t="inlineStr">
        <is>
          <t>WG 1002808 entered track and got coupled to WG 1002505 then waited 1:03:56 for WG 1002907 to get coupled then waited 0:06:48 for WG 1002911 to get coupled, OBTP started on 22:03:47 finished on 22:31:21 and then left at 22:32:25</t>
        </is>
      </c>
    </row>
    <row r="122">
      <c r="A122" s="3" t="inlineStr">
        <is>
          <t>1002901</t>
        </is>
      </c>
      <c r="B122" s="3" t="inlineStr">
        <is>
          <t>10029</t>
        </is>
      </c>
      <c r="C122" s="9" t="n">
        <v>19.9</v>
      </c>
      <c r="D122" s="3" t="inlineStr">
        <is>
          <t>Wr. Neustadt Ausfahrbf (Furtenbach)</t>
        </is>
      </c>
      <c r="E122" s="10" t="n">
        <v>45660.87350694444</v>
      </c>
      <c r="F122" s="10" t="n">
        <v>45660.89387731482</v>
      </c>
      <c r="G122" s="10" t="n">
        <v>45660.89559027777</v>
      </c>
      <c r="H122" s="3" t="inlineStr">
        <is>
          <t>OBT070125180657-Wr. Neustadt Ausfahrbf (Furtenbach)</t>
        </is>
      </c>
      <c r="I122" s="10" t="n">
        <v>45664.75568287037</v>
      </c>
      <c r="J122" s="10" t="n">
        <v>45664.77986111111</v>
      </c>
      <c r="K122" s="10" t="n">
        <v>45664.77986111111</v>
      </c>
      <c r="L122" s="10" t="n">
        <v>45664.78077546296</v>
      </c>
      <c r="M122" s="11">
        <f>IF(AND(ISNUMBER(E122),ISNUMBER(G122)),(G122-E122),"")</f>
        <v/>
      </c>
      <c r="N122" s="11">
        <f>IF(AND(ISNUMBER(G122),ISNUMBER(L122)),(L122-G122),"")</f>
        <v/>
      </c>
      <c r="O122" s="10" t="n">
        <v>45660.90392361111</v>
      </c>
      <c r="P122" s="11">
        <f>IF(AND(ISNUMBER(I122),ISNUMBER(O122)),(I122-O122),"")</f>
        <v/>
      </c>
      <c r="Q122" s="12" t="inlineStr">
        <is>
          <t>WG 1002901 entered track and got secured then waited 82:13:33 for WG 1003602 to get coupled then waited 1:42:24 for WG 1004005 to get coupled then waited 6:21:25 for WG 1004411 to get coupled then waited 2:07:56 for WG 1004705 to get coupled, OBTP started on 18:08:11 finished on 18:43:00 and then left at 18:44:19</t>
        </is>
      </c>
    </row>
    <row r="123">
      <c r="A123" s="3" t="inlineStr">
        <is>
          <t>1002902</t>
        </is>
      </c>
      <c r="B123" s="3" t="inlineStr">
        <is>
          <t>10029</t>
        </is>
      </c>
      <c r="C123" s="9" t="n">
        <v>69.72</v>
      </c>
      <c r="D123" s="3" t="inlineStr">
        <is>
          <t>Pitten (Hamburger)</t>
        </is>
      </c>
      <c r="E123" s="10" t="n">
        <v>45660.87350694444</v>
      </c>
      <c r="F123" s="10" t="n">
        <v>45660.89559027777</v>
      </c>
      <c r="G123" s="10" t="n">
        <v>45660.89763888889</v>
      </c>
      <c r="H123" s="3" t="inlineStr">
        <is>
          <t>OBT050125180143-Pitten (Hamburger)</t>
        </is>
      </c>
      <c r="I123" s="10" t="n">
        <v>45662.75206018519</v>
      </c>
      <c r="J123" s="10" t="n">
        <v>45662.82103009259</v>
      </c>
      <c r="K123" s="10" t="n">
        <v>45662.82103009259</v>
      </c>
      <c r="L123" s="10" t="n">
        <v>45662.8225</v>
      </c>
      <c r="M123" s="11">
        <f>IF(AND(ISNUMBER(E123),ISNUMBER(G123)),(G123-E123),"")</f>
        <v/>
      </c>
      <c r="N123" s="11">
        <f>IF(AND(ISNUMBER(G123),ISNUMBER(L123)),(L123-G123),"")</f>
        <v/>
      </c>
      <c r="O123" s="10" t="n">
        <v>45660.90421296296</v>
      </c>
      <c r="P123" s="11">
        <f>IF(AND(ISNUMBER(I123),ISNUMBER(O123)),(I123-O123),"")</f>
        <v/>
      </c>
      <c r="Q123" s="12" t="inlineStr">
        <is>
          <t>WG 1002902 entered track and got secured then waited 0:06:50 for WG 1002904 to get coupled then waited 8:15:02 for WG 1003003 to get coupled then waited 35:57:47 for WG 1003102 to get coupled, OBTP started on 18:02:58 finished on 19:42:17 and then left at 19:44:24</t>
        </is>
      </c>
    </row>
    <row r="124">
      <c r="A124" s="3" t="inlineStr">
        <is>
          <t>1002903</t>
        </is>
      </c>
      <c r="B124" s="3" t="inlineStr">
        <is>
          <t>10029</t>
        </is>
      </c>
      <c r="C124" s="9" t="n">
        <v>12.04</v>
      </c>
      <c r="D124" s="3" t="inlineStr">
        <is>
          <t>Ternitz (Schoeller-Bleckmann)</t>
        </is>
      </c>
      <c r="E124" s="10" t="n">
        <v>45660.87350694444</v>
      </c>
      <c r="F124" s="10" t="n">
        <v>45660.89763888889</v>
      </c>
      <c r="G124" s="10" t="n">
        <v>45660.89951388889</v>
      </c>
      <c r="H124" s="3" t="inlineStr">
        <is>
          <t>OBT070125075235-Neudörfl (FunderMax)</t>
        </is>
      </c>
      <c r="I124" s="10" t="n">
        <v>45664.34056712963</v>
      </c>
      <c r="J124" s="10" t="n">
        <v>45664.3603125</v>
      </c>
      <c r="K124" s="10" t="n">
        <v>45664.3603125</v>
      </c>
      <c r="L124" s="10" t="n">
        <v>45664.36096064815</v>
      </c>
      <c r="M124" s="11">
        <f>IF(AND(ISNUMBER(E124),ISNUMBER(G124)),(G124-E124),"")</f>
        <v/>
      </c>
      <c r="N124" s="11">
        <f>IF(AND(ISNUMBER(G124),ISNUMBER(L124)),(L124-G124),"")</f>
        <v/>
      </c>
      <c r="O124" s="10" t="n">
        <v>45660.90685185185</v>
      </c>
      <c r="P124" s="11">
        <f>IF(AND(ISNUMBER(I124),ISNUMBER(O124)),(I124-O124),"")</f>
        <v/>
      </c>
      <c r="Q124" s="12" t="inlineStr">
        <is>
          <t>WG 1002903 entered track and got secured then waited 46:47:52 for WG 1003202 to get coupled then waited 30:35:03 for WG 1003401 to get coupled then waited 0:05:40 for WG 1003403 to get coupled then waited 4:38:08 for WG 1003601 to get coupled, OBTP started on 08:10:25 finished on 08:38:51 and then left at 08:39:47</t>
        </is>
      </c>
    </row>
    <row r="125">
      <c r="A125" s="3" t="inlineStr">
        <is>
          <t>1002904</t>
        </is>
      </c>
      <c r="B125" s="3" t="inlineStr">
        <is>
          <t>10029</t>
        </is>
      </c>
      <c r="C125" s="9" t="n">
        <v>77.95999999999999</v>
      </c>
      <c r="D125" s="3" t="inlineStr">
        <is>
          <t>Pitten (Hamburger)</t>
        </is>
      </c>
      <c r="E125" s="10" t="n">
        <v>45660.87350694444</v>
      </c>
      <c r="F125" s="10" t="n">
        <v>45660.89951388889</v>
      </c>
      <c r="G125" s="10" t="n">
        <v>45660.90158564815</v>
      </c>
      <c r="H125" s="3" t="inlineStr">
        <is>
          <t>OBT050125180143-Pitten (Hamburger)</t>
        </is>
      </c>
      <c r="I125" s="10" t="n">
        <v>45662.75206018519</v>
      </c>
      <c r="J125" s="10" t="n">
        <v>45662.82103009259</v>
      </c>
      <c r="K125" s="10" t="n">
        <v>45662.82103009259</v>
      </c>
      <c r="L125" s="10" t="n">
        <v>45662.8225</v>
      </c>
      <c r="M125" s="11">
        <f>IF(AND(ISNUMBER(E125),ISNUMBER(G125)),(G125-E125),"")</f>
        <v/>
      </c>
      <c r="N125" s="11">
        <f>IF(AND(ISNUMBER(G125),ISNUMBER(L125)),(L125-G125),"")</f>
        <v/>
      </c>
      <c r="O125" s="10" t="n">
        <v>45660.90895833333</v>
      </c>
      <c r="P125" s="11">
        <f>IF(AND(ISNUMBER(I125),ISNUMBER(O125)),(I125-O125),"")</f>
        <v/>
      </c>
      <c r="Q125" s="12" t="inlineStr">
        <is>
          <t>WG 1002904 entered track and got coupled to WG 1002902 then waited 8:15:02 for WG 1003003 to get coupled then waited 35:57:47 for WG 1003102 to get coupled, OBTP started on 18:02:58 finished on 19:42:17 and then left at 19:44:24</t>
        </is>
      </c>
    </row>
    <row r="126">
      <c r="A126" s="3" t="inlineStr">
        <is>
          <t>1002905</t>
        </is>
      </c>
      <c r="B126" s="3" t="inlineStr">
        <is>
          <t>10029</t>
        </is>
      </c>
      <c r="C126" s="9" t="n">
        <v>15.74</v>
      </c>
      <c r="D126" s="3" t="inlineStr">
        <is>
          <t>Other sidings north</t>
        </is>
      </c>
      <c r="E126" s="10" t="n">
        <v>45660.87350694444</v>
      </c>
      <c r="F126" s="10" t="n">
        <v>45660.90158564815</v>
      </c>
      <c r="G126" s="10" t="n">
        <v>45660.90283564815</v>
      </c>
      <c r="H126" s="3" t="inlineStr">
        <is>
          <t>OBT070125080206-Other sidings north</t>
        </is>
      </c>
      <c r="I126" s="10" t="n">
        <v>45664.36684027778</v>
      </c>
      <c r="J126" s="10" t="n">
        <v>45664.40400462963</v>
      </c>
      <c r="K126" s="10" t="n">
        <v>45664.40400462963</v>
      </c>
      <c r="L126" s="10" t="n">
        <v>45664.4050462963</v>
      </c>
      <c r="M126" s="11">
        <f>IF(AND(ISNUMBER(E126),ISNUMBER(G126)),(G126-E126),"")</f>
        <v/>
      </c>
      <c r="N126" s="11">
        <f>IF(AND(ISNUMBER(G126),ISNUMBER(L126)),(L126-G126),"")</f>
        <v/>
      </c>
      <c r="O126" s="10" t="n">
        <v>45660.9097800926</v>
      </c>
      <c r="P126" s="11">
        <f>IF(AND(ISNUMBER(I126),ISNUMBER(O126)),(I126-O126),"")</f>
        <v/>
      </c>
      <c r="Q126" s="12" t="inlineStr">
        <is>
          <t>WG 1002905 entered track and got secured then waited 0:07:00 for WG 1002906 to get coupled then waited 82:02:19 for WG 1003603 to get coupled then waited 0:02:42 for WG 1003604 to get coupled, OBTP started on 08:48:15 finished on 09:41:46 and then left at 09:43:16</t>
        </is>
      </c>
    </row>
    <row r="127">
      <c r="A127" s="3" t="inlineStr">
        <is>
          <t>1002906</t>
        </is>
      </c>
      <c r="B127" s="3" t="inlineStr">
        <is>
          <t>10029</t>
        </is>
      </c>
      <c r="C127" s="9" t="n">
        <v>81</v>
      </c>
      <c r="D127" s="3" t="inlineStr">
        <is>
          <t>Wr. Neustadt (Hödlmayr)</t>
        </is>
      </c>
      <c r="E127" s="10" t="n">
        <v>45660.87350694444</v>
      </c>
      <c r="F127" s="10" t="n">
        <v>45660.90283564815</v>
      </c>
      <c r="G127" s="10" t="n">
        <v>45660.90424768518</v>
      </c>
      <c r="H127" s="3" t="inlineStr">
        <is>
          <t>OBT070125080206-Other sidings north</t>
        </is>
      </c>
      <c r="I127" s="10" t="n">
        <v>45664.36684027778</v>
      </c>
      <c r="J127" s="10" t="n">
        <v>45664.40400462963</v>
      </c>
      <c r="K127" s="10" t="n">
        <v>45664.40400462963</v>
      </c>
      <c r="L127" s="10" t="n">
        <v>45664.4050462963</v>
      </c>
      <c r="M127" s="11">
        <f>IF(AND(ISNUMBER(E127),ISNUMBER(G127)),(G127-E127),"")</f>
        <v/>
      </c>
      <c r="N127" s="11">
        <f>IF(AND(ISNUMBER(G127),ISNUMBER(L127)),(L127-G127),"")</f>
        <v/>
      </c>
      <c r="O127" s="10" t="n">
        <v>45660.9146412037</v>
      </c>
      <c r="P127" s="11">
        <f>IF(AND(ISNUMBER(I127),ISNUMBER(O127)),(I127-O127),"")</f>
        <v/>
      </c>
      <c r="Q127" s="12" t="inlineStr">
        <is>
          <t>WG 1002906 entered track and got coupled to WG 1002905 then waited 82:02:19 for WG 1003603 to get coupled then waited 0:02:42 for WG 1003604 to get coupled, OBTP started on 08:48:15 finished on 09:41:46 and then left at 09:43:16</t>
        </is>
      </c>
    </row>
    <row r="128">
      <c r="A128" s="3" t="inlineStr">
        <is>
          <t>1002907</t>
        </is>
      </c>
      <c r="B128" s="3" t="inlineStr">
        <is>
          <t>10029</t>
        </is>
      </c>
      <c r="C128" s="9" t="n">
        <v>16.5</v>
      </c>
      <c r="D128" s="3" t="inlineStr">
        <is>
          <t>Neudörfl (FunderMax)</t>
        </is>
      </c>
      <c r="E128" s="10" t="n">
        <v>45660.87350694444</v>
      </c>
      <c r="F128" s="10" t="n">
        <v>45660.90424768518</v>
      </c>
      <c r="G128" s="10" t="n">
        <v>45660.90560185185</v>
      </c>
      <c r="H128" s="3" t="inlineStr">
        <is>
          <t>OBT030125220232-Neudörfl (FunderMax)</t>
        </is>
      </c>
      <c r="I128" s="10" t="n">
        <v>45660.91929398148</v>
      </c>
      <c r="J128" s="10" t="n">
        <v>45660.9384375</v>
      </c>
      <c r="K128" s="10" t="n">
        <v>45660.9384375</v>
      </c>
      <c r="L128" s="10" t="n">
        <v>45660.93917824074</v>
      </c>
      <c r="M128" s="11">
        <f>IF(AND(ISNUMBER(E128),ISNUMBER(G128)),(G128-E128),"")</f>
        <v/>
      </c>
      <c r="N128" s="11">
        <f>IF(AND(ISNUMBER(G128),ISNUMBER(L128)),(L128-G128),"")</f>
        <v/>
      </c>
      <c r="O128" s="10" t="n">
        <v>45660.91370370371</v>
      </c>
      <c r="P128" s="11">
        <f>IF(AND(ISNUMBER(I128),ISNUMBER(O128)),(I128-O128),"")</f>
        <v/>
      </c>
      <c r="Q128" s="12" t="inlineStr">
        <is>
          <t>WG 1002907 entered track and got coupled to WG 1002808 then waited 0:06:48 for WG 1002911 to get coupled, OBTP started on 22:03:47 finished on 22:31:21 and then left at 22:32:25</t>
        </is>
      </c>
    </row>
    <row r="129">
      <c r="A129" s="3" t="inlineStr">
        <is>
          <t>1002908</t>
        </is>
      </c>
      <c r="B129" s="3" t="inlineStr">
        <is>
          <t>10029</t>
        </is>
      </c>
      <c r="C129" s="9" t="n">
        <v>61.9</v>
      </c>
      <c r="D129" s="3" t="inlineStr">
        <is>
          <t>Neunkirchen (loading tracks)</t>
        </is>
      </c>
      <c r="E129" s="10" t="n">
        <v>45660.87350694444</v>
      </c>
      <c r="F129" s="10" t="n">
        <v>45660.90560185185</v>
      </c>
      <c r="G129" s="10" t="n">
        <v>45660.90743055556</v>
      </c>
      <c r="H129" s="3" t="inlineStr">
        <is>
          <t>OBT070125031735-Neunkirchen (loading tracks)</t>
        </is>
      </c>
      <c r="I129" s="10" t="n">
        <v>45664.13804398148</v>
      </c>
      <c r="J129" s="10" t="n">
        <v>45664.18449074074</v>
      </c>
      <c r="K129" s="10" t="n">
        <v>45664.18449074074</v>
      </c>
      <c r="L129" s="10" t="n">
        <v>45664.18564814814</v>
      </c>
      <c r="M129" s="11">
        <f>IF(AND(ISNUMBER(E129),ISNUMBER(G129)),(G129-E129),"")</f>
        <v/>
      </c>
      <c r="N129" s="11">
        <f>IF(AND(ISNUMBER(G129),ISNUMBER(L129)),(L129-G129),"")</f>
        <v/>
      </c>
      <c r="O129" s="10" t="n">
        <v>45660.9141087963</v>
      </c>
      <c r="P129" s="11">
        <f>IF(AND(ISNUMBER(I129),ISNUMBER(O129)),(I129-O129),"")</f>
        <v/>
      </c>
      <c r="Q129" s="12" t="inlineStr">
        <is>
          <t>WG 1002908 entered track and got coupled to WG 1002511 then waited 77:21:16 for WG 1003404 to get coupled, OBTP started on 03:18:47 finished on 04:25:40 and then left at 04:27:20</t>
        </is>
      </c>
    </row>
    <row r="130">
      <c r="A130" s="3" t="inlineStr">
        <is>
          <t>1002909</t>
        </is>
      </c>
      <c r="B130" s="3" t="inlineStr">
        <is>
          <t>10029</t>
        </is>
      </c>
      <c r="C130" s="9" t="n">
        <v>19.9</v>
      </c>
      <c r="D130" s="3" t="inlineStr">
        <is>
          <t>Felixdorf/Sollenau (Bundesheer, Maba)</t>
        </is>
      </c>
      <c r="E130" s="10" t="n">
        <v>45660.87350694444</v>
      </c>
      <c r="F130" s="10" t="n">
        <v>45660.90743055556</v>
      </c>
      <c r="G130" s="10" t="n">
        <v>45660.909375</v>
      </c>
      <c r="H130" s="3" t="inlineStr">
        <is>
          <t>OBT080125153109-Felixdorf/Sollenau (Bundesheer, Maba)</t>
        </is>
      </c>
      <c r="I130" s="10" t="n">
        <v>45665.64836805555</v>
      </c>
      <c r="J130" s="10" t="n">
        <v>45665.67254629629</v>
      </c>
      <c r="K130" s="10" t="n">
        <v>45665.67254629629</v>
      </c>
      <c r="L130" s="10" t="n">
        <v>45665.67341435186</v>
      </c>
      <c r="M130" s="11">
        <f>IF(AND(ISNUMBER(E130),ISNUMBER(G130)),(G130-E130),"")</f>
        <v/>
      </c>
      <c r="N130" s="11">
        <f>IF(AND(ISNUMBER(G130),ISNUMBER(L130)),(L130-G130),"")</f>
        <v/>
      </c>
      <c r="O130" s="10" t="n">
        <v>45660.91469907408</v>
      </c>
      <c r="P130" s="11">
        <f>IF(AND(ISNUMBER(I130),ISNUMBER(O130)),(I130-O130),"")</f>
        <v/>
      </c>
      <c r="Q130" s="12" t="inlineStr">
        <is>
          <t>WG 1002909 entered track and got coupled to WG 1002802 then waited 92:22:16 for WG 1004709 to get coupled then waited 13:46:11 for WG 1005302 to get coupled then waited 7:25:32 for WG 1006001 to get coupled, OBTP started on 15:33:39 finished on 16:08:28 and then left at 16:09:43</t>
        </is>
      </c>
    </row>
    <row r="131">
      <c r="A131" s="3" t="inlineStr">
        <is>
          <t>1002910</t>
        </is>
      </c>
      <c r="B131" s="3" t="inlineStr">
        <is>
          <t>10029</t>
        </is>
      </c>
      <c r="C131" s="9" t="n">
        <v>110.18</v>
      </c>
      <c r="D131" s="3" t="inlineStr">
        <is>
          <t>Ebenfurth (beet loading)</t>
        </is>
      </c>
      <c r="E131" s="10" t="n">
        <v>45660.87350694444</v>
      </c>
      <c r="F131" s="10" t="n">
        <v>45660.909375</v>
      </c>
      <c r="G131" s="10" t="n">
        <v>45660.91071759259</v>
      </c>
      <c r="H131" s="3" t="inlineStr">
        <is>
          <t>OBT030125220353-Other sidings south</t>
        </is>
      </c>
      <c r="I131" s="10" t="n">
        <v>45660.92020833334</v>
      </c>
      <c r="J131" s="10" t="n">
        <v>45660.94625</v>
      </c>
      <c r="K131" s="10" t="n">
        <v>45660.94625</v>
      </c>
      <c r="L131" s="10" t="n">
        <v>45660.94706018519</v>
      </c>
      <c r="M131" s="11">
        <f>IF(AND(ISNUMBER(E131),ISNUMBER(G131)),(G131-E131),"")</f>
        <v/>
      </c>
      <c r="N131" s="11">
        <f>IF(AND(ISNUMBER(G131),ISNUMBER(L131)),(L131-G131),"")</f>
        <v/>
      </c>
      <c r="O131" s="10" t="n">
        <v>45660.91846064815</v>
      </c>
      <c r="P131" s="11">
        <f>IF(AND(ISNUMBER(I131),ISNUMBER(O131)),(I131-O131),"")</f>
        <v/>
      </c>
      <c r="Q131" s="12" t="inlineStr">
        <is>
          <t>WG 1002910 entered track and got coupled to WG 1001802 then waited 0:01:18 for WG 1002912 to get coupled, OBTP started on 22:05:06 finished on 22:42:36 and then left at 22:43:46</t>
        </is>
      </c>
    </row>
    <row r="132">
      <c r="A132" s="3" t="inlineStr">
        <is>
          <t>1002911</t>
        </is>
      </c>
      <c r="B132" s="3" t="inlineStr">
        <is>
          <t>10029</t>
        </is>
      </c>
      <c r="C132" s="9" t="n">
        <v>36.4</v>
      </c>
      <c r="D132" s="3" t="inlineStr">
        <is>
          <t>Neudörfl (FunderMax)</t>
        </is>
      </c>
      <c r="E132" s="10" t="n">
        <v>45660.87350694444</v>
      </c>
      <c r="F132" s="10" t="n">
        <v>45660.91071759259</v>
      </c>
      <c r="G132" s="10" t="n">
        <v>45660.91212962963</v>
      </c>
      <c r="H132" s="3" t="inlineStr">
        <is>
          <t>OBT030125220232-Neudörfl (FunderMax)</t>
        </is>
      </c>
      <c r="I132" s="10" t="n">
        <v>45660.91929398148</v>
      </c>
      <c r="J132" s="10" t="n">
        <v>45660.9384375</v>
      </c>
      <c r="K132" s="10" t="n">
        <v>45660.9384375</v>
      </c>
      <c r="L132" s="10" t="n">
        <v>45660.93917824074</v>
      </c>
      <c r="M132" s="11">
        <f>IF(AND(ISNUMBER(E132),ISNUMBER(G132)),(G132-E132),"")</f>
        <v/>
      </c>
      <c r="N132" s="11">
        <f>IF(AND(ISNUMBER(G132),ISNUMBER(L132)),(L132-G132),"")</f>
        <v/>
      </c>
      <c r="O132" s="10" t="n">
        <v>45660.91842592593</v>
      </c>
      <c r="P132" s="11">
        <f>IF(AND(ISNUMBER(I132),ISNUMBER(O132)),(I132-O132),"")</f>
        <v/>
      </c>
      <c r="Q132" s="12" t="inlineStr">
        <is>
          <t>WG 1002911 entered track and got coupled to WG 1002907, OBTP started on 22:03:47 finished on 22:31:21 and then left at 22:32:25</t>
        </is>
      </c>
    </row>
    <row r="133">
      <c r="A133" s="3" t="inlineStr">
        <is>
          <t>1002912</t>
        </is>
      </c>
      <c r="B133" s="3" t="inlineStr">
        <is>
          <t>10029</t>
        </is>
      </c>
      <c r="C133" s="9" t="n">
        <v>19.9</v>
      </c>
      <c r="D133" s="3" t="inlineStr">
        <is>
          <t>Other sidings south</t>
        </is>
      </c>
      <c r="E133" s="10" t="n">
        <v>45660.87350694444</v>
      </c>
      <c r="F133" s="10" t="n">
        <v>45660.91212962963</v>
      </c>
      <c r="G133" s="10" t="n">
        <v>45660.91327546296</v>
      </c>
      <c r="H133" s="3" t="inlineStr">
        <is>
          <t>OBT030125220353-Other sidings south</t>
        </is>
      </c>
      <c r="I133" s="10" t="n">
        <v>45660.92020833334</v>
      </c>
      <c r="J133" s="10" t="n">
        <v>45660.94625</v>
      </c>
      <c r="K133" s="10" t="n">
        <v>45660.94625</v>
      </c>
      <c r="L133" s="10" t="n">
        <v>45660.94706018519</v>
      </c>
      <c r="M133" s="11">
        <f>IF(AND(ISNUMBER(E133),ISNUMBER(G133)),(G133-E133),"")</f>
        <v/>
      </c>
      <c r="N133" s="11">
        <f>IF(AND(ISNUMBER(G133),ISNUMBER(L133)),(L133-G133),"")</f>
        <v/>
      </c>
      <c r="O133" s="10" t="n">
        <v>45660.91936342593</v>
      </c>
      <c r="P133" s="11">
        <f>IF(AND(ISNUMBER(I133),ISNUMBER(O133)),(I133-O133),"")</f>
        <v/>
      </c>
      <c r="Q133" s="12" t="inlineStr">
        <is>
          <t>WG 1002912 entered track and got coupled to WG 1002910, OBTP started on 22:05:06 finished on 22:42:36 and then left at 22:43:46</t>
        </is>
      </c>
    </row>
    <row r="134">
      <c r="A134" s="3" t="inlineStr">
        <is>
          <t>1003001</t>
        </is>
      </c>
      <c r="B134" s="3" t="inlineStr">
        <is>
          <t>10030</t>
        </is>
      </c>
      <c r="C134" s="9" t="n">
        <v>220.36</v>
      </c>
      <c r="D134" s="3" t="inlineStr">
        <is>
          <t>Ebenfurth (beet loading)</t>
        </is>
      </c>
      <c r="E134" s="10" t="n">
        <v>45661.23746527778</v>
      </c>
      <c r="F134" s="10" t="n">
        <v>45661.24539351852</v>
      </c>
      <c r="G134" s="10" t="n">
        <v>45661.24702546297</v>
      </c>
      <c r="H134" s="3" t="inlineStr">
        <is>
          <t>OBT040125055908-Ebenfurth (beet loading)</t>
        </is>
      </c>
      <c r="I134" s="10" t="n">
        <v>45661.25024305555</v>
      </c>
      <c r="J134" s="10" t="n">
        <v>45661.28849537037</v>
      </c>
      <c r="K134" s="10" t="n">
        <v>45661.28849537037</v>
      </c>
      <c r="L134" s="10" t="n">
        <v>45661.28946759259</v>
      </c>
      <c r="M134" s="11">
        <f>IF(AND(ISNUMBER(E134),ISNUMBER(G134)),(G134-E134),"")</f>
        <v/>
      </c>
      <c r="N134" s="11">
        <f>IF(AND(ISNUMBER(G134),ISNUMBER(L134)),(L134-G134),"")</f>
        <v/>
      </c>
      <c r="O134" s="10" t="n">
        <v>45661.24939814815</v>
      </c>
      <c r="P134" s="11">
        <f>IF(AND(ISNUMBER(I134),ISNUMBER(O134)),(I134-O134),"")</f>
        <v/>
      </c>
      <c r="Q134" s="12" t="inlineStr">
        <is>
          <t>WG 1003001 entered track and got secured, OBTP started on 06:00:21 finished on 06:55:26 and then left at 06:56:50</t>
        </is>
      </c>
    </row>
    <row r="135">
      <c r="A135" s="3" t="inlineStr">
        <is>
          <t>1003002</t>
        </is>
      </c>
      <c r="B135" s="3" t="inlineStr">
        <is>
          <t>10030</t>
        </is>
      </c>
      <c r="C135" s="9" t="n">
        <v>19.9</v>
      </c>
      <c r="D135" s="3" t="inlineStr">
        <is>
          <t>Neudörfl (FunderMax)</t>
        </is>
      </c>
      <c r="E135" s="10" t="n">
        <v>45661.23746527778</v>
      </c>
      <c r="F135" s="10" t="n">
        <v>45661.24702546297</v>
      </c>
      <c r="G135" s="10" t="n">
        <v>45661.24831018518</v>
      </c>
      <c r="H135" s="3" t="inlineStr">
        <is>
          <t>OBT050125180350-Neudörfl (FunderMax)</t>
        </is>
      </c>
      <c r="I135" s="10" t="n">
        <v>45662.75349537037</v>
      </c>
      <c r="J135" s="10" t="n">
        <v>45662.7740162037</v>
      </c>
      <c r="K135" s="10" t="n">
        <v>45662.7740162037</v>
      </c>
      <c r="L135" s="10" t="n">
        <v>45662.77472222222</v>
      </c>
      <c r="M135" s="11">
        <f>IF(AND(ISNUMBER(E135),ISNUMBER(G135)),(G135-E135),"")</f>
        <v/>
      </c>
      <c r="N135" s="11">
        <f>IF(AND(ISNUMBER(G135),ISNUMBER(L135)),(L135-G135),"")</f>
        <v/>
      </c>
      <c r="O135" s="10" t="n">
        <v>45661.25070601852</v>
      </c>
      <c r="P135" s="11">
        <f>IF(AND(ISNUMBER(I135),ISNUMBER(O135)),(I135-O135),"")</f>
        <v/>
      </c>
      <c r="Q135" s="12" t="inlineStr">
        <is>
          <t>WG 1003002 entered track and got secured then waited 36:02:49 for WG 1003103 to get coupled, OBTP started on 18:05:02 finished on 18:34:35 and then left at 18:35:36</t>
        </is>
      </c>
    </row>
    <row r="136">
      <c r="A136" s="3" t="inlineStr">
        <is>
          <t>1003003</t>
        </is>
      </c>
      <c r="B136" s="3" t="inlineStr">
        <is>
          <t>10030</t>
        </is>
      </c>
      <c r="C136" s="9" t="n">
        <v>54.72</v>
      </c>
      <c r="D136" s="3" t="inlineStr">
        <is>
          <t>Pitten (Hamburger)</t>
        </is>
      </c>
      <c r="E136" s="10" t="n">
        <v>45661.23746527778</v>
      </c>
      <c r="F136" s="10" t="n">
        <v>45661.24831018518</v>
      </c>
      <c r="G136" s="10" t="n">
        <v>45661.25035879629</v>
      </c>
      <c r="H136" s="3" t="inlineStr">
        <is>
          <t>OBT050125180143-Pitten (Hamburger)</t>
        </is>
      </c>
      <c r="I136" s="10" t="n">
        <v>45662.75206018519</v>
      </c>
      <c r="J136" s="10" t="n">
        <v>45662.82103009259</v>
      </c>
      <c r="K136" s="10" t="n">
        <v>45662.82103009259</v>
      </c>
      <c r="L136" s="10" t="n">
        <v>45662.8225</v>
      </c>
      <c r="M136" s="11">
        <f>IF(AND(ISNUMBER(E136),ISNUMBER(G136)),(G136-E136),"")</f>
        <v/>
      </c>
      <c r="N136" s="11">
        <f>IF(AND(ISNUMBER(G136),ISNUMBER(L136)),(L136-G136),"")</f>
        <v/>
      </c>
      <c r="O136" s="10" t="n">
        <v>45661.25273148148</v>
      </c>
      <c r="P136" s="11">
        <f>IF(AND(ISNUMBER(I136),ISNUMBER(O136)),(I136-O136),"")</f>
        <v/>
      </c>
      <c r="Q136" s="12" t="inlineStr">
        <is>
          <t>WG 1003003 entered track and got secured then waited 35:57:47 for WG 1003102 to get coupled, OBTP started on 18:02:58 finished on 19:42:17 and then left at 19:44:24</t>
        </is>
      </c>
    </row>
    <row r="137">
      <c r="A137" s="3" t="inlineStr">
        <is>
          <t>1003101</t>
        </is>
      </c>
      <c r="B137" s="3" t="inlineStr">
        <is>
          <t>10031</t>
        </is>
      </c>
      <c r="C137" s="9" t="n">
        <v>94.44</v>
      </c>
      <c r="D137" s="3" t="inlineStr">
        <is>
          <t>Ebenfurth (beet loading)</t>
        </is>
      </c>
      <c r="E137" s="10" t="n">
        <v>45662.73297453704</v>
      </c>
      <c r="F137" s="10" t="n">
        <v>45662.74329861111</v>
      </c>
      <c r="G137" s="10" t="n">
        <v>45662.74461805556</v>
      </c>
      <c r="H137" s="3" t="inlineStr">
        <is>
          <t>OBT070125031850-Ebenfurth (beet loading)</t>
        </is>
      </c>
      <c r="I137" s="10" t="n">
        <v>45664.13894675926</v>
      </c>
      <c r="J137" s="10" t="n">
        <v>45664.16282407408</v>
      </c>
      <c r="K137" s="10" t="n">
        <v>45664.16282407408</v>
      </c>
      <c r="L137" s="10" t="n">
        <v>45664.16361111111</v>
      </c>
      <c r="M137" s="11">
        <f>IF(AND(ISNUMBER(E137),ISNUMBER(G137)),(G137-E137),"")</f>
        <v/>
      </c>
      <c r="N137" s="11">
        <f>IF(AND(ISNUMBER(G137),ISNUMBER(L137)),(L137-G137),"")</f>
        <v/>
      </c>
      <c r="O137" s="10" t="n">
        <v>45662.74701388889</v>
      </c>
      <c r="P137" s="11">
        <f>IF(AND(ISNUMBER(I137),ISNUMBER(O137)),(I137-O137),"")</f>
        <v/>
      </c>
      <c r="Q137" s="12" t="inlineStr">
        <is>
          <t>WG 1003101 entered track and got secured then waited 33:23:08 for WG 1003405 to get coupled, OBTP started on 03:20:05 finished on 03:54:28 and then left at 03:55:36</t>
        </is>
      </c>
    </row>
    <row r="138">
      <c r="A138" s="3" t="inlineStr">
        <is>
          <t>1003102</t>
        </is>
      </c>
      <c r="B138" s="3" t="inlineStr">
        <is>
          <t>10031</t>
        </is>
      </c>
      <c r="C138" s="9" t="n">
        <v>342.58</v>
      </c>
      <c r="D138" s="3" t="inlineStr">
        <is>
          <t>Pitten (Hamburger)</t>
        </is>
      </c>
      <c r="E138" s="10" t="n">
        <v>45662.73297453704</v>
      </c>
      <c r="F138" s="10" t="n">
        <v>45662.74461805556</v>
      </c>
      <c r="G138" s="10" t="n">
        <v>45662.74729166667</v>
      </c>
      <c r="H138" s="3" t="inlineStr">
        <is>
          <t>OBT050125180143-Pitten (Hamburger)</t>
        </is>
      </c>
      <c r="I138" s="10" t="n">
        <v>45662.75206018519</v>
      </c>
      <c r="J138" s="10" t="n">
        <v>45662.82103009259</v>
      </c>
      <c r="K138" s="10" t="n">
        <v>45662.82103009259</v>
      </c>
      <c r="L138" s="10" t="n">
        <v>45662.8225</v>
      </c>
      <c r="M138" s="11">
        <f>IF(AND(ISNUMBER(E138),ISNUMBER(G138)),(G138-E138),"")</f>
        <v/>
      </c>
      <c r="N138" s="11">
        <f>IF(AND(ISNUMBER(G138),ISNUMBER(L138)),(L138-G138),"")</f>
        <v/>
      </c>
      <c r="O138" s="10" t="n">
        <v>45662.75119212963</v>
      </c>
      <c r="P138" s="11">
        <f>IF(AND(ISNUMBER(I138),ISNUMBER(O138)),(I138-O138),"")</f>
        <v/>
      </c>
      <c r="Q138" s="12" t="inlineStr">
        <is>
          <t>WG 1003102 entered track and got coupled to WG 1003003, OBTP started on 18:02:58 finished on 19:42:17 and then left at 19:44:24</t>
        </is>
      </c>
    </row>
    <row r="139">
      <c r="A139" s="3" t="inlineStr">
        <is>
          <t>1003103</t>
        </is>
      </c>
      <c r="B139" s="3" t="inlineStr">
        <is>
          <t>10031</t>
        </is>
      </c>
      <c r="C139" s="9" t="n">
        <v>98.3</v>
      </c>
      <c r="D139" s="3" t="inlineStr">
        <is>
          <t>Neudörfl (FunderMax)</t>
        </is>
      </c>
      <c r="E139" s="10" t="n">
        <v>45662.73297453704</v>
      </c>
      <c r="F139" s="10" t="n">
        <v>45662.74729166667</v>
      </c>
      <c r="G139" s="10" t="n">
        <v>45662.74873842593</v>
      </c>
      <c r="H139" s="3" t="inlineStr">
        <is>
          <t>OBT050125180350-Neudörfl (FunderMax)</t>
        </is>
      </c>
      <c r="I139" s="10" t="n">
        <v>45662.75349537037</v>
      </c>
      <c r="J139" s="10" t="n">
        <v>45662.7740162037</v>
      </c>
      <c r="K139" s="10" t="n">
        <v>45662.7740162037</v>
      </c>
      <c r="L139" s="10" t="n">
        <v>45662.77472222222</v>
      </c>
      <c r="M139" s="11">
        <f>IF(AND(ISNUMBER(E139),ISNUMBER(G139)),(G139-E139),"")</f>
        <v/>
      </c>
      <c r="N139" s="11">
        <f>IF(AND(ISNUMBER(G139),ISNUMBER(L139)),(L139-G139),"")</f>
        <v/>
      </c>
      <c r="O139" s="10" t="n">
        <v>45662.75266203703</v>
      </c>
      <c r="P139" s="11">
        <f>IF(AND(ISNUMBER(I139),ISNUMBER(O139)),(I139-O139),"")</f>
        <v/>
      </c>
      <c r="Q139" s="12" t="inlineStr">
        <is>
          <t>WG 1003103 entered track and got coupled to WG 1003002, OBTP started on 18:05:02 finished on 18:34:35 and then left at 18:35:36</t>
        </is>
      </c>
    </row>
    <row r="140">
      <c r="A140" s="3" t="inlineStr">
        <is>
          <t>1003201</t>
        </is>
      </c>
      <c r="B140" s="3" t="inlineStr">
        <is>
          <t>10032</t>
        </is>
      </c>
      <c r="C140" s="9" t="n">
        <v>428.7800000000001</v>
      </c>
      <c r="D140" s="3" t="inlineStr">
        <is>
          <t>Pitten (Hamburger)</t>
        </is>
      </c>
      <c r="E140" s="10" t="n">
        <v>45662.84023148148</v>
      </c>
      <c r="F140" s="10" t="n">
        <v>45662.85040509259</v>
      </c>
      <c r="G140" s="10" t="n">
        <v>45662.85261574074</v>
      </c>
      <c r="H140" s="3" t="inlineStr">
        <is>
          <t>OBT050125203113-Pitten (Hamburger)</t>
        </is>
      </c>
      <c r="I140" s="10" t="n">
        <v>45662.8558449074</v>
      </c>
      <c r="J140" s="10" t="n">
        <v>45662.93028935185</v>
      </c>
      <c r="K140" s="10" t="n">
        <v>45662.93028935185</v>
      </c>
      <c r="L140" s="10" t="n">
        <v>45662.93170138889</v>
      </c>
      <c r="M140" s="11">
        <f>IF(AND(ISNUMBER(E140),ISNUMBER(G140)),(G140-E140),"")</f>
        <v/>
      </c>
      <c r="N140" s="11">
        <f>IF(AND(ISNUMBER(G140),ISNUMBER(L140)),(L140-G140),"")</f>
        <v/>
      </c>
      <c r="O140" s="10" t="n">
        <v>45662.85501157407</v>
      </c>
      <c r="P140" s="11">
        <f>IF(AND(ISNUMBER(I140),ISNUMBER(O140)),(I140-O140),"")</f>
        <v/>
      </c>
      <c r="Q140" s="12" t="inlineStr">
        <is>
          <t>WG 1003201 entered track and got secured, OBTP started on 20:32:25 finished on 22:19:37 and then left at 22:21:39</t>
        </is>
      </c>
    </row>
    <row r="141">
      <c r="A141" s="3" t="inlineStr">
        <is>
          <t>1003202</t>
        </is>
      </c>
      <c r="B141" s="3" t="inlineStr">
        <is>
          <t>10032</t>
        </is>
      </c>
      <c r="C141" s="9" t="n">
        <v>60.8</v>
      </c>
      <c r="D141" s="3" t="inlineStr">
        <is>
          <t>Neudörfl (FunderMax)</t>
        </is>
      </c>
      <c r="E141" s="10" t="n">
        <v>45662.84023148148</v>
      </c>
      <c r="F141" s="10" t="n">
        <v>45662.85261574074</v>
      </c>
      <c r="G141" s="10" t="n">
        <v>45662.85459490741</v>
      </c>
      <c r="H141" s="3" t="inlineStr">
        <is>
          <t>OBT070125075235-Neudörfl (FunderMax)</t>
        </is>
      </c>
      <c r="I141" s="10" t="n">
        <v>45664.34056712963</v>
      </c>
      <c r="J141" s="10" t="n">
        <v>45664.3603125</v>
      </c>
      <c r="K141" s="10" t="n">
        <v>45664.3603125</v>
      </c>
      <c r="L141" s="10" t="n">
        <v>45664.36096064815</v>
      </c>
      <c r="M141" s="11">
        <f>IF(AND(ISNUMBER(E141),ISNUMBER(G141)),(G141-E141),"")</f>
        <v/>
      </c>
      <c r="N141" s="11">
        <f>IF(AND(ISNUMBER(G141),ISNUMBER(L141)),(L141-G141),"")</f>
        <v/>
      </c>
      <c r="O141" s="10" t="n">
        <v>45662.85675925926</v>
      </c>
      <c r="P141" s="11">
        <f>IF(AND(ISNUMBER(I141),ISNUMBER(O141)),(I141-O141),"")</f>
        <v/>
      </c>
      <c r="Q141" s="12" t="inlineStr">
        <is>
          <t>WG 1003202 entered track and got secured then waited 30:35:03 for WG 1003401 to get coupled then waited 0:05:40 for WG 1003403 to get coupled then waited 4:38:08 for WG 1003601 to get coupled, OBTP started on 08:10:25 finished on 08:38:51 and then left at 08:39:47</t>
        </is>
      </c>
    </row>
    <row r="142">
      <c r="A142" s="3" t="inlineStr">
        <is>
          <t>1003203</t>
        </is>
      </c>
      <c r="B142" s="3" t="inlineStr">
        <is>
          <t>10032</t>
        </is>
      </c>
      <c r="C142" s="9" t="n">
        <v>101.2</v>
      </c>
      <c r="D142" s="3" t="inlineStr">
        <is>
          <t>Pitten (Hamburger)</t>
        </is>
      </c>
      <c r="E142" s="10" t="n">
        <v>45662.84023148148</v>
      </c>
      <c r="F142" s="10" t="n">
        <v>45662.85459490741</v>
      </c>
      <c r="G142" s="10" t="n">
        <v>45662.85672453704</v>
      </c>
      <c r="H142" s="3" t="inlineStr">
        <is>
          <t>OBT050125203708-Pitten (Hamburger)</t>
        </is>
      </c>
      <c r="I142" s="10" t="n">
        <v>45662.85998842592</v>
      </c>
      <c r="J142" s="10" t="n">
        <v>45662.87755787037</v>
      </c>
      <c r="K142" s="10" t="n">
        <v>45662.87755787037</v>
      </c>
      <c r="L142" s="10" t="n">
        <v>45662.87833333333</v>
      </c>
      <c r="M142" s="11">
        <f>IF(AND(ISNUMBER(E142),ISNUMBER(G142)),(G142-E142),"")</f>
        <v/>
      </c>
      <c r="N142" s="11">
        <f>IF(AND(ISNUMBER(G142),ISNUMBER(L142)),(L142-G142),"")</f>
        <v/>
      </c>
      <c r="O142" s="10" t="n">
        <v>45662.85912037037</v>
      </c>
      <c r="P142" s="11">
        <f>IF(AND(ISNUMBER(I142),ISNUMBER(O142)),(I142-O142),"")</f>
        <v/>
      </c>
      <c r="Q142" s="12" t="inlineStr">
        <is>
          <t>WG 1003203 entered track and got secured, OBTP started on 20:38:23 finished on 21:03:41 and then left at 21:04:48</t>
        </is>
      </c>
    </row>
    <row r="143">
      <c r="A143" s="3" t="inlineStr">
        <is>
          <t>1003301</t>
        </is>
      </c>
      <c r="B143" s="3" t="inlineStr">
        <is>
          <t>10033</t>
        </is>
      </c>
      <c r="C143" s="9" t="n">
        <v>241.38</v>
      </c>
      <c r="D143" s="3" t="inlineStr">
        <is>
          <t>Pitten (Hamburger)</t>
        </is>
      </c>
      <c r="E143" s="10" t="n">
        <v>45663.7375462963</v>
      </c>
      <c r="F143" s="10" t="n">
        <v>45663.74319444445</v>
      </c>
      <c r="G143" s="10" t="n">
        <v>45663.745</v>
      </c>
      <c r="H143" s="3" t="inlineStr">
        <is>
          <t>OBT060125175612-Pitten (Hamburger)</t>
        </is>
      </c>
      <c r="I143" s="10" t="n">
        <v>45663.74822916667</v>
      </c>
      <c r="J143" s="10" t="n">
        <v>45663.79013888889</v>
      </c>
      <c r="K143" s="10" t="n">
        <v>45663.79013888889</v>
      </c>
      <c r="L143" s="10" t="n">
        <v>45663.79112268519</v>
      </c>
      <c r="M143" s="11">
        <f>IF(AND(ISNUMBER(E143),ISNUMBER(G143)),(G143-E143),"")</f>
        <v/>
      </c>
      <c r="N143" s="11">
        <f>IF(AND(ISNUMBER(G143),ISNUMBER(L143)),(L143-G143),"")</f>
        <v/>
      </c>
      <c r="O143" s="10" t="n">
        <v>45663.74736111111</v>
      </c>
      <c r="P143" s="11">
        <f>IF(AND(ISNUMBER(I143),ISNUMBER(O143)),(I143-O143),"")</f>
        <v/>
      </c>
      <c r="Q143" s="12" t="inlineStr">
        <is>
          <t>WG 1003301 entered track and got secured, OBTP started on 17:57:27 finished on 18:57:48 and then left at 18:59:13</t>
        </is>
      </c>
    </row>
    <row r="144">
      <c r="A144" s="3" t="inlineStr">
        <is>
          <t>1003401</t>
        </is>
      </c>
      <c r="B144" s="3" t="inlineStr">
        <is>
          <t>10034</t>
        </is>
      </c>
      <c r="C144" s="9" t="n">
        <v>19.9</v>
      </c>
      <c r="D144" s="3" t="inlineStr">
        <is>
          <t>Ternitz (Schoeller-Bleckmann)</t>
        </is>
      </c>
      <c r="E144" s="10" t="n">
        <v>45664.11534722222</v>
      </c>
      <c r="F144" s="10" t="n">
        <v>45664.12525462963</v>
      </c>
      <c r="G144" s="10" t="n">
        <v>45664.12717592593</v>
      </c>
      <c r="H144" s="3" t="inlineStr">
        <is>
          <t>OBT070125075235-Neudörfl (FunderMax)</t>
        </is>
      </c>
      <c r="I144" s="10" t="n">
        <v>45664.34056712963</v>
      </c>
      <c r="J144" s="10" t="n">
        <v>45664.3603125</v>
      </c>
      <c r="K144" s="10" t="n">
        <v>45664.3603125</v>
      </c>
      <c r="L144" s="10" t="n">
        <v>45664.36096064815</v>
      </c>
      <c r="M144" s="11">
        <f>IF(AND(ISNUMBER(E144),ISNUMBER(G144)),(G144-E144),"")</f>
        <v/>
      </c>
      <c r="N144" s="11">
        <f>IF(AND(ISNUMBER(G144),ISNUMBER(L144)),(L144-G144),"")</f>
        <v/>
      </c>
      <c r="O144" s="10" t="n">
        <v>45664.13109953704</v>
      </c>
      <c r="P144" s="11">
        <f>IF(AND(ISNUMBER(I144),ISNUMBER(O144)),(I144-O144),"")</f>
        <v/>
      </c>
      <c r="Q144" s="12" t="inlineStr">
        <is>
          <t>WG 1003401 entered track and got coupled to WG 1003202 then waited 0:05:40 for WG 1003403 to get coupled then waited 4:38:08 for WG 1003601 to get coupled, OBTP started on 08:10:25 finished on 08:38:51 and then left at 08:39:47</t>
        </is>
      </c>
    </row>
    <row r="145">
      <c r="A145" s="3" t="inlineStr">
        <is>
          <t>1003402</t>
        </is>
      </c>
      <c r="B145" s="3" t="inlineStr">
        <is>
          <t>10034</t>
        </is>
      </c>
      <c r="C145" s="9" t="n">
        <v>31.48</v>
      </c>
      <c r="D145" s="3" t="inlineStr">
        <is>
          <t>Gloggnitz</t>
        </is>
      </c>
      <c r="E145" s="10" t="n">
        <v>45664.11534722222</v>
      </c>
      <c r="F145" s="10" t="n">
        <v>45664.12717592593</v>
      </c>
      <c r="G145" s="10" t="n">
        <v>45664.12923611111</v>
      </c>
      <c r="H145" s="3" t="inlineStr">
        <is>
          <t>OBT070125084545-St. Veit an der Glan</t>
        </is>
      </c>
      <c r="I145" s="10" t="n">
        <v>45664.40565972222</v>
      </c>
      <c r="J145" s="10" t="n">
        <v>45664.43702546296</v>
      </c>
      <c r="K145" s="10" t="n">
        <v>45664.43702546296</v>
      </c>
      <c r="L145" s="10" t="n">
        <v>45664.43795138889</v>
      </c>
      <c r="M145" s="11">
        <f>IF(AND(ISNUMBER(E145),ISNUMBER(G145)),(G145-E145),"")</f>
        <v/>
      </c>
      <c r="N145" s="11">
        <f>IF(AND(ISNUMBER(G145),ISNUMBER(L145)),(L145-G145),"")</f>
        <v/>
      </c>
      <c r="O145" s="10" t="n">
        <v>45664.13280092592</v>
      </c>
      <c r="P145" s="11">
        <f>IF(AND(ISNUMBER(I145),ISNUMBER(O145)),(I145-O145),"")</f>
        <v/>
      </c>
      <c r="Q145" s="12" t="inlineStr">
        <is>
          <t>WG 1003402 entered track and got coupled to WG 1002509 then waited 5:34:31 for WG 1003902 to get coupled, OBTP started on 09:44:09 finished on 10:29:19 and then left at 10:30:39</t>
        </is>
      </c>
    </row>
    <row r="146">
      <c r="A146" s="3" t="inlineStr">
        <is>
          <t>1003403</t>
        </is>
      </c>
      <c r="B146" s="3" t="inlineStr">
        <is>
          <t>10034</t>
        </is>
      </c>
      <c r="C146" s="9" t="n">
        <v>12.04</v>
      </c>
      <c r="D146" s="3" t="inlineStr">
        <is>
          <t>Ternitz (Schoeller-Bleckmann)</t>
        </is>
      </c>
      <c r="E146" s="10" t="n">
        <v>45664.11534722222</v>
      </c>
      <c r="F146" s="10" t="n">
        <v>45664.12923611111</v>
      </c>
      <c r="G146" s="10" t="n">
        <v>45664.13114583334</v>
      </c>
      <c r="H146" s="3" t="inlineStr">
        <is>
          <t>OBT070125075235-Neudörfl (FunderMax)</t>
        </is>
      </c>
      <c r="I146" s="10" t="n">
        <v>45664.34056712963</v>
      </c>
      <c r="J146" s="10" t="n">
        <v>45664.3603125</v>
      </c>
      <c r="K146" s="10" t="n">
        <v>45664.3603125</v>
      </c>
      <c r="L146" s="10" t="n">
        <v>45664.36096064815</v>
      </c>
      <c r="M146" s="11">
        <f>IF(AND(ISNUMBER(E146),ISNUMBER(G146)),(G146-E146),"")</f>
        <v/>
      </c>
      <c r="N146" s="11">
        <f>IF(AND(ISNUMBER(G146),ISNUMBER(L146)),(L146-G146),"")</f>
        <v/>
      </c>
      <c r="O146" s="10" t="n">
        <v>45664.13503472223</v>
      </c>
      <c r="P146" s="11">
        <f>IF(AND(ISNUMBER(I146),ISNUMBER(O146)),(I146-O146),"")</f>
        <v/>
      </c>
      <c r="Q146" s="12" t="inlineStr">
        <is>
          <t>WG 1003403 entered track and got coupled to WG 1003401 then waited 4:38:08 for WG 1003601 to get coupled, OBTP started on 08:10:25 finished on 08:38:51 and then left at 08:39:47</t>
        </is>
      </c>
    </row>
    <row r="147">
      <c r="A147" s="3" t="inlineStr">
        <is>
          <t>1003404</t>
        </is>
      </c>
      <c r="B147" s="3" t="inlineStr">
        <is>
          <t>10034</t>
        </is>
      </c>
      <c r="C147" s="9" t="n">
        <v>184.6</v>
      </c>
      <c r="D147" s="3" t="inlineStr">
        <is>
          <t>Neunkirchen (loading tracks)</t>
        </is>
      </c>
      <c r="E147" s="10" t="n">
        <v>45664.11534722222</v>
      </c>
      <c r="F147" s="10" t="n">
        <v>45664.13114583334</v>
      </c>
      <c r="G147" s="10" t="n">
        <v>45664.13328703704</v>
      </c>
      <c r="H147" s="3" t="inlineStr">
        <is>
          <t>OBT070125031735-Neunkirchen (loading tracks)</t>
        </is>
      </c>
      <c r="I147" s="10" t="n">
        <v>45664.13804398148</v>
      </c>
      <c r="J147" s="10" t="n">
        <v>45664.18449074074</v>
      </c>
      <c r="K147" s="10" t="n">
        <v>45664.18449074074</v>
      </c>
      <c r="L147" s="10" t="n">
        <v>45664.18564814814</v>
      </c>
      <c r="M147" s="11">
        <f>IF(AND(ISNUMBER(E147),ISNUMBER(G147)),(G147-E147),"")</f>
        <v/>
      </c>
      <c r="N147" s="11">
        <f>IF(AND(ISNUMBER(G147),ISNUMBER(L147)),(L147-G147),"")</f>
        <v/>
      </c>
      <c r="O147" s="10" t="n">
        <v>45664.13721064815</v>
      </c>
      <c r="P147" s="11">
        <f>IF(AND(ISNUMBER(I147),ISNUMBER(O147)),(I147-O147),"")</f>
        <v/>
      </c>
      <c r="Q147" s="12" t="inlineStr">
        <is>
          <t>WG 1003404 entered track and got coupled to WG 1002908, OBTP started on 03:18:47 finished on 04:25:40 and then left at 04:27:20</t>
        </is>
      </c>
    </row>
    <row r="148">
      <c r="A148" s="3" t="inlineStr">
        <is>
          <t>1003405</t>
        </is>
      </c>
      <c r="B148" s="3" t="inlineStr">
        <is>
          <t>10034</t>
        </is>
      </c>
      <c r="C148" s="9" t="n">
        <v>43.14</v>
      </c>
      <c r="D148" s="3" t="inlineStr">
        <is>
          <t>Other sidings south</t>
        </is>
      </c>
      <c r="E148" s="10" t="n">
        <v>45664.11534722222</v>
      </c>
      <c r="F148" s="10" t="n">
        <v>45664.13328703704</v>
      </c>
      <c r="G148" s="10" t="n">
        <v>45664.13451388889</v>
      </c>
      <c r="H148" s="3" t="inlineStr">
        <is>
          <t>OBT070125031850-Ebenfurth (beet loading)</t>
        </is>
      </c>
      <c r="I148" s="10" t="n">
        <v>45664.13894675926</v>
      </c>
      <c r="J148" s="10" t="n">
        <v>45664.16282407408</v>
      </c>
      <c r="K148" s="10" t="n">
        <v>45664.16282407408</v>
      </c>
      <c r="L148" s="10" t="n">
        <v>45664.16361111111</v>
      </c>
      <c r="M148" s="11">
        <f>IF(AND(ISNUMBER(E148),ISNUMBER(G148)),(G148-E148),"")</f>
        <v/>
      </c>
      <c r="N148" s="11">
        <f>IF(AND(ISNUMBER(G148),ISNUMBER(L148)),(L148-G148),"")</f>
        <v/>
      </c>
      <c r="O148" s="10" t="n">
        <v>45664.13807870371</v>
      </c>
      <c r="P148" s="11">
        <f>IF(AND(ISNUMBER(I148),ISNUMBER(O148)),(I148-O148),"")</f>
        <v/>
      </c>
      <c r="Q148" s="12" t="inlineStr">
        <is>
          <t>WG 1003405 entered track and got coupled to WG 1003101, OBTP started on 03:20:05 finished on 03:54:28 and then left at 03:55:36</t>
        </is>
      </c>
    </row>
    <row r="149">
      <c r="A149" s="3" t="inlineStr">
        <is>
          <t>1003501</t>
        </is>
      </c>
      <c r="B149" s="3" t="inlineStr">
        <is>
          <t>10035</t>
        </is>
      </c>
      <c r="C149" s="9" t="n">
        <v>297</v>
      </c>
      <c r="D149" s="3" t="inlineStr">
        <is>
          <t>Wien Kledering</t>
        </is>
      </c>
      <c r="E149" s="10" t="n">
        <v>45664.27326388889</v>
      </c>
      <c r="F149" s="10" t="n">
        <v>45664.27938657408</v>
      </c>
      <c r="G149" s="10" t="n">
        <v>45664.28119212963</v>
      </c>
      <c r="H149" s="3" t="inlineStr">
        <is>
          <t>OBT070125064820-Wien Kledering</t>
        </is>
      </c>
      <c r="I149" s="10" t="n">
        <v>45664.28443287037</v>
      </c>
      <c r="J149" s="10" t="n">
        <v>45664.33599537037</v>
      </c>
      <c r="K149" s="10" t="n">
        <v>45664.33599537037</v>
      </c>
      <c r="L149" s="10" t="n">
        <v>45664.3371412037</v>
      </c>
      <c r="M149" s="11">
        <f>IF(AND(ISNUMBER(E149),ISNUMBER(G149)),(G149-E149),"")</f>
        <v/>
      </c>
      <c r="N149" s="11">
        <f>IF(AND(ISNUMBER(G149),ISNUMBER(L149)),(L149-G149),"")</f>
        <v/>
      </c>
      <c r="O149" s="10" t="n">
        <v>45664.28356481482</v>
      </c>
      <c r="P149" s="11">
        <f>IF(AND(ISNUMBER(I149),ISNUMBER(O149)),(I149-O149),"")</f>
        <v/>
      </c>
      <c r="Q149" s="12" t="inlineStr">
        <is>
          <t>WG 1003501 entered track and got secured, OBTP started on 06:49:35 finished on 08:03:50 and then left at 08:05:29</t>
        </is>
      </c>
    </row>
    <row r="150">
      <c r="A150" s="3" t="inlineStr">
        <is>
          <t>1003601</t>
        </is>
      </c>
      <c r="B150" s="3" t="inlineStr">
        <is>
          <t>10036</t>
        </is>
      </c>
      <c r="C150" s="9" t="n">
        <v>21</v>
      </c>
      <c r="D150" s="3" t="inlineStr">
        <is>
          <t>Neudörfl (FunderMax)</t>
        </is>
      </c>
      <c r="E150" s="10" t="n">
        <v>45664.30401620371</v>
      </c>
      <c r="F150" s="10" t="n">
        <v>45664.32237268519</v>
      </c>
      <c r="G150" s="10" t="n">
        <v>45664.32429398148</v>
      </c>
      <c r="H150" s="3" t="inlineStr">
        <is>
          <t>OBT070125075235-Neudörfl (FunderMax)</t>
        </is>
      </c>
      <c r="I150" s="10" t="n">
        <v>45664.34056712963</v>
      </c>
      <c r="J150" s="10" t="n">
        <v>45664.3603125</v>
      </c>
      <c r="K150" s="10" t="n">
        <v>45664.3603125</v>
      </c>
      <c r="L150" s="10" t="n">
        <v>45664.36096064815</v>
      </c>
      <c r="M150" s="11">
        <f>IF(AND(ISNUMBER(E150),ISNUMBER(G150)),(G150-E150),"")</f>
        <v/>
      </c>
      <c r="N150" s="11">
        <f>IF(AND(ISNUMBER(G150),ISNUMBER(L150)),(L150-G150),"")</f>
        <v/>
      </c>
      <c r="O150" s="10" t="n">
        <v>45664.32818287037</v>
      </c>
      <c r="P150" s="11">
        <f>IF(AND(ISNUMBER(I150),ISNUMBER(O150)),(I150-O150),"")</f>
        <v/>
      </c>
      <c r="Q150" s="12" t="inlineStr">
        <is>
          <t>WG 1003601 entered track and got coupled to WG 1003403, OBTP started on 08:10:25 finished on 08:38:51 and then left at 08:39:47</t>
        </is>
      </c>
    </row>
    <row r="151">
      <c r="A151" s="3" t="inlineStr">
        <is>
          <t>1003602</t>
        </is>
      </c>
      <c r="B151" s="3" t="inlineStr">
        <is>
          <t>10036</t>
        </is>
      </c>
      <c r="C151" s="9" t="n">
        <v>39.8</v>
      </c>
      <c r="D151" s="3" t="inlineStr">
        <is>
          <t>Wr. Neustadt Ausfahrbf (Furtenbach)</t>
        </is>
      </c>
      <c r="E151" s="10" t="n">
        <v>45664.30401620371</v>
      </c>
      <c r="F151" s="10" t="n">
        <v>45664.32429398148</v>
      </c>
      <c r="G151" s="10" t="n">
        <v>45664.32607638889</v>
      </c>
      <c r="H151" s="3" t="inlineStr">
        <is>
          <t>OBT070125180657-Wr. Neustadt Ausfahrbf (Furtenbach)</t>
        </is>
      </c>
      <c r="I151" s="10" t="n">
        <v>45664.75568287037</v>
      </c>
      <c r="J151" s="10" t="n">
        <v>45664.77986111111</v>
      </c>
      <c r="K151" s="10" t="n">
        <v>45664.77986111111</v>
      </c>
      <c r="L151" s="10" t="n">
        <v>45664.78077546296</v>
      </c>
      <c r="M151" s="11">
        <f>IF(AND(ISNUMBER(E151),ISNUMBER(G151)),(G151-E151),"")</f>
        <v/>
      </c>
      <c r="N151" s="11">
        <f>IF(AND(ISNUMBER(G151),ISNUMBER(L151)),(L151-G151),"")</f>
        <v/>
      </c>
      <c r="O151" s="10" t="n">
        <v>45664.33</v>
      </c>
      <c r="P151" s="11">
        <f>IF(AND(ISNUMBER(I151),ISNUMBER(O151)),(I151-O151),"")</f>
        <v/>
      </c>
      <c r="Q151" s="12" t="inlineStr">
        <is>
          <t>WG 1003602 entered track and got coupled to WG 1002901 then waited 1:42:24 for WG 1004005 to get coupled then waited 6:21:25 for WG 1004411 to get coupled then waited 2:07:56 for WG 1004705 to get coupled, OBTP started on 18:08:11 finished on 18:43:00 and then left at 18:44:19</t>
        </is>
      </c>
    </row>
    <row r="152">
      <c r="A152" s="3" t="inlineStr">
        <is>
          <t>1003603</t>
        </is>
      </c>
      <c r="B152" s="3" t="inlineStr">
        <is>
          <t>10036</t>
        </is>
      </c>
      <c r="C152" s="9" t="n">
        <v>27</v>
      </c>
      <c r="D152" s="3" t="inlineStr">
        <is>
          <t>Wr. Neustadt (Hödlmayr)</t>
        </is>
      </c>
      <c r="E152" s="10" t="n">
        <v>45664.30401620371</v>
      </c>
      <c r="F152" s="10" t="n">
        <v>45664.32607638889</v>
      </c>
      <c r="G152" s="10" t="n">
        <v>45664.32738425926</v>
      </c>
      <c r="H152" s="3" t="inlineStr">
        <is>
          <t>OBT070125080206-Other sidings north</t>
        </is>
      </c>
      <c r="I152" s="10" t="n">
        <v>45664.36684027778</v>
      </c>
      <c r="J152" s="10" t="n">
        <v>45664.40400462963</v>
      </c>
      <c r="K152" s="10" t="n">
        <v>45664.40400462963</v>
      </c>
      <c r="L152" s="10" t="n">
        <v>45664.4050462963</v>
      </c>
      <c r="M152" s="11">
        <f>IF(AND(ISNUMBER(E152),ISNUMBER(G152)),(G152-E152),"")</f>
        <v/>
      </c>
      <c r="N152" s="11">
        <f>IF(AND(ISNUMBER(G152),ISNUMBER(L152)),(L152-G152),"")</f>
        <v/>
      </c>
      <c r="O152" s="10" t="n">
        <v>45664.33291666667</v>
      </c>
      <c r="P152" s="11">
        <f>IF(AND(ISNUMBER(I152),ISNUMBER(O152)),(I152-O152),"")</f>
        <v/>
      </c>
      <c r="Q152" s="12" t="inlineStr">
        <is>
          <t>WG 1003603 entered track and got coupled to WG 1002906 then waited 0:02:42 for WG 1003604 to get coupled, OBTP started on 08:48:15 finished on 09:41:46 and then left at 09:43:16</t>
        </is>
      </c>
    </row>
    <row r="153">
      <c r="A153" s="3" t="inlineStr">
        <is>
          <t>1003604</t>
        </is>
      </c>
      <c r="B153" s="3" t="inlineStr">
        <is>
          <t>10036</t>
        </is>
      </c>
      <c r="C153" s="9" t="n">
        <v>90.36</v>
      </c>
      <c r="D153" s="3" t="inlineStr">
        <is>
          <t>Other sidings north</t>
        </is>
      </c>
      <c r="E153" s="10" t="n">
        <v>45664.30401620371</v>
      </c>
      <c r="F153" s="10" t="n">
        <v>45664.32738425926</v>
      </c>
      <c r="G153" s="10" t="n">
        <v>45664.32884259259</v>
      </c>
      <c r="H153" s="3" t="inlineStr">
        <is>
          <t>OBT070125080206-Other sidings north</t>
        </is>
      </c>
      <c r="I153" s="10" t="n">
        <v>45664.36684027778</v>
      </c>
      <c r="J153" s="10" t="n">
        <v>45664.40400462963</v>
      </c>
      <c r="K153" s="10" t="n">
        <v>45664.40400462963</v>
      </c>
      <c r="L153" s="10" t="n">
        <v>45664.4050462963</v>
      </c>
      <c r="M153" s="11">
        <f>IF(AND(ISNUMBER(E153),ISNUMBER(G153)),(G153-E153),"")</f>
        <v/>
      </c>
      <c r="N153" s="11">
        <f>IF(AND(ISNUMBER(G153),ISNUMBER(L153)),(L153-G153),"")</f>
        <v/>
      </c>
      <c r="O153" s="10" t="n">
        <v>45664.33479166667</v>
      </c>
      <c r="P153" s="11">
        <f>IF(AND(ISNUMBER(I153),ISNUMBER(O153)),(I153-O153),"")</f>
        <v/>
      </c>
      <c r="Q153" s="12" t="inlineStr">
        <is>
          <t>WG 1003604 entered track and got coupled to WG 1003603, OBTP started on 08:48:15 finished on 09:41:46 and then left at 09:43:16</t>
        </is>
      </c>
    </row>
    <row r="154">
      <c r="A154" s="3" t="inlineStr">
        <is>
          <t>1003605</t>
        </is>
      </c>
      <c r="B154" s="3" t="inlineStr">
        <is>
          <t>10036</t>
        </is>
      </c>
      <c r="C154" s="9" t="n">
        <v>38.98</v>
      </c>
      <c r="D154" s="3" t="inlineStr">
        <is>
          <t>Pitten (Hamburger)</t>
        </is>
      </c>
      <c r="E154" s="10" t="n">
        <v>45664.30401620371</v>
      </c>
      <c r="F154" s="10" t="n">
        <v>45664.32884259259</v>
      </c>
      <c r="G154" s="10" t="n">
        <v>45664.33017361111</v>
      </c>
      <c r="H154" s="3" t="inlineStr">
        <is>
          <t>OBT070125155207-Pitten (Hamburger)</t>
        </is>
      </c>
      <c r="I154" s="10" t="n">
        <v>45664.68381944444</v>
      </c>
      <c r="J154" s="10" t="n">
        <v>45664.7046412037</v>
      </c>
      <c r="K154" s="10" t="n">
        <v>45664.7046412037</v>
      </c>
      <c r="L154" s="10" t="n">
        <v>45664.70534722223</v>
      </c>
      <c r="M154" s="11">
        <f>IF(AND(ISNUMBER(E154),ISNUMBER(G154)),(G154-E154),"")</f>
        <v/>
      </c>
      <c r="N154" s="11">
        <f>IF(AND(ISNUMBER(G154),ISNUMBER(L154)),(L154-G154),"")</f>
        <v/>
      </c>
      <c r="O154" s="10" t="n">
        <v>45664.33612268518</v>
      </c>
      <c r="P154" s="11">
        <f>IF(AND(ISNUMBER(I154),ISNUMBER(O154)),(I154-O154),"")</f>
        <v/>
      </c>
      <c r="Q154" s="12" t="inlineStr">
        <is>
          <t>WG 1003605 entered track and got secured then waited 1:25:36 for WG 1004002 to get coupled then waited 0:18:19 for WG 1004008 to get coupled then waited 5:56:02 for WG 1004405 to get coupled then waited 0:08:09 for WG 1004409 to get coupled, OBTP started on 16:24:42 finished on 16:54:41 and then left at 16:55:42</t>
        </is>
      </c>
    </row>
    <row r="155">
      <c r="A155" s="3" t="inlineStr">
        <is>
          <t>1003606</t>
        </is>
      </c>
      <c r="B155" s="3" t="inlineStr">
        <is>
          <t>10036</t>
        </is>
      </c>
      <c r="C155" s="9" t="n">
        <v>15.74</v>
      </c>
      <c r="D155" s="3" t="inlineStr">
        <is>
          <t>Ebenfurth (beet loading)</t>
        </is>
      </c>
      <c r="E155" s="10" t="n">
        <v>45664.30401620371</v>
      </c>
      <c r="F155" s="10" t="n">
        <v>45664.33017361111</v>
      </c>
      <c r="G155" s="10" t="n">
        <v>45664.33133101852</v>
      </c>
      <c r="H155" s="3" t="inlineStr">
        <is>
          <t>OBT070125084304-Wien Kledering</t>
        </is>
      </c>
      <c r="I155" s="10" t="n">
        <v>45664.37252314815</v>
      </c>
      <c r="J155" s="10" t="n">
        <v>45664.42137731481</v>
      </c>
      <c r="K155" s="10" t="n">
        <v>45664.42137731481</v>
      </c>
      <c r="L155" s="10" t="n">
        <v>45664.42248842592</v>
      </c>
      <c r="M155" s="11">
        <f>IF(AND(ISNUMBER(E155),ISNUMBER(G155)),(G155-E155),"")</f>
        <v/>
      </c>
      <c r="N155" s="11">
        <f>IF(AND(ISNUMBER(G155),ISNUMBER(L155)),(L155-G155),"")</f>
        <v/>
      </c>
      <c r="O155" s="10" t="n">
        <v>45664.33805555556</v>
      </c>
      <c r="P155" s="11">
        <f>IF(AND(ISNUMBER(I155),ISNUMBER(O155)),(I155-O155),"")</f>
        <v/>
      </c>
      <c r="Q155" s="12" t="inlineStr">
        <is>
          <t>WG 1003606 entered track and got secured then waited 0:36:16 for WG 1003901 to get coupled, OBTP started on 08:56:26 finished on 10:06:47 and then left at 10:08:23</t>
        </is>
      </c>
    </row>
    <row r="156">
      <c r="A156" s="3" t="inlineStr">
        <is>
          <t>1003607</t>
        </is>
      </c>
      <c r="B156" s="3" t="inlineStr">
        <is>
          <t>10036</t>
        </is>
      </c>
      <c r="C156" s="9" t="n">
        <v>35.64</v>
      </c>
      <c r="D156" s="3" t="inlineStr">
        <is>
          <t>Other sidings south</t>
        </is>
      </c>
      <c r="E156" s="10" t="n">
        <v>45664.30401620371</v>
      </c>
      <c r="F156" s="10" t="n">
        <v>45664.33133101852</v>
      </c>
      <c r="G156" s="10" t="n">
        <v>45664.33313657407</v>
      </c>
      <c r="H156" s="3" t="inlineStr">
        <is>
          <t>OBT080125032215-Other sidings south</t>
        </is>
      </c>
      <c r="I156" s="10" t="n">
        <v>45665.15530092592</v>
      </c>
      <c r="J156" s="10" t="n">
        <v>45665.17990740741</v>
      </c>
      <c r="K156" s="10" t="n">
        <v>45665.17990740741</v>
      </c>
      <c r="L156" s="10" t="n">
        <v>45665.18077546296</v>
      </c>
      <c r="M156" s="11">
        <f>IF(AND(ISNUMBER(E156),ISNUMBER(G156)),(G156-E156),"")</f>
        <v/>
      </c>
      <c r="N156" s="11">
        <f>IF(AND(ISNUMBER(G156),ISNUMBER(L156)),(L156-G156),"")</f>
        <v/>
      </c>
      <c r="O156" s="10" t="n">
        <v>45664.33892361111</v>
      </c>
      <c r="P156" s="11">
        <f>IF(AND(ISNUMBER(I156),ISNUMBER(O156)),(I156-O156),"")</f>
        <v/>
      </c>
      <c r="Q156" s="12" t="inlineStr">
        <is>
          <t>WG 1003607 entered track and got secured then waited 1:28:24 for WG 1004004 to get coupled then waited 6:19:34 for WG 1004410 to get coupled then waited 2:07:07 for WG 1004703 to get coupled then waited 9:19:07 for WG 1005005 to get coupled, OBTP started on 03:43:38 finished on 04:19:04 and then left at 04:20:19</t>
        </is>
      </c>
    </row>
    <row r="157">
      <c r="A157" s="3" t="inlineStr">
        <is>
          <t>1003701</t>
        </is>
      </c>
      <c r="B157" s="3" t="inlineStr">
        <is>
          <t>10037</t>
        </is>
      </c>
      <c r="C157" s="9" t="n">
        <v>396.5600000000001</v>
      </c>
      <c r="D157" s="3" t="inlineStr">
        <is>
          <t>Wien Kledering</t>
        </is>
      </c>
      <c r="E157" s="10" t="n">
        <v>45664.30813657407</v>
      </c>
      <c r="F157" s="10" t="n">
        <v>45664.31594907407</v>
      </c>
      <c r="G157" s="10" t="n">
        <v>45664.31876157408</v>
      </c>
      <c r="H157" s="3" t="inlineStr">
        <is>
          <t>OBT070125074225-Wien Kledering</t>
        </is>
      </c>
      <c r="I157" s="10" t="n">
        <v>45664.32196759259</v>
      </c>
      <c r="J157" s="10" t="n">
        <v>45664.39082175926</v>
      </c>
      <c r="K157" s="10" t="n">
        <v>45664.39082175926</v>
      </c>
      <c r="L157" s="10" t="n">
        <v>45664.39228009259</v>
      </c>
      <c r="M157" s="11">
        <f>IF(AND(ISNUMBER(E157),ISNUMBER(G157)),(G157-E157),"")</f>
        <v/>
      </c>
      <c r="N157" s="11">
        <f>IF(AND(ISNUMBER(G157),ISNUMBER(L157)),(L157-G157),"")</f>
        <v/>
      </c>
      <c r="O157" s="10" t="n">
        <v>45664.32112268519</v>
      </c>
      <c r="P157" s="11">
        <f>IF(AND(ISNUMBER(I157),ISNUMBER(O157)),(I157-O157),"")</f>
        <v/>
      </c>
      <c r="Q157" s="12" t="inlineStr">
        <is>
          <t>WG 1003701 entered track and got secured, OBTP started on 07:43:38 finished on 09:22:47 and then left at 09:24:53</t>
        </is>
      </c>
    </row>
    <row r="158">
      <c r="A158" s="3" t="inlineStr">
        <is>
          <t>1003801</t>
        </is>
      </c>
      <c r="B158" s="3" t="inlineStr">
        <is>
          <t>10038</t>
        </is>
      </c>
      <c r="C158" s="9" t="n">
        <v>189.86</v>
      </c>
      <c r="D158" s="3" t="inlineStr">
        <is>
          <t>Wien Kledering</t>
        </is>
      </c>
      <c r="E158" s="10" t="n">
        <v>45664.31020833334</v>
      </c>
      <c r="F158" s="10" t="n">
        <v>45664.31962962963</v>
      </c>
      <c r="G158" s="10" t="n">
        <v>45664.32150462963</v>
      </c>
      <c r="H158" s="3" t="inlineStr">
        <is>
          <t>OBT070125074625-Wien Kledering</t>
        </is>
      </c>
      <c r="I158" s="10" t="n">
        <v>45664.33782407407</v>
      </c>
      <c r="J158" s="10" t="n">
        <v>45664.37078703703</v>
      </c>
      <c r="K158" s="10" t="n">
        <v>45664.37078703703</v>
      </c>
      <c r="L158" s="10" t="n">
        <v>45664.37181712963</v>
      </c>
      <c r="M158" s="11">
        <f>IF(AND(ISNUMBER(E158),ISNUMBER(G158)),(G158-E158),"")</f>
        <v/>
      </c>
      <c r="N158" s="11">
        <f>IF(AND(ISNUMBER(G158),ISNUMBER(L158)),(L158-G158),"")</f>
        <v/>
      </c>
      <c r="O158" s="10" t="n">
        <v>45664.32390046296</v>
      </c>
      <c r="P158" s="11">
        <f>IF(AND(ISNUMBER(I158),ISNUMBER(O158)),(I158-O158),"")</f>
        <v/>
      </c>
      <c r="Q158" s="12" t="inlineStr">
        <is>
          <t>WG 1003801 entered track and got secured, OBTP started on 08:06:28 finished on 08:53:56 and then left at 08:55:25</t>
        </is>
      </c>
    </row>
    <row r="159">
      <c r="A159" s="3" t="inlineStr">
        <is>
          <t>1003901</t>
        </is>
      </c>
      <c r="B159" s="3" t="inlineStr">
        <is>
          <t>10039</t>
        </is>
      </c>
      <c r="C159" s="9" t="n">
        <v>281.4</v>
      </c>
      <c r="D159" s="3" t="inlineStr">
        <is>
          <t>Wien Kledering</t>
        </is>
      </c>
      <c r="E159" s="10" t="n">
        <v>45664.34712962963</v>
      </c>
      <c r="F159" s="10" t="n">
        <v>45664.35524305556</v>
      </c>
      <c r="G159" s="10" t="n">
        <v>45664.35701388889</v>
      </c>
      <c r="H159" s="3" t="inlineStr">
        <is>
          <t>OBT070125084304-Wien Kledering</t>
        </is>
      </c>
      <c r="I159" s="10" t="n">
        <v>45664.37252314815</v>
      </c>
      <c r="J159" s="10" t="n">
        <v>45664.42137731481</v>
      </c>
      <c r="K159" s="10" t="n">
        <v>45664.42137731481</v>
      </c>
      <c r="L159" s="10" t="n">
        <v>45664.42248842592</v>
      </c>
      <c r="M159" s="11">
        <f>IF(AND(ISNUMBER(E159),ISNUMBER(G159)),(G159-E159),"")</f>
        <v/>
      </c>
      <c r="N159" s="11">
        <f>IF(AND(ISNUMBER(G159),ISNUMBER(L159)),(L159-G159),"")</f>
        <v/>
      </c>
      <c r="O159" s="10" t="n">
        <v>45664.36324074074</v>
      </c>
      <c r="P159" s="11">
        <f>IF(AND(ISNUMBER(I159),ISNUMBER(O159)),(I159-O159),"")</f>
        <v/>
      </c>
      <c r="Q159" s="12" t="inlineStr">
        <is>
          <t>WG 1003901 entered track and got secured, OBTP started on 08:56:26 finished on 10:06:47 and then left at 10:08:23</t>
        </is>
      </c>
    </row>
    <row r="160">
      <c r="A160" s="3" t="inlineStr">
        <is>
          <t>1003902</t>
        </is>
      </c>
      <c r="B160" s="3" t="inlineStr">
        <is>
          <t>10039</t>
        </is>
      </c>
      <c r="C160" s="9" t="n">
        <v>112.5</v>
      </c>
      <c r="D160" s="3" t="inlineStr">
        <is>
          <t>St. Veit an der Glan</t>
        </is>
      </c>
      <c r="E160" s="10" t="n">
        <v>45664.34712962963</v>
      </c>
      <c r="F160" s="10" t="n">
        <v>45664.35701388889</v>
      </c>
      <c r="G160" s="10" t="n">
        <v>45664.35927083333</v>
      </c>
      <c r="H160" s="3" t="inlineStr">
        <is>
          <t>OBT070125084545-St. Veit an der Glan</t>
        </is>
      </c>
      <c r="I160" s="10" t="n">
        <v>45664.40565972222</v>
      </c>
      <c r="J160" s="10" t="n">
        <v>45664.43702546296</v>
      </c>
      <c r="K160" s="10" t="n">
        <v>45664.43702546296</v>
      </c>
      <c r="L160" s="10" t="n">
        <v>45664.43795138889</v>
      </c>
      <c r="M160" s="11">
        <f>IF(AND(ISNUMBER(E160),ISNUMBER(G160)),(G160-E160),"")</f>
        <v/>
      </c>
      <c r="N160" s="11">
        <f>IF(AND(ISNUMBER(G160),ISNUMBER(L160)),(L160-G160),"")</f>
        <v/>
      </c>
      <c r="O160" s="10" t="n">
        <v>45664.36510416667</v>
      </c>
      <c r="P160" s="11">
        <f>IF(AND(ISNUMBER(I160),ISNUMBER(O160)),(I160-O160),"")</f>
        <v/>
      </c>
      <c r="Q160" s="12" t="inlineStr">
        <is>
          <t>WG 1003902 entered track and got coupled to WG 1003402, OBTP started on 09:44:09 finished on 10:29:19 and then left at 10:30:39</t>
        </is>
      </c>
    </row>
    <row r="161">
      <c r="A161" s="3" t="inlineStr">
        <is>
          <t>1004001</t>
        </is>
      </c>
      <c r="B161" s="3" t="inlineStr">
        <is>
          <t>10040</t>
        </is>
      </c>
      <c r="C161" s="9" t="n">
        <v>37.5</v>
      </c>
      <c r="D161" s="3" t="inlineStr">
        <is>
          <t>Neudörfl (FunderMax)</t>
        </is>
      </c>
      <c r="E161" s="10" t="n">
        <v>45664.36071759259</v>
      </c>
      <c r="F161" s="10" t="n">
        <v>45664.37334490741</v>
      </c>
      <c r="G161" s="10" t="n">
        <v>45664.37475694445</v>
      </c>
      <c r="H161" s="3" t="inlineStr">
        <is>
          <t>OBT080125041024-Neudörfl (FunderMax)</t>
        </is>
      </c>
      <c r="I161" s="10" t="n">
        <v>45665.1747337963</v>
      </c>
      <c r="J161" s="10" t="n">
        <v>45665.27763888889</v>
      </c>
      <c r="K161" s="10" t="n">
        <v>45665.27763888889</v>
      </c>
      <c r="L161" s="10" t="n">
        <v>45665.27949074074</v>
      </c>
      <c r="M161" s="11">
        <f>IF(AND(ISNUMBER(E161),ISNUMBER(G161)),(G161-E161),"")</f>
        <v/>
      </c>
      <c r="N161" s="11">
        <f>IF(AND(ISNUMBER(G161),ISNUMBER(L161)),(L161-G161),"")</f>
        <v/>
      </c>
      <c r="O161" s="10" t="n">
        <v>45664.39378472222</v>
      </c>
      <c r="P161" s="11">
        <f>IF(AND(ISNUMBER(I161),ISNUMBER(O161)),(I161-O161),"")</f>
        <v/>
      </c>
      <c r="Q161" s="12" t="inlineStr">
        <is>
          <t>WG 1004001 entered track and got secured then waited 6:22:42 for WG 1004408 to get coupled then waited 2:07:58 for WG 1004701 to get coupled then waited 10:12:41 for WG 1005101 to get coupled, OBTP started on 04:11:37 finished on 06:39:48 and then left at 06:42:28</t>
        </is>
      </c>
    </row>
    <row r="162">
      <c r="A162" s="3" t="inlineStr">
        <is>
          <t>1004002</t>
        </is>
      </c>
      <c r="B162" s="3" t="inlineStr">
        <is>
          <t>10040</t>
        </is>
      </c>
      <c r="C162" s="9" t="n">
        <v>15.74</v>
      </c>
      <c r="D162" s="3" t="inlineStr">
        <is>
          <t>Pitten (Hamburger)</t>
        </is>
      </c>
      <c r="E162" s="10" t="n">
        <v>45664.36071759259</v>
      </c>
      <c r="F162" s="10" t="n">
        <v>45664.37475694445</v>
      </c>
      <c r="G162" s="10" t="n">
        <v>45664.37600694445</v>
      </c>
      <c r="H162" s="3" t="inlineStr">
        <is>
          <t>OBT070125155207-Pitten (Hamburger)</t>
        </is>
      </c>
      <c r="I162" s="10" t="n">
        <v>45664.68381944444</v>
      </c>
      <c r="J162" s="10" t="n">
        <v>45664.7046412037</v>
      </c>
      <c r="K162" s="10" t="n">
        <v>45664.7046412037</v>
      </c>
      <c r="L162" s="10" t="n">
        <v>45664.70534722223</v>
      </c>
      <c r="M162" s="11">
        <f>IF(AND(ISNUMBER(E162),ISNUMBER(G162)),(G162-E162),"")</f>
        <v/>
      </c>
      <c r="N162" s="11">
        <f>IF(AND(ISNUMBER(G162),ISNUMBER(L162)),(L162-G162),"")</f>
        <v/>
      </c>
      <c r="O162" s="10" t="n">
        <v>45664.39556712963</v>
      </c>
      <c r="P162" s="11">
        <f>IF(AND(ISNUMBER(I162),ISNUMBER(O162)),(I162-O162),"")</f>
        <v/>
      </c>
      <c r="Q162" s="12" t="inlineStr">
        <is>
          <t>WG 1004002 entered track and got coupled to WG 1003605 then waited 0:18:19 for WG 1004008 to get coupled then waited 5:56:02 for WG 1004405 to get coupled then waited 0:08:09 for WG 1004409 to get coupled, OBTP started on 16:24:42 finished on 16:54:41 and then left at 16:55:42</t>
        </is>
      </c>
    </row>
    <row r="163">
      <c r="A163" s="3" t="inlineStr">
        <is>
          <t>1004003</t>
        </is>
      </c>
      <c r="B163" s="3" t="inlineStr">
        <is>
          <t>10040</t>
        </is>
      </c>
      <c r="C163" s="9" t="n">
        <v>62.96</v>
      </c>
      <c r="D163" s="3" t="inlineStr">
        <is>
          <t>Ebenfurth (beet loading)</t>
        </is>
      </c>
      <c r="E163" s="10" t="n">
        <v>45664.36071759259</v>
      </c>
      <c r="F163" s="10" t="n">
        <v>45664.37600694445</v>
      </c>
      <c r="G163" s="10" t="n">
        <v>45664.37724537037</v>
      </c>
      <c r="H163" s="3" t="inlineStr">
        <is>
          <t>OBT070125105541-Wien Kledering</t>
        </is>
      </c>
      <c r="I163" s="10" t="n">
        <v>45664.45618055556</v>
      </c>
      <c r="J163" s="10" t="n">
        <v>45664.50702546296</v>
      </c>
      <c r="K163" s="10" t="n">
        <v>45664.50702546296</v>
      </c>
      <c r="L163" s="10" t="n">
        <v>45664.50817129629</v>
      </c>
      <c r="M163" s="11">
        <f>IF(AND(ISNUMBER(E163),ISNUMBER(G163)),(G163-E163),"")</f>
        <v/>
      </c>
      <c r="N163" s="11">
        <f>IF(AND(ISNUMBER(G163),ISNUMBER(L163)),(L163-G163),"")</f>
        <v/>
      </c>
      <c r="O163" s="10" t="n">
        <v>45664.39674768518</v>
      </c>
      <c r="P163" s="11">
        <f>IF(AND(ISNUMBER(I163),ISNUMBER(O163)),(I163-O163),"")</f>
        <v/>
      </c>
      <c r="Q163" s="12" t="inlineStr">
        <is>
          <t>WG 1004003 entered track and got secured then waited 1:24:22 for WG 1004101 to get coupled, OBTP started on 10:56:54 finished on 12:10:07 and then left at 12:11:46</t>
        </is>
      </c>
    </row>
    <row r="164">
      <c r="A164" s="3" t="inlineStr">
        <is>
          <t>1004004</t>
        </is>
      </c>
      <c r="B164" s="3" t="inlineStr">
        <is>
          <t>10040</t>
        </is>
      </c>
      <c r="C164" s="9" t="n">
        <v>15.74</v>
      </c>
      <c r="D164" s="3" t="inlineStr">
        <is>
          <t>Other sidings south</t>
        </is>
      </c>
      <c r="E164" s="10" t="n">
        <v>45664.36071759259</v>
      </c>
      <c r="F164" s="10" t="n">
        <v>45664.37724537037</v>
      </c>
      <c r="G164" s="10" t="n">
        <v>45664.3789699074</v>
      </c>
      <c r="H164" s="3" t="inlineStr">
        <is>
          <t>OBT080125032215-Other sidings south</t>
        </is>
      </c>
      <c r="I164" s="10" t="n">
        <v>45665.15530092592</v>
      </c>
      <c r="J164" s="10" t="n">
        <v>45665.17990740741</v>
      </c>
      <c r="K164" s="10" t="n">
        <v>45665.17990740741</v>
      </c>
      <c r="L164" s="10" t="n">
        <v>45665.18077546296</v>
      </c>
      <c r="M164" s="11">
        <f>IF(AND(ISNUMBER(E164),ISNUMBER(G164)),(G164-E164),"")</f>
        <v/>
      </c>
      <c r="N164" s="11">
        <f>IF(AND(ISNUMBER(G164),ISNUMBER(L164)),(L164-G164),"")</f>
        <v/>
      </c>
      <c r="O164" s="10" t="n">
        <v>45664.4003125</v>
      </c>
      <c r="P164" s="11">
        <f>IF(AND(ISNUMBER(I164),ISNUMBER(O164)),(I164-O164),"")</f>
        <v/>
      </c>
      <c r="Q164" s="12" t="inlineStr">
        <is>
          <t>WG 1004004 entered track and got coupled to WG 1003607 then waited 6:19:34 for WG 1004410 to get coupled then waited 2:07:07 for WG 1004703 to get coupled then waited 9:19:07 for WG 1005005 to get coupled, OBTP started on 03:43:38 finished on 04:19:04 and then left at 04:20:19</t>
        </is>
      </c>
    </row>
    <row r="165">
      <c r="A165" s="3" t="inlineStr">
        <is>
          <t>1004005</t>
        </is>
      </c>
      <c r="B165" s="3" t="inlineStr">
        <is>
          <t>10040</t>
        </is>
      </c>
      <c r="C165" s="9" t="n">
        <v>19.9</v>
      </c>
      <c r="D165" s="3" t="inlineStr">
        <is>
          <t>Wr. Neustadt Ausfahrbf (Furtenbach)</t>
        </is>
      </c>
      <c r="E165" s="10" t="n">
        <v>45664.36071759259</v>
      </c>
      <c r="F165" s="10" t="n">
        <v>45664.3789699074</v>
      </c>
      <c r="G165" s="10" t="n">
        <v>45664.38068287037</v>
      </c>
      <c r="H165" s="3" t="inlineStr">
        <is>
          <t>OBT070125180657-Wr. Neustadt Ausfahrbf (Furtenbach)</t>
        </is>
      </c>
      <c r="I165" s="10" t="n">
        <v>45664.75568287037</v>
      </c>
      <c r="J165" s="10" t="n">
        <v>45664.77986111111</v>
      </c>
      <c r="K165" s="10" t="n">
        <v>45664.77986111111</v>
      </c>
      <c r="L165" s="10" t="n">
        <v>45664.78077546296</v>
      </c>
      <c r="M165" s="11">
        <f>IF(AND(ISNUMBER(E165),ISNUMBER(G165)),(G165-E165),"")</f>
        <v/>
      </c>
      <c r="N165" s="11">
        <f>IF(AND(ISNUMBER(G165),ISNUMBER(L165)),(L165-G165),"")</f>
        <v/>
      </c>
      <c r="O165" s="10" t="n">
        <v>45664.40111111111</v>
      </c>
      <c r="P165" s="11">
        <f>IF(AND(ISNUMBER(I165),ISNUMBER(O165)),(I165-O165),"")</f>
        <v/>
      </c>
      <c r="Q165" s="12" t="inlineStr">
        <is>
          <t>WG 1004005 entered track and got coupled to WG 1003602 then waited 6:21:25 for WG 1004411 to get coupled then waited 2:07:56 for WG 1004705 to get coupled, OBTP started on 18:08:11 finished on 18:43:00 and then left at 18:44:19</t>
        </is>
      </c>
    </row>
    <row r="166">
      <c r="A166" s="3" t="inlineStr">
        <is>
          <t>1004006</t>
        </is>
      </c>
      <c r="B166" s="3" t="inlineStr">
        <is>
          <t>10040</t>
        </is>
      </c>
      <c r="C166" s="9" t="n">
        <v>43.14</v>
      </c>
      <c r="D166" s="3" t="inlineStr">
        <is>
          <t>Other sidings north</t>
        </is>
      </c>
      <c r="E166" s="10" t="n">
        <v>45664.36071759259</v>
      </c>
      <c r="F166" s="10" t="n">
        <v>45664.38068287037</v>
      </c>
      <c r="G166" s="10" t="n">
        <v>45664.38199074074</v>
      </c>
      <c r="H166" s="3" t="inlineStr">
        <is>
          <t>OBT070125154601-Other sidings north</t>
        </is>
      </c>
      <c r="I166" s="10" t="n">
        <v>45664.66853009259</v>
      </c>
      <c r="J166" s="10" t="n">
        <v>45664.68622685185</v>
      </c>
      <c r="K166" s="10" t="n">
        <v>45664.68622685185</v>
      </c>
      <c r="L166" s="10" t="n">
        <v>45664.68701388889</v>
      </c>
      <c r="M166" s="11">
        <f>IF(AND(ISNUMBER(E166),ISNUMBER(G166)),(G166-E166),"")</f>
        <v/>
      </c>
      <c r="N166" s="11">
        <f>IF(AND(ISNUMBER(G166),ISNUMBER(L166)),(L166-G166),"")</f>
        <v/>
      </c>
      <c r="O166" s="10" t="n">
        <v>45664.40354166667</v>
      </c>
      <c r="P166" s="11">
        <f>IF(AND(ISNUMBER(I166),ISNUMBER(O166)),(I166-O166),"")</f>
        <v/>
      </c>
      <c r="Q166" s="12" t="inlineStr">
        <is>
          <t>WG 1004006 entered track and got secured then waited 6:04:55 for WG 1004407 to get coupled, OBTP started on 16:02:41 finished on 16:28:10 and then left at 16:29:18</t>
        </is>
      </c>
    </row>
    <row r="167">
      <c r="A167" s="3" t="inlineStr">
        <is>
          <t>1004007</t>
        </is>
      </c>
      <c r="B167" s="3" t="inlineStr">
        <is>
          <t>10040</t>
        </is>
      </c>
      <c r="C167" s="9" t="n">
        <v>81</v>
      </c>
      <c r="D167" s="3" t="inlineStr">
        <is>
          <t>Wr. Neustadt (Hödlmayr)</t>
        </is>
      </c>
      <c r="E167" s="10" t="n">
        <v>45664.36071759259</v>
      </c>
      <c r="F167" s="10" t="n">
        <v>45664.38199074074</v>
      </c>
      <c r="G167" s="10" t="n">
        <v>45664.38402777778</v>
      </c>
      <c r="H167" s="3" t="inlineStr">
        <is>
          <t>OBT070125154136-Wr. Neustadt (Hödlmayr)</t>
        </is>
      </c>
      <c r="I167" s="10" t="n">
        <v>45664.65876157407</v>
      </c>
      <c r="J167" s="10" t="n">
        <v>45664.68219907407</v>
      </c>
      <c r="K167" s="10" t="n">
        <v>45664.68219907407</v>
      </c>
      <c r="L167" s="10" t="n">
        <v>45664.68289351852</v>
      </c>
      <c r="M167" s="11">
        <f>IF(AND(ISNUMBER(E167),ISNUMBER(G167)),(G167-E167),"")</f>
        <v/>
      </c>
      <c r="N167" s="11">
        <f>IF(AND(ISNUMBER(G167),ISNUMBER(L167)),(L167-G167),"")</f>
        <v/>
      </c>
      <c r="O167" s="10" t="n">
        <v>45664.40407407407</v>
      </c>
      <c r="P167" s="11">
        <f>IF(AND(ISNUMBER(I167),ISNUMBER(O167)),(I167-O167),"")</f>
        <v/>
      </c>
      <c r="Q167" s="12" t="inlineStr">
        <is>
          <t>WG 1004007 entered track and got secured then waited 5:59:44 for WG 1004404 to get coupled, OBTP started on 15:48:37 finished on 16:22:22 and then left at 16:23:22</t>
        </is>
      </c>
    </row>
    <row r="168">
      <c r="A168" s="3" t="inlineStr">
        <is>
          <t>1004008</t>
        </is>
      </c>
      <c r="B168" s="3" t="inlineStr">
        <is>
          <t>10040</t>
        </is>
      </c>
      <c r="C168" s="9" t="n">
        <v>21</v>
      </c>
      <c r="D168" s="3" t="inlineStr">
        <is>
          <t>Neunkirchen (loading tracks)</t>
        </is>
      </c>
      <c r="E168" s="10" t="n">
        <v>45664.36071759259</v>
      </c>
      <c r="F168" s="10" t="n">
        <v>45664.38402777778</v>
      </c>
      <c r="G168" s="10" t="n">
        <v>45664.38528935185</v>
      </c>
      <c r="H168" s="3" t="inlineStr">
        <is>
          <t>OBT070125155207-Pitten (Hamburger)</t>
        </is>
      </c>
      <c r="I168" s="10" t="n">
        <v>45664.68381944444</v>
      </c>
      <c r="J168" s="10" t="n">
        <v>45664.7046412037</v>
      </c>
      <c r="K168" s="10" t="n">
        <v>45664.7046412037</v>
      </c>
      <c r="L168" s="10" t="n">
        <v>45664.70534722223</v>
      </c>
      <c r="M168" s="11">
        <f>IF(AND(ISNUMBER(E168),ISNUMBER(G168)),(G168-E168),"")</f>
        <v/>
      </c>
      <c r="N168" s="11">
        <f>IF(AND(ISNUMBER(G168),ISNUMBER(L168)),(L168-G168),"")</f>
        <v/>
      </c>
      <c r="O168" s="10" t="n">
        <v>45664.40828703704</v>
      </c>
      <c r="P168" s="11">
        <f>IF(AND(ISNUMBER(I168),ISNUMBER(O168)),(I168-O168),"")</f>
        <v/>
      </c>
      <c r="Q168" s="12" t="inlineStr">
        <is>
          <t>WG 1004008 entered track and got coupled to WG 1004002 then waited 5:56:02 for WG 1004405 to get coupled then waited 0:08:09 for WG 1004409 to get coupled, OBTP started on 16:24:42 finished on 16:54:41 and then left at 16:55:42</t>
        </is>
      </c>
    </row>
    <row r="169">
      <c r="A169" s="3" t="inlineStr">
        <is>
          <t>1004101</t>
        </is>
      </c>
      <c r="B169" s="3" t="inlineStr">
        <is>
          <t>10041</t>
        </is>
      </c>
      <c r="C169" s="9" t="n">
        <v>292.9</v>
      </c>
      <c r="D169" s="3" t="inlineStr">
        <is>
          <t>Wien Kledering</t>
        </is>
      </c>
      <c r="E169" s="10" t="n">
        <v>45664.44141203703</v>
      </c>
      <c r="F169" s="10" t="n">
        <v>45664.45114583334</v>
      </c>
      <c r="G169" s="10" t="n">
        <v>45664.45293981482</v>
      </c>
      <c r="H169" s="3" t="inlineStr">
        <is>
          <t>OBT070125105541-Wien Kledering</t>
        </is>
      </c>
      <c r="I169" s="10" t="n">
        <v>45664.45618055556</v>
      </c>
      <c r="J169" s="10" t="n">
        <v>45664.50702546296</v>
      </c>
      <c r="K169" s="10" t="n">
        <v>45664.50702546296</v>
      </c>
      <c r="L169" s="10" t="n">
        <v>45664.50817129629</v>
      </c>
      <c r="M169" s="11">
        <f>IF(AND(ISNUMBER(E169),ISNUMBER(G169)),(G169-E169),"")</f>
        <v/>
      </c>
      <c r="N169" s="11">
        <f>IF(AND(ISNUMBER(G169),ISNUMBER(L169)),(L169-G169),"")</f>
        <v/>
      </c>
      <c r="O169" s="10" t="n">
        <v>45664.45533564815</v>
      </c>
      <c r="P169" s="11">
        <f>IF(AND(ISNUMBER(I169),ISNUMBER(O169)),(I169-O169),"")</f>
        <v/>
      </c>
      <c r="Q169" s="12" t="inlineStr">
        <is>
          <t>WG 1004101 entered track and got secured, OBTP started on 10:56:54 finished on 12:10:07 and then left at 12:11:46</t>
        </is>
      </c>
    </row>
    <row r="170">
      <c r="A170" s="3" t="inlineStr">
        <is>
          <t>1004102</t>
        </is>
      </c>
      <c r="B170" s="3" t="inlineStr">
        <is>
          <t>10041</t>
        </is>
      </c>
      <c r="C170" s="9" t="n">
        <v>84</v>
      </c>
      <c r="D170" s="3" t="inlineStr">
        <is>
          <t>St. Veit an der Glan</t>
        </is>
      </c>
      <c r="E170" s="10" t="n">
        <v>45664.44141203703</v>
      </c>
      <c r="F170" s="10" t="n">
        <v>45664.45293981482</v>
      </c>
      <c r="G170" s="10" t="n">
        <v>45664.45501157407</v>
      </c>
      <c r="H170" s="3" t="inlineStr">
        <is>
          <t>OBT070125162217-St. Veit an der Glan</t>
        </is>
      </c>
      <c r="I170" s="10" t="n">
        <v>45664.68796296296</v>
      </c>
      <c r="J170" s="10" t="n">
        <v>45664.70540509259</v>
      </c>
      <c r="K170" s="10" t="n">
        <v>45664.70540509259</v>
      </c>
      <c r="L170" s="10" t="n">
        <v>45664.7060300926</v>
      </c>
      <c r="M170" s="11">
        <f>IF(AND(ISNUMBER(E170),ISNUMBER(G170)),(G170-E170),"")</f>
        <v/>
      </c>
      <c r="N170" s="11">
        <f>IF(AND(ISNUMBER(G170),ISNUMBER(L170)),(L170-G170),"")</f>
        <v/>
      </c>
      <c r="O170" s="10" t="n">
        <v>45664.4571875</v>
      </c>
      <c r="P170" s="11">
        <f>IF(AND(ISNUMBER(I170),ISNUMBER(O170)),(I170-O170),"")</f>
        <v/>
      </c>
      <c r="Q170" s="12" t="inlineStr">
        <is>
          <t>WG 1004102 entered track and got secured then waited 5:23:56 for WG 1004602 to get coupled, OBTP started on 16:30:40 finished on 16:55:47 and then left at 16:56:41</t>
        </is>
      </c>
    </row>
    <row r="171">
      <c r="A171" s="3" t="inlineStr">
        <is>
          <t>1004103</t>
        </is>
      </c>
      <c r="B171" s="3" t="inlineStr">
        <is>
          <t>10041</t>
        </is>
      </c>
      <c r="C171" s="9" t="n">
        <v>71.73999999999999</v>
      </c>
      <c r="D171" s="3" t="inlineStr">
        <is>
          <t>Wien Kledering</t>
        </is>
      </c>
      <c r="E171" s="10" t="n">
        <v>45664.44141203703</v>
      </c>
      <c r="F171" s="10" t="n">
        <v>45664.45501157407</v>
      </c>
      <c r="G171" s="10" t="n">
        <v>45664.45717592593</v>
      </c>
      <c r="H171" s="3" t="inlineStr">
        <is>
          <t>OBT070125131825-Wien Kledering</t>
        </is>
      </c>
      <c r="I171" s="10" t="n">
        <v>45664.55532407408</v>
      </c>
      <c r="J171" s="10" t="n">
        <v>45664.60120370371</v>
      </c>
      <c r="K171" s="10" t="n">
        <v>45664.60120370371</v>
      </c>
      <c r="L171" s="10" t="n">
        <v>45664.60231481482</v>
      </c>
      <c r="M171" s="11">
        <f>IF(AND(ISNUMBER(E171),ISNUMBER(G171)),(G171-E171),"")</f>
        <v/>
      </c>
      <c r="N171" s="11">
        <f>IF(AND(ISNUMBER(G171),ISNUMBER(L171)),(L171-G171),"")</f>
        <v/>
      </c>
      <c r="O171" s="10" t="n">
        <v>45664.45957175926</v>
      </c>
      <c r="P171" s="11">
        <f>IF(AND(ISNUMBER(I171),ISNUMBER(O171)),(I171-O171),"")</f>
        <v/>
      </c>
      <c r="Q171" s="12" t="inlineStr">
        <is>
          <t>WG 1004103 entered track and got secured then waited 2:16:38 for WG 1004201 to get coupled, OBTP started on 13:19:40 finished on 14:25:44 and then left at 14:27:20</t>
        </is>
      </c>
    </row>
    <row r="172">
      <c r="A172" s="3" t="inlineStr">
        <is>
          <t>1004201</t>
        </is>
      </c>
      <c r="B172" s="3" t="inlineStr">
        <is>
          <t>10042</t>
        </is>
      </c>
      <c r="C172" s="9" t="n">
        <v>192.54</v>
      </c>
      <c r="D172" s="3" t="inlineStr">
        <is>
          <t>Wien Kledering</t>
        </is>
      </c>
      <c r="E172" s="10" t="n">
        <v>45664.5433912037</v>
      </c>
      <c r="F172" s="10" t="n">
        <v>45664.54844907407</v>
      </c>
      <c r="G172" s="10" t="n">
        <v>45664.55087962963</v>
      </c>
      <c r="H172" s="3" t="inlineStr">
        <is>
          <t>OBT070125131825-Wien Kledering</t>
        </is>
      </c>
      <c r="I172" s="10" t="n">
        <v>45664.55532407408</v>
      </c>
      <c r="J172" s="10" t="n">
        <v>45664.60120370371</v>
      </c>
      <c r="K172" s="10" t="n">
        <v>45664.60120370371</v>
      </c>
      <c r="L172" s="10" t="n">
        <v>45664.60231481482</v>
      </c>
      <c r="M172" s="11">
        <f>IF(AND(ISNUMBER(E172),ISNUMBER(G172)),(G172-E172),"")</f>
        <v/>
      </c>
      <c r="N172" s="11">
        <f>IF(AND(ISNUMBER(G172),ISNUMBER(L172)),(L172-G172),"")</f>
        <v/>
      </c>
      <c r="O172" s="10" t="n">
        <v>45664.55445601852</v>
      </c>
      <c r="P172" s="11">
        <f>IF(AND(ISNUMBER(I172),ISNUMBER(O172)),(I172-O172),"")</f>
        <v/>
      </c>
      <c r="Q172" s="12" t="inlineStr">
        <is>
          <t>WG 1004201 entered track and got coupled to WG 1004103, OBTP started on 13:19:40 finished on 14:25:44 and then left at 14:27:20</t>
        </is>
      </c>
    </row>
    <row r="173">
      <c r="A173" s="3" t="inlineStr">
        <is>
          <t>1004301</t>
        </is>
      </c>
      <c r="B173" s="3" t="inlineStr">
        <is>
          <t>10043</t>
        </is>
      </c>
      <c r="C173" s="9" t="n">
        <v>398.0400000000001</v>
      </c>
      <c r="D173" s="3" t="inlineStr">
        <is>
          <t>Wien Kledering</t>
        </is>
      </c>
      <c r="E173" s="10" t="n">
        <v>45664.59556712963</v>
      </c>
      <c r="F173" s="10" t="n">
        <v>45664.60255787037</v>
      </c>
      <c r="G173" s="10" t="n">
        <v>45664.60460648148</v>
      </c>
      <c r="H173" s="3" t="inlineStr">
        <is>
          <t>OBT070125143346-Wien Kledering</t>
        </is>
      </c>
      <c r="I173" s="10" t="n">
        <v>45664.60762731481</v>
      </c>
      <c r="J173" s="10" t="n">
        <v>45664.67672453704</v>
      </c>
      <c r="K173" s="10" t="n">
        <v>45664.67672453704</v>
      </c>
      <c r="L173" s="10" t="n">
        <v>45664.67811342593</v>
      </c>
      <c r="M173" s="11">
        <f>IF(AND(ISNUMBER(E173),ISNUMBER(G173)),(G173-E173),"")</f>
        <v/>
      </c>
      <c r="N173" s="11">
        <f>IF(AND(ISNUMBER(G173),ISNUMBER(L173)),(L173-G173),"")</f>
        <v/>
      </c>
      <c r="O173" s="10" t="n">
        <v>45664.60678240741</v>
      </c>
      <c r="P173" s="11">
        <f>IF(AND(ISNUMBER(I173),ISNUMBER(O173)),(I173-O173),"")</f>
        <v/>
      </c>
      <c r="Q173" s="12" t="inlineStr">
        <is>
          <t>WG 1004301 entered track and got secured, OBTP started on 14:34:59 finished on 16:14:29 and then left at 16:16:29</t>
        </is>
      </c>
    </row>
    <row r="174">
      <c r="A174" s="3" t="inlineStr">
        <is>
          <t>1004401</t>
        </is>
      </c>
      <c r="B174" s="3" t="inlineStr">
        <is>
          <t>10044</t>
        </is>
      </c>
      <c r="C174" s="9" t="n">
        <v>19.9</v>
      </c>
      <c r="D174" s="3" t="inlineStr">
        <is>
          <t>Other sidings local</t>
        </is>
      </c>
      <c r="E174" s="10" t="n">
        <v>45664.62636574074</v>
      </c>
      <c r="F174" s="10" t="n">
        <v>45664.6433912037</v>
      </c>
      <c r="G174" s="10" t="n">
        <v>45664.64542824074</v>
      </c>
      <c r="H174" s="3" t="inlineStr">
        <is>
          <t>OBT080125031718-Other sidings local</t>
        </is>
      </c>
      <c r="I174" s="10" t="n">
        <v>45665.13884259259</v>
      </c>
      <c r="J174" s="10" t="n">
        <v>45665.15869212963</v>
      </c>
      <c r="K174" s="10" t="n">
        <v>45665.15869212963</v>
      </c>
      <c r="L174" s="10" t="n">
        <v>45665.1594675926</v>
      </c>
      <c r="M174" s="11">
        <f>IF(AND(ISNUMBER(E174),ISNUMBER(G174)),(G174-E174),"")</f>
        <v/>
      </c>
      <c r="N174" s="11">
        <f>IF(AND(ISNUMBER(G174),ISNUMBER(L174)),(L174-G174),"")</f>
        <v/>
      </c>
      <c r="O174" s="10" t="n">
        <v>45664.64760416667</v>
      </c>
      <c r="P174" s="11">
        <f>IF(AND(ISNUMBER(I174),ISNUMBER(O174)),(I174-O174),"")</f>
        <v/>
      </c>
      <c r="Q174" s="12" t="inlineStr">
        <is>
          <t>WG 1004401 entered track and got secured then waited 2:27:34 for WG 1004702 to get coupled then waited 0:12:25 for WG 1004707 to get coupled then waited 8:58:59 for WG 1005001 to get coupled then waited 0:05:47 for WG 1005003 to get coupled, OBTP started on 03:19:56 finished on 03:48:31 and then left at 03:49:38</t>
        </is>
      </c>
    </row>
    <row r="175">
      <c r="A175" s="3" t="inlineStr">
        <is>
          <t>1004402</t>
        </is>
      </c>
      <c r="B175" s="3" t="inlineStr">
        <is>
          <t>10044</t>
        </is>
      </c>
      <c r="C175" s="9" t="n">
        <v>15.74</v>
      </c>
      <c r="D175" s="3" t="inlineStr">
        <is>
          <t>Steinabrückl/Wöllersdorf</t>
        </is>
      </c>
      <c r="E175" s="10" t="n">
        <v>45664.62636574074</v>
      </c>
      <c r="F175" s="10" t="n">
        <v>45664.64542824074</v>
      </c>
      <c r="G175" s="10" t="n">
        <v>45664.64715277778</v>
      </c>
      <c r="H175" s="3" t="inlineStr">
        <is>
          <t>OBT090125184210-Steinabrückl/Wöllersdorf</t>
        </is>
      </c>
      <c r="I175" s="10" t="n">
        <v>45666.79709490741</v>
      </c>
      <c r="J175" s="10" t="n">
        <v>45666.81622685185</v>
      </c>
      <c r="K175" s="10" t="n">
        <v>45666.81667824074</v>
      </c>
      <c r="L175" s="10" t="n">
        <v>45666.8174537037</v>
      </c>
      <c r="M175" s="11">
        <f>IF(AND(ISNUMBER(E175),ISNUMBER(G175)),(G175-E175),"")</f>
        <v/>
      </c>
      <c r="N175" s="11">
        <f>IF(AND(ISNUMBER(G175),ISNUMBER(L175)),(L175-G175),"")</f>
        <v/>
      </c>
      <c r="O175" s="10" t="n">
        <v>45664.65107638889</v>
      </c>
      <c r="P175" s="11">
        <f>IF(AND(ISNUMBER(I175),ISNUMBER(O175)),(I175-O175),"")</f>
        <v/>
      </c>
      <c r="Q175" s="12" t="inlineStr">
        <is>
          <t>WG 1004402 entered track and got coupled to WG 1001308 then waited 2:43:11 for WG 1004710 to get coupled then waited 25:54:36 for WG 1006403 to get coupled then waited 22:06:13 for WG 1007703 to get coupled then waited 0:20:37 for WG 1007902 to get coupled, OBTP started on 19:07:49 finished on 19:35:22 and then left at 19:37:08</t>
        </is>
      </c>
    </row>
    <row r="176">
      <c r="A176" s="3" t="inlineStr">
        <is>
          <t>1004403</t>
        </is>
      </c>
      <c r="B176" s="3" t="inlineStr">
        <is>
          <t>10044</t>
        </is>
      </c>
      <c r="C176" s="9" t="n">
        <v>15.74</v>
      </c>
      <c r="D176" s="3" t="inlineStr">
        <is>
          <t>Ebenfurth (beet loading)</t>
        </is>
      </c>
      <c r="E176" s="10" t="n">
        <v>45664.62636574074</v>
      </c>
      <c r="F176" s="10" t="n">
        <v>45664.64715277778</v>
      </c>
      <c r="G176" s="10" t="n">
        <v>45664.64832175926</v>
      </c>
      <c r="H176" s="3" t="inlineStr">
        <is>
          <t>OBT080125081724-Other sidings north</t>
        </is>
      </c>
      <c r="I176" s="10" t="n">
        <v>45665.34628472223</v>
      </c>
      <c r="J176" s="10" t="n">
        <v>45665.36886574074</v>
      </c>
      <c r="K176" s="10" t="n">
        <v>45665.36886574074</v>
      </c>
      <c r="L176" s="10" t="n">
        <v>45665.36962962963</v>
      </c>
      <c r="M176" s="11">
        <f>IF(AND(ISNUMBER(E176),ISNUMBER(G176)),(G176-E176),"")</f>
        <v/>
      </c>
      <c r="N176" s="11">
        <f>IF(AND(ISNUMBER(G176),ISNUMBER(L176)),(L176-G176),"")</f>
        <v/>
      </c>
      <c r="O176" s="10" t="n">
        <v>45664.65071759259</v>
      </c>
      <c r="P176" s="11">
        <f>IF(AND(ISNUMBER(I176),ISNUMBER(O176)),(I176-O176),"")</f>
        <v/>
      </c>
      <c r="Q176" s="12" t="inlineStr">
        <is>
          <t>WG 1004403 entered track and got secured then waited 2:25:40 for WG 1004704 to get coupled then waited 0:24:56 for WG 1004712 to get coupled then waited 0:05:36 for WG 1004713 to get coupled then waited 13:44:10 for WG 1005307 to get coupled, OBTP started on 08:18:39 finished on 08:51:10 and then left at 08:52:16</t>
        </is>
      </c>
    </row>
    <row r="177">
      <c r="A177" s="3" t="inlineStr">
        <is>
          <t>1004404</t>
        </is>
      </c>
      <c r="B177" s="3" t="inlineStr">
        <is>
          <t>10044</t>
        </is>
      </c>
      <c r="C177" s="9" t="n">
        <v>54</v>
      </c>
      <c r="D177" s="3" t="inlineStr">
        <is>
          <t>Wr. Neustadt (Hödlmayr)</t>
        </is>
      </c>
      <c r="E177" s="10" t="n">
        <v>45664.62636574074</v>
      </c>
      <c r="F177" s="10" t="n">
        <v>45664.64832175926</v>
      </c>
      <c r="G177" s="10" t="n">
        <v>45664.6503125</v>
      </c>
      <c r="H177" s="3" t="inlineStr">
        <is>
          <t>OBT070125154136-Wr. Neustadt (Hödlmayr)</t>
        </is>
      </c>
      <c r="I177" s="10" t="n">
        <v>45664.65876157407</v>
      </c>
      <c r="J177" s="10" t="n">
        <v>45664.68219907407</v>
      </c>
      <c r="K177" s="10" t="n">
        <v>45664.68219907407</v>
      </c>
      <c r="L177" s="10" t="n">
        <v>45664.68289351852</v>
      </c>
      <c r="M177" s="11">
        <f>IF(AND(ISNUMBER(E177),ISNUMBER(G177)),(G177-E177),"")</f>
        <v/>
      </c>
      <c r="N177" s="11">
        <f>IF(AND(ISNUMBER(G177),ISNUMBER(L177)),(L177-G177),"")</f>
        <v/>
      </c>
      <c r="O177" s="10" t="n">
        <v>45664.65388888889</v>
      </c>
      <c r="P177" s="11">
        <f>IF(AND(ISNUMBER(I177),ISNUMBER(O177)),(I177-O177),"")</f>
        <v/>
      </c>
      <c r="Q177" s="12" t="inlineStr">
        <is>
          <t>WG 1004404 entered track and got coupled to WG 1004007, OBTP started on 15:48:37 finished on 16:22:22 and then left at 16:23:22</t>
        </is>
      </c>
    </row>
    <row r="178">
      <c r="A178" s="3" t="inlineStr">
        <is>
          <t>1004405</t>
        </is>
      </c>
      <c r="B178" s="3" t="inlineStr">
        <is>
          <t>10044</t>
        </is>
      </c>
      <c r="C178" s="9" t="n">
        <v>21</v>
      </c>
      <c r="D178" s="3" t="inlineStr">
        <is>
          <t>Neunkirchen (loading tracks)</t>
        </is>
      </c>
      <c r="E178" s="10" t="n">
        <v>45664.62636574074</v>
      </c>
      <c r="F178" s="10" t="n">
        <v>45664.6503125</v>
      </c>
      <c r="G178" s="10" t="n">
        <v>45664.6516087963</v>
      </c>
      <c r="H178" s="3" t="inlineStr">
        <is>
          <t>OBT070125155207-Pitten (Hamburger)</t>
        </is>
      </c>
      <c r="I178" s="10" t="n">
        <v>45664.68381944444</v>
      </c>
      <c r="J178" s="10" t="n">
        <v>45664.7046412037</v>
      </c>
      <c r="K178" s="10" t="n">
        <v>45664.7046412037</v>
      </c>
      <c r="L178" s="10" t="n">
        <v>45664.70534722223</v>
      </c>
      <c r="M178" s="11">
        <f>IF(AND(ISNUMBER(E178),ISNUMBER(G178)),(G178-E178),"")</f>
        <v/>
      </c>
      <c r="N178" s="11">
        <f>IF(AND(ISNUMBER(G178),ISNUMBER(L178)),(L178-G178),"")</f>
        <v/>
      </c>
      <c r="O178" s="10" t="n">
        <v>45664.65553240741</v>
      </c>
      <c r="P178" s="11">
        <f>IF(AND(ISNUMBER(I178),ISNUMBER(O178)),(I178-O178),"")</f>
        <v/>
      </c>
      <c r="Q178" s="12" t="inlineStr">
        <is>
          <t>WG 1004405 entered track and got coupled to WG 1004008 then waited 0:08:09 for WG 1004409 to get coupled, OBTP started on 16:24:42 finished on 16:54:41 and then left at 16:55:42</t>
        </is>
      </c>
    </row>
    <row r="179">
      <c r="A179" s="3" t="inlineStr">
        <is>
          <t>1004406</t>
        </is>
      </c>
      <c r="B179" s="3" t="inlineStr">
        <is>
          <t>10044</t>
        </is>
      </c>
      <c r="C179" s="9" t="n">
        <v>14</v>
      </c>
      <c r="D179" s="3" t="inlineStr">
        <is>
          <t>Wr. Neustadt (Brenntag)</t>
        </is>
      </c>
      <c r="E179" s="10" t="n">
        <v>45664.62636574074</v>
      </c>
      <c r="F179" s="10" t="n">
        <v>45664.6516087963</v>
      </c>
      <c r="G179" s="10" t="n">
        <v>45664.65310185185</v>
      </c>
      <c r="H179" s="3" t="inlineStr">
        <is>
          <t>OBT090125074546-Wr. Neustadt (Brenntag)</t>
        </is>
      </c>
      <c r="I179" s="10" t="n">
        <v>45666.32508101852</v>
      </c>
      <c r="J179" s="10" t="n">
        <v>45666.39607638889</v>
      </c>
      <c r="K179" s="10" t="n">
        <v>45666.39607638889</v>
      </c>
      <c r="L179" s="10" t="n">
        <v>45666.39756944445</v>
      </c>
      <c r="M179" s="11">
        <f>IF(AND(ISNUMBER(E179),ISNUMBER(G179)),(G179-E179),"")</f>
        <v/>
      </c>
      <c r="N179" s="11">
        <f>IF(AND(ISNUMBER(G179),ISNUMBER(L179)),(L179-G179),"")</f>
        <v/>
      </c>
      <c r="O179" s="10" t="n">
        <v>45664.65702546296</v>
      </c>
      <c r="P179" s="11">
        <f>IF(AND(ISNUMBER(I179),ISNUMBER(O179)),(I179-O179),"")</f>
        <v/>
      </c>
      <c r="Q179" s="12" t="inlineStr">
        <is>
          <t>WG 1004406 entered track and got coupled to WG 1001303 then waited 16:53:04 for WG 1005315 to get coupled then waited 7:19:41 for WG 1006011 to get coupled then waited 15:42:16 for WG 1007001 to get coupled then waited 0:04:38 for WG 1006902 to get coupled, OBTP started on 07:48:07 finished on 09:30:21 and then left at 09:32:30</t>
        </is>
      </c>
    </row>
    <row r="180">
      <c r="A180" s="3" t="inlineStr">
        <is>
          <t>1004407</t>
        </is>
      </c>
      <c r="B180" s="3" t="inlineStr">
        <is>
          <t>10044</t>
        </is>
      </c>
      <c r="C180" s="9" t="n">
        <v>101.94</v>
      </c>
      <c r="D180" s="3" t="inlineStr">
        <is>
          <t>Other sidings north</t>
        </is>
      </c>
      <c r="E180" s="10" t="n">
        <v>45664.62636574074</v>
      </c>
      <c r="F180" s="10" t="n">
        <v>45664.65310185185</v>
      </c>
      <c r="G180" s="10" t="n">
        <v>45664.65458333334</v>
      </c>
      <c r="H180" s="3" t="inlineStr">
        <is>
          <t>OBT070125154601-Other sidings north</t>
        </is>
      </c>
      <c r="I180" s="10" t="n">
        <v>45664.66853009259</v>
      </c>
      <c r="J180" s="10" t="n">
        <v>45664.68622685185</v>
      </c>
      <c r="K180" s="10" t="n">
        <v>45664.68622685185</v>
      </c>
      <c r="L180" s="10" t="n">
        <v>45664.68701388889</v>
      </c>
      <c r="M180" s="11">
        <f>IF(AND(ISNUMBER(E180),ISNUMBER(G180)),(G180-E180),"")</f>
        <v/>
      </c>
      <c r="N180" s="11">
        <f>IF(AND(ISNUMBER(G180),ISNUMBER(L180)),(L180-G180),"")</f>
        <v/>
      </c>
      <c r="O180" s="10" t="n">
        <v>45664.65695601852</v>
      </c>
      <c r="P180" s="11">
        <f>IF(AND(ISNUMBER(I180),ISNUMBER(O180)),(I180-O180),"")</f>
        <v/>
      </c>
      <c r="Q180" s="12" t="inlineStr">
        <is>
          <t>WG 1004407 entered track and got secured, OBTP started on 16:02:41 finished on 16:28:10 and then left at 16:29:18</t>
        </is>
      </c>
    </row>
    <row r="181">
      <c r="A181" s="3" t="inlineStr">
        <is>
          <t>1004408</t>
        </is>
      </c>
      <c r="B181" s="3" t="inlineStr">
        <is>
          <t>10044</t>
        </is>
      </c>
      <c r="C181" s="9" t="n">
        <v>19.9</v>
      </c>
      <c r="D181" s="3" t="inlineStr">
        <is>
          <t>Neudörfl (FunderMax)</t>
        </is>
      </c>
      <c r="E181" s="10" t="n">
        <v>45664.62636574074</v>
      </c>
      <c r="F181" s="10" t="n">
        <v>45664.65458333334</v>
      </c>
      <c r="G181" s="10" t="n">
        <v>45664.6559837963</v>
      </c>
      <c r="H181" s="3" t="inlineStr">
        <is>
          <t>OBT080125041024-Neudörfl (FunderMax)</t>
        </is>
      </c>
      <c r="I181" s="10" t="n">
        <v>45665.1747337963</v>
      </c>
      <c r="J181" s="10" t="n">
        <v>45665.27763888889</v>
      </c>
      <c r="K181" s="10" t="n">
        <v>45665.27763888889</v>
      </c>
      <c r="L181" s="10" t="n">
        <v>45665.27949074074</v>
      </c>
      <c r="M181" s="11">
        <f>IF(AND(ISNUMBER(E181),ISNUMBER(G181)),(G181-E181),"")</f>
        <v/>
      </c>
      <c r="N181" s="11">
        <f>IF(AND(ISNUMBER(G181),ISNUMBER(L181)),(L181-G181),"")</f>
        <v/>
      </c>
      <c r="O181" s="10" t="n">
        <v>45664.65954861111</v>
      </c>
      <c r="P181" s="11">
        <f>IF(AND(ISNUMBER(I181),ISNUMBER(O181)),(I181-O181),"")</f>
        <v/>
      </c>
      <c r="Q181" s="12" t="inlineStr">
        <is>
          <t>WG 1004408 entered track and got coupled to WG 1004001 then waited 2:07:58 for WG 1004701 to get coupled then waited 10:12:41 for WG 1005101 to get coupled, OBTP started on 04:11:37 finished on 06:39:48 and then left at 06:42:28</t>
        </is>
      </c>
    </row>
    <row r="182">
      <c r="A182" s="3" t="inlineStr">
        <is>
          <t>1004409</t>
        </is>
      </c>
      <c r="B182" s="3" t="inlineStr">
        <is>
          <t>10044</t>
        </is>
      </c>
      <c r="C182" s="9" t="n">
        <v>23.24</v>
      </c>
      <c r="D182" s="3" t="inlineStr">
        <is>
          <t>Pitten (Hamburger)</t>
        </is>
      </c>
      <c r="E182" s="10" t="n">
        <v>45664.62636574074</v>
      </c>
      <c r="F182" s="10" t="n">
        <v>45664.6559837963</v>
      </c>
      <c r="G182" s="10" t="n">
        <v>45664.65726851852</v>
      </c>
      <c r="H182" s="3" t="inlineStr">
        <is>
          <t>OBT070125155207-Pitten (Hamburger)</t>
        </is>
      </c>
      <c r="I182" s="10" t="n">
        <v>45664.68381944444</v>
      </c>
      <c r="J182" s="10" t="n">
        <v>45664.7046412037</v>
      </c>
      <c r="K182" s="10" t="n">
        <v>45664.7046412037</v>
      </c>
      <c r="L182" s="10" t="n">
        <v>45664.70534722223</v>
      </c>
      <c r="M182" s="11">
        <f>IF(AND(ISNUMBER(E182),ISNUMBER(G182)),(G182-E182),"")</f>
        <v/>
      </c>
      <c r="N182" s="11">
        <f>IF(AND(ISNUMBER(G182),ISNUMBER(L182)),(L182-G182),"")</f>
        <v/>
      </c>
      <c r="O182" s="10" t="n">
        <v>45664.66119212963</v>
      </c>
      <c r="P182" s="11">
        <f>IF(AND(ISNUMBER(I182),ISNUMBER(O182)),(I182-O182),"")</f>
        <v/>
      </c>
      <c r="Q182" s="12" t="inlineStr">
        <is>
          <t>WG 1004409 entered track and got coupled to WG 1004405, OBTP started on 16:24:42 finished on 16:54:41 and then left at 16:55:42</t>
        </is>
      </c>
    </row>
    <row r="183">
      <c r="A183" s="3" t="inlineStr">
        <is>
          <t>1004410</t>
        </is>
      </c>
      <c r="B183" s="3" t="inlineStr">
        <is>
          <t>10044</t>
        </is>
      </c>
      <c r="C183" s="9" t="n">
        <v>15.74</v>
      </c>
      <c r="D183" s="3" t="inlineStr">
        <is>
          <t>Other sidings south</t>
        </is>
      </c>
      <c r="E183" s="10" t="n">
        <v>45664.62636574074</v>
      </c>
      <c r="F183" s="10" t="n">
        <v>45664.65726851852</v>
      </c>
      <c r="G183" s="10" t="n">
        <v>45664.65902777778</v>
      </c>
      <c r="H183" s="3" t="inlineStr">
        <is>
          <t>OBT080125032215-Other sidings south</t>
        </is>
      </c>
      <c r="I183" s="10" t="n">
        <v>45665.15530092592</v>
      </c>
      <c r="J183" s="10" t="n">
        <v>45665.17990740741</v>
      </c>
      <c r="K183" s="10" t="n">
        <v>45665.17990740741</v>
      </c>
      <c r="L183" s="10" t="n">
        <v>45665.18077546296</v>
      </c>
      <c r="M183" s="11">
        <f>IF(AND(ISNUMBER(E183),ISNUMBER(G183)),(G183-E183),"")</f>
        <v/>
      </c>
      <c r="N183" s="11">
        <f>IF(AND(ISNUMBER(G183),ISNUMBER(L183)),(L183-G183),"")</f>
        <v/>
      </c>
      <c r="O183" s="10" t="n">
        <v>45664.66390046296</v>
      </c>
      <c r="P183" s="11">
        <f>IF(AND(ISNUMBER(I183),ISNUMBER(O183)),(I183-O183),"")</f>
        <v/>
      </c>
      <c r="Q183" s="12" t="inlineStr">
        <is>
          <t>WG 1004410 entered track and got coupled to WG 1004004 then waited 2:07:07 for WG 1004703 to get coupled then waited 9:19:07 for WG 1005005 to get coupled, OBTP started on 03:43:38 finished on 04:19:04 and then left at 04:20:19</t>
        </is>
      </c>
    </row>
    <row r="184">
      <c r="A184" s="3" t="inlineStr">
        <is>
          <t>1004411</t>
        </is>
      </c>
      <c r="B184" s="3" t="inlineStr">
        <is>
          <t>10044</t>
        </is>
      </c>
      <c r="C184" s="9" t="n">
        <v>19.9</v>
      </c>
      <c r="D184" s="3" t="inlineStr">
        <is>
          <t>Wr. Neustadt Ausfahrbf (Furtenbach)</t>
        </is>
      </c>
      <c r="E184" s="10" t="n">
        <v>45664.62636574074</v>
      </c>
      <c r="F184" s="10" t="n">
        <v>45664.65902777778</v>
      </c>
      <c r="G184" s="10" t="n">
        <v>45664.66076388889</v>
      </c>
      <c r="H184" s="3" t="inlineStr">
        <is>
          <t>OBT070125180657-Wr. Neustadt Ausfahrbf (Furtenbach)</t>
        </is>
      </c>
      <c r="I184" s="10" t="n">
        <v>45664.75568287037</v>
      </c>
      <c r="J184" s="10" t="n">
        <v>45664.77986111111</v>
      </c>
      <c r="K184" s="10" t="n">
        <v>45664.77986111111</v>
      </c>
      <c r="L184" s="10" t="n">
        <v>45664.78077546296</v>
      </c>
      <c r="M184" s="11">
        <f>IF(AND(ISNUMBER(E184),ISNUMBER(G184)),(G184-E184),"")</f>
        <v/>
      </c>
      <c r="N184" s="11">
        <f>IF(AND(ISNUMBER(G184),ISNUMBER(L184)),(L184-G184),"")</f>
        <v/>
      </c>
      <c r="O184" s="10" t="n">
        <v>45664.66598379629</v>
      </c>
      <c r="P184" s="11">
        <f>IF(AND(ISNUMBER(I184),ISNUMBER(O184)),(I184-O184),"")</f>
        <v/>
      </c>
      <c r="Q184" s="12" t="inlineStr">
        <is>
          <t>WG 1004411 entered track and got coupled to WG 1004005 then waited 2:07:56 for WG 1004705 to get coupled, OBTP started on 18:08:11 finished on 18:43:00 and then left at 18:44:19</t>
        </is>
      </c>
    </row>
    <row r="185">
      <c r="A185" s="3" t="inlineStr">
        <is>
          <t>1004501</t>
        </is>
      </c>
      <c r="B185" s="3" t="inlineStr">
        <is>
          <t>10045</t>
        </is>
      </c>
      <c r="C185" s="9" t="n">
        <v>393.5000000000001</v>
      </c>
      <c r="D185" s="3" t="inlineStr">
        <is>
          <t>Wien Kledering</t>
        </is>
      </c>
      <c r="E185" s="10" t="n">
        <v>45664.64196759259</v>
      </c>
      <c r="F185" s="10" t="n">
        <v>45664.66163194444</v>
      </c>
      <c r="G185" s="10" t="n">
        <v>45664.66443287037</v>
      </c>
      <c r="H185" s="3" t="inlineStr">
        <is>
          <t>OBT070125160018-Wien Kledering</t>
        </is>
      </c>
      <c r="I185" s="10" t="n">
        <v>45664.68393518519</v>
      </c>
      <c r="J185" s="10" t="n">
        <v>45664.75224537037</v>
      </c>
      <c r="K185" s="10" t="n">
        <v>45664.75224537037</v>
      </c>
      <c r="L185" s="10" t="n">
        <v>45664.7537037037</v>
      </c>
      <c r="M185" s="11">
        <f>IF(AND(ISNUMBER(E185),ISNUMBER(G185)),(G185-E185),"")</f>
        <v/>
      </c>
      <c r="N185" s="11">
        <f>IF(AND(ISNUMBER(G185),ISNUMBER(L185)),(L185-G185),"")</f>
        <v/>
      </c>
      <c r="O185" s="10" t="n">
        <v>45664.666875</v>
      </c>
      <c r="P185" s="11">
        <f>IF(AND(ISNUMBER(I185),ISNUMBER(O185)),(I185-O185),"")</f>
        <v/>
      </c>
      <c r="Q185" s="12" t="inlineStr">
        <is>
          <t>WG 1004501 entered track and got secured, OBTP started on 16:24:52 finished on 18:03:14 and then left at 18:05:20</t>
        </is>
      </c>
    </row>
    <row r="186">
      <c r="A186" s="3" t="inlineStr">
        <is>
          <t>1004601</t>
        </is>
      </c>
      <c r="B186" s="3" t="inlineStr">
        <is>
          <t>10046</t>
        </is>
      </c>
      <c r="C186" s="9" t="n">
        <v>93.8</v>
      </c>
      <c r="D186" s="3" t="inlineStr">
        <is>
          <t>Wien Kledering</t>
        </is>
      </c>
      <c r="E186" s="10" t="n">
        <v>45664.66895833334</v>
      </c>
      <c r="F186" s="10" t="n">
        <v>45664.67453703703</v>
      </c>
      <c r="G186" s="10" t="n">
        <v>45664.67633101852</v>
      </c>
      <c r="H186" s="3" t="inlineStr">
        <is>
          <t>OBT070125183432-Wien Kledering</t>
        </is>
      </c>
      <c r="I186" s="10" t="n">
        <v>45664.77571759259</v>
      </c>
      <c r="J186" s="10" t="n">
        <v>45664.82879629629</v>
      </c>
      <c r="K186" s="10" t="n">
        <v>45664.82879629629</v>
      </c>
      <c r="L186" s="10" t="n">
        <v>45664.83010416666</v>
      </c>
      <c r="M186" s="11">
        <f>IF(AND(ISNUMBER(E186),ISNUMBER(G186)),(G186-E186),"")</f>
        <v/>
      </c>
      <c r="N186" s="11">
        <f>IF(AND(ISNUMBER(G186),ISNUMBER(L186)),(L186-G186),"")</f>
        <v/>
      </c>
      <c r="O186" s="10" t="n">
        <v>45664.67966435185</v>
      </c>
      <c r="P186" s="11">
        <f>IF(AND(ISNUMBER(I186),ISNUMBER(O186)),(I186-O186),"")</f>
        <v/>
      </c>
      <c r="Q186" s="12" t="inlineStr">
        <is>
          <t>WG 1004601 entered track and got secured then waited 2:15:49 for WG 1004801 to get coupled, OBTP started on 18:37:02 finished on 19:53:28 and then left at 19:55:21</t>
        </is>
      </c>
    </row>
    <row r="187">
      <c r="A187" s="3" t="inlineStr">
        <is>
          <t>1004602</t>
        </is>
      </c>
      <c r="B187" s="3" t="inlineStr">
        <is>
          <t>10046</t>
        </is>
      </c>
      <c r="C187" s="9" t="n">
        <v>16.5</v>
      </c>
      <c r="D187" s="3" t="inlineStr">
        <is>
          <t>St. Veit an der Glan</t>
        </is>
      </c>
      <c r="E187" s="10" t="n">
        <v>45664.66895833334</v>
      </c>
      <c r="F187" s="10" t="n">
        <v>45664.67633101852</v>
      </c>
      <c r="G187" s="10" t="n">
        <v>45664.67825231481</v>
      </c>
      <c r="H187" s="3" t="inlineStr">
        <is>
          <t>OBT070125162217-St. Veit an der Glan</t>
        </is>
      </c>
      <c r="I187" s="10" t="n">
        <v>45664.68796296296</v>
      </c>
      <c r="J187" s="10" t="n">
        <v>45664.70540509259</v>
      </c>
      <c r="K187" s="10" t="n">
        <v>45664.70540509259</v>
      </c>
      <c r="L187" s="10" t="n">
        <v>45664.7060300926</v>
      </c>
      <c r="M187" s="11">
        <f>IF(AND(ISNUMBER(E187),ISNUMBER(G187)),(G187-E187),"")</f>
        <v/>
      </c>
      <c r="N187" s="11">
        <f>IF(AND(ISNUMBER(G187),ISNUMBER(L187)),(L187-G187),"")</f>
        <v/>
      </c>
      <c r="O187" s="10" t="n">
        <v>45664.6821412037</v>
      </c>
      <c r="P187" s="11">
        <f>IF(AND(ISNUMBER(I187),ISNUMBER(O187)),(I187-O187),"")</f>
        <v/>
      </c>
      <c r="Q187" s="12" t="inlineStr">
        <is>
          <t>WG 1004602 entered track and got coupled to WG 1004102, OBTP started on 16:30:40 finished on 16:55:47 and then left at 16:56:41</t>
        </is>
      </c>
    </row>
    <row r="188">
      <c r="A188" s="3" t="inlineStr">
        <is>
          <t>1004701</t>
        </is>
      </c>
      <c r="B188" s="3" t="inlineStr">
        <is>
          <t>10047</t>
        </is>
      </c>
      <c r="C188" s="9" t="n">
        <v>21</v>
      </c>
      <c r="D188" s="3" t="inlineStr">
        <is>
          <t>Neudörfl (FunderMax)</t>
        </is>
      </c>
      <c r="E188" s="10" t="n">
        <v>45664.72512731481</v>
      </c>
      <c r="F188" s="10" t="n">
        <v>45664.74309027778</v>
      </c>
      <c r="G188" s="10" t="n">
        <v>45664.74449074074</v>
      </c>
      <c r="H188" s="3" t="inlineStr">
        <is>
          <t>OBT080125041024-Neudörfl (FunderMax)</t>
        </is>
      </c>
      <c r="I188" s="10" t="n">
        <v>45665.1747337963</v>
      </c>
      <c r="J188" s="10" t="n">
        <v>45665.27763888889</v>
      </c>
      <c r="K188" s="10" t="n">
        <v>45665.27763888889</v>
      </c>
      <c r="L188" s="10" t="n">
        <v>45665.27949074074</v>
      </c>
      <c r="M188" s="11">
        <f>IF(AND(ISNUMBER(E188),ISNUMBER(G188)),(G188-E188),"")</f>
        <v/>
      </c>
      <c r="N188" s="11">
        <f>IF(AND(ISNUMBER(G188),ISNUMBER(L188)),(L188-G188),"")</f>
        <v/>
      </c>
      <c r="O188" s="10" t="n">
        <v>45664.74841435185</v>
      </c>
      <c r="P188" s="11">
        <f>IF(AND(ISNUMBER(I188),ISNUMBER(O188)),(I188-O188),"")</f>
        <v/>
      </c>
      <c r="Q188" s="12" t="inlineStr">
        <is>
          <t>WG 1004701 entered track and got coupled to WG 1004408 then waited 10:12:41 for WG 1005101 to get coupled, OBTP started on 04:11:37 finished on 06:39:48 and then left at 06:42:28</t>
        </is>
      </c>
    </row>
    <row r="189">
      <c r="A189" s="3" t="inlineStr">
        <is>
          <t>1004702</t>
        </is>
      </c>
      <c r="B189" s="3" t="inlineStr">
        <is>
          <t>10047</t>
        </is>
      </c>
      <c r="C189" s="9" t="n">
        <v>15.74</v>
      </c>
      <c r="D189" s="3" t="inlineStr">
        <is>
          <t>Gloggnitz</t>
        </is>
      </c>
      <c r="E189" s="10" t="n">
        <v>45664.72512731481</v>
      </c>
      <c r="F189" s="10" t="n">
        <v>45664.74449074074</v>
      </c>
      <c r="G189" s="10" t="n">
        <v>45664.7465162037</v>
      </c>
      <c r="H189" s="3" t="inlineStr">
        <is>
          <t>OBT080125031718-Other sidings local</t>
        </is>
      </c>
      <c r="I189" s="10" t="n">
        <v>45665.13884259259</v>
      </c>
      <c r="J189" s="10" t="n">
        <v>45665.15869212963</v>
      </c>
      <c r="K189" s="10" t="n">
        <v>45665.15869212963</v>
      </c>
      <c r="L189" s="10" t="n">
        <v>45665.1594675926</v>
      </c>
      <c r="M189" s="11">
        <f>IF(AND(ISNUMBER(E189),ISNUMBER(G189)),(G189-E189),"")</f>
        <v/>
      </c>
      <c r="N189" s="11">
        <f>IF(AND(ISNUMBER(G189),ISNUMBER(L189)),(L189-G189),"")</f>
        <v/>
      </c>
      <c r="O189" s="10" t="n">
        <v>45664.75008101852</v>
      </c>
      <c r="P189" s="11">
        <f>IF(AND(ISNUMBER(I189),ISNUMBER(O189)),(I189-O189),"")</f>
        <v/>
      </c>
      <c r="Q189" s="12" t="inlineStr">
        <is>
          <t>WG 1004702 entered track and got coupled to WG 1004401 then waited 0:12:25 for WG 1004707 to get coupled then waited 8:58:59 for WG 1005001 to get coupled then waited 0:05:47 for WG 1005003 to get coupled, OBTP started on 03:19:56 finished on 03:48:31 and then left at 03:49:38</t>
        </is>
      </c>
    </row>
    <row r="190">
      <c r="A190" s="3" t="inlineStr">
        <is>
          <t>1004703</t>
        </is>
      </c>
      <c r="B190" s="3" t="inlineStr">
        <is>
          <t>10047</t>
        </is>
      </c>
      <c r="C190" s="9" t="n">
        <v>23.24</v>
      </c>
      <c r="D190" s="3" t="inlineStr">
        <is>
          <t>Other sidings south</t>
        </is>
      </c>
      <c r="E190" s="10" t="n">
        <v>45664.72512731481</v>
      </c>
      <c r="F190" s="10" t="n">
        <v>45664.7465162037</v>
      </c>
      <c r="G190" s="10" t="n">
        <v>45664.74828703704</v>
      </c>
      <c r="H190" s="3" t="inlineStr">
        <is>
          <t>OBT080125032215-Other sidings south</t>
        </is>
      </c>
      <c r="I190" s="10" t="n">
        <v>45665.15530092592</v>
      </c>
      <c r="J190" s="10" t="n">
        <v>45665.17990740741</v>
      </c>
      <c r="K190" s="10" t="n">
        <v>45665.17990740741</v>
      </c>
      <c r="L190" s="10" t="n">
        <v>45665.18077546296</v>
      </c>
      <c r="M190" s="11">
        <f>IF(AND(ISNUMBER(E190),ISNUMBER(G190)),(G190-E190),"")</f>
        <v/>
      </c>
      <c r="N190" s="11">
        <f>IF(AND(ISNUMBER(G190),ISNUMBER(L190)),(L190-G190),"")</f>
        <v/>
      </c>
      <c r="O190" s="10" t="n">
        <v>45664.75217592593</v>
      </c>
      <c r="P190" s="11">
        <f>IF(AND(ISNUMBER(I190),ISNUMBER(O190)),(I190-O190),"")</f>
        <v/>
      </c>
      <c r="Q190" s="12" t="inlineStr">
        <is>
          <t>WG 1004703 entered track and got coupled to WG 1004410 then waited 9:19:07 for WG 1005005 to get coupled, OBTP started on 03:43:38 finished on 04:19:04 and then left at 04:20:19</t>
        </is>
      </c>
    </row>
    <row r="191">
      <c r="A191" s="3" t="inlineStr">
        <is>
          <t>1004704</t>
        </is>
      </c>
      <c r="B191" s="3" t="inlineStr">
        <is>
          <t>10047</t>
        </is>
      </c>
      <c r="C191" s="9" t="n">
        <v>31.48</v>
      </c>
      <c r="D191" s="3" t="inlineStr">
        <is>
          <t>Other sidings north</t>
        </is>
      </c>
      <c r="E191" s="10" t="n">
        <v>45664.72512731481</v>
      </c>
      <c r="F191" s="10" t="n">
        <v>45664.74828703704</v>
      </c>
      <c r="G191" s="10" t="n">
        <v>45664.74947916667</v>
      </c>
      <c r="H191" s="3" t="inlineStr">
        <is>
          <t>OBT080125081724-Other sidings north</t>
        </is>
      </c>
      <c r="I191" s="10" t="n">
        <v>45665.34628472223</v>
      </c>
      <c r="J191" s="10" t="n">
        <v>45665.36886574074</v>
      </c>
      <c r="K191" s="10" t="n">
        <v>45665.36886574074</v>
      </c>
      <c r="L191" s="10" t="n">
        <v>45665.36962962963</v>
      </c>
      <c r="M191" s="11">
        <f>IF(AND(ISNUMBER(E191),ISNUMBER(G191)),(G191-E191),"")</f>
        <v/>
      </c>
      <c r="N191" s="11">
        <f>IF(AND(ISNUMBER(G191),ISNUMBER(L191)),(L191-G191),"")</f>
        <v/>
      </c>
      <c r="O191" s="10" t="n">
        <v>45664.751875</v>
      </c>
      <c r="P191" s="11">
        <f>IF(AND(ISNUMBER(I191),ISNUMBER(O191)),(I191-O191),"")</f>
        <v/>
      </c>
      <c r="Q191" s="12" t="inlineStr">
        <is>
          <t>WG 1004704 entered track and got secured then waited 0:24:56 for WG 1004712 to get coupled then waited 0:05:36 for WG 1004713 to get coupled then waited 13:44:10 for WG 1005307 to get coupled, OBTP started on 08:18:39 finished on 08:51:10 and then left at 08:52:16</t>
        </is>
      </c>
    </row>
    <row r="192">
      <c r="A192" s="3" t="inlineStr">
        <is>
          <t>1004705</t>
        </is>
      </c>
      <c r="B192" s="3" t="inlineStr">
        <is>
          <t>10047</t>
        </is>
      </c>
      <c r="C192" s="9" t="n">
        <v>39.8</v>
      </c>
      <c r="D192" s="3" t="inlineStr">
        <is>
          <t>Wr. Neustadt Ausfahrbf (Furtenbach)</t>
        </is>
      </c>
      <c r="E192" s="10" t="n">
        <v>45664.72512731481</v>
      </c>
      <c r="F192" s="10" t="n">
        <v>45664.74947916667</v>
      </c>
      <c r="G192" s="10" t="n">
        <v>45664.75126157407</v>
      </c>
      <c r="H192" s="3" t="inlineStr">
        <is>
          <t>OBT070125180657-Wr. Neustadt Ausfahrbf (Furtenbach)</t>
        </is>
      </c>
      <c r="I192" s="10" t="n">
        <v>45664.75568287037</v>
      </c>
      <c r="J192" s="10" t="n">
        <v>45664.77986111111</v>
      </c>
      <c r="K192" s="10" t="n">
        <v>45664.77986111111</v>
      </c>
      <c r="L192" s="10" t="n">
        <v>45664.78077546296</v>
      </c>
      <c r="M192" s="11">
        <f>IF(AND(ISNUMBER(E192),ISNUMBER(G192)),(G192-E192),"")</f>
        <v/>
      </c>
      <c r="N192" s="11">
        <f>IF(AND(ISNUMBER(G192),ISNUMBER(L192)),(L192-G192),"")</f>
        <v/>
      </c>
      <c r="O192" s="10" t="n">
        <v>45664.75482638889</v>
      </c>
      <c r="P192" s="11">
        <f>IF(AND(ISNUMBER(I192),ISNUMBER(O192)),(I192-O192),"")</f>
        <v/>
      </c>
      <c r="Q192" s="12" t="inlineStr">
        <is>
          <t>WG 1004705 entered track and got coupled to WG 1004411, OBTP started on 18:08:11 finished on 18:43:00 and then left at 18:44:19</t>
        </is>
      </c>
    </row>
    <row r="193">
      <c r="A193" s="3" t="inlineStr">
        <is>
          <t>1004706</t>
        </is>
      </c>
      <c r="B193" s="3" t="inlineStr">
        <is>
          <t>10047</t>
        </is>
      </c>
      <c r="C193" s="9" t="n">
        <v>108</v>
      </c>
      <c r="D193" s="3" t="inlineStr">
        <is>
          <t>Wr. Neustadt (Hödlmayr)</t>
        </is>
      </c>
      <c r="E193" s="10" t="n">
        <v>45664.72512731481</v>
      </c>
      <c r="F193" s="10" t="n">
        <v>45664.75126157407</v>
      </c>
      <c r="G193" s="10" t="n">
        <v>45664.75275462963</v>
      </c>
      <c r="H193" s="3" t="inlineStr">
        <is>
          <t>OBT070125180725-Wr. Neustadt (Hödlmayr)</t>
        </is>
      </c>
      <c r="I193" s="10" t="n">
        <v>45664.75641203704</v>
      </c>
      <c r="J193" s="10" t="n">
        <v>45664.77516203704</v>
      </c>
      <c r="K193" s="10" t="n">
        <v>45664.77516203704</v>
      </c>
      <c r="L193" s="10" t="n">
        <v>45664.77583333333</v>
      </c>
      <c r="M193" s="11">
        <f>IF(AND(ISNUMBER(E193),ISNUMBER(G193)),(G193-E193),"")</f>
        <v/>
      </c>
      <c r="N193" s="11">
        <f>IF(AND(ISNUMBER(G193),ISNUMBER(L193)),(L193-G193),"")</f>
        <v/>
      </c>
      <c r="O193" s="10" t="n">
        <v>45664.75515046297</v>
      </c>
      <c r="P193" s="11">
        <f>IF(AND(ISNUMBER(I193),ISNUMBER(O193)),(I193-O193),"")</f>
        <v/>
      </c>
      <c r="Q193" s="12" t="inlineStr">
        <is>
          <t>WG 1004706 entered track and got secured, OBTP started on 18:09:14 finished on 18:36:14 and then left at 18:37:12</t>
        </is>
      </c>
    </row>
    <row r="194">
      <c r="A194" s="3" t="inlineStr">
        <is>
          <t>1004707</t>
        </is>
      </c>
      <c r="B194" s="3" t="inlineStr">
        <is>
          <t>10047</t>
        </is>
      </c>
      <c r="C194" s="9" t="n">
        <v>15.74</v>
      </c>
      <c r="D194" s="3" t="inlineStr">
        <is>
          <t>Other sidings local</t>
        </is>
      </c>
      <c r="E194" s="10" t="n">
        <v>45664.72512731481</v>
      </c>
      <c r="F194" s="10" t="n">
        <v>45664.75275462963</v>
      </c>
      <c r="G194" s="10" t="n">
        <v>45664.75478009259</v>
      </c>
      <c r="H194" s="3" t="inlineStr">
        <is>
          <t>OBT080125031718-Other sidings local</t>
        </is>
      </c>
      <c r="I194" s="10" t="n">
        <v>45665.13884259259</v>
      </c>
      <c r="J194" s="10" t="n">
        <v>45665.15869212963</v>
      </c>
      <c r="K194" s="10" t="n">
        <v>45665.15869212963</v>
      </c>
      <c r="L194" s="10" t="n">
        <v>45665.1594675926</v>
      </c>
      <c r="M194" s="11">
        <f>IF(AND(ISNUMBER(E194),ISNUMBER(G194)),(G194-E194),"")</f>
        <v/>
      </c>
      <c r="N194" s="11">
        <f>IF(AND(ISNUMBER(G194),ISNUMBER(L194)),(L194-G194),"")</f>
        <v/>
      </c>
      <c r="O194" s="10" t="n">
        <v>45664.7587037037</v>
      </c>
      <c r="P194" s="11">
        <f>IF(AND(ISNUMBER(I194),ISNUMBER(O194)),(I194-O194),"")</f>
        <v/>
      </c>
      <c r="Q194" s="12" t="inlineStr">
        <is>
          <t>WG 1004707 entered track and got coupled to WG 1004702 then waited 8:58:59 for WG 1005001 to get coupled then waited 0:05:47 for WG 1005003 to get coupled, OBTP started on 03:19:56 finished on 03:48:31 and then left at 03:49:38</t>
        </is>
      </c>
    </row>
    <row r="195">
      <c r="A195" s="3" t="inlineStr">
        <is>
          <t>1004708</t>
        </is>
      </c>
      <c r="B195" s="3" t="inlineStr">
        <is>
          <t>10047</t>
        </is>
      </c>
      <c r="C195" s="9" t="n">
        <v>38.98</v>
      </c>
      <c r="D195" s="3" t="inlineStr">
        <is>
          <t>Pitten (Hamburger)</t>
        </is>
      </c>
      <c r="E195" s="10" t="n">
        <v>45664.72512731481</v>
      </c>
      <c r="F195" s="10" t="n">
        <v>45664.75478009259</v>
      </c>
      <c r="G195" s="10" t="n">
        <v>45664.75674768518</v>
      </c>
      <c r="H195" s="3" t="inlineStr">
        <is>
          <t>OBT080125031418-Pitten (Hamburger)</t>
        </is>
      </c>
      <c r="I195" s="10" t="n">
        <v>45665.13576388889</v>
      </c>
      <c r="J195" s="10" t="n">
        <v>45665.15362268518</v>
      </c>
      <c r="K195" s="10" t="n">
        <v>45665.15362268518</v>
      </c>
      <c r="L195" s="10" t="n">
        <v>45665.15424768518</v>
      </c>
      <c r="M195" s="11">
        <f>IF(AND(ISNUMBER(E195),ISNUMBER(G195)),(G195-E195),"")</f>
        <v/>
      </c>
      <c r="N195" s="11">
        <f>IF(AND(ISNUMBER(G195),ISNUMBER(L195)),(L195-G195),"")</f>
        <v/>
      </c>
      <c r="O195" s="10" t="n">
        <v>45664.75914351852</v>
      </c>
      <c r="P195" s="11">
        <f>IF(AND(ISNUMBER(I195),ISNUMBER(O195)),(I195-O195),"")</f>
        <v/>
      </c>
      <c r="Q195" s="12" t="inlineStr">
        <is>
          <t>WG 1004708 entered track and got secured then waited 0:13:10 for WG 1004711 to get coupled then waited 8:47:58 for WG 1005002 to get coupled, OBTP started on 03:15:30 finished on 03:41:13 and then left at 03:42:07</t>
        </is>
      </c>
    </row>
    <row r="196">
      <c r="A196" s="3" t="inlineStr">
        <is>
          <t>1004709</t>
        </is>
      </c>
      <c r="B196" s="3" t="inlineStr">
        <is>
          <t>10047</t>
        </is>
      </c>
      <c r="C196" s="9" t="n">
        <v>19.9</v>
      </c>
      <c r="D196" s="3" t="inlineStr">
        <is>
          <t>Felixdorf/Sollenau (Bundesheer, Maba)</t>
        </is>
      </c>
      <c r="E196" s="10" t="n">
        <v>45664.72512731481</v>
      </c>
      <c r="F196" s="10" t="n">
        <v>45664.75674768518</v>
      </c>
      <c r="G196" s="10" t="n">
        <v>45664.75871527778</v>
      </c>
      <c r="H196" s="3" t="inlineStr">
        <is>
          <t>OBT080125153109-Felixdorf/Sollenau (Bundesheer, Maba)</t>
        </is>
      </c>
      <c r="I196" s="10" t="n">
        <v>45665.64836805555</v>
      </c>
      <c r="J196" s="10" t="n">
        <v>45665.67254629629</v>
      </c>
      <c r="K196" s="10" t="n">
        <v>45665.67254629629</v>
      </c>
      <c r="L196" s="10" t="n">
        <v>45665.67341435186</v>
      </c>
      <c r="M196" s="11">
        <f>IF(AND(ISNUMBER(E196),ISNUMBER(G196)),(G196-E196),"")</f>
        <v/>
      </c>
      <c r="N196" s="11">
        <f>IF(AND(ISNUMBER(G196),ISNUMBER(L196)),(L196-G196),"")</f>
        <v/>
      </c>
      <c r="O196" s="10" t="n">
        <v>45664.76349537037</v>
      </c>
      <c r="P196" s="11">
        <f>IF(AND(ISNUMBER(I196),ISNUMBER(O196)),(I196-O196),"")</f>
        <v/>
      </c>
      <c r="Q196" s="12" t="inlineStr">
        <is>
          <t>WG 1004709 entered track and got coupled to WG 1002909 then waited 13:46:11 for WG 1005302 to get coupled then waited 7:25:32 for WG 1006001 to get coupled, OBTP started on 15:33:39 finished on 16:08:28 and then left at 16:09:43</t>
        </is>
      </c>
    </row>
    <row r="197">
      <c r="A197" s="3" t="inlineStr">
        <is>
          <t>1004710</t>
        </is>
      </c>
      <c r="B197" s="3" t="inlineStr">
        <is>
          <t>10047</t>
        </is>
      </c>
      <c r="C197" s="9" t="n">
        <v>31.48</v>
      </c>
      <c r="D197" s="3" t="inlineStr">
        <is>
          <t>Steinabrückl/Wöllersdorf</t>
        </is>
      </c>
      <c r="E197" s="10" t="n">
        <v>45664.72512731481</v>
      </c>
      <c r="F197" s="10" t="n">
        <v>45664.75871527778</v>
      </c>
      <c r="G197" s="10" t="n">
        <v>45664.76047453703</v>
      </c>
      <c r="H197" s="3" t="inlineStr">
        <is>
          <t>OBT090125184210-Steinabrückl/Wöllersdorf</t>
        </is>
      </c>
      <c r="I197" s="10" t="n">
        <v>45666.79709490741</v>
      </c>
      <c r="J197" s="10" t="n">
        <v>45666.81622685185</v>
      </c>
      <c r="K197" s="10" t="n">
        <v>45666.81667824074</v>
      </c>
      <c r="L197" s="10" t="n">
        <v>45666.8174537037</v>
      </c>
      <c r="M197" s="11">
        <f>IF(AND(ISNUMBER(E197),ISNUMBER(G197)),(G197-E197),"")</f>
        <v/>
      </c>
      <c r="N197" s="11">
        <f>IF(AND(ISNUMBER(G197),ISNUMBER(L197)),(L197-G197),"")</f>
        <v/>
      </c>
      <c r="O197" s="10" t="n">
        <v>45664.76439814815</v>
      </c>
      <c r="P197" s="11">
        <f>IF(AND(ISNUMBER(I197),ISNUMBER(O197)),(I197-O197),"")</f>
        <v/>
      </c>
      <c r="Q197" s="12" t="inlineStr">
        <is>
          <t>WG 1004710 entered track and got coupled to WG 1004402 then waited 25:54:36 for WG 1006403 to get coupled then waited 22:06:13 for WG 1007703 to get coupled then waited 0:20:37 for WG 1007902 to get coupled, OBTP started on 19:07:49 finished on 19:35:22 and then left at 19:37:08</t>
        </is>
      </c>
    </row>
    <row r="198">
      <c r="A198" s="3" t="inlineStr">
        <is>
          <t>1004711</t>
        </is>
      </c>
      <c r="B198" s="3" t="inlineStr">
        <is>
          <t>10047</t>
        </is>
      </c>
      <c r="C198" s="9" t="n">
        <v>31.94</v>
      </c>
      <c r="D198" s="3" t="inlineStr">
        <is>
          <t>Ternitz (Schoeller-Bleckmann)</t>
        </is>
      </c>
      <c r="E198" s="10" t="n">
        <v>45664.72512731481</v>
      </c>
      <c r="F198" s="10" t="n">
        <v>45664.76047453703</v>
      </c>
      <c r="G198" s="10" t="n">
        <v>45664.76241898148</v>
      </c>
      <c r="H198" s="3" t="inlineStr">
        <is>
          <t>OBT080125031418-Pitten (Hamburger)</t>
        </is>
      </c>
      <c r="I198" s="10" t="n">
        <v>45665.13576388889</v>
      </c>
      <c r="J198" s="10" t="n">
        <v>45665.15362268518</v>
      </c>
      <c r="K198" s="10" t="n">
        <v>45665.15362268518</v>
      </c>
      <c r="L198" s="10" t="n">
        <v>45665.15424768518</v>
      </c>
      <c r="M198" s="11">
        <f>IF(AND(ISNUMBER(E198),ISNUMBER(G198)),(G198-E198),"")</f>
        <v/>
      </c>
      <c r="N198" s="11">
        <f>IF(AND(ISNUMBER(G198),ISNUMBER(L198)),(L198-G198),"")</f>
        <v/>
      </c>
      <c r="O198" s="10" t="n">
        <v>45664.76828703703</v>
      </c>
      <c r="P198" s="11">
        <f>IF(AND(ISNUMBER(I198),ISNUMBER(O198)),(I198-O198),"")</f>
        <v/>
      </c>
      <c r="Q198" s="12" t="inlineStr">
        <is>
          <t>WG 1004711 entered track and got coupled to WG 1004708 then waited 8:47:58 for WG 1005002 to get coupled, OBTP started on 03:15:30 finished on 03:41:13 and then left at 03:42:07</t>
        </is>
      </c>
    </row>
    <row r="199">
      <c r="A199" s="3" t="inlineStr">
        <is>
          <t>1004712</t>
        </is>
      </c>
      <c r="B199" s="3" t="inlineStr">
        <is>
          <t>10047</t>
        </is>
      </c>
      <c r="C199" s="9" t="n">
        <v>15.74</v>
      </c>
      <c r="D199" s="3" t="inlineStr">
        <is>
          <t>Ebenfurth (beet loading)</t>
        </is>
      </c>
      <c r="E199" s="10" t="n">
        <v>45664.72512731481</v>
      </c>
      <c r="F199" s="10" t="n">
        <v>45664.76241898148</v>
      </c>
      <c r="G199" s="10" t="n">
        <v>45664.76357638889</v>
      </c>
      <c r="H199" s="3" t="inlineStr">
        <is>
          <t>OBT080125081724-Other sidings north</t>
        </is>
      </c>
      <c r="I199" s="10" t="n">
        <v>45665.34628472223</v>
      </c>
      <c r="J199" s="10" t="n">
        <v>45665.36886574074</v>
      </c>
      <c r="K199" s="10" t="n">
        <v>45665.36886574074</v>
      </c>
      <c r="L199" s="10" t="n">
        <v>45665.36962962963</v>
      </c>
      <c r="M199" s="11">
        <f>IF(AND(ISNUMBER(E199),ISNUMBER(G199)),(G199-E199),"")</f>
        <v/>
      </c>
      <c r="N199" s="11">
        <f>IF(AND(ISNUMBER(G199),ISNUMBER(L199)),(L199-G199),"")</f>
        <v/>
      </c>
      <c r="O199" s="10" t="n">
        <v>45664.76918981481</v>
      </c>
      <c r="P199" s="11">
        <f>IF(AND(ISNUMBER(I199),ISNUMBER(O199)),(I199-O199),"")</f>
        <v/>
      </c>
      <c r="Q199" s="12" t="inlineStr">
        <is>
          <t>WG 1004712 entered track and got coupled to WG 1004704 then waited 0:05:36 for WG 1004713 to get coupled then waited 13:44:10 for WG 1005307 to get coupled, OBTP started on 08:18:39 finished on 08:51:10 and then left at 08:52:16</t>
        </is>
      </c>
    </row>
    <row r="200">
      <c r="A200" s="3" t="inlineStr">
        <is>
          <t>1004713</t>
        </is>
      </c>
      <c r="B200" s="3" t="inlineStr">
        <is>
          <t>10047</t>
        </is>
      </c>
      <c r="C200" s="9" t="n">
        <v>31.48</v>
      </c>
      <c r="D200" s="3" t="inlineStr">
        <is>
          <t>Other sidings north</t>
        </is>
      </c>
      <c r="E200" s="10" t="n">
        <v>45664.72512731481</v>
      </c>
      <c r="F200" s="10" t="n">
        <v>45664.76357638889</v>
      </c>
      <c r="G200" s="10" t="n">
        <v>45664.76478009259</v>
      </c>
      <c r="H200" s="3" t="inlineStr">
        <is>
          <t>OBT080125081724-Other sidings north</t>
        </is>
      </c>
      <c r="I200" s="10" t="n">
        <v>45665.34628472223</v>
      </c>
      <c r="J200" s="10" t="n">
        <v>45665.36886574074</v>
      </c>
      <c r="K200" s="10" t="n">
        <v>45665.36886574074</v>
      </c>
      <c r="L200" s="10" t="n">
        <v>45665.36962962963</v>
      </c>
      <c r="M200" s="11">
        <f>IF(AND(ISNUMBER(E200),ISNUMBER(G200)),(G200-E200),"")</f>
        <v/>
      </c>
      <c r="N200" s="11">
        <f>IF(AND(ISNUMBER(G200),ISNUMBER(L200)),(L200-G200),"")</f>
        <v/>
      </c>
      <c r="O200" s="10" t="n">
        <v>45664.77307870371</v>
      </c>
      <c r="P200" s="11">
        <f>IF(AND(ISNUMBER(I200),ISNUMBER(O200)),(I200-O200),"")</f>
        <v/>
      </c>
      <c r="Q200" s="12" t="inlineStr">
        <is>
          <t>WG 1004713 entered track and got coupled to WG 1004712 then waited 13:44:10 for WG 1005307 to get coupled, OBTP started on 08:18:39 finished on 08:51:10 and then left at 08:52:16</t>
        </is>
      </c>
    </row>
    <row r="201">
      <c r="A201" s="3" t="inlineStr">
        <is>
          <t>1004801</t>
        </is>
      </c>
      <c r="B201" s="3" t="inlineStr">
        <is>
          <t>10048</t>
        </is>
      </c>
      <c r="C201" s="9" t="n">
        <v>211.98</v>
      </c>
      <c r="D201" s="3" t="inlineStr">
        <is>
          <t>Wien Kledering</t>
        </is>
      </c>
      <c r="E201" s="10" t="n">
        <v>45664.75451388889</v>
      </c>
      <c r="F201" s="10" t="n">
        <v>45664.76554398148</v>
      </c>
      <c r="G201" s="10" t="n">
        <v>45664.76758101852</v>
      </c>
      <c r="H201" s="3" t="inlineStr">
        <is>
          <t>OBT070125183432-Wien Kledering</t>
        </is>
      </c>
      <c r="I201" s="10" t="n">
        <v>45664.77571759259</v>
      </c>
      <c r="J201" s="10" t="n">
        <v>45664.82879629629</v>
      </c>
      <c r="K201" s="10" t="n">
        <v>45664.82879629629</v>
      </c>
      <c r="L201" s="10" t="n">
        <v>45664.83010416666</v>
      </c>
      <c r="M201" s="11">
        <f>IF(AND(ISNUMBER(E201),ISNUMBER(G201)),(G201-E201),"")</f>
        <v/>
      </c>
      <c r="N201" s="11">
        <f>IF(AND(ISNUMBER(G201),ISNUMBER(L201)),(L201-G201),"")</f>
        <v/>
      </c>
      <c r="O201" s="10" t="n">
        <v>45664.77398148148</v>
      </c>
      <c r="P201" s="11">
        <f>IF(AND(ISNUMBER(I201),ISNUMBER(O201)),(I201-O201),"")</f>
        <v/>
      </c>
      <c r="Q201" s="12" t="inlineStr">
        <is>
          <t>WG 1004801 entered track and got coupled to WG 1004601, OBTP started on 18:37:02 finished on 19:53:28 and then left at 19:55:21</t>
        </is>
      </c>
    </row>
    <row r="202">
      <c r="A202" s="3" t="inlineStr">
        <is>
          <t>1004901</t>
        </is>
      </c>
      <c r="B202" s="3" t="inlineStr">
        <is>
          <t>10049</t>
        </is>
      </c>
      <c r="C202" s="9" t="n">
        <v>389.0600000000001</v>
      </c>
      <c r="D202" s="3" t="inlineStr">
        <is>
          <t>Wien Kledering</t>
        </is>
      </c>
      <c r="E202" s="10" t="n">
        <v>45664.87774305556</v>
      </c>
      <c r="F202" s="10" t="n">
        <v>45664.88443287037</v>
      </c>
      <c r="G202" s="10" t="n">
        <v>45664.88657407407</v>
      </c>
      <c r="H202" s="3" t="inlineStr">
        <is>
          <t>OBT070125212007-Wien Kledering</t>
        </is>
      </c>
      <c r="I202" s="10" t="n">
        <v>45664.88983796296</v>
      </c>
      <c r="J202" s="10" t="n">
        <v>45664.95738425926</v>
      </c>
      <c r="K202" s="10" t="n">
        <v>45664.95738425926</v>
      </c>
      <c r="L202" s="10" t="n">
        <v>45664.95870370371</v>
      </c>
      <c r="M202" s="11">
        <f>IF(AND(ISNUMBER(E202),ISNUMBER(G202)),(G202-E202),"")</f>
        <v/>
      </c>
      <c r="N202" s="11">
        <f>IF(AND(ISNUMBER(G202),ISNUMBER(L202)),(L202-G202),"")</f>
        <v/>
      </c>
      <c r="O202" s="10" t="n">
        <v>45664.88896990741</v>
      </c>
      <c r="P202" s="11">
        <f>IF(AND(ISNUMBER(I202),ISNUMBER(O202)),(I202-O202),"")</f>
        <v/>
      </c>
      <c r="Q202" s="12" t="inlineStr">
        <is>
          <t>WG 1004901 entered track and got secured, OBTP started on 21:21:22 finished on 22:58:38 and then left at 23:00:32</t>
        </is>
      </c>
    </row>
    <row r="203">
      <c r="A203" s="3" t="inlineStr">
        <is>
          <t>1005001</t>
        </is>
      </c>
      <c r="B203" s="3" t="inlineStr">
        <is>
          <t>10050</t>
        </is>
      </c>
      <c r="C203" s="9" t="n">
        <v>31.48</v>
      </c>
      <c r="D203" s="3" t="inlineStr">
        <is>
          <t>Gloggnitz</t>
        </is>
      </c>
      <c r="E203" s="10" t="n">
        <v>45665.11587962963</v>
      </c>
      <c r="F203" s="10" t="n">
        <v>45665.12701388889</v>
      </c>
      <c r="G203" s="10" t="n">
        <v>45665.12907407407</v>
      </c>
      <c r="H203" s="3" t="inlineStr">
        <is>
          <t>OBT080125031718-Other sidings local</t>
        </is>
      </c>
      <c r="I203" s="10" t="n">
        <v>45665.13884259259</v>
      </c>
      <c r="J203" s="10" t="n">
        <v>45665.15869212963</v>
      </c>
      <c r="K203" s="10" t="n">
        <v>45665.15869212963</v>
      </c>
      <c r="L203" s="10" t="n">
        <v>45665.1594675926</v>
      </c>
      <c r="M203" s="11">
        <f>IF(AND(ISNUMBER(E203),ISNUMBER(G203)),(G203-E203),"")</f>
        <v/>
      </c>
      <c r="N203" s="11">
        <f>IF(AND(ISNUMBER(G203),ISNUMBER(L203)),(L203-G203),"")</f>
        <v/>
      </c>
      <c r="O203" s="10" t="n">
        <v>45665.13299768518</v>
      </c>
      <c r="P203" s="11">
        <f>IF(AND(ISNUMBER(I203),ISNUMBER(O203)),(I203-O203),"")</f>
        <v/>
      </c>
      <c r="Q203" s="12" t="inlineStr">
        <is>
          <t>WG 1005001 entered track and got coupled to WG 1004707 then waited 0:05:47 for WG 1005003 to get coupled, OBTP started on 03:19:56 finished on 03:48:31 and then left at 03:49:38</t>
        </is>
      </c>
    </row>
    <row r="204">
      <c r="A204" s="3" t="inlineStr">
        <is>
          <t>1005002</t>
        </is>
      </c>
      <c r="B204" s="3" t="inlineStr">
        <is>
          <t>10050</t>
        </is>
      </c>
      <c r="C204" s="9" t="n">
        <v>31.94</v>
      </c>
      <c r="D204" s="3" t="inlineStr">
        <is>
          <t>Ternitz (Schoeller-Bleckmann)</t>
        </is>
      </c>
      <c r="E204" s="10" t="n">
        <v>45665.11587962963</v>
      </c>
      <c r="F204" s="10" t="n">
        <v>45665.12907407407</v>
      </c>
      <c r="G204" s="10" t="n">
        <v>45665.13103009259</v>
      </c>
      <c r="H204" s="3" t="inlineStr">
        <is>
          <t>OBT080125031418-Pitten (Hamburger)</t>
        </is>
      </c>
      <c r="I204" s="10" t="n">
        <v>45665.13576388889</v>
      </c>
      <c r="J204" s="10" t="n">
        <v>45665.15362268518</v>
      </c>
      <c r="K204" s="10" t="n">
        <v>45665.15362268518</v>
      </c>
      <c r="L204" s="10" t="n">
        <v>45665.15424768518</v>
      </c>
      <c r="M204" s="11">
        <f>IF(AND(ISNUMBER(E204),ISNUMBER(G204)),(G204-E204),"")</f>
        <v/>
      </c>
      <c r="N204" s="11">
        <f>IF(AND(ISNUMBER(G204),ISNUMBER(L204)),(L204-G204),"")</f>
        <v/>
      </c>
      <c r="O204" s="10" t="n">
        <v>45665.13493055556</v>
      </c>
      <c r="P204" s="11">
        <f>IF(AND(ISNUMBER(I204),ISNUMBER(O204)),(I204-O204),"")</f>
        <v/>
      </c>
      <c r="Q204" s="12" t="inlineStr">
        <is>
          <t>WG 1005002 entered track and got coupled to WG 1004711, OBTP started on 03:15:30 finished on 03:41:13 and then left at 03:42:07</t>
        </is>
      </c>
    </row>
    <row r="205">
      <c r="A205" s="3" t="inlineStr">
        <is>
          <t>1005003</t>
        </is>
      </c>
      <c r="B205" s="3" t="inlineStr">
        <is>
          <t>10050</t>
        </is>
      </c>
      <c r="C205" s="9" t="n">
        <v>31.48</v>
      </c>
      <c r="D205" s="3" t="inlineStr">
        <is>
          <t>Gloggnitz</t>
        </is>
      </c>
      <c r="E205" s="10" t="n">
        <v>45665.11587962963</v>
      </c>
      <c r="F205" s="10" t="n">
        <v>45665.13103009259</v>
      </c>
      <c r="G205" s="10" t="n">
        <v>45665.13309027778</v>
      </c>
      <c r="H205" s="3" t="inlineStr">
        <is>
          <t>OBT080125031718-Other sidings local</t>
        </is>
      </c>
      <c r="I205" s="10" t="n">
        <v>45665.13884259259</v>
      </c>
      <c r="J205" s="10" t="n">
        <v>45665.15869212963</v>
      </c>
      <c r="K205" s="10" t="n">
        <v>45665.15869212963</v>
      </c>
      <c r="L205" s="10" t="n">
        <v>45665.1594675926</v>
      </c>
      <c r="M205" s="11">
        <f>IF(AND(ISNUMBER(E205),ISNUMBER(G205)),(G205-E205),"")</f>
        <v/>
      </c>
      <c r="N205" s="11">
        <f>IF(AND(ISNUMBER(G205),ISNUMBER(L205)),(L205-G205),"")</f>
        <v/>
      </c>
      <c r="O205" s="10" t="n">
        <v>45665.13701388889</v>
      </c>
      <c r="P205" s="11">
        <f>IF(AND(ISNUMBER(I205),ISNUMBER(O205)),(I205-O205),"")</f>
        <v/>
      </c>
      <c r="Q205" s="12" t="inlineStr">
        <is>
          <t>WG 1005003 entered track and got coupled to WG 1005001, OBTP started on 03:19:56 finished on 03:48:31 and then left at 03:49:38</t>
        </is>
      </c>
    </row>
    <row r="206">
      <c r="A206" s="3" t="inlineStr">
        <is>
          <t>1005004</t>
        </is>
      </c>
      <c r="B206" s="3" t="inlineStr">
        <is>
          <t>10050</t>
        </is>
      </c>
      <c r="C206" s="9" t="n">
        <v>166.9</v>
      </c>
      <c r="D206" s="3" t="inlineStr">
        <is>
          <t>Neunkirchen (loading tracks)</t>
        </is>
      </c>
      <c r="E206" s="10" t="n">
        <v>45665.11587962963</v>
      </c>
      <c r="F206" s="10" t="n">
        <v>45665.13309027778</v>
      </c>
      <c r="G206" s="10" t="n">
        <v>45665.13471064815</v>
      </c>
      <c r="H206" s="3" t="inlineStr">
        <is>
          <t>OBT080125031726-Neunkirchen (loading tracks)</t>
        </is>
      </c>
      <c r="I206" s="10" t="n">
        <v>45665.1421412037</v>
      </c>
      <c r="J206" s="10" t="n">
        <v>45665.17112268518</v>
      </c>
      <c r="K206" s="10" t="n">
        <v>45665.17112268518</v>
      </c>
      <c r="L206" s="10" t="n">
        <v>45665.17193287037</v>
      </c>
      <c r="M206" s="11">
        <f>IF(AND(ISNUMBER(E206),ISNUMBER(G206)),(G206-E206),"")</f>
        <v/>
      </c>
      <c r="N206" s="11">
        <f>IF(AND(ISNUMBER(G206),ISNUMBER(L206)),(L206-G206),"")</f>
        <v/>
      </c>
      <c r="O206" s="10" t="n">
        <v>45665.13710648148</v>
      </c>
      <c r="P206" s="11">
        <f>IF(AND(ISNUMBER(I206),ISNUMBER(O206)),(I206-O206),"")</f>
        <v/>
      </c>
      <c r="Q206" s="12" t="inlineStr">
        <is>
          <t>WG 1005004 entered track and got secured, OBTP started on 03:24:41 finished on 04:06:25 and then left at 04:07:35</t>
        </is>
      </c>
    </row>
    <row r="207">
      <c r="A207" s="3" t="inlineStr">
        <is>
          <t>1005005</t>
        </is>
      </c>
      <c r="B207" s="3" t="inlineStr">
        <is>
          <t>10050</t>
        </is>
      </c>
      <c r="C207" s="9" t="n">
        <v>51.38</v>
      </c>
      <c r="D207" s="3" t="inlineStr">
        <is>
          <t>Other sidings south</t>
        </is>
      </c>
      <c r="E207" s="10" t="n">
        <v>45665.11587962963</v>
      </c>
      <c r="F207" s="10" t="n">
        <v>45665.13471064815</v>
      </c>
      <c r="G207" s="10" t="n">
        <v>45665.13655092593</v>
      </c>
      <c r="H207" s="3" t="inlineStr">
        <is>
          <t>OBT080125032215-Other sidings south</t>
        </is>
      </c>
      <c r="I207" s="10" t="n">
        <v>45665.15530092592</v>
      </c>
      <c r="J207" s="10" t="n">
        <v>45665.17990740741</v>
      </c>
      <c r="K207" s="10" t="n">
        <v>45665.17990740741</v>
      </c>
      <c r="L207" s="10" t="n">
        <v>45665.18077546296</v>
      </c>
      <c r="M207" s="11">
        <f>IF(AND(ISNUMBER(E207),ISNUMBER(G207)),(G207-E207),"")</f>
        <v/>
      </c>
      <c r="N207" s="11">
        <f>IF(AND(ISNUMBER(G207),ISNUMBER(L207)),(L207-G207),"")</f>
        <v/>
      </c>
      <c r="O207" s="10" t="n">
        <v>45665.14045138889</v>
      </c>
      <c r="P207" s="11">
        <f>IF(AND(ISNUMBER(I207),ISNUMBER(O207)),(I207-O207),"")</f>
        <v/>
      </c>
      <c r="Q207" s="12" t="inlineStr">
        <is>
          <t>WG 1005005 entered track and got coupled to WG 1004703, OBTP started on 03:43:38 finished on 04:19:04 and then left at 04:20:19</t>
        </is>
      </c>
    </row>
    <row r="208">
      <c r="A208" s="3" t="inlineStr">
        <is>
          <t>1005006</t>
        </is>
      </c>
      <c r="B208" s="3" t="inlineStr">
        <is>
          <t>10050</t>
        </is>
      </c>
      <c r="C208" s="9" t="n">
        <v>12.04</v>
      </c>
      <c r="D208" s="3" t="inlineStr">
        <is>
          <t>Ternitz (Schoeller-Bleckmann)</t>
        </is>
      </c>
      <c r="E208" s="10" t="n">
        <v>45665.11587962963</v>
      </c>
      <c r="F208" s="10" t="n">
        <v>45665.13655092593</v>
      </c>
      <c r="G208" s="10" t="n">
        <v>45665.1378125</v>
      </c>
      <c r="H208" s="3" t="inlineStr">
        <is>
          <t>OBT080125061845-Wien Kledering</t>
        </is>
      </c>
      <c r="I208" s="10" t="n">
        <v>45665.26388888889</v>
      </c>
      <c r="J208" s="10" t="n">
        <v>45665.31545138889</v>
      </c>
      <c r="K208" s="10" t="n">
        <v>45665.31545138889</v>
      </c>
      <c r="L208" s="10" t="n">
        <v>45665.31657407407</v>
      </c>
      <c r="M208" s="11">
        <f>IF(AND(ISNUMBER(E208),ISNUMBER(G208)),(G208-E208),"")</f>
        <v/>
      </c>
      <c r="N208" s="11">
        <f>IF(AND(ISNUMBER(G208),ISNUMBER(L208)),(L208-G208),"")</f>
        <v/>
      </c>
      <c r="O208" s="10" t="n">
        <v>45665.13997685185</v>
      </c>
      <c r="P208" s="11">
        <f>IF(AND(ISNUMBER(I208),ISNUMBER(O208)),(I208-O208),"")</f>
        <v/>
      </c>
      <c r="Q208" s="12" t="inlineStr">
        <is>
          <t>WG 1005006 entered track and got secured then waited 2:57:11 for WG 1005201 to get coupled, OBTP started on 06:20:00 finished on 07:34:15 and then left at 07:35:52</t>
        </is>
      </c>
    </row>
    <row r="209">
      <c r="A209" s="3" t="inlineStr">
        <is>
          <t>1005101</t>
        </is>
      </c>
      <c r="B209" s="3" t="inlineStr">
        <is>
          <t>10051</t>
        </is>
      </c>
      <c r="C209" s="9" t="n">
        <v>514.3</v>
      </c>
      <c r="D209" s="3" t="inlineStr">
        <is>
          <t>Neudörfl (FunderMax)</t>
        </is>
      </c>
      <c r="E209" s="10" t="n">
        <v>45665.15956018519</v>
      </c>
      <c r="F209" s="10" t="n">
        <v>45665.16743055556</v>
      </c>
      <c r="G209" s="10" t="n">
        <v>45665.16996527778</v>
      </c>
      <c r="H209" s="3" t="inlineStr">
        <is>
          <t>OBT080125041024-Neudörfl (FunderMax)</t>
        </is>
      </c>
      <c r="I209" s="10" t="n">
        <v>45665.1747337963</v>
      </c>
      <c r="J209" s="10" t="n">
        <v>45665.27763888889</v>
      </c>
      <c r="K209" s="10" t="n">
        <v>45665.27763888889</v>
      </c>
      <c r="L209" s="10" t="n">
        <v>45665.27949074074</v>
      </c>
      <c r="M209" s="11">
        <f>IF(AND(ISNUMBER(E209),ISNUMBER(G209)),(G209-E209),"")</f>
        <v/>
      </c>
      <c r="N209" s="11">
        <f>IF(AND(ISNUMBER(G209),ISNUMBER(L209)),(L209-G209),"")</f>
        <v/>
      </c>
      <c r="O209" s="10" t="n">
        <v>45665.17388888889</v>
      </c>
      <c r="P209" s="11">
        <f>IF(AND(ISNUMBER(I209),ISNUMBER(O209)),(I209-O209),"")</f>
        <v/>
      </c>
      <c r="Q209" s="12" t="inlineStr">
        <is>
          <t>WG 1005101 entered track and got coupled to WG 1004701, OBTP started on 04:11:37 finished on 06:39:48 and then left at 06:42:28</t>
        </is>
      </c>
    </row>
    <row r="210">
      <c r="A210" s="3" t="inlineStr">
        <is>
          <t>1005201</t>
        </is>
      </c>
      <c r="B210" s="3" t="inlineStr">
        <is>
          <t>10052</t>
        </is>
      </c>
      <c r="C210" s="9" t="n">
        <v>297</v>
      </c>
      <c r="D210" s="3" t="inlineStr">
        <is>
          <t>Wien Kledering</t>
        </is>
      </c>
      <c r="E210" s="10" t="n">
        <v>45665.25313657407</v>
      </c>
      <c r="F210" s="10" t="n">
        <v>45665.25892361111</v>
      </c>
      <c r="G210" s="10" t="n">
        <v>45665.26084490741</v>
      </c>
      <c r="H210" s="3" t="inlineStr">
        <is>
          <t>OBT080125061845-Wien Kledering</t>
        </is>
      </c>
      <c r="I210" s="10" t="n">
        <v>45665.26388888889</v>
      </c>
      <c r="J210" s="10" t="n">
        <v>45665.31545138889</v>
      </c>
      <c r="K210" s="10" t="n">
        <v>45665.31545138889</v>
      </c>
      <c r="L210" s="10" t="n">
        <v>45665.31657407407</v>
      </c>
      <c r="M210" s="11">
        <f>IF(AND(ISNUMBER(E210),ISNUMBER(G210)),(G210-E210),"")</f>
        <v/>
      </c>
      <c r="N210" s="11">
        <f>IF(AND(ISNUMBER(G210),ISNUMBER(L210)),(L210-G210),"")</f>
        <v/>
      </c>
      <c r="O210" s="10" t="n">
        <v>45665.26302083334</v>
      </c>
      <c r="P210" s="11">
        <f>IF(AND(ISNUMBER(I210),ISNUMBER(O210)),(I210-O210),"")</f>
        <v/>
      </c>
      <c r="Q210" s="12" t="inlineStr">
        <is>
          <t>WG 1005201 entered track and got secured, OBTP started on 06:20:00 finished on 07:34:15 and then left at 07:35:52</t>
        </is>
      </c>
    </row>
    <row r="211">
      <c r="A211" s="3" t="inlineStr">
        <is>
          <t>1005301</t>
        </is>
      </c>
      <c r="B211" s="3" t="inlineStr">
        <is>
          <t>10053</t>
        </is>
      </c>
      <c r="C211" s="9" t="n">
        <v>23.24</v>
      </c>
      <c r="D211" s="3" t="inlineStr">
        <is>
          <t>Pitten (Hamburger)</t>
        </is>
      </c>
      <c r="E211" s="10" t="n">
        <v>45665.30549768519</v>
      </c>
      <c r="F211" s="10" t="n">
        <v>45665.32950231482</v>
      </c>
      <c r="G211" s="10" t="n">
        <v>45665.33141203703</v>
      </c>
      <c r="H211" s="3" t="inlineStr">
        <is>
          <t>OBT080125083220-Pitten (Hamburger)</t>
        </is>
      </c>
      <c r="I211" s="10" t="n">
        <v>45665.36579861111</v>
      </c>
      <c r="J211" s="10" t="n">
        <v>45665.3874074074</v>
      </c>
      <c r="K211" s="10" t="n">
        <v>45665.3874074074</v>
      </c>
      <c r="L211" s="10" t="n">
        <v>45665.38809027777</v>
      </c>
      <c r="M211" s="11">
        <f>IF(AND(ISNUMBER(E211),ISNUMBER(G211)),(G211-E211),"")</f>
        <v/>
      </c>
      <c r="N211" s="11">
        <f>IF(AND(ISNUMBER(G211),ISNUMBER(L211)),(L211-G211),"")</f>
        <v/>
      </c>
      <c r="O211" s="10" t="n">
        <v>45665.33380787037</v>
      </c>
      <c r="P211" s="11">
        <f>IF(AND(ISNUMBER(I211),ISNUMBER(O211)),(I211-O211),"")</f>
        <v/>
      </c>
      <c r="Q211" s="12" t="inlineStr">
        <is>
          <t>WG 1005301 entered track and got secured then waited 0:07:41 for WG 1005303 to get coupled then waited 0:23:58 for WG 1005312 to get coupled, OBTP started on 08:46:45 finished on 09:17:52 and then left at 09:18:51</t>
        </is>
      </c>
    </row>
    <row r="212">
      <c r="A212" s="3" t="inlineStr">
        <is>
          <t>1005302</t>
        </is>
      </c>
      <c r="B212" s="3" t="inlineStr">
        <is>
          <t>10053</t>
        </is>
      </c>
      <c r="C212" s="9" t="n">
        <v>19.9</v>
      </c>
      <c r="D212" s="3" t="inlineStr">
        <is>
          <t>Felixdorf/Sollenau (Bundesheer, Maba)</t>
        </is>
      </c>
      <c r="E212" s="10" t="n">
        <v>45665.30549768519</v>
      </c>
      <c r="F212" s="10" t="n">
        <v>45665.33141203703</v>
      </c>
      <c r="G212" s="10" t="n">
        <v>45665.33334490741</v>
      </c>
      <c r="H212" s="3" t="inlineStr">
        <is>
          <t>OBT080125153109-Felixdorf/Sollenau (Bundesheer, Maba)</t>
        </is>
      </c>
      <c r="I212" s="10" t="n">
        <v>45665.64836805555</v>
      </c>
      <c r="J212" s="10" t="n">
        <v>45665.67254629629</v>
      </c>
      <c r="K212" s="10" t="n">
        <v>45665.67254629629</v>
      </c>
      <c r="L212" s="10" t="n">
        <v>45665.67341435186</v>
      </c>
      <c r="M212" s="11">
        <f>IF(AND(ISNUMBER(E212),ISNUMBER(G212)),(G212-E212),"")</f>
        <v/>
      </c>
      <c r="N212" s="11">
        <f>IF(AND(ISNUMBER(G212),ISNUMBER(L212)),(L212-G212),"")</f>
        <v/>
      </c>
      <c r="O212" s="10" t="n">
        <v>45665.33723379629</v>
      </c>
      <c r="P212" s="11">
        <f>IF(AND(ISNUMBER(I212),ISNUMBER(O212)),(I212-O212),"")</f>
        <v/>
      </c>
      <c r="Q212" s="12" t="inlineStr">
        <is>
          <t>WG 1005302 entered track and got coupled to WG 1004709 then waited 7:25:32 for WG 1006001 to get coupled, OBTP started on 15:33:39 finished on 16:08:28 and then left at 16:09:43</t>
        </is>
      </c>
    </row>
    <row r="213">
      <c r="A213" s="3" t="inlineStr">
        <is>
          <t>1005303</t>
        </is>
      </c>
      <c r="B213" s="3" t="inlineStr">
        <is>
          <t>10053</t>
        </is>
      </c>
      <c r="C213" s="9" t="n">
        <v>15.74</v>
      </c>
      <c r="D213" s="3" t="inlineStr">
        <is>
          <t>Gloggnitz</t>
        </is>
      </c>
      <c r="E213" s="10" t="n">
        <v>45665.30549768519</v>
      </c>
      <c r="F213" s="10" t="n">
        <v>45665.33334490741</v>
      </c>
      <c r="G213" s="10" t="n">
        <v>45665.33521990741</v>
      </c>
      <c r="H213" s="3" t="inlineStr">
        <is>
          <t>OBT080125083220-Pitten (Hamburger)</t>
        </is>
      </c>
      <c r="I213" s="10" t="n">
        <v>45665.36579861111</v>
      </c>
      <c r="J213" s="10" t="n">
        <v>45665.3874074074</v>
      </c>
      <c r="K213" s="10" t="n">
        <v>45665.3874074074</v>
      </c>
      <c r="L213" s="10" t="n">
        <v>45665.38809027777</v>
      </c>
      <c r="M213" s="11">
        <f>IF(AND(ISNUMBER(E213),ISNUMBER(G213)),(G213-E213),"")</f>
        <v/>
      </c>
      <c r="N213" s="11">
        <f>IF(AND(ISNUMBER(G213),ISNUMBER(L213)),(L213-G213),"")</f>
        <v/>
      </c>
      <c r="O213" s="10" t="n">
        <v>45665.33914351852</v>
      </c>
      <c r="P213" s="11">
        <f>IF(AND(ISNUMBER(I213),ISNUMBER(O213)),(I213-O213),"")</f>
        <v/>
      </c>
      <c r="Q213" s="12" t="inlineStr">
        <is>
          <t>WG 1005303 entered track and got coupled to WG 1005301 then waited 0:23:58 for WG 1005312 to get coupled, OBTP started on 08:46:45 finished on 09:17:52 and then left at 09:18:51</t>
        </is>
      </c>
    </row>
    <row r="214">
      <c r="A214" s="3" t="inlineStr">
        <is>
          <t>1005304</t>
        </is>
      </c>
      <c r="B214" s="3" t="inlineStr">
        <is>
          <t>10053</t>
        </is>
      </c>
      <c r="C214" s="9" t="n">
        <v>60.8</v>
      </c>
      <c r="D214" s="3" t="inlineStr">
        <is>
          <t>Neunkirchen (loading tracks)</t>
        </is>
      </c>
      <c r="E214" s="10" t="n">
        <v>45665.30549768519</v>
      </c>
      <c r="F214" s="10" t="n">
        <v>45665.33521990741</v>
      </c>
      <c r="G214" s="10" t="n">
        <v>45665.33732638889</v>
      </c>
      <c r="H214" s="3" t="inlineStr">
        <is>
          <t>OBT090125031241-Neunkirchen (loading tracks)</t>
        </is>
      </c>
      <c r="I214" s="10" t="n">
        <v>45666.13467592592</v>
      </c>
      <c r="J214" s="10" t="n">
        <v>45666.16887731481</v>
      </c>
      <c r="K214" s="10" t="n">
        <v>45666.16887731481</v>
      </c>
      <c r="L214" s="10" t="n">
        <v>45666.16983796296</v>
      </c>
      <c r="M214" s="11">
        <f>IF(AND(ISNUMBER(E214),ISNUMBER(G214)),(G214-E214),"")</f>
        <v/>
      </c>
      <c r="N214" s="11">
        <f>IF(AND(ISNUMBER(G214),ISNUMBER(L214)),(L214-G214),"")</f>
        <v/>
      </c>
      <c r="O214" s="10" t="n">
        <v>45665.33972222222</v>
      </c>
      <c r="P214" s="11">
        <f>IF(AND(ISNUMBER(I214),ISNUMBER(O214)),(I214-O214),"")</f>
        <v/>
      </c>
      <c r="Q214" s="12" t="inlineStr">
        <is>
          <t>WG 1005304 entered track and got secured then waited 0:16:35 for WG 1005310 to get coupled then waited 11:52:27 for WG 1006404 to get coupled then waited 6:54:27 for WG 1006603 to get coupled, OBTP started on 03:13:56 finished on 04:03:11 and then left at 04:04:34</t>
        </is>
      </c>
    </row>
    <row r="215">
      <c r="A215" s="3" t="inlineStr">
        <is>
          <t>1005305</t>
        </is>
      </c>
      <c r="B215" s="3" t="inlineStr">
        <is>
          <t>10053</t>
        </is>
      </c>
      <c r="C215" s="9" t="n">
        <v>19.9</v>
      </c>
      <c r="D215" s="3" t="inlineStr">
        <is>
          <t>Wr. Neustadt Ausfahrbf (Furtenbach)</t>
        </is>
      </c>
      <c r="E215" s="10" t="n">
        <v>45665.30549768519</v>
      </c>
      <c r="F215" s="10" t="n">
        <v>45665.33732638889</v>
      </c>
      <c r="G215" s="10" t="n">
        <v>45665.33903935185</v>
      </c>
      <c r="H215" s="3" t="inlineStr">
        <is>
          <t>OBT090125075601-Wr. Neustadt Ausfahrbf (Furtenbach)</t>
        </is>
      </c>
      <c r="I215" s="10" t="n">
        <v>45666.33230324074</v>
      </c>
      <c r="J215" s="10" t="n">
        <v>45666.35303240741</v>
      </c>
      <c r="K215" s="10" t="n">
        <v>45666.35303240741</v>
      </c>
      <c r="L215" s="10" t="n">
        <v>45666.35390046296</v>
      </c>
      <c r="M215" s="11">
        <f>IF(AND(ISNUMBER(E215),ISNUMBER(G215)),(G215-E215),"")</f>
        <v/>
      </c>
      <c r="N215" s="11">
        <f>IF(AND(ISNUMBER(G215),ISNUMBER(L215)),(L215-G215),"")</f>
        <v/>
      </c>
      <c r="O215" s="10" t="n">
        <v>45665.34140046296</v>
      </c>
      <c r="P215" s="11">
        <f>IF(AND(ISNUMBER(I215),ISNUMBER(O215)),(I215-O215),"")</f>
        <v/>
      </c>
      <c r="Q215" s="12" t="inlineStr">
        <is>
          <t>WG 1005305 entered track and got secured then waited 0:25:54 for WG 1005314 to get coupled then waited 7:11:43 for WG 1006008 to get coupled then waited 4:38:40 for WG 1006408 to get coupled then waited 11:28:07 for WG 1006905 to get coupled, OBTP started on 07:58:31 finished on 08:28:22 and then left at 08:29:37</t>
        </is>
      </c>
    </row>
    <row r="216">
      <c r="A216" s="3" t="inlineStr">
        <is>
          <t>1005306</t>
        </is>
      </c>
      <c r="B216" s="3" t="inlineStr">
        <is>
          <t>10053</t>
        </is>
      </c>
      <c r="C216" s="9" t="n">
        <v>12.04</v>
      </c>
      <c r="D216" s="3" t="inlineStr">
        <is>
          <t>Ternitz (Schoeller-Bleckmann)</t>
        </is>
      </c>
      <c r="E216" s="10" t="n">
        <v>45665.30549768519</v>
      </c>
      <c r="F216" s="10" t="n">
        <v>45665.33903935185</v>
      </c>
      <c r="G216" s="10" t="n">
        <v>45665.34027777778</v>
      </c>
      <c r="H216" s="3" t="inlineStr">
        <is>
          <t>OBT080125084420-Ternitz (Schoeller-Bleckmann)</t>
        </is>
      </c>
      <c r="I216" s="10" t="n">
        <v>45665.36908564815</v>
      </c>
      <c r="J216" s="10" t="n">
        <v>45665.43884259259</v>
      </c>
      <c r="K216" s="10" t="n">
        <v>45665.43884259259</v>
      </c>
      <c r="L216" s="10" t="n">
        <v>45665.44020833333</v>
      </c>
      <c r="M216" s="11">
        <f>IF(AND(ISNUMBER(E216),ISNUMBER(G216)),(G216-E216),"")</f>
        <v/>
      </c>
      <c r="N216" s="11">
        <f>IF(AND(ISNUMBER(G216),ISNUMBER(L216)),(L216-G216),"")</f>
        <v/>
      </c>
      <c r="O216" s="10" t="n">
        <v>45665.34267361111</v>
      </c>
      <c r="P216" s="11">
        <f>IF(AND(ISNUMBER(I216),ISNUMBER(O216)),(I216-O216),"")</f>
        <v/>
      </c>
      <c r="Q216" s="12" t="inlineStr">
        <is>
          <t>WG 1005306 entered track and got secured then waited 0:30:53 for WG 1005501 to get coupled, OBTP started on 08:51:29 finished on 10:31:56 and then left at 10:33:54</t>
        </is>
      </c>
    </row>
    <row r="217">
      <c r="A217" s="3" t="inlineStr">
        <is>
          <t>1005307</t>
        </is>
      </c>
      <c r="B217" s="3" t="inlineStr">
        <is>
          <t>10053</t>
        </is>
      </c>
      <c r="C217" s="9" t="n">
        <v>51.38</v>
      </c>
      <c r="D217" s="3" t="inlineStr">
        <is>
          <t>Other sidings north</t>
        </is>
      </c>
      <c r="E217" s="10" t="n">
        <v>45665.30549768519</v>
      </c>
      <c r="F217" s="10" t="n">
        <v>45665.34027777778</v>
      </c>
      <c r="G217" s="10" t="n">
        <v>45665.34149305556</v>
      </c>
      <c r="H217" s="3" t="inlineStr">
        <is>
          <t>OBT080125081724-Other sidings north</t>
        </is>
      </c>
      <c r="I217" s="10" t="n">
        <v>45665.34628472223</v>
      </c>
      <c r="J217" s="10" t="n">
        <v>45665.36886574074</v>
      </c>
      <c r="K217" s="10" t="n">
        <v>45665.36886574074</v>
      </c>
      <c r="L217" s="10" t="n">
        <v>45665.36962962963</v>
      </c>
      <c r="M217" s="11">
        <f>IF(AND(ISNUMBER(E217),ISNUMBER(G217)),(G217-E217),"")</f>
        <v/>
      </c>
      <c r="N217" s="11">
        <f>IF(AND(ISNUMBER(G217),ISNUMBER(L217)),(L217-G217),"")</f>
        <v/>
      </c>
      <c r="O217" s="10" t="n">
        <v>45665.34541666666</v>
      </c>
      <c r="P217" s="11">
        <f>IF(AND(ISNUMBER(I217),ISNUMBER(O217)),(I217-O217),"")</f>
        <v/>
      </c>
      <c r="Q217" s="12" t="inlineStr">
        <is>
          <t>WG 1005307 entered track and got coupled to WG 1004713, OBTP started on 08:18:39 finished on 08:51:10 and then left at 08:52:16</t>
        </is>
      </c>
    </row>
    <row r="218">
      <c r="A218" s="3" t="inlineStr">
        <is>
          <t>1005308</t>
        </is>
      </c>
      <c r="B218" s="3" t="inlineStr">
        <is>
          <t>10053</t>
        </is>
      </c>
      <c r="C218" s="9" t="n">
        <v>15.74</v>
      </c>
      <c r="D218" s="3" t="inlineStr">
        <is>
          <t>Other sidings south</t>
        </is>
      </c>
      <c r="E218" s="10" t="n">
        <v>45665.30549768519</v>
      </c>
      <c r="F218" s="10" t="n">
        <v>45665.34149305556</v>
      </c>
      <c r="G218" s="10" t="n">
        <v>45665.34321759259</v>
      </c>
      <c r="H218" s="3" t="inlineStr">
        <is>
          <t>OBT100125031522-Other sidings south</t>
        </is>
      </c>
      <c r="I218" s="10" t="n">
        <v>45667.13653935185</v>
      </c>
      <c r="J218" s="10" t="n">
        <v>45667.15913194444</v>
      </c>
      <c r="K218" s="10" t="n">
        <v>45667.15913194444</v>
      </c>
      <c r="L218" s="10" t="n">
        <v>45667.15997685185</v>
      </c>
      <c r="M218" s="11">
        <f>IF(AND(ISNUMBER(E218),ISNUMBER(G218)),(G218-E218),"")</f>
        <v/>
      </c>
      <c r="N218" s="11">
        <f>IF(AND(ISNUMBER(G218),ISNUMBER(L218)),(L218-G218),"")</f>
        <v/>
      </c>
      <c r="O218" s="10" t="n">
        <v>45665.3455787037</v>
      </c>
      <c r="P218" s="11">
        <f>IF(AND(ISNUMBER(I218),ISNUMBER(O218)),(I218-O218),"")</f>
        <v/>
      </c>
      <c r="Q218" s="12" t="inlineStr">
        <is>
          <t>WG 1005308 entered track and got secured then waited 7:23:00 for WG 1006005 to get coupled then waited 11:28:53 for WG 1006602 to get coupled then waited 3:51:01 for WG 1006709 to get coupled then waited 20:14:50 for WG 1008104 to get coupled, OBTP started on 03:16:37 finished on 03:49:09 and then left at 03:50:22</t>
        </is>
      </c>
    </row>
    <row r="219">
      <c r="A219" s="3" t="inlineStr">
        <is>
          <t>1005309</t>
        </is>
      </c>
      <c r="B219" s="3" t="inlineStr">
        <is>
          <t>10053</t>
        </is>
      </c>
      <c r="C219" s="9" t="n">
        <v>108</v>
      </c>
      <c r="D219" s="3" t="inlineStr">
        <is>
          <t>Wr. Neustadt (Hödlmayr)</t>
        </is>
      </c>
      <c r="E219" s="10" t="n">
        <v>45665.30549768519</v>
      </c>
      <c r="F219" s="10" t="n">
        <v>45665.34321759259</v>
      </c>
      <c r="G219" s="10" t="n">
        <v>45665.34534722222</v>
      </c>
      <c r="H219" s="3" t="inlineStr">
        <is>
          <t>OBT080125082044-Wr. Neustadt (Hödlmayr)</t>
        </is>
      </c>
      <c r="I219" s="10" t="n">
        <v>45665.34859953704</v>
      </c>
      <c r="J219" s="10" t="n">
        <v>45665.36734953704</v>
      </c>
      <c r="K219" s="10" t="n">
        <v>45665.36734953704</v>
      </c>
      <c r="L219" s="10" t="n">
        <v>45665.36813657408</v>
      </c>
      <c r="M219" s="11">
        <f>IF(AND(ISNUMBER(E219),ISNUMBER(G219)),(G219-E219),"")</f>
        <v/>
      </c>
      <c r="N219" s="11">
        <f>IF(AND(ISNUMBER(G219),ISNUMBER(L219)),(L219-G219),"")</f>
        <v/>
      </c>
      <c r="O219" s="10" t="n">
        <v>45665.34773148148</v>
      </c>
      <c r="P219" s="11">
        <f>IF(AND(ISNUMBER(I219),ISNUMBER(O219)),(I219-O219),"")</f>
        <v/>
      </c>
      <c r="Q219" s="12" t="inlineStr">
        <is>
          <t>WG 1005309 entered track and got secured, OBTP started on 08:21:59 finished on 08:48:59 and then left at 08:50:07</t>
        </is>
      </c>
    </row>
    <row r="220">
      <c r="A220" s="3" t="inlineStr">
        <is>
          <t>1005310</t>
        </is>
      </c>
      <c r="B220" s="3" t="inlineStr">
        <is>
          <t>10053</t>
        </is>
      </c>
      <c r="C220" s="9" t="n">
        <v>15.74</v>
      </c>
      <c r="D220" s="3" t="inlineStr">
        <is>
          <t>Other sidings local</t>
        </is>
      </c>
      <c r="E220" s="10" t="n">
        <v>45665.30549768519</v>
      </c>
      <c r="F220" s="10" t="n">
        <v>45665.34534722222</v>
      </c>
      <c r="G220" s="10" t="n">
        <v>45665.34734953703</v>
      </c>
      <c r="H220" s="3" t="inlineStr">
        <is>
          <t>OBT090125031241-Neunkirchen (loading tracks)</t>
        </is>
      </c>
      <c r="I220" s="10" t="n">
        <v>45666.13467592592</v>
      </c>
      <c r="J220" s="10" t="n">
        <v>45666.16887731481</v>
      </c>
      <c r="K220" s="10" t="n">
        <v>45666.16887731481</v>
      </c>
      <c r="L220" s="10" t="n">
        <v>45666.16983796296</v>
      </c>
      <c r="M220" s="11">
        <f>IF(AND(ISNUMBER(E220),ISNUMBER(G220)),(G220-E220),"")</f>
        <v/>
      </c>
      <c r="N220" s="11">
        <f>IF(AND(ISNUMBER(G220),ISNUMBER(L220)),(L220-G220),"")</f>
        <v/>
      </c>
      <c r="O220" s="10" t="n">
        <v>45665.35123842592</v>
      </c>
      <c r="P220" s="11">
        <f>IF(AND(ISNUMBER(I220),ISNUMBER(O220)),(I220-O220),"")</f>
        <v/>
      </c>
      <c r="Q220" s="12" t="inlineStr">
        <is>
          <t>WG 1005310 entered track and got coupled to WG 1005304 then waited 11:52:27 for WG 1006404 to get coupled then waited 6:54:27 for WG 1006603 to get coupled, OBTP started on 03:13:56 finished on 04:03:11 and then left at 04:04:34</t>
        </is>
      </c>
    </row>
    <row r="221">
      <c r="A221" s="3" t="inlineStr">
        <is>
          <t>1005311</t>
        </is>
      </c>
      <c r="B221" s="3" t="inlineStr">
        <is>
          <t>10053</t>
        </is>
      </c>
      <c r="C221" s="9" t="n">
        <v>94.44</v>
      </c>
      <c r="D221" s="3" t="inlineStr">
        <is>
          <t>Ebenfurth (beet loading)</t>
        </is>
      </c>
      <c r="E221" s="10" t="n">
        <v>45665.30549768519</v>
      </c>
      <c r="F221" s="10" t="n">
        <v>45665.34734953703</v>
      </c>
      <c r="G221" s="10" t="n">
        <v>45665.34866898148</v>
      </c>
      <c r="H221" s="3" t="inlineStr">
        <is>
          <t>OBT080125091709-Wien Kledering</t>
        </is>
      </c>
      <c r="I221" s="10" t="n">
        <v>45665.3891087963</v>
      </c>
      <c r="J221" s="10" t="n">
        <v>45665.40903935185</v>
      </c>
      <c r="K221" s="10" t="n">
        <v>45665.40903935185</v>
      </c>
      <c r="L221" s="10" t="n">
        <v>45665.40976851852</v>
      </c>
      <c r="M221" s="11">
        <f>IF(AND(ISNUMBER(E221),ISNUMBER(G221)),(G221-E221),"")</f>
        <v/>
      </c>
      <c r="N221" s="11">
        <f>IF(AND(ISNUMBER(G221),ISNUMBER(L221)),(L221-G221),"")</f>
        <v/>
      </c>
      <c r="O221" s="10" t="n">
        <v>45665.35104166667</v>
      </c>
      <c r="P221" s="11">
        <f>IF(AND(ISNUMBER(I221),ISNUMBER(O221)),(I221-O221),"")</f>
        <v/>
      </c>
      <c r="Q221" s="12" t="inlineStr">
        <is>
          <t>WG 1005311 entered track and got secured then waited 0:51:39 for WG 1005601 to get coupled, OBTP started on 09:20:19 finished on 09:49:01 and then left at 09:50:04</t>
        </is>
      </c>
    </row>
    <row r="222">
      <c r="A222" s="3" t="inlineStr">
        <is>
          <t>1005312</t>
        </is>
      </c>
      <c r="B222" s="3" t="inlineStr">
        <is>
          <t>10053</t>
        </is>
      </c>
      <c r="C222" s="9" t="n">
        <v>85.45999999999999</v>
      </c>
      <c r="D222" s="3" t="inlineStr">
        <is>
          <t>Pitten (Hamburger)</t>
        </is>
      </c>
      <c r="E222" s="10" t="n">
        <v>45665.30549768519</v>
      </c>
      <c r="F222" s="10" t="n">
        <v>45665.34866898148</v>
      </c>
      <c r="G222" s="10" t="n">
        <v>45665.35070601852</v>
      </c>
      <c r="H222" s="3" t="inlineStr">
        <is>
          <t>OBT080125083220-Pitten (Hamburger)</t>
        </is>
      </c>
      <c r="I222" s="10" t="n">
        <v>45665.36579861111</v>
      </c>
      <c r="J222" s="10" t="n">
        <v>45665.3874074074</v>
      </c>
      <c r="K222" s="10" t="n">
        <v>45665.3874074074</v>
      </c>
      <c r="L222" s="10" t="n">
        <v>45665.38809027777</v>
      </c>
      <c r="M222" s="11">
        <f>IF(AND(ISNUMBER(E222),ISNUMBER(G222)),(G222-E222),"")</f>
        <v/>
      </c>
      <c r="N222" s="11">
        <f>IF(AND(ISNUMBER(G222),ISNUMBER(L222)),(L222-G222),"")</f>
        <v/>
      </c>
      <c r="O222" s="10" t="n">
        <v>45665.35578703704</v>
      </c>
      <c r="P222" s="11">
        <f>IF(AND(ISNUMBER(I222),ISNUMBER(O222)),(I222-O222),"")</f>
        <v/>
      </c>
      <c r="Q222" s="12" t="inlineStr">
        <is>
          <t>WG 1005312 entered track and got coupled to WG 1005303, OBTP started on 08:46:45 finished on 09:17:52 and then left at 09:18:51</t>
        </is>
      </c>
    </row>
    <row r="223">
      <c r="A223" s="3" t="inlineStr">
        <is>
          <t>1005313</t>
        </is>
      </c>
      <c r="B223" s="3" t="inlineStr">
        <is>
          <t>10053</t>
        </is>
      </c>
      <c r="C223" s="9" t="n">
        <v>15.74</v>
      </c>
      <c r="D223" s="3" t="inlineStr">
        <is>
          <t>Obereggendorf (Hofer)</t>
        </is>
      </c>
      <c r="E223" s="10" t="n">
        <v>45665.30549768519</v>
      </c>
      <c r="F223" s="10" t="n">
        <v>45665.35070601852</v>
      </c>
      <c r="G223" s="10" t="n">
        <v>45665.35229166667</v>
      </c>
      <c r="H223" s="3" t="inlineStr">
        <is>
          <t>OBT090125184904-Obereggendorf (Hofer)</t>
        </is>
      </c>
      <c r="I223" s="10" t="n">
        <v>45666.79814814815</v>
      </c>
      <c r="J223" s="10" t="n">
        <v>45666.81584490741</v>
      </c>
      <c r="K223" s="10" t="n">
        <v>45666.81584490741</v>
      </c>
      <c r="L223" s="10" t="n">
        <v>45666.81667824074</v>
      </c>
      <c r="M223" s="11">
        <f>IF(AND(ISNUMBER(E223),ISNUMBER(G223)),(G223-E223),"")</f>
        <v/>
      </c>
      <c r="N223" s="11">
        <f>IF(AND(ISNUMBER(G223),ISNUMBER(L223)),(L223-G223),"")</f>
        <v/>
      </c>
      <c r="O223" s="10" t="n">
        <v>45665.35466435185</v>
      </c>
      <c r="P223" s="11">
        <f>IF(AND(ISNUMBER(I223),ISNUMBER(O223)),(I223-O223),"")</f>
        <v/>
      </c>
      <c r="Q223" s="12" t="inlineStr">
        <is>
          <t>WG 1005313 entered track and got secured then waited 7:02:42 for WG 1006002 to get coupled then waited 4:39:54 for WG 1006402 to get coupled then waited 0:16:24 for WG 1006409 to get coupled then waited 19:09:11 for WG 1007505 to get coupled then waited 3:10:10 for WG 1007904 to get coupled, OBTP started on 19:09:20 finished on 19:34:49 and then left at 19:36:01</t>
        </is>
      </c>
    </row>
    <row r="224">
      <c r="A224" s="3" t="inlineStr">
        <is>
          <t>1005314</t>
        </is>
      </c>
      <c r="B224" s="3" t="inlineStr">
        <is>
          <t>10053</t>
        </is>
      </c>
      <c r="C224" s="9" t="n">
        <v>19.9</v>
      </c>
      <c r="D224" s="3" t="inlineStr">
        <is>
          <t>Wr. Neustadt Ausfahrbf (Furtenbach)</t>
        </is>
      </c>
      <c r="E224" s="10" t="n">
        <v>45665.30549768519</v>
      </c>
      <c r="F224" s="10" t="n">
        <v>45665.35229166667</v>
      </c>
      <c r="G224" s="10" t="n">
        <v>45665.35400462963</v>
      </c>
      <c r="H224" s="3" t="inlineStr">
        <is>
          <t>OBT090125075601-Wr. Neustadt Ausfahrbf (Furtenbach)</t>
        </is>
      </c>
      <c r="I224" s="10" t="n">
        <v>45666.33230324074</v>
      </c>
      <c r="J224" s="10" t="n">
        <v>45666.35303240741</v>
      </c>
      <c r="K224" s="10" t="n">
        <v>45666.35303240741</v>
      </c>
      <c r="L224" s="10" t="n">
        <v>45666.35390046296</v>
      </c>
      <c r="M224" s="11">
        <f>IF(AND(ISNUMBER(E224),ISNUMBER(G224)),(G224-E224),"")</f>
        <v/>
      </c>
      <c r="N224" s="11">
        <f>IF(AND(ISNUMBER(G224),ISNUMBER(L224)),(L224-G224),"")</f>
        <v/>
      </c>
      <c r="O224" s="10" t="n">
        <v>45665.35938657408</v>
      </c>
      <c r="P224" s="11">
        <f>IF(AND(ISNUMBER(I224),ISNUMBER(O224)),(I224-O224),"")</f>
        <v/>
      </c>
      <c r="Q224" s="12" t="inlineStr">
        <is>
          <t>WG 1005314 entered track and got coupled to WG 1005305 then waited 7:11:43 for WG 1006008 to get coupled then waited 4:38:40 for WG 1006408 to get coupled then waited 11:28:07 for WG 1006905 to get coupled, OBTP started on 07:58:31 finished on 08:28:22 and then left at 08:29:37</t>
        </is>
      </c>
    </row>
    <row r="225">
      <c r="A225" s="3" t="inlineStr">
        <is>
          <t>1005315</t>
        </is>
      </c>
      <c r="B225" s="3" t="inlineStr">
        <is>
          <t>10053</t>
        </is>
      </c>
      <c r="C225" s="9" t="n">
        <v>14</v>
      </c>
      <c r="D225" s="3" t="inlineStr">
        <is>
          <t>Wr. Neustadt (Brenntag)</t>
        </is>
      </c>
      <c r="E225" s="10" t="n">
        <v>45665.30549768519</v>
      </c>
      <c r="F225" s="10" t="n">
        <v>45665.35400462963</v>
      </c>
      <c r="G225" s="10" t="n">
        <v>45665.35546296297</v>
      </c>
      <c r="H225" s="3" t="inlineStr">
        <is>
          <t>OBT090125074546-Wr. Neustadt (Brenntag)</t>
        </is>
      </c>
      <c r="I225" s="10" t="n">
        <v>45666.32508101852</v>
      </c>
      <c r="J225" s="10" t="n">
        <v>45666.39607638889</v>
      </c>
      <c r="K225" s="10" t="n">
        <v>45666.39607638889</v>
      </c>
      <c r="L225" s="10" t="n">
        <v>45666.39756944445</v>
      </c>
      <c r="M225" s="11">
        <f>IF(AND(ISNUMBER(E225),ISNUMBER(G225)),(G225-E225),"")</f>
        <v/>
      </c>
      <c r="N225" s="11">
        <f>IF(AND(ISNUMBER(G225),ISNUMBER(L225)),(L225-G225),"")</f>
        <v/>
      </c>
      <c r="O225" s="10" t="n">
        <v>45665.36054398148</v>
      </c>
      <c r="P225" s="11">
        <f>IF(AND(ISNUMBER(I225),ISNUMBER(O225)),(I225-O225),"")</f>
        <v/>
      </c>
      <c r="Q225" s="12" t="inlineStr">
        <is>
          <t>WG 1005315 entered track and got coupled to WG 1004406 then waited 7:19:41 for WG 1006011 to get coupled then waited 15:42:16 for WG 1007001 to get coupled then waited 0:04:38 for WG 1006902 to get coupled, OBTP started on 07:48:07 finished on 09:30:21 and then left at 09:32:30</t>
        </is>
      </c>
    </row>
    <row r="226">
      <c r="A226" s="3" t="inlineStr">
        <is>
          <t>1005401</t>
        </is>
      </c>
      <c r="B226" s="3" t="inlineStr">
        <is>
          <t>10054</t>
        </is>
      </c>
      <c r="C226" s="9" t="n">
        <v>156.74</v>
      </c>
      <c r="D226" s="3" t="inlineStr">
        <is>
          <t>Wien Kledering</t>
        </is>
      </c>
      <c r="E226" s="10" t="n">
        <v>45665.30763888889</v>
      </c>
      <c r="F226" s="10" t="n">
        <v>45665.31240740741</v>
      </c>
      <c r="G226" s="10" t="n">
        <v>45665.31413194445</v>
      </c>
      <c r="H226" s="3" t="inlineStr">
        <is>
          <t>OBT080125073527-Wien Kledering</t>
        </is>
      </c>
      <c r="I226" s="10" t="n">
        <v>45665.31712962963</v>
      </c>
      <c r="J226" s="10" t="n">
        <v>45665.34434027778</v>
      </c>
      <c r="K226" s="10" t="n">
        <v>45665.34434027778</v>
      </c>
      <c r="L226" s="10" t="n">
        <v>45665.34519675926</v>
      </c>
      <c r="M226" s="11">
        <f>IF(AND(ISNUMBER(E226),ISNUMBER(G226)),(G226-E226),"")</f>
        <v/>
      </c>
      <c r="N226" s="11">
        <f>IF(AND(ISNUMBER(G226),ISNUMBER(L226)),(L226-G226),"")</f>
        <v/>
      </c>
      <c r="O226" s="10" t="n">
        <v>45665.31628472222</v>
      </c>
      <c r="P226" s="11">
        <f>IF(AND(ISNUMBER(I226),ISNUMBER(O226)),(I226-O226),"")</f>
        <v/>
      </c>
      <c r="Q226" s="12" t="inlineStr">
        <is>
          <t>WG 1005401 entered track and got secured, OBTP started on 07:36:40 finished on 08:15:51 and then left at 08:17:05</t>
        </is>
      </c>
    </row>
    <row r="227">
      <c r="A227" s="3" t="inlineStr">
        <is>
          <t>1005501</t>
        </is>
      </c>
      <c r="B227" s="3" t="inlineStr">
        <is>
          <t>10055</t>
        </is>
      </c>
      <c r="C227" s="9" t="n">
        <v>389.8000000000001</v>
      </c>
      <c r="D227" s="3" t="inlineStr">
        <is>
          <t>Wien Kledering</t>
        </is>
      </c>
      <c r="E227" s="10" t="n">
        <v>45665.33684027778</v>
      </c>
      <c r="F227" s="10" t="n">
        <v>45665.35633101852</v>
      </c>
      <c r="G227" s="10" t="n">
        <v>45665.3584837963</v>
      </c>
      <c r="H227" s="3" t="inlineStr">
        <is>
          <t>OBT080125084420-Ternitz (Schoeller-Bleckmann)</t>
        </is>
      </c>
      <c r="I227" s="10" t="n">
        <v>45665.36908564815</v>
      </c>
      <c r="J227" s="10" t="n">
        <v>45665.43884259259</v>
      </c>
      <c r="K227" s="10" t="n">
        <v>45665.43884259259</v>
      </c>
      <c r="L227" s="10" t="n">
        <v>45665.44020833333</v>
      </c>
      <c r="M227" s="11">
        <f>IF(AND(ISNUMBER(E227),ISNUMBER(G227)),(G227-E227),"")</f>
        <v/>
      </c>
      <c r="N227" s="11">
        <f>IF(AND(ISNUMBER(G227),ISNUMBER(L227)),(L227-G227),"")</f>
        <v/>
      </c>
      <c r="O227" s="10" t="n">
        <v>45665.36412037037</v>
      </c>
      <c r="P227" s="11">
        <f>IF(AND(ISNUMBER(I227),ISNUMBER(O227)),(I227-O227),"")</f>
        <v/>
      </c>
      <c r="Q227" s="12" t="inlineStr">
        <is>
          <t>WG 1005501 entered track and got coupled to WG 1005306, OBTP started on 08:51:29 finished on 10:31:56 and then left at 10:33:54</t>
        </is>
      </c>
    </row>
    <row r="228">
      <c r="A228" s="3" t="inlineStr">
        <is>
          <t>1005601</t>
        </is>
      </c>
      <c r="B228" s="3" t="inlineStr">
        <is>
          <t>10056</t>
        </is>
      </c>
      <c r="C228" s="9" t="n">
        <v>114.8</v>
      </c>
      <c r="D228" s="3" t="inlineStr">
        <is>
          <t>Wien Kledering</t>
        </is>
      </c>
      <c r="E228" s="10" t="n">
        <v>45665.37628472222</v>
      </c>
      <c r="F228" s="10" t="n">
        <v>45665.383125</v>
      </c>
      <c r="G228" s="10" t="n">
        <v>45665.38451388889</v>
      </c>
      <c r="H228" s="3" t="inlineStr">
        <is>
          <t>OBT080125091709-Wien Kledering</t>
        </is>
      </c>
      <c r="I228" s="10" t="n">
        <v>45665.3891087963</v>
      </c>
      <c r="J228" s="10" t="n">
        <v>45665.40903935185</v>
      </c>
      <c r="K228" s="10" t="n">
        <v>45665.40903935185</v>
      </c>
      <c r="L228" s="10" t="n">
        <v>45665.40976851852</v>
      </c>
      <c r="M228" s="11">
        <f>IF(AND(ISNUMBER(E228),ISNUMBER(G228)),(G228-E228),"")</f>
        <v/>
      </c>
      <c r="N228" s="11">
        <f>IF(AND(ISNUMBER(G228),ISNUMBER(L228)),(L228-G228),"")</f>
        <v/>
      </c>
      <c r="O228" s="10" t="n">
        <v>45665.38690972222</v>
      </c>
      <c r="P228" s="11">
        <f>IF(AND(ISNUMBER(I228),ISNUMBER(O228)),(I228-O228),"")</f>
        <v/>
      </c>
      <c r="Q228" s="12" t="inlineStr">
        <is>
          <t>WG 1005601 entered track and got secured, OBTP started on 09:20:19 finished on 09:49:01 and then left at 09:50:04</t>
        </is>
      </c>
    </row>
    <row r="229">
      <c r="A229" s="3" t="inlineStr">
        <is>
          <t>1005602</t>
        </is>
      </c>
      <c r="B229" s="3" t="inlineStr">
        <is>
          <t>10056</t>
        </is>
      </c>
      <c r="C229" s="9" t="n">
        <v>120.4</v>
      </c>
      <c r="D229" s="3" t="inlineStr">
        <is>
          <t>St. Veit an der Glan</t>
        </is>
      </c>
      <c r="E229" s="10" t="n">
        <v>45665.37628472222</v>
      </c>
      <c r="F229" s="10" t="n">
        <v>45665.38451388889</v>
      </c>
      <c r="G229" s="10" t="n">
        <v>45665.38671296297</v>
      </c>
      <c r="H229" s="3" t="inlineStr">
        <is>
          <t>OBT080125092000-St. Veit an der Glan</t>
        </is>
      </c>
      <c r="I229" s="10" t="n">
        <v>45665.39052083333</v>
      </c>
      <c r="J229" s="10" t="n">
        <v>45665.41142361111</v>
      </c>
      <c r="K229" s="10" t="n">
        <v>45665.41142361111</v>
      </c>
      <c r="L229" s="10" t="n">
        <v>45665.41225694444</v>
      </c>
      <c r="M229" s="11">
        <f>IF(AND(ISNUMBER(E229),ISNUMBER(G229)),(G229-E229),"")</f>
        <v/>
      </c>
      <c r="N229" s="11">
        <f>IF(AND(ISNUMBER(G229),ISNUMBER(L229)),(L229-G229),"")</f>
        <v/>
      </c>
      <c r="O229" s="10" t="n">
        <v>45665.38888888889</v>
      </c>
      <c r="P229" s="11">
        <f>IF(AND(ISNUMBER(I229),ISNUMBER(O229)),(I229-O229),"")</f>
        <v/>
      </c>
      <c r="Q229" s="12" t="inlineStr">
        <is>
          <t>WG 1005602 entered track and got secured, OBTP started on 09:22:21 finished on 09:52:27 and then left at 09:53:39</t>
        </is>
      </c>
    </row>
    <row r="230">
      <c r="A230" s="3" t="inlineStr">
        <is>
          <t>1005701</t>
        </is>
      </c>
      <c r="B230" s="3" t="inlineStr">
        <is>
          <t>10057</t>
        </is>
      </c>
      <c r="C230" s="9" t="n">
        <v>124.9</v>
      </c>
      <c r="D230" s="3" t="inlineStr">
        <is>
          <t>Wien Kledering</t>
        </is>
      </c>
      <c r="E230" s="10" t="n">
        <v>45665.42862268518</v>
      </c>
      <c r="F230" s="10" t="n">
        <v>45665.43785879629</v>
      </c>
      <c r="G230" s="10" t="n">
        <v>45665.43928240741</v>
      </c>
      <c r="H230" s="3" t="inlineStr">
        <is>
          <t>OBT080125103559-Wien Kledering</t>
        </is>
      </c>
      <c r="I230" s="10" t="n">
        <v>45665.44252314815</v>
      </c>
      <c r="J230" s="10" t="n">
        <v>45665.46420138889</v>
      </c>
      <c r="K230" s="10" t="n">
        <v>45665.46420138889</v>
      </c>
      <c r="L230" s="10" t="n">
        <v>45665.4649537037</v>
      </c>
      <c r="M230" s="11">
        <f>IF(AND(ISNUMBER(E230),ISNUMBER(G230)),(G230-E230),"")</f>
        <v/>
      </c>
      <c r="N230" s="11">
        <f>IF(AND(ISNUMBER(G230),ISNUMBER(L230)),(L230-G230),"")</f>
        <v/>
      </c>
      <c r="O230" s="10" t="n">
        <v>45665.4416550926</v>
      </c>
      <c r="P230" s="11">
        <f>IF(AND(ISNUMBER(I230),ISNUMBER(O230)),(I230-O230),"")</f>
        <v/>
      </c>
      <c r="Q230" s="12" t="inlineStr">
        <is>
          <t>WG 1005701 entered track and got secured, OBTP started on 10:37:14 finished on 11:08:27 and then left at 11:09:32</t>
        </is>
      </c>
    </row>
    <row r="231">
      <c r="A231" s="3" t="inlineStr">
        <is>
          <t>1005702</t>
        </is>
      </c>
      <c r="B231" s="3" t="inlineStr">
        <is>
          <t>10057</t>
        </is>
      </c>
      <c r="C231" s="9" t="n">
        <v>21</v>
      </c>
      <c r="D231" s="3" t="inlineStr">
        <is>
          <t>St. Veit an der Glan</t>
        </is>
      </c>
      <c r="E231" s="10" t="n">
        <v>45665.42862268518</v>
      </c>
      <c r="F231" s="10" t="n">
        <v>45665.43928240741</v>
      </c>
      <c r="G231" s="10" t="n">
        <v>45665.4412037037</v>
      </c>
      <c r="H231" s="3" t="inlineStr">
        <is>
          <t>OBT090125091140-St. Veit an der Glan</t>
        </is>
      </c>
      <c r="I231" s="10" t="n">
        <v>45666.39775462963</v>
      </c>
      <c r="J231" s="10" t="n">
        <v>45666.44372685185</v>
      </c>
      <c r="K231" s="10" t="n">
        <v>45666.44372685185</v>
      </c>
      <c r="L231" s="10" t="n">
        <v>45666.4447337963</v>
      </c>
      <c r="M231" s="11">
        <f>IF(AND(ISNUMBER(E231),ISNUMBER(G231)),(G231-E231),"")</f>
        <v/>
      </c>
      <c r="N231" s="11">
        <f>IF(AND(ISNUMBER(G231),ISNUMBER(L231)),(L231-G231),"")</f>
        <v/>
      </c>
      <c r="O231" s="10" t="n">
        <v>45665.44336805555</v>
      </c>
      <c r="P231" s="11">
        <f>IF(AND(ISNUMBER(I231),ISNUMBER(O231)),(I231-O231),"")</f>
        <v/>
      </c>
      <c r="Q231" s="12" t="inlineStr">
        <is>
          <t>WG 1005702 entered track and got secured then waited 22:33:13 for WG 1007202 to get coupled, OBTP started on 09:32:46 finished on 10:38:58 and then left at 10:40:25</t>
        </is>
      </c>
    </row>
    <row r="232">
      <c r="A232" s="3" t="inlineStr">
        <is>
          <t>1005703</t>
        </is>
      </c>
      <c r="B232" s="3" t="inlineStr">
        <is>
          <t>10057</t>
        </is>
      </c>
      <c r="C232" s="9" t="n">
        <v>297.26</v>
      </c>
      <c r="D232" s="3" t="inlineStr">
        <is>
          <t>Wien Kledering</t>
        </is>
      </c>
      <c r="E232" s="10" t="n">
        <v>45665.42862268518</v>
      </c>
      <c r="F232" s="10" t="n">
        <v>45665.4412037037</v>
      </c>
      <c r="G232" s="10" t="n">
        <v>45665.443125</v>
      </c>
      <c r="H232" s="3" t="inlineStr">
        <is>
          <t>OBT080125104132-Wien Kledering</t>
        </is>
      </c>
      <c r="I232" s="10" t="n">
        <v>45665.44629629629</v>
      </c>
      <c r="J232" s="10" t="n">
        <v>45665.49790509259</v>
      </c>
      <c r="K232" s="10" t="n">
        <v>45665.49790509259</v>
      </c>
      <c r="L232" s="10" t="n">
        <v>45665.49901620371</v>
      </c>
      <c r="M232" s="11">
        <f>IF(AND(ISNUMBER(E232),ISNUMBER(G232)),(G232-E232),"")</f>
        <v/>
      </c>
      <c r="N232" s="11">
        <f>IF(AND(ISNUMBER(G232),ISNUMBER(L232)),(L232-G232),"")</f>
        <v/>
      </c>
      <c r="O232" s="10" t="n">
        <v>45665.44550925926</v>
      </c>
      <c r="P232" s="11">
        <f>IF(AND(ISNUMBER(I232),ISNUMBER(O232)),(I232-O232),"")</f>
        <v/>
      </c>
      <c r="Q232" s="12" t="inlineStr">
        <is>
          <t>WG 1005703 entered track and got secured, OBTP started on 10:42:40 finished on 11:56:59 and then left at 11:58:35</t>
        </is>
      </c>
    </row>
    <row r="233">
      <c r="A233" s="3" t="inlineStr">
        <is>
          <t>1005801</t>
        </is>
      </c>
      <c r="B233" s="3" t="inlineStr">
        <is>
          <t>10058</t>
        </is>
      </c>
      <c r="C233" s="9" t="n">
        <v>296.8</v>
      </c>
      <c r="D233" s="3" t="inlineStr">
        <is>
          <t>Wien Kledering</t>
        </is>
      </c>
      <c r="E233" s="10" t="n">
        <v>45665.5344675926</v>
      </c>
      <c r="F233" s="10" t="n">
        <v>45665.54068287037</v>
      </c>
      <c r="G233" s="10" t="n">
        <v>45665.5425</v>
      </c>
      <c r="H233" s="3" t="inlineStr">
        <is>
          <t>OBT080125130420-Wien Kledering</t>
        </is>
      </c>
      <c r="I233" s="10" t="n">
        <v>45665.54554398148</v>
      </c>
      <c r="J233" s="10" t="n">
        <v>45665.59707175926</v>
      </c>
      <c r="K233" s="10" t="n">
        <v>45665.59707175926</v>
      </c>
      <c r="L233" s="10" t="n">
        <v>45665.59822916667</v>
      </c>
      <c r="M233" s="11">
        <f>IF(AND(ISNUMBER(E233),ISNUMBER(G233)),(G233-E233),"")</f>
        <v/>
      </c>
      <c r="N233" s="11">
        <f>IF(AND(ISNUMBER(G233),ISNUMBER(L233)),(L233-G233),"")</f>
        <v/>
      </c>
      <c r="O233" s="10" t="n">
        <v>45665.54467592593</v>
      </c>
      <c r="P233" s="11">
        <f>IF(AND(ISNUMBER(I233),ISNUMBER(O233)),(I233-O233),"")</f>
        <v/>
      </c>
      <c r="Q233" s="12" t="inlineStr">
        <is>
          <t>WG 1005801 entered track and got secured, OBTP started on 13:05:35 finished on 14:19:47 and then left at 14:21:27</t>
        </is>
      </c>
    </row>
    <row r="234">
      <c r="A234" s="3" t="inlineStr">
        <is>
          <t>1005901</t>
        </is>
      </c>
      <c r="B234" s="3" t="inlineStr">
        <is>
          <t>10059</t>
        </is>
      </c>
      <c r="C234" s="9" t="n">
        <v>365.8200000000001</v>
      </c>
      <c r="D234" s="3" t="inlineStr">
        <is>
          <t>Wien Kledering</t>
        </is>
      </c>
      <c r="E234" s="10" t="n">
        <v>45665.60413194444</v>
      </c>
      <c r="F234" s="10" t="n">
        <v>45665.61067129629</v>
      </c>
      <c r="G234" s="10" t="n">
        <v>45665.61263888889</v>
      </c>
      <c r="H234" s="3" t="inlineStr">
        <is>
          <t>OBT080125144539-Wien Kledering</t>
        </is>
      </c>
      <c r="I234" s="10" t="n">
        <v>45665.61582175926</v>
      </c>
      <c r="J234" s="10" t="n">
        <v>45665.67934027778</v>
      </c>
      <c r="K234" s="10" t="n">
        <v>45665.67934027778</v>
      </c>
      <c r="L234" s="10" t="n">
        <v>45665.68064814815</v>
      </c>
      <c r="M234" s="11">
        <f>IF(AND(ISNUMBER(E234),ISNUMBER(G234)),(G234-E234),"")</f>
        <v/>
      </c>
      <c r="N234" s="11">
        <f>IF(AND(ISNUMBER(G234),ISNUMBER(L234)),(L234-G234),"")</f>
        <v/>
      </c>
      <c r="O234" s="10" t="n">
        <v>45665.61503472222</v>
      </c>
      <c r="P234" s="11">
        <f>IF(AND(ISNUMBER(I234),ISNUMBER(O234)),(I234-O234),"")</f>
        <v/>
      </c>
      <c r="Q234" s="12" t="inlineStr">
        <is>
          <t>WG 1005901 entered track and got secured, OBTP started on 14:46:47 finished on 16:18:15 and then left at 16:20:08</t>
        </is>
      </c>
    </row>
    <row r="235">
      <c r="A235" s="3" t="inlineStr">
        <is>
          <t>1006001</t>
        </is>
      </c>
      <c r="B235" s="3" t="inlineStr">
        <is>
          <t>10060</t>
        </is>
      </c>
      <c r="C235" s="9" t="n">
        <v>39.8</v>
      </c>
      <c r="D235" s="3" t="inlineStr">
        <is>
          <t>Felixdorf/Sollenau (Bundesheer, Maba)</t>
        </is>
      </c>
      <c r="E235" s="10" t="n">
        <v>45665.62295138889</v>
      </c>
      <c r="F235" s="10" t="n">
        <v>45665.64069444445</v>
      </c>
      <c r="G235" s="10" t="n">
        <v>45665.64270833333</v>
      </c>
      <c r="H235" s="3" t="inlineStr">
        <is>
          <t>OBT080125153109-Felixdorf/Sollenau (Bundesheer, Maba)</t>
        </is>
      </c>
      <c r="I235" s="10" t="n">
        <v>45665.64836805555</v>
      </c>
      <c r="J235" s="10" t="n">
        <v>45665.67254629629</v>
      </c>
      <c r="K235" s="10" t="n">
        <v>45665.67254629629</v>
      </c>
      <c r="L235" s="10" t="n">
        <v>45665.67341435186</v>
      </c>
      <c r="M235" s="11">
        <f>IF(AND(ISNUMBER(E235),ISNUMBER(G235)),(G235-E235),"")</f>
        <v/>
      </c>
      <c r="N235" s="11">
        <f>IF(AND(ISNUMBER(G235),ISNUMBER(L235)),(L235-G235),"")</f>
        <v/>
      </c>
      <c r="O235" s="10" t="n">
        <v>45665.64663194444</v>
      </c>
      <c r="P235" s="11">
        <f>IF(AND(ISNUMBER(I235),ISNUMBER(O235)),(I235-O235),"")</f>
        <v/>
      </c>
      <c r="Q235" s="12" t="inlineStr">
        <is>
          <t>WG 1006001 entered track and got coupled to WG 1005302, OBTP started on 15:33:39 finished on 16:08:28 and then left at 16:09:43</t>
        </is>
      </c>
    </row>
    <row r="236">
      <c r="A236" s="3" t="inlineStr">
        <is>
          <t>1006002</t>
        </is>
      </c>
      <c r="B236" s="3" t="inlineStr">
        <is>
          <t>10060</t>
        </is>
      </c>
      <c r="C236" s="9" t="n">
        <v>15.74</v>
      </c>
      <c r="D236" s="3" t="inlineStr">
        <is>
          <t>Obereggendorf (Hofer)</t>
        </is>
      </c>
      <c r="E236" s="10" t="n">
        <v>45665.62295138889</v>
      </c>
      <c r="F236" s="10" t="n">
        <v>45665.64270833333</v>
      </c>
      <c r="G236" s="10" t="n">
        <v>45665.64431712963</v>
      </c>
      <c r="H236" s="3" t="inlineStr">
        <is>
          <t>OBT090125184904-Obereggendorf (Hofer)</t>
        </is>
      </c>
      <c r="I236" s="10" t="n">
        <v>45666.79814814815</v>
      </c>
      <c r="J236" s="10" t="n">
        <v>45666.81584490741</v>
      </c>
      <c r="K236" s="10" t="n">
        <v>45666.81584490741</v>
      </c>
      <c r="L236" s="10" t="n">
        <v>45666.81667824074</v>
      </c>
      <c r="M236" s="11">
        <f>IF(AND(ISNUMBER(E236),ISNUMBER(G236)),(G236-E236),"")</f>
        <v/>
      </c>
      <c r="N236" s="11">
        <f>IF(AND(ISNUMBER(G236),ISNUMBER(L236)),(L236-G236),"")</f>
        <v/>
      </c>
      <c r="O236" s="10" t="n">
        <v>45665.64820601852</v>
      </c>
      <c r="P236" s="11">
        <f>IF(AND(ISNUMBER(I236),ISNUMBER(O236)),(I236-O236),"")</f>
        <v/>
      </c>
      <c r="Q236" s="12" t="inlineStr">
        <is>
          <t>WG 1006002 entered track and got coupled to WG 1005313 then waited 4:39:54 for WG 1006402 to get coupled then waited 0:16:24 for WG 1006409 to get coupled then waited 19:09:11 for WG 1007505 to get coupled then waited 3:10:10 for WG 1007904 to get coupled, OBTP started on 19:09:20 finished on 19:34:49 and then left at 19:36:01</t>
        </is>
      </c>
    </row>
    <row r="237">
      <c r="A237" s="3" t="inlineStr">
        <is>
          <t>1006003</t>
        </is>
      </c>
      <c r="B237" s="3" t="inlineStr">
        <is>
          <t>10060</t>
        </is>
      </c>
      <c r="C237" s="9" t="n">
        <v>27</v>
      </c>
      <c r="D237" s="3" t="inlineStr">
        <is>
          <t>Wr. Neustadt (Hödlmayr)</t>
        </is>
      </c>
      <c r="E237" s="10" t="n">
        <v>45665.62295138889</v>
      </c>
      <c r="F237" s="10" t="n">
        <v>45665.64431712963</v>
      </c>
      <c r="G237" s="10" t="n">
        <v>45665.645625</v>
      </c>
      <c r="H237" s="3" t="inlineStr">
        <is>
          <t>OBT090125030658-Wr. Neustadt (Hödlmayr)</t>
        </is>
      </c>
      <c r="I237" s="10" t="n">
        <v>45666.130625</v>
      </c>
      <c r="J237" s="10" t="n">
        <v>45666.14973379629</v>
      </c>
      <c r="K237" s="10" t="n">
        <v>45666.14973379629</v>
      </c>
      <c r="L237" s="10" t="n">
        <v>45666.15041666666</v>
      </c>
      <c r="M237" s="11">
        <f>IF(AND(ISNUMBER(E237),ISNUMBER(G237)),(G237-E237),"")</f>
        <v/>
      </c>
      <c r="N237" s="11">
        <f>IF(AND(ISNUMBER(G237),ISNUMBER(L237)),(L237-G237),"")</f>
        <v/>
      </c>
      <c r="O237" s="10" t="n">
        <v>45665.64799768518</v>
      </c>
      <c r="P237" s="11">
        <f>IF(AND(ISNUMBER(I237),ISNUMBER(O237)),(I237-O237),"")</f>
        <v/>
      </c>
      <c r="Q237" s="12" t="inlineStr">
        <is>
          <t>WG 1006003 entered track and got secured then waited 0:14:20 for WG 1006007 to get coupled then waited 4:34:34 for WG 1006406 to get coupled then waited 6:44:57 for WG 1006601 to get coupled, OBTP started on 03:08:06 finished on 03:35:37 and then left at 03:36:36</t>
        </is>
      </c>
    </row>
    <row r="238">
      <c r="A238" s="3" t="inlineStr">
        <is>
          <t>1006004</t>
        </is>
      </c>
      <c r="B238" s="3" t="inlineStr">
        <is>
          <t>10060</t>
        </is>
      </c>
      <c r="C238" s="9" t="n">
        <v>15.74</v>
      </c>
      <c r="D238" s="3" t="inlineStr">
        <is>
          <t>Other sidings north</t>
        </is>
      </c>
      <c r="E238" s="10" t="n">
        <v>45665.62295138889</v>
      </c>
      <c r="F238" s="10" t="n">
        <v>45665.645625</v>
      </c>
      <c r="G238" s="10" t="n">
        <v>45665.64756944445</v>
      </c>
      <c r="H238" s="3" t="inlineStr">
        <is>
          <t>OBT090125064202-Other sidings north</t>
        </is>
      </c>
      <c r="I238" s="10" t="n">
        <v>45666.28068287037</v>
      </c>
      <c r="J238" s="10" t="n">
        <v>45666.31120370371</v>
      </c>
      <c r="K238" s="10" t="n">
        <v>45666.31120370371</v>
      </c>
      <c r="L238" s="10" t="n">
        <v>45666.31216435185</v>
      </c>
      <c r="M238" s="11">
        <f>IF(AND(ISNUMBER(E238),ISNUMBER(G238)),(G238-E238),"")</f>
        <v/>
      </c>
      <c r="N238" s="11">
        <f>IF(AND(ISNUMBER(G238),ISNUMBER(L238)),(L238-G238),"")</f>
        <v/>
      </c>
      <c r="O238" s="10" t="n">
        <v>45665.65121527778</v>
      </c>
      <c r="P238" s="11">
        <f>IF(AND(ISNUMBER(I238),ISNUMBER(O238)),(I238-O238),"")</f>
        <v/>
      </c>
      <c r="Q238" s="12" t="inlineStr">
        <is>
          <t>WG 1006004 entered track and got secured then waited 0:18:19 for WG 1006010 to get coupled then waited 4:28:44 for WG 1006407 to get coupled then waited 10:17:14 for WG 1006702 to get coupled, OBTP started on 06:44:11 finished on 07:28:08 and then left at 07:29:31</t>
        </is>
      </c>
    </row>
    <row r="239">
      <c r="A239" s="3" t="inlineStr">
        <is>
          <t>1006005</t>
        </is>
      </c>
      <c r="B239" s="3" t="inlineStr">
        <is>
          <t>10060</t>
        </is>
      </c>
      <c r="C239" s="9" t="n">
        <v>15.74</v>
      </c>
      <c r="D239" s="3" t="inlineStr">
        <is>
          <t>Other sidings south</t>
        </is>
      </c>
      <c r="E239" s="10" t="n">
        <v>45665.62295138889</v>
      </c>
      <c r="F239" s="10" t="n">
        <v>45665.64756944445</v>
      </c>
      <c r="G239" s="10" t="n">
        <v>45665.6493287037</v>
      </c>
      <c r="H239" s="3" t="inlineStr">
        <is>
          <t>OBT100125031522-Other sidings south</t>
        </is>
      </c>
      <c r="I239" s="10" t="n">
        <v>45667.13653935185</v>
      </c>
      <c r="J239" s="10" t="n">
        <v>45667.15913194444</v>
      </c>
      <c r="K239" s="10" t="n">
        <v>45667.15913194444</v>
      </c>
      <c r="L239" s="10" t="n">
        <v>45667.15997685185</v>
      </c>
      <c r="M239" s="11">
        <f>IF(AND(ISNUMBER(E239),ISNUMBER(G239)),(G239-E239),"")</f>
        <v/>
      </c>
      <c r="N239" s="11">
        <f>IF(AND(ISNUMBER(G239),ISNUMBER(L239)),(L239-G239),"")</f>
        <v/>
      </c>
      <c r="O239" s="10" t="n">
        <v>45665.65321759259</v>
      </c>
      <c r="P239" s="11">
        <f>IF(AND(ISNUMBER(I239),ISNUMBER(O239)),(I239-O239),"")</f>
        <v/>
      </c>
      <c r="Q239" s="12" t="inlineStr">
        <is>
          <t>WG 1006005 entered track and got coupled to WG 1005308 then waited 11:28:53 for WG 1006602 to get coupled then waited 3:51:01 for WG 1006709 to get coupled then waited 20:14:50 for WG 1008104 to get coupled, OBTP started on 03:16:37 finished on 03:49:09 and then left at 03:50:22</t>
        </is>
      </c>
    </row>
    <row r="240">
      <c r="A240" s="3" t="inlineStr">
        <is>
          <t>1006006</t>
        </is>
      </c>
      <c r="B240" s="3" t="inlineStr">
        <is>
          <t>10060</t>
        </is>
      </c>
      <c r="C240" s="9" t="n">
        <v>94.44</v>
      </c>
      <c r="D240" s="3" t="inlineStr">
        <is>
          <t>Ebenfurth (beet loading)</t>
        </is>
      </c>
      <c r="E240" s="10" t="n">
        <v>45665.62295138889</v>
      </c>
      <c r="F240" s="10" t="n">
        <v>45665.6493287037</v>
      </c>
      <c r="G240" s="10" t="n">
        <v>45665.65067129629</v>
      </c>
      <c r="H240" s="3" t="inlineStr">
        <is>
          <t>OBT080125173713-Wien Kledering</t>
        </is>
      </c>
      <c r="I240" s="10" t="n">
        <v>45665.73501157408</v>
      </c>
      <c r="J240" s="10" t="n">
        <v>45665.77131944444</v>
      </c>
      <c r="K240" s="10" t="n">
        <v>45665.77131944444</v>
      </c>
      <c r="L240" s="10" t="n">
        <v>45665.77226851852</v>
      </c>
      <c r="M240" s="11">
        <f>IF(AND(ISNUMBER(E240),ISNUMBER(G240)),(G240-E240),"")</f>
        <v/>
      </c>
      <c r="N240" s="11">
        <f>IF(AND(ISNUMBER(G240),ISNUMBER(L240)),(L240-G240),"")</f>
        <v/>
      </c>
      <c r="O240" s="10" t="n">
        <v>45665.65443287037</v>
      </c>
      <c r="P240" s="11">
        <f>IF(AND(ISNUMBER(I240),ISNUMBER(O240)),(I240-O240),"")</f>
        <v/>
      </c>
      <c r="Q240" s="12" t="inlineStr">
        <is>
          <t>WG 1006006 entered track and got secured then waited 1:54:50 for WG 1006201 to get coupled, OBTP started on 17:38:25 finished on 18:30:42 and then left at 18:32:04</t>
        </is>
      </c>
    </row>
    <row r="241">
      <c r="A241" s="3" t="inlineStr">
        <is>
          <t>1006007</t>
        </is>
      </c>
      <c r="B241" s="3" t="inlineStr">
        <is>
          <t>10060</t>
        </is>
      </c>
      <c r="C241" s="9" t="n">
        <v>12.04</v>
      </c>
      <c r="D241" s="3" t="inlineStr">
        <is>
          <t>Ternitz (Schoeller-Bleckmann)</t>
        </is>
      </c>
      <c r="E241" s="10" t="n">
        <v>45665.62295138889</v>
      </c>
      <c r="F241" s="10" t="n">
        <v>45665.65067129629</v>
      </c>
      <c r="G241" s="10" t="n">
        <v>45665.65193287037</v>
      </c>
      <c r="H241" s="3" t="inlineStr">
        <is>
          <t>OBT090125030658-Wr. Neustadt (Hödlmayr)</t>
        </is>
      </c>
      <c r="I241" s="10" t="n">
        <v>45666.130625</v>
      </c>
      <c r="J241" s="10" t="n">
        <v>45666.14973379629</v>
      </c>
      <c r="K241" s="10" t="n">
        <v>45666.14973379629</v>
      </c>
      <c r="L241" s="10" t="n">
        <v>45666.15041666666</v>
      </c>
      <c r="M241" s="11">
        <f>IF(AND(ISNUMBER(E241),ISNUMBER(G241)),(G241-E241),"")</f>
        <v/>
      </c>
      <c r="N241" s="11">
        <f>IF(AND(ISNUMBER(G241),ISNUMBER(L241)),(L241-G241),"")</f>
        <v/>
      </c>
      <c r="O241" s="10" t="n">
        <v>45665.65795138889</v>
      </c>
      <c r="P241" s="11">
        <f>IF(AND(ISNUMBER(I241),ISNUMBER(O241)),(I241-O241),"")</f>
        <v/>
      </c>
      <c r="Q241" s="12" t="inlineStr">
        <is>
          <t>WG 1006007 entered track and got coupled to WG 1006003 then waited 4:34:34 for WG 1006406 to get coupled then waited 6:44:57 for WG 1006601 to get coupled, OBTP started on 03:08:06 finished on 03:35:37 and then left at 03:36:36</t>
        </is>
      </c>
    </row>
    <row r="242">
      <c r="A242" s="3" t="inlineStr">
        <is>
          <t>1006008</t>
        </is>
      </c>
      <c r="B242" s="3" t="inlineStr">
        <is>
          <t>10060</t>
        </is>
      </c>
      <c r="C242" s="9" t="n">
        <v>19.9</v>
      </c>
      <c r="D242" s="3" t="inlineStr">
        <is>
          <t>Wr. Neustadt Ausfahrbf (Furtenbach)</t>
        </is>
      </c>
      <c r="E242" s="10" t="n">
        <v>45665.62295138889</v>
      </c>
      <c r="F242" s="10" t="n">
        <v>45665.65193287037</v>
      </c>
      <c r="G242" s="10" t="n">
        <v>45665.65366898148</v>
      </c>
      <c r="H242" s="3" t="inlineStr">
        <is>
          <t>OBT090125075601-Wr. Neustadt Ausfahrbf (Furtenbach)</t>
        </is>
      </c>
      <c r="I242" s="10" t="n">
        <v>45666.33230324074</v>
      </c>
      <c r="J242" s="10" t="n">
        <v>45666.35303240741</v>
      </c>
      <c r="K242" s="10" t="n">
        <v>45666.35303240741</v>
      </c>
      <c r="L242" s="10" t="n">
        <v>45666.35390046296</v>
      </c>
      <c r="M242" s="11">
        <f>IF(AND(ISNUMBER(E242),ISNUMBER(G242)),(G242-E242),"")</f>
        <v/>
      </c>
      <c r="N242" s="11">
        <f>IF(AND(ISNUMBER(G242),ISNUMBER(L242)),(L242-G242),"")</f>
        <v/>
      </c>
      <c r="O242" s="10" t="n">
        <v>45665.65918981482</v>
      </c>
      <c r="P242" s="11">
        <f>IF(AND(ISNUMBER(I242),ISNUMBER(O242)),(I242-O242),"")</f>
        <v/>
      </c>
      <c r="Q242" s="12" t="inlineStr">
        <is>
          <t>WG 1006008 entered track and got coupled to WG 1005314 then waited 4:38:40 for WG 1006408 to get coupled then waited 11:28:07 for WG 1006905 to get coupled, OBTP started on 07:58:31 finished on 08:28:22 and then left at 08:29:37</t>
        </is>
      </c>
    </row>
    <row r="243">
      <c r="A243" s="3" t="inlineStr">
        <is>
          <t>1006009</t>
        </is>
      </c>
      <c r="B243" s="3" t="inlineStr">
        <is>
          <t>10060</t>
        </is>
      </c>
      <c r="C243" s="9" t="n">
        <v>38.98</v>
      </c>
      <c r="D243" s="3" t="inlineStr">
        <is>
          <t>Pitten (Hamburger)</t>
        </is>
      </c>
      <c r="E243" s="10" t="n">
        <v>45665.62295138889</v>
      </c>
      <c r="F243" s="10" t="n">
        <v>45665.65366898148</v>
      </c>
      <c r="G243" s="10" t="n">
        <v>45665.65511574074</v>
      </c>
      <c r="H243" s="3" t="inlineStr">
        <is>
          <t>OBT090125075111-Pitten (Hamburger)</t>
        </is>
      </c>
      <c r="I243" s="10" t="n">
        <v>45666.33197916667</v>
      </c>
      <c r="J243" s="10" t="n">
        <v>45666.35515046296</v>
      </c>
      <c r="K243" s="10" t="n">
        <v>45666.35515046296</v>
      </c>
      <c r="L243" s="10" t="n">
        <v>45666.3559375</v>
      </c>
      <c r="M243" s="11">
        <f>IF(AND(ISNUMBER(E243),ISNUMBER(G243)),(G243-E243),"")</f>
        <v/>
      </c>
      <c r="N243" s="11">
        <f>IF(AND(ISNUMBER(G243),ISNUMBER(L243)),(L243-G243),"")</f>
        <v/>
      </c>
      <c r="O243" s="10" t="n">
        <v>45665.66114583334</v>
      </c>
      <c r="P243" s="11">
        <f>IF(AND(ISNUMBER(I243),ISNUMBER(O243)),(I243-O243),"")</f>
        <v/>
      </c>
      <c r="Q243" s="12" t="inlineStr">
        <is>
          <t>WG 1006009 entered track and got secured then waited 4:18:27 for WG 1006401 to get coupled then waited 10:44:13 for WG 1006707 to get coupled then waited 0:56:28 for WG 1006904 to get coupled, OBTP started on 07:58:03 finished on 08:31:25 and then left at 08:32:33</t>
        </is>
      </c>
    </row>
    <row r="244">
      <c r="A244" s="3" t="inlineStr">
        <is>
          <t>1006010</t>
        </is>
      </c>
      <c r="B244" s="3" t="inlineStr">
        <is>
          <t>10060</t>
        </is>
      </c>
      <c r="C244" s="9" t="n">
        <v>23.24</v>
      </c>
      <c r="D244" s="3" t="inlineStr">
        <is>
          <t>Other sidings north</t>
        </is>
      </c>
      <c r="E244" s="10" t="n">
        <v>45665.62295138889</v>
      </c>
      <c r="F244" s="10" t="n">
        <v>45665.65511574074</v>
      </c>
      <c r="G244" s="10" t="n">
        <v>45665.65708333333</v>
      </c>
      <c r="H244" s="3" t="inlineStr">
        <is>
          <t>OBT090125064202-Other sidings north</t>
        </is>
      </c>
      <c r="I244" s="10" t="n">
        <v>45666.28068287037</v>
      </c>
      <c r="J244" s="10" t="n">
        <v>45666.31120370371</v>
      </c>
      <c r="K244" s="10" t="n">
        <v>45666.31120370371</v>
      </c>
      <c r="L244" s="10" t="n">
        <v>45666.31216435185</v>
      </c>
      <c r="M244" s="11">
        <f>IF(AND(ISNUMBER(E244),ISNUMBER(G244)),(G244-E244),"")</f>
        <v/>
      </c>
      <c r="N244" s="11">
        <f>IF(AND(ISNUMBER(G244),ISNUMBER(L244)),(L244-G244),"")</f>
        <v/>
      </c>
      <c r="O244" s="10" t="n">
        <v>45665.66393518518</v>
      </c>
      <c r="P244" s="11">
        <f>IF(AND(ISNUMBER(I244),ISNUMBER(O244)),(I244-O244),"")</f>
        <v/>
      </c>
      <c r="Q244" s="12" t="inlineStr">
        <is>
          <t>WG 1006010 entered track and got coupled to WG 1006004 then waited 4:28:44 for WG 1006407 to get coupled then waited 10:17:14 for WG 1006702 to get coupled, OBTP started on 06:44:11 finished on 07:28:08 and then left at 07:29:31</t>
        </is>
      </c>
    </row>
    <row r="245">
      <c r="A245" s="3" t="inlineStr">
        <is>
          <t>1006011</t>
        </is>
      </c>
      <c r="B245" s="3" t="inlineStr">
        <is>
          <t>10060</t>
        </is>
      </c>
      <c r="C245" s="9" t="n">
        <v>14</v>
      </c>
      <c r="D245" s="3" t="inlineStr">
        <is>
          <t>Wr. Neustadt (Brenntag)</t>
        </is>
      </c>
      <c r="E245" s="10" t="n">
        <v>45665.62295138889</v>
      </c>
      <c r="F245" s="10" t="n">
        <v>45665.65708333333</v>
      </c>
      <c r="G245" s="10" t="n">
        <v>45665.65857638889</v>
      </c>
      <c r="H245" s="3" t="inlineStr">
        <is>
          <t>OBT090125074546-Wr. Neustadt (Brenntag)</t>
        </is>
      </c>
      <c r="I245" s="10" t="n">
        <v>45666.32508101852</v>
      </c>
      <c r="J245" s="10" t="n">
        <v>45666.39607638889</v>
      </c>
      <c r="K245" s="10" t="n">
        <v>45666.39607638889</v>
      </c>
      <c r="L245" s="10" t="n">
        <v>45666.39756944445</v>
      </c>
      <c r="M245" s="11">
        <f>IF(AND(ISNUMBER(E245),ISNUMBER(G245)),(G245-E245),"")</f>
        <v/>
      </c>
      <c r="N245" s="11">
        <f>IF(AND(ISNUMBER(G245),ISNUMBER(L245)),(L245-G245),"")</f>
        <v/>
      </c>
      <c r="O245" s="10" t="n">
        <v>45665.66587962963</v>
      </c>
      <c r="P245" s="11">
        <f>IF(AND(ISNUMBER(I245),ISNUMBER(O245)),(I245-O245),"")</f>
        <v/>
      </c>
      <c r="Q245" s="12" t="inlineStr">
        <is>
          <t>WG 1006011 entered track and got coupled to WG 1005315 then waited 15:42:16 for WG 1007001 to get coupled then waited 0:04:38 for WG 1006902 to get coupled, OBTP started on 07:48:07 finished on 09:30:21 and then left at 09:32:30</t>
        </is>
      </c>
    </row>
    <row r="246">
      <c r="A246" s="3" t="inlineStr">
        <is>
          <t>1006101</t>
        </is>
      </c>
      <c r="B246" s="3" t="inlineStr">
        <is>
          <t>10061</t>
        </is>
      </c>
      <c r="C246" s="9" t="n">
        <v>362.0200000000001</v>
      </c>
      <c r="D246" s="3" t="inlineStr">
        <is>
          <t>Wien Kledering</t>
        </is>
      </c>
      <c r="E246" s="10" t="n">
        <v>45665.63509259259</v>
      </c>
      <c r="F246" s="10" t="n">
        <v>45665.65944444444</v>
      </c>
      <c r="G246" s="10" t="n">
        <v>45665.66150462963</v>
      </c>
      <c r="H246" s="3" t="inlineStr">
        <is>
          <t>OBT080125160042-Wien Kledering</t>
        </is>
      </c>
      <c r="I246" s="10" t="n">
        <v>45665.66885416667</v>
      </c>
      <c r="J246" s="10" t="n">
        <v>45665.73170138889</v>
      </c>
      <c r="K246" s="10" t="n">
        <v>45665.73170138889</v>
      </c>
      <c r="L246" s="10" t="n">
        <v>45665.73309027778</v>
      </c>
      <c r="M246" s="11">
        <f>IF(AND(ISNUMBER(E246),ISNUMBER(G246)),(G246-E246),"")</f>
        <v/>
      </c>
      <c r="N246" s="11">
        <f>IF(AND(ISNUMBER(G246),ISNUMBER(L246)),(L246-G246),"")</f>
        <v/>
      </c>
      <c r="O246" s="10" t="n">
        <v>45665.66715277778</v>
      </c>
      <c r="P246" s="11">
        <f>IF(AND(ISNUMBER(I246),ISNUMBER(O246)),(I246-O246),"")</f>
        <v/>
      </c>
      <c r="Q246" s="12" t="inlineStr">
        <is>
          <t>WG 1006101 entered track and got secured, OBTP started on 16:03:09 finished on 17:33:39 and then left at 17:35:39</t>
        </is>
      </c>
    </row>
    <row r="247">
      <c r="A247" s="3" t="inlineStr">
        <is>
          <t>1006201</t>
        </is>
      </c>
      <c r="B247" s="3" t="inlineStr">
        <is>
          <t>10062</t>
        </is>
      </c>
      <c r="C247" s="9" t="n">
        <v>209.16</v>
      </c>
      <c r="D247" s="3" t="inlineStr">
        <is>
          <t>Wien Kledering</t>
        </is>
      </c>
      <c r="E247" s="10" t="n">
        <v>45665.72518518518</v>
      </c>
      <c r="F247" s="10" t="n">
        <v>45665.73038194444</v>
      </c>
      <c r="G247" s="10" t="n">
        <v>45665.73199074074</v>
      </c>
      <c r="H247" s="3" t="inlineStr">
        <is>
          <t>OBT080125173713-Wien Kledering</t>
        </is>
      </c>
      <c r="I247" s="10" t="n">
        <v>45665.73501157408</v>
      </c>
      <c r="J247" s="10" t="n">
        <v>45665.77131944444</v>
      </c>
      <c r="K247" s="10" t="n">
        <v>45665.77131944444</v>
      </c>
      <c r="L247" s="10" t="n">
        <v>45665.77226851852</v>
      </c>
      <c r="M247" s="11">
        <f>IF(AND(ISNUMBER(E247),ISNUMBER(G247)),(G247-E247),"")</f>
        <v/>
      </c>
      <c r="N247" s="11">
        <f>IF(AND(ISNUMBER(G247),ISNUMBER(L247)),(L247-G247),"")</f>
        <v/>
      </c>
      <c r="O247" s="10" t="n">
        <v>45665.73417824074</v>
      </c>
      <c r="P247" s="11">
        <f>IF(AND(ISNUMBER(I247),ISNUMBER(O247)),(I247-O247),"")</f>
        <v/>
      </c>
      <c r="Q247" s="12" t="inlineStr">
        <is>
          <t>WG 1006201 entered track and got secured, OBTP started on 17:38:25 finished on 18:30:42 and then left at 18:32:04</t>
        </is>
      </c>
    </row>
    <row r="248">
      <c r="A248" s="3" t="inlineStr">
        <is>
          <t>1006301</t>
        </is>
      </c>
      <c r="B248" s="3" t="inlineStr">
        <is>
          <t>10063</t>
        </is>
      </c>
      <c r="C248" s="9" t="n">
        <v>15.74</v>
      </c>
      <c r="D248" s="3" t="inlineStr">
        <is>
          <t>Wien Kledering</t>
        </is>
      </c>
      <c r="E248" s="10" t="n">
        <v>45665.75112268519</v>
      </c>
      <c r="F248" s="10" t="n">
        <v>45665.75488425926</v>
      </c>
      <c r="G248" s="10" t="n">
        <v>45665.75652777778</v>
      </c>
      <c r="H248" s="3" t="inlineStr">
        <is>
          <t>OBT080125203302-Wien Kledering</t>
        </is>
      </c>
      <c r="I248" s="10" t="n">
        <v>45665.85714120371</v>
      </c>
      <c r="J248" s="10" t="n">
        <v>45665.8771412037</v>
      </c>
      <c r="K248" s="10" t="n">
        <v>45665.8771412037</v>
      </c>
      <c r="L248" s="10" t="n">
        <v>45665.87796296296</v>
      </c>
      <c r="M248" s="11">
        <f>IF(AND(ISNUMBER(E248),ISNUMBER(G248)),(G248-E248),"")</f>
        <v/>
      </c>
      <c r="N248" s="11">
        <f>IF(AND(ISNUMBER(G248),ISNUMBER(L248)),(L248-G248),"")</f>
        <v/>
      </c>
      <c r="O248" s="10" t="n">
        <v>45665.7587037037</v>
      </c>
      <c r="P248" s="11">
        <f>IF(AND(ISNUMBER(I248),ISNUMBER(O248)),(I248-O248),"")</f>
        <v/>
      </c>
      <c r="Q248" s="12" t="inlineStr">
        <is>
          <t>WG 1006301 entered track and got secured then waited 2:20:30 for WG 1006501 to get coupled, OBTP started on 20:34:17 finished on 21:03:05 and then left at 21:04:16</t>
        </is>
      </c>
    </row>
    <row r="249">
      <c r="A249" s="3" t="inlineStr">
        <is>
          <t>1006401</t>
        </is>
      </c>
      <c r="B249" s="3" t="inlineStr">
        <is>
          <t>10064</t>
        </is>
      </c>
      <c r="C249" s="9" t="n">
        <v>15.74</v>
      </c>
      <c r="D249" s="3" t="inlineStr">
        <is>
          <t>Pitten (Hamburger)</t>
        </is>
      </c>
      <c r="E249" s="10" t="n">
        <v>45665.821875</v>
      </c>
      <c r="F249" s="10" t="n">
        <v>45665.83568287037</v>
      </c>
      <c r="G249" s="10" t="n">
        <v>45665.83707175926</v>
      </c>
      <c r="H249" s="3" t="inlineStr">
        <is>
          <t>OBT090125075111-Pitten (Hamburger)</t>
        </is>
      </c>
      <c r="I249" s="10" t="n">
        <v>45666.33197916667</v>
      </c>
      <c r="J249" s="10" t="n">
        <v>45666.35515046296</v>
      </c>
      <c r="K249" s="10" t="n">
        <v>45666.35515046296</v>
      </c>
      <c r="L249" s="10" t="n">
        <v>45666.3559375</v>
      </c>
      <c r="M249" s="11">
        <f>IF(AND(ISNUMBER(E249),ISNUMBER(G249)),(G249-E249),"")</f>
        <v/>
      </c>
      <c r="N249" s="11">
        <f>IF(AND(ISNUMBER(G249),ISNUMBER(L249)),(L249-G249),"")</f>
        <v/>
      </c>
      <c r="O249" s="10" t="n">
        <v>45665.840625</v>
      </c>
      <c r="P249" s="11">
        <f>IF(AND(ISNUMBER(I249),ISNUMBER(O249)),(I249-O249),"")</f>
        <v/>
      </c>
      <c r="Q249" s="12" t="inlineStr">
        <is>
          <t>WG 1006401 entered track and got coupled to WG 1006009 then waited 10:44:13 for WG 1006707 to get coupled then waited 0:56:28 for WG 1006904 to get coupled, OBTP started on 07:58:03 finished on 08:31:25 and then left at 08:32:33</t>
        </is>
      </c>
    </row>
    <row r="250">
      <c r="A250" s="3" t="inlineStr">
        <is>
          <t>1006402</t>
        </is>
      </c>
      <c r="B250" s="3" t="inlineStr">
        <is>
          <t>10064</t>
        </is>
      </c>
      <c r="C250" s="9" t="n">
        <v>15.74</v>
      </c>
      <c r="D250" s="3" t="inlineStr">
        <is>
          <t>Obereggendorf (Hofer)</t>
        </is>
      </c>
      <c r="E250" s="10" t="n">
        <v>45665.821875</v>
      </c>
      <c r="F250" s="10" t="n">
        <v>45665.83707175926</v>
      </c>
      <c r="G250" s="10" t="n">
        <v>45665.83869212963</v>
      </c>
      <c r="H250" s="3" t="inlineStr">
        <is>
          <t>OBT090125184904-Obereggendorf (Hofer)</t>
        </is>
      </c>
      <c r="I250" s="10" t="n">
        <v>45666.79814814815</v>
      </c>
      <c r="J250" s="10" t="n">
        <v>45666.81584490741</v>
      </c>
      <c r="K250" s="10" t="n">
        <v>45666.81584490741</v>
      </c>
      <c r="L250" s="10" t="n">
        <v>45666.81667824074</v>
      </c>
      <c r="M250" s="11">
        <f>IF(AND(ISNUMBER(E250),ISNUMBER(G250)),(G250-E250),"")</f>
        <v/>
      </c>
      <c r="N250" s="11">
        <f>IF(AND(ISNUMBER(G250),ISNUMBER(L250)),(L250-G250),"")</f>
        <v/>
      </c>
      <c r="O250" s="10" t="n">
        <v>45665.84258101852</v>
      </c>
      <c r="P250" s="11">
        <f>IF(AND(ISNUMBER(I250),ISNUMBER(O250)),(I250-O250),"")</f>
        <v/>
      </c>
      <c r="Q250" s="12" t="inlineStr">
        <is>
          <t>WG 1006402 entered track and got coupled to WG 1006002 then waited 0:16:24 for WG 1006409 to get coupled then waited 19:09:11 for WG 1007505 to get coupled then waited 3:10:10 for WG 1007904 to get coupled, OBTP started on 19:09:20 finished on 19:34:49 and then left at 19:36:01</t>
        </is>
      </c>
    </row>
    <row r="251">
      <c r="A251" s="3" t="inlineStr">
        <is>
          <t>1006403</t>
        </is>
      </c>
      <c r="B251" s="3" t="inlineStr">
        <is>
          <t>10064</t>
        </is>
      </c>
      <c r="C251" s="9" t="n">
        <v>15.74</v>
      </c>
      <c r="D251" s="3" t="inlineStr">
        <is>
          <t>Steinabrückl/Wöllersdorf</t>
        </is>
      </c>
      <c r="E251" s="10" t="n">
        <v>45665.821875</v>
      </c>
      <c r="F251" s="10" t="n">
        <v>45665.83869212963</v>
      </c>
      <c r="G251" s="10" t="n">
        <v>45665.84040509259</v>
      </c>
      <c r="H251" s="3" t="inlineStr">
        <is>
          <t>OBT090125184210-Steinabrückl/Wöllersdorf</t>
        </is>
      </c>
      <c r="I251" s="10" t="n">
        <v>45666.79709490741</v>
      </c>
      <c r="J251" s="10" t="n">
        <v>45666.81622685185</v>
      </c>
      <c r="K251" s="10" t="n">
        <v>45666.81667824074</v>
      </c>
      <c r="L251" s="10" t="n">
        <v>45666.8174537037</v>
      </c>
      <c r="M251" s="11">
        <f>IF(AND(ISNUMBER(E251),ISNUMBER(G251)),(G251-E251),"")</f>
        <v/>
      </c>
      <c r="N251" s="11">
        <f>IF(AND(ISNUMBER(G251),ISNUMBER(L251)),(L251-G251),"")</f>
        <v/>
      </c>
      <c r="O251" s="10" t="n">
        <v>45665.84398148148</v>
      </c>
      <c r="P251" s="11">
        <f>IF(AND(ISNUMBER(I251),ISNUMBER(O251)),(I251-O251),"")</f>
        <v/>
      </c>
      <c r="Q251" s="12" t="inlineStr">
        <is>
          <t>WG 1006403 entered track and got coupled to WG 1004710 then waited 22:06:13 for WG 1007703 to get coupled then waited 0:20:37 for WG 1007902 to get coupled, OBTP started on 19:07:49 finished on 19:35:22 and then left at 19:37:08</t>
        </is>
      </c>
    </row>
    <row r="252">
      <c r="A252" s="3" t="inlineStr">
        <is>
          <t>1006404</t>
        </is>
      </c>
      <c r="B252" s="3" t="inlineStr">
        <is>
          <t>10064</t>
        </is>
      </c>
      <c r="C252" s="9" t="n">
        <v>19.9</v>
      </c>
      <c r="D252" s="3" t="inlineStr">
        <is>
          <t>Other sidings local</t>
        </is>
      </c>
      <c r="E252" s="10" t="n">
        <v>45665.821875</v>
      </c>
      <c r="F252" s="10" t="n">
        <v>45665.84040509259</v>
      </c>
      <c r="G252" s="10" t="n">
        <v>45665.84244212963</v>
      </c>
      <c r="H252" s="3" t="inlineStr">
        <is>
          <t>OBT090125031241-Neunkirchen (loading tracks)</t>
        </is>
      </c>
      <c r="I252" s="10" t="n">
        <v>45666.13467592592</v>
      </c>
      <c r="J252" s="10" t="n">
        <v>45666.16887731481</v>
      </c>
      <c r="K252" s="10" t="n">
        <v>45666.16887731481</v>
      </c>
      <c r="L252" s="10" t="n">
        <v>45666.16983796296</v>
      </c>
      <c r="M252" s="11">
        <f>IF(AND(ISNUMBER(E252),ISNUMBER(G252)),(G252-E252),"")</f>
        <v/>
      </c>
      <c r="N252" s="11">
        <f>IF(AND(ISNUMBER(G252),ISNUMBER(L252)),(L252-G252),"")</f>
        <v/>
      </c>
      <c r="O252" s="10" t="n">
        <v>45665.84599537037</v>
      </c>
      <c r="P252" s="11">
        <f>IF(AND(ISNUMBER(I252),ISNUMBER(O252)),(I252-O252),"")</f>
        <v/>
      </c>
      <c r="Q252" s="12" t="inlineStr">
        <is>
          <t>WG 1006404 entered track and got coupled to WG 1005310 then waited 6:54:27 for WG 1006603 to get coupled, OBTP started on 03:13:56 finished on 04:03:11 and then left at 04:04:34</t>
        </is>
      </c>
    </row>
    <row r="253">
      <c r="A253" s="3" t="inlineStr">
        <is>
          <t>1006405</t>
        </is>
      </c>
      <c r="B253" s="3" t="inlineStr">
        <is>
          <t>10064</t>
        </is>
      </c>
      <c r="C253" s="9" t="n">
        <v>78.7</v>
      </c>
      <c r="D253" s="3" t="inlineStr">
        <is>
          <t>Ebenfurth (beet loading)</t>
        </is>
      </c>
      <c r="E253" s="10" t="n">
        <v>45665.821875</v>
      </c>
      <c r="F253" s="10" t="n">
        <v>45665.84244212963</v>
      </c>
      <c r="G253" s="10" t="n">
        <v>45665.84375</v>
      </c>
      <c r="H253" s="3" t="inlineStr">
        <is>
          <t>OBT090125063820-Ebenfurth (beet loading)</t>
        </is>
      </c>
      <c r="I253" s="10" t="n">
        <v>45666.27746527778</v>
      </c>
      <c r="J253" s="10" t="n">
        <v>45666.30206018518</v>
      </c>
      <c r="K253" s="10" t="n">
        <v>45666.30206018518</v>
      </c>
      <c r="L253" s="10" t="n">
        <v>45666.30284722222</v>
      </c>
      <c r="M253" s="11">
        <f>IF(AND(ISNUMBER(E253),ISNUMBER(G253)),(G253-E253),"")</f>
        <v/>
      </c>
      <c r="N253" s="11">
        <f>IF(AND(ISNUMBER(G253),ISNUMBER(L253)),(L253-G253),"")</f>
        <v/>
      </c>
      <c r="O253" s="10" t="n">
        <v>45665.84612268519</v>
      </c>
      <c r="P253" s="11">
        <f>IF(AND(ISNUMBER(I253),ISNUMBER(O253)),(I253-O253),"")</f>
        <v/>
      </c>
      <c r="Q253" s="12" t="inlineStr">
        <is>
          <t>WG 1006405 entered track and got secured then waited 10:19:55 for WG 1006701 to get coupled, OBTP started on 06:39:33 finished on 07:14:58 and then left at 07:16:06</t>
        </is>
      </c>
    </row>
    <row r="254">
      <c r="A254" s="3" t="inlineStr">
        <is>
          <t>1006406</t>
        </is>
      </c>
      <c r="B254" s="3" t="inlineStr">
        <is>
          <t>10064</t>
        </is>
      </c>
      <c r="C254" s="9" t="n">
        <v>27</v>
      </c>
      <c r="D254" s="3" t="inlineStr">
        <is>
          <t>Wr. Neustadt (Hödlmayr)</t>
        </is>
      </c>
      <c r="E254" s="10" t="n">
        <v>45665.821875</v>
      </c>
      <c r="F254" s="10" t="n">
        <v>45665.84375</v>
      </c>
      <c r="G254" s="10" t="n">
        <v>45665.84505787037</v>
      </c>
      <c r="H254" s="3" t="inlineStr">
        <is>
          <t>OBT090125030658-Wr. Neustadt (Hödlmayr)</t>
        </is>
      </c>
      <c r="I254" s="10" t="n">
        <v>45666.130625</v>
      </c>
      <c r="J254" s="10" t="n">
        <v>45666.14973379629</v>
      </c>
      <c r="K254" s="10" t="n">
        <v>45666.14973379629</v>
      </c>
      <c r="L254" s="10" t="n">
        <v>45666.15041666666</v>
      </c>
      <c r="M254" s="11">
        <f>IF(AND(ISNUMBER(E254),ISNUMBER(G254)),(G254-E254),"")</f>
        <v/>
      </c>
      <c r="N254" s="11">
        <f>IF(AND(ISNUMBER(G254),ISNUMBER(L254)),(L254-G254),"")</f>
        <v/>
      </c>
      <c r="O254" s="10" t="n">
        <v>45665.84862268518</v>
      </c>
      <c r="P254" s="11">
        <f>IF(AND(ISNUMBER(I254),ISNUMBER(O254)),(I254-O254),"")</f>
        <v/>
      </c>
      <c r="Q254" s="12" t="inlineStr">
        <is>
          <t>WG 1006406 entered track and got coupled to WG 1006007 then waited 6:44:57 for WG 1006601 to get coupled, OBTP started on 03:08:06 finished on 03:35:37 and then left at 03:36:36</t>
        </is>
      </c>
    </row>
    <row r="255">
      <c r="A255" s="3" t="inlineStr">
        <is>
          <t>1006407</t>
        </is>
      </c>
      <c r="B255" s="3" t="inlineStr">
        <is>
          <t>10064</t>
        </is>
      </c>
      <c r="C255" s="9" t="n">
        <v>15.74</v>
      </c>
      <c r="D255" s="3" t="inlineStr">
        <is>
          <t>Other sidings north</t>
        </is>
      </c>
      <c r="E255" s="10" t="n">
        <v>45665.821875</v>
      </c>
      <c r="F255" s="10" t="n">
        <v>45665.84505787037</v>
      </c>
      <c r="G255" s="10" t="n">
        <v>45665.84701388889</v>
      </c>
      <c r="H255" s="3" t="inlineStr">
        <is>
          <t>OBT090125064202-Other sidings north</t>
        </is>
      </c>
      <c r="I255" s="10" t="n">
        <v>45666.28068287037</v>
      </c>
      <c r="J255" s="10" t="n">
        <v>45666.31120370371</v>
      </c>
      <c r="K255" s="10" t="n">
        <v>45666.31120370371</v>
      </c>
      <c r="L255" s="10" t="n">
        <v>45666.31216435185</v>
      </c>
      <c r="M255" s="11">
        <f>IF(AND(ISNUMBER(E255),ISNUMBER(G255)),(G255-E255),"")</f>
        <v/>
      </c>
      <c r="N255" s="11">
        <f>IF(AND(ISNUMBER(G255),ISNUMBER(L255)),(L255-G255),"")</f>
        <v/>
      </c>
      <c r="O255" s="10" t="n">
        <v>45665.85055555555</v>
      </c>
      <c r="P255" s="11">
        <f>IF(AND(ISNUMBER(I255),ISNUMBER(O255)),(I255-O255),"")</f>
        <v/>
      </c>
      <c r="Q255" s="12" t="inlineStr">
        <is>
          <t>WG 1006407 entered track and got coupled to WG 1006010 then waited 10:17:14 for WG 1006702 to get coupled, OBTP started on 06:44:11 finished on 07:28:08 and then left at 07:29:31</t>
        </is>
      </c>
    </row>
    <row r="256">
      <c r="A256" s="3" t="inlineStr">
        <is>
          <t>1006408</t>
        </is>
      </c>
      <c r="B256" s="3" t="inlineStr">
        <is>
          <t>10064</t>
        </is>
      </c>
      <c r="C256" s="9" t="n">
        <v>39.8</v>
      </c>
      <c r="D256" s="3" t="inlineStr">
        <is>
          <t>Wr. Neustadt Ausfahrbf (Furtenbach)</t>
        </is>
      </c>
      <c r="E256" s="10" t="n">
        <v>45665.821875</v>
      </c>
      <c r="F256" s="10" t="n">
        <v>45665.84701388889</v>
      </c>
      <c r="G256" s="10" t="n">
        <v>45665.84878472222</v>
      </c>
      <c r="H256" s="3" t="inlineStr">
        <is>
          <t>OBT090125075601-Wr. Neustadt Ausfahrbf (Furtenbach)</t>
        </is>
      </c>
      <c r="I256" s="10" t="n">
        <v>45666.33230324074</v>
      </c>
      <c r="J256" s="10" t="n">
        <v>45666.35303240741</v>
      </c>
      <c r="K256" s="10" t="n">
        <v>45666.35303240741</v>
      </c>
      <c r="L256" s="10" t="n">
        <v>45666.35390046296</v>
      </c>
      <c r="M256" s="11">
        <f>IF(AND(ISNUMBER(E256),ISNUMBER(G256)),(G256-E256),"")</f>
        <v/>
      </c>
      <c r="N256" s="11">
        <f>IF(AND(ISNUMBER(G256),ISNUMBER(L256)),(L256-G256),"")</f>
        <v/>
      </c>
      <c r="O256" s="10" t="n">
        <v>45665.85270833333</v>
      </c>
      <c r="P256" s="11">
        <f>IF(AND(ISNUMBER(I256),ISNUMBER(O256)),(I256-O256),"")</f>
        <v/>
      </c>
      <c r="Q256" s="12" t="inlineStr">
        <is>
          <t>WG 1006408 entered track and got coupled to WG 1006008 then waited 11:28:07 for WG 1006905 to get coupled, OBTP started on 07:58:31 finished on 08:28:22 and then left at 08:29:37</t>
        </is>
      </c>
    </row>
    <row r="257">
      <c r="A257" s="3" t="inlineStr">
        <is>
          <t>1006409</t>
        </is>
      </c>
      <c r="B257" s="3" t="inlineStr">
        <is>
          <t>10064</t>
        </is>
      </c>
      <c r="C257" s="9" t="n">
        <v>15.74</v>
      </c>
      <c r="D257" s="3" t="inlineStr">
        <is>
          <t>Obereggendorf (Hofer)</t>
        </is>
      </c>
      <c r="E257" s="10" t="n">
        <v>45665.821875</v>
      </c>
      <c r="F257" s="10" t="n">
        <v>45665.84878472222</v>
      </c>
      <c r="G257" s="10" t="n">
        <v>45665.85040509259</v>
      </c>
      <c r="H257" s="3" t="inlineStr">
        <is>
          <t>OBT090125184904-Obereggendorf (Hofer)</t>
        </is>
      </c>
      <c r="I257" s="10" t="n">
        <v>45666.79814814815</v>
      </c>
      <c r="J257" s="10" t="n">
        <v>45666.81584490741</v>
      </c>
      <c r="K257" s="10" t="n">
        <v>45666.81584490741</v>
      </c>
      <c r="L257" s="10" t="n">
        <v>45666.81667824074</v>
      </c>
      <c r="M257" s="11">
        <f>IF(AND(ISNUMBER(E257),ISNUMBER(G257)),(G257-E257),"")</f>
        <v/>
      </c>
      <c r="N257" s="11">
        <f>IF(AND(ISNUMBER(G257),ISNUMBER(L257)),(L257-G257),"")</f>
        <v/>
      </c>
      <c r="O257" s="10" t="n">
        <v>45665.85396990741</v>
      </c>
      <c r="P257" s="11">
        <f>IF(AND(ISNUMBER(I257),ISNUMBER(O257)),(I257-O257),"")</f>
        <v/>
      </c>
      <c r="Q257" s="12" t="inlineStr">
        <is>
          <t>WG 1006409 entered track and got coupled to WG 1006402 then waited 19:09:11 for WG 1007505 to get coupled then waited 3:10:10 for WG 1007904 to get coupled, OBTP started on 19:09:20 finished on 19:34:49 and then left at 19:36:01</t>
        </is>
      </c>
    </row>
    <row r="258">
      <c r="A258" s="3" t="inlineStr">
        <is>
          <t>1006501</t>
        </is>
      </c>
      <c r="B258" s="3" t="inlineStr">
        <is>
          <t>10065</t>
        </is>
      </c>
      <c r="C258" s="9" t="n">
        <v>99.5</v>
      </c>
      <c r="D258" s="3" t="inlineStr">
        <is>
          <t>Wien Kledering</t>
        </is>
      </c>
      <c r="E258" s="10" t="n">
        <v>45665.83748842592</v>
      </c>
      <c r="F258" s="10" t="n">
        <v>45665.85127314815</v>
      </c>
      <c r="G258" s="10" t="n">
        <v>45665.85271990741</v>
      </c>
      <c r="H258" s="3" t="inlineStr">
        <is>
          <t>OBT080125203302-Wien Kledering</t>
        </is>
      </c>
      <c r="I258" s="10" t="n">
        <v>45665.85714120371</v>
      </c>
      <c r="J258" s="10" t="n">
        <v>45665.8771412037</v>
      </c>
      <c r="K258" s="10" t="n">
        <v>45665.8771412037</v>
      </c>
      <c r="L258" s="10" t="n">
        <v>45665.87796296296</v>
      </c>
      <c r="M258" s="11">
        <f>IF(AND(ISNUMBER(E258),ISNUMBER(G258)),(G258-E258),"")</f>
        <v/>
      </c>
      <c r="N258" s="11">
        <f>IF(AND(ISNUMBER(G258),ISNUMBER(L258)),(L258-G258),"")</f>
        <v/>
      </c>
      <c r="O258" s="10" t="n">
        <v>45665.85627314815</v>
      </c>
      <c r="P258" s="11">
        <f>IF(AND(ISNUMBER(I258),ISNUMBER(O258)),(I258-O258),"")</f>
        <v/>
      </c>
      <c r="Q258" s="12" t="inlineStr">
        <is>
          <t>WG 1006501 entered track and got coupled to WG 1006301, OBTP started on 20:34:17 finished on 21:03:05 and then left at 21:04:16</t>
        </is>
      </c>
    </row>
    <row r="259">
      <c r="A259" s="3" t="inlineStr">
        <is>
          <t>1006601</t>
        </is>
      </c>
      <c r="B259" s="3" t="inlineStr">
        <is>
          <t>10066</t>
        </is>
      </c>
      <c r="C259" s="9" t="n">
        <v>43.98</v>
      </c>
      <c r="D259" s="3" t="inlineStr">
        <is>
          <t>Ternitz (Schoeller-Bleckmann)</t>
        </is>
      </c>
      <c r="E259" s="10" t="n">
        <v>45666.11766203704</v>
      </c>
      <c r="F259" s="10" t="n">
        <v>45666.12457175926</v>
      </c>
      <c r="G259" s="10" t="n">
        <v>45666.12591435185</v>
      </c>
      <c r="H259" s="3" t="inlineStr">
        <is>
          <t>OBT090125030658-Wr. Neustadt (Hödlmayr)</t>
        </is>
      </c>
      <c r="I259" s="10" t="n">
        <v>45666.130625</v>
      </c>
      <c r="J259" s="10" t="n">
        <v>45666.14973379629</v>
      </c>
      <c r="K259" s="10" t="n">
        <v>45666.14973379629</v>
      </c>
      <c r="L259" s="10" t="n">
        <v>45666.15041666666</v>
      </c>
      <c r="M259" s="11">
        <f>IF(AND(ISNUMBER(E259),ISNUMBER(G259)),(G259-E259),"")</f>
        <v/>
      </c>
      <c r="N259" s="11">
        <f>IF(AND(ISNUMBER(G259),ISNUMBER(L259)),(L259-G259),"")</f>
        <v/>
      </c>
      <c r="O259" s="10" t="n">
        <v>45666.12983796297</v>
      </c>
      <c r="P259" s="11">
        <f>IF(AND(ISNUMBER(I259),ISNUMBER(O259)),(I259-O259),"")</f>
        <v/>
      </c>
      <c r="Q259" s="12" t="inlineStr">
        <is>
          <t>WG 1006601 entered track and got coupled to WG 1006406, OBTP started on 03:08:06 finished on 03:35:37 and then left at 03:36:36</t>
        </is>
      </c>
    </row>
    <row r="260">
      <c r="A260" s="3" t="inlineStr">
        <is>
          <t>1006602</t>
        </is>
      </c>
      <c r="B260" s="3" t="inlineStr">
        <is>
          <t>10066</t>
        </is>
      </c>
      <c r="C260" s="9" t="n">
        <v>19.9</v>
      </c>
      <c r="D260" s="3" t="inlineStr">
        <is>
          <t>Other sidings south</t>
        </is>
      </c>
      <c r="E260" s="10" t="n">
        <v>45666.11766203704</v>
      </c>
      <c r="F260" s="10" t="n">
        <v>45666.12591435185</v>
      </c>
      <c r="G260" s="10" t="n">
        <v>45666.12768518519</v>
      </c>
      <c r="H260" s="3" t="inlineStr">
        <is>
          <t>OBT100125031522-Other sidings south</t>
        </is>
      </c>
      <c r="I260" s="10" t="n">
        <v>45667.13653935185</v>
      </c>
      <c r="J260" s="10" t="n">
        <v>45667.15913194444</v>
      </c>
      <c r="K260" s="10" t="n">
        <v>45667.15913194444</v>
      </c>
      <c r="L260" s="10" t="n">
        <v>45667.15997685185</v>
      </c>
      <c r="M260" s="11">
        <f>IF(AND(ISNUMBER(E260),ISNUMBER(G260)),(G260-E260),"")</f>
        <v/>
      </c>
      <c r="N260" s="11">
        <f>IF(AND(ISNUMBER(G260),ISNUMBER(L260)),(L260-G260),"")</f>
        <v/>
      </c>
      <c r="O260" s="10" t="n">
        <v>45666.1316087963</v>
      </c>
      <c r="P260" s="11">
        <f>IF(AND(ISNUMBER(I260),ISNUMBER(O260)),(I260-O260),"")</f>
        <v/>
      </c>
      <c r="Q260" s="12" t="inlineStr">
        <is>
          <t>WG 1006602 entered track and got coupled to WG 1006005 then waited 3:51:01 for WG 1006709 to get coupled then waited 20:14:50 for WG 1008104 to get coupled, OBTP started on 03:16:37 finished on 03:49:09 and then left at 03:50:22</t>
        </is>
      </c>
    </row>
    <row r="261">
      <c r="A261" s="3" t="inlineStr">
        <is>
          <t>1006603</t>
        </is>
      </c>
      <c r="B261" s="3" t="inlineStr">
        <is>
          <t>10066</t>
        </is>
      </c>
      <c r="C261" s="9" t="n">
        <v>100.6</v>
      </c>
      <c r="D261" s="3" t="inlineStr">
        <is>
          <t>Neunkirchen (loading tracks)</t>
        </is>
      </c>
      <c r="E261" s="10" t="n">
        <v>45666.11766203704</v>
      </c>
      <c r="F261" s="10" t="n">
        <v>45666.12768518519</v>
      </c>
      <c r="G261" s="10" t="n">
        <v>45666.1299074074</v>
      </c>
      <c r="H261" s="3" t="inlineStr">
        <is>
          <t>OBT090125031241-Neunkirchen (loading tracks)</t>
        </is>
      </c>
      <c r="I261" s="10" t="n">
        <v>45666.13467592592</v>
      </c>
      <c r="J261" s="10" t="n">
        <v>45666.16887731481</v>
      </c>
      <c r="K261" s="10" t="n">
        <v>45666.16887731481</v>
      </c>
      <c r="L261" s="10" t="n">
        <v>45666.16983796296</v>
      </c>
      <c r="M261" s="11">
        <f>IF(AND(ISNUMBER(E261),ISNUMBER(G261)),(G261-E261),"")</f>
        <v/>
      </c>
      <c r="N261" s="11">
        <f>IF(AND(ISNUMBER(G261),ISNUMBER(L261)),(L261-G261),"")</f>
        <v/>
      </c>
      <c r="O261" s="10" t="n">
        <v>45666.13380787037</v>
      </c>
      <c r="P261" s="11">
        <f>IF(AND(ISNUMBER(I261),ISNUMBER(O261)),(I261-O261),"")</f>
        <v/>
      </c>
      <c r="Q261" s="12" t="inlineStr">
        <is>
          <t>WG 1006603 entered track and got coupled to WG 1006404, OBTP started on 03:13:56 finished on 04:03:11 and then left at 04:04:34</t>
        </is>
      </c>
    </row>
    <row r="262">
      <c r="A262" s="3" t="inlineStr">
        <is>
          <t>1006701</t>
        </is>
      </c>
      <c r="B262" s="3" t="inlineStr">
        <is>
          <t>10067</t>
        </is>
      </c>
      <c r="C262" s="9" t="n">
        <v>62.96</v>
      </c>
      <c r="D262" s="3" t="inlineStr">
        <is>
          <t>Ebenfurth (beet loading)</t>
        </is>
      </c>
      <c r="E262" s="10" t="n">
        <v>45666.25697916667</v>
      </c>
      <c r="F262" s="10" t="n">
        <v>45666.27179398148</v>
      </c>
      <c r="G262" s="10" t="n">
        <v>45666.27306712963</v>
      </c>
      <c r="H262" s="3" t="inlineStr">
        <is>
          <t>OBT090125063820-Ebenfurth (beet loading)</t>
        </is>
      </c>
      <c r="I262" s="10" t="n">
        <v>45666.27746527778</v>
      </c>
      <c r="J262" s="10" t="n">
        <v>45666.30206018518</v>
      </c>
      <c r="K262" s="10" t="n">
        <v>45666.30206018518</v>
      </c>
      <c r="L262" s="10" t="n">
        <v>45666.30284722222</v>
      </c>
      <c r="M262" s="11">
        <f>IF(AND(ISNUMBER(E262),ISNUMBER(G262)),(G262-E262),"")</f>
        <v/>
      </c>
      <c r="N262" s="11">
        <f>IF(AND(ISNUMBER(G262),ISNUMBER(L262)),(L262-G262),"")</f>
        <v/>
      </c>
      <c r="O262" s="10" t="n">
        <v>45666.27662037037</v>
      </c>
      <c r="P262" s="11">
        <f>IF(AND(ISNUMBER(I262),ISNUMBER(O262)),(I262-O262),"")</f>
        <v/>
      </c>
      <c r="Q262" s="12" t="inlineStr">
        <is>
          <t>WG 1006701 entered track and got coupled to WG 1006405, OBTP started on 06:39:33 finished on 07:14:58 and then left at 07:16:06</t>
        </is>
      </c>
    </row>
    <row r="263">
      <c r="A263" s="3" t="inlineStr">
        <is>
          <t>1006702</t>
        </is>
      </c>
      <c r="B263" s="3" t="inlineStr">
        <is>
          <t>10067</t>
        </is>
      </c>
      <c r="C263" s="9" t="n">
        <v>121.1</v>
      </c>
      <c r="D263" s="3" t="inlineStr">
        <is>
          <t>Other sidings north</t>
        </is>
      </c>
      <c r="E263" s="10" t="n">
        <v>45666.25697916667</v>
      </c>
      <c r="F263" s="10" t="n">
        <v>45666.27306712963</v>
      </c>
      <c r="G263" s="10" t="n">
        <v>45666.2752662037</v>
      </c>
      <c r="H263" s="3" t="inlineStr">
        <is>
          <t>OBT090125064202-Other sidings north</t>
        </is>
      </c>
      <c r="I263" s="10" t="n">
        <v>45666.28068287037</v>
      </c>
      <c r="J263" s="10" t="n">
        <v>45666.31120370371</v>
      </c>
      <c r="K263" s="10" t="n">
        <v>45666.31120370371</v>
      </c>
      <c r="L263" s="10" t="n">
        <v>45666.31216435185</v>
      </c>
      <c r="M263" s="11">
        <f>IF(AND(ISNUMBER(E263),ISNUMBER(G263)),(G263-E263),"")</f>
        <v/>
      </c>
      <c r="N263" s="11">
        <f>IF(AND(ISNUMBER(G263),ISNUMBER(L263)),(L263-G263),"")</f>
        <v/>
      </c>
      <c r="O263" s="10" t="n">
        <v>45666.27918981481</v>
      </c>
      <c r="P263" s="11">
        <f>IF(AND(ISNUMBER(I263),ISNUMBER(O263)),(I263-O263),"")</f>
        <v/>
      </c>
      <c r="Q263" s="12" t="inlineStr">
        <is>
          <t>WG 1006702 entered track and got coupled to WG 1006407, OBTP started on 06:44:11 finished on 07:28:08 and then left at 07:29:31</t>
        </is>
      </c>
    </row>
    <row r="264">
      <c r="A264" s="3" t="inlineStr">
        <is>
          <t>1006703</t>
        </is>
      </c>
      <c r="B264" s="3" t="inlineStr">
        <is>
          <t>10067</t>
        </is>
      </c>
      <c r="C264" s="9" t="n">
        <v>21</v>
      </c>
      <c r="D264" s="3" t="inlineStr">
        <is>
          <t>Neunkirchen (loading tracks)</t>
        </is>
      </c>
      <c r="E264" s="10" t="n">
        <v>45666.25697916667</v>
      </c>
      <c r="F264" s="10" t="n">
        <v>45666.2752662037</v>
      </c>
      <c r="G264" s="10" t="n">
        <v>45666.27655092593</v>
      </c>
      <c r="H264" s="3" t="inlineStr">
        <is>
          <t>OBT090125182822-Neunkirchen (loading tracks)</t>
        </is>
      </c>
      <c r="I264" s="10" t="n">
        <v>45666.79081018519</v>
      </c>
      <c r="J264" s="10" t="n">
        <v>45666.80951388889</v>
      </c>
      <c r="K264" s="10" t="n">
        <v>45666.80951388889</v>
      </c>
      <c r="L264" s="10" t="n">
        <v>45666.81018518518</v>
      </c>
      <c r="M264" s="11">
        <f>IF(AND(ISNUMBER(E264),ISNUMBER(G264)),(G264-E264),"")</f>
        <v/>
      </c>
      <c r="N264" s="11">
        <f>IF(AND(ISNUMBER(G264),ISNUMBER(L264)),(L264-G264),"")</f>
        <v/>
      </c>
      <c r="O264" s="10" t="n">
        <v>45666.27894675926</v>
      </c>
      <c r="P264" s="11">
        <f>IF(AND(ISNUMBER(I264),ISNUMBER(O264)),(I264-O264),"")</f>
        <v/>
      </c>
      <c r="Q264" s="12" t="inlineStr">
        <is>
          <t>WG 1006703 entered track and got secured then waited 0:07:15 for WG 1006705 to get coupled then waited 1:06:47 for WG 1006906 to get coupled then waited 10:20:25 for WG 1007701 to get coupled then waited 0:12:14 for WG 1007706 to get coupled, OBTP started on 18:58:46 finished on 19:25:42 and then left at 19:26:40</t>
        </is>
      </c>
    </row>
    <row r="265">
      <c r="A265" s="3" t="inlineStr">
        <is>
          <t>1006704</t>
        </is>
      </c>
      <c r="B265" s="3" t="inlineStr">
        <is>
          <t>10067</t>
        </is>
      </c>
      <c r="C265" s="9" t="n">
        <v>19.9</v>
      </c>
      <c r="D265" s="3" t="inlineStr">
        <is>
          <t>Felixdorf/Sollenau (Bundesheer, Maba)</t>
        </is>
      </c>
      <c r="E265" s="10" t="n">
        <v>45666.25697916667</v>
      </c>
      <c r="F265" s="10" t="n">
        <v>45666.27655092593</v>
      </c>
      <c r="G265" s="10" t="n">
        <v>45666.27858796297</v>
      </c>
      <c r="H265" s="3" t="inlineStr">
        <is>
          <t>OBT090125204342-Felixdorf/Sollenau (Bundesheer, Maba)</t>
        </is>
      </c>
      <c r="I265" s="10" t="n">
        <v>45666.86454861111</v>
      </c>
      <c r="J265" s="10" t="n">
        <v>45666.88584490741</v>
      </c>
      <c r="K265" s="10" t="n">
        <v>45666.88584490741</v>
      </c>
      <c r="L265" s="10" t="n">
        <v>45666.88663194444</v>
      </c>
      <c r="M265" s="11">
        <f>IF(AND(ISNUMBER(E265),ISNUMBER(G265)),(G265-E265),"")</f>
        <v/>
      </c>
      <c r="N265" s="11">
        <f>IF(AND(ISNUMBER(G265),ISNUMBER(L265)),(L265-G265),"")</f>
        <v/>
      </c>
      <c r="O265" s="10" t="n">
        <v>45666.28075231481</v>
      </c>
      <c r="P265" s="11">
        <f>IF(AND(ISNUMBER(I265),ISNUMBER(O265)),(I265-O265),"")</f>
        <v/>
      </c>
      <c r="Q265" s="12" t="inlineStr">
        <is>
          <t>WG 1006704 entered track and got secured then waited 11:34:16 for WG 1007702 to get coupled then waited 2:22:34 for WG 1008005 to get coupled then waited 0:02:35 for WG 1008006 to get coupled, OBTP started on 20:44:57 finished on 21:15:37 and then left at 21:16:45</t>
        </is>
      </c>
    </row>
    <row r="266">
      <c r="A266" s="3" t="inlineStr">
        <is>
          <t>1006705</t>
        </is>
      </c>
      <c r="B266" s="3" t="inlineStr">
        <is>
          <t>10067</t>
        </is>
      </c>
      <c r="C266" s="9" t="n">
        <v>27</v>
      </c>
      <c r="D266" s="3" t="inlineStr">
        <is>
          <t>Wr. Neustadt (Hödlmayr)</t>
        </is>
      </c>
      <c r="E266" s="10" t="n">
        <v>45666.25697916667</v>
      </c>
      <c r="F266" s="10" t="n">
        <v>45666.27858796297</v>
      </c>
      <c r="G266" s="10" t="n">
        <v>45666.27988425926</v>
      </c>
      <c r="H266" s="3" t="inlineStr">
        <is>
          <t>OBT090125182822-Neunkirchen (loading tracks)</t>
        </is>
      </c>
      <c r="I266" s="10" t="n">
        <v>45666.79081018519</v>
      </c>
      <c r="J266" s="10" t="n">
        <v>45666.80951388889</v>
      </c>
      <c r="K266" s="10" t="n">
        <v>45666.80951388889</v>
      </c>
      <c r="L266" s="10" t="n">
        <v>45666.81018518518</v>
      </c>
      <c r="M266" s="11">
        <f>IF(AND(ISNUMBER(E266),ISNUMBER(G266)),(G266-E266),"")</f>
        <v/>
      </c>
      <c r="N266" s="11">
        <f>IF(AND(ISNUMBER(G266),ISNUMBER(L266)),(L266-G266),"")</f>
        <v/>
      </c>
      <c r="O266" s="10" t="n">
        <v>45666.28398148148</v>
      </c>
      <c r="P266" s="11">
        <f>IF(AND(ISNUMBER(I266),ISNUMBER(O266)),(I266-O266),"")</f>
        <v/>
      </c>
      <c r="Q266" s="12" t="inlineStr">
        <is>
          <t>WG 1006705 entered track and got coupled to WG 1006703 then waited 1:06:47 for WG 1006906 to get coupled then waited 10:20:25 for WG 1007701 to get coupled then waited 0:12:14 for WG 1007706 to get coupled, OBTP started on 18:58:46 finished on 19:25:42 and then left at 19:26:40</t>
        </is>
      </c>
    </row>
    <row r="267">
      <c r="A267" s="3" t="inlineStr">
        <is>
          <t>1006706</t>
        </is>
      </c>
      <c r="B267" s="3" t="inlineStr">
        <is>
          <t>10067</t>
        </is>
      </c>
      <c r="C267" s="9" t="n">
        <v>12.04</v>
      </c>
      <c r="D267" s="3" t="inlineStr">
        <is>
          <t>Ternitz (Schoeller-Bleckmann)</t>
        </is>
      </c>
      <c r="E267" s="10" t="n">
        <v>45666.25697916667</v>
      </c>
      <c r="F267" s="10" t="n">
        <v>45666.27988425926</v>
      </c>
      <c r="G267" s="10" t="n">
        <v>45666.28115740741</v>
      </c>
      <c r="H267" s="3" t="inlineStr">
        <is>
          <t>OBT130125092620-Ternitz (Schoeller-Bleckmann)</t>
        </is>
      </c>
      <c r="I267" s="10" t="n">
        <v>45670.3941550926</v>
      </c>
      <c r="J267" s="10" t="n">
        <v>45670.42590277778</v>
      </c>
      <c r="K267" s="10" t="n">
        <v>45670.42590277778</v>
      </c>
      <c r="L267" s="10" t="n">
        <v>45670.426875</v>
      </c>
      <c r="M267" s="11">
        <f>IF(AND(ISNUMBER(E267),ISNUMBER(G267)),(G267-E267),"")</f>
        <v/>
      </c>
      <c r="N267" s="11">
        <f>IF(AND(ISNUMBER(G267),ISNUMBER(L267)),(L267-G267),"")</f>
        <v/>
      </c>
      <c r="O267" s="10" t="n">
        <v>45666.28368055556</v>
      </c>
      <c r="P267" s="11">
        <f>IF(AND(ISNUMBER(I267),ISNUMBER(O267)),(I267-O267),"")</f>
        <v/>
      </c>
      <c r="Q267" s="12" t="inlineStr">
        <is>
          <t>WG 1006706 entered track and got secured then waited 20:18:03 for WG 1008101 to get coupled then waited 6:29:52 for WG 1008704 to get coupled then waited 71:49:55 for WG 1010602 to get coupled, OBTP started on 09:27:35 finished on 10:13:18 and then left at 10:14:42</t>
        </is>
      </c>
    </row>
    <row r="268">
      <c r="A268" s="3" t="inlineStr">
        <is>
          <t>1006707</t>
        </is>
      </c>
      <c r="B268" s="3" t="inlineStr">
        <is>
          <t>10067</t>
        </is>
      </c>
      <c r="C268" s="9" t="n">
        <v>31.48</v>
      </c>
      <c r="D268" s="3" t="inlineStr">
        <is>
          <t>Pitten (Hamburger)</t>
        </is>
      </c>
      <c r="E268" s="10" t="n">
        <v>45666.25697916667</v>
      </c>
      <c r="F268" s="10" t="n">
        <v>45666.28115740741</v>
      </c>
      <c r="G268" s="10" t="n">
        <v>45666.28259259259</v>
      </c>
      <c r="H268" s="3" t="inlineStr">
        <is>
          <t>OBT090125075111-Pitten (Hamburger)</t>
        </is>
      </c>
      <c r="I268" s="10" t="n">
        <v>45666.33197916667</v>
      </c>
      <c r="J268" s="10" t="n">
        <v>45666.35515046296</v>
      </c>
      <c r="K268" s="10" t="n">
        <v>45666.35515046296</v>
      </c>
      <c r="L268" s="10" t="n">
        <v>45666.3559375</v>
      </c>
      <c r="M268" s="11">
        <f>IF(AND(ISNUMBER(E268),ISNUMBER(G268)),(G268-E268),"")</f>
        <v/>
      </c>
      <c r="N268" s="11">
        <f>IF(AND(ISNUMBER(G268),ISNUMBER(L268)),(L268-G268),"")</f>
        <v/>
      </c>
      <c r="O268" s="10" t="n">
        <v>45666.28799768518</v>
      </c>
      <c r="P268" s="11">
        <f>IF(AND(ISNUMBER(I268),ISNUMBER(O268)),(I268-O268),"")</f>
        <v/>
      </c>
      <c r="Q268" s="12" t="inlineStr">
        <is>
          <t>WG 1006707 entered track and got coupled to WG 1006401 then waited 0:56:28 for WG 1006904 to get coupled, OBTP started on 07:58:03 finished on 08:31:25 and then left at 08:32:33</t>
        </is>
      </c>
    </row>
    <row r="269">
      <c r="A269" s="3" t="inlineStr">
        <is>
          <t>1006708</t>
        </is>
      </c>
      <c r="B269" s="3" t="inlineStr">
        <is>
          <t>10067</t>
        </is>
      </c>
      <c r="C269" s="9" t="n">
        <v>37.5</v>
      </c>
      <c r="D269" s="3" t="inlineStr">
        <is>
          <t>Neudörfl (FunderMax)</t>
        </is>
      </c>
      <c r="E269" s="10" t="n">
        <v>45666.25697916667</v>
      </c>
      <c r="F269" s="10" t="n">
        <v>45666.28259259259</v>
      </c>
      <c r="G269" s="10" t="n">
        <v>45666.28459490741</v>
      </c>
      <c r="H269" s="3" t="inlineStr">
        <is>
          <t>OBT090125152828-Neudörfl (FunderMax)</t>
        </is>
      </c>
      <c r="I269" s="10" t="n">
        <v>45666.64561342593</v>
      </c>
      <c r="J269" s="10" t="n">
        <v>45666.66592592592</v>
      </c>
      <c r="K269" s="10" t="n">
        <v>45666.66592592592</v>
      </c>
      <c r="L269" s="10" t="n">
        <v>45666.66673611111</v>
      </c>
      <c r="M269" s="11">
        <f>IF(AND(ISNUMBER(E269),ISNUMBER(G269)),(G269-E269),"")</f>
        <v/>
      </c>
      <c r="N269" s="11">
        <f>IF(AND(ISNUMBER(G269),ISNUMBER(L269)),(L269-G269),"")</f>
        <v/>
      </c>
      <c r="O269" s="10" t="n">
        <v>45666.28724537037</v>
      </c>
      <c r="P269" s="11">
        <f>IF(AND(ISNUMBER(I269),ISNUMBER(O269)),(I269-O269),"")</f>
        <v/>
      </c>
      <c r="Q269" s="12" t="inlineStr">
        <is>
          <t>WG 1006708 entered track and got secured then waited 0:55:29 for WG 1006903 to get coupled then waited 7:39:21 for WG 1007501 to get coupled, OBTP started on 15:29:41 finished on 15:58:56 and then left at 16:00:06</t>
        </is>
      </c>
    </row>
    <row r="270">
      <c r="A270" s="3" t="inlineStr">
        <is>
          <t>1006709</t>
        </is>
      </c>
      <c r="B270" s="3" t="inlineStr">
        <is>
          <t>10067</t>
        </is>
      </c>
      <c r="C270" s="9" t="n">
        <v>43.14</v>
      </c>
      <c r="D270" s="3" t="inlineStr">
        <is>
          <t>Other sidings south</t>
        </is>
      </c>
      <c r="E270" s="10" t="n">
        <v>45666.25697916667</v>
      </c>
      <c r="F270" s="10" t="n">
        <v>45666.28459490741</v>
      </c>
      <c r="G270" s="10" t="n">
        <v>45666.28641203704</v>
      </c>
      <c r="H270" s="3" t="inlineStr">
        <is>
          <t>OBT100125031522-Other sidings south</t>
        </is>
      </c>
      <c r="I270" s="10" t="n">
        <v>45667.13653935185</v>
      </c>
      <c r="J270" s="10" t="n">
        <v>45667.15913194444</v>
      </c>
      <c r="K270" s="10" t="n">
        <v>45667.15913194444</v>
      </c>
      <c r="L270" s="10" t="n">
        <v>45667.15997685185</v>
      </c>
      <c r="M270" s="11">
        <f>IF(AND(ISNUMBER(E270),ISNUMBER(G270)),(G270-E270),"")</f>
        <v/>
      </c>
      <c r="N270" s="11">
        <f>IF(AND(ISNUMBER(G270),ISNUMBER(L270)),(L270-G270),"")</f>
        <v/>
      </c>
      <c r="O270" s="10" t="n">
        <v>45666.29203703703</v>
      </c>
      <c r="P270" s="11">
        <f>IF(AND(ISNUMBER(I270),ISNUMBER(O270)),(I270-O270),"")</f>
        <v/>
      </c>
      <c r="Q270" s="12" t="inlineStr">
        <is>
          <t>WG 1006709 entered track and got coupled to WG 1006602 then waited 20:14:50 for WG 1008104 to get coupled, OBTP started on 03:16:37 finished on 03:49:09 and then left at 03:50:22</t>
        </is>
      </c>
    </row>
    <row r="271">
      <c r="A271" s="3" t="inlineStr">
        <is>
          <t>1006801</t>
        </is>
      </c>
      <c r="B271" s="3" t="inlineStr">
        <is>
          <t>10068</t>
        </is>
      </c>
      <c r="C271" s="9" t="n">
        <v>185.9</v>
      </c>
      <c r="D271" s="3" t="inlineStr">
        <is>
          <t>Wien Kledering</t>
        </is>
      </c>
      <c r="E271" s="10" t="n">
        <v>45666.27378472222</v>
      </c>
      <c r="F271" s="10" t="n">
        <v>45666.28728009259</v>
      </c>
      <c r="G271" s="10" t="n">
        <v>45666.28954861111</v>
      </c>
      <c r="H271" s="3" t="inlineStr">
        <is>
          <t>OBT090125070004-Wien Kledering</t>
        </is>
      </c>
      <c r="I271" s="10" t="n">
        <v>45666.29377314815</v>
      </c>
      <c r="J271" s="10" t="n">
        <v>45666.32604166667</v>
      </c>
      <c r="K271" s="10" t="n">
        <v>45666.32604166667</v>
      </c>
      <c r="L271" s="10" t="n">
        <v>45666.32685185185</v>
      </c>
      <c r="M271" s="11">
        <f>IF(AND(ISNUMBER(E271),ISNUMBER(G271)),(G271-E271),"")</f>
        <v/>
      </c>
      <c r="N271" s="11">
        <f>IF(AND(ISNUMBER(G271),ISNUMBER(L271)),(L271-G271),"")</f>
        <v/>
      </c>
      <c r="O271" s="10" t="n">
        <v>45666.29171296296</v>
      </c>
      <c r="P271" s="11">
        <f>IF(AND(ISNUMBER(I271),ISNUMBER(O271)),(I271-O271),"")</f>
        <v/>
      </c>
      <c r="Q271" s="12" t="inlineStr">
        <is>
          <t>WG 1006801 entered track and got secured, OBTP started on 07:03:02 finished on 07:49:30 and then left at 07:50:40</t>
        </is>
      </c>
    </row>
    <row r="272">
      <c r="A272" s="3" t="inlineStr">
        <is>
          <t>1006901</t>
        </is>
      </c>
      <c r="B272" s="3" t="inlineStr">
        <is>
          <t>10069</t>
        </is>
      </c>
      <c r="C272" s="9" t="n">
        <v>62.96</v>
      </c>
      <c r="D272" s="3" t="inlineStr">
        <is>
          <t>Ebenfurth (beet loading)</t>
        </is>
      </c>
      <c r="E272" s="10" t="n">
        <v>45666.30290509259</v>
      </c>
      <c r="F272" s="10" t="n">
        <v>45666.31711805556</v>
      </c>
      <c r="G272" s="10" t="n">
        <v>45666.31839120371</v>
      </c>
      <c r="H272" s="3" t="inlineStr">
        <is>
          <t>OBT090125153646-Ebenfurth (beet loading)</t>
        </is>
      </c>
      <c r="I272" s="10" t="n">
        <v>45666.66660879629</v>
      </c>
      <c r="J272" s="10" t="n">
        <v>45666.69666666666</v>
      </c>
      <c r="K272" s="10" t="n">
        <v>45666.69666666666</v>
      </c>
      <c r="L272" s="10" t="n">
        <v>45666.69753472223</v>
      </c>
      <c r="M272" s="11">
        <f>IF(AND(ISNUMBER(E272),ISNUMBER(G272)),(G272-E272),"")</f>
        <v/>
      </c>
      <c r="N272" s="11">
        <f>IF(AND(ISNUMBER(G272),ISNUMBER(L272)),(L272-G272),"")</f>
        <v/>
      </c>
      <c r="O272" s="10" t="n">
        <v>45666.32078703704</v>
      </c>
      <c r="P272" s="11">
        <f>IF(AND(ISNUMBER(I272),ISNUMBER(O272)),(I272-O272),"")</f>
        <v/>
      </c>
      <c r="Q272" s="12" t="inlineStr">
        <is>
          <t>WG 1006901 entered track and got secured then waited 7:54:50 for WG 1007504 to get coupled, OBTP started on 15:59:55 finished on 16:43:12 and then left at 16:44:27</t>
        </is>
      </c>
    </row>
    <row r="273">
      <c r="A273" s="3" t="inlineStr">
        <is>
          <t>1006902</t>
        </is>
      </c>
      <c r="B273" s="3" t="inlineStr">
        <is>
          <t>10069</t>
        </is>
      </c>
      <c r="C273" s="9" t="n">
        <v>14</v>
      </c>
      <c r="D273" s="3" t="inlineStr">
        <is>
          <t>Wr. Neustadt (Brenntag)</t>
        </is>
      </c>
      <c r="E273" s="10" t="n">
        <v>45666.30290509259</v>
      </c>
      <c r="F273" s="10" t="n">
        <v>45666.31839120371</v>
      </c>
      <c r="G273" s="10" t="n">
        <v>45666.31988425926</v>
      </c>
      <c r="H273" s="3" t="inlineStr">
        <is>
          <t>OBT090125074546-Wr. Neustadt (Brenntag)</t>
        </is>
      </c>
      <c r="I273" s="10" t="n">
        <v>45666.32508101852</v>
      </c>
      <c r="J273" s="10" t="n">
        <v>45666.39607638889</v>
      </c>
      <c r="K273" s="10" t="n">
        <v>45666.39607638889</v>
      </c>
      <c r="L273" s="10" t="n">
        <v>45666.39756944445</v>
      </c>
      <c r="M273" s="11">
        <f>IF(AND(ISNUMBER(E273),ISNUMBER(G273)),(G273-E273),"")</f>
        <v/>
      </c>
      <c r="N273" s="11">
        <f>IF(AND(ISNUMBER(G273),ISNUMBER(L273)),(L273-G273),"")</f>
        <v/>
      </c>
      <c r="O273" s="10" t="n">
        <v>45666.32344907407</v>
      </c>
      <c r="P273" s="11">
        <f>IF(AND(ISNUMBER(I273),ISNUMBER(O273)),(I273-O273),"")</f>
        <v/>
      </c>
      <c r="Q273" s="12" t="inlineStr">
        <is>
          <t>WG 1006902 entered track and got coupled to WG 1007001, OBTP started on 07:48:07 finished on 09:30:21 and then left at 09:32:30</t>
        </is>
      </c>
    </row>
    <row r="274">
      <c r="A274" s="3" t="inlineStr">
        <is>
          <t>1006903</t>
        </is>
      </c>
      <c r="B274" s="3" t="inlineStr">
        <is>
          <t>10069</t>
        </is>
      </c>
      <c r="C274" s="9" t="n">
        <v>21</v>
      </c>
      <c r="D274" s="3" t="inlineStr">
        <is>
          <t>Neudörfl (FunderMax)</t>
        </is>
      </c>
      <c r="E274" s="10" t="n">
        <v>45666.30290509259</v>
      </c>
      <c r="F274" s="10" t="n">
        <v>45666.31988425926</v>
      </c>
      <c r="G274" s="10" t="n">
        <v>45666.32185185186</v>
      </c>
      <c r="H274" s="3" t="inlineStr">
        <is>
          <t>OBT090125152828-Neudörfl (FunderMax)</t>
        </is>
      </c>
      <c r="I274" s="10" t="n">
        <v>45666.64561342593</v>
      </c>
      <c r="J274" s="10" t="n">
        <v>45666.66592592592</v>
      </c>
      <c r="K274" s="10" t="n">
        <v>45666.66592592592</v>
      </c>
      <c r="L274" s="10" t="n">
        <v>45666.66673611111</v>
      </c>
      <c r="M274" s="11">
        <f>IF(AND(ISNUMBER(E274),ISNUMBER(G274)),(G274-E274),"")</f>
        <v/>
      </c>
      <c r="N274" s="11">
        <f>IF(AND(ISNUMBER(G274),ISNUMBER(L274)),(L274-G274),"")</f>
        <v/>
      </c>
      <c r="O274" s="10" t="n">
        <v>45666.32577546296</v>
      </c>
      <c r="P274" s="11">
        <f>IF(AND(ISNUMBER(I274),ISNUMBER(O274)),(I274-O274),"")</f>
        <v/>
      </c>
      <c r="Q274" s="12" t="inlineStr">
        <is>
          <t>WG 1006903 entered track and got coupled to WG 1006708 then waited 7:39:21 for WG 1007501 to get coupled, OBTP started on 15:29:41 finished on 15:58:56 and then left at 16:00:06</t>
        </is>
      </c>
    </row>
    <row r="275">
      <c r="A275" s="3" t="inlineStr">
        <is>
          <t>1006904</t>
        </is>
      </c>
      <c r="B275" s="3" t="inlineStr">
        <is>
          <t>10069</t>
        </is>
      </c>
      <c r="C275" s="9" t="n">
        <v>47.22</v>
      </c>
      <c r="D275" s="3" t="inlineStr">
        <is>
          <t>Other sidings north</t>
        </is>
      </c>
      <c r="E275" s="10" t="n">
        <v>45666.30290509259</v>
      </c>
      <c r="F275" s="10" t="n">
        <v>45666.32185185186</v>
      </c>
      <c r="G275" s="10" t="n">
        <v>45666.32331018519</v>
      </c>
      <c r="H275" s="3" t="inlineStr">
        <is>
          <t>OBT090125075111-Pitten (Hamburger)</t>
        </is>
      </c>
      <c r="I275" s="10" t="n">
        <v>45666.33197916667</v>
      </c>
      <c r="J275" s="10" t="n">
        <v>45666.35515046296</v>
      </c>
      <c r="K275" s="10" t="n">
        <v>45666.35515046296</v>
      </c>
      <c r="L275" s="10" t="n">
        <v>45666.3559375</v>
      </c>
      <c r="M275" s="11">
        <f>IF(AND(ISNUMBER(E275),ISNUMBER(G275)),(G275-E275),"")</f>
        <v/>
      </c>
      <c r="N275" s="11">
        <f>IF(AND(ISNUMBER(G275),ISNUMBER(L275)),(L275-G275),"")</f>
        <v/>
      </c>
      <c r="O275" s="10" t="n">
        <v>45666.32721064815</v>
      </c>
      <c r="P275" s="11">
        <f>IF(AND(ISNUMBER(I275),ISNUMBER(O275)),(I275-O275),"")</f>
        <v/>
      </c>
      <c r="Q275" s="12" t="inlineStr">
        <is>
          <t>WG 1006904 entered track and got coupled to WG 1006707, OBTP started on 07:58:03 finished on 08:31:25 and then left at 08:32:33</t>
        </is>
      </c>
    </row>
    <row r="276">
      <c r="A276" s="3" t="inlineStr">
        <is>
          <t>1006905</t>
        </is>
      </c>
      <c r="B276" s="3" t="inlineStr">
        <is>
          <t>10069</t>
        </is>
      </c>
      <c r="C276" s="9" t="n">
        <v>19.9</v>
      </c>
      <c r="D276" s="3" t="inlineStr">
        <is>
          <t>Wr. Neustadt Ausfahrbf (Furtenbach)</t>
        </is>
      </c>
      <c r="E276" s="10" t="n">
        <v>45666.30290509259</v>
      </c>
      <c r="F276" s="10" t="n">
        <v>45666.32331018519</v>
      </c>
      <c r="G276" s="10" t="n">
        <v>45666.3250462963</v>
      </c>
      <c r="H276" s="3" t="inlineStr">
        <is>
          <t>OBT090125075601-Wr. Neustadt Ausfahrbf (Furtenbach)</t>
        </is>
      </c>
      <c r="I276" s="10" t="n">
        <v>45666.33230324074</v>
      </c>
      <c r="J276" s="10" t="n">
        <v>45666.35303240741</v>
      </c>
      <c r="K276" s="10" t="n">
        <v>45666.35303240741</v>
      </c>
      <c r="L276" s="10" t="n">
        <v>45666.35390046296</v>
      </c>
      <c r="M276" s="11">
        <f>IF(AND(ISNUMBER(E276),ISNUMBER(G276)),(G276-E276),"")</f>
        <v/>
      </c>
      <c r="N276" s="11">
        <f>IF(AND(ISNUMBER(G276),ISNUMBER(L276)),(L276-G276),"")</f>
        <v/>
      </c>
      <c r="O276" s="10" t="n">
        <v>45666.33056712963</v>
      </c>
      <c r="P276" s="11">
        <f>IF(AND(ISNUMBER(I276),ISNUMBER(O276)),(I276-O276),"")</f>
        <v/>
      </c>
      <c r="Q276" s="12" t="inlineStr">
        <is>
          <t>WG 1006905 entered track and got coupled to WG 1006408, OBTP started on 07:58:31 finished on 08:28:22 and then left at 08:29:37</t>
        </is>
      </c>
    </row>
    <row r="277">
      <c r="A277" s="3" t="inlineStr">
        <is>
          <t>1006906</t>
        </is>
      </c>
      <c r="B277" s="3" t="inlineStr">
        <is>
          <t>10069</t>
        </is>
      </c>
      <c r="C277" s="9" t="n">
        <v>19.9</v>
      </c>
      <c r="D277" s="3" t="inlineStr">
        <is>
          <t>Neunkirchen (loading tracks)</t>
        </is>
      </c>
      <c r="E277" s="10" t="n">
        <v>45666.30290509259</v>
      </c>
      <c r="F277" s="10" t="n">
        <v>45666.3250462963</v>
      </c>
      <c r="G277" s="10" t="n">
        <v>45666.32633101852</v>
      </c>
      <c r="H277" s="3" t="inlineStr">
        <is>
          <t>OBT090125182822-Neunkirchen (loading tracks)</t>
        </is>
      </c>
      <c r="I277" s="10" t="n">
        <v>45666.79081018519</v>
      </c>
      <c r="J277" s="10" t="n">
        <v>45666.80951388889</v>
      </c>
      <c r="K277" s="10" t="n">
        <v>45666.80951388889</v>
      </c>
      <c r="L277" s="10" t="n">
        <v>45666.81018518518</v>
      </c>
      <c r="M277" s="11">
        <f>IF(AND(ISNUMBER(E277),ISNUMBER(G277)),(G277-E277),"")</f>
        <v/>
      </c>
      <c r="N277" s="11">
        <f>IF(AND(ISNUMBER(G277),ISNUMBER(L277)),(L277-G277),"")</f>
        <v/>
      </c>
      <c r="O277" s="10" t="n">
        <v>45666.33035879629</v>
      </c>
      <c r="P277" s="11">
        <f>IF(AND(ISNUMBER(I277),ISNUMBER(O277)),(I277-O277),"")</f>
        <v/>
      </c>
      <c r="Q277" s="12" t="inlineStr">
        <is>
          <t>WG 1006906 entered track and got coupled to WG 1006705 then waited 10:20:25 for WG 1007701 to get coupled then waited 0:12:14 for WG 1007706 to get coupled, OBTP started on 18:58:46 finished on 19:25:42 and then left at 19:26:40</t>
        </is>
      </c>
    </row>
    <row r="278">
      <c r="A278" s="3" t="inlineStr">
        <is>
          <t>1006907</t>
        </is>
      </c>
      <c r="B278" s="3" t="inlineStr">
        <is>
          <t>10069</t>
        </is>
      </c>
      <c r="C278" s="9" t="n">
        <v>93.69999999999999</v>
      </c>
      <c r="D278" s="3" t="inlineStr">
        <is>
          <t>Pitten (Hamburger)</t>
        </is>
      </c>
      <c r="E278" s="10" t="n">
        <v>45666.30290509259</v>
      </c>
      <c r="F278" s="10" t="n">
        <v>45666.32633101852</v>
      </c>
      <c r="G278" s="10" t="n">
        <v>45666.32789351852</v>
      </c>
      <c r="H278" s="3" t="inlineStr">
        <is>
          <t>OBT090125153241-Pitten (Hamburger)</t>
        </is>
      </c>
      <c r="I278" s="10" t="n">
        <v>45666.65365740741</v>
      </c>
      <c r="J278" s="10" t="n">
        <v>45666.6765625</v>
      </c>
      <c r="K278" s="10" t="n">
        <v>45666.6765625</v>
      </c>
      <c r="L278" s="10" t="n">
        <v>45666.67734953704</v>
      </c>
      <c r="M278" s="11">
        <f>IF(AND(ISNUMBER(E278),ISNUMBER(G278)),(G278-E278),"")</f>
        <v/>
      </c>
      <c r="N278" s="11">
        <f>IF(AND(ISNUMBER(G278),ISNUMBER(L278)),(L278-G278),"")</f>
        <v/>
      </c>
      <c r="O278" s="10" t="n">
        <v>45666.33028935185</v>
      </c>
      <c r="P278" s="11">
        <f>IF(AND(ISNUMBER(I278),ISNUMBER(O278)),(I278-O278),"")</f>
        <v/>
      </c>
      <c r="Q278" s="12" t="inlineStr">
        <is>
          <t>WG 1006907 entered track and got secured then waited 7:37:04 for WG 1007503 to get coupled, OBTP started on 15:41:16 finished on 16:14:15 and then left at 16:15:23</t>
        </is>
      </c>
    </row>
    <row r="279">
      <c r="A279" s="3" t="inlineStr">
        <is>
          <t>1007001</t>
        </is>
      </c>
      <c r="B279" s="3" t="inlineStr">
        <is>
          <t>10070</t>
        </is>
      </c>
      <c r="C279" s="9" t="n">
        <v>324.9800000000001</v>
      </c>
      <c r="D279" s="3" t="inlineStr">
        <is>
          <t>Wien Kledering</t>
        </is>
      </c>
      <c r="E279" s="10" t="n">
        <v>45666.30806712963</v>
      </c>
      <c r="F279" s="10" t="n">
        <v>45666.31414351852</v>
      </c>
      <c r="G279" s="10" t="n">
        <v>45666.31633101852</v>
      </c>
      <c r="H279" s="3" t="inlineStr">
        <is>
          <t>OBT090125074546-Wr. Neustadt (Brenntag)</t>
        </is>
      </c>
      <c r="I279" s="10" t="n">
        <v>45666.32508101852</v>
      </c>
      <c r="J279" s="10" t="n">
        <v>45666.39607638889</v>
      </c>
      <c r="K279" s="10" t="n">
        <v>45666.39607638889</v>
      </c>
      <c r="L279" s="10" t="n">
        <v>45666.39756944445</v>
      </c>
      <c r="M279" s="11">
        <f>IF(AND(ISNUMBER(E279),ISNUMBER(G279)),(G279-E279),"")</f>
        <v/>
      </c>
      <c r="N279" s="11">
        <f>IF(AND(ISNUMBER(G279),ISNUMBER(L279)),(L279-G279),"")</f>
        <v/>
      </c>
      <c r="O279" s="10" t="n">
        <v>45666.32023148148</v>
      </c>
      <c r="P279" s="11">
        <f>IF(AND(ISNUMBER(I279),ISNUMBER(O279)),(I279-O279),"")</f>
        <v/>
      </c>
      <c r="Q279" s="12" t="inlineStr">
        <is>
          <t>WG 1007001 entered track and got coupled to WG 1006011 then waited 0:04:38 for WG 1006902 to get coupled, OBTP started on 07:48:07 finished on 09:30:21 and then left at 09:32:30</t>
        </is>
      </c>
    </row>
    <row r="280">
      <c r="A280" s="3" t="inlineStr">
        <is>
          <t>1007101</t>
        </is>
      </c>
      <c r="B280" s="3" t="inlineStr">
        <is>
          <t>10071</t>
        </is>
      </c>
      <c r="C280" s="9" t="n">
        <v>381.5600000000001</v>
      </c>
      <c r="D280" s="3" t="inlineStr">
        <is>
          <t>Wien Kledering</t>
        </is>
      </c>
      <c r="E280" s="10" t="n">
        <v>45666.32935185185</v>
      </c>
      <c r="F280" s="10" t="n">
        <v>45666.33622685185</v>
      </c>
      <c r="G280" s="10" t="n">
        <v>45666.33900462963</v>
      </c>
      <c r="H280" s="3" t="inlineStr">
        <is>
          <t>OBT090125083304-Wien Kledering</t>
        </is>
      </c>
      <c r="I280" s="10" t="n">
        <v>45666.35714120371</v>
      </c>
      <c r="J280" s="10" t="n">
        <v>45666.42337962963</v>
      </c>
      <c r="K280" s="10" t="n">
        <v>45666.42337962963</v>
      </c>
      <c r="L280" s="10" t="n">
        <v>45666.42481481482</v>
      </c>
      <c r="M280" s="11">
        <f>IF(AND(ISNUMBER(E280),ISNUMBER(G280)),(G280-E280),"")</f>
        <v/>
      </c>
      <c r="N280" s="11">
        <f>IF(AND(ISNUMBER(G280),ISNUMBER(L280)),(L280-G280),"")</f>
        <v/>
      </c>
      <c r="O280" s="10" t="n">
        <v>45666.3562962963</v>
      </c>
      <c r="P280" s="11">
        <f>IF(AND(ISNUMBER(I280),ISNUMBER(O280)),(I280-O280),"")</f>
        <v/>
      </c>
      <c r="Q280" s="12" t="inlineStr">
        <is>
          <t>WG 1007101 entered track and got secured, OBTP started on 08:34:17 finished on 10:09:40 and then left at 10:11:44</t>
        </is>
      </c>
    </row>
    <row r="281">
      <c r="A281" s="3" t="inlineStr">
        <is>
          <t>1007201</t>
        </is>
      </c>
      <c r="B281" s="3" t="inlineStr">
        <is>
          <t>10072</t>
        </is>
      </c>
      <c r="C281" s="9" t="n">
        <v>118.2</v>
      </c>
      <c r="D281" s="3" t="inlineStr">
        <is>
          <t>Wien Kledering</t>
        </is>
      </c>
      <c r="E281" s="10" t="n">
        <v>45666.3671412037</v>
      </c>
      <c r="F281" s="10" t="n">
        <v>45666.37476851852</v>
      </c>
      <c r="G281" s="10" t="n">
        <v>45666.37673611111</v>
      </c>
      <c r="H281" s="3" t="inlineStr">
        <is>
          <t>OBT090125090557-Wien Kledering</t>
        </is>
      </c>
      <c r="I281" s="10" t="n">
        <v>45666.38483796296</v>
      </c>
      <c r="J281" s="10" t="n">
        <v>45666.4053587963</v>
      </c>
      <c r="K281" s="10" t="n">
        <v>45666.4053587963</v>
      </c>
      <c r="L281" s="10" t="n">
        <v>45666.40622685185</v>
      </c>
      <c r="M281" s="11">
        <f>IF(AND(ISNUMBER(E281),ISNUMBER(G281)),(G281-E281),"")</f>
        <v/>
      </c>
      <c r="N281" s="11">
        <f>IF(AND(ISNUMBER(G281),ISNUMBER(L281)),(L281-G281),"")</f>
        <v/>
      </c>
      <c r="O281" s="10" t="n">
        <v>45666.37913194444</v>
      </c>
      <c r="P281" s="11">
        <f>IF(AND(ISNUMBER(I281),ISNUMBER(O281)),(I281-O281),"")</f>
        <v/>
      </c>
      <c r="Q281" s="12" t="inlineStr">
        <is>
          <t>WG 1007201 entered track and got secured, OBTP started on 09:14:10 finished on 09:43:43 and then left at 09:44:58</t>
        </is>
      </c>
    </row>
    <row r="282">
      <c r="A282" s="3" t="inlineStr">
        <is>
          <t>1007202</t>
        </is>
      </c>
      <c r="B282" s="3" t="inlineStr">
        <is>
          <t>10072</t>
        </is>
      </c>
      <c r="C282" s="9" t="n">
        <v>243.8</v>
      </c>
      <c r="D282" s="3" t="inlineStr">
        <is>
          <t>St. Veit an der Glan</t>
        </is>
      </c>
      <c r="E282" s="10" t="n">
        <v>45666.3671412037</v>
      </c>
      <c r="F282" s="10" t="n">
        <v>45666.37673611111</v>
      </c>
      <c r="G282" s="10" t="n">
        <v>45666.37917824074</v>
      </c>
      <c r="H282" s="3" t="inlineStr">
        <is>
          <t>OBT090125091140-St. Veit an der Glan</t>
        </is>
      </c>
      <c r="I282" s="10" t="n">
        <v>45666.39775462963</v>
      </c>
      <c r="J282" s="10" t="n">
        <v>45666.44372685185</v>
      </c>
      <c r="K282" s="10" t="n">
        <v>45666.44372685185</v>
      </c>
      <c r="L282" s="10" t="n">
        <v>45666.4447337963</v>
      </c>
      <c r="M282" s="11">
        <f>IF(AND(ISNUMBER(E282),ISNUMBER(G282)),(G282-E282),"")</f>
        <v/>
      </c>
      <c r="N282" s="11">
        <f>IF(AND(ISNUMBER(G282),ISNUMBER(L282)),(L282-G282),"")</f>
        <v/>
      </c>
      <c r="O282" s="10" t="n">
        <v>45666.38310185185</v>
      </c>
      <c r="P282" s="11">
        <f>IF(AND(ISNUMBER(I282),ISNUMBER(O282)),(I282-O282),"")</f>
        <v/>
      </c>
      <c r="Q282" s="12" t="inlineStr">
        <is>
          <t>WG 1007202 entered track and got coupled to WG 1005702, OBTP started on 09:32:46 finished on 10:38:58 and then left at 10:40:25</t>
        </is>
      </c>
    </row>
    <row r="283">
      <c r="A283" s="3" t="inlineStr">
        <is>
          <t>1007301</t>
        </is>
      </c>
      <c r="B283" s="3" t="inlineStr">
        <is>
          <t>10073</t>
        </is>
      </c>
      <c r="C283" s="9" t="n">
        <v>21</v>
      </c>
      <c r="D283" s="3" t="inlineStr">
        <is>
          <t>St. Veit an der Glan</t>
        </is>
      </c>
      <c r="E283" s="10" t="n">
        <v>45666.45423611111</v>
      </c>
      <c r="F283" s="10" t="n">
        <v>45666.46251157407</v>
      </c>
      <c r="G283" s="10" t="n">
        <v>45666.46443287037</v>
      </c>
      <c r="H283" s="3" t="inlineStr">
        <is>
          <t>OBT100125092212-St. Veit an der Glan</t>
        </is>
      </c>
      <c r="I283" s="10" t="n">
        <v>45667.39128472222</v>
      </c>
      <c r="J283" s="10" t="n">
        <v>45667.41510416667</v>
      </c>
      <c r="K283" s="10" t="n">
        <v>45667.41510416667</v>
      </c>
      <c r="L283" s="10" t="n">
        <v>45667.41582175926</v>
      </c>
      <c r="M283" s="11">
        <f>IF(AND(ISNUMBER(E283),ISNUMBER(G283)),(G283-E283),"")</f>
        <v/>
      </c>
      <c r="N283" s="11">
        <f>IF(AND(ISNUMBER(G283),ISNUMBER(L283)),(L283-G283),"")</f>
        <v/>
      </c>
      <c r="O283" s="10" t="n">
        <v>45666.46659722222</v>
      </c>
      <c r="P283" s="11">
        <f>IF(AND(ISNUMBER(I283),ISNUMBER(O283)),(I283-O283),"")</f>
        <v/>
      </c>
      <c r="Q283" s="12" t="inlineStr">
        <is>
          <t>WG 1007301 entered track and got secured then waited 7:50:20 for WG 1007910 to get coupled then waited 8:07:08 for WG 1008102 to get coupled then waited 4:05:35 for WG 1008402 to get coupled then waited 2:07:15 for WG 1008802 to get coupled, OBTP started on 09:23:27 finished on 09:57:45 and then left at 09:58:47</t>
        </is>
      </c>
    </row>
    <row r="284">
      <c r="A284" s="3" t="inlineStr">
        <is>
          <t>1007302</t>
        </is>
      </c>
      <c r="B284" s="3" t="inlineStr">
        <is>
          <t>10073</t>
        </is>
      </c>
      <c r="C284" s="9" t="n">
        <v>414.6799999999999</v>
      </c>
      <c r="D284" s="3" t="inlineStr">
        <is>
          <t>Wien Kledering</t>
        </is>
      </c>
      <c r="E284" s="10" t="n">
        <v>45666.45423611111</v>
      </c>
      <c r="F284" s="10" t="n">
        <v>45666.46443287037</v>
      </c>
      <c r="G284" s="10" t="n">
        <v>45666.46708333334</v>
      </c>
      <c r="H284" s="3" t="inlineStr">
        <is>
          <t>OBT090125111603-Wien Kledering</t>
        </is>
      </c>
      <c r="I284" s="10" t="n">
        <v>45666.47032407407</v>
      </c>
      <c r="J284" s="10" t="n">
        <v>45666.54231481482</v>
      </c>
      <c r="K284" s="10" t="n">
        <v>45666.54231481482</v>
      </c>
      <c r="L284" s="10" t="n">
        <v>45666.54386574074</v>
      </c>
      <c r="M284" s="11">
        <f>IF(AND(ISNUMBER(E284),ISNUMBER(G284)),(G284-E284),"")</f>
        <v/>
      </c>
      <c r="N284" s="11">
        <f>IF(AND(ISNUMBER(G284),ISNUMBER(L284)),(L284-G284),"")</f>
        <v/>
      </c>
      <c r="O284" s="10" t="n">
        <v>45666.46947916667</v>
      </c>
      <c r="P284" s="11">
        <f>IF(AND(ISNUMBER(I284),ISNUMBER(O284)),(I284-O284),"")</f>
        <v/>
      </c>
      <c r="Q284" s="12" t="inlineStr">
        <is>
          <t>WG 1007302 entered track and got secured, OBTP started on 11:17:16 finished on 13:00:56 and then left at 13:03:10</t>
        </is>
      </c>
    </row>
    <row r="285">
      <c r="A285" s="3" t="inlineStr">
        <is>
          <t>1007401</t>
        </is>
      </c>
      <c r="B285" s="3" t="inlineStr">
        <is>
          <t>10074</t>
        </is>
      </c>
      <c r="C285" s="9" t="n">
        <v>241.38</v>
      </c>
      <c r="D285" s="3" t="inlineStr">
        <is>
          <t>Wien Kledering</t>
        </is>
      </c>
      <c r="E285" s="10" t="n">
        <v>45666.60893518518</v>
      </c>
      <c r="F285" s="10" t="n">
        <v>45666.61451388889</v>
      </c>
      <c r="G285" s="10" t="n">
        <v>45666.61677083333</v>
      </c>
      <c r="H285" s="3" t="inlineStr">
        <is>
          <t>OBT090125145115-Wien Kledering</t>
        </is>
      </c>
      <c r="I285" s="10" t="n">
        <v>45666.61979166666</v>
      </c>
      <c r="J285" s="10" t="n">
        <v>45666.66170138889</v>
      </c>
      <c r="K285" s="10" t="n">
        <v>45666.66170138889</v>
      </c>
      <c r="L285" s="10" t="n">
        <v>45666.6628587963</v>
      </c>
      <c r="M285" s="11">
        <f>IF(AND(ISNUMBER(E285),ISNUMBER(G285)),(G285-E285),"")</f>
        <v/>
      </c>
      <c r="N285" s="11">
        <f>IF(AND(ISNUMBER(G285),ISNUMBER(L285)),(L285-G285),"")</f>
        <v/>
      </c>
      <c r="O285" s="10" t="n">
        <v>45666.61892361111</v>
      </c>
      <c r="P285" s="11">
        <f>IF(AND(ISNUMBER(I285),ISNUMBER(O285)),(I285-O285),"")</f>
        <v/>
      </c>
      <c r="Q285" s="12" t="inlineStr">
        <is>
          <t>WG 1007401 entered track and got secured, OBTP started on 14:52:30 finished on 15:52:51 and then left at 15:54:31</t>
        </is>
      </c>
    </row>
    <row r="286">
      <c r="A286" s="3" t="inlineStr">
        <is>
          <t>1007501</t>
        </is>
      </c>
      <c r="B286" s="3" t="inlineStr">
        <is>
          <t>10075</t>
        </is>
      </c>
      <c r="C286" s="9" t="n">
        <v>58.5</v>
      </c>
      <c r="D286" s="3" t="inlineStr">
        <is>
          <t>Neudörfl (FunderMax)</t>
        </is>
      </c>
      <c r="E286" s="10" t="n">
        <v>45666.62788194444</v>
      </c>
      <c r="F286" s="10" t="n">
        <v>45666.63916666667</v>
      </c>
      <c r="G286" s="10" t="n">
        <v>45666.64121527778</v>
      </c>
      <c r="H286" s="3" t="inlineStr">
        <is>
          <t>OBT090125152828-Neudörfl (FunderMax)</t>
        </is>
      </c>
      <c r="I286" s="10" t="n">
        <v>45666.64561342593</v>
      </c>
      <c r="J286" s="10" t="n">
        <v>45666.66592592592</v>
      </c>
      <c r="K286" s="10" t="n">
        <v>45666.66592592592</v>
      </c>
      <c r="L286" s="10" t="n">
        <v>45666.66673611111</v>
      </c>
      <c r="M286" s="11">
        <f>IF(AND(ISNUMBER(E286),ISNUMBER(G286)),(G286-E286),"")</f>
        <v/>
      </c>
      <c r="N286" s="11">
        <f>IF(AND(ISNUMBER(G286),ISNUMBER(L286)),(L286-G286),"")</f>
        <v/>
      </c>
      <c r="O286" s="10" t="n">
        <v>45666.64476851852</v>
      </c>
      <c r="P286" s="11">
        <f>IF(AND(ISNUMBER(I286),ISNUMBER(O286)),(I286-O286),"")</f>
        <v/>
      </c>
      <c r="Q286" s="12" t="inlineStr">
        <is>
          <t>WG 1007501 entered track and got coupled to WG 1006903, OBTP started on 15:29:41 finished on 15:58:56 and then left at 16:00:06</t>
        </is>
      </c>
    </row>
    <row r="287">
      <c r="A287" s="3" t="inlineStr">
        <is>
          <t>1007502</t>
        </is>
      </c>
      <c r="B287" s="3" t="inlineStr">
        <is>
          <t>10075</t>
        </is>
      </c>
      <c r="C287" s="9" t="n">
        <v>91.18000000000001</v>
      </c>
      <c r="D287" s="3" t="inlineStr">
        <is>
          <t>Other sidings north</t>
        </is>
      </c>
      <c r="E287" s="10" t="n">
        <v>45666.62788194444</v>
      </c>
      <c r="F287" s="10" t="n">
        <v>45666.64121527778</v>
      </c>
      <c r="G287" s="10" t="n">
        <v>45666.64334490741</v>
      </c>
      <c r="H287" s="3" t="inlineStr">
        <is>
          <t>OBT090125182601-Other sidings north</t>
        </is>
      </c>
      <c r="I287" s="10" t="n">
        <v>45666.76969907407</v>
      </c>
      <c r="J287" s="10" t="n">
        <v>45666.79645833333</v>
      </c>
      <c r="K287" s="10" t="n">
        <v>45666.79645833333</v>
      </c>
      <c r="L287" s="10" t="n">
        <v>45666.79736111111</v>
      </c>
      <c r="M287" s="11">
        <f>IF(AND(ISNUMBER(E287),ISNUMBER(G287)),(G287-E287),"")</f>
        <v/>
      </c>
      <c r="N287" s="11">
        <f>IF(AND(ISNUMBER(G287),ISNUMBER(L287)),(L287-G287),"")</f>
        <v/>
      </c>
      <c r="O287" s="10" t="n">
        <v>45666.64574074074</v>
      </c>
      <c r="P287" s="11">
        <f>IF(AND(ISNUMBER(I287),ISNUMBER(O287)),(I287-O287),"")</f>
        <v/>
      </c>
      <c r="Q287" s="12" t="inlineStr">
        <is>
          <t>WG 1007502 entered track and got secured then waited 2:56:09 for WG 1007705 to get coupled, OBTP started on 18:28:22 finished on 19:06:54 and then left at 19:08:12</t>
        </is>
      </c>
    </row>
    <row r="288">
      <c r="A288" s="3" t="inlineStr">
        <is>
          <t>1007503</t>
        </is>
      </c>
      <c r="B288" s="3" t="inlineStr">
        <is>
          <t>10075</t>
        </is>
      </c>
      <c r="C288" s="9" t="n">
        <v>131.94</v>
      </c>
      <c r="D288" s="3" t="inlineStr">
        <is>
          <t>Pitten (Hamburger)</t>
        </is>
      </c>
      <c r="E288" s="10" t="n">
        <v>45666.62788194444</v>
      </c>
      <c r="F288" s="10" t="n">
        <v>45666.64334490741</v>
      </c>
      <c r="G288" s="10" t="n">
        <v>45666.645</v>
      </c>
      <c r="H288" s="3" t="inlineStr">
        <is>
          <t>OBT090125153241-Pitten (Hamburger)</t>
        </is>
      </c>
      <c r="I288" s="10" t="n">
        <v>45666.65365740741</v>
      </c>
      <c r="J288" s="10" t="n">
        <v>45666.6765625</v>
      </c>
      <c r="K288" s="10" t="n">
        <v>45666.6765625</v>
      </c>
      <c r="L288" s="10" t="n">
        <v>45666.67734953704</v>
      </c>
      <c r="M288" s="11">
        <f>IF(AND(ISNUMBER(E288),ISNUMBER(G288)),(G288-E288),"")</f>
        <v/>
      </c>
      <c r="N288" s="11">
        <f>IF(AND(ISNUMBER(G288),ISNUMBER(L288)),(L288-G288),"")</f>
        <v/>
      </c>
      <c r="O288" s="10" t="n">
        <v>45666.64769675926</v>
      </c>
      <c r="P288" s="11">
        <f>IF(AND(ISNUMBER(I288),ISNUMBER(O288)),(I288-O288),"")</f>
        <v/>
      </c>
      <c r="Q288" s="12" t="inlineStr">
        <is>
          <t>WG 1007503 entered track and got secured, OBTP started on 15:41:16 finished on 16:14:15 and then left at 16:15:23</t>
        </is>
      </c>
    </row>
    <row r="289">
      <c r="A289" s="3" t="inlineStr">
        <is>
          <t>1007504</t>
        </is>
      </c>
      <c r="B289" s="3" t="inlineStr">
        <is>
          <t>10075</t>
        </is>
      </c>
      <c r="C289" s="9" t="n">
        <v>110.18</v>
      </c>
      <c r="D289" s="3" t="inlineStr">
        <is>
          <t>Ebenfurth (beet loading)</t>
        </is>
      </c>
      <c r="E289" s="10" t="n">
        <v>45666.62788194444</v>
      </c>
      <c r="F289" s="10" t="n">
        <v>45666.645</v>
      </c>
      <c r="G289" s="10" t="n">
        <v>45666.64637731481</v>
      </c>
      <c r="H289" s="3" t="inlineStr">
        <is>
          <t>OBT090125153646-Ebenfurth (beet loading)</t>
        </is>
      </c>
      <c r="I289" s="10" t="n">
        <v>45666.66660879629</v>
      </c>
      <c r="J289" s="10" t="n">
        <v>45666.69666666666</v>
      </c>
      <c r="K289" s="10" t="n">
        <v>45666.69666666666</v>
      </c>
      <c r="L289" s="10" t="n">
        <v>45666.69753472223</v>
      </c>
      <c r="M289" s="11">
        <f>IF(AND(ISNUMBER(E289),ISNUMBER(G289)),(G289-E289),"")</f>
        <v/>
      </c>
      <c r="N289" s="11">
        <f>IF(AND(ISNUMBER(G289),ISNUMBER(L289)),(L289-G289),"")</f>
        <v/>
      </c>
      <c r="O289" s="10" t="n">
        <v>45666.65053240741</v>
      </c>
      <c r="P289" s="11">
        <f>IF(AND(ISNUMBER(I289),ISNUMBER(O289)),(I289-O289),"")</f>
        <v/>
      </c>
      <c r="Q289" s="12" t="inlineStr">
        <is>
          <t>WG 1007504 entered track and got coupled to WG 1006901, OBTP started on 15:59:55 finished on 16:43:12 and then left at 16:44:27</t>
        </is>
      </c>
    </row>
    <row r="290">
      <c r="A290" s="3" t="inlineStr">
        <is>
          <t>1007505</t>
        </is>
      </c>
      <c r="B290" s="3" t="inlineStr">
        <is>
          <t>10075</t>
        </is>
      </c>
      <c r="C290" s="9" t="n">
        <v>15.74</v>
      </c>
      <c r="D290" s="3" t="inlineStr">
        <is>
          <t>Obereggendorf (Hofer)</t>
        </is>
      </c>
      <c r="E290" s="10" t="n">
        <v>45666.62788194444</v>
      </c>
      <c r="F290" s="10" t="n">
        <v>45666.64637731481</v>
      </c>
      <c r="G290" s="10" t="n">
        <v>45666.64798611111</v>
      </c>
      <c r="H290" s="3" t="inlineStr">
        <is>
          <t>OBT090125184904-Obereggendorf (Hofer)</t>
        </is>
      </c>
      <c r="I290" s="10" t="n">
        <v>45666.79814814815</v>
      </c>
      <c r="J290" s="10" t="n">
        <v>45666.81584490741</v>
      </c>
      <c r="K290" s="10" t="n">
        <v>45666.81584490741</v>
      </c>
      <c r="L290" s="10" t="n">
        <v>45666.81667824074</v>
      </c>
      <c r="M290" s="11">
        <f>IF(AND(ISNUMBER(E290),ISNUMBER(G290)),(G290-E290),"")</f>
        <v/>
      </c>
      <c r="N290" s="11">
        <f>IF(AND(ISNUMBER(G290),ISNUMBER(L290)),(L290-G290),"")</f>
        <v/>
      </c>
      <c r="O290" s="10" t="n">
        <v>45666.65201388889</v>
      </c>
      <c r="P290" s="11">
        <f>IF(AND(ISNUMBER(I290),ISNUMBER(O290)),(I290-O290),"")</f>
        <v/>
      </c>
      <c r="Q290" s="12" t="inlineStr">
        <is>
          <t>WG 1007505 entered track and got coupled to WG 1006409 then waited 3:10:10 for WG 1007904 to get coupled, OBTP started on 19:09:20 finished on 19:34:49 and then left at 19:36:01</t>
        </is>
      </c>
    </row>
    <row r="291">
      <c r="A291" s="3" t="inlineStr">
        <is>
          <t>1007601</t>
        </is>
      </c>
      <c r="B291" s="3" t="inlineStr">
        <is>
          <t>10076</t>
        </is>
      </c>
      <c r="C291" s="9" t="n">
        <v>314.8000000000001</v>
      </c>
      <c r="D291" s="3" t="inlineStr">
        <is>
          <t>Wien Kledering</t>
        </is>
      </c>
      <c r="E291" s="10" t="n">
        <v>45666.64556712963</v>
      </c>
      <c r="F291" s="10" t="n">
        <v>45666.65178240741</v>
      </c>
      <c r="G291" s="10" t="n">
        <v>45666.65394675926</v>
      </c>
      <c r="H291" s="3" t="inlineStr">
        <is>
          <t>OBT090125155728-Wien Kledering</t>
        </is>
      </c>
      <c r="I291" s="10" t="n">
        <v>45666.66761574074</v>
      </c>
      <c r="J291" s="10" t="n">
        <v>45666.72226851852</v>
      </c>
      <c r="K291" s="10" t="n">
        <v>45666.72226851852</v>
      </c>
      <c r="L291" s="10" t="n">
        <v>45666.72354166667</v>
      </c>
      <c r="M291" s="11">
        <f>IF(AND(ISNUMBER(E291),ISNUMBER(G291)),(G291-E291),"")</f>
        <v/>
      </c>
      <c r="N291" s="11">
        <f>IF(AND(ISNUMBER(G291),ISNUMBER(L291)),(L291-G291),"")</f>
        <v/>
      </c>
      <c r="O291" s="10" t="n">
        <v>45666.66490740741</v>
      </c>
      <c r="P291" s="11">
        <f>IF(AND(ISNUMBER(I291),ISNUMBER(O291)),(I291-O291),"")</f>
        <v/>
      </c>
      <c r="Q291" s="12" t="inlineStr">
        <is>
          <t>WG 1007601 entered track and got secured, OBTP started on 16:01:22 finished on 17:20:04 and then left at 17:21:54</t>
        </is>
      </c>
    </row>
    <row r="292">
      <c r="A292" s="3" t="inlineStr">
        <is>
          <t>1007701</t>
        </is>
      </c>
      <c r="B292" s="3" t="inlineStr">
        <is>
          <t>10077</t>
        </is>
      </c>
      <c r="C292" s="9" t="n">
        <v>19.9</v>
      </c>
      <c r="D292" s="3" t="inlineStr">
        <is>
          <t>Neunkirchen (loading tracks)</t>
        </is>
      </c>
      <c r="E292" s="10" t="n">
        <v>45666.74076388889</v>
      </c>
      <c r="F292" s="10" t="n">
        <v>45666.75599537037</v>
      </c>
      <c r="G292" s="10" t="n">
        <v>45666.75728009259</v>
      </c>
      <c r="H292" s="3" t="inlineStr">
        <is>
          <t>OBT090125182822-Neunkirchen (loading tracks)</t>
        </is>
      </c>
      <c r="I292" s="10" t="n">
        <v>45666.79081018519</v>
      </c>
      <c r="J292" s="10" t="n">
        <v>45666.80951388889</v>
      </c>
      <c r="K292" s="10" t="n">
        <v>45666.80951388889</v>
      </c>
      <c r="L292" s="10" t="n">
        <v>45666.81018518518</v>
      </c>
      <c r="M292" s="11">
        <f>IF(AND(ISNUMBER(E292),ISNUMBER(G292)),(G292-E292),"")</f>
        <v/>
      </c>
      <c r="N292" s="11">
        <f>IF(AND(ISNUMBER(G292),ISNUMBER(L292)),(L292-G292),"")</f>
        <v/>
      </c>
      <c r="O292" s="10" t="n">
        <v>45666.7612037037</v>
      </c>
      <c r="P292" s="11">
        <f>IF(AND(ISNUMBER(I292),ISNUMBER(O292)),(I292-O292),"")</f>
        <v/>
      </c>
      <c r="Q292" s="12" t="inlineStr">
        <is>
          <t>WG 1007701 entered track and got coupled to WG 1006906 then waited 0:12:14 for WG 1007706 to get coupled, OBTP started on 18:58:46 finished on 19:25:42 and then left at 19:26:40</t>
        </is>
      </c>
    </row>
    <row r="293">
      <c r="A293" s="3" t="inlineStr">
        <is>
          <t>1007702</t>
        </is>
      </c>
      <c r="B293" s="3" t="inlineStr">
        <is>
          <t>10077</t>
        </is>
      </c>
      <c r="C293" s="9" t="n">
        <v>19.9</v>
      </c>
      <c r="D293" s="3" t="inlineStr">
        <is>
          <t>Felixdorf/Sollenau (Bundesheer, Maba)</t>
        </is>
      </c>
      <c r="E293" s="10" t="n">
        <v>45666.74076388889</v>
      </c>
      <c r="F293" s="10" t="n">
        <v>45666.75728009259</v>
      </c>
      <c r="G293" s="10" t="n">
        <v>45666.75931712963</v>
      </c>
      <c r="H293" s="3" t="inlineStr">
        <is>
          <t>OBT090125204342-Felixdorf/Sollenau (Bundesheer, Maba)</t>
        </is>
      </c>
      <c r="I293" s="10" t="n">
        <v>45666.86454861111</v>
      </c>
      <c r="J293" s="10" t="n">
        <v>45666.88584490741</v>
      </c>
      <c r="K293" s="10" t="n">
        <v>45666.88584490741</v>
      </c>
      <c r="L293" s="10" t="n">
        <v>45666.88663194444</v>
      </c>
      <c r="M293" s="11">
        <f>IF(AND(ISNUMBER(E293),ISNUMBER(G293)),(G293-E293),"")</f>
        <v/>
      </c>
      <c r="N293" s="11">
        <f>IF(AND(ISNUMBER(G293),ISNUMBER(L293)),(L293-G293),"")</f>
        <v/>
      </c>
      <c r="O293" s="10" t="n">
        <v>45666.76288194444</v>
      </c>
      <c r="P293" s="11">
        <f>IF(AND(ISNUMBER(I293),ISNUMBER(O293)),(I293-O293),"")</f>
        <v/>
      </c>
      <c r="Q293" s="12" t="inlineStr">
        <is>
          <t>WG 1007702 entered track and got coupled to WG 1006704 then waited 2:22:34 for WG 1008005 to get coupled then waited 0:02:35 for WG 1008006 to get coupled, OBTP started on 20:44:57 finished on 21:15:37 and then left at 21:16:45</t>
        </is>
      </c>
    </row>
    <row r="294">
      <c r="A294" s="3" t="inlineStr">
        <is>
          <t>1007703</t>
        </is>
      </c>
      <c r="B294" s="3" t="inlineStr">
        <is>
          <t>10077</t>
        </is>
      </c>
      <c r="C294" s="9" t="n">
        <v>15.74</v>
      </c>
      <c r="D294" s="3" t="inlineStr">
        <is>
          <t>Steinabrückl/Wöllersdorf</t>
        </is>
      </c>
      <c r="E294" s="10" t="n">
        <v>45666.74076388889</v>
      </c>
      <c r="F294" s="10" t="n">
        <v>45666.75931712963</v>
      </c>
      <c r="G294" s="10" t="n">
        <v>45666.76104166666</v>
      </c>
      <c r="H294" s="3" t="inlineStr">
        <is>
          <t>OBT090125184210-Steinabrückl/Wöllersdorf</t>
        </is>
      </c>
      <c r="I294" s="10" t="n">
        <v>45666.79709490741</v>
      </c>
      <c r="J294" s="10" t="n">
        <v>45666.81622685185</v>
      </c>
      <c r="K294" s="10" t="n">
        <v>45666.81667824074</v>
      </c>
      <c r="L294" s="10" t="n">
        <v>45666.8174537037</v>
      </c>
      <c r="M294" s="11">
        <f>IF(AND(ISNUMBER(E294),ISNUMBER(G294)),(G294-E294),"")</f>
        <v/>
      </c>
      <c r="N294" s="11">
        <f>IF(AND(ISNUMBER(G294),ISNUMBER(L294)),(L294-G294),"")</f>
        <v/>
      </c>
      <c r="O294" s="10" t="n">
        <v>45666.76496527778</v>
      </c>
      <c r="P294" s="11">
        <f>IF(AND(ISNUMBER(I294),ISNUMBER(O294)),(I294-O294),"")</f>
        <v/>
      </c>
      <c r="Q294" s="12" t="inlineStr">
        <is>
          <t>WG 1007703 entered track and got coupled to WG 1006403 then waited 0:20:37 for WG 1007902 to get coupled, OBTP started on 19:07:49 finished on 19:35:22 and then left at 19:37:08</t>
        </is>
      </c>
    </row>
    <row r="295">
      <c r="A295" s="3" t="inlineStr">
        <is>
          <t>1007704</t>
        </is>
      </c>
      <c r="B295" s="3" t="inlineStr">
        <is>
          <t>10077</t>
        </is>
      </c>
      <c r="C295" s="9" t="n">
        <v>116.94</v>
      </c>
      <c r="D295" s="3" t="inlineStr">
        <is>
          <t>Pitten (Hamburger)</t>
        </is>
      </c>
      <c r="E295" s="10" t="n">
        <v>45666.74076388889</v>
      </c>
      <c r="F295" s="10" t="n">
        <v>45666.76104166666</v>
      </c>
      <c r="G295" s="10" t="n">
        <v>45666.76243055556</v>
      </c>
      <c r="H295" s="3" t="inlineStr">
        <is>
          <t>OBT090125182121-Pitten (Hamburger)</t>
        </is>
      </c>
      <c r="I295" s="10" t="n">
        <v>45666.7656712963</v>
      </c>
      <c r="J295" s="10" t="n">
        <v>45666.78597222222</v>
      </c>
      <c r="K295" s="10" t="n">
        <v>45666.78597222222</v>
      </c>
      <c r="L295" s="10" t="n">
        <v>45666.78670138889</v>
      </c>
      <c r="M295" s="11">
        <f>IF(AND(ISNUMBER(E295),ISNUMBER(G295)),(G295-E295),"")</f>
        <v/>
      </c>
      <c r="N295" s="11">
        <f>IF(AND(ISNUMBER(G295),ISNUMBER(L295)),(L295-G295),"")</f>
        <v/>
      </c>
      <c r="O295" s="10" t="n">
        <v>45666.76482638889</v>
      </c>
      <c r="P295" s="11">
        <f>IF(AND(ISNUMBER(I295),ISNUMBER(O295)),(I295-O295),"")</f>
        <v/>
      </c>
      <c r="Q295" s="12" t="inlineStr">
        <is>
          <t>WG 1007704 entered track and got secured, OBTP started on 18:22:34 finished on 18:51:48 and then left at 18:52:51</t>
        </is>
      </c>
    </row>
    <row r="296">
      <c r="A296" s="3" t="inlineStr">
        <is>
          <t>1007705</t>
        </is>
      </c>
      <c r="B296" s="3" t="inlineStr">
        <is>
          <t>10077</t>
        </is>
      </c>
      <c r="C296" s="9" t="n">
        <v>62.96</v>
      </c>
      <c r="D296" s="3" t="inlineStr">
        <is>
          <t>Other sidings north</t>
        </is>
      </c>
      <c r="E296" s="10" t="n">
        <v>45666.74076388889</v>
      </c>
      <c r="F296" s="10" t="n">
        <v>45666.76243055556</v>
      </c>
      <c r="G296" s="10" t="n">
        <v>45666.76449074074</v>
      </c>
      <c r="H296" s="3" t="inlineStr">
        <is>
          <t>OBT090125182601-Other sidings north</t>
        </is>
      </c>
      <c r="I296" s="10" t="n">
        <v>45666.76969907407</v>
      </c>
      <c r="J296" s="10" t="n">
        <v>45666.79645833333</v>
      </c>
      <c r="K296" s="10" t="n">
        <v>45666.79645833333</v>
      </c>
      <c r="L296" s="10" t="n">
        <v>45666.79736111111</v>
      </c>
      <c r="M296" s="11">
        <f>IF(AND(ISNUMBER(E296),ISNUMBER(G296)),(G296-E296),"")</f>
        <v/>
      </c>
      <c r="N296" s="11">
        <f>IF(AND(ISNUMBER(G296),ISNUMBER(L296)),(L296-G296),"")</f>
        <v/>
      </c>
      <c r="O296" s="10" t="n">
        <v>45666.76806712963</v>
      </c>
      <c r="P296" s="11">
        <f>IF(AND(ISNUMBER(I296),ISNUMBER(O296)),(I296-O296),"")</f>
        <v/>
      </c>
      <c r="Q296" s="12" t="inlineStr">
        <is>
          <t>WG 1007705 entered track and got coupled to WG 1007502, OBTP started on 18:28:22 finished on 19:06:54 and then left at 19:08:12</t>
        </is>
      </c>
    </row>
    <row r="297">
      <c r="A297" s="3" t="inlineStr">
        <is>
          <t>1007706</t>
        </is>
      </c>
      <c r="B297" s="3" t="inlineStr">
        <is>
          <t>10077</t>
        </is>
      </c>
      <c r="C297" s="9" t="n">
        <v>19.9</v>
      </c>
      <c r="D297" s="3" t="inlineStr">
        <is>
          <t>Neunkirchen (loading tracks)</t>
        </is>
      </c>
      <c r="E297" s="10" t="n">
        <v>45666.74076388889</v>
      </c>
      <c r="F297" s="10" t="n">
        <v>45666.76449074074</v>
      </c>
      <c r="G297" s="10" t="n">
        <v>45666.76577546296</v>
      </c>
      <c r="H297" s="3" t="inlineStr">
        <is>
          <t>OBT090125182822-Neunkirchen (loading tracks)</t>
        </is>
      </c>
      <c r="I297" s="10" t="n">
        <v>45666.79081018519</v>
      </c>
      <c r="J297" s="10" t="n">
        <v>45666.80951388889</v>
      </c>
      <c r="K297" s="10" t="n">
        <v>45666.80951388889</v>
      </c>
      <c r="L297" s="10" t="n">
        <v>45666.81018518518</v>
      </c>
      <c r="M297" s="11">
        <f>IF(AND(ISNUMBER(E297),ISNUMBER(G297)),(G297-E297),"")</f>
        <v/>
      </c>
      <c r="N297" s="11">
        <f>IF(AND(ISNUMBER(G297),ISNUMBER(L297)),(L297-G297),"")</f>
        <v/>
      </c>
      <c r="O297" s="10" t="n">
        <v>45666.76969907407</v>
      </c>
      <c r="P297" s="11">
        <f>IF(AND(ISNUMBER(I297),ISNUMBER(O297)),(I297-O297),"")</f>
        <v/>
      </c>
      <c r="Q297" s="12" t="inlineStr">
        <is>
          <t>WG 1007706 entered track and got coupled to WG 1007701, OBTP started on 18:58:46 finished on 19:25:42 and then left at 19:26:40</t>
        </is>
      </c>
    </row>
    <row r="298">
      <c r="A298" s="3" t="inlineStr">
        <is>
          <t>1007707</t>
        </is>
      </c>
      <c r="B298" s="3" t="inlineStr">
        <is>
          <t>10077</t>
        </is>
      </c>
      <c r="C298" s="9" t="n">
        <v>28</v>
      </c>
      <c r="D298" s="3" t="inlineStr">
        <is>
          <t>Wr. Neustadt (Brenntag)</t>
        </is>
      </c>
      <c r="E298" s="10" t="n">
        <v>45666.74076388889</v>
      </c>
      <c r="F298" s="10" t="n">
        <v>45666.76577546296</v>
      </c>
      <c r="G298" s="10" t="n">
        <v>45666.76730324074</v>
      </c>
      <c r="H298" s="3" t="inlineStr">
        <is>
          <t>OBT090125185836-Wr. Neustadt (Brenntag)</t>
        </is>
      </c>
      <c r="I298" s="10" t="n">
        <v>45666.81125</v>
      </c>
      <c r="J298" s="10" t="n">
        <v>45666.83219907407</v>
      </c>
      <c r="K298" s="10" t="n">
        <v>45666.83219907407</v>
      </c>
      <c r="L298" s="10" t="n">
        <v>45666.83302083334</v>
      </c>
      <c r="M298" s="11">
        <f>IF(AND(ISNUMBER(E298),ISNUMBER(G298)),(G298-E298),"")</f>
        <v/>
      </c>
      <c r="N298" s="11">
        <f>IF(AND(ISNUMBER(G298),ISNUMBER(L298)),(L298-G298),"")</f>
        <v/>
      </c>
      <c r="O298" s="10" t="n">
        <v>45666.76969907407</v>
      </c>
      <c r="P298" s="11">
        <f>IF(AND(ISNUMBER(I298),ISNUMBER(O298)),(I298-O298),"")</f>
        <v/>
      </c>
      <c r="Q298" s="12" t="inlineStr">
        <is>
          <t>WG 1007707 entered track and got secured then waited 0:06:54 for WG 1007709 to get coupled then waited 0:14:06 for WG 1007905 to get coupled then waited 0:09:14 for WG 1007909 to get coupled, OBTP started on 19:28:12 finished on 19:58:22 and then left at 19:59:33</t>
        </is>
      </c>
    </row>
    <row r="299">
      <c r="A299" s="3" t="inlineStr">
        <is>
          <t>1007708</t>
        </is>
      </c>
      <c r="B299" s="3" t="inlineStr">
        <is>
          <t>10077</t>
        </is>
      </c>
      <c r="C299" s="9" t="n">
        <v>19.9</v>
      </c>
      <c r="D299" s="3" t="inlineStr">
        <is>
          <t>Neudörfl (FunderMax)</t>
        </is>
      </c>
      <c r="E299" s="10" t="n">
        <v>45666.74076388889</v>
      </c>
      <c r="F299" s="10" t="n">
        <v>45666.76730324074</v>
      </c>
      <c r="G299" s="10" t="n">
        <v>45666.76903935185</v>
      </c>
      <c r="H299" s="3" t="inlineStr">
        <is>
          <t>OBT090125190525-Neudörfl (FunderMax)</t>
        </is>
      </c>
      <c r="I299" s="10" t="n">
        <v>45666.8175462963</v>
      </c>
      <c r="J299" s="10" t="n">
        <v>45666.84138888889</v>
      </c>
      <c r="K299" s="10" t="n">
        <v>45666.84138888889</v>
      </c>
      <c r="L299" s="10" t="n">
        <v>45666.84230324074</v>
      </c>
      <c r="M299" s="11">
        <f>IF(AND(ISNUMBER(E299),ISNUMBER(G299)),(G299-E299),"")</f>
        <v/>
      </c>
      <c r="N299" s="11">
        <f>IF(AND(ISNUMBER(G299),ISNUMBER(L299)),(L299-G299),"")</f>
        <v/>
      </c>
      <c r="O299" s="10" t="n">
        <v>45666.77296296296</v>
      </c>
      <c r="P299" s="11">
        <f>IF(AND(ISNUMBER(I299),ISNUMBER(O299)),(I299-O299),"")</f>
        <v/>
      </c>
      <c r="Q299" s="12" t="inlineStr">
        <is>
          <t>WG 1007708 entered track and got secured then waited 0:22:54 for WG 1007906 to get coupled then waited 0:09:27 for WG 1007911 to get coupled, OBTP started on 19:37:16 finished on 20:11:36 and then left at 20:12:55</t>
        </is>
      </c>
    </row>
    <row r="300">
      <c r="A300" s="3" t="inlineStr">
        <is>
          <t>1007709</t>
        </is>
      </c>
      <c r="B300" s="3" t="inlineStr">
        <is>
          <t>10077</t>
        </is>
      </c>
      <c r="C300" s="9" t="n">
        <v>15.74</v>
      </c>
      <c r="D300" s="3" t="inlineStr">
        <is>
          <t>Ebenfurth (beet loading)</t>
        </is>
      </c>
      <c r="E300" s="10" t="n">
        <v>45666.74076388889</v>
      </c>
      <c r="F300" s="10" t="n">
        <v>45666.76903935185</v>
      </c>
      <c r="G300" s="10" t="n">
        <v>45666.77054398148</v>
      </c>
      <c r="H300" s="3" t="inlineStr">
        <is>
          <t>OBT090125185836-Wr. Neustadt (Brenntag)</t>
        </is>
      </c>
      <c r="I300" s="10" t="n">
        <v>45666.81125</v>
      </c>
      <c r="J300" s="10" t="n">
        <v>45666.83219907407</v>
      </c>
      <c r="K300" s="10" t="n">
        <v>45666.83219907407</v>
      </c>
      <c r="L300" s="10" t="n">
        <v>45666.83302083334</v>
      </c>
      <c r="M300" s="11">
        <f>IF(AND(ISNUMBER(E300),ISNUMBER(G300)),(G300-E300),"")</f>
        <v/>
      </c>
      <c r="N300" s="11">
        <f>IF(AND(ISNUMBER(G300),ISNUMBER(L300)),(L300-G300),"")</f>
        <v/>
      </c>
      <c r="O300" s="10" t="n">
        <v>45666.77449074074</v>
      </c>
      <c r="P300" s="11">
        <f>IF(AND(ISNUMBER(I300),ISNUMBER(O300)),(I300-O300),"")</f>
        <v/>
      </c>
      <c r="Q300" s="12" t="inlineStr">
        <is>
          <t>WG 1007709 entered track and got coupled to WG 1007707 then waited 0:14:06 for WG 1007905 to get coupled then waited 0:09:14 for WG 1007909 to get coupled, OBTP started on 19:28:12 finished on 19:58:22 and then left at 19:59:33</t>
        </is>
      </c>
    </row>
    <row r="301">
      <c r="A301" s="3" t="inlineStr">
        <is>
          <t>1007801</t>
        </is>
      </c>
      <c r="B301" s="3" t="inlineStr">
        <is>
          <t>10078</t>
        </is>
      </c>
      <c r="C301" s="9" t="n">
        <v>47.22</v>
      </c>
      <c r="D301" s="3" t="inlineStr">
        <is>
          <t>Wien Kledering</t>
        </is>
      </c>
      <c r="E301" s="10" t="n">
        <v>45666.74135416667</v>
      </c>
      <c r="F301" s="10" t="n">
        <v>45666.74613425926</v>
      </c>
      <c r="G301" s="10" t="n">
        <v>45666.74795138889</v>
      </c>
      <c r="H301" s="3" t="inlineStr">
        <is>
          <t>OBT100125060642-Wien Kledering</t>
        </is>
      </c>
      <c r="I301" s="10" t="n">
        <v>45667.25549768518</v>
      </c>
      <c r="J301" s="10" t="n">
        <v>45667.31542824074</v>
      </c>
      <c r="K301" s="10" t="n">
        <v>45667.31542824074</v>
      </c>
      <c r="L301" s="10" t="n">
        <v>45667.31671296297</v>
      </c>
      <c r="M301" s="11">
        <f>IF(AND(ISNUMBER(E301),ISNUMBER(G301)),(G301-E301),"")</f>
        <v/>
      </c>
      <c r="N301" s="11">
        <f>IF(AND(ISNUMBER(G301),ISNUMBER(L301)),(L301-G301),"")</f>
        <v/>
      </c>
      <c r="O301" s="10" t="n">
        <v>45666.75032407408</v>
      </c>
      <c r="P301" s="11">
        <f>IF(AND(ISNUMBER(I301),ISNUMBER(O301)),(I301-O301),"")</f>
        <v/>
      </c>
      <c r="Q301" s="12" t="inlineStr">
        <is>
          <t>WG 1007801 entered track and got secured then waited 12:06:14 for WG 1008301 to get coupled, OBTP started on 06:07:55 finished on 07:34:13 and then left at 07:36:04</t>
        </is>
      </c>
    </row>
    <row r="302">
      <c r="A302" s="3" t="inlineStr">
        <is>
          <t>1007901</t>
        </is>
      </c>
      <c r="B302" s="3" t="inlineStr">
        <is>
          <t>10079</t>
        </is>
      </c>
      <c r="C302" s="9" t="n">
        <v>19.9</v>
      </c>
      <c r="D302" s="3" t="inlineStr">
        <is>
          <t>Neunkirchen (loading tracks)</t>
        </is>
      </c>
      <c r="E302" s="10" t="n">
        <v>45666.74327546296</v>
      </c>
      <c r="F302" s="10" t="n">
        <v>45666.77141203704</v>
      </c>
      <c r="G302" s="10" t="n">
        <v>45666.77334490741</v>
      </c>
      <c r="H302" s="3" t="inlineStr">
        <is>
          <t>OBT100125031244-Neunkirchen (loading tracks)</t>
        </is>
      </c>
      <c r="I302" s="10" t="n">
        <v>45667.1346875</v>
      </c>
      <c r="J302" s="10" t="n">
        <v>45667.17326388889</v>
      </c>
      <c r="K302" s="10" t="n">
        <v>45667.17326388889</v>
      </c>
      <c r="L302" s="10" t="n">
        <v>45667.17431712963</v>
      </c>
      <c r="M302" s="11">
        <f>IF(AND(ISNUMBER(E302),ISNUMBER(G302)),(G302-E302),"")</f>
        <v/>
      </c>
      <c r="N302" s="11">
        <f>IF(AND(ISNUMBER(G302),ISNUMBER(L302)),(L302-G302),"")</f>
        <v/>
      </c>
      <c r="O302" s="10" t="n">
        <v>45666.77622685185</v>
      </c>
      <c r="P302" s="11">
        <f>IF(AND(ISNUMBER(I302),ISNUMBER(O302)),(I302-O302),"")</f>
        <v/>
      </c>
      <c r="Q302" s="12" t="inlineStr">
        <is>
          <t>WG 1007901 entered track and got secured then waited 0:18:30 for WG 1007907 to get coupled then waited 8:16:28 for WG 1008103 to get coupled, OBTP started on 03:13:57 finished on 04:09:30 and then left at 04:11:01</t>
        </is>
      </c>
    </row>
    <row r="303">
      <c r="A303" s="3" t="inlineStr">
        <is>
          <t>1007902</t>
        </is>
      </c>
      <c r="B303" s="3" t="inlineStr">
        <is>
          <t>10079</t>
        </is>
      </c>
      <c r="C303" s="9" t="n">
        <v>15.74</v>
      </c>
      <c r="D303" s="3" t="inlineStr">
        <is>
          <t>Steinabrückl/Wöllersdorf</t>
        </is>
      </c>
      <c r="E303" s="10" t="n">
        <v>45666.74327546296</v>
      </c>
      <c r="F303" s="10" t="n">
        <v>45666.77334490741</v>
      </c>
      <c r="G303" s="10" t="n">
        <v>45666.77503472222</v>
      </c>
      <c r="H303" s="3" t="inlineStr">
        <is>
          <t>OBT090125184210-Steinabrückl/Wöllersdorf</t>
        </is>
      </c>
      <c r="I303" s="10" t="n">
        <v>45666.79709490741</v>
      </c>
      <c r="J303" s="10" t="n">
        <v>45666.81622685185</v>
      </c>
      <c r="K303" s="10" t="n">
        <v>45666.81667824074</v>
      </c>
      <c r="L303" s="10" t="n">
        <v>45666.8174537037</v>
      </c>
      <c r="M303" s="11">
        <f>IF(AND(ISNUMBER(E303),ISNUMBER(G303)),(G303-E303),"")</f>
        <v/>
      </c>
      <c r="N303" s="11">
        <f>IF(AND(ISNUMBER(G303),ISNUMBER(L303)),(L303-G303),"")</f>
        <v/>
      </c>
      <c r="O303" s="10" t="n">
        <v>45666.77928240741</v>
      </c>
      <c r="P303" s="11">
        <f>IF(AND(ISNUMBER(I303),ISNUMBER(O303)),(I303-O303),"")</f>
        <v/>
      </c>
      <c r="Q303" s="12" t="inlineStr">
        <is>
          <t>WG 1007902 entered track and got coupled to WG 1007703, OBTP started on 19:07:49 finished on 19:35:22 and then left at 19:37:08</t>
        </is>
      </c>
    </row>
    <row r="304">
      <c r="A304" s="3" t="inlineStr">
        <is>
          <t>1007903</t>
        </is>
      </c>
      <c r="B304" s="3" t="inlineStr">
        <is>
          <t>10079</t>
        </is>
      </c>
      <c r="C304" s="9" t="n">
        <v>74.62</v>
      </c>
      <c r="D304" s="3" t="inlineStr">
        <is>
          <t>Other sidings north</t>
        </is>
      </c>
      <c r="E304" s="10" t="n">
        <v>45666.74327546296</v>
      </c>
      <c r="F304" s="10" t="n">
        <v>45666.77503472222</v>
      </c>
      <c r="G304" s="10" t="n">
        <v>45666.77706018519</v>
      </c>
      <c r="H304" s="3" t="inlineStr">
        <is>
          <t>OBT090125204925-Other sidings north</t>
        </is>
      </c>
      <c r="I304" s="10" t="n">
        <v>45666.86848379629</v>
      </c>
      <c r="J304" s="10" t="n">
        <v>45666.8903587963</v>
      </c>
      <c r="K304" s="10" t="n">
        <v>45666.8903587963</v>
      </c>
      <c r="L304" s="10" t="n">
        <v>45666.89103009259</v>
      </c>
      <c r="M304" s="11">
        <f>IF(AND(ISNUMBER(E304),ISNUMBER(G304)),(G304-E304),"")</f>
        <v/>
      </c>
      <c r="N304" s="11">
        <f>IF(AND(ISNUMBER(G304),ISNUMBER(L304)),(L304-G304),"")</f>
        <v/>
      </c>
      <c r="O304" s="10" t="n">
        <v>45666.77949074074</v>
      </c>
      <c r="P304" s="11">
        <f>IF(AND(ISNUMBER(I304),ISNUMBER(O304)),(I304-O304),"")</f>
        <v/>
      </c>
      <c r="Q304" s="12" t="inlineStr">
        <is>
          <t>WG 1007903 entered track and got secured then waited 2:06:57 for WG 1008008 to get coupled, OBTP started on 20:50:37 finished on 21:22:07 and then left at 21:23:05</t>
        </is>
      </c>
    </row>
    <row r="305">
      <c r="A305" s="3" t="inlineStr">
        <is>
          <t>1007904</t>
        </is>
      </c>
      <c r="B305" s="3" t="inlineStr">
        <is>
          <t>10079</t>
        </is>
      </c>
      <c r="C305" s="9" t="n">
        <v>23.24</v>
      </c>
      <c r="D305" s="3" t="inlineStr">
        <is>
          <t>Pitten (Hamburger)</t>
        </is>
      </c>
      <c r="E305" s="10" t="n">
        <v>45666.74327546296</v>
      </c>
      <c r="F305" s="10" t="n">
        <v>45666.77706018519</v>
      </c>
      <c r="G305" s="10" t="n">
        <v>45666.77865740741</v>
      </c>
      <c r="H305" s="3" t="inlineStr">
        <is>
          <t>OBT090125184904-Obereggendorf (Hofer)</t>
        </is>
      </c>
      <c r="I305" s="10" t="n">
        <v>45666.79814814815</v>
      </c>
      <c r="J305" s="10" t="n">
        <v>45666.81584490741</v>
      </c>
      <c r="K305" s="10" t="n">
        <v>45666.81584490741</v>
      </c>
      <c r="L305" s="10" t="n">
        <v>45666.81667824074</v>
      </c>
      <c r="M305" s="11">
        <f>IF(AND(ISNUMBER(E305),ISNUMBER(G305)),(G305-E305),"")</f>
        <v/>
      </c>
      <c r="N305" s="11">
        <f>IF(AND(ISNUMBER(G305),ISNUMBER(L305)),(L305-G305),"")</f>
        <v/>
      </c>
      <c r="O305" s="10" t="n">
        <v>45666.78407407407</v>
      </c>
      <c r="P305" s="11">
        <f>IF(AND(ISNUMBER(I305),ISNUMBER(O305)),(I305-O305),"")</f>
        <v/>
      </c>
      <c r="Q305" s="12" t="inlineStr">
        <is>
          <t>WG 1007904 entered track and got coupled to WG 1007505, OBTP started on 19:09:20 finished on 19:34:49 and then left at 19:36:01</t>
        </is>
      </c>
    </row>
    <row r="306">
      <c r="A306" s="3" t="inlineStr">
        <is>
          <t>1007905</t>
        </is>
      </c>
      <c r="B306" s="3" t="inlineStr">
        <is>
          <t>10079</t>
        </is>
      </c>
      <c r="C306" s="9" t="n">
        <v>14</v>
      </c>
      <c r="D306" s="3" t="inlineStr">
        <is>
          <t>Wr. Neustadt (Brenntag)</t>
        </is>
      </c>
      <c r="E306" s="10" t="n">
        <v>45666.74327546296</v>
      </c>
      <c r="F306" s="10" t="n">
        <v>45666.77865740741</v>
      </c>
      <c r="G306" s="10" t="n">
        <v>45666.78012731481</v>
      </c>
      <c r="H306" s="3" t="inlineStr">
        <is>
          <t>OBT090125185836-Wr. Neustadt (Brenntag)</t>
        </is>
      </c>
      <c r="I306" s="10" t="n">
        <v>45666.81125</v>
      </c>
      <c r="J306" s="10" t="n">
        <v>45666.83219907407</v>
      </c>
      <c r="K306" s="10" t="n">
        <v>45666.83219907407</v>
      </c>
      <c r="L306" s="10" t="n">
        <v>45666.83302083334</v>
      </c>
      <c r="M306" s="11">
        <f>IF(AND(ISNUMBER(E306),ISNUMBER(G306)),(G306-E306),"")</f>
        <v/>
      </c>
      <c r="N306" s="11">
        <f>IF(AND(ISNUMBER(G306),ISNUMBER(L306)),(L306-G306),"")</f>
        <v/>
      </c>
      <c r="O306" s="10" t="n">
        <v>45666.78428240741</v>
      </c>
      <c r="P306" s="11">
        <f>IF(AND(ISNUMBER(I306),ISNUMBER(O306)),(I306-O306),"")</f>
        <v/>
      </c>
      <c r="Q306" s="12" t="inlineStr">
        <is>
          <t>WG 1007905 entered track and got coupled to WG 1007709 then waited 0:09:14 for WG 1007909 to get coupled, OBTP started on 19:28:12 finished on 19:58:22 and then left at 19:59:33</t>
        </is>
      </c>
    </row>
    <row r="307">
      <c r="A307" s="3" t="inlineStr">
        <is>
          <t>1007906</t>
        </is>
      </c>
      <c r="B307" s="3" t="inlineStr">
        <is>
          <t>10079</t>
        </is>
      </c>
      <c r="C307" s="9" t="n">
        <v>15.74</v>
      </c>
      <c r="D307" s="3" t="inlineStr">
        <is>
          <t>Pitten (Hamburger)</t>
        </is>
      </c>
      <c r="E307" s="10" t="n">
        <v>45666.74327546296</v>
      </c>
      <c r="F307" s="10" t="n">
        <v>45666.78012731481</v>
      </c>
      <c r="G307" s="10" t="n">
        <v>45666.7818287037</v>
      </c>
      <c r="H307" s="3" t="inlineStr">
        <is>
          <t>OBT090125190525-Neudörfl (FunderMax)</t>
        </is>
      </c>
      <c r="I307" s="10" t="n">
        <v>45666.8175462963</v>
      </c>
      <c r="J307" s="10" t="n">
        <v>45666.84138888889</v>
      </c>
      <c r="K307" s="10" t="n">
        <v>45666.84138888889</v>
      </c>
      <c r="L307" s="10" t="n">
        <v>45666.84230324074</v>
      </c>
      <c r="M307" s="11">
        <f>IF(AND(ISNUMBER(E307),ISNUMBER(G307)),(G307-E307),"")</f>
        <v/>
      </c>
      <c r="N307" s="11">
        <f>IF(AND(ISNUMBER(G307),ISNUMBER(L307)),(L307-G307),"")</f>
        <v/>
      </c>
      <c r="O307" s="10" t="n">
        <v>45666.78886574074</v>
      </c>
      <c r="P307" s="11">
        <f>IF(AND(ISNUMBER(I307),ISNUMBER(O307)),(I307-O307),"")</f>
        <v/>
      </c>
      <c r="Q307" s="12" t="inlineStr">
        <is>
          <t>WG 1007906 entered track and got coupled to WG 1007708 then waited 0:09:27 for WG 1007911 to get coupled, OBTP started on 19:37:16 finished on 20:11:36 and then left at 20:12:55</t>
        </is>
      </c>
    </row>
    <row r="308">
      <c r="A308" s="3" t="inlineStr">
        <is>
          <t>1007907</t>
        </is>
      </c>
      <c r="B308" s="3" t="inlineStr">
        <is>
          <t>10079</t>
        </is>
      </c>
      <c r="C308" s="9" t="n">
        <v>19.9</v>
      </c>
      <c r="D308" s="3" t="inlineStr">
        <is>
          <t>Neunkirchen (loading tracks)</t>
        </is>
      </c>
      <c r="E308" s="10" t="n">
        <v>45666.74327546296</v>
      </c>
      <c r="F308" s="10" t="n">
        <v>45666.7818287037</v>
      </c>
      <c r="G308" s="10" t="n">
        <v>45666.78376157407</v>
      </c>
      <c r="H308" s="3" t="inlineStr">
        <is>
          <t>OBT100125031244-Neunkirchen (loading tracks)</t>
        </is>
      </c>
      <c r="I308" s="10" t="n">
        <v>45667.1346875</v>
      </c>
      <c r="J308" s="10" t="n">
        <v>45667.17326388889</v>
      </c>
      <c r="K308" s="10" t="n">
        <v>45667.17326388889</v>
      </c>
      <c r="L308" s="10" t="n">
        <v>45667.17431712963</v>
      </c>
      <c r="M308" s="11">
        <f>IF(AND(ISNUMBER(E308),ISNUMBER(G308)),(G308-E308),"")</f>
        <v/>
      </c>
      <c r="N308" s="11">
        <f>IF(AND(ISNUMBER(G308),ISNUMBER(L308)),(L308-G308),"")</f>
        <v/>
      </c>
      <c r="O308" s="10" t="n">
        <v>45666.78907407408</v>
      </c>
      <c r="P308" s="11">
        <f>IF(AND(ISNUMBER(I308),ISNUMBER(O308)),(I308-O308),"")</f>
        <v/>
      </c>
      <c r="Q308" s="12" t="inlineStr">
        <is>
          <t>WG 1007907 entered track and got coupled to WG 1007901 then waited 8:16:28 for WG 1008103 to get coupled, OBTP started on 03:13:57 finished on 04:09:30 and then left at 04:11:01</t>
        </is>
      </c>
    </row>
    <row r="309">
      <c r="A309" s="3" t="inlineStr">
        <is>
          <t>1007908</t>
        </is>
      </c>
      <c r="B309" s="3" t="inlineStr">
        <is>
          <t>10079</t>
        </is>
      </c>
      <c r="C309" s="9" t="n">
        <v>54</v>
      </c>
      <c r="D309" s="3" t="inlineStr">
        <is>
          <t>Wr. Neustadt (Hödlmayr)</t>
        </is>
      </c>
      <c r="E309" s="10" t="n">
        <v>45666.74327546296</v>
      </c>
      <c r="F309" s="10" t="n">
        <v>45666.78376157407</v>
      </c>
      <c r="G309" s="10" t="n">
        <v>45666.7850925926</v>
      </c>
      <c r="H309" s="3" t="inlineStr">
        <is>
          <t>OBT100125071706-Wr. Neustadt (Hödlmayr)</t>
        </is>
      </c>
      <c r="I309" s="10" t="n">
        <v>45667.30527777778</v>
      </c>
      <c r="J309" s="10" t="n">
        <v>45667.33181712963</v>
      </c>
      <c r="K309" s="10" t="n">
        <v>45667.33181712963</v>
      </c>
      <c r="L309" s="10" t="n">
        <v>45667.33260416667</v>
      </c>
      <c r="M309" s="11">
        <f>IF(AND(ISNUMBER(E309),ISNUMBER(G309)),(G309-E309),"")</f>
        <v/>
      </c>
      <c r="N309" s="11">
        <f>IF(AND(ISNUMBER(G309),ISNUMBER(L309)),(L309-G309),"")</f>
        <v/>
      </c>
      <c r="O309" s="10" t="n">
        <v>45666.78890046296</v>
      </c>
      <c r="P309" s="11">
        <f>IF(AND(ISNUMBER(I309),ISNUMBER(O309)),(I309-O309),"")</f>
        <v/>
      </c>
      <c r="Q309" s="12" t="inlineStr">
        <is>
          <t>WG 1007908 entered track and got secured then waited 1:33:45 for WG 1008001 to get coupled then waited 0:05:45 for WG 1008003 to get coupled then waited 10:41:35 for WG 1008403 to get coupled, OBTP started on 07:19:36 finished on 07:57:49 and then left at 07:58:57</t>
        </is>
      </c>
    </row>
    <row r="310">
      <c r="A310" s="3" t="inlineStr">
        <is>
          <t>1007909</t>
        </is>
      </c>
      <c r="B310" s="3" t="inlineStr">
        <is>
          <t>10079</t>
        </is>
      </c>
      <c r="C310" s="9" t="n">
        <v>62.96</v>
      </c>
      <c r="D310" s="3" t="inlineStr">
        <is>
          <t>Ebenfurth (beet loading)</t>
        </is>
      </c>
      <c r="E310" s="10" t="n">
        <v>45666.74327546296</v>
      </c>
      <c r="F310" s="10" t="n">
        <v>45666.7850925926</v>
      </c>
      <c r="G310" s="10" t="n">
        <v>45666.78667824074</v>
      </c>
      <c r="H310" s="3" t="inlineStr">
        <is>
          <t>OBT090125185836-Wr. Neustadt (Brenntag)</t>
        </is>
      </c>
      <c r="I310" s="10" t="n">
        <v>45666.81125</v>
      </c>
      <c r="J310" s="10" t="n">
        <v>45666.83219907407</v>
      </c>
      <c r="K310" s="10" t="n">
        <v>45666.83219907407</v>
      </c>
      <c r="L310" s="10" t="n">
        <v>45666.83302083334</v>
      </c>
      <c r="M310" s="11">
        <f>IF(AND(ISNUMBER(E310),ISNUMBER(G310)),(G310-E310),"")</f>
        <v/>
      </c>
      <c r="N310" s="11">
        <f>IF(AND(ISNUMBER(G310),ISNUMBER(L310)),(L310-G310),"")</f>
        <v/>
      </c>
      <c r="O310" s="10" t="n">
        <v>45666.79069444445</v>
      </c>
      <c r="P310" s="11">
        <f>IF(AND(ISNUMBER(I310),ISNUMBER(O310)),(I310-O310),"")</f>
        <v/>
      </c>
      <c r="Q310" s="12" t="inlineStr">
        <is>
          <t>WG 1007909 entered track and got coupled to WG 1007905, OBTP started on 19:28:12 finished on 19:58:22 and then left at 19:59:33</t>
        </is>
      </c>
    </row>
    <row r="311">
      <c r="A311" s="3" t="inlineStr">
        <is>
          <t>1007910</t>
        </is>
      </c>
      <c r="B311" s="3" t="inlineStr">
        <is>
          <t>10079</t>
        </is>
      </c>
      <c r="C311" s="9" t="n">
        <v>15.74</v>
      </c>
      <c r="D311" s="3" t="inlineStr">
        <is>
          <t>Gloggnitz</t>
        </is>
      </c>
      <c r="E311" s="10" t="n">
        <v>45666.74327546296</v>
      </c>
      <c r="F311" s="10" t="n">
        <v>45666.78667824074</v>
      </c>
      <c r="G311" s="10" t="n">
        <v>45666.78855324074</v>
      </c>
      <c r="H311" s="3" t="inlineStr">
        <is>
          <t>OBT100125092212-St. Veit an der Glan</t>
        </is>
      </c>
      <c r="I311" s="10" t="n">
        <v>45667.39128472222</v>
      </c>
      <c r="J311" s="10" t="n">
        <v>45667.41510416667</v>
      </c>
      <c r="K311" s="10" t="n">
        <v>45667.41510416667</v>
      </c>
      <c r="L311" s="10" t="n">
        <v>45667.41582175926</v>
      </c>
      <c r="M311" s="11">
        <f>IF(AND(ISNUMBER(E311),ISNUMBER(G311)),(G311-E311),"")</f>
        <v/>
      </c>
      <c r="N311" s="11">
        <f>IF(AND(ISNUMBER(G311),ISNUMBER(L311)),(L311-G311),"")</f>
        <v/>
      </c>
      <c r="O311" s="10" t="n">
        <v>45666.7932175926</v>
      </c>
      <c r="P311" s="11">
        <f>IF(AND(ISNUMBER(I311),ISNUMBER(O311)),(I311-O311),"")</f>
        <v/>
      </c>
      <c r="Q311" s="12" t="inlineStr">
        <is>
          <t>WG 1007910 entered track and got coupled to WG 1007301 then waited 8:07:08 for WG 1008102 to get coupled then waited 4:05:35 for WG 1008402 to get coupled then waited 2:07:15 for WG 1008802 to get coupled, OBTP started on 09:23:27 finished on 09:57:45 and then left at 09:58:47</t>
        </is>
      </c>
    </row>
    <row r="312">
      <c r="A312" s="3" t="inlineStr">
        <is>
          <t>1007911</t>
        </is>
      </c>
      <c r="B312" s="3" t="inlineStr">
        <is>
          <t>10079</t>
        </is>
      </c>
      <c r="C312" s="9" t="n">
        <v>101.7</v>
      </c>
      <c r="D312" s="3" t="inlineStr">
        <is>
          <t>Neudörfl (FunderMax)</t>
        </is>
      </c>
      <c r="E312" s="10" t="n">
        <v>45666.74327546296</v>
      </c>
      <c r="F312" s="10" t="n">
        <v>45666.78855324074</v>
      </c>
      <c r="G312" s="10" t="n">
        <v>45666.79045138889</v>
      </c>
      <c r="H312" s="3" t="inlineStr">
        <is>
          <t>OBT090125190525-Neudörfl (FunderMax)</t>
        </is>
      </c>
      <c r="I312" s="10" t="n">
        <v>45666.8175462963</v>
      </c>
      <c r="J312" s="10" t="n">
        <v>45666.84138888889</v>
      </c>
      <c r="K312" s="10" t="n">
        <v>45666.84138888889</v>
      </c>
      <c r="L312" s="10" t="n">
        <v>45666.84230324074</v>
      </c>
      <c r="M312" s="11">
        <f>IF(AND(ISNUMBER(E312),ISNUMBER(G312)),(G312-E312),"")</f>
        <v/>
      </c>
      <c r="N312" s="11">
        <f>IF(AND(ISNUMBER(G312),ISNUMBER(L312)),(L312-G312),"")</f>
        <v/>
      </c>
      <c r="O312" s="10" t="n">
        <v>45666.79542824074</v>
      </c>
      <c r="P312" s="11">
        <f>IF(AND(ISNUMBER(I312),ISNUMBER(O312)),(I312-O312),"")</f>
        <v/>
      </c>
      <c r="Q312" s="12" t="inlineStr">
        <is>
          <t>WG 1007911 entered track and got coupled to WG 1007906, OBTP started on 19:37:16 finished on 20:11:36 and then left at 20:12:55</t>
        </is>
      </c>
    </row>
    <row r="313">
      <c r="A313" s="3" t="inlineStr">
        <is>
          <t>1008001</t>
        </is>
      </c>
      <c r="B313" s="3" t="inlineStr">
        <is>
          <t>10080</t>
        </is>
      </c>
      <c r="C313" s="9" t="n">
        <v>27</v>
      </c>
      <c r="D313" s="3" t="inlineStr">
        <is>
          <t>Wr. Neustadt (Hödlmayr)</t>
        </is>
      </c>
      <c r="E313" s="10" t="n">
        <v>45666.83709490741</v>
      </c>
      <c r="F313" s="10" t="n">
        <v>45666.85032407408</v>
      </c>
      <c r="G313" s="10" t="n">
        <v>45666.85162037037</v>
      </c>
      <c r="H313" s="3" t="inlineStr">
        <is>
          <t>OBT100125071706-Wr. Neustadt (Hödlmayr)</t>
        </is>
      </c>
      <c r="I313" s="10" t="n">
        <v>45667.30527777778</v>
      </c>
      <c r="J313" s="10" t="n">
        <v>45667.33181712963</v>
      </c>
      <c r="K313" s="10" t="n">
        <v>45667.33181712963</v>
      </c>
      <c r="L313" s="10" t="n">
        <v>45667.33260416667</v>
      </c>
      <c r="M313" s="11">
        <f>IF(AND(ISNUMBER(E313),ISNUMBER(G313)),(G313-E313),"")</f>
        <v/>
      </c>
      <c r="N313" s="11">
        <f>IF(AND(ISNUMBER(G313),ISNUMBER(L313)),(L313-G313),"")</f>
        <v/>
      </c>
      <c r="O313" s="10" t="n">
        <v>45666.85400462963</v>
      </c>
      <c r="P313" s="11">
        <f>IF(AND(ISNUMBER(I313),ISNUMBER(O313)),(I313-O313),"")</f>
        <v/>
      </c>
      <c r="Q313" s="12" t="inlineStr">
        <is>
          <t>WG 1008001 entered track and got secured then waited 0:05:45 for WG 1008003 to get coupled then waited 10:41:35 for WG 1008403 to get coupled, OBTP started on 07:19:36 finished on 07:57:49 and then left at 07:58:57</t>
        </is>
      </c>
    </row>
    <row r="314">
      <c r="A314" s="3" t="inlineStr">
        <is>
          <t>1008002</t>
        </is>
      </c>
      <c r="B314" s="3" t="inlineStr">
        <is>
          <t>10080</t>
        </is>
      </c>
      <c r="C314" s="9" t="n">
        <v>21</v>
      </c>
      <c r="D314" s="3" t="inlineStr">
        <is>
          <t>Neudörfl (FunderMax)</t>
        </is>
      </c>
      <c r="E314" s="10" t="n">
        <v>45666.83709490741</v>
      </c>
      <c r="F314" s="10" t="n">
        <v>45666.85162037037</v>
      </c>
      <c r="G314" s="10" t="n">
        <v>45666.85280092592</v>
      </c>
      <c r="H314" s="3" t="inlineStr">
        <is>
          <t>OBT100125045052-Neudörfl (FunderMax)</t>
        </is>
      </c>
      <c r="I314" s="10" t="n">
        <v>45667.2028587963</v>
      </c>
      <c r="J314" s="10" t="n">
        <v>45667.24460648148</v>
      </c>
      <c r="K314" s="10" t="n">
        <v>45667.24460648148</v>
      </c>
      <c r="L314" s="10" t="n">
        <v>45667.245625</v>
      </c>
      <c r="M314" s="11">
        <f>IF(AND(ISNUMBER(E314),ISNUMBER(G314)),(G314-E314),"")</f>
        <v/>
      </c>
      <c r="N314" s="11">
        <f>IF(AND(ISNUMBER(G314),ISNUMBER(L314)),(L314-G314),"")</f>
        <v/>
      </c>
      <c r="O314" s="10" t="n">
        <v>45666.85497685185</v>
      </c>
      <c r="P314" s="11">
        <f>IF(AND(ISNUMBER(I314),ISNUMBER(O314)),(I314-O314),"")</f>
        <v/>
      </c>
      <c r="Q314" s="12" t="inlineStr">
        <is>
          <t>WG 1008002 entered track and got secured then waited 8:19:42 for WG 1008201 to get coupled, OBTP started on 04:52:07 finished on 05:52:14 and then left at 05:53:42</t>
        </is>
      </c>
    </row>
    <row r="315">
      <c r="A315" s="3" t="inlineStr">
        <is>
          <t>1008003</t>
        </is>
      </c>
      <c r="B315" s="3" t="inlineStr">
        <is>
          <t>10080</t>
        </is>
      </c>
      <c r="C315" s="9" t="n">
        <v>31.48</v>
      </c>
      <c r="D315" s="3" t="inlineStr">
        <is>
          <t>Ebenfurth (beet loading)</t>
        </is>
      </c>
      <c r="E315" s="10" t="n">
        <v>45666.83709490741</v>
      </c>
      <c r="F315" s="10" t="n">
        <v>45666.85280092592</v>
      </c>
      <c r="G315" s="10" t="n">
        <v>45666.85410879629</v>
      </c>
      <c r="H315" s="3" t="inlineStr">
        <is>
          <t>OBT100125071706-Wr. Neustadt (Hödlmayr)</t>
        </is>
      </c>
      <c r="I315" s="10" t="n">
        <v>45667.30527777778</v>
      </c>
      <c r="J315" s="10" t="n">
        <v>45667.33181712963</v>
      </c>
      <c r="K315" s="10" t="n">
        <v>45667.33181712963</v>
      </c>
      <c r="L315" s="10" t="n">
        <v>45667.33260416667</v>
      </c>
      <c r="M315" s="11">
        <f>IF(AND(ISNUMBER(E315),ISNUMBER(G315)),(G315-E315),"")</f>
        <v/>
      </c>
      <c r="N315" s="11">
        <f>IF(AND(ISNUMBER(G315),ISNUMBER(L315)),(L315-G315),"")</f>
        <v/>
      </c>
      <c r="O315" s="10" t="n">
        <v>45666.85799768518</v>
      </c>
      <c r="P315" s="11">
        <f>IF(AND(ISNUMBER(I315),ISNUMBER(O315)),(I315-O315),"")</f>
        <v/>
      </c>
      <c r="Q315" s="12" t="inlineStr">
        <is>
          <t>WG 1008003 entered track and got coupled to WG 1008001 then waited 10:41:35 for WG 1008403 to get coupled, OBTP started on 07:19:36 finished on 07:57:49 and then left at 07:58:57</t>
        </is>
      </c>
    </row>
    <row r="316">
      <c r="A316" s="3" t="inlineStr">
        <is>
          <t>1008004</t>
        </is>
      </c>
      <c r="B316" s="3" t="inlineStr">
        <is>
          <t>10080</t>
        </is>
      </c>
      <c r="C316" s="9" t="n">
        <v>62.22</v>
      </c>
      <c r="D316" s="3" t="inlineStr">
        <is>
          <t>Pitten (Hamburger)</t>
        </is>
      </c>
      <c r="E316" s="10" t="n">
        <v>45666.83709490741</v>
      </c>
      <c r="F316" s="10" t="n">
        <v>45666.85410879629</v>
      </c>
      <c r="G316" s="10" t="n">
        <v>45666.8559375</v>
      </c>
      <c r="H316" s="3" t="inlineStr">
        <is>
          <t>OBT100125071957-Pitten (Hamburger)</t>
        </is>
      </c>
      <c r="I316" s="10" t="n">
        <v>45667.31530092593</v>
      </c>
      <c r="J316" s="10" t="n">
        <v>45667.34769675926</v>
      </c>
      <c r="K316" s="10" t="n">
        <v>45667.34769675926</v>
      </c>
      <c r="L316" s="10" t="n">
        <v>45667.34872685185</v>
      </c>
      <c r="M316" s="11">
        <f>IF(AND(ISNUMBER(E316),ISNUMBER(G316)),(G316-E316),"")</f>
        <v/>
      </c>
      <c r="N316" s="11">
        <f>IF(AND(ISNUMBER(G316),ISNUMBER(L316)),(L316-G316),"")</f>
        <v/>
      </c>
      <c r="O316" s="10" t="n">
        <v>45666.858125</v>
      </c>
      <c r="P316" s="11">
        <f>IF(AND(ISNUMBER(I316),ISNUMBER(O316)),(I316-O316),"")</f>
        <v/>
      </c>
      <c r="Q316" s="12" t="inlineStr">
        <is>
          <t>WG 1008004 entered track and got secured then waited 10:44:15 for WG 1008404 to get coupled, OBTP started on 07:34:02 finished on 08:20:41 and then left at 08:22:10</t>
        </is>
      </c>
    </row>
    <row r="317">
      <c r="A317" s="3" t="inlineStr">
        <is>
          <t>1008005</t>
        </is>
      </c>
      <c r="B317" s="3" t="inlineStr">
        <is>
          <t>10080</t>
        </is>
      </c>
      <c r="C317" s="9" t="n">
        <v>19.9</v>
      </c>
      <c r="D317" s="3" t="inlineStr">
        <is>
          <t>Felixdorf/Sollenau (Bundesheer, Maba)</t>
        </is>
      </c>
      <c r="E317" s="10" t="n">
        <v>45666.83709490741</v>
      </c>
      <c r="F317" s="10" t="n">
        <v>45666.8559375</v>
      </c>
      <c r="G317" s="10" t="n">
        <v>45666.85797453704</v>
      </c>
      <c r="H317" s="3" t="inlineStr">
        <is>
          <t>OBT090125204342-Felixdorf/Sollenau (Bundesheer, Maba)</t>
        </is>
      </c>
      <c r="I317" s="10" t="n">
        <v>45666.86454861111</v>
      </c>
      <c r="J317" s="10" t="n">
        <v>45666.88584490741</v>
      </c>
      <c r="K317" s="10" t="n">
        <v>45666.88584490741</v>
      </c>
      <c r="L317" s="10" t="n">
        <v>45666.88663194444</v>
      </c>
      <c r="M317" s="11">
        <f>IF(AND(ISNUMBER(E317),ISNUMBER(G317)),(G317-E317),"")</f>
        <v/>
      </c>
      <c r="N317" s="11">
        <f>IF(AND(ISNUMBER(G317),ISNUMBER(L317)),(L317-G317),"")</f>
        <v/>
      </c>
      <c r="O317" s="10" t="n">
        <v>45666.86188657407</v>
      </c>
      <c r="P317" s="11">
        <f>IF(AND(ISNUMBER(I317),ISNUMBER(O317)),(I317-O317),"")</f>
        <v/>
      </c>
      <c r="Q317" s="12" t="inlineStr">
        <is>
          <t>WG 1008005 entered track and got coupled to WG 1007702 then waited 0:02:35 for WG 1008006 to get coupled, OBTP started on 20:44:57 finished on 21:15:37 and then left at 21:16:45</t>
        </is>
      </c>
    </row>
    <row r="318">
      <c r="A318" s="3" t="inlineStr">
        <is>
          <t>1008006</t>
        </is>
      </c>
      <c r="B318" s="3" t="inlineStr">
        <is>
          <t>10080</t>
        </is>
      </c>
      <c r="C318" s="9" t="n">
        <v>62.96</v>
      </c>
      <c r="D318" s="3" t="inlineStr">
        <is>
          <t>Other sidings local</t>
        </is>
      </c>
      <c r="E318" s="10" t="n">
        <v>45666.83709490741</v>
      </c>
      <c r="F318" s="10" t="n">
        <v>45666.85797453704</v>
      </c>
      <c r="G318" s="10" t="n">
        <v>45666.86011574074</v>
      </c>
      <c r="H318" s="3" t="inlineStr">
        <is>
          <t>OBT090125204342-Felixdorf/Sollenau (Bundesheer, Maba)</t>
        </is>
      </c>
      <c r="I318" s="10" t="n">
        <v>45666.86454861111</v>
      </c>
      <c r="J318" s="10" t="n">
        <v>45666.88584490741</v>
      </c>
      <c r="K318" s="10" t="n">
        <v>45666.88584490741</v>
      </c>
      <c r="L318" s="10" t="n">
        <v>45666.88663194444</v>
      </c>
      <c r="M318" s="11">
        <f>IF(AND(ISNUMBER(E318),ISNUMBER(G318)),(G318-E318),"")</f>
        <v/>
      </c>
      <c r="N318" s="11">
        <f>IF(AND(ISNUMBER(G318),ISNUMBER(L318)),(L318-G318),"")</f>
        <v/>
      </c>
      <c r="O318" s="10" t="n">
        <v>45666.86368055556</v>
      </c>
      <c r="P318" s="11">
        <f>IF(AND(ISNUMBER(I318),ISNUMBER(O318)),(I318-O318),"")</f>
        <v/>
      </c>
      <c r="Q318" s="12" t="inlineStr">
        <is>
          <t>WG 1008006 entered track and got coupled to WG 1008005, OBTP started on 20:44:57 finished on 21:15:37 and then left at 21:16:45</t>
        </is>
      </c>
    </row>
    <row r="319">
      <c r="A319" s="3" t="inlineStr">
        <is>
          <t>1008007</t>
        </is>
      </c>
      <c r="B319" s="3" t="inlineStr">
        <is>
          <t>10080</t>
        </is>
      </c>
      <c r="C319" s="9" t="n">
        <v>15.74</v>
      </c>
      <c r="D319" s="3" t="inlineStr">
        <is>
          <t>Obereggendorf (Hofer)</t>
        </is>
      </c>
      <c r="E319" s="10" t="n">
        <v>45666.83709490741</v>
      </c>
      <c r="F319" s="10" t="n">
        <v>45666.86011574074</v>
      </c>
      <c r="G319" s="10" t="n">
        <v>45666.86172453704</v>
      </c>
      <c r="H319" s="3" t="inlineStr">
        <is>
          <t>OBT140125093209-Obereggendorf (Hofer)</t>
        </is>
      </c>
      <c r="I319" s="10" t="n">
        <v>45671.39819444445</v>
      </c>
      <c r="J319" s="10" t="n">
        <v>45671.45782407407</v>
      </c>
      <c r="K319" s="10" t="n">
        <v>45671.45814814815</v>
      </c>
      <c r="L319" s="10" t="n">
        <v>45671.45953703704</v>
      </c>
      <c r="M319" s="11">
        <f>IF(AND(ISNUMBER(E319),ISNUMBER(G319)),(G319-E319),"")</f>
        <v/>
      </c>
      <c r="N319" s="11">
        <f>IF(AND(ISNUMBER(G319),ISNUMBER(L319)),(L319-G319),"")</f>
        <v/>
      </c>
      <c r="O319" s="10" t="n">
        <v>45666.86409722222</v>
      </c>
      <c r="P319" s="11">
        <f>IF(AND(ISNUMBER(I319),ISNUMBER(O319)),(I319-O319),"")</f>
        <v/>
      </c>
      <c r="Q319" s="12" t="inlineStr">
        <is>
          <t>WG 1008007 entered track and got secured then waited 83:17:18 for WG 1010501 to get coupled then waited 7:25:03 for WG 1011103 to get coupled then waited 18:05:30 for WG 1012202 to get coupled, OBTP started on 09:33:24 finished on 10:59:16 and then left at 11:01:44</t>
        </is>
      </c>
    </row>
    <row r="320">
      <c r="A320" s="3" t="inlineStr">
        <is>
          <t>1008008</t>
        </is>
      </c>
      <c r="B320" s="3" t="inlineStr">
        <is>
          <t>10080</t>
        </is>
      </c>
      <c r="C320" s="9" t="n">
        <v>51.38</v>
      </c>
      <c r="D320" s="3" t="inlineStr">
        <is>
          <t>Other sidings north</t>
        </is>
      </c>
      <c r="E320" s="10" t="n">
        <v>45666.83709490741</v>
      </c>
      <c r="F320" s="10" t="n">
        <v>45666.86172453704</v>
      </c>
      <c r="G320" s="10" t="n">
        <v>45666.86372685185</v>
      </c>
      <c r="H320" s="3" t="inlineStr">
        <is>
          <t>OBT090125204925-Other sidings north</t>
        </is>
      </c>
      <c r="I320" s="10" t="n">
        <v>45666.86848379629</v>
      </c>
      <c r="J320" s="10" t="n">
        <v>45666.8903587963</v>
      </c>
      <c r="K320" s="10" t="n">
        <v>45666.8903587963</v>
      </c>
      <c r="L320" s="10" t="n">
        <v>45666.89103009259</v>
      </c>
      <c r="M320" s="11">
        <f>IF(AND(ISNUMBER(E320),ISNUMBER(G320)),(G320-E320),"")</f>
        <v/>
      </c>
      <c r="N320" s="11">
        <f>IF(AND(ISNUMBER(G320),ISNUMBER(L320)),(L320-G320),"")</f>
        <v/>
      </c>
      <c r="O320" s="10" t="n">
        <v>45666.86765046296</v>
      </c>
      <c r="P320" s="11">
        <f>IF(AND(ISNUMBER(I320),ISNUMBER(O320)),(I320-O320),"")</f>
        <v/>
      </c>
      <c r="Q320" s="12" t="inlineStr">
        <is>
          <t>WG 1008008 entered track and got coupled to WG 1007903, OBTP started on 20:50:37 finished on 21:22:07 and then left at 21:23:05</t>
        </is>
      </c>
    </row>
    <row r="321">
      <c r="A321" s="3" t="inlineStr">
        <is>
          <t>1008101</t>
        </is>
      </c>
      <c r="B321" s="3" t="inlineStr">
        <is>
          <t>10081</t>
        </is>
      </c>
      <c r="C321" s="9" t="n">
        <v>43.98</v>
      </c>
      <c r="D321" s="3" t="inlineStr">
        <is>
          <t>Ternitz (Schoeller-Bleckmann)</t>
        </is>
      </c>
      <c r="E321" s="10" t="n">
        <v>45667.11459490741</v>
      </c>
      <c r="F321" s="10" t="n">
        <v>45667.12427083333</v>
      </c>
      <c r="G321" s="10" t="n">
        <v>45667.125625</v>
      </c>
      <c r="H321" s="3" t="inlineStr">
        <is>
          <t>OBT130125092620-Ternitz (Schoeller-Bleckmann)</t>
        </is>
      </c>
      <c r="I321" s="10" t="n">
        <v>45670.3941550926</v>
      </c>
      <c r="J321" s="10" t="n">
        <v>45670.42590277778</v>
      </c>
      <c r="K321" s="10" t="n">
        <v>45670.42590277778</v>
      </c>
      <c r="L321" s="10" t="n">
        <v>45670.426875</v>
      </c>
      <c r="M321" s="11">
        <f>IF(AND(ISNUMBER(E321),ISNUMBER(G321)),(G321-E321),"")</f>
        <v/>
      </c>
      <c r="N321" s="11">
        <f>IF(AND(ISNUMBER(G321),ISNUMBER(L321)),(L321-G321),"")</f>
        <v/>
      </c>
      <c r="O321" s="10" t="n">
        <v>45667.12954861111</v>
      </c>
      <c r="P321" s="11">
        <f>IF(AND(ISNUMBER(I321),ISNUMBER(O321)),(I321-O321),"")</f>
        <v/>
      </c>
      <c r="Q321" s="12" t="inlineStr">
        <is>
          <t>WG 1008101 entered track and got coupled to WG 1006706 then waited 6:29:52 for WG 1008704 to get coupled then waited 71:49:55 for WG 1010602 to get coupled, OBTP started on 09:27:35 finished on 10:13:18 and then left at 10:14:42</t>
        </is>
      </c>
    </row>
    <row r="322">
      <c r="A322" s="3" t="inlineStr">
        <is>
          <t>1008102</t>
        </is>
      </c>
      <c r="B322" s="3" t="inlineStr">
        <is>
          <t>10081</t>
        </is>
      </c>
      <c r="C322" s="9" t="n">
        <v>47.22</v>
      </c>
      <c r="D322" s="3" t="inlineStr">
        <is>
          <t>Gloggnitz</t>
        </is>
      </c>
      <c r="E322" s="10" t="n">
        <v>45667.11459490741</v>
      </c>
      <c r="F322" s="10" t="n">
        <v>45667.125625</v>
      </c>
      <c r="G322" s="10" t="n">
        <v>45667.12760416666</v>
      </c>
      <c r="H322" s="3" t="inlineStr">
        <is>
          <t>OBT100125092212-St. Veit an der Glan</t>
        </is>
      </c>
      <c r="I322" s="10" t="n">
        <v>45667.39128472222</v>
      </c>
      <c r="J322" s="10" t="n">
        <v>45667.41510416667</v>
      </c>
      <c r="K322" s="10" t="n">
        <v>45667.41510416667</v>
      </c>
      <c r="L322" s="10" t="n">
        <v>45667.41582175926</v>
      </c>
      <c r="M322" s="11">
        <f>IF(AND(ISNUMBER(E322),ISNUMBER(G322)),(G322-E322),"")</f>
        <v/>
      </c>
      <c r="N322" s="11">
        <f>IF(AND(ISNUMBER(G322),ISNUMBER(L322)),(L322-G322),"")</f>
        <v/>
      </c>
      <c r="O322" s="10" t="n">
        <v>45667.13150462963</v>
      </c>
      <c r="P322" s="11">
        <f>IF(AND(ISNUMBER(I322),ISNUMBER(O322)),(I322-O322),"")</f>
        <v/>
      </c>
      <c r="Q322" s="12" t="inlineStr">
        <is>
          <t>WG 1008102 entered track and got coupled to WG 1007910 then waited 4:05:35 for WG 1008402 to get coupled then waited 2:07:15 for WG 1008802 to get coupled, OBTP started on 09:23:27 finished on 09:57:45 and then left at 09:58:47</t>
        </is>
      </c>
    </row>
    <row r="323">
      <c r="A323" s="3" t="inlineStr">
        <is>
          <t>1008103</t>
        </is>
      </c>
      <c r="B323" s="3" t="inlineStr">
        <is>
          <t>10081</t>
        </is>
      </c>
      <c r="C323" s="9" t="n">
        <v>182.4</v>
      </c>
      <c r="D323" s="3" t="inlineStr">
        <is>
          <t>Neunkirchen (loading tracks)</t>
        </is>
      </c>
      <c r="E323" s="10" t="n">
        <v>45667.11459490741</v>
      </c>
      <c r="F323" s="10" t="n">
        <v>45667.12760416666</v>
      </c>
      <c r="G323" s="10" t="n">
        <v>45667.12994212963</v>
      </c>
      <c r="H323" s="3" t="inlineStr">
        <is>
          <t>OBT100125031244-Neunkirchen (loading tracks)</t>
        </is>
      </c>
      <c r="I323" s="10" t="n">
        <v>45667.1346875</v>
      </c>
      <c r="J323" s="10" t="n">
        <v>45667.17326388889</v>
      </c>
      <c r="K323" s="10" t="n">
        <v>45667.17326388889</v>
      </c>
      <c r="L323" s="10" t="n">
        <v>45667.17431712963</v>
      </c>
      <c r="M323" s="11">
        <f>IF(AND(ISNUMBER(E323),ISNUMBER(G323)),(G323-E323),"")</f>
        <v/>
      </c>
      <c r="N323" s="11">
        <f>IF(AND(ISNUMBER(G323),ISNUMBER(L323)),(L323-G323),"")</f>
        <v/>
      </c>
      <c r="O323" s="10" t="n">
        <v>45667.13384259259</v>
      </c>
      <c r="P323" s="11">
        <f>IF(AND(ISNUMBER(I323),ISNUMBER(O323)),(I323-O323),"")</f>
        <v/>
      </c>
      <c r="Q323" s="12" t="inlineStr">
        <is>
          <t>WG 1008103 entered track and got coupled to WG 1007907, OBTP started on 03:13:57 finished on 04:09:30 and then left at 04:11:01</t>
        </is>
      </c>
    </row>
    <row r="324">
      <c r="A324" s="3" t="inlineStr">
        <is>
          <t>1008104</t>
        </is>
      </c>
      <c r="B324" s="3" t="inlineStr">
        <is>
          <t>10081</t>
        </is>
      </c>
      <c r="C324" s="9" t="n">
        <v>35.64</v>
      </c>
      <c r="D324" s="3" t="inlineStr">
        <is>
          <t>Other sidings south</t>
        </is>
      </c>
      <c r="E324" s="10" t="n">
        <v>45667.11459490741</v>
      </c>
      <c r="F324" s="10" t="n">
        <v>45667.12994212963</v>
      </c>
      <c r="G324" s="10" t="n">
        <v>45667.13174768518</v>
      </c>
      <c r="H324" s="3" t="inlineStr">
        <is>
          <t>OBT100125031522-Other sidings south</t>
        </is>
      </c>
      <c r="I324" s="10" t="n">
        <v>45667.13653935185</v>
      </c>
      <c r="J324" s="10" t="n">
        <v>45667.15913194444</v>
      </c>
      <c r="K324" s="10" t="n">
        <v>45667.15913194444</v>
      </c>
      <c r="L324" s="10" t="n">
        <v>45667.15997685185</v>
      </c>
      <c r="M324" s="11">
        <f>IF(AND(ISNUMBER(E324),ISNUMBER(G324)),(G324-E324),"")</f>
        <v/>
      </c>
      <c r="N324" s="11">
        <f>IF(AND(ISNUMBER(G324),ISNUMBER(L324)),(L324-G324),"")</f>
        <v/>
      </c>
      <c r="O324" s="10" t="n">
        <v>45667.1356712963</v>
      </c>
      <c r="P324" s="11">
        <f>IF(AND(ISNUMBER(I324),ISNUMBER(O324)),(I324-O324),"")</f>
        <v/>
      </c>
      <c r="Q324" s="12" t="inlineStr">
        <is>
          <t>WG 1008104 entered track and got coupled to WG 1006709, OBTP started on 03:16:37 finished on 03:49:09 and then left at 03:50:22</t>
        </is>
      </c>
    </row>
    <row r="325">
      <c r="A325" s="3" t="inlineStr">
        <is>
          <t>1008201</t>
        </is>
      </c>
      <c r="B325" s="3" t="inlineStr">
        <is>
          <t>10082</t>
        </is>
      </c>
      <c r="C325" s="9" t="n">
        <v>219.5</v>
      </c>
      <c r="D325" s="3" t="inlineStr">
        <is>
          <t>Neudörfl (FunderMax)</t>
        </is>
      </c>
      <c r="E325" s="10" t="n">
        <v>45667.19118055556</v>
      </c>
      <c r="F325" s="10" t="n">
        <v>45667.19644675926</v>
      </c>
      <c r="G325" s="10" t="n">
        <v>45667.1980787037</v>
      </c>
      <c r="H325" s="3" t="inlineStr">
        <is>
          <t>OBT100125045052-Neudörfl (FunderMax)</t>
        </is>
      </c>
      <c r="I325" s="10" t="n">
        <v>45667.2028587963</v>
      </c>
      <c r="J325" s="10" t="n">
        <v>45667.24460648148</v>
      </c>
      <c r="K325" s="10" t="n">
        <v>45667.24460648148</v>
      </c>
      <c r="L325" s="10" t="n">
        <v>45667.245625</v>
      </c>
      <c r="M325" s="11">
        <f>IF(AND(ISNUMBER(E325),ISNUMBER(G325)),(G325-E325),"")</f>
        <v/>
      </c>
      <c r="N325" s="11">
        <f>IF(AND(ISNUMBER(G325),ISNUMBER(L325)),(L325-G325),"")</f>
        <v/>
      </c>
      <c r="O325" s="10" t="n">
        <v>45667.20199074074</v>
      </c>
      <c r="P325" s="11">
        <f>IF(AND(ISNUMBER(I325),ISNUMBER(O325)),(I325-O325),"")</f>
        <v/>
      </c>
      <c r="Q325" s="12" t="inlineStr">
        <is>
          <t>WG 1008201 entered track and got coupled to WG 1008002, OBTP started on 04:52:07 finished on 05:52:14 and then left at 05:53:42</t>
        </is>
      </c>
    </row>
    <row r="326">
      <c r="A326" s="3" t="inlineStr">
        <is>
          <t>1008301</t>
        </is>
      </c>
      <c r="B326" s="3" t="inlineStr">
        <is>
          <t>10083</t>
        </is>
      </c>
      <c r="C326" s="9" t="n">
        <v>298</v>
      </c>
      <c r="D326" s="3" t="inlineStr">
        <is>
          <t>Wien Kledering</t>
        </is>
      </c>
      <c r="E326" s="10" t="n">
        <v>45667.24254629629</v>
      </c>
      <c r="F326" s="10" t="n">
        <v>45667.24868055555</v>
      </c>
      <c r="G326" s="10" t="n">
        <v>45667.25072916667</v>
      </c>
      <c r="H326" s="3" t="inlineStr">
        <is>
          <t>OBT100125060642-Wien Kledering</t>
        </is>
      </c>
      <c r="I326" s="10" t="n">
        <v>45667.25549768518</v>
      </c>
      <c r="J326" s="10" t="n">
        <v>45667.31542824074</v>
      </c>
      <c r="K326" s="10" t="n">
        <v>45667.31542824074</v>
      </c>
      <c r="L326" s="10" t="n">
        <v>45667.31671296297</v>
      </c>
      <c r="M326" s="11">
        <f>IF(AND(ISNUMBER(E326),ISNUMBER(G326)),(G326-E326),"")</f>
        <v/>
      </c>
      <c r="N326" s="11">
        <f>IF(AND(ISNUMBER(G326),ISNUMBER(L326)),(L326-G326),"")</f>
        <v/>
      </c>
      <c r="O326" s="10" t="n">
        <v>45667.25465277778</v>
      </c>
      <c r="P326" s="11">
        <f>IF(AND(ISNUMBER(I326),ISNUMBER(O326)),(I326-O326),"")</f>
        <v/>
      </c>
      <c r="Q326" s="12" t="inlineStr">
        <is>
          <t>WG 1008301 entered track and got coupled to WG 1007801, OBTP started on 06:07:55 finished on 07:34:13 and then left at 07:36:04</t>
        </is>
      </c>
    </row>
    <row r="327">
      <c r="A327" s="3" t="inlineStr">
        <is>
          <t>1008401</t>
        </is>
      </c>
      <c r="B327" s="3" t="inlineStr">
        <is>
          <t>10084</t>
        </is>
      </c>
      <c r="C327" s="9" t="n">
        <v>19.9</v>
      </c>
      <c r="D327" s="3" t="inlineStr">
        <is>
          <t>Felixdorf/Sollenau (Bundesheer, Maba)</t>
        </is>
      </c>
      <c r="E327" s="10" t="n">
        <v>45667.27994212963</v>
      </c>
      <c r="F327" s="10" t="n">
        <v>45667.29420138889</v>
      </c>
      <c r="G327" s="10" t="n">
        <v>45667.29623842592</v>
      </c>
      <c r="H327" s="3" t="inlineStr">
        <is>
          <t>OBT100125095359-Felixdorf/Sollenau (Bundesheer, Maba)</t>
        </is>
      </c>
      <c r="I327" s="10" t="n">
        <v>45667.44290509259</v>
      </c>
      <c r="J327" s="10" t="n">
        <v>45667.46283564815</v>
      </c>
      <c r="K327" s="10" t="n">
        <v>45667.46283564815</v>
      </c>
      <c r="L327" s="10" t="n">
        <v>45667.46359953703</v>
      </c>
      <c r="M327" s="11">
        <f>IF(AND(ISNUMBER(E327),ISNUMBER(G327)),(G327-E327),"")</f>
        <v/>
      </c>
      <c r="N327" s="11">
        <f>IF(AND(ISNUMBER(G327),ISNUMBER(L327)),(L327-G327),"")</f>
        <v/>
      </c>
      <c r="O327" s="10" t="n">
        <v>45667.29863425926</v>
      </c>
      <c r="P327" s="11">
        <f>IF(AND(ISNUMBER(I327),ISNUMBER(O327)),(I327-O327),"")</f>
        <v/>
      </c>
      <c r="Q327" s="12" t="inlineStr">
        <is>
          <t>WG 1008401 entered track and got secured then waited 0:15:17 for WG 1008406 to get coupled then waited 2:28:40 for WG 1008710 to get coupled, OBTP started on 10:37:47 finished on 11:06:29 and then left at 11:07:35</t>
        </is>
      </c>
    </row>
    <row r="328">
      <c r="A328" s="3" t="inlineStr">
        <is>
          <t>1008402</t>
        </is>
      </c>
      <c r="B328" s="3" t="inlineStr">
        <is>
          <t>10084</t>
        </is>
      </c>
      <c r="C328" s="9" t="n">
        <v>15.74</v>
      </c>
      <c r="D328" s="3" t="inlineStr">
        <is>
          <t>Gloggnitz</t>
        </is>
      </c>
      <c r="E328" s="10" t="n">
        <v>45667.27994212963</v>
      </c>
      <c r="F328" s="10" t="n">
        <v>45667.29623842592</v>
      </c>
      <c r="G328" s="10" t="n">
        <v>45667.29815972222</v>
      </c>
      <c r="H328" s="3" t="inlineStr">
        <is>
          <t>OBT100125092212-St. Veit an der Glan</t>
        </is>
      </c>
      <c r="I328" s="10" t="n">
        <v>45667.39128472222</v>
      </c>
      <c r="J328" s="10" t="n">
        <v>45667.41510416667</v>
      </c>
      <c r="K328" s="10" t="n">
        <v>45667.41510416667</v>
      </c>
      <c r="L328" s="10" t="n">
        <v>45667.41582175926</v>
      </c>
      <c r="M328" s="11">
        <f>IF(AND(ISNUMBER(E328),ISNUMBER(G328)),(G328-E328),"")</f>
        <v/>
      </c>
      <c r="N328" s="11">
        <f>IF(AND(ISNUMBER(G328),ISNUMBER(L328)),(L328-G328),"")</f>
        <v/>
      </c>
      <c r="O328" s="10" t="n">
        <v>45667.30204861111</v>
      </c>
      <c r="P328" s="11">
        <f>IF(AND(ISNUMBER(I328),ISNUMBER(O328)),(I328-O328),"")</f>
        <v/>
      </c>
      <c r="Q328" s="12" t="inlineStr">
        <is>
          <t>WG 1008402 entered track and got coupled to WG 1008102 then waited 2:07:15 for WG 1008802 to get coupled, OBTP started on 09:23:27 finished on 09:57:45 and then left at 09:58:47</t>
        </is>
      </c>
    </row>
    <row r="329">
      <c r="A329" s="3" t="inlineStr">
        <is>
          <t>1008403</t>
        </is>
      </c>
      <c r="B329" s="3" t="inlineStr">
        <is>
          <t>10084</t>
        </is>
      </c>
      <c r="C329" s="9" t="n">
        <v>94.44</v>
      </c>
      <c r="D329" s="3" t="inlineStr">
        <is>
          <t>Ebenfurth (beet loading)</t>
        </is>
      </c>
      <c r="E329" s="10" t="n">
        <v>45667.27994212963</v>
      </c>
      <c r="F329" s="10" t="n">
        <v>45667.29815972222</v>
      </c>
      <c r="G329" s="10" t="n">
        <v>45667.29961805556</v>
      </c>
      <c r="H329" s="3" t="inlineStr">
        <is>
          <t>OBT100125071706-Wr. Neustadt (Hödlmayr)</t>
        </is>
      </c>
      <c r="I329" s="10" t="n">
        <v>45667.30527777778</v>
      </c>
      <c r="J329" s="10" t="n">
        <v>45667.33181712963</v>
      </c>
      <c r="K329" s="10" t="n">
        <v>45667.33181712963</v>
      </c>
      <c r="L329" s="10" t="n">
        <v>45667.33260416667</v>
      </c>
      <c r="M329" s="11">
        <f>IF(AND(ISNUMBER(E329),ISNUMBER(G329)),(G329-E329),"")</f>
        <v/>
      </c>
      <c r="N329" s="11">
        <f>IF(AND(ISNUMBER(G329),ISNUMBER(L329)),(L329-G329),"")</f>
        <v/>
      </c>
      <c r="O329" s="10" t="n">
        <v>45667.30354166667</v>
      </c>
      <c r="P329" s="11">
        <f>IF(AND(ISNUMBER(I329),ISNUMBER(O329)),(I329-O329),"")</f>
        <v/>
      </c>
      <c r="Q329" s="12" t="inlineStr">
        <is>
          <t>WG 1008403 entered track and got coupled to WG 1008003, OBTP started on 07:19:36 finished on 07:57:49 and then left at 07:58:57</t>
        </is>
      </c>
    </row>
    <row r="330">
      <c r="A330" s="3" t="inlineStr">
        <is>
          <t>1008404</t>
        </is>
      </c>
      <c r="B330" s="3" t="inlineStr">
        <is>
          <t>10084</t>
        </is>
      </c>
      <c r="C330" s="9" t="n">
        <v>124.44</v>
      </c>
      <c r="D330" s="3" t="inlineStr">
        <is>
          <t>Pitten (Hamburger)</t>
        </is>
      </c>
      <c r="E330" s="10" t="n">
        <v>45667.27994212963</v>
      </c>
      <c r="F330" s="10" t="n">
        <v>45667.29961805556</v>
      </c>
      <c r="G330" s="10" t="n">
        <v>45667.30159722222</v>
      </c>
      <c r="H330" s="3" t="inlineStr">
        <is>
          <t>OBT100125071957-Pitten (Hamburger)</t>
        </is>
      </c>
      <c r="I330" s="10" t="n">
        <v>45667.31530092593</v>
      </c>
      <c r="J330" s="10" t="n">
        <v>45667.34769675926</v>
      </c>
      <c r="K330" s="10" t="n">
        <v>45667.34769675926</v>
      </c>
      <c r="L330" s="10" t="n">
        <v>45667.34872685185</v>
      </c>
      <c r="M330" s="11">
        <f>IF(AND(ISNUMBER(E330),ISNUMBER(G330)),(G330-E330),"")</f>
        <v/>
      </c>
      <c r="N330" s="11">
        <f>IF(AND(ISNUMBER(G330),ISNUMBER(L330)),(L330-G330),"")</f>
        <v/>
      </c>
      <c r="O330" s="10" t="n">
        <v>45667.30552083333</v>
      </c>
      <c r="P330" s="11">
        <f>IF(AND(ISNUMBER(I330),ISNUMBER(O330)),(I330-O330),"")</f>
        <v/>
      </c>
      <c r="Q330" s="12" t="inlineStr">
        <is>
          <t>WG 1008404 entered track and got coupled to WG 1008004, OBTP started on 07:34:02 finished on 08:20:41 and then left at 08:22:10</t>
        </is>
      </c>
    </row>
    <row r="331">
      <c r="A331" s="3" t="inlineStr">
        <is>
          <t>1008405</t>
        </is>
      </c>
      <c r="B331" s="3" t="inlineStr">
        <is>
          <t>10084</t>
        </is>
      </c>
      <c r="C331" s="9" t="n">
        <v>19.9</v>
      </c>
      <c r="D331" s="3" t="inlineStr">
        <is>
          <t>Other sidings local</t>
        </is>
      </c>
      <c r="E331" s="10" t="n">
        <v>45667.27994212963</v>
      </c>
      <c r="F331" s="10" t="n">
        <v>45667.30159722222</v>
      </c>
      <c r="G331" s="10" t="n">
        <v>45667.30276620371</v>
      </c>
      <c r="H331" s="3" t="inlineStr">
        <is>
          <t>OBT130125093830-Other sidings local</t>
        </is>
      </c>
      <c r="I331" s="10" t="n">
        <v>45670.42009259259</v>
      </c>
      <c r="J331" s="10" t="n">
        <v>45670.43755787037</v>
      </c>
      <c r="K331" s="10" t="n">
        <v>45670.43755787037</v>
      </c>
      <c r="L331" s="10" t="n">
        <v>45670.43825231482</v>
      </c>
      <c r="M331" s="11">
        <f>IF(AND(ISNUMBER(E331),ISNUMBER(G331)),(G331-E331),"")</f>
        <v/>
      </c>
      <c r="N331" s="11">
        <f>IF(AND(ISNUMBER(G331),ISNUMBER(L331)),(L331-G331),"")</f>
        <v/>
      </c>
      <c r="O331" s="10" t="n">
        <v>45667.30491898148</v>
      </c>
      <c r="P331" s="11">
        <f>IF(AND(ISNUMBER(I331),ISNUMBER(O331)),(I331-O331),"")</f>
        <v/>
      </c>
      <c r="Q331" s="12" t="inlineStr">
        <is>
          <t>WG 1008405 entered track and got secured then waited 2:28:49 for WG 1008708 to get coupled then waited 8:51:58 for WG 1009408 to get coupled then waited 61:50:18 for WG 1010513 to get coupled then waited 1:08:20 for WG 1010702 to get coupled, OBTP started on 10:04:56 finished on 10:30:05 and then left at 10:31:05</t>
        </is>
      </c>
    </row>
    <row r="332">
      <c r="A332" s="3" t="inlineStr">
        <is>
          <t>1008406</t>
        </is>
      </c>
      <c r="B332" s="3" t="inlineStr">
        <is>
          <t>10084</t>
        </is>
      </c>
      <c r="C332" s="9" t="n">
        <v>36.4</v>
      </c>
      <c r="D332" s="3" t="inlineStr">
        <is>
          <t>Neudörfl (FunderMax)</t>
        </is>
      </c>
      <c r="E332" s="10" t="n">
        <v>45667.27994212963</v>
      </c>
      <c r="F332" s="10" t="n">
        <v>45667.30276620371</v>
      </c>
      <c r="G332" s="10" t="n">
        <v>45667.30483796296</v>
      </c>
      <c r="H332" s="3" t="inlineStr">
        <is>
          <t>OBT100125095359-Felixdorf/Sollenau (Bundesheer, Maba)</t>
        </is>
      </c>
      <c r="I332" s="10" t="n">
        <v>45667.44290509259</v>
      </c>
      <c r="J332" s="10" t="n">
        <v>45667.46283564815</v>
      </c>
      <c r="K332" s="10" t="n">
        <v>45667.46283564815</v>
      </c>
      <c r="L332" s="10" t="n">
        <v>45667.46359953703</v>
      </c>
      <c r="M332" s="11">
        <f>IF(AND(ISNUMBER(E332),ISNUMBER(G332)),(G332-E332),"")</f>
        <v/>
      </c>
      <c r="N332" s="11">
        <f>IF(AND(ISNUMBER(G332),ISNUMBER(L332)),(L332-G332),"")</f>
        <v/>
      </c>
      <c r="O332" s="10" t="n">
        <v>45667.30924768518</v>
      </c>
      <c r="P332" s="11">
        <f>IF(AND(ISNUMBER(I332),ISNUMBER(O332)),(I332-O332),"")</f>
        <v/>
      </c>
      <c r="Q332" s="12" t="inlineStr">
        <is>
          <t>WG 1008406 entered track and got coupled to WG 1008401 then waited 2:28:40 for WG 1008710 to get coupled, OBTP started on 10:37:47 finished on 11:06:29 and then left at 11:07:35</t>
        </is>
      </c>
    </row>
    <row r="333">
      <c r="A333" s="3" t="inlineStr">
        <is>
          <t>1008407</t>
        </is>
      </c>
      <c r="B333" s="3" t="inlineStr">
        <is>
          <t>10084</t>
        </is>
      </c>
      <c r="C333" s="9" t="n">
        <v>35.64</v>
      </c>
      <c r="D333" s="3" t="inlineStr">
        <is>
          <t>Other sidings north</t>
        </is>
      </c>
      <c r="E333" s="10" t="n">
        <v>45667.27994212963</v>
      </c>
      <c r="F333" s="10" t="n">
        <v>45667.30483796296</v>
      </c>
      <c r="G333" s="10" t="n">
        <v>45667.30660879629</v>
      </c>
      <c r="H333" s="3" t="inlineStr">
        <is>
          <t>OBT100125094326-Other sidings north</t>
        </is>
      </c>
      <c r="I333" s="10" t="n">
        <v>45667.41795138889</v>
      </c>
      <c r="J333" s="10" t="n">
        <v>45667.4404050926</v>
      </c>
      <c r="K333" s="10" t="n">
        <v>45667.4404050926</v>
      </c>
      <c r="L333" s="10" t="n">
        <v>45667.44130787037</v>
      </c>
      <c r="M333" s="11">
        <f>IF(AND(ISNUMBER(E333),ISNUMBER(G333)),(G333-E333),"")</f>
        <v/>
      </c>
      <c r="N333" s="11">
        <f>IF(AND(ISNUMBER(G333),ISNUMBER(L333)),(L333-G333),"")</f>
        <v/>
      </c>
      <c r="O333" s="10" t="n">
        <v>45667.30900462963</v>
      </c>
      <c r="P333" s="11">
        <f>IF(AND(ISNUMBER(I333),ISNUMBER(O333)),(I333-O333),"")</f>
        <v/>
      </c>
      <c r="Q333" s="12" t="inlineStr">
        <is>
          <t>WG 1008407 entered track and got secured then waited 0:06:42 for WG 1008409 to get coupled then waited 1:54:49 for WG 1008701 to get coupled then waited 0:16:57 for WG 1008707 to get coupled, OBTP started on 10:01:51 finished on 10:34:11 and then left at 10:35:29</t>
        </is>
      </c>
    </row>
    <row r="334">
      <c r="A334" s="3" t="inlineStr">
        <is>
          <t>1008408</t>
        </is>
      </c>
      <c r="B334" s="3" t="inlineStr">
        <is>
          <t>10084</t>
        </is>
      </c>
      <c r="C334" s="9" t="n">
        <v>19.9</v>
      </c>
      <c r="D334" s="3" t="inlineStr">
        <is>
          <t>Other sidings south</t>
        </is>
      </c>
      <c r="E334" s="10" t="n">
        <v>45667.27994212963</v>
      </c>
      <c r="F334" s="10" t="n">
        <v>45667.30660879629</v>
      </c>
      <c r="G334" s="10" t="n">
        <v>45667.30836805556</v>
      </c>
      <c r="H334" s="3" t="inlineStr">
        <is>
          <t>OBT100125205342-Other sidings south</t>
        </is>
      </c>
      <c r="I334" s="10" t="n">
        <v>45667.87236111111</v>
      </c>
      <c r="J334" s="10" t="n">
        <v>45667.89222222222</v>
      </c>
      <c r="K334" s="10" t="n">
        <v>45667.89222222222</v>
      </c>
      <c r="L334" s="10" t="n">
        <v>45667.89303240741</v>
      </c>
      <c r="M334" s="11">
        <f>IF(AND(ISNUMBER(E334),ISNUMBER(G334)),(G334-E334),"")</f>
        <v/>
      </c>
      <c r="N334" s="11">
        <f>IF(AND(ISNUMBER(G334),ISNUMBER(L334)),(L334-G334),"")</f>
        <v/>
      </c>
      <c r="O334" s="10" t="n">
        <v>45667.31226851852</v>
      </c>
      <c r="P334" s="11">
        <f>IF(AND(ISNUMBER(I334),ISNUMBER(O334)),(I334-O334),"")</f>
        <v/>
      </c>
      <c r="Q334" s="12" t="inlineStr">
        <is>
          <t>WG 1008408 entered track and got secured then waited 2:03:13 for WG 1008703 to get coupled then waited 0:26:30 for WG 1008712 to get coupled then waited 8:46:42 for WG 1009410 to get coupled then waited 2:07:37 for WG 1009506 to get coupled, OBTP started on 20:56:12 finished on 21:24:48 and then left at 21:25:58</t>
        </is>
      </c>
    </row>
    <row r="335">
      <c r="A335" s="3" t="inlineStr">
        <is>
          <t>1008409</t>
        </is>
      </c>
      <c r="B335" s="3" t="inlineStr">
        <is>
          <t>10084</t>
        </is>
      </c>
      <c r="C335" s="9" t="n">
        <v>19.9</v>
      </c>
      <c r="D335" s="3" t="inlineStr">
        <is>
          <t>Other sidings north</t>
        </is>
      </c>
      <c r="E335" s="10" t="n">
        <v>45667.27994212963</v>
      </c>
      <c r="F335" s="10" t="n">
        <v>45667.30836805556</v>
      </c>
      <c r="G335" s="10" t="n">
        <v>45667.31010416667</v>
      </c>
      <c r="H335" s="3" t="inlineStr">
        <is>
          <t>OBT100125094326-Other sidings north</t>
        </is>
      </c>
      <c r="I335" s="10" t="n">
        <v>45667.41795138889</v>
      </c>
      <c r="J335" s="10" t="n">
        <v>45667.4404050926</v>
      </c>
      <c r="K335" s="10" t="n">
        <v>45667.4404050926</v>
      </c>
      <c r="L335" s="10" t="n">
        <v>45667.44130787037</v>
      </c>
      <c r="M335" s="11">
        <f>IF(AND(ISNUMBER(E335),ISNUMBER(G335)),(G335-E335),"")</f>
        <v/>
      </c>
      <c r="N335" s="11">
        <f>IF(AND(ISNUMBER(G335),ISNUMBER(L335)),(L335-G335),"")</f>
        <v/>
      </c>
      <c r="O335" s="10" t="n">
        <v>45667.31365740741</v>
      </c>
      <c r="P335" s="11">
        <f>IF(AND(ISNUMBER(I335),ISNUMBER(O335)),(I335-O335),"")</f>
        <v/>
      </c>
      <c r="Q335" s="12" t="inlineStr">
        <is>
          <t>WG 1008409 entered track and got coupled to WG 1008407 then waited 1:54:49 for WG 1008701 to get coupled then waited 0:16:57 for WG 1008707 to get coupled, OBTP started on 10:01:51 finished on 10:34:11 and then left at 10:35:29</t>
        </is>
      </c>
    </row>
    <row r="336">
      <c r="A336" s="3" t="inlineStr">
        <is>
          <t>1008501</t>
        </is>
      </c>
      <c r="B336" s="3" t="inlineStr">
        <is>
          <t>10085</t>
        </is>
      </c>
      <c r="C336" s="9" t="n">
        <v>193.12</v>
      </c>
      <c r="D336" s="3" t="inlineStr">
        <is>
          <t>Wien Kledering</t>
        </is>
      </c>
      <c r="E336" s="10" t="n">
        <v>45667.31219907408</v>
      </c>
      <c r="F336" s="10" t="n">
        <v>45667.3174537037</v>
      </c>
      <c r="G336" s="10" t="n">
        <v>45667.31981481481</v>
      </c>
      <c r="H336" s="3" t="inlineStr">
        <is>
          <t>OBT100125074357-Wien Kledering</t>
        </is>
      </c>
      <c r="I336" s="10" t="n">
        <v>45667.32388888889</v>
      </c>
      <c r="J336" s="10" t="n">
        <v>45667.35741898148</v>
      </c>
      <c r="K336" s="10" t="n">
        <v>45667.35741898148</v>
      </c>
      <c r="L336" s="10" t="n">
        <v>45667.35841435185</v>
      </c>
      <c r="M336" s="11">
        <f>IF(AND(ISNUMBER(E336),ISNUMBER(G336)),(G336-E336),"")</f>
        <v/>
      </c>
      <c r="N336" s="11">
        <f>IF(AND(ISNUMBER(G336),ISNUMBER(L336)),(L336-G336),"")</f>
        <v/>
      </c>
      <c r="O336" s="10" t="n">
        <v>45667.3221875</v>
      </c>
      <c r="P336" s="11">
        <f>IF(AND(ISNUMBER(I336),ISNUMBER(O336)),(I336-O336),"")</f>
        <v/>
      </c>
      <c r="Q336" s="12" t="inlineStr">
        <is>
          <t>WG 1008501 entered track and got secured, OBTP started on 07:46:24 finished on 08:34:41 and then left at 08:36:07</t>
        </is>
      </c>
    </row>
    <row r="337">
      <c r="A337" s="3" t="inlineStr">
        <is>
          <t>1008601</t>
        </is>
      </c>
      <c r="B337" s="3" t="inlineStr">
        <is>
          <t>10086</t>
        </is>
      </c>
      <c r="C337" s="9" t="n">
        <v>380.8200000000001</v>
      </c>
      <c r="D337" s="3" t="inlineStr">
        <is>
          <t>Wien Kledering</t>
        </is>
      </c>
      <c r="E337" s="10" t="n">
        <v>45667.33258101852</v>
      </c>
      <c r="F337" s="10" t="n">
        <v>45667.33914351852</v>
      </c>
      <c r="G337" s="10" t="n">
        <v>45667.34171296296</v>
      </c>
      <c r="H337" s="3" t="inlineStr">
        <is>
          <t>OBT100125081531-Wien Kledering</t>
        </is>
      </c>
      <c r="I337" s="10" t="n">
        <v>45667.34584490741</v>
      </c>
      <c r="J337" s="10" t="n">
        <v>45667.41195601852</v>
      </c>
      <c r="K337" s="10" t="n">
        <v>45667.41195601852</v>
      </c>
      <c r="L337" s="10" t="n">
        <v>45667.41334490741</v>
      </c>
      <c r="M337" s="11">
        <f>IF(AND(ISNUMBER(E337),ISNUMBER(G337)),(G337-E337),"")</f>
        <v/>
      </c>
      <c r="N337" s="11">
        <f>IF(AND(ISNUMBER(G337),ISNUMBER(L337)),(L337-G337),"")</f>
        <v/>
      </c>
      <c r="O337" s="10" t="n">
        <v>45667.34410879629</v>
      </c>
      <c r="P337" s="11">
        <f>IF(AND(ISNUMBER(I337),ISNUMBER(O337)),(I337-O337),"")</f>
        <v/>
      </c>
      <c r="Q337" s="12" t="inlineStr">
        <is>
          <t>WG 1008601 entered track and got secured, OBTP started on 08:18:01 finished on 09:53:13 and then left at 09:55:13</t>
        </is>
      </c>
    </row>
    <row r="338">
      <c r="A338" s="3" t="inlineStr">
        <is>
          <t>1008701</t>
        </is>
      </c>
      <c r="B338" s="3" t="inlineStr">
        <is>
          <t>10087</t>
        </is>
      </c>
      <c r="C338" s="9" t="n">
        <v>19.9</v>
      </c>
      <c r="D338" s="3" t="inlineStr">
        <is>
          <t>Other sidings north</t>
        </is>
      </c>
      <c r="E338" s="10" t="n">
        <v>45667.36737268518</v>
      </c>
      <c r="F338" s="10" t="n">
        <v>45667.38930555555</v>
      </c>
      <c r="G338" s="10" t="n">
        <v>45667.39100694445</v>
      </c>
      <c r="H338" s="3" t="inlineStr">
        <is>
          <t>OBT100125094326-Other sidings north</t>
        </is>
      </c>
      <c r="I338" s="10" t="n">
        <v>45667.41795138889</v>
      </c>
      <c r="J338" s="10" t="n">
        <v>45667.4404050926</v>
      </c>
      <c r="K338" s="10" t="n">
        <v>45667.4404050926</v>
      </c>
      <c r="L338" s="10" t="n">
        <v>45667.44130787037</v>
      </c>
      <c r="M338" s="11">
        <f>IF(AND(ISNUMBER(E338),ISNUMBER(G338)),(G338-E338),"")</f>
        <v/>
      </c>
      <c r="N338" s="11">
        <f>IF(AND(ISNUMBER(G338),ISNUMBER(L338)),(L338-G338),"")</f>
        <v/>
      </c>
      <c r="O338" s="10" t="n">
        <v>45667.3933912037</v>
      </c>
      <c r="P338" s="11">
        <f>IF(AND(ISNUMBER(I338),ISNUMBER(O338)),(I338-O338),"")</f>
        <v/>
      </c>
      <c r="Q338" s="12" t="inlineStr">
        <is>
          <t>WG 1008701 entered track and got secured then waited 0:16:57 for WG 1008707 to get coupled, OBTP started on 10:01:51 finished on 10:34:11 and then left at 10:35:29</t>
        </is>
      </c>
    </row>
    <row r="339">
      <c r="A339" s="3" t="inlineStr">
        <is>
          <t>1008702</t>
        </is>
      </c>
      <c r="B339" s="3" t="inlineStr">
        <is>
          <t>10087</t>
        </is>
      </c>
      <c r="C339" s="9" t="n">
        <v>141.66</v>
      </c>
      <c r="D339" s="3" t="inlineStr">
        <is>
          <t>Ebenfurth (beet loading)</t>
        </is>
      </c>
      <c r="E339" s="10" t="n">
        <v>45667.36737268518</v>
      </c>
      <c r="F339" s="10" t="n">
        <v>45667.39100694445</v>
      </c>
      <c r="G339" s="10" t="n">
        <v>45667.39254629629</v>
      </c>
      <c r="H339" s="3" t="inlineStr">
        <is>
          <t>OBT100125092935-Ebenfurth (beet loading)</t>
        </is>
      </c>
      <c r="I339" s="10" t="n">
        <v>45667.41666666666</v>
      </c>
      <c r="J339" s="10" t="n">
        <v>45667.44126157407</v>
      </c>
      <c r="K339" s="10" t="n">
        <v>45667.44130787037</v>
      </c>
      <c r="L339" s="10" t="n">
        <v>45667.44206018518</v>
      </c>
      <c r="M339" s="11">
        <f>IF(AND(ISNUMBER(E339),ISNUMBER(G339)),(G339-E339),"")</f>
        <v/>
      </c>
      <c r="N339" s="11">
        <f>IF(AND(ISNUMBER(G339),ISNUMBER(L339)),(L339-G339),"")</f>
        <v/>
      </c>
      <c r="O339" s="10" t="n">
        <v>45667.39554398148</v>
      </c>
      <c r="P339" s="11">
        <f>IF(AND(ISNUMBER(I339),ISNUMBER(O339)),(I339-O339),"")</f>
        <v/>
      </c>
      <c r="Q339" s="12" t="inlineStr">
        <is>
          <t>WG 1008702 entered track and got secured, OBTP started on 10:00:00 finished on 10:35:25 and then left at 10:36:34</t>
        </is>
      </c>
    </row>
    <row r="340">
      <c r="A340" s="3" t="inlineStr">
        <is>
          <t>1008703</t>
        </is>
      </c>
      <c r="B340" s="3" t="inlineStr">
        <is>
          <t>10087</t>
        </is>
      </c>
      <c r="C340" s="9" t="n">
        <v>15.74</v>
      </c>
      <c r="D340" s="3" t="inlineStr">
        <is>
          <t>Other sidings south</t>
        </is>
      </c>
      <c r="E340" s="10" t="n">
        <v>45667.36737268518</v>
      </c>
      <c r="F340" s="10" t="n">
        <v>45667.39254629629</v>
      </c>
      <c r="G340" s="10" t="n">
        <v>45667.39427083333</v>
      </c>
      <c r="H340" s="3" t="inlineStr">
        <is>
          <t>OBT100125205342-Other sidings south</t>
        </is>
      </c>
      <c r="I340" s="10" t="n">
        <v>45667.87236111111</v>
      </c>
      <c r="J340" s="10" t="n">
        <v>45667.89222222222</v>
      </c>
      <c r="K340" s="10" t="n">
        <v>45667.89222222222</v>
      </c>
      <c r="L340" s="10" t="n">
        <v>45667.89303240741</v>
      </c>
      <c r="M340" s="11">
        <f>IF(AND(ISNUMBER(E340),ISNUMBER(G340)),(G340-E340),"")</f>
        <v/>
      </c>
      <c r="N340" s="11">
        <f>IF(AND(ISNUMBER(G340),ISNUMBER(L340)),(L340-G340),"")</f>
        <v/>
      </c>
      <c r="O340" s="10" t="n">
        <v>45667.39783564815</v>
      </c>
      <c r="P340" s="11">
        <f>IF(AND(ISNUMBER(I340),ISNUMBER(O340)),(I340-O340),"")</f>
        <v/>
      </c>
      <c r="Q340" s="12" t="inlineStr">
        <is>
          <t>WG 1008703 entered track and got coupled to WG 1008408 then waited 0:26:30 for WG 1008712 to get coupled then waited 8:46:42 for WG 1009410 to get coupled then waited 2:07:37 for WG 1009506 to get coupled, OBTP started on 20:56:12 finished on 21:24:48 and then left at 21:25:58</t>
        </is>
      </c>
    </row>
    <row r="341">
      <c r="A341" s="3" t="inlineStr">
        <is>
          <t>1008704</t>
        </is>
      </c>
      <c r="B341" s="3" t="inlineStr">
        <is>
          <t>10087</t>
        </is>
      </c>
      <c r="C341" s="9" t="n">
        <v>12.04</v>
      </c>
      <c r="D341" s="3" t="inlineStr">
        <is>
          <t>Ternitz (Schoeller-Bleckmann)</t>
        </is>
      </c>
      <c r="E341" s="10" t="n">
        <v>45667.36737268518</v>
      </c>
      <c r="F341" s="10" t="n">
        <v>45667.39427083333</v>
      </c>
      <c r="G341" s="10" t="n">
        <v>45667.39552083334</v>
      </c>
      <c r="H341" s="3" t="inlineStr">
        <is>
          <t>OBT130125092620-Ternitz (Schoeller-Bleckmann)</t>
        </is>
      </c>
      <c r="I341" s="10" t="n">
        <v>45670.3941550926</v>
      </c>
      <c r="J341" s="10" t="n">
        <v>45670.42590277778</v>
      </c>
      <c r="K341" s="10" t="n">
        <v>45670.42590277778</v>
      </c>
      <c r="L341" s="10" t="n">
        <v>45670.426875</v>
      </c>
      <c r="M341" s="11">
        <f>IF(AND(ISNUMBER(E341),ISNUMBER(G341)),(G341-E341),"")</f>
        <v/>
      </c>
      <c r="N341" s="11">
        <f>IF(AND(ISNUMBER(G341),ISNUMBER(L341)),(L341-G341),"")</f>
        <v/>
      </c>
      <c r="O341" s="10" t="n">
        <v>45667.40028935186</v>
      </c>
      <c r="P341" s="11">
        <f>IF(AND(ISNUMBER(I341),ISNUMBER(O341)),(I341-O341),"")</f>
        <v/>
      </c>
      <c r="Q341" s="12" t="inlineStr">
        <is>
          <t>WG 1008704 entered track and got coupled to WG 1008101 then waited 71:49:55 for WG 1010602 to get coupled, OBTP started on 09:27:35 finished on 10:13:18 and then left at 10:14:42</t>
        </is>
      </c>
    </row>
    <row r="342">
      <c r="A342" s="3" t="inlineStr">
        <is>
          <t>1008705</t>
        </is>
      </c>
      <c r="B342" s="3" t="inlineStr">
        <is>
          <t>10087</t>
        </is>
      </c>
      <c r="C342" s="9" t="n">
        <v>54</v>
      </c>
      <c r="D342" s="3" t="inlineStr">
        <is>
          <t>Wr. Neustadt (Hödlmayr)</t>
        </is>
      </c>
      <c r="E342" s="10" t="n">
        <v>45667.36737268518</v>
      </c>
      <c r="F342" s="10" t="n">
        <v>45667.39552083334</v>
      </c>
      <c r="G342" s="10" t="n">
        <v>45667.39685185185</v>
      </c>
      <c r="H342" s="3" t="inlineStr">
        <is>
          <t>OBT100125142646-Wien Kledering</t>
        </is>
      </c>
      <c r="I342" s="10" t="n">
        <v>45667.60278935185</v>
      </c>
      <c r="J342" s="10" t="n">
        <v>45667.62337962963</v>
      </c>
      <c r="K342" s="10" t="n">
        <v>45667.62337962963</v>
      </c>
      <c r="L342" s="10" t="n">
        <v>45667.62408564815</v>
      </c>
      <c r="M342" s="11">
        <f>IF(AND(ISNUMBER(E342),ISNUMBER(G342)),(G342-E342),"")</f>
        <v/>
      </c>
      <c r="N342" s="11">
        <f>IF(AND(ISNUMBER(G342),ISNUMBER(L342)),(L342-G342),"")</f>
        <v/>
      </c>
      <c r="O342" s="10" t="n">
        <v>45667.40081018519</v>
      </c>
      <c r="P342" s="11">
        <f>IF(AND(ISNUMBER(I342),ISNUMBER(O342)),(I342-O342),"")</f>
        <v/>
      </c>
      <c r="Q342" s="12" t="inlineStr">
        <is>
          <t>WG 1008705 entered track and got secured then waited 3:42:01 for WG 1009001 to get coupled then waited 1:07:35 for WG 1009101 to get coupled, OBTP started on 14:28:01 finished on 14:57:40 and then left at 14:58:41</t>
        </is>
      </c>
    </row>
    <row r="343">
      <c r="A343" s="3" t="inlineStr">
        <is>
          <t>1008706</t>
        </is>
      </c>
      <c r="B343" s="3" t="inlineStr">
        <is>
          <t>10087</t>
        </is>
      </c>
      <c r="C343" s="9" t="n">
        <v>15.74</v>
      </c>
      <c r="D343" s="3" t="inlineStr">
        <is>
          <t>Gloggnitz</t>
        </is>
      </c>
      <c r="E343" s="10" t="n">
        <v>45667.36737268518</v>
      </c>
      <c r="F343" s="10" t="n">
        <v>45667.39685185185</v>
      </c>
      <c r="G343" s="10" t="n">
        <v>45667.39873842592</v>
      </c>
      <c r="H343" s="3" t="inlineStr">
        <is>
          <t>OBT100125103849-Wien Kledering</t>
        </is>
      </c>
      <c r="I343" s="10" t="n">
        <v>45667.44466435185</v>
      </c>
      <c r="J343" s="10" t="n">
        <v>45667.48974537037</v>
      </c>
      <c r="K343" s="10" t="n">
        <v>45667.48974537037</v>
      </c>
      <c r="L343" s="10" t="n">
        <v>45667.49074074074</v>
      </c>
      <c r="M343" s="11">
        <f>IF(AND(ISNUMBER(E343),ISNUMBER(G343)),(G343-E343),"")</f>
        <v/>
      </c>
      <c r="N343" s="11">
        <f>IF(AND(ISNUMBER(G343),ISNUMBER(L343)),(L343-G343),"")</f>
        <v/>
      </c>
      <c r="O343" s="10" t="n">
        <v>45667.40351851852</v>
      </c>
      <c r="P343" s="11">
        <f>IF(AND(ISNUMBER(I343),ISNUMBER(O343)),(I343-O343),"")</f>
        <v/>
      </c>
      <c r="Q343" s="12" t="inlineStr">
        <is>
          <t>WG 1008706 entered track and got secured then waited 0:57:45 for WG 1008901 to get coupled, OBTP started on 10:40:19 finished on 11:45:14 and then left at 11:46:40</t>
        </is>
      </c>
    </row>
    <row r="344">
      <c r="A344" s="3" t="inlineStr">
        <is>
          <t>1008707</t>
        </is>
      </c>
      <c r="B344" s="3" t="inlineStr">
        <is>
          <t>10087</t>
        </is>
      </c>
      <c r="C344" s="9" t="n">
        <v>109.44</v>
      </c>
      <c r="D344" s="3" t="inlineStr">
        <is>
          <t>Pitten (Hamburger)</t>
        </is>
      </c>
      <c r="E344" s="10" t="n">
        <v>45667.36737268518</v>
      </c>
      <c r="F344" s="10" t="n">
        <v>45667.39873842592</v>
      </c>
      <c r="G344" s="10" t="n">
        <v>45667.40064814815</v>
      </c>
      <c r="H344" s="3" t="inlineStr">
        <is>
          <t>OBT100125094326-Other sidings north</t>
        </is>
      </c>
      <c r="I344" s="10" t="n">
        <v>45667.41795138889</v>
      </c>
      <c r="J344" s="10" t="n">
        <v>45667.4404050926</v>
      </c>
      <c r="K344" s="10" t="n">
        <v>45667.4404050926</v>
      </c>
      <c r="L344" s="10" t="n">
        <v>45667.44130787037</v>
      </c>
      <c r="M344" s="11">
        <f>IF(AND(ISNUMBER(E344),ISNUMBER(G344)),(G344-E344),"")</f>
        <v/>
      </c>
      <c r="N344" s="11">
        <f>IF(AND(ISNUMBER(G344),ISNUMBER(L344)),(L344-G344),"")</f>
        <v/>
      </c>
      <c r="O344" s="10" t="n">
        <v>45667.40516203704</v>
      </c>
      <c r="P344" s="11">
        <f>IF(AND(ISNUMBER(I344),ISNUMBER(O344)),(I344-O344),"")</f>
        <v/>
      </c>
      <c r="Q344" s="12" t="inlineStr">
        <is>
          <t>WG 1008707 entered track and got coupled to WG 1008701, OBTP started on 10:01:51 finished on 10:34:11 and then left at 10:35:29</t>
        </is>
      </c>
    </row>
    <row r="345">
      <c r="A345" s="3" t="inlineStr">
        <is>
          <t>1008708</t>
        </is>
      </c>
      <c r="B345" s="3" t="inlineStr">
        <is>
          <t>10087</t>
        </is>
      </c>
      <c r="C345" s="9" t="n">
        <v>19.9</v>
      </c>
      <c r="D345" s="3" t="inlineStr">
        <is>
          <t>Other sidings local</t>
        </is>
      </c>
      <c r="E345" s="10" t="n">
        <v>45667.36737268518</v>
      </c>
      <c r="F345" s="10" t="n">
        <v>45667.40064814815</v>
      </c>
      <c r="G345" s="10" t="n">
        <v>45667.40179398148</v>
      </c>
      <c r="H345" s="3" t="inlineStr">
        <is>
          <t>OBT130125093830-Other sidings local</t>
        </is>
      </c>
      <c r="I345" s="10" t="n">
        <v>45670.42009259259</v>
      </c>
      <c r="J345" s="10" t="n">
        <v>45670.43755787037</v>
      </c>
      <c r="K345" s="10" t="n">
        <v>45670.43755787037</v>
      </c>
      <c r="L345" s="10" t="n">
        <v>45670.43825231482</v>
      </c>
      <c r="M345" s="11">
        <f>IF(AND(ISNUMBER(E345),ISNUMBER(G345)),(G345-E345),"")</f>
        <v/>
      </c>
      <c r="N345" s="11">
        <f>IF(AND(ISNUMBER(G345),ISNUMBER(L345)),(L345-G345),"")</f>
        <v/>
      </c>
      <c r="O345" s="10" t="n">
        <v>45667.40826388889</v>
      </c>
      <c r="P345" s="11">
        <f>IF(AND(ISNUMBER(I345),ISNUMBER(O345)),(I345-O345),"")</f>
        <v/>
      </c>
      <c r="Q345" s="12" t="inlineStr">
        <is>
          <t>WG 1008708 entered track and got coupled to WG 1008405 then waited 8:51:58 for WG 1009408 to get coupled then waited 61:50:18 for WG 1010513 to get coupled then waited 1:08:20 for WG 1010702 to get coupled, OBTP started on 10:04:56 finished on 10:30:05 and then left at 10:31:05</t>
        </is>
      </c>
    </row>
    <row r="346">
      <c r="A346" s="3" t="inlineStr">
        <is>
          <t>1008709</t>
        </is>
      </c>
      <c r="B346" s="3" t="inlineStr">
        <is>
          <t>10087</t>
        </is>
      </c>
      <c r="C346" s="9" t="n">
        <v>61.9</v>
      </c>
      <c r="D346" s="3" t="inlineStr">
        <is>
          <t>Neunkirchen (loading tracks)</t>
        </is>
      </c>
      <c r="E346" s="10" t="n">
        <v>45667.36737268518</v>
      </c>
      <c r="F346" s="10" t="n">
        <v>45667.40179398148</v>
      </c>
      <c r="G346" s="10" t="n">
        <v>45667.40381944444</v>
      </c>
      <c r="H346" s="3" t="inlineStr">
        <is>
          <t>OBT100125185219-Neunkirchen (loading tracks)</t>
        </is>
      </c>
      <c r="I346" s="10" t="n">
        <v>45667.805625</v>
      </c>
      <c r="J346" s="10" t="n">
        <v>45667.83038194444</v>
      </c>
      <c r="K346" s="10" t="n">
        <v>45667.83038194444</v>
      </c>
      <c r="L346" s="10" t="n">
        <v>45667.83126157407</v>
      </c>
      <c r="M346" s="11">
        <f>IF(AND(ISNUMBER(E346),ISNUMBER(G346)),(G346-E346),"")</f>
        <v/>
      </c>
      <c r="N346" s="11">
        <f>IF(AND(ISNUMBER(G346),ISNUMBER(L346)),(L346-G346),"")</f>
        <v/>
      </c>
      <c r="O346" s="10" t="n">
        <v>45667.408125</v>
      </c>
      <c r="P346" s="11">
        <f>IF(AND(ISNUMBER(I346),ISNUMBER(O346)),(I346-O346),"")</f>
        <v/>
      </c>
      <c r="Q346" s="12" t="inlineStr">
        <is>
          <t>WG 1008709 entered track and got secured then waited 9:04:37 for WG 1009412 to get coupled, OBTP started on 19:20:06 finished on 19:55:45 and then left at 19:57:01</t>
        </is>
      </c>
    </row>
    <row r="347">
      <c r="A347" s="3" t="inlineStr">
        <is>
          <t>1008710</t>
        </is>
      </c>
      <c r="B347" s="3" t="inlineStr">
        <is>
          <t>10087</t>
        </is>
      </c>
      <c r="C347" s="9" t="n">
        <v>58.5</v>
      </c>
      <c r="D347" s="3" t="inlineStr">
        <is>
          <t>Neudörfl (FunderMax)</t>
        </is>
      </c>
      <c r="E347" s="10" t="n">
        <v>45667.36737268518</v>
      </c>
      <c r="F347" s="10" t="n">
        <v>45667.40381944444</v>
      </c>
      <c r="G347" s="10" t="n">
        <v>45667.40592592592</v>
      </c>
      <c r="H347" s="3" t="inlineStr">
        <is>
          <t>OBT100125095359-Felixdorf/Sollenau (Bundesheer, Maba)</t>
        </is>
      </c>
      <c r="I347" s="10" t="n">
        <v>45667.44290509259</v>
      </c>
      <c r="J347" s="10" t="n">
        <v>45667.46283564815</v>
      </c>
      <c r="K347" s="10" t="n">
        <v>45667.46283564815</v>
      </c>
      <c r="L347" s="10" t="n">
        <v>45667.46359953703</v>
      </c>
      <c r="M347" s="11">
        <f>IF(AND(ISNUMBER(E347),ISNUMBER(G347)),(G347-E347),"")</f>
        <v/>
      </c>
      <c r="N347" s="11">
        <f>IF(AND(ISNUMBER(G347),ISNUMBER(L347)),(L347-G347),"")</f>
        <v/>
      </c>
      <c r="O347" s="10" t="n">
        <v>45667.41248842593</v>
      </c>
      <c r="P347" s="11">
        <f>IF(AND(ISNUMBER(I347),ISNUMBER(O347)),(I347-O347),"")</f>
        <v/>
      </c>
      <c r="Q347" s="12" t="inlineStr">
        <is>
          <t>WG 1008710 entered track and got coupled to WG 1008406, OBTP started on 10:37:47 finished on 11:06:29 and then left at 11:07:35</t>
        </is>
      </c>
    </row>
    <row r="348">
      <c r="A348" s="3" t="inlineStr">
        <is>
          <t>1008711</t>
        </is>
      </c>
      <c r="B348" s="3" t="inlineStr">
        <is>
          <t>10087</t>
        </is>
      </c>
      <c r="C348" s="9" t="n">
        <v>59.7</v>
      </c>
      <c r="D348" s="3" t="inlineStr">
        <is>
          <t>Wr. Neustadt Ausfahrbf (Furtenbach)</t>
        </is>
      </c>
      <c r="E348" s="10" t="n">
        <v>45667.36737268518</v>
      </c>
      <c r="F348" s="10" t="n">
        <v>45667.40592592592</v>
      </c>
      <c r="G348" s="10" t="n">
        <v>45667.4075</v>
      </c>
      <c r="H348" s="3" t="inlineStr">
        <is>
          <t>OBT100125183853-Wr. Neustadt Ausfahrbf (Furtenbach)</t>
        </is>
      </c>
      <c r="I348" s="10" t="n">
        <v>45667.79609953704</v>
      </c>
      <c r="J348" s="10" t="n">
        <v>45667.81925925926</v>
      </c>
      <c r="K348" s="10" t="n">
        <v>45667.81925925926</v>
      </c>
      <c r="L348" s="10" t="n">
        <v>45667.82010416667</v>
      </c>
      <c r="M348" s="11">
        <f>IF(AND(ISNUMBER(E348),ISNUMBER(G348)),(G348-E348),"")</f>
        <v/>
      </c>
      <c r="N348" s="11">
        <f>IF(AND(ISNUMBER(G348),ISNUMBER(L348)),(L348-G348),"")</f>
        <v/>
      </c>
      <c r="O348" s="10" t="n">
        <v>45667.41149305556</v>
      </c>
      <c r="P348" s="11">
        <f>IF(AND(ISNUMBER(I348),ISNUMBER(O348)),(I348-O348),"")</f>
        <v/>
      </c>
      <c r="Q348" s="12" t="inlineStr">
        <is>
          <t>WG 1008711 entered track and got secured then waited 8:28:03 for WG 1009401 to get coupled then waited 0:13:03 for WG 1009406 to get coupled then waited 0:05:14 for WG 1009407 to get coupled, OBTP started on 19:06:23 finished on 19:39:44 and then left at 19:40:57</t>
        </is>
      </c>
    </row>
    <row r="349">
      <c r="A349" s="3" t="inlineStr">
        <is>
          <t>1008712</t>
        </is>
      </c>
      <c r="B349" s="3" t="inlineStr">
        <is>
          <t>10087</t>
        </is>
      </c>
      <c r="C349" s="9" t="n">
        <v>19.9</v>
      </c>
      <c r="D349" s="3" t="inlineStr">
        <is>
          <t>Other sidings south</t>
        </is>
      </c>
      <c r="E349" s="10" t="n">
        <v>45667.36737268518</v>
      </c>
      <c r="F349" s="10" t="n">
        <v>45667.4075</v>
      </c>
      <c r="G349" s="10" t="n">
        <v>45667.40922453703</v>
      </c>
      <c r="H349" s="3" t="inlineStr">
        <is>
          <t>OBT100125205342-Other sidings south</t>
        </is>
      </c>
      <c r="I349" s="10" t="n">
        <v>45667.87236111111</v>
      </c>
      <c r="J349" s="10" t="n">
        <v>45667.89222222222</v>
      </c>
      <c r="K349" s="10" t="n">
        <v>45667.89222222222</v>
      </c>
      <c r="L349" s="10" t="n">
        <v>45667.89303240741</v>
      </c>
      <c r="M349" s="11">
        <f>IF(AND(ISNUMBER(E349),ISNUMBER(G349)),(G349-E349),"")</f>
        <v/>
      </c>
      <c r="N349" s="11">
        <f>IF(AND(ISNUMBER(G349),ISNUMBER(L349)),(L349-G349),"")</f>
        <v/>
      </c>
      <c r="O349" s="10" t="n">
        <v>45667.41623842593</v>
      </c>
      <c r="P349" s="11">
        <f>IF(AND(ISNUMBER(I349),ISNUMBER(O349)),(I349-O349),"")</f>
        <v/>
      </c>
      <c r="Q349" s="12" t="inlineStr">
        <is>
          <t>WG 1008712 entered track and got coupled to WG 1008703 then waited 8:46:42 for WG 1009410 to get coupled then waited 2:07:37 for WG 1009506 to get coupled, OBTP started on 20:56:12 finished on 21:24:48 and then left at 21:25:58</t>
        </is>
      </c>
    </row>
    <row r="350">
      <c r="A350" s="3" t="inlineStr">
        <is>
          <t>1008801</t>
        </is>
      </c>
      <c r="B350" s="3" t="inlineStr">
        <is>
          <t>10088</t>
        </is>
      </c>
      <c r="C350" s="9" t="n">
        <v>75</v>
      </c>
      <c r="D350" s="3" t="inlineStr">
        <is>
          <t>Wien Kledering</t>
        </is>
      </c>
      <c r="E350" s="10" t="n">
        <v>45667.37613425926</v>
      </c>
      <c r="F350" s="10" t="n">
        <v>45667.38336805555</v>
      </c>
      <c r="G350" s="10" t="n">
        <v>45667.38488425926</v>
      </c>
      <c r="H350" s="3" t="inlineStr">
        <is>
          <t>OBT100125092457-Wien Kledering</t>
        </is>
      </c>
      <c r="I350" s="10" t="n">
        <v>45667.41369212963</v>
      </c>
      <c r="J350" s="10" t="n">
        <v>45667.44299768518</v>
      </c>
      <c r="K350" s="10" t="n">
        <v>45667.44299768518</v>
      </c>
      <c r="L350" s="10" t="n">
        <v>45667.44386574074</v>
      </c>
      <c r="M350" s="11">
        <f>IF(AND(ISNUMBER(E350),ISNUMBER(G350)),(G350-E350),"")</f>
        <v/>
      </c>
      <c r="N350" s="11">
        <f>IF(AND(ISNUMBER(G350),ISNUMBER(L350)),(L350-G350),"")</f>
        <v/>
      </c>
      <c r="O350" s="10" t="n">
        <v>45667.38726851852</v>
      </c>
      <c r="P350" s="11">
        <f>IF(AND(ISNUMBER(I350),ISNUMBER(O350)),(I350-O350),"")</f>
        <v/>
      </c>
      <c r="Q350" s="12" t="inlineStr">
        <is>
          <t>WG 1008801 entered track and got secured then waited 0:07:17 for WG 1008803 to get coupled, OBTP started on 09:55:43 finished on 10:37:55 and then left at 10:39:10</t>
        </is>
      </c>
    </row>
    <row r="351">
      <c r="A351" s="3" t="inlineStr">
        <is>
          <t>1008802</t>
        </is>
      </c>
      <c r="B351" s="3" t="inlineStr">
        <is>
          <t>10088</t>
        </is>
      </c>
      <c r="C351" s="9" t="n">
        <v>37.5</v>
      </c>
      <c r="D351" s="3" t="inlineStr">
        <is>
          <t>St. Veit an der Glan</t>
        </is>
      </c>
      <c r="E351" s="10" t="n">
        <v>45667.37613425926</v>
      </c>
      <c r="F351" s="10" t="n">
        <v>45667.38488425926</v>
      </c>
      <c r="G351" s="10" t="n">
        <v>45667.38685185185</v>
      </c>
      <c r="H351" s="3" t="inlineStr">
        <is>
          <t>OBT100125092212-St. Veit an der Glan</t>
        </is>
      </c>
      <c r="I351" s="10" t="n">
        <v>45667.39128472222</v>
      </c>
      <c r="J351" s="10" t="n">
        <v>45667.41510416667</v>
      </c>
      <c r="K351" s="10" t="n">
        <v>45667.41510416667</v>
      </c>
      <c r="L351" s="10" t="n">
        <v>45667.41582175926</v>
      </c>
      <c r="M351" s="11">
        <f>IF(AND(ISNUMBER(E351),ISNUMBER(G351)),(G351-E351),"")</f>
        <v/>
      </c>
      <c r="N351" s="11">
        <f>IF(AND(ISNUMBER(G351),ISNUMBER(L351)),(L351-G351),"")</f>
        <v/>
      </c>
      <c r="O351" s="10" t="n">
        <v>45667.39041666667</v>
      </c>
      <c r="P351" s="11">
        <f>IF(AND(ISNUMBER(I351),ISNUMBER(O351)),(I351-O351),"")</f>
        <v/>
      </c>
      <c r="Q351" s="12" t="inlineStr">
        <is>
          <t>WG 1008802 entered track and got coupled to WG 1008402, OBTP started on 09:23:27 finished on 09:57:45 and then left at 09:58:47</t>
        </is>
      </c>
    </row>
    <row r="352">
      <c r="A352" s="3" t="inlineStr">
        <is>
          <t>1008803</t>
        </is>
      </c>
      <c r="B352" s="3" t="inlineStr">
        <is>
          <t>10088</t>
        </is>
      </c>
      <c r="C352" s="9" t="n">
        <v>93.80000000000001</v>
      </c>
      <c r="D352" s="3" t="inlineStr">
        <is>
          <t>Wien Kledering</t>
        </is>
      </c>
      <c r="E352" s="10" t="n">
        <v>45667.37613425926</v>
      </c>
      <c r="F352" s="10" t="n">
        <v>45667.38685185185</v>
      </c>
      <c r="G352" s="10" t="n">
        <v>45667.38842592593</v>
      </c>
      <c r="H352" s="3" t="inlineStr">
        <is>
          <t>OBT100125092457-Wien Kledering</t>
        </is>
      </c>
      <c r="I352" s="10" t="n">
        <v>45667.41369212963</v>
      </c>
      <c r="J352" s="10" t="n">
        <v>45667.44299768518</v>
      </c>
      <c r="K352" s="10" t="n">
        <v>45667.44299768518</v>
      </c>
      <c r="L352" s="10" t="n">
        <v>45667.44386574074</v>
      </c>
      <c r="M352" s="11">
        <f>IF(AND(ISNUMBER(E352),ISNUMBER(G352)),(G352-E352),"")</f>
        <v/>
      </c>
      <c r="N352" s="11">
        <f>IF(AND(ISNUMBER(G352),ISNUMBER(L352)),(L352-G352),"")</f>
        <v/>
      </c>
      <c r="O352" s="10" t="n">
        <v>45667.39232638889</v>
      </c>
      <c r="P352" s="11">
        <f>IF(AND(ISNUMBER(I352),ISNUMBER(O352)),(I352-O352),"")</f>
        <v/>
      </c>
      <c r="Q352" s="12" t="inlineStr">
        <is>
          <t>WG 1008803 entered track and got coupled to WG 1008801, OBTP started on 09:55:43 finished on 10:37:55 and then left at 10:39:10</t>
        </is>
      </c>
    </row>
    <row r="353">
      <c r="A353" s="3" t="inlineStr">
        <is>
          <t>1008901</t>
        </is>
      </c>
      <c r="B353" s="3" t="inlineStr">
        <is>
          <t>10089</t>
        </is>
      </c>
      <c r="C353" s="9" t="n">
        <v>259.66</v>
      </c>
      <c r="D353" s="3" t="inlineStr">
        <is>
          <t>Wien Kledering</t>
        </is>
      </c>
      <c r="E353" s="10" t="n">
        <v>45667.43181712963</v>
      </c>
      <c r="F353" s="10" t="n">
        <v>45667.43765046296</v>
      </c>
      <c r="G353" s="10" t="n">
        <v>45667.44012731482</v>
      </c>
      <c r="H353" s="3" t="inlineStr">
        <is>
          <t>OBT100125103849-Wien Kledering</t>
        </is>
      </c>
      <c r="I353" s="10" t="n">
        <v>45667.44466435185</v>
      </c>
      <c r="J353" s="10" t="n">
        <v>45667.48974537037</v>
      </c>
      <c r="K353" s="10" t="n">
        <v>45667.48974537037</v>
      </c>
      <c r="L353" s="10" t="n">
        <v>45667.49074074074</v>
      </c>
      <c r="M353" s="11">
        <f>IF(AND(ISNUMBER(E353),ISNUMBER(G353)),(G353-E353),"")</f>
        <v/>
      </c>
      <c r="N353" s="11">
        <f>IF(AND(ISNUMBER(G353),ISNUMBER(L353)),(L353-G353),"")</f>
        <v/>
      </c>
      <c r="O353" s="10" t="n">
        <v>45667.44362268518</v>
      </c>
      <c r="P353" s="11">
        <f>IF(AND(ISNUMBER(I353),ISNUMBER(O353)),(I353-O353),"")</f>
        <v/>
      </c>
      <c r="Q353" s="12" t="inlineStr">
        <is>
          <t>WG 1008901 entered track and got secured, OBTP started on 10:40:19 finished on 11:45:14 and then left at 11:46:40</t>
        </is>
      </c>
    </row>
    <row r="354">
      <c r="A354" s="3" t="inlineStr">
        <is>
          <t>1009001</t>
        </is>
      </c>
      <c r="B354" s="3" t="inlineStr">
        <is>
          <t>10090</t>
        </is>
      </c>
      <c r="C354" s="9" t="n">
        <v>95.33999999999999</v>
      </c>
      <c r="D354" s="3" t="inlineStr">
        <is>
          <t>Wien Kledering</t>
        </is>
      </c>
      <c r="E354" s="10" t="n">
        <v>45667.54679398148</v>
      </c>
      <c r="F354" s="10" t="n">
        <v>45667.55116898148</v>
      </c>
      <c r="G354" s="10" t="n">
        <v>45667.55262731481</v>
      </c>
      <c r="H354" s="3" t="inlineStr">
        <is>
          <t>OBT100125142646-Wien Kledering</t>
        </is>
      </c>
      <c r="I354" s="10" t="n">
        <v>45667.60278935185</v>
      </c>
      <c r="J354" s="10" t="n">
        <v>45667.62337962963</v>
      </c>
      <c r="K354" s="10" t="n">
        <v>45667.62337962963</v>
      </c>
      <c r="L354" s="10" t="n">
        <v>45667.62408564815</v>
      </c>
      <c r="M354" s="11">
        <f>IF(AND(ISNUMBER(E354),ISNUMBER(G354)),(G354-E354),"")</f>
        <v/>
      </c>
      <c r="N354" s="11">
        <f>IF(AND(ISNUMBER(G354),ISNUMBER(L354)),(L354-G354),"")</f>
        <v/>
      </c>
      <c r="O354" s="10" t="n">
        <v>45667.55498842592</v>
      </c>
      <c r="P354" s="11">
        <f>IF(AND(ISNUMBER(I354),ISNUMBER(O354)),(I354-O354),"")</f>
        <v/>
      </c>
      <c r="Q354" s="12" t="inlineStr">
        <is>
          <t>WG 1009001 entered track and got secured then waited 1:07:35 for WG 1009101 to get coupled, OBTP started on 14:28:01 finished on 14:57:40 and then left at 14:58:41</t>
        </is>
      </c>
    </row>
    <row r="355">
      <c r="A355" s="3" t="inlineStr">
        <is>
          <t>1009101</t>
        </is>
      </c>
      <c r="B355" s="3" t="inlineStr">
        <is>
          <t>10091</t>
        </is>
      </c>
      <c r="C355" s="9" t="n">
        <v>23.24</v>
      </c>
      <c r="D355" s="3" t="inlineStr">
        <is>
          <t>Wien Kledering</t>
        </is>
      </c>
      <c r="E355" s="10" t="n">
        <v>45667.59261574074</v>
      </c>
      <c r="F355" s="10" t="n">
        <v>45667.59638888889</v>
      </c>
      <c r="G355" s="10" t="n">
        <v>45667.5980324074</v>
      </c>
      <c r="H355" s="3" t="inlineStr">
        <is>
          <t>OBT100125142646-Wien Kledering</t>
        </is>
      </c>
      <c r="I355" s="10" t="n">
        <v>45667.60278935185</v>
      </c>
      <c r="J355" s="10" t="n">
        <v>45667.62337962963</v>
      </c>
      <c r="K355" s="10" t="n">
        <v>45667.62337962963</v>
      </c>
      <c r="L355" s="10" t="n">
        <v>45667.62408564815</v>
      </c>
      <c r="M355" s="11">
        <f>IF(AND(ISNUMBER(E355),ISNUMBER(G355)),(G355-E355),"")</f>
        <v/>
      </c>
      <c r="N355" s="11">
        <f>IF(AND(ISNUMBER(G355),ISNUMBER(L355)),(L355-G355),"")</f>
        <v/>
      </c>
      <c r="O355" s="10" t="n">
        <v>45667.60192129629</v>
      </c>
      <c r="P355" s="11">
        <f>IF(AND(ISNUMBER(I355),ISNUMBER(O355)),(I355-O355),"")</f>
        <v/>
      </c>
      <c r="Q355" s="12" t="inlineStr">
        <is>
          <t>WG 1009101 entered track and got coupled to WG 1009001, OBTP started on 14:28:01 finished on 14:57:40 and then left at 14:58:41</t>
        </is>
      </c>
    </row>
    <row r="356">
      <c r="A356" s="3" t="inlineStr">
        <is>
          <t>1009201</t>
        </is>
      </c>
      <c r="B356" s="3" t="inlineStr">
        <is>
          <t>10092</t>
        </is>
      </c>
      <c r="C356" s="9" t="n">
        <v>393.5000000000001</v>
      </c>
      <c r="D356" s="3" t="inlineStr">
        <is>
          <t>Wien Kledering</t>
        </is>
      </c>
      <c r="E356" s="10" t="n">
        <v>45667.61993055556</v>
      </c>
      <c r="F356" s="10" t="n">
        <v>45667.62652777778</v>
      </c>
      <c r="G356" s="10" t="n">
        <v>45667.62931712963</v>
      </c>
      <c r="H356" s="3" t="inlineStr">
        <is>
          <t>OBT100125150940-Wien Kledering</t>
        </is>
      </c>
      <c r="I356" s="10" t="n">
        <v>45667.6325462963</v>
      </c>
      <c r="J356" s="10" t="n">
        <v>45667.70086805556</v>
      </c>
      <c r="K356" s="10" t="n">
        <v>45667.70086805556</v>
      </c>
      <c r="L356" s="10" t="n">
        <v>45667.70216435185</v>
      </c>
      <c r="M356" s="11">
        <f>IF(AND(ISNUMBER(E356),ISNUMBER(G356)),(G356-E356),"")</f>
        <v/>
      </c>
      <c r="N356" s="11">
        <f>IF(AND(ISNUMBER(G356),ISNUMBER(L356)),(L356-G356),"")</f>
        <v/>
      </c>
      <c r="O356" s="10" t="n">
        <v>45667.63171296296</v>
      </c>
      <c r="P356" s="11">
        <f>IF(AND(ISNUMBER(I356),ISNUMBER(O356)),(I356-O356),"")</f>
        <v/>
      </c>
      <c r="Q356" s="12" t="inlineStr">
        <is>
          <t>WG 1009201 entered track and got secured, OBTP started on 15:10:52 finished on 16:49:15 and then left at 16:51:07</t>
        </is>
      </c>
    </row>
    <row r="357">
      <c r="A357" s="3" t="inlineStr">
        <is>
          <t>1009301</t>
        </is>
      </c>
      <c r="B357" s="3" t="inlineStr">
        <is>
          <t>10093</t>
        </is>
      </c>
      <c r="C357" s="9" t="n">
        <v>302.1200000000001</v>
      </c>
      <c r="D357" s="3" t="inlineStr">
        <is>
          <t>Wien Kledering</t>
        </is>
      </c>
      <c r="E357" s="10" t="n">
        <v>45667.73054398148</v>
      </c>
      <c r="F357" s="10" t="n">
        <v>45667.73674768519</v>
      </c>
      <c r="G357" s="10" t="n">
        <v>45667.73868055556</v>
      </c>
      <c r="H357" s="3" t="inlineStr">
        <is>
          <t>OBT100125174706-Wien Kledering</t>
        </is>
      </c>
      <c r="I357" s="10" t="n">
        <v>45667.74190972222</v>
      </c>
      <c r="J357" s="10" t="n">
        <v>45667.79436342593</v>
      </c>
      <c r="K357" s="10" t="n">
        <v>45667.79436342593</v>
      </c>
      <c r="L357" s="10" t="n">
        <v>45667.79549768518</v>
      </c>
      <c r="M357" s="11">
        <f>IF(AND(ISNUMBER(E357),ISNUMBER(G357)),(G357-E357),"")</f>
        <v/>
      </c>
      <c r="N357" s="11">
        <f>IF(AND(ISNUMBER(G357),ISNUMBER(L357)),(L357-G357),"")</f>
        <v/>
      </c>
      <c r="O357" s="10" t="n">
        <v>45667.74104166667</v>
      </c>
      <c r="P357" s="11">
        <f>IF(AND(ISNUMBER(I357),ISNUMBER(O357)),(I357-O357),"")</f>
        <v/>
      </c>
      <c r="Q357" s="12" t="inlineStr">
        <is>
          <t>WG 1009301 entered track and got secured, OBTP started on 17:48:21 finished on 19:03:53 and then left at 19:05:31</t>
        </is>
      </c>
    </row>
    <row r="358">
      <c r="A358" s="3" t="inlineStr">
        <is>
          <t>1009401</t>
        </is>
      </c>
      <c r="B358" s="3" t="inlineStr">
        <is>
          <t>10094</t>
        </is>
      </c>
      <c r="C358" s="9" t="n">
        <v>39.8</v>
      </c>
      <c r="D358" s="3" t="inlineStr">
        <is>
          <t>Wr. Neustadt Ausfahrbf (Furtenbach)</t>
        </is>
      </c>
      <c r="E358" s="10" t="n">
        <v>45667.73768518519</v>
      </c>
      <c r="F358" s="10" t="n">
        <v>45667.75888888889</v>
      </c>
      <c r="G358" s="10" t="n">
        <v>45667.76041666666</v>
      </c>
      <c r="H358" s="3" t="inlineStr">
        <is>
          <t>OBT100125183853-Wr. Neustadt Ausfahrbf (Furtenbach)</t>
        </is>
      </c>
      <c r="I358" s="10" t="n">
        <v>45667.79609953704</v>
      </c>
      <c r="J358" s="10" t="n">
        <v>45667.81925925926</v>
      </c>
      <c r="K358" s="10" t="n">
        <v>45667.81925925926</v>
      </c>
      <c r="L358" s="10" t="n">
        <v>45667.82010416667</v>
      </c>
      <c r="M358" s="11">
        <f>IF(AND(ISNUMBER(E358),ISNUMBER(G358)),(G358-E358),"")</f>
        <v/>
      </c>
      <c r="N358" s="11">
        <f>IF(AND(ISNUMBER(G358),ISNUMBER(L358)),(L358-G358),"")</f>
        <v/>
      </c>
      <c r="O358" s="10" t="n">
        <v>45667.76430555555</v>
      </c>
      <c r="P358" s="11">
        <f>IF(AND(ISNUMBER(I358),ISNUMBER(O358)),(I358-O358),"")</f>
        <v/>
      </c>
      <c r="Q358" s="12" t="inlineStr">
        <is>
          <t>WG 1009401 entered track and got coupled to WG 1008711 then waited 0:13:03 for WG 1009406 to get coupled then waited 0:05:14 for WG 1009407 to get coupled, OBTP started on 19:06:23 finished on 19:39:44 and then left at 19:40:57</t>
        </is>
      </c>
    </row>
    <row r="359">
      <c r="A359" s="3" t="inlineStr">
        <is>
          <t>1009402</t>
        </is>
      </c>
      <c r="B359" s="3" t="inlineStr">
        <is>
          <t>10094</t>
        </is>
      </c>
      <c r="C359" s="9" t="n">
        <v>218.14</v>
      </c>
      <c r="D359" s="3" t="inlineStr">
        <is>
          <t>Pitten (Hamburger)</t>
        </is>
      </c>
      <c r="E359" s="10" t="n">
        <v>45667.73768518519</v>
      </c>
      <c r="F359" s="10" t="n">
        <v>45667.76041666666</v>
      </c>
      <c r="G359" s="10" t="n">
        <v>45667.7627662037</v>
      </c>
      <c r="H359" s="3" t="inlineStr">
        <is>
          <t>OBT100125182130-Pitten (Hamburger)</t>
        </is>
      </c>
      <c r="I359" s="10" t="n">
        <v>45667.76601851852</v>
      </c>
      <c r="J359" s="10" t="n">
        <v>45667.80388888889</v>
      </c>
      <c r="K359" s="10" t="n">
        <v>45667.80388888889</v>
      </c>
      <c r="L359" s="10" t="n">
        <v>45667.80478009259</v>
      </c>
      <c r="M359" s="11">
        <f>IF(AND(ISNUMBER(E359),ISNUMBER(G359)),(G359-E359),"")</f>
        <v/>
      </c>
      <c r="N359" s="11">
        <f>IF(AND(ISNUMBER(G359),ISNUMBER(L359)),(L359-G359),"")</f>
        <v/>
      </c>
      <c r="O359" s="10" t="n">
        <v>45667.76493055555</v>
      </c>
      <c r="P359" s="11">
        <f>IF(AND(ISNUMBER(I359),ISNUMBER(O359)),(I359-O359),"")</f>
        <v/>
      </c>
      <c r="Q359" s="12" t="inlineStr">
        <is>
          <t>WG 1009402 entered track and got secured, OBTP started on 18:23:04 finished on 19:17:36 and then left at 19:18:53</t>
        </is>
      </c>
    </row>
    <row r="360">
      <c r="A360" s="3" t="inlineStr">
        <is>
          <t>1009403</t>
        </is>
      </c>
      <c r="B360" s="3" t="inlineStr">
        <is>
          <t>10094</t>
        </is>
      </c>
      <c r="C360" s="9" t="n">
        <v>15.74</v>
      </c>
      <c r="D360" s="3" t="inlineStr">
        <is>
          <t>Other sidings north</t>
        </is>
      </c>
      <c r="E360" s="10" t="n">
        <v>45667.73768518519</v>
      </c>
      <c r="F360" s="10" t="n">
        <v>45667.7627662037</v>
      </c>
      <c r="G360" s="10" t="n">
        <v>45667.76446759259</v>
      </c>
      <c r="H360" s="3" t="inlineStr">
        <is>
          <t>OBT100125183202-Other sidings north</t>
        </is>
      </c>
      <c r="I360" s="10" t="n">
        <v>45667.78793981481</v>
      </c>
      <c r="J360" s="10" t="n">
        <v>45667.80707175926</v>
      </c>
      <c r="K360" s="10" t="n">
        <v>45667.80707175926</v>
      </c>
      <c r="L360" s="10" t="n">
        <v>45667.80792824074</v>
      </c>
      <c r="M360" s="11">
        <f>IF(AND(ISNUMBER(E360),ISNUMBER(G360)),(G360-E360),"")</f>
        <v/>
      </c>
      <c r="N360" s="11">
        <f>IF(AND(ISNUMBER(G360),ISNUMBER(L360)),(L360-G360),"")</f>
        <v/>
      </c>
      <c r="O360" s="10" t="n">
        <v>45667.76684027778</v>
      </c>
      <c r="P360" s="11">
        <f>IF(AND(ISNUMBER(I360),ISNUMBER(O360)),(I360-O360),"")</f>
        <v/>
      </c>
      <c r="Q360" s="12" t="inlineStr">
        <is>
          <t>WG 1009403 entered track and got secured then waited 0:07:47 for WG 1009405 to get coupled, OBTP started on 18:54:38 finished on 19:22:11 and then left at 19:23:25</t>
        </is>
      </c>
    </row>
    <row r="361">
      <c r="A361" s="3" t="inlineStr">
        <is>
          <t>1009404</t>
        </is>
      </c>
      <c r="B361" s="3" t="inlineStr">
        <is>
          <t>10094</t>
        </is>
      </c>
      <c r="C361" s="9" t="n">
        <v>16.5</v>
      </c>
      <c r="D361" s="3" t="inlineStr">
        <is>
          <t>Neudörfl (FunderMax)</t>
        </is>
      </c>
      <c r="E361" s="10" t="n">
        <v>45667.73768518519</v>
      </c>
      <c r="F361" s="10" t="n">
        <v>45667.76446759259</v>
      </c>
      <c r="G361" s="10" t="n">
        <v>45667.76646990741</v>
      </c>
      <c r="H361" s="3" t="inlineStr">
        <is>
          <t>OBT120125180841-Neudörfl (FunderMax)</t>
        </is>
      </c>
      <c r="I361" s="10" t="n">
        <v>45669.75689814815</v>
      </c>
      <c r="J361" s="10" t="n">
        <v>45669.80346064815</v>
      </c>
      <c r="K361" s="10" t="n">
        <v>45669.80346064815</v>
      </c>
      <c r="L361" s="10" t="n">
        <v>45669.80458333333</v>
      </c>
      <c r="M361" s="11">
        <f>IF(AND(ISNUMBER(E361),ISNUMBER(G361)),(G361-E361),"")</f>
        <v/>
      </c>
      <c r="N361" s="11">
        <f>IF(AND(ISNUMBER(G361),ISNUMBER(L361)),(L361-G361),"")</f>
        <v/>
      </c>
      <c r="O361" s="10" t="n">
        <v>45667.76863425926</v>
      </c>
      <c r="P361" s="11">
        <f>IF(AND(ISNUMBER(I361),ISNUMBER(O361)),(I361-O361),"")</f>
        <v/>
      </c>
      <c r="Q361" s="12" t="inlineStr">
        <is>
          <t>WG 1009404 entered track and got secured then waited 10:57:56 for WG 1009602 to get coupled then waited 0:31:07 for WG 1009701 to get coupled then waited 0:07:58 for WG 1009704 to get coupled then waited 36:04:50 for WG 1009801 to get coupled, OBTP started on 18:09:56 finished on 19:16:59 and then left at 19:18:36</t>
        </is>
      </c>
    </row>
    <row r="362">
      <c r="A362" s="3" t="inlineStr">
        <is>
          <t>1009405</t>
        </is>
      </c>
      <c r="B362" s="3" t="inlineStr">
        <is>
          <t>10094</t>
        </is>
      </c>
      <c r="C362" s="9" t="n">
        <v>94.44</v>
      </c>
      <c r="D362" s="3" t="inlineStr">
        <is>
          <t>Ebenfurth (beet loading)</t>
        </is>
      </c>
      <c r="E362" s="10" t="n">
        <v>45667.73768518519</v>
      </c>
      <c r="F362" s="10" t="n">
        <v>45667.76646990741</v>
      </c>
      <c r="G362" s="10" t="n">
        <v>45667.76834490741</v>
      </c>
      <c r="H362" s="3" t="inlineStr">
        <is>
          <t>OBT100125183202-Other sidings north</t>
        </is>
      </c>
      <c r="I362" s="10" t="n">
        <v>45667.78793981481</v>
      </c>
      <c r="J362" s="10" t="n">
        <v>45667.80707175926</v>
      </c>
      <c r="K362" s="10" t="n">
        <v>45667.80707175926</v>
      </c>
      <c r="L362" s="10" t="n">
        <v>45667.80792824074</v>
      </c>
      <c r="M362" s="11">
        <f>IF(AND(ISNUMBER(E362),ISNUMBER(G362)),(G362-E362),"")</f>
        <v/>
      </c>
      <c r="N362" s="11">
        <f>IF(AND(ISNUMBER(G362),ISNUMBER(L362)),(L362-G362),"")</f>
        <v/>
      </c>
      <c r="O362" s="10" t="n">
        <v>45667.77224537037</v>
      </c>
      <c r="P362" s="11">
        <f>IF(AND(ISNUMBER(I362),ISNUMBER(O362)),(I362-O362),"")</f>
        <v/>
      </c>
      <c r="Q362" s="12" t="inlineStr">
        <is>
          <t>WG 1009405 entered track and got coupled to WG 1009403, OBTP started on 18:54:38 finished on 19:22:11 and then left at 19:23:25</t>
        </is>
      </c>
    </row>
    <row r="363">
      <c r="A363" s="3" t="inlineStr">
        <is>
          <t>1009406</t>
        </is>
      </c>
      <c r="B363" s="3" t="inlineStr">
        <is>
          <t>10094</t>
        </is>
      </c>
      <c r="C363" s="9" t="n">
        <v>14</v>
      </c>
      <c r="D363" s="3" t="inlineStr">
        <is>
          <t>Wr. Neustadt (Brenntag)</t>
        </is>
      </c>
      <c r="E363" s="10" t="n">
        <v>45667.73768518519</v>
      </c>
      <c r="F363" s="10" t="n">
        <v>45667.76834490741</v>
      </c>
      <c r="G363" s="10" t="n">
        <v>45667.76981481481</v>
      </c>
      <c r="H363" s="3" t="inlineStr">
        <is>
          <t>OBT100125183853-Wr. Neustadt Ausfahrbf (Furtenbach)</t>
        </is>
      </c>
      <c r="I363" s="10" t="n">
        <v>45667.79609953704</v>
      </c>
      <c r="J363" s="10" t="n">
        <v>45667.81925925926</v>
      </c>
      <c r="K363" s="10" t="n">
        <v>45667.81925925926</v>
      </c>
      <c r="L363" s="10" t="n">
        <v>45667.82010416667</v>
      </c>
      <c r="M363" s="11">
        <f>IF(AND(ISNUMBER(E363),ISNUMBER(G363)),(G363-E363),"")</f>
        <v/>
      </c>
      <c r="N363" s="11">
        <f>IF(AND(ISNUMBER(G363),ISNUMBER(L363)),(L363-G363),"")</f>
        <v/>
      </c>
      <c r="O363" s="10" t="n">
        <v>45667.77336805555</v>
      </c>
      <c r="P363" s="11">
        <f>IF(AND(ISNUMBER(I363),ISNUMBER(O363)),(I363-O363),"")</f>
        <v/>
      </c>
      <c r="Q363" s="12" t="inlineStr">
        <is>
          <t>WG 1009406 entered track and got coupled to WG 1009401 then waited 0:05:14 for WG 1009407 to get coupled, OBTP started on 19:06:23 finished on 19:39:44 and then left at 19:40:57</t>
        </is>
      </c>
    </row>
    <row r="364">
      <c r="A364" s="3" t="inlineStr">
        <is>
          <t>1009407</t>
        </is>
      </c>
      <c r="B364" s="3" t="inlineStr">
        <is>
          <t>10094</t>
        </is>
      </c>
      <c r="C364" s="9" t="n">
        <v>19.9</v>
      </c>
      <c r="D364" s="3" t="inlineStr">
        <is>
          <t>Wr. Neustadt Ausfahrbf (Furtenbach)</t>
        </is>
      </c>
      <c r="E364" s="10" t="n">
        <v>45667.73768518519</v>
      </c>
      <c r="F364" s="10" t="n">
        <v>45667.76981481481</v>
      </c>
      <c r="G364" s="10" t="n">
        <v>45667.7712962963</v>
      </c>
      <c r="H364" s="3" t="inlineStr">
        <is>
          <t>OBT100125183853-Wr. Neustadt Ausfahrbf (Furtenbach)</t>
        </is>
      </c>
      <c r="I364" s="10" t="n">
        <v>45667.79609953704</v>
      </c>
      <c r="J364" s="10" t="n">
        <v>45667.81925925926</v>
      </c>
      <c r="K364" s="10" t="n">
        <v>45667.81925925926</v>
      </c>
      <c r="L364" s="10" t="n">
        <v>45667.82010416667</v>
      </c>
      <c r="M364" s="11">
        <f>IF(AND(ISNUMBER(E364),ISNUMBER(G364)),(G364-E364),"")</f>
        <v/>
      </c>
      <c r="N364" s="11">
        <f>IF(AND(ISNUMBER(G364),ISNUMBER(L364)),(L364-G364),"")</f>
        <v/>
      </c>
      <c r="O364" s="10" t="n">
        <v>45667.77700231481</v>
      </c>
      <c r="P364" s="11">
        <f>IF(AND(ISNUMBER(I364),ISNUMBER(O364)),(I364-O364),"")</f>
        <v/>
      </c>
      <c r="Q364" s="12" t="inlineStr">
        <is>
          <t>WG 1009407 entered track and got coupled to WG 1009406, OBTP started on 19:06:23 finished on 19:39:44 and then left at 19:40:57</t>
        </is>
      </c>
    </row>
    <row r="365">
      <c r="A365" s="3" t="inlineStr">
        <is>
          <t>1009408</t>
        </is>
      </c>
      <c r="B365" s="3" t="inlineStr">
        <is>
          <t>10094</t>
        </is>
      </c>
      <c r="C365" s="9" t="n">
        <v>19.9</v>
      </c>
      <c r="D365" s="3" t="inlineStr">
        <is>
          <t>Other sidings local</t>
        </is>
      </c>
      <c r="E365" s="10" t="n">
        <v>45667.73768518519</v>
      </c>
      <c r="F365" s="10" t="n">
        <v>45667.7712962963</v>
      </c>
      <c r="G365" s="10" t="n">
        <v>45667.77243055555</v>
      </c>
      <c r="H365" s="3" t="inlineStr">
        <is>
          <t>OBT130125093830-Other sidings local</t>
        </is>
      </c>
      <c r="I365" s="10" t="n">
        <v>45670.42009259259</v>
      </c>
      <c r="J365" s="10" t="n">
        <v>45670.43755787037</v>
      </c>
      <c r="K365" s="10" t="n">
        <v>45670.43755787037</v>
      </c>
      <c r="L365" s="10" t="n">
        <v>45670.43825231482</v>
      </c>
      <c r="M365" s="11">
        <f>IF(AND(ISNUMBER(E365),ISNUMBER(G365)),(G365-E365),"")</f>
        <v/>
      </c>
      <c r="N365" s="11">
        <f>IF(AND(ISNUMBER(G365),ISNUMBER(L365)),(L365-G365),"")</f>
        <v/>
      </c>
      <c r="O365" s="10" t="n">
        <v>45667.77768518519</v>
      </c>
      <c r="P365" s="11">
        <f>IF(AND(ISNUMBER(I365),ISNUMBER(O365)),(I365-O365),"")</f>
        <v/>
      </c>
      <c r="Q365" s="12" t="inlineStr">
        <is>
          <t>WG 1009408 entered track and got coupled to WG 1008708 then waited 61:50:18 for WG 1010513 to get coupled then waited 1:08:20 for WG 1010702 to get coupled, OBTP started on 10:04:56 finished on 10:30:05 and then left at 10:31:05</t>
        </is>
      </c>
    </row>
    <row r="366">
      <c r="A366" s="3" t="inlineStr">
        <is>
          <t>1009409</t>
        </is>
      </c>
      <c r="B366" s="3" t="inlineStr">
        <is>
          <t>10094</t>
        </is>
      </c>
      <c r="C366" s="9" t="n">
        <v>15.74</v>
      </c>
      <c r="D366" s="3" t="inlineStr">
        <is>
          <t>Gloggnitz</t>
        </is>
      </c>
      <c r="E366" s="10" t="n">
        <v>45667.73768518519</v>
      </c>
      <c r="F366" s="10" t="n">
        <v>45667.77243055555</v>
      </c>
      <c r="G366" s="10" t="n">
        <v>45667.77431712963</v>
      </c>
      <c r="H366" s="3" t="inlineStr">
        <is>
          <t>OBT140125102839-Wr. Neustadt (Brenntag)</t>
        </is>
      </c>
      <c r="I366" s="10" t="n">
        <v>45671.45956018518</v>
      </c>
      <c r="J366" s="10" t="n">
        <v>45671.47991898148</v>
      </c>
      <c r="K366" s="10" t="n">
        <v>45671.47991898148</v>
      </c>
      <c r="L366" s="10" t="n">
        <v>45671.4805787037</v>
      </c>
      <c r="M366" s="11">
        <f>IF(AND(ISNUMBER(E366),ISNUMBER(G366)),(G366-E366),"")</f>
        <v/>
      </c>
      <c r="N366" s="11">
        <f>IF(AND(ISNUMBER(G366),ISNUMBER(L366)),(L366-G366),"")</f>
        <v/>
      </c>
      <c r="O366" s="10" t="n">
        <v>45667.78021990741</v>
      </c>
      <c r="P366" s="11">
        <f>IF(AND(ISNUMBER(I366),ISNUMBER(O366)),(I366-O366),"")</f>
        <v/>
      </c>
      <c r="Q366" s="12" t="inlineStr">
        <is>
          <t>WG 1009409 entered track and got secured then waited 1:58:47 for WG 1009502 to get coupled then waited 60:55:02 for WG 1010701 to get coupled then waited 5:57:31 for WG 1011106 to get coupled then waited 11:22:34 for WG 1011604 to get coupled then waited 7:12:44 for WG 1012103 to get coupled then waited 0:15:38 for WG 1012109 to get coupled then waited 0:02:52 for WG 1012113 to get coupled, OBTP started on 11:01:46 finished on 11:31:05 and then left at 11:32:02</t>
        </is>
      </c>
    </row>
    <row r="367">
      <c r="A367" s="3" t="inlineStr">
        <is>
          <t>1009410</t>
        </is>
      </c>
      <c r="B367" s="3" t="inlineStr">
        <is>
          <t>10094</t>
        </is>
      </c>
      <c r="C367" s="9" t="n">
        <v>15.74</v>
      </c>
      <c r="D367" s="3" t="inlineStr">
        <is>
          <t>Other sidings south</t>
        </is>
      </c>
      <c r="E367" s="10" t="n">
        <v>45667.73768518519</v>
      </c>
      <c r="F367" s="10" t="n">
        <v>45667.77431712963</v>
      </c>
      <c r="G367" s="10" t="n">
        <v>45667.77604166666</v>
      </c>
      <c r="H367" s="3" t="inlineStr">
        <is>
          <t>OBT100125205342-Other sidings south</t>
        </is>
      </c>
      <c r="I367" s="10" t="n">
        <v>45667.87236111111</v>
      </c>
      <c r="J367" s="10" t="n">
        <v>45667.89222222222</v>
      </c>
      <c r="K367" s="10" t="n">
        <v>45667.89222222222</v>
      </c>
      <c r="L367" s="10" t="n">
        <v>45667.89303240741</v>
      </c>
      <c r="M367" s="11">
        <f>IF(AND(ISNUMBER(E367),ISNUMBER(G367)),(G367-E367),"")</f>
        <v/>
      </c>
      <c r="N367" s="11">
        <f>IF(AND(ISNUMBER(G367),ISNUMBER(L367)),(L367-G367),"")</f>
        <v/>
      </c>
      <c r="O367" s="10" t="n">
        <v>45667.78200231482</v>
      </c>
      <c r="P367" s="11">
        <f>IF(AND(ISNUMBER(I367),ISNUMBER(O367)),(I367-O367),"")</f>
        <v/>
      </c>
      <c r="Q367" s="12" t="inlineStr">
        <is>
          <t>WG 1009410 entered track and got coupled to WG 1008712 then waited 2:07:37 for WG 1009506 to get coupled, OBTP started on 20:56:12 finished on 21:24:48 and then left at 21:25:58</t>
        </is>
      </c>
    </row>
    <row r="368">
      <c r="A368" s="3" t="inlineStr">
        <is>
          <t>1009411</t>
        </is>
      </c>
      <c r="B368" s="3" t="inlineStr">
        <is>
          <t>10094</t>
        </is>
      </c>
      <c r="C368" s="9" t="n">
        <v>27</v>
      </c>
      <c r="D368" s="3" t="inlineStr">
        <is>
          <t>Wr. Neustadt (Hödlmayr)</t>
        </is>
      </c>
      <c r="E368" s="10" t="n">
        <v>45667.73768518519</v>
      </c>
      <c r="F368" s="10" t="n">
        <v>45667.77604166666</v>
      </c>
      <c r="G368" s="10" t="n">
        <v>45667.77731481481</v>
      </c>
      <c r="H368" s="3" t="inlineStr">
        <is>
          <t>OBT100125205103-Pitten (Hamburger)</t>
        </is>
      </c>
      <c r="I368" s="10" t="n">
        <v>45667.86965277778</v>
      </c>
      <c r="J368" s="10" t="n">
        <v>45667.88917824074</v>
      </c>
      <c r="K368" s="10" t="n">
        <v>45667.88917824074</v>
      </c>
      <c r="L368" s="10" t="n">
        <v>45667.88987268518</v>
      </c>
      <c r="M368" s="11">
        <f>IF(AND(ISNUMBER(E368),ISNUMBER(G368)),(G368-E368),"")</f>
        <v/>
      </c>
      <c r="N368" s="11">
        <f>IF(AND(ISNUMBER(G368),ISNUMBER(L368)),(L368-G368),"")</f>
        <v/>
      </c>
      <c r="O368" s="10" t="n">
        <v>45667.78344907407</v>
      </c>
      <c r="P368" s="11">
        <f>IF(AND(ISNUMBER(I368),ISNUMBER(O368)),(I368-O368),"")</f>
        <v/>
      </c>
      <c r="Q368" s="12" t="inlineStr">
        <is>
          <t>WG 1009411 entered track and got secured then waited 1:51:25 for WG 1009501 to get coupled then waited 0:11:28 for WG 1009505 to get coupled, OBTP started on 20:52:18 finished on 21:20:25 and then left at 21:21:25</t>
        </is>
      </c>
    </row>
    <row r="369">
      <c r="A369" s="3" t="inlineStr">
        <is>
          <t>1009412</t>
        </is>
      </c>
      <c r="B369" s="3" t="inlineStr">
        <is>
          <t>10094</t>
        </is>
      </c>
      <c r="C369" s="9" t="n">
        <v>80.69999999999999</v>
      </c>
      <c r="D369" s="3" t="inlineStr">
        <is>
          <t>Neunkirchen (loading tracks)</t>
        </is>
      </c>
      <c r="E369" s="10" t="n">
        <v>45667.73768518519</v>
      </c>
      <c r="F369" s="10" t="n">
        <v>45667.77731481481</v>
      </c>
      <c r="G369" s="10" t="n">
        <v>45667.77939814814</v>
      </c>
      <c r="H369" s="3" t="inlineStr">
        <is>
          <t>OBT100125185219-Neunkirchen (loading tracks)</t>
        </is>
      </c>
      <c r="I369" s="10" t="n">
        <v>45667.805625</v>
      </c>
      <c r="J369" s="10" t="n">
        <v>45667.83038194444</v>
      </c>
      <c r="K369" s="10" t="n">
        <v>45667.83038194444</v>
      </c>
      <c r="L369" s="10" t="n">
        <v>45667.83126157407</v>
      </c>
      <c r="M369" s="11">
        <f>IF(AND(ISNUMBER(E369),ISNUMBER(G369)),(G369-E369),"")</f>
        <v/>
      </c>
      <c r="N369" s="11">
        <f>IF(AND(ISNUMBER(G369),ISNUMBER(L369)),(L369-G369),"")</f>
        <v/>
      </c>
      <c r="O369" s="10" t="n">
        <v>45667.78633101852</v>
      </c>
      <c r="P369" s="11">
        <f>IF(AND(ISNUMBER(I369),ISNUMBER(O369)),(I369-O369),"")</f>
        <v/>
      </c>
      <c r="Q369" s="12" t="inlineStr">
        <is>
          <t>WG 1009412 entered track and got coupled to WG 1008709, OBTP started on 19:20:06 finished on 19:55:45 and then left at 19:57:01</t>
        </is>
      </c>
    </row>
    <row r="370">
      <c r="A370" s="3" t="inlineStr">
        <is>
          <t>1009501</t>
        </is>
      </c>
      <c r="B370" s="3" t="inlineStr">
        <is>
          <t>10095</t>
        </is>
      </c>
      <c r="C370" s="9" t="n">
        <v>85.45999999999999</v>
      </c>
      <c r="D370" s="3" t="inlineStr">
        <is>
          <t>Pitten (Hamburger)</t>
        </is>
      </c>
      <c r="E370" s="10" t="n">
        <v>45667.84339120371</v>
      </c>
      <c r="F370" s="10" t="n">
        <v>45667.85699074074</v>
      </c>
      <c r="G370" s="10" t="n">
        <v>45667.85842592592</v>
      </c>
      <c r="H370" s="3" t="inlineStr">
        <is>
          <t>OBT100125205103-Pitten (Hamburger)</t>
        </is>
      </c>
      <c r="I370" s="10" t="n">
        <v>45667.86965277778</v>
      </c>
      <c r="J370" s="10" t="n">
        <v>45667.88917824074</v>
      </c>
      <c r="K370" s="10" t="n">
        <v>45667.88917824074</v>
      </c>
      <c r="L370" s="10" t="n">
        <v>45667.88987268518</v>
      </c>
      <c r="M370" s="11">
        <f>IF(AND(ISNUMBER(E370),ISNUMBER(G370)),(G370-E370),"")</f>
        <v/>
      </c>
      <c r="N370" s="11">
        <f>IF(AND(ISNUMBER(G370),ISNUMBER(L370)),(L370-G370),"")</f>
        <v/>
      </c>
      <c r="O370" s="10" t="n">
        <v>45667.86082175926</v>
      </c>
      <c r="P370" s="11">
        <f>IF(AND(ISNUMBER(I370),ISNUMBER(O370)),(I370-O370),"")</f>
        <v/>
      </c>
      <c r="Q370" s="12" t="inlineStr">
        <is>
          <t>WG 1009501 entered track and got secured then waited 0:11:28 for WG 1009505 to get coupled, OBTP started on 20:52:18 finished on 21:20:25 and then left at 21:21:25</t>
        </is>
      </c>
    </row>
    <row r="371">
      <c r="A371" s="3" t="inlineStr">
        <is>
          <t>1009502</t>
        </is>
      </c>
      <c r="B371" s="3" t="inlineStr">
        <is>
          <t>10095</t>
        </is>
      </c>
      <c r="C371" s="9" t="n">
        <v>14</v>
      </c>
      <c r="D371" s="3" t="inlineStr">
        <is>
          <t>Wr. Neustadt (Brenntag)</t>
        </is>
      </c>
      <c r="E371" s="10" t="n">
        <v>45667.84339120371</v>
      </c>
      <c r="F371" s="10" t="n">
        <v>45667.85842592592</v>
      </c>
      <c r="G371" s="10" t="n">
        <v>45667.86033564815</v>
      </c>
      <c r="H371" s="3" t="inlineStr">
        <is>
          <t>OBT140125102839-Wr. Neustadt (Brenntag)</t>
        </is>
      </c>
      <c r="I371" s="10" t="n">
        <v>45671.45956018518</v>
      </c>
      <c r="J371" s="10" t="n">
        <v>45671.47991898148</v>
      </c>
      <c r="K371" s="10" t="n">
        <v>45671.47991898148</v>
      </c>
      <c r="L371" s="10" t="n">
        <v>45671.4805787037</v>
      </c>
      <c r="M371" s="11">
        <f>IF(AND(ISNUMBER(E371),ISNUMBER(G371)),(G371-E371),"")</f>
        <v/>
      </c>
      <c r="N371" s="11">
        <f>IF(AND(ISNUMBER(G371),ISNUMBER(L371)),(L371-G371),"")</f>
        <v/>
      </c>
      <c r="O371" s="10" t="n">
        <v>45667.86270833333</v>
      </c>
      <c r="P371" s="11">
        <f>IF(AND(ISNUMBER(I371),ISNUMBER(O371)),(I371-O371),"")</f>
        <v/>
      </c>
      <c r="Q371" s="12" t="inlineStr">
        <is>
          <t>WG 1009502 entered track and got secured then waited 60:55:02 for WG 1010701 to get coupled then waited 5:57:31 for WG 1011106 to get coupled then waited 11:22:34 for WG 1011604 to get coupled then waited 7:12:44 for WG 1012103 to get coupled then waited 0:15:38 for WG 1012109 to get coupled then waited 0:02:52 for WG 1012113 to get coupled, OBTP started on 11:01:46 finished on 11:31:05 and then left at 11:32:02</t>
        </is>
      </c>
    </row>
    <row r="372">
      <c r="A372" s="3" t="inlineStr">
        <is>
          <t>1009503</t>
        </is>
      </c>
      <c r="B372" s="3" t="inlineStr">
        <is>
          <t>10095</t>
        </is>
      </c>
      <c r="C372" s="9" t="n">
        <v>19.9</v>
      </c>
      <c r="D372" s="3" t="inlineStr">
        <is>
          <t>Wr. Neustadt Ausfahrbf (Furtenbach)</t>
        </is>
      </c>
      <c r="E372" s="10" t="n">
        <v>45667.84339120371</v>
      </c>
      <c r="F372" s="10" t="n">
        <v>45667.86033564815</v>
      </c>
      <c r="G372" s="10" t="n">
        <v>45667.86185185185</v>
      </c>
      <c r="H372" s="3" t="inlineStr">
        <is>
          <t>OBT130125155039-Wr. Neustadt Ausfahrbf (Furtenbach)</t>
        </is>
      </c>
      <c r="I372" s="10" t="n">
        <v>45670.66203703704</v>
      </c>
      <c r="J372" s="10" t="n">
        <v>45670.6827662037</v>
      </c>
      <c r="K372" s="10" t="n">
        <v>45670.6827662037</v>
      </c>
      <c r="L372" s="10" t="n">
        <v>45670.68358796297</v>
      </c>
      <c r="M372" s="11">
        <f>IF(AND(ISNUMBER(E372),ISNUMBER(G372)),(G372-E372),"")</f>
        <v/>
      </c>
      <c r="N372" s="11">
        <f>IF(AND(ISNUMBER(G372),ISNUMBER(L372)),(L372-G372),"")</f>
        <v/>
      </c>
      <c r="O372" s="10" t="n">
        <v>45667.86424768518</v>
      </c>
      <c r="P372" s="11">
        <f>IF(AND(ISNUMBER(I372),ISNUMBER(O372)),(I372-O372),"")</f>
        <v/>
      </c>
      <c r="Q372" s="12" t="inlineStr">
        <is>
          <t>WG 1009503 entered track and got secured then waited 59:23:59 for WG 1010504 to get coupled then waited 7:42:09 for WG 1011111 to get coupled, OBTP started on 15:53:20 finished on 16:23:11 and then left at 16:24:22</t>
        </is>
      </c>
    </row>
    <row r="373">
      <c r="A373" s="3" t="inlineStr">
        <is>
          <t>1009504</t>
        </is>
      </c>
      <c r="B373" s="3" t="inlineStr">
        <is>
          <t>10095</t>
        </is>
      </c>
      <c r="C373" s="9" t="n">
        <v>21</v>
      </c>
      <c r="D373" s="3" t="inlineStr">
        <is>
          <t>Neunkirchen (loading tracks)</t>
        </is>
      </c>
      <c r="E373" s="10" t="n">
        <v>45667.84339120371</v>
      </c>
      <c r="F373" s="10" t="n">
        <v>45667.86185185185</v>
      </c>
      <c r="G373" s="10" t="n">
        <v>45667.86358796297</v>
      </c>
      <c r="H373" s="3" t="inlineStr">
        <is>
          <t>OBT130125024918-Neunkirchen (loading tracks)</t>
        </is>
      </c>
      <c r="I373" s="10" t="n">
        <v>45670.1184375</v>
      </c>
      <c r="J373" s="10" t="n">
        <v>45670.15086805556</v>
      </c>
      <c r="K373" s="10" t="n">
        <v>45670.15086805556</v>
      </c>
      <c r="L373" s="10" t="n">
        <v>45670.15189814815</v>
      </c>
      <c r="M373" s="11">
        <f>IF(AND(ISNUMBER(E373),ISNUMBER(G373)),(G373-E373),"")</f>
        <v/>
      </c>
      <c r="N373" s="11">
        <f>IF(AND(ISNUMBER(G373),ISNUMBER(L373)),(L373-G373),"")</f>
        <v/>
      </c>
      <c r="O373" s="10" t="n">
        <v>45667.86594907408</v>
      </c>
      <c r="P373" s="11">
        <f>IF(AND(ISNUMBER(I373),ISNUMBER(O373)),(I373-O373),"")</f>
        <v/>
      </c>
      <c r="Q373" s="12" t="inlineStr">
        <is>
          <t>WG 1009504 entered track and got secured then waited 54:02:20 for WG 1010001 to get coupled, OBTP started on 02:50:33 finished on 03:37:15 and then left at 03:38:44</t>
        </is>
      </c>
    </row>
    <row r="374">
      <c r="A374" s="3" t="inlineStr">
        <is>
          <t>1009505</t>
        </is>
      </c>
      <c r="B374" s="3" t="inlineStr">
        <is>
          <t>10095</t>
        </is>
      </c>
      <c r="C374" s="9" t="n">
        <v>27</v>
      </c>
      <c r="D374" s="3" t="inlineStr">
        <is>
          <t>Wr. Neustadt (Hödlmayr)</t>
        </is>
      </c>
      <c r="E374" s="10" t="n">
        <v>45667.84339120371</v>
      </c>
      <c r="F374" s="10" t="n">
        <v>45667.86358796297</v>
      </c>
      <c r="G374" s="10" t="n">
        <v>45667.86488425926</v>
      </c>
      <c r="H374" s="3" t="inlineStr">
        <is>
          <t>OBT100125205103-Pitten (Hamburger)</t>
        </is>
      </c>
      <c r="I374" s="10" t="n">
        <v>45667.86965277778</v>
      </c>
      <c r="J374" s="10" t="n">
        <v>45667.88917824074</v>
      </c>
      <c r="K374" s="10" t="n">
        <v>45667.88917824074</v>
      </c>
      <c r="L374" s="10" t="n">
        <v>45667.88987268518</v>
      </c>
      <c r="M374" s="11">
        <f>IF(AND(ISNUMBER(E374),ISNUMBER(G374)),(G374-E374),"")</f>
        <v/>
      </c>
      <c r="N374" s="11">
        <f>IF(AND(ISNUMBER(G374),ISNUMBER(L374)),(L374-G374),"")</f>
        <v/>
      </c>
      <c r="O374" s="10" t="n">
        <v>45667.86878472222</v>
      </c>
      <c r="P374" s="11">
        <f>IF(AND(ISNUMBER(I374),ISNUMBER(O374)),(I374-O374),"")</f>
        <v/>
      </c>
      <c r="Q374" s="12" t="inlineStr">
        <is>
          <t>WG 1009505 entered track and got coupled to WG 1009501, OBTP started on 20:52:18 finished on 21:20:25 and then left at 21:21:25</t>
        </is>
      </c>
    </row>
    <row r="375">
      <c r="A375" s="3" t="inlineStr">
        <is>
          <t>1009506</t>
        </is>
      </c>
      <c r="B375" s="3" t="inlineStr">
        <is>
          <t>10095</t>
        </is>
      </c>
      <c r="C375" s="9" t="n">
        <v>43.14</v>
      </c>
      <c r="D375" s="3" t="inlineStr">
        <is>
          <t>Other sidings south</t>
        </is>
      </c>
      <c r="E375" s="10" t="n">
        <v>45667.84339120371</v>
      </c>
      <c r="F375" s="10" t="n">
        <v>45667.86488425926</v>
      </c>
      <c r="G375" s="10" t="n">
        <v>45667.86670138889</v>
      </c>
      <c r="H375" s="3" t="inlineStr">
        <is>
          <t>OBT100125205342-Other sidings south</t>
        </is>
      </c>
      <c r="I375" s="10" t="n">
        <v>45667.87236111111</v>
      </c>
      <c r="J375" s="10" t="n">
        <v>45667.89222222222</v>
      </c>
      <c r="K375" s="10" t="n">
        <v>45667.89222222222</v>
      </c>
      <c r="L375" s="10" t="n">
        <v>45667.89303240741</v>
      </c>
      <c r="M375" s="11">
        <f>IF(AND(ISNUMBER(E375),ISNUMBER(G375)),(G375-E375),"")</f>
        <v/>
      </c>
      <c r="N375" s="11">
        <f>IF(AND(ISNUMBER(G375),ISNUMBER(L375)),(L375-G375),"")</f>
        <v/>
      </c>
      <c r="O375" s="10" t="n">
        <v>45667.870625</v>
      </c>
      <c r="P375" s="11">
        <f>IF(AND(ISNUMBER(I375),ISNUMBER(O375)),(I375-O375),"")</f>
        <v/>
      </c>
      <c r="Q375" s="12" t="inlineStr">
        <is>
          <t>WG 1009506 entered track and got coupled to WG 1009410, OBTP started on 20:56:12 finished on 21:24:48 and then left at 21:25:58</t>
        </is>
      </c>
    </row>
    <row r="376">
      <c r="A376" s="3" t="inlineStr">
        <is>
          <t>1009507</t>
        </is>
      </c>
      <c r="B376" s="3" t="inlineStr">
        <is>
          <t>10095</t>
        </is>
      </c>
      <c r="C376" s="9" t="n">
        <v>27</v>
      </c>
      <c r="D376" s="3" t="inlineStr">
        <is>
          <t>Wr. Neustadt (Hödlmayr)</t>
        </is>
      </c>
      <c r="E376" s="10" t="n">
        <v>45667.84339120371</v>
      </c>
      <c r="F376" s="10" t="n">
        <v>45667.86670138889</v>
      </c>
      <c r="G376" s="10" t="n">
        <v>45667.86844907407</v>
      </c>
      <c r="H376" s="3" t="inlineStr">
        <is>
          <t>OBT130125082326-Wr. Neustadt (Hödlmayr)</t>
        </is>
      </c>
      <c r="I376" s="10" t="n">
        <v>45670.35333333333</v>
      </c>
      <c r="J376" s="10" t="n">
        <v>45670.38145833334</v>
      </c>
      <c r="K376" s="10" t="n">
        <v>45670.38145833334</v>
      </c>
      <c r="L376" s="10" t="n">
        <v>45670.38234953704</v>
      </c>
      <c r="M376" s="11">
        <f>IF(AND(ISNUMBER(E376),ISNUMBER(G376)),(G376-E376),"")</f>
        <v/>
      </c>
      <c r="N376" s="11">
        <f>IF(AND(ISNUMBER(G376),ISNUMBER(L376)),(L376-G376),"")</f>
        <v/>
      </c>
      <c r="O376" s="10" t="n">
        <v>45667.87082175926</v>
      </c>
      <c r="P376" s="11">
        <f>IF(AND(ISNUMBER(I376),ISNUMBER(O376)),(I376-O376),"")</f>
        <v/>
      </c>
      <c r="Q376" s="12" t="inlineStr">
        <is>
          <t>WG 1009507 entered track and got secured then waited 59:23:54 for WG 1010507 to get coupled then waited 0:05:33 for WG 1010510 to get coupled, OBTP started on 08:28:48 finished on 09:09:18 and then left at 09:10:35</t>
        </is>
      </c>
    </row>
    <row r="377">
      <c r="A377" s="3" t="inlineStr">
        <is>
          <t>1009508</t>
        </is>
      </c>
      <c r="B377" s="3" t="inlineStr">
        <is>
          <t>10095</t>
        </is>
      </c>
      <c r="C377" s="9" t="n">
        <v>62.96</v>
      </c>
      <c r="D377" s="3" t="inlineStr">
        <is>
          <t>Ebenfurth (beet loading)</t>
        </is>
      </c>
      <c r="E377" s="10" t="n">
        <v>45667.84339120371</v>
      </c>
      <c r="F377" s="10" t="n">
        <v>45667.86844907407</v>
      </c>
      <c r="G377" s="10" t="n">
        <v>45667.87052083333</v>
      </c>
      <c r="H377" s="3" t="inlineStr">
        <is>
          <t>OBT110125052224-Ebenfurth (beet loading)</t>
        </is>
      </c>
      <c r="I377" s="10" t="n">
        <v>45668.2247337963</v>
      </c>
      <c r="J377" s="10" t="n">
        <v>45668.24385416666</v>
      </c>
      <c r="K377" s="10" t="n">
        <v>45668.24385416666</v>
      </c>
      <c r="L377" s="10" t="n">
        <v>45668.24466435185</v>
      </c>
      <c r="M377" s="11">
        <f>IF(AND(ISNUMBER(E377),ISNUMBER(G377)),(G377-E377),"")</f>
        <v/>
      </c>
      <c r="N377" s="11">
        <f>IF(AND(ISNUMBER(G377),ISNUMBER(L377)),(L377-G377),"")</f>
        <v/>
      </c>
      <c r="O377" s="10" t="n">
        <v>45667.87289351852</v>
      </c>
      <c r="P377" s="11">
        <f>IF(AND(ISNUMBER(I377),ISNUMBER(O377)),(I377-O377),"")</f>
        <v/>
      </c>
      <c r="Q377" s="12" t="inlineStr">
        <is>
          <t>WG 1009508 entered track and got secured then waited 8:25:26 for WG 1009601 to get coupled, OBTP started on 05:23:37 finished on 05:51:09 and then left at 05:52:19</t>
        </is>
      </c>
    </row>
    <row r="378">
      <c r="A378" s="3" t="inlineStr">
        <is>
          <t>1009601</t>
        </is>
      </c>
      <c r="B378" s="3" t="inlineStr">
        <is>
          <t>10096</t>
        </is>
      </c>
      <c r="C378" s="9" t="n">
        <v>47.22</v>
      </c>
      <c r="D378" s="3" t="inlineStr">
        <is>
          <t>Ebenfurth (beet loading)</t>
        </is>
      </c>
      <c r="E378" s="10" t="n">
        <v>45668.20925925926</v>
      </c>
      <c r="F378" s="10" t="n">
        <v>45668.21792824074</v>
      </c>
      <c r="G378" s="10" t="n">
        <v>45668.21996527778</v>
      </c>
      <c r="H378" s="3" t="inlineStr">
        <is>
          <t>OBT110125052224-Ebenfurth (beet loading)</t>
        </is>
      </c>
      <c r="I378" s="10" t="n">
        <v>45668.2247337963</v>
      </c>
      <c r="J378" s="10" t="n">
        <v>45668.24385416666</v>
      </c>
      <c r="K378" s="10" t="n">
        <v>45668.24385416666</v>
      </c>
      <c r="L378" s="10" t="n">
        <v>45668.24466435185</v>
      </c>
      <c r="M378" s="11">
        <f>IF(AND(ISNUMBER(E378),ISNUMBER(G378)),(G378-E378),"")</f>
        <v/>
      </c>
      <c r="N378" s="11">
        <f>IF(AND(ISNUMBER(G378),ISNUMBER(L378)),(L378-G378),"")</f>
        <v/>
      </c>
      <c r="O378" s="10" t="n">
        <v>45668.22388888889</v>
      </c>
      <c r="P378" s="11">
        <f>IF(AND(ISNUMBER(I378),ISNUMBER(O378)),(I378-O378),"")</f>
        <v/>
      </c>
      <c r="Q378" s="12" t="inlineStr">
        <is>
          <t>WG 1009601 entered track and got coupled to WG 1009508, OBTP started on 05:23:37 finished on 05:51:09 and then left at 05:52:19</t>
        </is>
      </c>
    </row>
    <row r="379">
      <c r="A379" s="3" t="inlineStr">
        <is>
          <t>1009602</t>
        </is>
      </c>
      <c r="B379" s="3" t="inlineStr">
        <is>
          <t>10096</t>
        </is>
      </c>
      <c r="C379" s="9" t="n">
        <v>16.5</v>
      </c>
      <c r="D379" s="3" t="inlineStr">
        <is>
          <t>Neudörfl (FunderMax)</t>
        </is>
      </c>
      <c r="E379" s="10" t="n">
        <v>45668.20925925926</v>
      </c>
      <c r="F379" s="10" t="n">
        <v>45668.21996527778</v>
      </c>
      <c r="G379" s="10" t="n">
        <v>45668.22199074074</v>
      </c>
      <c r="H379" s="3" t="inlineStr">
        <is>
          <t>OBT120125180841-Neudörfl (FunderMax)</t>
        </is>
      </c>
      <c r="I379" s="10" t="n">
        <v>45669.75689814815</v>
      </c>
      <c r="J379" s="10" t="n">
        <v>45669.80346064815</v>
      </c>
      <c r="K379" s="10" t="n">
        <v>45669.80346064815</v>
      </c>
      <c r="L379" s="10" t="n">
        <v>45669.80458333333</v>
      </c>
      <c r="M379" s="11">
        <f>IF(AND(ISNUMBER(E379),ISNUMBER(G379)),(G379-E379),"")</f>
        <v/>
      </c>
      <c r="N379" s="11">
        <f>IF(AND(ISNUMBER(G379),ISNUMBER(L379)),(L379-G379),"")</f>
        <v/>
      </c>
      <c r="O379" s="10" t="n">
        <v>45668.22553240741</v>
      </c>
      <c r="P379" s="11">
        <f>IF(AND(ISNUMBER(I379),ISNUMBER(O379)),(I379-O379),"")</f>
        <v/>
      </c>
      <c r="Q379" s="12" t="inlineStr">
        <is>
          <t>WG 1009602 entered track and got coupled to WG 1009404 then waited 0:31:07 for WG 1009701 to get coupled then waited 0:07:58 for WG 1009704 to get coupled then waited 36:04:50 for WG 1009801 to get coupled, OBTP started on 18:09:56 finished on 19:16:59 and then left at 19:18:36</t>
        </is>
      </c>
    </row>
    <row r="380">
      <c r="A380" s="3" t="inlineStr">
        <is>
          <t>1009603</t>
        </is>
      </c>
      <c r="B380" s="3" t="inlineStr">
        <is>
          <t>10096</t>
        </is>
      </c>
      <c r="C380" s="9" t="n">
        <v>302.86</v>
      </c>
      <c r="D380" s="3" t="inlineStr">
        <is>
          <t>Pitten (Hamburger)</t>
        </is>
      </c>
      <c r="E380" s="10" t="n">
        <v>45668.20925925926</v>
      </c>
      <c r="F380" s="10" t="n">
        <v>45668.22199074074</v>
      </c>
      <c r="G380" s="10" t="n">
        <v>45668.22392361111</v>
      </c>
      <c r="H380" s="3" t="inlineStr">
        <is>
          <t>OBT110125052552-Pitten (Hamburger)</t>
        </is>
      </c>
      <c r="I380" s="10" t="n">
        <v>45668.22716435185</v>
      </c>
      <c r="J380" s="10" t="n">
        <v>45668.27974537037</v>
      </c>
      <c r="K380" s="10" t="n">
        <v>45668.27974537037</v>
      </c>
      <c r="L380" s="10" t="n">
        <v>45668.28086805555</v>
      </c>
      <c r="M380" s="11">
        <f>IF(AND(ISNUMBER(E380),ISNUMBER(G380)),(G380-E380),"")</f>
        <v/>
      </c>
      <c r="N380" s="11">
        <f>IF(AND(ISNUMBER(G380),ISNUMBER(L380)),(L380-G380),"")</f>
        <v/>
      </c>
      <c r="O380" s="10" t="n">
        <v>45668.2262962963</v>
      </c>
      <c r="P380" s="11">
        <f>IF(AND(ISNUMBER(I380),ISNUMBER(O380)),(I380-O380),"")</f>
        <v/>
      </c>
      <c r="Q380" s="12" t="inlineStr">
        <is>
          <t>WG 1009603 entered track and got secured, OBTP started on 05:27:07 finished on 06:42:50 and then left at 06:44:27</t>
        </is>
      </c>
    </row>
    <row r="381">
      <c r="A381" s="3" t="inlineStr">
        <is>
          <t>1009701</t>
        </is>
      </c>
      <c r="B381" s="3" t="inlineStr">
        <is>
          <t>10097</t>
        </is>
      </c>
      <c r="C381" s="9" t="n">
        <v>40.9</v>
      </c>
      <c r="D381" s="3" t="inlineStr">
        <is>
          <t>Neudörfl (FunderMax)</t>
        </is>
      </c>
      <c r="E381" s="10" t="n">
        <v>45668.2312037037</v>
      </c>
      <c r="F381" s="10" t="n">
        <v>45668.24116898148</v>
      </c>
      <c r="G381" s="10" t="n">
        <v>45668.24325231482</v>
      </c>
      <c r="H381" s="3" t="inlineStr">
        <is>
          <t>OBT120125180841-Neudörfl (FunderMax)</t>
        </is>
      </c>
      <c r="I381" s="10" t="n">
        <v>45669.75689814815</v>
      </c>
      <c r="J381" s="10" t="n">
        <v>45669.80346064815</v>
      </c>
      <c r="K381" s="10" t="n">
        <v>45669.80346064815</v>
      </c>
      <c r="L381" s="10" t="n">
        <v>45669.80458333333</v>
      </c>
      <c r="M381" s="11">
        <f>IF(AND(ISNUMBER(E381),ISNUMBER(G381)),(G381-E381),"")</f>
        <v/>
      </c>
      <c r="N381" s="11">
        <f>IF(AND(ISNUMBER(G381),ISNUMBER(L381)),(L381-G381),"")</f>
        <v/>
      </c>
      <c r="O381" s="10" t="n">
        <v>45668.2471412037</v>
      </c>
      <c r="P381" s="11">
        <f>IF(AND(ISNUMBER(I381),ISNUMBER(O381)),(I381-O381),"")</f>
        <v/>
      </c>
      <c r="Q381" s="12" t="inlineStr">
        <is>
          <t>WG 1009701 entered track and got coupled to WG 1009602 then waited 0:07:58 for WG 1009704 to get coupled then waited 36:04:50 for WG 1009801 to get coupled, OBTP started on 18:09:56 finished on 19:16:59 and then left at 19:18:36</t>
        </is>
      </c>
    </row>
    <row r="382">
      <c r="A382" s="3" t="inlineStr">
        <is>
          <t>1009702</t>
        </is>
      </c>
      <c r="B382" s="3" t="inlineStr">
        <is>
          <t>10097</t>
        </is>
      </c>
      <c r="C382" s="9" t="n">
        <v>110.18</v>
      </c>
      <c r="D382" s="3" t="inlineStr">
        <is>
          <t>Ebenfurth (beet loading)</t>
        </is>
      </c>
      <c r="E382" s="10" t="n">
        <v>45668.2312037037</v>
      </c>
      <c r="F382" s="10" t="n">
        <v>45668.24325231482</v>
      </c>
      <c r="G382" s="10" t="n">
        <v>45668.24523148148</v>
      </c>
      <c r="H382" s="3" t="inlineStr">
        <is>
          <t>OBT110125055616-Ebenfurth (beet loading)</t>
        </is>
      </c>
      <c r="I382" s="10" t="n">
        <v>45668.24881944444</v>
      </c>
      <c r="J382" s="10" t="n">
        <v>45668.26795138889</v>
      </c>
      <c r="K382" s="10" t="n">
        <v>45668.26795138889</v>
      </c>
      <c r="L382" s="10" t="n">
        <v>45668.26873842593</v>
      </c>
      <c r="M382" s="11">
        <f>IF(AND(ISNUMBER(E382),ISNUMBER(G382)),(G382-E382),"")</f>
        <v/>
      </c>
      <c r="N382" s="11">
        <f>IF(AND(ISNUMBER(G382),ISNUMBER(L382)),(L382-G382),"")</f>
        <v/>
      </c>
      <c r="O382" s="10" t="n">
        <v>45668.24740740741</v>
      </c>
      <c r="P382" s="11">
        <f>IF(AND(ISNUMBER(I382),ISNUMBER(O382)),(I382-O382),"")</f>
        <v/>
      </c>
      <c r="Q382" s="12" t="inlineStr">
        <is>
          <t>WG 1009702 entered track and got secured, OBTP started on 05:58:18 finished on 06:25:51 and then left at 06:26:59</t>
        </is>
      </c>
    </row>
    <row r="383">
      <c r="A383" s="3" t="inlineStr">
        <is>
          <t>1009703</t>
        </is>
      </c>
      <c r="B383" s="3" t="inlineStr">
        <is>
          <t>10097</t>
        </is>
      </c>
      <c r="C383" s="9" t="n">
        <v>210.64</v>
      </c>
      <c r="D383" s="3" t="inlineStr">
        <is>
          <t>Pitten (Hamburger)</t>
        </is>
      </c>
      <c r="E383" s="10" t="n">
        <v>45668.2312037037</v>
      </c>
      <c r="F383" s="10" t="n">
        <v>45668.24523148148</v>
      </c>
      <c r="G383" s="10" t="n">
        <v>45668.24706018518</v>
      </c>
      <c r="H383" s="3" t="inlineStr">
        <is>
          <t>OBT110125055912-Pitten (Hamburger)</t>
        </is>
      </c>
      <c r="I383" s="10" t="n">
        <v>45668.25430555556</v>
      </c>
      <c r="J383" s="10" t="n">
        <v>45668.29087962963</v>
      </c>
      <c r="K383" s="10" t="n">
        <v>45668.29087962963</v>
      </c>
      <c r="L383" s="10" t="n">
        <v>45668.29185185185</v>
      </c>
      <c r="M383" s="11">
        <f>IF(AND(ISNUMBER(E383),ISNUMBER(G383)),(G383-E383),"")</f>
        <v/>
      </c>
      <c r="N383" s="11">
        <f>IF(AND(ISNUMBER(G383),ISNUMBER(L383)),(L383-G383),"")</f>
        <v/>
      </c>
      <c r="O383" s="10" t="n">
        <v>45668.24944444445</v>
      </c>
      <c r="P383" s="11">
        <f>IF(AND(ISNUMBER(I383),ISNUMBER(O383)),(I383-O383),"")</f>
        <v/>
      </c>
      <c r="Q383" s="12" t="inlineStr">
        <is>
          <t>WG 1009703 entered track and got secured, OBTP started on 06:06:12 finished on 06:58:52 and then left at 07:00:16</t>
        </is>
      </c>
    </row>
    <row r="384">
      <c r="A384" s="3" t="inlineStr">
        <is>
          <t>1009704</t>
        </is>
      </c>
      <c r="B384" s="3" t="inlineStr">
        <is>
          <t>10097</t>
        </is>
      </c>
      <c r="C384" s="9" t="n">
        <v>21</v>
      </c>
      <c r="D384" s="3" t="inlineStr">
        <is>
          <t>Neudörfl (FunderMax)</t>
        </is>
      </c>
      <c r="E384" s="10" t="n">
        <v>45668.2312037037</v>
      </c>
      <c r="F384" s="10" t="n">
        <v>45668.24706018518</v>
      </c>
      <c r="G384" s="10" t="n">
        <v>45668.2491087963</v>
      </c>
      <c r="H384" s="3" t="inlineStr">
        <is>
          <t>OBT120125180841-Neudörfl (FunderMax)</t>
        </is>
      </c>
      <c r="I384" s="10" t="n">
        <v>45669.75689814815</v>
      </c>
      <c r="J384" s="10" t="n">
        <v>45669.80346064815</v>
      </c>
      <c r="K384" s="10" t="n">
        <v>45669.80346064815</v>
      </c>
      <c r="L384" s="10" t="n">
        <v>45669.80458333333</v>
      </c>
      <c r="M384" s="11">
        <f>IF(AND(ISNUMBER(E384),ISNUMBER(G384)),(G384-E384),"")</f>
        <v/>
      </c>
      <c r="N384" s="11">
        <f>IF(AND(ISNUMBER(G384),ISNUMBER(L384)),(L384-G384),"")</f>
        <v/>
      </c>
      <c r="O384" s="10" t="n">
        <v>45668.25267361111</v>
      </c>
      <c r="P384" s="11">
        <f>IF(AND(ISNUMBER(I384),ISNUMBER(O384)),(I384-O384),"")</f>
        <v/>
      </c>
      <c r="Q384" s="12" t="inlineStr">
        <is>
          <t>WG 1009704 entered track and got coupled to WG 1009701 then waited 36:04:50 for WG 1009801 to get coupled, OBTP started on 18:09:56 finished on 19:16:59 and then left at 19:18:36</t>
        </is>
      </c>
    </row>
    <row r="385">
      <c r="A385" s="3" t="inlineStr">
        <is>
          <t>1009801</t>
        </is>
      </c>
      <c r="B385" s="3" t="inlineStr">
        <is>
          <t>10098</t>
        </is>
      </c>
      <c r="C385" s="9" t="n">
        <v>173.3</v>
      </c>
      <c r="D385" s="3" t="inlineStr">
        <is>
          <t>Neudörfl (FunderMax)</t>
        </is>
      </c>
      <c r="E385" s="10" t="n">
        <v>45669.73956018518</v>
      </c>
      <c r="F385" s="10" t="n">
        <v>45669.74974537037</v>
      </c>
      <c r="G385" s="10" t="n">
        <v>45669.75210648148</v>
      </c>
      <c r="H385" s="3" t="inlineStr">
        <is>
          <t>OBT120125180841-Neudörfl (FunderMax)</t>
        </is>
      </c>
      <c r="I385" s="10" t="n">
        <v>45669.75689814815</v>
      </c>
      <c r="J385" s="10" t="n">
        <v>45669.80346064815</v>
      </c>
      <c r="K385" s="10" t="n">
        <v>45669.80346064815</v>
      </c>
      <c r="L385" s="10" t="n">
        <v>45669.80458333333</v>
      </c>
      <c r="M385" s="11">
        <f>IF(AND(ISNUMBER(E385),ISNUMBER(G385)),(G385-E385),"")</f>
        <v/>
      </c>
      <c r="N385" s="11">
        <f>IF(AND(ISNUMBER(G385),ISNUMBER(L385)),(L385-G385),"")</f>
        <v/>
      </c>
      <c r="O385" s="10" t="n">
        <v>45669.75603009259</v>
      </c>
      <c r="P385" s="11">
        <f>IF(AND(ISNUMBER(I385),ISNUMBER(O385)),(I385-O385),"")</f>
        <v/>
      </c>
      <c r="Q385" s="12" t="inlineStr">
        <is>
          <t>WG 1009801 entered track and got coupled to WG 1009704, OBTP started on 18:09:56 finished on 19:16:59 and then left at 19:18:36</t>
        </is>
      </c>
    </row>
    <row r="386">
      <c r="A386" s="3" t="inlineStr">
        <is>
          <t>1009802</t>
        </is>
      </c>
      <c r="B386" s="3" t="inlineStr">
        <is>
          <t>10098</t>
        </is>
      </c>
      <c r="C386" s="9" t="n">
        <v>349.34</v>
      </c>
      <c r="D386" s="3" t="inlineStr">
        <is>
          <t>Pitten (Hamburger)</t>
        </is>
      </c>
      <c r="E386" s="10" t="n">
        <v>45669.73956018518</v>
      </c>
      <c r="F386" s="10" t="n">
        <v>45669.75210648148</v>
      </c>
      <c r="G386" s="10" t="n">
        <v>45669.75413194444</v>
      </c>
      <c r="H386" s="3" t="inlineStr">
        <is>
          <t>OBT120125180921-Pitten (Hamburger)</t>
        </is>
      </c>
      <c r="I386" s="10" t="n">
        <v>45669.7577662037</v>
      </c>
      <c r="J386" s="10" t="n">
        <v>45669.81841435185</v>
      </c>
      <c r="K386" s="10" t="n">
        <v>45669.81841435185</v>
      </c>
      <c r="L386" s="10" t="n">
        <v>45669.81965277778</v>
      </c>
      <c r="M386" s="11">
        <f>IF(AND(ISNUMBER(E386),ISNUMBER(G386)),(G386-E386),"")</f>
        <v/>
      </c>
      <c r="N386" s="11">
        <f>IF(AND(ISNUMBER(G386),ISNUMBER(L386)),(L386-G386),"")</f>
        <v/>
      </c>
      <c r="O386" s="10" t="n">
        <v>45669.75649305555</v>
      </c>
      <c r="P386" s="11">
        <f>IF(AND(ISNUMBER(I386),ISNUMBER(O386)),(I386-O386),"")</f>
        <v/>
      </c>
      <c r="Q386" s="12" t="inlineStr">
        <is>
          <t>WG 1009802 entered track and got secured, OBTP started on 18:11:11 finished on 19:38:31 and then left at 19:40:18</t>
        </is>
      </c>
    </row>
    <row r="387">
      <c r="A387" s="3" t="inlineStr">
        <is>
          <t>1009803</t>
        </is>
      </c>
      <c r="B387" s="3" t="inlineStr">
        <is>
          <t>10098</t>
        </is>
      </c>
      <c r="C387" s="9" t="n">
        <v>31.48</v>
      </c>
      <c r="D387" s="3" t="inlineStr">
        <is>
          <t>Ebenfurth (beet loading)</t>
        </is>
      </c>
      <c r="E387" s="10" t="n">
        <v>45669.73956018518</v>
      </c>
      <c r="F387" s="10" t="n">
        <v>45669.75413194444</v>
      </c>
      <c r="G387" s="10" t="n">
        <v>45669.75589120371</v>
      </c>
      <c r="H387" s="3" t="inlineStr">
        <is>
          <t>OBT140125153639-Ebenfurth (beet loading)</t>
        </is>
      </c>
      <c r="I387" s="10" t="n">
        <v>45671.65310185185</v>
      </c>
      <c r="J387" s="10" t="n">
        <v>45671.67769675926</v>
      </c>
      <c r="K387" s="10" t="n">
        <v>45671.67769675926</v>
      </c>
      <c r="L387" s="10" t="n">
        <v>45671.67856481481</v>
      </c>
      <c r="M387" s="11">
        <f>IF(AND(ISNUMBER(E387),ISNUMBER(G387)),(G387-E387),"")</f>
        <v/>
      </c>
      <c r="N387" s="11">
        <f>IF(AND(ISNUMBER(G387),ISNUMBER(L387)),(L387-G387),"")</f>
        <v/>
      </c>
      <c r="O387" s="10" t="n">
        <v>45669.75826388889</v>
      </c>
      <c r="P387" s="11">
        <f>IF(AND(ISNUMBER(I387),ISNUMBER(O387)),(I387-O387),"")</f>
        <v/>
      </c>
      <c r="Q387" s="12" t="inlineStr">
        <is>
          <t>WG 1009803 entered track and got secured then waited 14:13:35 for WG 1010511 to get coupled then waited 7:06:40 for WG 1011105 to get coupled then waited 18:46:50 for WG 1012111 to get coupled then waited 5:17:40 for WG 1012603 to get coupled, OBTP started on 15:40:28 finished on 16:15:53 and then left at 16:17:08</t>
        </is>
      </c>
    </row>
    <row r="388">
      <c r="A388" s="3" t="inlineStr">
        <is>
          <t>1009901</t>
        </is>
      </c>
      <c r="B388" s="3" t="inlineStr">
        <is>
          <t>10099</t>
        </is>
      </c>
      <c r="C388" s="9" t="n">
        <v>106.9</v>
      </c>
      <c r="D388" s="3" t="inlineStr">
        <is>
          <t>Neudörfl (FunderMax)</t>
        </is>
      </c>
      <c r="E388" s="10" t="n">
        <v>45669.83706018519</v>
      </c>
      <c r="F388" s="10" t="n">
        <v>45669.84346064815</v>
      </c>
      <c r="G388" s="10" t="n">
        <v>45669.8449537037</v>
      </c>
      <c r="H388" s="3" t="inlineStr">
        <is>
          <t>OBT120125201952-Neudörfl (FunderMax)</t>
        </is>
      </c>
      <c r="I388" s="10" t="n">
        <v>45669.84799768519</v>
      </c>
      <c r="J388" s="10" t="n">
        <v>45669.86655092592</v>
      </c>
      <c r="K388" s="10" t="n">
        <v>45669.86655092592</v>
      </c>
      <c r="L388" s="10" t="n">
        <v>45669.8672337963</v>
      </c>
      <c r="M388" s="11">
        <f>IF(AND(ISNUMBER(E388),ISNUMBER(G388)),(G388-E388),"")</f>
        <v/>
      </c>
      <c r="N388" s="11">
        <f>IF(AND(ISNUMBER(G388),ISNUMBER(L388)),(L388-G388),"")</f>
        <v/>
      </c>
      <c r="O388" s="10" t="n">
        <v>45669.84712962963</v>
      </c>
      <c r="P388" s="11">
        <f>IF(AND(ISNUMBER(I388),ISNUMBER(O388)),(I388-O388),"")</f>
        <v/>
      </c>
      <c r="Q388" s="12" t="inlineStr">
        <is>
          <t>WG 1009901 entered track and got secured, OBTP started on 20:21:07 finished on 20:47:50 and then left at 20:48:49</t>
        </is>
      </c>
    </row>
    <row r="389">
      <c r="A389" s="3" t="inlineStr">
        <is>
          <t>1009902</t>
        </is>
      </c>
      <c r="B389" s="3" t="inlineStr">
        <is>
          <t>10099</t>
        </is>
      </c>
      <c r="C389" s="9" t="n">
        <v>101.2</v>
      </c>
      <c r="D389" s="3" t="inlineStr">
        <is>
          <t>Pitten (Hamburger)</t>
        </is>
      </c>
      <c r="E389" s="10" t="n">
        <v>45669.83706018519</v>
      </c>
      <c r="F389" s="10" t="n">
        <v>45669.8449537037</v>
      </c>
      <c r="G389" s="10" t="n">
        <v>45669.84717592593</v>
      </c>
      <c r="H389" s="3" t="inlineStr">
        <is>
          <t>OBT120125202320-Pitten (Hamburger)</t>
        </is>
      </c>
      <c r="I389" s="10" t="n">
        <v>45669.85032407408</v>
      </c>
      <c r="J389" s="10" t="n">
        <v>45669.86789351852</v>
      </c>
      <c r="K389" s="10" t="n">
        <v>45669.86789351852</v>
      </c>
      <c r="L389" s="10" t="n">
        <v>45669.86863425926</v>
      </c>
      <c r="M389" s="11">
        <f>IF(AND(ISNUMBER(E389),ISNUMBER(G389)),(G389-E389),"")</f>
        <v/>
      </c>
      <c r="N389" s="11">
        <f>IF(AND(ISNUMBER(G389),ISNUMBER(L389)),(L389-G389),"")</f>
        <v/>
      </c>
      <c r="O389" s="10" t="n">
        <v>45669.84953703704</v>
      </c>
      <c r="P389" s="11">
        <f>IF(AND(ISNUMBER(I389),ISNUMBER(O389)),(I389-O389),"")</f>
        <v/>
      </c>
      <c r="Q389" s="12" t="inlineStr">
        <is>
          <t>WG 1009902 entered track and got secured, OBTP started on 20:24:28 finished on 20:49:46 and then left at 20:50:50</t>
        </is>
      </c>
    </row>
    <row r="390">
      <c r="A390" s="3" t="inlineStr">
        <is>
          <t>1010001</t>
        </is>
      </c>
      <c r="B390" s="3" t="inlineStr">
        <is>
          <t>10100</t>
        </is>
      </c>
      <c r="C390" s="9" t="n">
        <v>165.8</v>
      </c>
      <c r="D390" s="3" t="inlineStr">
        <is>
          <t>Neunkirchen (loading tracks)</t>
        </is>
      </c>
      <c r="E390" s="10" t="n">
        <v>45670.10543981481</v>
      </c>
      <c r="F390" s="10" t="n">
        <v>45670.11158564815</v>
      </c>
      <c r="G390" s="10" t="n">
        <v>45670.1136574074</v>
      </c>
      <c r="H390" s="3" t="inlineStr">
        <is>
          <t>OBT130125024918-Neunkirchen (loading tracks)</t>
        </is>
      </c>
      <c r="I390" s="10" t="n">
        <v>45670.1184375</v>
      </c>
      <c r="J390" s="10" t="n">
        <v>45670.15086805556</v>
      </c>
      <c r="K390" s="10" t="n">
        <v>45670.15086805556</v>
      </c>
      <c r="L390" s="10" t="n">
        <v>45670.15189814815</v>
      </c>
      <c r="M390" s="11">
        <f>IF(AND(ISNUMBER(E390),ISNUMBER(G390)),(G390-E390),"")</f>
        <v/>
      </c>
      <c r="N390" s="11">
        <f>IF(AND(ISNUMBER(G390),ISNUMBER(L390)),(L390-G390),"")</f>
        <v/>
      </c>
      <c r="O390" s="10" t="n">
        <v>45670.11756944445</v>
      </c>
      <c r="P390" s="11">
        <f>IF(AND(ISNUMBER(I390),ISNUMBER(O390)),(I390-O390),"")</f>
        <v/>
      </c>
      <c r="Q390" s="12" t="inlineStr">
        <is>
          <t>WG 1010001 entered track and got coupled to WG 1009504, OBTP started on 02:50:33 finished on 03:37:15 and then left at 03:38:44</t>
        </is>
      </c>
    </row>
    <row r="391">
      <c r="A391" s="3" t="inlineStr">
        <is>
          <t>1010002</t>
        </is>
      </c>
      <c r="B391" s="3" t="inlineStr">
        <is>
          <t>10100</t>
        </is>
      </c>
      <c r="C391" s="9" t="n">
        <v>15.74</v>
      </c>
      <c r="D391" s="3" t="inlineStr">
        <is>
          <t>Other sidings south</t>
        </is>
      </c>
      <c r="E391" s="10" t="n">
        <v>45670.10543981481</v>
      </c>
      <c r="F391" s="10" t="n">
        <v>45670.1136574074</v>
      </c>
      <c r="G391" s="10" t="n">
        <v>45670.11494212963</v>
      </c>
      <c r="H391" s="3" t="inlineStr">
        <is>
          <t>OBT130125094410-Other sidings south</t>
        </is>
      </c>
      <c r="I391" s="10" t="n">
        <v>45670.42763888889</v>
      </c>
      <c r="J391" s="10" t="n">
        <v>45670.44938657407</v>
      </c>
      <c r="K391" s="10" t="n">
        <v>45670.44938657407</v>
      </c>
      <c r="L391" s="10" t="n">
        <v>45670.45010416667</v>
      </c>
      <c r="M391" s="11">
        <f>IF(AND(ISNUMBER(E391),ISNUMBER(G391)),(G391-E391),"")</f>
        <v/>
      </c>
      <c r="N391" s="11">
        <f>IF(AND(ISNUMBER(G391),ISNUMBER(L391)),(L391-G391),"")</f>
        <v/>
      </c>
      <c r="O391" s="10" t="n">
        <v>45670.11711805555</v>
      </c>
      <c r="P391" s="11">
        <f>IF(AND(ISNUMBER(I391),ISNUMBER(O391)),(I391-O391),"")</f>
        <v/>
      </c>
      <c r="Q391" s="12" t="inlineStr">
        <is>
          <t>WG 1010002 entered track and got secured then waited 5:19:45 for WG 1010503 to get coupled then waited 0:23:37 for WG 1010514 to get coupled then waited 1:12:09 for WG 1010703 to get coupled, OBTP started on 10:15:48 finished on 10:47:07 and then left at 10:48:09</t>
        </is>
      </c>
    </row>
    <row r="392">
      <c r="A392" s="3" t="inlineStr">
        <is>
          <t>1010101</t>
        </is>
      </c>
      <c r="B392" s="3" t="inlineStr">
        <is>
          <t>10101</t>
        </is>
      </c>
      <c r="C392" s="9" t="n">
        <v>301.2</v>
      </c>
      <c r="D392" s="3" t="inlineStr">
        <is>
          <t>Neudörfl (FunderMax)</t>
        </is>
      </c>
      <c r="E392" s="10" t="n">
        <v>45670.18879629629</v>
      </c>
      <c r="F392" s="10" t="n">
        <v>45670.19487268518</v>
      </c>
      <c r="G392" s="10" t="n">
        <v>45670.19755787037</v>
      </c>
      <c r="H392" s="3" t="inlineStr">
        <is>
          <t>OBT130125044756-Neudörfl (FunderMax)</t>
        </is>
      </c>
      <c r="I392" s="10" t="n">
        <v>45670.20079861111</v>
      </c>
      <c r="J392" s="10" t="n">
        <v>45670.25309027778</v>
      </c>
      <c r="K392" s="10" t="n">
        <v>45670.25309027778</v>
      </c>
      <c r="L392" s="10" t="n">
        <v>45670.25429398148</v>
      </c>
      <c r="M392" s="11">
        <f>IF(AND(ISNUMBER(E392),ISNUMBER(G392)),(G392-E392),"")</f>
        <v/>
      </c>
      <c r="N392" s="11">
        <f>IF(AND(ISNUMBER(G392),ISNUMBER(L392)),(L392-G392),"")</f>
        <v/>
      </c>
      <c r="O392" s="10" t="n">
        <v>45670.1999537037</v>
      </c>
      <c r="P392" s="11">
        <f>IF(AND(ISNUMBER(I392),ISNUMBER(O392)),(I392-O392),"")</f>
        <v/>
      </c>
      <c r="Q392" s="12" t="inlineStr">
        <is>
          <t>WG 1010101 entered track and got secured, OBTP started on 04:49:09 finished on 06:04:27 and then left at 06:06:11</t>
        </is>
      </c>
    </row>
    <row r="393">
      <c r="A393" s="3" t="inlineStr">
        <is>
          <t>1010201</t>
        </is>
      </c>
      <c r="B393" s="3" t="inlineStr">
        <is>
          <t>10102</t>
        </is>
      </c>
      <c r="C393" s="9" t="n">
        <v>298</v>
      </c>
      <c r="D393" s="3" t="inlineStr">
        <is>
          <t>Wien Kledering</t>
        </is>
      </c>
      <c r="E393" s="10" t="n">
        <v>45670.25563657407</v>
      </c>
      <c r="F393" s="10" t="n">
        <v>45670.26167824074</v>
      </c>
      <c r="G393" s="10" t="n">
        <v>45670.26436342593</v>
      </c>
      <c r="H393" s="3" t="inlineStr">
        <is>
          <t>OBT130125062348-Wien Kledering</t>
        </is>
      </c>
      <c r="I393" s="10" t="n">
        <v>45670.26739583333</v>
      </c>
      <c r="J393" s="10" t="n">
        <v>45670.31913194444</v>
      </c>
      <c r="K393" s="10" t="n">
        <v>45670.31913194444</v>
      </c>
      <c r="L393" s="10" t="n">
        <v>45670.3203125</v>
      </c>
      <c r="M393" s="11">
        <f>IF(AND(ISNUMBER(E393),ISNUMBER(G393)),(G393-E393),"")</f>
        <v/>
      </c>
      <c r="N393" s="11">
        <f>IF(AND(ISNUMBER(G393),ISNUMBER(L393)),(L393-G393),"")</f>
        <v/>
      </c>
      <c r="O393" s="10" t="n">
        <v>45670.26652777778</v>
      </c>
      <c r="P393" s="11">
        <f>IF(AND(ISNUMBER(I393),ISNUMBER(O393)),(I393-O393),"")</f>
        <v/>
      </c>
      <c r="Q393" s="12" t="inlineStr">
        <is>
          <t>WG 1010201 entered track and got secured, OBTP started on 06:25:03 finished on 07:39:33 and then left at 07:41:15</t>
        </is>
      </c>
    </row>
    <row r="394">
      <c r="A394" s="3" t="inlineStr">
        <is>
          <t>1010301</t>
        </is>
      </c>
      <c r="B394" s="3" t="inlineStr">
        <is>
          <t>10103</t>
        </is>
      </c>
      <c r="C394" s="9" t="n">
        <v>205.52</v>
      </c>
      <c r="D394" s="3" t="inlineStr">
        <is>
          <t>Wien Kledering</t>
        </is>
      </c>
      <c r="E394" s="10" t="n">
        <v>45670.29525462963</v>
      </c>
      <c r="F394" s="10" t="n">
        <v>45670.30055555556</v>
      </c>
      <c r="G394" s="10" t="n">
        <v>45670.30271990741</v>
      </c>
      <c r="H394" s="3" t="inlineStr">
        <is>
          <t>OBT130125071902-Wien Kledering</t>
        </is>
      </c>
      <c r="I394" s="10" t="n">
        <v>45670.30571759259</v>
      </c>
      <c r="J394" s="10" t="n">
        <v>45670.34140046296</v>
      </c>
      <c r="K394" s="10" t="n">
        <v>45670.34140046296</v>
      </c>
      <c r="L394" s="10" t="n">
        <v>45670.34246527778</v>
      </c>
      <c r="M394" s="11">
        <f>IF(AND(ISNUMBER(E394),ISNUMBER(G394)),(G394-E394),"")</f>
        <v/>
      </c>
      <c r="N394" s="11">
        <f>IF(AND(ISNUMBER(G394),ISNUMBER(L394)),(L394-G394),"")</f>
        <v/>
      </c>
      <c r="O394" s="10" t="n">
        <v>45670.30488425926</v>
      </c>
      <c r="P394" s="11">
        <f>IF(AND(ISNUMBER(I394),ISNUMBER(O394)),(I394-O394),"")</f>
        <v/>
      </c>
      <c r="Q394" s="12" t="inlineStr">
        <is>
          <t>WG 1010301 entered track and got secured, OBTP started on 07:20:14 finished on 08:11:37 and then left at 08:13:09</t>
        </is>
      </c>
    </row>
    <row r="395">
      <c r="A395" s="3" t="inlineStr">
        <is>
          <t>1010401</t>
        </is>
      </c>
      <c r="B395" s="3" t="inlineStr">
        <is>
          <t>10104</t>
        </is>
      </c>
      <c r="C395" s="9" t="n">
        <v>397.3000000000001</v>
      </c>
      <c r="D395" s="3" t="inlineStr">
        <is>
          <t>Wien Kledering</t>
        </is>
      </c>
      <c r="E395" s="10" t="n">
        <v>45670.30418981481</v>
      </c>
      <c r="F395" s="10" t="n">
        <v>45670.31101851852</v>
      </c>
      <c r="G395" s="10" t="n">
        <v>45670.31383101852</v>
      </c>
      <c r="H395" s="3" t="inlineStr">
        <is>
          <t>OBT130125073501-Wien Kledering</t>
        </is>
      </c>
      <c r="I395" s="10" t="n">
        <v>45670.31762731481</v>
      </c>
      <c r="J395" s="10" t="n">
        <v>45670.3866087963</v>
      </c>
      <c r="K395" s="10" t="n">
        <v>45670.3866087963</v>
      </c>
      <c r="L395" s="10" t="n">
        <v>45670.38806712963</v>
      </c>
      <c r="M395" s="11">
        <f>IF(AND(ISNUMBER(E395),ISNUMBER(G395)),(G395-E395),"")</f>
        <v/>
      </c>
      <c r="N395" s="11">
        <f>IF(AND(ISNUMBER(G395),ISNUMBER(L395)),(L395-G395),"")</f>
        <v/>
      </c>
      <c r="O395" s="10" t="n">
        <v>45670.3159837963</v>
      </c>
      <c r="P395" s="11">
        <f>IF(AND(ISNUMBER(I395),ISNUMBER(O395)),(I395-O395),"")</f>
        <v/>
      </c>
      <c r="Q395" s="12" t="inlineStr">
        <is>
          <t>WG 1010401 entered track and got secured, OBTP started on 07:37:23 finished on 09:16:43 and then left at 09:18:49</t>
        </is>
      </c>
    </row>
    <row r="396">
      <c r="A396" s="3" t="inlineStr">
        <is>
          <t>1010501</t>
        </is>
      </c>
      <c r="B396" s="3" t="inlineStr">
        <is>
          <t>10105</t>
        </is>
      </c>
      <c r="C396" s="9" t="n">
        <v>15.74</v>
      </c>
      <c r="D396" s="3" t="inlineStr">
        <is>
          <t>Obereggendorf (Hofer)</t>
        </is>
      </c>
      <c r="E396" s="10" t="n">
        <v>45670.30725694444</v>
      </c>
      <c r="F396" s="10" t="n">
        <v>45670.32891203704</v>
      </c>
      <c r="G396" s="10" t="n">
        <v>45670.33052083333</v>
      </c>
      <c r="H396" s="3" t="inlineStr">
        <is>
          <t>OBT140125093209-Obereggendorf (Hofer)</t>
        </is>
      </c>
      <c r="I396" s="10" t="n">
        <v>45671.39819444445</v>
      </c>
      <c r="J396" s="10" t="n">
        <v>45671.45782407407</v>
      </c>
      <c r="K396" s="10" t="n">
        <v>45671.45814814815</v>
      </c>
      <c r="L396" s="10" t="n">
        <v>45671.45953703704</v>
      </c>
      <c r="M396" s="11">
        <f>IF(AND(ISNUMBER(E396),ISNUMBER(G396)),(G396-E396),"")</f>
        <v/>
      </c>
      <c r="N396" s="11">
        <f>IF(AND(ISNUMBER(G396),ISNUMBER(L396)),(L396-G396),"")</f>
        <v/>
      </c>
      <c r="O396" s="10" t="n">
        <v>45670.33444444444</v>
      </c>
      <c r="P396" s="11">
        <f>IF(AND(ISNUMBER(I396),ISNUMBER(O396)),(I396-O396),"")</f>
        <v/>
      </c>
      <c r="Q396" s="12" t="inlineStr">
        <is>
          <t>WG 1010501 entered track and got coupled to WG 1008007 then waited 7:25:03 for WG 1011103 to get coupled then waited 18:05:30 for WG 1012202 to get coupled, OBTP started on 09:33:24 finished on 10:59:16 and then left at 11:01:44</t>
        </is>
      </c>
    </row>
    <row r="397">
      <c r="A397" s="3" t="inlineStr">
        <is>
          <t>1010502</t>
        </is>
      </c>
      <c r="B397" s="3" t="inlineStr">
        <is>
          <t>10105</t>
        </is>
      </c>
      <c r="C397" s="9" t="n">
        <v>70.45999999999999</v>
      </c>
      <c r="D397" s="3" t="inlineStr">
        <is>
          <t>Pitten (Hamburger)</t>
        </is>
      </c>
      <c r="E397" s="10" t="n">
        <v>45670.30725694444</v>
      </c>
      <c r="F397" s="10" t="n">
        <v>45670.33052083333</v>
      </c>
      <c r="G397" s="10" t="n">
        <v>45670.33203703703</v>
      </c>
      <c r="H397" s="3" t="inlineStr">
        <is>
          <t>OBT130125095539-Pitten (Hamburger)</t>
        </is>
      </c>
      <c r="I397" s="10" t="n">
        <v>45670.44409722222</v>
      </c>
      <c r="J397" s="10" t="n">
        <v>45670.48196759259</v>
      </c>
      <c r="K397" s="10" t="n">
        <v>45670.48196759259</v>
      </c>
      <c r="L397" s="10" t="n">
        <v>45670.48296296296</v>
      </c>
      <c r="M397" s="11">
        <f>IF(AND(ISNUMBER(E397),ISNUMBER(G397)),(G397-E397),"")</f>
        <v/>
      </c>
      <c r="N397" s="11">
        <f>IF(AND(ISNUMBER(G397),ISNUMBER(L397)),(L397-G397),"")</f>
        <v/>
      </c>
      <c r="O397" s="10" t="n">
        <v>45670.33440972222</v>
      </c>
      <c r="P397" s="11">
        <f>IF(AND(ISNUMBER(I397),ISNUMBER(O397)),(I397-O397),"")</f>
        <v/>
      </c>
      <c r="Q397" s="12" t="inlineStr">
        <is>
          <t>WG 1010502 entered track and got secured then waited 0:19:08 for WG 1010509 to get coupled then waited 1:34:58 for WG 1010707 to get coupled, OBTP started on 10:39:30 finished on 11:34:02 and then left at 11:35:28</t>
        </is>
      </c>
    </row>
    <row r="398">
      <c r="A398" s="3" t="inlineStr">
        <is>
          <t>1010503</t>
        </is>
      </c>
      <c r="B398" s="3" t="inlineStr">
        <is>
          <t>10105</t>
        </is>
      </c>
      <c r="C398" s="9" t="n">
        <v>23.24</v>
      </c>
      <c r="D398" s="3" t="inlineStr">
        <is>
          <t>Other sidings south</t>
        </is>
      </c>
      <c r="E398" s="10" t="n">
        <v>45670.30725694444</v>
      </c>
      <c r="F398" s="10" t="n">
        <v>45670.33203703703</v>
      </c>
      <c r="G398" s="10" t="n">
        <v>45670.33333333334</v>
      </c>
      <c r="H398" s="3" t="inlineStr">
        <is>
          <t>OBT130125094410-Other sidings south</t>
        </is>
      </c>
      <c r="I398" s="10" t="n">
        <v>45670.42763888889</v>
      </c>
      <c r="J398" s="10" t="n">
        <v>45670.44938657407</v>
      </c>
      <c r="K398" s="10" t="n">
        <v>45670.44938657407</v>
      </c>
      <c r="L398" s="10" t="n">
        <v>45670.45010416667</v>
      </c>
      <c r="M398" s="11">
        <f>IF(AND(ISNUMBER(E398),ISNUMBER(G398)),(G398-E398),"")</f>
        <v/>
      </c>
      <c r="N398" s="11">
        <f>IF(AND(ISNUMBER(G398),ISNUMBER(L398)),(L398-G398),"")</f>
        <v/>
      </c>
      <c r="O398" s="10" t="n">
        <v>45670.33916666666</v>
      </c>
      <c r="P398" s="11">
        <f>IF(AND(ISNUMBER(I398),ISNUMBER(O398)),(I398-O398),"")</f>
        <v/>
      </c>
      <c r="Q398" s="12" t="inlineStr">
        <is>
          <t>WG 1010503 entered track and got coupled to WG 1010002 then waited 0:23:37 for WG 1010514 to get coupled then waited 1:12:09 for WG 1010703 to get coupled, OBTP started on 10:15:48 finished on 10:47:07 and then left at 10:48:09</t>
        </is>
      </c>
    </row>
    <row r="399">
      <c r="A399" s="3" t="inlineStr">
        <is>
          <t>1010504</t>
        </is>
      </c>
      <c r="B399" s="3" t="inlineStr">
        <is>
          <t>10105</t>
        </is>
      </c>
      <c r="C399" s="9" t="n">
        <v>79.59999999999999</v>
      </c>
      <c r="D399" s="3" t="inlineStr">
        <is>
          <t>Wr. Neustadt Ausfahrbf (Furtenbach)</t>
        </is>
      </c>
      <c r="E399" s="10" t="n">
        <v>45670.30725694444</v>
      </c>
      <c r="F399" s="10" t="n">
        <v>45670.33333333334</v>
      </c>
      <c r="G399" s="10" t="n">
        <v>45670.33497685185</v>
      </c>
      <c r="H399" s="3" t="inlineStr">
        <is>
          <t>OBT130125155039-Wr. Neustadt Ausfahrbf (Furtenbach)</t>
        </is>
      </c>
      <c r="I399" s="10" t="n">
        <v>45670.66203703704</v>
      </c>
      <c r="J399" s="10" t="n">
        <v>45670.6827662037</v>
      </c>
      <c r="K399" s="10" t="n">
        <v>45670.6827662037</v>
      </c>
      <c r="L399" s="10" t="n">
        <v>45670.68358796297</v>
      </c>
      <c r="M399" s="11">
        <f>IF(AND(ISNUMBER(E399),ISNUMBER(G399)),(G399-E399),"")</f>
        <v/>
      </c>
      <c r="N399" s="11">
        <f>IF(AND(ISNUMBER(G399),ISNUMBER(L399)),(L399-G399),"")</f>
        <v/>
      </c>
      <c r="O399" s="10" t="n">
        <v>45670.33923611111</v>
      </c>
      <c r="P399" s="11">
        <f>IF(AND(ISNUMBER(I399),ISNUMBER(O399)),(I399-O399),"")</f>
        <v/>
      </c>
      <c r="Q399" s="12" t="inlineStr">
        <is>
          <t>WG 1010504 entered track and got coupled to WG 1009503 then waited 7:42:09 for WG 1011111 to get coupled, OBTP started on 15:53:20 finished on 16:23:11 and then left at 16:24:22</t>
        </is>
      </c>
    </row>
    <row r="400">
      <c r="A400" s="3" t="inlineStr">
        <is>
          <t>1010505</t>
        </is>
      </c>
      <c r="B400" s="3" t="inlineStr">
        <is>
          <t>10105</t>
        </is>
      </c>
      <c r="C400" s="9" t="n">
        <v>31.48</v>
      </c>
      <c r="D400" s="3" t="inlineStr">
        <is>
          <t>Steinabrückl/Wöllersdorf</t>
        </is>
      </c>
      <c r="E400" s="10" t="n">
        <v>45670.30725694444</v>
      </c>
      <c r="F400" s="10" t="n">
        <v>45670.33497685185</v>
      </c>
      <c r="G400" s="10" t="n">
        <v>45670.33696759259</v>
      </c>
      <c r="H400" s="3" t="inlineStr">
        <is>
          <t>OBT140125181252-Steinabrückl/Wöllersdorf</t>
        </is>
      </c>
      <c r="I400" s="10" t="n">
        <v>45671.77648148148</v>
      </c>
      <c r="J400" s="10" t="n">
        <v>45671.79834490741</v>
      </c>
      <c r="K400" s="10" t="n">
        <v>45671.79834490741</v>
      </c>
      <c r="L400" s="10" t="n">
        <v>45671.79916666666</v>
      </c>
      <c r="M400" s="11">
        <f>IF(AND(ISNUMBER(E400),ISNUMBER(G400)),(G400-E400),"")</f>
        <v/>
      </c>
      <c r="N400" s="11">
        <f>IF(AND(ISNUMBER(G400),ISNUMBER(L400)),(L400-G400),"")</f>
        <v/>
      </c>
      <c r="O400" s="10" t="n">
        <v>45670.34238425926</v>
      </c>
      <c r="P400" s="11">
        <f>IF(AND(ISNUMBER(I400),ISNUMBER(O400)),(I400-O400),"")</f>
        <v/>
      </c>
      <c r="Q400" s="12" t="inlineStr">
        <is>
          <t>WG 1010505 entered track and got secured then waited 1:49:27 for WG 1010710 to get coupled then waited 5:41:16 for WG 1011109 to get coupled then waited 26:29:07 for WG 1012901 to get coupled, OBTP started on 18:38:08 finished on 19:09:37 and then left at 19:10:48</t>
        </is>
      </c>
    </row>
    <row r="401">
      <c r="A401" s="3" t="inlineStr">
        <is>
          <t>1010506</t>
        </is>
      </c>
      <c r="B401" s="3" t="inlineStr">
        <is>
          <t>10105</t>
        </is>
      </c>
      <c r="C401" s="9" t="n">
        <v>19.9</v>
      </c>
      <c r="D401" s="3" t="inlineStr">
        <is>
          <t>Other sidings north</t>
        </is>
      </c>
      <c r="E401" s="10" t="n">
        <v>45670.30725694444</v>
      </c>
      <c r="F401" s="10" t="n">
        <v>45670.33696759259</v>
      </c>
      <c r="G401" s="10" t="n">
        <v>45670.3387037037</v>
      </c>
      <c r="H401" s="3" t="inlineStr">
        <is>
          <t>OBT130125095519-Other sidings north</t>
        </is>
      </c>
      <c r="I401" s="10" t="n">
        <v>45670.44217592593</v>
      </c>
      <c r="J401" s="10" t="n">
        <v>45670.46769675926</v>
      </c>
      <c r="K401" s="10" t="n">
        <v>45670.46769675926</v>
      </c>
      <c r="L401" s="10" t="n">
        <v>45670.46863425926</v>
      </c>
      <c r="M401" s="11">
        <f>IF(AND(ISNUMBER(E401),ISNUMBER(G401)),(G401-E401),"")</f>
        <v/>
      </c>
      <c r="N401" s="11">
        <f>IF(AND(ISNUMBER(G401),ISNUMBER(L401)),(L401-G401),"")</f>
        <v/>
      </c>
      <c r="O401" s="10" t="n">
        <v>45670.3425</v>
      </c>
      <c r="P401" s="11">
        <f>IF(AND(ISNUMBER(I401),ISNUMBER(O401)),(I401-O401),"")</f>
        <v/>
      </c>
      <c r="Q401" s="12" t="inlineStr">
        <is>
          <t>WG 1010506 entered track and got secured then waited 0:13:06 for WG 1010512 to get coupled then waited 1:18:28 for WG 1010704 to get coupled then waited 0:10:33 for WG 1010708 to get coupled, OBTP started on 10:36:44 finished on 11:13:29 and then left at 11:14:50</t>
        </is>
      </c>
    </row>
    <row r="402">
      <c r="A402" s="3" t="inlineStr">
        <is>
          <t>1010507</t>
        </is>
      </c>
      <c r="B402" s="3" t="inlineStr">
        <is>
          <t>10105</t>
        </is>
      </c>
      <c r="C402" s="9" t="n">
        <v>27</v>
      </c>
      <c r="D402" s="3" t="inlineStr">
        <is>
          <t>Wr. Neustadt (Hödlmayr)</t>
        </is>
      </c>
      <c r="E402" s="10" t="n">
        <v>45670.30725694444</v>
      </c>
      <c r="F402" s="10" t="n">
        <v>45670.3387037037</v>
      </c>
      <c r="G402" s="10" t="n">
        <v>45670.34045138889</v>
      </c>
      <c r="H402" s="3" t="inlineStr">
        <is>
          <t>OBT130125082326-Wr. Neustadt (Hödlmayr)</t>
        </is>
      </c>
      <c r="I402" s="10" t="n">
        <v>45670.35333333333</v>
      </c>
      <c r="J402" s="10" t="n">
        <v>45670.38145833334</v>
      </c>
      <c r="K402" s="10" t="n">
        <v>45670.38145833334</v>
      </c>
      <c r="L402" s="10" t="n">
        <v>45670.38234953704</v>
      </c>
      <c r="M402" s="11">
        <f>IF(AND(ISNUMBER(E402),ISNUMBER(G402)),(G402-E402),"")</f>
        <v/>
      </c>
      <c r="N402" s="11">
        <f>IF(AND(ISNUMBER(G402),ISNUMBER(L402)),(L402-G402),"")</f>
        <v/>
      </c>
      <c r="O402" s="10" t="n">
        <v>45670.34575231482</v>
      </c>
      <c r="P402" s="11">
        <f>IF(AND(ISNUMBER(I402),ISNUMBER(O402)),(I402-O402),"")</f>
        <v/>
      </c>
      <c r="Q402" s="12" t="inlineStr">
        <is>
          <t>WG 1010507 entered track and got coupled to WG 1009507 then waited 0:05:33 for WG 1010510 to get coupled, OBTP started on 08:28:48 finished on 09:09:18 and then left at 09:10:35</t>
        </is>
      </c>
    </row>
    <row r="403">
      <c r="A403" s="3" t="inlineStr">
        <is>
          <t>1010508</t>
        </is>
      </c>
      <c r="B403" s="3" t="inlineStr">
        <is>
          <t>10105</t>
        </is>
      </c>
      <c r="C403" s="9" t="n">
        <v>16.5</v>
      </c>
      <c r="D403" s="3" t="inlineStr">
        <is>
          <t>Neudörfl (FunderMax)</t>
        </is>
      </c>
      <c r="E403" s="10" t="n">
        <v>45670.30725694444</v>
      </c>
      <c r="F403" s="10" t="n">
        <v>45670.34045138889</v>
      </c>
      <c r="G403" s="10" t="n">
        <v>45670.34236111111</v>
      </c>
      <c r="H403" s="3" t="inlineStr">
        <is>
          <t>OBT140125070727-Neudörfl (FunderMax)</t>
        </is>
      </c>
      <c r="I403" s="10" t="n">
        <v>45671.29853009259</v>
      </c>
      <c r="J403" s="10" t="n">
        <v>45671.33109953703</v>
      </c>
      <c r="K403" s="10" t="n">
        <v>45671.33109953703</v>
      </c>
      <c r="L403" s="10" t="n">
        <v>45671.3319212963</v>
      </c>
      <c r="M403" s="11">
        <f>IF(AND(ISNUMBER(E403),ISNUMBER(G403)),(G403-E403),"")</f>
        <v/>
      </c>
      <c r="N403" s="11">
        <f>IF(AND(ISNUMBER(G403),ISNUMBER(L403)),(L403-G403),"")</f>
        <v/>
      </c>
      <c r="O403" s="10" t="n">
        <v>45670.34473379629</v>
      </c>
      <c r="P403" s="11">
        <f>IF(AND(ISNUMBER(I403),ISNUMBER(O403)),(I403-O403),"")</f>
        <v/>
      </c>
      <c r="Q403" s="12" t="inlineStr">
        <is>
          <t>WG 1010508 entered track and got secured then waited 1:45:10 for WG 1010709 to get coupled then waited 5:44:41 for WG 1011110 to get coupled then waited 15:21:11 for WG 1011801 to get coupled, OBTP started on 07:09:53 finished on 07:56:47 and then left at 07:57:58</t>
        </is>
      </c>
    </row>
    <row r="404">
      <c r="A404" s="3" t="inlineStr">
        <is>
          <t>1010509</t>
        </is>
      </c>
      <c r="B404" s="3" t="inlineStr">
        <is>
          <t>10105</t>
        </is>
      </c>
      <c r="C404" s="9" t="n">
        <v>23.24</v>
      </c>
      <c r="D404" s="3" t="inlineStr">
        <is>
          <t>Pitten (Hamburger)</t>
        </is>
      </c>
      <c r="E404" s="10" t="n">
        <v>45670.30725694444</v>
      </c>
      <c r="F404" s="10" t="n">
        <v>45670.34236111111</v>
      </c>
      <c r="G404" s="10" t="n">
        <v>45670.34377314815</v>
      </c>
      <c r="H404" s="3" t="inlineStr">
        <is>
          <t>OBT130125095539-Pitten (Hamburger)</t>
        </is>
      </c>
      <c r="I404" s="10" t="n">
        <v>45670.44409722222</v>
      </c>
      <c r="J404" s="10" t="n">
        <v>45670.48196759259</v>
      </c>
      <c r="K404" s="10" t="n">
        <v>45670.48196759259</v>
      </c>
      <c r="L404" s="10" t="n">
        <v>45670.48296296296</v>
      </c>
      <c r="M404" s="11">
        <f>IF(AND(ISNUMBER(E404),ISNUMBER(G404)),(G404-E404),"")</f>
        <v/>
      </c>
      <c r="N404" s="11">
        <f>IF(AND(ISNUMBER(G404),ISNUMBER(L404)),(L404-G404),"")</f>
        <v/>
      </c>
      <c r="O404" s="10" t="n">
        <v>45670.34769675926</v>
      </c>
      <c r="P404" s="11">
        <f>IF(AND(ISNUMBER(I404),ISNUMBER(O404)),(I404-O404),"")</f>
        <v/>
      </c>
      <c r="Q404" s="12" t="inlineStr">
        <is>
          <t>WG 1010509 entered track and got coupled to WG 1010502 then waited 1:34:58 for WG 1010707 to get coupled, OBTP started on 10:39:30 finished on 11:34:02 and then left at 11:35:28</t>
        </is>
      </c>
    </row>
    <row r="405">
      <c r="A405" s="3" t="inlineStr">
        <is>
          <t>1010510</t>
        </is>
      </c>
      <c r="B405" s="3" t="inlineStr">
        <is>
          <t>10105</t>
        </is>
      </c>
      <c r="C405" s="9" t="n">
        <v>108</v>
      </c>
      <c r="D405" s="3" t="inlineStr">
        <is>
          <t>Wr. Neustadt (Hödlmayr)</t>
        </is>
      </c>
      <c r="E405" s="10" t="n">
        <v>45670.30725694444</v>
      </c>
      <c r="F405" s="10" t="n">
        <v>45670.34377314815</v>
      </c>
      <c r="G405" s="10" t="n">
        <v>45670.34570601852</v>
      </c>
      <c r="H405" s="3" t="inlineStr">
        <is>
          <t>OBT130125082326-Wr. Neustadt (Hödlmayr)</t>
        </is>
      </c>
      <c r="I405" s="10" t="n">
        <v>45670.35333333333</v>
      </c>
      <c r="J405" s="10" t="n">
        <v>45670.38145833334</v>
      </c>
      <c r="K405" s="10" t="n">
        <v>45670.38145833334</v>
      </c>
      <c r="L405" s="10" t="n">
        <v>45670.38234953704</v>
      </c>
      <c r="M405" s="11">
        <f>IF(AND(ISNUMBER(E405),ISNUMBER(G405)),(G405-E405),"")</f>
        <v/>
      </c>
      <c r="N405" s="11">
        <f>IF(AND(ISNUMBER(G405),ISNUMBER(L405)),(L405-G405),"")</f>
        <v/>
      </c>
      <c r="O405" s="10" t="n">
        <v>45670.34960648148</v>
      </c>
      <c r="P405" s="11">
        <f>IF(AND(ISNUMBER(I405),ISNUMBER(O405)),(I405-O405),"")</f>
        <v/>
      </c>
      <c r="Q405" s="12" t="inlineStr">
        <is>
          <t>WG 1010510 entered track and got coupled to WG 1010507, OBTP started on 08:28:48 finished on 09:09:18 and then left at 09:10:35</t>
        </is>
      </c>
    </row>
    <row r="406">
      <c r="A406" s="3" t="inlineStr">
        <is>
          <t>1010511</t>
        </is>
      </c>
      <c r="B406" s="3" t="inlineStr">
        <is>
          <t>10105</t>
        </is>
      </c>
      <c r="C406" s="9" t="n">
        <v>15.74</v>
      </c>
      <c r="D406" s="3" t="inlineStr">
        <is>
          <t>Ebenfurth (beet loading)</t>
        </is>
      </c>
      <c r="E406" s="10" t="n">
        <v>45670.30725694444</v>
      </c>
      <c r="F406" s="10" t="n">
        <v>45670.34570601852</v>
      </c>
      <c r="G406" s="10" t="n">
        <v>45670.34746527778</v>
      </c>
      <c r="H406" s="3" t="inlineStr">
        <is>
          <t>OBT140125153639-Ebenfurth (beet loading)</t>
        </is>
      </c>
      <c r="I406" s="10" t="n">
        <v>45671.65310185185</v>
      </c>
      <c r="J406" s="10" t="n">
        <v>45671.67769675926</v>
      </c>
      <c r="K406" s="10" t="n">
        <v>45671.67769675926</v>
      </c>
      <c r="L406" s="10" t="n">
        <v>45671.67856481481</v>
      </c>
      <c r="M406" s="11">
        <f>IF(AND(ISNUMBER(E406),ISNUMBER(G406)),(G406-E406),"")</f>
        <v/>
      </c>
      <c r="N406" s="11">
        <f>IF(AND(ISNUMBER(G406),ISNUMBER(L406)),(L406-G406),"")</f>
        <v/>
      </c>
      <c r="O406" s="10" t="n">
        <v>45670.35103009259</v>
      </c>
      <c r="P406" s="11">
        <f>IF(AND(ISNUMBER(I406),ISNUMBER(O406)),(I406-O406),"")</f>
        <v/>
      </c>
      <c r="Q406" s="12" t="inlineStr">
        <is>
          <t>WG 1010511 entered track and got coupled to WG 1009803 then waited 7:06:40 for WG 1011105 to get coupled then waited 18:46:50 for WG 1012111 to get coupled then waited 5:17:40 for WG 1012603 to get coupled, OBTP started on 15:40:28 finished on 16:15:53 and then left at 16:17:08</t>
        </is>
      </c>
    </row>
    <row r="407">
      <c r="A407" s="3" t="inlineStr">
        <is>
          <t>1010512</t>
        </is>
      </c>
      <c r="B407" s="3" t="inlineStr">
        <is>
          <t>10105</t>
        </is>
      </c>
      <c r="C407" s="9" t="n">
        <v>23.24</v>
      </c>
      <c r="D407" s="3" t="inlineStr">
        <is>
          <t>Other sidings north</t>
        </is>
      </c>
      <c r="E407" s="10" t="n">
        <v>45670.30725694444</v>
      </c>
      <c r="F407" s="10" t="n">
        <v>45670.34746527778</v>
      </c>
      <c r="G407" s="10" t="n">
        <v>45670.34920138889</v>
      </c>
      <c r="H407" s="3" t="inlineStr">
        <is>
          <t>OBT130125095519-Other sidings north</t>
        </is>
      </c>
      <c r="I407" s="10" t="n">
        <v>45670.44217592593</v>
      </c>
      <c r="J407" s="10" t="n">
        <v>45670.46769675926</v>
      </c>
      <c r="K407" s="10" t="n">
        <v>45670.46769675926</v>
      </c>
      <c r="L407" s="10" t="n">
        <v>45670.46863425926</v>
      </c>
      <c r="M407" s="11">
        <f>IF(AND(ISNUMBER(E407),ISNUMBER(G407)),(G407-E407),"")</f>
        <v/>
      </c>
      <c r="N407" s="11">
        <f>IF(AND(ISNUMBER(G407),ISNUMBER(L407)),(L407-G407),"")</f>
        <v/>
      </c>
      <c r="O407" s="10" t="n">
        <v>45670.35159722222</v>
      </c>
      <c r="P407" s="11">
        <f>IF(AND(ISNUMBER(I407),ISNUMBER(O407)),(I407-O407),"")</f>
        <v/>
      </c>
      <c r="Q407" s="12" t="inlineStr">
        <is>
          <t>WG 1010512 entered track and got secured then waited 1:18:28 for WG 1010704 to get coupled then waited 0:10:33 for WG 1010708 to get coupled, OBTP started on 10:36:44 finished on 11:13:29 and then left at 11:14:50</t>
        </is>
      </c>
    </row>
    <row r="408">
      <c r="A408" s="3" t="inlineStr">
        <is>
          <t>1010513</t>
        </is>
      </c>
      <c r="B408" s="3" t="inlineStr">
        <is>
          <t>10105</t>
        </is>
      </c>
      <c r="C408" s="9" t="n">
        <v>19.9</v>
      </c>
      <c r="D408" s="3" t="inlineStr">
        <is>
          <t>Other sidings local</t>
        </is>
      </c>
      <c r="E408" s="10" t="n">
        <v>45670.30725694444</v>
      </c>
      <c r="F408" s="10" t="n">
        <v>45670.34920138889</v>
      </c>
      <c r="G408" s="10" t="n">
        <v>45670.35038194444</v>
      </c>
      <c r="H408" s="3" t="inlineStr">
        <is>
          <t>OBT130125093830-Other sidings local</t>
        </is>
      </c>
      <c r="I408" s="10" t="n">
        <v>45670.42009259259</v>
      </c>
      <c r="J408" s="10" t="n">
        <v>45670.43755787037</v>
      </c>
      <c r="K408" s="10" t="n">
        <v>45670.43755787037</v>
      </c>
      <c r="L408" s="10" t="n">
        <v>45670.43825231482</v>
      </c>
      <c r="M408" s="11">
        <f>IF(AND(ISNUMBER(E408),ISNUMBER(G408)),(G408-E408),"")</f>
        <v/>
      </c>
      <c r="N408" s="11">
        <f>IF(AND(ISNUMBER(G408),ISNUMBER(L408)),(L408-G408),"")</f>
        <v/>
      </c>
      <c r="O408" s="10" t="n">
        <v>45670.35428240741</v>
      </c>
      <c r="P408" s="11">
        <f>IF(AND(ISNUMBER(I408),ISNUMBER(O408)),(I408-O408),"")</f>
        <v/>
      </c>
      <c r="Q408" s="12" t="inlineStr">
        <is>
          <t>WG 1010513 entered track and got coupled to WG 1009408 then waited 1:08:20 for WG 1010702 to get coupled, OBTP started on 10:04:56 finished on 10:30:05 and then left at 10:31:05</t>
        </is>
      </c>
    </row>
    <row r="409">
      <c r="A409" s="3" t="inlineStr">
        <is>
          <t>1010514</t>
        </is>
      </c>
      <c r="B409" s="3" t="inlineStr">
        <is>
          <t>10105</t>
        </is>
      </c>
      <c r="C409" s="9" t="n">
        <v>23.24</v>
      </c>
      <c r="D409" s="3" t="inlineStr">
        <is>
          <t>Other sidings south</t>
        </is>
      </c>
      <c r="E409" s="10" t="n">
        <v>45670.30725694444</v>
      </c>
      <c r="F409" s="10" t="n">
        <v>45670.35038194444</v>
      </c>
      <c r="G409" s="10" t="n">
        <v>45670.35166666667</v>
      </c>
      <c r="H409" s="3" t="inlineStr">
        <is>
          <t>OBT130125094410-Other sidings south</t>
        </is>
      </c>
      <c r="I409" s="10" t="n">
        <v>45670.42763888889</v>
      </c>
      <c r="J409" s="10" t="n">
        <v>45670.44938657407</v>
      </c>
      <c r="K409" s="10" t="n">
        <v>45670.44938657407</v>
      </c>
      <c r="L409" s="10" t="n">
        <v>45670.45010416667</v>
      </c>
      <c r="M409" s="11">
        <f>IF(AND(ISNUMBER(E409),ISNUMBER(G409)),(G409-E409),"")</f>
        <v/>
      </c>
      <c r="N409" s="11">
        <f>IF(AND(ISNUMBER(G409),ISNUMBER(L409)),(L409-G409),"")</f>
        <v/>
      </c>
      <c r="O409" s="10" t="n">
        <v>45670.35556712963</v>
      </c>
      <c r="P409" s="11">
        <f>IF(AND(ISNUMBER(I409),ISNUMBER(O409)),(I409-O409),"")</f>
        <v/>
      </c>
      <c r="Q409" s="12" t="inlineStr">
        <is>
          <t>WG 1010514 entered track and got coupled to WG 1010503 then waited 1:12:09 for WG 1010703 to get coupled, OBTP started on 10:15:48 finished on 10:47:07 and then left at 10:48:09</t>
        </is>
      </c>
    </row>
    <row r="410">
      <c r="A410" s="3" t="inlineStr">
        <is>
          <t>1010601</t>
        </is>
      </c>
      <c r="B410" s="3" t="inlineStr">
        <is>
          <t>10106</t>
        </is>
      </c>
      <c r="C410" s="9" t="n">
        <v>279</v>
      </c>
      <c r="D410" s="3" t="inlineStr">
        <is>
          <t>Wien Kledering</t>
        </is>
      </c>
      <c r="E410" s="10" t="n">
        <v>45670.37756944444</v>
      </c>
      <c r="F410" s="10" t="n">
        <v>45670.38524305556</v>
      </c>
      <c r="G410" s="10" t="n">
        <v>45670.38788194444</v>
      </c>
      <c r="H410" s="3" t="inlineStr">
        <is>
          <t>OBT130125092157-Wien Kledering</t>
        </is>
      </c>
      <c r="I410" s="10" t="n">
        <v>45670.39111111111</v>
      </c>
      <c r="J410" s="10" t="n">
        <v>45670.43954861111</v>
      </c>
      <c r="K410" s="10" t="n">
        <v>45670.43954861111</v>
      </c>
      <c r="L410" s="10" t="n">
        <v>45670.44069444444</v>
      </c>
      <c r="M410" s="11">
        <f>IF(AND(ISNUMBER(E410),ISNUMBER(G410)),(G410-E410),"")</f>
        <v/>
      </c>
      <c r="N410" s="11">
        <f>IF(AND(ISNUMBER(G410),ISNUMBER(L410)),(L410-G410),"")</f>
        <v/>
      </c>
      <c r="O410" s="10" t="n">
        <v>45670.39024305555</v>
      </c>
      <c r="P410" s="11">
        <f>IF(AND(ISNUMBER(I410),ISNUMBER(O410)),(I410-O410),"")</f>
        <v/>
      </c>
      <c r="Q410" s="12" t="inlineStr">
        <is>
          <t>WG 1010601 entered track and got secured, OBTP started on 09:23:12 finished on 10:32:57 and then left at 10:34:36</t>
        </is>
      </c>
    </row>
    <row r="411">
      <c r="A411" s="3" t="inlineStr">
        <is>
          <t>1010602</t>
        </is>
      </c>
      <c r="B411" s="3" t="inlineStr">
        <is>
          <t>10106</t>
        </is>
      </c>
      <c r="C411" s="9" t="n">
        <v>114.8</v>
      </c>
      <c r="D411" s="3" t="inlineStr">
        <is>
          <t>St. Veit an der Glan</t>
        </is>
      </c>
      <c r="E411" s="10" t="n">
        <v>45670.37756944444</v>
      </c>
      <c r="F411" s="10" t="n">
        <v>45670.38788194444</v>
      </c>
      <c r="G411" s="10" t="n">
        <v>45670.38938657408</v>
      </c>
      <c r="H411" s="3" t="inlineStr">
        <is>
          <t>OBT130125092620-Ternitz (Schoeller-Bleckmann)</t>
        </is>
      </c>
      <c r="I411" s="10" t="n">
        <v>45670.3941550926</v>
      </c>
      <c r="J411" s="10" t="n">
        <v>45670.42590277778</v>
      </c>
      <c r="K411" s="10" t="n">
        <v>45670.42590277778</v>
      </c>
      <c r="L411" s="10" t="n">
        <v>45670.426875</v>
      </c>
      <c r="M411" s="11">
        <f>IF(AND(ISNUMBER(E411),ISNUMBER(G411)),(G411-E411),"")</f>
        <v/>
      </c>
      <c r="N411" s="11">
        <f>IF(AND(ISNUMBER(G411),ISNUMBER(L411)),(L411-G411),"")</f>
        <v/>
      </c>
      <c r="O411" s="10" t="n">
        <v>45670.39328703703</v>
      </c>
      <c r="P411" s="11">
        <f>IF(AND(ISNUMBER(I411),ISNUMBER(O411)),(I411-O411),"")</f>
        <v/>
      </c>
      <c r="Q411" s="12" t="inlineStr">
        <is>
          <t>WG 1010602 entered track and got coupled to WG 1008704, OBTP started on 09:27:35 finished on 10:13:18 and then left at 10:14:42</t>
        </is>
      </c>
    </row>
    <row r="412">
      <c r="A412" s="3" t="inlineStr">
        <is>
          <t>1010701</t>
        </is>
      </c>
      <c r="B412" s="3" t="inlineStr">
        <is>
          <t>10107</t>
        </is>
      </c>
      <c r="C412" s="9" t="n">
        <v>14</v>
      </c>
      <c r="D412" s="3" t="inlineStr">
        <is>
          <t>Wr. Neustadt (Brenntag)</t>
        </is>
      </c>
      <c r="E412" s="10" t="n">
        <v>45670.37822916666</v>
      </c>
      <c r="F412" s="10" t="n">
        <v>45670.39513888889</v>
      </c>
      <c r="G412" s="10" t="n">
        <v>45670.39702546296</v>
      </c>
      <c r="H412" s="3" t="inlineStr">
        <is>
          <t>OBT140125102839-Wr. Neustadt (Brenntag)</t>
        </is>
      </c>
      <c r="I412" s="10" t="n">
        <v>45671.45956018518</v>
      </c>
      <c r="J412" s="10" t="n">
        <v>45671.47991898148</v>
      </c>
      <c r="K412" s="10" t="n">
        <v>45671.47991898148</v>
      </c>
      <c r="L412" s="10" t="n">
        <v>45671.4805787037</v>
      </c>
      <c r="M412" s="11">
        <f>IF(AND(ISNUMBER(E412),ISNUMBER(G412)),(G412-E412),"")</f>
        <v/>
      </c>
      <c r="N412" s="11">
        <f>IF(AND(ISNUMBER(G412),ISNUMBER(L412)),(L412-G412),"")</f>
        <v/>
      </c>
      <c r="O412" s="10" t="n">
        <v>45670.40092592593</v>
      </c>
      <c r="P412" s="11">
        <f>IF(AND(ISNUMBER(I412),ISNUMBER(O412)),(I412-O412),"")</f>
        <v/>
      </c>
      <c r="Q412" s="12" t="inlineStr">
        <is>
          <t>WG 1010701 entered track and got coupled to WG 1009502 then waited 5:57:31 for WG 1011106 to get coupled then waited 11:22:34 for WG 1011604 to get coupled then waited 7:12:44 for WG 1012103 to get coupled then waited 0:15:38 for WG 1012109 to get coupled then waited 0:02:52 for WG 1012113 to get coupled, OBTP started on 11:01:46 finished on 11:31:05 and then left at 11:32:02</t>
        </is>
      </c>
    </row>
    <row r="413">
      <c r="A413" s="3" t="inlineStr">
        <is>
          <t>1010702</t>
        </is>
      </c>
      <c r="B413" s="3" t="inlineStr">
        <is>
          <t>10107</t>
        </is>
      </c>
      <c r="C413" s="9" t="n">
        <v>21</v>
      </c>
      <c r="D413" s="3" t="inlineStr">
        <is>
          <t>Neunkirchen (loading tracks)</t>
        </is>
      </c>
      <c r="E413" s="10" t="n">
        <v>45670.37822916666</v>
      </c>
      <c r="F413" s="10" t="n">
        <v>45670.39702546296</v>
      </c>
      <c r="G413" s="10" t="n">
        <v>45670.3981712963</v>
      </c>
      <c r="H413" s="3" t="inlineStr">
        <is>
          <t>OBT130125093830-Other sidings local</t>
        </is>
      </c>
      <c r="I413" s="10" t="n">
        <v>45670.42009259259</v>
      </c>
      <c r="J413" s="10" t="n">
        <v>45670.43755787037</v>
      </c>
      <c r="K413" s="10" t="n">
        <v>45670.43755787037</v>
      </c>
      <c r="L413" s="10" t="n">
        <v>45670.43825231482</v>
      </c>
      <c r="M413" s="11">
        <f>IF(AND(ISNUMBER(E413),ISNUMBER(G413)),(G413-E413),"")</f>
        <v/>
      </c>
      <c r="N413" s="11">
        <f>IF(AND(ISNUMBER(G413),ISNUMBER(L413)),(L413-G413),"")</f>
        <v/>
      </c>
      <c r="O413" s="10" t="n">
        <v>45670.40173611111</v>
      </c>
      <c r="P413" s="11">
        <f>IF(AND(ISNUMBER(I413),ISNUMBER(O413)),(I413-O413),"")</f>
        <v/>
      </c>
      <c r="Q413" s="12" t="inlineStr">
        <is>
          <t>WG 1010702 entered track and got coupled to WG 1010513, OBTP started on 10:04:56 finished on 10:30:05 and then left at 10:31:05</t>
        </is>
      </c>
    </row>
    <row r="414">
      <c r="A414" s="3" t="inlineStr">
        <is>
          <t>1010703</t>
        </is>
      </c>
      <c r="B414" s="3" t="inlineStr">
        <is>
          <t>10107</t>
        </is>
      </c>
      <c r="C414" s="9" t="n">
        <v>63.03999999999999</v>
      </c>
      <c r="D414" s="3" t="inlineStr">
        <is>
          <t>Other sidings south</t>
        </is>
      </c>
      <c r="E414" s="10" t="n">
        <v>45670.37822916666</v>
      </c>
      <c r="F414" s="10" t="n">
        <v>45670.3981712963</v>
      </c>
      <c r="G414" s="10" t="n">
        <v>45670.39952546296</v>
      </c>
      <c r="H414" s="3" t="inlineStr">
        <is>
          <t>OBT130125094410-Other sidings south</t>
        </is>
      </c>
      <c r="I414" s="10" t="n">
        <v>45670.42763888889</v>
      </c>
      <c r="J414" s="10" t="n">
        <v>45670.44938657407</v>
      </c>
      <c r="K414" s="10" t="n">
        <v>45670.44938657407</v>
      </c>
      <c r="L414" s="10" t="n">
        <v>45670.45010416667</v>
      </c>
      <c r="M414" s="11">
        <f>IF(AND(ISNUMBER(E414),ISNUMBER(G414)),(G414-E414),"")</f>
        <v/>
      </c>
      <c r="N414" s="11">
        <f>IF(AND(ISNUMBER(G414),ISNUMBER(L414)),(L414-G414),"")</f>
        <v/>
      </c>
      <c r="O414" s="10" t="n">
        <v>45670.4056712963</v>
      </c>
      <c r="P414" s="11">
        <f>IF(AND(ISNUMBER(I414),ISNUMBER(O414)),(I414-O414),"")</f>
        <v/>
      </c>
      <c r="Q414" s="12" t="inlineStr">
        <is>
          <t>WG 1010703 entered track and got coupled to WG 1010514, OBTP started on 10:15:48 finished on 10:47:07 and then left at 10:48:09</t>
        </is>
      </c>
    </row>
    <row r="415">
      <c r="A415" s="3" t="inlineStr">
        <is>
          <t>1010704</t>
        </is>
      </c>
      <c r="B415" s="3" t="inlineStr">
        <is>
          <t>10107</t>
        </is>
      </c>
      <c r="C415" s="9" t="n">
        <v>15.74</v>
      </c>
      <c r="D415" s="3" t="inlineStr">
        <is>
          <t>Other sidings north</t>
        </is>
      </c>
      <c r="E415" s="10" t="n">
        <v>45670.37822916666</v>
      </c>
      <c r="F415" s="10" t="n">
        <v>45670.39952546296</v>
      </c>
      <c r="G415" s="10" t="n">
        <v>45670.40121527778</v>
      </c>
      <c r="H415" s="3" t="inlineStr">
        <is>
          <t>OBT130125095519-Other sidings north</t>
        </is>
      </c>
      <c r="I415" s="10" t="n">
        <v>45670.44217592593</v>
      </c>
      <c r="J415" s="10" t="n">
        <v>45670.46769675926</v>
      </c>
      <c r="K415" s="10" t="n">
        <v>45670.46769675926</v>
      </c>
      <c r="L415" s="10" t="n">
        <v>45670.46863425926</v>
      </c>
      <c r="M415" s="11">
        <f>IF(AND(ISNUMBER(E415),ISNUMBER(G415)),(G415-E415),"")</f>
        <v/>
      </c>
      <c r="N415" s="11">
        <f>IF(AND(ISNUMBER(G415),ISNUMBER(L415)),(L415-G415),"")</f>
        <v/>
      </c>
      <c r="O415" s="10" t="n">
        <v>45670.40608796296</v>
      </c>
      <c r="P415" s="11">
        <f>IF(AND(ISNUMBER(I415),ISNUMBER(O415)),(I415-O415),"")</f>
        <v/>
      </c>
      <c r="Q415" s="12" t="inlineStr">
        <is>
          <t>WG 1010704 entered track and got coupled to WG 1010512 then waited 0:10:33 for WG 1010708 to get coupled, OBTP started on 10:36:44 finished on 11:13:29 and then left at 11:14:50</t>
        </is>
      </c>
    </row>
    <row r="416">
      <c r="A416" s="3" t="inlineStr">
        <is>
          <t>1010705</t>
        </is>
      </c>
      <c r="B416" s="3" t="inlineStr">
        <is>
          <t>10107</t>
        </is>
      </c>
      <c r="C416" s="9" t="n">
        <v>19.9</v>
      </c>
      <c r="D416" s="3" t="inlineStr">
        <is>
          <t>Other sidings local</t>
        </is>
      </c>
      <c r="E416" s="10" t="n">
        <v>45670.37822916666</v>
      </c>
      <c r="F416" s="10" t="n">
        <v>45670.40121527778</v>
      </c>
      <c r="G416" s="10" t="n">
        <v>45670.40236111111</v>
      </c>
      <c r="H416" s="3" t="inlineStr">
        <is>
          <t>OBT130125144644-Wien Kledering</t>
        </is>
      </c>
      <c r="I416" s="10" t="n">
        <v>45670.61665509259</v>
      </c>
      <c r="J416" s="10" t="n">
        <v>45670.68407407407</v>
      </c>
      <c r="K416" s="10" t="n">
        <v>45670.68407407407</v>
      </c>
      <c r="L416" s="10" t="n">
        <v>45670.68543981481</v>
      </c>
      <c r="M416" s="11">
        <f>IF(AND(ISNUMBER(E416),ISNUMBER(G416)),(G416-E416),"")</f>
        <v/>
      </c>
      <c r="N416" s="11">
        <f>IF(AND(ISNUMBER(G416),ISNUMBER(L416)),(L416-G416),"")</f>
        <v/>
      </c>
      <c r="O416" s="10" t="n">
        <v>45670.40888888889</v>
      </c>
      <c r="P416" s="11">
        <f>IF(AND(ISNUMBER(I416),ISNUMBER(O416)),(I416-O416),"")</f>
        <v/>
      </c>
      <c r="Q416" s="12" t="inlineStr">
        <is>
          <t>WG 1010705 entered track and got secured then waited 4:57:56 for WG 1011001 to get coupled, OBTP started on 14:47:59 finished on 16:25:04 and then left at 16:27:02</t>
        </is>
      </c>
    </row>
    <row r="417">
      <c r="A417" s="3" t="inlineStr">
        <is>
          <t>1010706</t>
        </is>
      </c>
      <c r="B417" s="3" t="inlineStr">
        <is>
          <t>10107</t>
        </is>
      </c>
      <c r="C417" s="9" t="n">
        <v>12.04</v>
      </c>
      <c r="D417" s="3" t="inlineStr">
        <is>
          <t>Ternitz (Schoeller-Bleckmann)</t>
        </is>
      </c>
      <c r="E417" s="10" t="n">
        <v>45670.37822916666</v>
      </c>
      <c r="F417" s="10" t="n">
        <v>45670.40236111111</v>
      </c>
      <c r="G417" s="10" t="n">
        <v>45670.40361111111</v>
      </c>
      <c r="H417" s="3" t="inlineStr">
        <is>
          <t>OBT130125123545-Wien Kledering</t>
        </is>
      </c>
      <c r="I417" s="10" t="n">
        <v>45670.52567129629</v>
      </c>
      <c r="J417" s="10" t="n">
        <v>45670.58372685185</v>
      </c>
      <c r="K417" s="10" t="n">
        <v>45670.58372685185</v>
      </c>
      <c r="L417" s="10" t="n">
        <v>45670.5850462963</v>
      </c>
      <c r="M417" s="11">
        <f>IF(AND(ISNUMBER(E417),ISNUMBER(G417)),(G417-E417),"")</f>
        <v/>
      </c>
      <c r="N417" s="11">
        <f>IF(AND(ISNUMBER(G417),ISNUMBER(L417)),(L417-G417),"")</f>
        <v/>
      </c>
      <c r="O417" s="10" t="n">
        <v>45670.40905092593</v>
      </c>
      <c r="P417" s="11">
        <f>IF(AND(ISNUMBER(I417),ISNUMBER(O417)),(I417-O417),"")</f>
        <v/>
      </c>
      <c r="Q417" s="12" t="inlineStr">
        <is>
          <t>WG 1010706 entered track and got secured then waited 0:48:08 for WG 1010803 to get coupled then waited 1:58:35 for WG 1010901 to get coupled, OBTP started on 12:36:58 finished on 14:00:34 and then left at 14:02:28</t>
        </is>
      </c>
    </row>
    <row r="418">
      <c r="A418" s="3" t="inlineStr">
        <is>
          <t>1010707</t>
        </is>
      </c>
      <c r="B418" s="3" t="inlineStr">
        <is>
          <t>10107</t>
        </is>
      </c>
      <c r="C418" s="9" t="n">
        <v>124.44</v>
      </c>
      <c r="D418" s="3" t="inlineStr">
        <is>
          <t>Pitten (Hamburger)</t>
        </is>
      </c>
      <c r="E418" s="10" t="n">
        <v>45670.37822916666</v>
      </c>
      <c r="F418" s="10" t="n">
        <v>45670.40361111111</v>
      </c>
      <c r="G418" s="10" t="n">
        <v>45670.40521990741</v>
      </c>
      <c r="H418" s="3" t="inlineStr">
        <is>
          <t>OBT130125095539-Pitten (Hamburger)</t>
        </is>
      </c>
      <c r="I418" s="10" t="n">
        <v>45670.44409722222</v>
      </c>
      <c r="J418" s="10" t="n">
        <v>45670.48196759259</v>
      </c>
      <c r="K418" s="10" t="n">
        <v>45670.48196759259</v>
      </c>
      <c r="L418" s="10" t="n">
        <v>45670.48296296296</v>
      </c>
      <c r="M418" s="11">
        <f>IF(AND(ISNUMBER(E418),ISNUMBER(G418)),(G418-E418),"")</f>
        <v/>
      </c>
      <c r="N418" s="11">
        <f>IF(AND(ISNUMBER(G418),ISNUMBER(L418)),(L418-G418),"")</f>
        <v/>
      </c>
      <c r="O418" s="10" t="n">
        <v>45670.41364583333</v>
      </c>
      <c r="P418" s="11">
        <f>IF(AND(ISNUMBER(I418),ISNUMBER(O418)),(I418-O418),"")</f>
        <v/>
      </c>
      <c r="Q418" s="12" t="inlineStr">
        <is>
          <t>WG 1010707 entered track and got coupled to WG 1010509, OBTP started on 10:39:30 finished on 11:34:02 and then left at 11:35:28</t>
        </is>
      </c>
    </row>
    <row r="419">
      <c r="A419" s="3" t="inlineStr">
        <is>
          <t>1010708</t>
        </is>
      </c>
      <c r="B419" s="3" t="inlineStr">
        <is>
          <t>10107</t>
        </is>
      </c>
      <c r="C419" s="9" t="n">
        <v>108</v>
      </c>
      <c r="D419" s="3" t="inlineStr">
        <is>
          <t>Wr. Neustadt (Hödlmayr)</t>
        </is>
      </c>
      <c r="E419" s="10" t="n">
        <v>45670.37822916666</v>
      </c>
      <c r="F419" s="10" t="n">
        <v>45670.40521990741</v>
      </c>
      <c r="G419" s="10" t="n">
        <v>45670.40712962963</v>
      </c>
      <c r="H419" s="3" t="inlineStr">
        <is>
          <t>OBT130125095519-Other sidings north</t>
        </is>
      </c>
      <c r="I419" s="10" t="n">
        <v>45670.44217592593</v>
      </c>
      <c r="J419" s="10" t="n">
        <v>45670.46769675926</v>
      </c>
      <c r="K419" s="10" t="n">
        <v>45670.46769675926</v>
      </c>
      <c r="L419" s="10" t="n">
        <v>45670.46863425926</v>
      </c>
      <c r="M419" s="11">
        <f>IF(AND(ISNUMBER(E419),ISNUMBER(G419)),(G419-E419),"")</f>
        <v/>
      </c>
      <c r="N419" s="11">
        <f>IF(AND(ISNUMBER(G419),ISNUMBER(L419)),(L419-G419),"")</f>
        <v/>
      </c>
      <c r="O419" s="10" t="n">
        <v>45670.41341435185</v>
      </c>
      <c r="P419" s="11">
        <f>IF(AND(ISNUMBER(I419),ISNUMBER(O419)),(I419-O419),"")</f>
        <v/>
      </c>
      <c r="Q419" s="12" t="inlineStr">
        <is>
          <t>WG 1010708 entered track and got coupled to WG 1010704, OBTP started on 10:36:44 finished on 11:13:29 and then left at 11:14:50</t>
        </is>
      </c>
    </row>
    <row r="420">
      <c r="A420" s="3" t="inlineStr">
        <is>
          <t>1010709</t>
        </is>
      </c>
      <c r="B420" s="3" t="inlineStr">
        <is>
          <t>10107</t>
        </is>
      </c>
      <c r="C420" s="9" t="n">
        <v>19.9</v>
      </c>
      <c r="D420" s="3" t="inlineStr">
        <is>
          <t>Neudörfl (FunderMax)</t>
        </is>
      </c>
      <c r="E420" s="10" t="n">
        <v>45670.37822916666</v>
      </c>
      <c r="F420" s="10" t="n">
        <v>45670.40712962963</v>
      </c>
      <c r="G420" s="10" t="n">
        <v>45670.40902777778</v>
      </c>
      <c r="H420" s="3" t="inlineStr">
        <is>
          <t>OBT140125070727-Neudörfl (FunderMax)</t>
        </is>
      </c>
      <c r="I420" s="10" t="n">
        <v>45671.29853009259</v>
      </c>
      <c r="J420" s="10" t="n">
        <v>45671.33109953703</v>
      </c>
      <c r="K420" s="10" t="n">
        <v>45671.33109953703</v>
      </c>
      <c r="L420" s="10" t="n">
        <v>45671.3319212963</v>
      </c>
      <c r="M420" s="11">
        <f>IF(AND(ISNUMBER(E420),ISNUMBER(G420)),(G420-E420),"")</f>
        <v/>
      </c>
      <c r="N420" s="11">
        <f>IF(AND(ISNUMBER(G420),ISNUMBER(L420)),(L420-G420),"")</f>
        <v/>
      </c>
      <c r="O420" s="10" t="n">
        <v>45670.4177662037</v>
      </c>
      <c r="P420" s="11">
        <f>IF(AND(ISNUMBER(I420),ISNUMBER(O420)),(I420-O420),"")</f>
        <v/>
      </c>
      <c r="Q420" s="12" t="inlineStr">
        <is>
          <t>WG 1010709 entered track and got coupled to WG 1010508 then waited 5:44:41 for WG 1011110 to get coupled then waited 15:21:11 for WG 1011801 to get coupled, OBTP started on 07:09:53 finished on 07:56:47 and then left at 07:57:58</t>
        </is>
      </c>
    </row>
    <row r="421">
      <c r="A421" s="3" t="inlineStr">
        <is>
          <t>1010710</t>
        </is>
      </c>
      <c r="B421" s="3" t="inlineStr">
        <is>
          <t>10107</t>
        </is>
      </c>
      <c r="C421" s="9" t="n">
        <v>47.22</v>
      </c>
      <c r="D421" s="3" t="inlineStr">
        <is>
          <t>Steinabrückl/Wöllersdorf</t>
        </is>
      </c>
      <c r="E421" s="10" t="n">
        <v>45670.37822916666</v>
      </c>
      <c r="F421" s="10" t="n">
        <v>45670.40902777778</v>
      </c>
      <c r="G421" s="10" t="n">
        <v>45670.41101851852</v>
      </c>
      <c r="H421" s="3" t="inlineStr">
        <is>
          <t>OBT140125181252-Steinabrückl/Wöllersdorf</t>
        </is>
      </c>
      <c r="I421" s="10" t="n">
        <v>45671.77648148148</v>
      </c>
      <c r="J421" s="10" t="n">
        <v>45671.79834490741</v>
      </c>
      <c r="K421" s="10" t="n">
        <v>45671.79834490741</v>
      </c>
      <c r="L421" s="10" t="n">
        <v>45671.79916666666</v>
      </c>
      <c r="M421" s="11">
        <f>IF(AND(ISNUMBER(E421),ISNUMBER(G421)),(G421-E421),"")</f>
        <v/>
      </c>
      <c r="N421" s="11">
        <f>IF(AND(ISNUMBER(G421),ISNUMBER(L421)),(L421-G421),"")</f>
        <v/>
      </c>
      <c r="O421" s="10" t="n">
        <v>45670.4183912037</v>
      </c>
      <c r="P421" s="11">
        <f>IF(AND(ISNUMBER(I421),ISNUMBER(O421)),(I421-O421),"")</f>
        <v/>
      </c>
      <c r="Q421" s="12" t="inlineStr">
        <is>
          <t>WG 1010710 entered track and got coupled to WG 1010505 then waited 5:41:16 for WG 1011109 to get coupled then waited 26:29:07 for WG 1012901 to get coupled, OBTP started on 18:38:08 finished on 19:09:37 and then left at 19:10:48</t>
        </is>
      </c>
    </row>
    <row r="422">
      <c r="A422" s="3" t="inlineStr">
        <is>
          <t>1010801</t>
        </is>
      </c>
      <c r="B422" s="3" t="inlineStr">
        <is>
          <t>10108</t>
        </is>
      </c>
      <c r="C422" s="9" t="n">
        <v>267.5</v>
      </c>
      <c r="D422" s="3" t="inlineStr">
        <is>
          <t>Wien Kledering</t>
        </is>
      </c>
      <c r="E422" s="10" t="n">
        <v>45670.42153935185</v>
      </c>
      <c r="F422" s="10" t="n">
        <v>45670.43083333333</v>
      </c>
      <c r="G422" s="10" t="n">
        <v>45670.43336805556</v>
      </c>
      <c r="H422" s="3" t="inlineStr">
        <is>
          <t>OBT130125103421-Wien Kledering</t>
        </is>
      </c>
      <c r="I422" s="10" t="n">
        <v>45670.45112268518</v>
      </c>
      <c r="J422" s="10" t="n">
        <v>45670.49756944444</v>
      </c>
      <c r="K422" s="10" t="n">
        <v>45670.49756944444</v>
      </c>
      <c r="L422" s="10" t="n">
        <v>45670.49873842593</v>
      </c>
      <c r="M422" s="11">
        <f>IF(AND(ISNUMBER(E422),ISNUMBER(G422)),(G422-E422),"")</f>
        <v/>
      </c>
      <c r="N422" s="11">
        <f>IF(AND(ISNUMBER(G422),ISNUMBER(L422)),(L422-G422),"")</f>
        <v/>
      </c>
      <c r="O422" s="10" t="n">
        <v>45670.44052083333</v>
      </c>
      <c r="P422" s="11">
        <f>IF(AND(ISNUMBER(I422),ISNUMBER(O422)),(I422-O422),"")</f>
        <v/>
      </c>
      <c r="Q422" s="12" t="inlineStr">
        <is>
          <t>WG 1010801 entered track and got secured, OBTP started on 10:49:37 finished on 11:56:30 and then left at 11:58:11</t>
        </is>
      </c>
    </row>
    <row r="423">
      <c r="A423" s="3" t="inlineStr">
        <is>
          <t>1010802</t>
        </is>
      </c>
      <c r="B423" s="3" t="inlineStr">
        <is>
          <t>10108</t>
        </is>
      </c>
      <c r="C423" s="9" t="n">
        <v>40.9</v>
      </c>
      <c r="D423" s="3" t="inlineStr">
        <is>
          <t>St. Veit an der Glan</t>
        </is>
      </c>
      <c r="E423" s="10" t="n">
        <v>45670.42153935185</v>
      </c>
      <c r="F423" s="10" t="n">
        <v>45670.43336805556</v>
      </c>
      <c r="G423" s="10" t="n">
        <v>45670.43515046296</v>
      </c>
      <c r="H423" s="3" t="inlineStr">
        <is>
          <t>OBT130125163000-St. Veit an der Glan</t>
        </is>
      </c>
      <c r="I423" s="10" t="n">
        <v>45670.68920138889</v>
      </c>
      <c r="J423" s="10" t="n">
        <v>45670.72371527777</v>
      </c>
      <c r="K423" s="10" t="n">
        <v>45670.72371527777</v>
      </c>
      <c r="L423" s="10" t="n">
        <v>45670.7246875</v>
      </c>
      <c r="M423" s="11">
        <f>IF(AND(ISNUMBER(E423),ISNUMBER(G423)),(G423-E423),"")</f>
        <v/>
      </c>
      <c r="N423" s="11">
        <f>IF(AND(ISNUMBER(G423),ISNUMBER(L423)),(L423-G423),"")</f>
        <v/>
      </c>
      <c r="O423" s="10" t="n">
        <v>45670.44077546296</v>
      </c>
      <c r="P423" s="11">
        <f>IF(AND(ISNUMBER(I423),ISNUMBER(O423)),(I423-O423),"")</f>
        <v/>
      </c>
      <c r="Q423" s="12" t="inlineStr">
        <is>
          <t>WG 1010802 entered track and got secured then waited 5:55:17 for WG 1011301 to get coupled, OBTP started on 16:32:27 finished on 17:22:09 and then left at 17:23:33</t>
        </is>
      </c>
    </row>
    <row r="424">
      <c r="A424" s="3" t="inlineStr">
        <is>
          <t>1010803</t>
        </is>
      </c>
      <c r="B424" s="3" t="inlineStr">
        <is>
          <t>10108</t>
        </is>
      </c>
      <c r="C424" s="9" t="n">
        <v>99.51999999999998</v>
      </c>
      <c r="D424" s="3" t="inlineStr">
        <is>
          <t>Wien Kledering</t>
        </is>
      </c>
      <c r="E424" s="10" t="n">
        <v>45670.42153935185</v>
      </c>
      <c r="F424" s="10" t="n">
        <v>45670.43515046296</v>
      </c>
      <c r="G424" s="10" t="n">
        <v>45670.43663194445</v>
      </c>
      <c r="H424" s="3" t="inlineStr">
        <is>
          <t>OBT130125123545-Wien Kledering</t>
        </is>
      </c>
      <c r="I424" s="10" t="n">
        <v>45670.52567129629</v>
      </c>
      <c r="J424" s="10" t="n">
        <v>45670.58372685185</v>
      </c>
      <c r="K424" s="10" t="n">
        <v>45670.58372685185</v>
      </c>
      <c r="L424" s="10" t="n">
        <v>45670.5850462963</v>
      </c>
      <c r="M424" s="11">
        <f>IF(AND(ISNUMBER(E424),ISNUMBER(G424)),(G424-E424),"")</f>
        <v/>
      </c>
      <c r="N424" s="11">
        <f>IF(AND(ISNUMBER(G424),ISNUMBER(L424)),(L424-G424),"")</f>
        <v/>
      </c>
      <c r="O424" s="10" t="n">
        <v>45670.44247685185</v>
      </c>
      <c r="P424" s="11">
        <f>IF(AND(ISNUMBER(I424),ISNUMBER(O424)),(I424-O424),"")</f>
        <v/>
      </c>
      <c r="Q424" s="12" t="inlineStr">
        <is>
          <t>WG 1010803 entered track and got secured then waited 1:58:35 for WG 1010901 to get coupled, OBTP started on 12:36:58 finished on 14:00:34 and then left at 14:02:28</t>
        </is>
      </c>
    </row>
    <row r="425">
      <c r="A425" s="3" t="inlineStr">
        <is>
          <t>1010901</t>
        </is>
      </c>
      <c r="B425" s="3" t="inlineStr">
        <is>
          <t>10109</t>
        </is>
      </c>
      <c r="C425" s="9" t="n">
        <v>234.8800000000001</v>
      </c>
      <c r="D425" s="3" t="inlineStr">
        <is>
          <t>Wien Kledering</t>
        </is>
      </c>
      <c r="E425" s="10" t="n">
        <v>45670.51365740741</v>
      </c>
      <c r="F425" s="10" t="n">
        <v>45670.5191087963</v>
      </c>
      <c r="G425" s="10" t="n">
        <v>45670.52090277777</v>
      </c>
      <c r="H425" s="3" t="inlineStr">
        <is>
          <t>OBT130125123545-Wien Kledering</t>
        </is>
      </c>
      <c r="I425" s="10" t="n">
        <v>45670.52567129629</v>
      </c>
      <c r="J425" s="10" t="n">
        <v>45670.58372685185</v>
      </c>
      <c r="K425" s="10" t="n">
        <v>45670.58372685185</v>
      </c>
      <c r="L425" s="10" t="n">
        <v>45670.5850462963</v>
      </c>
      <c r="M425" s="11">
        <f>IF(AND(ISNUMBER(E425),ISNUMBER(G425)),(G425-E425),"")</f>
        <v/>
      </c>
      <c r="N425" s="11">
        <f>IF(AND(ISNUMBER(G425),ISNUMBER(L425)),(L425-G425),"")</f>
        <v/>
      </c>
      <c r="O425" s="10" t="n">
        <v>45670.52482638889</v>
      </c>
      <c r="P425" s="11">
        <f>IF(AND(ISNUMBER(I425),ISNUMBER(O425)),(I425-O425),"")</f>
        <v/>
      </c>
      <c r="Q425" s="12" t="inlineStr">
        <is>
          <t>WG 1010901 entered track and got coupled to WG 1010803, OBTP started on 12:36:58 finished on 14:00:34 and then left at 14:02:28</t>
        </is>
      </c>
    </row>
    <row r="426">
      <c r="A426" s="3" t="inlineStr">
        <is>
          <t>1011001</t>
        </is>
      </c>
      <c r="B426" s="3" t="inlineStr">
        <is>
          <t>10110</t>
        </is>
      </c>
      <c r="C426" s="9" t="n">
        <v>388.3200000000001</v>
      </c>
      <c r="D426" s="3" t="inlineStr">
        <is>
          <t>Wien Kledering</t>
        </is>
      </c>
      <c r="E426" s="10" t="n">
        <v>45670.60449074074</v>
      </c>
      <c r="F426" s="10" t="n">
        <v>45670.61140046296</v>
      </c>
      <c r="G426" s="10" t="n">
        <v>45670.61342592593</v>
      </c>
      <c r="H426" s="3" t="inlineStr">
        <is>
          <t>OBT130125144644-Wien Kledering</t>
        </is>
      </c>
      <c r="I426" s="10" t="n">
        <v>45670.61665509259</v>
      </c>
      <c r="J426" s="10" t="n">
        <v>45670.68407407407</v>
      </c>
      <c r="K426" s="10" t="n">
        <v>45670.68407407407</v>
      </c>
      <c r="L426" s="10" t="n">
        <v>45670.68543981481</v>
      </c>
      <c r="M426" s="11">
        <f>IF(AND(ISNUMBER(E426),ISNUMBER(G426)),(G426-E426),"")</f>
        <v/>
      </c>
      <c r="N426" s="11">
        <f>IF(AND(ISNUMBER(G426),ISNUMBER(L426)),(L426-G426),"")</f>
        <v/>
      </c>
      <c r="O426" s="10" t="n">
        <v>45670.61578703704</v>
      </c>
      <c r="P426" s="11">
        <f>IF(AND(ISNUMBER(I426),ISNUMBER(O426)),(I426-O426),"")</f>
        <v/>
      </c>
      <c r="Q426" s="12" t="inlineStr">
        <is>
          <t>WG 1011001 entered track and got secured, OBTP started on 14:47:59 finished on 16:25:04 and then left at 16:27:02</t>
        </is>
      </c>
    </row>
    <row r="427">
      <c r="A427" s="3" t="inlineStr">
        <is>
          <t>1011101</t>
        </is>
      </c>
      <c r="B427" s="3" t="inlineStr">
        <is>
          <t>10111</t>
        </is>
      </c>
      <c r="C427" s="9" t="n">
        <v>31.48</v>
      </c>
      <c r="D427" s="3" t="inlineStr">
        <is>
          <t>Pitten (Hamburger)</t>
        </is>
      </c>
      <c r="E427" s="10" t="n">
        <v>45670.61789351852</v>
      </c>
      <c r="F427" s="10" t="n">
        <v>45670.63443287037</v>
      </c>
      <c r="G427" s="10" t="n">
        <v>45670.63574074074</v>
      </c>
      <c r="H427" s="3" t="inlineStr">
        <is>
          <t>OBT140125070928-Pitten (Hamburger)</t>
        </is>
      </c>
      <c r="I427" s="10" t="n">
        <v>45671.30900462963</v>
      </c>
      <c r="J427" s="10" t="n">
        <v>45671.32670138889</v>
      </c>
      <c r="K427" s="10" t="n">
        <v>45671.32670138889</v>
      </c>
      <c r="L427" s="10" t="n">
        <v>45671.32736111111</v>
      </c>
      <c r="M427" s="11">
        <f>IF(AND(ISNUMBER(E427),ISNUMBER(G427)),(G427-E427),"")</f>
        <v/>
      </c>
      <c r="N427" s="11">
        <f>IF(AND(ISNUMBER(G427),ISNUMBER(L427)),(L427-G427),"")</f>
        <v/>
      </c>
      <c r="O427" s="10" t="n">
        <v>45670.63811342593</v>
      </c>
      <c r="P427" s="11">
        <f>IF(AND(ISNUMBER(I427),ISNUMBER(O427)),(I427-O427),"")</f>
        <v/>
      </c>
      <c r="Q427" s="12" t="inlineStr">
        <is>
          <t>WG 1011101 entered track and got secured then waited 15:50:35 for WG 1011802 to get coupled, OBTP started on 07:24:58 finished on 07:50:27 and then left at 07:51:24</t>
        </is>
      </c>
    </row>
    <row r="428">
      <c r="A428" s="3" t="inlineStr">
        <is>
          <t>1011102</t>
        </is>
      </c>
      <c r="B428" s="3" t="inlineStr">
        <is>
          <t>10111</t>
        </is>
      </c>
      <c r="C428" s="9" t="n">
        <v>81</v>
      </c>
      <c r="D428" s="3" t="inlineStr">
        <is>
          <t>Wr. Neustadt (Hödlmayr)</t>
        </is>
      </c>
      <c r="E428" s="10" t="n">
        <v>45670.61789351852</v>
      </c>
      <c r="F428" s="10" t="n">
        <v>45670.63574074074</v>
      </c>
      <c r="G428" s="10" t="n">
        <v>45670.63792824074</v>
      </c>
      <c r="H428" s="3" t="inlineStr">
        <is>
          <t>OBT130125152935-Wr. Neustadt (Hödlmayr)</t>
        </is>
      </c>
      <c r="I428" s="10" t="n">
        <v>45670.64724537037</v>
      </c>
      <c r="J428" s="10" t="n">
        <v>45670.66475694445</v>
      </c>
      <c r="K428" s="10" t="n">
        <v>45670.66475694445</v>
      </c>
      <c r="L428" s="10" t="n">
        <v>45670.66549768519</v>
      </c>
      <c r="M428" s="11">
        <f>IF(AND(ISNUMBER(E428),ISNUMBER(G428)),(G428-E428),"")</f>
        <v/>
      </c>
      <c r="N428" s="11">
        <f>IF(AND(ISNUMBER(G428),ISNUMBER(L428)),(L428-G428),"")</f>
        <v/>
      </c>
      <c r="O428" s="10" t="n">
        <v>45670.64030092592</v>
      </c>
      <c r="P428" s="11">
        <f>IF(AND(ISNUMBER(I428),ISNUMBER(O428)),(I428-O428),"")</f>
        <v/>
      </c>
      <c r="Q428" s="12" t="inlineStr">
        <is>
          <t>WG 1011102 entered track and got secured then waited 0:07:33 for WG 1011104 to get coupled, OBTP started on 15:32:02 finished on 15:57:15 and then left at 15:58:19</t>
        </is>
      </c>
    </row>
    <row r="429">
      <c r="A429" s="3" t="inlineStr">
        <is>
          <t>1011103</t>
        </is>
      </c>
      <c r="B429" s="3" t="inlineStr">
        <is>
          <t>10111</t>
        </is>
      </c>
      <c r="C429" s="9" t="n">
        <v>47.22</v>
      </c>
      <c r="D429" s="3" t="inlineStr">
        <is>
          <t>Obereggendorf (Hofer)</t>
        </is>
      </c>
      <c r="E429" s="10" t="n">
        <v>45670.61789351852</v>
      </c>
      <c r="F429" s="10" t="n">
        <v>45670.63792824074</v>
      </c>
      <c r="G429" s="10" t="n">
        <v>45670.63960648148</v>
      </c>
      <c r="H429" s="3" t="inlineStr">
        <is>
          <t>OBT140125093209-Obereggendorf (Hofer)</t>
        </is>
      </c>
      <c r="I429" s="10" t="n">
        <v>45671.39819444445</v>
      </c>
      <c r="J429" s="10" t="n">
        <v>45671.45782407407</v>
      </c>
      <c r="K429" s="10" t="n">
        <v>45671.45814814815</v>
      </c>
      <c r="L429" s="10" t="n">
        <v>45671.45953703704</v>
      </c>
      <c r="M429" s="11">
        <f>IF(AND(ISNUMBER(E429),ISNUMBER(G429)),(G429-E429),"")</f>
        <v/>
      </c>
      <c r="N429" s="11">
        <f>IF(AND(ISNUMBER(G429),ISNUMBER(L429)),(L429-G429),"")</f>
        <v/>
      </c>
      <c r="O429" s="10" t="n">
        <v>45670.64350694444</v>
      </c>
      <c r="P429" s="11">
        <f>IF(AND(ISNUMBER(I429),ISNUMBER(O429)),(I429-O429),"")</f>
        <v/>
      </c>
      <c r="Q429" s="12" t="inlineStr">
        <is>
          <t>WG 1011103 entered track and got coupled to WG 1010501 then waited 18:05:30 for WG 1012202 to get coupled, OBTP started on 09:33:24 finished on 10:59:16 and then left at 11:01:44</t>
        </is>
      </c>
    </row>
    <row r="430">
      <c r="A430" s="3" t="inlineStr">
        <is>
          <t>1011104</t>
        </is>
      </c>
      <c r="B430" s="3" t="inlineStr">
        <is>
          <t>10111</t>
        </is>
      </c>
      <c r="C430" s="9" t="n">
        <v>19.9</v>
      </c>
      <c r="D430" s="3" t="inlineStr">
        <is>
          <t>Felixdorf/Sollenau (Bundesheer, Maba)</t>
        </is>
      </c>
      <c r="E430" s="10" t="n">
        <v>45670.61789351852</v>
      </c>
      <c r="F430" s="10" t="n">
        <v>45670.63960648148</v>
      </c>
      <c r="G430" s="10" t="n">
        <v>45670.64164351852</v>
      </c>
      <c r="H430" s="3" t="inlineStr">
        <is>
          <t>OBT130125152935-Wr. Neustadt (Hödlmayr)</t>
        </is>
      </c>
      <c r="I430" s="10" t="n">
        <v>45670.64724537037</v>
      </c>
      <c r="J430" s="10" t="n">
        <v>45670.66475694445</v>
      </c>
      <c r="K430" s="10" t="n">
        <v>45670.66475694445</v>
      </c>
      <c r="L430" s="10" t="n">
        <v>45670.66549768519</v>
      </c>
      <c r="M430" s="11">
        <f>IF(AND(ISNUMBER(E430),ISNUMBER(G430)),(G430-E430),"")</f>
        <v/>
      </c>
      <c r="N430" s="11">
        <f>IF(AND(ISNUMBER(G430),ISNUMBER(L430)),(L430-G430),"")</f>
        <v/>
      </c>
      <c r="O430" s="10" t="n">
        <v>45670.64554398148</v>
      </c>
      <c r="P430" s="11">
        <f>IF(AND(ISNUMBER(I430),ISNUMBER(O430)),(I430-O430),"")</f>
        <v/>
      </c>
      <c r="Q430" s="12" t="inlineStr">
        <is>
          <t>WG 1011104 entered track and got coupled to WG 1011102, OBTP started on 15:32:02 finished on 15:57:15 and then left at 15:58:19</t>
        </is>
      </c>
    </row>
    <row r="431">
      <c r="A431" s="3" t="inlineStr">
        <is>
          <t>1011105</t>
        </is>
      </c>
      <c r="B431" s="3" t="inlineStr">
        <is>
          <t>10111</t>
        </is>
      </c>
      <c r="C431" s="9" t="n">
        <v>15.74</v>
      </c>
      <c r="D431" s="3" t="inlineStr">
        <is>
          <t>Ebenfurth (beet loading)</t>
        </is>
      </c>
      <c r="E431" s="10" t="n">
        <v>45670.61789351852</v>
      </c>
      <c r="F431" s="10" t="n">
        <v>45670.64164351852</v>
      </c>
      <c r="G431" s="10" t="n">
        <v>45670.64340277778</v>
      </c>
      <c r="H431" s="3" t="inlineStr">
        <is>
          <t>OBT140125153639-Ebenfurth (beet loading)</t>
        </is>
      </c>
      <c r="I431" s="10" t="n">
        <v>45671.65310185185</v>
      </c>
      <c r="J431" s="10" t="n">
        <v>45671.67769675926</v>
      </c>
      <c r="K431" s="10" t="n">
        <v>45671.67769675926</v>
      </c>
      <c r="L431" s="10" t="n">
        <v>45671.67856481481</v>
      </c>
      <c r="M431" s="11">
        <f>IF(AND(ISNUMBER(E431),ISNUMBER(G431)),(G431-E431),"")</f>
        <v/>
      </c>
      <c r="N431" s="11">
        <f>IF(AND(ISNUMBER(G431),ISNUMBER(L431)),(L431-G431),"")</f>
        <v/>
      </c>
      <c r="O431" s="10" t="n">
        <v>45670.64732638889</v>
      </c>
      <c r="P431" s="11">
        <f>IF(AND(ISNUMBER(I431),ISNUMBER(O431)),(I431-O431),"")</f>
        <v/>
      </c>
      <c r="Q431" s="12" t="inlineStr">
        <is>
          <t>WG 1011105 entered track and got coupled to WG 1010511 then waited 18:46:50 for WG 1012111 to get coupled then waited 5:17:40 for WG 1012603 to get coupled, OBTP started on 15:40:28 finished on 16:15:53 and then left at 16:17:08</t>
        </is>
      </c>
    </row>
    <row r="432">
      <c r="A432" s="3" t="inlineStr">
        <is>
          <t>1011106</t>
        </is>
      </c>
      <c r="B432" s="3" t="inlineStr">
        <is>
          <t>10111</t>
        </is>
      </c>
      <c r="C432" s="9" t="n">
        <v>15.74</v>
      </c>
      <c r="D432" s="3" t="inlineStr">
        <is>
          <t>Gloggnitz</t>
        </is>
      </c>
      <c r="E432" s="10" t="n">
        <v>45670.61789351852</v>
      </c>
      <c r="F432" s="10" t="n">
        <v>45670.64340277778</v>
      </c>
      <c r="G432" s="10" t="n">
        <v>45670.6453125</v>
      </c>
      <c r="H432" s="3" t="inlineStr">
        <is>
          <t>OBT140125102839-Wr. Neustadt (Brenntag)</t>
        </is>
      </c>
      <c r="I432" s="10" t="n">
        <v>45671.45956018518</v>
      </c>
      <c r="J432" s="10" t="n">
        <v>45671.47991898148</v>
      </c>
      <c r="K432" s="10" t="n">
        <v>45671.47991898148</v>
      </c>
      <c r="L432" s="10" t="n">
        <v>45671.4805787037</v>
      </c>
      <c r="M432" s="11">
        <f>IF(AND(ISNUMBER(E432),ISNUMBER(G432)),(G432-E432),"")</f>
        <v/>
      </c>
      <c r="N432" s="11">
        <f>IF(AND(ISNUMBER(G432),ISNUMBER(L432)),(L432-G432),"")</f>
        <v/>
      </c>
      <c r="O432" s="10" t="n">
        <v>45670.64920138889</v>
      </c>
      <c r="P432" s="11">
        <f>IF(AND(ISNUMBER(I432),ISNUMBER(O432)),(I432-O432),"")</f>
        <v/>
      </c>
      <c r="Q432" s="12" t="inlineStr">
        <is>
          <t>WG 1011106 entered track and got coupled to WG 1010701 then waited 11:22:34 for WG 1011604 to get coupled then waited 7:12:44 for WG 1012103 to get coupled then waited 0:15:38 for WG 1012109 to get coupled then waited 0:02:52 for WG 1012113 to get coupled, OBTP started on 11:01:46 finished on 11:31:05 and then left at 11:32:02</t>
        </is>
      </c>
    </row>
    <row r="433">
      <c r="A433" s="3" t="inlineStr">
        <is>
          <t>1011107</t>
        </is>
      </c>
      <c r="B433" s="3" t="inlineStr">
        <is>
          <t>10111</t>
        </is>
      </c>
      <c r="C433" s="9" t="n">
        <v>21</v>
      </c>
      <c r="D433" s="3" t="inlineStr">
        <is>
          <t>Neunkirchen (loading tracks)</t>
        </is>
      </c>
      <c r="E433" s="10" t="n">
        <v>45670.61789351852</v>
      </c>
      <c r="F433" s="10" t="n">
        <v>45670.6453125</v>
      </c>
      <c r="G433" s="10" t="n">
        <v>45670.64704861111</v>
      </c>
      <c r="H433" s="3" t="inlineStr">
        <is>
          <t>OBT140125024930-Neunkirchen (loading tracks)</t>
        </is>
      </c>
      <c r="I433" s="10" t="n">
        <v>45671.11855324074</v>
      </c>
      <c r="J433" s="10" t="n">
        <v>45671.14023148148</v>
      </c>
      <c r="K433" s="10" t="n">
        <v>45671.14023148148</v>
      </c>
      <c r="L433" s="10" t="n">
        <v>45671.14112268519</v>
      </c>
      <c r="M433" s="11">
        <f>IF(AND(ISNUMBER(E433),ISNUMBER(G433)),(G433-E433),"")</f>
        <v/>
      </c>
      <c r="N433" s="11">
        <f>IF(AND(ISNUMBER(G433),ISNUMBER(L433)),(L433-G433),"")</f>
        <v/>
      </c>
      <c r="O433" s="10" t="n">
        <v>45670.65059027778</v>
      </c>
      <c r="P433" s="11">
        <f>IF(AND(ISNUMBER(I433),ISNUMBER(O433)),(I433-O433),"")</f>
        <v/>
      </c>
      <c r="Q433" s="12" t="inlineStr">
        <is>
          <t>WG 1011107 entered track and got secured then waited 11:12:39 for WG 1011601 to get coupled, OBTP started on 02:50:43 finished on 03:21:56 and then left at 03:23:13</t>
        </is>
      </c>
    </row>
    <row r="434">
      <c r="A434" s="3" t="inlineStr">
        <is>
          <t>1011108</t>
        </is>
      </c>
      <c r="B434" s="3" t="inlineStr">
        <is>
          <t>10111</t>
        </is>
      </c>
      <c r="C434" s="9" t="n">
        <v>58.88</v>
      </c>
      <c r="D434" s="3" t="inlineStr">
        <is>
          <t>Other sidings south</t>
        </is>
      </c>
      <c r="E434" s="10" t="n">
        <v>45670.61789351852</v>
      </c>
      <c r="F434" s="10" t="n">
        <v>45670.64704861111</v>
      </c>
      <c r="G434" s="10" t="n">
        <v>45670.64909722222</v>
      </c>
      <c r="H434" s="3" t="inlineStr">
        <is>
          <t>OBT150125025656-Other sidings south</t>
        </is>
      </c>
      <c r="I434" s="10" t="n">
        <v>45672.12370370371</v>
      </c>
      <c r="J434" s="10" t="n">
        <v>45672.15450231481</v>
      </c>
      <c r="K434" s="10" t="n">
        <v>45672.15517361111</v>
      </c>
      <c r="L434" s="10" t="n">
        <v>45672.15613425926</v>
      </c>
      <c r="M434" s="11">
        <f>IF(AND(ISNUMBER(E434),ISNUMBER(G434)),(G434-E434),"")</f>
        <v/>
      </c>
      <c r="N434" s="11">
        <f>IF(AND(ISNUMBER(G434),ISNUMBER(L434)),(L434-G434),"")</f>
        <v/>
      </c>
      <c r="O434" s="10" t="n">
        <v>45670.6524074074</v>
      </c>
      <c r="P434" s="11">
        <f>IF(AND(ISNUMBER(I434),ISNUMBER(O434)),(I434-O434),"")</f>
        <v/>
      </c>
      <c r="Q434" s="12" t="inlineStr">
        <is>
          <t>WG 1011108 entered track and got secured then waited 11:15:11 for WG 1011603 to get coupled then waited 7:21:26 for WG 1012106 to get coupled then waited 16:40:51 for WG 1013204 to get coupled, OBTP started on 02:58:08 finished on 03:42:29 and then left at 03:44:50</t>
        </is>
      </c>
    </row>
    <row r="435">
      <c r="A435" s="3" t="inlineStr">
        <is>
          <t>1011109</t>
        </is>
      </c>
      <c r="B435" s="3" t="inlineStr">
        <is>
          <t>10111</t>
        </is>
      </c>
      <c r="C435" s="9" t="n">
        <v>15.74</v>
      </c>
      <c r="D435" s="3" t="inlineStr">
        <is>
          <t>Steinabrückl/Wöllersdorf</t>
        </is>
      </c>
      <c r="E435" s="10" t="n">
        <v>45670.61789351852</v>
      </c>
      <c r="F435" s="10" t="n">
        <v>45670.64909722222</v>
      </c>
      <c r="G435" s="10" t="n">
        <v>45670.65105324074</v>
      </c>
      <c r="H435" s="3" t="inlineStr">
        <is>
          <t>OBT140125181252-Steinabrückl/Wöllersdorf</t>
        </is>
      </c>
      <c r="I435" s="10" t="n">
        <v>45671.77648148148</v>
      </c>
      <c r="J435" s="10" t="n">
        <v>45671.79834490741</v>
      </c>
      <c r="K435" s="10" t="n">
        <v>45671.79834490741</v>
      </c>
      <c r="L435" s="10" t="n">
        <v>45671.79916666666</v>
      </c>
      <c r="M435" s="11">
        <f>IF(AND(ISNUMBER(E435),ISNUMBER(G435)),(G435-E435),"")</f>
        <v/>
      </c>
      <c r="N435" s="11">
        <f>IF(AND(ISNUMBER(G435),ISNUMBER(L435)),(L435-G435),"")</f>
        <v/>
      </c>
      <c r="O435" s="10" t="n">
        <v>45670.65538194445</v>
      </c>
      <c r="P435" s="11">
        <f>IF(AND(ISNUMBER(I435),ISNUMBER(O435)),(I435-O435),"")</f>
        <v/>
      </c>
      <c r="Q435" s="12" t="inlineStr">
        <is>
          <t>WG 1011109 entered track and got coupled to WG 1010710 then waited 26:29:07 for WG 1012901 to get coupled, OBTP started on 18:38:08 finished on 19:09:37 and then left at 19:10:48</t>
        </is>
      </c>
    </row>
    <row r="436">
      <c r="A436" s="3" t="inlineStr">
        <is>
          <t>1011110</t>
        </is>
      </c>
      <c r="B436" s="3" t="inlineStr">
        <is>
          <t>10111</t>
        </is>
      </c>
      <c r="C436" s="9" t="n">
        <v>40.9</v>
      </c>
      <c r="D436" s="3" t="inlineStr">
        <is>
          <t>Neudörfl (FunderMax)</t>
        </is>
      </c>
      <c r="E436" s="10" t="n">
        <v>45670.61789351852</v>
      </c>
      <c r="F436" s="10" t="n">
        <v>45670.65105324074</v>
      </c>
      <c r="G436" s="10" t="n">
        <v>45670.6530324074</v>
      </c>
      <c r="H436" s="3" t="inlineStr">
        <is>
          <t>OBT140125070727-Neudörfl (FunderMax)</t>
        </is>
      </c>
      <c r="I436" s="10" t="n">
        <v>45671.29853009259</v>
      </c>
      <c r="J436" s="10" t="n">
        <v>45671.33109953703</v>
      </c>
      <c r="K436" s="10" t="n">
        <v>45671.33109953703</v>
      </c>
      <c r="L436" s="10" t="n">
        <v>45671.3319212963</v>
      </c>
      <c r="M436" s="11">
        <f>IF(AND(ISNUMBER(E436),ISNUMBER(G436)),(G436-E436),"")</f>
        <v/>
      </c>
      <c r="N436" s="11">
        <f>IF(AND(ISNUMBER(G436),ISNUMBER(L436)),(L436-G436),"")</f>
        <v/>
      </c>
      <c r="O436" s="10" t="n">
        <v>45670.65712962963</v>
      </c>
      <c r="P436" s="11">
        <f>IF(AND(ISNUMBER(I436),ISNUMBER(O436)),(I436-O436),"")</f>
        <v/>
      </c>
      <c r="Q436" s="12" t="inlineStr">
        <is>
          <t>WG 1011110 entered track and got coupled to WG 1010709 then waited 15:21:11 for WG 1011801 to get coupled, OBTP started on 07:09:53 finished on 07:56:47 and then left at 07:57:58</t>
        </is>
      </c>
    </row>
    <row r="437">
      <c r="A437" s="3" t="inlineStr">
        <is>
          <t>1011111</t>
        </is>
      </c>
      <c r="B437" s="3" t="inlineStr">
        <is>
          <t>10111</t>
        </is>
      </c>
      <c r="C437" s="9" t="n">
        <v>19.9</v>
      </c>
      <c r="D437" s="3" t="inlineStr">
        <is>
          <t>Wr. Neustadt Ausfahrbf (Furtenbach)</t>
        </is>
      </c>
      <c r="E437" s="10" t="n">
        <v>45670.61789351852</v>
      </c>
      <c r="F437" s="10" t="n">
        <v>45670.6530324074</v>
      </c>
      <c r="G437" s="10" t="n">
        <v>45670.65453703704</v>
      </c>
      <c r="H437" s="3" t="inlineStr">
        <is>
          <t>OBT130125155039-Wr. Neustadt Ausfahrbf (Furtenbach)</t>
        </is>
      </c>
      <c r="I437" s="10" t="n">
        <v>45670.66203703704</v>
      </c>
      <c r="J437" s="10" t="n">
        <v>45670.6827662037</v>
      </c>
      <c r="K437" s="10" t="n">
        <v>45670.6827662037</v>
      </c>
      <c r="L437" s="10" t="n">
        <v>45670.68358796297</v>
      </c>
      <c r="M437" s="11">
        <f>IF(AND(ISNUMBER(E437),ISNUMBER(G437)),(G437-E437),"")</f>
        <v/>
      </c>
      <c r="N437" s="11">
        <f>IF(AND(ISNUMBER(G437),ISNUMBER(L437)),(L437-G437),"")</f>
        <v/>
      </c>
      <c r="O437" s="10" t="n">
        <v>45670.66017361111</v>
      </c>
      <c r="P437" s="11">
        <f>IF(AND(ISNUMBER(I437),ISNUMBER(O437)),(I437-O437),"")</f>
        <v/>
      </c>
      <c r="Q437" s="12" t="inlineStr">
        <is>
          <t>WG 1011111 entered track and got coupled to WG 1010504, OBTP started on 15:53:20 finished on 16:23:11 and then left at 16:24:22</t>
        </is>
      </c>
    </row>
    <row r="438">
      <c r="A438" s="3" t="inlineStr">
        <is>
          <t>1011201</t>
        </is>
      </c>
      <c r="B438" s="3" t="inlineStr">
        <is>
          <t>10112</t>
        </is>
      </c>
      <c r="C438" s="9" t="n">
        <v>393.5000000000001</v>
      </c>
      <c r="D438" s="3" t="inlineStr">
        <is>
          <t>Wien Kledering</t>
        </is>
      </c>
      <c r="E438" s="10" t="n">
        <v>45670.64148148148</v>
      </c>
      <c r="F438" s="10" t="n">
        <v>45670.65540509259</v>
      </c>
      <c r="G438" s="10" t="n">
        <v>45670.65763888889</v>
      </c>
      <c r="H438" s="3" t="inlineStr">
        <is>
          <t>OBT130125155053-Wien Kledering</t>
        </is>
      </c>
      <c r="I438" s="10" t="n">
        <v>45670.66645833333</v>
      </c>
      <c r="J438" s="10" t="n">
        <v>45670.73476851852</v>
      </c>
      <c r="K438" s="10" t="n">
        <v>45670.73476851852</v>
      </c>
      <c r="L438" s="10" t="n">
        <v>45670.73616898148</v>
      </c>
      <c r="M438" s="11">
        <f>IF(AND(ISNUMBER(E438),ISNUMBER(G438)),(G438-E438),"")</f>
        <v/>
      </c>
      <c r="N438" s="11">
        <f>IF(AND(ISNUMBER(G438),ISNUMBER(L438)),(L438-G438),"")</f>
        <v/>
      </c>
      <c r="O438" s="10" t="n">
        <v>45670.66033564815</v>
      </c>
      <c r="P438" s="11">
        <f>IF(AND(ISNUMBER(I438),ISNUMBER(O438)),(I438-O438),"")</f>
        <v/>
      </c>
      <c r="Q438" s="12" t="inlineStr">
        <is>
          <t>WG 1011201 entered track and got secured, OBTP started on 15:59:42 finished on 17:38:04 and then left at 17:40:05</t>
        </is>
      </c>
    </row>
    <row r="439">
      <c r="A439" s="3" t="inlineStr">
        <is>
          <t>1011301</t>
        </is>
      </c>
      <c r="B439" s="3" t="inlineStr">
        <is>
          <t>10113</t>
        </is>
      </c>
      <c r="C439" s="9" t="n">
        <v>157.9</v>
      </c>
      <c r="D439" s="3" t="inlineStr">
        <is>
          <t>St. Veit an der Glan</t>
        </is>
      </c>
      <c r="E439" s="10" t="n">
        <v>45670.66965277777</v>
      </c>
      <c r="F439" s="10" t="n">
        <v>45670.67766203704</v>
      </c>
      <c r="G439" s="10" t="n">
        <v>45670.67972222222</v>
      </c>
      <c r="H439" s="3" t="inlineStr">
        <is>
          <t>OBT130125163000-St. Veit an der Glan</t>
        </is>
      </c>
      <c r="I439" s="10" t="n">
        <v>45670.68920138889</v>
      </c>
      <c r="J439" s="10" t="n">
        <v>45670.72371527777</v>
      </c>
      <c r="K439" s="10" t="n">
        <v>45670.72371527777</v>
      </c>
      <c r="L439" s="10" t="n">
        <v>45670.7246875</v>
      </c>
      <c r="M439" s="11">
        <f>IF(AND(ISNUMBER(E439),ISNUMBER(G439)),(G439-E439),"")</f>
        <v/>
      </c>
      <c r="N439" s="11">
        <f>IF(AND(ISNUMBER(G439),ISNUMBER(L439)),(L439-G439),"")</f>
        <v/>
      </c>
      <c r="O439" s="10" t="n">
        <v>45670.6875</v>
      </c>
      <c r="P439" s="11">
        <f>IF(AND(ISNUMBER(I439),ISNUMBER(O439)),(I439-O439),"")</f>
        <v/>
      </c>
      <c r="Q439" s="12" t="inlineStr">
        <is>
          <t>WG 1011301 entered track and got coupled to WG 1010802, OBTP started on 16:32:27 finished on 17:22:09 and then left at 17:23:33</t>
        </is>
      </c>
    </row>
    <row r="440">
      <c r="A440" s="3" t="inlineStr">
        <is>
          <t>1011302</t>
        </is>
      </c>
      <c r="B440" s="3" t="inlineStr">
        <is>
          <t>10113</t>
        </is>
      </c>
      <c r="C440" s="9" t="n">
        <v>229.7</v>
      </c>
      <c r="D440" s="3" t="inlineStr">
        <is>
          <t>Wien Kledering</t>
        </is>
      </c>
      <c r="E440" s="10" t="n">
        <v>45670.66965277777</v>
      </c>
      <c r="F440" s="10" t="n">
        <v>45670.67972222222</v>
      </c>
      <c r="G440" s="10" t="n">
        <v>45670.68224537037</v>
      </c>
      <c r="H440" s="3" t="inlineStr">
        <is>
          <t>OBT130125162753-Wien Kledering</t>
        </is>
      </c>
      <c r="I440" s="10" t="n">
        <v>45670.68689814815</v>
      </c>
      <c r="J440" s="10" t="n">
        <v>45670.72678240741</v>
      </c>
      <c r="K440" s="10" t="n">
        <v>45670.72678240741</v>
      </c>
      <c r="L440" s="10" t="n">
        <v>45670.7278125</v>
      </c>
      <c r="M440" s="11">
        <f>IF(AND(ISNUMBER(E440),ISNUMBER(G440)),(G440-E440),"")</f>
        <v/>
      </c>
      <c r="N440" s="11">
        <f>IF(AND(ISNUMBER(G440),ISNUMBER(L440)),(L440-G440),"")</f>
        <v/>
      </c>
      <c r="O440" s="10" t="n">
        <v>45670.68603009259</v>
      </c>
      <c r="P440" s="11">
        <f>IF(AND(ISNUMBER(I440),ISNUMBER(O440)),(I440-O440),"")</f>
        <v/>
      </c>
      <c r="Q440" s="12" t="inlineStr">
        <is>
          <t>WG 1011302 entered track and got secured, OBTP started on 16:29:08 finished on 17:26:34 and then left at 17:28:03</t>
        </is>
      </c>
    </row>
    <row r="441">
      <c r="A441" s="3" t="inlineStr">
        <is>
          <t>1011401</t>
        </is>
      </c>
      <c r="B441" s="3" t="inlineStr">
        <is>
          <t>10114</t>
        </is>
      </c>
      <c r="C441" s="9" t="n">
        <v>185.92</v>
      </c>
      <c r="D441" s="3" t="inlineStr">
        <is>
          <t>Wien Kledering</t>
        </is>
      </c>
      <c r="E441" s="10" t="n">
        <v>45670.72886574074</v>
      </c>
      <c r="F441" s="10" t="n">
        <v>45670.73393518518</v>
      </c>
      <c r="G441" s="10" t="n">
        <v>45670.73548611111</v>
      </c>
      <c r="H441" s="3" t="inlineStr">
        <is>
          <t>OBT130125174233-Wien Kledering</t>
        </is>
      </c>
      <c r="I441" s="10" t="n">
        <v>45670.73875</v>
      </c>
      <c r="J441" s="10" t="n">
        <v>45670.77103009259</v>
      </c>
      <c r="K441" s="10" t="n">
        <v>45670.77103009259</v>
      </c>
      <c r="L441" s="10" t="n">
        <v>45670.77193287037</v>
      </c>
      <c r="M441" s="11">
        <f>IF(AND(ISNUMBER(E441),ISNUMBER(G441)),(G441-E441),"")</f>
        <v/>
      </c>
      <c r="N441" s="11">
        <f>IF(AND(ISNUMBER(G441),ISNUMBER(L441)),(L441-G441),"")</f>
        <v/>
      </c>
      <c r="O441" s="10" t="n">
        <v>45670.73788194444</v>
      </c>
      <c r="P441" s="11">
        <f>IF(AND(ISNUMBER(I441),ISNUMBER(O441)),(I441-O441),"")</f>
        <v/>
      </c>
      <c r="Q441" s="12" t="inlineStr">
        <is>
          <t>WG 1011401 entered track and got secured, OBTP started on 17:43:48 finished on 18:30:17 and then left at 18:31:35</t>
        </is>
      </c>
    </row>
    <row r="442">
      <c r="A442" s="3" t="inlineStr">
        <is>
          <t>1011501</t>
        </is>
      </c>
      <c r="B442" s="3" t="inlineStr">
        <is>
          <t>10115</t>
        </is>
      </c>
      <c r="C442" s="9" t="n">
        <v>389.0600000000001</v>
      </c>
      <c r="D442" s="3" t="inlineStr">
        <is>
          <t>Wien Kledering</t>
        </is>
      </c>
      <c r="E442" s="10" t="n">
        <v>45670.88025462963</v>
      </c>
      <c r="F442" s="10" t="n">
        <v>45670.88717592593</v>
      </c>
      <c r="G442" s="10" t="n">
        <v>45670.88920138889</v>
      </c>
      <c r="H442" s="3" t="inlineStr">
        <is>
          <t>OBT130125212354-Wien Kledering</t>
        </is>
      </c>
      <c r="I442" s="10" t="n">
        <v>45670.89246527778</v>
      </c>
      <c r="J442" s="10" t="n">
        <v>45670.96001157408</v>
      </c>
      <c r="K442" s="10" t="n">
        <v>45670.96001157408</v>
      </c>
      <c r="L442" s="10" t="n">
        <v>45670.96137731482</v>
      </c>
      <c r="M442" s="11">
        <f>IF(AND(ISNUMBER(E442),ISNUMBER(G442)),(G442-E442),"")</f>
        <v/>
      </c>
      <c r="N442" s="11">
        <f>IF(AND(ISNUMBER(G442),ISNUMBER(L442)),(L442-G442),"")</f>
        <v/>
      </c>
      <c r="O442" s="10" t="n">
        <v>45670.89159722222</v>
      </c>
      <c r="P442" s="11">
        <f>IF(AND(ISNUMBER(I442),ISNUMBER(O442)),(I442-O442),"")</f>
        <v/>
      </c>
      <c r="Q442" s="12" t="inlineStr">
        <is>
          <t>WG 1011501 entered track and got secured, OBTP started on 21:25:09 finished on 23:02:25 and then left at 23:04:23</t>
        </is>
      </c>
    </row>
    <row r="443">
      <c r="A443" s="3" t="inlineStr">
        <is>
          <t>1011601</t>
        </is>
      </c>
      <c r="B443" s="3" t="inlineStr">
        <is>
          <t>10116</t>
        </is>
      </c>
      <c r="C443" s="9" t="n">
        <v>103.9</v>
      </c>
      <c r="D443" s="3" t="inlineStr">
        <is>
          <t>Neunkirchen (loading tracks)</t>
        </is>
      </c>
      <c r="E443" s="10" t="n">
        <v>45671.10440972223</v>
      </c>
      <c r="F443" s="10" t="n">
        <v>45671.11221064815</v>
      </c>
      <c r="G443" s="10" t="n">
        <v>45671.11414351852</v>
      </c>
      <c r="H443" s="3" t="inlineStr">
        <is>
          <t>OBT140125024930-Neunkirchen (loading tracks)</t>
        </is>
      </c>
      <c r="I443" s="10" t="n">
        <v>45671.11855324074</v>
      </c>
      <c r="J443" s="10" t="n">
        <v>45671.14023148148</v>
      </c>
      <c r="K443" s="10" t="n">
        <v>45671.14023148148</v>
      </c>
      <c r="L443" s="10" t="n">
        <v>45671.14112268519</v>
      </c>
      <c r="M443" s="11">
        <f>IF(AND(ISNUMBER(E443),ISNUMBER(G443)),(G443-E443),"")</f>
        <v/>
      </c>
      <c r="N443" s="11">
        <f>IF(AND(ISNUMBER(G443),ISNUMBER(L443)),(L443-G443),"")</f>
        <v/>
      </c>
      <c r="O443" s="10" t="n">
        <v>45671.11770833333</v>
      </c>
      <c r="P443" s="11">
        <f>IF(AND(ISNUMBER(I443),ISNUMBER(O443)),(I443-O443),"")</f>
        <v/>
      </c>
      <c r="Q443" s="12" t="inlineStr">
        <is>
          <t>WG 1011601 entered track and got coupled to WG 1011107, OBTP started on 02:50:43 finished on 03:21:56 and then left at 03:23:13</t>
        </is>
      </c>
    </row>
    <row r="444">
      <c r="A444" s="3" t="inlineStr">
        <is>
          <t>1011602</t>
        </is>
      </c>
      <c r="B444" s="3" t="inlineStr">
        <is>
          <t>10116</t>
        </is>
      </c>
      <c r="C444" s="9" t="n">
        <v>12.04</v>
      </c>
      <c r="D444" s="3" t="inlineStr">
        <is>
          <t>Ternitz (Schoeller-Bleckmann)</t>
        </is>
      </c>
      <c r="E444" s="10" t="n">
        <v>45671.10440972223</v>
      </c>
      <c r="F444" s="10" t="n">
        <v>45671.11414351852</v>
      </c>
      <c r="G444" s="10" t="n">
        <v>45671.11541666667</v>
      </c>
      <c r="H444" s="3" t="inlineStr">
        <is>
          <t>OBT140125181642-Ternitz (Schoeller-Bleckmann)</t>
        </is>
      </c>
      <c r="I444" s="10" t="n">
        <v>45671.77672453703</v>
      </c>
      <c r="J444" s="10" t="n">
        <v>45671.79472222222</v>
      </c>
      <c r="K444" s="10" t="n">
        <v>45671.79472222222</v>
      </c>
      <c r="L444" s="10" t="n">
        <v>45671.79550925926</v>
      </c>
      <c r="M444" s="11">
        <f>IF(AND(ISNUMBER(E444),ISNUMBER(G444)),(G444-E444),"")</f>
        <v/>
      </c>
      <c r="N444" s="11">
        <f>IF(AND(ISNUMBER(G444),ISNUMBER(L444)),(L444-G444),"")</f>
        <v/>
      </c>
      <c r="O444" s="10" t="n">
        <v>45671.1178125</v>
      </c>
      <c r="P444" s="11">
        <f>IF(AND(ISNUMBER(I444),ISNUMBER(O444)),(I444-O444),"")</f>
        <v/>
      </c>
      <c r="Q444" s="12" t="inlineStr">
        <is>
          <t>WG 1011602 entered track and got secured then waited 4:26:39 for WG 1011805 to get coupled then waited 8:15:30 for WG 1012601 to get coupled then waited 0:16:47 for WG 1012608 to get coupled then waited 2:28:07 for WG 1012903 to get coupled, OBTP started on 18:38:29 finished on 19:04:24 and then left at 19:05:32</t>
        </is>
      </c>
    </row>
    <row r="445">
      <c r="A445" s="3" t="inlineStr">
        <is>
          <t>1011603</t>
        </is>
      </c>
      <c r="B445" s="3" t="inlineStr">
        <is>
          <t>10116</t>
        </is>
      </c>
      <c r="C445" s="9" t="n">
        <v>15.74</v>
      </c>
      <c r="D445" s="3" t="inlineStr">
        <is>
          <t>Other sidings south</t>
        </is>
      </c>
      <c r="E445" s="10" t="n">
        <v>45671.10440972223</v>
      </c>
      <c r="F445" s="10" t="n">
        <v>45671.11541666667</v>
      </c>
      <c r="G445" s="10" t="n">
        <v>45671.11736111111</v>
      </c>
      <c r="H445" s="3" t="inlineStr">
        <is>
          <t>OBT150125025656-Other sidings south</t>
        </is>
      </c>
      <c r="I445" s="10" t="n">
        <v>45672.12370370371</v>
      </c>
      <c r="J445" s="10" t="n">
        <v>45672.15450231481</v>
      </c>
      <c r="K445" s="10" t="n">
        <v>45672.15517361111</v>
      </c>
      <c r="L445" s="10" t="n">
        <v>45672.15613425926</v>
      </c>
      <c r="M445" s="11">
        <f>IF(AND(ISNUMBER(E445),ISNUMBER(G445)),(G445-E445),"")</f>
        <v/>
      </c>
      <c r="N445" s="11">
        <f>IF(AND(ISNUMBER(G445),ISNUMBER(L445)),(L445-G445),"")</f>
        <v/>
      </c>
      <c r="O445" s="10" t="n">
        <v>45671.12128472222</v>
      </c>
      <c r="P445" s="11">
        <f>IF(AND(ISNUMBER(I445),ISNUMBER(O445)),(I445-O445),"")</f>
        <v/>
      </c>
      <c r="Q445" s="12" t="inlineStr">
        <is>
          <t>WG 1011603 entered track and got coupled to WG 1011108 then waited 7:21:26 for WG 1012106 to get coupled then waited 16:40:51 for WG 1013204 to get coupled, OBTP started on 02:58:08 finished on 03:42:29 and then left at 03:44:50</t>
        </is>
      </c>
    </row>
    <row r="446">
      <c r="A446" s="3" t="inlineStr">
        <is>
          <t>1011604</t>
        </is>
      </c>
      <c r="B446" s="3" t="inlineStr">
        <is>
          <t>10116</t>
        </is>
      </c>
      <c r="C446" s="9" t="n">
        <v>15.74</v>
      </c>
      <c r="D446" s="3" t="inlineStr">
        <is>
          <t>Gloggnitz</t>
        </is>
      </c>
      <c r="E446" s="10" t="n">
        <v>45671.10440972223</v>
      </c>
      <c r="F446" s="10" t="n">
        <v>45671.11736111111</v>
      </c>
      <c r="G446" s="10" t="n">
        <v>45671.11928240741</v>
      </c>
      <c r="H446" s="3" t="inlineStr">
        <is>
          <t>OBT140125102839-Wr. Neustadt (Brenntag)</t>
        </is>
      </c>
      <c r="I446" s="10" t="n">
        <v>45671.45956018518</v>
      </c>
      <c r="J446" s="10" t="n">
        <v>45671.47991898148</v>
      </c>
      <c r="K446" s="10" t="n">
        <v>45671.47991898148</v>
      </c>
      <c r="L446" s="10" t="n">
        <v>45671.4805787037</v>
      </c>
      <c r="M446" s="11">
        <f>IF(AND(ISNUMBER(E446),ISNUMBER(G446)),(G446-E446),"")</f>
        <v/>
      </c>
      <c r="N446" s="11">
        <f>IF(AND(ISNUMBER(G446),ISNUMBER(L446)),(L446-G446),"")</f>
        <v/>
      </c>
      <c r="O446" s="10" t="n">
        <v>45671.12320601852</v>
      </c>
      <c r="P446" s="11">
        <f>IF(AND(ISNUMBER(I446),ISNUMBER(O446)),(I446-O446),"")</f>
        <v/>
      </c>
      <c r="Q446" s="12" t="inlineStr">
        <is>
          <t>WG 1011604 entered track and got coupled to WG 1011106 then waited 7:12:44 for WG 1012103 to get coupled then waited 0:15:38 for WG 1012109 to get coupled then waited 0:02:52 for WG 1012113 to get coupled, OBTP started on 11:01:46 finished on 11:31:05 and then left at 11:32:02</t>
        </is>
      </c>
    </row>
    <row r="447">
      <c r="A447" s="3" t="inlineStr">
        <is>
          <t>1011701</t>
        </is>
      </c>
      <c r="B447" s="3" t="inlineStr">
        <is>
          <t>10117</t>
        </is>
      </c>
      <c r="C447" s="9" t="n">
        <v>297</v>
      </c>
      <c r="D447" s="3" t="inlineStr">
        <is>
          <t>Wien Kledering</t>
        </is>
      </c>
      <c r="E447" s="10" t="n">
        <v>45671.27277777778</v>
      </c>
      <c r="F447" s="10" t="n">
        <v>45671.27891203704</v>
      </c>
      <c r="G447" s="10" t="n">
        <v>45671.28072916667</v>
      </c>
      <c r="H447" s="3" t="inlineStr">
        <is>
          <t>OBT140125064740-Wien Kledering</t>
        </is>
      </c>
      <c r="I447" s="10" t="n">
        <v>45671.28396990741</v>
      </c>
      <c r="J447" s="10" t="n">
        <v>45671.33553240741</v>
      </c>
      <c r="K447" s="10" t="n">
        <v>45671.33553240741</v>
      </c>
      <c r="L447" s="10" t="n">
        <v>45671.33668981482</v>
      </c>
      <c r="M447" s="11">
        <f>IF(AND(ISNUMBER(E447),ISNUMBER(G447)),(G447-E447),"")</f>
        <v/>
      </c>
      <c r="N447" s="11">
        <f>IF(AND(ISNUMBER(G447),ISNUMBER(L447)),(L447-G447),"")</f>
        <v/>
      </c>
      <c r="O447" s="10" t="n">
        <v>45671.28310185186</v>
      </c>
      <c r="P447" s="11">
        <f>IF(AND(ISNUMBER(I447),ISNUMBER(O447)),(I447-O447),"")</f>
        <v/>
      </c>
      <c r="Q447" s="12" t="inlineStr">
        <is>
          <t>WG 1011701 entered track and got secured, OBTP started on 06:48:55 finished on 08:03:10 and then left at 08:04:50</t>
        </is>
      </c>
    </row>
    <row r="448">
      <c r="A448" s="3" t="inlineStr">
        <is>
          <t>1011801</t>
        </is>
      </c>
      <c r="B448" s="3" t="inlineStr">
        <is>
          <t>10118</t>
        </is>
      </c>
      <c r="C448" s="9" t="n">
        <v>110.3</v>
      </c>
      <c r="D448" s="3" t="inlineStr">
        <is>
          <t>Neudörfl (FunderMax)</t>
        </is>
      </c>
      <c r="E448" s="10" t="n">
        <v>45671.27835648148</v>
      </c>
      <c r="F448" s="10" t="n">
        <v>45671.29083333333</v>
      </c>
      <c r="G448" s="10" t="n">
        <v>45671.29293981481</v>
      </c>
      <c r="H448" s="3" t="inlineStr">
        <is>
          <t>OBT140125070727-Neudörfl (FunderMax)</t>
        </is>
      </c>
      <c r="I448" s="10" t="n">
        <v>45671.29853009259</v>
      </c>
      <c r="J448" s="10" t="n">
        <v>45671.33109953703</v>
      </c>
      <c r="K448" s="10" t="n">
        <v>45671.33109953703</v>
      </c>
      <c r="L448" s="10" t="n">
        <v>45671.3319212963</v>
      </c>
      <c r="M448" s="11">
        <f>IF(AND(ISNUMBER(E448),ISNUMBER(G448)),(G448-E448),"")</f>
        <v/>
      </c>
      <c r="N448" s="11">
        <f>IF(AND(ISNUMBER(G448),ISNUMBER(L448)),(L448-G448),"")</f>
        <v/>
      </c>
      <c r="O448" s="10" t="n">
        <v>45671.29684027778</v>
      </c>
      <c r="P448" s="11">
        <f>IF(AND(ISNUMBER(I448),ISNUMBER(O448)),(I448-O448),"")</f>
        <v/>
      </c>
      <c r="Q448" s="12" t="inlineStr">
        <is>
          <t>WG 1011801 entered track and got coupled to WG 1011110, OBTP started on 07:09:53 finished on 07:56:47 and then left at 07:57:58</t>
        </is>
      </c>
    </row>
    <row r="449">
      <c r="A449" s="3" t="inlineStr">
        <is>
          <t>1011802</t>
        </is>
      </c>
      <c r="B449" s="3" t="inlineStr">
        <is>
          <t>10118</t>
        </is>
      </c>
      <c r="C449" s="9" t="n">
        <v>70.45999999999999</v>
      </c>
      <c r="D449" s="3" t="inlineStr">
        <is>
          <t>Pitten (Hamburger)</t>
        </is>
      </c>
      <c r="E449" s="10" t="n">
        <v>45671.27835648148</v>
      </c>
      <c r="F449" s="10" t="n">
        <v>45671.29293981481</v>
      </c>
      <c r="G449" s="10" t="n">
        <v>45671.29431712963</v>
      </c>
      <c r="H449" s="3" t="inlineStr">
        <is>
          <t>OBT140125070928-Pitten (Hamburger)</t>
        </is>
      </c>
      <c r="I449" s="10" t="n">
        <v>45671.30900462963</v>
      </c>
      <c r="J449" s="10" t="n">
        <v>45671.32670138889</v>
      </c>
      <c r="K449" s="10" t="n">
        <v>45671.32670138889</v>
      </c>
      <c r="L449" s="10" t="n">
        <v>45671.32736111111</v>
      </c>
      <c r="M449" s="11">
        <f>IF(AND(ISNUMBER(E449),ISNUMBER(G449)),(G449-E449),"")</f>
        <v/>
      </c>
      <c r="N449" s="11">
        <f>IF(AND(ISNUMBER(G449),ISNUMBER(L449)),(L449-G449),"")</f>
        <v/>
      </c>
      <c r="O449" s="10" t="n">
        <v>45671.29824074074</v>
      </c>
      <c r="P449" s="11">
        <f>IF(AND(ISNUMBER(I449),ISNUMBER(O449)),(I449-O449),"")</f>
        <v/>
      </c>
      <c r="Q449" s="12" t="inlineStr">
        <is>
          <t>WG 1011802 entered track and got coupled to WG 1011101, OBTP started on 07:24:58 finished on 07:50:27 and then left at 07:51:24</t>
        </is>
      </c>
    </row>
    <row r="450">
      <c r="A450" s="3" t="inlineStr">
        <is>
          <t>1011803</t>
        </is>
      </c>
      <c r="B450" s="3" t="inlineStr">
        <is>
          <t>10118</t>
        </is>
      </c>
      <c r="C450" s="9" t="n">
        <v>54</v>
      </c>
      <c r="D450" s="3" t="inlineStr">
        <is>
          <t>Wr. Neustadt (Hödlmayr)</t>
        </is>
      </c>
      <c r="E450" s="10" t="n">
        <v>45671.27835648148</v>
      </c>
      <c r="F450" s="10" t="n">
        <v>45671.29431712963</v>
      </c>
      <c r="G450" s="10" t="n">
        <v>45671.29640046296</v>
      </c>
      <c r="H450" s="3" t="inlineStr">
        <is>
          <t>OBT140125101210-Wr. Neustadt (Hödlmayr)</t>
        </is>
      </c>
      <c r="I450" s="10" t="n">
        <v>45671.43638888889</v>
      </c>
      <c r="J450" s="10" t="n">
        <v>45671.46920138889</v>
      </c>
      <c r="K450" s="10" t="n">
        <v>45671.46920138889</v>
      </c>
      <c r="L450" s="10" t="n">
        <v>45671.47013888889</v>
      </c>
      <c r="M450" s="11">
        <f>IF(AND(ISNUMBER(E450),ISNUMBER(G450)),(G450-E450),"")</f>
        <v/>
      </c>
      <c r="N450" s="11">
        <f>IF(AND(ISNUMBER(G450),ISNUMBER(L450)),(L450-G450),"")</f>
        <v/>
      </c>
      <c r="O450" s="10" t="n">
        <v>45671.29857638889</v>
      </c>
      <c r="P450" s="11">
        <f>IF(AND(ISNUMBER(I450),ISNUMBER(O450)),(I450-O450),"")</f>
        <v/>
      </c>
      <c r="Q450" s="12" t="inlineStr">
        <is>
          <t>WG 1011803 entered track and got secured then waited 0:11:07 for WG 1011806 to get coupled then waited 2:51:06 for WG 1012104 to get coupled, OBTP started on 10:28:24 finished on 11:15:39 and then left at 11:17:00</t>
        </is>
      </c>
    </row>
    <row r="451">
      <c r="A451" s="3" t="inlineStr">
        <is>
          <t>1011804</t>
        </is>
      </c>
      <c r="B451" s="3" t="inlineStr">
        <is>
          <t>10118</t>
        </is>
      </c>
      <c r="C451" s="9" t="n">
        <v>23.24</v>
      </c>
      <c r="D451" s="3" t="inlineStr">
        <is>
          <t>Other sidings north</t>
        </is>
      </c>
      <c r="E451" s="10" t="n">
        <v>45671.27835648148</v>
      </c>
      <c r="F451" s="10" t="n">
        <v>45671.29640046296</v>
      </c>
      <c r="G451" s="10" t="n">
        <v>45671.29811342592</v>
      </c>
      <c r="H451" s="3" t="inlineStr">
        <is>
          <t>OBT140125101947-Other sidings north</t>
        </is>
      </c>
      <c r="I451" s="10" t="n">
        <v>45671.43829861111</v>
      </c>
      <c r="J451" s="10" t="n">
        <v>45671.45730324074</v>
      </c>
      <c r="K451" s="10" t="n">
        <v>45671.45730324074</v>
      </c>
      <c r="L451" s="10" t="n">
        <v>45671.45814814815</v>
      </c>
      <c r="M451" s="11">
        <f>IF(AND(ISNUMBER(E451),ISNUMBER(G451)),(G451-E451),"")</f>
        <v/>
      </c>
      <c r="N451" s="11">
        <f>IF(AND(ISNUMBER(G451),ISNUMBER(L451)),(L451-G451),"")</f>
        <v/>
      </c>
      <c r="O451" s="10" t="n">
        <v>45671.30150462963</v>
      </c>
      <c r="P451" s="11">
        <f>IF(AND(ISNUMBER(I451),ISNUMBER(O451)),(I451-O451),"")</f>
        <v/>
      </c>
      <c r="Q451" s="12" t="inlineStr">
        <is>
          <t>WG 1011804 entered track and got secured then waited 0:08:25 for WG 1011807 to get coupled then waited 2:42:47 for WG 1012101 to get coupled then waited 0:14:25 for WG 1012110 to get coupled, OBTP started on 10:31:09 finished on 10:58:31 and then left at 10:59:44</t>
        </is>
      </c>
    </row>
    <row r="452">
      <c r="A452" s="3" t="inlineStr">
        <is>
          <t>1011805</t>
        </is>
      </c>
      <c r="B452" s="3" t="inlineStr">
        <is>
          <t>10118</t>
        </is>
      </c>
      <c r="C452" s="9" t="n">
        <v>39.8</v>
      </c>
      <c r="D452" s="3" t="inlineStr">
        <is>
          <t>Ternitz (Schoeller-Bleckmann)</t>
        </is>
      </c>
      <c r="E452" s="10" t="n">
        <v>45671.27835648148</v>
      </c>
      <c r="F452" s="10" t="n">
        <v>45671.29811342592</v>
      </c>
      <c r="G452" s="10" t="n">
        <v>45671.29942129629</v>
      </c>
      <c r="H452" s="3" t="inlineStr">
        <is>
          <t>OBT140125181642-Ternitz (Schoeller-Bleckmann)</t>
        </is>
      </c>
      <c r="I452" s="10" t="n">
        <v>45671.77672453703</v>
      </c>
      <c r="J452" s="10" t="n">
        <v>45671.79472222222</v>
      </c>
      <c r="K452" s="10" t="n">
        <v>45671.79472222222</v>
      </c>
      <c r="L452" s="10" t="n">
        <v>45671.79550925926</v>
      </c>
      <c r="M452" s="11">
        <f>IF(AND(ISNUMBER(E452),ISNUMBER(G452)),(G452-E452),"")</f>
        <v/>
      </c>
      <c r="N452" s="11">
        <f>IF(AND(ISNUMBER(G452),ISNUMBER(L452)),(L452-G452),"")</f>
        <v/>
      </c>
      <c r="O452" s="10" t="n">
        <v>45671.30298611111</v>
      </c>
      <c r="P452" s="11">
        <f>IF(AND(ISNUMBER(I452),ISNUMBER(O452)),(I452-O452),"")</f>
        <v/>
      </c>
      <c r="Q452" s="12" t="inlineStr">
        <is>
          <t>WG 1011805 entered track and got coupled to WG 1011602 then waited 8:15:30 for WG 1012601 to get coupled then waited 0:16:47 for WG 1012608 to get coupled then waited 2:28:07 for WG 1012903 to get coupled, OBTP started on 18:38:29 finished on 19:04:24 and then left at 19:05:32</t>
        </is>
      </c>
    </row>
    <row r="453">
      <c r="A453" s="3" t="inlineStr">
        <is>
          <t>1011806</t>
        </is>
      </c>
      <c r="B453" s="3" t="inlineStr">
        <is>
          <t>10118</t>
        </is>
      </c>
      <c r="C453" s="9" t="n">
        <v>27</v>
      </c>
      <c r="D453" s="3" t="inlineStr">
        <is>
          <t>Wr. Neustadt (Hödlmayr)</t>
        </is>
      </c>
      <c r="E453" s="10" t="n">
        <v>45671.27835648148</v>
      </c>
      <c r="F453" s="10" t="n">
        <v>45671.29942129629</v>
      </c>
      <c r="G453" s="10" t="n">
        <v>45671.30144675926</v>
      </c>
      <c r="H453" s="3" t="inlineStr">
        <is>
          <t>OBT140125101210-Wr. Neustadt (Hödlmayr)</t>
        </is>
      </c>
      <c r="I453" s="10" t="n">
        <v>45671.43638888889</v>
      </c>
      <c r="J453" s="10" t="n">
        <v>45671.46920138889</v>
      </c>
      <c r="K453" s="10" t="n">
        <v>45671.46920138889</v>
      </c>
      <c r="L453" s="10" t="n">
        <v>45671.47013888889</v>
      </c>
      <c r="M453" s="11">
        <f>IF(AND(ISNUMBER(E453),ISNUMBER(G453)),(G453-E453),"")</f>
        <v/>
      </c>
      <c r="N453" s="11">
        <f>IF(AND(ISNUMBER(G453),ISNUMBER(L453)),(L453-G453),"")</f>
        <v/>
      </c>
      <c r="O453" s="10" t="n">
        <v>45671.30629629629</v>
      </c>
      <c r="P453" s="11">
        <f>IF(AND(ISNUMBER(I453),ISNUMBER(O453)),(I453-O453),"")</f>
        <v/>
      </c>
      <c r="Q453" s="12" t="inlineStr">
        <is>
          <t>WG 1011806 entered track and got coupled to WG 1011803 then waited 2:51:06 for WG 1012104 to get coupled, OBTP started on 10:28:24 finished on 11:15:39 and then left at 11:17:00</t>
        </is>
      </c>
    </row>
    <row r="454">
      <c r="A454" s="3" t="inlineStr">
        <is>
          <t>1011807</t>
        </is>
      </c>
      <c r="B454" s="3" t="inlineStr">
        <is>
          <t>10118</t>
        </is>
      </c>
      <c r="C454" s="9" t="n">
        <v>38.98</v>
      </c>
      <c r="D454" s="3" t="inlineStr">
        <is>
          <t>Other sidings north</t>
        </is>
      </c>
      <c r="E454" s="10" t="n">
        <v>45671.27835648148</v>
      </c>
      <c r="F454" s="10" t="n">
        <v>45671.30144675926</v>
      </c>
      <c r="G454" s="10" t="n">
        <v>45671.30319444444</v>
      </c>
      <c r="H454" s="3" t="inlineStr">
        <is>
          <t>OBT140125101947-Other sidings north</t>
        </is>
      </c>
      <c r="I454" s="10" t="n">
        <v>45671.43829861111</v>
      </c>
      <c r="J454" s="10" t="n">
        <v>45671.45730324074</v>
      </c>
      <c r="K454" s="10" t="n">
        <v>45671.45730324074</v>
      </c>
      <c r="L454" s="10" t="n">
        <v>45671.45814814815</v>
      </c>
      <c r="M454" s="11">
        <f>IF(AND(ISNUMBER(E454),ISNUMBER(G454)),(G454-E454),"")</f>
        <v/>
      </c>
      <c r="N454" s="11">
        <f>IF(AND(ISNUMBER(G454),ISNUMBER(L454)),(L454-G454),"")</f>
        <v/>
      </c>
      <c r="O454" s="10" t="n">
        <v>45671.30734953703</v>
      </c>
      <c r="P454" s="11">
        <f>IF(AND(ISNUMBER(I454),ISNUMBER(O454)),(I454-O454),"")</f>
        <v/>
      </c>
      <c r="Q454" s="12" t="inlineStr">
        <is>
          <t>WG 1011807 entered track and got coupled to WG 1011804 then waited 2:42:47 for WG 1012101 to get coupled then waited 0:14:25 for WG 1012110 to get coupled, OBTP started on 10:31:09 finished on 10:58:31 and then left at 10:59:44</t>
        </is>
      </c>
    </row>
    <row r="455">
      <c r="A455" s="3" t="inlineStr">
        <is>
          <t>1011901</t>
        </is>
      </c>
      <c r="B455" s="3" t="inlineStr">
        <is>
          <t>10119</t>
        </is>
      </c>
      <c r="C455" s="9" t="n">
        <v>213.84</v>
      </c>
      <c r="D455" s="3" t="inlineStr">
        <is>
          <t>Wien Kledering</t>
        </is>
      </c>
      <c r="E455" s="10" t="n">
        <v>45671.30743055556</v>
      </c>
      <c r="F455" s="10" t="n">
        <v>45671.31271990741</v>
      </c>
      <c r="G455" s="10" t="n">
        <v>45671.31490740741</v>
      </c>
      <c r="H455" s="3" t="inlineStr">
        <is>
          <t>OBT140125075443-Wien Kledering</t>
        </is>
      </c>
      <c r="I455" s="10" t="n">
        <v>45671.33133101852</v>
      </c>
      <c r="J455" s="10" t="n">
        <v>45671.36844907407</v>
      </c>
      <c r="K455" s="10" t="n">
        <v>45671.36844907407</v>
      </c>
      <c r="L455" s="10" t="n">
        <v>45671.36945601852</v>
      </c>
      <c r="M455" s="11">
        <f>IF(AND(ISNUMBER(E455),ISNUMBER(G455)),(G455-E455),"")</f>
        <v/>
      </c>
      <c r="N455" s="11">
        <f>IF(AND(ISNUMBER(G455),ISNUMBER(L455)),(L455-G455),"")</f>
        <v/>
      </c>
      <c r="O455" s="10" t="n">
        <v>45671.32966435186</v>
      </c>
      <c r="P455" s="11">
        <f>IF(AND(ISNUMBER(I455),ISNUMBER(O455)),(I455-O455),"")</f>
        <v/>
      </c>
      <c r="Q455" s="12" t="inlineStr">
        <is>
          <t>WG 1011901 entered track and got secured, OBTP started on 07:57:07 finished on 08:50:34 and then left at 08:52:01</t>
        </is>
      </c>
    </row>
    <row r="456">
      <c r="A456" s="3" t="inlineStr">
        <is>
          <t>1012001</t>
        </is>
      </c>
      <c r="B456" s="3" t="inlineStr">
        <is>
          <t>10120</t>
        </is>
      </c>
      <c r="C456" s="9" t="n">
        <v>389.8000000000001</v>
      </c>
      <c r="D456" s="3" t="inlineStr">
        <is>
          <t>Wien Kledering</t>
        </is>
      </c>
      <c r="E456" s="10" t="n">
        <v>45671.33616898148</v>
      </c>
      <c r="F456" s="10" t="n">
        <v>45671.34260416667</v>
      </c>
      <c r="G456" s="10" t="n">
        <v>45671.34474537037</v>
      </c>
      <c r="H456" s="3" t="inlineStr">
        <is>
          <t>OBT140125081951-Wien Kledering</t>
        </is>
      </c>
      <c r="I456" s="10" t="n">
        <v>45671.34798611111</v>
      </c>
      <c r="J456" s="10" t="n">
        <v>45671.41565972222</v>
      </c>
      <c r="K456" s="10" t="n">
        <v>45671.41565972222</v>
      </c>
      <c r="L456" s="10" t="n">
        <v>45671.41699074074</v>
      </c>
      <c r="M456" s="11">
        <f>IF(AND(ISNUMBER(E456),ISNUMBER(G456)),(G456-E456),"")</f>
        <v/>
      </c>
      <c r="N456" s="11">
        <f>IF(AND(ISNUMBER(G456),ISNUMBER(L456)),(L456-G456),"")</f>
        <v/>
      </c>
      <c r="O456" s="10" t="n">
        <v>45671.34711805556</v>
      </c>
      <c r="P456" s="11">
        <f>IF(AND(ISNUMBER(I456),ISNUMBER(O456)),(I456-O456),"")</f>
        <v/>
      </c>
      <c r="Q456" s="12" t="inlineStr">
        <is>
          <t>WG 1012001 entered track and got secured, OBTP started on 08:21:06 finished on 09:58:33 and then left at 10:00:28</t>
        </is>
      </c>
    </row>
    <row r="457">
      <c r="A457" s="3" t="inlineStr">
        <is>
          <t>1012101</t>
        </is>
      </c>
      <c r="B457" s="3" t="inlineStr">
        <is>
          <t>10121</t>
        </is>
      </c>
      <c r="C457" s="9" t="n">
        <v>15.74</v>
      </c>
      <c r="D457" s="3" t="inlineStr">
        <is>
          <t>Other sidings north</t>
        </is>
      </c>
      <c r="E457" s="10" t="n">
        <v>45671.37755787037</v>
      </c>
      <c r="F457" s="10" t="n">
        <v>45671.39833333333</v>
      </c>
      <c r="G457" s="10" t="n">
        <v>45671.40003472222</v>
      </c>
      <c r="H457" s="3" t="inlineStr">
        <is>
          <t>OBT140125101947-Other sidings north</t>
        </is>
      </c>
      <c r="I457" s="10" t="n">
        <v>45671.43829861111</v>
      </c>
      <c r="J457" s="10" t="n">
        <v>45671.45730324074</v>
      </c>
      <c r="K457" s="10" t="n">
        <v>45671.45730324074</v>
      </c>
      <c r="L457" s="10" t="n">
        <v>45671.45814814815</v>
      </c>
      <c r="M457" s="11">
        <f>IF(AND(ISNUMBER(E457),ISNUMBER(G457)),(G457-E457),"")</f>
        <v/>
      </c>
      <c r="N457" s="11">
        <f>IF(AND(ISNUMBER(G457),ISNUMBER(L457)),(L457-G457),"")</f>
        <v/>
      </c>
      <c r="O457" s="10" t="n">
        <v>45671.42039351852</v>
      </c>
      <c r="P457" s="11">
        <f>IF(AND(ISNUMBER(I457),ISNUMBER(O457)),(I457-O457),"")</f>
        <v/>
      </c>
      <c r="Q457" s="12" t="inlineStr">
        <is>
          <t>WG 1012101 entered track and got coupled to WG 1011807 then waited 0:14:25 for WG 1012110 to get coupled, OBTP started on 10:31:09 finished on 10:58:31 and then left at 10:59:44</t>
        </is>
      </c>
    </row>
    <row r="458">
      <c r="A458" s="3" t="inlineStr">
        <is>
          <t>1012102</t>
        </is>
      </c>
      <c r="B458" s="3" t="inlineStr">
        <is>
          <t>10121</t>
        </is>
      </c>
      <c r="C458" s="9" t="n">
        <v>19.9</v>
      </c>
      <c r="D458" s="3" t="inlineStr">
        <is>
          <t>Neudörfl (FunderMax)</t>
        </is>
      </c>
      <c r="E458" s="10" t="n">
        <v>45671.37755787037</v>
      </c>
      <c r="F458" s="10" t="n">
        <v>45671.40003472222</v>
      </c>
      <c r="G458" s="10" t="n">
        <v>45671.40118055556</v>
      </c>
      <c r="H458" s="3" t="inlineStr">
        <is>
          <t>OBT140125153802-Neudörfl (FunderMax)</t>
        </is>
      </c>
      <c r="I458" s="10" t="n">
        <v>45671.66950231481</v>
      </c>
      <c r="J458" s="10" t="n">
        <v>45671.69248842593</v>
      </c>
      <c r="K458" s="10" t="n">
        <v>45671.69248842593</v>
      </c>
      <c r="L458" s="10" t="n">
        <v>45671.69326388889</v>
      </c>
      <c r="M458" s="11">
        <f>IF(AND(ISNUMBER(E458),ISNUMBER(G458)),(G458-E458),"")</f>
        <v/>
      </c>
      <c r="N458" s="11">
        <f>IF(AND(ISNUMBER(G458),ISNUMBER(L458)),(L458-G458),"")</f>
        <v/>
      </c>
      <c r="O458" s="10" t="n">
        <v>45671.41892361111</v>
      </c>
      <c r="P458" s="11">
        <f>IF(AND(ISNUMBER(I458),ISNUMBER(O458)),(I458-O458),"")</f>
        <v/>
      </c>
      <c r="Q458" s="12" t="inlineStr">
        <is>
          <t>WG 1012102 entered track and got secured then waited 0:18:30 for WG 1012108 to get coupled then waited 5:16:17 for WG 1012604 to get coupled, OBTP started on 16:04:05 finished on 16:37:11 and then left at 16:38:18</t>
        </is>
      </c>
    </row>
    <row r="459">
      <c r="A459" s="3" t="inlineStr">
        <is>
          <t>1012103</t>
        </is>
      </c>
      <c r="B459" s="3" t="inlineStr">
        <is>
          <t>10121</t>
        </is>
      </c>
      <c r="C459" s="9" t="n">
        <v>28</v>
      </c>
      <c r="D459" s="3" t="inlineStr">
        <is>
          <t>Wr. Neustadt (Brenntag)</t>
        </is>
      </c>
      <c r="E459" s="10" t="n">
        <v>45671.37755787037</v>
      </c>
      <c r="F459" s="10" t="n">
        <v>45671.40118055556</v>
      </c>
      <c r="G459" s="10" t="n">
        <v>45671.40309027778</v>
      </c>
      <c r="H459" s="3" t="inlineStr">
        <is>
          <t>OBT140125102839-Wr. Neustadt (Brenntag)</t>
        </is>
      </c>
      <c r="I459" s="10" t="n">
        <v>45671.45956018518</v>
      </c>
      <c r="J459" s="10" t="n">
        <v>45671.47991898148</v>
      </c>
      <c r="K459" s="10" t="n">
        <v>45671.47991898148</v>
      </c>
      <c r="L459" s="10" t="n">
        <v>45671.4805787037</v>
      </c>
      <c r="M459" s="11">
        <f>IF(AND(ISNUMBER(E459),ISNUMBER(G459)),(G459-E459),"")</f>
        <v/>
      </c>
      <c r="N459" s="11">
        <f>IF(AND(ISNUMBER(G459),ISNUMBER(L459)),(L459-G459),"")</f>
        <v/>
      </c>
      <c r="O459" s="10" t="n">
        <v>45671.42371527778</v>
      </c>
      <c r="P459" s="11">
        <f>IF(AND(ISNUMBER(I459),ISNUMBER(O459)),(I459-O459),"")</f>
        <v/>
      </c>
      <c r="Q459" s="12" t="inlineStr">
        <is>
          <t>WG 1012103 entered track and got coupled to WG 1011604 then waited 0:15:38 for WG 1012109 to get coupled then waited 0:02:52 for WG 1012113 to get coupled, OBTP started on 11:01:46 finished on 11:31:05 and then left at 11:32:02</t>
        </is>
      </c>
    </row>
    <row r="460">
      <c r="A460" s="3" t="inlineStr">
        <is>
          <t>1012104</t>
        </is>
      </c>
      <c r="B460" s="3" t="inlineStr">
        <is>
          <t>10121</t>
        </is>
      </c>
      <c r="C460" s="9" t="n">
        <v>108</v>
      </c>
      <c r="D460" s="3" t="inlineStr">
        <is>
          <t>Wr. Neustadt (Hödlmayr)</t>
        </is>
      </c>
      <c r="E460" s="10" t="n">
        <v>45671.37755787037</v>
      </c>
      <c r="F460" s="10" t="n">
        <v>45671.40309027778</v>
      </c>
      <c r="G460" s="10" t="n">
        <v>45671.40530092592</v>
      </c>
      <c r="H460" s="3" t="inlineStr">
        <is>
          <t>OBT140125101210-Wr. Neustadt (Hödlmayr)</t>
        </is>
      </c>
      <c r="I460" s="10" t="n">
        <v>45671.43638888889</v>
      </c>
      <c r="J460" s="10" t="n">
        <v>45671.46920138889</v>
      </c>
      <c r="K460" s="10" t="n">
        <v>45671.46920138889</v>
      </c>
      <c r="L460" s="10" t="n">
        <v>45671.47013888889</v>
      </c>
      <c r="M460" s="11">
        <f>IF(AND(ISNUMBER(E460),ISNUMBER(G460)),(G460-E460),"")</f>
        <v/>
      </c>
      <c r="N460" s="11">
        <f>IF(AND(ISNUMBER(G460),ISNUMBER(L460)),(L460-G460),"")</f>
        <v/>
      </c>
      <c r="O460" s="10" t="n">
        <v>45671.42511574074</v>
      </c>
      <c r="P460" s="11">
        <f>IF(AND(ISNUMBER(I460),ISNUMBER(O460)),(I460-O460),"")</f>
        <v/>
      </c>
      <c r="Q460" s="12" t="inlineStr">
        <is>
          <t>WG 1012104 entered track and got coupled to WG 1011806, OBTP started on 10:28:24 finished on 11:15:39 and then left at 11:17:00</t>
        </is>
      </c>
    </row>
    <row r="461">
      <c r="A461" s="3" t="inlineStr">
        <is>
          <t>1012105</t>
        </is>
      </c>
      <c r="B461" s="3" t="inlineStr">
        <is>
          <t>10121</t>
        </is>
      </c>
      <c r="C461" s="9" t="n">
        <v>42</v>
      </c>
      <c r="D461" s="3" t="inlineStr">
        <is>
          <t>Neunkirchen (loading tracks)</t>
        </is>
      </c>
      <c r="E461" s="10" t="n">
        <v>45671.37755787037</v>
      </c>
      <c r="F461" s="10" t="n">
        <v>45671.40530092592</v>
      </c>
      <c r="G461" s="10" t="n">
        <v>45671.40706018519</v>
      </c>
      <c r="H461" s="3" t="inlineStr">
        <is>
          <t>OBT150125024833-Neunkirchen (loading tracks)</t>
        </is>
      </c>
      <c r="I461" s="10" t="n">
        <v>45672.11791666667</v>
      </c>
      <c r="J461" s="10" t="n">
        <v>45672.15417824074</v>
      </c>
      <c r="K461" s="10" t="n">
        <v>45672.15417824074</v>
      </c>
      <c r="L461" s="10" t="n">
        <v>45672.15517361111</v>
      </c>
      <c r="M461" s="11">
        <f>IF(AND(ISNUMBER(E461),ISNUMBER(G461)),(G461-E461),"")</f>
        <v/>
      </c>
      <c r="N461" s="11">
        <f>IF(AND(ISNUMBER(G461),ISNUMBER(L461)),(L461-G461),"")</f>
        <v/>
      </c>
      <c r="O461" s="10" t="n">
        <v>45671.42605324074</v>
      </c>
      <c r="P461" s="11">
        <f>IF(AND(ISNUMBER(I461),ISNUMBER(O461)),(I461-O461),"")</f>
        <v/>
      </c>
      <c r="Q461" s="12" t="inlineStr">
        <is>
          <t>WG 1012105 entered track and got secured then waited 16:35:02 for WG 1013201 to get coupled, OBTP started on 02:49:48 finished on 03:42:01 and then left at 03:43:27</t>
        </is>
      </c>
    </row>
    <row r="462">
      <c r="A462" s="3" t="inlineStr">
        <is>
          <t>1012106</t>
        </is>
      </c>
      <c r="B462" s="3" t="inlineStr">
        <is>
          <t>10121</t>
        </is>
      </c>
      <c r="C462" s="9" t="n">
        <v>15.74</v>
      </c>
      <c r="D462" s="3" t="inlineStr">
        <is>
          <t>Other sidings south</t>
        </is>
      </c>
      <c r="E462" s="10" t="n">
        <v>45671.37755787037</v>
      </c>
      <c r="F462" s="10" t="n">
        <v>45671.40706018519</v>
      </c>
      <c r="G462" s="10" t="n">
        <v>45671.40898148148</v>
      </c>
      <c r="H462" s="3" t="inlineStr">
        <is>
          <t>OBT150125025656-Other sidings south</t>
        </is>
      </c>
      <c r="I462" s="10" t="n">
        <v>45672.12370370371</v>
      </c>
      <c r="J462" s="10" t="n">
        <v>45672.15450231481</v>
      </c>
      <c r="K462" s="10" t="n">
        <v>45672.15517361111</v>
      </c>
      <c r="L462" s="10" t="n">
        <v>45672.15613425926</v>
      </c>
      <c r="M462" s="11">
        <f>IF(AND(ISNUMBER(E462),ISNUMBER(G462)),(G462-E462),"")</f>
        <v/>
      </c>
      <c r="N462" s="11">
        <f>IF(AND(ISNUMBER(G462),ISNUMBER(L462)),(L462-G462),"")</f>
        <v/>
      </c>
      <c r="O462" s="10" t="n">
        <v>45671.42783564814</v>
      </c>
      <c r="P462" s="11">
        <f>IF(AND(ISNUMBER(I462),ISNUMBER(O462)),(I462-O462),"")</f>
        <v/>
      </c>
      <c r="Q462" s="12" t="inlineStr">
        <is>
          <t>WG 1012106 entered track and got coupled to WG 1011603 then waited 16:40:51 for WG 1013204 to get coupled, OBTP started on 02:58:08 finished on 03:42:29 and then left at 03:44:50</t>
        </is>
      </c>
    </row>
    <row r="463">
      <c r="A463" s="3" t="inlineStr">
        <is>
          <t>1012107</t>
        </is>
      </c>
      <c r="B463" s="3" t="inlineStr">
        <is>
          <t>10121</t>
        </is>
      </c>
      <c r="C463" s="9" t="n">
        <v>19.9</v>
      </c>
      <c r="D463" s="3" t="inlineStr">
        <is>
          <t>Felixdorf/Sollenau (Bundesheer, Maba)</t>
        </is>
      </c>
      <c r="E463" s="10" t="n">
        <v>45671.37755787037</v>
      </c>
      <c r="F463" s="10" t="n">
        <v>45671.40898148148</v>
      </c>
      <c r="G463" s="10" t="n">
        <v>45671.41046296297</v>
      </c>
      <c r="H463" s="3" t="inlineStr">
        <is>
          <t>OBT140125153402-Felixdorf/Sollenau (Bundesheer, Maba)</t>
        </is>
      </c>
      <c r="I463" s="10" t="n">
        <v>45671.65034722222</v>
      </c>
      <c r="J463" s="10" t="n">
        <v>45671.6678125</v>
      </c>
      <c r="K463" s="10" t="n">
        <v>45671.6678125</v>
      </c>
      <c r="L463" s="10" t="n">
        <v>45671.66858796297</v>
      </c>
      <c r="M463" s="11">
        <f>IF(AND(ISNUMBER(E463),ISNUMBER(G463)),(G463-E463),"")</f>
        <v/>
      </c>
      <c r="N463" s="11">
        <f>IF(AND(ISNUMBER(G463),ISNUMBER(L463)),(L463-G463),"")</f>
        <v/>
      </c>
      <c r="O463" s="10" t="n">
        <v>45671.42697916667</v>
      </c>
      <c r="P463" s="11">
        <f>IF(AND(ISNUMBER(I463),ISNUMBER(O463)),(I463-O463),"")</f>
        <v/>
      </c>
      <c r="Q463" s="12" t="inlineStr">
        <is>
          <t>WG 1012107 entered track and got secured then waited 0:11:13 for WG 1012301 to get coupled then waited 5:07:58 for WG 1012602 to get coupled, OBTP started on 15:36:30 finished on 16:01:39 and then left at 16:02:46</t>
        </is>
      </c>
    </row>
    <row r="464">
      <c r="A464" s="3" t="inlineStr">
        <is>
          <t>1012108</t>
        </is>
      </c>
      <c r="B464" s="3" t="inlineStr">
        <is>
          <t>10121</t>
        </is>
      </c>
      <c r="C464" s="9" t="n">
        <v>16.5</v>
      </c>
      <c r="D464" s="3" t="inlineStr">
        <is>
          <t>Neudörfl (FunderMax)</t>
        </is>
      </c>
      <c r="E464" s="10" t="n">
        <v>45671.37755787037</v>
      </c>
      <c r="F464" s="10" t="n">
        <v>45671.41046296297</v>
      </c>
      <c r="G464" s="10" t="n">
        <v>45671.41159722222</v>
      </c>
      <c r="H464" s="3" t="inlineStr">
        <is>
          <t>OBT140125153802-Neudörfl (FunderMax)</t>
        </is>
      </c>
      <c r="I464" s="10" t="n">
        <v>45671.66950231481</v>
      </c>
      <c r="J464" s="10" t="n">
        <v>45671.69248842593</v>
      </c>
      <c r="K464" s="10" t="n">
        <v>45671.69248842593</v>
      </c>
      <c r="L464" s="10" t="n">
        <v>45671.69326388889</v>
      </c>
      <c r="M464" s="11">
        <f>IF(AND(ISNUMBER(E464),ISNUMBER(G464)),(G464-E464),"")</f>
        <v/>
      </c>
      <c r="N464" s="11">
        <f>IF(AND(ISNUMBER(G464),ISNUMBER(L464)),(L464-G464),"")</f>
        <v/>
      </c>
      <c r="O464" s="10" t="n">
        <v>45671.43177083333</v>
      </c>
      <c r="P464" s="11">
        <f>IF(AND(ISNUMBER(I464),ISNUMBER(O464)),(I464-O464),"")</f>
        <v/>
      </c>
      <c r="Q464" s="12" t="inlineStr">
        <is>
          <t>WG 1012108 entered track and got coupled to WG 1012102 then waited 5:16:17 for WG 1012604 to get coupled, OBTP started on 16:04:05 finished on 16:37:11 and then left at 16:38:18</t>
        </is>
      </c>
    </row>
    <row r="465">
      <c r="A465" s="3" t="inlineStr">
        <is>
          <t>1012109</t>
        </is>
      </c>
      <c r="B465" s="3" t="inlineStr">
        <is>
          <t>10121</t>
        </is>
      </c>
      <c r="C465" s="9" t="n">
        <v>14</v>
      </c>
      <c r="D465" s="3" t="inlineStr">
        <is>
          <t>Wr. Neustadt (Brenntag)</t>
        </is>
      </c>
      <c r="E465" s="10" t="n">
        <v>45671.37755787037</v>
      </c>
      <c r="F465" s="10" t="n">
        <v>45671.41159722222</v>
      </c>
      <c r="G465" s="10" t="n">
        <v>45671.41347222222</v>
      </c>
      <c r="H465" s="3" t="inlineStr">
        <is>
          <t>OBT140125102839-Wr. Neustadt (Brenntag)</t>
        </is>
      </c>
      <c r="I465" s="10" t="n">
        <v>45671.45956018518</v>
      </c>
      <c r="J465" s="10" t="n">
        <v>45671.47991898148</v>
      </c>
      <c r="K465" s="10" t="n">
        <v>45671.47991898148</v>
      </c>
      <c r="L465" s="10" t="n">
        <v>45671.4805787037</v>
      </c>
      <c r="M465" s="11">
        <f>IF(AND(ISNUMBER(E465),ISNUMBER(G465)),(G465-E465),"")</f>
        <v/>
      </c>
      <c r="N465" s="11">
        <f>IF(AND(ISNUMBER(G465),ISNUMBER(L465)),(L465-G465),"")</f>
        <v/>
      </c>
      <c r="O465" s="10" t="n">
        <v>45671.43457175926</v>
      </c>
      <c r="P465" s="11">
        <f>IF(AND(ISNUMBER(I465),ISNUMBER(O465)),(I465-O465),"")</f>
        <v/>
      </c>
      <c r="Q465" s="12" t="inlineStr">
        <is>
          <t>WG 1012109 entered track and got coupled to WG 1012103 then waited 0:02:52 for WG 1012113 to get coupled, OBTP started on 11:01:46 finished on 11:31:05 and then left at 11:32:02</t>
        </is>
      </c>
    </row>
    <row r="466">
      <c r="A466" s="3" t="inlineStr">
        <is>
          <t>1012110</t>
        </is>
      </c>
      <c r="B466" s="3" t="inlineStr">
        <is>
          <t>10121</t>
        </is>
      </c>
      <c r="C466" s="9" t="n">
        <v>31.48</v>
      </c>
      <c r="D466" s="3" t="inlineStr">
        <is>
          <t>Other sidings north</t>
        </is>
      </c>
      <c r="E466" s="10" t="n">
        <v>45671.37755787037</v>
      </c>
      <c r="F466" s="10" t="n">
        <v>45671.41347222222</v>
      </c>
      <c r="G466" s="10" t="n">
        <v>45671.41520833333</v>
      </c>
      <c r="H466" s="3" t="inlineStr">
        <is>
          <t>OBT140125101947-Other sidings north</t>
        </is>
      </c>
      <c r="I466" s="10" t="n">
        <v>45671.43829861111</v>
      </c>
      <c r="J466" s="10" t="n">
        <v>45671.45730324074</v>
      </c>
      <c r="K466" s="10" t="n">
        <v>45671.45730324074</v>
      </c>
      <c r="L466" s="10" t="n">
        <v>45671.45814814815</v>
      </c>
      <c r="M466" s="11">
        <f>IF(AND(ISNUMBER(E466),ISNUMBER(G466)),(G466-E466),"")</f>
        <v/>
      </c>
      <c r="N466" s="11">
        <f>IF(AND(ISNUMBER(G466),ISNUMBER(L466)),(L466-G466),"")</f>
        <v/>
      </c>
      <c r="O466" s="10" t="n">
        <v>45671.43040509259</v>
      </c>
      <c r="P466" s="11">
        <f>IF(AND(ISNUMBER(I466),ISNUMBER(O466)),(I466-O466),"")</f>
        <v/>
      </c>
      <c r="Q466" s="12" t="inlineStr">
        <is>
          <t>WG 1012110 entered track and got coupled to WG 1012101, OBTP started on 10:31:09 finished on 10:58:31 and then left at 10:59:44</t>
        </is>
      </c>
    </row>
    <row r="467">
      <c r="A467" s="3" t="inlineStr">
        <is>
          <t>1012111</t>
        </is>
      </c>
      <c r="B467" s="3" t="inlineStr">
        <is>
          <t>10121</t>
        </is>
      </c>
      <c r="C467" s="9" t="n">
        <v>31.48</v>
      </c>
      <c r="D467" s="3" t="inlineStr">
        <is>
          <t>Ebenfurth (beet loading)</t>
        </is>
      </c>
      <c r="E467" s="10" t="n">
        <v>45671.37755787037</v>
      </c>
      <c r="F467" s="10" t="n">
        <v>45671.41520833333</v>
      </c>
      <c r="G467" s="10" t="n">
        <v>45671.4169675926</v>
      </c>
      <c r="H467" s="3" t="inlineStr">
        <is>
          <t>OBT140125153639-Ebenfurth (beet loading)</t>
        </is>
      </c>
      <c r="I467" s="10" t="n">
        <v>45671.65310185185</v>
      </c>
      <c r="J467" s="10" t="n">
        <v>45671.67769675926</v>
      </c>
      <c r="K467" s="10" t="n">
        <v>45671.67769675926</v>
      </c>
      <c r="L467" s="10" t="n">
        <v>45671.67856481481</v>
      </c>
      <c r="M467" s="11">
        <f>IF(AND(ISNUMBER(E467),ISNUMBER(G467)),(G467-E467),"")</f>
        <v/>
      </c>
      <c r="N467" s="11">
        <f>IF(AND(ISNUMBER(G467),ISNUMBER(L467)),(L467-G467),"")</f>
        <v/>
      </c>
      <c r="O467" s="10" t="n">
        <v>45671.42984953704</v>
      </c>
      <c r="P467" s="11">
        <f>IF(AND(ISNUMBER(I467),ISNUMBER(O467)),(I467-O467),"")</f>
        <v/>
      </c>
      <c r="Q467" s="12" t="inlineStr">
        <is>
          <t>WG 1012111 entered track and got coupled to WG 1011105 then waited 5:17:40 for WG 1012603 to get coupled, OBTP started on 15:40:28 finished on 16:15:53 and then left at 16:17:08</t>
        </is>
      </c>
    </row>
    <row r="468">
      <c r="A468" s="3" t="inlineStr">
        <is>
          <t>1012112</t>
        </is>
      </c>
      <c r="B468" s="3" t="inlineStr">
        <is>
          <t>10121</t>
        </is>
      </c>
      <c r="C468" s="9" t="n">
        <v>233.14</v>
      </c>
      <c r="D468" s="3" t="inlineStr">
        <is>
          <t>Pitten (Hamburger)</t>
        </is>
      </c>
      <c r="E468" s="10" t="n">
        <v>45671.37755787037</v>
      </c>
      <c r="F468" s="10" t="n">
        <v>45671.4169675926</v>
      </c>
      <c r="G468" s="10" t="n">
        <v>45671.41883101852</v>
      </c>
      <c r="H468" s="3" t="inlineStr">
        <is>
          <t>OBT140125102734-Pitten (Hamburger)</t>
        </is>
      </c>
      <c r="I468" s="10" t="n">
        <v>45671.45903935185</v>
      </c>
      <c r="J468" s="10" t="n">
        <v>45671.57219907407</v>
      </c>
      <c r="K468" s="10" t="n">
        <v>45671.57219907407</v>
      </c>
      <c r="L468" s="10" t="n">
        <v>45671.57418981481</v>
      </c>
      <c r="M468" s="11">
        <f>IF(AND(ISNUMBER(E468),ISNUMBER(G468)),(G468-E468),"")</f>
        <v/>
      </c>
      <c r="N468" s="11">
        <f>IF(AND(ISNUMBER(G468),ISNUMBER(L468)),(L468-G468),"")</f>
        <v/>
      </c>
      <c r="O468" s="10" t="n">
        <v>45671.43105324074</v>
      </c>
      <c r="P468" s="11">
        <f>IF(AND(ISNUMBER(I468),ISNUMBER(O468)),(I468-O468),"")</f>
        <v/>
      </c>
      <c r="Q468" s="12" t="inlineStr">
        <is>
          <t>WG 1012112 entered track and got secured then waited 0:06:51 for WG 1012302 to get coupled, OBTP started on 11:01:01 finished on 13:43:58 and then left at 13:46:50</t>
        </is>
      </c>
    </row>
    <row r="469">
      <c r="A469" s="3" t="inlineStr">
        <is>
          <t>1012113</t>
        </is>
      </c>
      <c r="B469" s="3" t="inlineStr">
        <is>
          <t>10121</t>
        </is>
      </c>
      <c r="C469" s="9" t="n">
        <v>15.74</v>
      </c>
      <c r="D469" s="3" t="inlineStr">
        <is>
          <t>Gloggnitz</t>
        </is>
      </c>
      <c r="E469" s="10" t="n">
        <v>45671.37755787037</v>
      </c>
      <c r="F469" s="10" t="n">
        <v>45671.41883101852</v>
      </c>
      <c r="G469" s="10" t="n">
        <v>45671.42071759259</v>
      </c>
      <c r="H469" s="3" t="inlineStr">
        <is>
          <t>OBT140125102839-Wr. Neustadt (Brenntag)</t>
        </is>
      </c>
      <c r="I469" s="10" t="n">
        <v>45671.45956018518</v>
      </c>
      <c r="J469" s="10" t="n">
        <v>45671.47991898148</v>
      </c>
      <c r="K469" s="10" t="n">
        <v>45671.47991898148</v>
      </c>
      <c r="L469" s="10" t="n">
        <v>45671.4805787037</v>
      </c>
      <c r="M469" s="11">
        <f>IF(AND(ISNUMBER(E469),ISNUMBER(G469)),(G469-E469),"")</f>
        <v/>
      </c>
      <c r="N469" s="11">
        <f>IF(AND(ISNUMBER(G469),ISNUMBER(L469)),(L469-G469),"")</f>
        <v/>
      </c>
      <c r="O469" s="10" t="n">
        <v>45671.4365625</v>
      </c>
      <c r="P469" s="11">
        <f>IF(AND(ISNUMBER(I469),ISNUMBER(O469)),(I469-O469),"")</f>
        <v/>
      </c>
      <c r="Q469" s="12" t="inlineStr">
        <is>
          <t>WG 1012113 entered track and got coupled to WG 1012109, OBTP started on 11:01:46 finished on 11:31:05 and then left at 11:32:02</t>
        </is>
      </c>
    </row>
    <row r="470">
      <c r="A470" s="3" t="inlineStr">
        <is>
          <t>1012201</t>
        </is>
      </c>
      <c r="B470" s="3" t="inlineStr">
        <is>
          <t>10122</t>
        </is>
      </c>
      <c r="C470" s="9" t="n">
        <v>56.3</v>
      </c>
      <c r="D470" s="3" t="inlineStr">
        <is>
          <t>St. Veit an der Glan</t>
        </is>
      </c>
      <c r="E470" s="10" t="n">
        <v>45671.3806712963</v>
      </c>
      <c r="F470" s="10" t="n">
        <v>45671.38922453704</v>
      </c>
      <c r="G470" s="10" t="n">
        <v>45671.39123842592</v>
      </c>
      <c r="H470" s="3" t="inlineStr">
        <is>
          <t>OBT140125093437-St. Veit an der Glan</t>
        </is>
      </c>
      <c r="I470" s="10" t="n">
        <v>45671.40067129629</v>
      </c>
      <c r="J470" s="10" t="n">
        <v>45671.42309027778</v>
      </c>
      <c r="K470" s="10" t="n">
        <v>45671.42309027778</v>
      </c>
      <c r="L470" s="10" t="n">
        <v>45671.42376157407</v>
      </c>
      <c r="M470" s="11">
        <f>IF(AND(ISNUMBER(E470),ISNUMBER(G470)),(G470-E470),"")</f>
        <v/>
      </c>
      <c r="N470" s="11">
        <f>IF(AND(ISNUMBER(G470),ISNUMBER(L470)),(L470-G470),"")</f>
        <v/>
      </c>
      <c r="O470" s="10" t="n">
        <v>45671.39341435185</v>
      </c>
      <c r="P470" s="11">
        <f>IF(AND(ISNUMBER(I470),ISNUMBER(O470)),(I470-O470),"")</f>
        <v/>
      </c>
      <c r="Q470" s="12" t="inlineStr">
        <is>
          <t>WG 1012201 entered track and got secured then waited 0:08:06 for WG 1012203 to get coupled, OBTP started on 09:36:58 finished on 10:09:15 and then left at 10:10:13</t>
        </is>
      </c>
    </row>
    <row r="471">
      <c r="A471" s="3" t="inlineStr">
        <is>
          <t>1012202</t>
        </is>
      </c>
      <c r="B471" s="3" t="inlineStr">
        <is>
          <t>10122</t>
        </is>
      </c>
      <c r="C471" s="9" t="n">
        <v>264.8</v>
      </c>
      <c r="D471" s="3" t="inlineStr">
        <is>
          <t>Wien Kledering</t>
        </is>
      </c>
      <c r="E471" s="10" t="n">
        <v>45671.3806712963</v>
      </c>
      <c r="F471" s="10" t="n">
        <v>45671.39123842592</v>
      </c>
      <c r="G471" s="10" t="n">
        <v>45671.39342592593</v>
      </c>
      <c r="H471" s="3" t="inlineStr">
        <is>
          <t>OBT140125093209-Obereggendorf (Hofer)</t>
        </is>
      </c>
      <c r="I471" s="10" t="n">
        <v>45671.39819444445</v>
      </c>
      <c r="J471" s="10" t="n">
        <v>45671.45782407407</v>
      </c>
      <c r="K471" s="10" t="n">
        <v>45671.45814814815</v>
      </c>
      <c r="L471" s="10" t="n">
        <v>45671.45953703704</v>
      </c>
      <c r="M471" s="11">
        <f>IF(AND(ISNUMBER(E471),ISNUMBER(G471)),(G471-E471),"")</f>
        <v/>
      </c>
      <c r="N471" s="11">
        <f>IF(AND(ISNUMBER(G471),ISNUMBER(L471)),(L471-G471),"")</f>
        <v/>
      </c>
      <c r="O471" s="10" t="n">
        <v>45671.39732638889</v>
      </c>
      <c r="P471" s="11">
        <f>IF(AND(ISNUMBER(I471),ISNUMBER(O471)),(I471-O471),"")</f>
        <v/>
      </c>
      <c r="Q471" s="12" t="inlineStr">
        <is>
          <t>WG 1012202 entered track and got coupled to WG 1011103, OBTP started on 09:33:24 finished on 10:59:16 and then left at 11:01:44</t>
        </is>
      </c>
    </row>
    <row r="472">
      <c r="A472" s="3" t="inlineStr">
        <is>
          <t>1012203</t>
        </is>
      </c>
      <c r="B472" s="3" t="inlineStr">
        <is>
          <t>10122</t>
        </is>
      </c>
      <c r="C472" s="9" t="n">
        <v>72.8</v>
      </c>
      <c r="D472" s="3" t="inlineStr">
        <is>
          <t>St. Veit an der Glan</t>
        </is>
      </c>
      <c r="E472" s="10" t="n">
        <v>45671.3806712963</v>
      </c>
      <c r="F472" s="10" t="n">
        <v>45671.39342592593</v>
      </c>
      <c r="G472" s="10" t="n">
        <v>45671.39546296297</v>
      </c>
      <c r="H472" s="3" t="inlineStr">
        <is>
          <t>OBT140125093437-St. Veit an der Glan</t>
        </is>
      </c>
      <c r="I472" s="10" t="n">
        <v>45671.40067129629</v>
      </c>
      <c r="J472" s="10" t="n">
        <v>45671.42309027778</v>
      </c>
      <c r="K472" s="10" t="n">
        <v>45671.42309027778</v>
      </c>
      <c r="L472" s="10" t="n">
        <v>45671.42376157407</v>
      </c>
      <c r="M472" s="11">
        <f>IF(AND(ISNUMBER(E472),ISNUMBER(G472)),(G472-E472),"")</f>
        <v/>
      </c>
      <c r="N472" s="11">
        <f>IF(AND(ISNUMBER(G472),ISNUMBER(L472)),(L472-G472),"")</f>
        <v/>
      </c>
      <c r="O472" s="10" t="n">
        <v>45671.39903935185</v>
      </c>
      <c r="P472" s="11">
        <f>IF(AND(ISNUMBER(I472),ISNUMBER(O472)),(I472-O472),"")</f>
        <v/>
      </c>
      <c r="Q472" s="12" t="inlineStr">
        <is>
          <t>WG 1012203 entered track and got coupled to WG 1012201, OBTP started on 09:36:58 finished on 10:09:15 and then left at 10:10:13</t>
        </is>
      </c>
    </row>
    <row r="473">
      <c r="A473" s="3" t="inlineStr">
        <is>
          <t>1012301</t>
        </is>
      </c>
      <c r="B473" s="3" t="inlineStr">
        <is>
          <t>10123</t>
        </is>
      </c>
      <c r="C473" s="9" t="n">
        <v>21</v>
      </c>
      <c r="D473" s="3" t="inlineStr">
        <is>
          <t>St. Veit an der Glan</t>
        </is>
      </c>
      <c r="E473" s="10" t="n">
        <v>45671.41185185185</v>
      </c>
      <c r="F473" s="10" t="n">
        <v>45671.42158564815</v>
      </c>
      <c r="G473" s="10" t="n">
        <v>45671.42310185185</v>
      </c>
      <c r="H473" s="3" t="inlineStr">
        <is>
          <t>OBT140125153402-Felixdorf/Sollenau (Bundesheer, Maba)</t>
        </is>
      </c>
      <c r="I473" s="10" t="n">
        <v>45671.65034722222</v>
      </c>
      <c r="J473" s="10" t="n">
        <v>45671.6678125</v>
      </c>
      <c r="K473" s="10" t="n">
        <v>45671.6678125</v>
      </c>
      <c r="L473" s="10" t="n">
        <v>45671.66858796297</v>
      </c>
      <c r="M473" s="11">
        <f>IF(AND(ISNUMBER(E473),ISNUMBER(G473)),(G473-E473),"")</f>
        <v/>
      </c>
      <c r="N473" s="11">
        <f>IF(AND(ISNUMBER(G473),ISNUMBER(L473)),(L473-G473),"")</f>
        <v/>
      </c>
      <c r="O473" s="10" t="n">
        <v>45671.43476851852</v>
      </c>
      <c r="P473" s="11">
        <f>IF(AND(ISNUMBER(I473),ISNUMBER(O473)),(I473-O473),"")</f>
        <v/>
      </c>
      <c r="Q473" s="12" t="inlineStr">
        <is>
          <t>WG 1012301 entered track and got coupled to WG 1012107 then waited 5:07:58 for WG 1012602 to get coupled, OBTP started on 15:36:30 finished on 16:01:39 and then left at 16:02:46</t>
        </is>
      </c>
    </row>
    <row r="474">
      <c r="A474" s="3" t="inlineStr">
        <is>
          <t>1012302</t>
        </is>
      </c>
      <c r="B474" s="3" t="inlineStr">
        <is>
          <t>10123</t>
        </is>
      </c>
      <c r="C474" s="9" t="n">
        <v>418.66</v>
      </c>
      <c r="D474" s="3" t="inlineStr">
        <is>
          <t>Wien Kledering</t>
        </is>
      </c>
      <c r="E474" s="10" t="n">
        <v>45671.41185185185</v>
      </c>
      <c r="F474" s="10" t="n">
        <v>45671.42310185185</v>
      </c>
      <c r="G474" s="10" t="n">
        <v>45671.42541666667</v>
      </c>
      <c r="H474" s="3" t="inlineStr">
        <is>
          <t>OBT140125102734-Pitten (Hamburger)</t>
        </is>
      </c>
      <c r="I474" s="10" t="n">
        <v>45671.45903935185</v>
      </c>
      <c r="J474" s="10" t="n">
        <v>45671.57219907407</v>
      </c>
      <c r="K474" s="10" t="n">
        <v>45671.57219907407</v>
      </c>
      <c r="L474" s="10" t="n">
        <v>45671.57418981481</v>
      </c>
      <c r="M474" s="11">
        <f>IF(AND(ISNUMBER(E474),ISNUMBER(G474)),(G474-E474),"")</f>
        <v/>
      </c>
      <c r="N474" s="11">
        <f>IF(AND(ISNUMBER(G474),ISNUMBER(L474)),(L474-G474),"")</f>
        <v/>
      </c>
      <c r="O474" s="10" t="n">
        <v>45671.43581018518</v>
      </c>
      <c r="P474" s="11">
        <f>IF(AND(ISNUMBER(I474),ISNUMBER(O474)),(I474-O474),"")</f>
        <v/>
      </c>
      <c r="Q474" s="12" t="inlineStr">
        <is>
          <t>WG 1012302 entered track and got coupled to WG 1012112, OBTP started on 11:01:01 finished on 13:43:58 and then left at 13:46:50</t>
        </is>
      </c>
    </row>
    <row r="475">
      <c r="A475" s="3" t="inlineStr">
        <is>
          <t>1012401</t>
        </is>
      </c>
      <c r="B475" s="3" t="inlineStr">
        <is>
          <t>10124</t>
        </is>
      </c>
      <c r="C475" s="9" t="n">
        <v>297.8</v>
      </c>
      <c r="D475" s="3" t="inlineStr">
        <is>
          <t>Wien Kledering</t>
        </is>
      </c>
      <c r="E475" s="10" t="n">
        <v>45671.53768518518</v>
      </c>
      <c r="F475" s="10" t="n">
        <v>45671.54380787037</v>
      </c>
      <c r="G475" s="10" t="n">
        <v>45671.54584490741</v>
      </c>
      <c r="H475" s="3" t="inlineStr">
        <is>
          <t>OBT140125130928-Wien Kledering</t>
        </is>
      </c>
      <c r="I475" s="10" t="n">
        <v>45671.54907407407</v>
      </c>
      <c r="J475" s="10" t="n">
        <v>45671.60077546296</v>
      </c>
      <c r="K475" s="10" t="n">
        <v>45671.60077546296</v>
      </c>
      <c r="L475" s="10" t="n">
        <v>45671.60194444445</v>
      </c>
      <c r="M475" s="11">
        <f>IF(AND(ISNUMBER(E475),ISNUMBER(G475)),(G475-E475),"")</f>
        <v/>
      </c>
      <c r="N475" s="11">
        <f>IF(AND(ISNUMBER(G475),ISNUMBER(L475)),(L475-G475),"")</f>
        <v/>
      </c>
      <c r="O475" s="10" t="n">
        <v>45671.54824074074</v>
      </c>
      <c r="P475" s="11">
        <f>IF(AND(ISNUMBER(I475),ISNUMBER(O475)),(I475-O475),"")</f>
        <v/>
      </c>
      <c r="Q475" s="12" t="inlineStr">
        <is>
          <t>WG 1012401 entered track and got secured, OBTP started on 13:10:40 finished on 14:25:07 and then left at 14:26:48</t>
        </is>
      </c>
    </row>
    <row r="476">
      <c r="A476" s="3" t="inlineStr">
        <is>
          <t>1012501</t>
        </is>
      </c>
      <c r="B476" s="3" t="inlineStr">
        <is>
          <t>10125</t>
        </is>
      </c>
      <c r="C476" s="9" t="n">
        <v>225.64</v>
      </c>
      <c r="D476" s="3" t="inlineStr">
        <is>
          <t>Wien Kledering</t>
        </is>
      </c>
      <c r="E476" s="10" t="n">
        <v>45671.60172453704</v>
      </c>
      <c r="F476" s="10" t="n">
        <v>45671.60715277777</v>
      </c>
      <c r="G476" s="10" t="n">
        <v>45671.60902777778</v>
      </c>
      <c r="H476" s="3" t="inlineStr">
        <is>
          <t>OBT140125144027-Wien Kledering</t>
        </is>
      </c>
      <c r="I476" s="10" t="n">
        <v>45671.61225694444</v>
      </c>
      <c r="J476" s="10" t="n">
        <v>45671.65143518519</v>
      </c>
      <c r="K476" s="10" t="n">
        <v>45671.65143518519</v>
      </c>
      <c r="L476" s="10" t="n">
        <v>45671.65244212963</v>
      </c>
      <c r="M476" s="11">
        <f>IF(AND(ISNUMBER(E476),ISNUMBER(G476)),(G476-E476),"")</f>
        <v/>
      </c>
      <c r="N476" s="11">
        <f>IF(AND(ISNUMBER(G476),ISNUMBER(L476)),(L476-G476),"")</f>
        <v/>
      </c>
      <c r="O476" s="10" t="n">
        <v>45671.61142361111</v>
      </c>
      <c r="P476" s="11">
        <f>IF(AND(ISNUMBER(I476),ISNUMBER(O476)),(I476-O476),"")</f>
        <v/>
      </c>
      <c r="Q476" s="12" t="inlineStr">
        <is>
          <t>WG 1012501 entered track and got secured, OBTP started on 14:41:39 finished on 15:38:04 and then left at 15:39:31</t>
        </is>
      </c>
    </row>
    <row r="477">
      <c r="A477" s="3" t="inlineStr">
        <is>
          <t>1012601</t>
        </is>
      </c>
      <c r="B477" s="3" t="inlineStr">
        <is>
          <t>10126</t>
        </is>
      </c>
      <c r="C477" s="9" t="n">
        <v>19.9</v>
      </c>
      <c r="D477" s="3" t="inlineStr">
        <is>
          <t>Ternitz (Schoeller-Bleckmann)</t>
        </is>
      </c>
      <c r="E477" s="10" t="n">
        <v>45671.62229166667</v>
      </c>
      <c r="F477" s="10" t="n">
        <v>45671.64189814815</v>
      </c>
      <c r="G477" s="10" t="n">
        <v>45671.64315972223</v>
      </c>
      <c r="H477" s="3" t="inlineStr">
        <is>
          <t>OBT140125181642-Ternitz (Schoeller-Bleckmann)</t>
        </is>
      </c>
      <c r="I477" s="10" t="n">
        <v>45671.77672453703</v>
      </c>
      <c r="J477" s="10" t="n">
        <v>45671.79472222222</v>
      </c>
      <c r="K477" s="10" t="n">
        <v>45671.79472222222</v>
      </c>
      <c r="L477" s="10" t="n">
        <v>45671.79550925926</v>
      </c>
      <c r="M477" s="11">
        <f>IF(AND(ISNUMBER(E477),ISNUMBER(G477)),(G477-E477),"")</f>
        <v/>
      </c>
      <c r="N477" s="11">
        <f>IF(AND(ISNUMBER(G477),ISNUMBER(L477)),(L477-G477),"")</f>
        <v/>
      </c>
      <c r="O477" s="10" t="n">
        <v>45671.64708333334</v>
      </c>
      <c r="P477" s="11">
        <f>IF(AND(ISNUMBER(I477),ISNUMBER(O477)),(I477-O477),"")</f>
        <v/>
      </c>
      <c r="Q477" s="12" t="inlineStr">
        <is>
          <t>WG 1012601 entered track and got coupled to WG 1011805 then waited 0:16:47 for WG 1012608 to get coupled then waited 2:28:07 for WG 1012903 to get coupled, OBTP started on 18:38:29 finished on 19:04:24 and then left at 19:05:32</t>
        </is>
      </c>
    </row>
    <row r="478">
      <c r="A478" s="3" t="inlineStr">
        <is>
          <t>1012602</t>
        </is>
      </c>
      <c r="B478" s="3" t="inlineStr">
        <is>
          <t>10126</t>
        </is>
      </c>
      <c r="C478" s="9" t="n">
        <v>59.7</v>
      </c>
      <c r="D478" s="3" t="inlineStr">
        <is>
          <t>Felixdorf/Sollenau (Bundesheer, Maba)</t>
        </is>
      </c>
      <c r="E478" s="10" t="n">
        <v>45671.62229166667</v>
      </c>
      <c r="F478" s="10" t="n">
        <v>45671.64315972223</v>
      </c>
      <c r="G478" s="10" t="n">
        <v>45671.6447337963</v>
      </c>
      <c r="H478" s="3" t="inlineStr">
        <is>
          <t>OBT140125153402-Felixdorf/Sollenau (Bundesheer, Maba)</t>
        </is>
      </c>
      <c r="I478" s="10" t="n">
        <v>45671.65034722222</v>
      </c>
      <c r="J478" s="10" t="n">
        <v>45671.6678125</v>
      </c>
      <c r="K478" s="10" t="n">
        <v>45671.6678125</v>
      </c>
      <c r="L478" s="10" t="n">
        <v>45671.66858796297</v>
      </c>
      <c r="M478" s="11">
        <f>IF(AND(ISNUMBER(E478),ISNUMBER(G478)),(G478-E478),"")</f>
        <v/>
      </c>
      <c r="N478" s="11">
        <f>IF(AND(ISNUMBER(G478),ISNUMBER(L478)),(L478-G478),"")</f>
        <v/>
      </c>
      <c r="O478" s="10" t="n">
        <v>45671.64863425926</v>
      </c>
      <c r="P478" s="11">
        <f>IF(AND(ISNUMBER(I478),ISNUMBER(O478)),(I478-O478),"")</f>
        <v/>
      </c>
      <c r="Q478" s="12" t="inlineStr">
        <is>
          <t>WG 1012602 entered track and got coupled to WG 1012301, OBTP started on 15:36:30 finished on 16:01:39 and then left at 16:02:46</t>
        </is>
      </c>
    </row>
    <row r="479">
      <c r="A479" s="3" t="inlineStr">
        <is>
          <t>1012603</t>
        </is>
      </c>
      <c r="B479" s="3" t="inlineStr">
        <is>
          <t>10126</t>
        </is>
      </c>
      <c r="C479" s="9" t="n">
        <v>47.22</v>
      </c>
      <c r="D479" s="3" t="inlineStr">
        <is>
          <t>Ebenfurth (beet loading)</t>
        </is>
      </c>
      <c r="E479" s="10" t="n">
        <v>45671.62229166667</v>
      </c>
      <c r="F479" s="10" t="n">
        <v>45671.6447337963</v>
      </c>
      <c r="G479" s="10" t="n">
        <v>45671.64652777778</v>
      </c>
      <c r="H479" s="3" t="inlineStr">
        <is>
          <t>OBT140125153639-Ebenfurth (beet loading)</t>
        </is>
      </c>
      <c r="I479" s="10" t="n">
        <v>45671.65310185185</v>
      </c>
      <c r="J479" s="10" t="n">
        <v>45671.67769675926</v>
      </c>
      <c r="K479" s="10" t="n">
        <v>45671.67769675926</v>
      </c>
      <c r="L479" s="10" t="n">
        <v>45671.67856481481</v>
      </c>
      <c r="M479" s="11">
        <f>IF(AND(ISNUMBER(E479),ISNUMBER(G479)),(G479-E479),"")</f>
        <v/>
      </c>
      <c r="N479" s="11">
        <f>IF(AND(ISNUMBER(G479),ISNUMBER(L479)),(L479-G479),"")</f>
        <v/>
      </c>
      <c r="O479" s="10" t="n">
        <v>45671.65045138889</v>
      </c>
      <c r="P479" s="11">
        <f>IF(AND(ISNUMBER(I479),ISNUMBER(O479)),(I479-O479),"")</f>
        <v/>
      </c>
      <c r="Q479" s="12" t="inlineStr">
        <is>
          <t>WG 1012603 entered track and got coupled to WG 1012111, OBTP started on 15:40:28 finished on 16:15:53 and then left at 16:17:08</t>
        </is>
      </c>
    </row>
    <row r="480">
      <c r="A480" s="3" t="inlineStr">
        <is>
          <t>1012604</t>
        </is>
      </c>
      <c r="B480" s="3" t="inlineStr">
        <is>
          <t>10126</t>
        </is>
      </c>
      <c r="C480" s="9" t="n">
        <v>96</v>
      </c>
      <c r="D480" s="3" t="inlineStr">
        <is>
          <t>Neudörfl (FunderMax)</t>
        </is>
      </c>
      <c r="E480" s="10" t="n">
        <v>45671.62229166667</v>
      </c>
      <c r="F480" s="10" t="n">
        <v>45671.64652777778</v>
      </c>
      <c r="G480" s="10" t="n">
        <v>45671.64784722222</v>
      </c>
      <c r="H480" s="3" t="inlineStr">
        <is>
          <t>OBT140125153802-Neudörfl (FunderMax)</t>
        </is>
      </c>
      <c r="I480" s="10" t="n">
        <v>45671.66950231481</v>
      </c>
      <c r="J480" s="10" t="n">
        <v>45671.69248842593</v>
      </c>
      <c r="K480" s="10" t="n">
        <v>45671.69248842593</v>
      </c>
      <c r="L480" s="10" t="n">
        <v>45671.69326388889</v>
      </c>
      <c r="M480" s="11">
        <f>IF(AND(ISNUMBER(E480),ISNUMBER(G480)),(G480-E480),"")</f>
        <v/>
      </c>
      <c r="N480" s="11">
        <f>IF(AND(ISNUMBER(G480),ISNUMBER(L480)),(L480-G480),"")</f>
        <v/>
      </c>
      <c r="O480" s="10" t="n">
        <v>45671.65141203703</v>
      </c>
      <c r="P480" s="11">
        <f>IF(AND(ISNUMBER(I480),ISNUMBER(O480)),(I480-O480),"")</f>
        <v/>
      </c>
      <c r="Q480" s="12" t="inlineStr">
        <is>
          <t>WG 1012604 entered track and got coupled to WG 1012108, OBTP started on 16:04:05 finished on 16:37:11 and then left at 16:38:18</t>
        </is>
      </c>
    </row>
    <row r="481">
      <c r="A481" s="3" t="inlineStr">
        <is>
          <t>1012605</t>
        </is>
      </c>
      <c r="B481" s="3" t="inlineStr">
        <is>
          <t>10126</t>
        </is>
      </c>
      <c r="C481" s="9" t="n">
        <v>15.74</v>
      </c>
      <c r="D481" s="3" t="inlineStr">
        <is>
          <t>Gloggnitz</t>
        </is>
      </c>
      <c r="E481" s="10" t="n">
        <v>45671.62229166667</v>
      </c>
      <c r="F481" s="10" t="n">
        <v>45671.64784722222</v>
      </c>
      <c r="G481" s="10" t="n">
        <v>45671.64973379629</v>
      </c>
      <c r="H481" s="3" t="inlineStr">
        <is>
          <t>OBT140125155553-Gloggnitz</t>
        </is>
      </c>
      <c r="I481" s="10" t="n">
        <v>45671.679375</v>
      </c>
      <c r="J481" s="10" t="n">
        <v>45671.70358796296</v>
      </c>
      <c r="K481" s="10" t="n">
        <v>45671.70358796296</v>
      </c>
      <c r="L481" s="10" t="n">
        <v>45671.70430555556</v>
      </c>
      <c r="M481" s="11">
        <f>IF(AND(ISNUMBER(E481),ISNUMBER(G481)),(G481-E481),"")</f>
        <v/>
      </c>
      <c r="N481" s="11">
        <f>IF(AND(ISNUMBER(G481),ISNUMBER(L481)),(L481-G481),"")</f>
        <v/>
      </c>
      <c r="O481" s="10" t="n">
        <v>45671.65371527777</v>
      </c>
      <c r="P481" s="11">
        <f>IF(AND(ISNUMBER(I481),ISNUMBER(O481)),(I481-O481),"")</f>
        <v/>
      </c>
      <c r="Q481" s="12" t="inlineStr">
        <is>
          <t>WG 1012605 entered track and got secured then waited 0:06:54 for WG 1012607 to get coupled then waited 0:06:54 for WG 1012609 to get coupled then waited 0:00:44 for WG 1012610 to get coupled, OBTP started on 16:18:18 finished on 16:53:10 and then left at 16:54:12</t>
        </is>
      </c>
    </row>
    <row r="482">
      <c r="A482" s="3" t="inlineStr">
        <is>
          <t>1012606</t>
        </is>
      </c>
      <c r="B482" s="3" t="inlineStr">
        <is>
          <t>10126</t>
        </is>
      </c>
      <c r="C482" s="9" t="n">
        <v>163.42</v>
      </c>
      <c r="D482" s="3" t="inlineStr">
        <is>
          <t>Pitten (Hamburger)</t>
        </is>
      </c>
      <c r="E482" s="10" t="n">
        <v>45671.62229166667</v>
      </c>
      <c r="F482" s="10" t="n">
        <v>45671.64973379629</v>
      </c>
      <c r="G482" s="10" t="n">
        <v>45671.65131944444</v>
      </c>
      <c r="H482" s="3" t="inlineStr">
        <is>
          <t>OBT140125154219-Pitten (Hamburger)</t>
        </is>
      </c>
      <c r="I482" s="10" t="n">
        <v>45671.6715625</v>
      </c>
      <c r="J482" s="10" t="n">
        <v>45671.69993055556</v>
      </c>
      <c r="K482" s="10" t="n">
        <v>45671.69993055556</v>
      </c>
      <c r="L482" s="10" t="n">
        <v>45671.70074074074</v>
      </c>
      <c r="M482" s="11">
        <f>IF(AND(ISNUMBER(E482),ISNUMBER(G482)),(G482-E482),"")</f>
        <v/>
      </c>
      <c r="N482" s="11">
        <f>IF(AND(ISNUMBER(G482),ISNUMBER(L482)),(L482-G482),"")</f>
        <v/>
      </c>
      <c r="O482" s="10" t="n">
        <v>45671.65438657408</v>
      </c>
      <c r="P482" s="11">
        <f>IF(AND(ISNUMBER(I482),ISNUMBER(O482)),(I482-O482),"")</f>
        <v/>
      </c>
      <c r="Q482" s="12" t="inlineStr">
        <is>
          <t>WG 1012606 entered track and got secured, OBTP started on 16:07:03 finished on 16:47:54 and then left at 16:49:04</t>
        </is>
      </c>
    </row>
    <row r="483">
      <c r="A483" s="3" t="inlineStr">
        <is>
          <t>1012607</t>
        </is>
      </c>
      <c r="B483" s="3" t="inlineStr">
        <is>
          <t>10126</t>
        </is>
      </c>
      <c r="C483" s="9" t="n">
        <v>27</v>
      </c>
      <c r="D483" s="3" t="inlineStr">
        <is>
          <t>Wr. Neustadt (Hödlmayr)</t>
        </is>
      </c>
      <c r="E483" s="10" t="n">
        <v>45671.62229166667</v>
      </c>
      <c r="F483" s="10" t="n">
        <v>45671.65131944444</v>
      </c>
      <c r="G483" s="10" t="n">
        <v>45671.65322916667</v>
      </c>
      <c r="H483" s="3" t="inlineStr">
        <is>
          <t>OBT140125155553-Gloggnitz</t>
        </is>
      </c>
      <c r="I483" s="10" t="n">
        <v>45671.679375</v>
      </c>
      <c r="J483" s="10" t="n">
        <v>45671.70358796296</v>
      </c>
      <c r="K483" s="10" t="n">
        <v>45671.70358796296</v>
      </c>
      <c r="L483" s="10" t="n">
        <v>45671.70430555556</v>
      </c>
      <c r="M483" s="11">
        <f>IF(AND(ISNUMBER(E483),ISNUMBER(G483)),(G483-E483),"")</f>
        <v/>
      </c>
      <c r="N483" s="11">
        <f>IF(AND(ISNUMBER(G483),ISNUMBER(L483)),(L483-G483),"")</f>
        <v/>
      </c>
      <c r="O483" s="10" t="n">
        <v>45671.65850694444</v>
      </c>
      <c r="P483" s="11">
        <f>IF(AND(ISNUMBER(I483),ISNUMBER(O483)),(I483-O483),"")</f>
        <v/>
      </c>
      <c r="Q483" s="12" t="inlineStr">
        <is>
          <t>WG 1012607 entered track and got coupled to WG 1012605 then waited 0:06:54 for WG 1012609 to get coupled then waited 0:00:44 for WG 1012610 to get coupled, OBTP started on 16:18:18 finished on 16:53:10 and then left at 16:54:12</t>
        </is>
      </c>
    </row>
    <row r="484">
      <c r="A484" s="3" t="inlineStr">
        <is>
          <t>1012608</t>
        </is>
      </c>
      <c r="B484" s="3" t="inlineStr">
        <is>
          <t>10126</t>
        </is>
      </c>
      <c r="C484" s="9" t="n">
        <v>19.9</v>
      </c>
      <c r="D484" s="3" t="inlineStr">
        <is>
          <t>Ternitz (Schoeller-Bleckmann)</t>
        </is>
      </c>
      <c r="E484" s="10" t="n">
        <v>45671.62229166667</v>
      </c>
      <c r="F484" s="10" t="n">
        <v>45671.65322916667</v>
      </c>
      <c r="G484" s="10" t="n">
        <v>45671.65449074074</v>
      </c>
      <c r="H484" s="3" t="inlineStr">
        <is>
          <t>OBT140125181642-Ternitz (Schoeller-Bleckmann)</t>
        </is>
      </c>
      <c r="I484" s="10" t="n">
        <v>45671.77672453703</v>
      </c>
      <c r="J484" s="10" t="n">
        <v>45671.79472222222</v>
      </c>
      <c r="K484" s="10" t="n">
        <v>45671.79472222222</v>
      </c>
      <c r="L484" s="10" t="n">
        <v>45671.79550925926</v>
      </c>
      <c r="M484" s="11">
        <f>IF(AND(ISNUMBER(E484),ISNUMBER(G484)),(G484-E484),"")</f>
        <v/>
      </c>
      <c r="N484" s="11">
        <f>IF(AND(ISNUMBER(G484),ISNUMBER(L484)),(L484-G484),"")</f>
        <v/>
      </c>
      <c r="O484" s="10" t="n">
        <v>45671.65873842593</v>
      </c>
      <c r="P484" s="11">
        <f>IF(AND(ISNUMBER(I484),ISNUMBER(O484)),(I484-O484),"")</f>
        <v/>
      </c>
      <c r="Q484" s="12" t="inlineStr">
        <is>
          <t>WG 1012608 entered track and got coupled to WG 1012601 then waited 2:28:07 for WG 1012903 to get coupled, OBTP started on 18:38:29 finished on 19:04:24 and then left at 19:05:32</t>
        </is>
      </c>
    </row>
    <row r="485">
      <c r="A485" s="3" t="inlineStr">
        <is>
          <t>1012609</t>
        </is>
      </c>
      <c r="B485" s="3" t="inlineStr">
        <is>
          <t>10126</t>
        </is>
      </c>
      <c r="C485" s="9" t="n">
        <v>15.74</v>
      </c>
      <c r="D485" s="3" t="inlineStr">
        <is>
          <t>Gloggnitz</t>
        </is>
      </c>
      <c r="E485" s="10" t="n">
        <v>45671.62229166667</v>
      </c>
      <c r="F485" s="10" t="n">
        <v>45671.65449074074</v>
      </c>
      <c r="G485" s="10" t="n">
        <v>45671.65637731482</v>
      </c>
      <c r="H485" s="3" t="inlineStr">
        <is>
          <t>OBT140125155553-Gloggnitz</t>
        </is>
      </c>
      <c r="I485" s="10" t="n">
        <v>45671.679375</v>
      </c>
      <c r="J485" s="10" t="n">
        <v>45671.70358796296</v>
      </c>
      <c r="K485" s="10" t="n">
        <v>45671.70358796296</v>
      </c>
      <c r="L485" s="10" t="n">
        <v>45671.70430555556</v>
      </c>
      <c r="M485" s="11">
        <f>IF(AND(ISNUMBER(E485),ISNUMBER(G485)),(G485-E485),"")</f>
        <v/>
      </c>
      <c r="N485" s="11">
        <f>IF(AND(ISNUMBER(G485),ISNUMBER(L485)),(L485-G485),"")</f>
        <v/>
      </c>
      <c r="O485" s="10" t="n">
        <v>45671.66329861111</v>
      </c>
      <c r="P485" s="11">
        <f>IF(AND(ISNUMBER(I485),ISNUMBER(O485)),(I485-O485),"")</f>
        <v/>
      </c>
      <c r="Q485" s="12" t="inlineStr">
        <is>
          <t>WG 1012609 entered track and got coupled to WG 1012607 then waited 0:00:44 for WG 1012610 to get coupled, OBTP started on 16:18:18 finished on 16:53:10 and then left at 16:54:12</t>
        </is>
      </c>
    </row>
    <row r="486">
      <c r="A486" s="3" t="inlineStr">
        <is>
          <t>1012610</t>
        </is>
      </c>
      <c r="B486" s="3" t="inlineStr">
        <is>
          <t>10126</t>
        </is>
      </c>
      <c r="C486" s="9" t="n">
        <v>81</v>
      </c>
      <c r="D486" s="3" t="inlineStr">
        <is>
          <t>Wr. Neustadt (Hödlmayr)</t>
        </is>
      </c>
      <c r="E486" s="10" t="n">
        <v>45671.62229166667</v>
      </c>
      <c r="F486" s="10" t="n">
        <v>45671.65637731482</v>
      </c>
      <c r="G486" s="10" t="n">
        <v>45671.65841435185</v>
      </c>
      <c r="H486" s="3" t="inlineStr">
        <is>
          <t>OBT140125155553-Gloggnitz</t>
        </is>
      </c>
      <c r="I486" s="10" t="n">
        <v>45671.679375</v>
      </c>
      <c r="J486" s="10" t="n">
        <v>45671.70358796296</v>
      </c>
      <c r="K486" s="10" t="n">
        <v>45671.70358796296</v>
      </c>
      <c r="L486" s="10" t="n">
        <v>45671.70430555556</v>
      </c>
      <c r="M486" s="11">
        <f>IF(AND(ISNUMBER(E486),ISNUMBER(G486)),(G486-E486),"")</f>
        <v/>
      </c>
      <c r="N486" s="11">
        <f>IF(AND(ISNUMBER(G486),ISNUMBER(L486)),(L486-G486),"")</f>
        <v/>
      </c>
      <c r="O486" s="10" t="n">
        <v>45671.66380787037</v>
      </c>
      <c r="P486" s="11">
        <f>IF(AND(ISNUMBER(I486),ISNUMBER(O486)),(I486-O486),"")</f>
        <v/>
      </c>
      <c r="Q486" s="12" t="inlineStr">
        <is>
          <t>WG 1012610 entered track and got coupled to WG 1012609, OBTP started on 16:18:18 finished on 16:53:10 and then left at 16:54:12</t>
        </is>
      </c>
    </row>
    <row r="487">
      <c r="A487" s="3" t="inlineStr">
        <is>
          <t>1012611</t>
        </is>
      </c>
      <c r="B487" s="3" t="inlineStr">
        <is>
          <t>10126</t>
        </is>
      </c>
      <c r="C487" s="9" t="n">
        <v>38.98</v>
      </c>
      <c r="D487" s="3" t="inlineStr">
        <is>
          <t>Other sidings north</t>
        </is>
      </c>
      <c r="E487" s="10" t="n">
        <v>45671.62229166667</v>
      </c>
      <c r="F487" s="10" t="n">
        <v>45671.65841435185</v>
      </c>
      <c r="G487" s="10" t="n">
        <v>45671.66046296297</v>
      </c>
      <c r="H487" s="3" t="inlineStr">
        <is>
          <t>OBT150125075736-Other sidings north</t>
        </is>
      </c>
      <c r="I487" s="10" t="n">
        <v>45672.33923611111</v>
      </c>
      <c r="J487" s="10" t="n">
        <v>45672.3644212963</v>
      </c>
      <c r="K487" s="10" t="n">
        <v>45672.3644212963</v>
      </c>
      <c r="L487" s="10" t="n">
        <v>45672.36525462963</v>
      </c>
      <c r="M487" s="11">
        <f>IF(AND(ISNUMBER(E487),ISNUMBER(G487)),(G487-E487),"")</f>
        <v/>
      </c>
      <c r="N487" s="11">
        <f>IF(AND(ISNUMBER(G487),ISNUMBER(L487)),(L487-G487),"")</f>
        <v/>
      </c>
      <c r="O487" s="10" t="n">
        <v>45671.6665625</v>
      </c>
      <c r="P487" s="11">
        <f>IF(AND(ISNUMBER(I487),ISNUMBER(O487)),(I487-O487),"")</f>
        <v/>
      </c>
      <c r="Q487" s="12" t="inlineStr">
        <is>
          <t>WG 1012611 entered track and got secured then waited 2:19:50 for WG 1012904 to get coupled then waited 13:37:55 for WG 1013507 to get coupled, OBTP started on 08:08:30 finished on 08:44:46 and then left at 08:45:58</t>
        </is>
      </c>
    </row>
    <row r="488">
      <c r="A488" s="3" t="inlineStr">
        <is>
          <t>1012701</t>
        </is>
      </c>
      <c r="B488" s="3" t="inlineStr">
        <is>
          <t>10127</t>
        </is>
      </c>
      <c r="C488" s="9" t="n">
        <v>173.14</v>
      </c>
      <c r="D488" s="3" t="inlineStr">
        <is>
          <t>Wien Kledering</t>
        </is>
      </c>
      <c r="E488" s="10" t="n">
        <v>45671.64600694444</v>
      </c>
      <c r="F488" s="10" t="n">
        <v>45671.66133101852</v>
      </c>
      <c r="G488" s="10" t="n">
        <v>45671.66342592592</v>
      </c>
      <c r="H488" s="3" t="inlineStr">
        <is>
          <t>OBT140125160010-Wien Kledering</t>
        </is>
      </c>
      <c r="I488" s="10" t="n">
        <v>45671.69418981481</v>
      </c>
      <c r="J488" s="10" t="n">
        <v>45671.72424768518</v>
      </c>
      <c r="K488" s="10" t="n">
        <v>45671.72424768518</v>
      </c>
      <c r="L488" s="10" t="n">
        <v>45671.72524305555</v>
      </c>
      <c r="M488" s="11">
        <f>IF(AND(ISNUMBER(E488),ISNUMBER(G488)),(G488-E488),"")</f>
        <v/>
      </c>
      <c r="N488" s="11">
        <f>IF(AND(ISNUMBER(G488),ISNUMBER(L488)),(L488-G488),"")</f>
        <v/>
      </c>
      <c r="O488" s="10" t="n">
        <v>45671.66678240741</v>
      </c>
      <c r="P488" s="11">
        <f>IF(AND(ISNUMBER(I488),ISNUMBER(O488)),(I488-O488),"")</f>
        <v/>
      </c>
      <c r="Q488" s="12" t="inlineStr">
        <is>
          <t>WG 1012701 entered track and got secured, OBTP started on 16:39:38 finished on 17:22:55 and then left at 17:24:21</t>
        </is>
      </c>
    </row>
    <row r="489">
      <c r="A489" s="3" t="inlineStr">
        <is>
          <t>1012801</t>
        </is>
      </c>
      <c r="B489" s="3" t="inlineStr">
        <is>
          <t>10128</t>
        </is>
      </c>
      <c r="C489" s="9" t="n">
        <v>40.9</v>
      </c>
      <c r="D489" s="3" t="inlineStr">
        <is>
          <t>Wien Kledering</t>
        </is>
      </c>
      <c r="E489" s="10" t="n">
        <v>45671.65347222222</v>
      </c>
      <c r="F489" s="10" t="n">
        <v>45671.66429398148</v>
      </c>
      <c r="G489" s="10" t="n">
        <v>45671.66631944444</v>
      </c>
      <c r="H489" s="3" t="inlineStr">
        <is>
          <t>OBT140125180846-Wien Kledering</t>
        </is>
      </c>
      <c r="I489" s="10" t="n">
        <v>45671.75695601852</v>
      </c>
      <c r="J489" s="10" t="n">
        <v>45671.77498842592</v>
      </c>
      <c r="K489" s="10" t="n">
        <v>45671.77498842592</v>
      </c>
      <c r="L489" s="10" t="n">
        <v>45671.77582175926</v>
      </c>
      <c r="M489" s="11">
        <f>IF(AND(ISNUMBER(E489),ISNUMBER(G489)),(G489-E489),"")</f>
        <v/>
      </c>
      <c r="N489" s="11">
        <f>IF(AND(ISNUMBER(G489),ISNUMBER(L489)),(L489-G489),"")</f>
        <v/>
      </c>
      <c r="O489" s="10" t="n">
        <v>45671.66982638889</v>
      </c>
      <c r="P489" s="11">
        <f>IF(AND(ISNUMBER(I489),ISNUMBER(O489)),(I489-O489),"")</f>
        <v/>
      </c>
      <c r="Q489" s="12" t="inlineStr">
        <is>
          <t>WG 1012801 entered track and got secured then waited 2:04:13 for WG 1013001 to get coupled, OBTP started on 18:10:01 finished on 18:35:59 and then left at 18:37:11</t>
        </is>
      </c>
    </row>
    <row r="490">
      <c r="A490" s="3" t="inlineStr">
        <is>
          <t>1012901</t>
        </is>
      </c>
      <c r="B490" s="3" t="inlineStr">
        <is>
          <t>10129</t>
        </is>
      </c>
      <c r="C490" s="9" t="n">
        <v>31.48</v>
      </c>
      <c r="D490" s="3" t="inlineStr">
        <is>
          <t>Steinabrückl/Wöllersdorf</t>
        </is>
      </c>
      <c r="E490" s="10" t="n">
        <v>45671.73274305555</v>
      </c>
      <c r="F490" s="10" t="n">
        <v>45671.75305555556</v>
      </c>
      <c r="G490" s="10" t="n">
        <v>45671.7550462963</v>
      </c>
      <c r="H490" s="3" t="inlineStr">
        <is>
          <t>OBT140125181252-Steinabrückl/Wöllersdorf</t>
        </is>
      </c>
      <c r="I490" s="10" t="n">
        <v>45671.77648148148</v>
      </c>
      <c r="J490" s="10" t="n">
        <v>45671.79834490741</v>
      </c>
      <c r="K490" s="10" t="n">
        <v>45671.79834490741</v>
      </c>
      <c r="L490" s="10" t="n">
        <v>45671.79916666666</v>
      </c>
      <c r="M490" s="11">
        <f>IF(AND(ISNUMBER(E490),ISNUMBER(G490)),(G490-E490),"")</f>
        <v/>
      </c>
      <c r="N490" s="11">
        <f>IF(AND(ISNUMBER(G490),ISNUMBER(L490)),(L490-G490),"")</f>
        <v/>
      </c>
      <c r="O490" s="10" t="n">
        <v>45671.75893518519</v>
      </c>
      <c r="P490" s="11">
        <f>IF(AND(ISNUMBER(I490),ISNUMBER(O490)),(I490-O490),"")</f>
        <v/>
      </c>
      <c r="Q490" s="12" t="inlineStr">
        <is>
          <t>WG 1012901 entered track and got coupled to WG 1011109, OBTP started on 18:38:08 finished on 19:09:37 and then left at 19:10:48</t>
        </is>
      </c>
    </row>
    <row r="491">
      <c r="A491" s="3" t="inlineStr">
        <is>
          <t>1012902</t>
        </is>
      </c>
      <c r="B491" s="3" t="inlineStr">
        <is>
          <t>10129</t>
        </is>
      </c>
      <c r="C491" s="9" t="n">
        <v>108</v>
      </c>
      <c r="D491" s="3" t="inlineStr">
        <is>
          <t>Wr. Neustadt (Hödlmayr)</t>
        </is>
      </c>
      <c r="E491" s="10" t="n">
        <v>45671.73274305555</v>
      </c>
      <c r="F491" s="10" t="n">
        <v>45671.7550462963</v>
      </c>
      <c r="G491" s="10" t="n">
        <v>45671.75641203704</v>
      </c>
      <c r="H491" s="3" t="inlineStr">
        <is>
          <t>OBT140125181221-Wr. Neustadt (Hödlmayr)</t>
        </is>
      </c>
      <c r="I491" s="10" t="n">
        <v>45671.76021990741</v>
      </c>
      <c r="J491" s="10" t="n">
        <v>45671.77896990741</v>
      </c>
      <c r="K491" s="10" t="n">
        <v>45671.77896990741</v>
      </c>
      <c r="L491" s="10" t="n">
        <v>45671.7796875</v>
      </c>
      <c r="M491" s="11">
        <f>IF(AND(ISNUMBER(E491),ISNUMBER(G491)),(G491-E491),"")</f>
        <v/>
      </c>
      <c r="N491" s="11">
        <f>IF(AND(ISNUMBER(G491),ISNUMBER(L491)),(L491-G491),"")</f>
        <v/>
      </c>
      <c r="O491" s="10" t="n">
        <v>45671.75857638889</v>
      </c>
      <c r="P491" s="11">
        <f>IF(AND(ISNUMBER(I491),ISNUMBER(O491)),(I491-O491),"")</f>
        <v/>
      </c>
      <c r="Q491" s="12" t="inlineStr">
        <is>
          <t>WG 1012902 entered track and got secured, OBTP started on 18:14:43 finished on 18:41:43 and then left at 18:42:45</t>
        </is>
      </c>
    </row>
    <row r="492">
      <c r="A492" s="3" t="inlineStr">
        <is>
          <t>1012903</t>
        </is>
      </c>
      <c r="B492" s="3" t="inlineStr">
        <is>
          <t>10129</t>
        </is>
      </c>
      <c r="C492" s="9" t="n">
        <v>12.04</v>
      </c>
      <c r="D492" s="3" t="inlineStr">
        <is>
          <t>Ternitz (Schoeller-Bleckmann)</t>
        </is>
      </c>
      <c r="E492" s="10" t="n">
        <v>45671.73274305555</v>
      </c>
      <c r="F492" s="10" t="n">
        <v>45671.75641203704</v>
      </c>
      <c r="G492" s="10" t="n">
        <v>45671.75768518518</v>
      </c>
      <c r="H492" s="3" t="inlineStr">
        <is>
          <t>OBT140125181642-Ternitz (Schoeller-Bleckmann)</t>
        </is>
      </c>
      <c r="I492" s="10" t="n">
        <v>45671.77672453703</v>
      </c>
      <c r="J492" s="10" t="n">
        <v>45671.79472222222</v>
      </c>
      <c r="K492" s="10" t="n">
        <v>45671.79472222222</v>
      </c>
      <c r="L492" s="10" t="n">
        <v>45671.79550925926</v>
      </c>
      <c r="M492" s="11">
        <f>IF(AND(ISNUMBER(E492),ISNUMBER(G492)),(G492-E492),"")</f>
        <v/>
      </c>
      <c r="N492" s="11">
        <f>IF(AND(ISNUMBER(G492),ISNUMBER(L492)),(L492-G492),"")</f>
        <v/>
      </c>
      <c r="O492" s="10" t="n">
        <v>45671.76159722222</v>
      </c>
      <c r="P492" s="11">
        <f>IF(AND(ISNUMBER(I492),ISNUMBER(O492)),(I492-O492),"")</f>
        <v/>
      </c>
      <c r="Q492" s="12" t="inlineStr">
        <is>
          <t>WG 1012903 entered track and got coupled to WG 1012608, OBTP started on 18:38:29 finished on 19:04:24 and then left at 19:05:32</t>
        </is>
      </c>
    </row>
    <row r="493">
      <c r="A493" s="3" t="inlineStr">
        <is>
          <t>1012904</t>
        </is>
      </c>
      <c r="B493" s="3" t="inlineStr">
        <is>
          <t>10129</t>
        </is>
      </c>
      <c r="C493" s="9" t="n">
        <v>38.98</v>
      </c>
      <c r="D493" s="3" t="inlineStr">
        <is>
          <t>Other sidings north</t>
        </is>
      </c>
      <c r="E493" s="10" t="n">
        <v>45671.73274305555</v>
      </c>
      <c r="F493" s="10" t="n">
        <v>45671.75768518518</v>
      </c>
      <c r="G493" s="10" t="n">
        <v>45671.75976851852</v>
      </c>
      <c r="H493" s="3" t="inlineStr">
        <is>
          <t>OBT150125075736-Other sidings north</t>
        </is>
      </c>
      <c r="I493" s="10" t="n">
        <v>45672.33923611111</v>
      </c>
      <c r="J493" s="10" t="n">
        <v>45672.3644212963</v>
      </c>
      <c r="K493" s="10" t="n">
        <v>45672.3644212963</v>
      </c>
      <c r="L493" s="10" t="n">
        <v>45672.36525462963</v>
      </c>
      <c r="M493" s="11">
        <f>IF(AND(ISNUMBER(E493),ISNUMBER(G493)),(G493-E493),"")</f>
        <v/>
      </c>
      <c r="N493" s="11">
        <f>IF(AND(ISNUMBER(G493),ISNUMBER(L493)),(L493-G493),"")</f>
        <v/>
      </c>
      <c r="O493" s="10" t="n">
        <v>45671.76366898148</v>
      </c>
      <c r="P493" s="11">
        <f>IF(AND(ISNUMBER(I493),ISNUMBER(O493)),(I493-O493),"")</f>
        <v/>
      </c>
      <c r="Q493" s="12" t="inlineStr">
        <is>
          <t>WG 1012904 entered track and got coupled to WG 1012611 then waited 13:37:55 for WG 1013507 to get coupled, OBTP started on 08:08:30 finished on 08:44:46 and then left at 08:45:58</t>
        </is>
      </c>
    </row>
    <row r="494">
      <c r="A494" s="3" t="inlineStr">
        <is>
          <t>1012905</t>
        </is>
      </c>
      <c r="B494" s="3" t="inlineStr">
        <is>
          <t>10129</t>
        </is>
      </c>
      <c r="C494" s="9" t="n">
        <v>19.9</v>
      </c>
      <c r="D494" s="3" t="inlineStr">
        <is>
          <t>Wr. Neustadt Ausfahrbf (Furtenbach)</t>
        </is>
      </c>
      <c r="E494" s="10" t="n">
        <v>45671.73274305555</v>
      </c>
      <c r="F494" s="10" t="n">
        <v>45671.75976851852</v>
      </c>
      <c r="G494" s="10" t="n">
        <v>45671.76105324074</v>
      </c>
      <c r="H494" s="3" t="inlineStr">
        <is>
          <t>OBT160125102340-Wr. Neustadt Ausfahrbf (Furtenbach)</t>
        </is>
      </c>
      <c r="I494" s="10" t="n">
        <v>45673.543125</v>
      </c>
      <c r="J494" s="10" t="n">
        <v>45673.59827546297</v>
      </c>
      <c r="K494" s="10" t="n">
        <v>45673.59827546297</v>
      </c>
      <c r="L494" s="10" t="n">
        <v>45673.59943287037</v>
      </c>
      <c r="M494" s="11">
        <f>IF(AND(ISNUMBER(E494),ISNUMBER(G494)),(G494-E494),"")</f>
        <v/>
      </c>
      <c r="N494" s="11">
        <f>IF(AND(ISNUMBER(G494),ISNUMBER(L494)),(L494-G494),"")</f>
        <v/>
      </c>
      <c r="O494" s="10" t="n">
        <v>45671.76481481481</v>
      </c>
      <c r="P494" s="11">
        <f>IF(AND(ISNUMBER(I494),ISNUMBER(O494)),(I494-O494),"")</f>
        <v/>
      </c>
      <c r="Q494" s="12" t="inlineStr">
        <is>
          <t>WG 1012905 entered track and got secured then waited 37:36:43 for WG 1014804 to get coupled then waited 0:02:35 for WG 1014806 to get coupled then waited 2:21:25 for WG 1015109 to get coupled then waited 0:01:37 for WG 1015110 to get coupled, OBTP started on 13:02:06 finished on 14:21:31 and then left at 14:23:11</t>
        </is>
      </c>
    </row>
    <row r="495">
      <c r="A495" s="3" t="inlineStr">
        <is>
          <t>1012906</t>
        </is>
      </c>
      <c r="B495" s="3" t="inlineStr">
        <is>
          <t>10129</t>
        </is>
      </c>
      <c r="C495" s="9" t="n">
        <v>15.74</v>
      </c>
      <c r="D495" s="3" t="inlineStr">
        <is>
          <t>Ebenfurth (beet loading)</t>
        </is>
      </c>
      <c r="E495" s="10" t="n">
        <v>45671.73274305555</v>
      </c>
      <c r="F495" s="10" t="n">
        <v>45671.76105324074</v>
      </c>
      <c r="G495" s="10" t="n">
        <v>45671.76297453704</v>
      </c>
      <c r="H495" s="3" t="inlineStr">
        <is>
          <t>OBT150125074216-Ebenfurth (beet loading)</t>
        </is>
      </c>
      <c r="I495" s="10" t="n">
        <v>45672.32188657407</v>
      </c>
      <c r="J495" s="10" t="n">
        <v>45672.34101851852</v>
      </c>
      <c r="K495" s="10" t="n">
        <v>45672.34101851852</v>
      </c>
      <c r="L495" s="10" t="n">
        <v>45672.34166666667</v>
      </c>
      <c r="M495" s="11">
        <f>IF(AND(ISNUMBER(E495),ISNUMBER(G495)),(G495-E495),"")</f>
        <v/>
      </c>
      <c r="N495" s="11">
        <f>IF(AND(ISNUMBER(G495),ISNUMBER(L495)),(L495-G495),"")</f>
        <v/>
      </c>
      <c r="O495" s="10" t="n">
        <v>45671.76686342592</v>
      </c>
      <c r="P495" s="11">
        <f>IF(AND(ISNUMBER(I495),ISNUMBER(O495)),(I495-O495),"")</f>
        <v/>
      </c>
      <c r="Q495" s="12" t="inlineStr">
        <is>
          <t>WG 1012906 entered track and got secured then waited 8:27:07 for WG 1013202 to get coupled then waited 4:50:52 for WG 1013501 to get coupled, OBTP started on 07:43:31 finished on 08:11:04 and then left at 08:12:00</t>
        </is>
      </c>
    </row>
    <row r="496">
      <c r="A496" s="3" t="inlineStr">
        <is>
          <t>1012907</t>
        </is>
      </c>
      <c r="B496" s="3" t="inlineStr">
        <is>
          <t>10129</t>
        </is>
      </c>
      <c r="C496" s="9" t="n">
        <v>54.72</v>
      </c>
      <c r="D496" s="3" t="inlineStr">
        <is>
          <t>Pitten (Hamburger)</t>
        </is>
      </c>
      <c r="E496" s="10" t="n">
        <v>45671.73274305555</v>
      </c>
      <c r="F496" s="10" t="n">
        <v>45671.76297453704</v>
      </c>
      <c r="G496" s="10" t="n">
        <v>45671.76478009259</v>
      </c>
      <c r="H496" s="3" t="inlineStr">
        <is>
          <t>OBT140125183542-Pitten (Hamburger)</t>
        </is>
      </c>
      <c r="I496" s="10" t="n">
        <v>45671.79645833333</v>
      </c>
      <c r="J496" s="10" t="n">
        <v>45671.81949074074</v>
      </c>
      <c r="K496" s="10" t="n">
        <v>45671.81949074074</v>
      </c>
      <c r="L496" s="10" t="n">
        <v>45671.82039351852</v>
      </c>
      <c r="M496" s="11">
        <f>IF(AND(ISNUMBER(E496),ISNUMBER(G496)),(G496-E496),"")</f>
        <v/>
      </c>
      <c r="N496" s="11">
        <f>IF(AND(ISNUMBER(G496),ISNUMBER(L496)),(L496-G496),"")</f>
        <v/>
      </c>
      <c r="O496" s="10" t="n">
        <v>45671.76803240741</v>
      </c>
      <c r="P496" s="11">
        <f>IF(AND(ISNUMBER(I496),ISNUMBER(O496)),(I496-O496),"")</f>
        <v/>
      </c>
      <c r="Q496" s="12" t="inlineStr">
        <is>
          <t>WG 1012907 entered track and got secured then waited 0:09:44 for WG 1012910 to get coupled, OBTP started on 19:06:54 finished on 19:40:04 and then left at 19:41:22</t>
        </is>
      </c>
    </row>
    <row r="497">
      <c r="A497" s="3" t="inlineStr">
        <is>
          <t>1012908</t>
        </is>
      </c>
      <c r="B497" s="3" t="inlineStr">
        <is>
          <t>10129</t>
        </is>
      </c>
      <c r="C497" s="9" t="n">
        <v>111.4</v>
      </c>
      <c r="D497" s="3" t="inlineStr">
        <is>
          <t>Neudörfl (FunderMax)</t>
        </is>
      </c>
      <c r="E497" s="10" t="n">
        <v>45671.73274305555</v>
      </c>
      <c r="F497" s="10" t="n">
        <v>45671.76478009259</v>
      </c>
      <c r="G497" s="10" t="n">
        <v>45671.76675925926</v>
      </c>
      <c r="H497" s="3" t="inlineStr">
        <is>
          <t>OBT140125182854-Neudörfl (FunderMax)</t>
        </is>
      </c>
      <c r="I497" s="10" t="n">
        <v>45671.78070601852</v>
      </c>
      <c r="J497" s="10" t="n">
        <v>45671.8000462963</v>
      </c>
      <c r="K497" s="10" t="n">
        <v>45671.8000462963</v>
      </c>
      <c r="L497" s="10" t="n">
        <v>45671.8008449074</v>
      </c>
      <c r="M497" s="11">
        <f>IF(AND(ISNUMBER(E497),ISNUMBER(G497)),(G497-E497),"")</f>
        <v/>
      </c>
      <c r="N497" s="11">
        <f>IF(AND(ISNUMBER(G497),ISNUMBER(L497)),(L497-G497),"")</f>
        <v/>
      </c>
      <c r="O497" s="10" t="n">
        <v>45671.77006944444</v>
      </c>
      <c r="P497" s="11">
        <f>IF(AND(ISNUMBER(I497),ISNUMBER(O497)),(I497-O497),"")</f>
        <v/>
      </c>
      <c r="Q497" s="12" t="inlineStr">
        <is>
          <t>WG 1012908 entered track and got secured, OBTP started on 18:44:13 finished on 19:12:04 and then left at 19:13:13</t>
        </is>
      </c>
    </row>
    <row r="498">
      <c r="A498" s="3" t="inlineStr">
        <is>
          <t>1012909</t>
        </is>
      </c>
      <c r="B498" s="3" t="inlineStr">
        <is>
          <t>10129</t>
        </is>
      </c>
      <c r="C498" s="9" t="n">
        <v>19.9</v>
      </c>
      <c r="D498" s="3" t="inlineStr">
        <is>
          <t>Felixdorf/Sollenau (Bundesheer, Maba)</t>
        </is>
      </c>
      <c r="E498" s="10" t="n">
        <v>45671.73274305555</v>
      </c>
      <c r="F498" s="10" t="n">
        <v>45671.76675925926</v>
      </c>
      <c r="G498" s="10" t="n">
        <v>45671.76826388889</v>
      </c>
      <c r="H498" s="3" t="inlineStr">
        <is>
          <t>OBT150125101800-Felixdorf/Sollenau (Bundesheer, Maba)</t>
        </is>
      </c>
      <c r="I498" s="10" t="n">
        <v>45672.43086805556</v>
      </c>
      <c r="J498" s="10" t="n">
        <v>45672.45079861111</v>
      </c>
      <c r="K498" s="10" t="n">
        <v>45672.45079861111</v>
      </c>
      <c r="L498" s="10" t="n">
        <v>45672.45159722222</v>
      </c>
      <c r="M498" s="11">
        <f>IF(AND(ISNUMBER(E498),ISNUMBER(G498)),(G498-E498),"")</f>
        <v/>
      </c>
      <c r="N498" s="11">
        <f>IF(AND(ISNUMBER(G498),ISNUMBER(L498)),(L498-G498),"")</f>
        <v/>
      </c>
      <c r="O498" s="10" t="n">
        <v>45671.77126157407</v>
      </c>
      <c r="P498" s="11">
        <f>IF(AND(ISNUMBER(I498),ISNUMBER(O498)),(I498-O498),"")</f>
        <v/>
      </c>
      <c r="Q498" s="12" t="inlineStr">
        <is>
          <t>WG 1012909 entered track and got secured then waited 15:18:18 for WG 1013902 to get coupled then waited 0:29:05 for WG 1014001 to get coupled, OBTP started on 10:20:27 finished on 10:49:09 and then left at 10:50:18</t>
        </is>
      </c>
    </row>
    <row r="499">
      <c r="A499" s="3" t="inlineStr">
        <is>
          <t>1012910</t>
        </is>
      </c>
      <c r="B499" s="3" t="inlineStr">
        <is>
          <t>10129</t>
        </is>
      </c>
      <c r="C499" s="9" t="n">
        <v>77.95999999999999</v>
      </c>
      <c r="D499" s="3" t="inlineStr">
        <is>
          <t>Pitten (Hamburger)</t>
        </is>
      </c>
      <c r="E499" s="10" t="n">
        <v>45671.73274305555</v>
      </c>
      <c r="F499" s="10" t="n">
        <v>45671.76826388889</v>
      </c>
      <c r="G499" s="10" t="n">
        <v>45671.77013888889</v>
      </c>
      <c r="H499" s="3" t="inlineStr">
        <is>
          <t>OBT140125183542-Pitten (Hamburger)</t>
        </is>
      </c>
      <c r="I499" s="10" t="n">
        <v>45671.79645833333</v>
      </c>
      <c r="J499" s="10" t="n">
        <v>45671.81949074074</v>
      </c>
      <c r="K499" s="10" t="n">
        <v>45671.81949074074</v>
      </c>
      <c r="L499" s="10" t="n">
        <v>45671.82039351852</v>
      </c>
      <c r="M499" s="11">
        <f>IF(AND(ISNUMBER(E499),ISNUMBER(G499)),(G499-E499),"")</f>
        <v/>
      </c>
      <c r="N499" s="11">
        <f>IF(AND(ISNUMBER(G499),ISNUMBER(L499)),(L499-G499),"")</f>
        <v/>
      </c>
      <c r="O499" s="10" t="n">
        <v>45671.77479166666</v>
      </c>
      <c r="P499" s="11">
        <f>IF(AND(ISNUMBER(I499),ISNUMBER(O499)),(I499-O499),"")</f>
        <v/>
      </c>
      <c r="Q499" s="12" t="inlineStr">
        <is>
          <t>WG 1012910 entered track and got coupled to WG 1012907, OBTP started on 19:06:54 finished on 19:40:04 and then left at 19:41:22</t>
        </is>
      </c>
    </row>
    <row r="500">
      <c r="A500" s="3" t="inlineStr">
        <is>
          <t>1013001</t>
        </is>
      </c>
      <c r="B500" s="3" t="inlineStr">
        <is>
          <t>10130</t>
        </is>
      </c>
      <c r="C500" s="9" t="n">
        <v>62.96</v>
      </c>
      <c r="D500" s="3" t="inlineStr">
        <is>
          <t>Wien Kledering</t>
        </is>
      </c>
      <c r="E500" s="10" t="n">
        <v>45671.74596064815</v>
      </c>
      <c r="F500" s="10" t="n">
        <v>45671.75010416667</v>
      </c>
      <c r="G500" s="10" t="n">
        <v>45671.7521875</v>
      </c>
      <c r="H500" s="3" t="inlineStr">
        <is>
          <t>OBT140125180846-Wien Kledering</t>
        </is>
      </c>
      <c r="I500" s="10" t="n">
        <v>45671.75695601852</v>
      </c>
      <c r="J500" s="10" t="n">
        <v>45671.77498842592</v>
      </c>
      <c r="K500" s="10" t="n">
        <v>45671.77498842592</v>
      </c>
      <c r="L500" s="10" t="n">
        <v>45671.77582175926</v>
      </c>
      <c r="M500" s="11">
        <f>IF(AND(ISNUMBER(E500),ISNUMBER(G500)),(G500-E500),"")</f>
        <v/>
      </c>
      <c r="N500" s="11">
        <f>IF(AND(ISNUMBER(G500),ISNUMBER(L500)),(L500-G500),"")</f>
        <v/>
      </c>
      <c r="O500" s="10" t="n">
        <v>45671.75608796296</v>
      </c>
      <c r="P500" s="11">
        <f>IF(AND(ISNUMBER(I500),ISNUMBER(O500)),(I500-O500),"")</f>
        <v/>
      </c>
      <c r="Q500" s="12" t="inlineStr">
        <is>
          <t>WG 1013001 entered track and got coupled to WG 1012801, OBTP started on 18:10:01 finished on 18:35:59 and then left at 18:37:11</t>
        </is>
      </c>
    </row>
    <row r="501">
      <c r="A501" s="3" t="inlineStr">
        <is>
          <t>1013101</t>
        </is>
      </c>
      <c r="B501" s="3" t="inlineStr">
        <is>
          <t>10131</t>
        </is>
      </c>
      <c r="C501" s="9" t="n">
        <v>15.74</v>
      </c>
      <c r="D501" s="3" t="inlineStr">
        <is>
          <t>Wien Kledering</t>
        </is>
      </c>
      <c r="E501" s="10" t="n">
        <v>45671.82601851852</v>
      </c>
      <c r="F501" s="10" t="n">
        <v>45671.82981481482</v>
      </c>
      <c r="G501" s="10" t="n">
        <v>45671.83133101852</v>
      </c>
      <c r="H501" s="3" t="inlineStr">
        <is>
          <t>OBT150125064840-Wien Kledering</t>
        </is>
      </c>
      <c r="I501" s="10" t="n">
        <v>45672.28466435185</v>
      </c>
      <c r="J501" s="10" t="n">
        <v>45672.33913194444</v>
      </c>
      <c r="K501" s="10" t="n">
        <v>45672.33913194444</v>
      </c>
      <c r="L501" s="10" t="n">
        <v>45672.34032407407</v>
      </c>
      <c r="M501" s="11">
        <f>IF(AND(ISNUMBER(E501),ISNUMBER(G501)),(G501-E501),"")</f>
        <v/>
      </c>
      <c r="N501" s="11">
        <f>IF(AND(ISNUMBER(G501),ISNUMBER(L501)),(L501-G501),"")</f>
        <v/>
      </c>
      <c r="O501" s="10" t="n">
        <v>45671.8334837963</v>
      </c>
      <c r="P501" s="11">
        <f>IF(AND(ISNUMBER(I501),ISNUMBER(O501)),(I501-O501),"")</f>
        <v/>
      </c>
      <c r="Q501" s="12" t="inlineStr">
        <is>
          <t>WG 1013101 entered track and got secured then waited 10:48:27 for WG 1013401 to get coupled, OBTP started on 06:49:55 finished on 08:08:21 and then left at 08:10:04</t>
        </is>
      </c>
    </row>
    <row r="502">
      <c r="A502" s="3" t="inlineStr">
        <is>
          <t>1013201</t>
        </is>
      </c>
      <c r="B502" s="3" t="inlineStr">
        <is>
          <t>10132</t>
        </is>
      </c>
      <c r="C502" s="9" t="n">
        <v>166.9</v>
      </c>
      <c r="D502" s="3" t="inlineStr">
        <is>
          <t>Neunkirchen (loading tracks)</t>
        </is>
      </c>
      <c r="E502" s="10" t="n">
        <v>45672.10215277778</v>
      </c>
      <c r="F502" s="10" t="n">
        <v>45672.11107638889</v>
      </c>
      <c r="G502" s="10" t="n">
        <v>45672.11314814815</v>
      </c>
      <c r="H502" s="3" t="inlineStr">
        <is>
          <t>OBT150125024833-Neunkirchen (loading tracks)</t>
        </is>
      </c>
      <c r="I502" s="10" t="n">
        <v>45672.11791666667</v>
      </c>
      <c r="J502" s="10" t="n">
        <v>45672.15417824074</v>
      </c>
      <c r="K502" s="10" t="n">
        <v>45672.15417824074</v>
      </c>
      <c r="L502" s="10" t="n">
        <v>45672.15517361111</v>
      </c>
      <c r="M502" s="11">
        <f>IF(AND(ISNUMBER(E502),ISNUMBER(G502)),(G502-E502),"")</f>
        <v/>
      </c>
      <c r="N502" s="11">
        <f>IF(AND(ISNUMBER(G502),ISNUMBER(L502)),(L502-G502),"")</f>
        <v/>
      </c>
      <c r="O502" s="10" t="n">
        <v>45672.11704861111</v>
      </c>
      <c r="P502" s="11">
        <f>IF(AND(ISNUMBER(I502),ISNUMBER(O502)),(I502-O502),"")</f>
        <v/>
      </c>
      <c r="Q502" s="12" t="inlineStr">
        <is>
          <t>WG 1013201 entered track and got coupled to WG 1012105, OBTP started on 02:49:48 finished on 03:42:01 and then left at 03:43:27</t>
        </is>
      </c>
    </row>
    <row r="503">
      <c r="A503" s="3" t="inlineStr">
        <is>
          <t>1013202</t>
        </is>
      </c>
      <c r="B503" s="3" t="inlineStr">
        <is>
          <t>10132</t>
        </is>
      </c>
      <c r="C503" s="9" t="n">
        <v>47.22</v>
      </c>
      <c r="D503" s="3" t="inlineStr">
        <is>
          <t>Gloggnitz</t>
        </is>
      </c>
      <c r="E503" s="10" t="n">
        <v>45672.10215277778</v>
      </c>
      <c r="F503" s="10" t="n">
        <v>45672.11314814815</v>
      </c>
      <c r="G503" s="10" t="n">
        <v>45672.11512731481</v>
      </c>
      <c r="H503" s="3" t="inlineStr">
        <is>
          <t>OBT150125074216-Ebenfurth (beet loading)</t>
        </is>
      </c>
      <c r="I503" s="10" t="n">
        <v>45672.32188657407</v>
      </c>
      <c r="J503" s="10" t="n">
        <v>45672.34101851852</v>
      </c>
      <c r="K503" s="10" t="n">
        <v>45672.34101851852</v>
      </c>
      <c r="L503" s="10" t="n">
        <v>45672.34166666667</v>
      </c>
      <c r="M503" s="11">
        <f>IF(AND(ISNUMBER(E503),ISNUMBER(G503)),(G503-E503),"")</f>
        <v/>
      </c>
      <c r="N503" s="11">
        <f>IF(AND(ISNUMBER(G503),ISNUMBER(L503)),(L503-G503),"")</f>
        <v/>
      </c>
      <c r="O503" s="10" t="n">
        <v>45672.11902777778</v>
      </c>
      <c r="P503" s="11">
        <f>IF(AND(ISNUMBER(I503),ISNUMBER(O503)),(I503-O503),"")</f>
        <v/>
      </c>
      <c r="Q503" s="12" t="inlineStr">
        <is>
          <t>WG 1013202 entered track and got coupled to WG 1012906 then waited 4:50:52 for WG 1013501 to get coupled, OBTP started on 07:43:31 finished on 08:11:04 and then left at 08:12:00</t>
        </is>
      </c>
    </row>
    <row r="504">
      <c r="A504" s="3" t="inlineStr">
        <is>
          <t>1013203</t>
        </is>
      </c>
      <c r="B504" s="3" t="inlineStr">
        <is>
          <t>10132</t>
        </is>
      </c>
      <c r="C504" s="9" t="n">
        <v>12.04</v>
      </c>
      <c r="D504" s="3" t="inlineStr">
        <is>
          <t>Ternitz (Schoeller-Bleckmann)</t>
        </is>
      </c>
      <c r="E504" s="10" t="n">
        <v>45672.10215277778</v>
      </c>
      <c r="F504" s="10" t="n">
        <v>45672.11512731481</v>
      </c>
      <c r="G504" s="10" t="n">
        <v>45672.11685185185</v>
      </c>
      <c r="H504" s="3" t="inlineStr">
        <is>
          <t>OBT160125081022-Ternitz (Schoeller-Bleckmann)</t>
        </is>
      </c>
      <c r="I504" s="10" t="n">
        <v>45673.34136574074</v>
      </c>
      <c r="J504" s="10" t="n">
        <v>45673.36009259259</v>
      </c>
      <c r="K504" s="10" t="n">
        <v>45673.36009259259</v>
      </c>
      <c r="L504" s="10" t="n">
        <v>45673.3609375</v>
      </c>
      <c r="M504" s="11">
        <f>IF(AND(ISNUMBER(E504),ISNUMBER(G504)),(G504-E504),"")</f>
        <v/>
      </c>
      <c r="N504" s="11">
        <f>IF(AND(ISNUMBER(G504),ISNUMBER(L504)),(L504-G504),"")</f>
        <v/>
      </c>
      <c r="O504" s="10" t="n">
        <v>45672.11900462963</v>
      </c>
      <c r="P504" s="11">
        <f>IF(AND(ISNUMBER(I504),ISNUMBER(O504)),(I504-O504),"")</f>
        <v/>
      </c>
      <c r="Q504" s="12" t="inlineStr">
        <is>
          <t>WG 1013203 entered track and got secured then waited 4:59:14 for WG 1013504 to get coupled then waited 8:06:31 for WG 1014207 to get coupled then waited 11:06:12 for WG 1014602 to get coupled then waited 5:07:03 for WG 1014810 to get coupled, OBTP started on 08:11:34 finished on 08:38:32 and then left at 08:39:45</t>
        </is>
      </c>
    </row>
    <row r="505">
      <c r="A505" s="3" t="inlineStr">
        <is>
          <t>1013204</t>
        </is>
      </c>
      <c r="B505" s="3" t="inlineStr">
        <is>
          <t>10132</t>
        </is>
      </c>
      <c r="C505" s="9" t="n">
        <v>87.02</v>
      </c>
      <c r="D505" s="3" t="inlineStr">
        <is>
          <t>Other sidings south</t>
        </is>
      </c>
      <c r="E505" s="10" t="n">
        <v>45672.10215277778</v>
      </c>
      <c r="F505" s="10" t="n">
        <v>45672.11685185185</v>
      </c>
      <c r="G505" s="10" t="n">
        <v>45672.11896990741</v>
      </c>
      <c r="H505" s="3" t="inlineStr">
        <is>
          <t>OBT150125025656-Other sidings south</t>
        </is>
      </c>
      <c r="I505" s="10" t="n">
        <v>45672.12370370371</v>
      </c>
      <c r="J505" s="10" t="n">
        <v>45672.15450231481</v>
      </c>
      <c r="K505" s="10" t="n">
        <v>45672.15517361111</v>
      </c>
      <c r="L505" s="10" t="n">
        <v>45672.15613425926</v>
      </c>
      <c r="M505" s="11">
        <f>IF(AND(ISNUMBER(E505),ISNUMBER(G505)),(G505-E505),"")</f>
        <v/>
      </c>
      <c r="N505" s="11">
        <f>IF(AND(ISNUMBER(G505),ISNUMBER(L505)),(L505-G505),"")</f>
        <v/>
      </c>
      <c r="O505" s="10" t="n">
        <v>45672.12287037037</v>
      </c>
      <c r="P505" s="11">
        <f>IF(AND(ISNUMBER(I505),ISNUMBER(O505)),(I505-O505),"")</f>
        <v/>
      </c>
      <c r="Q505" s="12" t="inlineStr">
        <is>
          <t>WG 1013204 entered track and got coupled to WG 1012106, OBTP started on 02:58:08 finished on 03:42:29 and then left at 03:44:50</t>
        </is>
      </c>
    </row>
    <row r="506">
      <c r="A506" s="3" t="inlineStr">
        <is>
          <t>1013301</t>
        </is>
      </c>
      <c r="B506" s="3" t="inlineStr">
        <is>
          <t>10133</t>
        </is>
      </c>
      <c r="C506" s="9" t="n">
        <v>521.9</v>
      </c>
      <c r="D506" s="3" t="inlineStr">
        <is>
          <t>Neudörfl (FunderMax)</t>
        </is>
      </c>
      <c r="E506" s="10" t="n">
        <v>45672.19392361111</v>
      </c>
      <c r="F506" s="10" t="n">
        <v>45672.20196759259</v>
      </c>
      <c r="G506" s="10" t="n">
        <v>45672.20488425926</v>
      </c>
      <c r="H506" s="3" t="inlineStr">
        <is>
          <t>OBT150125045827-Neudörfl (FunderMax)</t>
        </is>
      </c>
      <c r="I506" s="10" t="n">
        <v>45672.20810185185</v>
      </c>
      <c r="J506" s="10" t="n">
        <v>45672.2987037037</v>
      </c>
      <c r="K506" s="10" t="n">
        <v>45672.2987037037</v>
      </c>
      <c r="L506" s="10" t="n">
        <v>45672.30045138889</v>
      </c>
      <c r="M506" s="11">
        <f>IF(AND(ISNUMBER(E506),ISNUMBER(G506)),(G506-E506),"")</f>
        <v/>
      </c>
      <c r="N506" s="11">
        <f>IF(AND(ISNUMBER(G506),ISNUMBER(L506)),(L506-G506),"")</f>
        <v/>
      </c>
      <c r="O506" s="10" t="n">
        <v>45672.20725694444</v>
      </c>
      <c r="P506" s="11">
        <f>IF(AND(ISNUMBER(I506),ISNUMBER(O506)),(I506-O506),"")</f>
        <v/>
      </c>
      <c r="Q506" s="12" t="inlineStr">
        <is>
          <t>WG 1013301 entered track and got secured, OBTP started on 04:59:40 finished on 07:10:08 and then left at 07:12:39</t>
        </is>
      </c>
    </row>
    <row r="507">
      <c r="A507" s="3" t="inlineStr">
        <is>
          <t>1013401</t>
        </is>
      </c>
      <c r="B507" s="3" t="inlineStr">
        <is>
          <t>10134</t>
        </is>
      </c>
      <c r="C507" s="9" t="n">
        <v>298</v>
      </c>
      <c r="D507" s="3" t="inlineStr">
        <is>
          <t>Wien Kledering</t>
        </is>
      </c>
      <c r="E507" s="10" t="n">
        <v>45672.27219907408</v>
      </c>
      <c r="F507" s="10" t="n">
        <v>45672.27809027778</v>
      </c>
      <c r="G507" s="10" t="n">
        <v>45672.27989583334</v>
      </c>
      <c r="H507" s="3" t="inlineStr">
        <is>
          <t>OBT150125064840-Wien Kledering</t>
        </is>
      </c>
      <c r="I507" s="10" t="n">
        <v>45672.28466435185</v>
      </c>
      <c r="J507" s="10" t="n">
        <v>45672.33913194444</v>
      </c>
      <c r="K507" s="10" t="n">
        <v>45672.33913194444</v>
      </c>
      <c r="L507" s="10" t="n">
        <v>45672.34032407407</v>
      </c>
      <c r="M507" s="11">
        <f>IF(AND(ISNUMBER(E507),ISNUMBER(G507)),(G507-E507),"")</f>
        <v/>
      </c>
      <c r="N507" s="11">
        <f>IF(AND(ISNUMBER(G507),ISNUMBER(L507)),(L507-G507),"")</f>
        <v/>
      </c>
      <c r="O507" s="10" t="n">
        <v>45672.28379629629</v>
      </c>
      <c r="P507" s="11">
        <f>IF(AND(ISNUMBER(I507),ISNUMBER(O507)),(I507-O507),"")</f>
        <v/>
      </c>
      <c r="Q507" s="12" t="inlineStr">
        <is>
          <t>WG 1013401 entered track and got coupled to WG 1013101, OBTP started on 06:49:55 finished on 08:08:21 and then left at 08:10:04</t>
        </is>
      </c>
    </row>
    <row r="508">
      <c r="A508" s="3" t="inlineStr">
        <is>
          <t>1013501</t>
        </is>
      </c>
      <c r="B508" s="3" t="inlineStr">
        <is>
          <t>10135</t>
        </is>
      </c>
      <c r="C508" s="9" t="n">
        <v>47.22</v>
      </c>
      <c r="D508" s="3" t="inlineStr">
        <is>
          <t>Ebenfurth (beet loading)</t>
        </is>
      </c>
      <c r="E508" s="10" t="n">
        <v>45672.29952546296</v>
      </c>
      <c r="F508" s="10" t="n">
        <v>45672.31547453703</v>
      </c>
      <c r="G508" s="10" t="n">
        <v>45672.3174537037</v>
      </c>
      <c r="H508" s="3" t="inlineStr">
        <is>
          <t>OBT150125074216-Ebenfurth (beet loading)</t>
        </is>
      </c>
      <c r="I508" s="10" t="n">
        <v>45672.32188657407</v>
      </c>
      <c r="J508" s="10" t="n">
        <v>45672.34101851852</v>
      </c>
      <c r="K508" s="10" t="n">
        <v>45672.34101851852</v>
      </c>
      <c r="L508" s="10" t="n">
        <v>45672.34166666667</v>
      </c>
      <c r="M508" s="11">
        <f>IF(AND(ISNUMBER(E508),ISNUMBER(G508)),(G508-E508),"")</f>
        <v/>
      </c>
      <c r="N508" s="11">
        <f>IF(AND(ISNUMBER(G508),ISNUMBER(L508)),(L508-G508),"")</f>
        <v/>
      </c>
      <c r="O508" s="10" t="n">
        <v>45672.32101851852</v>
      </c>
      <c r="P508" s="11">
        <f>IF(AND(ISNUMBER(I508),ISNUMBER(O508)),(I508-O508),"")</f>
        <v/>
      </c>
      <c r="Q508" s="12" t="inlineStr">
        <is>
          <t>WG 1013501 entered track and got coupled to WG 1013202, OBTP started on 07:43:31 finished on 08:11:04 and then left at 08:12:00</t>
        </is>
      </c>
    </row>
    <row r="509">
      <c r="A509" s="3" t="inlineStr">
        <is>
          <t>1013502</t>
        </is>
      </c>
      <c r="B509" s="3" t="inlineStr">
        <is>
          <t>10135</t>
        </is>
      </c>
      <c r="C509" s="9" t="n">
        <v>23.24</v>
      </c>
      <c r="D509" s="3" t="inlineStr">
        <is>
          <t>Pitten (Hamburger)</t>
        </is>
      </c>
      <c r="E509" s="10" t="n">
        <v>45672.29952546296</v>
      </c>
      <c r="F509" s="10" t="n">
        <v>45672.3174537037</v>
      </c>
      <c r="G509" s="10" t="n">
        <v>45672.3194212963</v>
      </c>
      <c r="H509" s="3" t="inlineStr">
        <is>
          <t>OBT150125092356-Pitten (Hamburger)</t>
        </is>
      </c>
      <c r="I509" s="10" t="n">
        <v>45672.39465277778</v>
      </c>
      <c r="J509" s="10" t="n">
        <v>45672.41353009259</v>
      </c>
      <c r="K509" s="10" t="n">
        <v>45672.41353009259</v>
      </c>
      <c r="L509" s="10" t="n">
        <v>45672.4143287037</v>
      </c>
      <c r="M509" s="11">
        <f>IF(AND(ISNUMBER(E509),ISNUMBER(G509)),(G509-E509),"")</f>
        <v/>
      </c>
      <c r="N509" s="11">
        <f>IF(AND(ISNUMBER(G509),ISNUMBER(L509)),(L509-G509),"")</f>
        <v/>
      </c>
      <c r="O509" s="10" t="n">
        <v>45672.32179398148</v>
      </c>
      <c r="P509" s="11">
        <f>IF(AND(ISNUMBER(I509),ISNUMBER(O509)),(I509-O509),"")</f>
        <v/>
      </c>
      <c r="Q509" s="12" t="inlineStr">
        <is>
          <t>WG 1013502 entered track and got secured then waited 0:18:39 for WG 1013508 to get coupled then waited 1:21:54 for WG 1013801 to get coupled, OBTP started on 09:28:18 finished on 09:55:29 and then left at 09:56:38</t>
        </is>
      </c>
    </row>
    <row r="510">
      <c r="A510" s="3" t="inlineStr">
        <is>
          <t>1013503</t>
        </is>
      </c>
      <c r="B510" s="3" t="inlineStr">
        <is>
          <t>10135</t>
        </is>
      </c>
      <c r="C510" s="9" t="n">
        <v>37.5</v>
      </c>
      <c r="D510" s="3" t="inlineStr">
        <is>
          <t>Neudörfl (FunderMax)</t>
        </is>
      </c>
      <c r="E510" s="10" t="n">
        <v>45672.29952546296</v>
      </c>
      <c r="F510" s="10" t="n">
        <v>45672.3194212963</v>
      </c>
      <c r="G510" s="10" t="n">
        <v>45672.3212037037</v>
      </c>
      <c r="H510" s="3" t="inlineStr">
        <is>
          <t>OBT150125160356-Neudörfl (FunderMax)</t>
        </is>
      </c>
      <c r="I510" s="10" t="n">
        <v>45672.67197916667</v>
      </c>
      <c r="J510" s="10" t="n">
        <v>45672.71085648148</v>
      </c>
      <c r="K510" s="10" t="n">
        <v>45672.71085648148</v>
      </c>
      <c r="L510" s="10" t="n">
        <v>45672.71188657408</v>
      </c>
      <c r="M510" s="11">
        <f>IF(AND(ISNUMBER(E510),ISNUMBER(G510)),(G510-E510),"")</f>
        <v/>
      </c>
      <c r="N510" s="11">
        <f>IF(AND(ISNUMBER(G510),ISNUMBER(L510)),(L510-G510),"")</f>
        <v/>
      </c>
      <c r="O510" s="10" t="n">
        <v>45672.32399305556</v>
      </c>
      <c r="P510" s="11">
        <f>IF(AND(ISNUMBER(I510),ISNUMBER(O510)),(I510-O510),"")</f>
        <v/>
      </c>
      <c r="Q510" s="12" t="inlineStr">
        <is>
          <t>WG 1013503 entered track and got secured then waited 1:44:03 for WG 1013804 to get coupled then waited 6:33:20 for WG 1014210 to get coupled, OBTP started on 16:07:39 finished on 17:03:38 and then left at 17:05:07</t>
        </is>
      </c>
    </row>
    <row r="511">
      <c r="A511" s="3" t="inlineStr">
        <is>
          <t>1013504</t>
        </is>
      </c>
      <c r="B511" s="3" t="inlineStr">
        <is>
          <t>10135</t>
        </is>
      </c>
      <c r="C511" s="9" t="n">
        <v>12.04</v>
      </c>
      <c r="D511" s="3" t="inlineStr">
        <is>
          <t>Ternitz (Schoeller-Bleckmann)</t>
        </is>
      </c>
      <c r="E511" s="10" t="n">
        <v>45672.29952546296</v>
      </c>
      <c r="F511" s="10" t="n">
        <v>45672.3212037037</v>
      </c>
      <c r="G511" s="10" t="n">
        <v>45672.32291666666</v>
      </c>
      <c r="H511" s="3" t="inlineStr">
        <is>
          <t>OBT160125081022-Ternitz (Schoeller-Bleckmann)</t>
        </is>
      </c>
      <c r="I511" s="10" t="n">
        <v>45673.34136574074</v>
      </c>
      <c r="J511" s="10" t="n">
        <v>45673.36009259259</v>
      </c>
      <c r="K511" s="10" t="n">
        <v>45673.36009259259</v>
      </c>
      <c r="L511" s="10" t="n">
        <v>45673.3609375</v>
      </c>
      <c r="M511" s="11">
        <f>IF(AND(ISNUMBER(E511),ISNUMBER(G511)),(G511-E511),"")</f>
        <v/>
      </c>
      <c r="N511" s="11">
        <f>IF(AND(ISNUMBER(G511),ISNUMBER(L511)),(L511-G511),"")</f>
        <v/>
      </c>
      <c r="O511" s="10" t="n">
        <v>45672.32680555555</v>
      </c>
      <c r="P511" s="11">
        <f>IF(AND(ISNUMBER(I511),ISNUMBER(O511)),(I511-O511),"")</f>
        <v/>
      </c>
      <c r="Q511" s="12" t="inlineStr">
        <is>
          <t>WG 1013504 entered track and got coupled to WG 1013203 then waited 8:06:31 for WG 1014207 to get coupled then waited 11:06:12 for WG 1014602 to get coupled then waited 5:07:03 for WG 1014810 to get coupled, OBTP started on 08:11:34 finished on 08:38:32 and then left at 08:39:45</t>
        </is>
      </c>
    </row>
    <row r="512">
      <c r="A512" s="3" t="inlineStr">
        <is>
          <t>1013505</t>
        </is>
      </c>
      <c r="B512" s="3" t="inlineStr">
        <is>
          <t>10135</t>
        </is>
      </c>
      <c r="C512" s="9" t="n">
        <v>21</v>
      </c>
      <c r="D512" s="3" t="inlineStr">
        <is>
          <t>Neunkirchen (loading tracks)</t>
        </is>
      </c>
      <c r="E512" s="10" t="n">
        <v>45672.29952546296</v>
      </c>
      <c r="F512" s="10" t="n">
        <v>45672.32291666666</v>
      </c>
      <c r="G512" s="10" t="n">
        <v>45672.32454861111</v>
      </c>
      <c r="H512" s="3" t="inlineStr">
        <is>
          <t>OBT150125182201-Neunkirchen (loading tracks)</t>
        </is>
      </c>
      <c r="I512" s="10" t="n">
        <v>45672.7783449074</v>
      </c>
      <c r="J512" s="10" t="n">
        <v>45672.79892361111</v>
      </c>
      <c r="K512" s="10" t="n">
        <v>45672.79892361111</v>
      </c>
      <c r="L512" s="10" t="n">
        <v>45672.79980324074</v>
      </c>
      <c r="M512" s="11">
        <f>IF(AND(ISNUMBER(E512),ISNUMBER(G512)),(G512-E512),"")</f>
        <v/>
      </c>
      <c r="N512" s="11">
        <f>IF(AND(ISNUMBER(G512),ISNUMBER(L512)),(L512-G512),"")</f>
        <v/>
      </c>
      <c r="O512" s="10" t="n">
        <v>45672.32695601852</v>
      </c>
      <c r="P512" s="11">
        <f>IF(AND(ISNUMBER(I512),ISNUMBER(O512)),(I512-O512),"")</f>
        <v/>
      </c>
      <c r="Q512" s="12" t="inlineStr">
        <is>
          <t>WG 1013505 entered track and got secured then waited 1:34:59 for WG 1013802 to get coupled then waited 0:16:17 for WG 1013808 to get coupled then waited 5:58:05 for WG 1014201 to get coupled then waited 0:14:28 for WG 1014206 to get coupled then waited 2:27:23 for WG 1014504 to get coupled, OBTP started on 18:40:49 finished on 19:10:27 and then left at 19:11:43</t>
        </is>
      </c>
    </row>
    <row r="513">
      <c r="A513" s="3" t="inlineStr">
        <is>
          <t>1013506</t>
        </is>
      </c>
      <c r="B513" s="3" t="inlineStr">
        <is>
          <t>10135</t>
        </is>
      </c>
      <c r="C513" s="9" t="n">
        <v>28</v>
      </c>
      <c r="D513" s="3" t="inlineStr">
        <is>
          <t>Wr. Neustadt (Brenntag)</t>
        </is>
      </c>
      <c r="E513" s="10" t="n">
        <v>45672.29952546296</v>
      </c>
      <c r="F513" s="10" t="n">
        <v>45672.32454861111</v>
      </c>
      <c r="G513" s="10" t="n">
        <v>45672.32596064815</v>
      </c>
      <c r="H513" s="3" t="inlineStr">
        <is>
          <t>OBT200125083327-Wr. Neustadt (Brenntag)</t>
        </is>
      </c>
      <c r="I513" s="10" t="n">
        <v>45677.7199537037</v>
      </c>
      <c r="J513" s="10" t="n">
        <v>45677.74182870371</v>
      </c>
      <c r="K513" s="10" t="n">
        <v>45677.74182870371</v>
      </c>
      <c r="L513" s="10" t="n">
        <v>45677.74260416667</v>
      </c>
      <c r="M513" s="11">
        <f>IF(AND(ISNUMBER(E513),ISNUMBER(G513)),(G513-E513),"")</f>
        <v/>
      </c>
      <c r="N513" s="11">
        <f>IF(AND(ISNUMBER(G513),ISNUMBER(L513)),(L513-G513),"")</f>
        <v/>
      </c>
      <c r="O513" s="10" t="n">
        <v>45672.33001157407</v>
      </c>
      <c r="P513" s="11">
        <f>IF(AND(ISNUMBER(I513),ISNUMBER(O513)),(I513-O513),"")</f>
        <v/>
      </c>
      <c r="Q513" s="12" t="inlineStr">
        <is>
          <t>WG 1013506 entered track and got secured then waited 10:21:36 for WG 1014502 to get coupled then waited 15:47:00 for WG 1015102 to get coupled then waited 10:24:59 for WG 1016001 to get coupled then waited 12:58:29 for WG 1016706 to get coupled then waited 71:06:10 for WG 1018316 to get coupled, OBTP started on 17:16:44 finished on 17:48:14 and then left at 17:49:21</t>
        </is>
      </c>
    </row>
    <row r="514">
      <c r="A514" s="3" t="inlineStr">
        <is>
          <t>1013507</t>
        </is>
      </c>
      <c r="B514" s="3" t="inlineStr">
        <is>
          <t>10135</t>
        </is>
      </c>
      <c r="C514" s="9" t="n">
        <v>67.12</v>
      </c>
      <c r="D514" s="3" t="inlineStr">
        <is>
          <t>Other sidings north</t>
        </is>
      </c>
      <c r="E514" s="10" t="n">
        <v>45672.29952546296</v>
      </c>
      <c r="F514" s="10" t="n">
        <v>45672.32596064815</v>
      </c>
      <c r="G514" s="10" t="n">
        <v>45672.32810185185</v>
      </c>
      <c r="H514" s="3" t="inlineStr">
        <is>
          <t>OBT150125075736-Other sidings north</t>
        </is>
      </c>
      <c r="I514" s="10" t="n">
        <v>45672.33923611111</v>
      </c>
      <c r="J514" s="10" t="n">
        <v>45672.3644212963</v>
      </c>
      <c r="K514" s="10" t="n">
        <v>45672.3644212963</v>
      </c>
      <c r="L514" s="10" t="n">
        <v>45672.36525462963</v>
      </c>
      <c r="M514" s="11">
        <f>IF(AND(ISNUMBER(E514),ISNUMBER(G514)),(G514-E514),"")</f>
        <v/>
      </c>
      <c r="N514" s="11">
        <f>IF(AND(ISNUMBER(G514),ISNUMBER(L514)),(L514-G514),"")</f>
        <v/>
      </c>
      <c r="O514" s="10" t="n">
        <v>45672.33166666667</v>
      </c>
      <c r="P514" s="11">
        <f>IF(AND(ISNUMBER(I514),ISNUMBER(O514)),(I514-O514),"")</f>
        <v/>
      </c>
      <c r="Q514" s="12" t="inlineStr">
        <is>
          <t>WG 1013507 entered track and got coupled to WG 1012904, OBTP started on 08:08:30 finished on 08:44:46 and then left at 08:45:58</t>
        </is>
      </c>
    </row>
    <row r="515">
      <c r="A515" s="3" t="inlineStr">
        <is>
          <t>1013508</t>
        </is>
      </c>
      <c r="B515" s="3" t="inlineStr">
        <is>
          <t>10135</t>
        </is>
      </c>
      <c r="C515" s="9" t="n">
        <v>62.22</v>
      </c>
      <c r="D515" s="3" t="inlineStr">
        <is>
          <t>Pitten (Hamburger)</t>
        </is>
      </c>
      <c r="E515" s="10" t="n">
        <v>45672.29952546296</v>
      </c>
      <c r="F515" s="10" t="n">
        <v>45672.32810185185</v>
      </c>
      <c r="G515" s="10" t="n">
        <v>45672.33016203704</v>
      </c>
      <c r="H515" s="3" t="inlineStr">
        <is>
          <t>OBT150125092356-Pitten (Hamburger)</t>
        </is>
      </c>
      <c r="I515" s="10" t="n">
        <v>45672.39465277778</v>
      </c>
      <c r="J515" s="10" t="n">
        <v>45672.41353009259</v>
      </c>
      <c r="K515" s="10" t="n">
        <v>45672.41353009259</v>
      </c>
      <c r="L515" s="10" t="n">
        <v>45672.4143287037</v>
      </c>
      <c r="M515" s="11">
        <f>IF(AND(ISNUMBER(E515),ISNUMBER(G515)),(G515-E515),"")</f>
        <v/>
      </c>
      <c r="N515" s="11">
        <f>IF(AND(ISNUMBER(G515),ISNUMBER(L515)),(L515-G515),"")</f>
        <v/>
      </c>
      <c r="O515" s="10" t="n">
        <v>45672.33474537037</v>
      </c>
      <c r="P515" s="11">
        <f>IF(AND(ISNUMBER(I515),ISNUMBER(O515)),(I515-O515),"")</f>
        <v/>
      </c>
      <c r="Q515" s="12" t="inlineStr">
        <is>
          <t>WG 1013508 entered track and got coupled to WG 1013502 then waited 1:21:54 for WG 1013801 to get coupled, OBTP started on 09:28:18 finished on 09:55:29 and then left at 09:56:38</t>
        </is>
      </c>
    </row>
    <row r="516">
      <c r="A516" s="3" t="inlineStr">
        <is>
          <t>1013509</t>
        </is>
      </c>
      <c r="B516" s="3" t="inlineStr">
        <is>
          <t>10135</t>
        </is>
      </c>
      <c r="C516" s="9" t="n">
        <v>108</v>
      </c>
      <c r="D516" s="3" t="inlineStr">
        <is>
          <t>Wr. Neustadt (Hödlmayr)</t>
        </is>
      </c>
      <c r="E516" s="10" t="n">
        <v>45672.29952546296</v>
      </c>
      <c r="F516" s="10" t="n">
        <v>45672.33016203704</v>
      </c>
      <c r="G516" s="10" t="n">
        <v>45672.33166666667</v>
      </c>
      <c r="H516" s="3" t="inlineStr">
        <is>
          <t>OBT150125080153-Wr. Neustadt (Hödlmayr)</t>
        </is>
      </c>
      <c r="I516" s="10" t="n">
        <v>45672.34086805556</v>
      </c>
      <c r="J516" s="10" t="n">
        <v>45672.35961805555</v>
      </c>
      <c r="K516" s="10" t="n">
        <v>45672.35961805555</v>
      </c>
      <c r="L516" s="10" t="n">
        <v>45672.36041666667</v>
      </c>
      <c r="M516" s="11">
        <f>IF(AND(ISNUMBER(E516),ISNUMBER(G516)),(G516-E516),"")</f>
        <v/>
      </c>
      <c r="N516" s="11">
        <f>IF(AND(ISNUMBER(G516),ISNUMBER(L516)),(L516-G516),"")</f>
        <v/>
      </c>
      <c r="O516" s="10" t="n">
        <v>45672.33464120371</v>
      </c>
      <c r="P516" s="11">
        <f>IF(AND(ISNUMBER(I516),ISNUMBER(O516)),(I516-O516),"")</f>
        <v/>
      </c>
      <c r="Q516" s="12" t="inlineStr">
        <is>
          <t>WG 1013509 entered track and got secured, OBTP started on 08:10:51 finished on 08:37:51 and then left at 08:39:00</t>
        </is>
      </c>
    </row>
    <row r="517">
      <c r="A517" s="3" t="inlineStr">
        <is>
          <t>1013601</t>
        </is>
      </c>
      <c r="B517" s="3" t="inlineStr">
        <is>
          <t>10136</t>
        </is>
      </c>
      <c r="C517" s="9" t="n">
        <v>256.98</v>
      </c>
      <c r="D517" s="3" t="inlineStr">
        <is>
          <t>Wien Kledering</t>
        </is>
      </c>
      <c r="E517" s="10" t="n">
        <v>45672.31329861111</v>
      </c>
      <c r="F517" s="10" t="n">
        <v>45672.3325462963</v>
      </c>
      <c r="G517" s="10" t="n">
        <v>45672.33482638889</v>
      </c>
      <c r="H517" s="3" t="inlineStr">
        <is>
          <t>OBT150125080609-Wien Kledering</t>
        </is>
      </c>
      <c r="I517" s="10" t="n">
        <v>45672.34275462963</v>
      </c>
      <c r="J517" s="10" t="n">
        <v>45672.38737268518</v>
      </c>
      <c r="K517" s="10" t="n">
        <v>45672.38737268518</v>
      </c>
      <c r="L517" s="10" t="n">
        <v>45672.38850694444</v>
      </c>
      <c r="M517" s="11">
        <f>IF(AND(ISNUMBER(E517),ISNUMBER(G517)),(G517-E517),"")</f>
        <v/>
      </c>
      <c r="N517" s="11">
        <f>IF(AND(ISNUMBER(G517),ISNUMBER(L517)),(L517-G517),"")</f>
        <v/>
      </c>
      <c r="O517" s="10" t="n">
        <v>45672.33760416666</v>
      </c>
      <c r="P517" s="11">
        <f>IF(AND(ISNUMBER(I517),ISNUMBER(O517)),(I517-O517),"")</f>
        <v/>
      </c>
      <c r="Q517" s="12" t="inlineStr">
        <is>
          <t>WG 1013601 entered track and got secured, OBTP started on 08:13:34 finished on 09:17:49 and then left at 09:19:27</t>
        </is>
      </c>
    </row>
    <row r="518">
      <c r="A518" s="3" t="inlineStr">
        <is>
          <t>1013701</t>
        </is>
      </c>
      <c r="B518" s="3" t="inlineStr">
        <is>
          <t>10137</t>
        </is>
      </c>
      <c r="C518" s="9" t="n">
        <v>374.0600000000001</v>
      </c>
      <c r="D518" s="3" t="inlineStr">
        <is>
          <t>Wien Kledering</t>
        </is>
      </c>
      <c r="E518" s="10" t="n">
        <v>45672.33785879629</v>
      </c>
      <c r="F518" s="10" t="n">
        <v>45672.34431712963</v>
      </c>
      <c r="G518" s="10" t="n">
        <v>45672.34710648148</v>
      </c>
      <c r="H518" s="3" t="inlineStr">
        <is>
          <t>OBT150125084204-Wien Kledering</t>
        </is>
      </c>
      <c r="I518" s="10" t="n">
        <v>45672.36418981481</v>
      </c>
      <c r="J518" s="10" t="n">
        <v>45672.42913194445</v>
      </c>
      <c r="K518" s="10" t="n">
        <v>45672.42913194445</v>
      </c>
      <c r="L518" s="10" t="n">
        <v>45672.43053240741</v>
      </c>
      <c r="M518" s="11">
        <f>IF(AND(ISNUMBER(E518),ISNUMBER(G518)),(G518-E518),"")</f>
        <v/>
      </c>
      <c r="N518" s="11">
        <f>IF(AND(ISNUMBER(G518),ISNUMBER(L518)),(L518-G518),"")</f>
        <v/>
      </c>
      <c r="O518" s="10" t="n">
        <v>45672.3625462963</v>
      </c>
      <c r="P518" s="11">
        <f>IF(AND(ISNUMBER(I518),ISNUMBER(O518)),(I518-O518),"")</f>
        <v/>
      </c>
      <c r="Q518" s="12" t="inlineStr">
        <is>
          <t>WG 1013701 entered track and got secured, OBTP started on 08:44:26 finished on 10:17:57 and then left at 10:19:58</t>
        </is>
      </c>
    </row>
    <row r="519">
      <c r="A519" s="3" t="inlineStr">
        <is>
          <t>1013801</t>
        </is>
      </c>
      <c r="B519" s="3" t="inlineStr">
        <is>
          <t>10138</t>
        </is>
      </c>
      <c r="C519" s="9" t="n">
        <v>23.24</v>
      </c>
      <c r="D519" s="3" t="inlineStr">
        <is>
          <t>Pitten (Hamburger)</t>
        </is>
      </c>
      <c r="E519" s="10" t="n">
        <v>45672.37258101852</v>
      </c>
      <c r="F519" s="10" t="n">
        <v>45672.38576388889</v>
      </c>
      <c r="G519" s="10" t="n">
        <v>45672.38773148148</v>
      </c>
      <c r="H519" s="3" t="inlineStr">
        <is>
          <t>OBT150125092356-Pitten (Hamburger)</t>
        </is>
      </c>
      <c r="I519" s="10" t="n">
        <v>45672.39465277778</v>
      </c>
      <c r="J519" s="10" t="n">
        <v>45672.41353009259</v>
      </c>
      <c r="K519" s="10" t="n">
        <v>45672.41353009259</v>
      </c>
      <c r="L519" s="10" t="n">
        <v>45672.4143287037</v>
      </c>
      <c r="M519" s="11">
        <f>IF(AND(ISNUMBER(E519),ISNUMBER(G519)),(G519-E519),"")</f>
        <v/>
      </c>
      <c r="N519" s="11">
        <f>IF(AND(ISNUMBER(G519),ISNUMBER(L519)),(L519-G519),"")</f>
        <v/>
      </c>
      <c r="O519" s="10" t="n">
        <v>45672.39162037037</v>
      </c>
      <c r="P519" s="11">
        <f>IF(AND(ISNUMBER(I519),ISNUMBER(O519)),(I519-O519),"")</f>
        <v/>
      </c>
      <c r="Q519" s="12" t="inlineStr">
        <is>
          <t>WG 1013801 entered track and got coupled to WG 1013508, OBTP started on 09:28:18 finished on 09:55:29 and then left at 09:56:38</t>
        </is>
      </c>
    </row>
    <row r="520">
      <c r="A520" s="3" t="inlineStr">
        <is>
          <t>1013802</t>
        </is>
      </c>
      <c r="B520" s="3" t="inlineStr">
        <is>
          <t>10138</t>
        </is>
      </c>
      <c r="C520" s="9" t="n">
        <v>21</v>
      </c>
      <c r="D520" s="3" t="inlineStr">
        <is>
          <t>Neunkirchen (loading tracks)</t>
        </is>
      </c>
      <c r="E520" s="10" t="n">
        <v>45672.37258101852</v>
      </c>
      <c r="F520" s="10" t="n">
        <v>45672.38773148148</v>
      </c>
      <c r="G520" s="10" t="n">
        <v>45672.38935185185</v>
      </c>
      <c r="H520" s="3" t="inlineStr">
        <is>
          <t>OBT150125182201-Neunkirchen (loading tracks)</t>
        </is>
      </c>
      <c r="I520" s="10" t="n">
        <v>45672.7783449074</v>
      </c>
      <c r="J520" s="10" t="n">
        <v>45672.79892361111</v>
      </c>
      <c r="K520" s="10" t="n">
        <v>45672.79892361111</v>
      </c>
      <c r="L520" s="10" t="n">
        <v>45672.79980324074</v>
      </c>
      <c r="M520" s="11">
        <f>IF(AND(ISNUMBER(E520),ISNUMBER(G520)),(G520-E520),"")</f>
        <v/>
      </c>
      <c r="N520" s="11">
        <f>IF(AND(ISNUMBER(G520),ISNUMBER(L520)),(L520-G520),"")</f>
        <v/>
      </c>
      <c r="O520" s="10" t="n">
        <v>45672.39291666666</v>
      </c>
      <c r="P520" s="11">
        <f>IF(AND(ISNUMBER(I520),ISNUMBER(O520)),(I520-O520),"")</f>
        <v/>
      </c>
      <c r="Q520" s="12" t="inlineStr">
        <is>
          <t>WG 1013802 entered track and got coupled to WG 1013505 then waited 0:16:17 for WG 1013808 to get coupled then waited 5:58:05 for WG 1014201 to get coupled then waited 0:14:28 for WG 1014206 to get coupled then waited 2:27:23 for WG 1014504 to get coupled, OBTP started on 18:40:49 finished on 19:10:27 and then left at 19:11:43</t>
        </is>
      </c>
    </row>
    <row r="521">
      <c r="A521" s="3" t="inlineStr">
        <is>
          <t>1013803</t>
        </is>
      </c>
      <c r="B521" s="3" t="inlineStr">
        <is>
          <t>10138</t>
        </is>
      </c>
      <c r="C521" s="9" t="n">
        <v>19.9</v>
      </c>
      <c r="D521" s="3" t="inlineStr">
        <is>
          <t>Other sidings north</t>
        </is>
      </c>
      <c r="E521" s="10" t="n">
        <v>45672.37258101852</v>
      </c>
      <c r="F521" s="10" t="n">
        <v>45672.38935185185</v>
      </c>
      <c r="G521" s="10" t="n">
        <v>45672.39052083333</v>
      </c>
      <c r="H521" s="3" t="inlineStr">
        <is>
          <t>OBT150125155826-Other sidings north</t>
        </is>
      </c>
      <c r="I521" s="10" t="n">
        <v>45672.66721064815</v>
      </c>
      <c r="J521" s="10" t="n">
        <v>45672.68505787037</v>
      </c>
      <c r="K521" s="10" t="n">
        <v>45672.68505787037</v>
      </c>
      <c r="L521" s="10" t="n">
        <v>45672.68575231481</v>
      </c>
      <c r="M521" s="11">
        <f>IF(AND(ISNUMBER(E521),ISNUMBER(G521)),(G521-E521),"")</f>
        <v/>
      </c>
      <c r="N521" s="11">
        <f>IF(AND(ISNUMBER(G521),ISNUMBER(L521)),(L521-G521),"")</f>
        <v/>
      </c>
      <c r="O521" s="10" t="n">
        <v>45672.39291666666</v>
      </c>
      <c r="P521" s="11">
        <f>IF(AND(ISNUMBER(I521),ISNUMBER(O521)),(I521-O521),"")</f>
        <v/>
      </c>
      <c r="Q521" s="12" t="inlineStr">
        <is>
          <t>WG 1013803 entered track and got secured then waited 0:06:30 for WG 1013805 to get coupled then waited 6:26:08 for WG 1014208 to get coupled, OBTP started on 16:00:47 finished on 16:26:29 and then left at 16:27:29</t>
        </is>
      </c>
    </row>
    <row r="522">
      <c r="A522" s="3" t="inlineStr">
        <is>
          <t>1013804</t>
        </is>
      </c>
      <c r="B522" s="3" t="inlineStr">
        <is>
          <t>10138</t>
        </is>
      </c>
      <c r="C522" s="9" t="n">
        <v>57.4</v>
      </c>
      <c r="D522" s="3" t="inlineStr">
        <is>
          <t>Neudörfl (FunderMax)</t>
        </is>
      </c>
      <c r="E522" s="10" t="n">
        <v>45672.37258101852</v>
      </c>
      <c r="F522" s="10" t="n">
        <v>45672.39052083333</v>
      </c>
      <c r="G522" s="10" t="n">
        <v>45672.39234953704</v>
      </c>
      <c r="H522" s="3" t="inlineStr">
        <is>
          <t>OBT150125160356-Neudörfl (FunderMax)</t>
        </is>
      </c>
      <c r="I522" s="10" t="n">
        <v>45672.67197916667</v>
      </c>
      <c r="J522" s="10" t="n">
        <v>45672.71085648148</v>
      </c>
      <c r="K522" s="10" t="n">
        <v>45672.71085648148</v>
      </c>
      <c r="L522" s="10" t="n">
        <v>45672.71188657408</v>
      </c>
      <c r="M522" s="11">
        <f>IF(AND(ISNUMBER(E522),ISNUMBER(G522)),(G522-E522),"")</f>
        <v/>
      </c>
      <c r="N522" s="11">
        <f>IF(AND(ISNUMBER(G522),ISNUMBER(L522)),(L522-G522),"")</f>
        <v/>
      </c>
      <c r="O522" s="10" t="n">
        <v>45672.39625</v>
      </c>
      <c r="P522" s="11">
        <f>IF(AND(ISNUMBER(I522),ISNUMBER(O522)),(I522-O522),"")</f>
        <v/>
      </c>
      <c r="Q522" s="12" t="inlineStr">
        <is>
          <t>WG 1013804 entered track and got coupled to WG 1013503 then waited 6:33:20 for WG 1014210 to get coupled, OBTP started on 16:07:39 finished on 17:03:38 and then left at 17:05:07</t>
        </is>
      </c>
    </row>
    <row r="523">
      <c r="A523" s="3" t="inlineStr">
        <is>
          <t>1013805</t>
        </is>
      </c>
      <c r="B523" s="3" t="inlineStr">
        <is>
          <t>10138</t>
        </is>
      </c>
      <c r="C523" s="9" t="n">
        <v>31.48</v>
      </c>
      <c r="D523" s="3" t="inlineStr">
        <is>
          <t>Other sidings local</t>
        </is>
      </c>
      <c r="E523" s="10" t="n">
        <v>45672.37258101852</v>
      </c>
      <c r="F523" s="10" t="n">
        <v>45672.39234953704</v>
      </c>
      <c r="G523" s="10" t="n">
        <v>45672.39354166666</v>
      </c>
      <c r="H523" s="3" t="inlineStr">
        <is>
          <t>OBT150125155826-Other sidings north</t>
        </is>
      </c>
      <c r="I523" s="10" t="n">
        <v>45672.66721064815</v>
      </c>
      <c r="J523" s="10" t="n">
        <v>45672.68505787037</v>
      </c>
      <c r="K523" s="10" t="n">
        <v>45672.68505787037</v>
      </c>
      <c r="L523" s="10" t="n">
        <v>45672.68575231481</v>
      </c>
      <c r="M523" s="11">
        <f>IF(AND(ISNUMBER(E523),ISNUMBER(G523)),(G523-E523),"")</f>
        <v/>
      </c>
      <c r="N523" s="11">
        <f>IF(AND(ISNUMBER(G523),ISNUMBER(L523)),(L523-G523),"")</f>
        <v/>
      </c>
      <c r="O523" s="10" t="n">
        <v>45672.39743055555</v>
      </c>
      <c r="P523" s="11">
        <f>IF(AND(ISNUMBER(I523),ISNUMBER(O523)),(I523-O523),"")</f>
        <v/>
      </c>
      <c r="Q523" s="12" t="inlineStr">
        <is>
          <t>WG 1013805 entered track and got coupled to WG 1013803 then waited 6:26:08 for WG 1014208 to get coupled, OBTP started on 16:00:47 finished on 16:26:29 and then left at 16:27:29</t>
        </is>
      </c>
    </row>
    <row r="524">
      <c r="A524" s="3" t="inlineStr">
        <is>
          <t>1013806</t>
        </is>
      </c>
      <c r="B524" s="3" t="inlineStr">
        <is>
          <t>10138</t>
        </is>
      </c>
      <c r="C524" s="9" t="n">
        <v>62.96</v>
      </c>
      <c r="D524" s="3" t="inlineStr">
        <is>
          <t>Ebenfurth (beet loading)</t>
        </is>
      </c>
      <c r="E524" s="10" t="n">
        <v>45672.37258101852</v>
      </c>
      <c r="F524" s="10" t="n">
        <v>45672.39354166666</v>
      </c>
      <c r="G524" s="10" t="n">
        <v>45672.39556712963</v>
      </c>
      <c r="H524" s="3" t="inlineStr">
        <is>
          <t>OBT150125183815-Ebenfurth (beet loading)</t>
        </is>
      </c>
      <c r="I524" s="10" t="n">
        <v>45672.7861574074</v>
      </c>
      <c r="J524" s="10" t="n">
        <v>45672.80800925926</v>
      </c>
      <c r="K524" s="10" t="n">
        <v>45672.80800925926</v>
      </c>
      <c r="L524" s="10" t="n">
        <v>45672.80869212963</v>
      </c>
      <c r="M524" s="11">
        <f>IF(AND(ISNUMBER(E524),ISNUMBER(G524)),(G524-E524),"")</f>
        <v/>
      </c>
      <c r="N524" s="11">
        <f>IF(AND(ISNUMBER(G524),ISNUMBER(L524)),(L524-G524),"")</f>
        <v/>
      </c>
      <c r="O524" s="10" t="n">
        <v>45672.39946759259</v>
      </c>
      <c r="P524" s="11">
        <f>IF(AND(ISNUMBER(I524),ISNUMBER(O524)),(I524-O524),"")</f>
        <v/>
      </c>
      <c r="Q524" s="12" t="inlineStr">
        <is>
          <t>WG 1013806 entered track and got secured then waited 6:08:10 for WG 1014202 to get coupled then waited 2:31:27 for WG 1014501 to get coupled then waited 0:23:24 for WG 1014510 to get coupled, OBTP started on 18:52:04 finished on 19:23:32 and then left at 19:24:31</t>
        </is>
      </c>
    </row>
    <row r="525">
      <c r="A525" s="3" t="inlineStr">
        <is>
          <t>1013807</t>
        </is>
      </c>
      <c r="B525" s="3" t="inlineStr">
        <is>
          <t>10138</t>
        </is>
      </c>
      <c r="C525" s="9" t="n">
        <v>54</v>
      </c>
      <c r="D525" s="3" t="inlineStr">
        <is>
          <t>Wr. Neustadt (Hödlmayr)</t>
        </is>
      </c>
      <c r="E525" s="10" t="n">
        <v>45672.37258101852</v>
      </c>
      <c r="F525" s="10" t="n">
        <v>45672.39556712963</v>
      </c>
      <c r="G525" s="10" t="n">
        <v>45672.39768518518</v>
      </c>
      <c r="H525" s="3" t="inlineStr">
        <is>
          <t>OBT150125154642-Wr. Neustadt (Hödlmayr)</t>
        </is>
      </c>
      <c r="I525" s="10" t="n">
        <v>45672.65829861111</v>
      </c>
      <c r="J525" s="10" t="n">
        <v>45672.69111111111</v>
      </c>
      <c r="K525" s="10" t="n">
        <v>45672.69111111111</v>
      </c>
      <c r="L525" s="10" t="n">
        <v>45672.69204861111</v>
      </c>
      <c r="M525" s="11">
        <f>IF(AND(ISNUMBER(E525),ISNUMBER(G525)),(G525-E525),"")</f>
        <v/>
      </c>
      <c r="N525" s="11">
        <f>IF(AND(ISNUMBER(G525),ISNUMBER(L525)),(L525-G525),"")</f>
        <v/>
      </c>
      <c r="O525" s="10" t="n">
        <v>45672.40063657407</v>
      </c>
      <c r="P525" s="11">
        <f>IF(AND(ISNUMBER(I525),ISNUMBER(O525)),(I525-O525),"")</f>
        <v/>
      </c>
      <c r="Q525" s="12" t="inlineStr">
        <is>
          <t>WG 1013807 entered track and got secured then waited 6:09:47 for WG 1014203 to get coupled, OBTP started on 15:47:57 finished on 16:35:12 and then left at 16:36:33</t>
        </is>
      </c>
    </row>
    <row r="526">
      <c r="A526" s="3" t="inlineStr">
        <is>
          <t>1013808</t>
        </is>
      </c>
      <c r="B526" s="3" t="inlineStr">
        <is>
          <t>10138</t>
        </is>
      </c>
      <c r="C526" s="9" t="n">
        <v>15.74</v>
      </c>
      <c r="D526" s="3" t="inlineStr">
        <is>
          <t>Obereggendorf (Hofer)</t>
        </is>
      </c>
      <c r="E526" s="10" t="n">
        <v>45672.37258101852</v>
      </c>
      <c r="F526" s="10" t="n">
        <v>45672.39768518518</v>
      </c>
      <c r="G526" s="10" t="n">
        <v>45672.39929398148</v>
      </c>
      <c r="H526" s="3" t="inlineStr">
        <is>
          <t>OBT150125182201-Neunkirchen (loading tracks)</t>
        </is>
      </c>
      <c r="I526" s="10" t="n">
        <v>45672.7783449074</v>
      </c>
      <c r="J526" s="10" t="n">
        <v>45672.79892361111</v>
      </c>
      <c r="K526" s="10" t="n">
        <v>45672.79892361111</v>
      </c>
      <c r="L526" s="10" t="n">
        <v>45672.79980324074</v>
      </c>
      <c r="M526" s="11">
        <f>IF(AND(ISNUMBER(E526),ISNUMBER(G526)),(G526-E526),"")</f>
        <v/>
      </c>
      <c r="N526" s="11">
        <f>IF(AND(ISNUMBER(G526),ISNUMBER(L526)),(L526-G526),"")</f>
        <v/>
      </c>
      <c r="O526" s="10" t="n">
        <v>45672.40422453704</v>
      </c>
      <c r="P526" s="11">
        <f>IF(AND(ISNUMBER(I526),ISNUMBER(O526)),(I526-O526),"")</f>
        <v/>
      </c>
      <c r="Q526" s="12" t="inlineStr">
        <is>
          <t>WG 1013808 entered track and got coupled to WG 1013802 then waited 5:58:05 for WG 1014201 to get coupled then waited 0:14:28 for WG 1014206 to get coupled then waited 2:27:23 for WG 1014504 to get coupled, OBTP started on 18:40:49 finished on 19:10:27 and then left at 19:11:43</t>
        </is>
      </c>
    </row>
    <row r="527">
      <c r="A527" s="3" t="inlineStr">
        <is>
          <t>1013901</t>
        </is>
      </c>
      <c r="B527" s="3" t="inlineStr">
        <is>
          <t>10139</t>
        </is>
      </c>
      <c r="C527" s="9" t="n">
        <v>281.4</v>
      </c>
      <c r="D527" s="3" t="inlineStr">
        <is>
          <t>Wien Kledering</t>
        </is>
      </c>
      <c r="E527" s="10" t="n">
        <v>45672.38071759259</v>
      </c>
      <c r="F527" s="10" t="n">
        <v>45672.40016203704</v>
      </c>
      <c r="G527" s="10" t="n">
        <v>45672.40203703703</v>
      </c>
      <c r="H527" s="3" t="inlineStr">
        <is>
          <t>OBT150125094220-Wien Kledering</t>
        </is>
      </c>
      <c r="I527" s="10" t="n">
        <v>45672.41065972222</v>
      </c>
      <c r="J527" s="10" t="n">
        <v>45672.45951388889</v>
      </c>
      <c r="K527" s="10" t="n">
        <v>45672.45951388889</v>
      </c>
      <c r="L527" s="10" t="n">
        <v>45672.46071759259</v>
      </c>
      <c r="M527" s="11">
        <f>IF(AND(ISNUMBER(E527),ISNUMBER(G527)),(G527-E527),"")</f>
        <v/>
      </c>
      <c r="N527" s="11">
        <f>IF(AND(ISNUMBER(G527),ISNUMBER(L527)),(L527-G527),"")</f>
        <v/>
      </c>
      <c r="O527" s="10" t="n">
        <v>45672.40439814814</v>
      </c>
      <c r="P527" s="11">
        <f>IF(AND(ISNUMBER(I527),ISNUMBER(O527)),(I527-O527),"")</f>
        <v/>
      </c>
      <c r="Q527" s="12" t="inlineStr">
        <is>
          <t>WG 1013901 entered track and got secured, OBTP started on 09:51:21 finished on 11:01:42 and then left at 11:03:26</t>
        </is>
      </c>
    </row>
    <row r="528">
      <c r="A528" s="3" t="inlineStr">
        <is>
          <t>1013902</t>
        </is>
      </c>
      <c r="B528" s="3" t="inlineStr">
        <is>
          <t>10139</t>
        </is>
      </c>
      <c r="C528" s="9" t="n">
        <v>73.90000000000001</v>
      </c>
      <c r="D528" s="3" t="inlineStr">
        <is>
          <t>St. Veit an der Glan</t>
        </is>
      </c>
      <c r="E528" s="10" t="n">
        <v>45672.38071759259</v>
      </c>
      <c r="F528" s="10" t="n">
        <v>45672.40203703703</v>
      </c>
      <c r="G528" s="10" t="n">
        <v>45672.40363425926</v>
      </c>
      <c r="H528" s="3" t="inlineStr">
        <is>
          <t>OBT150125101800-Felixdorf/Sollenau (Bundesheer, Maba)</t>
        </is>
      </c>
      <c r="I528" s="10" t="n">
        <v>45672.43086805556</v>
      </c>
      <c r="J528" s="10" t="n">
        <v>45672.45079861111</v>
      </c>
      <c r="K528" s="10" t="n">
        <v>45672.45079861111</v>
      </c>
      <c r="L528" s="10" t="n">
        <v>45672.45159722222</v>
      </c>
      <c r="M528" s="11">
        <f>IF(AND(ISNUMBER(E528),ISNUMBER(G528)),(G528-E528),"")</f>
        <v/>
      </c>
      <c r="N528" s="11">
        <f>IF(AND(ISNUMBER(G528),ISNUMBER(L528)),(L528-G528),"")</f>
        <v/>
      </c>
      <c r="O528" s="10" t="n">
        <v>45672.40896990741</v>
      </c>
      <c r="P528" s="11">
        <f>IF(AND(ISNUMBER(I528),ISNUMBER(O528)),(I528-O528),"")</f>
        <v/>
      </c>
      <c r="Q528" s="12" t="inlineStr">
        <is>
          <t>WG 1013902 entered track and got coupled to WG 1012909 then waited 0:29:05 for WG 1014001 to get coupled, OBTP started on 10:20:27 finished on 10:49:09 and then left at 10:50:18</t>
        </is>
      </c>
    </row>
    <row r="529">
      <c r="A529" s="3" t="inlineStr">
        <is>
          <t>1014001</t>
        </is>
      </c>
      <c r="B529" s="3" t="inlineStr">
        <is>
          <t>10140</t>
        </is>
      </c>
      <c r="C529" s="9" t="n">
        <v>21</v>
      </c>
      <c r="D529" s="3" t="inlineStr">
        <is>
          <t>St. Veit an der Glan</t>
        </is>
      </c>
      <c r="E529" s="10" t="n">
        <v>45672.41679398148</v>
      </c>
      <c r="F529" s="10" t="n">
        <v>45672.42372685186</v>
      </c>
      <c r="G529" s="10" t="n">
        <v>45672.42524305556</v>
      </c>
      <c r="H529" s="3" t="inlineStr">
        <is>
          <t>OBT150125101800-Felixdorf/Sollenau (Bundesheer, Maba)</t>
        </is>
      </c>
      <c r="I529" s="10" t="n">
        <v>45672.43086805556</v>
      </c>
      <c r="J529" s="10" t="n">
        <v>45672.45079861111</v>
      </c>
      <c r="K529" s="10" t="n">
        <v>45672.45079861111</v>
      </c>
      <c r="L529" s="10" t="n">
        <v>45672.45159722222</v>
      </c>
      <c r="M529" s="11">
        <f>IF(AND(ISNUMBER(E529),ISNUMBER(G529)),(G529-E529),"")</f>
        <v/>
      </c>
      <c r="N529" s="11">
        <f>IF(AND(ISNUMBER(G529),ISNUMBER(L529)),(L529-G529),"")</f>
        <v/>
      </c>
      <c r="O529" s="10" t="n">
        <v>45672.42916666667</v>
      </c>
      <c r="P529" s="11">
        <f>IF(AND(ISNUMBER(I529),ISNUMBER(O529)),(I529-O529),"")</f>
        <v/>
      </c>
      <c r="Q529" s="12" t="inlineStr">
        <is>
          <t>WG 1014001 entered track and got coupled to WG 1013902, OBTP started on 10:20:27 finished on 10:49:09 and then left at 10:50:18</t>
        </is>
      </c>
    </row>
    <row r="530">
      <c r="A530" s="3" t="inlineStr">
        <is>
          <t>1014002</t>
        </is>
      </c>
      <c r="B530" s="3" t="inlineStr">
        <is>
          <t>10140</t>
        </is>
      </c>
      <c r="C530" s="9" t="n">
        <v>252.6</v>
      </c>
      <c r="D530" s="3" t="inlineStr">
        <is>
          <t>Wien Kledering</t>
        </is>
      </c>
      <c r="E530" s="10" t="n">
        <v>45672.41679398148</v>
      </c>
      <c r="F530" s="10" t="n">
        <v>45672.42524305556</v>
      </c>
      <c r="G530" s="10" t="n">
        <v>45672.42753472222</v>
      </c>
      <c r="H530" s="3" t="inlineStr">
        <is>
          <t>OBT150125101848-Wien Kledering</t>
        </is>
      </c>
      <c r="I530" s="10" t="n">
        <v>45672.43137731482</v>
      </c>
      <c r="J530" s="10" t="n">
        <v>45672.47523148148</v>
      </c>
      <c r="K530" s="10" t="n">
        <v>45672.47523148148</v>
      </c>
      <c r="L530" s="10" t="n">
        <v>45672.47635416667</v>
      </c>
      <c r="M530" s="11">
        <f>IF(AND(ISNUMBER(E530),ISNUMBER(G530)),(G530-E530),"")</f>
        <v/>
      </c>
      <c r="N530" s="11">
        <f>IF(AND(ISNUMBER(G530),ISNUMBER(L530)),(L530-G530),"")</f>
        <v/>
      </c>
      <c r="O530" s="10" t="n">
        <v>45672.42972222222</v>
      </c>
      <c r="P530" s="11">
        <f>IF(AND(ISNUMBER(I530),ISNUMBER(O530)),(I530-O530),"")</f>
        <v/>
      </c>
      <c r="Q530" s="12" t="inlineStr">
        <is>
          <t>WG 1014002 entered track and got secured, OBTP started on 10:21:11 finished on 11:24:20 and then left at 11:25:57</t>
        </is>
      </c>
    </row>
    <row r="531">
      <c r="A531" s="3" t="inlineStr">
        <is>
          <t>1014101</t>
        </is>
      </c>
      <c r="B531" s="3" t="inlineStr">
        <is>
          <t>10141</t>
        </is>
      </c>
      <c r="C531" s="9" t="n">
        <v>120.92</v>
      </c>
      <c r="D531" s="3" t="inlineStr">
        <is>
          <t>Wien Kledering</t>
        </is>
      </c>
      <c r="E531" s="10" t="n">
        <v>45672.54278935185</v>
      </c>
      <c r="F531" s="10" t="n">
        <v>45672.54737268519</v>
      </c>
      <c r="G531" s="10" t="n">
        <v>45672.54936342593</v>
      </c>
      <c r="H531" s="3" t="inlineStr">
        <is>
          <t>OBT150125131431-Wien Kledering</t>
        </is>
      </c>
      <c r="I531" s="10" t="n">
        <v>45672.55261574074</v>
      </c>
      <c r="J531" s="10" t="n">
        <v>45672.57359953703</v>
      </c>
      <c r="K531" s="10" t="n">
        <v>45672.57359953703</v>
      </c>
      <c r="L531" s="10" t="n">
        <v>45672.5744212963</v>
      </c>
      <c r="M531" s="11">
        <f>IF(AND(ISNUMBER(E531),ISNUMBER(G531)),(G531-E531),"")</f>
        <v/>
      </c>
      <c r="N531" s="11">
        <f>IF(AND(ISNUMBER(G531),ISNUMBER(L531)),(L531-G531),"")</f>
        <v/>
      </c>
      <c r="O531" s="10" t="n">
        <v>45672.55174768518</v>
      </c>
      <c r="P531" s="11">
        <f>IF(AND(ISNUMBER(I531),ISNUMBER(O531)),(I531-O531),"")</f>
        <v/>
      </c>
      <c r="Q531" s="12" t="inlineStr">
        <is>
          <t>WG 1014101 entered track and got secured, OBTP started on 13:15:46 finished on 13:45:59 and then left at 13:47:10</t>
        </is>
      </c>
    </row>
    <row r="532">
      <c r="A532" s="3" t="inlineStr">
        <is>
          <t>1014201</t>
        </is>
      </c>
      <c r="B532" s="3" t="inlineStr">
        <is>
          <t>10142</t>
        </is>
      </c>
      <c r="C532" s="9" t="n">
        <v>19.9</v>
      </c>
      <c r="D532" s="3" t="inlineStr">
        <is>
          <t>Neunkirchen (loading tracks)</t>
        </is>
      </c>
      <c r="E532" s="10" t="n">
        <v>45672.63020833334</v>
      </c>
      <c r="F532" s="10" t="n">
        <v>45672.64769675926</v>
      </c>
      <c r="G532" s="10" t="n">
        <v>45672.6493287037</v>
      </c>
      <c r="H532" s="3" t="inlineStr">
        <is>
          <t>OBT150125182201-Neunkirchen (loading tracks)</t>
        </is>
      </c>
      <c r="I532" s="10" t="n">
        <v>45672.7783449074</v>
      </c>
      <c r="J532" s="10" t="n">
        <v>45672.79892361111</v>
      </c>
      <c r="K532" s="10" t="n">
        <v>45672.79892361111</v>
      </c>
      <c r="L532" s="10" t="n">
        <v>45672.79980324074</v>
      </c>
      <c r="M532" s="11">
        <f>IF(AND(ISNUMBER(E532),ISNUMBER(G532)),(G532-E532),"")</f>
        <v/>
      </c>
      <c r="N532" s="11">
        <f>IF(AND(ISNUMBER(G532),ISNUMBER(L532)),(L532-G532),"")</f>
        <v/>
      </c>
      <c r="O532" s="10" t="n">
        <v>45672.65289351852</v>
      </c>
      <c r="P532" s="11">
        <f>IF(AND(ISNUMBER(I532),ISNUMBER(O532)),(I532-O532),"")</f>
        <v/>
      </c>
      <c r="Q532" s="12" t="inlineStr">
        <is>
          <t>WG 1014201 entered track and got coupled to WG 1013808 then waited 0:14:28 for WG 1014206 to get coupled then waited 2:27:23 for WG 1014504 to get coupled, OBTP started on 18:40:49 finished on 19:10:27 and then left at 19:11:43</t>
        </is>
      </c>
    </row>
    <row r="533">
      <c r="A533" s="3" t="inlineStr">
        <is>
          <t>1014202</t>
        </is>
      </c>
      <c r="B533" s="3" t="inlineStr">
        <is>
          <t>10142</t>
        </is>
      </c>
      <c r="C533" s="9" t="n">
        <v>15.74</v>
      </c>
      <c r="D533" s="3" t="inlineStr">
        <is>
          <t>Ebenfurth (beet loading)</t>
        </is>
      </c>
      <c r="E533" s="10" t="n">
        <v>45672.63020833334</v>
      </c>
      <c r="F533" s="10" t="n">
        <v>45672.6493287037</v>
      </c>
      <c r="G533" s="10" t="n">
        <v>45672.65123842593</v>
      </c>
      <c r="H533" s="3" t="inlineStr">
        <is>
          <t>OBT150125183815-Ebenfurth (beet loading)</t>
        </is>
      </c>
      <c r="I533" s="10" t="n">
        <v>45672.7861574074</v>
      </c>
      <c r="J533" s="10" t="n">
        <v>45672.80800925926</v>
      </c>
      <c r="K533" s="10" t="n">
        <v>45672.80800925926</v>
      </c>
      <c r="L533" s="10" t="n">
        <v>45672.80869212963</v>
      </c>
      <c r="M533" s="11">
        <f>IF(AND(ISNUMBER(E533),ISNUMBER(G533)),(G533-E533),"")</f>
        <v/>
      </c>
      <c r="N533" s="11">
        <f>IF(AND(ISNUMBER(G533),ISNUMBER(L533)),(L533-G533),"")</f>
        <v/>
      </c>
      <c r="O533" s="10" t="n">
        <v>45672.65513888889</v>
      </c>
      <c r="P533" s="11">
        <f>IF(AND(ISNUMBER(I533),ISNUMBER(O533)),(I533-O533),"")</f>
        <v/>
      </c>
      <c r="Q533" s="12" t="inlineStr">
        <is>
          <t>WG 1014202 entered track and got coupled to WG 1013806 then waited 2:31:27 for WG 1014501 to get coupled then waited 0:23:24 for WG 1014510 to get coupled, OBTP started on 18:52:04 finished on 19:23:32 and then left at 19:24:31</t>
        </is>
      </c>
    </row>
    <row r="534">
      <c r="A534" s="3" t="inlineStr">
        <is>
          <t>1014203</t>
        </is>
      </c>
      <c r="B534" s="3" t="inlineStr">
        <is>
          <t>10142</t>
        </is>
      </c>
      <c r="C534" s="9" t="n">
        <v>135</v>
      </c>
      <c r="D534" s="3" t="inlineStr">
        <is>
          <t>Wr. Neustadt (Hödlmayr)</t>
        </is>
      </c>
      <c r="E534" s="10" t="n">
        <v>45672.63020833334</v>
      </c>
      <c r="F534" s="10" t="n">
        <v>45672.65123842593</v>
      </c>
      <c r="G534" s="10" t="n">
        <v>45672.65354166667</v>
      </c>
      <c r="H534" s="3" t="inlineStr">
        <is>
          <t>OBT150125154642-Wr. Neustadt (Hödlmayr)</t>
        </is>
      </c>
      <c r="I534" s="10" t="n">
        <v>45672.65829861111</v>
      </c>
      <c r="J534" s="10" t="n">
        <v>45672.69111111111</v>
      </c>
      <c r="K534" s="10" t="n">
        <v>45672.69111111111</v>
      </c>
      <c r="L534" s="10" t="n">
        <v>45672.69204861111</v>
      </c>
      <c r="M534" s="11">
        <f>IF(AND(ISNUMBER(E534),ISNUMBER(G534)),(G534-E534),"")</f>
        <v/>
      </c>
      <c r="N534" s="11">
        <f>IF(AND(ISNUMBER(G534),ISNUMBER(L534)),(L534-G534),"")</f>
        <v/>
      </c>
      <c r="O534" s="10" t="n">
        <v>45672.65743055556</v>
      </c>
      <c r="P534" s="11">
        <f>IF(AND(ISNUMBER(I534),ISNUMBER(O534)),(I534-O534),"")</f>
        <v/>
      </c>
      <c r="Q534" s="12" t="inlineStr">
        <is>
          <t>WG 1014203 entered track and got coupled to WG 1013807, OBTP started on 15:47:57 finished on 16:35:12 and then left at 16:36:33</t>
        </is>
      </c>
    </row>
    <row r="535">
      <c r="A535" s="3" t="inlineStr">
        <is>
          <t>1014204</t>
        </is>
      </c>
      <c r="B535" s="3" t="inlineStr">
        <is>
          <t>10142</t>
        </is>
      </c>
      <c r="C535" s="9" t="n">
        <v>15.74</v>
      </c>
      <c r="D535" s="3" t="inlineStr">
        <is>
          <t>Steinabrückl/Wöllersdorf</t>
        </is>
      </c>
      <c r="E535" s="10" t="n">
        <v>45672.63020833334</v>
      </c>
      <c r="F535" s="10" t="n">
        <v>45672.65354166667</v>
      </c>
      <c r="G535" s="10" t="n">
        <v>45672.65528935185</v>
      </c>
      <c r="H535" s="3" t="inlineStr">
        <is>
          <t>OBT170125081922-Steinabrückl/Wöllersdorf</t>
        </is>
      </c>
      <c r="I535" s="10" t="n">
        <v>45674.86785879629</v>
      </c>
      <c r="J535" s="10" t="n">
        <v>45674.92876157408</v>
      </c>
      <c r="K535" s="10" t="n">
        <v>45674.92876157408</v>
      </c>
      <c r="L535" s="10" t="n">
        <v>45674.93011574074</v>
      </c>
      <c r="M535" s="11">
        <f>IF(AND(ISNUMBER(E535),ISNUMBER(G535)),(G535-E535),"")</f>
        <v/>
      </c>
      <c r="N535" s="11">
        <f>IF(AND(ISNUMBER(G535),ISNUMBER(L535)),(L535-G535),"")</f>
        <v/>
      </c>
      <c r="O535" s="10" t="n">
        <v>45672.65746527778</v>
      </c>
      <c r="P535" s="11">
        <f>IF(AND(ISNUMBER(I535),ISNUMBER(O535)),(I535-O535),"")</f>
        <v/>
      </c>
      <c r="Q535" s="12" t="inlineStr">
        <is>
          <t>WG 1014204 entered track and got secured then waited 18:23:58 for WG 1015103 to get coupled then waited 10:26:00 for WG 1016004 to get coupled then waited 11:00:09 for WG 1016403 to get coupled then waited 0:42:30 for WG 1016601 to get coupled, OBTP started on 20:49:43 finished on 22:17:25 and then left at 22:19:22</t>
        </is>
      </c>
    </row>
    <row r="536">
      <c r="A536" s="3" t="inlineStr">
        <is>
          <t>1014205</t>
        </is>
      </c>
      <c r="B536" s="3" t="inlineStr">
        <is>
          <t>10142</t>
        </is>
      </c>
      <c r="C536" s="9" t="n">
        <v>93.69999999999999</v>
      </c>
      <c r="D536" s="3" t="inlineStr">
        <is>
          <t>Pitten (Hamburger)</t>
        </is>
      </c>
      <c r="E536" s="10" t="n">
        <v>45672.63020833334</v>
      </c>
      <c r="F536" s="10" t="n">
        <v>45672.65528935185</v>
      </c>
      <c r="G536" s="10" t="n">
        <v>45672.65743055556</v>
      </c>
      <c r="H536" s="3" t="inlineStr">
        <is>
          <t>OBT150125181910-Pitten (Hamburger)</t>
        </is>
      </c>
      <c r="I536" s="10" t="n">
        <v>45672.76415509259</v>
      </c>
      <c r="J536" s="10" t="n">
        <v>45672.78445601852</v>
      </c>
      <c r="K536" s="10" t="n">
        <v>45672.78445601852</v>
      </c>
      <c r="L536" s="10" t="n">
        <v>45672.78527777778</v>
      </c>
      <c r="M536" s="11">
        <f>IF(AND(ISNUMBER(E536),ISNUMBER(G536)),(G536-E536),"")</f>
        <v/>
      </c>
      <c r="N536" s="11">
        <f>IF(AND(ISNUMBER(G536),ISNUMBER(L536)),(L536-G536),"")</f>
        <v/>
      </c>
      <c r="O536" s="10" t="n">
        <v>45672.65980324074</v>
      </c>
      <c r="P536" s="11">
        <f>IF(AND(ISNUMBER(I536),ISNUMBER(O536)),(I536-O536),"")</f>
        <v/>
      </c>
      <c r="Q536" s="12" t="inlineStr">
        <is>
          <t>WG 1014205 entered track and got secured then waited 2:29:03 for WG 1014503 to get coupled, OBTP started on 18:20:23 finished on 18:49:37 and then left at 18:50:48</t>
        </is>
      </c>
    </row>
    <row r="537">
      <c r="A537" s="3" t="inlineStr">
        <is>
          <t>1014206</t>
        </is>
      </c>
      <c r="B537" s="3" t="inlineStr">
        <is>
          <t>10142</t>
        </is>
      </c>
      <c r="C537" s="9" t="n">
        <v>19.9</v>
      </c>
      <c r="D537" s="3" t="inlineStr">
        <is>
          <t>Neunkirchen (loading tracks)</t>
        </is>
      </c>
      <c r="E537" s="10" t="n">
        <v>45672.63020833334</v>
      </c>
      <c r="F537" s="10" t="n">
        <v>45672.65743055556</v>
      </c>
      <c r="G537" s="10" t="n">
        <v>45672.65905092593</v>
      </c>
      <c r="H537" s="3" t="inlineStr">
        <is>
          <t>OBT150125182201-Neunkirchen (loading tracks)</t>
        </is>
      </c>
      <c r="I537" s="10" t="n">
        <v>45672.7783449074</v>
      </c>
      <c r="J537" s="10" t="n">
        <v>45672.79892361111</v>
      </c>
      <c r="K537" s="10" t="n">
        <v>45672.79892361111</v>
      </c>
      <c r="L537" s="10" t="n">
        <v>45672.79980324074</v>
      </c>
      <c r="M537" s="11">
        <f>IF(AND(ISNUMBER(E537),ISNUMBER(G537)),(G537-E537),"")</f>
        <v/>
      </c>
      <c r="N537" s="11">
        <f>IF(AND(ISNUMBER(G537),ISNUMBER(L537)),(L537-G537),"")</f>
        <v/>
      </c>
      <c r="O537" s="10" t="n">
        <v>45672.66293981481</v>
      </c>
      <c r="P537" s="11">
        <f>IF(AND(ISNUMBER(I537),ISNUMBER(O537)),(I537-O537),"")</f>
        <v/>
      </c>
      <c r="Q537" s="12" t="inlineStr">
        <is>
          <t>WG 1014206 entered track and got coupled to WG 1014201 then waited 2:27:23 for WG 1014504 to get coupled, OBTP started on 18:40:49 finished on 19:10:27 and then left at 19:11:43</t>
        </is>
      </c>
    </row>
    <row r="538">
      <c r="A538" s="3" t="inlineStr">
        <is>
          <t>1014207</t>
        </is>
      </c>
      <c r="B538" s="3" t="inlineStr">
        <is>
          <t>10142</t>
        </is>
      </c>
      <c r="C538" s="9" t="n">
        <v>12.04</v>
      </c>
      <c r="D538" s="3" t="inlineStr">
        <is>
          <t>Ternitz (Schoeller-Bleckmann)</t>
        </is>
      </c>
      <c r="E538" s="10" t="n">
        <v>45672.63020833334</v>
      </c>
      <c r="F538" s="10" t="n">
        <v>45672.65905092593</v>
      </c>
      <c r="G538" s="10" t="n">
        <v>45672.66076388889</v>
      </c>
      <c r="H538" s="3" t="inlineStr">
        <is>
          <t>OBT160125081022-Ternitz (Schoeller-Bleckmann)</t>
        </is>
      </c>
      <c r="I538" s="10" t="n">
        <v>45673.34136574074</v>
      </c>
      <c r="J538" s="10" t="n">
        <v>45673.36009259259</v>
      </c>
      <c r="K538" s="10" t="n">
        <v>45673.36009259259</v>
      </c>
      <c r="L538" s="10" t="n">
        <v>45673.3609375</v>
      </c>
      <c r="M538" s="11">
        <f>IF(AND(ISNUMBER(E538),ISNUMBER(G538)),(G538-E538),"")</f>
        <v/>
      </c>
      <c r="N538" s="11">
        <f>IF(AND(ISNUMBER(G538),ISNUMBER(L538)),(L538-G538),"")</f>
        <v/>
      </c>
      <c r="O538" s="10" t="n">
        <v>45672.66466435185</v>
      </c>
      <c r="P538" s="11">
        <f>IF(AND(ISNUMBER(I538),ISNUMBER(O538)),(I538-O538),"")</f>
        <v/>
      </c>
      <c r="Q538" s="12" t="inlineStr">
        <is>
          <t>WG 1014207 entered track and got coupled to WG 1013504 then waited 11:06:12 for WG 1014602 to get coupled then waited 5:07:03 for WG 1014810 to get coupled, OBTP started on 08:11:34 finished on 08:38:32 and then left at 08:39:45</t>
        </is>
      </c>
    </row>
    <row r="539">
      <c r="A539" s="3" t="inlineStr">
        <is>
          <t>1014208</t>
        </is>
      </c>
      <c r="B539" s="3" t="inlineStr">
        <is>
          <t>10142</t>
        </is>
      </c>
      <c r="C539" s="9" t="n">
        <v>51.38</v>
      </c>
      <c r="D539" s="3" t="inlineStr">
        <is>
          <t>Other sidings north</t>
        </is>
      </c>
      <c r="E539" s="10" t="n">
        <v>45672.63020833334</v>
      </c>
      <c r="F539" s="10" t="n">
        <v>45672.66076388889</v>
      </c>
      <c r="G539" s="10" t="n">
        <v>45672.66201388889</v>
      </c>
      <c r="H539" s="3" t="inlineStr">
        <is>
          <t>OBT150125155826-Other sidings north</t>
        </is>
      </c>
      <c r="I539" s="10" t="n">
        <v>45672.66721064815</v>
      </c>
      <c r="J539" s="10" t="n">
        <v>45672.68505787037</v>
      </c>
      <c r="K539" s="10" t="n">
        <v>45672.68505787037</v>
      </c>
      <c r="L539" s="10" t="n">
        <v>45672.68575231481</v>
      </c>
      <c r="M539" s="11">
        <f>IF(AND(ISNUMBER(E539),ISNUMBER(G539)),(G539-E539),"")</f>
        <v/>
      </c>
      <c r="N539" s="11">
        <f>IF(AND(ISNUMBER(G539),ISNUMBER(L539)),(L539-G539),"")</f>
        <v/>
      </c>
      <c r="O539" s="10" t="n">
        <v>45672.6655787037</v>
      </c>
      <c r="P539" s="11">
        <f>IF(AND(ISNUMBER(I539),ISNUMBER(O539)),(I539-O539),"")</f>
        <v/>
      </c>
      <c r="Q539" s="12" t="inlineStr">
        <is>
          <t>WG 1014208 entered track and got coupled to WG 1013805, OBTP started on 16:00:47 finished on 16:26:29 and then left at 16:27:29</t>
        </is>
      </c>
    </row>
    <row r="540">
      <c r="A540" s="3" t="inlineStr">
        <is>
          <t>1014209</t>
        </is>
      </c>
      <c r="B540" s="3" t="inlineStr">
        <is>
          <t>10142</t>
        </is>
      </c>
      <c r="C540" s="9" t="n">
        <v>23.24</v>
      </c>
      <c r="D540" s="3" t="inlineStr">
        <is>
          <t>Other sidings south</t>
        </is>
      </c>
      <c r="E540" s="10" t="n">
        <v>45672.63020833334</v>
      </c>
      <c r="F540" s="10" t="n">
        <v>45672.66201388889</v>
      </c>
      <c r="G540" s="10" t="n">
        <v>45672.66353009259</v>
      </c>
      <c r="H540" s="3" t="inlineStr">
        <is>
          <t>OBT170125031540-Other sidings south</t>
        </is>
      </c>
      <c r="I540" s="10" t="n">
        <v>45674.34686342593</v>
      </c>
      <c r="J540" s="10" t="n">
        <v>45674.37018518519</v>
      </c>
      <c r="K540" s="10" t="n">
        <v>45674.37018518519</v>
      </c>
      <c r="L540" s="10" t="n">
        <v>45674.37104166667</v>
      </c>
      <c r="M540" s="11">
        <f>IF(AND(ISNUMBER(E540),ISNUMBER(G540)),(G540-E540),"")</f>
        <v/>
      </c>
      <c r="N540" s="11">
        <f>IF(AND(ISNUMBER(G540),ISNUMBER(L540)),(L540-G540),"")</f>
        <v/>
      </c>
      <c r="O540" s="10" t="n">
        <v>45672.66592592592</v>
      </c>
      <c r="P540" s="11">
        <f>IF(AND(ISNUMBER(I540),ISNUMBER(O540)),(I540-O540),"")</f>
        <v/>
      </c>
      <c r="Q540" s="12" t="inlineStr">
        <is>
          <t>WG 1014209 entered track and got secured then waited 2:34:41 for WG 1014508 to get coupled then waited 15:46:08 for WG 1015108 to get coupled then waited 5:00:31 for WG 1015604 to get coupled then waited 5:13:54 for WG 1016003 to get coupled then waited 6:41:30 for WG 1016104 to get coupled, OBTP started on 08:19:29 finished on 08:53:04 and then left at 08:54:18</t>
        </is>
      </c>
    </row>
    <row r="541">
      <c r="A541" s="3" t="inlineStr">
        <is>
          <t>1014210</t>
        </is>
      </c>
      <c r="B541" s="3" t="inlineStr">
        <is>
          <t>10142</t>
        </is>
      </c>
      <c r="C541" s="9" t="n">
        <v>129</v>
      </c>
      <c r="D541" s="3" t="inlineStr">
        <is>
          <t>Neudörfl (FunderMax)</t>
        </is>
      </c>
      <c r="E541" s="10" t="n">
        <v>45672.63020833334</v>
      </c>
      <c r="F541" s="10" t="n">
        <v>45672.66353009259</v>
      </c>
      <c r="G541" s="10" t="n">
        <v>45672.66550925926</v>
      </c>
      <c r="H541" s="3" t="inlineStr">
        <is>
          <t>OBT150125160356-Neudörfl (FunderMax)</t>
        </is>
      </c>
      <c r="I541" s="10" t="n">
        <v>45672.67197916667</v>
      </c>
      <c r="J541" s="10" t="n">
        <v>45672.71085648148</v>
      </c>
      <c r="K541" s="10" t="n">
        <v>45672.71085648148</v>
      </c>
      <c r="L541" s="10" t="n">
        <v>45672.71188657408</v>
      </c>
      <c r="M541" s="11">
        <f>IF(AND(ISNUMBER(E541),ISNUMBER(G541)),(G541-E541),"")</f>
        <v/>
      </c>
      <c r="N541" s="11">
        <f>IF(AND(ISNUMBER(G541),ISNUMBER(L541)),(L541-G541),"")</f>
        <v/>
      </c>
      <c r="O541" s="10" t="n">
        <v>45672.66939814815</v>
      </c>
      <c r="P541" s="11">
        <f>IF(AND(ISNUMBER(I541),ISNUMBER(O541)),(I541-O541),"")</f>
        <v/>
      </c>
      <c r="Q541" s="12" t="inlineStr">
        <is>
          <t>WG 1014210 entered track and got coupled to WG 1013804, OBTP started on 16:07:39 finished on 17:03:38 and then left at 17:05:07</t>
        </is>
      </c>
    </row>
    <row r="542">
      <c r="A542" s="3" t="inlineStr">
        <is>
          <t>1014301</t>
        </is>
      </c>
      <c r="B542" s="3" t="inlineStr">
        <is>
          <t>10143</t>
        </is>
      </c>
      <c r="C542" s="9" t="n">
        <v>110.18</v>
      </c>
      <c r="D542" s="3" t="inlineStr">
        <is>
          <t>Wien Kledering</t>
        </is>
      </c>
      <c r="E542" s="10" t="n">
        <v>45672.64917824074</v>
      </c>
      <c r="F542" s="10" t="n">
        <v>45672.66637731482</v>
      </c>
      <c r="G542" s="10" t="n">
        <v>45672.66784722222</v>
      </c>
      <c r="H542" s="3" t="inlineStr">
        <is>
          <t>OBT150125160509-Wien Kledering</t>
        </is>
      </c>
      <c r="I542" s="10" t="n">
        <v>45672.68674768518</v>
      </c>
      <c r="J542" s="10" t="n">
        <v>45672.70587962963</v>
      </c>
      <c r="K542" s="10" t="n">
        <v>45672.70587962963</v>
      </c>
      <c r="L542" s="10" t="n">
        <v>45672.70667824074</v>
      </c>
      <c r="M542" s="11">
        <f>IF(AND(ISNUMBER(E542),ISNUMBER(G542)),(G542-E542),"")</f>
        <v/>
      </c>
      <c r="N542" s="11">
        <f>IF(AND(ISNUMBER(G542),ISNUMBER(L542)),(L542-G542),"")</f>
        <v/>
      </c>
      <c r="O542" s="10" t="n">
        <v>45672.67024305555</v>
      </c>
      <c r="P542" s="11">
        <f>IF(AND(ISNUMBER(I542),ISNUMBER(O542)),(I542-O542),"")</f>
        <v/>
      </c>
      <c r="Q542" s="12" t="inlineStr">
        <is>
          <t>WG 1014301 entered track and got secured, OBTP started on 16:28:55 finished on 16:56:28 and then left at 16:57:37</t>
        </is>
      </c>
    </row>
    <row r="543">
      <c r="A543" s="3" t="inlineStr">
        <is>
          <t>1014401</t>
        </is>
      </c>
      <c r="B543" s="3" t="inlineStr">
        <is>
          <t>10144</t>
        </is>
      </c>
      <c r="C543" s="9" t="n">
        <v>325.3600000000001</v>
      </c>
      <c r="D543" s="3" t="inlineStr">
        <is>
          <t>Wien Kledering</t>
        </is>
      </c>
      <c r="E543" s="10" t="n">
        <v>45672.72064814815</v>
      </c>
      <c r="F543" s="10" t="n">
        <v>45672.7268287037</v>
      </c>
      <c r="G543" s="10" t="n">
        <v>45672.7287037037</v>
      </c>
      <c r="H543" s="3" t="inlineStr">
        <is>
          <t>OBT150125173247-Wien Kledering</t>
        </is>
      </c>
      <c r="I543" s="10" t="n">
        <v>45672.73196759259</v>
      </c>
      <c r="J543" s="10" t="n">
        <v>45672.78846064815</v>
      </c>
      <c r="K543" s="10" t="n">
        <v>45672.78846064815</v>
      </c>
      <c r="L543" s="10" t="n">
        <v>45672.78967592592</v>
      </c>
      <c r="M543" s="11">
        <f>IF(AND(ISNUMBER(E543),ISNUMBER(G543)),(G543-E543),"")</f>
        <v/>
      </c>
      <c r="N543" s="11">
        <f>IF(AND(ISNUMBER(G543),ISNUMBER(L543)),(L543-G543),"")</f>
        <v/>
      </c>
      <c r="O543" s="10" t="n">
        <v>45672.73109953704</v>
      </c>
      <c r="P543" s="11">
        <f>IF(AND(ISNUMBER(I543),ISNUMBER(O543)),(I543-O543),"")</f>
        <v/>
      </c>
      <c r="Q543" s="12" t="inlineStr">
        <is>
          <t>WG 1014401 entered track and got secured, OBTP started on 17:34:02 finished on 18:55:23 and then left at 18:57:08</t>
        </is>
      </c>
    </row>
    <row r="544">
      <c r="A544" s="3" t="inlineStr">
        <is>
          <t>1014501</t>
        </is>
      </c>
      <c r="B544" s="3" t="inlineStr">
        <is>
          <t>10145</t>
        </is>
      </c>
      <c r="C544" s="9" t="n">
        <v>15.74</v>
      </c>
      <c r="D544" s="3" t="inlineStr">
        <is>
          <t>Ebenfurth (beet loading)</t>
        </is>
      </c>
      <c r="E544" s="10" t="n">
        <v>45672.73767361111</v>
      </c>
      <c r="F544" s="10" t="n">
        <v>45672.75447916667</v>
      </c>
      <c r="G544" s="10" t="n">
        <v>45672.75638888889</v>
      </c>
      <c r="H544" s="3" t="inlineStr">
        <is>
          <t>OBT150125183815-Ebenfurth (beet loading)</t>
        </is>
      </c>
      <c r="I544" s="10" t="n">
        <v>45672.7861574074</v>
      </c>
      <c r="J544" s="10" t="n">
        <v>45672.80800925926</v>
      </c>
      <c r="K544" s="10" t="n">
        <v>45672.80800925926</v>
      </c>
      <c r="L544" s="10" t="n">
        <v>45672.80869212963</v>
      </c>
      <c r="M544" s="11">
        <f>IF(AND(ISNUMBER(E544),ISNUMBER(G544)),(G544-E544),"")</f>
        <v/>
      </c>
      <c r="N544" s="11">
        <f>IF(AND(ISNUMBER(G544),ISNUMBER(L544)),(L544-G544),"")</f>
        <v/>
      </c>
      <c r="O544" s="10" t="n">
        <v>45672.7603125</v>
      </c>
      <c r="P544" s="11">
        <f>IF(AND(ISNUMBER(I544),ISNUMBER(O544)),(I544-O544),"")</f>
        <v/>
      </c>
      <c r="Q544" s="12" t="inlineStr">
        <is>
          <t>WG 1014501 entered track and got coupled to WG 1014202 then waited 0:23:24 for WG 1014510 to get coupled, OBTP started on 18:52:04 finished on 19:23:32 and then left at 19:24:31</t>
        </is>
      </c>
    </row>
    <row r="545">
      <c r="A545" s="3" t="inlineStr">
        <is>
          <t>1014502</t>
        </is>
      </c>
      <c r="B545" s="3" t="inlineStr">
        <is>
          <t>10145</t>
        </is>
      </c>
      <c r="C545" s="9" t="n">
        <v>14</v>
      </c>
      <c r="D545" s="3" t="inlineStr">
        <is>
          <t>Wr. Neustadt (Brenntag)</t>
        </is>
      </c>
      <c r="E545" s="10" t="n">
        <v>45672.73767361111</v>
      </c>
      <c r="F545" s="10" t="n">
        <v>45672.75638888889</v>
      </c>
      <c r="G545" s="10" t="n">
        <v>45672.75777777778</v>
      </c>
      <c r="H545" s="3" t="inlineStr">
        <is>
          <t>OBT200125083327-Wr. Neustadt (Brenntag)</t>
        </is>
      </c>
      <c r="I545" s="10" t="n">
        <v>45677.7199537037</v>
      </c>
      <c r="J545" s="10" t="n">
        <v>45677.74182870371</v>
      </c>
      <c r="K545" s="10" t="n">
        <v>45677.74182870371</v>
      </c>
      <c r="L545" s="10" t="n">
        <v>45677.74260416667</v>
      </c>
      <c r="M545" s="11">
        <f>IF(AND(ISNUMBER(E545),ISNUMBER(G545)),(G545-E545),"")</f>
        <v/>
      </c>
      <c r="N545" s="11">
        <f>IF(AND(ISNUMBER(G545),ISNUMBER(L545)),(L545-G545),"")</f>
        <v/>
      </c>
      <c r="O545" s="10" t="n">
        <v>45672.76167824074</v>
      </c>
      <c r="P545" s="11">
        <f>IF(AND(ISNUMBER(I545),ISNUMBER(O545)),(I545-O545),"")</f>
        <v/>
      </c>
      <c r="Q545" s="12" t="inlineStr">
        <is>
          <t>WG 1014502 entered track and got coupled to WG 1013506 then waited 15:47:00 for WG 1015102 to get coupled then waited 10:24:59 for WG 1016001 to get coupled then waited 12:58:29 for WG 1016706 to get coupled then waited 71:06:10 for WG 1018316 to get coupled, OBTP started on 17:16:44 finished on 17:48:14 and then left at 17:49:21</t>
        </is>
      </c>
    </row>
    <row r="546">
      <c r="A546" s="3" t="inlineStr">
        <is>
          <t>1014503</t>
        </is>
      </c>
      <c r="B546" s="3" t="inlineStr">
        <is>
          <t>10145</t>
        </is>
      </c>
      <c r="C546" s="9" t="n">
        <v>23.24</v>
      </c>
      <c r="D546" s="3" t="inlineStr">
        <is>
          <t>Pitten (Hamburger)</t>
        </is>
      </c>
      <c r="E546" s="10" t="n">
        <v>45672.73767361111</v>
      </c>
      <c r="F546" s="10" t="n">
        <v>45672.75777777778</v>
      </c>
      <c r="G546" s="10" t="n">
        <v>45672.75974537037</v>
      </c>
      <c r="H546" s="3" t="inlineStr">
        <is>
          <t>OBT150125181910-Pitten (Hamburger)</t>
        </is>
      </c>
      <c r="I546" s="10" t="n">
        <v>45672.76415509259</v>
      </c>
      <c r="J546" s="10" t="n">
        <v>45672.78445601852</v>
      </c>
      <c r="K546" s="10" t="n">
        <v>45672.78445601852</v>
      </c>
      <c r="L546" s="10" t="n">
        <v>45672.78527777778</v>
      </c>
      <c r="M546" s="11">
        <f>IF(AND(ISNUMBER(E546),ISNUMBER(G546)),(G546-E546),"")</f>
        <v/>
      </c>
      <c r="N546" s="11">
        <f>IF(AND(ISNUMBER(G546),ISNUMBER(L546)),(L546-G546),"")</f>
        <v/>
      </c>
      <c r="O546" s="10" t="n">
        <v>45672.76331018518</v>
      </c>
      <c r="P546" s="11">
        <f>IF(AND(ISNUMBER(I546),ISNUMBER(O546)),(I546-O546),"")</f>
        <v/>
      </c>
      <c r="Q546" s="12" t="inlineStr">
        <is>
          <t>WG 1014503 entered track and got coupled to WG 1014205, OBTP started on 18:20:23 finished on 18:49:37 and then left at 18:50:48</t>
        </is>
      </c>
    </row>
    <row r="547">
      <c r="A547" s="3" t="inlineStr">
        <is>
          <t>1014504</t>
        </is>
      </c>
      <c r="B547" s="3" t="inlineStr">
        <is>
          <t>10145</t>
        </is>
      </c>
      <c r="C547" s="9" t="n">
        <v>21</v>
      </c>
      <c r="D547" s="3" t="inlineStr">
        <is>
          <t>Neunkirchen (loading tracks)</t>
        </is>
      </c>
      <c r="E547" s="10" t="n">
        <v>45672.73767361111</v>
      </c>
      <c r="F547" s="10" t="n">
        <v>45672.75974537037</v>
      </c>
      <c r="G547" s="10" t="n">
        <v>45672.76136574074</v>
      </c>
      <c r="H547" s="3" t="inlineStr">
        <is>
          <t>OBT150125182201-Neunkirchen (loading tracks)</t>
        </is>
      </c>
      <c r="I547" s="10" t="n">
        <v>45672.7783449074</v>
      </c>
      <c r="J547" s="10" t="n">
        <v>45672.79892361111</v>
      </c>
      <c r="K547" s="10" t="n">
        <v>45672.79892361111</v>
      </c>
      <c r="L547" s="10" t="n">
        <v>45672.79980324074</v>
      </c>
      <c r="M547" s="11">
        <f>IF(AND(ISNUMBER(E547),ISNUMBER(G547)),(G547-E547),"")</f>
        <v/>
      </c>
      <c r="N547" s="11">
        <f>IF(AND(ISNUMBER(G547),ISNUMBER(L547)),(L547-G547),"")</f>
        <v/>
      </c>
      <c r="O547" s="10" t="n">
        <v>45672.76528935185</v>
      </c>
      <c r="P547" s="11">
        <f>IF(AND(ISNUMBER(I547),ISNUMBER(O547)),(I547-O547),"")</f>
        <v/>
      </c>
      <c r="Q547" s="12" t="inlineStr">
        <is>
          <t>WG 1014504 entered track and got coupled to WG 1014206, OBTP started on 18:40:49 finished on 19:10:27 and then left at 19:11:43</t>
        </is>
      </c>
    </row>
    <row r="548">
      <c r="A548" s="3" t="inlineStr">
        <is>
          <t>1014505</t>
        </is>
      </c>
      <c r="B548" s="3" t="inlineStr">
        <is>
          <t>10145</t>
        </is>
      </c>
      <c r="C548" s="9" t="n">
        <v>27</v>
      </c>
      <c r="D548" s="3" t="inlineStr">
        <is>
          <t>Wr. Neustadt (Hödlmayr)</t>
        </is>
      </c>
      <c r="E548" s="10" t="n">
        <v>45672.73767361111</v>
      </c>
      <c r="F548" s="10" t="n">
        <v>45672.76136574074</v>
      </c>
      <c r="G548" s="10" t="n">
        <v>45672.76342592593</v>
      </c>
      <c r="H548" s="3" t="inlineStr">
        <is>
          <t>OBT160125101737-Wr. Neustadt (Hödlmayr)</t>
        </is>
      </c>
      <c r="I548" s="10" t="n">
        <v>45673.43063657408</v>
      </c>
      <c r="J548" s="10" t="n">
        <v>45673.44938657407</v>
      </c>
      <c r="K548" s="10" t="n">
        <v>45673.44938657407</v>
      </c>
      <c r="L548" s="10" t="n">
        <v>45673.45012731481</v>
      </c>
      <c r="M548" s="11">
        <f>IF(AND(ISNUMBER(E548),ISNUMBER(G548)),(G548-E548),"")</f>
        <v/>
      </c>
      <c r="N548" s="11">
        <f>IF(AND(ISNUMBER(G548),ISNUMBER(L548)),(L548-G548),"")</f>
        <v/>
      </c>
      <c r="O548" s="10" t="n">
        <v>45672.76627314815</v>
      </c>
      <c r="P548" s="11">
        <f>IF(AND(ISNUMBER(I548),ISNUMBER(O548)),(I548-O548),"")</f>
        <v/>
      </c>
      <c r="Q548" s="12" t="inlineStr">
        <is>
          <t>WG 1014505 entered track and got secured then waited 13:39:05 for WG 1014807 to get coupled then waited 0:10:48 for WG 1014811 to get coupled then waited 2:04:18 for WG 1015105 to get coupled, OBTP started on 10:20:07 finished on 10:47:07 and then left at 10:48:11</t>
        </is>
      </c>
    </row>
    <row r="549">
      <c r="A549" s="3" t="inlineStr">
        <is>
          <t>1014506</t>
        </is>
      </c>
      <c r="B549" s="3" t="inlineStr">
        <is>
          <t>10145</t>
        </is>
      </c>
      <c r="C549" s="9" t="n">
        <v>23.24</v>
      </c>
      <c r="D549" s="3" t="inlineStr">
        <is>
          <t>Pitten (Hamburger)</t>
        </is>
      </c>
      <c r="E549" s="10" t="n">
        <v>45672.73767361111</v>
      </c>
      <c r="F549" s="10" t="n">
        <v>45672.76342592593</v>
      </c>
      <c r="G549" s="10" t="n">
        <v>45672.76539351852</v>
      </c>
      <c r="H549" s="3" t="inlineStr">
        <is>
          <t>OBT160125075109-Pitten (Hamburger)</t>
        </is>
      </c>
      <c r="I549" s="10" t="n">
        <v>45673.33552083333</v>
      </c>
      <c r="J549" s="10" t="n">
        <v>45673.35712962963</v>
      </c>
      <c r="K549" s="10" t="n">
        <v>45673.35712962963</v>
      </c>
      <c r="L549" s="10" t="n">
        <v>45673.35795138889</v>
      </c>
      <c r="M549" s="11">
        <f>IF(AND(ISNUMBER(E549),ISNUMBER(G549)),(G549-E549),"")</f>
        <v/>
      </c>
      <c r="N549" s="11">
        <f>IF(AND(ISNUMBER(G549),ISNUMBER(L549)),(L549-G549),"")</f>
        <v/>
      </c>
      <c r="O549" s="10" t="n">
        <v>45672.76855324074</v>
      </c>
      <c r="P549" s="11">
        <f>IF(AND(ISNUMBER(I549),ISNUMBER(O549)),(I549-O549),"")</f>
        <v/>
      </c>
      <c r="Q549" s="12" t="inlineStr">
        <is>
          <t>WG 1014506 entered track and got secured then waited 13:24:26 for WG 1014802 to get coupled, OBTP started on 08:03:09 finished on 08:34:16 and then left at 08:35:27</t>
        </is>
      </c>
    </row>
    <row r="550">
      <c r="A550" s="3" t="inlineStr">
        <is>
          <t>1014507</t>
        </is>
      </c>
      <c r="B550" s="3" t="inlineStr">
        <is>
          <t>10145</t>
        </is>
      </c>
      <c r="C550" s="9" t="n">
        <v>28</v>
      </c>
      <c r="D550" s="3" t="inlineStr">
        <is>
          <t>Other sidings local</t>
        </is>
      </c>
      <c r="E550" s="10" t="n">
        <v>45672.73767361111</v>
      </c>
      <c r="F550" s="10" t="n">
        <v>45672.76539351852</v>
      </c>
      <c r="G550" s="10" t="n">
        <v>45672.76658564815</v>
      </c>
      <c r="H550" s="3" t="inlineStr">
        <is>
          <t>OBT160125025835-Neunkirchen (loading tracks)</t>
        </is>
      </c>
      <c r="I550" s="10" t="n">
        <v>45673.12480324074</v>
      </c>
      <c r="J550" s="10" t="n">
        <v>45673.14994212963</v>
      </c>
      <c r="K550" s="10" t="n">
        <v>45673.14994212963</v>
      </c>
      <c r="L550" s="10" t="n">
        <v>45673.15074074074</v>
      </c>
      <c r="M550" s="11">
        <f>IF(AND(ISNUMBER(E550),ISNUMBER(G550)),(G550-E550),"")</f>
        <v/>
      </c>
      <c r="N550" s="11">
        <f>IF(AND(ISNUMBER(G550),ISNUMBER(L550)),(L550-G550),"")</f>
        <v/>
      </c>
      <c r="O550" s="10" t="n">
        <v>45672.76924768519</v>
      </c>
      <c r="P550" s="11">
        <f>IF(AND(ISNUMBER(I550),ISNUMBER(O550)),(I550-O550),"")</f>
        <v/>
      </c>
      <c r="Q550" s="12" t="inlineStr">
        <is>
          <t>WG 1014507 entered track and got secured then waited 8:30:52 for WG 1014601 to get coupled, OBTP started on 02:59:43 finished on 03:35:55 and then left at 03:37:04</t>
        </is>
      </c>
    </row>
    <row r="551">
      <c r="A551" s="3" t="inlineStr">
        <is>
          <t>1014508</t>
        </is>
      </c>
      <c r="B551" s="3" t="inlineStr">
        <is>
          <t>10145</t>
        </is>
      </c>
      <c r="C551" s="9" t="n">
        <v>15.74</v>
      </c>
      <c r="D551" s="3" t="inlineStr">
        <is>
          <t>Other sidings south</t>
        </is>
      </c>
      <c r="E551" s="10" t="n">
        <v>45672.73767361111</v>
      </c>
      <c r="F551" s="10" t="n">
        <v>45672.76658564815</v>
      </c>
      <c r="G551" s="10" t="n">
        <v>45672.7680787037</v>
      </c>
      <c r="H551" s="3" t="inlineStr">
        <is>
          <t>OBT170125031540-Other sidings south</t>
        </is>
      </c>
      <c r="I551" s="10" t="n">
        <v>45674.34686342593</v>
      </c>
      <c r="J551" s="10" t="n">
        <v>45674.37018518519</v>
      </c>
      <c r="K551" s="10" t="n">
        <v>45674.37018518519</v>
      </c>
      <c r="L551" s="10" t="n">
        <v>45674.37104166667</v>
      </c>
      <c r="M551" s="11">
        <f>IF(AND(ISNUMBER(E551),ISNUMBER(G551)),(G551-E551),"")</f>
        <v/>
      </c>
      <c r="N551" s="11">
        <f>IF(AND(ISNUMBER(G551),ISNUMBER(L551)),(L551-G551),"")</f>
        <v/>
      </c>
      <c r="O551" s="10" t="n">
        <v>45672.77334490741</v>
      </c>
      <c r="P551" s="11">
        <f>IF(AND(ISNUMBER(I551),ISNUMBER(O551)),(I551-O551),"")</f>
        <v/>
      </c>
      <c r="Q551" s="12" t="inlineStr">
        <is>
          <t>WG 1014508 entered track and got coupled to WG 1014209 then waited 15:46:08 for WG 1015108 to get coupled then waited 5:00:31 for WG 1015604 to get coupled then waited 5:13:54 for WG 1016003 to get coupled then waited 6:41:30 for WG 1016104 to get coupled, OBTP started on 08:19:29 finished on 08:53:04 and then left at 08:54:18</t>
        </is>
      </c>
    </row>
    <row r="552">
      <c r="A552" s="3" t="inlineStr">
        <is>
          <t>1014509</t>
        </is>
      </c>
      <c r="B552" s="3" t="inlineStr">
        <is>
          <t>10145</t>
        </is>
      </c>
      <c r="C552" s="9" t="n">
        <v>59.7</v>
      </c>
      <c r="D552" s="3" t="inlineStr">
        <is>
          <t>Other sidings north</t>
        </is>
      </c>
      <c r="E552" s="10" t="n">
        <v>45672.73767361111</v>
      </c>
      <c r="F552" s="10" t="n">
        <v>45672.7680787037</v>
      </c>
      <c r="G552" s="10" t="n">
        <v>45672.7699074074</v>
      </c>
      <c r="H552" s="3" t="inlineStr">
        <is>
          <t>OBT170125073030-Other sidings north</t>
        </is>
      </c>
      <c r="I552" s="10" t="n">
        <v>45674.43931712963</v>
      </c>
      <c r="J552" s="10" t="n">
        <v>45674.46262731482</v>
      </c>
      <c r="K552" s="10" t="n">
        <v>45674.46262731482</v>
      </c>
      <c r="L552" s="10" t="n">
        <v>45674.46344907407</v>
      </c>
      <c r="M552" s="11">
        <f>IF(AND(ISNUMBER(E552),ISNUMBER(G552)),(G552-E552),"")</f>
        <v/>
      </c>
      <c r="N552" s="11">
        <f>IF(AND(ISNUMBER(G552),ISNUMBER(L552)),(L552-G552),"")</f>
        <v/>
      </c>
      <c r="O552" s="10" t="n">
        <v>45672.77221064815</v>
      </c>
      <c r="P552" s="11">
        <f>IF(AND(ISNUMBER(I552),ISNUMBER(O552)),(I552-O552),"")</f>
        <v/>
      </c>
      <c r="Q552" s="12" t="inlineStr">
        <is>
          <t>WG 1014509 entered track and got secured then waited 13:33:04 for WG 1014808 to get coupled then waited 23:25:27 for WG 1016401 to get coupled, OBTP started on 10:32:37 finished on 11:06:11 and then left at 11:07:22</t>
        </is>
      </c>
    </row>
    <row r="553">
      <c r="A553" s="3" t="inlineStr">
        <is>
          <t>1014510</t>
        </is>
      </c>
      <c r="B553" s="3" t="inlineStr">
        <is>
          <t>10145</t>
        </is>
      </c>
      <c r="C553" s="9" t="n">
        <v>31.48</v>
      </c>
      <c r="D553" s="3" t="inlineStr">
        <is>
          <t>Ebenfurth (beet loading)</t>
        </is>
      </c>
      <c r="E553" s="10" t="n">
        <v>45672.73767361111</v>
      </c>
      <c r="F553" s="10" t="n">
        <v>45672.7699074074</v>
      </c>
      <c r="G553" s="10" t="n">
        <v>45672.77185185185</v>
      </c>
      <c r="H553" s="3" t="inlineStr">
        <is>
          <t>OBT150125183815-Ebenfurth (beet loading)</t>
        </is>
      </c>
      <c r="I553" s="10" t="n">
        <v>45672.7861574074</v>
      </c>
      <c r="J553" s="10" t="n">
        <v>45672.80800925926</v>
      </c>
      <c r="K553" s="10" t="n">
        <v>45672.80800925926</v>
      </c>
      <c r="L553" s="10" t="n">
        <v>45672.80869212963</v>
      </c>
      <c r="M553" s="11">
        <f>IF(AND(ISNUMBER(E553),ISNUMBER(G553)),(G553-E553),"")</f>
        <v/>
      </c>
      <c r="N553" s="11">
        <f>IF(AND(ISNUMBER(G553),ISNUMBER(L553)),(L553-G553),"")</f>
        <v/>
      </c>
      <c r="O553" s="10" t="n">
        <v>45672.7765625</v>
      </c>
      <c r="P553" s="11">
        <f>IF(AND(ISNUMBER(I553),ISNUMBER(O553)),(I553-O553),"")</f>
        <v/>
      </c>
      <c r="Q553" s="12" t="inlineStr">
        <is>
          <t>WG 1014510 entered track and got coupled to WG 1014501, OBTP started on 18:52:04 finished on 19:23:32 and then left at 19:24:31</t>
        </is>
      </c>
    </row>
    <row r="554">
      <c r="A554" s="3" t="inlineStr">
        <is>
          <t>1014511</t>
        </is>
      </c>
      <c r="B554" s="3" t="inlineStr">
        <is>
          <t>10145</t>
        </is>
      </c>
      <c r="C554" s="9" t="n">
        <v>37.5</v>
      </c>
      <c r="D554" s="3" t="inlineStr">
        <is>
          <t>Neudörfl (FunderMax)</t>
        </is>
      </c>
      <c r="E554" s="10" t="n">
        <v>45672.73767361111</v>
      </c>
      <c r="F554" s="10" t="n">
        <v>45672.77185185185</v>
      </c>
      <c r="G554" s="10" t="n">
        <v>45672.77318287037</v>
      </c>
      <c r="H554" s="3" t="inlineStr">
        <is>
          <t>OBT160125101737-Neudörfl (FunderMax)</t>
        </is>
      </c>
      <c r="I554" s="10" t="n">
        <v>45673.4565162037</v>
      </c>
      <c r="J554" s="10" t="n">
        <v>45673.47396990741</v>
      </c>
      <c r="K554" s="10" t="n">
        <v>45673.47396990741</v>
      </c>
      <c r="L554" s="10" t="n">
        <v>45673.47474537037</v>
      </c>
      <c r="M554" s="11">
        <f>IF(AND(ISNUMBER(E554),ISNUMBER(G554)),(G554-E554),"")</f>
        <v/>
      </c>
      <c r="N554" s="11">
        <f>IF(AND(ISNUMBER(G554),ISNUMBER(L554)),(L554-G554),"")</f>
        <v/>
      </c>
      <c r="O554" s="10" t="n">
        <v>45672.7766087963</v>
      </c>
      <c r="P554" s="11">
        <f>IF(AND(ISNUMBER(I554),ISNUMBER(O554)),(I554-O554),"")</f>
        <v/>
      </c>
      <c r="Q554" s="12" t="inlineStr">
        <is>
          <t>WG 1014511 entered track and got secured then waited 13:22:24 for WG 1014805 to get coupled then waited 2:16:54 for WG 1015106 to get coupled, OBTP started on 10:57:23 finished on 11:22:31 and then left at 11:23:38</t>
        </is>
      </c>
    </row>
    <row r="555">
      <c r="A555" s="3" t="inlineStr">
        <is>
          <t>1014601</t>
        </is>
      </c>
      <c r="B555" s="3" t="inlineStr">
        <is>
          <t>10146</t>
        </is>
      </c>
      <c r="C555" s="9" t="n">
        <v>144.8</v>
      </c>
      <c r="D555" s="3" t="inlineStr">
        <is>
          <t>Neunkirchen (loading tracks)</t>
        </is>
      </c>
      <c r="E555" s="10" t="n">
        <v>45673.11255787037</v>
      </c>
      <c r="F555" s="10" t="n">
        <v>45673.12016203703</v>
      </c>
      <c r="G555" s="10" t="n">
        <v>45673.12162037037</v>
      </c>
      <c r="H555" s="3" t="inlineStr">
        <is>
          <t>OBT160125025835-Neunkirchen (loading tracks)</t>
        </is>
      </c>
      <c r="I555" s="10" t="n">
        <v>45673.12480324074</v>
      </c>
      <c r="J555" s="10" t="n">
        <v>45673.14994212963</v>
      </c>
      <c r="K555" s="10" t="n">
        <v>45673.14994212963</v>
      </c>
      <c r="L555" s="10" t="n">
        <v>45673.15074074074</v>
      </c>
      <c r="M555" s="11">
        <f>IF(AND(ISNUMBER(E555),ISNUMBER(G555)),(G555-E555),"")</f>
        <v/>
      </c>
      <c r="N555" s="11">
        <f>IF(AND(ISNUMBER(G555),ISNUMBER(L555)),(L555-G555),"")</f>
        <v/>
      </c>
      <c r="O555" s="10" t="n">
        <v>45673.12401620371</v>
      </c>
      <c r="P555" s="11">
        <f>IF(AND(ISNUMBER(I555),ISNUMBER(O555)),(I555-O555),"")</f>
        <v/>
      </c>
      <c r="Q555" s="12" t="inlineStr">
        <is>
          <t>WG 1014601 entered track and got secured, OBTP started on 02:59:43 finished on 03:35:55 and then left at 03:37:04</t>
        </is>
      </c>
    </row>
    <row r="556">
      <c r="A556" s="3" t="inlineStr">
        <is>
          <t>1014602</t>
        </is>
      </c>
      <c r="B556" s="3" t="inlineStr">
        <is>
          <t>10146</t>
        </is>
      </c>
      <c r="C556" s="9" t="n">
        <v>39.8</v>
      </c>
      <c r="D556" s="3" t="inlineStr">
        <is>
          <t>Ternitz (Schoeller-Bleckmann)</t>
        </is>
      </c>
      <c r="E556" s="10" t="n">
        <v>45673.11255787037</v>
      </c>
      <c r="F556" s="10" t="n">
        <v>45673.12162037037</v>
      </c>
      <c r="G556" s="10" t="n">
        <v>45673.12340277778</v>
      </c>
      <c r="H556" s="3" t="inlineStr">
        <is>
          <t>OBT160125081022-Ternitz (Schoeller-Bleckmann)</t>
        </is>
      </c>
      <c r="I556" s="10" t="n">
        <v>45673.34136574074</v>
      </c>
      <c r="J556" s="10" t="n">
        <v>45673.36009259259</v>
      </c>
      <c r="K556" s="10" t="n">
        <v>45673.36009259259</v>
      </c>
      <c r="L556" s="10" t="n">
        <v>45673.3609375</v>
      </c>
      <c r="M556" s="11">
        <f>IF(AND(ISNUMBER(E556),ISNUMBER(G556)),(G556-E556),"")</f>
        <v/>
      </c>
      <c r="N556" s="11">
        <f>IF(AND(ISNUMBER(G556),ISNUMBER(L556)),(L556-G556),"")</f>
        <v/>
      </c>
      <c r="O556" s="10" t="n">
        <v>45673.12730324074</v>
      </c>
      <c r="P556" s="11">
        <f>IF(AND(ISNUMBER(I556),ISNUMBER(O556)),(I556-O556),"")</f>
        <v/>
      </c>
      <c r="Q556" s="12" t="inlineStr">
        <is>
          <t>WG 1014602 entered track and got coupled to WG 1014207 then waited 5:07:03 for WG 1014810 to get coupled, OBTP started on 08:11:34 finished on 08:38:32 and then left at 08:39:45</t>
        </is>
      </c>
    </row>
    <row r="557">
      <c r="A557" s="3" t="inlineStr">
        <is>
          <t>1014603</t>
        </is>
      </c>
      <c r="B557" s="3" t="inlineStr">
        <is>
          <t>10146</t>
        </is>
      </c>
      <c r="C557" s="9" t="n">
        <v>15.74</v>
      </c>
      <c r="D557" s="3" t="inlineStr">
        <is>
          <t>Gloggnitz</t>
        </is>
      </c>
      <c r="E557" s="10" t="n">
        <v>45673.11255787037</v>
      </c>
      <c r="F557" s="10" t="n">
        <v>45673.12340277778</v>
      </c>
      <c r="G557" s="10" t="n">
        <v>45673.1253125</v>
      </c>
      <c r="H557" s="3" t="inlineStr">
        <is>
          <t>OBT170125093600-Gloggnitz</t>
        </is>
      </c>
      <c r="I557" s="10" t="n">
        <v>45675.30059027778</v>
      </c>
      <c r="J557" s="10" t="n">
        <v>45675.32832175926</v>
      </c>
      <c r="K557" s="10" t="n">
        <v>45675.32832175926</v>
      </c>
      <c r="L557" s="10" t="n">
        <v>45675.32907407408</v>
      </c>
      <c r="M557" s="11">
        <f>IF(AND(ISNUMBER(E557),ISNUMBER(G557)),(G557-E557),"")</f>
        <v/>
      </c>
      <c r="N557" s="11">
        <f>IF(AND(ISNUMBER(G557),ISNUMBER(L557)),(L557-G557),"")</f>
        <v/>
      </c>
      <c r="O557" s="10" t="n">
        <v>45673.12770833333</v>
      </c>
      <c r="P557" s="11">
        <f>IF(AND(ISNUMBER(I557),ISNUMBER(O557)),(I557-O557),"")</f>
        <v/>
      </c>
      <c r="Q557" s="12" t="inlineStr">
        <is>
          <t>WG 1014603 entered track and got secured then waited 4:49:58 for WG 1014803 to get coupled then waited 2:25:18 for WG 1015107 to get coupled then waited 5:04:22 for WG 1015605 to get coupled then waited 11:47:04 for WG 1016102 to get coupled then waited 6:25:24 for WG 1016709 to get coupled, OBTP started on 07:12:51 finished on 07:52:47 and then left at 07:53:52</t>
        </is>
      </c>
    </row>
    <row r="558">
      <c r="A558" s="3" t="inlineStr">
        <is>
          <t>1014701</t>
        </is>
      </c>
      <c r="B558" s="3" t="inlineStr">
        <is>
          <t>10147</t>
        </is>
      </c>
      <c r="C558" s="9" t="n">
        <v>297</v>
      </c>
      <c r="D558" s="3" t="inlineStr">
        <is>
          <t>Wien Kledering</t>
        </is>
      </c>
      <c r="E558" s="10" t="n">
        <v>45673.26699074074</v>
      </c>
      <c r="F558" s="10" t="n">
        <v>45673.27280092592</v>
      </c>
      <c r="G558" s="10" t="n">
        <v>45673.27460648148</v>
      </c>
      <c r="H558" s="3" t="inlineStr">
        <is>
          <t>OBT160125063851-Wien Kledering</t>
        </is>
      </c>
      <c r="I558" s="10" t="n">
        <v>45673.27784722222</v>
      </c>
      <c r="J558" s="10" t="n">
        <v>45673.32940972222</v>
      </c>
      <c r="K558" s="10" t="n">
        <v>45673.32940972222</v>
      </c>
      <c r="L558" s="10" t="n">
        <v>45673.33056712963</v>
      </c>
      <c r="M558" s="11">
        <f>IF(AND(ISNUMBER(E558),ISNUMBER(G558)),(G558-E558),"")</f>
        <v/>
      </c>
      <c r="N558" s="11">
        <f>IF(AND(ISNUMBER(G558),ISNUMBER(L558)),(L558-G558),"")</f>
        <v/>
      </c>
      <c r="O558" s="10" t="n">
        <v>45673.27697916667</v>
      </c>
      <c r="P558" s="11">
        <f>IF(AND(ISNUMBER(I558),ISNUMBER(O558)),(I558-O558),"")</f>
        <v/>
      </c>
      <c r="Q558" s="12" t="inlineStr">
        <is>
          <t>WG 1014701 entered track and got secured, OBTP started on 06:40:06 finished on 07:54:21 and then left at 07:56:01</t>
        </is>
      </c>
    </row>
    <row r="559">
      <c r="A559" s="3" t="inlineStr">
        <is>
          <t>1014801</t>
        </is>
      </c>
      <c r="B559" s="3" t="inlineStr">
        <is>
          <t>10148</t>
        </is>
      </c>
      <c r="C559" s="9" t="n">
        <v>47.22</v>
      </c>
      <c r="D559" s="3" t="inlineStr">
        <is>
          <t>Ebenfurth (beet loading)</t>
        </is>
      </c>
      <c r="E559" s="10" t="n">
        <v>45673.30355324074</v>
      </c>
      <c r="F559" s="10" t="n">
        <v>45673.3194212963</v>
      </c>
      <c r="G559" s="10" t="n">
        <v>45673.32111111111</v>
      </c>
      <c r="H559" s="3" t="inlineStr">
        <is>
          <t>OBT160125204054-Ebenfurth (beet loading)</t>
        </is>
      </c>
      <c r="I559" s="10" t="n">
        <v>45674.32607638889</v>
      </c>
      <c r="J559" s="10" t="n">
        <v>45674.34520833333</v>
      </c>
      <c r="K559" s="10" t="n">
        <v>45674.34520833333</v>
      </c>
      <c r="L559" s="10" t="n">
        <v>45674.34606481482</v>
      </c>
      <c r="M559" s="11">
        <f>IF(AND(ISNUMBER(E559),ISNUMBER(G559)),(G559-E559),"")</f>
        <v/>
      </c>
      <c r="N559" s="11">
        <f>IF(AND(ISNUMBER(G559),ISNUMBER(L559)),(L559-G559),"")</f>
        <v/>
      </c>
      <c r="O559" s="10" t="n">
        <v>45673.3234837963</v>
      </c>
      <c r="P559" s="11">
        <f>IF(AND(ISNUMBER(I559),ISNUMBER(O559)),(I559-O559),"")</f>
        <v/>
      </c>
      <c r="Q559" s="12" t="inlineStr">
        <is>
          <t>WG 1014801 entered track and got secured then waited 2:18:00 for WG 1015101 to get coupled then waited 5:14:44 for WG 1015603 to get coupled then waited 5:22:21 for WG 1016006 to get coupled, OBTP started on 07:49:33 finished on 08:17:06 and then left at 08:18:20</t>
        </is>
      </c>
    </row>
    <row r="560">
      <c r="A560" s="3" t="inlineStr">
        <is>
          <t>1014802</t>
        </is>
      </c>
      <c r="B560" s="3" t="inlineStr">
        <is>
          <t>10148</t>
        </is>
      </c>
      <c r="C560" s="9" t="n">
        <v>101.2</v>
      </c>
      <c r="D560" s="3" t="inlineStr">
        <is>
          <t>Pitten (Hamburger)</t>
        </is>
      </c>
      <c r="E560" s="10" t="n">
        <v>45673.30355324074</v>
      </c>
      <c r="F560" s="10" t="n">
        <v>45673.32111111111</v>
      </c>
      <c r="G560" s="10" t="n">
        <v>45673.32326388889</v>
      </c>
      <c r="H560" s="3" t="inlineStr">
        <is>
          <t>OBT160125075109-Pitten (Hamburger)</t>
        </is>
      </c>
      <c r="I560" s="10" t="n">
        <v>45673.33552083333</v>
      </c>
      <c r="J560" s="10" t="n">
        <v>45673.35712962963</v>
      </c>
      <c r="K560" s="10" t="n">
        <v>45673.35712962963</v>
      </c>
      <c r="L560" s="10" t="n">
        <v>45673.35795138889</v>
      </c>
      <c r="M560" s="11">
        <f>IF(AND(ISNUMBER(E560),ISNUMBER(G560)),(G560-E560),"")</f>
        <v/>
      </c>
      <c r="N560" s="11">
        <f>IF(AND(ISNUMBER(G560),ISNUMBER(L560)),(L560-G560),"")</f>
        <v/>
      </c>
      <c r="O560" s="10" t="n">
        <v>45673.3271875</v>
      </c>
      <c r="P560" s="11">
        <f>IF(AND(ISNUMBER(I560),ISNUMBER(O560)),(I560-O560),"")</f>
        <v/>
      </c>
      <c r="Q560" s="12" t="inlineStr">
        <is>
          <t>WG 1014802 entered track and got coupled to WG 1014506, OBTP started on 08:03:09 finished on 08:34:16 and then left at 08:35:27</t>
        </is>
      </c>
    </row>
    <row r="561">
      <c r="A561" s="3" t="inlineStr">
        <is>
          <t>1014803</t>
        </is>
      </c>
      <c r="B561" s="3" t="inlineStr">
        <is>
          <t>10148</t>
        </is>
      </c>
      <c r="C561" s="9" t="n">
        <v>15.74</v>
      </c>
      <c r="D561" s="3" t="inlineStr">
        <is>
          <t>Gloggnitz</t>
        </is>
      </c>
      <c r="E561" s="10" t="n">
        <v>45673.30355324074</v>
      </c>
      <c r="F561" s="10" t="n">
        <v>45673.32326388889</v>
      </c>
      <c r="G561" s="10" t="n">
        <v>45673.32517361111</v>
      </c>
      <c r="H561" s="3" t="inlineStr">
        <is>
          <t>OBT170125093600-Gloggnitz</t>
        </is>
      </c>
      <c r="I561" s="10" t="n">
        <v>45675.30059027778</v>
      </c>
      <c r="J561" s="10" t="n">
        <v>45675.32832175926</v>
      </c>
      <c r="K561" s="10" t="n">
        <v>45675.32832175926</v>
      </c>
      <c r="L561" s="10" t="n">
        <v>45675.32907407408</v>
      </c>
      <c r="M561" s="11">
        <f>IF(AND(ISNUMBER(E561),ISNUMBER(G561)),(G561-E561),"")</f>
        <v/>
      </c>
      <c r="N561" s="11">
        <f>IF(AND(ISNUMBER(G561),ISNUMBER(L561)),(L561-G561),"")</f>
        <v/>
      </c>
      <c r="O561" s="10" t="n">
        <v>45673.32907407408</v>
      </c>
      <c r="P561" s="11">
        <f>IF(AND(ISNUMBER(I561),ISNUMBER(O561)),(I561-O561),"")</f>
        <v/>
      </c>
      <c r="Q561" s="12" t="inlineStr">
        <is>
          <t>WG 1014803 entered track and got coupled to WG 1014603 then waited 2:25:18 for WG 1015107 to get coupled then waited 5:04:22 for WG 1015605 to get coupled then waited 11:47:04 for WG 1016102 to get coupled then waited 6:25:24 for WG 1016709 to get coupled, OBTP started on 07:12:51 finished on 07:52:47 and then left at 07:53:52</t>
        </is>
      </c>
    </row>
    <row r="562">
      <c r="A562" s="3" t="inlineStr">
        <is>
          <t>1014804</t>
        </is>
      </c>
      <c r="B562" s="3" t="inlineStr">
        <is>
          <t>10148</t>
        </is>
      </c>
      <c r="C562" s="9" t="n">
        <v>19.9</v>
      </c>
      <c r="D562" s="3" t="inlineStr">
        <is>
          <t>Wr. Neustadt Ausfahrbf (Furtenbach)</t>
        </is>
      </c>
      <c r="E562" s="10" t="n">
        <v>45673.30355324074</v>
      </c>
      <c r="F562" s="10" t="n">
        <v>45673.32517361111</v>
      </c>
      <c r="G562" s="10" t="n">
        <v>45673.32645833334</v>
      </c>
      <c r="H562" s="3" t="inlineStr">
        <is>
          <t>OBT160125102340-Wr. Neustadt Ausfahrbf (Furtenbach)</t>
        </is>
      </c>
      <c r="I562" s="10" t="n">
        <v>45673.543125</v>
      </c>
      <c r="J562" s="10" t="n">
        <v>45673.59827546297</v>
      </c>
      <c r="K562" s="10" t="n">
        <v>45673.59827546297</v>
      </c>
      <c r="L562" s="10" t="n">
        <v>45673.59943287037</v>
      </c>
      <c r="M562" s="11">
        <f>IF(AND(ISNUMBER(E562),ISNUMBER(G562)),(G562-E562),"")</f>
        <v/>
      </c>
      <c r="N562" s="11">
        <f>IF(AND(ISNUMBER(G562),ISNUMBER(L562)),(L562-G562),"")</f>
        <v/>
      </c>
      <c r="O562" s="10" t="n">
        <v>45673.33197916667</v>
      </c>
      <c r="P562" s="11">
        <f>IF(AND(ISNUMBER(I562),ISNUMBER(O562)),(I562-O562),"")</f>
        <v/>
      </c>
      <c r="Q562" s="12" t="inlineStr">
        <is>
          <t>WG 1014804 entered track and got coupled to WG 1012905 then waited 0:02:35 for WG 1014806 to get coupled then waited 2:21:25 for WG 1015109 to get coupled then waited 0:01:37 for WG 1015110 to get coupled, OBTP started on 13:02:06 finished on 14:21:31 and then left at 14:23:11</t>
        </is>
      </c>
    </row>
    <row r="563">
      <c r="A563" s="3" t="inlineStr">
        <is>
          <t>1014805</t>
        </is>
      </c>
      <c r="B563" s="3" t="inlineStr">
        <is>
          <t>10148</t>
        </is>
      </c>
      <c r="C563" s="9" t="n">
        <v>21</v>
      </c>
      <c r="D563" s="3" t="inlineStr">
        <is>
          <t>Neudörfl (FunderMax)</t>
        </is>
      </c>
      <c r="E563" s="10" t="n">
        <v>45673.30355324074</v>
      </c>
      <c r="F563" s="10" t="n">
        <v>45673.32645833334</v>
      </c>
      <c r="G563" s="10" t="n">
        <v>45673.32775462963</v>
      </c>
      <c r="H563" s="3" t="inlineStr">
        <is>
          <t>OBT160125101737-Neudörfl (FunderMax)</t>
        </is>
      </c>
      <c r="I563" s="10" t="n">
        <v>45673.4565162037</v>
      </c>
      <c r="J563" s="10" t="n">
        <v>45673.47396990741</v>
      </c>
      <c r="K563" s="10" t="n">
        <v>45673.47396990741</v>
      </c>
      <c r="L563" s="10" t="n">
        <v>45673.47474537037</v>
      </c>
      <c r="M563" s="11">
        <f>IF(AND(ISNUMBER(E563),ISNUMBER(G563)),(G563-E563),"")</f>
        <v/>
      </c>
      <c r="N563" s="11">
        <f>IF(AND(ISNUMBER(G563),ISNUMBER(L563)),(L563-G563),"")</f>
        <v/>
      </c>
      <c r="O563" s="10" t="n">
        <v>45673.33383101852</v>
      </c>
      <c r="P563" s="11">
        <f>IF(AND(ISNUMBER(I563),ISNUMBER(O563)),(I563-O563),"")</f>
        <v/>
      </c>
      <c r="Q563" s="12" t="inlineStr">
        <is>
          <t>WG 1014805 entered track and got coupled to WG 1014511 then waited 2:16:54 for WG 1015106 to get coupled, OBTP started on 10:57:23 finished on 11:22:31 and then left at 11:23:38</t>
        </is>
      </c>
    </row>
    <row r="564">
      <c r="A564" s="3" t="inlineStr">
        <is>
          <t>1014806</t>
        </is>
      </c>
      <c r="B564" s="3" t="inlineStr">
        <is>
          <t>10148</t>
        </is>
      </c>
      <c r="C564" s="9" t="n">
        <v>47.22</v>
      </c>
      <c r="D564" s="3" t="inlineStr">
        <is>
          <t>Pitten (Hamburger)</t>
        </is>
      </c>
      <c r="E564" s="10" t="n">
        <v>45673.30355324074</v>
      </c>
      <c r="F564" s="10" t="n">
        <v>45673.32775462963</v>
      </c>
      <c r="G564" s="10" t="n">
        <v>45673.32910879629</v>
      </c>
      <c r="H564" s="3" t="inlineStr">
        <is>
          <t>OBT160125102340-Wr. Neustadt Ausfahrbf (Furtenbach)</t>
        </is>
      </c>
      <c r="I564" s="10" t="n">
        <v>45673.543125</v>
      </c>
      <c r="J564" s="10" t="n">
        <v>45673.59827546297</v>
      </c>
      <c r="K564" s="10" t="n">
        <v>45673.59827546297</v>
      </c>
      <c r="L564" s="10" t="n">
        <v>45673.59943287037</v>
      </c>
      <c r="M564" s="11">
        <f>IF(AND(ISNUMBER(E564),ISNUMBER(G564)),(G564-E564),"")</f>
        <v/>
      </c>
      <c r="N564" s="11">
        <f>IF(AND(ISNUMBER(G564),ISNUMBER(L564)),(L564-G564),"")</f>
        <v/>
      </c>
      <c r="O564" s="10" t="n">
        <v>45673.33377314815</v>
      </c>
      <c r="P564" s="11">
        <f>IF(AND(ISNUMBER(I564),ISNUMBER(O564)),(I564-O564),"")</f>
        <v/>
      </c>
      <c r="Q564" s="12" t="inlineStr">
        <is>
          <t>WG 1014806 entered track and got coupled to WG 1014804 then waited 2:21:25 for WG 1015109 to get coupled then waited 0:01:37 for WG 1015110 to get coupled, OBTP started on 13:02:06 finished on 14:21:31 and then left at 14:23:11</t>
        </is>
      </c>
    </row>
    <row r="565">
      <c r="A565" s="3" t="inlineStr">
        <is>
          <t>1014807</t>
        </is>
      </c>
      <c r="B565" s="3" t="inlineStr">
        <is>
          <t>10148</t>
        </is>
      </c>
      <c r="C565" s="9" t="n">
        <v>27</v>
      </c>
      <c r="D565" s="3" t="inlineStr">
        <is>
          <t>Wr. Neustadt (Hödlmayr)</t>
        </is>
      </c>
      <c r="E565" s="10" t="n">
        <v>45673.30355324074</v>
      </c>
      <c r="F565" s="10" t="n">
        <v>45673.32910879629</v>
      </c>
      <c r="G565" s="10" t="n">
        <v>45673.33115740741</v>
      </c>
      <c r="H565" s="3" t="inlineStr">
        <is>
          <t>OBT160125101737-Wr. Neustadt (Hödlmayr)</t>
        </is>
      </c>
      <c r="I565" s="10" t="n">
        <v>45673.43063657408</v>
      </c>
      <c r="J565" s="10" t="n">
        <v>45673.44938657407</v>
      </c>
      <c r="K565" s="10" t="n">
        <v>45673.44938657407</v>
      </c>
      <c r="L565" s="10" t="n">
        <v>45673.45012731481</v>
      </c>
      <c r="M565" s="11">
        <f>IF(AND(ISNUMBER(E565),ISNUMBER(G565)),(G565-E565),"")</f>
        <v/>
      </c>
      <c r="N565" s="11">
        <f>IF(AND(ISNUMBER(G565),ISNUMBER(L565)),(L565-G565),"")</f>
        <v/>
      </c>
      <c r="O565" s="10" t="n">
        <v>45673.33508101852</v>
      </c>
      <c r="P565" s="11">
        <f>IF(AND(ISNUMBER(I565),ISNUMBER(O565)),(I565-O565),"")</f>
        <v/>
      </c>
      <c r="Q565" s="12" t="inlineStr">
        <is>
          <t>WG 1014807 entered track and got coupled to WG 1014505 then waited 0:10:48 for WG 1014811 to get coupled then waited 2:04:18 for WG 1015105 to get coupled, OBTP started on 10:20:07 finished on 10:47:07 and then left at 10:48:11</t>
        </is>
      </c>
    </row>
    <row r="566">
      <c r="A566" s="3" t="inlineStr">
        <is>
          <t>1014808</t>
        </is>
      </c>
      <c r="B566" s="3" t="inlineStr">
        <is>
          <t>10148</t>
        </is>
      </c>
      <c r="C566" s="9" t="n">
        <v>31.48</v>
      </c>
      <c r="D566" s="3" t="inlineStr">
        <is>
          <t>Other sidings north</t>
        </is>
      </c>
      <c r="E566" s="10" t="n">
        <v>45673.30355324074</v>
      </c>
      <c r="F566" s="10" t="n">
        <v>45673.33115740741</v>
      </c>
      <c r="G566" s="10" t="n">
        <v>45673.33291666667</v>
      </c>
      <c r="H566" s="3" t="inlineStr">
        <is>
          <t>OBT170125073030-Other sidings north</t>
        </is>
      </c>
      <c r="I566" s="10" t="n">
        <v>45674.43931712963</v>
      </c>
      <c r="J566" s="10" t="n">
        <v>45674.46262731482</v>
      </c>
      <c r="K566" s="10" t="n">
        <v>45674.46262731482</v>
      </c>
      <c r="L566" s="10" t="n">
        <v>45674.46344907407</v>
      </c>
      <c r="M566" s="11">
        <f>IF(AND(ISNUMBER(E566),ISNUMBER(G566)),(G566-E566),"")</f>
        <v/>
      </c>
      <c r="N566" s="11">
        <f>IF(AND(ISNUMBER(G566),ISNUMBER(L566)),(L566-G566),"")</f>
        <v/>
      </c>
      <c r="O566" s="10" t="n">
        <v>45673.33684027778</v>
      </c>
      <c r="P566" s="11">
        <f>IF(AND(ISNUMBER(I566),ISNUMBER(O566)),(I566-O566),"")</f>
        <v/>
      </c>
      <c r="Q566" s="12" t="inlineStr">
        <is>
          <t>WG 1014808 entered track and got coupled to WG 1014509 then waited 23:25:27 for WG 1016401 to get coupled, OBTP started on 10:32:37 finished on 11:06:11 and then left at 11:07:22</t>
        </is>
      </c>
    </row>
    <row r="567">
      <c r="A567" s="3" t="inlineStr">
        <is>
          <t>1014809</t>
        </is>
      </c>
      <c r="B567" s="3" t="inlineStr">
        <is>
          <t>10148</t>
        </is>
      </c>
      <c r="C567" s="9" t="n">
        <v>21</v>
      </c>
      <c r="D567" s="3" t="inlineStr">
        <is>
          <t>Neunkirchen (loading tracks)</t>
        </is>
      </c>
      <c r="E567" s="10" t="n">
        <v>45673.30355324074</v>
      </c>
      <c r="F567" s="10" t="n">
        <v>45673.33291666667</v>
      </c>
      <c r="G567" s="10" t="n">
        <v>45673.33483796296</v>
      </c>
      <c r="H567" s="3" t="inlineStr">
        <is>
          <t>OBT160125175803-Neunkirchen (loading tracks)</t>
        </is>
      </c>
      <c r="I567" s="10" t="n">
        <v>45673.86166666666</v>
      </c>
      <c r="J567" s="10" t="n">
        <v>45673.88354166667</v>
      </c>
      <c r="K567" s="10" t="n">
        <v>45673.88354166667</v>
      </c>
      <c r="L567" s="10" t="n">
        <v>45673.88421296296</v>
      </c>
      <c r="M567" s="11">
        <f>IF(AND(ISNUMBER(E567),ISNUMBER(G567)),(G567-E567),"")</f>
        <v/>
      </c>
      <c r="N567" s="11">
        <f>IF(AND(ISNUMBER(G567),ISNUMBER(L567)),(L567-G567),"")</f>
        <v/>
      </c>
      <c r="O567" s="10" t="n">
        <v>45673.33770833333</v>
      </c>
      <c r="P567" s="11">
        <f>IF(AND(ISNUMBER(I567),ISNUMBER(O567)),(I567-O567),"")</f>
        <v/>
      </c>
      <c r="Q567" s="12" t="inlineStr">
        <is>
          <t>WG 1014809 entered track and got secured then waited 2:04:25 for WG 1015104 to get coupled then waited 5:03:12 for WG 1015601 to get coupled then waited 2:44:08 for WG 1015902 to get coupled, OBTP started on 20:40:48 finished on 21:12:18 and then left at 21:13:16</t>
        </is>
      </c>
    </row>
    <row r="568">
      <c r="A568" s="3" t="inlineStr">
        <is>
          <t>1014810</t>
        </is>
      </c>
      <c r="B568" s="3" t="inlineStr">
        <is>
          <t>10148</t>
        </is>
      </c>
      <c r="C568" s="9" t="n">
        <v>31.94</v>
      </c>
      <c r="D568" s="3" t="inlineStr">
        <is>
          <t>Ternitz (Schoeller-Bleckmann)</t>
        </is>
      </c>
      <c r="E568" s="10" t="n">
        <v>45673.30355324074</v>
      </c>
      <c r="F568" s="10" t="n">
        <v>45673.33483796296</v>
      </c>
      <c r="G568" s="10" t="n">
        <v>45673.33660879629</v>
      </c>
      <c r="H568" s="3" t="inlineStr">
        <is>
          <t>OBT160125081022-Ternitz (Schoeller-Bleckmann)</t>
        </is>
      </c>
      <c r="I568" s="10" t="n">
        <v>45673.34136574074</v>
      </c>
      <c r="J568" s="10" t="n">
        <v>45673.36009259259</v>
      </c>
      <c r="K568" s="10" t="n">
        <v>45673.36009259259</v>
      </c>
      <c r="L568" s="10" t="n">
        <v>45673.3609375</v>
      </c>
      <c r="M568" s="11">
        <f>IF(AND(ISNUMBER(E568),ISNUMBER(G568)),(G568-E568),"")</f>
        <v/>
      </c>
      <c r="N568" s="11">
        <f>IF(AND(ISNUMBER(G568),ISNUMBER(L568)),(L568-G568),"")</f>
        <v/>
      </c>
      <c r="O568" s="10" t="n">
        <v>45673.3405324074</v>
      </c>
      <c r="P568" s="11">
        <f>IF(AND(ISNUMBER(I568),ISNUMBER(O568)),(I568-O568),"")</f>
        <v/>
      </c>
      <c r="Q568" s="12" t="inlineStr">
        <is>
          <t>WG 1014810 entered track and got coupled to WG 1014602, OBTP started on 08:11:34 finished on 08:38:32 and then left at 08:39:45</t>
        </is>
      </c>
    </row>
    <row r="569">
      <c r="A569" s="3" t="inlineStr">
        <is>
          <t>1014811</t>
        </is>
      </c>
      <c r="B569" s="3" t="inlineStr">
        <is>
          <t>10148</t>
        </is>
      </c>
      <c r="C569" s="9" t="n">
        <v>27</v>
      </c>
      <c r="D569" s="3" t="inlineStr">
        <is>
          <t>Wr. Neustadt (Hödlmayr)</t>
        </is>
      </c>
      <c r="E569" s="10" t="n">
        <v>45673.30355324074</v>
      </c>
      <c r="F569" s="10" t="n">
        <v>45673.33660879629</v>
      </c>
      <c r="G569" s="10" t="n">
        <v>45673.33865740741</v>
      </c>
      <c r="H569" s="3" t="inlineStr">
        <is>
          <t>OBT160125101737-Wr. Neustadt (Hödlmayr)</t>
        </is>
      </c>
      <c r="I569" s="10" t="n">
        <v>45673.43063657408</v>
      </c>
      <c r="J569" s="10" t="n">
        <v>45673.44938657407</v>
      </c>
      <c r="K569" s="10" t="n">
        <v>45673.44938657407</v>
      </c>
      <c r="L569" s="10" t="n">
        <v>45673.45012731481</v>
      </c>
      <c r="M569" s="11">
        <f>IF(AND(ISNUMBER(E569),ISNUMBER(G569)),(G569-E569),"")</f>
        <v/>
      </c>
      <c r="N569" s="11">
        <f>IF(AND(ISNUMBER(G569),ISNUMBER(L569)),(L569-G569),"")</f>
        <v/>
      </c>
      <c r="O569" s="10" t="n">
        <v>45673.34258101852</v>
      </c>
      <c r="P569" s="11">
        <f>IF(AND(ISNUMBER(I569),ISNUMBER(O569)),(I569-O569),"")</f>
        <v/>
      </c>
      <c r="Q569" s="12" t="inlineStr">
        <is>
          <t>WG 1014811 entered track and got coupled to WG 1014807 then waited 2:04:18 for WG 1015105 to get coupled, OBTP started on 10:20:07 finished on 10:47:07 and then left at 10:48:11</t>
        </is>
      </c>
    </row>
    <row r="570">
      <c r="A570" s="3" t="inlineStr">
        <is>
          <t>1014901</t>
        </is>
      </c>
      <c r="B570" s="3" t="inlineStr">
        <is>
          <t>10149</t>
        </is>
      </c>
      <c r="C570" s="9" t="n">
        <v>126</v>
      </c>
      <c r="D570" s="3" t="inlineStr">
        <is>
          <t>Wien Kledering</t>
        </is>
      </c>
      <c r="E570" s="10" t="n">
        <v>45673.30276620371</v>
      </c>
      <c r="F570" s="10" t="n">
        <v>45673.30751157407</v>
      </c>
      <c r="G570" s="10" t="n">
        <v>45673.30969907407</v>
      </c>
      <c r="H570" s="3" t="inlineStr">
        <is>
          <t>OBT160125072923-Wien Kledering</t>
        </is>
      </c>
      <c r="I570" s="10" t="n">
        <v>45673.31290509259</v>
      </c>
      <c r="J570" s="10" t="n">
        <v>45673.33478009259</v>
      </c>
      <c r="K570" s="10" t="n">
        <v>45673.33478009259</v>
      </c>
      <c r="L570" s="10" t="n">
        <v>45673.335625</v>
      </c>
      <c r="M570" s="11">
        <f>IF(AND(ISNUMBER(E570),ISNUMBER(G570)),(G570-E570),"")</f>
        <v/>
      </c>
      <c r="N570" s="11">
        <f>IF(AND(ISNUMBER(G570),ISNUMBER(L570)),(L570-G570),"")</f>
        <v/>
      </c>
      <c r="O570" s="10" t="n">
        <v>45673.31207175926</v>
      </c>
      <c r="P570" s="11">
        <f>IF(AND(ISNUMBER(I570),ISNUMBER(O570)),(I570-O570),"")</f>
        <v/>
      </c>
      <c r="Q570" s="12" t="inlineStr">
        <is>
          <t>WG 1014901 entered track and got secured, OBTP started on 07:30:35 finished on 08:02:05 and then left at 08:03:18</t>
        </is>
      </c>
    </row>
    <row r="571">
      <c r="A571" s="3" t="inlineStr">
        <is>
          <t>1015001</t>
        </is>
      </c>
      <c r="B571" s="3" t="inlineStr">
        <is>
          <t>10150</t>
        </is>
      </c>
      <c r="C571" s="9" t="n">
        <v>396.5600000000001</v>
      </c>
      <c r="D571" s="3" t="inlineStr">
        <is>
          <t>Wien Kledering</t>
        </is>
      </c>
      <c r="E571" s="10" t="n">
        <v>45673.33290509259</v>
      </c>
      <c r="F571" s="10" t="n">
        <v>45673.33952546296</v>
      </c>
      <c r="G571" s="10" t="n">
        <v>45673.34153935185</v>
      </c>
      <c r="H571" s="3" t="inlineStr">
        <is>
          <t>OBT160125081516-Wien Kledering</t>
        </is>
      </c>
      <c r="I571" s="10" t="n">
        <v>45673.34567129629</v>
      </c>
      <c r="J571" s="10" t="n">
        <v>45673.41452546296</v>
      </c>
      <c r="K571" s="10" t="n">
        <v>45673.41452546296</v>
      </c>
      <c r="L571" s="10" t="n">
        <v>45673.41590277778</v>
      </c>
      <c r="M571" s="11">
        <f>IF(AND(ISNUMBER(E571),ISNUMBER(G571)),(G571-E571),"")</f>
        <v/>
      </c>
      <c r="N571" s="11">
        <f>IF(AND(ISNUMBER(G571),ISNUMBER(L571)),(L571-G571),"")</f>
        <v/>
      </c>
      <c r="O571" s="10" t="n">
        <v>45673.34393518518</v>
      </c>
      <c r="P571" s="11">
        <f>IF(AND(ISNUMBER(I571),ISNUMBER(O571)),(I571-O571),"")</f>
        <v/>
      </c>
      <c r="Q571" s="12" t="inlineStr">
        <is>
          <t>WG 1015001 entered track and got secured, OBTP started on 08:17:46 finished on 09:56:55 and then left at 09:58:54</t>
        </is>
      </c>
    </row>
    <row r="572">
      <c r="A572" s="3" t="inlineStr">
        <is>
          <t>1015101</t>
        </is>
      </c>
      <c r="B572" s="3" t="inlineStr">
        <is>
          <t>10151</t>
        </is>
      </c>
      <c r="C572" s="9" t="n">
        <v>31.48</v>
      </c>
      <c r="D572" s="3" t="inlineStr">
        <is>
          <t>Ebenfurth (beet loading)</t>
        </is>
      </c>
      <c r="E572" s="10" t="n">
        <v>45673.37796296296</v>
      </c>
      <c r="F572" s="10" t="n">
        <v>45673.39501157407</v>
      </c>
      <c r="G572" s="10" t="n">
        <v>45673.39665509259</v>
      </c>
      <c r="H572" s="3" t="inlineStr">
        <is>
          <t>OBT160125204054-Ebenfurth (beet loading)</t>
        </is>
      </c>
      <c r="I572" s="10" t="n">
        <v>45674.32607638889</v>
      </c>
      <c r="J572" s="10" t="n">
        <v>45674.34520833333</v>
      </c>
      <c r="K572" s="10" t="n">
        <v>45674.34520833333</v>
      </c>
      <c r="L572" s="10" t="n">
        <v>45674.34606481482</v>
      </c>
      <c r="M572" s="11">
        <f>IF(AND(ISNUMBER(E572),ISNUMBER(G572)),(G572-E572),"")</f>
        <v/>
      </c>
      <c r="N572" s="11">
        <f>IF(AND(ISNUMBER(G572),ISNUMBER(L572)),(L572-G572),"")</f>
        <v/>
      </c>
      <c r="O572" s="10" t="n">
        <v>45673.41931712963</v>
      </c>
      <c r="P572" s="11">
        <f>IF(AND(ISNUMBER(I572),ISNUMBER(O572)),(I572-O572),"")</f>
        <v/>
      </c>
      <c r="Q572" s="12" t="inlineStr">
        <is>
          <t>WG 1015101 entered track and got coupled to WG 1014801 then waited 5:14:44 for WG 1015603 to get coupled then waited 5:22:21 for WG 1016006 to get coupled, OBTP started on 07:49:33 finished on 08:17:06 and then left at 08:18:20</t>
        </is>
      </c>
    </row>
    <row r="573">
      <c r="A573" s="3" t="inlineStr">
        <is>
          <t>1015102</t>
        </is>
      </c>
      <c r="B573" s="3" t="inlineStr">
        <is>
          <t>10151</t>
        </is>
      </c>
      <c r="C573" s="9" t="n">
        <v>14</v>
      </c>
      <c r="D573" s="3" t="inlineStr">
        <is>
          <t>Wr. Neustadt (Brenntag)</t>
        </is>
      </c>
      <c r="E573" s="10" t="n">
        <v>45673.37796296296</v>
      </c>
      <c r="F573" s="10" t="n">
        <v>45673.39665509259</v>
      </c>
      <c r="G573" s="10" t="n">
        <v>45673.39804398148</v>
      </c>
      <c r="H573" s="3" t="inlineStr">
        <is>
          <t>OBT200125083327-Wr. Neustadt (Brenntag)</t>
        </is>
      </c>
      <c r="I573" s="10" t="n">
        <v>45677.7199537037</v>
      </c>
      <c r="J573" s="10" t="n">
        <v>45677.74182870371</v>
      </c>
      <c r="K573" s="10" t="n">
        <v>45677.74182870371</v>
      </c>
      <c r="L573" s="10" t="n">
        <v>45677.74260416667</v>
      </c>
      <c r="M573" s="11">
        <f>IF(AND(ISNUMBER(E573),ISNUMBER(G573)),(G573-E573),"")</f>
        <v/>
      </c>
      <c r="N573" s="11">
        <f>IF(AND(ISNUMBER(G573),ISNUMBER(L573)),(L573-G573),"")</f>
        <v/>
      </c>
      <c r="O573" s="10" t="n">
        <v>45673.41931712963</v>
      </c>
      <c r="P573" s="11">
        <f>IF(AND(ISNUMBER(I573),ISNUMBER(O573)),(I573-O573),"")</f>
        <v/>
      </c>
      <c r="Q573" s="12" t="inlineStr">
        <is>
          <t>WG 1015102 entered track and got coupled to WG 1014502 then waited 10:24:59 for WG 1016001 to get coupled then waited 12:58:29 for WG 1016706 to get coupled then waited 71:06:10 for WG 1018316 to get coupled, OBTP started on 17:16:44 finished on 17:48:14 and then left at 17:49:21</t>
        </is>
      </c>
    </row>
    <row r="574">
      <c r="A574" s="3" t="inlineStr">
        <is>
          <t>1015103</t>
        </is>
      </c>
      <c r="B574" s="3" t="inlineStr">
        <is>
          <t>10151</t>
        </is>
      </c>
      <c r="C574" s="9" t="n">
        <v>15.74</v>
      </c>
      <c r="D574" s="3" t="inlineStr">
        <is>
          <t>Steinabrückl/Wöllersdorf</t>
        </is>
      </c>
      <c r="E574" s="10" t="n">
        <v>45673.37796296296</v>
      </c>
      <c r="F574" s="10" t="n">
        <v>45673.39804398148</v>
      </c>
      <c r="G574" s="10" t="n">
        <v>45673.39979166666</v>
      </c>
      <c r="H574" s="3" t="inlineStr">
        <is>
          <t>OBT170125081922-Steinabrückl/Wöllersdorf</t>
        </is>
      </c>
      <c r="I574" s="10" t="n">
        <v>45674.86785879629</v>
      </c>
      <c r="J574" s="10" t="n">
        <v>45674.92876157408</v>
      </c>
      <c r="K574" s="10" t="n">
        <v>45674.92876157408</v>
      </c>
      <c r="L574" s="10" t="n">
        <v>45674.93011574074</v>
      </c>
      <c r="M574" s="11">
        <f>IF(AND(ISNUMBER(E574),ISNUMBER(G574)),(G574-E574),"")</f>
        <v/>
      </c>
      <c r="N574" s="11">
        <f>IF(AND(ISNUMBER(G574),ISNUMBER(L574)),(L574-G574),"")</f>
        <v/>
      </c>
      <c r="O574" s="10" t="n">
        <v>45673.42410879629</v>
      </c>
      <c r="P574" s="11">
        <f>IF(AND(ISNUMBER(I574),ISNUMBER(O574)),(I574-O574),"")</f>
        <v/>
      </c>
      <c r="Q574" s="12" t="inlineStr">
        <is>
          <t>WG 1015103 entered track and got coupled to WG 1014204 then waited 10:26:00 for WG 1016004 to get coupled then waited 11:00:09 for WG 1016403 to get coupled then waited 0:42:30 for WG 1016601 to get coupled, OBTP started on 20:49:43 finished on 22:17:25 and then left at 22:19:22</t>
        </is>
      </c>
    </row>
    <row r="575">
      <c r="A575" s="3" t="inlineStr">
        <is>
          <t>1015104</t>
        </is>
      </c>
      <c r="B575" s="3" t="inlineStr">
        <is>
          <t>10151</t>
        </is>
      </c>
      <c r="C575" s="9" t="n">
        <v>21</v>
      </c>
      <c r="D575" s="3" t="inlineStr">
        <is>
          <t>Neunkirchen (loading tracks)</t>
        </is>
      </c>
      <c r="E575" s="10" t="n">
        <v>45673.37796296296</v>
      </c>
      <c r="F575" s="10" t="n">
        <v>45673.39979166666</v>
      </c>
      <c r="G575" s="10" t="n">
        <v>45673.40172453703</v>
      </c>
      <c r="H575" s="3" t="inlineStr">
        <is>
          <t>OBT160125175803-Neunkirchen (loading tracks)</t>
        </is>
      </c>
      <c r="I575" s="10" t="n">
        <v>45673.86166666666</v>
      </c>
      <c r="J575" s="10" t="n">
        <v>45673.88354166667</v>
      </c>
      <c r="K575" s="10" t="n">
        <v>45673.88354166667</v>
      </c>
      <c r="L575" s="10" t="n">
        <v>45673.88421296296</v>
      </c>
      <c r="M575" s="11">
        <f>IF(AND(ISNUMBER(E575),ISNUMBER(G575)),(G575-E575),"")</f>
        <v/>
      </c>
      <c r="N575" s="11">
        <f>IF(AND(ISNUMBER(G575),ISNUMBER(L575)),(L575-G575),"")</f>
        <v/>
      </c>
      <c r="O575" s="10" t="n">
        <v>45673.42410879629</v>
      </c>
      <c r="P575" s="11">
        <f>IF(AND(ISNUMBER(I575),ISNUMBER(O575)),(I575-O575),"")</f>
        <v/>
      </c>
      <c r="Q575" s="12" t="inlineStr">
        <is>
          <t>WG 1015104 entered track and got coupled to WG 1014809 then waited 5:03:12 for WG 1015601 to get coupled then waited 2:44:08 for WG 1015902 to get coupled, OBTP started on 20:40:48 finished on 21:12:18 and then left at 21:13:16</t>
        </is>
      </c>
    </row>
    <row r="576">
      <c r="A576" s="3" t="inlineStr">
        <is>
          <t>1015105</t>
        </is>
      </c>
      <c r="B576" s="3" t="inlineStr">
        <is>
          <t>10151</t>
        </is>
      </c>
      <c r="C576" s="9" t="n">
        <v>27</v>
      </c>
      <c r="D576" s="3" t="inlineStr">
        <is>
          <t>Wr. Neustadt (Hödlmayr)</t>
        </is>
      </c>
      <c r="E576" s="10" t="n">
        <v>45673.37796296296</v>
      </c>
      <c r="F576" s="10" t="n">
        <v>45673.40172453703</v>
      </c>
      <c r="G576" s="10" t="n">
        <v>45673.40377314815</v>
      </c>
      <c r="H576" s="3" t="inlineStr">
        <is>
          <t>OBT160125101737-Wr. Neustadt (Hödlmayr)</t>
        </is>
      </c>
      <c r="I576" s="10" t="n">
        <v>45673.43063657408</v>
      </c>
      <c r="J576" s="10" t="n">
        <v>45673.44938657407</v>
      </c>
      <c r="K576" s="10" t="n">
        <v>45673.44938657407</v>
      </c>
      <c r="L576" s="10" t="n">
        <v>45673.45012731481</v>
      </c>
      <c r="M576" s="11">
        <f>IF(AND(ISNUMBER(E576),ISNUMBER(G576)),(G576-E576),"")</f>
        <v/>
      </c>
      <c r="N576" s="11">
        <f>IF(AND(ISNUMBER(G576),ISNUMBER(L576)),(L576-G576),"")</f>
        <v/>
      </c>
      <c r="O576" s="10" t="n">
        <v>45673.42890046296</v>
      </c>
      <c r="P576" s="11">
        <f>IF(AND(ISNUMBER(I576),ISNUMBER(O576)),(I576-O576),"")</f>
        <v/>
      </c>
      <c r="Q576" s="12" t="inlineStr">
        <is>
          <t>WG 1015105 entered track and got coupled to WG 1014811, OBTP started on 10:20:07 finished on 10:47:07 and then left at 10:48:11</t>
        </is>
      </c>
    </row>
    <row r="577">
      <c r="A577" s="3" t="inlineStr">
        <is>
          <t>1015106</t>
        </is>
      </c>
      <c r="B577" s="3" t="inlineStr">
        <is>
          <t>10151</t>
        </is>
      </c>
      <c r="C577" s="9" t="n">
        <v>42</v>
      </c>
      <c r="D577" s="3" t="inlineStr">
        <is>
          <t>Neudörfl (FunderMax)</t>
        </is>
      </c>
      <c r="E577" s="10" t="n">
        <v>45673.37796296296</v>
      </c>
      <c r="F577" s="10" t="n">
        <v>45673.40377314815</v>
      </c>
      <c r="G577" s="10" t="n">
        <v>45673.40511574074</v>
      </c>
      <c r="H577" s="3" t="inlineStr">
        <is>
          <t>OBT160125101737-Neudörfl (FunderMax)</t>
        </is>
      </c>
      <c r="I577" s="10" t="n">
        <v>45673.4565162037</v>
      </c>
      <c r="J577" s="10" t="n">
        <v>45673.47396990741</v>
      </c>
      <c r="K577" s="10" t="n">
        <v>45673.47396990741</v>
      </c>
      <c r="L577" s="10" t="n">
        <v>45673.47474537037</v>
      </c>
      <c r="M577" s="11">
        <f>IF(AND(ISNUMBER(E577),ISNUMBER(G577)),(G577-E577),"")</f>
        <v/>
      </c>
      <c r="N577" s="11">
        <f>IF(AND(ISNUMBER(G577),ISNUMBER(L577)),(L577-G577),"")</f>
        <v/>
      </c>
      <c r="O577" s="10" t="n">
        <v>45673.42890046296</v>
      </c>
      <c r="P577" s="11">
        <f>IF(AND(ISNUMBER(I577),ISNUMBER(O577)),(I577-O577),"")</f>
        <v/>
      </c>
      <c r="Q577" s="12" t="inlineStr">
        <is>
          <t>WG 1015106 entered track and got coupled to WG 1014805, OBTP started on 10:57:23 finished on 11:22:31 and then left at 11:23:38</t>
        </is>
      </c>
    </row>
    <row r="578">
      <c r="A578" s="3" t="inlineStr">
        <is>
          <t>1015107</t>
        </is>
      </c>
      <c r="B578" s="3" t="inlineStr">
        <is>
          <t>10151</t>
        </is>
      </c>
      <c r="C578" s="9" t="n">
        <v>15.74</v>
      </c>
      <c r="D578" s="3" t="inlineStr">
        <is>
          <t>Gloggnitz</t>
        </is>
      </c>
      <c r="E578" s="10" t="n">
        <v>45673.37796296296</v>
      </c>
      <c r="F578" s="10" t="n">
        <v>45673.40511574074</v>
      </c>
      <c r="G578" s="10" t="n">
        <v>45673.40702546296</v>
      </c>
      <c r="H578" s="3" t="inlineStr">
        <is>
          <t>OBT170125093600-Gloggnitz</t>
        </is>
      </c>
      <c r="I578" s="10" t="n">
        <v>45675.30059027778</v>
      </c>
      <c r="J578" s="10" t="n">
        <v>45675.32832175926</v>
      </c>
      <c r="K578" s="10" t="n">
        <v>45675.32832175926</v>
      </c>
      <c r="L578" s="10" t="n">
        <v>45675.32907407408</v>
      </c>
      <c r="M578" s="11">
        <f>IF(AND(ISNUMBER(E578),ISNUMBER(G578)),(G578-E578),"")</f>
        <v/>
      </c>
      <c r="N578" s="11">
        <f>IF(AND(ISNUMBER(G578),ISNUMBER(L578)),(L578-G578),"")</f>
        <v/>
      </c>
      <c r="O578" s="10" t="n">
        <v>45673.42997685185</v>
      </c>
      <c r="P578" s="11">
        <f>IF(AND(ISNUMBER(I578),ISNUMBER(O578)),(I578-O578),"")</f>
        <v/>
      </c>
      <c r="Q578" s="12" t="inlineStr">
        <is>
          <t>WG 1015107 entered track and got coupled to WG 1014803 then waited 5:04:22 for WG 1015605 to get coupled then waited 11:47:04 for WG 1016102 to get coupled then waited 6:25:24 for WG 1016709 to get coupled, OBTP started on 07:12:51 finished on 07:52:47 and then left at 07:53:52</t>
        </is>
      </c>
    </row>
    <row r="579">
      <c r="A579" s="3" t="inlineStr">
        <is>
          <t>1015108</t>
        </is>
      </c>
      <c r="B579" s="3" t="inlineStr">
        <is>
          <t>10151</t>
        </is>
      </c>
      <c r="C579" s="9" t="n">
        <v>19.9</v>
      </c>
      <c r="D579" s="3" t="inlineStr">
        <is>
          <t>Other sidings south</t>
        </is>
      </c>
      <c r="E579" s="10" t="n">
        <v>45673.37796296296</v>
      </c>
      <c r="F579" s="10" t="n">
        <v>45673.40702546296</v>
      </c>
      <c r="G579" s="10" t="n">
        <v>45673.40854166666</v>
      </c>
      <c r="H579" s="3" t="inlineStr">
        <is>
          <t>OBT170125031540-Other sidings south</t>
        </is>
      </c>
      <c r="I579" s="10" t="n">
        <v>45674.34686342593</v>
      </c>
      <c r="J579" s="10" t="n">
        <v>45674.37018518519</v>
      </c>
      <c r="K579" s="10" t="n">
        <v>45674.37018518519</v>
      </c>
      <c r="L579" s="10" t="n">
        <v>45674.37104166667</v>
      </c>
      <c r="M579" s="11">
        <f>IF(AND(ISNUMBER(E579),ISNUMBER(G579)),(G579-E579),"")</f>
        <v/>
      </c>
      <c r="N579" s="11">
        <f>IF(AND(ISNUMBER(G579),ISNUMBER(L579)),(L579-G579),"")</f>
        <v/>
      </c>
      <c r="O579" s="10" t="n">
        <v>45673.43038194445</v>
      </c>
      <c r="P579" s="11">
        <f>IF(AND(ISNUMBER(I579),ISNUMBER(O579)),(I579-O579),"")</f>
        <v/>
      </c>
      <c r="Q579" s="12" t="inlineStr">
        <is>
          <t>WG 1015108 entered track and got coupled to WG 1014508 then waited 5:00:31 for WG 1015604 to get coupled then waited 5:13:54 for WG 1016003 to get coupled then waited 6:41:30 for WG 1016104 to get coupled, OBTP started on 08:19:29 finished on 08:53:04 and then left at 08:54:18</t>
        </is>
      </c>
    </row>
    <row r="580">
      <c r="A580" s="3" t="inlineStr">
        <is>
          <t>1015109</t>
        </is>
      </c>
      <c r="B580" s="3" t="inlineStr">
        <is>
          <t>10151</t>
        </is>
      </c>
      <c r="C580" s="9" t="n">
        <v>59.7</v>
      </c>
      <c r="D580" s="3" t="inlineStr">
        <is>
          <t>Wr. Neustadt Ausfahrbf (Furtenbach)</t>
        </is>
      </c>
      <c r="E580" s="10" t="n">
        <v>45673.37796296296</v>
      </c>
      <c r="F580" s="10" t="n">
        <v>45673.40854166666</v>
      </c>
      <c r="G580" s="10" t="n">
        <v>45673.40991898148</v>
      </c>
      <c r="H580" s="3" t="inlineStr">
        <is>
          <t>OBT160125102340-Wr. Neustadt Ausfahrbf (Furtenbach)</t>
        </is>
      </c>
      <c r="I580" s="10" t="n">
        <v>45673.543125</v>
      </c>
      <c r="J580" s="10" t="n">
        <v>45673.59827546297</v>
      </c>
      <c r="K580" s="10" t="n">
        <v>45673.59827546297</v>
      </c>
      <c r="L580" s="10" t="n">
        <v>45673.59943287037</v>
      </c>
      <c r="M580" s="11">
        <f>IF(AND(ISNUMBER(E580),ISNUMBER(G580)),(G580-E580),"")</f>
        <v/>
      </c>
      <c r="N580" s="11">
        <f>IF(AND(ISNUMBER(G580),ISNUMBER(L580)),(L580-G580),"")</f>
        <v/>
      </c>
      <c r="O580" s="10" t="n">
        <v>45673.43197916666</v>
      </c>
      <c r="P580" s="11">
        <f>IF(AND(ISNUMBER(I580),ISNUMBER(O580)),(I580-O580),"")</f>
        <v/>
      </c>
      <c r="Q580" s="12" t="inlineStr">
        <is>
          <t>WG 1015109 entered track and got coupled to WG 1014806 then waited 0:01:37 for WG 1015110 to get coupled, OBTP started on 13:02:06 finished on 14:21:31 and then left at 14:23:11</t>
        </is>
      </c>
    </row>
    <row r="581">
      <c r="A581" s="3" t="inlineStr">
        <is>
          <t>1015110</t>
        </is>
      </c>
      <c r="B581" s="3" t="inlineStr">
        <is>
          <t>10151</t>
        </is>
      </c>
      <c r="C581" s="9" t="n">
        <v>170.92</v>
      </c>
      <c r="D581" s="3" t="inlineStr">
        <is>
          <t>Pitten (Hamburger)</t>
        </is>
      </c>
      <c r="E581" s="10" t="n">
        <v>45673.37796296296</v>
      </c>
      <c r="F581" s="10" t="n">
        <v>45673.40991898148</v>
      </c>
      <c r="G581" s="10" t="n">
        <v>45673.41155092593</v>
      </c>
      <c r="H581" s="3" t="inlineStr">
        <is>
          <t>OBT160125102340-Wr. Neustadt Ausfahrbf (Furtenbach)</t>
        </is>
      </c>
      <c r="I581" s="10" t="n">
        <v>45673.543125</v>
      </c>
      <c r="J581" s="10" t="n">
        <v>45673.59827546297</v>
      </c>
      <c r="K581" s="10" t="n">
        <v>45673.59827546297</v>
      </c>
      <c r="L581" s="10" t="n">
        <v>45673.59943287037</v>
      </c>
      <c r="M581" s="11">
        <f>IF(AND(ISNUMBER(E581),ISNUMBER(G581)),(G581-E581),"")</f>
        <v/>
      </c>
      <c r="N581" s="11">
        <f>IF(AND(ISNUMBER(G581),ISNUMBER(L581)),(L581-G581),"")</f>
        <v/>
      </c>
      <c r="O581" s="10" t="n">
        <v>45673.43310185185</v>
      </c>
      <c r="P581" s="11">
        <f>IF(AND(ISNUMBER(I581),ISNUMBER(O581)),(I581-O581),"")</f>
        <v/>
      </c>
      <c r="Q581" s="12" t="inlineStr">
        <is>
          <t>WG 1015110 entered track and got coupled to WG 1015109, OBTP started on 13:02:06 finished on 14:21:31 and then left at 14:23:11</t>
        </is>
      </c>
    </row>
    <row r="582">
      <c r="A582" s="3" t="inlineStr">
        <is>
          <t>1015201</t>
        </is>
      </c>
      <c r="B582" s="3" t="inlineStr">
        <is>
          <t>10152</t>
        </is>
      </c>
      <c r="C582" s="9" t="n">
        <v>208.6</v>
      </c>
      <c r="D582" s="3" t="inlineStr">
        <is>
          <t>St. Veit an der Glan</t>
        </is>
      </c>
      <c r="E582" s="10" t="n">
        <v>45673.3782175926</v>
      </c>
      <c r="F582" s="10" t="n">
        <v>45673.38605324074</v>
      </c>
      <c r="G582" s="10" t="n">
        <v>45673.38819444444</v>
      </c>
      <c r="H582" s="3" t="inlineStr">
        <is>
          <t>OBT160125092224-St. Veit an der Glan</t>
        </is>
      </c>
      <c r="I582" s="10" t="n">
        <v>45673.39140046296</v>
      </c>
      <c r="J582" s="10" t="n">
        <v>45673.42761574074</v>
      </c>
      <c r="K582" s="10" t="n">
        <v>45673.42761574074</v>
      </c>
      <c r="L582" s="10" t="n">
        <v>45673.42869212963</v>
      </c>
      <c r="M582" s="11">
        <f>IF(AND(ISNUMBER(E582),ISNUMBER(G582)),(G582-E582),"")</f>
        <v/>
      </c>
      <c r="N582" s="11">
        <f>IF(AND(ISNUMBER(G582),ISNUMBER(L582)),(L582-G582),"")</f>
        <v/>
      </c>
      <c r="O582" s="10" t="n">
        <v>45673.39055555555</v>
      </c>
      <c r="P582" s="11">
        <f>IF(AND(ISNUMBER(I582),ISNUMBER(O582)),(I582-O582),"")</f>
        <v/>
      </c>
      <c r="Q582" s="12" t="inlineStr">
        <is>
          <t>WG 1015201 entered track and got secured, OBTP started on 09:23:37 finished on 10:15:46 and then left at 10:17:19</t>
        </is>
      </c>
    </row>
    <row r="583">
      <c r="A583" s="3" t="inlineStr">
        <is>
          <t>1015202</t>
        </is>
      </c>
      <c r="B583" s="3" t="inlineStr">
        <is>
          <t>10152</t>
        </is>
      </c>
      <c r="C583" s="9" t="n">
        <v>180.8</v>
      </c>
      <c r="D583" s="3" t="inlineStr">
        <is>
          <t>Wien Kledering</t>
        </is>
      </c>
      <c r="E583" s="10" t="n">
        <v>45673.3782175926</v>
      </c>
      <c r="F583" s="10" t="n">
        <v>45673.38819444444</v>
      </c>
      <c r="G583" s="10" t="n">
        <v>45673.39049768518</v>
      </c>
      <c r="H583" s="3" t="inlineStr">
        <is>
          <t>OBT160125092526-Wien Kledering</t>
        </is>
      </c>
      <c r="I583" s="10" t="n">
        <v>45673.39427083333</v>
      </c>
      <c r="J583" s="10" t="n">
        <v>45673.42565972222</v>
      </c>
      <c r="K583" s="10" t="n">
        <v>45673.42565972222</v>
      </c>
      <c r="L583" s="10" t="n">
        <v>45673.42662037037</v>
      </c>
      <c r="M583" s="11">
        <f>IF(AND(ISNUMBER(E583),ISNUMBER(G583)),(G583-E583),"")</f>
        <v/>
      </c>
      <c r="N583" s="11">
        <f>IF(AND(ISNUMBER(G583),ISNUMBER(L583)),(L583-G583),"")</f>
        <v/>
      </c>
      <c r="O583" s="10" t="n">
        <v>45673.39266203704</v>
      </c>
      <c r="P583" s="11">
        <f>IF(AND(ISNUMBER(I583),ISNUMBER(O583)),(I583-O583),"")</f>
        <v/>
      </c>
      <c r="Q583" s="12" t="inlineStr">
        <is>
          <t>WG 1015202 entered track and got secured, OBTP started on 09:27:45 finished on 10:12:57 and then left at 10:14:20</t>
        </is>
      </c>
    </row>
    <row r="584">
      <c r="A584" s="3" t="inlineStr">
        <is>
          <t>1015301</t>
        </is>
      </c>
      <c r="B584" s="3" t="inlineStr">
        <is>
          <t>10153</t>
        </is>
      </c>
      <c r="C584" s="9" t="n">
        <v>21</v>
      </c>
      <c r="D584" s="3" t="inlineStr">
        <is>
          <t>St. Veit an der Glan</t>
        </is>
      </c>
      <c r="E584" s="10" t="n">
        <v>45673.44357638889</v>
      </c>
      <c r="F584" s="10" t="n">
        <v>45673.45113425926</v>
      </c>
      <c r="G584" s="10" t="n">
        <v>45673.45231481481</v>
      </c>
      <c r="H584" s="3" t="inlineStr">
        <is>
          <t>OBT170125073842-St. Veit an der Glan</t>
        </is>
      </c>
      <c r="I584" s="10" t="n">
        <v>45674.65956018519</v>
      </c>
      <c r="J584" s="10" t="n">
        <v>45674.68287037037</v>
      </c>
      <c r="K584" s="10" t="n">
        <v>45674.68287037037</v>
      </c>
      <c r="L584" s="10" t="n">
        <v>45674.68364583333</v>
      </c>
      <c r="M584" s="11">
        <f>IF(AND(ISNUMBER(E584),ISNUMBER(G584)),(G584-E584),"")</f>
        <v/>
      </c>
      <c r="N584" s="11">
        <f>IF(AND(ISNUMBER(G584),ISNUMBER(L584)),(L584-G584),"")</f>
        <v/>
      </c>
      <c r="O584" s="10" t="n">
        <v>45673.45471064815</v>
      </c>
      <c r="P584" s="11">
        <f>IF(AND(ISNUMBER(I584),ISNUMBER(O584)),(I584-O584),"")</f>
        <v/>
      </c>
      <c r="Q584" s="12" t="inlineStr">
        <is>
          <t>WG 1015301 entered track and got secured then waited 5:28:57 for WG 1015801 to get coupled then waited 15:14:58 for WG 1016404 to get coupled, OBTP started on 15:49:46 finished on 16:23:20 and then left at 16:24:27</t>
        </is>
      </c>
    </row>
    <row r="585">
      <c r="A585" s="3" t="inlineStr">
        <is>
          <t>1015302</t>
        </is>
      </c>
      <c r="B585" s="3" t="inlineStr">
        <is>
          <t>10153</t>
        </is>
      </c>
      <c r="C585" s="9" t="n">
        <v>338.3400000000001</v>
      </c>
      <c r="D585" s="3" t="inlineStr">
        <is>
          <t>Wien Kledering</t>
        </is>
      </c>
      <c r="E585" s="10" t="n">
        <v>45673.44357638889</v>
      </c>
      <c r="F585" s="10" t="n">
        <v>45673.45231481481</v>
      </c>
      <c r="G585" s="10" t="n">
        <v>45673.45478009259</v>
      </c>
      <c r="H585" s="3" t="inlineStr">
        <is>
          <t>OBT160125105820-Wien Kledering</t>
        </is>
      </c>
      <c r="I585" s="10" t="n">
        <v>45673.61599537037</v>
      </c>
      <c r="J585" s="10" t="n">
        <v>45673.6747337963</v>
      </c>
      <c r="K585" s="10" t="n">
        <v>45673.6747337963</v>
      </c>
      <c r="L585" s="10" t="n">
        <v>45673.67611111111</v>
      </c>
      <c r="M585" s="11">
        <f>IF(AND(ISNUMBER(E585),ISNUMBER(G585)),(G585-E585),"")</f>
        <v/>
      </c>
      <c r="N585" s="11">
        <f>IF(AND(ISNUMBER(G585),ISNUMBER(L585)),(L585-G585),"")</f>
        <v/>
      </c>
      <c r="O585" s="10" t="n">
        <v>45673.45717592593</v>
      </c>
      <c r="P585" s="11">
        <f>IF(AND(ISNUMBER(I585),ISNUMBER(O585)),(I585-O585),"")</f>
        <v/>
      </c>
      <c r="Q585" s="12" t="inlineStr">
        <is>
          <t>WG 1015302 entered track and got secured, OBTP started on 14:47:02 finished on 16:11:37 and then left at 16:13:36</t>
        </is>
      </c>
    </row>
    <row r="586">
      <c r="A586" s="3" t="inlineStr">
        <is>
          <t>1015401</t>
        </is>
      </c>
      <c r="B586" s="3" t="inlineStr">
        <is>
          <t>10154</t>
        </is>
      </c>
      <c r="C586" s="9" t="n">
        <v>172.98</v>
      </c>
      <c r="D586" s="3" t="inlineStr">
        <is>
          <t>Wien Kledering</t>
        </is>
      </c>
      <c r="E586" s="10" t="n">
        <v>45673.53405092593</v>
      </c>
      <c r="F586" s="10" t="n">
        <v>45673.53900462963</v>
      </c>
      <c r="G586" s="10" t="n">
        <v>45673.54138888889</v>
      </c>
      <c r="H586" s="3" t="inlineStr">
        <is>
          <t>OBT160125130303-Wien Kledering</t>
        </is>
      </c>
      <c r="I586" s="10" t="n">
        <v>45673.6430787037</v>
      </c>
      <c r="J586" s="10" t="n">
        <v>45673.67310185185</v>
      </c>
      <c r="K586" s="10" t="n">
        <v>45673.67310185185</v>
      </c>
      <c r="L586" s="10" t="n">
        <v>45673.67400462963</v>
      </c>
      <c r="M586" s="11">
        <f>IF(AND(ISNUMBER(E586),ISNUMBER(G586)),(G586-E586),"")</f>
        <v/>
      </c>
      <c r="N586" s="11">
        <f>IF(AND(ISNUMBER(G586),ISNUMBER(L586)),(L586-G586),"")</f>
        <v/>
      </c>
      <c r="O586" s="10" t="n">
        <v>45673.54378472222</v>
      </c>
      <c r="P586" s="11">
        <f>IF(AND(ISNUMBER(I586),ISNUMBER(O586)),(I586-O586),"")</f>
        <v/>
      </c>
      <c r="Q586" s="12" t="inlineStr">
        <is>
          <t>WG 1015401 entered track and got secured, OBTP started on 15:26:02 finished on 16:09:16 and then left at 16:10:34</t>
        </is>
      </c>
    </row>
    <row r="587">
      <c r="A587" s="3" t="inlineStr">
        <is>
          <t>1015501</t>
        </is>
      </c>
      <c r="B587" s="3" t="inlineStr">
        <is>
          <t>10155</t>
        </is>
      </c>
      <c r="C587" s="9" t="n">
        <v>233.88</v>
      </c>
      <c r="D587" s="3" t="inlineStr">
        <is>
          <t>Wien Kledering</t>
        </is>
      </c>
      <c r="E587" s="10" t="n">
        <v>45673.60701388889</v>
      </c>
      <c r="F587" s="10" t="n">
        <v>45673.61247685185</v>
      </c>
      <c r="G587" s="10" t="n">
        <v>45673.61425925926</v>
      </c>
      <c r="H587" s="3" t="inlineStr">
        <is>
          <t>OBT160125144759-Wien Kledering</t>
        </is>
      </c>
      <c r="I587" s="10" t="n">
        <v>45673.65523148148</v>
      </c>
      <c r="J587" s="10" t="n">
        <v>45673.69584490741</v>
      </c>
      <c r="K587" s="10" t="n">
        <v>45673.69584490741</v>
      </c>
      <c r="L587" s="10" t="n">
        <v>45673.69680555556</v>
      </c>
      <c r="M587" s="11">
        <f>IF(AND(ISNUMBER(E587),ISNUMBER(G587)),(G587-E587),"")</f>
        <v/>
      </c>
      <c r="N587" s="11">
        <f>IF(AND(ISNUMBER(G587),ISNUMBER(L587)),(L587-G587),"")</f>
        <v/>
      </c>
      <c r="O587" s="10" t="n">
        <v>45673.61665509259</v>
      </c>
      <c r="P587" s="11">
        <f>IF(AND(ISNUMBER(I587),ISNUMBER(O587)),(I587-O587),"")</f>
        <v/>
      </c>
      <c r="Q587" s="12" t="inlineStr">
        <is>
          <t>WG 1015501 entered track and got secured, OBTP started on 15:43:32 finished on 16:42:01 and then left at 16:43:24</t>
        </is>
      </c>
    </row>
    <row r="588">
      <c r="A588" s="3" t="inlineStr">
        <is>
          <t>1015601</t>
        </is>
      </c>
      <c r="B588" s="3" t="inlineStr">
        <is>
          <t>10156</t>
        </is>
      </c>
      <c r="C588" s="9" t="n">
        <v>42</v>
      </c>
      <c r="D588" s="3" t="inlineStr">
        <is>
          <t>Neunkirchen (loading tracks)</t>
        </is>
      </c>
      <c r="E588" s="10" t="n">
        <v>45673.61674768518</v>
      </c>
      <c r="F588" s="10" t="n">
        <v>45673.62877314815</v>
      </c>
      <c r="G588" s="10" t="n">
        <v>45673.63074074074</v>
      </c>
      <c r="H588" s="3" t="inlineStr">
        <is>
          <t>OBT160125175803-Neunkirchen (loading tracks)</t>
        </is>
      </c>
      <c r="I588" s="10" t="n">
        <v>45673.86166666666</v>
      </c>
      <c r="J588" s="10" t="n">
        <v>45673.88354166667</v>
      </c>
      <c r="K588" s="10" t="n">
        <v>45673.88354166667</v>
      </c>
      <c r="L588" s="10" t="n">
        <v>45673.88421296296</v>
      </c>
      <c r="M588" s="11">
        <f>IF(AND(ISNUMBER(E588),ISNUMBER(G588)),(G588-E588),"")</f>
        <v/>
      </c>
      <c r="N588" s="11">
        <f>IF(AND(ISNUMBER(G588),ISNUMBER(L588)),(L588-G588),"")</f>
        <v/>
      </c>
      <c r="O588" s="10" t="n">
        <v>45673.63466435186</v>
      </c>
      <c r="P588" s="11">
        <f>IF(AND(ISNUMBER(I588),ISNUMBER(O588)),(I588-O588),"")</f>
        <v/>
      </c>
      <c r="Q588" s="12" t="inlineStr">
        <is>
          <t>WG 1015601 entered track and got coupled to WG 1015104 then waited 2:44:08 for WG 1015902 to get coupled, OBTP started on 20:40:48 finished on 21:12:18 and then left at 21:13:16</t>
        </is>
      </c>
    </row>
    <row r="589">
      <c r="A589" s="3" t="inlineStr">
        <is>
          <t>1015602</t>
        </is>
      </c>
      <c r="B589" s="3" t="inlineStr">
        <is>
          <t>10156</t>
        </is>
      </c>
      <c r="C589" s="9" t="n">
        <v>171.66</v>
      </c>
      <c r="D589" s="3" t="inlineStr">
        <is>
          <t>Pitten (Hamburger)</t>
        </is>
      </c>
      <c r="E589" s="10" t="n">
        <v>45673.61674768518</v>
      </c>
      <c r="F589" s="10" t="n">
        <v>45673.63074074074</v>
      </c>
      <c r="G589" s="10" t="n">
        <v>45673.63238425926</v>
      </c>
      <c r="H589" s="3" t="inlineStr">
        <is>
          <t>OBT160125151346-Pitten (Hamburger)</t>
        </is>
      </c>
      <c r="I589" s="10" t="n">
        <v>45673.68303240741</v>
      </c>
      <c r="J589" s="10" t="n">
        <v>45673.71283564815</v>
      </c>
      <c r="K589" s="10" t="n">
        <v>45673.71283564815</v>
      </c>
      <c r="L589" s="10" t="n">
        <v>45673.71365740741</v>
      </c>
      <c r="M589" s="11">
        <f>IF(AND(ISNUMBER(E589),ISNUMBER(G589)),(G589-E589),"")</f>
        <v/>
      </c>
      <c r="N589" s="11">
        <f>IF(AND(ISNUMBER(G589),ISNUMBER(L589)),(L589-G589),"")</f>
        <v/>
      </c>
      <c r="O589" s="10" t="n">
        <v>45673.63456018519</v>
      </c>
      <c r="P589" s="11">
        <f>IF(AND(ISNUMBER(I589),ISNUMBER(O589)),(I589-O589),"")</f>
        <v/>
      </c>
      <c r="Q589" s="12" t="inlineStr">
        <is>
          <t>WG 1015602 entered track and got secured, OBTP started on 16:23:34 finished on 17:06:29 and then left at 17:07:40</t>
        </is>
      </c>
    </row>
    <row r="590">
      <c r="A590" s="3" t="inlineStr">
        <is>
          <t>1015603</t>
        </is>
      </c>
      <c r="B590" s="3" t="inlineStr">
        <is>
          <t>10156</t>
        </is>
      </c>
      <c r="C590" s="9" t="n">
        <v>15.74</v>
      </c>
      <c r="D590" s="3" t="inlineStr">
        <is>
          <t>Ebenfurth (beet loading)</t>
        </is>
      </c>
      <c r="E590" s="10" t="n">
        <v>45673.61674768518</v>
      </c>
      <c r="F590" s="10" t="n">
        <v>45673.63238425926</v>
      </c>
      <c r="G590" s="10" t="n">
        <v>45673.63399305556</v>
      </c>
      <c r="H590" s="3" t="inlineStr">
        <is>
          <t>OBT160125204054-Ebenfurth (beet loading)</t>
        </is>
      </c>
      <c r="I590" s="10" t="n">
        <v>45674.32607638889</v>
      </c>
      <c r="J590" s="10" t="n">
        <v>45674.34520833333</v>
      </c>
      <c r="K590" s="10" t="n">
        <v>45674.34520833333</v>
      </c>
      <c r="L590" s="10" t="n">
        <v>45674.34606481482</v>
      </c>
      <c r="M590" s="11">
        <f>IF(AND(ISNUMBER(E590),ISNUMBER(G590)),(G590-E590),"")</f>
        <v/>
      </c>
      <c r="N590" s="11">
        <f>IF(AND(ISNUMBER(G590),ISNUMBER(L590)),(L590-G590),"")</f>
        <v/>
      </c>
      <c r="O590" s="10" t="n">
        <v>45673.63788194444</v>
      </c>
      <c r="P590" s="11">
        <f>IF(AND(ISNUMBER(I590),ISNUMBER(O590)),(I590-O590),"")</f>
        <v/>
      </c>
      <c r="Q590" s="12" t="inlineStr">
        <is>
          <t>WG 1015603 entered track and got coupled to WG 1015101 then waited 5:22:21 for WG 1016006 to get coupled, OBTP started on 07:49:33 finished on 08:17:06 and then left at 08:18:20</t>
        </is>
      </c>
    </row>
    <row r="591">
      <c r="A591" s="3" t="inlineStr">
        <is>
          <t>1015604</t>
        </is>
      </c>
      <c r="B591" s="3" t="inlineStr">
        <is>
          <t>10156</t>
        </is>
      </c>
      <c r="C591" s="9" t="n">
        <v>19.9</v>
      </c>
      <c r="D591" s="3" t="inlineStr">
        <is>
          <t>Felixdorf/Sollenau (Bundesheer, Maba)</t>
        </is>
      </c>
      <c r="E591" s="10" t="n">
        <v>45673.61674768518</v>
      </c>
      <c r="F591" s="10" t="n">
        <v>45673.63399305556</v>
      </c>
      <c r="G591" s="10" t="n">
        <v>45673.63549768519</v>
      </c>
      <c r="H591" s="3" t="inlineStr">
        <is>
          <t>OBT170125031540-Other sidings south</t>
        </is>
      </c>
      <c r="I591" s="10" t="n">
        <v>45674.34686342593</v>
      </c>
      <c r="J591" s="10" t="n">
        <v>45674.37018518519</v>
      </c>
      <c r="K591" s="10" t="n">
        <v>45674.37018518519</v>
      </c>
      <c r="L591" s="10" t="n">
        <v>45674.37104166667</v>
      </c>
      <c r="M591" s="11">
        <f>IF(AND(ISNUMBER(E591),ISNUMBER(G591)),(G591-E591),"")</f>
        <v/>
      </c>
      <c r="N591" s="11">
        <f>IF(AND(ISNUMBER(G591),ISNUMBER(L591)),(L591-G591),"")</f>
        <v/>
      </c>
      <c r="O591" s="10" t="n">
        <v>45673.63907407408</v>
      </c>
      <c r="P591" s="11">
        <f>IF(AND(ISNUMBER(I591),ISNUMBER(O591)),(I591-O591),"")</f>
        <v/>
      </c>
      <c r="Q591" s="12" t="inlineStr">
        <is>
          <t>WG 1015604 entered track and got coupled to WG 1015108 then waited 5:13:54 for WG 1016003 to get coupled then waited 6:41:30 for WG 1016104 to get coupled, OBTP started on 08:19:29 finished on 08:53:04 and then left at 08:54:18</t>
        </is>
      </c>
    </row>
    <row r="592">
      <c r="A592" s="3" t="inlineStr">
        <is>
          <t>1015605</t>
        </is>
      </c>
      <c r="B592" s="3" t="inlineStr">
        <is>
          <t>10156</t>
        </is>
      </c>
      <c r="C592" s="9" t="n">
        <v>15.74</v>
      </c>
      <c r="D592" s="3" t="inlineStr">
        <is>
          <t>Gloggnitz</t>
        </is>
      </c>
      <c r="E592" s="10" t="n">
        <v>45673.61674768518</v>
      </c>
      <c r="F592" s="10" t="n">
        <v>45673.63549768519</v>
      </c>
      <c r="G592" s="10" t="n">
        <v>45673.63741898148</v>
      </c>
      <c r="H592" s="3" t="inlineStr">
        <is>
          <t>OBT170125093600-Gloggnitz</t>
        </is>
      </c>
      <c r="I592" s="10" t="n">
        <v>45675.30059027778</v>
      </c>
      <c r="J592" s="10" t="n">
        <v>45675.32832175926</v>
      </c>
      <c r="K592" s="10" t="n">
        <v>45675.32832175926</v>
      </c>
      <c r="L592" s="10" t="n">
        <v>45675.32907407408</v>
      </c>
      <c r="M592" s="11">
        <f>IF(AND(ISNUMBER(E592),ISNUMBER(G592)),(G592-E592),"")</f>
        <v/>
      </c>
      <c r="N592" s="11">
        <f>IF(AND(ISNUMBER(G592),ISNUMBER(L592)),(L592-G592),"")</f>
        <v/>
      </c>
      <c r="O592" s="10" t="n">
        <v>45673.64134259259</v>
      </c>
      <c r="P592" s="11">
        <f>IF(AND(ISNUMBER(I592),ISNUMBER(O592)),(I592-O592),"")</f>
        <v/>
      </c>
      <c r="Q592" s="12" t="inlineStr">
        <is>
          <t>WG 1015605 entered track and got coupled to WG 1015107 then waited 11:47:04 for WG 1016102 to get coupled then waited 6:25:24 for WG 1016709 to get coupled, OBTP started on 07:12:51 finished on 07:52:47 and then left at 07:53:52</t>
        </is>
      </c>
    </row>
    <row r="593">
      <c r="A593" s="3" t="inlineStr">
        <is>
          <t>1015606</t>
        </is>
      </c>
      <c r="B593" s="3" t="inlineStr">
        <is>
          <t>10156</t>
        </is>
      </c>
      <c r="C593" s="9" t="n">
        <v>19.9</v>
      </c>
      <c r="D593" s="3" t="inlineStr">
        <is>
          <t>Neudörfl (FunderMax)</t>
        </is>
      </c>
      <c r="E593" s="10" t="n">
        <v>45673.61674768518</v>
      </c>
      <c r="F593" s="10" t="n">
        <v>45673.63741898148</v>
      </c>
      <c r="G593" s="10" t="n">
        <v>45673.639375</v>
      </c>
      <c r="H593" s="3" t="inlineStr">
        <is>
          <t>OBT170125044950-Neudörfl (FunderMax)</t>
        </is>
      </c>
      <c r="I593" s="10" t="n">
        <v>45674.37914351852</v>
      </c>
      <c r="J593" s="10" t="n">
        <v>45674.47880787037</v>
      </c>
      <c r="K593" s="10" t="n">
        <v>45674.47880787037</v>
      </c>
      <c r="L593" s="10" t="n">
        <v>45674.48069444444</v>
      </c>
      <c r="M593" s="11">
        <f>IF(AND(ISNUMBER(E593),ISNUMBER(G593)),(G593-E593),"")</f>
        <v/>
      </c>
      <c r="N593" s="11">
        <f>IF(AND(ISNUMBER(G593),ISNUMBER(L593)),(L593-G593),"")</f>
        <v/>
      </c>
      <c r="O593" s="10" t="n">
        <v>45673.64174768519</v>
      </c>
      <c r="P593" s="11">
        <f>IF(AND(ISNUMBER(I593),ISNUMBER(O593)),(I593-O593),"")</f>
        <v/>
      </c>
      <c r="Q593" s="12" t="inlineStr">
        <is>
          <t>WG 1015606 entered track and got secured then waited 2:39:21 for WG 1015904 to get coupled then waited 10:46:22 for WG 1016201 to get coupled, OBTP started on 09:05:58 finished on 11:29:29 and then left at 11:32:12</t>
        </is>
      </c>
    </row>
    <row r="594">
      <c r="A594" s="3" t="inlineStr">
        <is>
          <t>1015607</t>
        </is>
      </c>
      <c r="B594" s="3" t="inlineStr">
        <is>
          <t>10156</t>
        </is>
      </c>
      <c r="C594" s="9" t="n">
        <v>54</v>
      </c>
      <c r="D594" s="3" t="inlineStr">
        <is>
          <t>Wr. Neustadt (Hödlmayr)</t>
        </is>
      </c>
      <c r="E594" s="10" t="n">
        <v>45673.61674768518</v>
      </c>
      <c r="F594" s="10" t="n">
        <v>45673.639375</v>
      </c>
      <c r="G594" s="10" t="n">
        <v>45673.64075231482</v>
      </c>
      <c r="H594" s="3" t="inlineStr">
        <is>
          <t>OBT160125203907-Wr. Neustadt (Hödlmayr)</t>
        </is>
      </c>
      <c r="I594" s="10" t="n">
        <v>45674.2815162037</v>
      </c>
      <c r="J594" s="10" t="n">
        <v>45674.3002662037</v>
      </c>
      <c r="K594" s="10" t="n">
        <v>45674.3002662037</v>
      </c>
      <c r="L594" s="10" t="n">
        <v>45674.30106481481</v>
      </c>
      <c r="M594" s="11">
        <f>IF(AND(ISNUMBER(E594),ISNUMBER(G594)),(G594-E594),"")</f>
        <v/>
      </c>
      <c r="N594" s="11">
        <f>IF(AND(ISNUMBER(G594),ISNUMBER(L594)),(L594-G594),"")</f>
        <v/>
      </c>
      <c r="O594" s="10" t="n">
        <v>45673.64292824074</v>
      </c>
      <c r="P594" s="11">
        <f>IF(AND(ISNUMBER(I594),ISNUMBER(O594)),(I594-O594),"")</f>
        <v/>
      </c>
      <c r="Q594" s="12" t="inlineStr">
        <is>
          <t>WG 1015607 entered track and got secured then waited 2:28:53 for WG 1015901 to get coupled then waited 2:44:25 for WG 1016005 to get coupled, OBTP started on 06:45:23 finished on 07:12:23 and then left at 07:13:32</t>
        </is>
      </c>
    </row>
    <row r="595">
      <c r="A595" s="3" t="inlineStr">
        <is>
          <t>1015701</t>
        </is>
      </c>
      <c r="B595" s="3" t="inlineStr">
        <is>
          <t>10157</t>
        </is>
      </c>
      <c r="C595" s="9" t="n">
        <v>62.96</v>
      </c>
      <c r="D595" s="3" t="inlineStr">
        <is>
          <t>Wien Kledering</t>
        </is>
      </c>
      <c r="E595" s="10" t="n">
        <v>45673.64494212963</v>
      </c>
      <c r="F595" s="10" t="n">
        <v>45673.6490162037</v>
      </c>
      <c r="G595" s="10" t="n">
        <v>45673.65143518519</v>
      </c>
      <c r="H595" s="3" t="inlineStr">
        <is>
          <t>OBT160125162643-Wien Kledering</t>
        </is>
      </c>
      <c r="I595" s="10" t="n">
        <v>45673.75186342592</v>
      </c>
      <c r="J595" s="10" t="n">
        <v>45673.77275462963</v>
      </c>
      <c r="K595" s="10" t="n">
        <v>45673.77275462963</v>
      </c>
      <c r="L595" s="10" t="n">
        <v>45673.77357638889</v>
      </c>
      <c r="M595" s="11">
        <f>IF(AND(ISNUMBER(E595),ISNUMBER(G595)),(G595-E595),"")</f>
        <v/>
      </c>
      <c r="N595" s="11">
        <f>IF(AND(ISNUMBER(G595),ISNUMBER(L595)),(L595-G595),"")</f>
        <v/>
      </c>
      <c r="O595" s="10" t="n">
        <v>45673.65361111111</v>
      </c>
      <c r="P595" s="11">
        <f>IF(AND(ISNUMBER(I595),ISNUMBER(O595)),(I595-O595),"")</f>
        <v/>
      </c>
      <c r="Q595" s="12" t="inlineStr">
        <is>
          <t>WG 1015701 entered track and got secured then waited 0:45:31 for WG 1015802 to get coupled, OBTP started on 18:02:41 finished on 18:32:46 and then left at 18:33:57</t>
        </is>
      </c>
    </row>
    <row r="596">
      <c r="A596" s="3" t="inlineStr">
        <is>
          <t>1015801</t>
        </is>
      </c>
      <c r="B596" s="3" t="inlineStr">
        <is>
          <t>10158</t>
        </is>
      </c>
      <c r="C596" s="9" t="n">
        <v>61.9</v>
      </c>
      <c r="D596" s="3" t="inlineStr">
        <is>
          <t>St. Veit an der Glan</t>
        </is>
      </c>
      <c r="E596" s="10" t="n">
        <v>45673.6724537037</v>
      </c>
      <c r="F596" s="10" t="n">
        <v>45673.67797453704</v>
      </c>
      <c r="G596" s="10" t="n">
        <v>45673.67924768518</v>
      </c>
      <c r="H596" s="3" t="inlineStr">
        <is>
          <t>OBT170125073842-St. Veit an der Glan</t>
        </is>
      </c>
      <c r="I596" s="10" t="n">
        <v>45674.65956018519</v>
      </c>
      <c r="J596" s="10" t="n">
        <v>45674.68287037037</v>
      </c>
      <c r="K596" s="10" t="n">
        <v>45674.68287037037</v>
      </c>
      <c r="L596" s="10" t="n">
        <v>45674.68364583333</v>
      </c>
      <c r="M596" s="11">
        <f>IF(AND(ISNUMBER(E596),ISNUMBER(G596)),(G596-E596),"")</f>
        <v/>
      </c>
      <c r="N596" s="11">
        <f>IF(AND(ISNUMBER(G596),ISNUMBER(L596)),(L596-G596),"")</f>
        <v/>
      </c>
      <c r="O596" s="10" t="n">
        <v>45673.68314814815</v>
      </c>
      <c r="P596" s="11">
        <f>IF(AND(ISNUMBER(I596),ISNUMBER(O596)),(I596-O596),"")</f>
        <v/>
      </c>
      <c r="Q596" s="12" t="inlineStr">
        <is>
          <t>WG 1015801 entered track and got coupled to WG 1015301 then waited 15:14:58 for WG 1016404 to get coupled, OBTP started on 15:49:46 finished on 16:23:20 and then left at 16:24:27</t>
        </is>
      </c>
    </row>
    <row r="597">
      <c r="A597" s="3" t="inlineStr">
        <is>
          <t>1015802</t>
        </is>
      </c>
      <c r="B597" s="3" t="inlineStr">
        <is>
          <t>10158</t>
        </is>
      </c>
      <c r="C597" s="9" t="n">
        <v>57.4</v>
      </c>
      <c r="D597" s="3" t="inlineStr">
        <is>
          <t>Wien Kledering</t>
        </is>
      </c>
      <c r="E597" s="10" t="n">
        <v>45673.6724537037</v>
      </c>
      <c r="F597" s="10" t="n">
        <v>45673.67924768518</v>
      </c>
      <c r="G597" s="10" t="n">
        <v>45673.68129629629</v>
      </c>
      <c r="H597" s="3" t="inlineStr">
        <is>
          <t>OBT160125162643-Wien Kledering</t>
        </is>
      </c>
      <c r="I597" s="10" t="n">
        <v>45673.75186342592</v>
      </c>
      <c r="J597" s="10" t="n">
        <v>45673.77275462963</v>
      </c>
      <c r="K597" s="10" t="n">
        <v>45673.77275462963</v>
      </c>
      <c r="L597" s="10" t="n">
        <v>45673.77357638889</v>
      </c>
      <c r="M597" s="11">
        <f>IF(AND(ISNUMBER(E597),ISNUMBER(G597)),(G597-E597),"")</f>
        <v/>
      </c>
      <c r="N597" s="11">
        <f>IF(AND(ISNUMBER(G597),ISNUMBER(L597)),(L597-G597),"")</f>
        <v/>
      </c>
      <c r="O597" s="10" t="n">
        <v>45673.68521990741</v>
      </c>
      <c r="P597" s="11">
        <f>IF(AND(ISNUMBER(I597),ISNUMBER(O597)),(I597-O597),"")</f>
        <v/>
      </c>
      <c r="Q597" s="12" t="inlineStr">
        <is>
          <t>WG 1015802 entered track and got coupled to WG 1015701, OBTP started on 18:02:41 finished on 18:32:46 and then left at 18:33:57</t>
        </is>
      </c>
    </row>
    <row r="598">
      <c r="A598" s="3" t="inlineStr">
        <is>
          <t>1015901</t>
        </is>
      </c>
      <c r="B598" s="3" t="inlineStr">
        <is>
          <t>10159</t>
        </is>
      </c>
      <c r="C598" s="9" t="n">
        <v>27</v>
      </c>
      <c r="D598" s="3" t="inlineStr">
        <is>
          <t>Wr. Neustadt (Hödlmayr)</t>
        </is>
      </c>
      <c r="E598" s="10" t="n">
        <v>45673.72949074074</v>
      </c>
      <c r="F598" s="10" t="n">
        <v>45673.74144675926</v>
      </c>
      <c r="G598" s="10" t="n">
        <v>45673.74275462963</v>
      </c>
      <c r="H598" s="3" t="inlineStr">
        <is>
          <t>OBT160125203907-Wr. Neustadt (Hödlmayr)</t>
        </is>
      </c>
      <c r="I598" s="10" t="n">
        <v>45674.2815162037</v>
      </c>
      <c r="J598" s="10" t="n">
        <v>45674.3002662037</v>
      </c>
      <c r="K598" s="10" t="n">
        <v>45674.3002662037</v>
      </c>
      <c r="L598" s="10" t="n">
        <v>45674.30106481481</v>
      </c>
      <c r="M598" s="11">
        <f>IF(AND(ISNUMBER(E598),ISNUMBER(G598)),(G598-E598),"")</f>
        <v/>
      </c>
      <c r="N598" s="11">
        <f>IF(AND(ISNUMBER(G598),ISNUMBER(L598)),(L598-G598),"")</f>
        <v/>
      </c>
      <c r="O598" s="10" t="n">
        <v>45673.74631944444</v>
      </c>
      <c r="P598" s="11">
        <f>IF(AND(ISNUMBER(I598),ISNUMBER(O598)),(I598-O598),"")</f>
        <v/>
      </c>
      <c r="Q598" s="12" t="inlineStr">
        <is>
          <t>WG 1015901 entered track and got coupled to WG 1015607 then waited 2:44:25 for WG 1016005 to get coupled, OBTP started on 06:45:23 finished on 07:12:23 and then left at 07:13:32</t>
        </is>
      </c>
    </row>
    <row r="599">
      <c r="A599" s="3" t="inlineStr">
        <is>
          <t>1015902</t>
        </is>
      </c>
      <c r="B599" s="3" t="inlineStr">
        <is>
          <t>10159</t>
        </is>
      </c>
      <c r="C599" s="9" t="n">
        <v>42</v>
      </c>
      <c r="D599" s="3" t="inlineStr">
        <is>
          <t>Neunkirchen (loading tracks)</t>
        </is>
      </c>
      <c r="E599" s="10" t="n">
        <v>45673.72949074074</v>
      </c>
      <c r="F599" s="10" t="n">
        <v>45673.74275462963</v>
      </c>
      <c r="G599" s="10" t="n">
        <v>45673.74472222223</v>
      </c>
      <c r="H599" s="3" t="inlineStr">
        <is>
          <t>OBT160125175803-Neunkirchen (loading tracks)</t>
        </is>
      </c>
      <c r="I599" s="10" t="n">
        <v>45673.86166666666</v>
      </c>
      <c r="J599" s="10" t="n">
        <v>45673.88354166667</v>
      </c>
      <c r="K599" s="10" t="n">
        <v>45673.88354166667</v>
      </c>
      <c r="L599" s="10" t="n">
        <v>45673.88421296296</v>
      </c>
      <c r="M599" s="11">
        <f>IF(AND(ISNUMBER(E599),ISNUMBER(G599)),(G599-E599),"")</f>
        <v/>
      </c>
      <c r="N599" s="11">
        <f>IF(AND(ISNUMBER(G599),ISNUMBER(L599)),(L599-G599),"")</f>
        <v/>
      </c>
      <c r="O599" s="10" t="n">
        <v>45673.74864583334</v>
      </c>
      <c r="P599" s="11">
        <f>IF(AND(ISNUMBER(I599),ISNUMBER(O599)),(I599-O599),"")</f>
        <v/>
      </c>
      <c r="Q599" s="12" t="inlineStr">
        <is>
          <t>WG 1015902 entered track and got coupled to WG 1015601, OBTP started on 20:40:48 finished on 21:12:18 and then left at 21:13:16</t>
        </is>
      </c>
    </row>
    <row r="600">
      <c r="A600" s="3" t="inlineStr">
        <is>
          <t>1015903</t>
        </is>
      </c>
      <c r="B600" s="3" t="inlineStr">
        <is>
          <t>10159</t>
        </is>
      </c>
      <c r="C600" s="9" t="n">
        <v>373.3200000000001</v>
      </c>
      <c r="D600" s="3" t="inlineStr">
        <is>
          <t>Pitten (Hamburger)</t>
        </is>
      </c>
      <c r="E600" s="10" t="n">
        <v>45673.72949074074</v>
      </c>
      <c r="F600" s="10" t="n">
        <v>45673.74472222223</v>
      </c>
      <c r="G600" s="10" t="n">
        <v>45673.7468287037</v>
      </c>
      <c r="H600" s="3" t="inlineStr">
        <is>
          <t>OBT160125175833-Pitten (Hamburger)</t>
        </is>
      </c>
      <c r="I600" s="10" t="n">
        <v>45674.13369212963</v>
      </c>
      <c r="J600" s="10" t="n">
        <v>45674.19850694444</v>
      </c>
      <c r="K600" s="10" t="n">
        <v>45674.19850694444</v>
      </c>
      <c r="L600" s="10" t="n">
        <v>45674.19979166667</v>
      </c>
      <c r="M600" s="11">
        <f>IF(AND(ISNUMBER(E600),ISNUMBER(G600)),(G600-E600),"")</f>
        <v/>
      </c>
      <c r="N600" s="11">
        <f>IF(AND(ISNUMBER(G600),ISNUMBER(L600)),(L600-G600),"")</f>
        <v/>
      </c>
      <c r="O600" s="10" t="n">
        <v>45673.74899305555</v>
      </c>
      <c r="P600" s="11">
        <f>IF(AND(ISNUMBER(I600),ISNUMBER(O600)),(I600-O600),"")</f>
        <v/>
      </c>
      <c r="Q600" s="12" t="inlineStr">
        <is>
          <t>WG 1015903 entered track and got secured, OBTP started on 03:12:31 finished on 04:45:51 and then left at 04:47:42</t>
        </is>
      </c>
    </row>
    <row r="601">
      <c r="A601" s="3" t="inlineStr">
        <is>
          <t>1015904</t>
        </is>
      </c>
      <c r="B601" s="3" t="inlineStr">
        <is>
          <t>10159</t>
        </is>
      </c>
      <c r="C601" s="9" t="n">
        <v>40.9</v>
      </c>
      <c r="D601" s="3" t="inlineStr">
        <is>
          <t>Neudörfl (FunderMax)</t>
        </is>
      </c>
      <c r="E601" s="10" t="n">
        <v>45673.72949074074</v>
      </c>
      <c r="F601" s="10" t="n">
        <v>45673.7468287037</v>
      </c>
      <c r="G601" s="10" t="n">
        <v>45673.74884259259</v>
      </c>
      <c r="H601" s="3" t="inlineStr">
        <is>
          <t>OBT170125044950-Neudörfl (FunderMax)</t>
        </is>
      </c>
      <c r="I601" s="10" t="n">
        <v>45674.37914351852</v>
      </c>
      <c r="J601" s="10" t="n">
        <v>45674.47880787037</v>
      </c>
      <c r="K601" s="10" t="n">
        <v>45674.47880787037</v>
      </c>
      <c r="L601" s="10" t="n">
        <v>45674.48069444444</v>
      </c>
      <c r="M601" s="11">
        <f>IF(AND(ISNUMBER(E601),ISNUMBER(G601)),(G601-E601),"")</f>
        <v/>
      </c>
      <c r="N601" s="11">
        <f>IF(AND(ISNUMBER(G601),ISNUMBER(L601)),(L601-G601),"")</f>
        <v/>
      </c>
      <c r="O601" s="10" t="n">
        <v>45673.75240740741</v>
      </c>
      <c r="P601" s="11">
        <f>IF(AND(ISNUMBER(I601),ISNUMBER(O601)),(I601-O601),"")</f>
        <v/>
      </c>
      <c r="Q601" s="12" t="inlineStr">
        <is>
          <t>WG 1015904 entered track and got coupled to WG 1015606 then waited 10:46:22 for WG 1016201 to get coupled, OBTP started on 09:05:58 finished on 11:29:29 and then left at 11:32:12</t>
        </is>
      </c>
    </row>
    <row r="602">
      <c r="A602" s="3" t="inlineStr">
        <is>
          <t>1015905</t>
        </is>
      </c>
      <c r="B602" s="3" t="inlineStr">
        <is>
          <t>10159</t>
        </is>
      </c>
      <c r="C602" s="9" t="n">
        <v>19.9</v>
      </c>
      <c r="D602" s="3" t="inlineStr">
        <is>
          <t>Wr. Neustadt Ausfahrbf (Furtenbach)</t>
        </is>
      </c>
      <c r="E602" s="10" t="n">
        <v>45673.72949074074</v>
      </c>
      <c r="F602" s="10" t="n">
        <v>45673.74884259259</v>
      </c>
      <c r="G602" s="10" t="n">
        <v>45673.75012731482</v>
      </c>
      <c r="H602" s="3" t="inlineStr">
        <is>
          <t>OBT170125064600-Wien Kledering</t>
        </is>
      </c>
      <c r="I602" s="10" t="n">
        <v>45674.39969907407</v>
      </c>
      <c r="J602" s="10" t="n">
        <v>45674.45126157408</v>
      </c>
      <c r="K602" s="10" t="n">
        <v>45674.45126157408</v>
      </c>
      <c r="L602" s="10" t="n">
        <v>45674.45237268518</v>
      </c>
      <c r="M602" s="11">
        <f>IF(AND(ISNUMBER(E602),ISNUMBER(G602)),(G602-E602),"")</f>
        <v/>
      </c>
      <c r="N602" s="11">
        <f>IF(AND(ISNUMBER(G602),ISNUMBER(L602)),(L602-G602),"")</f>
        <v/>
      </c>
      <c r="O602" s="10" t="n">
        <v>45673.75228009259</v>
      </c>
      <c r="P602" s="11">
        <f>IF(AND(ISNUMBER(I602),ISNUMBER(O602)),(I602-O602),"")</f>
        <v/>
      </c>
      <c r="Q602" s="12" t="inlineStr">
        <is>
          <t>WG 1015905 entered track and got secured then waited 12:42:43 for WG 1016301 to get coupled, OBTP started on 09:35:34 finished on 10:49:49 and then left at 10:51:25</t>
        </is>
      </c>
    </row>
    <row r="603">
      <c r="A603" s="3" t="inlineStr">
        <is>
          <t>1016001</t>
        </is>
      </c>
      <c r="B603" s="3" t="inlineStr">
        <is>
          <t>10160</t>
        </is>
      </c>
      <c r="C603" s="9" t="n">
        <v>14</v>
      </c>
      <c r="D603" s="3" t="inlineStr">
        <is>
          <t>Wr. Neustadt (Brenntag)</t>
        </is>
      </c>
      <c r="E603" s="10" t="n">
        <v>45673.83724537037</v>
      </c>
      <c r="F603" s="10" t="n">
        <v>45673.84837962963</v>
      </c>
      <c r="G603" s="10" t="n">
        <v>45673.84976851852</v>
      </c>
      <c r="H603" s="3" t="inlineStr">
        <is>
          <t>OBT200125083327-Wr. Neustadt (Brenntag)</t>
        </is>
      </c>
      <c r="I603" s="10" t="n">
        <v>45677.7199537037</v>
      </c>
      <c r="J603" s="10" t="n">
        <v>45677.74182870371</v>
      </c>
      <c r="K603" s="10" t="n">
        <v>45677.74182870371</v>
      </c>
      <c r="L603" s="10" t="n">
        <v>45677.74260416667</v>
      </c>
      <c r="M603" s="11">
        <f>IF(AND(ISNUMBER(E603),ISNUMBER(G603)),(G603-E603),"")</f>
        <v/>
      </c>
      <c r="N603" s="11">
        <f>IF(AND(ISNUMBER(G603),ISNUMBER(L603)),(L603-G603),"")</f>
        <v/>
      </c>
      <c r="O603" s="10" t="n">
        <v>45673.85333333333</v>
      </c>
      <c r="P603" s="11">
        <f>IF(AND(ISNUMBER(I603),ISNUMBER(O603)),(I603-O603),"")</f>
        <v/>
      </c>
      <c r="Q603" s="12" t="inlineStr">
        <is>
          <t>WG 1016001 entered track and got coupled to WG 1015102 then waited 12:58:29 for WG 1016706 to get coupled then waited 71:06:10 for WG 1018316 to get coupled, OBTP started on 17:16:44 finished on 17:48:14 and then left at 17:49:21</t>
        </is>
      </c>
    </row>
    <row r="604">
      <c r="A604" s="3" t="inlineStr">
        <is>
          <t>1016002</t>
        </is>
      </c>
      <c r="B604" s="3" t="inlineStr">
        <is>
          <t>10160</t>
        </is>
      </c>
      <c r="C604" s="9" t="n">
        <v>108.7</v>
      </c>
      <c r="D604" s="3" t="inlineStr">
        <is>
          <t>Pitten (Hamburger)</t>
        </is>
      </c>
      <c r="E604" s="10" t="n">
        <v>45673.83724537037</v>
      </c>
      <c r="F604" s="10" t="n">
        <v>45673.84976851852</v>
      </c>
      <c r="G604" s="10" t="n">
        <v>45673.85200231482</v>
      </c>
      <c r="H604" s="3" t="inlineStr">
        <is>
          <t>OBT160125203020-Pitten (Hamburger)</t>
        </is>
      </c>
      <c r="I604" s="10" t="n">
        <v>45674.19945601852</v>
      </c>
      <c r="J604" s="10" t="n">
        <v>45674.21833333333</v>
      </c>
      <c r="K604" s="10" t="n">
        <v>45674.21833333333</v>
      </c>
      <c r="L604" s="10" t="n">
        <v>45674.21908564815</v>
      </c>
      <c r="M604" s="11">
        <f>IF(AND(ISNUMBER(E604),ISNUMBER(G604)),(G604-E604),"")</f>
        <v/>
      </c>
      <c r="N604" s="11">
        <f>IF(AND(ISNUMBER(G604),ISNUMBER(L604)),(L604-G604),"")</f>
        <v/>
      </c>
      <c r="O604" s="10" t="n">
        <v>45673.85439814815</v>
      </c>
      <c r="P604" s="11">
        <f>IF(AND(ISNUMBER(I604),ISNUMBER(O604)),(I604-O604),"")</f>
        <v/>
      </c>
      <c r="Q604" s="12" t="inlineStr">
        <is>
          <t>WG 1016002 entered track and got secured, OBTP started on 04:47:13 finished on 05:14:24 and then left at 05:15:29</t>
        </is>
      </c>
    </row>
    <row r="605">
      <c r="A605" s="3" t="inlineStr">
        <is>
          <t>1016003</t>
        </is>
      </c>
      <c r="B605" s="3" t="inlineStr">
        <is>
          <t>10160</t>
        </is>
      </c>
      <c r="C605" s="9" t="n">
        <v>19.9</v>
      </c>
      <c r="D605" s="3" t="inlineStr">
        <is>
          <t>Felixdorf/Sollenau (Bundesheer, Maba)</t>
        </is>
      </c>
      <c r="E605" s="10" t="n">
        <v>45673.83724537037</v>
      </c>
      <c r="F605" s="10" t="n">
        <v>45673.85200231482</v>
      </c>
      <c r="G605" s="10" t="n">
        <v>45673.85351851852</v>
      </c>
      <c r="H605" s="3" t="inlineStr">
        <is>
          <t>OBT170125031540-Other sidings south</t>
        </is>
      </c>
      <c r="I605" s="10" t="n">
        <v>45674.34686342593</v>
      </c>
      <c r="J605" s="10" t="n">
        <v>45674.37018518519</v>
      </c>
      <c r="K605" s="10" t="n">
        <v>45674.37018518519</v>
      </c>
      <c r="L605" s="10" t="n">
        <v>45674.37104166667</v>
      </c>
      <c r="M605" s="11">
        <f>IF(AND(ISNUMBER(E605),ISNUMBER(G605)),(G605-E605),"")</f>
        <v/>
      </c>
      <c r="N605" s="11">
        <f>IF(AND(ISNUMBER(G605),ISNUMBER(L605)),(L605-G605),"")</f>
        <v/>
      </c>
      <c r="O605" s="10" t="n">
        <v>45673.85706018518</v>
      </c>
      <c r="P605" s="11">
        <f>IF(AND(ISNUMBER(I605),ISNUMBER(O605)),(I605-O605),"")</f>
        <v/>
      </c>
      <c r="Q605" s="12" t="inlineStr">
        <is>
          <t>WG 1016003 entered track and got coupled to WG 1015604 then waited 6:41:30 for WG 1016104 to get coupled, OBTP started on 08:19:29 finished on 08:53:04 and then left at 08:54:18</t>
        </is>
      </c>
    </row>
    <row r="606">
      <c r="A606" s="3" t="inlineStr">
        <is>
          <t>1016004</t>
        </is>
      </c>
      <c r="B606" s="3" t="inlineStr">
        <is>
          <t>10160</t>
        </is>
      </c>
      <c r="C606" s="9" t="n">
        <v>15.74</v>
      </c>
      <c r="D606" s="3" t="inlineStr">
        <is>
          <t>Steinabrückl/Wöllersdorf</t>
        </is>
      </c>
      <c r="E606" s="10" t="n">
        <v>45673.83724537037</v>
      </c>
      <c r="F606" s="10" t="n">
        <v>45673.85351851852</v>
      </c>
      <c r="G606" s="10" t="n">
        <v>45673.8552662037</v>
      </c>
      <c r="H606" s="3" t="inlineStr">
        <is>
          <t>OBT170125081922-Steinabrückl/Wöllersdorf</t>
        </is>
      </c>
      <c r="I606" s="10" t="n">
        <v>45674.86785879629</v>
      </c>
      <c r="J606" s="10" t="n">
        <v>45674.92876157408</v>
      </c>
      <c r="K606" s="10" t="n">
        <v>45674.92876157408</v>
      </c>
      <c r="L606" s="10" t="n">
        <v>45674.93011574074</v>
      </c>
      <c r="M606" s="11">
        <f>IF(AND(ISNUMBER(E606),ISNUMBER(G606)),(G606-E606),"")</f>
        <v/>
      </c>
      <c r="N606" s="11">
        <f>IF(AND(ISNUMBER(G606),ISNUMBER(L606)),(L606-G606),"")</f>
        <v/>
      </c>
      <c r="O606" s="10" t="n">
        <v>45673.85883101852</v>
      </c>
      <c r="P606" s="11">
        <f>IF(AND(ISNUMBER(I606),ISNUMBER(O606)),(I606-O606),"")</f>
        <v/>
      </c>
      <c r="Q606" s="12" t="inlineStr">
        <is>
          <t>WG 1016004 entered track and got coupled to WG 1015103 then waited 11:00:09 for WG 1016403 to get coupled then waited 0:42:30 for WG 1016601 to get coupled, OBTP started on 20:49:43 finished on 22:17:25 and then left at 22:19:22</t>
        </is>
      </c>
    </row>
    <row r="607">
      <c r="A607" s="3" t="inlineStr">
        <is>
          <t>1016005</t>
        </is>
      </c>
      <c r="B607" s="3" t="inlineStr">
        <is>
          <t>10160</t>
        </is>
      </c>
      <c r="C607" s="9" t="n">
        <v>27</v>
      </c>
      <c r="D607" s="3" t="inlineStr">
        <is>
          <t>Wr. Neustadt (Hödlmayr)</t>
        </is>
      </c>
      <c r="E607" s="10" t="n">
        <v>45673.83724537037</v>
      </c>
      <c r="F607" s="10" t="n">
        <v>45673.8552662037</v>
      </c>
      <c r="G607" s="10" t="n">
        <v>45673.85657407407</v>
      </c>
      <c r="H607" s="3" t="inlineStr">
        <is>
          <t>OBT160125203907-Wr. Neustadt (Hödlmayr)</t>
        </is>
      </c>
      <c r="I607" s="10" t="n">
        <v>45674.2815162037</v>
      </c>
      <c r="J607" s="10" t="n">
        <v>45674.3002662037</v>
      </c>
      <c r="K607" s="10" t="n">
        <v>45674.3002662037</v>
      </c>
      <c r="L607" s="10" t="n">
        <v>45674.30106481481</v>
      </c>
      <c r="M607" s="11">
        <f>IF(AND(ISNUMBER(E607),ISNUMBER(G607)),(G607-E607),"")</f>
        <v/>
      </c>
      <c r="N607" s="11">
        <f>IF(AND(ISNUMBER(G607),ISNUMBER(L607)),(L607-G607),"")</f>
        <v/>
      </c>
      <c r="O607" s="10" t="n">
        <v>45673.86049768519</v>
      </c>
      <c r="P607" s="11">
        <f>IF(AND(ISNUMBER(I607),ISNUMBER(O607)),(I607-O607),"")</f>
        <v/>
      </c>
      <c r="Q607" s="12" t="inlineStr">
        <is>
          <t>WG 1016005 entered track and got coupled to WG 1015901, OBTP started on 06:45:23 finished on 07:12:23 and then left at 07:13:32</t>
        </is>
      </c>
    </row>
    <row r="608">
      <c r="A608" s="3" t="inlineStr">
        <is>
          <t>1016006</t>
        </is>
      </c>
      <c r="B608" s="3" t="inlineStr">
        <is>
          <t>10160</t>
        </is>
      </c>
      <c r="C608" s="9" t="n">
        <v>15.74</v>
      </c>
      <c r="D608" s="3" t="inlineStr">
        <is>
          <t>Ebenfurth (beet loading)</t>
        </is>
      </c>
      <c r="E608" s="10" t="n">
        <v>45673.83724537037</v>
      </c>
      <c r="F608" s="10" t="n">
        <v>45673.85657407407</v>
      </c>
      <c r="G608" s="10" t="n">
        <v>45673.85819444444</v>
      </c>
      <c r="H608" s="3" t="inlineStr">
        <is>
          <t>OBT160125204054-Ebenfurth (beet loading)</t>
        </is>
      </c>
      <c r="I608" s="10" t="n">
        <v>45674.32607638889</v>
      </c>
      <c r="J608" s="10" t="n">
        <v>45674.34520833333</v>
      </c>
      <c r="K608" s="10" t="n">
        <v>45674.34520833333</v>
      </c>
      <c r="L608" s="10" t="n">
        <v>45674.34606481482</v>
      </c>
      <c r="M608" s="11">
        <f>IF(AND(ISNUMBER(E608),ISNUMBER(G608)),(G608-E608),"")</f>
        <v/>
      </c>
      <c r="N608" s="11">
        <f>IF(AND(ISNUMBER(G608),ISNUMBER(L608)),(L608-G608),"")</f>
        <v/>
      </c>
      <c r="O608" s="10" t="n">
        <v>45673.86173611111</v>
      </c>
      <c r="P608" s="11">
        <f>IF(AND(ISNUMBER(I608),ISNUMBER(O608)),(I608-O608),"")</f>
        <v/>
      </c>
      <c r="Q608" s="12" t="inlineStr">
        <is>
          <t>WG 1016006 entered track and got coupled to WG 1015603, OBTP started on 07:49:33 finished on 08:17:06 and then left at 08:18:20</t>
        </is>
      </c>
    </row>
    <row r="609">
      <c r="A609" s="3" t="inlineStr">
        <is>
          <t>1016007</t>
        </is>
      </c>
      <c r="B609" s="3" t="inlineStr">
        <is>
          <t>10160</t>
        </is>
      </c>
      <c r="C609" s="9" t="n">
        <v>19.9</v>
      </c>
      <c r="D609" s="3" t="inlineStr">
        <is>
          <t>Neunkirchen (loading tracks)</t>
        </is>
      </c>
      <c r="E609" s="10" t="n">
        <v>45673.83724537037</v>
      </c>
      <c r="F609" s="10" t="n">
        <v>45673.85819444444</v>
      </c>
      <c r="G609" s="10" t="n">
        <v>45673.85993055555</v>
      </c>
      <c r="H609" s="3" t="inlineStr">
        <is>
          <t>OBT170125030753-Neunkirchen (loading tracks)</t>
        </is>
      </c>
      <c r="I609" s="10" t="n">
        <v>45674.32890046296</v>
      </c>
      <c r="J609" s="10" t="n">
        <v>45674.35768518518</v>
      </c>
      <c r="K609" s="10" t="n">
        <v>45674.35768518518</v>
      </c>
      <c r="L609" s="10" t="n">
        <v>45674.35865740741</v>
      </c>
      <c r="M609" s="11">
        <f>IF(AND(ISNUMBER(E609),ISNUMBER(G609)),(G609-E609),"")</f>
        <v/>
      </c>
      <c r="N609" s="11">
        <f>IF(AND(ISNUMBER(G609),ISNUMBER(L609)),(L609-G609),"")</f>
        <v/>
      </c>
      <c r="O609" s="10" t="n">
        <v>45673.86210648148</v>
      </c>
      <c r="P609" s="11">
        <f>IF(AND(ISNUMBER(I609),ISNUMBER(O609)),(I609-O609),"")</f>
        <v/>
      </c>
      <c r="Q609" s="12" t="inlineStr">
        <is>
          <t>WG 1016007 entered track and got secured then waited 6:26:27 for WG 1016101 to get coupled, OBTP started on 07:53:37 finished on 08:35:04 and then left at 08:36:28</t>
        </is>
      </c>
    </row>
    <row r="610">
      <c r="A610" s="3" t="inlineStr">
        <is>
          <t>1016101</t>
        </is>
      </c>
      <c r="B610" s="3" t="inlineStr">
        <is>
          <t>10161</t>
        </is>
      </c>
      <c r="C610" s="9" t="n">
        <v>145.9</v>
      </c>
      <c r="D610" s="3" t="inlineStr">
        <is>
          <t>Neunkirchen (loading tracks)</t>
        </is>
      </c>
      <c r="E610" s="10" t="n">
        <v>45674.11603009259</v>
      </c>
      <c r="F610" s="10" t="n">
        <v>45674.12452546296</v>
      </c>
      <c r="G610" s="10" t="n">
        <v>45674.12655092592</v>
      </c>
      <c r="H610" s="3" t="inlineStr">
        <is>
          <t>OBT170125030753-Neunkirchen (loading tracks)</t>
        </is>
      </c>
      <c r="I610" s="10" t="n">
        <v>45674.32890046296</v>
      </c>
      <c r="J610" s="10" t="n">
        <v>45674.35768518518</v>
      </c>
      <c r="K610" s="10" t="n">
        <v>45674.35768518518</v>
      </c>
      <c r="L610" s="10" t="n">
        <v>45674.35865740741</v>
      </c>
      <c r="M610" s="11">
        <f>IF(AND(ISNUMBER(E610),ISNUMBER(G610)),(G610-E610),"")</f>
        <v/>
      </c>
      <c r="N610" s="11">
        <f>IF(AND(ISNUMBER(G610),ISNUMBER(L610)),(L610-G610),"")</f>
        <v/>
      </c>
      <c r="O610" s="10" t="n">
        <v>45674.13047453704</v>
      </c>
      <c r="P610" s="11">
        <f>IF(AND(ISNUMBER(I610),ISNUMBER(O610)),(I610-O610),"")</f>
        <v/>
      </c>
      <c r="Q610" s="12" t="inlineStr">
        <is>
          <t>WG 1016101 entered track and got coupled to WG 1016007, OBTP started on 07:53:37 finished on 08:35:04 and then left at 08:36:28</t>
        </is>
      </c>
    </row>
    <row r="611">
      <c r="A611" s="3" t="inlineStr">
        <is>
          <t>1016102</t>
        </is>
      </c>
      <c r="B611" s="3" t="inlineStr">
        <is>
          <t>10161</t>
        </is>
      </c>
      <c r="C611" s="9" t="n">
        <v>15.74</v>
      </c>
      <c r="D611" s="3" t="inlineStr">
        <is>
          <t>Gloggnitz</t>
        </is>
      </c>
      <c r="E611" s="10" t="n">
        <v>45674.11603009259</v>
      </c>
      <c r="F611" s="10" t="n">
        <v>45674.12655092592</v>
      </c>
      <c r="G611" s="10" t="n">
        <v>45674.12847222222</v>
      </c>
      <c r="H611" s="3" t="inlineStr">
        <is>
          <t>OBT170125093600-Gloggnitz</t>
        </is>
      </c>
      <c r="I611" s="10" t="n">
        <v>45675.30059027778</v>
      </c>
      <c r="J611" s="10" t="n">
        <v>45675.32832175926</v>
      </c>
      <c r="K611" s="10" t="n">
        <v>45675.32832175926</v>
      </c>
      <c r="L611" s="10" t="n">
        <v>45675.32907407408</v>
      </c>
      <c r="M611" s="11">
        <f>IF(AND(ISNUMBER(E611),ISNUMBER(G611)),(G611-E611),"")</f>
        <v/>
      </c>
      <c r="N611" s="11">
        <f>IF(AND(ISNUMBER(G611),ISNUMBER(L611)),(L611-G611),"")</f>
        <v/>
      </c>
      <c r="O611" s="10" t="n">
        <v>45674.13236111111</v>
      </c>
      <c r="P611" s="11">
        <f>IF(AND(ISNUMBER(I611),ISNUMBER(O611)),(I611-O611),"")</f>
        <v/>
      </c>
      <c r="Q611" s="12" t="inlineStr">
        <is>
          <t>WG 1016102 entered track and got coupled to WG 1015605 then waited 6:25:24 for WG 1016709 to get coupled, OBTP started on 07:12:51 finished on 07:52:47 and then left at 07:53:52</t>
        </is>
      </c>
    </row>
    <row r="612">
      <c r="A612" s="3" t="inlineStr">
        <is>
          <t>1016103</t>
        </is>
      </c>
      <c r="B612" s="3" t="inlineStr">
        <is>
          <t>10161</t>
        </is>
      </c>
      <c r="C612" s="9" t="n">
        <v>12.04</v>
      </c>
      <c r="D612" s="3" t="inlineStr">
        <is>
          <t>Ternitz (Schoeller-Bleckmann)</t>
        </is>
      </c>
      <c r="E612" s="10" t="n">
        <v>45674.11603009259</v>
      </c>
      <c r="F612" s="10" t="n">
        <v>45674.12847222222</v>
      </c>
      <c r="G612" s="10" t="n">
        <v>45674.13040509259</v>
      </c>
      <c r="H612" s="3" t="inlineStr">
        <is>
          <t>OBT170125075244-Ternitz (Schoeller-Bleckmann)</t>
        </is>
      </c>
      <c r="I612" s="10" t="n">
        <v>45674.74086805555</v>
      </c>
      <c r="J612" s="10" t="n">
        <v>45674.76534722222</v>
      </c>
      <c r="K612" s="10" t="n">
        <v>45674.76534722222</v>
      </c>
      <c r="L612" s="10" t="n">
        <v>45674.76621527778</v>
      </c>
      <c r="M612" s="11">
        <f>IF(AND(ISNUMBER(E612),ISNUMBER(G612)),(G612-E612),"")</f>
        <v/>
      </c>
      <c r="N612" s="11">
        <f>IF(AND(ISNUMBER(G612),ISNUMBER(L612)),(L612-G612),"")</f>
        <v/>
      </c>
      <c r="O612" s="10" t="n">
        <v>45674.13256944445</v>
      </c>
      <c r="P612" s="11">
        <f>IF(AND(ISNUMBER(I612),ISNUMBER(O612)),(I612-O612),"")</f>
        <v/>
      </c>
      <c r="Q612" s="12" t="inlineStr">
        <is>
          <t>WG 1016103 entered track and got secured then waited 4:39:00 for WG 1016408 to get coupled then waited 0:02:50 for WG 1016409 to get coupled, OBTP started on 17:46:51 finished on 18:22:06 and then left at 18:23:21</t>
        </is>
      </c>
    </row>
    <row r="613">
      <c r="A613" s="3" t="inlineStr">
        <is>
          <t>1016104</t>
        </is>
      </c>
      <c r="B613" s="3" t="inlineStr">
        <is>
          <t>10161</t>
        </is>
      </c>
      <c r="C613" s="9" t="n">
        <v>35.64</v>
      </c>
      <c r="D613" s="3" t="inlineStr">
        <is>
          <t>Other sidings south</t>
        </is>
      </c>
      <c r="E613" s="10" t="n">
        <v>45674.11603009259</v>
      </c>
      <c r="F613" s="10" t="n">
        <v>45674.13040509259</v>
      </c>
      <c r="G613" s="10" t="n">
        <v>45674.13195601852</v>
      </c>
      <c r="H613" s="3" t="inlineStr">
        <is>
          <t>OBT170125031540-Other sidings south</t>
        </is>
      </c>
      <c r="I613" s="10" t="n">
        <v>45674.34686342593</v>
      </c>
      <c r="J613" s="10" t="n">
        <v>45674.37018518519</v>
      </c>
      <c r="K613" s="10" t="n">
        <v>45674.37018518519</v>
      </c>
      <c r="L613" s="10" t="n">
        <v>45674.37104166667</v>
      </c>
      <c r="M613" s="11">
        <f>IF(AND(ISNUMBER(E613),ISNUMBER(G613)),(G613-E613),"")</f>
        <v/>
      </c>
      <c r="N613" s="11">
        <f>IF(AND(ISNUMBER(G613),ISNUMBER(L613)),(L613-G613),"")</f>
        <v/>
      </c>
      <c r="O613" s="10" t="n">
        <v>45674.13587962963</v>
      </c>
      <c r="P613" s="11">
        <f>IF(AND(ISNUMBER(I613),ISNUMBER(O613)),(I613-O613),"")</f>
        <v/>
      </c>
      <c r="Q613" s="12" t="inlineStr">
        <is>
          <t>WG 1016104 entered track and got coupled to WG 1016003, OBTP started on 08:19:29 finished on 08:53:04 and then left at 08:54:18</t>
        </is>
      </c>
    </row>
    <row r="614">
      <c r="A614" s="3" t="inlineStr">
        <is>
          <t>1016201</t>
        </is>
      </c>
      <c r="B614" s="3" t="inlineStr">
        <is>
          <t>10162</t>
        </is>
      </c>
      <c r="C614" s="9" t="n">
        <v>513.3</v>
      </c>
      <c r="D614" s="3" t="inlineStr">
        <is>
          <t>Neudörfl (FunderMax)</t>
        </is>
      </c>
      <c r="E614" s="10" t="n">
        <v>45674.18712962963</v>
      </c>
      <c r="F614" s="10" t="n">
        <v>45674.19461805555</v>
      </c>
      <c r="G614" s="10" t="n">
        <v>45674.19771990741</v>
      </c>
      <c r="H614" s="3" t="inlineStr">
        <is>
          <t>OBT170125044950-Neudörfl (FunderMax)</t>
        </is>
      </c>
      <c r="I614" s="10" t="n">
        <v>45674.37914351852</v>
      </c>
      <c r="J614" s="10" t="n">
        <v>45674.47880787037</v>
      </c>
      <c r="K614" s="10" t="n">
        <v>45674.47880787037</v>
      </c>
      <c r="L614" s="10" t="n">
        <v>45674.48069444444</v>
      </c>
      <c r="M614" s="11">
        <f>IF(AND(ISNUMBER(E614),ISNUMBER(G614)),(G614-E614),"")</f>
        <v/>
      </c>
      <c r="N614" s="11">
        <f>IF(AND(ISNUMBER(G614),ISNUMBER(L614)),(L614-G614),"")</f>
        <v/>
      </c>
      <c r="O614" s="10" t="n">
        <v>45674.20127314814</v>
      </c>
      <c r="P614" s="11">
        <f>IF(AND(ISNUMBER(I614),ISNUMBER(O614)),(I614-O614),"")</f>
        <v/>
      </c>
      <c r="Q614" s="12" t="inlineStr">
        <is>
          <t>WG 1016201 entered track and got coupled to WG 1015904, OBTP started on 09:05:58 finished on 11:29:29 and then left at 11:32:12</t>
        </is>
      </c>
    </row>
    <row r="615">
      <c r="A615" s="3" t="inlineStr">
        <is>
          <t>1016301</t>
        </is>
      </c>
      <c r="B615" s="3" t="inlineStr">
        <is>
          <t>10163</t>
        </is>
      </c>
      <c r="C615" s="9" t="n">
        <v>297</v>
      </c>
      <c r="D615" s="3" t="inlineStr">
        <is>
          <t>Wien Kledering</t>
        </is>
      </c>
      <c r="E615" s="10" t="n">
        <v>45674.27188657408</v>
      </c>
      <c r="F615" s="10" t="n">
        <v>45674.2778587963</v>
      </c>
      <c r="G615" s="10" t="n">
        <v>45674.27978009259</v>
      </c>
      <c r="H615" s="3" t="inlineStr">
        <is>
          <t>OBT170125064600-Wien Kledering</t>
        </is>
      </c>
      <c r="I615" s="10" t="n">
        <v>45674.39969907407</v>
      </c>
      <c r="J615" s="10" t="n">
        <v>45674.45126157408</v>
      </c>
      <c r="K615" s="10" t="n">
        <v>45674.45126157408</v>
      </c>
      <c r="L615" s="10" t="n">
        <v>45674.45237268518</v>
      </c>
      <c r="M615" s="11">
        <f>IF(AND(ISNUMBER(E615),ISNUMBER(G615)),(G615-E615),"")</f>
        <v/>
      </c>
      <c r="N615" s="11">
        <f>IF(AND(ISNUMBER(G615),ISNUMBER(L615)),(L615-G615),"")</f>
        <v/>
      </c>
      <c r="O615" s="10" t="n">
        <v>45674.28194444445</v>
      </c>
      <c r="P615" s="11">
        <f>IF(AND(ISNUMBER(I615),ISNUMBER(O615)),(I615-O615),"")</f>
        <v/>
      </c>
      <c r="Q615" s="12" t="inlineStr">
        <is>
          <t>WG 1016301 entered track and got secured, OBTP started on 09:35:34 finished on 10:49:49 and then left at 10:51:25</t>
        </is>
      </c>
    </row>
    <row r="616">
      <c r="A616" s="3" t="inlineStr">
        <is>
          <t>1016401</t>
        </is>
      </c>
      <c r="B616" s="3" t="inlineStr">
        <is>
          <t>10164</t>
        </is>
      </c>
      <c r="C616" s="9" t="n">
        <v>43.14</v>
      </c>
      <c r="D616" s="3" t="inlineStr">
        <is>
          <t>Other sidings north</t>
        </is>
      </c>
      <c r="E616" s="10" t="n">
        <v>45674.29239583333</v>
      </c>
      <c r="F616" s="10" t="n">
        <v>45674.3075</v>
      </c>
      <c r="G616" s="10" t="n">
        <v>45674.30929398148</v>
      </c>
      <c r="H616" s="3" t="inlineStr">
        <is>
          <t>OBT170125073030-Other sidings north</t>
        </is>
      </c>
      <c r="I616" s="10" t="n">
        <v>45674.43931712963</v>
      </c>
      <c r="J616" s="10" t="n">
        <v>45674.46262731482</v>
      </c>
      <c r="K616" s="10" t="n">
        <v>45674.46262731482</v>
      </c>
      <c r="L616" s="10" t="n">
        <v>45674.46344907407</v>
      </c>
      <c r="M616" s="11">
        <f>IF(AND(ISNUMBER(E616),ISNUMBER(G616)),(G616-E616),"")</f>
        <v/>
      </c>
      <c r="N616" s="11">
        <f>IF(AND(ISNUMBER(G616),ISNUMBER(L616)),(L616-G616),"")</f>
        <v/>
      </c>
      <c r="O616" s="10" t="n">
        <v>45674.31284722222</v>
      </c>
      <c r="P616" s="11">
        <f>IF(AND(ISNUMBER(I616),ISNUMBER(O616)),(I616-O616),"")</f>
        <v/>
      </c>
      <c r="Q616" s="12" t="inlineStr">
        <is>
          <t>WG 1016401 entered track and got coupled to WG 1014808, OBTP started on 10:32:37 finished on 11:06:11 and then left at 11:07:22</t>
        </is>
      </c>
    </row>
    <row r="617">
      <c r="A617" s="3" t="inlineStr">
        <is>
          <t>1016402</t>
        </is>
      </c>
      <c r="B617" s="3" t="inlineStr">
        <is>
          <t>10164</t>
        </is>
      </c>
      <c r="C617" s="9" t="n">
        <v>147.68</v>
      </c>
      <c r="D617" s="3" t="inlineStr">
        <is>
          <t>Pitten (Hamburger)</t>
        </is>
      </c>
      <c r="E617" s="10" t="n">
        <v>45674.29239583333</v>
      </c>
      <c r="F617" s="10" t="n">
        <v>45674.30929398148</v>
      </c>
      <c r="G617" s="10" t="n">
        <v>45674.31162037037</v>
      </c>
      <c r="H617" s="3" t="inlineStr">
        <is>
          <t>OBT170125073211-Pitten (Hamburger)</t>
        </is>
      </c>
      <c r="I617" s="10" t="n">
        <v>45674.54545138889</v>
      </c>
      <c r="J617" s="10" t="n">
        <v>45674.57109953704</v>
      </c>
      <c r="K617" s="10" t="n">
        <v>45674.57109953704</v>
      </c>
      <c r="L617" s="10" t="n">
        <v>45674.57193287037</v>
      </c>
      <c r="M617" s="11">
        <f>IF(AND(ISNUMBER(E617),ISNUMBER(G617)),(G617-E617),"")</f>
        <v/>
      </c>
      <c r="N617" s="11">
        <f>IF(AND(ISNUMBER(G617),ISNUMBER(L617)),(L617-G617),"")</f>
        <v/>
      </c>
      <c r="O617" s="10" t="n">
        <v>45674.3140162037</v>
      </c>
      <c r="P617" s="11">
        <f>IF(AND(ISNUMBER(I617),ISNUMBER(O617)),(I617-O617),"")</f>
        <v/>
      </c>
      <c r="Q617" s="12" t="inlineStr">
        <is>
          <t>WG 1016402 entered track and got secured, OBTP started on 13:05:27 finished on 13:42:23 and then left at 13:43:35</t>
        </is>
      </c>
    </row>
    <row r="618">
      <c r="A618" s="3" t="inlineStr">
        <is>
          <t>1016403</t>
        </is>
      </c>
      <c r="B618" s="3" t="inlineStr">
        <is>
          <t>10164</t>
        </is>
      </c>
      <c r="C618" s="9" t="n">
        <v>15.74</v>
      </c>
      <c r="D618" s="3" t="inlineStr">
        <is>
          <t>Steinabrückl/Wöllersdorf</t>
        </is>
      </c>
      <c r="E618" s="10" t="n">
        <v>45674.29239583333</v>
      </c>
      <c r="F618" s="10" t="n">
        <v>45674.31162037037</v>
      </c>
      <c r="G618" s="10" t="n">
        <v>45674.31337962963</v>
      </c>
      <c r="H618" s="3" t="inlineStr">
        <is>
          <t>OBT170125081922-Steinabrückl/Wöllersdorf</t>
        </is>
      </c>
      <c r="I618" s="10" t="n">
        <v>45674.86785879629</v>
      </c>
      <c r="J618" s="10" t="n">
        <v>45674.92876157408</v>
      </c>
      <c r="K618" s="10" t="n">
        <v>45674.92876157408</v>
      </c>
      <c r="L618" s="10" t="n">
        <v>45674.93011574074</v>
      </c>
      <c r="M618" s="11">
        <f>IF(AND(ISNUMBER(E618),ISNUMBER(G618)),(G618-E618),"")</f>
        <v/>
      </c>
      <c r="N618" s="11">
        <f>IF(AND(ISNUMBER(G618),ISNUMBER(L618)),(L618-G618),"")</f>
        <v/>
      </c>
      <c r="O618" s="10" t="n">
        <v>45674.31726851852</v>
      </c>
      <c r="P618" s="11">
        <f>IF(AND(ISNUMBER(I618),ISNUMBER(O618)),(I618-O618),"")</f>
        <v/>
      </c>
      <c r="Q618" s="12" t="inlineStr">
        <is>
          <t>WG 1016403 entered track and got coupled to WG 1016004 then waited 0:42:30 for WG 1016601 to get coupled, OBTP started on 20:49:43 finished on 22:17:25 and then left at 22:19:22</t>
        </is>
      </c>
    </row>
    <row r="619">
      <c r="A619" s="3" t="inlineStr">
        <is>
          <t>1016404</t>
        </is>
      </c>
      <c r="B619" s="3" t="inlineStr">
        <is>
          <t>10164</t>
        </is>
      </c>
      <c r="C619" s="9" t="n">
        <v>51.38</v>
      </c>
      <c r="D619" s="3" t="inlineStr">
        <is>
          <t>Other sidings local</t>
        </is>
      </c>
      <c r="E619" s="10" t="n">
        <v>45674.29239583333</v>
      </c>
      <c r="F619" s="10" t="n">
        <v>45674.31337962963</v>
      </c>
      <c r="G619" s="10" t="n">
        <v>45674.31461805556</v>
      </c>
      <c r="H619" s="3" t="inlineStr">
        <is>
          <t>OBT170125073842-St. Veit an der Glan</t>
        </is>
      </c>
      <c r="I619" s="10" t="n">
        <v>45674.65956018519</v>
      </c>
      <c r="J619" s="10" t="n">
        <v>45674.68287037037</v>
      </c>
      <c r="K619" s="10" t="n">
        <v>45674.68287037037</v>
      </c>
      <c r="L619" s="10" t="n">
        <v>45674.68364583333</v>
      </c>
      <c r="M619" s="11">
        <f>IF(AND(ISNUMBER(E619),ISNUMBER(G619)),(G619-E619),"")</f>
        <v/>
      </c>
      <c r="N619" s="11">
        <f>IF(AND(ISNUMBER(G619),ISNUMBER(L619)),(L619-G619),"")</f>
        <v/>
      </c>
      <c r="O619" s="10" t="n">
        <v>45674.31854166667</v>
      </c>
      <c r="P619" s="11">
        <f>IF(AND(ISNUMBER(I619),ISNUMBER(O619)),(I619-O619),"")</f>
        <v/>
      </c>
      <c r="Q619" s="12" t="inlineStr">
        <is>
          <t>WG 1016404 entered track and got coupled to WG 1015801, OBTP started on 15:49:46 finished on 16:23:20 and then left at 16:24:27</t>
        </is>
      </c>
    </row>
    <row r="620">
      <c r="A620" s="3" t="inlineStr">
        <is>
          <t>1016405</t>
        </is>
      </c>
      <c r="B620" s="3" t="inlineStr">
        <is>
          <t>10164</t>
        </is>
      </c>
      <c r="C620" s="9" t="n">
        <v>15.74</v>
      </c>
      <c r="D620" s="3" t="inlineStr">
        <is>
          <t>Obereggendorf (Hofer)</t>
        </is>
      </c>
      <c r="E620" s="10" t="n">
        <v>45674.29239583333</v>
      </c>
      <c r="F620" s="10" t="n">
        <v>45674.31461805556</v>
      </c>
      <c r="G620" s="10" t="n">
        <v>45674.31623842593</v>
      </c>
      <c r="H620" s="3" t="inlineStr">
        <is>
          <t>OBT170125091546-Pitten (Hamburger)</t>
        </is>
      </c>
      <c r="I620" s="10" t="n">
        <v>45675.25440972222</v>
      </c>
      <c r="J620" s="10" t="n">
        <v>45675.29618055555</v>
      </c>
      <c r="K620" s="10" t="n">
        <v>45675.29618055555</v>
      </c>
      <c r="L620" s="10" t="n">
        <v>45675.29733796296</v>
      </c>
      <c r="M620" s="11">
        <f>IF(AND(ISNUMBER(E620),ISNUMBER(G620)),(G620-E620),"")</f>
        <v/>
      </c>
      <c r="N620" s="11">
        <f>IF(AND(ISNUMBER(G620),ISNUMBER(L620)),(L620-G620),"")</f>
        <v/>
      </c>
      <c r="O620" s="10" t="n">
        <v>45674.31863425926</v>
      </c>
      <c r="P620" s="11">
        <f>IF(AND(ISNUMBER(I620),ISNUMBER(O620)),(I620-O620),"")</f>
        <v/>
      </c>
      <c r="Q620" s="12" t="inlineStr">
        <is>
          <t>WG 1016405 entered track and got secured then waited 1:36:56 for WG 1016702 to get coupled, OBTP started on 06:06:21 finished on 07:06:30 and then left at 07:08:10</t>
        </is>
      </c>
    </row>
    <row r="621">
      <c r="A621" s="3" t="inlineStr">
        <is>
          <t>1016406</t>
        </is>
      </c>
      <c r="B621" s="3" t="inlineStr">
        <is>
          <t>10164</t>
        </is>
      </c>
      <c r="C621" s="9" t="n">
        <v>73.90000000000001</v>
      </c>
      <c r="D621" s="3" t="inlineStr">
        <is>
          <t>Neudörfl (FunderMax)</t>
        </is>
      </c>
      <c r="E621" s="10" t="n">
        <v>45674.29239583333</v>
      </c>
      <c r="F621" s="10" t="n">
        <v>45674.31623842593</v>
      </c>
      <c r="G621" s="10" t="n">
        <v>45674.31828703704</v>
      </c>
      <c r="H621" s="3" t="inlineStr">
        <is>
          <t>OBT170125093812-Neudörfl (FunderMax)</t>
        </is>
      </c>
      <c r="I621" s="10" t="n">
        <v>45676.74791666667</v>
      </c>
      <c r="J621" s="10" t="n">
        <v>45676.77996527778</v>
      </c>
      <c r="K621" s="10" t="n">
        <v>45676.77996527778</v>
      </c>
      <c r="L621" s="10" t="n">
        <v>45676.78076388889</v>
      </c>
      <c r="M621" s="11">
        <f>IF(AND(ISNUMBER(E621),ISNUMBER(G621)),(G621-E621),"")</f>
        <v/>
      </c>
      <c r="N621" s="11">
        <f>IF(AND(ISNUMBER(G621),ISNUMBER(L621)),(L621-G621),"")</f>
        <v/>
      </c>
      <c r="O621" s="10" t="n">
        <v>45674.32064814815</v>
      </c>
      <c r="P621" s="11">
        <f>IF(AND(ISNUMBER(I621),ISNUMBER(O621)),(I621-O621),"")</f>
        <v/>
      </c>
      <c r="Q621" s="12" t="inlineStr">
        <is>
          <t>WG 1016406 entered track and got secured then waited 1:51:20 for WG 1016708 to get coupled then waited 0:05:08 for WG 1016710 to get coupled, OBTP started on 17:57:00 finished on 18:43:09 and then left at 18:44:18</t>
        </is>
      </c>
    </row>
    <row r="622">
      <c r="A622" s="3" t="inlineStr">
        <is>
          <t>1016407</t>
        </is>
      </c>
      <c r="B622" s="3" t="inlineStr">
        <is>
          <t>10164</t>
        </is>
      </c>
      <c r="C622" s="9" t="n">
        <v>15.74</v>
      </c>
      <c r="D622" s="3" t="inlineStr">
        <is>
          <t>Other sidings south</t>
        </is>
      </c>
      <c r="E622" s="10" t="n">
        <v>45674.29239583333</v>
      </c>
      <c r="F622" s="10" t="n">
        <v>45674.31828703704</v>
      </c>
      <c r="G622" s="10" t="n">
        <v>45674.32023148148</v>
      </c>
      <c r="H622" s="3" t="inlineStr">
        <is>
          <t>OBT170125181531-Wien Kledering</t>
        </is>
      </c>
      <c r="I622" s="10" t="n">
        <v>45677.25707175926</v>
      </c>
      <c r="J622" s="10" t="n">
        <v>45677.27619212963</v>
      </c>
      <c r="K622" s="10" t="n">
        <v>45677.27619212963</v>
      </c>
      <c r="L622" s="10" t="n">
        <v>45677.27700231481</v>
      </c>
      <c r="M622" s="11">
        <f>IF(AND(ISNUMBER(E622),ISNUMBER(G622)),(G622-E622),"")</f>
        <v/>
      </c>
      <c r="N622" s="11">
        <f>IF(AND(ISNUMBER(G622),ISNUMBER(L622)),(L622-G622),"")</f>
        <v/>
      </c>
      <c r="O622" s="10" t="n">
        <v>45674.32262731482</v>
      </c>
      <c r="P622" s="11">
        <f>IF(AND(ISNUMBER(I622),ISNUMBER(O622)),(I622-O622),"")</f>
        <v/>
      </c>
      <c r="Q622" s="12" t="inlineStr">
        <is>
          <t>WG 1016407 entered track and got secured then waited 1:38:17 for WG 1016704 to get coupled then waited 8:52:39 for WG 1017301 to get coupled, OBTP started on 06:10:11 finished on 06:37:43 and then left at 06:38:53</t>
        </is>
      </c>
    </row>
    <row r="623">
      <c r="A623" s="3" t="inlineStr">
        <is>
          <t>1016408</t>
        </is>
      </c>
      <c r="B623" s="3" t="inlineStr">
        <is>
          <t>10164</t>
        </is>
      </c>
      <c r="C623" s="9" t="n">
        <v>116.94</v>
      </c>
      <c r="D623" s="3" t="inlineStr">
        <is>
          <t>Pitten (Hamburger)</t>
        </is>
      </c>
      <c r="E623" s="10" t="n">
        <v>45674.29239583333</v>
      </c>
      <c r="F623" s="10" t="n">
        <v>45674.32023148148</v>
      </c>
      <c r="G623" s="10" t="n">
        <v>45674.32241898148</v>
      </c>
      <c r="H623" s="3" t="inlineStr">
        <is>
          <t>OBT170125075244-Ternitz (Schoeller-Bleckmann)</t>
        </is>
      </c>
      <c r="I623" s="10" t="n">
        <v>45674.74086805555</v>
      </c>
      <c r="J623" s="10" t="n">
        <v>45674.76534722222</v>
      </c>
      <c r="K623" s="10" t="n">
        <v>45674.76534722222</v>
      </c>
      <c r="L623" s="10" t="n">
        <v>45674.76621527778</v>
      </c>
      <c r="M623" s="11">
        <f>IF(AND(ISNUMBER(E623),ISNUMBER(G623)),(G623-E623),"")</f>
        <v/>
      </c>
      <c r="N623" s="11">
        <f>IF(AND(ISNUMBER(G623),ISNUMBER(L623)),(L623-G623),"")</f>
        <v/>
      </c>
      <c r="O623" s="10" t="n">
        <v>45674.32631944444</v>
      </c>
      <c r="P623" s="11">
        <f>IF(AND(ISNUMBER(I623),ISNUMBER(O623)),(I623-O623),"")</f>
        <v/>
      </c>
      <c r="Q623" s="12" t="inlineStr">
        <is>
          <t>WG 1016408 entered track and got coupled to WG 1016103 then waited 0:02:50 for WG 1016409 to get coupled, OBTP started on 17:46:51 finished on 18:22:06 and then left at 18:23:21</t>
        </is>
      </c>
    </row>
    <row r="624">
      <c r="A624" s="3" t="inlineStr">
        <is>
          <t>1016409</t>
        </is>
      </c>
      <c r="B624" s="3" t="inlineStr">
        <is>
          <t>10164</t>
        </is>
      </c>
      <c r="C624" s="9" t="n">
        <v>12.04</v>
      </c>
      <c r="D624" s="3" t="inlineStr">
        <is>
          <t>Ternitz (Schoeller-Bleckmann)</t>
        </is>
      </c>
      <c r="E624" s="10" t="n">
        <v>45674.29239583333</v>
      </c>
      <c r="F624" s="10" t="n">
        <v>45674.32241898148</v>
      </c>
      <c r="G624" s="10" t="n">
        <v>45674.32436342593</v>
      </c>
      <c r="H624" s="3" t="inlineStr">
        <is>
          <t>OBT170125075244-Ternitz (Schoeller-Bleckmann)</t>
        </is>
      </c>
      <c r="I624" s="10" t="n">
        <v>45674.74086805555</v>
      </c>
      <c r="J624" s="10" t="n">
        <v>45674.76534722222</v>
      </c>
      <c r="K624" s="10" t="n">
        <v>45674.76534722222</v>
      </c>
      <c r="L624" s="10" t="n">
        <v>45674.76621527778</v>
      </c>
      <c r="M624" s="11">
        <f>IF(AND(ISNUMBER(E624),ISNUMBER(G624)),(G624-E624),"")</f>
        <v/>
      </c>
      <c r="N624" s="11">
        <f>IF(AND(ISNUMBER(G624),ISNUMBER(L624)),(L624-G624),"")</f>
        <v/>
      </c>
      <c r="O624" s="10" t="n">
        <v>45674.32828703704</v>
      </c>
      <c r="P624" s="11">
        <f>IF(AND(ISNUMBER(I624),ISNUMBER(O624)),(I624-O624),"")</f>
        <v/>
      </c>
      <c r="Q624" s="12" t="inlineStr">
        <is>
          <t>WG 1016409 entered track and got coupled to WG 1016408, OBTP started on 17:46:51 finished on 18:22:06 and then left at 18:23:21</t>
        </is>
      </c>
    </row>
    <row r="625">
      <c r="A625" s="3" t="inlineStr">
        <is>
          <t>1016501</t>
        </is>
      </c>
      <c r="B625" s="3" t="inlineStr">
        <is>
          <t>10165</t>
        </is>
      </c>
      <c r="C625" s="9" t="n">
        <v>339.8400000000001</v>
      </c>
      <c r="D625" s="3" t="inlineStr">
        <is>
          <t>Wien Kledering</t>
        </is>
      </c>
      <c r="E625" s="10" t="n">
        <v>45674.31340277778</v>
      </c>
      <c r="F625" s="10" t="n">
        <v>45674.32516203704</v>
      </c>
      <c r="G625" s="10" t="n">
        <v>45674.32716435185</v>
      </c>
      <c r="H625" s="3" t="inlineStr">
        <is>
          <t>OBT170125075431-Wien Kledering</t>
        </is>
      </c>
      <c r="I625" s="10" t="n">
        <v>45674.76011574074</v>
      </c>
      <c r="J625" s="10" t="n">
        <v>45674.81912037037</v>
      </c>
      <c r="K625" s="10" t="n">
        <v>45674.81912037037</v>
      </c>
      <c r="L625" s="10" t="n">
        <v>45674.82045138889</v>
      </c>
      <c r="M625" s="11">
        <f>IF(AND(ISNUMBER(E625),ISNUMBER(G625)),(G625-E625),"")</f>
        <v/>
      </c>
      <c r="N625" s="11">
        <f>IF(AND(ISNUMBER(G625),ISNUMBER(L625)),(L625-G625),"")</f>
        <v/>
      </c>
      <c r="O625" s="10" t="n">
        <v>45674.32952546296</v>
      </c>
      <c r="P625" s="11">
        <f>IF(AND(ISNUMBER(I625),ISNUMBER(O625)),(I625-O625),"")</f>
        <v/>
      </c>
      <c r="Q625" s="12" t="inlineStr">
        <is>
          <t>WG 1016501 entered track and got secured, OBTP started on 18:14:34 finished on 19:39:32 and then left at 19:41:27</t>
        </is>
      </c>
    </row>
    <row r="626">
      <c r="A626" s="3" t="inlineStr">
        <is>
          <t>1016601</t>
        </is>
      </c>
      <c r="B626" s="3" t="inlineStr">
        <is>
          <t>10166</t>
        </is>
      </c>
      <c r="C626" s="9" t="n">
        <v>287.86</v>
      </c>
      <c r="D626" s="3" t="inlineStr">
        <is>
          <t>Wien Kledering</t>
        </is>
      </c>
      <c r="E626" s="10" t="n">
        <v>45674.33453703704</v>
      </c>
      <c r="F626" s="10" t="n">
        <v>45674.34050925926</v>
      </c>
      <c r="G626" s="10" t="n">
        <v>45674.34289351852</v>
      </c>
      <c r="H626" s="3" t="inlineStr">
        <is>
          <t>OBT170125081922-Steinabrückl/Wöllersdorf</t>
        </is>
      </c>
      <c r="I626" s="10" t="n">
        <v>45674.86785879629</v>
      </c>
      <c r="J626" s="10" t="n">
        <v>45674.92876157408</v>
      </c>
      <c r="K626" s="10" t="n">
        <v>45674.92876157408</v>
      </c>
      <c r="L626" s="10" t="n">
        <v>45674.93011574074</v>
      </c>
      <c r="M626" s="11">
        <f>IF(AND(ISNUMBER(E626),ISNUMBER(G626)),(G626-E626),"")</f>
        <v/>
      </c>
      <c r="N626" s="11">
        <f>IF(AND(ISNUMBER(G626),ISNUMBER(L626)),(L626-G626),"")</f>
        <v/>
      </c>
      <c r="O626" s="10" t="n">
        <v>45674.34678240741</v>
      </c>
      <c r="P626" s="11">
        <f>IF(AND(ISNUMBER(I626),ISNUMBER(O626)),(I626-O626),"")</f>
        <v/>
      </c>
      <c r="Q626" s="12" t="inlineStr">
        <is>
          <t>WG 1016601 entered track and got coupled to WG 1016403, OBTP started on 20:49:43 finished on 22:17:25 and then left at 22:19:22</t>
        </is>
      </c>
    </row>
    <row r="627">
      <c r="A627" s="3" t="inlineStr">
        <is>
          <t>1016701</t>
        </is>
      </c>
      <c r="B627" s="3" t="inlineStr">
        <is>
          <t>10167</t>
        </is>
      </c>
      <c r="C627" s="9" t="n">
        <v>15.74</v>
      </c>
      <c r="D627" s="3" t="inlineStr">
        <is>
          <t>Other sidings local</t>
        </is>
      </c>
      <c r="E627" s="10" t="n">
        <v>45674.361875</v>
      </c>
      <c r="F627" s="10" t="n">
        <v>45674.37974537037</v>
      </c>
      <c r="G627" s="10" t="n">
        <v>45674.38144675926</v>
      </c>
      <c r="H627" s="3" t="inlineStr">
        <is>
          <t>OBT220125073335-Other sidings local</t>
        </is>
      </c>
      <c r="I627" s="10" t="n">
        <v>45680.30650462963</v>
      </c>
      <c r="J627" s="10" t="n">
        <v>45680.32506944444</v>
      </c>
      <c r="K627" s="10" t="n">
        <v>45680.32570601852</v>
      </c>
      <c r="L627" s="10" t="n">
        <v>45680.32655092593</v>
      </c>
      <c r="M627" s="11">
        <f>IF(AND(ISNUMBER(E627),ISNUMBER(G627)),(G627-E627),"")</f>
        <v/>
      </c>
      <c r="N627" s="11">
        <f>IF(AND(ISNUMBER(G627),ISNUMBER(L627)),(L627-G627),"")</f>
        <v/>
      </c>
      <c r="O627" s="10" t="n">
        <v>45674.38384259259</v>
      </c>
      <c r="P627" s="11">
        <f>IF(AND(ISNUMBER(I627),ISNUMBER(O627)),(I627-O627),"")</f>
        <v/>
      </c>
      <c r="Q627" s="12" t="inlineStr">
        <is>
          <t>WG 1016701 entered track and got secured then waited 70:57:56 for WG 1018304 to get coupled then waited 23:45:54 for WG 1019805 to get coupled then waited 0:05:22 for WG 1019808 to get coupled then waited 7:25:36 for WG 1020508 to get coupled then waited 16:06:03 for WG 1021105 to get coupled, OBTP started on 07:21:22 finished on 07:48:06 and then left at 07:50:14</t>
        </is>
      </c>
    </row>
    <row r="628">
      <c r="A628" s="3" t="inlineStr">
        <is>
          <t>1016702</t>
        </is>
      </c>
      <c r="B628" s="3" t="inlineStr">
        <is>
          <t>10167</t>
        </is>
      </c>
      <c r="C628" s="9" t="n">
        <v>240.64</v>
      </c>
      <c r="D628" s="3" t="inlineStr">
        <is>
          <t>Pitten (Hamburger)</t>
        </is>
      </c>
      <c r="E628" s="10" t="n">
        <v>45674.361875</v>
      </c>
      <c r="F628" s="10" t="n">
        <v>45674.38144675926</v>
      </c>
      <c r="G628" s="10" t="n">
        <v>45674.38355324074</v>
      </c>
      <c r="H628" s="3" t="inlineStr">
        <is>
          <t>OBT170125091546-Pitten (Hamburger)</t>
        </is>
      </c>
      <c r="I628" s="10" t="n">
        <v>45675.25440972222</v>
      </c>
      <c r="J628" s="10" t="n">
        <v>45675.29618055555</v>
      </c>
      <c r="K628" s="10" t="n">
        <v>45675.29618055555</v>
      </c>
      <c r="L628" s="10" t="n">
        <v>45675.29733796296</v>
      </c>
      <c r="M628" s="11">
        <f>IF(AND(ISNUMBER(E628),ISNUMBER(G628)),(G628-E628),"")</f>
        <v/>
      </c>
      <c r="N628" s="11">
        <f>IF(AND(ISNUMBER(G628),ISNUMBER(L628)),(L628-G628),"")</f>
        <v/>
      </c>
      <c r="O628" s="10" t="n">
        <v>45674.38594907407</v>
      </c>
      <c r="P628" s="11">
        <f>IF(AND(ISNUMBER(I628),ISNUMBER(O628)),(I628-O628),"")</f>
        <v/>
      </c>
      <c r="Q628" s="12" t="inlineStr">
        <is>
          <t>WG 1016702 entered track and got secured, OBTP started on 06:06:21 finished on 07:06:30 and then left at 07:08:10</t>
        </is>
      </c>
    </row>
    <row r="629">
      <c r="A629" s="3" t="inlineStr">
        <is>
          <t>1016703</t>
        </is>
      </c>
      <c r="B629" s="3" t="inlineStr">
        <is>
          <t>10167</t>
        </is>
      </c>
      <c r="C629" s="9" t="n">
        <v>19.9</v>
      </c>
      <c r="D629" s="3" t="inlineStr">
        <is>
          <t>Felixdorf/Sollenau (Bundesheer, Maba)</t>
        </is>
      </c>
      <c r="E629" s="10" t="n">
        <v>45674.361875</v>
      </c>
      <c r="F629" s="10" t="n">
        <v>45674.38355324074</v>
      </c>
      <c r="G629" s="10" t="n">
        <v>45674.38503472223</v>
      </c>
      <c r="H629" s="3" t="inlineStr">
        <is>
          <t>OBT220125180146-Felixdorf/Sollenau (Bundesheer, Maba)</t>
        </is>
      </c>
      <c r="I629" s="10" t="n">
        <v>45680.65077546296</v>
      </c>
      <c r="J629" s="10" t="n">
        <v>45680.67150462963</v>
      </c>
      <c r="K629" s="10" t="n">
        <v>45680.67150462963</v>
      </c>
      <c r="L629" s="10" t="n">
        <v>45680.67232638889</v>
      </c>
      <c r="M629" s="11">
        <f>IF(AND(ISNUMBER(E629),ISNUMBER(G629)),(G629-E629),"")</f>
        <v/>
      </c>
      <c r="N629" s="11">
        <f>IF(AND(ISNUMBER(G629),ISNUMBER(L629)),(L629-G629),"")</f>
        <v/>
      </c>
      <c r="O629" s="10" t="n">
        <v>45674.38743055556</v>
      </c>
      <c r="P629" s="11">
        <f>IF(AND(ISNUMBER(I629),ISNUMBER(O629)),(I629-O629),"")</f>
        <v/>
      </c>
      <c r="Q629" s="12" t="inlineStr">
        <is>
          <t>WG 1016703 entered track and got secured then waited 11:34:55 for WG 1017407 to get coupled then waited 66:48:34 for WG 1019101 to get coupled then waited 23:30:38 for WG 1020502 to get coupled then waited 18:47:48 for WG 1021507 to get coupled then waited 8:01:57 for WG 1021902 to get coupled, OBTP started on 15:37:07 finished on 16:06:58 and then left at 16:08:09</t>
        </is>
      </c>
    </row>
    <row r="630">
      <c r="A630" s="3" t="inlineStr">
        <is>
          <t>1016704</t>
        </is>
      </c>
      <c r="B630" s="3" t="inlineStr">
        <is>
          <t>10167</t>
        </is>
      </c>
      <c r="C630" s="9" t="n">
        <v>15.74</v>
      </c>
      <c r="D630" s="3" t="inlineStr">
        <is>
          <t>Other sidings south</t>
        </is>
      </c>
      <c r="E630" s="10" t="n">
        <v>45674.361875</v>
      </c>
      <c r="F630" s="10" t="n">
        <v>45674.38503472223</v>
      </c>
      <c r="G630" s="10" t="n">
        <v>45674.38695601852</v>
      </c>
      <c r="H630" s="3" t="inlineStr">
        <is>
          <t>OBT170125181531-Wien Kledering</t>
        </is>
      </c>
      <c r="I630" s="10" t="n">
        <v>45677.25707175926</v>
      </c>
      <c r="J630" s="10" t="n">
        <v>45677.27619212963</v>
      </c>
      <c r="K630" s="10" t="n">
        <v>45677.27619212963</v>
      </c>
      <c r="L630" s="10" t="n">
        <v>45677.27700231481</v>
      </c>
      <c r="M630" s="11">
        <f>IF(AND(ISNUMBER(E630),ISNUMBER(G630)),(G630-E630),"")</f>
        <v/>
      </c>
      <c r="N630" s="11">
        <f>IF(AND(ISNUMBER(G630),ISNUMBER(L630)),(L630-G630),"")</f>
        <v/>
      </c>
      <c r="O630" s="10" t="n">
        <v>45674.39087962963</v>
      </c>
      <c r="P630" s="11">
        <f>IF(AND(ISNUMBER(I630),ISNUMBER(O630)),(I630-O630),"")</f>
        <v/>
      </c>
      <c r="Q630" s="12" t="inlineStr">
        <is>
          <t>WG 1016704 entered track and got coupled to WG 1016407 then waited 8:52:39 for WG 1017301 to get coupled, OBTP started on 06:10:11 finished on 06:37:43 and then left at 06:38:53</t>
        </is>
      </c>
    </row>
    <row r="631">
      <c r="A631" s="3" t="inlineStr">
        <is>
          <t>1016705</t>
        </is>
      </c>
      <c r="B631" s="3" t="inlineStr">
        <is>
          <t>10167</t>
        </is>
      </c>
      <c r="C631" s="9" t="n">
        <v>47.22</v>
      </c>
      <c r="D631" s="3" t="inlineStr">
        <is>
          <t>Ebenfurth (beet loading)</t>
        </is>
      </c>
      <c r="E631" s="10" t="n">
        <v>45674.361875</v>
      </c>
      <c r="F631" s="10" t="n">
        <v>45674.38695601852</v>
      </c>
      <c r="G631" s="10" t="n">
        <v>45674.38902777778</v>
      </c>
      <c r="H631" s="3" t="inlineStr">
        <is>
          <t>OBT170125155040-Wien Kledering</t>
        </is>
      </c>
      <c r="I631" s="10" t="n">
        <v>45677.12273148148</v>
      </c>
      <c r="J631" s="10" t="n">
        <v>45677.1609837963</v>
      </c>
      <c r="K631" s="10" t="n">
        <v>45677.1609837963</v>
      </c>
      <c r="L631" s="10" t="n">
        <v>45677.16200231481</v>
      </c>
      <c r="M631" s="11">
        <f>IF(AND(ISNUMBER(E631),ISNUMBER(G631)),(G631-E631),"")</f>
        <v/>
      </c>
      <c r="N631" s="11">
        <f>IF(AND(ISNUMBER(G631),ISNUMBER(L631)),(L631-G631),"")</f>
        <v/>
      </c>
      <c r="O631" s="10" t="n">
        <v>45674.39142361111</v>
      </c>
      <c r="P631" s="11">
        <f>IF(AND(ISNUMBER(I631),ISNUMBER(O631)),(I631-O631),"")</f>
        <v/>
      </c>
      <c r="Q631" s="12" t="inlineStr">
        <is>
          <t>WG 1016705 entered track and got secured then waited 6:27:01 for WG 1017101 to get coupled, OBTP started on 02:56:44 finished on 03:51:49 and then left at 03:53:17</t>
        </is>
      </c>
    </row>
    <row r="632">
      <c r="A632" s="3" t="inlineStr">
        <is>
          <t>1016706</t>
        </is>
      </c>
      <c r="B632" s="3" t="inlineStr">
        <is>
          <t>10167</t>
        </is>
      </c>
      <c r="C632" s="9" t="n">
        <v>14</v>
      </c>
      <c r="D632" s="3" t="inlineStr">
        <is>
          <t>Wr. Neustadt (Brenntag)</t>
        </is>
      </c>
      <c r="E632" s="10" t="n">
        <v>45674.361875</v>
      </c>
      <c r="F632" s="10" t="n">
        <v>45674.38902777778</v>
      </c>
      <c r="G632" s="10" t="n">
        <v>45674.39038194445</v>
      </c>
      <c r="H632" s="3" t="inlineStr">
        <is>
          <t>OBT200125083327-Wr. Neustadt (Brenntag)</t>
        </is>
      </c>
      <c r="I632" s="10" t="n">
        <v>45677.7199537037</v>
      </c>
      <c r="J632" s="10" t="n">
        <v>45677.74182870371</v>
      </c>
      <c r="K632" s="10" t="n">
        <v>45677.74182870371</v>
      </c>
      <c r="L632" s="10" t="n">
        <v>45677.74260416667</v>
      </c>
      <c r="M632" s="11">
        <f>IF(AND(ISNUMBER(E632),ISNUMBER(G632)),(G632-E632),"")</f>
        <v/>
      </c>
      <c r="N632" s="11">
        <f>IF(AND(ISNUMBER(G632),ISNUMBER(L632)),(L632-G632),"")</f>
        <v/>
      </c>
      <c r="O632" s="10" t="n">
        <v>45674.39394675926</v>
      </c>
      <c r="P632" s="11">
        <f>IF(AND(ISNUMBER(I632),ISNUMBER(O632)),(I632-O632),"")</f>
        <v/>
      </c>
      <c r="Q632" s="12" t="inlineStr">
        <is>
          <t>WG 1016706 entered track and got coupled to WG 1016001 then waited 71:06:10 for WG 1018316 to get coupled, OBTP started on 17:16:44 finished on 17:48:14 and then left at 17:49:21</t>
        </is>
      </c>
    </row>
    <row r="633">
      <c r="A633" s="3" t="inlineStr">
        <is>
          <t>1016707</t>
        </is>
      </c>
      <c r="B633" s="3" t="inlineStr">
        <is>
          <t>10167</t>
        </is>
      </c>
      <c r="C633" s="9" t="n">
        <v>15.74</v>
      </c>
      <c r="D633" s="3" t="inlineStr">
        <is>
          <t>Obereggendorf (Hofer)</t>
        </is>
      </c>
      <c r="E633" s="10" t="n">
        <v>45674.361875</v>
      </c>
      <c r="F633" s="10" t="n">
        <v>45674.39038194445</v>
      </c>
      <c r="G633" s="10" t="n">
        <v>45674.39196759259</v>
      </c>
      <c r="H633" s="3" t="inlineStr">
        <is>
          <t>OBT190125203519-Neudörfl (FunderMax)</t>
        </is>
      </c>
      <c r="I633" s="10" t="n">
        <v>45677.54091435186</v>
      </c>
      <c r="J633" s="10" t="n">
        <v>45677.55966435185</v>
      </c>
      <c r="K633" s="10" t="n">
        <v>45677.55966435185</v>
      </c>
      <c r="L633" s="10" t="n">
        <v>45677.56050925926</v>
      </c>
      <c r="M633" s="11">
        <f>IF(AND(ISNUMBER(E633),ISNUMBER(G633)),(G633-E633),"")</f>
        <v/>
      </c>
      <c r="N633" s="11">
        <f>IF(AND(ISNUMBER(G633),ISNUMBER(L633)),(L633-G633),"")</f>
        <v/>
      </c>
      <c r="O633" s="10" t="n">
        <v>45674.39436342593</v>
      </c>
      <c r="P633" s="11">
        <f>IF(AND(ISNUMBER(I633),ISNUMBER(O633)),(I633-O633),"")</f>
        <v/>
      </c>
      <c r="Q633" s="12" t="inlineStr">
        <is>
          <t>WG 1016707 entered track and got secured then waited 56:30:04 for WG 1017802 to get coupled then waited 2:37:22 for WG 1017902 to get coupled, OBTP started on 12:58:55 finished on 13:25:55 and then left at 13:27:08</t>
        </is>
      </c>
    </row>
    <row r="634">
      <c r="A634" s="3" t="inlineStr">
        <is>
          <t>1016708</t>
        </is>
      </c>
      <c r="B634" s="3" t="inlineStr">
        <is>
          <t>10167</t>
        </is>
      </c>
      <c r="C634" s="9" t="n">
        <v>94.90000000000001</v>
      </c>
      <c r="D634" s="3" t="inlineStr">
        <is>
          <t>Neudörfl (FunderMax)</t>
        </is>
      </c>
      <c r="E634" s="10" t="n">
        <v>45674.361875</v>
      </c>
      <c r="F634" s="10" t="n">
        <v>45674.39196759259</v>
      </c>
      <c r="G634" s="10" t="n">
        <v>45674.39403935185</v>
      </c>
      <c r="H634" s="3" t="inlineStr">
        <is>
          <t>OBT170125093812-Neudörfl (FunderMax)</t>
        </is>
      </c>
      <c r="I634" s="10" t="n">
        <v>45676.74791666667</v>
      </c>
      <c r="J634" s="10" t="n">
        <v>45676.77996527778</v>
      </c>
      <c r="K634" s="10" t="n">
        <v>45676.77996527778</v>
      </c>
      <c r="L634" s="10" t="n">
        <v>45676.78076388889</v>
      </c>
      <c r="M634" s="11">
        <f>IF(AND(ISNUMBER(E634),ISNUMBER(G634)),(G634-E634),"")</f>
        <v/>
      </c>
      <c r="N634" s="11">
        <f>IF(AND(ISNUMBER(G634),ISNUMBER(L634)),(L634-G634),"")</f>
        <v/>
      </c>
      <c r="O634" s="10" t="n">
        <v>45674.39796296296</v>
      </c>
      <c r="P634" s="11">
        <f>IF(AND(ISNUMBER(I634),ISNUMBER(O634)),(I634-O634),"")</f>
        <v/>
      </c>
      <c r="Q634" s="12" t="inlineStr">
        <is>
          <t>WG 1016708 entered track and got coupled to WG 1016406 then waited 0:05:08 for WG 1016710 to get coupled, OBTP started on 17:57:00 finished on 18:43:09 and then left at 18:44:18</t>
        </is>
      </c>
    </row>
    <row r="635">
      <c r="A635" s="3" t="inlineStr">
        <is>
          <t>1016709</t>
        </is>
      </c>
      <c r="B635" s="3" t="inlineStr">
        <is>
          <t>10167</t>
        </is>
      </c>
      <c r="C635" s="9" t="n">
        <v>81</v>
      </c>
      <c r="D635" s="3" t="inlineStr">
        <is>
          <t>Wr. Neustadt (Hödlmayr)</t>
        </is>
      </c>
      <c r="E635" s="10" t="n">
        <v>45674.361875</v>
      </c>
      <c r="F635" s="10" t="n">
        <v>45674.39403935185</v>
      </c>
      <c r="G635" s="10" t="n">
        <v>45674.39607638889</v>
      </c>
      <c r="H635" s="3" t="inlineStr">
        <is>
          <t>OBT170125093600-Gloggnitz</t>
        </is>
      </c>
      <c r="I635" s="10" t="n">
        <v>45675.30059027778</v>
      </c>
      <c r="J635" s="10" t="n">
        <v>45675.32832175926</v>
      </c>
      <c r="K635" s="10" t="n">
        <v>45675.32832175926</v>
      </c>
      <c r="L635" s="10" t="n">
        <v>45675.32907407408</v>
      </c>
      <c r="M635" s="11">
        <f>IF(AND(ISNUMBER(E635),ISNUMBER(G635)),(G635-E635),"")</f>
        <v/>
      </c>
      <c r="N635" s="11">
        <f>IF(AND(ISNUMBER(G635),ISNUMBER(L635)),(L635-G635),"")</f>
        <v/>
      </c>
      <c r="O635" s="10" t="n">
        <v>45674.4</v>
      </c>
      <c r="P635" s="11">
        <f>IF(AND(ISNUMBER(I635),ISNUMBER(O635)),(I635-O635),"")</f>
        <v/>
      </c>
      <c r="Q635" s="12" t="inlineStr">
        <is>
          <t>WG 1016709 entered track and got coupled to WG 1016102, OBTP started on 07:12:51 finished on 07:52:47 and then left at 07:53:52</t>
        </is>
      </c>
    </row>
    <row r="636">
      <c r="A636" s="3" t="inlineStr">
        <is>
          <t>1016710</t>
        </is>
      </c>
      <c r="B636" s="3" t="inlineStr">
        <is>
          <t>10167</t>
        </is>
      </c>
      <c r="C636" s="9" t="n">
        <v>15.74</v>
      </c>
      <c r="D636" s="3" t="inlineStr">
        <is>
          <t>Other sidings north</t>
        </is>
      </c>
      <c r="E636" s="10" t="n">
        <v>45674.361875</v>
      </c>
      <c r="F636" s="10" t="n">
        <v>45674.39607638889</v>
      </c>
      <c r="G636" s="10" t="n">
        <v>45674.39795138889</v>
      </c>
      <c r="H636" s="3" t="inlineStr">
        <is>
          <t>OBT170125093812-Neudörfl (FunderMax)</t>
        </is>
      </c>
      <c r="I636" s="10" t="n">
        <v>45676.74791666667</v>
      </c>
      <c r="J636" s="10" t="n">
        <v>45676.77996527778</v>
      </c>
      <c r="K636" s="10" t="n">
        <v>45676.77996527778</v>
      </c>
      <c r="L636" s="10" t="n">
        <v>45676.78076388889</v>
      </c>
      <c r="M636" s="11">
        <f>IF(AND(ISNUMBER(E636),ISNUMBER(G636)),(G636-E636),"")</f>
        <v/>
      </c>
      <c r="N636" s="11">
        <f>IF(AND(ISNUMBER(G636),ISNUMBER(L636)),(L636-G636),"")</f>
        <v/>
      </c>
      <c r="O636" s="10" t="n">
        <v>45674.40152777778</v>
      </c>
      <c r="P636" s="11">
        <f>IF(AND(ISNUMBER(I636),ISNUMBER(O636)),(I636-O636),"")</f>
        <v/>
      </c>
      <c r="Q636" s="12" t="inlineStr">
        <is>
          <t>WG 1016710 entered track and got coupled to WG 1016708, OBTP started on 17:57:00 finished on 18:43:09 and then left at 18:44:18</t>
        </is>
      </c>
    </row>
    <row r="637">
      <c r="A637" s="3" t="inlineStr">
        <is>
          <t>1016801</t>
        </is>
      </c>
      <c r="B637" s="3" t="inlineStr">
        <is>
          <t>10168</t>
        </is>
      </c>
      <c r="C637" s="9" t="n">
        <v>163.2</v>
      </c>
      <c r="D637" s="3" t="inlineStr">
        <is>
          <t>Wien Kledering</t>
        </is>
      </c>
      <c r="E637" s="10" t="n">
        <v>45674.36878472222</v>
      </c>
      <c r="F637" s="10" t="n"/>
      <c r="G637" s="10" t="n"/>
      <c r="H637" s="3" t="n"/>
      <c r="I637" s="10" t="n"/>
      <c r="J637" s="10" t="n"/>
      <c r="K637" s="10" t="n"/>
      <c r="L637" s="10" t="n"/>
      <c r="M637" s="11">
        <f>IF(AND(ISNUMBER(E637),ISNUMBER(G637)),(G637-E637),"")</f>
        <v/>
      </c>
      <c r="N637" s="11">
        <f>IF(AND(ISNUMBER(G637),ISNUMBER(L637)),(L637-G637),"")</f>
        <v/>
      </c>
      <c r="O637" s="10" t="n"/>
      <c r="P637" s="11">
        <f>IF(AND(ISNUMBER(I637),ISNUMBER(O637)),(I637-O637),"")</f>
        <v/>
      </c>
      <c r="Q637" s="12" t="n"/>
    </row>
    <row r="638">
      <c r="A638" s="3" t="inlineStr">
        <is>
          <t>1016802</t>
        </is>
      </c>
      <c r="B638" s="3" t="inlineStr">
        <is>
          <t>10168</t>
        </is>
      </c>
      <c r="C638" s="9" t="n">
        <v>173.3</v>
      </c>
      <c r="D638" s="3" t="inlineStr">
        <is>
          <t>St. Veit an der Glan</t>
        </is>
      </c>
      <c r="E638" s="10" t="n">
        <v>45674.36878472222</v>
      </c>
      <c r="F638" s="10" t="n">
        <v>45674.37591435185</v>
      </c>
      <c r="G638" s="10" t="n">
        <v>45674.37744212963</v>
      </c>
      <c r="H638" s="3" t="inlineStr">
        <is>
          <t>OBT170125090658-St. Veit an der Glan</t>
        </is>
      </c>
      <c r="I638" s="10" t="n">
        <v>45675.03643518518</v>
      </c>
      <c r="J638" s="10" t="n">
        <v>45675.0665162037</v>
      </c>
      <c r="K638" s="10" t="n">
        <v>45675.0665162037</v>
      </c>
      <c r="L638" s="10" t="n">
        <v>45675.06738425926</v>
      </c>
      <c r="M638" s="11">
        <f>IF(AND(ISNUMBER(E638),ISNUMBER(G638)),(G638-E638),"")</f>
        <v/>
      </c>
      <c r="N638" s="11">
        <f>IF(AND(ISNUMBER(G638),ISNUMBER(L638)),(L638-G638),"")</f>
        <v/>
      </c>
      <c r="O638" s="10" t="n">
        <v>45674.37983796297</v>
      </c>
      <c r="P638" s="11">
        <f>IF(AND(ISNUMBER(I638),ISNUMBER(O638)),(I638-O638),"")</f>
        <v/>
      </c>
      <c r="Q638" s="12" t="inlineStr">
        <is>
          <t>WG 1016802 entered track and got secured, OBTP started on 00:52:28 finished on 01:35:47 and then left at 01:37:02</t>
        </is>
      </c>
    </row>
    <row r="639">
      <c r="A639" s="3" t="inlineStr">
        <is>
          <t>1016901</t>
        </is>
      </c>
      <c r="B639" s="3" t="inlineStr">
        <is>
          <t>10169</t>
        </is>
      </c>
      <c r="C639" s="9" t="n">
        <v>21</v>
      </c>
      <c r="D639" s="3" t="inlineStr">
        <is>
          <t>St. Veit an der Glan</t>
        </is>
      </c>
      <c r="E639" s="10" t="n">
        <v>45674.42564814815</v>
      </c>
      <c r="F639" s="10" t="n">
        <v>45674.43430555556</v>
      </c>
      <c r="G639" s="10" t="n">
        <v>45674.43547453704</v>
      </c>
      <c r="H639" s="3" t="inlineStr">
        <is>
          <t>OBT170125174751-Wien Kledering</t>
        </is>
      </c>
      <c r="I639" s="10" t="n">
        <v>45677.20133101852</v>
      </c>
      <c r="J639" s="10" t="n">
        <v>45677.25378472222</v>
      </c>
      <c r="K639" s="10" t="n">
        <v>45677.25378472222</v>
      </c>
      <c r="L639" s="10" t="n">
        <v>45677.25494212963</v>
      </c>
      <c r="M639" s="11">
        <f>IF(AND(ISNUMBER(E639),ISNUMBER(G639)),(G639-E639),"")</f>
        <v/>
      </c>
      <c r="N639" s="11">
        <f>IF(AND(ISNUMBER(G639),ISNUMBER(L639)),(L639-G639),"")</f>
        <v/>
      </c>
      <c r="O639" s="10" t="n">
        <v>45674.43765046296</v>
      </c>
      <c r="P639" s="11">
        <f>IF(AND(ISNUMBER(I639),ISNUMBER(O639)),(I639-O639),"")</f>
        <v/>
      </c>
      <c r="Q639" s="12" t="inlineStr">
        <is>
          <t>WG 1016901 entered track and got secured then waited 7:17:38 for WG 1017201 to get coupled, OBTP started on 04:49:55 finished on 06:05:27 and then left at 06:07:07</t>
        </is>
      </c>
    </row>
    <row r="640">
      <c r="A640" s="3" t="inlineStr">
        <is>
          <t>1016902</t>
        </is>
      </c>
      <c r="B640" s="3" t="inlineStr">
        <is>
          <t>10169</t>
        </is>
      </c>
      <c r="C640" s="9" t="n">
        <v>422.2</v>
      </c>
      <c r="D640" s="3" t="inlineStr">
        <is>
          <t>Wien Kledering</t>
        </is>
      </c>
      <c r="E640" s="10" t="n">
        <v>45674.42564814815</v>
      </c>
      <c r="F640" s="10" t="n"/>
      <c r="G640" s="10" t="n"/>
      <c r="H640" s="3" t="n"/>
      <c r="I640" s="10" t="n"/>
      <c r="J640" s="10" t="n"/>
      <c r="K640" s="10" t="n"/>
      <c r="L640" s="10" t="n"/>
      <c r="M640" s="11">
        <f>IF(AND(ISNUMBER(E640),ISNUMBER(G640)),(G640-E640),"")</f>
        <v/>
      </c>
      <c r="N640" s="11">
        <f>IF(AND(ISNUMBER(G640),ISNUMBER(L640)),(L640-G640),"")</f>
        <v/>
      </c>
      <c r="O640" s="10" t="n"/>
      <c r="P640" s="11">
        <f>IF(AND(ISNUMBER(I640),ISNUMBER(O640)),(I640-O640),"")</f>
        <v/>
      </c>
      <c r="Q640" s="12" t="n"/>
    </row>
    <row r="641">
      <c r="A641" s="3" t="inlineStr">
        <is>
          <t>1017001</t>
        </is>
      </c>
      <c r="B641" s="3" t="inlineStr">
        <is>
          <t>10170</t>
        </is>
      </c>
      <c r="C641" s="9" t="n">
        <v>238.44</v>
      </c>
      <c r="D641" s="3" t="inlineStr">
        <is>
          <t>Wien Kledering</t>
        </is>
      </c>
      <c r="E641" s="10" t="n">
        <v>45674.53648148148</v>
      </c>
      <c r="F641" s="10" t="n">
        <v>45674.54195601852</v>
      </c>
      <c r="G641" s="10" t="n">
        <v>45674.54375</v>
      </c>
      <c r="H641" s="3" t="inlineStr">
        <is>
          <t>OBT170125130627-Wien Kledering</t>
        </is>
      </c>
      <c r="I641" s="10" t="n">
        <v>45676.8556712963</v>
      </c>
      <c r="J641" s="10" t="n">
        <v>45676.89707175926</v>
      </c>
      <c r="K641" s="10" t="n">
        <v>45676.89707175926</v>
      </c>
      <c r="L641" s="10" t="n">
        <v>45676.89804398148</v>
      </c>
      <c r="M641" s="11">
        <f>IF(AND(ISNUMBER(E641),ISNUMBER(G641)),(G641-E641),"")</f>
        <v/>
      </c>
      <c r="N641" s="11">
        <f>IF(AND(ISNUMBER(G641),ISNUMBER(L641)),(L641-G641),"")</f>
        <v/>
      </c>
      <c r="O641" s="10" t="n">
        <v>45674.54614583333</v>
      </c>
      <c r="P641" s="11">
        <f>IF(AND(ISNUMBER(I641),ISNUMBER(O641)),(I641-O641),"")</f>
        <v/>
      </c>
      <c r="Q641" s="12" t="inlineStr">
        <is>
          <t>WG 1017001 entered track and got secured, OBTP started on 20:32:10 finished on 21:31:47 and then left at 21:33:11</t>
        </is>
      </c>
    </row>
    <row r="642">
      <c r="A642" s="3" t="inlineStr">
        <is>
          <t>1017101</t>
        </is>
      </c>
      <c r="B642" s="3" t="inlineStr">
        <is>
          <t>10171</t>
        </is>
      </c>
      <c r="C642" s="9" t="n">
        <v>220.36</v>
      </c>
      <c r="D642" s="3" t="inlineStr">
        <is>
          <t>Wien Kledering</t>
        </is>
      </c>
      <c r="E642" s="10" t="n">
        <v>45674.64974537037</v>
      </c>
      <c r="F642" s="10" t="n">
        <v>45674.6553125</v>
      </c>
      <c r="G642" s="10" t="n">
        <v>45674.65782407407</v>
      </c>
      <c r="H642" s="3" t="inlineStr">
        <is>
          <t>OBT170125155040-Wien Kledering</t>
        </is>
      </c>
      <c r="I642" s="10" t="n">
        <v>45677.12273148148</v>
      </c>
      <c r="J642" s="10" t="n">
        <v>45677.1609837963</v>
      </c>
      <c r="K642" s="10" t="n">
        <v>45677.1609837963</v>
      </c>
      <c r="L642" s="10" t="n">
        <v>45677.16200231481</v>
      </c>
      <c r="M642" s="11">
        <f>IF(AND(ISNUMBER(E642),ISNUMBER(G642)),(G642-E642),"")</f>
        <v/>
      </c>
      <c r="N642" s="11">
        <f>IF(AND(ISNUMBER(G642),ISNUMBER(L642)),(L642-G642),"")</f>
        <v/>
      </c>
      <c r="O642" s="10" t="n">
        <v>45674.66018518519</v>
      </c>
      <c r="P642" s="11">
        <f>IF(AND(ISNUMBER(I642),ISNUMBER(O642)),(I642-O642),"")</f>
        <v/>
      </c>
      <c r="Q642" s="12" t="inlineStr">
        <is>
          <t>WG 1017101 entered track and got secured, OBTP started on 02:56:44 finished on 03:51:49 and then left at 03:53:17</t>
        </is>
      </c>
    </row>
    <row r="643">
      <c r="A643" s="3" t="inlineStr">
        <is>
          <t>1017201</t>
        </is>
      </c>
      <c r="B643" s="3" t="inlineStr">
        <is>
          <t>10172</t>
        </is>
      </c>
      <c r="C643" s="9" t="n">
        <v>302.1200000000001</v>
      </c>
      <c r="D643" s="3" t="inlineStr">
        <is>
          <t>Wien Kledering</t>
        </is>
      </c>
      <c r="E643" s="10" t="n">
        <v>45674.73137731481</v>
      </c>
      <c r="F643" s="10" t="n">
        <v>45674.73733796296</v>
      </c>
      <c r="G643" s="10" t="n">
        <v>45674.73916666667</v>
      </c>
      <c r="H643" s="3" t="inlineStr">
        <is>
          <t>OBT170125174751-Wien Kledering</t>
        </is>
      </c>
      <c r="I643" s="10" t="n">
        <v>45677.20133101852</v>
      </c>
      <c r="J643" s="10" t="n">
        <v>45677.25378472222</v>
      </c>
      <c r="K643" s="10" t="n">
        <v>45677.25378472222</v>
      </c>
      <c r="L643" s="10" t="n">
        <v>45677.25494212963</v>
      </c>
      <c r="M643" s="11">
        <f>IF(AND(ISNUMBER(E643),ISNUMBER(G643)),(G643-E643),"")</f>
        <v/>
      </c>
      <c r="N643" s="11">
        <f>IF(AND(ISNUMBER(G643),ISNUMBER(L643)),(L643-G643),"")</f>
        <v/>
      </c>
      <c r="O643" s="10" t="n">
        <v>45674.7415625</v>
      </c>
      <c r="P643" s="11">
        <f>IF(AND(ISNUMBER(I643),ISNUMBER(O643)),(I643-O643),"")</f>
        <v/>
      </c>
      <c r="Q643" s="12" t="inlineStr">
        <is>
          <t>WG 1017201 entered track and got secured, OBTP started on 04:49:55 finished on 06:05:27 and then left at 06:07:07</t>
        </is>
      </c>
    </row>
    <row r="644">
      <c r="A644" s="3" t="inlineStr">
        <is>
          <t>1017301</t>
        </is>
      </c>
      <c r="B644" s="3" t="inlineStr">
        <is>
          <t>10173</t>
        </is>
      </c>
      <c r="C644" s="9" t="n">
        <v>110.18</v>
      </c>
      <c r="D644" s="3" t="inlineStr">
        <is>
          <t>Wien Kledering</t>
        </is>
      </c>
      <c r="E644" s="10" t="n">
        <v>45674.75159722222</v>
      </c>
      <c r="F644" s="10" t="n">
        <v>45674.75620370371</v>
      </c>
      <c r="G644" s="10" t="n">
        <v>45674.75837962963</v>
      </c>
      <c r="H644" s="3" t="inlineStr">
        <is>
          <t>OBT170125181531-Wien Kledering</t>
        </is>
      </c>
      <c r="I644" s="10" t="n">
        <v>45677.25707175926</v>
      </c>
      <c r="J644" s="10" t="n">
        <v>45677.27619212963</v>
      </c>
      <c r="K644" s="10" t="n">
        <v>45677.27619212963</v>
      </c>
      <c r="L644" s="10" t="n">
        <v>45677.27700231481</v>
      </c>
      <c r="M644" s="11">
        <f>IF(AND(ISNUMBER(E644),ISNUMBER(G644)),(G644-E644),"")</f>
        <v/>
      </c>
      <c r="N644" s="11">
        <f>IF(AND(ISNUMBER(G644),ISNUMBER(L644)),(L644-G644),"")</f>
        <v/>
      </c>
      <c r="O644" s="10" t="n">
        <v>45674.76077546296</v>
      </c>
      <c r="P644" s="11">
        <f>IF(AND(ISNUMBER(I644),ISNUMBER(O644)),(I644-O644),"")</f>
        <v/>
      </c>
      <c r="Q644" s="12" t="inlineStr">
        <is>
          <t>WG 1017301 entered track and got secured, OBTP started on 06:10:11 finished on 06:37:43 and then left at 06:38:53</t>
        </is>
      </c>
    </row>
    <row r="645">
      <c r="A645" s="3" t="inlineStr">
        <is>
          <t>1017401</t>
        </is>
      </c>
      <c r="B645" s="3" t="inlineStr">
        <is>
          <t>10174</t>
        </is>
      </c>
      <c r="C645" s="9" t="n">
        <v>15.74</v>
      </c>
      <c r="D645" s="3" t="inlineStr">
        <is>
          <t>Ebenfurth (beet loading)</t>
        </is>
      </c>
      <c r="E645" s="10" t="n">
        <v>45674.83993055556</v>
      </c>
      <c r="F645" s="10" t="n">
        <v>45674.85327546296</v>
      </c>
      <c r="G645" s="10" t="n">
        <v>45674.85530092593</v>
      </c>
      <c r="H645" s="3" t="inlineStr">
        <is>
          <t>OBT200125045059-Neudörfl (FunderMax)</t>
        </is>
      </c>
      <c r="I645" s="10" t="n">
        <v>45677.66603009259</v>
      </c>
      <c r="J645" s="10" t="n">
        <v>45677.72326388889</v>
      </c>
      <c r="K645" s="10" t="n">
        <v>45677.72326388889</v>
      </c>
      <c r="L645" s="10" t="n">
        <v>45677.72453703704</v>
      </c>
      <c r="M645" s="11">
        <f>IF(AND(ISNUMBER(E645),ISNUMBER(G645)),(G645-E645),"")</f>
        <v/>
      </c>
      <c r="N645" s="11">
        <f>IF(AND(ISNUMBER(G645),ISNUMBER(L645)),(L645-G645),"")</f>
        <v/>
      </c>
      <c r="O645" s="10" t="n">
        <v>45674.85766203704</v>
      </c>
      <c r="P645" s="11">
        <f>IF(AND(ISNUMBER(I645),ISNUMBER(O645)),(I645-O645),"")</f>
        <v/>
      </c>
      <c r="Q645" s="12" t="inlineStr">
        <is>
          <t>WG 1017401 entered track and got secured then waited 9:32:32 for WG 1017601 to get coupled then waited 0:53:12 for WG 1017701 to get coupled then waited 45:50:13 for WG 1018101 to get coupled, OBTP started on 15:59:05 finished on 17:21:30 and then left at 17:23:20</t>
        </is>
      </c>
    </row>
    <row r="646">
      <c r="A646" s="3" t="inlineStr">
        <is>
          <t>1017402</t>
        </is>
      </c>
      <c r="B646" s="3" t="inlineStr">
        <is>
          <t>10174</t>
        </is>
      </c>
      <c r="C646" s="9" t="n">
        <v>36.4</v>
      </c>
      <c r="D646" s="3" t="inlineStr">
        <is>
          <t>Neudörfl (FunderMax)</t>
        </is>
      </c>
      <c r="E646" s="10" t="n">
        <v>45674.83993055556</v>
      </c>
      <c r="F646" s="10" t="n">
        <v>45674.85530092593</v>
      </c>
      <c r="G646" s="10" t="n">
        <v>45674.85707175926</v>
      </c>
      <c r="H646" s="3" t="inlineStr">
        <is>
          <t>OBT180125005504-Neudörfl (FunderMax)</t>
        </is>
      </c>
      <c r="I646" s="10" t="n">
        <v>45677.35517361111</v>
      </c>
      <c r="J646" s="10" t="n">
        <v>45677.38005787037</v>
      </c>
      <c r="K646" s="10" t="n">
        <v>45677.38005787037</v>
      </c>
      <c r="L646" s="10" t="n">
        <v>45677.38089120371</v>
      </c>
      <c r="M646" s="11">
        <f>IF(AND(ISNUMBER(E646),ISNUMBER(G646)),(G646-E646),"")</f>
        <v/>
      </c>
      <c r="N646" s="11">
        <f>IF(AND(ISNUMBER(G646),ISNUMBER(L646)),(L646-G646),"")</f>
        <v/>
      </c>
      <c r="O646" s="10" t="n">
        <v>45674.85923611111</v>
      </c>
      <c r="P646" s="11">
        <f>IF(AND(ISNUMBER(I646),ISNUMBER(O646)),(I646-O646),"")</f>
        <v/>
      </c>
      <c r="Q646" s="12" t="inlineStr">
        <is>
          <t>WG 1017402 entered track and got secured then waited 4:15:42 for WG 1017502 to get coupled then waited 0:02:04 for WG 1017504 to get coupled, OBTP started on 08:31:27 finished on 09:07:17 and then left at 09:08:29</t>
        </is>
      </c>
    </row>
    <row r="647">
      <c r="A647" s="3" t="inlineStr">
        <is>
          <t>1017403</t>
        </is>
      </c>
      <c r="B647" s="3" t="inlineStr">
        <is>
          <t>10174</t>
        </is>
      </c>
      <c r="C647" s="9" t="n">
        <v>19.9</v>
      </c>
      <c r="D647" s="3" t="inlineStr">
        <is>
          <t>Ternitz (Schoeller-Bleckmann)</t>
        </is>
      </c>
      <c r="E647" s="10" t="n">
        <v>45674.83993055556</v>
      </c>
      <c r="F647" s="10" t="n">
        <v>45674.85707175926</v>
      </c>
      <c r="G647" s="10" t="n">
        <v>45674.85903935185</v>
      </c>
      <c r="H647" s="3" t="inlineStr">
        <is>
          <t>OBT170125205009-Ternitz (Schoeller-Bleckmann)</t>
        </is>
      </c>
      <c r="I647" s="10" t="n">
        <v>45677.32125</v>
      </c>
      <c r="J647" s="10" t="n">
        <v>45677.35177083333</v>
      </c>
      <c r="K647" s="10" t="n">
        <v>45677.35177083333</v>
      </c>
      <c r="L647" s="10" t="n">
        <v>45677.35271990741</v>
      </c>
      <c r="M647" s="11">
        <f>IF(AND(ISNUMBER(E647),ISNUMBER(G647)),(G647-E647),"")</f>
        <v/>
      </c>
      <c r="N647" s="11">
        <f>IF(AND(ISNUMBER(G647),ISNUMBER(L647)),(L647-G647),"")</f>
        <v/>
      </c>
      <c r="O647" s="10" t="n">
        <v>45674.86140046296</v>
      </c>
      <c r="P647" s="11">
        <f>IF(AND(ISNUMBER(I647),ISNUMBER(O647)),(I647-O647),"")</f>
        <v/>
      </c>
      <c r="Q647" s="12" t="inlineStr">
        <is>
          <t>WG 1017403 entered track and got secured then waited 0:09:44 for WG 1017406 to get coupled, OBTP started on 07:42:36 finished on 08:26:33 and then left at 08:27:55</t>
        </is>
      </c>
    </row>
    <row r="648">
      <c r="A648" s="3" t="inlineStr">
        <is>
          <t>1017404</t>
        </is>
      </c>
      <c r="B648" s="3" t="inlineStr">
        <is>
          <t>10174</t>
        </is>
      </c>
      <c r="C648" s="9" t="n">
        <v>54</v>
      </c>
      <c r="D648" s="3" t="inlineStr">
        <is>
          <t>Wr. Neustadt (Hödlmayr)</t>
        </is>
      </c>
      <c r="E648" s="10" t="n">
        <v>45674.83993055556</v>
      </c>
      <c r="F648" s="10" t="n">
        <v>45674.85903935185</v>
      </c>
      <c r="G648" s="10" t="n">
        <v>45674.86040509259</v>
      </c>
      <c r="H648" s="3" t="inlineStr">
        <is>
          <t>OBT200125080717-Wr. Neustadt (Hödlmayr)</t>
        </is>
      </c>
      <c r="I648" s="10" t="n">
        <v>45677.67223379629</v>
      </c>
      <c r="J648" s="10" t="n">
        <v>45677.69567129629</v>
      </c>
      <c r="K648" s="10" t="n">
        <v>45677.69567129629</v>
      </c>
      <c r="L648" s="10" t="n">
        <v>45677.69652777778</v>
      </c>
      <c r="M648" s="11">
        <f>IF(AND(ISNUMBER(E648),ISNUMBER(G648)),(G648-E648),"")</f>
        <v/>
      </c>
      <c r="N648" s="11">
        <f>IF(AND(ISNUMBER(G648),ISNUMBER(L648)),(L648-G648),"")</f>
        <v/>
      </c>
      <c r="O648" s="10" t="n">
        <v>45674.86256944444</v>
      </c>
      <c r="P648" s="11">
        <f>IF(AND(ISNUMBER(I648),ISNUMBER(O648)),(I648-O648),"")</f>
        <v/>
      </c>
      <c r="Q648" s="12" t="inlineStr">
        <is>
          <t>WG 1017404 entered track and got secured then waited 10:29:28 for WG 1017706 to get coupled then waited 48:55:43 for WG 1018303 to get coupled, OBTP started on 16:08:01 finished on 16:41:46 and then left at 16:43:00</t>
        </is>
      </c>
    </row>
    <row r="649">
      <c r="A649" s="3" t="inlineStr">
        <is>
          <t>1017405</t>
        </is>
      </c>
      <c r="B649" s="3" t="inlineStr">
        <is>
          <t>10174</t>
        </is>
      </c>
      <c r="C649" s="9" t="n">
        <v>23.24</v>
      </c>
      <c r="D649" s="3" t="inlineStr">
        <is>
          <t>Other sidings north</t>
        </is>
      </c>
      <c r="E649" s="10" t="n">
        <v>45674.83993055556</v>
      </c>
      <c r="F649" s="10" t="n">
        <v>45674.86040509259</v>
      </c>
      <c r="G649" s="10" t="n">
        <v>45674.86233796296</v>
      </c>
      <c r="H649" s="3" t="inlineStr">
        <is>
          <t>OBT190125203024-Pitten (Hamburger)</t>
        </is>
      </c>
      <c r="I649" s="10" t="n">
        <v>45677.4568287037</v>
      </c>
      <c r="J649" s="10" t="n">
        <v>45677.47986111111</v>
      </c>
      <c r="K649" s="10" t="n">
        <v>45677.47986111111</v>
      </c>
      <c r="L649" s="10" t="n">
        <v>45677.48055555556</v>
      </c>
      <c r="M649" s="11">
        <f>IF(AND(ISNUMBER(E649),ISNUMBER(G649)),(G649-E649),"")</f>
        <v/>
      </c>
      <c r="N649" s="11">
        <f>IF(AND(ISNUMBER(G649),ISNUMBER(L649)),(L649-G649),"")</f>
        <v/>
      </c>
      <c r="O649" s="10" t="n">
        <v>45674.86469907407</v>
      </c>
      <c r="P649" s="11">
        <f>IF(AND(ISNUMBER(I649),ISNUMBER(O649)),(I649-O649),"")</f>
        <v/>
      </c>
      <c r="Q649" s="12" t="inlineStr">
        <is>
          <t>WG 1017405 entered track and got secured then waited 10:29:16 for WG 1017707 to get coupled then waited 37:15:58 for WG 1017901 to get coupled, OBTP started on 10:57:50 finished on 11:31:00 and then left at 11:32:00</t>
        </is>
      </c>
    </row>
    <row r="650">
      <c r="A650" s="3" t="inlineStr">
        <is>
          <t>1017406</t>
        </is>
      </c>
      <c r="B650" s="3" t="inlineStr">
        <is>
          <t>10174</t>
        </is>
      </c>
      <c r="C650" s="9" t="n">
        <v>155.92</v>
      </c>
      <c r="D650" s="3" t="inlineStr">
        <is>
          <t>Pitten (Hamburger)</t>
        </is>
      </c>
      <c r="E650" s="10" t="n">
        <v>45674.83993055556</v>
      </c>
      <c r="F650" s="10" t="n">
        <v>45674.86233796296</v>
      </c>
      <c r="G650" s="10" t="n">
        <v>45674.86461805556</v>
      </c>
      <c r="H650" s="3" t="inlineStr">
        <is>
          <t>OBT170125205009-Ternitz (Schoeller-Bleckmann)</t>
        </is>
      </c>
      <c r="I650" s="10" t="n">
        <v>45677.32125</v>
      </c>
      <c r="J650" s="10" t="n">
        <v>45677.35177083333</v>
      </c>
      <c r="K650" s="10" t="n">
        <v>45677.35177083333</v>
      </c>
      <c r="L650" s="10" t="n">
        <v>45677.35271990741</v>
      </c>
      <c r="M650" s="11">
        <f>IF(AND(ISNUMBER(E650),ISNUMBER(G650)),(G650-E650),"")</f>
        <v/>
      </c>
      <c r="N650" s="11">
        <f>IF(AND(ISNUMBER(G650),ISNUMBER(L650)),(L650-G650),"")</f>
        <v/>
      </c>
      <c r="O650" s="10" t="n">
        <v>45674.86815972222</v>
      </c>
      <c r="P650" s="11">
        <f>IF(AND(ISNUMBER(I650),ISNUMBER(O650)),(I650-O650),"")</f>
        <v/>
      </c>
      <c r="Q650" s="12" t="inlineStr">
        <is>
          <t>WG 1017406 entered track and got coupled to WG 1017403, OBTP started on 07:42:36 finished on 08:26:33 and then left at 08:27:55</t>
        </is>
      </c>
    </row>
    <row r="651">
      <c r="A651" s="3" t="inlineStr">
        <is>
          <t>1017407</t>
        </is>
      </c>
      <c r="B651" s="3" t="inlineStr">
        <is>
          <t>10174</t>
        </is>
      </c>
      <c r="C651" s="9" t="n">
        <v>19.9</v>
      </c>
      <c r="D651" s="3" t="inlineStr">
        <is>
          <t>Felixdorf/Sollenau (Bundesheer, Maba)</t>
        </is>
      </c>
      <c r="E651" s="10" t="n">
        <v>45674.83993055556</v>
      </c>
      <c r="F651" s="10" t="n">
        <v>45674.86461805556</v>
      </c>
      <c r="G651" s="10" t="n">
        <v>45674.86612268518</v>
      </c>
      <c r="H651" s="3" t="inlineStr">
        <is>
          <t>OBT220125180146-Felixdorf/Sollenau (Bundesheer, Maba)</t>
        </is>
      </c>
      <c r="I651" s="10" t="n">
        <v>45680.65077546296</v>
      </c>
      <c r="J651" s="10" t="n">
        <v>45680.67150462963</v>
      </c>
      <c r="K651" s="10" t="n">
        <v>45680.67150462963</v>
      </c>
      <c r="L651" s="10" t="n">
        <v>45680.67232638889</v>
      </c>
      <c r="M651" s="11">
        <f>IF(AND(ISNUMBER(E651),ISNUMBER(G651)),(G651-E651),"")</f>
        <v/>
      </c>
      <c r="N651" s="11">
        <f>IF(AND(ISNUMBER(G651),ISNUMBER(L651)),(L651-G651),"")</f>
        <v/>
      </c>
      <c r="O651" s="10" t="n">
        <v>45674.87001157407</v>
      </c>
      <c r="P651" s="11">
        <f>IF(AND(ISNUMBER(I651),ISNUMBER(O651)),(I651-O651),"")</f>
        <v/>
      </c>
      <c r="Q651" s="12" t="inlineStr">
        <is>
          <t>WG 1017407 entered track and got coupled to WG 1016703 then waited 66:48:34 for WG 1019101 to get coupled then waited 23:30:38 for WG 1020502 to get coupled then waited 18:47:48 for WG 1021507 to get coupled then waited 8:01:57 for WG 1021902 to get coupled, OBTP started on 15:37:07 finished on 16:06:58 and then left at 16:08:09</t>
        </is>
      </c>
    </row>
    <row r="652">
      <c r="A652" s="3" t="inlineStr">
        <is>
          <t>1017408</t>
        </is>
      </c>
      <c r="B652" s="3" t="inlineStr">
        <is>
          <t>10174</t>
        </is>
      </c>
      <c r="C652" s="9" t="n">
        <v>19.9</v>
      </c>
      <c r="D652" s="3" t="inlineStr">
        <is>
          <t>Neunkirchen (loading tracks)</t>
        </is>
      </c>
      <c r="E652" s="10" t="n">
        <v>45674.83993055556</v>
      </c>
      <c r="F652" s="10" t="n"/>
      <c r="G652" s="10" t="n"/>
      <c r="H652" s="3" t="n"/>
      <c r="I652" s="10" t="n"/>
      <c r="J652" s="10" t="n"/>
      <c r="K652" s="10" t="n"/>
      <c r="L652" s="10" t="n"/>
      <c r="M652" s="11">
        <f>IF(AND(ISNUMBER(E652),ISNUMBER(G652)),(G652-E652),"")</f>
        <v/>
      </c>
      <c r="N652" s="11">
        <f>IF(AND(ISNUMBER(G652),ISNUMBER(L652)),(L652-G652),"")</f>
        <v/>
      </c>
      <c r="O652" s="10" t="n"/>
      <c r="P652" s="11">
        <f>IF(AND(ISNUMBER(I652),ISNUMBER(O652)),(I652-O652),"")</f>
        <v/>
      </c>
      <c r="Q652" s="12" t="n"/>
    </row>
    <row r="653">
      <c r="A653" s="3" t="inlineStr">
        <is>
          <t>1017501</t>
        </is>
      </c>
      <c r="B653" s="3" t="inlineStr">
        <is>
          <t>10175</t>
        </is>
      </c>
      <c r="C653" s="9" t="n">
        <v>179.16</v>
      </c>
      <c r="D653" s="3" t="inlineStr">
        <is>
          <t>Pitten (Hamburger)</t>
        </is>
      </c>
      <c r="E653" s="10" t="n">
        <v>45675.01862268519</v>
      </c>
      <c r="F653" s="10" t="n">
        <v>45675.02894675926</v>
      </c>
      <c r="G653" s="10" t="n">
        <v>45675.03107638889</v>
      </c>
      <c r="H653" s="3" t="inlineStr">
        <is>
          <t>OBT180125004751-Pitten (Hamburger)</t>
        </is>
      </c>
      <c r="I653" s="10" t="n">
        <v>45677.3228125</v>
      </c>
      <c r="J653" s="10" t="n">
        <v>45677.35392361111</v>
      </c>
      <c r="K653" s="10" t="n">
        <v>45677.35392361111</v>
      </c>
      <c r="L653" s="10" t="n">
        <v>45677.35487268519</v>
      </c>
      <c r="M653" s="11">
        <f>IF(AND(ISNUMBER(E653),ISNUMBER(G653)),(G653-E653),"")</f>
        <v/>
      </c>
      <c r="N653" s="11">
        <f>IF(AND(ISNUMBER(G653),ISNUMBER(L653)),(L653-G653),"")</f>
        <v/>
      </c>
      <c r="O653" s="10" t="n">
        <v>45675.03322916666</v>
      </c>
      <c r="P653" s="11">
        <f>IF(AND(ISNUMBER(I653),ISNUMBER(O653)),(I653-O653),"")</f>
        <v/>
      </c>
      <c r="Q653" s="12" t="inlineStr">
        <is>
          <t>WG 1017501 entered track and got secured, OBTP started on 07:44:51 finished on 08:29:39 and then left at 08:31:01</t>
        </is>
      </c>
    </row>
    <row r="654">
      <c r="A654" s="3" t="inlineStr">
        <is>
          <t>1017502</t>
        </is>
      </c>
      <c r="B654" s="3" t="inlineStr">
        <is>
          <t>10175</t>
        </is>
      </c>
      <c r="C654" s="9" t="n">
        <v>54</v>
      </c>
      <c r="D654" s="3" t="inlineStr">
        <is>
          <t>Neudörfl (FunderMax)</t>
        </is>
      </c>
      <c r="E654" s="10" t="n">
        <v>45675.01862268519</v>
      </c>
      <c r="F654" s="10" t="n">
        <v>45675.03107638889</v>
      </c>
      <c r="G654" s="10" t="n">
        <v>45675.03288194445</v>
      </c>
      <c r="H654" s="3" t="inlineStr">
        <is>
          <t>OBT180125005504-Neudörfl (FunderMax)</t>
        </is>
      </c>
      <c r="I654" s="10" t="n">
        <v>45677.35517361111</v>
      </c>
      <c r="J654" s="10" t="n">
        <v>45677.38005787037</v>
      </c>
      <c r="K654" s="10" t="n">
        <v>45677.38005787037</v>
      </c>
      <c r="L654" s="10" t="n">
        <v>45677.38089120371</v>
      </c>
      <c r="M654" s="11">
        <f>IF(AND(ISNUMBER(E654),ISNUMBER(G654)),(G654-E654),"")</f>
        <v/>
      </c>
      <c r="N654" s="11">
        <f>IF(AND(ISNUMBER(G654),ISNUMBER(L654)),(L654-G654),"")</f>
        <v/>
      </c>
      <c r="O654" s="10" t="n">
        <v>45675.03680555556</v>
      </c>
      <c r="P654" s="11">
        <f>IF(AND(ISNUMBER(I654),ISNUMBER(O654)),(I654-O654),"")</f>
        <v/>
      </c>
      <c r="Q654" s="12" t="inlineStr">
        <is>
          <t>WG 1017502 entered track and got coupled to WG 1017402 then waited 0:02:04 for WG 1017504 to get coupled, OBTP started on 08:31:27 finished on 09:07:17 and then left at 09:08:29</t>
        </is>
      </c>
    </row>
    <row r="655">
      <c r="A655" s="3" t="inlineStr">
        <is>
          <t>1017503</t>
        </is>
      </c>
      <c r="B655" s="3" t="inlineStr">
        <is>
          <t>10175</t>
        </is>
      </c>
      <c r="C655" s="9" t="n">
        <v>85.45999999999999</v>
      </c>
      <c r="D655" s="3" t="inlineStr">
        <is>
          <t>Pitten (Hamburger)</t>
        </is>
      </c>
      <c r="E655" s="10" t="n">
        <v>45675.01862268519</v>
      </c>
      <c r="F655" s="10" t="n"/>
      <c r="G655" s="10" t="n"/>
      <c r="H655" s="3" t="n"/>
      <c r="I655" s="10" t="n"/>
      <c r="J655" s="10" t="n"/>
      <c r="K655" s="10" t="n"/>
      <c r="L655" s="10" t="n"/>
      <c r="M655" s="11">
        <f>IF(AND(ISNUMBER(E655),ISNUMBER(G655)),(G655-E655),"")</f>
        <v/>
      </c>
      <c r="N655" s="11">
        <f>IF(AND(ISNUMBER(G655),ISNUMBER(L655)),(L655-G655),"")</f>
        <v/>
      </c>
      <c r="O655" s="10" t="n"/>
      <c r="P655" s="11">
        <f>IF(AND(ISNUMBER(I655),ISNUMBER(O655)),(I655-O655),"")</f>
        <v/>
      </c>
      <c r="Q655" s="12" t="n"/>
    </row>
    <row r="656">
      <c r="A656" s="3" t="inlineStr">
        <is>
          <t>1017504</t>
        </is>
      </c>
      <c r="B656" s="3" t="inlineStr">
        <is>
          <t>10175</t>
        </is>
      </c>
      <c r="C656" s="9" t="n">
        <v>52.9</v>
      </c>
      <c r="D656" s="3" t="inlineStr">
        <is>
          <t>Neudörfl (FunderMax)</t>
        </is>
      </c>
      <c r="E656" s="10" t="n">
        <v>45675.01862268519</v>
      </c>
      <c r="F656" s="10" t="n">
        <v>45675.03288194445</v>
      </c>
      <c r="G656" s="10" t="n">
        <v>45675.03469907407</v>
      </c>
      <c r="H656" s="3" t="inlineStr">
        <is>
          <t>OBT180125005504-Neudörfl (FunderMax)</t>
        </is>
      </c>
      <c r="I656" s="10" t="n">
        <v>45677.35517361111</v>
      </c>
      <c r="J656" s="10" t="n">
        <v>45677.38005787037</v>
      </c>
      <c r="K656" s="10" t="n">
        <v>45677.38005787037</v>
      </c>
      <c r="L656" s="10" t="n">
        <v>45677.38089120371</v>
      </c>
      <c r="M656" s="11">
        <f>IF(AND(ISNUMBER(E656),ISNUMBER(G656)),(G656-E656),"")</f>
        <v/>
      </c>
      <c r="N656" s="11">
        <f>IF(AND(ISNUMBER(G656),ISNUMBER(L656)),(L656-G656),"")</f>
        <v/>
      </c>
      <c r="O656" s="10" t="n">
        <v>45675.03824074074</v>
      </c>
      <c r="P656" s="11">
        <f>IF(AND(ISNUMBER(I656),ISNUMBER(O656)),(I656-O656),"")</f>
        <v/>
      </c>
      <c r="Q656" s="12" t="inlineStr">
        <is>
          <t>WG 1017504 entered track and got coupled to WG 1017502, OBTP started on 08:31:27 finished on 09:07:17 and then left at 09:08:29</t>
        </is>
      </c>
    </row>
    <row r="657">
      <c r="A657" s="3" t="inlineStr">
        <is>
          <t>1017601</t>
        </is>
      </c>
      <c r="B657" s="3" t="inlineStr">
        <is>
          <t>10176</t>
        </is>
      </c>
      <c r="C657" s="9" t="n">
        <v>31.48</v>
      </c>
      <c r="D657" s="3" t="inlineStr">
        <is>
          <t>Ebenfurth (beet loading)</t>
        </is>
      </c>
      <c r="E657" s="10" t="n">
        <v>45675.24043981481</v>
      </c>
      <c r="F657" s="10" t="n">
        <v>45675.24925925926</v>
      </c>
      <c r="G657" s="10" t="n">
        <v>45675.25133101852</v>
      </c>
      <c r="H657" s="3" t="inlineStr">
        <is>
          <t>OBT200125045059-Neudörfl (FunderMax)</t>
        </is>
      </c>
      <c r="I657" s="10" t="n">
        <v>45677.66603009259</v>
      </c>
      <c r="J657" s="10" t="n">
        <v>45677.72326388889</v>
      </c>
      <c r="K657" s="10" t="n">
        <v>45677.72326388889</v>
      </c>
      <c r="L657" s="10" t="n">
        <v>45677.72453703704</v>
      </c>
      <c r="M657" s="11">
        <f>IF(AND(ISNUMBER(E657),ISNUMBER(G657)),(G657-E657),"")</f>
        <v/>
      </c>
      <c r="N657" s="11">
        <f>IF(AND(ISNUMBER(G657),ISNUMBER(L657)),(L657-G657),"")</f>
        <v/>
      </c>
      <c r="O657" s="10" t="n">
        <v>45675.25525462963</v>
      </c>
      <c r="P657" s="11">
        <f>IF(AND(ISNUMBER(I657),ISNUMBER(O657)),(I657-O657),"")</f>
        <v/>
      </c>
      <c r="Q657" s="12" t="inlineStr">
        <is>
          <t>WG 1017601 entered track and got coupled to WG 1017401 then waited 0:53:12 for WG 1017701 to get coupled then waited 45:50:13 for WG 1018101 to get coupled, OBTP started on 15:59:05 finished on 17:21:30 and then left at 17:23:20</t>
        </is>
      </c>
    </row>
    <row r="658">
      <c r="A658" s="3" t="inlineStr">
        <is>
          <t>1017602</t>
        </is>
      </c>
      <c r="B658" s="3" t="inlineStr">
        <is>
          <t>10176</t>
        </is>
      </c>
      <c r="C658" s="9" t="n">
        <v>93.80000000000001</v>
      </c>
      <c r="D658" s="3" t="inlineStr">
        <is>
          <t>Neudörfl (FunderMax)</t>
        </is>
      </c>
      <c r="E658" s="10" t="n">
        <v>45675.24043981481</v>
      </c>
      <c r="F658" s="10" t="n">
        <v>45675.25133101852</v>
      </c>
      <c r="G658" s="10" t="n">
        <v>45675.25267361111</v>
      </c>
      <c r="H658" s="3" t="inlineStr">
        <is>
          <t>OBT180125071607-Neudörfl (FunderMax)</t>
        </is>
      </c>
      <c r="I658" s="10" t="n">
        <v>45677.38726851852</v>
      </c>
      <c r="J658" s="10" t="n">
        <v>45677.40641203704</v>
      </c>
      <c r="K658" s="10" t="n">
        <v>45677.40641203704</v>
      </c>
      <c r="L658" s="10" t="n">
        <v>45677.4071412037</v>
      </c>
      <c r="M658" s="11">
        <f>IF(AND(ISNUMBER(E658),ISNUMBER(G658)),(G658-E658),"")</f>
        <v/>
      </c>
      <c r="N658" s="11">
        <f>IF(AND(ISNUMBER(G658),ISNUMBER(L658)),(L658-G658),"")</f>
        <v/>
      </c>
      <c r="O658" s="10" t="n">
        <v>45675.25484953704</v>
      </c>
      <c r="P658" s="11">
        <f>IF(AND(ISNUMBER(I658),ISNUMBER(O658)),(I658-O658),"")</f>
        <v/>
      </c>
      <c r="Q658" s="12" t="inlineStr">
        <is>
          <t>WG 1017602 entered track and got secured then waited 1:09:08 for WG 1017709 to get coupled, OBTP started on 09:17:40 finished on 09:45:14 and then left at 09:46:17</t>
        </is>
      </c>
    </row>
    <row r="659">
      <c r="A659" s="3" t="inlineStr">
        <is>
          <t>1017603</t>
        </is>
      </c>
      <c r="B659" s="3" t="inlineStr">
        <is>
          <t>10176</t>
        </is>
      </c>
      <c r="C659" s="9" t="n">
        <v>287.86</v>
      </c>
      <c r="D659" s="3" t="inlineStr">
        <is>
          <t>Pitten (Hamburger)</t>
        </is>
      </c>
      <c r="E659" s="10" t="n">
        <v>45675.24043981481</v>
      </c>
      <c r="F659" s="10" t="n"/>
      <c r="G659" s="10" t="n"/>
      <c r="H659" s="3" t="n"/>
      <c r="I659" s="10" t="n"/>
      <c r="J659" s="10" t="n"/>
      <c r="K659" s="10" t="n"/>
      <c r="L659" s="10" t="n"/>
      <c r="M659" s="11">
        <f>IF(AND(ISNUMBER(E659),ISNUMBER(G659)),(G659-E659),"")</f>
        <v/>
      </c>
      <c r="N659" s="11">
        <f>IF(AND(ISNUMBER(G659),ISNUMBER(L659)),(L659-G659),"")</f>
        <v/>
      </c>
      <c r="O659" s="10" t="n"/>
      <c r="P659" s="11">
        <f>IF(AND(ISNUMBER(I659),ISNUMBER(O659)),(I659-O659),"")</f>
        <v/>
      </c>
      <c r="Q659" s="12" t="n"/>
    </row>
    <row r="660">
      <c r="A660" s="3" t="inlineStr">
        <is>
          <t>1017701</t>
        </is>
      </c>
      <c r="B660" s="3" t="inlineStr">
        <is>
          <t>10177</t>
        </is>
      </c>
      <c r="C660" s="9" t="n">
        <v>47.22</v>
      </c>
      <c r="D660" s="3" t="inlineStr">
        <is>
          <t>Ebenfurth (beet loading)</t>
        </is>
      </c>
      <c r="E660" s="10" t="n">
        <v>45675.27033564815</v>
      </c>
      <c r="F660" s="10" t="n">
        <v>45675.28652777777</v>
      </c>
      <c r="G660" s="10" t="n">
        <v>45675.28863425926</v>
      </c>
      <c r="H660" s="3" t="inlineStr">
        <is>
          <t>OBT200125045059-Neudörfl (FunderMax)</t>
        </is>
      </c>
      <c r="I660" s="10" t="n">
        <v>45677.66603009259</v>
      </c>
      <c r="J660" s="10" t="n">
        <v>45677.72326388889</v>
      </c>
      <c r="K660" s="10" t="n">
        <v>45677.72326388889</v>
      </c>
      <c r="L660" s="10" t="n">
        <v>45677.72453703704</v>
      </c>
      <c r="M660" s="11">
        <f>IF(AND(ISNUMBER(E660),ISNUMBER(G660)),(G660-E660),"")</f>
        <v/>
      </c>
      <c r="N660" s="11">
        <f>IF(AND(ISNUMBER(G660),ISNUMBER(L660)),(L660-G660),"")</f>
        <v/>
      </c>
      <c r="O660" s="10" t="n">
        <v>45675.29219907407</v>
      </c>
      <c r="P660" s="11">
        <f>IF(AND(ISNUMBER(I660),ISNUMBER(O660)),(I660-O660),"")</f>
        <v/>
      </c>
      <c r="Q660" s="12" t="inlineStr">
        <is>
          <t>WG 1017701 entered track and got coupled to WG 1017601 then waited 45:50:13 for WG 1018101 to get coupled, OBTP started on 15:59:05 finished on 17:21:30 and then left at 17:23:20</t>
        </is>
      </c>
    </row>
    <row r="661">
      <c r="A661" s="3" t="inlineStr">
        <is>
          <t>1017702</t>
        </is>
      </c>
      <c r="B661" s="3" t="inlineStr">
        <is>
          <t>10177</t>
        </is>
      </c>
      <c r="C661" s="9" t="n">
        <v>21</v>
      </c>
      <c r="D661" s="3" t="inlineStr">
        <is>
          <t>Neunkirchen (loading tracks)</t>
        </is>
      </c>
      <c r="E661" s="10" t="n">
        <v>45675.27033564815</v>
      </c>
      <c r="F661" s="10" t="n"/>
      <c r="G661" s="10" t="n"/>
      <c r="H661" s="3" t="n"/>
      <c r="I661" s="10" t="n"/>
      <c r="J661" s="10" t="n"/>
      <c r="K661" s="10" t="n"/>
      <c r="L661" s="10" t="n"/>
      <c r="M661" s="11">
        <f>IF(AND(ISNUMBER(E661),ISNUMBER(G661)),(G661-E661),"")</f>
        <v/>
      </c>
      <c r="N661" s="11">
        <f>IF(AND(ISNUMBER(G661),ISNUMBER(L661)),(L661-G661),"")</f>
        <v/>
      </c>
      <c r="O661" s="10" t="n"/>
      <c r="P661" s="11">
        <f>IF(AND(ISNUMBER(I661),ISNUMBER(O661)),(I661-O661),"")</f>
        <v/>
      </c>
      <c r="Q661" s="12" t="n"/>
    </row>
    <row r="662">
      <c r="A662" s="3" t="inlineStr">
        <is>
          <t>1017703</t>
        </is>
      </c>
      <c r="B662" s="3" t="inlineStr">
        <is>
          <t>10177</t>
        </is>
      </c>
      <c r="C662" s="9" t="n">
        <v>31.48</v>
      </c>
      <c r="D662" s="3" t="inlineStr">
        <is>
          <t>Gloggnitz</t>
        </is>
      </c>
      <c r="E662" s="10" t="n">
        <v>45675.27033564815</v>
      </c>
      <c r="F662" s="10" t="n">
        <v>45675.28863425926</v>
      </c>
      <c r="G662" s="10" t="n">
        <v>45675.2905787037</v>
      </c>
      <c r="H662" s="3" t="inlineStr">
        <is>
          <t>OBT190125175511-Pitten (Hamburger)</t>
        </is>
      </c>
      <c r="I662" s="10" t="n">
        <v>45677.40931712963</v>
      </c>
      <c r="J662" s="10" t="n">
        <v>45677.49989583333</v>
      </c>
      <c r="K662" s="10" t="n">
        <v>45677.49989583333</v>
      </c>
      <c r="L662" s="10" t="n">
        <v>45677.50149305556</v>
      </c>
      <c r="M662" s="11">
        <f>IF(AND(ISNUMBER(E662),ISNUMBER(G662)),(G662-E662),"")</f>
        <v/>
      </c>
      <c r="N662" s="11">
        <f>IF(AND(ISNUMBER(G662),ISNUMBER(L662)),(L662-G662),"")</f>
        <v/>
      </c>
      <c r="O662" s="10" t="n">
        <v>45675.29297453703</v>
      </c>
      <c r="P662" s="11">
        <f>IF(AND(ISNUMBER(I662),ISNUMBER(O662)),(I662-O662),"")</f>
        <v/>
      </c>
      <c r="Q662" s="12" t="inlineStr">
        <is>
          <t>WG 1017703 entered track and got secured then waited 34:53:18 for WG 1017801 to get coupled, OBTP started on 09:49:25 finished on 11:59:51 and then left at 12:02:09</t>
        </is>
      </c>
    </row>
    <row r="663">
      <c r="A663" s="3" t="inlineStr">
        <is>
          <t>1017704</t>
        </is>
      </c>
      <c r="B663" s="3" t="inlineStr">
        <is>
          <t>10177</t>
        </is>
      </c>
      <c r="C663" s="9" t="n">
        <v>15.74</v>
      </c>
      <c r="D663" s="3" t="inlineStr">
        <is>
          <t>Other sidings south</t>
        </is>
      </c>
      <c r="E663" s="10" t="n">
        <v>45675.27033564815</v>
      </c>
      <c r="F663" s="10" t="n">
        <v>45675.2905787037</v>
      </c>
      <c r="G663" s="10" t="n">
        <v>45675.29253472222</v>
      </c>
      <c r="H663" s="3" t="inlineStr">
        <is>
          <t>OBT200125094944-Neudörfl (FunderMax)</t>
        </is>
      </c>
      <c r="I663" s="10" t="n">
        <v>45678.28607638889</v>
      </c>
      <c r="J663" s="10" t="n">
        <v>45678.30972222222</v>
      </c>
      <c r="K663" s="10" t="n">
        <v>45678.30972222222</v>
      </c>
      <c r="L663" s="10" t="n">
        <v>45678.31057870371</v>
      </c>
      <c r="M663" s="11">
        <f>IF(AND(ISNUMBER(E663),ISNUMBER(G663)),(G663-E663),"")</f>
        <v/>
      </c>
      <c r="N663" s="11">
        <f>IF(AND(ISNUMBER(G663),ISNUMBER(L663)),(L663-G663),"")</f>
        <v/>
      </c>
      <c r="O663" s="10" t="n">
        <v>45675.29489583334</v>
      </c>
      <c r="P663" s="11">
        <f>IF(AND(ISNUMBER(I663),ISNUMBER(O663)),(I663-O663),"")</f>
        <v/>
      </c>
      <c r="Q663" s="12" t="inlineStr">
        <is>
          <t>WG 1017704 entered track and got secured then waited 43:51:50 for WG 1018003 to get coupled then waited 5:07:21 for WG 1018302 to get coupled then waited 0:18:19 for WG 1018310 to get coupled then waited 0:10:15 for WG 1018315 to get coupled then waited 1:07:15 for WG 1018605 to get coupled then waited 0:10:05 for WG 1018611 to get coupled, OBTP started on 06:51:57 finished on 07:26:00 and then left at 07:27:14</t>
        </is>
      </c>
    </row>
    <row r="664">
      <c r="A664" s="3" t="inlineStr">
        <is>
          <t>1017705</t>
        </is>
      </c>
      <c r="B664" s="3" t="inlineStr">
        <is>
          <t>10177</t>
        </is>
      </c>
      <c r="C664" s="9" t="n">
        <v>19.9</v>
      </c>
      <c r="D664" s="3" t="inlineStr">
        <is>
          <t>Ternitz (Schoeller-Bleckmann)</t>
        </is>
      </c>
      <c r="E664" s="10" t="n">
        <v>45675.27033564815</v>
      </c>
      <c r="F664" s="10" t="n">
        <v>45675.29253472222</v>
      </c>
      <c r="G664" s="10" t="n">
        <v>45675.29449074074</v>
      </c>
      <c r="H664" s="3" t="inlineStr">
        <is>
          <t>OBT200125093149-Wr. Neustadt (Hödlmayr)</t>
        </is>
      </c>
      <c r="I664" s="10" t="n">
        <v>45678.1406712963</v>
      </c>
      <c r="J664" s="10" t="n">
        <v>45678.1641087963</v>
      </c>
      <c r="K664" s="10" t="n">
        <v>45678.1641087963</v>
      </c>
      <c r="L664" s="10" t="n">
        <v>45678.16496527778</v>
      </c>
      <c r="M664" s="11">
        <f>IF(AND(ISNUMBER(E664),ISNUMBER(G664)),(G664-E664),"")</f>
        <v/>
      </c>
      <c r="N664" s="11">
        <f>IF(AND(ISNUMBER(G664),ISNUMBER(L664)),(L664-G664),"")</f>
        <v/>
      </c>
      <c r="O664" s="10" t="n">
        <v>45675.29688657408</v>
      </c>
      <c r="P664" s="11">
        <f>IF(AND(ISNUMBER(I664),ISNUMBER(O664)),(I664-O664),"")</f>
        <v/>
      </c>
      <c r="Q664" s="12" t="inlineStr">
        <is>
          <t>WG 1017705 entered track and got secured then waited 43:44:17 for WG 1018001 to get coupled then waited 6:40:01 for WG 1018603 to get coupled, OBTP started on 03:22:34 finished on 03:56:19 and then left at 03:57:33</t>
        </is>
      </c>
    </row>
    <row r="665">
      <c r="A665" s="3" t="inlineStr">
        <is>
          <t>1017706</t>
        </is>
      </c>
      <c r="B665" s="3" t="inlineStr">
        <is>
          <t>10177</t>
        </is>
      </c>
      <c r="C665" s="9" t="n">
        <v>27</v>
      </c>
      <c r="D665" s="3" t="inlineStr">
        <is>
          <t>Wr. Neustadt (Hödlmayr)</t>
        </is>
      </c>
      <c r="E665" s="10" t="n">
        <v>45675.27033564815</v>
      </c>
      <c r="F665" s="10" t="n">
        <v>45675.29449074074</v>
      </c>
      <c r="G665" s="10" t="n">
        <v>45675.29579861111</v>
      </c>
      <c r="H665" s="3" t="inlineStr">
        <is>
          <t>OBT200125080717-Wr. Neustadt (Hödlmayr)</t>
        </is>
      </c>
      <c r="I665" s="10" t="n">
        <v>45677.67223379629</v>
      </c>
      <c r="J665" s="10" t="n">
        <v>45677.69567129629</v>
      </c>
      <c r="K665" s="10" t="n">
        <v>45677.69567129629</v>
      </c>
      <c r="L665" s="10" t="n">
        <v>45677.69652777778</v>
      </c>
      <c r="M665" s="11">
        <f>IF(AND(ISNUMBER(E665),ISNUMBER(G665)),(G665-E665),"")</f>
        <v/>
      </c>
      <c r="N665" s="11">
        <f>IF(AND(ISNUMBER(G665),ISNUMBER(L665)),(L665-G665),"")</f>
        <v/>
      </c>
      <c r="O665" s="10" t="n">
        <v>45675.29969907407</v>
      </c>
      <c r="P665" s="11">
        <f>IF(AND(ISNUMBER(I665),ISNUMBER(O665)),(I665-O665),"")</f>
        <v/>
      </c>
      <c r="Q665" s="12" t="inlineStr">
        <is>
          <t>WG 1017706 entered track and got coupled to WG 1017404 then waited 48:55:43 for WG 1018303 to get coupled, OBTP started on 16:08:01 finished on 16:41:46 and then left at 16:43:00</t>
        </is>
      </c>
    </row>
    <row r="666">
      <c r="A666" s="3" t="inlineStr">
        <is>
          <t>1017707</t>
        </is>
      </c>
      <c r="B666" s="3" t="inlineStr">
        <is>
          <t>10177</t>
        </is>
      </c>
      <c r="C666" s="9" t="n">
        <v>38.98</v>
      </c>
      <c r="D666" s="3" t="inlineStr">
        <is>
          <t>Other sidings north</t>
        </is>
      </c>
      <c r="E666" s="10" t="n">
        <v>45675.27033564815</v>
      </c>
      <c r="F666" s="10" t="n">
        <v>45675.29579861111</v>
      </c>
      <c r="G666" s="10" t="n">
        <v>45675.2977662037</v>
      </c>
      <c r="H666" s="3" t="inlineStr">
        <is>
          <t>OBT190125203024-Pitten (Hamburger)</t>
        </is>
      </c>
      <c r="I666" s="10" t="n">
        <v>45677.4568287037</v>
      </c>
      <c r="J666" s="10" t="n">
        <v>45677.47986111111</v>
      </c>
      <c r="K666" s="10" t="n">
        <v>45677.47986111111</v>
      </c>
      <c r="L666" s="10" t="n">
        <v>45677.48055555556</v>
      </c>
      <c r="M666" s="11">
        <f>IF(AND(ISNUMBER(E666),ISNUMBER(G666)),(G666-E666),"")</f>
        <v/>
      </c>
      <c r="N666" s="11">
        <f>IF(AND(ISNUMBER(G666),ISNUMBER(L666)),(L666-G666),"")</f>
        <v/>
      </c>
      <c r="O666" s="10" t="n">
        <v>45675.30168981481</v>
      </c>
      <c r="P666" s="11">
        <f>IF(AND(ISNUMBER(I666),ISNUMBER(O666)),(I666-O666),"")</f>
        <v/>
      </c>
      <c r="Q666" s="12" t="inlineStr">
        <is>
          <t>WG 1017707 entered track and got coupled to WG 1017405 then waited 37:15:58 for WG 1017901 to get coupled, OBTP started on 10:57:50 finished on 11:31:00 and then left at 11:32:00</t>
        </is>
      </c>
    </row>
    <row r="667">
      <c r="A667" s="3" t="inlineStr">
        <is>
          <t>1017708</t>
        </is>
      </c>
      <c r="B667" s="3" t="inlineStr">
        <is>
          <t>10177</t>
        </is>
      </c>
      <c r="C667" s="9" t="n">
        <v>15.74</v>
      </c>
      <c r="D667" s="3" t="inlineStr">
        <is>
          <t>Pitten (Hamburger)</t>
        </is>
      </c>
      <c r="E667" s="10" t="n">
        <v>45675.27033564815</v>
      </c>
      <c r="F667" s="10" t="n"/>
      <c r="G667" s="10" t="n"/>
      <c r="H667" s="3" t="n"/>
      <c r="I667" s="10" t="n"/>
      <c r="J667" s="10" t="n"/>
      <c r="K667" s="10" t="n"/>
      <c r="L667" s="10" t="n"/>
      <c r="M667" s="11">
        <f>IF(AND(ISNUMBER(E667),ISNUMBER(G667)),(G667-E667),"")</f>
        <v/>
      </c>
      <c r="N667" s="11">
        <f>IF(AND(ISNUMBER(G667),ISNUMBER(L667)),(L667-G667),"")</f>
        <v/>
      </c>
      <c r="O667" s="10" t="n"/>
      <c r="P667" s="11">
        <f>IF(AND(ISNUMBER(I667),ISNUMBER(O667)),(I667-O667),"")</f>
        <v/>
      </c>
      <c r="Q667" s="12" t="n"/>
    </row>
    <row r="668">
      <c r="A668" s="3" t="inlineStr">
        <is>
          <t>1017709</t>
        </is>
      </c>
      <c r="B668" s="3" t="inlineStr">
        <is>
          <t>10177</t>
        </is>
      </c>
      <c r="C668" s="9" t="n">
        <v>16.5</v>
      </c>
      <c r="D668" s="3" t="inlineStr">
        <is>
          <t>Neudörfl (FunderMax)</t>
        </is>
      </c>
      <c r="E668" s="10" t="n">
        <v>45675.27033564815</v>
      </c>
      <c r="F668" s="10" t="n">
        <v>45675.2977662037</v>
      </c>
      <c r="G668" s="10" t="n">
        <v>45675.29893518519</v>
      </c>
      <c r="H668" s="3" t="inlineStr">
        <is>
          <t>OBT180125071607-Neudörfl (FunderMax)</t>
        </is>
      </c>
      <c r="I668" s="10" t="n">
        <v>45677.38726851852</v>
      </c>
      <c r="J668" s="10" t="n">
        <v>45677.40641203704</v>
      </c>
      <c r="K668" s="10" t="n">
        <v>45677.40641203704</v>
      </c>
      <c r="L668" s="10" t="n">
        <v>45677.4071412037</v>
      </c>
      <c r="M668" s="11">
        <f>IF(AND(ISNUMBER(E668),ISNUMBER(G668)),(G668-E668),"")</f>
        <v/>
      </c>
      <c r="N668" s="11">
        <f>IF(AND(ISNUMBER(G668),ISNUMBER(L668)),(L668-G668),"")</f>
        <v/>
      </c>
      <c r="O668" s="10" t="n">
        <v>45675.3028587963</v>
      </c>
      <c r="P668" s="11">
        <f>IF(AND(ISNUMBER(I668),ISNUMBER(O668)),(I668-O668),"")</f>
        <v/>
      </c>
      <c r="Q668" s="12" t="inlineStr">
        <is>
          <t>WG 1017709 entered track and got coupled to WG 1017602, OBTP started on 09:17:40 finished on 09:45:14 and then left at 09:46:17</t>
        </is>
      </c>
    </row>
    <row r="669">
      <c r="A669" s="3" t="inlineStr">
        <is>
          <t>1017710</t>
        </is>
      </c>
      <c r="B669" s="3" t="inlineStr">
        <is>
          <t>10177</t>
        </is>
      </c>
      <c r="C669" s="9" t="n">
        <v>23.24</v>
      </c>
      <c r="D669" s="3" t="inlineStr">
        <is>
          <t>Pitten (Hamburger)</t>
        </is>
      </c>
      <c r="E669" s="10" t="n">
        <v>45675.27033564815</v>
      </c>
      <c r="F669" s="10" t="n"/>
      <c r="G669" s="10" t="n"/>
      <c r="H669" s="3" t="n"/>
      <c r="I669" s="10" t="n"/>
      <c r="J669" s="10" t="n"/>
      <c r="K669" s="10" t="n"/>
      <c r="L669" s="10" t="n"/>
      <c r="M669" s="11">
        <f>IF(AND(ISNUMBER(E669),ISNUMBER(G669)),(G669-E669),"")</f>
        <v/>
      </c>
      <c r="N669" s="11">
        <f>IF(AND(ISNUMBER(G669),ISNUMBER(L669)),(L669-G669),"")</f>
        <v/>
      </c>
      <c r="O669" s="10" t="n"/>
      <c r="P669" s="11">
        <f>IF(AND(ISNUMBER(I669),ISNUMBER(O669)),(I669-O669),"")</f>
        <v/>
      </c>
      <c r="Q669" s="12" t="n"/>
    </row>
    <row r="670">
      <c r="A670" s="3" t="inlineStr">
        <is>
          <t>1017801</t>
        </is>
      </c>
      <c r="B670" s="3" t="inlineStr">
        <is>
          <t>10178</t>
        </is>
      </c>
      <c r="C670" s="9" t="n">
        <v>521.7400000000001</v>
      </c>
      <c r="D670" s="3" t="inlineStr">
        <is>
          <t>Pitten (Hamburger)</t>
        </is>
      </c>
      <c r="E670" s="10" t="n">
        <v>45676.7322337963</v>
      </c>
      <c r="F670" s="10" t="n">
        <v>45676.74142361111</v>
      </c>
      <c r="G670" s="10" t="n">
        <v>45676.74447916666</v>
      </c>
      <c r="H670" s="3" t="inlineStr">
        <is>
          <t>OBT190125175511-Pitten (Hamburger)</t>
        </is>
      </c>
      <c r="I670" s="10" t="n">
        <v>45677.40931712963</v>
      </c>
      <c r="J670" s="10" t="n">
        <v>45677.49989583333</v>
      </c>
      <c r="K670" s="10" t="n">
        <v>45677.49989583333</v>
      </c>
      <c r="L670" s="10" t="n">
        <v>45677.50149305556</v>
      </c>
      <c r="M670" s="11">
        <f>IF(AND(ISNUMBER(E670),ISNUMBER(G670)),(G670-E670),"")</f>
        <v/>
      </c>
      <c r="N670" s="11">
        <f>IF(AND(ISNUMBER(G670),ISNUMBER(L670)),(L670-G670),"")</f>
        <v/>
      </c>
      <c r="O670" s="10" t="n">
        <v>45676.74665509259</v>
      </c>
      <c r="P670" s="11">
        <f>IF(AND(ISNUMBER(I670),ISNUMBER(O670)),(I670-O670),"")</f>
        <v/>
      </c>
      <c r="Q670" s="12" t="inlineStr">
        <is>
          <t>WG 1017801 entered track and got secured, OBTP started on 09:49:25 finished on 11:59:51 and then left at 12:02:09</t>
        </is>
      </c>
    </row>
    <row r="671">
      <c r="A671" s="3" t="inlineStr">
        <is>
          <t>1017802</t>
        </is>
      </c>
      <c r="B671" s="3" t="inlineStr">
        <is>
          <t>10178</t>
        </is>
      </c>
      <c r="C671" s="9" t="n">
        <v>70.5</v>
      </c>
      <c r="D671" s="3" t="inlineStr">
        <is>
          <t>Neudörfl (FunderMax)</t>
        </is>
      </c>
      <c r="E671" s="10" t="n">
        <v>45676.7322337963</v>
      </c>
      <c r="F671" s="10" t="n">
        <v>45676.74447916666</v>
      </c>
      <c r="G671" s="10" t="n">
        <v>45676.74618055556</v>
      </c>
      <c r="H671" s="3" t="inlineStr">
        <is>
          <t>OBT190125203519-Neudörfl (FunderMax)</t>
        </is>
      </c>
      <c r="I671" s="10" t="n">
        <v>45677.54091435186</v>
      </c>
      <c r="J671" s="10" t="n">
        <v>45677.55966435185</v>
      </c>
      <c r="K671" s="10" t="n">
        <v>45677.55966435185</v>
      </c>
      <c r="L671" s="10" t="n">
        <v>45677.56050925926</v>
      </c>
      <c r="M671" s="11">
        <f>IF(AND(ISNUMBER(E671),ISNUMBER(G671)),(G671-E671),"")</f>
        <v/>
      </c>
      <c r="N671" s="11">
        <f>IF(AND(ISNUMBER(G671),ISNUMBER(L671)),(L671-G671),"")</f>
        <v/>
      </c>
      <c r="O671" s="10" t="n">
        <v>45676.74857638889</v>
      </c>
      <c r="P671" s="11">
        <f>IF(AND(ISNUMBER(I671),ISNUMBER(O671)),(I671-O671),"")</f>
        <v/>
      </c>
      <c r="Q671" s="12" t="inlineStr">
        <is>
          <t>WG 1017802 entered track and got secured then waited 2:37:22 for WG 1017902 to get coupled, OBTP started on 12:58:55 finished on 13:25:55 and then left at 13:27:08</t>
        </is>
      </c>
    </row>
    <row r="672">
      <c r="A672" s="3" t="inlineStr">
        <is>
          <t>1017901</t>
        </is>
      </c>
      <c r="B672" s="3" t="inlineStr">
        <is>
          <t>10179</t>
        </is>
      </c>
      <c r="C672" s="9" t="n">
        <v>132.68</v>
      </c>
      <c r="D672" s="3" t="inlineStr">
        <is>
          <t>Pitten (Hamburger)</t>
        </is>
      </c>
      <c r="E672" s="10" t="n">
        <v>45676.84380787037</v>
      </c>
      <c r="F672" s="10" t="n">
        <v>45676.85009259259</v>
      </c>
      <c r="G672" s="10" t="n">
        <v>45676.85226851852</v>
      </c>
      <c r="H672" s="3" t="inlineStr">
        <is>
          <t>OBT190125203024-Pitten (Hamburger)</t>
        </is>
      </c>
      <c r="I672" s="10" t="n">
        <v>45677.4568287037</v>
      </c>
      <c r="J672" s="10" t="n">
        <v>45677.47986111111</v>
      </c>
      <c r="K672" s="10" t="n">
        <v>45677.47986111111</v>
      </c>
      <c r="L672" s="10" t="n">
        <v>45677.48055555556</v>
      </c>
      <c r="M672" s="11">
        <f>IF(AND(ISNUMBER(E672),ISNUMBER(G672)),(G672-E672),"")</f>
        <v/>
      </c>
      <c r="N672" s="11">
        <f>IF(AND(ISNUMBER(G672),ISNUMBER(L672)),(L672-G672),"")</f>
        <v/>
      </c>
      <c r="O672" s="10" t="n">
        <v>45676.85444444444</v>
      </c>
      <c r="P672" s="11">
        <f>IF(AND(ISNUMBER(I672),ISNUMBER(O672)),(I672-O672),"")</f>
        <v/>
      </c>
      <c r="Q672" s="12" t="inlineStr">
        <is>
          <t>WG 1017901 entered track and got secured, OBTP started on 10:57:50 finished on 11:31:00 and then left at 11:32:00</t>
        </is>
      </c>
    </row>
    <row r="673">
      <c r="A673" s="3" t="inlineStr">
        <is>
          <t>1017902</t>
        </is>
      </c>
      <c r="B673" s="3" t="inlineStr">
        <is>
          <t>10179</t>
        </is>
      </c>
      <c r="C673" s="9" t="n">
        <v>37.5</v>
      </c>
      <c r="D673" s="3" t="inlineStr">
        <is>
          <t>Neudörfl (FunderMax)</t>
        </is>
      </c>
      <c r="E673" s="10" t="n">
        <v>45676.84380787037</v>
      </c>
      <c r="F673" s="10" t="n">
        <v>45676.85226851852</v>
      </c>
      <c r="G673" s="10" t="n">
        <v>45676.85393518519</v>
      </c>
      <c r="H673" s="3" t="inlineStr">
        <is>
          <t>OBT190125203519-Neudörfl (FunderMax)</t>
        </is>
      </c>
      <c r="I673" s="10" t="n">
        <v>45677.54091435186</v>
      </c>
      <c r="J673" s="10" t="n">
        <v>45677.55966435185</v>
      </c>
      <c r="K673" s="10" t="n">
        <v>45677.55966435185</v>
      </c>
      <c r="L673" s="10" t="n">
        <v>45677.56050925926</v>
      </c>
      <c r="M673" s="11">
        <f>IF(AND(ISNUMBER(E673),ISNUMBER(G673)),(G673-E673),"")</f>
        <v/>
      </c>
      <c r="N673" s="11">
        <f>IF(AND(ISNUMBER(G673),ISNUMBER(L673)),(L673-G673),"")</f>
        <v/>
      </c>
      <c r="O673" s="10" t="n">
        <v>45676.8578587963</v>
      </c>
      <c r="P673" s="11">
        <f>IF(AND(ISNUMBER(I673),ISNUMBER(O673)),(I673-O673),"")</f>
        <v/>
      </c>
      <c r="Q673" s="12" t="inlineStr">
        <is>
          <t>WG 1017902 entered track and got coupled to WG 1017802, OBTP started on 12:58:55 finished on 13:25:55 and then left at 13:27:08</t>
        </is>
      </c>
    </row>
    <row r="674">
      <c r="A674" s="3" t="inlineStr">
        <is>
          <t>1018001</t>
        </is>
      </c>
      <c r="B674" s="3" t="inlineStr">
        <is>
          <t>10180</t>
        </is>
      </c>
      <c r="C674" s="9" t="n">
        <v>12.04</v>
      </c>
      <c r="D674" s="3" t="inlineStr">
        <is>
          <t>Ternitz (Schoeller-Bleckmann)</t>
        </is>
      </c>
      <c r="E674" s="10" t="n">
        <v>45677.1047800926</v>
      </c>
      <c r="F674" s="10" t="n">
        <v>45677.1134375</v>
      </c>
      <c r="G674" s="10" t="n">
        <v>45677.11538194444</v>
      </c>
      <c r="H674" s="3" t="inlineStr">
        <is>
          <t>OBT200125093149-Wr. Neustadt (Hödlmayr)</t>
        </is>
      </c>
      <c r="I674" s="10" t="n">
        <v>45678.1406712963</v>
      </c>
      <c r="J674" s="10" t="n">
        <v>45678.1641087963</v>
      </c>
      <c r="K674" s="10" t="n">
        <v>45678.1641087963</v>
      </c>
      <c r="L674" s="10" t="n">
        <v>45678.16496527778</v>
      </c>
      <c r="M674" s="11">
        <f>IF(AND(ISNUMBER(E674),ISNUMBER(G674)),(G674-E674),"")</f>
        <v/>
      </c>
      <c r="N674" s="11">
        <f>IF(AND(ISNUMBER(G674),ISNUMBER(L674)),(L674-G674),"")</f>
        <v/>
      </c>
      <c r="O674" s="10" t="n">
        <v>45677.11930555556</v>
      </c>
      <c r="P674" s="11">
        <f>IF(AND(ISNUMBER(I674),ISNUMBER(O674)),(I674-O674),"")</f>
        <v/>
      </c>
      <c r="Q674" s="12" t="inlineStr">
        <is>
          <t>WG 1018001 entered track and got coupled to WG 1017705 then waited 6:40:01 for WG 1018603 to get coupled, OBTP started on 03:22:34 finished on 03:56:19 and then left at 03:57:33</t>
        </is>
      </c>
    </row>
    <row r="675">
      <c r="A675" s="3" t="inlineStr">
        <is>
          <t>1018002</t>
        </is>
      </c>
      <c r="B675" s="3" t="inlineStr">
        <is>
          <t>10180</t>
        </is>
      </c>
      <c r="C675" s="9" t="n">
        <v>165.8</v>
      </c>
      <c r="D675" s="3" t="inlineStr">
        <is>
          <t>Neunkirchen (loading tracks)</t>
        </is>
      </c>
      <c r="E675" s="10" t="n">
        <v>45677.1047800926</v>
      </c>
      <c r="F675" s="10" t="n">
        <v>45677.11538194444</v>
      </c>
      <c r="G675" s="10" t="n">
        <v>45677.11701388889</v>
      </c>
      <c r="H675" s="3" t="inlineStr">
        <is>
          <t>OBT200125025157-Neunkirchen (loading tracks)</t>
        </is>
      </c>
      <c r="I675" s="10" t="n">
        <v>45677.61266203703</v>
      </c>
      <c r="J675" s="10" t="n">
        <v>45677.64144675926</v>
      </c>
      <c r="K675" s="10" t="n">
        <v>45677.64144675926</v>
      </c>
      <c r="L675" s="10" t="n">
        <v>45677.64225694445</v>
      </c>
      <c r="M675" s="11">
        <f>IF(AND(ISNUMBER(E675),ISNUMBER(G675)),(G675-E675),"")</f>
        <v/>
      </c>
      <c r="N675" s="11">
        <f>IF(AND(ISNUMBER(G675),ISNUMBER(L675)),(L675-G675),"")</f>
        <v/>
      </c>
      <c r="O675" s="10" t="n">
        <v>45677.11940972223</v>
      </c>
      <c r="P675" s="11">
        <f>IF(AND(ISNUMBER(I675),ISNUMBER(O675)),(I675-O675),"")</f>
        <v/>
      </c>
      <c r="Q675" s="12" t="inlineStr">
        <is>
          <t>WG 1018002 entered track and got secured, OBTP started on 14:42:14 finished on 15:23:41 and then left at 15:24:51</t>
        </is>
      </c>
    </row>
    <row r="676">
      <c r="A676" s="3" t="inlineStr">
        <is>
          <t>1018003</t>
        </is>
      </c>
      <c r="B676" s="3" t="inlineStr">
        <is>
          <t>10180</t>
        </is>
      </c>
      <c r="C676" s="9" t="n">
        <v>35.64</v>
      </c>
      <c r="D676" s="3" t="inlineStr">
        <is>
          <t>Other sidings south</t>
        </is>
      </c>
      <c r="E676" s="10" t="n">
        <v>45677.1047800926</v>
      </c>
      <c r="F676" s="10" t="n">
        <v>45677.11701388889</v>
      </c>
      <c r="G676" s="10" t="n">
        <v>45677.11900462963</v>
      </c>
      <c r="H676" s="3" t="inlineStr">
        <is>
          <t>OBT200125094944-Neudörfl (FunderMax)</t>
        </is>
      </c>
      <c r="I676" s="10" t="n">
        <v>45678.28607638889</v>
      </c>
      <c r="J676" s="10" t="n">
        <v>45678.30972222222</v>
      </c>
      <c r="K676" s="10" t="n">
        <v>45678.30972222222</v>
      </c>
      <c r="L676" s="10" t="n">
        <v>45678.31057870371</v>
      </c>
      <c r="M676" s="11">
        <f>IF(AND(ISNUMBER(E676),ISNUMBER(G676)),(G676-E676),"")</f>
        <v/>
      </c>
      <c r="N676" s="11">
        <f>IF(AND(ISNUMBER(G676),ISNUMBER(L676)),(L676-G676),"")</f>
        <v/>
      </c>
      <c r="O676" s="10" t="n">
        <v>45677.12255787037</v>
      </c>
      <c r="P676" s="11">
        <f>IF(AND(ISNUMBER(I676),ISNUMBER(O676)),(I676-O676),"")</f>
        <v/>
      </c>
      <c r="Q676" s="12" t="inlineStr">
        <is>
          <t>WG 1018003 entered track and got coupled to WG 1017704 then waited 5:07:21 for WG 1018302 to get coupled then waited 0:18:19 for WG 1018310 to get coupled then waited 0:10:15 for WG 1018315 to get coupled then waited 1:07:15 for WG 1018605 to get coupled then waited 0:10:05 for WG 1018611 to get coupled, OBTP started on 06:51:57 finished on 07:26:00 and then left at 07:27:14</t>
        </is>
      </c>
    </row>
    <row r="677">
      <c r="A677" s="3" t="inlineStr">
        <is>
          <t>1018004</t>
        </is>
      </c>
      <c r="B677" s="3" t="inlineStr">
        <is>
          <t>10180</t>
        </is>
      </c>
      <c r="C677" s="9" t="n">
        <v>47.22</v>
      </c>
      <c r="D677" s="3" t="inlineStr">
        <is>
          <t>Gloggnitz</t>
        </is>
      </c>
      <c r="E677" s="10" t="n">
        <v>45677.1047800926</v>
      </c>
      <c r="F677" s="10" t="n">
        <v>45677.11900462963</v>
      </c>
      <c r="G677" s="10" t="n">
        <v>45677.12099537037</v>
      </c>
      <c r="H677" s="3" t="inlineStr">
        <is>
          <t>OBT200125125954-Wien Kledering</t>
        </is>
      </c>
      <c r="I677" s="10" t="n">
        <v>45678.3405324074</v>
      </c>
      <c r="J677" s="10" t="n">
        <v>45678.35875</v>
      </c>
      <c r="K677" s="10" t="n">
        <v>45678.35875</v>
      </c>
      <c r="L677" s="10" t="n">
        <v>45678.35938657408</v>
      </c>
      <c r="M677" s="11">
        <f>IF(AND(ISNUMBER(E677),ISNUMBER(G677)),(G677-E677),"")</f>
        <v/>
      </c>
      <c r="N677" s="11">
        <f>IF(AND(ISNUMBER(G677),ISNUMBER(L677)),(L677-G677),"")</f>
        <v/>
      </c>
      <c r="O677" s="10" t="n">
        <v>45677.12339120371</v>
      </c>
      <c r="P677" s="11">
        <f>IF(AND(ISNUMBER(I677),ISNUMBER(O677)),(I677-O677),"")</f>
        <v/>
      </c>
      <c r="Q677" s="12" t="inlineStr">
        <is>
          <t>WG 1018004 entered track and got secured then waited 5:20:03 for WG 1018308 to get coupled then waited 1:18:31 for WG 1018604 to get coupled then waited 3:23:39 for WG 1018901 to get coupled, OBTP started on 08:10:22 finished on 08:36:36 and then left at 08:37:31</t>
        </is>
      </c>
    </row>
    <row r="678">
      <c r="A678" s="3" t="inlineStr">
        <is>
          <t>1018101</t>
        </is>
      </c>
      <c r="B678" s="3" t="inlineStr">
        <is>
          <t>10181</t>
        </is>
      </c>
      <c r="C678" s="9" t="n">
        <v>329.7</v>
      </c>
      <c r="D678" s="3" t="inlineStr">
        <is>
          <t>Neudörfl (FunderMax)</t>
        </is>
      </c>
      <c r="E678" s="10" t="n">
        <v>45677.19039351852</v>
      </c>
      <c r="F678" s="10" t="n">
        <v>45677.19692129629</v>
      </c>
      <c r="G678" s="10" t="n">
        <v>45677.19967592593</v>
      </c>
      <c r="H678" s="3" t="inlineStr">
        <is>
          <t>OBT200125045059-Neudörfl (FunderMax)</t>
        </is>
      </c>
      <c r="I678" s="10" t="n">
        <v>45677.66603009259</v>
      </c>
      <c r="J678" s="10" t="n">
        <v>45677.72326388889</v>
      </c>
      <c r="K678" s="10" t="n">
        <v>45677.72326388889</v>
      </c>
      <c r="L678" s="10" t="n">
        <v>45677.72453703704</v>
      </c>
      <c r="M678" s="11">
        <f>IF(AND(ISNUMBER(E678),ISNUMBER(G678)),(G678-E678),"")</f>
        <v/>
      </c>
      <c r="N678" s="11">
        <f>IF(AND(ISNUMBER(G678),ISNUMBER(L678)),(L678-G678),"")</f>
        <v/>
      </c>
      <c r="O678" s="10" t="n">
        <v>45677.20207175926</v>
      </c>
      <c r="P678" s="11">
        <f>IF(AND(ISNUMBER(I678),ISNUMBER(O678)),(I678-O678),"")</f>
        <v/>
      </c>
      <c r="Q678" s="12" t="inlineStr">
        <is>
          <t>WG 1018101 entered track and got secured, OBTP started on 15:59:05 finished on 17:21:30 and then left at 17:23:20</t>
        </is>
      </c>
    </row>
    <row r="679">
      <c r="A679" s="3" t="inlineStr">
        <is>
          <t>1018201</t>
        </is>
      </c>
      <c r="B679" s="3" t="inlineStr">
        <is>
          <t>10182</t>
        </is>
      </c>
      <c r="C679" s="9" t="n">
        <v>293.44</v>
      </c>
      <c r="D679" s="3" t="inlineStr">
        <is>
          <t>Wien Kledering</t>
        </is>
      </c>
      <c r="E679" s="10" t="n">
        <v>45677.24943287037</v>
      </c>
      <c r="F679" s="10" t="n"/>
      <c r="G679" s="10" t="n"/>
      <c r="H679" s="3" t="n"/>
      <c r="I679" s="10" t="n"/>
      <c r="J679" s="10" t="n"/>
      <c r="K679" s="10" t="n"/>
      <c r="L679" s="10" t="n"/>
      <c r="M679" s="11">
        <f>IF(AND(ISNUMBER(E679),ISNUMBER(G679)),(G679-E679),"")</f>
        <v/>
      </c>
      <c r="N679" s="11">
        <f>IF(AND(ISNUMBER(G679),ISNUMBER(L679)),(L679-G679),"")</f>
        <v/>
      </c>
      <c r="O679" s="10" t="n"/>
      <c r="P679" s="11">
        <f>IF(AND(ISNUMBER(I679),ISNUMBER(O679)),(I679-O679),"")</f>
        <v/>
      </c>
      <c r="Q679" s="12" t="n"/>
    </row>
    <row r="680">
      <c r="A680" s="3" t="inlineStr">
        <is>
          <t>1018301</t>
        </is>
      </c>
      <c r="B680" s="3" t="inlineStr">
        <is>
          <t>10183</t>
        </is>
      </c>
      <c r="C680" s="9" t="n">
        <v>102.8</v>
      </c>
      <c r="D680" s="3" t="inlineStr">
        <is>
          <t>Neunkirchen (loading tracks)</t>
        </is>
      </c>
      <c r="E680" s="10" t="n">
        <v>45677.30456018518</v>
      </c>
      <c r="F680" s="10" t="n">
        <v>45677.3305787037</v>
      </c>
      <c r="G680" s="10" t="n">
        <v>45677.33179398148</v>
      </c>
      <c r="H680" s="3" t="inlineStr">
        <is>
          <t>OBT200125080054-Neunkirchen (loading tracks)</t>
        </is>
      </c>
      <c r="I680" s="10" t="n">
        <v>45677.66756944444</v>
      </c>
      <c r="J680" s="10" t="n">
        <v>45677.68541666667</v>
      </c>
      <c r="K680" s="10" t="n">
        <v>45677.68541666667</v>
      </c>
      <c r="L680" s="10" t="n">
        <v>45677.68611111111</v>
      </c>
      <c r="M680" s="11">
        <f>IF(AND(ISNUMBER(E680),ISNUMBER(G680)),(G680-E680),"")</f>
        <v/>
      </c>
      <c r="N680" s="11">
        <f>IF(AND(ISNUMBER(G680),ISNUMBER(L680)),(L680-G680),"")</f>
        <v/>
      </c>
      <c r="O680" s="10" t="n">
        <v>45677.33395833334</v>
      </c>
      <c r="P680" s="11">
        <f>IF(AND(ISNUMBER(I680),ISNUMBER(O680)),(I680-O680),"")</f>
        <v/>
      </c>
      <c r="Q680" s="12" t="inlineStr">
        <is>
          <t>WG 1018301 entered track and got secured, OBTP started on 16:01:18 finished on 16:27:00 and then left at 16:28:00</t>
        </is>
      </c>
    </row>
    <row r="681">
      <c r="A681" s="3" t="inlineStr">
        <is>
          <t>1018302</t>
        </is>
      </c>
      <c r="B681" s="3" t="inlineStr">
        <is>
          <t>10183</t>
        </is>
      </c>
      <c r="C681" s="9" t="n">
        <v>19.9</v>
      </c>
      <c r="D681" s="3" t="inlineStr">
        <is>
          <t>Neudörfl (FunderMax)</t>
        </is>
      </c>
      <c r="E681" s="10" t="n">
        <v>45677.30456018518</v>
      </c>
      <c r="F681" s="10" t="n">
        <v>45677.33179398148</v>
      </c>
      <c r="G681" s="10" t="n">
        <v>45677.33361111111</v>
      </c>
      <c r="H681" s="3" t="inlineStr">
        <is>
          <t>OBT200125094944-Neudörfl (FunderMax)</t>
        </is>
      </c>
      <c r="I681" s="10" t="n">
        <v>45678.28607638889</v>
      </c>
      <c r="J681" s="10" t="n">
        <v>45678.30972222222</v>
      </c>
      <c r="K681" s="10" t="n">
        <v>45678.30972222222</v>
      </c>
      <c r="L681" s="10" t="n">
        <v>45678.31057870371</v>
      </c>
      <c r="M681" s="11">
        <f>IF(AND(ISNUMBER(E681),ISNUMBER(G681)),(G681-E681),"")</f>
        <v/>
      </c>
      <c r="N681" s="11">
        <f>IF(AND(ISNUMBER(G681),ISNUMBER(L681)),(L681-G681),"")</f>
        <v/>
      </c>
      <c r="O681" s="10" t="n">
        <v>45677.33599537037</v>
      </c>
      <c r="P681" s="11">
        <f>IF(AND(ISNUMBER(I681),ISNUMBER(O681)),(I681-O681),"")</f>
        <v/>
      </c>
      <c r="Q681" s="12" t="inlineStr">
        <is>
          <t>WG 1018302 entered track and got secured then waited 0:18:19 for WG 1018310 to get coupled then waited 0:10:15 for WG 1018315 to get coupled then waited 1:07:15 for WG 1018605 to get coupled then waited 0:10:05 for WG 1018611 to get coupled, OBTP started on 06:51:57 finished on 07:26:00 and then left at 07:27:14</t>
        </is>
      </c>
    </row>
    <row r="682">
      <c r="A682" s="3" t="inlineStr">
        <is>
          <t>1018303</t>
        </is>
      </c>
      <c r="B682" s="3" t="inlineStr">
        <is>
          <t>10183</t>
        </is>
      </c>
      <c r="C682" s="9" t="n">
        <v>54</v>
      </c>
      <c r="D682" s="3" t="inlineStr">
        <is>
          <t>Wr. Neustadt (Hödlmayr)</t>
        </is>
      </c>
      <c r="E682" s="10" t="n">
        <v>45677.30456018518</v>
      </c>
      <c r="F682" s="10" t="n">
        <v>45677.33361111111</v>
      </c>
      <c r="G682" s="10" t="n">
        <v>45677.33484953704</v>
      </c>
      <c r="H682" s="3" t="inlineStr">
        <is>
          <t>OBT200125080717-Wr. Neustadt (Hödlmayr)</t>
        </is>
      </c>
      <c r="I682" s="10" t="n">
        <v>45677.67223379629</v>
      </c>
      <c r="J682" s="10" t="n">
        <v>45677.69567129629</v>
      </c>
      <c r="K682" s="10" t="n">
        <v>45677.69567129629</v>
      </c>
      <c r="L682" s="10" t="n">
        <v>45677.69652777778</v>
      </c>
      <c r="M682" s="11">
        <f>IF(AND(ISNUMBER(E682),ISNUMBER(G682)),(G682-E682),"")</f>
        <v/>
      </c>
      <c r="N682" s="11">
        <f>IF(AND(ISNUMBER(G682),ISNUMBER(L682)),(L682-G682),"")</f>
        <v/>
      </c>
      <c r="O682" s="10" t="n">
        <v>45677.3383912037</v>
      </c>
      <c r="P682" s="11">
        <f>IF(AND(ISNUMBER(I682),ISNUMBER(O682)),(I682-O682),"")</f>
        <v/>
      </c>
      <c r="Q682" s="12" t="inlineStr">
        <is>
          <t>WG 1018303 entered track and got coupled to WG 1017706, OBTP started on 16:08:01 finished on 16:41:46 and then left at 16:43:00</t>
        </is>
      </c>
    </row>
    <row r="683">
      <c r="A683" s="3" t="inlineStr">
        <is>
          <t>1018304</t>
        </is>
      </c>
      <c r="B683" s="3" t="inlineStr">
        <is>
          <t>10183</t>
        </is>
      </c>
      <c r="C683" s="9" t="n">
        <v>15.74</v>
      </c>
      <c r="D683" s="3" t="inlineStr">
        <is>
          <t>Other sidings local</t>
        </is>
      </c>
      <c r="E683" s="10" t="n">
        <v>45677.30456018518</v>
      </c>
      <c r="F683" s="10" t="n">
        <v>45677.33484953704</v>
      </c>
      <c r="G683" s="10" t="n">
        <v>45677.33642361111</v>
      </c>
      <c r="H683" s="3" t="inlineStr">
        <is>
          <t>OBT220125073335-Other sidings local</t>
        </is>
      </c>
      <c r="I683" s="10" t="n">
        <v>45680.30650462963</v>
      </c>
      <c r="J683" s="10" t="n">
        <v>45680.32506944444</v>
      </c>
      <c r="K683" s="10" t="n">
        <v>45680.32570601852</v>
      </c>
      <c r="L683" s="10" t="n">
        <v>45680.32655092593</v>
      </c>
      <c r="M683" s="11">
        <f>IF(AND(ISNUMBER(E683),ISNUMBER(G683)),(G683-E683),"")</f>
        <v/>
      </c>
      <c r="N683" s="11">
        <f>IF(AND(ISNUMBER(G683),ISNUMBER(L683)),(L683-G683),"")</f>
        <v/>
      </c>
      <c r="O683" s="10" t="n">
        <v>45677.34074074074</v>
      </c>
      <c r="P683" s="11">
        <f>IF(AND(ISNUMBER(I683),ISNUMBER(O683)),(I683-O683),"")</f>
        <v/>
      </c>
      <c r="Q683" s="12" t="inlineStr">
        <is>
          <t>WG 1018304 entered track and got coupled to WG 1016701 then waited 23:45:54 for WG 1019805 to get coupled then waited 0:05:22 for WG 1019808 to get coupled then waited 7:25:36 for WG 1020508 to get coupled then waited 16:06:03 for WG 1021105 to get coupled, OBTP started on 07:21:22 finished on 07:48:06 and then left at 07:50:14</t>
        </is>
      </c>
    </row>
    <row r="684">
      <c r="A684" s="3" t="inlineStr">
        <is>
          <t>1018305</t>
        </is>
      </c>
      <c r="B684" s="3" t="inlineStr">
        <is>
          <t>10183</t>
        </is>
      </c>
      <c r="C684" s="9" t="n">
        <v>31.48</v>
      </c>
      <c r="D684" s="3" t="inlineStr">
        <is>
          <t>Ebenfurth (beet loading)</t>
        </is>
      </c>
      <c r="E684" s="10" t="n">
        <v>45677.30456018518</v>
      </c>
      <c r="F684" s="10" t="n">
        <v>45677.33642361111</v>
      </c>
      <c r="G684" s="10" t="n">
        <v>45677.33834490741</v>
      </c>
      <c r="H684" s="3" t="inlineStr">
        <is>
          <t>OBT200125212137-Wien Kledering</t>
        </is>
      </c>
      <c r="I684" s="10" t="n">
        <v>45678.64188657407</v>
      </c>
      <c r="J684" s="10" t="n">
        <v>45678.7109837963</v>
      </c>
      <c r="K684" s="10" t="n">
        <v>45678.7109837963</v>
      </c>
      <c r="L684" s="10" t="n">
        <v>45678.71240740741</v>
      </c>
      <c r="M684" s="11">
        <f>IF(AND(ISNUMBER(E684),ISNUMBER(G684)),(G684-E684),"")</f>
        <v/>
      </c>
      <c r="N684" s="11">
        <f>IF(AND(ISNUMBER(G684),ISNUMBER(L684)),(L684-G684),"")</f>
        <v/>
      </c>
      <c r="O684" s="10" t="n">
        <v>45677.34133101852</v>
      </c>
      <c r="P684" s="11">
        <f>IF(AND(ISNUMBER(I684),ISNUMBER(O684)),(I684-O684),"")</f>
        <v/>
      </c>
      <c r="Q684" s="12" t="inlineStr">
        <is>
          <t>WG 1018305 entered track and got secured then waited 0:17:28 for WG 1018314 to get coupled then waited 1:01:49 for WG 1018602 to get coupled then waited 11:50:49 for WG 1019501 to get coupled, OBTP started on 15:24:19 finished on 17:03:49 and then left at 17:05:52</t>
        </is>
      </c>
    </row>
    <row r="685">
      <c r="A685" s="3" t="inlineStr">
        <is>
          <t>1018306</t>
        </is>
      </c>
      <c r="B685" s="3" t="inlineStr">
        <is>
          <t>10183</t>
        </is>
      </c>
      <c r="C685" s="9" t="n">
        <v>31.48</v>
      </c>
      <c r="D685" s="3" t="inlineStr">
        <is>
          <t>Other sidings north</t>
        </is>
      </c>
      <c r="E685" s="10" t="n">
        <v>45677.30456018518</v>
      </c>
      <c r="F685" s="10" t="n">
        <v>45677.33834490741</v>
      </c>
      <c r="G685" s="10" t="n">
        <v>45677.34015046297</v>
      </c>
      <c r="H685" s="3" t="inlineStr">
        <is>
          <t>OBT210125032545-Neunkirchen (loading tracks)</t>
        </is>
      </c>
      <c r="I685" s="10" t="n">
        <v>45678.64737268518</v>
      </c>
      <c r="J685" s="10" t="n">
        <v>45678.6987037037</v>
      </c>
      <c r="K685" s="10" t="n">
        <v>45678.6987037037</v>
      </c>
      <c r="L685" s="10" t="n">
        <v>45678.69976851852</v>
      </c>
      <c r="M685" s="11">
        <f>IF(AND(ISNUMBER(E685),ISNUMBER(G685)),(G685-E685),"")</f>
        <v/>
      </c>
      <c r="N685" s="11">
        <f>IF(AND(ISNUMBER(G685),ISNUMBER(L685)),(L685-G685),"")</f>
        <v/>
      </c>
      <c r="O685" s="10" t="n">
        <v>45677.34395833333</v>
      </c>
      <c r="P685" s="11">
        <f>IF(AND(ISNUMBER(I685),ISNUMBER(O685)),(I685-O685),"")</f>
        <v/>
      </c>
      <c r="Q685" s="12" t="inlineStr">
        <is>
          <t>WG 1018306 entered track and got secured then waited 1:27:09 for WG 1018607 to get coupled then waited 6:02:17 for WG 1019103 to get coupled then waited 0:14:50 for WG 1019109 to get coupled then waited 11:18:15 for WG 1019602 to get coupled then waited 0:07:56 for WG 1019605 to get coupled, OBTP started on 15:32:13 finished on 16:46:08 and then left at 16:47:40</t>
        </is>
      </c>
    </row>
    <row r="686">
      <c r="A686" s="3" t="inlineStr">
        <is>
          <t>1018307</t>
        </is>
      </c>
      <c r="B686" s="3" t="inlineStr">
        <is>
          <t>10183</t>
        </is>
      </c>
      <c r="C686" s="9" t="n">
        <v>135</v>
      </c>
      <c r="D686" s="3" t="inlineStr">
        <is>
          <t>Wr. Neustadt (Hödlmayr)</t>
        </is>
      </c>
      <c r="E686" s="10" t="n">
        <v>45677.30456018518</v>
      </c>
      <c r="F686" s="10" t="n"/>
      <c r="G686" s="10" t="n"/>
      <c r="H686" s="3" t="n"/>
      <c r="I686" s="10" t="n"/>
      <c r="J686" s="10" t="n"/>
      <c r="K686" s="10" t="n"/>
      <c r="L686" s="10" t="n"/>
      <c r="M686" s="11">
        <f>IF(AND(ISNUMBER(E686),ISNUMBER(G686)),(G686-E686),"")</f>
        <v/>
      </c>
      <c r="N686" s="11">
        <f>IF(AND(ISNUMBER(G686),ISNUMBER(L686)),(L686-G686),"")</f>
        <v/>
      </c>
      <c r="O686" s="10" t="n"/>
      <c r="P686" s="11">
        <f>IF(AND(ISNUMBER(I686),ISNUMBER(O686)),(I686-O686),"")</f>
        <v/>
      </c>
      <c r="Q686" s="12" t="n"/>
    </row>
    <row r="687">
      <c r="A687" s="3" t="inlineStr">
        <is>
          <t>1018308</t>
        </is>
      </c>
      <c r="B687" s="3" t="inlineStr">
        <is>
          <t>10183</t>
        </is>
      </c>
      <c r="C687" s="9" t="n">
        <v>15.74</v>
      </c>
      <c r="D687" s="3" t="inlineStr">
        <is>
          <t>Gloggnitz</t>
        </is>
      </c>
      <c r="E687" s="10" t="n">
        <v>45677.30456018518</v>
      </c>
      <c r="F687" s="10" t="n">
        <v>45677.34015046297</v>
      </c>
      <c r="G687" s="10" t="n">
        <v>45677.3419212963</v>
      </c>
      <c r="H687" s="3" t="inlineStr">
        <is>
          <t>OBT200125125954-Wien Kledering</t>
        </is>
      </c>
      <c r="I687" s="10" t="n">
        <v>45678.3405324074</v>
      </c>
      <c r="J687" s="10" t="n">
        <v>45678.35875</v>
      </c>
      <c r="K687" s="10" t="n">
        <v>45678.35875</v>
      </c>
      <c r="L687" s="10" t="n">
        <v>45678.35938657408</v>
      </c>
      <c r="M687" s="11">
        <f>IF(AND(ISNUMBER(E687),ISNUMBER(G687)),(G687-E687),"")</f>
        <v/>
      </c>
      <c r="N687" s="11">
        <f>IF(AND(ISNUMBER(G687),ISNUMBER(L687)),(L687-G687),"")</f>
        <v/>
      </c>
      <c r="O687" s="10" t="n">
        <v>45677.34564814815</v>
      </c>
      <c r="P687" s="11">
        <f>IF(AND(ISNUMBER(I687),ISNUMBER(O687)),(I687-O687),"")</f>
        <v/>
      </c>
      <c r="Q687" s="12" t="inlineStr">
        <is>
          <t>WG 1018308 entered track and got coupled to WG 1018004 then waited 1:18:31 for WG 1018604 to get coupled then waited 3:23:39 for WG 1018901 to get coupled, OBTP started on 08:10:22 finished on 08:36:36 and then left at 08:37:31</t>
        </is>
      </c>
    </row>
    <row r="688">
      <c r="A688" s="3" t="inlineStr">
        <is>
          <t>1018309</t>
        </is>
      </c>
      <c r="B688" s="3" t="inlineStr">
        <is>
          <t>10183</t>
        </is>
      </c>
      <c r="C688" s="9" t="n">
        <v>23.24</v>
      </c>
      <c r="D688" s="3" t="inlineStr">
        <is>
          <t>Pitten (Hamburger)</t>
        </is>
      </c>
      <c r="E688" s="10" t="n">
        <v>45677.30456018518</v>
      </c>
      <c r="F688" s="10" t="n"/>
      <c r="G688" s="10" t="n"/>
      <c r="H688" s="3" t="n"/>
      <c r="I688" s="10" t="n"/>
      <c r="J688" s="10" t="n"/>
      <c r="K688" s="10" t="n"/>
      <c r="L688" s="10" t="n"/>
      <c r="M688" s="11">
        <f>IF(AND(ISNUMBER(E688),ISNUMBER(G688)),(G688-E688),"")</f>
        <v/>
      </c>
      <c r="N688" s="11">
        <f>IF(AND(ISNUMBER(G688),ISNUMBER(L688)),(L688-G688),"")</f>
        <v/>
      </c>
      <c r="O688" s="10" t="n"/>
      <c r="P688" s="11">
        <f>IF(AND(ISNUMBER(I688),ISNUMBER(O688)),(I688-O688),"")</f>
        <v/>
      </c>
      <c r="Q688" s="12" t="n"/>
    </row>
    <row r="689">
      <c r="A689" s="3" t="inlineStr">
        <is>
          <t>1018310</t>
        </is>
      </c>
      <c r="B689" s="3" t="inlineStr">
        <is>
          <t>10183</t>
        </is>
      </c>
      <c r="C689" s="9" t="n">
        <v>21</v>
      </c>
      <c r="D689" s="3" t="inlineStr">
        <is>
          <t>Neudörfl (FunderMax)</t>
        </is>
      </c>
      <c r="E689" s="10" t="n">
        <v>45677.30456018518</v>
      </c>
      <c r="F689" s="10" t="n">
        <v>45677.3419212963</v>
      </c>
      <c r="G689" s="10" t="n">
        <v>45677.34375</v>
      </c>
      <c r="H689" s="3" t="inlineStr">
        <is>
          <t>OBT200125094944-Neudörfl (FunderMax)</t>
        </is>
      </c>
      <c r="I689" s="10" t="n">
        <v>45678.28607638889</v>
      </c>
      <c r="J689" s="10" t="n">
        <v>45678.30972222222</v>
      </c>
      <c r="K689" s="10" t="n">
        <v>45678.30972222222</v>
      </c>
      <c r="L689" s="10" t="n">
        <v>45678.31057870371</v>
      </c>
      <c r="M689" s="11">
        <f>IF(AND(ISNUMBER(E689),ISNUMBER(G689)),(G689-E689),"")</f>
        <v/>
      </c>
      <c r="N689" s="11">
        <f>IF(AND(ISNUMBER(G689),ISNUMBER(L689)),(L689-G689),"")</f>
        <v/>
      </c>
      <c r="O689" s="10" t="n">
        <v>45677.34871527777</v>
      </c>
      <c r="P689" s="11">
        <f>IF(AND(ISNUMBER(I689),ISNUMBER(O689)),(I689-O689),"")</f>
        <v/>
      </c>
      <c r="Q689" s="12" t="inlineStr">
        <is>
          <t>WG 1018310 entered track and got coupled to WG 1018302 then waited 0:10:15 for WG 1018315 to get coupled then waited 1:07:15 for WG 1018605 to get coupled then waited 0:10:05 for WG 1018611 to get coupled, OBTP started on 06:51:57 finished on 07:26:00 and then left at 07:27:14</t>
        </is>
      </c>
    </row>
    <row r="690">
      <c r="A690" s="3" t="inlineStr">
        <is>
          <t>1018311</t>
        </is>
      </c>
      <c r="B690" s="3" t="inlineStr">
        <is>
          <t>10183</t>
        </is>
      </c>
      <c r="C690" s="9" t="n">
        <v>31.48</v>
      </c>
      <c r="D690" s="3" t="inlineStr">
        <is>
          <t>Steinabrückl/Wöllersdorf</t>
        </is>
      </c>
      <c r="E690" s="10" t="n">
        <v>45677.30456018518</v>
      </c>
      <c r="F690" s="10" t="n">
        <v>45677.34375</v>
      </c>
      <c r="G690" s="10" t="n">
        <v>45677.34539351852</v>
      </c>
      <c r="H690" s="3" t="inlineStr">
        <is>
          <t>OBT200125155402-Pitten (Hamburger)</t>
        </is>
      </c>
      <c r="I690" s="10" t="n">
        <v>45678.4019212963</v>
      </c>
      <c r="J690" s="10" t="n">
        <v>45678.42626157407</v>
      </c>
      <c r="K690" s="10" t="n">
        <v>45678.42626157407</v>
      </c>
      <c r="L690" s="10" t="n">
        <v>45678.42711805556</v>
      </c>
      <c r="M690" s="11">
        <f>IF(AND(ISNUMBER(E690),ISNUMBER(G690)),(G690-E690),"")</f>
        <v/>
      </c>
      <c r="N690" s="11">
        <f>IF(AND(ISNUMBER(G690),ISNUMBER(L690)),(L690-G690),"")</f>
        <v/>
      </c>
      <c r="O690" s="10" t="n">
        <v>45677.34857638889</v>
      </c>
      <c r="P690" s="11">
        <f>IF(AND(ISNUMBER(I690),ISNUMBER(O690)),(I690-O690),"")</f>
        <v/>
      </c>
      <c r="Q690" s="12" t="inlineStr">
        <is>
          <t>WG 1018311 entered track and got secured then waited 1:03:38 for WG 1018601 to get coupled then waited 0:21:15 for WG 1018610 to get coupled then waited 6:04:29 for WG 1019106 to get coupled then waited 0:02:43 for WG 1019107 to get coupled, OBTP started on 09:38:46 finished on 10:13:49 and then left at 10:15:03</t>
        </is>
      </c>
    </row>
    <row r="691">
      <c r="A691" s="3" t="inlineStr">
        <is>
          <t>1018312</t>
        </is>
      </c>
      <c r="B691" s="3" t="inlineStr">
        <is>
          <t>10183</t>
        </is>
      </c>
      <c r="C691" s="9" t="n">
        <v>23.24</v>
      </c>
      <c r="D691" s="3" t="inlineStr">
        <is>
          <t>Pitten (Hamburger)</t>
        </is>
      </c>
      <c r="E691" s="10" t="n">
        <v>45677.30456018518</v>
      </c>
      <c r="F691" s="10" t="n"/>
      <c r="G691" s="10" t="n"/>
      <c r="H691" s="3" t="n"/>
      <c r="I691" s="10" t="n"/>
      <c r="J691" s="10" t="n"/>
      <c r="K691" s="10" t="n"/>
      <c r="L691" s="10" t="n"/>
      <c r="M691" s="11">
        <f>IF(AND(ISNUMBER(E691),ISNUMBER(G691)),(G691-E691),"")</f>
        <v/>
      </c>
      <c r="N691" s="11">
        <f>IF(AND(ISNUMBER(G691),ISNUMBER(L691)),(L691-G691),"")</f>
        <v/>
      </c>
      <c r="O691" s="10" t="n"/>
      <c r="P691" s="11">
        <f>IF(AND(ISNUMBER(I691),ISNUMBER(O691)),(I691-O691),"")</f>
        <v/>
      </c>
      <c r="Q691" s="12" t="n"/>
    </row>
    <row r="692">
      <c r="A692" s="3" t="inlineStr">
        <is>
          <t>1018313</t>
        </is>
      </c>
      <c r="B692" s="3" t="inlineStr">
        <is>
          <t>10183</t>
        </is>
      </c>
      <c r="C692" s="9" t="n">
        <v>15.74</v>
      </c>
      <c r="D692" s="3" t="inlineStr">
        <is>
          <t>Obereggendorf (Hofer)</t>
        </is>
      </c>
      <c r="E692" s="10" t="n">
        <v>45677.30456018518</v>
      </c>
      <c r="F692" s="10" t="n">
        <v>45677.34539351852</v>
      </c>
      <c r="G692" s="10" t="n">
        <v>45677.34686342593</v>
      </c>
      <c r="H692" s="3" t="inlineStr">
        <is>
          <t>OBT200125144313-Wien Kledering</t>
        </is>
      </c>
      <c r="I692" s="10" t="n">
        <v>45678.38799768518</v>
      </c>
      <c r="J692" s="10" t="n">
        <v>45678.45554398148</v>
      </c>
      <c r="K692" s="10" t="n">
        <v>45678.45554398148</v>
      </c>
      <c r="L692" s="10" t="n">
        <v>45678.45703703703</v>
      </c>
      <c r="M692" s="11">
        <f>IF(AND(ISNUMBER(E692),ISNUMBER(G692)),(G692-E692),"")</f>
        <v/>
      </c>
      <c r="N692" s="11">
        <f>IF(AND(ISNUMBER(G692),ISNUMBER(L692)),(L692-G692),"")</f>
        <v/>
      </c>
      <c r="O692" s="10" t="n">
        <v>45677.3515162037</v>
      </c>
      <c r="P692" s="11">
        <f>IF(AND(ISNUMBER(I692),ISNUMBER(O692)),(I692-O692),"")</f>
        <v/>
      </c>
      <c r="Q692" s="12" t="inlineStr">
        <is>
          <t>WG 1018313 entered track and got secured then waited 6:17:02 for WG 1019001 to get coupled, OBTP started on 09:18:43 finished on 10:55:59 and then left at 10:58:08</t>
        </is>
      </c>
    </row>
    <row r="693">
      <c r="A693" s="3" t="inlineStr">
        <is>
          <t>1018314</t>
        </is>
      </c>
      <c r="B693" s="3" t="inlineStr">
        <is>
          <t>10183</t>
        </is>
      </c>
      <c r="C693" s="9" t="n">
        <v>15.74</v>
      </c>
      <c r="D693" s="3" t="inlineStr">
        <is>
          <t>Ebenfurth (beet loading)</t>
        </is>
      </c>
      <c r="E693" s="10" t="n">
        <v>45677.30456018518</v>
      </c>
      <c r="F693" s="10" t="n">
        <v>45677.34686342593</v>
      </c>
      <c r="G693" s="10" t="n">
        <v>45677.34875</v>
      </c>
      <c r="H693" s="3" t="inlineStr">
        <is>
          <t>OBT200125212137-Wien Kledering</t>
        </is>
      </c>
      <c r="I693" s="10" t="n">
        <v>45678.64188657407</v>
      </c>
      <c r="J693" s="10" t="n">
        <v>45678.7109837963</v>
      </c>
      <c r="K693" s="10" t="n">
        <v>45678.7109837963</v>
      </c>
      <c r="L693" s="10" t="n">
        <v>45678.71240740741</v>
      </c>
      <c r="M693" s="11">
        <f>IF(AND(ISNUMBER(E693),ISNUMBER(G693)),(G693-E693),"")</f>
        <v/>
      </c>
      <c r="N693" s="11">
        <f>IF(AND(ISNUMBER(G693),ISNUMBER(L693)),(L693-G693),"")</f>
        <v/>
      </c>
      <c r="O693" s="10" t="n">
        <v>45677.35346064815</v>
      </c>
      <c r="P693" s="11">
        <f>IF(AND(ISNUMBER(I693),ISNUMBER(O693)),(I693-O693),"")</f>
        <v/>
      </c>
      <c r="Q693" s="12" t="inlineStr">
        <is>
          <t>WG 1018314 entered track and got coupled to WG 1018305 then waited 1:01:49 for WG 1018602 to get coupled then waited 11:50:49 for WG 1019501 to get coupled, OBTP started on 15:24:19 finished on 17:03:49 and then left at 17:05:52</t>
        </is>
      </c>
    </row>
    <row r="694">
      <c r="A694" s="3" t="inlineStr">
        <is>
          <t>1018315</t>
        </is>
      </c>
      <c r="B694" s="3" t="inlineStr">
        <is>
          <t>10183</t>
        </is>
      </c>
      <c r="C694" s="9" t="n">
        <v>15.74</v>
      </c>
      <c r="D694" s="3" t="inlineStr">
        <is>
          <t>Other sidings south</t>
        </is>
      </c>
      <c r="E694" s="10" t="n">
        <v>45677.30456018518</v>
      </c>
      <c r="F694" s="10" t="n">
        <v>45677.34875</v>
      </c>
      <c r="G694" s="10" t="n">
        <v>45677.35055555555</v>
      </c>
      <c r="H694" s="3" t="inlineStr">
        <is>
          <t>OBT200125094944-Neudörfl (FunderMax)</t>
        </is>
      </c>
      <c r="I694" s="10" t="n">
        <v>45678.28607638889</v>
      </c>
      <c r="J694" s="10" t="n">
        <v>45678.30972222222</v>
      </c>
      <c r="K694" s="10" t="n">
        <v>45678.30972222222</v>
      </c>
      <c r="L694" s="10" t="n">
        <v>45678.31057870371</v>
      </c>
      <c r="M694" s="11">
        <f>IF(AND(ISNUMBER(E694),ISNUMBER(G694)),(G694-E694),"")</f>
        <v/>
      </c>
      <c r="N694" s="11">
        <f>IF(AND(ISNUMBER(G694),ISNUMBER(L694)),(L694-G694),"")</f>
        <v/>
      </c>
      <c r="O694" s="10" t="n">
        <v>45677.35583333333</v>
      </c>
      <c r="P694" s="11">
        <f>IF(AND(ISNUMBER(I694),ISNUMBER(O694)),(I694-O694),"")</f>
        <v/>
      </c>
      <c r="Q694" s="12" t="inlineStr">
        <is>
          <t>WG 1018315 entered track and got coupled to WG 1018310 then waited 1:07:15 for WG 1018605 to get coupled then waited 0:10:05 for WG 1018611 to get coupled, OBTP started on 06:51:57 finished on 07:26:00 and then left at 07:27:14</t>
        </is>
      </c>
    </row>
    <row r="695">
      <c r="A695" s="3" t="inlineStr">
        <is>
          <t>1018316</t>
        </is>
      </c>
      <c r="B695" s="3" t="inlineStr">
        <is>
          <t>10183</t>
        </is>
      </c>
      <c r="C695" s="9" t="n">
        <v>42</v>
      </c>
      <c r="D695" s="3" t="inlineStr">
        <is>
          <t>Wr. Neustadt (Brenntag)</t>
        </is>
      </c>
      <c r="E695" s="10" t="n">
        <v>45677.30456018518</v>
      </c>
      <c r="F695" s="10" t="n">
        <v>45677.35055555555</v>
      </c>
      <c r="G695" s="10" t="n">
        <v>45677.35186342592</v>
      </c>
      <c r="H695" s="3" t="inlineStr">
        <is>
          <t>OBT200125083327-Wr. Neustadt (Brenntag)</t>
        </is>
      </c>
      <c r="I695" s="10" t="n">
        <v>45677.7199537037</v>
      </c>
      <c r="J695" s="10" t="n">
        <v>45677.74182870371</v>
      </c>
      <c r="K695" s="10" t="n">
        <v>45677.74182870371</v>
      </c>
      <c r="L695" s="10" t="n">
        <v>45677.74260416667</v>
      </c>
      <c r="M695" s="11">
        <f>IF(AND(ISNUMBER(E695),ISNUMBER(G695)),(G695-E695),"")</f>
        <v/>
      </c>
      <c r="N695" s="11">
        <f>IF(AND(ISNUMBER(G695),ISNUMBER(L695)),(L695-G695),"")</f>
        <v/>
      </c>
      <c r="O695" s="10" t="n">
        <v>45677.3565625</v>
      </c>
      <c r="P695" s="11">
        <f>IF(AND(ISNUMBER(I695),ISNUMBER(O695)),(I695-O695),"")</f>
        <v/>
      </c>
      <c r="Q695" s="12" t="inlineStr">
        <is>
          <t>WG 1018316 entered track and got coupled to WG 1016706, OBTP started on 17:16:44 finished on 17:48:14 and then left at 17:49:21</t>
        </is>
      </c>
    </row>
    <row r="696">
      <c r="A696" s="3" t="inlineStr">
        <is>
          <t>1018401</t>
        </is>
      </c>
      <c r="B696" s="3" t="inlineStr">
        <is>
          <t>10184</t>
        </is>
      </c>
      <c r="C696" s="9" t="n">
        <v>380.8200000000001</v>
      </c>
      <c r="D696" s="3" t="inlineStr">
        <is>
          <t>Wien Kledering</t>
        </is>
      </c>
      <c r="E696" s="10" t="n">
        <v>45677.3122337963</v>
      </c>
      <c r="F696" s="10" t="n"/>
      <c r="G696" s="10" t="n"/>
      <c r="H696" s="3" t="n"/>
      <c r="I696" s="10" t="n"/>
      <c r="J696" s="10" t="n"/>
      <c r="K696" s="10" t="n"/>
      <c r="L696" s="10" t="n"/>
      <c r="M696" s="11">
        <f>IF(AND(ISNUMBER(E696),ISNUMBER(G696)),(G696-E696),"")</f>
        <v/>
      </c>
      <c r="N696" s="11">
        <f>IF(AND(ISNUMBER(G696),ISNUMBER(L696)),(L696-G696),"")</f>
        <v/>
      </c>
      <c r="O696" s="10" t="n"/>
      <c r="P696" s="11">
        <f>IF(AND(ISNUMBER(I696),ISNUMBER(O696)),(I696-O696),"")</f>
        <v/>
      </c>
      <c r="Q696" s="12" t="n"/>
    </row>
    <row r="697">
      <c r="A697" s="3" t="inlineStr">
        <is>
          <t>1018501</t>
        </is>
      </c>
      <c r="B697" s="3" t="inlineStr">
        <is>
          <t>10185</t>
        </is>
      </c>
      <c r="C697" s="9" t="n">
        <v>330.7800000000001</v>
      </c>
      <c r="D697" s="3" t="inlineStr">
        <is>
          <t>Wien Kledering</t>
        </is>
      </c>
      <c r="E697" s="10" t="n">
        <v>45677.31453703704</v>
      </c>
      <c r="F697" s="10" t="n"/>
      <c r="G697" s="10" t="n"/>
      <c r="H697" s="3" t="n"/>
      <c r="I697" s="10" t="n"/>
      <c r="J697" s="10" t="n"/>
      <c r="K697" s="10" t="n"/>
      <c r="L697" s="10" t="n"/>
      <c r="M697" s="11">
        <f>IF(AND(ISNUMBER(E697),ISNUMBER(G697)),(G697-E697),"")</f>
        <v/>
      </c>
      <c r="N697" s="11">
        <f>IF(AND(ISNUMBER(G697),ISNUMBER(L697)),(L697-G697),"")</f>
        <v/>
      </c>
      <c r="O697" s="10" t="n"/>
      <c r="P697" s="11">
        <f>IF(AND(ISNUMBER(I697),ISNUMBER(O697)),(I697-O697),"")</f>
        <v/>
      </c>
      <c r="Q697" s="12" t="n"/>
    </row>
    <row r="698">
      <c r="A698" s="3" t="inlineStr">
        <is>
          <t>1018601</t>
        </is>
      </c>
      <c r="B698" s="3" t="inlineStr">
        <is>
          <t>10186</t>
        </is>
      </c>
      <c r="C698" s="9" t="n">
        <v>46.48</v>
      </c>
      <c r="D698" s="3" t="inlineStr">
        <is>
          <t>Pitten (Hamburger)</t>
        </is>
      </c>
      <c r="E698" s="10" t="n">
        <v>45677.36668981481</v>
      </c>
      <c r="F698" s="10" t="n">
        <v>45677.38854166667</v>
      </c>
      <c r="G698" s="10" t="n">
        <v>45677.39037037037</v>
      </c>
      <c r="H698" s="3" t="inlineStr">
        <is>
          <t>OBT200125155402-Pitten (Hamburger)</t>
        </is>
      </c>
      <c r="I698" s="10" t="n">
        <v>45678.4019212963</v>
      </c>
      <c r="J698" s="10" t="n">
        <v>45678.42626157407</v>
      </c>
      <c r="K698" s="10" t="n">
        <v>45678.42626157407</v>
      </c>
      <c r="L698" s="10" t="n">
        <v>45678.42711805556</v>
      </c>
      <c r="M698" s="11">
        <f>IF(AND(ISNUMBER(E698),ISNUMBER(G698)),(G698-E698),"")</f>
        <v/>
      </c>
      <c r="N698" s="11">
        <f>IF(AND(ISNUMBER(G698),ISNUMBER(L698)),(L698-G698),"")</f>
        <v/>
      </c>
      <c r="O698" s="10" t="n">
        <v>45677.3927662037</v>
      </c>
      <c r="P698" s="11">
        <f>IF(AND(ISNUMBER(I698),ISNUMBER(O698)),(I698-O698),"")</f>
        <v/>
      </c>
      <c r="Q698" s="12" t="inlineStr">
        <is>
          <t>WG 1018601 entered track and got secured then waited 0:21:15 for WG 1018610 to get coupled then waited 6:04:29 for WG 1019106 to get coupled then waited 0:02:43 for WG 1019107 to get coupled, OBTP started on 09:38:46 finished on 10:13:49 and then left at 10:15:03</t>
        </is>
      </c>
    </row>
    <row r="699">
      <c r="A699" s="3" t="inlineStr">
        <is>
          <t>1018602</t>
        </is>
      </c>
      <c r="B699" s="3" t="inlineStr">
        <is>
          <t>10186</t>
        </is>
      </c>
      <c r="C699" s="9" t="n">
        <v>47.22</v>
      </c>
      <c r="D699" s="3" t="inlineStr">
        <is>
          <t>Ebenfurth (beet loading)</t>
        </is>
      </c>
      <c r="E699" s="10" t="n">
        <v>45677.36668981481</v>
      </c>
      <c r="F699" s="10" t="n">
        <v>45677.39037037037</v>
      </c>
      <c r="G699" s="10" t="n">
        <v>45677.39246527778</v>
      </c>
      <c r="H699" s="3" t="inlineStr">
        <is>
          <t>OBT200125212137-Wien Kledering</t>
        </is>
      </c>
      <c r="I699" s="10" t="n">
        <v>45678.64188657407</v>
      </c>
      <c r="J699" s="10" t="n">
        <v>45678.7109837963</v>
      </c>
      <c r="K699" s="10" t="n">
        <v>45678.7109837963</v>
      </c>
      <c r="L699" s="10" t="n">
        <v>45678.71240740741</v>
      </c>
      <c r="M699" s="11">
        <f>IF(AND(ISNUMBER(E699),ISNUMBER(G699)),(G699-E699),"")</f>
        <v/>
      </c>
      <c r="N699" s="11">
        <f>IF(AND(ISNUMBER(G699),ISNUMBER(L699)),(L699-G699),"")</f>
        <v/>
      </c>
      <c r="O699" s="10" t="n">
        <v>45677.39638888889</v>
      </c>
      <c r="P699" s="11">
        <f>IF(AND(ISNUMBER(I699),ISNUMBER(O699)),(I699-O699),"")</f>
        <v/>
      </c>
      <c r="Q699" s="12" t="inlineStr">
        <is>
          <t>WG 1018602 entered track and got coupled to WG 1018314 then waited 11:50:49 for WG 1019501 to get coupled, OBTP started on 15:24:19 finished on 17:03:49 and then left at 17:05:52</t>
        </is>
      </c>
    </row>
    <row r="700">
      <c r="A700" s="3" t="inlineStr">
        <is>
          <t>1018603</t>
        </is>
      </c>
      <c r="B700" s="3" t="inlineStr">
        <is>
          <t>10186</t>
        </is>
      </c>
      <c r="C700" s="9" t="n">
        <v>135</v>
      </c>
      <c r="D700" s="3" t="inlineStr">
        <is>
          <t>Wr. Neustadt (Hödlmayr)</t>
        </is>
      </c>
      <c r="E700" s="10" t="n">
        <v>45677.36668981481</v>
      </c>
      <c r="F700" s="10" t="n">
        <v>45677.39246527778</v>
      </c>
      <c r="G700" s="10" t="n">
        <v>45677.39469907407</v>
      </c>
      <c r="H700" s="3" t="inlineStr">
        <is>
          <t>OBT200125093149-Wr. Neustadt (Hödlmayr)</t>
        </is>
      </c>
      <c r="I700" s="10" t="n">
        <v>45678.1406712963</v>
      </c>
      <c r="J700" s="10" t="n">
        <v>45678.1641087963</v>
      </c>
      <c r="K700" s="10" t="n">
        <v>45678.1641087963</v>
      </c>
      <c r="L700" s="10" t="n">
        <v>45678.16496527778</v>
      </c>
      <c r="M700" s="11">
        <f>IF(AND(ISNUMBER(E700),ISNUMBER(G700)),(G700-E700),"")</f>
        <v/>
      </c>
      <c r="N700" s="11">
        <f>IF(AND(ISNUMBER(G700),ISNUMBER(L700)),(L700-G700),"")</f>
        <v/>
      </c>
      <c r="O700" s="10" t="n">
        <v>45677.39709490741</v>
      </c>
      <c r="P700" s="11">
        <f>IF(AND(ISNUMBER(I700),ISNUMBER(O700)),(I700-O700),"")</f>
        <v/>
      </c>
      <c r="Q700" s="12" t="inlineStr">
        <is>
          <t>WG 1018603 entered track and got secured, OBTP started on 03:22:34 finished on 03:56:19 and then left at 03:57:33</t>
        </is>
      </c>
    </row>
    <row r="701">
      <c r="A701" s="3" t="inlineStr">
        <is>
          <t>1018604</t>
        </is>
      </c>
      <c r="B701" s="3" t="inlineStr">
        <is>
          <t>10186</t>
        </is>
      </c>
      <c r="C701" s="9" t="n">
        <v>15.74</v>
      </c>
      <c r="D701" s="3" t="inlineStr">
        <is>
          <t>Gloggnitz</t>
        </is>
      </c>
      <c r="E701" s="10" t="n">
        <v>45677.36668981481</v>
      </c>
      <c r="F701" s="10" t="n">
        <v>45677.39469907407</v>
      </c>
      <c r="G701" s="10" t="n">
        <v>45677.3966087963</v>
      </c>
      <c r="H701" s="3" t="inlineStr">
        <is>
          <t>OBT200125125954-Wien Kledering</t>
        </is>
      </c>
      <c r="I701" s="10" t="n">
        <v>45678.3405324074</v>
      </c>
      <c r="J701" s="10" t="n">
        <v>45678.35875</v>
      </c>
      <c r="K701" s="10" t="n">
        <v>45678.35875</v>
      </c>
      <c r="L701" s="10" t="n">
        <v>45678.35938657408</v>
      </c>
      <c r="M701" s="11">
        <f>IF(AND(ISNUMBER(E701),ISNUMBER(G701)),(G701-E701),"")</f>
        <v/>
      </c>
      <c r="N701" s="11">
        <f>IF(AND(ISNUMBER(G701),ISNUMBER(L701)),(L701-G701),"")</f>
        <v/>
      </c>
      <c r="O701" s="10" t="n">
        <v>45677.40017361111</v>
      </c>
      <c r="P701" s="11">
        <f>IF(AND(ISNUMBER(I701),ISNUMBER(O701)),(I701-O701),"")</f>
        <v/>
      </c>
      <c r="Q701" s="12" t="inlineStr">
        <is>
          <t>WG 1018604 entered track and got coupled to WG 1018308 then waited 3:23:39 for WG 1018901 to get coupled, OBTP started on 08:10:22 finished on 08:36:36 and then left at 08:37:31</t>
        </is>
      </c>
    </row>
    <row r="702">
      <c r="A702" s="3" t="inlineStr">
        <is>
          <t>1018605</t>
        </is>
      </c>
      <c r="B702" s="3" t="inlineStr">
        <is>
          <t>10186</t>
        </is>
      </c>
      <c r="C702" s="9" t="n">
        <v>36.4</v>
      </c>
      <c r="D702" s="3" t="inlineStr">
        <is>
          <t>Neudörfl (FunderMax)</t>
        </is>
      </c>
      <c r="E702" s="10" t="n">
        <v>45677.36668981481</v>
      </c>
      <c r="F702" s="10" t="n">
        <v>45677.3966087963</v>
      </c>
      <c r="G702" s="10" t="n">
        <v>45677.39861111111</v>
      </c>
      <c r="H702" s="3" t="inlineStr">
        <is>
          <t>OBT200125094944-Neudörfl (FunderMax)</t>
        </is>
      </c>
      <c r="I702" s="10" t="n">
        <v>45678.28607638889</v>
      </c>
      <c r="J702" s="10" t="n">
        <v>45678.30972222222</v>
      </c>
      <c r="K702" s="10" t="n">
        <v>45678.30972222222</v>
      </c>
      <c r="L702" s="10" t="n">
        <v>45678.31057870371</v>
      </c>
      <c r="M702" s="11">
        <f>IF(AND(ISNUMBER(E702),ISNUMBER(G702)),(G702-E702),"")</f>
        <v/>
      </c>
      <c r="N702" s="11">
        <f>IF(AND(ISNUMBER(G702),ISNUMBER(L702)),(L702-G702),"")</f>
        <v/>
      </c>
      <c r="O702" s="10" t="n">
        <v>45677.40253472222</v>
      </c>
      <c r="P702" s="11">
        <f>IF(AND(ISNUMBER(I702),ISNUMBER(O702)),(I702-O702),"")</f>
        <v/>
      </c>
      <c r="Q702" s="12" t="inlineStr">
        <is>
          <t>WG 1018605 entered track and got coupled to WG 1018315 then waited 0:10:05 for WG 1018611 to get coupled, OBTP started on 06:51:57 finished on 07:26:00 and then left at 07:27:14</t>
        </is>
      </c>
    </row>
    <row r="703">
      <c r="A703" s="3" t="inlineStr">
        <is>
          <t>1018606</t>
        </is>
      </c>
      <c r="B703" s="3" t="inlineStr">
        <is>
          <t>10186</t>
        </is>
      </c>
      <c r="C703" s="9" t="n">
        <v>42</v>
      </c>
      <c r="D703" s="3" t="inlineStr">
        <is>
          <t>Neunkirchen (loading tracks)</t>
        </is>
      </c>
      <c r="E703" s="10" t="n">
        <v>45677.36668981481</v>
      </c>
      <c r="F703" s="10" t="n"/>
      <c r="G703" s="10" t="n"/>
      <c r="H703" s="3" t="n"/>
      <c r="I703" s="10" t="n"/>
      <c r="J703" s="10" t="n"/>
      <c r="K703" s="10" t="n"/>
      <c r="L703" s="10" t="n"/>
      <c r="M703" s="11">
        <f>IF(AND(ISNUMBER(E703),ISNUMBER(G703)),(G703-E703),"")</f>
        <v/>
      </c>
      <c r="N703" s="11">
        <f>IF(AND(ISNUMBER(G703),ISNUMBER(L703)),(L703-G703),"")</f>
        <v/>
      </c>
      <c r="O703" s="10" t="n"/>
      <c r="P703" s="11">
        <f>IF(AND(ISNUMBER(I703),ISNUMBER(O703)),(I703-O703),"")</f>
        <v/>
      </c>
      <c r="Q703" s="12" t="n"/>
    </row>
    <row r="704">
      <c r="A704" s="3" t="inlineStr">
        <is>
          <t>1018607</t>
        </is>
      </c>
      <c r="B704" s="3" t="inlineStr">
        <is>
          <t>10186</t>
        </is>
      </c>
      <c r="C704" s="9" t="n">
        <v>31.48</v>
      </c>
      <c r="D704" s="3" t="inlineStr">
        <is>
          <t>Other sidings north</t>
        </is>
      </c>
      <c r="E704" s="10" t="n">
        <v>45677.36668981481</v>
      </c>
      <c r="F704" s="10" t="n">
        <v>45677.39861111111</v>
      </c>
      <c r="G704" s="10" t="n">
        <v>45677.40055555556</v>
      </c>
      <c r="H704" s="3" t="inlineStr">
        <is>
          <t>OBT210125032545-Neunkirchen (loading tracks)</t>
        </is>
      </c>
      <c r="I704" s="10" t="n">
        <v>45678.64737268518</v>
      </c>
      <c r="J704" s="10" t="n">
        <v>45678.6987037037</v>
      </c>
      <c r="K704" s="10" t="n">
        <v>45678.6987037037</v>
      </c>
      <c r="L704" s="10" t="n">
        <v>45678.69976851852</v>
      </c>
      <c r="M704" s="11">
        <f>IF(AND(ISNUMBER(E704),ISNUMBER(G704)),(G704-E704),"")</f>
        <v/>
      </c>
      <c r="N704" s="11">
        <f>IF(AND(ISNUMBER(G704),ISNUMBER(L704)),(L704-G704),"")</f>
        <v/>
      </c>
      <c r="O704" s="10" t="n">
        <v>45677.40447916667</v>
      </c>
      <c r="P704" s="11">
        <f>IF(AND(ISNUMBER(I704),ISNUMBER(O704)),(I704-O704),"")</f>
        <v/>
      </c>
      <c r="Q704" s="12" t="inlineStr">
        <is>
          <t>WG 1018607 entered track and got coupled to WG 1018306 then waited 6:02:17 for WG 1019103 to get coupled then waited 0:14:50 for WG 1019109 to get coupled then waited 11:18:15 for WG 1019602 to get coupled then waited 0:07:56 for WG 1019605 to get coupled, OBTP started on 15:32:13 finished on 16:46:08 and then left at 16:47:40</t>
        </is>
      </c>
    </row>
    <row r="705">
      <c r="A705" s="3" t="inlineStr">
        <is>
          <t>1018608</t>
        </is>
      </c>
      <c r="B705" s="3" t="inlineStr">
        <is>
          <t>10186</t>
        </is>
      </c>
      <c r="C705" s="9" t="n">
        <v>19.9</v>
      </c>
      <c r="D705" s="3" t="inlineStr">
        <is>
          <t>Wr. Neustadt Ausfahrbf (Furtenbach)</t>
        </is>
      </c>
      <c r="E705" s="10" t="n">
        <v>45677.36668981481</v>
      </c>
      <c r="F705" s="10" t="n">
        <v>45677.40055555556</v>
      </c>
      <c r="G705" s="10" t="n">
        <v>45677.40184027778</v>
      </c>
      <c r="H705" s="3" t="inlineStr">
        <is>
          <t>OBT220125180607-Wr. Neustadt Ausfahrbf (Furtenbach)</t>
        </is>
      </c>
      <c r="I705" s="10" t="n">
        <v>45680.67324074074</v>
      </c>
      <c r="J705" s="10" t="n">
        <v>45680.70087962963</v>
      </c>
      <c r="K705" s="10" t="n">
        <v>45680.70087962963</v>
      </c>
      <c r="L705" s="10" t="n">
        <v>45680.70167824074</v>
      </c>
      <c r="M705" s="11">
        <f>IF(AND(ISNUMBER(E705),ISNUMBER(G705)),(G705-E705),"")</f>
        <v/>
      </c>
      <c r="N705" s="11">
        <f>IF(AND(ISNUMBER(G705),ISNUMBER(L705)),(L705-G705),"")</f>
        <v/>
      </c>
      <c r="O705" s="10" t="n">
        <v>45677.40401620371</v>
      </c>
      <c r="P705" s="11">
        <f>IF(AND(ISNUMBER(I705),ISNUMBER(O705)),(I705-O705),"")</f>
        <v/>
      </c>
      <c r="Q705" s="12" t="inlineStr">
        <is>
          <t>WG 1018608 entered track and got secured then waited 6:04:50 for WG 1019105 to get coupled then waited 16:01:31 for WG 1019802 to get coupled then waited 1:36:52 for WG 1020101 to get coupled then waited 32:41:07 for WG 1021904 to get coupled, OBTP started on 16:09:28 finished on 16:49:16 and then left at 16:50:25</t>
        </is>
      </c>
    </row>
    <row r="706">
      <c r="A706" s="3" t="inlineStr">
        <is>
          <t>1018609</t>
        </is>
      </c>
      <c r="B706" s="3" t="inlineStr">
        <is>
          <t>10186</t>
        </is>
      </c>
      <c r="C706" s="9" t="n">
        <v>28</v>
      </c>
      <c r="D706" s="3" t="inlineStr">
        <is>
          <t>Wr. Neustadt (Brenntag)</t>
        </is>
      </c>
      <c r="E706" s="10" t="n">
        <v>45677.36668981481</v>
      </c>
      <c r="F706" s="10" t="n"/>
      <c r="G706" s="10" t="n"/>
      <c r="H706" s="3" t="n"/>
      <c r="I706" s="10" t="n"/>
      <c r="J706" s="10" t="n"/>
      <c r="K706" s="10" t="n"/>
      <c r="L706" s="10" t="n"/>
      <c r="M706" s="11">
        <f>IF(AND(ISNUMBER(E706),ISNUMBER(G706)),(G706-E706),"")</f>
        <v/>
      </c>
      <c r="N706" s="11">
        <f>IF(AND(ISNUMBER(G706),ISNUMBER(L706)),(L706-G706),"")</f>
        <v/>
      </c>
      <c r="O706" s="10" t="n"/>
      <c r="P706" s="11">
        <f>IF(AND(ISNUMBER(I706),ISNUMBER(O706)),(I706-O706),"")</f>
        <v/>
      </c>
      <c r="Q706" s="12" t="n"/>
    </row>
    <row r="707">
      <c r="A707" s="3" t="inlineStr">
        <is>
          <t>1018610</t>
        </is>
      </c>
      <c r="B707" s="3" t="inlineStr">
        <is>
          <t>10186</t>
        </is>
      </c>
      <c r="C707" s="9" t="n">
        <v>15.74</v>
      </c>
      <c r="D707" s="3" t="inlineStr">
        <is>
          <t>Steinabrückl/Wöllersdorf</t>
        </is>
      </c>
      <c r="E707" s="10" t="n">
        <v>45677.36668981481</v>
      </c>
      <c r="F707" s="10" t="n">
        <v>45677.40184027778</v>
      </c>
      <c r="G707" s="10" t="n">
        <v>45677.40359953704</v>
      </c>
      <c r="H707" s="3" t="inlineStr">
        <is>
          <t>OBT200125155402-Pitten (Hamburger)</t>
        </is>
      </c>
      <c r="I707" s="10" t="n">
        <v>45678.4019212963</v>
      </c>
      <c r="J707" s="10" t="n">
        <v>45678.42626157407</v>
      </c>
      <c r="K707" s="10" t="n">
        <v>45678.42626157407</v>
      </c>
      <c r="L707" s="10" t="n">
        <v>45678.42711805556</v>
      </c>
      <c r="M707" s="11">
        <f>IF(AND(ISNUMBER(E707),ISNUMBER(G707)),(G707-E707),"")</f>
        <v/>
      </c>
      <c r="N707" s="11">
        <f>IF(AND(ISNUMBER(G707),ISNUMBER(L707)),(L707-G707),"")</f>
        <v/>
      </c>
      <c r="O707" s="10" t="n">
        <v>45677.40752314815</v>
      </c>
      <c r="P707" s="11">
        <f>IF(AND(ISNUMBER(I707),ISNUMBER(O707)),(I707-O707),"")</f>
        <v/>
      </c>
      <c r="Q707" s="12" t="inlineStr">
        <is>
          <t>WG 1018610 entered track and got coupled to WG 1018601 then waited 6:04:29 for WG 1019106 to get coupled then waited 0:02:43 for WG 1019107 to get coupled, OBTP started on 09:38:46 finished on 10:13:49 and then left at 10:15:03</t>
        </is>
      </c>
    </row>
    <row r="708">
      <c r="A708" s="3" t="inlineStr">
        <is>
          <t>1018611</t>
        </is>
      </c>
      <c r="B708" s="3" t="inlineStr">
        <is>
          <t>10186</t>
        </is>
      </c>
      <c r="C708" s="9" t="n">
        <v>43.14</v>
      </c>
      <c r="D708" s="3" t="inlineStr">
        <is>
          <t>Other sidings south</t>
        </is>
      </c>
      <c r="E708" s="10" t="n">
        <v>45677.36668981481</v>
      </c>
      <c r="F708" s="10" t="n">
        <v>45677.40359953704</v>
      </c>
      <c r="G708" s="10" t="n">
        <v>45677.40561342592</v>
      </c>
      <c r="H708" s="3" t="inlineStr">
        <is>
          <t>OBT200125094944-Neudörfl (FunderMax)</t>
        </is>
      </c>
      <c r="I708" s="10" t="n">
        <v>45678.28607638889</v>
      </c>
      <c r="J708" s="10" t="n">
        <v>45678.30972222222</v>
      </c>
      <c r="K708" s="10" t="n">
        <v>45678.30972222222</v>
      </c>
      <c r="L708" s="10" t="n">
        <v>45678.31057870371</v>
      </c>
      <c r="M708" s="11">
        <f>IF(AND(ISNUMBER(E708),ISNUMBER(G708)),(G708-E708),"")</f>
        <v/>
      </c>
      <c r="N708" s="11">
        <f>IF(AND(ISNUMBER(G708),ISNUMBER(L708)),(L708-G708),"")</f>
        <v/>
      </c>
      <c r="O708" s="10" t="n">
        <v>45677.40953703703</v>
      </c>
      <c r="P708" s="11">
        <f>IF(AND(ISNUMBER(I708),ISNUMBER(O708)),(I708-O708),"")</f>
        <v/>
      </c>
      <c r="Q708" s="12" t="inlineStr">
        <is>
          <t>WG 1018611 entered track and got coupled to WG 1018605, OBTP started on 06:51:57 finished on 07:26:00 and then left at 07:27:14</t>
        </is>
      </c>
    </row>
    <row r="709">
      <c r="A709" s="3" t="inlineStr">
        <is>
          <t>1018612</t>
        </is>
      </c>
      <c r="B709" s="3" t="inlineStr">
        <is>
          <t>10186</t>
        </is>
      </c>
      <c r="C709" s="9" t="n">
        <v>19.9</v>
      </c>
      <c r="D709" s="3" t="inlineStr">
        <is>
          <t>Ternitz (Schoeller-Bleckmann)</t>
        </is>
      </c>
      <c r="E709" s="10" t="n">
        <v>45677.36668981481</v>
      </c>
      <c r="F709" s="10" t="n">
        <v>45677.40561342592</v>
      </c>
      <c r="G709" s="10" t="n">
        <v>45677.40758101852</v>
      </c>
      <c r="H709" s="3" t="inlineStr">
        <is>
          <t>OBT210125075153-Pitten (Hamburger)</t>
        </is>
      </c>
      <c r="I709" s="10" t="n">
        <v>45679.12300925926</v>
      </c>
      <c r="J709" s="10" t="n">
        <v>45679.14331018519</v>
      </c>
      <c r="K709" s="10" t="n">
        <v>45679.14331018519</v>
      </c>
      <c r="L709" s="10" t="n">
        <v>45679.14412037037</v>
      </c>
      <c r="M709" s="11">
        <f>IF(AND(ISNUMBER(E709),ISNUMBER(G709)),(G709-E709),"")</f>
        <v/>
      </c>
      <c r="N709" s="11">
        <f>IF(AND(ISNUMBER(G709),ISNUMBER(L709)),(L709-G709),"")</f>
        <v/>
      </c>
      <c r="O709" s="10" t="n">
        <v>45677.40994212963</v>
      </c>
      <c r="P709" s="11">
        <f>IF(AND(ISNUMBER(I709),ISNUMBER(O709)),(I709-O709),"")</f>
        <v/>
      </c>
      <c r="Q709" s="12" t="inlineStr">
        <is>
          <t>WG 1018612 entered track and got secured then waited 17:32:03 for WG 1019604 to get coupled then waited 4:29:31 for WG 1019804 to get coupled, OBTP started on 02:57:08 finished on 03:26:22 and then left at 03:27:32</t>
        </is>
      </c>
    </row>
    <row r="710">
      <c r="A710" s="3" t="inlineStr">
        <is>
          <t>1018613</t>
        </is>
      </c>
      <c r="B710" s="3" t="inlineStr">
        <is>
          <t>10186</t>
        </is>
      </c>
      <c r="C710" s="9" t="n">
        <v>39.8</v>
      </c>
      <c r="D710" s="3" t="inlineStr">
        <is>
          <t>Neunkirchen (loading tracks)</t>
        </is>
      </c>
      <c r="E710" s="10" t="n">
        <v>45677.36668981481</v>
      </c>
      <c r="F710" s="10" t="n"/>
      <c r="G710" s="10" t="n"/>
      <c r="H710" s="3" t="n"/>
      <c r="I710" s="10" t="n"/>
      <c r="J710" s="10" t="n"/>
      <c r="K710" s="10" t="n"/>
      <c r="L710" s="10" t="n"/>
      <c r="M710" s="11">
        <f>IF(AND(ISNUMBER(E710),ISNUMBER(G710)),(G710-E710),"")</f>
        <v/>
      </c>
      <c r="N710" s="11">
        <f>IF(AND(ISNUMBER(G710),ISNUMBER(L710)),(L710-G710),"")</f>
        <v/>
      </c>
      <c r="O710" s="10" t="n"/>
      <c r="P710" s="11">
        <f>IF(AND(ISNUMBER(I710),ISNUMBER(O710)),(I710-O710),"")</f>
        <v/>
      </c>
      <c r="Q710" s="12" t="n"/>
    </row>
    <row r="711">
      <c r="A711" s="3" t="inlineStr">
        <is>
          <t>1018701</t>
        </is>
      </c>
      <c r="B711" s="3" t="inlineStr">
        <is>
          <t>10187</t>
        </is>
      </c>
      <c r="C711" s="9" t="n">
        <v>240.8</v>
      </c>
      <c r="D711" s="3" t="inlineStr">
        <is>
          <t>Wien Kledering</t>
        </is>
      </c>
      <c r="E711" s="10" t="n">
        <v>45677.37642361111</v>
      </c>
      <c r="F711" s="10" t="n"/>
      <c r="G711" s="10" t="n"/>
      <c r="H711" s="3" t="n"/>
      <c r="I711" s="10" t="n"/>
      <c r="J711" s="10" t="n"/>
      <c r="K711" s="10" t="n"/>
      <c r="L711" s="10" t="n"/>
      <c r="M711" s="11">
        <f>IF(AND(ISNUMBER(E711),ISNUMBER(G711)),(G711-E711),"")</f>
        <v/>
      </c>
      <c r="N711" s="11">
        <f>IF(AND(ISNUMBER(G711),ISNUMBER(L711)),(L711-G711),"")</f>
        <v/>
      </c>
      <c r="O711" s="10" t="n"/>
      <c r="P711" s="11">
        <f>IF(AND(ISNUMBER(I711),ISNUMBER(O711)),(I711-O711),"")</f>
        <v/>
      </c>
      <c r="Q711" s="12" t="n"/>
    </row>
    <row r="712">
      <c r="A712" s="3" t="inlineStr">
        <is>
          <t>1018702</t>
        </is>
      </c>
      <c r="B712" s="3" t="inlineStr">
        <is>
          <t>10187</t>
        </is>
      </c>
      <c r="C712" s="9" t="n">
        <v>145.6</v>
      </c>
      <c r="D712" s="3" t="inlineStr">
        <is>
          <t>St. Veit an der Glan</t>
        </is>
      </c>
      <c r="E712" s="10" t="n">
        <v>45677.37642361111</v>
      </c>
      <c r="F712" s="10" t="n">
        <v>45677.38413194445</v>
      </c>
      <c r="G712" s="10" t="n">
        <v>45677.38555555556</v>
      </c>
      <c r="H712" s="3" t="inlineStr">
        <is>
          <t>OBT200125091839-St. Veit an der Glan</t>
        </is>
      </c>
      <c r="I712" s="10" t="n">
        <v>45677.88935185185</v>
      </c>
      <c r="J712" s="10" t="n">
        <v>45677.91462962963</v>
      </c>
      <c r="K712" s="10" t="n">
        <v>45677.91462962963</v>
      </c>
      <c r="L712" s="10" t="n">
        <v>45677.91542824074</v>
      </c>
      <c r="M712" s="11">
        <f>IF(AND(ISNUMBER(E712),ISNUMBER(G712)),(G712-E712),"")</f>
        <v/>
      </c>
      <c r="N712" s="11">
        <f>IF(AND(ISNUMBER(G712),ISNUMBER(L712)),(L712-G712),"")</f>
        <v/>
      </c>
      <c r="O712" s="10" t="n">
        <v>45677.38795138889</v>
      </c>
      <c r="P712" s="11">
        <f>IF(AND(ISNUMBER(I712),ISNUMBER(O712)),(I712-O712),"")</f>
        <v/>
      </c>
      <c r="Q712" s="12" t="inlineStr">
        <is>
          <t>WG 1018702 entered track and got secured, OBTP started on 21:20:40 finished on 21:57:04 and then left at 21:58:13</t>
        </is>
      </c>
    </row>
    <row r="713">
      <c r="A713" s="3" t="inlineStr">
        <is>
          <t>1018801</t>
        </is>
      </c>
      <c r="B713" s="3" t="inlineStr">
        <is>
          <t>10188</t>
        </is>
      </c>
      <c r="C713" s="9" t="n">
        <v>144.8</v>
      </c>
      <c r="D713" s="3" t="inlineStr">
        <is>
          <t>Wien Kledering</t>
        </is>
      </c>
      <c r="E713" s="10" t="n">
        <v>45677.44216435185</v>
      </c>
      <c r="F713" s="10" t="n">
        <v>45677.45043981481</v>
      </c>
      <c r="G713" s="10" t="n">
        <v>45677.45189814815</v>
      </c>
      <c r="H713" s="3" t="inlineStr">
        <is>
          <t>OBT200125105804-Wien Kledering</t>
        </is>
      </c>
      <c r="I713" s="10" t="n">
        <v>45678.31637731481</v>
      </c>
      <c r="J713" s="10" t="n">
        <v>45678.34516203704</v>
      </c>
      <c r="K713" s="10" t="n">
        <v>45678.34516203704</v>
      </c>
      <c r="L713" s="10" t="n">
        <v>45678.34601851852</v>
      </c>
      <c r="M713" s="11">
        <f>IF(AND(ISNUMBER(E713),ISNUMBER(G713)),(G713-E713),"")</f>
        <v/>
      </c>
      <c r="N713" s="11">
        <f>IF(AND(ISNUMBER(G713),ISNUMBER(L713)),(L713-G713),"")</f>
        <v/>
      </c>
      <c r="O713" s="10" t="n">
        <v>45677.45425925926</v>
      </c>
      <c r="P713" s="11">
        <f>IF(AND(ISNUMBER(I713),ISNUMBER(O713)),(I713-O713),"")</f>
        <v/>
      </c>
      <c r="Q713" s="12" t="inlineStr">
        <is>
          <t>WG 1018801 entered track and got secured then waited 0:03:56 for WG 1018802 to get coupled, OBTP started on 07:35:35 finished on 08:17:02 and then left at 08:18:16</t>
        </is>
      </c>
    </row>
    <row r="714">
      <c r="A714" s="3" t="inlineStr">
        <is>
          <t>1018802</t>
        </is>
      </c>
      <c r="B714" s="3" t="inlineStr">
        <is>
          <t>10188</t>
        </is>
      </c>
      <c r="C714" s="9" t="n">
        <v>21</v>
      </c>
      <c r="D714" s="3" t="inlineStr">
        <is>
          <t>St. Veit an der Glan</t>
        </is>
      </c>
      <c r="E714" s="10" t="n">
        <v>45677.44216435185</v>
      </c>
      <c r="F714" s="10" t="n">
        <v>45677.45189814815</v>
      </c>
      <c r="G714" s="10" t="n">
        <v>45677.45306712963</v>
      </c>
      <c r="H714" s="3" t="inlineStr">
        <is>
          <t>OBT200125105804-Wien Kledering</t>
        </is>
      </c>
      <c r="I714" s="10" t="n">
        <v>45678.31637731481</v>
      </c>
      <c r="J714" s="10" t="n">
        <v>45678.34516203704</v>
      </c>
      <c r="K714" s="10" t="n">
        <v>45678.34516203704</v>
      </c>
      <c r="L714" s="10" t="n">
        <v>45678.34601851852</v>
      </c>
      <c r="M714" s="11">
        <f>IF(AND(ISNUMBER(E714),ISNUMBER(G714)),(G714-E714),"")</f>
        <v/>
      </c>
      <c r="N714" s="11">
        <f>IF(AND(ISNUMBER(G714),ISNUMBER(L714)),(L714-G714),"")</f>
        <v/>
      </c>
      <c r="O714" s="10" t="n">
        <v>45677.45699074074</v>
      </c>
      <c r="P714" s="11">
        <f>IF(AND(ISNUMBER(I714),ISNUMBER(O714)),(I714-O714),"")</f>
        <v/>
      </c>
      <c r="Q714" s="12" t="inlineStr">
        <is>
          <t>WG 1018802 entered track and got coupled to WG 1018801, OBTP started on 07:35:35 finished on 08:17:02 and then left at 08:18:16</t>
        </is>
      </c>
    </row>
    <row r="715">
      <c r="A715" s="3" t="inlineStr">
        <is>
          <t>1018803</t>
        </is>
      </c>
      <c r="B715" s="3" t="inlineStr">
        <is>
          <t>10188</t>
        </is>
      </c>
      <c r="C715" s="9" t="n">
        <v>153.88</v>
      </c>
      <c r="D715" s="3" t="inlineStr">
        <is>
          <t>Wien Kledering</t>
        </is>
      </c>
      <c r="E715" s="10" t="n">
        <v>45677.44216435185</v>
      </c>
      <c r="F715" s="10" t="n">
        <v>45677.45306712963</v>
      </c>
      <c r="G715" s="10" t="n">
        <v>45677.45511574074</v>
      </c>
      <c r="H715" s="3" t="inlineStr">
        <is>
          <t>OBT200125105846-Wien Kledering</t>
        </is>
      </c>
      <c r="I715" s="10" t="n">
        <v>45678.33471064815</v>
      </c>
      <c r="J715" s="10" t="n">
        <v>45678.36142361111</v>
      </c>
      <c r="K715" s="10" t="n">
        <v>45678.36142361111</v>
      </c>
      <c r="L715" s="10" t="n">
        <v>45678.36229166666</v>
      </c>
      <c r="M715" s="11">
        <f>IF(AND(ISNUMBER(E715),ISNUMBER(G715)),(G715-E715),"")</f>
        <v/>
      </c>
      <c r="N715" s="11">
        <f>IF(AND(ISNUMBER(G715),ISNUMBER(L715)),(L715-G715),"")</f>
        <v/>
      </c>
      <c r="O715" s="10" t="n">
        <v>45677.45747685185</v>
      </c>
      <c r="P715" s="11">
        <f>IF(AND(ISNUMBER(I715),ISNUMBER(O715)),(I715-O715),"")</f>
        <v/>
      </c>
      <c r="Q715" s="12" t="inlineStr">
        <is>
          <t>WG 1018803 entered track and got secured, OBTP started on 08:01:59 finished on 08:40:27 and then left at 08:41:42</t>
        </is>
      </c>
    </row>
    <row r="716">
      <c r="A716" s="3" t="inlineStr">
        <is>
          <t>1018901</t>
        </is>
      </c>
      <c r="B716" s="3" t="inlineStr">
        <is>
          <t>10189</t>
        </is>
      </c>
      <c r="C716" s="9" t="n">
        <v>104.96</v>
      </c>
      <c r="D716" s="3" t="inlineStr">
        <is>
          <t>Wien Kledering</t>
        </is>
      </c>
      <c r="E716" s="10" t="n">
        <v>45677.53254629629</v>
      </c>
      <c r="F716" s="10" t="n">
        <v>45677.53708333334</v>
      </c>
      <c r="G716" s="10" t="n">
        <v>45677.53920138889</v>
      </c>
      <c r="H716" s="3" t="inlineStr">
        <is>
          <t>OBT200125125954-Wien Kledering</t>
        </is>
      </c>
      <c r="I716" s="10" t="n">
        <v>45678.3405324074</v>
      </c>
      <c r="J716" s="10" t="n">
        <v>45678.35875</v>
      </c>
      <c r="K716" s="10" t="n">
        <v>45678.35875</v>
      </c>
      <c r="L716" s="10" t="n">
        <v>45678.35938657408</v>
      </c>
      <c r="M716" s="11">
        <f>IF(AND(ISNUMBER(E716),ISNUMBER(G716)),(G716-E716),"")</f>
        <v/>
      </c>
      <c r="N716" s="11">
        <f>IF(AND(ISNUMBER(G716),ISNUMBER(L716)),(L716-G716),"")</f>
        <v/>
      </c>
      <c r="O716" s="10" t="n">
        <v>45677.54159722223</v>
      </c>
      <c r="P716" s="11">
        <f>IF(AND(ISNUMBER(I716),ISNUMBER(O716)),(I716-O716),"")</f>
        <v/>
      </c>
      <c r="Q716" s="12" t="inlineStr">
        <is>
          <t>WG 1018901 entered track and got secured, OBTP started on 08:10:22 finished on 08:36:36 and then left at 08:37:31</t>
        </is>
      </c>
    </row>
    <row r="717">
      <c r="A717" s="3" t="inlineStr">
        <is>
          <t>1019001</t>
        </is>
      </c>
      <c r="B717" s="3" t="inlineStr">
        <is>
          <t>10190</t>
        </is>
      </c>
      <c r="C717" s="9" t="n">
        <v>389.0600000000001</v>
      </c>
      <c r="D717" s="3" t="inlineStr">
        <is>
          <t>Wien Kledering</t>
        </is>
      </c>
      <c r="E717" s="10" t="n">
        <v>45677.60184027778</v>
      </c>
      <c r="F717" s="10" t="n">
        <v>45677.60847222222</v>
      </c>
      <c r="G717" s="10" t="n">
        <v>45677.61094907407</v>
      </c>
      <c r="H717" s="3" t="inlineStr">
        <is>
          <t>OBT200125144313-Wien Kledering</t>
        </is>
      </c>
      <c r="I717" s="10" t="n">
        <v>45678.38799768518</v>
      </c>
      <c r="J717" s="10" t="n">
        <v>45678.45554398148</v>
      </c>
      <c r="K717" s="10" t="n">
        <v>45678.45554398148</v>
      </c>
      <c r="L717" s="10" t="n">
        <v>45678.45703703703</v>
      </c>
      <c r="M717" s="11">
        <f>IF(AND(ISNUMBER(E717),ISNUMBER(G717)),(G717-E717),"")</f>
        <v/>
      </c>
      <c r="N717" s="11">
        <f>IF(AND(ISNUMBER(G717),ISNUMBER(L717)),(L717-G717),"")</f>
        <v/>
      </c>
      <c r="O717" s="10" t="n">
        <v>45677.6133449074</v>
      </c>
      <c r="P717" s="11">
        <f>IF(AND(ISNUMBER(I717),ISNUMBER(O717)),(I717-O717),"")</f>
        <v/>
      </c>
      <c r="Q717" s="12" t="inlineStr">
        <is>
          <t>WG 1019001 entered track and got secured, OBTP started on 09:18:43 finished on 10:55:59 and then left at 10:58:08</t>
        </is>
      </c>
    </row>
    <row r="718">
      <c r="A718" s="3" t="inlineStr">
        <is>
          <t>1019101</t>
        </is>
      </c>
      <c r="B718" s="3" t="inlineStr">
        <is>
          <t>10191</t>
        </is>
      </c>
      <c r="C718" s="9" t="n">
        <v>19.9</v>
      </c>
      <c r="D718" s="3" t="inlineStr">
        <is>
          <t>Felixdorf/Sollenau (Bundesheer, Maba)</t>
        </is>
      </c>
      <c r="E718" s="10" t="n">
        <v>45677.63211805555</v>
      </c>
      <c r="F718" s="10" t="n">
        <v>45677.64829861111</v>
      </c>
      <c r="G718" s="10" t="n">
        <v>45677.64981481482</v>
      </c>
      <c r="H718" s="3" t="inlineStr">
        <is>
          <t>OBT220125180146-Felixdorf/Sollenau (Bundesheer, Maba)</t>
        </is>
      </c>
      <c r="I718" s="10" t="n">
        <v>45680.65077546296</v>
      </c>
      <c r="J718" s="10" t="n">
        <v>45680.67150462963</v>
      </c>
      <c r="K718" s="10" t="n">
        <v>45680.67150462963</v>
      </c>
      <c r="L718" s="10" t="n">
        <v>45680.67232638889</v>
      </c>
      <c r="M718" s="11">
        <f>IF(AND(ISNUMBER(E718),ISNUMBER(G718)),(G718-E718),"")</f>
        <v/>
      </c>
      <c r="N718" s="11">
        <f>IF(AND(ISNUMBER(G718),ISNUMBER(L718)),(L718-G718),"")</f>
        <v/>
      </c>
      <c r="O718" s="10" t="n">
        <v>45677.65373842593</v>
      </c>
      <c r="P718" s="11">
        <f>IF(AND(ISNUMBER(I718),ISNUMBER(O718)),(I718-O718),"")</f>
        <v/>
      </c>
      <c r="Q718" s="12" t="inlineStr">
        <is>
          <t>WG 1019101 entered track and got coupled to WG 1017407 then waited 23:30:38 for WG 1020502 to get coupled then waited 18:47:48 for WG 1021507 to get coupled then waited 8:01:57 for WG 1021902 to get coupled, OBTP started on 15:37:07 finished on 16:06:58 and then left at 16:08:09</t>
        </is>
      </c>
    </row>
    <row r="719">
      <c r="A719" s="3" t="inlineStr">
        <is>
          <t>1019102</t>
        </is>
      </c>
      <c r="B719" s="3" t="inlineStr">
        <is>
          <t>10191</t>
        </is>
      </c>
      <c r="C719" s="9" t="n">
        <v>19.9</v>
      </c>
      <c r="D719" s="3" t="inlineStr">
        <is>
          <t>Neudörfl (FunderMax)</t>
        </is>
      </c>
      <c r="E719" s="10" t="n">
        <v>45677.63211805555</v>
      </c>
      <c r="F719" s="10" t="n">
        <v>45677.64981481482</v>
      </c>
      <c r="G719" s="10" t="n">
        <v>45677.65177083333</v>
      </c>
      <c r="H719" s="3" t="inlineStr">
        <is>
          <t>OBT210125080256-Neudörfl (FunderMax)</t>
        </is>
      </c>
      <c r="I719" s="10" t="n">
        <v>45679.20344907408</v>
      </c>
      <c r="J719" s="10" t="n">
        <v>45679.22378472222</v>
      </c>
      <c r="K719" s="10" t="n">
        <v>45679.22378472222</v>
      </c>
      <c r="L719" s="10" t="n">
        <v>45679.22459490741</v>
      </c>
      <c r="M719" s="11">
        <f>IF(AND(ISNUMBER(E719),ISNUMBER(G719)),(G719-E719),"")</f>
        <v/>
      </c>
      <c r="N719" s="11">
        <f>IF(AND(ISNUMBER(G719),ISNUMBER(L719)),(L719-G719),"")</f>
        <v/>
      </c>
      <c r="O719" s="10" t="n">
        <v>45677.65414351852</v>
      </c>
      <c r="P719" s="11">
        <f>IF(AND(ISNUMBER(I719),ISNUMBER(O719)),(I719-O719),"")</f>
        <v/>
      </c>
      <c r="Q719" s="12" t="inlineStr">
        <is>
          <t>WG 1019102 entered track and got secured then waited 16:20:58 for WG 1019809 to get coupled, OBTP started on 04:52:58 finished on 05:22:15 and then left at 05:23:25</t>
        </is>
      </c>
    </row>
    <row r="720">
      <c r="A720" s="3" t="inlineStr">
        <is>
          <t>1019103</t>
        </is>
      </c>
      <c r="B720" s="3" t="inlineStr">
        <is>
          <t>10191</t>
        </is>
      </c>
      <c r="C720" s="9" t="n">
        <v>19.9</v>
      </c>
      <c r="D720" s="3" t="inlineStr">
        <is>
          <t>Neunkirchen (loading tracks)</t>
        </is>
      </c>
      <c r="E720" s="10" t="n">
        <v>45677.63211805555</v>
      </c>
      <c r="F720" s="10" t="n">
        <v>45677.65177083333</v>
      </c>
      <c r="G720" s="10" t="n">
        <v>45677.65369212963</v>
      </c>
      <c r="H720" s="3" t="inlineStr">
        <is>
          <t>OBT210125032545-Neunkirchen (loading tracks)</t>
        </is>
      </c>
      <c r="I720" s="10" t="n">
        <v>45678.64737268518</v>
      </c>
      <c r="J720" s="10" t="n">
        <v>45678.6987037037</v>
      </c>
      <c r="K720" s="10" t="n">
        <v>45678.6987037037</v>
      </c>
      <c r="L720" s="10" t="n">
        <v>45678.69976851852</v>
      </c>
      <c r="M720" s="11">
        <f>IF(AND(ISNUMBER(E720),ISNUMBER(G720)),(G720-E720),"")</f>
        <v/>
      </c>
      <c r="N720" s="11">
        <f>IF(AND(ISNUMBER(G720),ISNUMBER(L720)),(L720-G720),"")</f>
        <v/>
      </c>
      <c r="O720" s="10" t="n">
        <v>45677.65606481482</v>
      </c>
      <c r="P720" s="11">
        <f>IF(AND(ISNUMBER(I720),ISNUMBER(O720)),(I720-O720),"")</f>
        <v/>
      </c>
      <c r="Q720" s="12" t="inlineStr">
        <is>
          <t>WG 1019103 entered track and got secured then waited 0:14:50 for WG 1019109 to get coupled then waited 11:18:15 for WG 1019602 to get coupled then waited 0:07:56 for WG 1019605 to get coupled, OBTP started on 15:32:13 finished on 16:46:08 and then left at 16:47:40</t>
        </is>
      </c>
    </row>
    <row r="721">
      <c r="A721" s="3" t="inlineStr">
        <is>
          <t>1019104</t>
        </is>
      </c>
      <c r="B721" s="3" t="inlineStr">
        <is>
          <t>10191</t>
        </is>
      </c>
      <c r="C721" s="9" t="n">
        <v>81</v>
      </c>
      <c r="D721" s="3" t="inlineStr">
        <is>
          <t>Wr. Neustadt (Hödlmayr)</t>
        </is>
      </c>
      <c r="E721" s="10" t="n">
        <v>45677.63211805555</v>
      </c>
      <c r="F721" s="10" t="n"/>
      <c r="G721" s="10" t="n"/>
      <c r="H721" s="3" t="n"/>
      <c r="I721" s="10" t="n"/>
      <c r="J721" s="10" t="n"/>
      <c r="K721" s="10" t="n"/>
      <c r="L721" s="10" t="n"/>
      <c r="M721" s="11">
        <f>IF(AND(ISNUMBER(E721),ISNUMBER(G721)),(G721-E721),"")</f>
        <v/>
      </c>
      <c r="N721" s="11">
        <f>IF(AND(ISNUMBER(G721),ISNUMBER(L721)),(L721-G721),"")</f>
        <v/>
      </c>
      <c r="O721" s="10" t="n"/>
      <c r="P721" s="11">
        <f>IF(AND(ISNUMBER(I721),ISNUMBER(O721)),(I721-O721),"")</f>
        <v/>
      </c>
      <c r="Q721" s="12" t="n"/>
    </row>
    <row r="722">
      <c r="A722" s="3" t="inlineStr">
        <is>
          <t>1019105</t>
        </is>
      </c>
      <c r="B722" s="3" t="inlineStr">
        <is>
          <t>10191</t>
        </is>
      </c>
      <c r="C722" s="9" t="n">
        <v>19.9</v>
      </c>
      <c r="D722" s="3" t="inlineStr">
        <is>
          <t>Wr. Neustadt Ausfahrbf (Furtenbach)</t>
        </is>
      </c>
      <c r="E722" s="10" t="n">
        <v>45677.63211805555</v>
      </c>
      <c r="F722" s="10" t="n">
        <v>45677.65369212963</v>
      </c>
      <c r="G722" s="10" t="n">
        <v>45677.65497685185</v>
      </c>
      <c r="H722" s="3" t="inlineStr">
        <is>
          <t>OBT220125180607-Wr. Neustadt Ausfahrbf (Furtenbach)</t>
        </is>
      </c>
      <c r="I722" s="10" t="n">
        <v>45680.67324074074</v>
      </c>
      <c r="J722" s="10" t="n">
        <v>45680.70087962963</v>
      </c>
      <c r="K722" s="10" t="n">
        <v>45680.70087962963</v>
      </c>
      <c r="L722" s="10" t="n">
        <v>45680.70167824074</v>
      </c>
      <c r="M722" s="11">
        <f>IF(AND(ISNUMBER(E722),ISNUMBER(G722)),(G722-E722),"")</f>
        <v/>
      </c>
      <c r="N722" s="11">
        <f>IF(AND(ISNUMBER(G722),ISNUMBER(L722)),(L722-G722),"")</f>
        <v/>
      </c>
      <c r="O722" s="10" t="n">
        <v>45677.65737268519</v>
      </c>
      <c r="P722" s="11">
        <f>IF(AND(ISNUMBER(I722),ISNUMBER(O722)),(I722-O722),"")</f>
        <v/>
      </c>
      <c r="Q722" s="12" t="inlineStr">
        <is>
          <t>WG 1019105 entered track and got secured then waited 16:01:31 for WG 1019802 to get coupled then waited 1:36:52 for WG 1020101 to get coupled then waited 32:41:07 for WG 1021904 to get coupled, OBTP started on 16:09:28 finished on 16:49:16 and then left at 16:50:25</t>
        </is>
      </c>
    </row>
    <row r="723">
      <c r="A723" s="3" t="inlineStr">
        <is>
          <t>1019106</t>
        </is>
      </c>
      <c r="B723" s="3" t="inlineStr">
        <is>
          <t>10191</t>
        </is>
      </c>
      <c r="C723" s="9" t="n">
        <v>15.74</v>
      </c>
      <c r="D723" s="3" t="inlineStr">
        <is>
          <t>Steinabrückl/Wöllersdorf</t>
        </is>
      </c>
      <c r="E723" s="10" t="n">
        <v>45677.63211805555</v>
      </c>
      <c r="F723" s="10" t="n">
        <v>45677.65497685185</v>
      </c>
      <c r="G723" s="10" t="n">
        <v>45677.65673611111</v>
      </c>
      <c r="H723" s="3" t="inlineStr">
        <is>
          <t>OBT200125155402-Pitten (Hamburger)</t>
        </is>
      </c>
      <c r="I723" s="10" t="n">
        <v>45678.4019212963</v>
      </c>
      <c r="J723" s="10" t="n">
        <v>45678.42626157407</v>
      </c>
      <c r="K723" s="10" t="n">
        <v>45678.42626157407</v>
      </c>
      <c r="L723" s="10" t="n">
        <v>45678.42711805556</v>
      </c>
      <c r="M723" s="11">
        <f>IF(AND(ISNUMBER(E723),ISNUMBER(G723)),(G723-E723),"")</f>
        <v/>
      </c>
      <c r="N723" s="11">
        <f>IF(AND(ISNUMBER(G723),ISNUMBER(L723)),(L723-G723),"")</f>
        <v/>
      </c>
      <c r="O723" s="10" t="n">
        <v>45677.66063657407</v>
      </c>
      <c r="P723" s="11">
        <f>IF(AND(ISNUMBER(I723),ISNUMBER(O723)),(I723-O723),"")</f>
        <v/>
      </c>
      <c r="Q723" s="12" t="inlineStr">
        <is>
          <t>WG 1019106 entered track and got coupled to WG 1018610 then waited 0:02:43 for WG 1019107 to get coupled, OBTP started on 09:38:46 finished on 10:13:49 and then left at 10:15:03</t>
        </is>
      </c>
    </row>
    <row r="724">
      <c r="A724" s="3" t="inlineStr">
        <is>
          <t>1019107</t>
        </is>
      </c>
      <c r="B724" s="3" t="inlineStr">
        <is>
          <t>10191</t>
        </is>
      </c>
      <c r="C724" s="9" t="n">
        <v>62.22</v>
      </c>
      <c r="D724" s="3" t="inlineStr">
        <is>
          <t>Pitten (Hamburger)</t>
        </is>
      </c>
      <c r="E724" s="10" t="n">
        <v>45677.63211805555</v>
      </c>
      <c r="F724" s="10" t="n">
        <v>45677.65673611111</v>
      </c>
      <c r="G724" s="10" t="n">
        <v>45677.65859953704</v>
      </c>
      <c r="H724" s="3" t="inlineStr">
        <is>
          <t>OBT200125155402-Pitten (Hamburger)</t>
        </is>
      </c>
      <c r="I724" s="10" t="n">
        <v>45678.4019212963</v>
      </c>
      <c r="J724" s="10" t="n">
        <v>45678.42626157407</v>
      </c>
      <c r="K724" s="10" t="n">
        <v>45678.42626157407</v>
      </c>
      <c r="L724" s="10" t="n">
        <v>45678.42711805556</v>
      </c>
      <c r="M724" s="11">
        <f>IF(AND(ISNUMBER(E724),ISNUMBER(G724)),(G724-E724),"")</f>
        <v/>
      </c>
      <c r="N724" s="11">
        <f>IF(AND(ISNUMBER(G724),ISNUMBER(L724)),(L724-G724),"")</f>
        <v/>
      </c>
      <c r="O724" s="10" t="n">
        <v>45677.66252314814</v>
      </c>
      <c r="P724" s="11">
        <f>IF(AND(ISNUMBER(I724),ISNUMBER(O724)),(I724-O724),"")</f>
        <v/>
      </c>
      <c r="Q724" s="12" t="inlineStr">
        <is>
          <t>WG 1019107 entered track and got coupled to WG 1019106, OBTP started on 09:38:46 finished on 10:13:49 and then left at 10:15:03</t>
        </is>
      </c>
    </row>
    <row r="725">
      <c r="A725" s="3" t="inlineStr">
        <is>
          <t>1019108</t>
        </is>
      </c>
      <c r="B725" s="3" t="inlineStr">
        <is>
          <t>10191</t>
        </is>
      </c>
      <c r="C725" s="9" t="n">
        <v>15.74</v>
      </c>
      <c r="D725" s="3" t="inlineStr">
        <is>
          <t>Gloggnitz</t>
        </is>
      </c>
      <c r="E725" s="10" t="n">
        <v>45677.63211805555</v>
      </c>
      <c r="F725" s="10" t="n">
        <v>45677.65859953704</v>
      </c>
      <c r="G725" s="10" t="n">
        <v>45677.66050925926</v>
      </c>
      <c r="H725" s="3" t="inlineStr">
        <is>
          <t>OBT210125093910-Neudörfl (FunderMax)</t>
        </is>
      </c>
      <c r="I725" s="10" t="n">
        <v>45679.34151620371</v>
      </c>
      <c r="J725" s="10" t="n">
        <v>45679.36085648148</v>
      </c>
      <c r="K725" s="10" t="n">
        <v>45679.36085648148</v>
      </c>
      <c r="L725" s="10" t="n">
        <v>45679.36150462963</v>
      </c>
      <c r="M725" s="11">
        <f>IF(AND(ISNUMBER(E725),ISNUMBER(G725)),(G725-E725),"")</f>
        <v/>
      </c>
      <c r="N725" s="11">
        <f>IF(AND(ISNUMBER(G725),ISNUMBER(L725)),(L725-G725),"")</f>
        <v/>
      </c>
      <c r="O725" s="10" t="n">
        <v>45677.66287037037</v>
      </c>
      <c r="P725" s="11">
        <f>IF(AND(ISNUMBER(I725),ISNUMBER(O725)),(I725-O725),"")</f>
        <v/>
      </c>
      <c r="Q725" s="12" t="inlineStr">
        <is>
          <t>WG 1019108 entered track and got secured then waited 0:07:49 for WG 1019110 to get coupled then waited 11:12:37 for WG 1019601 to get coupled then waited 6:14:05 for WG 1020104 to get coupled then waited 0:10:07 for WG 1020108 to get coupled, OBTP started on 08:11:47 finished on 08:39:38 and then left at 08:40:34</t>
        </is>
      </c>
    </row>
    <row r="726">
      <c r="A726" s="3" t="inlineStr">
        <is>
          <t>1019109</t>
        </is>
      </c>
      <c r="B726" s="3" t="inlineStr">
        <is>
          <t>10191</t>
        </is>
      </c>
      <c r="C726" s="9" t="n">
        <v>31.48</v>
      </c>
      <c r="D726" s="3" t="inlineStr">
        <is>
          <t>Other sidings north</t>
        </is>
      </c>
      <c r="E726" s="10" t="n">
        <v>45677.63211805555</v>
      </c>
      <c r="F726" s="10" t="n">
        <v>45677.66050925926</v>
      </c>
      <c r="G726" s="10" t="n">
        <v>45677.66245370371</v>
      </c>
      <c r="H726" s="3" t="inlineStr">
        <is>
          <t>OBT210125032545-Neunkirchen (loading tracks)</t>
        </is>
      </c>
      <c r="I726" s="10" t="n">
        <v>45678.64737268518</v>
      </c>
      <c r="J726" s="10" t="n">
        <v>45678.6987037037</v>
      </c>
      <c r="K726" s="10" t="n">
        <v>45678.6987037037</v>
      </c>
      <c r="L726" s="10" t="n">
        <v>45678.69976851852</v>
      </c>
      <c r="M726" s="11">
        <f>IF(AND(ISNUMBER(E726),ISNUMBER(G726)),(G726-E726),"")</f>
        <v/>
      </c>
      <c r="N726" s="11">
        <f>IF(AND(ISNUMBER(G726),ISNUMBER(L726)),(L726-G726),"")</f>
        <v/>
      </c>
      <c r="O726" s="10" t="n">
        <v>45677.66636574074</v>
      </c>
      <c r="P726" s="11">
        <f>IF(AND(ISNUMBER(I726),ISNUMBER(O726)),(I726-O726),"")</f>
        <v/>
      </c>
      <c r="Q726" s="12" t="inlineStr">
        <is>
          <t>WG 1019109 entered track and got coupled to WG 1019103 then waited 11:18:15 for WG 1019602 to get coupled then waited 0:07:56 for WG 1019605 to get coupled, OBTP started on 15:32:13 finished on 16:46:08 and then left at 16:47:40</t>
        </is>
      </c>
    </row>
    <row r="727">
      <c r="A727" s="3" t="inlineStr">
        <is>
          <t>1019110</t>
        </is>
      </c>
      <c r="B727" s="3" t="inlineStr">
        <is>
          <t>10191</t>
        </is>
      </c>
      <c r="C727" s="9" t="n">
        <v>15.74</v>
      </c>
      <c r="D727" s="3" t="inlineStr">
        <is>
          <t>Gloggnitz</t>
        </is>
      </c>
      <c r="E727" s="10" t="n">
        <v>45677.63211805555</v>
      </c>
      <c r="F727" s="10" t="n">
        <v>45677.66245370371</v>
      </c>
      <c r="G727" s="10" t="n">
        <v>45677.664375</v>
      </c>
      <c r="H727" s="3" t="inlineStr">
        <is>
          <t>OBT210125093910-Neudörfl (FunderMax)</t>
        </is>
      </c>
      <c r="I727" s="10" t="n">
        <v>45679.34151620371</v>
      </c>
      <c r="J727" s="10" t="n">
        <v>45679.36085648148</v>
      </c>
      <c r="K727" s="10" t="n">
        <v>45679.36085648148</v>
      </c>
      <c r="L727" s="10" t="n">
        <v>45679.36150462963</v>
      </c>
      <c r="M727" s="11">
        <f>IF(AND(ISNUMBER(E727),ISNUMBER(G727)),(G727-E727),"")</f>
        <v/>
      </c>
      <c r="N727" s="11">
        <f>IF(AND(ISNUMBER(G727),ISNUMBER(L727)),(L727-G727),"")</f>
        <v/>
      </c>
      <c r="O727" s="10" t="n">
        <v>45677.66829861111</v>
      </c>
      <c r="P727" s="11">
        <f>IF(AND(ISNUMBER(I727),ISNUMBER(O727)),(I727-O727),"")</f>
        <v/>
      </c>
      <c r="Q727" s="12" t="inlineStr">
        <is>
          <t>WG 1019110 entered track and got coupled to WG 1019108 then waited 11:12:37 for WG 1019601 to get coupled then waited 6:14:05 for WG 1020104 to get coupled then waited 0:10:07 for WG 1020108 to get coupled, OBTP started on 08:11:47 finished on 08:39:38 and then left at 08:40:34</t>
        </is>
      </c>
    </row>
    <row r="728">
      <c r="A728" s="3" t="inlineStr">
        <is>
          <t>1019201</t>
        </is>
      </c>
      <c r="B728" s="3" t="inlineStr">
        <is>
          <t>10192</t>
        </is>
      </c>
      <c r="C728" s="9" t="n">
        <v>152.3</v>
      </c>
      <c r="D728" s="3" t="inlineStr">
        <is>
          <t>St. Veit an der Glan</t>
        </is>
      </c>
      <c r="E728" s="10" t="n">
        <v>45677.65913194444</v>
      </c>
      <c r="F728" s="10" t="n">
        <v>45677.66670138889</v>
      </c>
      <c r="G728" s="10" t="n">
        <v>45677.66814814815</v>
      </c>
      <c r="H728" s="3" t="inlineStr">
        <is>
          <t>OBT200125160533-St. Veit an der Glan</t>
        </is>
      </c>
      <c r="I728" s="10" t="n">
        <v>45678.43840277778</v>
      </c>
      <c r="J728" s="10" t="n">
        <v>45678.46484953703</v>
      </c>
      <c r="K728" s="10" t="n">
        <v>45678.46484953703</v>
      </c>
      <c r="L728" s="10" t="n">
        <v>45678.4656712963</v>
      </c>
      <c r="M728" s="11">
        <f>IF(AND(ISNUMBER(E728),ISNUMBER(G728)),(G728-E728),"")</f>
        <v/>
      </c>
      <c r="N728" s="11">
        <f>IF(AND(ISNUMBER(G728),ISNUMBER(L728)),(L728-G728),"")</f>
        <v/>
      </c>
      <c r="O728" s="10" t="n">
        <v>45677.67052083334</v>
      </c>
      <c r="P728" s="11">
        <f>IF(AND(ISNUMBER(I728),ISNUMBER(O728)),(I728-O728),"")</f>
        <v/>
      </c>
      <c r="Q728" s="12" t="inlineStr">
        <is>
          <t>WG 1019201 entered track and got secured, OBTP started on 10:31:18 finished on 11:09:23 and then left at 11:10:34</t>
        </is>
      </c>
    </row>
    <row r="729">
      <c r="A729" s="3" t="inlineStr">
        <is>
          <t>1019202</t>
        </is>
      </c>
      <c r="B729" s="3" t="inlineStr">
        <is>
          <t>10192</t>
        </is>
      </c>
      <c r="C729" s="9" t="n">
        <v>77.3</v>
      </c>
      <c r="D729" s="3" t="inlineStr">
        <is>
          <t>Wien Kledering</t>
        </is>
      </c>
      <c r="E729" s="10" t="n">
        <v>45677.65913194444</v>
      </c>
      <c r="F729" s="10" t="n"/>
      <c r="G729" s="10" t="n"/>
      <c r="H729" s="3" t="n"/>
      <c r="I729" s="10" t="n"/>
      <c r="J729" s="10" t="n"/>
      <c r="K729" s="10" t="n"/>
      <c r="L729" s="10" t="n"/>
      <c r="M729" s="11">
        <f>IF(AND(ISNUMBER(E729),ISNUMBER(G729)),(G729-E729),"")</f>
        <v/>
      </c>
      <c r="N729" s="11">
        <f>IF(AND(ISNUMBER(G729),ISNUMBER(L729)),(L729-G729),"")</f>
        <v/>
      </c>
      <c r="O729" s="10" t="n"/>
      <c r="P729" s="11">
        <f>IF(AND(ISNUMBER(I729),ISNUMBER(O729)),(I729-O729),"")</f>
        <v/>
      </c>
      <c r="Q729" s="12" t="n"/>
    </row>
    <row r="730">
      <c r="A730" s="3" t="inlineStr">
        <is>
          <t>1019301</t>
        </is>
      </c>
      <c r="B730" s="3" t="inlineStr">
        <is>
          <t>10193</t>
        </is>
      </c>
      <c r="C730" s="9" t="n">
        <v>110.18</v>
      </c>
      <c r="D730" s="3" t="inlineStr">
        <is>
          <t>Wien Kledering</t>
        </is>
      </c>
      <c r="E730" s="10" t="n">
        <v>45677.66042824074</v>
      </c>
      <c r="F730" s="10" t="n"/>
      <c r="G730" s="10" t="n"/>
      <c r="H730" s="3" t="n"/>
      <c r="I730" s="10" t="n"/>
      <c r="J730" s="10" t="n"/>
      <c r="K730" s="10" t="n"/>
      <c r="L730" s="10" t="n"/>
      <c r="M730" s="11">
        <f>IF(AND(ISNUMBER(E730),ISNUMBER(G730)),(G730-E730),"")</f>
        <v/>
      </c>
      <c r="N730" s="11">
        <f>IF(AND(ISNUMBER(G730),ISNUMBER(L730)),(L730-G730),"")</f>
        <v/>
      </c>
      <c r="O730" s="10" t="n"/>
      <c r="P730" s="11">
        <f>IF(AND(ISNUMBER(I730),ISNUMBER(O730)),(I730-O730),"")</f>
        <v/>
      </c>
      <c r="Q730" s="12" t="n"/>
    </row>
    <row r="731">
      <c r="A731" s="3" t="inlineStr">
        <is>
          <t>1019401</t>
        </is>
      </c>
      <c r="B731" s="3" t="inlineStr">
        <is>
          <t>10194</t>
        </is>
      </c>
      <c r="C731" s="9" t="n">
        <v>325.3600000000001</v>
      </c>
      <c r="D731" s="3" t="inlineStr">
        <is>
          <t>Wien Kledering</t>
        </is>
      </c>
      <c r="E731" s="10" t="n">
        <v>45677.71017361111</v>
      </c>
      <c r="F731" s="10" t="n">
        <v>45677.71633101852</v>
      </c>
      <c r="G731" s="10" t="n">
        <v>45677.71821759259</v>
      </c>
      <c r="H731" s="3" t="inlineStr">
        <is>
          <t>OBT200125171741-Wien Kledering</t>
        </is>
      </c>
      <c r="I731" s="10" t="n">
        <v>45678.6159375</v>
      </c>
      <c r="J731" s="10" t="n">
        <v>45678.67241898148</v>
      </c>
      <c r="K731" s="10" t="n">
        <v>45678.67241898148</v>
      </c>
      <c r="L731" s="10" t="n">
        <v>45678.67363425926</v>
      </c>
      <c r="M731" s="11">
        <f>IF(AND(ISNUMBER(E731),ISNUMBER(G731)),(G731-E731),"")</f>
        <v/>
      </c>
      <c r="N731" s="11">
        <f>IF(AND(ISNUMBER(G731),ISNUMBER(L731)),(L731-G731),"")</f>
        <v/>
      </c>
      <c r="O731" s="10" t="n">
        <v>45677.72061342592</v>
      </c>
      <c r="P731" s="11">
        <f>IF(AND(ISNUMBER(I731),ISNUMBER(O731)),(I731-O731),"")</f>
        <v/>
      </c>
      <c r="Q731" s="12" t="inlineStr">
        <is>
          <t>WG 1019401 entered track and got secured, OBTP started on 14:46:57 finished on 16:08:17 and then left at 16:10:02</t>
        </is>
      </c>
    </row>
    <row r="732">
      <c r="A732" s="3" t="inlineStr">
        <is>
          <t>1019501</t>
        </is>
      </c>
      <c r="B732" s="3" t="inlineStr">
        <is>
          <t>10195</t>
        </is>
      </c>
      <c r="C732" s="9" t="n">
        <v>398.0400000000001</v>
      </c>
      <c r="D732" s="3" t="inlineStr">
        <is>
          <t>Wien Kledering</t>
        </is>
      </c>
      <c r="E732" s="10" t="n">
        <v>45677.87789351852</v>
      </c>
      <c r="F732" s="10" t="n">
        <v>45677.88469907407</v>
      </c>
      <c r="G732" s="10" t="n">
        <v>45677.88761574074</v>
      </c>
      <c r="H732" s="3" t="inlineStr">
        <is>
          <t>OBT200125212137-Wien Kledering</t>
        </is>
      </c>
      <c r="I732" s="10" t="n">
        <v>45678.64188657407</v>
      </c>
      <c r="J732" s="10" t="n">
        <v>45678.7109837963</v>
      </c>
      <c r="K732" s="10" t="n">
        <v>45678.7109837963</v>
      </c>
      <c r="L732" s="10" t="n">
        <v>45678.71240740741</v>
      </c>
      <c r="M732" s="11">
        <f>IF(AND(ISNUMBER(E732),ISNUMBER(G732)),(G732-E732),"")</f>
        <v/>
      </c>
      <c r="N732" s="11">
        <f>IF(AND(ISNUMBER(G732),ISNUMBER(L732)),(L732-G732),"")</f>
        <v/>
      </c>
      <c r="O732" s="10" t="n">
        <v>45677.89001157408</v>
      </c>
      <c r="P732" s="11">
        <f>IF(AND(ISNUMBER(I732),ISNUMBER(O732)),(I732-O732),"")</f>
        <v/>
      </c>
      <c r="Q732" s="12" t="inlineStr">
        <is>
          <t>WG 1019501 entered track and got secured, OBTP started on 15:24:19 finished on 17:03:49 and then left at 17:05:52</t>
        </is>
      </c>
    </row>
    <row r="733">
      <c r="A733" s="3" t="inlineStr">
        <is>
          <t>1019601</t>
        </is>
      </c>
      <c r="B733" s="3" t="inlineStr">
        <is>
          <t>10196</t>
        </is>
      </c>
      <c r="C733" s="9" t="n">
        <v>15.74</v>
      </c>
      <c r="D733" s="3" t="inlineStr">
        <is>
          <t>Gloggnitz</t>
        </is>
      </c>
      <c r="E733" s="10" t="n">
        <v>45678.11945601852</v>
      </c>
      <c r="F733" s="10" t="n">
        <v>45678.12956018518</v>
      </c>
      <c r="G733" s="10" t="n">
        <v>45678.13146990741</v>
      </c>
      <c r="H733" s="3" t="inlineStr">
        <is>
          <t>OBT210125093910-Neudörfl (FunderMax)</t>
        </is>
      </c>
      <c r="I733" s="10" t="n">
        <v>45679.34151620371</v>
      </c>
      <c r="J733" s="10" t="n">
        <v>45679.36085648148</v>
      </c>
      <c r="K733" s="10" t="n">
        <v>45679.36085648148</v>
      </c>
      <c r="L733" s="10" t="n">
        <v>45679.36150462963</v>
      </c>
      <c r="M733" s="11">
        <f>IF(AND(ISNUMBER(E733),ISNUMBER(G733)),(G733-E733),"")</f>
        <v/>
      </c>
      <c r="N733" s="11">
        <f>IF(AND(ISNUMBER(G733),ISNUMBER(L733)),(L733-G733),"")</f>
        <v/>
      </c>
      <c r="O733" s="10" t="n">
        <v>45678.13539351852</v>
      </c>
      <c r="P733" s="11">
        <f>IF(AND(ISNUMBER(I733),ISNUMBER(O733)),(I733-O733),"")</f>
        <v/>
      </c>
      <c r="Q733" s="12" t="inlineStr">
        <is>
          <t>WG 1019601 entered track and got coupled to WG 1019110 then waited 6:14:05 for WG 1020104 to get coupled then waited 0:10:07 for WG 1020108 to get coupled, OBTP started on 08:11:47 finished on 08:39:38 and then left at 08:40:34</t>
        </is>
      </c>
    </row>
    <row r="734">
      <c r="A734" s="3" t="inlineStr">
        <is>
          <t>1019602</t>
        </is>
      </c>
      <c r="B734" s="3" t="inlineStr">
        <is>
          <t>10196</t>
        </is>
      </c>
      <c r="C734" s="9" t="n">
        <v>40.9</v>
      </c>
      <c r="D734" s="3" t="inlineStr">
        <is>
          <t>Neunkirchen (loading tracks)</t>
        </is>
      </c>
      <c r="E734" s="10" t="n">
        <v>45678.11945601852</v>
      </c>
      <c r="F734" s="10" t="n">
        <v>45678.13146990741</v>
      </c>
      <c r="G734" s="10" t="n">
        <v>45678.13344907408</v>
      </c>
      <c r="H734" s="3" t="inlineStr">
        <is>
          <t>OBT210125032545-Neunkirchen (loading tracks)</t>
        </is>
      </c>
      <c r="I734" s="10" t="n">
        <v>45678.64737268518</v>
      </c>
      <c r="J734" s="10" t="n">
        <v>45678.6987037037</v>
      </c>
      <c r="K734" s="10" t="n">
        <v>45678.6987037037</v>
      </c>
      <c r="L734" s="10" t="n">
        <v>45678.69976851852</v>
      </c>
      <c r="M734" s="11">
        <f>IF(AND(ISNUMBER(E734),ISNUMBER(G734)),(G734-E734),"")</f>
        <v/>
      </c>
      <c r="N734" s="11">
        <f>IF(AND(ISNUMBER(G734),ISNUMBER(L734)),(L734-G734),"")</f>
        <v/>
      </c>
      <c r="O734" s="10" t="n">
        <v>45678.13737268518</v>
      </c>
      <c r="P734" s="11">
        <f>IF(AND(ISNUMBER(I734),ISNUMBER(O734)),(I734-O734),"")</f>
        <v/>
      </c>
      <c r="Q734" s="12" t="inlineStr">
        <is>
          <t>WG 1019602 entered track and got coupled to WG 1019109 then waited 0:07:56 for WG 1019605 to get coupled, OBTP started on 15:32:13 finished on 16:46:08 and then left at 16:47:40</t>
        </is>
      </c>
    </row>
    <row r="735">
      <c r="A735" s="3" t="inlineStr">
        <is>
          <t>1019603</t>
        </is>
      </c>
      <c r="B735" s="3" t="inlineStr">
        <is>
          <t>10196</t>
        </is>
      </c>
      <c r="C735" s="9" t="n">
        <v>35.64</v>
      </c>
      <c r="D735" s="3" t="inlineStr">
        <is>
          <t>Other sidings south</t>
        </is>
      </c>
      <c r="E735" s="10" t="n">
        <v>45678.11945601852</v>
      </c>
      <c r="F735" s="10" t="n">
        <v>45678.13344907408</v>
      </c>
      <c r="G735" s="10" t="n">
        <v>45678.13465277778</v>
      </c>
      <c r="H735" s="3" t="inlineStr">
        <is>
          <t>OBT210125092833-St. Veit an der Glan</t>
        </is>
      </c>
      <c r="I735" s="10" t="n">
        <v>45679.32265046296</v>
      </c>
      <c r="J735" s="10" t="n">
        <v>45679.34758101852</v>
      </c>
      <c r="K735" s="10" t="n">
        <v>45679.34758101852</v>
      </c>
      <c r="L735" s="10" t="n">
        <v>45679.34836805556</v>
      </c>
      <c r="M735" s="11">
        <f>IF(AND(ISNUMBER(E735),ISNUMBER(G735)),(G735-E735),"")</f>
        <v/>
      </c>
      <c r="N735" s="11">
        <f>IF(AND(ISNUMBER(G735),ISNUMBER(L735)),(L735-G735),"")</f>
        <v/>
      </c>
      <c r="O735" s="10" t="n">
        <v>45678.13702546297</v>
      </c>
      <c r="P735" s="11">
        <f>IF(AND(ISNUMBER(I735),ISNUMBER(O735)),(I735-O735),"")</f>
        <v/>
      </c>
      <c r="Q735" s="12" t="inlineStr">
        <is>
          <t>WG 1019603 entered track and got secured then waited 6:02:23 for WG 1020202 to get coupled then waited 0:07:09 for WG 1020102 to get coupled then waited 0:01:42 for WG 1020103 to get coupled, OBTP started on 07:44:37 finished on 08:20:31 and then left at 08:21:39</t>
        </is>
      </c>
    </row>
    <row r="736">
      <c r="A736" s="3" t="inlineStr">
        <is>
          <t>1019604</t>
        </is>
      </c>
      <c r="B736" s="3" t="inlineStr">
        <is>
          <t>10196</t>
        </is>
      </c>
      <c r="C736" s="9" t="n">
        <v>19.9</v>
      </c>
      <c r="D736" s="3" t="inlineStr">
        <is>
          <t>Ternitz (Schoeller-Bleckmann)</t>
        </is>
      </c>
      <c r="E736" s="10" t="n">
        <v>45678.11945601852</v>
      </c>
      <c r="F736" s="10" t="n">
        <v>45678.13465277778</v>
      </c>
      <c r="G736" s="10" t="n">
        <v>45678.1366087963</v>
      </c>
      <c r="H736" s="3" t="inlineStr">
        <is>
          <t>OBT210125075153-Pitten (Hamburger)</t>
        </is>
      </c>
      <c r="I736" s="10" t="n">
        <v>45679.12300925926</v>
      </c>
      <c r="J736" s="10" t="n">
        <v>45679.14331018519</v>
      </c>
      <c r="K736" s="10" t="n">
        <v>45679.14331018519</v>
      </c>
      <c r="L736" s="10" t="n">
        <v>45679.14412037037</v>
      </c>
      <c r="M736" s="11">
        <f>IF(AND(ISNUMBER(E736),ISNUMBER(G736)),(G736-E736),"")</f>
        <v/>
      </c>
      <c r="N736" s="11">
        <f>IF(AND(ISNUMBER(G736),ISNUMBER(L736)),(L736-G736),"")</f>
        <v/>
      </c>
      <c r="O736" s="10" t="n">
        <v>45678.14053240741</v>
      </c>
      <c r="P736" s="11">
        <f>IF(AND(ISNUMBER(I736),ISNUMBER(O736)),(I736-O736),"")</f>
        <v/>
      </c>
      <c r="Q736" s="12" t="inlineStr">
        <is>
          <t>WG 1019604 entered track and got coupled to WG 1018612 then waited 4:29:31 for WG 1019804 to get coupled, OBTP started on 02:57:08 finished on 03:26:22 and then left at 03:27:32</t>
        </is>
      </c>
    </row>
    <row r="737">
      <c r="A737" s="3" t="inlineStr">
        <is>
          <t>1019605</t>
        </is>
      </c>
      <c r="B737" s="3" t="inlineStr">
        <is>
          <t>10196</t>
        </is>
      </c>
      <c r="C737" s="9" t="n">
        <v>203.4</v>
      </c>
      <c r="D737" s="3" t="inlineStr">
        <is>
          <t>Neunkirchen (loading tracks)</t>
        </is>
      </c>
      <c r="E737" s="10" t="n">
        <v>45678.11945601852</v>
      </c>
      <c r="F737" s="10" t="n">
        <v>45678.1366087963</v>
      </c>
      <c r="G737" s="10" t="n">
        <v>45678.13895833334</v>
      </c>
      <c r="H737" s="3" t="inlineStr">
        <is>
          <t>OBT210125032545-Neunkirchen (loading tracks)</t>
        </is>
      </c>
      <c r="I737" s="10" t="n">
        <v>45678.64737268518</v>
      </c>
      <c r="J737" s="10" t="n">
        <v>45678.6987037037</v>
      </c>
      <c r="K737" s="10" t="n">
        <v>45678.6987037037</v>
      </c>
      <c r="L737" s="10" t="n">
        <v>45678.69976851852</v>
      </c>
      <c r="M737" s="11">
        <f>IF(AND(ISNUMBER(E737),ISNUMBER(G737)),(G737-E737),"")</f>
        <v/>
      </c>
      <c r="N737" s="11">
        <f>IF(AND(ISNUMBER(G737),ISNUMBER(L737)),(L737-G737),"")</f>
        <v/>
      </c>
      <c r="O737" s="10" t="n">
        <v>45678.14288194444</v>
      </c>
      <c r="P737" s="11">
        <f>IF(AND(ISNUMBER(I737),ISNUMBER(O737)),(I737-O737),"")</f>
        <v/>
      </c>
      <c r="Q737" s="12" t="inlineStr">
        <is>
          <t>WG 1019605 entered track and got coupled to WG 1019602, OBTP started on 15:32:13 finished on 16:46:08 and then left at 16:47:40</t>
        </is>
      </c>
    </row>
    <row r="738">
      <c r="A738" s="3" t="inlineStr">
        <is>
          <t>1019701</t>
        </is>
      </c>
      <c r="B738" s="3" t="inlineStr">
        <is>
          <t>10197</t>
        </is>
      </c>
      <c r="C738" s="9" t="n">
        <v>233.08</v>
      </c>
      <c r="D738" s="3" t="inlineStr">
        <is>
          <t>Wien Kledering</t>
        </is>
      </c>
      <c r="E738" s="10" t="n">
        <v>45678.27694444444</v>
      </c>
      <c r="F738" s="10" t="n">
        <v>45678.2824537037</v>
      </c>
      <c r="G738" s="10" t="n">
        <v>45678.28434027778</v>
      </c>
      <c r="H738" s="3" t="inlineStr">
        <is>
          <t>OBT210125065252-Wien Kledering</t>
        </is>
      </c>
      <c r="I738" s="10" t="n">
        <v>45678.87943287037</v>
      </c>
      <c r="J738" s="10" t="n">
        <v>45678.91990740741</v>
      </c>
      <c r="K738" s="10" t="n">
        <v>45678.91990740741</v>
      </c>
      <c r="L738" s="10" t="n">
        <v>45678.92092592592</v>
      </c>
      <c r="M738" s="11">
        <f>IF(AND(ISNUMBER(E738),ISNUMBER(G738)),(G738-E738),"")</f>
        <v/>
      </c>
      <c r="N738" s="11">
        <f>IF(AND(ISNUMBER(G738),ISNUMBER(L738)),(L738-G738),"")</f>
        <v/>
      </c>
      <c r="O738" s="10" t="n">
        <v>45678.28671296296</v>
      </c>
      <c r="P738" s="11">
        <f>IF(AND(ISNUMBER(I738),ISNUMBER(O738)),(I738-O738),"")</f>
        <v/>
      </c>
      <c r="Q738" s="12" t="inlineStr">
        <is>
          <t>WG 1019701 entered track and got secured, OBTP started on 21:06:23 finished on 22:04:40 and then left at 22:06:08</t>
        </is>
      </c>
    </row>
    <row r="739">
      <c r="A739" s="3" t="inlineStr">
        <is>
          <t>1019801</t>
        </is>
      </c>
      <c r="B739" s="3" t="inlineStr">
        <is>
          <t>10198</t>
        </is>
      </c>
      <c r="C739" s="9" t="n">
        <v>19.9</v>
      </c>
      <c r="D739" s="3" t="inlineStr">
        <is>
          <t>Neunkirchen (loading tracks)</t>
        </is>
      </c>
      <c r="E739" s="10" t="n">
        <v>45678.3028587963</v>
      </c>
      <c r="F739" s="10" t="n">
        <v>45678.31862268518</v>
      </c>
      <c r="G739" s="10" t="n">
        <v>45678.31990740741</v>
      </c>
      <c r="H739" s="3" t="inlineStr">
        <is>
          <t>OBT210125150922-Neunkirchen (loading tracks)</t>
        </is>
      </c>
      <c r="I739" s="10" t="n">
        <v>45679.44578703704</v>
      </c>
      <c r="J739" s="10" t="n">
        <v>45679.46344907407</v>
      </c>
      <c r="K739" s="10" t="n">
        <v>45679.46344907407</v>
      </c>
      <c r="L739" s="10" t="n">
        <v>45679.46422453703</v>
      </c>
      <c r="M739" s="11">
        <f>IF(AND(ISNUMBER(E739),ISNUMBER(G739)),(G739-E739),"")</f>
        <v/>
      </c>
      <c r="N739" s="11">
        <f>IF(AND(ISNUMBER(G739),ISNUMBER(L739)),(L739-G739),"")</f>
        <v/>
      </c>
      <c r="O739" s="10" t="n">
        <v>45678.32230324074</v>
      </c>
      <c r="P739" s="11">
        <f>IF(AND(ISNUMBER(I739),ISNUMBER(O739)),(I739-O739),"")</f>
        <v/>
      </c>
      <c r="Q739" s="12" t="inlineStr">
        <is>
          <t>WG 1019801 entered track and got secured then waited 1:51:44 for WG 1020107 to get coupled then waited 5:33:31 for WG 1020501 to get coupled, OBTP started on 10:41:56 finished on 11:07:22 and then left at 11:08:29</t>
        </is>
      </c>
    </row>
    <row r="740">
      <c r="A740" s="3" t="inlineStr">
        <is>
          <t>1019802</t>
        </is>
      </c>
      <c r="B740" s="3" t="inlineStr">
        <is>
          <t>10198</t>
        </is>
      </c>
      <c r="C740" s="9" t="n">
        <v>19.9</v>
      </c>
      <c r="D740" s="3" t="inlineStr">
        <is>
          <t>Wr. Neustadt Ausfahrbf (Furtenbach)</t>
        </is>
      </c>
      <c r="E740" s="10" t="n">
        <v>45678.3028587963</v>
      </c>
      <c r="F740" s="10" t="n">
        <v>45678.31990740741</v>
      </c>
      <c r="G740" s="10" t="n">
        <v>45678.32119212963</v>
      </c>
      <c r="H740" s="3" t="inlineStr">
        <is>
          <t>OBT220125180607-Wr. Neustadt Ausfahrbf (Furtenbach)</t>
        </is>
      </c>
      <c r="I740" s="10" t="n">
        <v>45680.67324074074</v>
      </c>
      <c r="J740" s="10" t="n">
        <v>45680.70087962963</v>
      </c>
      <c r="K740" s="10" t="n">
        <v>45680.70087962963</v>
      </c>
      <c r="L740" s="10" t="n">
        <v>45680.70167824074</v>
      </c>
      <c r="M740" s="11">
        <f>IF(AND(ISNUMBER(E740),ISNUMBER(G740)),(G740-E740),"")</f>
        <v/>
      </c>
      <c r="N740" s="11">
        <f>IF(AND(ISNUMBER(G740),ISNUMBER(L740)),(L740-G740),"")</f>
        <v/>
      </c>
      <c r="O740" s="10" t="n">
        <v>45678.32509259259</v>
      </c>
      <c r="P740" s="11">
        <f>IF(AND(ISNUMBER(I740),ISNUMBER(O740)),(I740-O740),"")</f>
        <v/>
      </c>
      <c r="Q740" s="12" t="inlineStr">
        <is>
          <t>WG 1019802 entered track and got coupled to WG 1019105 then waited 1:36:52 for WG 1020101 to get coupled then waited 32:41:07 for WG 1021904 to get coupled, OBTP started on 16:09:28 finished on 16:49:16 and then left at 16:50:25</t>
        </is>
      </c>
    </row>
    <row r="741">
      <c r="A741" s="3" t="inlineStr">
        <is>
          <t>1019803</t>
        </is>
      </c>
      <c r="B741" s="3" t="inlineStr">
        <is>
          <t>10198</t>
        </is>
      </c>
      <c r="C741" s="9" t="n">
        <v>15.74</v>
      </c>
      <c r="D741" s="3" t="inlineStr">
        <is>
          <t>Other sidings north</t>
        </is>
      </c>
      <c r="E741" s="10" t="n">
        <v>45678.3028587963</v>
      </c>
      <c r="F741" s="10" t="n">
        <v>45678.32119212963</v>
      </c>
      <c r="G741" s="10" t="n">
        <v>45678.32311342593</v>
      </c>
      <c r="H741" s="3" t="inlineStr">
        <is>
          <t>OBT220125100316-Neudörfl (FunderMax)</t>
        </is>
      </c>
      <c r="I741" s="10" t="n">
        <v>45680.45319444445</v>
      </c>
      <c r="J741" s="10" t="n">
        <v>45680.47625</v>
      </c>
      <c r="K741" s="10" t="n">
        <v>45680.47625</v>
      </c>
      <c r="L741" s="10" t="n">
        <v>45680.47693287037</v>
      </c>
      <c r="M741" s="11">
        <f>IF(AND(ISNUMBER(E741),ISNUMBER(G741)),(G741-E741),"")</f>
        <v/>
      </c>
      <c r="N741" s="11">
        <f>IF(AND(ISNUMBER(G741),ISNUMBER(L741)),(L741-G741),"")</f>
        <v/>
      </c>
      <c r="O741" s="10" t="n">
        <v>45678.32550925926</v>
      </c>
      <c r="P741" s="11">
        <f>IF(AND(ISNUMBER(I741),ISNUMBER(O741)),(I741-O741),"")</f>
        <v/>
      </c>
      <c r="Q741" s="12" t="inlineStr">
        <is>
          <t>WG 1019803 entered track and got secured then waited 1:53:08 for WG 1020109 to get coupled then waited 5:39:47 for WG 1020506 to get coupled then waited 16:06:54 for WG 1021104 to get coupled then waited 0:13:34 for WG 1021109 to get coupled then waited 2:02:36 for WG 1021501 to get coupled then waited 0:18:33 for WG 1021508 to get coupled, OBTP started on 10:52:36 finished on 11:25:48 and then left at 11:26:47</t>
        </is>
      </c>
    </row>
    <row r="742">
      <c r="A742" s="3" t="inlineStr">
        <is>
          <t>1019804</t>
        </is>
      </c>
      <c r="B742" s="3" t="inlineStr">
        <is>
          <t>10198</t>
        </is>
      </c>
      <c r="C742" s="9" t="n">
        <v>116.94</v>
      </c>
      <c r="D742" s="3" t="inlineStr">
        <is>
          <t>Pitten (Hamburger)</t>
        </is>
      </c>
      <c r="E742" s="10" t="n">
        <v>45678.3028587963</v>
      </c>
      <c r="F742" s="10" t="n">
        <v>45678.32311342593</v>
      </c>
      <c r="G742" s="10" t="n">
        <v>45678.32530092593</v>
      </c>
      <c r="H742" s="3" t="inlineStr">
        <is>
          <t>OBT210125075153-Pitten (Hamburger)</t>
        </is>
      </c>
      <c r="I742" s="10" t="n">
        <v>45679.12300925926</v>
      </c>
      <c r="J742" s="10" t="n">
        <v>45679.14331018519</v>
      </c>
      <c r="K742" s="10" t="n">
        <v>45679.14331018519</v>
      </c>
      <c r="L742" s="10" t="n">
        <v>45679.14412037037</v>
      </c>
      <c r="M742" s="11">
        <f>IF(AND(ISNUMBER(E742),ISNUMBER(G742)),(G742-E742),"")</f>
        <v/>
      </c>
      <c r="N742" s="11">
        <f>IF(AND(ISNUMBER(G742),ISNUMBER(L742)),(L742-G742),"")</f>
        <v/>
      </c>
      <c r="O742" s="10" t="n">
        <v>45678.32769675926</v>
      </c>
      <c r="P742" s="11">
        <f>IF(AND(ISNUMBER(I742),ISNUMBER(O742)),(I742-O742),"")</f>
        <v/>
      </c>
      <c r="Q742" s="12" t="inlineStr">
        <is>
          <t>WG 1019804 entered track and got secured, OBTP started on 02:57:08 finished on 03:26:22 and then left at 03:27:32</t>
        </is>
      </c>
    </row>
    <row r="743">
      <c r="A743" s="3" t="inlineStr">
        <is>
          <t>1019805</t>
        </is>
      </c>
      <c r="B743" s="3" t="inlineStr">
        <is>
          <t>10198</t>
        </is>
      </c>
      <c r="C743" s="9" t="n">
        <v>15.74</v>
      </c>
      <c r="D743" s="3" t="inlineStr">
        <is>
          <t>Other sidings local</t>
        </is>
      </c>
      <c r="E743" s="10" t="n">
        <v>45678.3028587963</v>
      </c>
      <c r="F743" s="10" t="n">
        <v>45678.32530092593</v>
      </c>
      <c r="G743" s="10" t="n">
        <v>45678.32702546296</v>
      </c>
      <c r="H743" s="3" t="inlineStr">
        <is>
          <t>OBT220125073335-Other sidings local</t>
        </is>
      </c>
      <c r="I743" s="10" t="n">
        <v>45680.30650462963</v>
      </c>
      <c r="J743" s="10" t="n">
        <v>45680.32506944444</v>
      </c>
      <c r="K743" s="10" t="n">
        <v>45680.32570601852</v>
      </c>
      <c r="L743" s="10" t="n">
        <v>45680.32655092593</v>
      </c>
      <c r="M743" s="11">
        <f>IF(AND(ISNUMBER(E743),ISNUMBER(G743)),(G743-E743),"")</f>
        <v/>
      </c>
      <c r="N743" s="11">
        <f>IF(AND(ISNUMBER(G743),ISNUMBER(L743)),(L743-G743),"")</f>
        <v/>
      </c>
      <c r="O743" s="10" t="n">
        <v>45678.33094907407</v>
      </c>
      <c r="P743" s="11">
        <f>IF(AND(ISNUMBER(I743),ISNUMBER(O743)),(I743-O743),"")</f>
        <v/>
      </c>
      <c r="Q743" s="12" t="inlineStr">
        <is>
          <t>WG 1019805 entered track and got coupled to WG 1018304 then waited 0:05:22 for WG 1019808 to get coupled then waited 7:25:36 for WG 1020508 to get coupled then waited 16:06:03 for WG 1021105 to get coupled, OBTP started on 07:21:22 finished on 07:48:06 and then left at 07:50:14</t>
        </is>
      </c>
    </row>
    <row r="744">
      <c r="A744" s="3" t="inlineStr">
        <is>
          <t>1019806</t>
        </is>
      </c>
      <c r="B744" s="3" t="inlineStr">
        <is>
          <t>10198</t>
        </is>
      </c>
      <c r="C744" s="9" t="n">
        <v>27</v>
      </c>
      <c r="D744" s="3" t="inlineStr">
        <is>
          <t>Wr. Neustadt (Hödlmayr)</t>
        </is>
      </c>
      <c r="E744" s="10" t="n">
        <v>45678.3028587963</v>
      </c>
      <c r="F744" s="10" t="n"/>
      <c r="G744" s="10" t="n"/>
      <c r="H744" s="3" t="n"/>
      <c r="I744" s="10" t="n"/>
      <c r="J744" s="10" t="n"/>
      <c r="K744" s="10" t="n"/>
      <c r="L744" s="10" t="n"/>
      <c r="M744" s="11">
        <f>IF(AND(ISNUMBER(E744),ISNUMBER(G744)),(G744-E744),"")</f>
        <v/>
      </c>
      <c r="N744" s="11">
        <f>IF(AND(ISNUMBER(G744),ISNUMBER(L744)),(L744-G744),"")</f>
        <v/>
      </c>
      <c r="O744" s="10" t="n"/>
      <c r="P744" s="11">
        <f>IF(AND(ISNUMBER(I744),ISNUMBER(O744)),(I744-O744),"")</f>
        <v/>
      </c>
      <c r="Q744" s="12" t="n"/>
    </row>
    <row r="745">
      <c r="A745" s="3" t="inlineStr">
        <is>
          <t>1019807</t>
        </is>
      </c>
      <c r="B745" s="3" t="inlineStr">
        <is>
          <t>10198</t>
        </is>
      </c>
      <c r="C745" s="9" t="n">
        <v>15.74</v>
      </c>
      <c r="D745" s="3" t="inlineStr">
        <is>
          <t>Ebenfurth (beet loading)</t>
        </is>
      </c>
      <c r="E745" s="10" t="n">
        <v>45678.3028587963</v>
      </c>
      <c r="F745" s="10" t="n">
        <v>45678.32702546296</v>
      </c>
      <c r="G745" s="10" t="n">
        <v>45678.32905092592</v>
      </c>
      <c r="H745" s="3" t="inlineStr">
        <is>
          <t>OBT220125045357-Neudörfl (FunderMax)</t>
        </is>
      </c>
      <c r="I745" s="10" t="n">
        <v>45680.1319212963</v>
      </c>
      <c r="J745" s="10" t="n">
        <v>45680.19556712963</v>
      </c>
      <c r="K745" s="10" t="n">
        <v>45680.19556712963</v>
      </c>
      <c r="L745" s="10" t="n">
        <v>45680.19690972222</v>
      </c>
      <c r="M745" s="11">
        <f>IF(AND(ISNUMBER(E745),ISNUMBER(G745)),(G745-E745),"")</f>
        <v/>
      </c>
      <c r="N745" s="11">
        <f>IF(AND(ISNUMBER(G745),ISNUMBER(L745)),(L745-G745),"")</f>
        <v/>
      </c>
      <c r="O745" s="10" t="n">
        <v>45678.33144675926</v>
      </c>
      <c r="P745" s="11">
        <f>IF(AND(ISNUMBER(I745),ISNUMBER(O745)),(I745-O745),"")</f>
        <v/>
      </c>
      <c r="Q745" s="12" t="inlineStr">
        <is>
          <t>WG 1019807 entered track and got secured then waited 20:56:40 for WG 1020901 to get coupled, OBTP started on 03:09:58 finished on 04:41:37 and then left at 04:43:33</t>
        </is>
      </c>
    </row>
    <row r="746">
      <c r="A746" s="3" t="inlineStr">
        <is>
          <t>1019808</t>
        </is>
      </c>
      <c r="B746" s="3" t="inlineStr">
        <is>
          <t>10198</t>
        </is>
      </c>
      <c r="C746" s="9" t="n">
        <v>19.9</v>
      </c>
      <c r="D746" s="3" t="inlineStr">
        <is>
          <t>Other sidings local</t>
        </is>
      </c>
      <c r="E746" s="10" t="n">
        <v>45678.3028587963</v>
      </c>
      <c r="F746" s="10" t="n">
        <v>45678.32905092592</v>
      </c>
      <c r="G746" s="10" t="n">
        <v>45678.33078703703</v>
      </c>
      <c r="H746" s="3" t="inlineStr">
        <is>
          <t>OBT220125073335-Other sidings local</t>
        </is>
      </c>
      <c r="I746" s="10" t="n">
        <v>45680.30650462963</v>
      </c>
      <c r="J746" s="10" t="n">
        <v>45680.32506944444</v>
      </c>
      <c r="K746" s="10" t="n">
        <v>45680.32570601852</v>
      </c>
      <c r="L746" s="10" t="n">
        <v>45680.32655092593</v>
      </c>
      <c r="M746" s="11">
        <f>IF(AND(ISNUMBER(E746),ISNUMBER(G746)),(G746-E746),"")</f>
        <v/>
      </c>
      <c r="N746" s="11">
        <f>IF(AND(ISNUMBER(G746),ISNUMBER(L746)),(L746-G746),"")</f>
        <v/>
      </c>
      <c r="O746" s="10" t="n">
        <v>45678.33467592593</v>
      </c>
      <c r="P746" s="11">
        <f>IF(AND(ISNUMBER(I746),ISNUMBER(O746)),(I746-O746),"")</f>
        <v/>
      </c>
      <c r="Q746" s="12" t="inlineStr">
        <is>
          <t>WG 1019808 entered track and got coupled to WG 1019805 then waited 7:25:36 for WG 1020508 to get coupled then waited 16:06:03 for WG 1021105 to get coupled, OBTP started on 07:21:22 finished on 07:48:06 and then left at 07:50:14</t>
        </is>
      </c>
    </row>
    <row r="747">
      <c r="A747" s="3" t="inlineStr">
        <is>
          <t>1019809</t>
        </is>
      </c>
      <c r="B747" s="3" t="inlineStr">
        <is>
          <t>10198</t>
        </is>
      </c>
      <c r="C747" s="9" t="n">
        <v>117.1</v>
      </c>
      <c r="D747" s="3" t="inlineStr">
        <is>
          <t>Neudörfl (FunderMax)</t>
        </is>
      </c>
      <c r="E747" s="10" t="n">
        <v>45678.3028587963</v>
      </c>
      <c r="F747" s="10" t="n">
        <v>45678.33078703703</v>
      </c>
      <c r="G747" s="10" t="n">
        <v>45678.33297453704</v>
      </c>
      <c r="H747" s="3" t="inlineStr">
        <is>
          <t>OBT210125080256-Neudörfl (FunderMax)</t>
        </is>
      </c>
      <c r="I747" s="10" t="n">
        <v>45679.20344907408</v>
      </c>
      <c r="J747" s="10" t="n">
        <v>45679.22378472222</v>
      </c>
      <c r="K747" s="10" t="n">
        <v>45679.22378472222</v>
      </c>
      <c r="L747" s="10" t="n">
        <v>45679.22459490741</v>
      </c>
      <c r="M747" s="11">
        <f>IF(AND(ISNUMBER(E747),ISNUMBER(G747)),(G747-E747),"")</f>
        <v/>
      </c>
      <c r="N747" s="11">
        <f>IF(AND(ISNUMBER(G747),ISNUMBER(L747)),(L747-G747),"")</f>
        <v/>
      </c>
      <c r="O747" s="10" t="n">
        <v>45678.33537037037</v>
      </c>
      <c r="P747" s="11">
        <f>IF(AND(ISNUMBER(I747),ISNUMBER(O747)),(I747-O747),"")</f>
        <v/>
      </c>
      <c r="Q747" s="12" t="inlineStr">
        <is>
          <t>WG 1019809 entered track and got secured, OBTP started on 04:52:58 finished on 05:22:15 and then left at 05:23:25</t>
        </is>
      </c>
    </row>
    <row r="748">
      <c r="A748" s="3" t="inlineStr">
        <is>
          <t>1019810</t>
        </is>
      </c>
      <c r="B748" s="3" t="inlineStr">
        <is>
          <t>10198</t>
        </is>
      </c>
      <c r="C748" s="9" t="n">
        <v>27</v>
      </c>
      <c r="D748" s="3" t="inlineStr">
        <is>
          <t>Wr. Neustadt (Hödlmayr)</t>
        </is>
      </c>
      <c r="E748" s="10" t="n">
        <v>45678.3028587963</v>
      </c>
      <c r="F748" s="10" t="n"/>
      <c r="G748" s="10" t="n"/>
      <c r="H748" s="3" t="n"/>
      <c r="I748" s="10" t="n"/>
      <c r="J748" s="10" t="n"/>
      <c r="K748" s="10" t="n"/>
      <c r="L748" s="10" t="n"/>
      <c r="M748" s="11">
        <f>IF(AND(ISNUMBER(E748),ISNUMBER(G748)),(G748-E748),"")</f>
        <v/>
      </c>
      <c r="N748" s="11">
        <f>IF(AND(ISNUMBER(G748),ISNUMBER(L748)),(L748-G748),"")</f>
        <v/>
      </c>
      <c r="O748" s="10" t="n"/>
      <c r="P748" s="11">
        <f>IF(AND(ISNUMBER(I748),ISNUMBER(O748)),(I748-O748),"")</f>
        <v/>
      </c>
      <c r="Q748" s="12" t="n"/>
    </row>
    <row r="749">
      <c r="A749" s="3" t="inlineStr">
        <is>
          <t>1019901</t>
        </is>
      </c>
      <c r="B749" s="3" t="inlineStr">
        <is>
          <t>10199</t>
        </is>
      </c>
      <c r="C749" s="9" t="n">
        <v>381.5600000000001</v>
      </c>
      <c r="D749" s="3" t="inlineStr">
        <is>
          <t>Wien Kledering</t>
        </is>
      </c>
      <c r="E749" s="10" t="n">
        <v>45678.30799768519</v>
      </c>
      <c r="F749" s="10" t="n"/>
      <c r="G749" s="10" t="n"/>
      <c r="H749" s="3" t="n"/>
      <c r="I749" s="10" t="n"/>
      <c r="J749" s="10" t="n"/>
      <c r="K749" s="10" t="n"/>
      <c r="L749" s="10" t="n"/>
      <c r="M749" s="11">
        <f>IF(AND(ISNUMBER(E749),ISNUMBER(G749)),(G749-E749),"")</f>
        <v/>
      </c>
      <c r="N749" s="11">
        <f>IF(AND(ISNUMBER(G749),ISNUMBER(L749)),(L749-G749),"")</f>
        <v/>
      </c>
      <c r="O749" s="10" t="n"/>
      <c r="P749" s="11">
        <f>IF(AND(ISNUMBER(I749),ISNUMBER(O749)),(I749-O749),"")</f>
        <v/>
      </c>
      <c r="Q749" s="12" t="n"/>
    </row>
    <row r="750">
      <c r="A750" s="3" t="inlineStr">
        <is>
          <t>1020001</t>
        </is>
      </c>
      <c r="B750" s="3" t="inlineStr">
        <is>
          <t>10200</t>
        </is>
      </c>
      <c r="C750" s="9" t="n">
        <v>339.1</v>
      </c>
      <c r="D750" s="3" t="inlineStr">
        <is>
          <t>Wien Kledering</t>
        </is>
      </c>
      <c r="E750" s="10" t="n">
        <v>45678.31585648148</v>
      </c>
      <c r="F750" s="10" t="n">
        <v>45678.33384259259</v>
      </c>
      <c r="G750" s="10" t="n">
        <v>45678.33640046296</v>
      </c>
      <c r="H750" s="3" t="inlineStr">
        <is>
          <t>OBT210125080752-Wien Kledering</t>
        </is>
      </c>
      <c r="I750" s="10" t="n">
        <v>45679.27695601852</v>
      </c>
      <c r="J750" s="10" t="n">
        <v>45679.33583333333</v>
      </c>
      <c r="K750" s="10" t="n">
        <v>45679.33583333333</v>
      </c>
      <c r="L750" s="10" t="n">
        <v>45679.33716435185</v>
      </c>
      <c r="M750" s="11">
        <f>IF(AND(ISNUMBER(E750),ISNUMBER(G750)),(G750-E750),"")</f>
        <v/>
      </c>
      <c r="N750" s="11">
        <f>IF(AND(ISNUMBER(G750),ISNUMBER(L750)),(L750-G750),"")</f>
        <v/>
      </c>
      <c r="O750" s="10" t="n">
        <v>45678.3387962963</v>
      </c>
      <c r="P750" s="11">
        <f>IF(AND(ISNUMBER(I750),ISNUMBER(O750)),(I750-O750),"")</f>
        <v/>
      </c>
      <c r="Q750" s="12" t="inlineStr">
        <is>
          <t>WG 1020001 entered track and got secured, OBTP started on 06:38:49 finished on 08:03:36 and then left at 08:05:31</t>
        </is>
      </c>
    </row>
    <row r="751">
      <c r="A751" s="3" t="inlineStr">
        <is>
          <t>1020101</t>
        </is>
      </c>
      <c r="B751" s="3" t="inlineStr">
        <is>
          <t>10201</t>
        </is>
      </c>
      <c r="C751" s="9" t="n">
        <v>19.9</v>
      </c>
      <c r="D751" s="3" t="inlineStr">
        <is>
          <t>Wr. Neustadt Ausfahrbf (Furtenbach)</t>
        </is>
      </c>
      <c r="E751" s="10" t="n">
        <v>45678.36829861111</v>
      </c>
      <c r="F751" s="10" t="n">
        <v>45678.38715277778</v>
      </c>
      <c r="G751" s="10" t="n">
        <v>45678.3884375</v>
      </c>
      <c r="H751" s="3" t="inlineStr">
        <is>
          <t>OBT220125180607-Wr. Neustadt Ausfahrbf (Furtenbach)</t>
        </is>
      </c>
      <c r="I751" s="10" t="n">
        <v>45680.67324074074</v>
      </c>
      <c r="J751" s="10" t="n">
        <v>45680.70087962963</v>
      </c>
      <c r="K751" s="10" t="n">
        <v>45680.70087962963</v>
      </c>
      <c r="L751" s="10" t="n">
        <v>45680.70167824074</v>
      </c>
      <c r="M751" s="11">
        <f>IF(AND(ISNUMBER(E751),ISNUMBER(G751)),(G751-E751),"")</f>
        <v/>
      </c>
      <c r="N751" s="11">
        <f>IF(AND(ISNUMBER(G751),ISNUMBER(L751)),(L751-G751),"")</f>
        <v/>
      </c>
      <c r="O751" s="10" t="n">
        <v>45678.39236111111</v>
      </c>
      <c r="P751" s="11">
        <f>IF(AND(ISNUMBER(I751),ISNUMBER(O751)),(I751-O751),"")</f>
        <v/>
      </c>
      <c r="Q751" s="12" t="inlineStr">
        <is>
          <t>WG 1020101 entered track and got coupled to WG 1019802 then waited 32:41:07 for WG 1021904 to get coupled, OBTP started on 16:09:28 finished on 16:49:16 and then left at 16:50:25</t>
        </is>
      </c>
    </row>
    <row r="752">
      <c r="A752" s="3" t="inlineStr">
        <is>
          <t>1020102</t>
        </is>
      </c>
      <c r="B752" s="3" t="inlineStr">
        <is>
          <t>10201</t>
        </is>
      </c>
      <c r="C752" s="9" t="n">
        <v>70.45999999999999</v>
      </c>
      <c r="D752" s="3" t="inlineStr">
        <is>
          <t>Pitten (Hamburger)</t>
        </is>
      </c>
      <c r="E752" s="10" t="n">
        <v>45678.36829861111</v>
      </c>
      <c r="F752" s="10" t="n">
        <v>45678.3884375</v>
      </c>
      <c r="G752" s="10" t="n">
        <v>45678.38972222222</v>
      </c>
      <c r="H752" s="3" t="inlineStr">
        <is>
          <t>OBT210125092833-St. Veit an der Glan</t>
        </is>
      </c>
      <c r="I752" s="10" t="n">
        <v>45679.32265046296</v>
      </c>
      <c r="J752" s="10" t="n">
        <v>45679.34758101852</v>
      </c>
      <c r="K752" s="10" t="n">
        <v>45679.34758101852</v>
      </c>
      <c r="L752" s="10" t="n">
        <v>45679.34836805556</v>
      </c>
      <c r="M752" s="11">
        <f>IF(AND(ISNUMBER(E752),ISNUMBER(G752)),(G752-E752),"")</f>
        <v/>
      </c>
      <c r="N752" s="11">
        <f>IF(AND(ISNUMBER(G752),ISNUMBER(L752)),(L752-G752),"")</f>
        <v/>
      </c>
      <c r="O752" s="10" t="n">
        <v>45678.39364583333</v>
      </c>
      <c r="P752" s="11">
        <f>IF(AND(ISNUMBER(I752),ISNUMBER(O752)),(I752-O752),"")</f>
        <v/>
      </c>
      <c r="Q752" s="12" t="inlineStr">
        <is>
          <t>WG 1020102 entered track and got coupled to WG 1020202 then waited 0:01:42 for WG 1020103 to get coupled, OBTP started on 07:44:37 finished on 08:20:31 and then left at 08:21:39</t>
        </is>
      </c>
    </row>
    <row r="753">
      <c r="A753" s="3" t="inlineStr">
        <is>
          <t>1020103</t>
        </is>
      </c>
      <c r="B753" s="3" t="inlineStr">
        <is>
          <t>10201</t>
        </is>
      </c>
      <c r="C753" s="9" t="n">
        <v>35.64</v>
      </c>
      <c r="D753" s="3" t="inlineStr">
        <is>
          <t>Other sidings south</t>
        </is>
      </c>
      <c r="E753" s="10" t="n">
        <v>45678.36829861111</v>
      </c>
      <c r="F753" s="10" t="n">
        <v>45678.38972222222</v>
      </c>
      <c r="G753" s="10" t="n">
        <v>45678.3909375</v>
      </c>
      <c r="H753" s="3" t="inlineStr">
        <is>
          <t>OBT210125092833-St. Veit an der Glan</t>
        </is>
      </c>
      <c r="I753" s="10" t="n">
        <v>45679.32265046296</v>
      </c>
      <c r="J753" s="10" t="n">
        <v>45679.34758101852</v>
      </c>
      <c r="K753" s="10" t="n">
        <v>45679.34758101852</v>
      </c>
      <c r="L753" s="10" t="n">
        <v>45679.34836805556</v>
      </c>
      <c r="M753" s="11">
        <f>IF(AND(ISNUMBER(E753),ISNUMBER(G753)),(G753-E753),"")</f>
        <v/>
      </c>
      <c r="N753" s="11">
        <f>IF(AND(ISNUMBER(G753),ISNUMBER(L753)),(L753-G753),"")</f>
        <v/>
      </c>
      <c r="O753" s="10" t="n">
        <v>45678.39482638889</v>
      </c>
      <c r="P753" s="11">
        <f>IF(AND(ISNUMBER(I753),ISNUMBER(O753)),(I753-O753),"")</f>
        <v/>
      </c>
      <c r="Q753" s="12" t="inlineStr">
        <is>
          <t>WG 1020103 entered track and got coupled to WG 1020102, OBTP started on 07:44:37 finished on 08:20:31 and then left at 08:21:39</t>
        </is>
      </c>
    </row>
    <row r="754">
      <c r="A754" s="3" t="inlineStr">
        <is>
          <t>1020104</t>
        </is>
      </c>
      <c r="B754" s="3" t="inlineStr">
        <is>
          <t>10201</t>
        </is>
      </c>
      <c r="C754" s="9" t="n">
        <v>90.40000000000001</v>
      </c>
      <c r="D754" s="3" t="inlineStr">
        <is>
          <t>Neudörfl (FunderMax)</t>
        </is>
      </c>
      <c r="E754" s="10" t="n">
        <v>45678.36829861111</v>
      </c>
      <c r="F754" s="10" t="n">
        <v>45678.3909375</v>
      </c>
      <c r="G754" s="10" t="n">
        <v>45678.39302083333</v>
      </c>
      <c r="H754" s="3" t="inlineStr">
        <is>
          <t>OBT210125093910-Neudörfl (FunderMax)</t>
        </is>
      </c>
      <c r="I754" s="10" t="n">
        <v>45679.34151620371</v>
      </c>
      <c r="J754" s="10" t="n">
        <v>45679.36085648148</v>
      </c>
      <c r="K754" s="10" t="n">
        <v>45679.36085648148</v>
      </c>
      <c r="L754" s="10" t="n">
        <v>45679.36150462963</v>
      </c>
      <c r="M754" s="11">
        <f>IF(AND(ISNUMBER(E754),ISNUMBER(G754)),(G754-E754),"")</f>
        <v/>
      </c>
      <c r="N754" s="11">
        <f>IF(AND(ISNUMBER(G754),ISNUMBER(L754)),(L754-G754),"")</f>
        <v/>
      </c>
      <c r="O754" s="10" t="n">
        <v>45678.39517361111</v>
      </c>
      <c r="P754" s="11">
        <f>IF(AND(ISNUMBER(I754),ISNUMBER(O754)),(I754-O754),"")</f>
        <v/>
      </c>
      <c r="Q754" s="12" t="inlineStr">
        <is>
          <t>WG 1020104 entered track and got secured then waited 0:10:07 for WG 1020108 to get coupled, OBTP started on 08:11:47 finished on 08:39:38 and then left at 08:40:34</t>
        </is>
      </c>
    </row>
    <row r="755">
      <c r="A755" s="3" t="inlineStr">
        <is>
          <t>1020105</t>
        </is>
      </c>
      <c r="B755" s="3" t="inlineStr">
        <is>
          <t>10201</t>
        </is>
      </c>
      <c r="C755" s="9" t="n">
        <v>46.48</v>
      </c>
      <c r="D755" s="3" t="inlineStr">
        <is>
          <t>Pitten (Hamburger)</t>
        </is>
      </c>
      <c r="E755" s="10" t="n">
        <v>45678.36829861111</v>
      </c>
      <c r="F755" s="10" t="n"/>
      <c r="G755" s="10" t="n"/>
      <c r="H755" s="3" t="n"/>
      <c r="I755" s="10" t="n"/>
      <c r="J755" s="10" t="n"/>
      <c r="K755" s="10" t="n"/>
      <c r="L755" s="10" t="n"/>
      <c r="M755" s="11">
        <f>IF(AND(ISNUMBER(E755),ISNUMBER(G755)),(G755-E755),"")</f>
        <v/>
      </c>
      <c r="N755" s="11">
        <f>IF(AND(ISNUMBER(G755),ISNUMBER(L755)),(L755-G755),"")</f>
        <v/>
      </c>
      <c r="O755" s="10" t="n"/>
      <c r="P755" s="11">
        <f>IF(AND(ISNUMBER(I755),ISNUMBER(O755)),(I755-O755),"")</f>
        <v/>
      </c>
      <c r="Q755" s="12" t="n"/>
    </row>
    <row r="756">
      <c r="A756" s="3" t="inlineStr">
        <is>
          <t>1020106</t>
        </is>
      </c>
      <c r="B756" s="3" t="inlineStr">
        <is>
          <t>10201</t>
        </is>
      </c>
      <c r="C756" s="9" t="n">
        <v>108</v>
      </c>
      <c r="D756" s="3" t="inlineStr">
        <is>
          <t>Wr. Neustadt (Hödlmayr)</t>
        </is>
      </c>
      <c r="E756" s="10" t="n">
        <v>45678.36829861111</v>
      </c>
      <c r="F756" s="10" t="n">
        <v>45678.39302083333</v>
      </c>
      <c r="G756" s="10" t="n">
        <v>45678.3949537037</v>
      </c>
      <c r="H756" s="3" t="inlineStr">
        <is>
          <t>OBT210125093211-Wr. Neustadt (Hödlmayr)</t>
        </is>
      </c>
      <c r="I756" s="10" t="n">
        <v>45679.32489583334</v>
      </c>
      <c r="J756" s="10" t="n">
        <v>45679.34364583333</v>
      </c>
      <c r="K756" s="10" t="n">
        <v>45679.34364583333</v>
      </c>
      <c r="L756" s="10" t="n">
        <v>45679.34440972222</v>
      </c>
      <c r="M756" s="11">
        <f>IF(AND(ISNUMBER(E756),ISNUMBER(G756)),(G756-E756),"")</f>
        <v/>
      </c>
      <c r="N756" s="11">
        <f>IF(AND(ISNUMBER(G756),ISNUMBER(L756)),(L756-G756),"")</f>
        <v/>
      </c>
      <c r="O756" s="10" t="n">
        <v>45678.39734953704</v>
      </c>
      <c r="P756" s="11">
        <f>IF(AND(ISNUMBER(I756),ISNUMBER(O756)),(I756-O756),"")</f>
        <v/>
      </c>
      <c r="Q756" s="12" t="inlineStr">
        <is>
          <t>WG 1020106 entered track and got secured, OBTP started on 07:47:51 finished on 08:14:51 and then left at 08:15:57</t>
        </is>
      </c>
    </row>
    <row r="757">
      <c r="A757" s="3" t="inlineStr">
        <is>
          <t>1020107</t>
        </is>
      </c>
      <c r="B757" s="3" t="inlineStr">
        <is>
          <t>10201</t>
        </is>
      </c>
      <c r="C757" s="9" t="n">
        <v>61.9</v>
      </c>
      <c r="D757" s="3" t="inlineStr">
        <is>
          <t>Neunkirchen (loading tracks)</t>
        </is>
      </c>
      <c r="E757" s="10" t="n">
        <v>45678.36829861111</v>
      </c>
      <c r="F757" s="10" t="n">
        <v>45678.3949537037</v>
      </c>
      <c r="G757" s="10" t="n">
        <v>45678.39634259259</v>
      </c>
      <c r="H757" s="3" t="inlineStr">
        <is>
          <t>OBT210125150922-Neunkirchen (loading tracks)</t>
        </is>
      </c>
      <c r="I757" s="10" t="n">
        <v>45679.44578703704</v>
      </c>
      <c r="J757" s="10" t="n">
        <v>45679.46344907407</v>
      </c>
      <c r="K757" s="10" t="n">
        <v>45679.46344907407</v>
      </c>
      <c r="L757" s="10" t="n">
        <v>45679.46422453703</v>
      </c>
      <c r="M757" s="11">
        <f>IF(AND(ISNUMBER(E757),ISNUMBER(G757)),(G757-E757),"")</f>
        <v/>
      </c>
      <c r="N757" s="11">
        <f>IF(AND(ISNUMBER(G757),ISNUMBER(L757)),(L757-G757),"")</f>
        <v/>
      </c>
      <c r="O757" s="10" t="n">
        <v>45678.39989583333</v>
      </c>
      <c r="P757" s="11">
        <f>IF(AND(ISNUMBER(I757),ISNUMBER(O757)),(I757-O757),"")</f>
        <v/>
      </c>
      <c r="Q757" s="12" t="inlineStr">
        <is>
          <t>WG 1020107 entered track and got coupled to WG 1019801 then waited 5:33:31 for WG 1020501 to get coupled, OBTP started on 10:41:56 finished on 11:07:22 and then left at 11:08:29</t>
        </is>
      </c>
    </row>
    <row r="758">
      <c r="A758" s="3" t="inlineStr">
        <is>
          <t>1020108</t>
        </is>
      </c>
      <c r="B758" s="3" t="inlineStr">
        <is>
          <t>10201</t>
        </is>
      </c>
      <c r="C758" s="9" t="n">
        <v>21</v>
      </c>
      <c r="D758" s="3" t="inlineStr">
        <is>
          <t>Neudörfl (FunderMax)</t>
        </is>
      </c>
      <c r="E758" s="10" t="n">
        <v>45678.36829861111</v>
      </c>
      <c r="F758" s="10" t="n">
        <v>45678.39634259259</v>
      </c>
      <c r="G758" s="10" t="n">
        <v>45678.39827546296</v>
      </c>
      <c r="H758" s="3" t="inlineStr">
        <is>
          <t>OBT210125093910-Neudörfl (FunderMax)</t>
        </is>
      </c>
      <c r="I758" s="10" t="n">
        <v>45679.34151620371</v>
      </c>
      <c r="J758" s="10" t="n">
        <v>45679.36085648148</v>
      </c>
      <c r="K758" s="10" t="n">
        <v>45679.36085648148</v>
      </c>
      <c r="L758" s="10" t="n">
        <v>45679.36150462963</v>
      </c>
      <c r="M758" s="11">
        <f>IF(AND(ISNUMBER(E758),ISNUMBER(G758)),(G758-E758),"")</f>
        <v/>
      </c>
      <c r="N758" s="11">
        <f>IF(AND(ISNUMBER(G758),ISNUMBER(L758)),(L758-G758),"")</f>
        <v/>
      </c>
      <c r="O758" s="10" t="n">
        <v>45678.40219907407</v>
      </c>
      <c r="P758" s="11">
        <f>IF(AND(ISNUMBER(I758),ISNUMBER(O758)),(I758-O758),"")</f>
        <v/>
      </c>
      <c r="Q758" s="12" t="inlineStr">
        <is>
          <t>WG 1020108 entered track and got coupled to WG 1020104, OBTP started on 08:11:47 finished on 08:39:38 and then left at 08:40:34</t>
        </is>
      </c>
    </row>
    <row r="759">
      <c r="A759" s="3" t="inlineStr">
        <is>
          <t>1020109</t>
        </is>
      </c>
      <c r="B759" s="3" t="inlineStr">
        <is>
          <t>10201</t>
        </is>
      </c>
      <c r="C759" s="9" t="n">
        <v>15.74</v>
      </c>
      <c r="D759" s="3" t="inlineStr">
        <is>
          <t>Other sidings north</t>
        </is>
      </c>
      <c r="E759" s="10" t="n">
        <v>45678.36829861111</v>
      </c>
      <c r="F759" s="10" t="n">
        <v>45678.39827546296</v>
      </c>
      <c r="G759" s="10" t="n">
        <v>45678.40018518519</v>
      </c>
      <c r="H759" s="3" t="inlineStr">
        <is>
          <t>OBT220125100316-Neudörfl (FunderMax)</t>
        </is>
      </c>
      <c r="I759" s="10" t="n">
        <v>45680.45319444445</v>
      </c>
      <c r="J759" s="10" t="n">
        <v>45680.47625</v>
      </c>
      <c r="K759" s="10" t="n">
        <v>45680.47625</v>
      </c>
      <c r="L759" s="10" t="n">
        <v>45680.47693287037</v>
      </c>
      <c r="M759" s="11">
        <f>IF(AND(ISNUMBER(E759),ISNUMBER(G759)),(G759-E759),"")</f>
        <v/>
      </c>
      <c r="N759" s="11">
        <f>IF(AND(ISNUMBER(G759),ISNUMBER(L759)),(L759-G759),"")</f>
        <v/>
      </c>
      <c r="O759" s="10" t="n">
        <v>45678.40407407407</v>
      </c>
      <c r="P759" s="11">
        <f>IF(AND(ISNUMBER(I759),ISNUMBER(O759)),(I759-O759),"")</f>
        <v/>
      </c>
      <c r="Q759" s="12" t="inlineStr">
        <is>
          <t>WG 1020109 entered track and got coupled to WG 1019803 then waited 5:39:47 for WG 1020506 to get coupled then waited 16:06:54 for WG 1021104 to get coupled then waited 0:13:34 for WG 1021109 to get coupled then waited 2:02:36 for WG 1021501 to get coupled then waited 0:18:33 for WG 1021508 to get coupled, OBTP started on 10:52:36 finished on 11:25:48 and then left at 11:26:47</t>
        </is>
      </c>
    </row>
    <row r="760">
      <c r="A760" s="3" t="inlineStr">
        <is>
          <t>1020201</t>
        </is>
      </c>
      <c r="B760" s="3" t="inlineStr">
        <is>
          <t>10202</t>
        </is>
      </c>
      <c r="C760" s="9" t="n">
        <v>77.3</v>
      </c>
      <c r="D760" s="3" t="inlineStr">
        <is>
          <t>Wien Kledering</t>
        </is>
      </c>
      <c r="E760" s="10" t="n">
        <v>45678.37743055556</v>
      </c>
      <c r="F760" s="10" t="n">
        <v>45678.38303240741</v>
      </c>
      <c r="G760" s="10" t="n">
        <v>45678.38510416666</v>
      </c>
      <c r="H760" s="3" t="inlineStr">
        <is>
          <t>OBT210125103404-Wien Kledering</t>
        </is>
      </c>
      <c r="I760" s="10" t="n">
        <v>45679.36295138889</v>
      </c>
      <c r="J760" s="10" t="n">
        <v>45679.44189814815</v>
      </c>
      <c r="K760" s="10" t="n">
        <v>45679.44189814815</v>
      </c>
      <c r="L760" s="10" t="n">
        <v>45679.44350694444</v>
      </c>
      <c r="M760" s="11">
        <f>IF(AND(ISNUMBER(E760),ISNUMBER(G760)),(G760-E760),"")</f>
        <v/>
      </c>
      <c r="N760" s="11">
        <f>IF(AND(ISNUMBER(G760),ISNUMBER(L760)),(L760-G760),"")</f>
        <v/>
      </c>
      <c r="O760" s="10" t="n">
        <v>45678.3875</v>
      </c>
      <c r="P760" s="11">
        <f>IF(AND(ISNUMBER(I760),ISNUMBER(O760)),(I760-O760),"")</f>
        <v/>
      </c>
      <c r="Q760" s="12" t="inlineStr">
        <is>
          <t>WG 1020201 entered track and got secured then waited 1:11:12 for WG 1020301 to get coupled then waited 0:04:52 for WG 1020303 to get coupled, OBTP started on 08:42:39 finished on 10:36:20 and then left at 10:38:39</t>
        </is>
      </c>
    </row>
    <row r="761">
      <c r="A761" s="3" t="inlineStr">
        <is>
          <t>1020202</t>
        </is>
      </c>
      <c r="B761" s="3" t="inlineStr">
        <is>
          <t>10202</t>
        </is>
      </c>
      <c r="C761" s="9" t="n">
        <v>37.5</v>
      </c>
      <c r="D761" s="3" t="inlineStr">
        <is>
          <t>St. Veit an der Glan</t>
        </is>
      </c>
      <c r="E761" s="10" t="n">
        <v>45678.37743055556</v>
      </c>
      <c r="F761" s="10" t="n">
        <v>45678.38510416666</v>
      </c>
      <c r="G761" s="10" t="n">
        <v>45678.38628472222</v>
      </c>
      <c r="H761" s="3" t="inlineStr">
        <is>
          <t>OBT210125092833-St. Veit an der Glan</t>
        </is>
      </c>
      <c r="I761" s="10" t="n">
        <v>45679.32265046296</v>
      </c>
      <c r="J761" s="10" t="n">
        <v>45679.34758101852</v>
      </c>
      <c r="K761" s="10" t="n">
        <v>45679.34758101852</v>
      </c>
      <c r="L761" s="10" t="n">
        <v>45679.34836805556</v>
      </c>
      <c r="M761" s="11">
        <f>IF(AND(ISNUMBER(E761),ISNUMBER(G761)),(G761-E761),"")</f>
        <v/>
      </c>
      <c r="N761" s="11">
        <f>IF(AND(ISNUMBER(G761),ISNUMBER(L761)),(L761-G761),"")</f>
        <v/>
      </c>
      <c r="O761" s="10" t="n">
        <v>45678.38868055555</v>
      </c>
      <c r="P761" s="11">
        <f>IF(AND(ISNUMBER(I761),ISNUMBER(O761)),(I761-O761),"")</f>
        <v/>
      </c>
      <c r="Q761" s="12" t="inlineStr">
        <is>
          <t>WG 1020202 entered track and got secured then waited 0:07:09 for WG 1020102 to get coupled then waited 0:01:42 for WG 1020103 to get coupled, OBTP started on 07:44:37 finished on 08:20:31 and then left at 08:21:39</t>
        </is>
      </c>
    </row>
    <row r="762">
      <c r="A762" s="3" t="inlineStr">
        <is>
          <t>1020301</t>
        </is>
      </c>
      <c r="B762" s="3" t="inlineStr">
        <is>
          <t>10203</t>
        </is>
      </c>
      <c r="C762" s="9" t="n">
        <v>286.3</v>
      </c>
      <c r="D762" s="3" t="inlineStr">
        <is>
          <t>Wien Kledering</t>
        </is>
      </c>
      <c r="E762" s="10" t="n">
        <v>45678.42128472222</v>
      </c>
      <c r="F762" s="10" t="n">
        <v>45678.43047453704</v>
      </c>
      <c r="G762" s="10" t="n">
        <v>45678.43305555556</v>
      </c>
      <c r="H762" s="3" t="inlineStr">
        <is>
          <t>OBT210125103404-Wien Kledering</t>
        </is>
      </c>
      <c r="I762" s="10" t="n">
        <v>45679.36295138889</v>
      </c>
      <c r="J762" s="10" t="n">
        <v>45679.44189814815</v>
      </c>
      <c r="K762" s="10" t="n">
        <v>45679.44189814815</v>
      </c>
      <c r="L762" s="10" t="n">
        <v>45679.44350694444</v>
      </c>
      <c r="M762" s="11">
        <f>IF(AND(ISNUMBER(E762),ISNUMBER(G762)),(G762-E762),"")</f>
        <v/>
      </c>
      <c r="N762" s="11">
        <f>IF(AND(ISNUMBER(G762),ISNUMBER(L762)),(L762-G762),"")</f>
        <v/>
      </c>
      <c r="O762" s="10" t="n">
        <v>45678.43694444445</v>
      </c>
      <c r="P762" s="11">
        <f>IF(AND(ISNUMBER(I762),ISNUMBER(O762)),(I762-O762),"")</f>
        <v/>
      </c>
      <c r="Q762" s="12" t="inlineStr">
        <is>
          <t>WG 1020301 entered track and got coupled to WG 1020201 then waited 0:04:52 for WG 1020303 to get coupled, OBTP started on 08:42:39 finished on 10:36:20 and then left at 10:38:39</t>
        </is>
      </c>
    </row>
    <row r="763">
      <c r="A763" s="3" t="inlineStr">
        <is>
          <t>1020302</t>
        </is>
      </c>
      <c r="B763" s="3" t="inlineStr">
        <is>
          <t>10203</t>
        </is>
      </c>
      <c r="C763" s="9" t="n">
        <v>40.9</v>
      </c>
      <c r="D763" s="3" t="inlineStr">
        <is>
          <t>St. Veit an der Glan</t>
        </is>
      </c>
      <c r="E763" s="10" t="n">
        <v>45678.42128472222</v>
      </c>
      <c r="F763" s="10" t="n">
        <v>45678.43305555556</v>
      </c>
      <c r="G763" s="10" t="n">
        <v>45678.43427083334</v>
      </c>
      <c r="H763" s="3" t="inlineStr">
        <is>
          <t>OBT210125151409-Neudörfl (FunderMax)</t>
        </is>
      </c>
      <c r="I763" s="10" t="n">
        <v>45679.54993055556</v>
      </c>
      <c r="J763" s="10" t="n">
        <v>45679.58002314815</v>
      </c>
      <c r="K763" s="10" t="n">
        <v>45679.58002314815</v>
      </c>
      <c r="L763" s="10" t="n">
        <v>45679.5808912037</v>
      </c>
      <c r="M763" s="11">
        <f>IF(AND(ISNUMBER(E763),ISNUMBER(G763)),(G763-E763),"")</f>
        <v/>
      </c>
      <c r="N763" s="11">
        <f>IF(AND(ISNUMBER(G763),ISNUMBER(L763)),(L763-G763),"")</f>
        <v/>
      </c>
      <c r="O763" s="10" t="n">
        <v>45678.43666666667</v>
      </c>
      <c r="P763" s="11">
        <f>IF(AND(ISNUMBER(I763),ISNUMBER(O763)),(I763-O763),"")</f>
        <v/>
      </c>
      <c r="Q763" s="12" t="inlineStr">
        <is>
          <t>WG 1020302 entered track and got secured then waited 4:45:21 for WG 1020504 to get coupled, OBTP started on 13:11:54 finished on 13:55:14 and then left at 13:56:29</t>
        </is>
      </c>
    </row>
    <row r="764">
      <c r="A764" s="3" t="inlineStr">
        <is>
          <t>1020303</t>
        </is>
      </c>
      <c r="B764" s="3" t="inlineStr">
        <is>
          <t>10203</t>
        </is>
      </c>
      <c r="C764" s="9" t="n">
        <v>91.17999999999999</v>
      </c>
      <c r="D764" s="3" t="inlineStr">
        <is>
          <t>Wien Kledering</t>
        </is>
      </c>
      <c r="E764" s="10" t="n">
        <v>45678.42128472222</v>
      </c>
      <c r="F764" s="10" t="n">
        <v>45678.43427083334</v>
      </c>
      <c r="G764" s="10" t="n">
        <v>45678.43640046296</v>
      </c>
      <c r="H764" s="3" t="inlineStr">
        <is>
          <t>OBT210125103404-Wien Kledering</t>
        </is>
      </c>
      <c r="I764" s="10" t="n">
        <v>45679.36295138889</v>
      </c>
      <c r="J764" s="10" t="n">
        <v>45679.44189814815</v>
      </c>
      <c r="K764" s="10" t="n">
        <v>45679.44189814815</v>
      </c>
      <c r="L764" s="10" t="n">
        <v>45679.44350694444</v>
      </c>
      <c r="M764" s="11">
        <f>IF(AND(ISNUMBER(E764),ISNUMBER(G764)),(G764-E764),"")</f>
        <v/>
      </c>
      <c r="N764" s="11">
        <f>IF(AND(ISNUMBER(G764),ISNUMBER(L764)),(L764-G764),"")</f>
        <v/>
      </c>
      <c r="O764" s="10" t="n">
        <v>45678.44032407407</v>
      </c>
      <c r="P764" s="11">
        <f>IF(AND(ISNUMBER(I764),ISNUMBER(O764)),(I764-O764),"")</f>
        <v/>
      </c>
      <c r="Q764" s="12" t="inlineStr">
        <is>
          <t>WG 1020303 entered track and got coupled to WG 1020301, OBTP started on 08:42:39 finished on 10:36:20 and then left at 10:38:39</t>
        </is>
      </c>
    </row>
    <row r="765">
      <c r="A765" s="3" t="inlineStr">
        <is>
          <t>1020401</t>
        </is>
      </c>
      <c r="B765" s="3" t="inlineStr">
        <is>
          <t>10204</t>
        </is>
      </c>
      <c r="C765" s="9" t="n">
        <v>398.0400000000001</v>
      </c>
      <c r="D765" s="3" t="inlineStr">
        <is>
          <t>Wien Kledering</t>
        </is>
      </c>
      <c r="E765" s="10" t="n">
        <v>45678.6046412037</v>
      </c>
      <c r="F765" s="10" t="n">
        <v>45678.61135416666</v>
      </c>
      <c r="G765" s="10" t="n">
        <v>45678.61420138889</v>
      </c>
      <c r="H765" s="3" t="inlineStr">
        <is>
          <t>OBT210125144735-Wien Kledering</t>
        </is>
      </c>
      <c r="I765" s="10" t="n">
        <v>45679.42063657408</v>
      </c>
      <c r="J765" s="10" t="n">
        <v>45679.48974537037</v>
      </c>
      <c r="K765" s="10" t="n">
        <v>45679.48974537037</v>
      </c>
      <c r="L765" s="10" t="n">
        <v>45679.49121527778</v>
      </c>
      <c r="M765" s="11">
        <f>IF(AND(ISNUMBER(E765),ISNUMBER(G765)),(G765-E765),"")</f>
        <v/>
      </c>
      <c r="N765" s="11">
        <f>IF(AND(ISNUMBER(G765),ISNUMBER(L765)),(L765-G765),"")</f>
        <v/>
      </c>
      <c r="O765" s="10" t="n">
        <v>45678.61637731481</v>
      </c>
      <c r="P765" s="11">
        <f>IF(AND(ISNUMBER(I765),ISNUMBER(O765)),(I765-O765),"")</f>
        <v/>
      </c>
      <c r="Q765" s="12" t="inlineStr">
        <is>
          <t>WG 1020401 entered track and got secured, OBTP started on 10:05:43 finished on 11:45:14 and then left at 11:47:21</t>
        </is>
      </c>
    </row>
    <row r="766">
      <c r="A766" s="3" t="inlineStr">
        <is>
          <t>1020501</t>
        </is>
      </c>
      <c r="B766" s="3" t="inlineStr">
        <is>
          <t>10205</t>
        </is>
      </c>
      <c r="C766" s="9" t="n">
        <v>19.9</v>
      </c>
      <c r="D766" s="3" t="inlineStr">
        <is>
          <t>Neunkirchen (loading tracks)</t>
        </is>
      </c>
      <c r="E766" s="10" t="n">
        <v>45678.61113425926</v>
      </c>
      <c r="F766" s="10" t="n">
        <v>45678.62670138889</v>
      </c>
      <c r="G766" s="10" t="n">
        <v>45678.62796296296</v>
      </c>
      <c r="H766" s="3" t="inlineStr">
        <is>
          <t>OBT210125150922-Neunkirchen (loading tracks)</t>
        </is>
      </c>
      <c r="I766" s="10" t="n">
        <v>45679.44578703704</v>
      </c>
      <c r="J766" s="10" t="n">
        <v>45679.46344907407</v>
      </c>
      <c r="K766" s="10" t="n">
        <v>45679.46344907407</v>
      </c>
      <c r="L766" s="10" t="n">
        <v>45679.46422453703</v>
      </c>
      <c r="M766" s="11">
        <f>IF(AND(ISNUMBER(E766),ISNUMBER(G766)),(G766-E766),"")</f>
        <v/>
      </c>
      <c r="N766" s="11">
        <f>IF(AND(ISNUMBER(G766),ISNUMBER(L766)),(L766-G766),"")</f>
        <v/>
      </c>
      <c r="O766" s="10" t="n">
        <v>45678.63150462963</v>
      </c>
      <c r="P766" s="11">
        <f>IF(AND(ISNUMBER(I766),ISNUMBER(O766)),(I766-O766),"")</f>
        <v/>
      </c>
      <c r="Q766" s="12" t="inlineStr">
        <is>
          <t>WG 1020501 entered track and got coupled to WG 1020107, OBTP started on 10:41:56 finished on 11:07:22 and then left at 11:08:29</t>
        </is>
      </c>
    </row>
    <row r="767">
      <c r="A767" s="3" t="inlineStr">
        <is>
          <t>1020502</t>
        </is>
      </c>
      <c r="B767" s="3" t="inlineStr">
        <is>
          <t>10205</t>
        </is>
      </c>
      <c r="C767" s="9" t="n">
        <v>19.9</v>
      </c>
      <c r="D767" s="3" t="inlineStr">
        <is>
          <t>Felixdorf/Sollenau (Bundesheer, Maba)</t>
        </is>
      </c>
      <c r="E767" s="10" t="n">
        <v>45678.61113425926</v>
      </c>
      <c r="F767" s="10" t="n">
        <v>45678.62796296296</v>
      </c>
      <c r="G767" s="10" t="n">
        <v>45678.62944444444</v>
      </c>
      <c r="H767" s="3" t="inlineStr">
        <is>
          <t>OBT220125180146-Felixdorf/Sollenau (Bundesheer, Maba)</t>
        </is>
      </c>
      <c r="I767" s="10" t="n">
        <v>45680.65077546296</v>
      </c>
      <c r="J767" s="10" t="n">
        <v>45680.67150462963</v>
      </c>
      <c r="K767" s="10" t="n">
        <v>45680.67150462963</v>
      </c>
      <c r="L767" s="10" t="n">
        <v>45680.67232638889</v>
      </c>
      <c r="M767" s="11">
        <f>IF(AND(ISNUMBER(E767),ISNUMBER(G767)),(G767-E767),"")</f>
        <v/>
      </c>
      <c r="N767" s="11">
        <f>IF(AND(ISNUMBER(G767),ISNUMBER(L767)),(L767-G767),"")</f>
        <v/>
      </c>
      <c r="O767" s="10" t="n">
        <v>45678.63334490741</v>
      </c>
      <c r="P767" s="11">
        <f>IF(AND(ISNUMBER(I767),ISNUMBER(O767)),(I767-O767),"")</f>
        <v/>
      </c>
      <c r="Q767" s="12" t="inlineStr">
        <is>
          <t>WG 1020502 entered track and got coupled to WG 1019101 then waited 18:47:48 for WG 1021507 to get coupled then waited 8:01:57 for WG 1021902 to get coupled, OBTP started on 15:37:07 finished on 16:06:58 and then left at 16:08:09</t>
        </is>
      </c>
    </row>
    <row r="768">
      <c r="A768" s="3" t="inlineStr">
        <is>
          <t>1020503</t>
        </is>
      </c>
      <c r="B768" s="3" t="inlineStr">
        <is>
          <t>10205</t>
        </is>
      </c>
      <c r="C768" s="9" t="n">
        <v>15.74</v>
      </c>
      <c r="D768" s="3" t="inlineStr">
        <is>
          <t>Steinabrückl/Wöllersdorf</t>
        </is>
      </c>
      <c r="E768" s="10" t="n">
        <v>45678.61113425926</v>
      </c>
      <c r="F768" s="10" t="n">
        <v>45678.62944444444</v>
      </c>
      <c r="G768" s="10" t="n">
        <v>45678.63116898148</v>
      </c>
      <c r="H768" s="3" t="inlineStr">
        <is>
          <t>OBT210125151926-Steinabrückl/Wöllersdorf</t>
        </is>
      </c>
      <c r="I768" s="10" t="n">
        <v>45679.64212962963</v>
      </c>
      <c r="J768" s="10" t="n">
        <v>45679.66361111111</v>
      </c>
      <c r="K768" s="10" t="n">
        <v>45679.66361111111</v>
      </c>
      <c r="L768" s="10" t="n">
        <v>45679.66444444445</v>
      </c>
      <c r="M768" s="11">
        <f>IF(AND(ISNUMBER(E768),ISNUMBER(G768)),(G768-E768),"")</f>
        <v/>
      </c>
      <c r="N768" s="11">
        <f>IF(AND(ISNUMBER(G768),ISNUMBER(L768)),(L768-G768),"")</f>
        <v/>
      </c>
      <c r="O768" s="10" t="n">
        <v>45678.63353009259</v>
      </c>
      <c r="P768" s="11">
        <f>IF(AND(ISNUMBER(I768),ISNUMBER(O768)),(I768-O768),"")</f>
        <v/>
      </c>
      <c r="Q768" s="12" t="inlineStr">
        <is>
          <t>WG 1020503 entered track and got secured then waited 0:07:09 for WG 1020505 to get coupled, OBTP started on 15:24:40 finished on 15:55:36 and then left at 15:56:48</t>
        </is>
      </c>
    </row>
    <row r="769">
      <c r="A769" s="3" t="inlineStr">
        <is>
          <t>1020504</t>
        </is>
      </c>
      <c r="B769" s="3" t="inlineStr">
        <is>
          <t>10205</t>
        </is>
      </c>
      <c r="C769" s="9" t="n">
        <v>173.3</v>
      </c>
      <c r="D769" s="3" t="inlineStr">
        <is>
          <t>Neudörfl (FunderMax)</t>
        </is>
      </c>
      <c r="E769" s="10" t="n">
        <v>45678.61113425926</v>
      </c>
      <c r="F769" s="10" t="n">
        <v>45678.63116898148</v>
      </c>
      <c r="G769" s="10" t="n">
        <v>45678.63266203704</v>
      </c>
      <c r="H769" s="3" t="inlineStr">
        <is>
          <t>OBT210125151409-Neudörfl (FunderMax)</t>
        </is>
      </c>
      <c r="I769" s="10" t="n">
        <v>45679.54993055556</v>
      </c>
      <c r="J769" s="10" t="n">
        <v>45679.58002314815</v>
      </c>
      <c r="K769" s="10" t="n">
        <v>45679.58002314815</v>
      </c>
      <c r="L769" s="10" t="n">
        <v>45679.5808912037</v>
      </c>
      <c r="M769" s="11">
        <f>IF(AND(ISNUMBER(E769),ISNUMBER(G769)),(G769-E769),"")</f>
        <v/>
      </c>
      <c r="N769" s="11">
        <f>IF(AND(ISNUMBER(G769),ISNUMBER(L769)),(L769-G769),"")</f>
        <v/>
      </c>
      <c r="O769" s="10" t="n">
        <v>45678.63482638889</v>
      </c>
      <c r="P769" s="11">
        <f>IF(AND(ISNUMBER(I769),ISNUMBER(O769)),(I769-O769),"")</f>
        <v/>
      </c>
      <c r="Q769" s="12" t="inlineStr">
        <is>
          <t>WG 1020504 entered track and got secured, OBTP started on 13:11:54 finished on 13:55:14 and then left at 13:56:29</t>
        </is>
      </c>
    </row>
    <row r="770">
      <c r="A770" s="3" t="inlineStr">
        <is>
          <t>1020505</t>
        </is>
      </c>
      <c r="B770" s="3" t="inlineStr">
        <is>
          <t>10205</t>
        </is>
      </c>
      <c r="C770" s="9" t="n">
        <v>108</v>
      </c>
      <c r="D770" s="3" t="inlineStr">
        <is>
          <t>Wr. Neustadt (Hödlmayr)</t>
        </is>
      </c>
      <c r="E770" s="10" t="n">
        <v>45678.61113425926</v>
      </c>
      <c r="F770" s="10" t="n">
        <v>45678.63266203704</v>
      </c>
      <c r="G770" s="10" t="n">
        <v>45678.63460648148</v>
      </c>
      <c r="H770" s="3" t="inlineStr">
        <is>
          <t>OBT210125151926-Steinabrückl/Wöllersdorf</t>
        </is>
      </c>
      <c r="I770" s="10" t="n">
        <v>45679.64212962963</v>
      </c>
      <c r="J770" s="10" t="n">
        <v>45679.66361111111</v>
      </c>
      <c r="K770" s="10" t="n">
        <v>45679.66361111111</v>
      </c>
      <c r="L770" s="10" t="n">
        <v>45679.66444444445</v>
      </c>
      <c r="M770" s="11">
        <f>IF(AND(ISNUMBER(E770),ISNUMBER(G770)),(G770-E770),"")</f>
        <v/>
      </c>
      <c r="N770" s="11">
        <f>IF(AND(ISNUMBER(G770),ISNUMBER(L770)),(L770-G770),"")</f>
        <v/>
      </c>
      <c r="O770" s="10" t="n">
        <v>45678.63849537037</v>
      </c>
      <c r="P770" s="11">
        <f>IF(AND(ISNUMBER(I770),ISNUMBER(O770)),(I770-O770),"")</f>
        <v/>
      </c>
      <c r="Q770" s="12" t="inlineStr">
        <is>
          <t>WG 1020505 entered track and got coupled to WG 1020503, OBTP started on 15:24:40 finished on 15:55:36 and then left at 15:56:48</t>
        </is>
      </c>
    </row>
    <row r="771">
      <c r="A771" s="3" t="inlineStr">
        <is>
          <t>1020506</t>
        </is>
      </c>
      <c r="B771" s="3" t="inlineStr">
        <is>
          <t>10205</t>
        </is>
      </c>
      <c r="C771" s="9" t="n">
        <v>15.74</v>
      </c>
      <c r="D771" s="3" t="inlineStr">
        <is>
          <t>Other sidings north</t>
        </is>
      </c>
      <c r="E771" s="10" t="n">
        <v>45678.61113425926</v>
      </c>
      <c r="F771" s="10" t="n">
        <v>45678.63460648148</v>
      </c>
      <c r="G771" s="10" t="n">
        <v>45678.63648148148</v>
      </c>
      <c r="H771" s="3" t="inlineStr">
        <is>
          <t>OBT220125100316-Neudörfl (FunderMax)</t>
        </is>
      </c>
      <c r="I771" s="10" t="n">
        <v>45680.45319444445</v>
      </c>
      <c r="J771" s="10" t="n">
        <v>45680.47625</v>
      </c>
      <c r="K771" s="10" t="n">
        <v>45680.47625</v>
      </c>
      <c r="L771" s="10" t="n">
        <v>45680.47693287037</v>
      </c>
      <c r="M771" s="11">
        <f>IF(AND(ISNUMBER(E771),ISNUMBER(G771)),(G771-E771),"")</f>
        <v/>
      </c>
      <c r="N771" s="11">
        <f>IF(AND(ISNUMBER(G771),ISNUMBER(L771)),(L771-G771),"")</f>
        <v/>
      </c>
      <c r="O771" s="10" t="n">
        <v>45678.64003472222</v>
      </c>
      <c r="P771" s="11">
        <f>IF(AND(ISNUMBER(I771),ISNUMBER(O771)),(I771-O771),"")</f>
        <v/>
      </c>
      <c r="Q771" s="12" t="inlineStr">
        <is>
          <t>WG 1020506 entered track and got coupled to WG 1020109 then waited 16:06:54 for WG 1021104 to get coupled then waited 0:13:34 for WG 1021109 to get coupled then waited 2:02:36 for WG 1021501 to get coupled then waited 0:18:33 for WG 1021508 to get coupled, OBTP started on 10:52:36 finished on 11:25:48 and then left at 11:26:47</t>
        </is>
      </c>
    </row>
    <row r="772">
      <c r="A772" s="3" t="inlineStr">
        <is>
          <t>1020507</t>
        </is>
      </c>
      <c r="B772" s="3" t="inlineStr">
        <is>
          <t>10205</t>
        </is>
      </c>
      <c r="C772" s="9" t="n">
        <v>209.9</v>
      </c>
      <c r="D772" s="3" t="inlineStr">
        <is>
          <t>Pitten (Hamburger)</t>
        </is>
      </c>
      <c r="E772" s="10" t="n">
        <v>45678.61113425926</v>
      </c>
      <c r="F772" s="10" t="n">
        <v>45678.63648148148</v>
      </c>
      <c r="G772" s="10" t="n">
        <v>45678.63851851852</v>
      </c>
      <c r="H772" s="3" t="inlineStr">
        <is>
          <t>OBT210125152253-Pitten (Hamburger)</t>
        </is>
      </c>
      <c r="I772" s="10" t="n">
        <v>45679.74309027778</v>
      </c>
      <c r="J772" s="10" t="n">
        <v>45679.77953703704</v>
      </c>
      <c r="K772" s="10" t="n">
        <v>45679.77953703704</v>
      </c>
      <c r="L772" s="10" t="n">
        <v>45679.78061342592</v>
      </c>
      <c r="M772" s="11">
        <f>IF(AND(ISNUMBER(E772),ISNUMBER(G772)),(G772-E772),"")</f>
        <v/>
      </c>
      <c r="N772" s="11">
        <f>IF(AND(ISNUMBER(G772),ISNUMBER(L772)),(L772-G772),"")</f>
        <v/>
      </c>
      <c r="O772" s="10" t="n">
        <v>45678.6408912037</v>
      </c>
      <c r="P772" s="11">
        <f>IF(AND(ISNUMBER(I772),ISNUMBER(O772)),(I772-O772),"")</f>
        <v/>
      </c>
      <c r="Q772" s="12" t="inlineStr">
        <is>
          <t>WG 1020507 entered track and got secured, OBTP started on 17:50:03 finished on 18:42:32 and then left at 18:44:05</t>
        </is>
      </c>
    </row>
    <row r="773">
      <c r="A773" s="3" t="inlineStr">
        <is>
          <t>1020508</t>
        </is>
      </c>
      <c r="B773" s="3" t="inlineStr">
        <is>
          <t>10205</t>
        </is>
      </c>
      <c r="C773" s="9" t="n">
        <v>19.9</v>
      </c>
      <c r="D773" s="3" t="inlineStr">
        <is>
          <t>Other sidings local</t>
        </is>
      </c>
      <c r="E773" s="10" t="n">
        <v>45678.61113425926</v>
      </c>
      <c r="F773" s="10" t="n">
        <v>45678.63851851852</v>
      </c>
      <c r="G773" s="10" t="n">
        <v>45678.64023148148</v>
      </c>
      <c r="H773" s="3" t="inlineStr">
        <is>
          <t>OBT220125073335-Other sidings local</t>
        </is>
      </c>
      <c r="I773" s="10" t="n">
        <v>45680.30650462963</v>
      </c>
      <c r="J773" s="10" t="n">
        <v>45680.32506944444</v>
      </c>
      <c r="K773" s="10" t="n">
        <v>45680.32570601852</v>
      </c>
      <c r="L773" s="10" t="n">
        <v>45680.32655092593</v>
      </c>
      <c r="M773" s="11">
        <f>IF(AND(ISNUMBER(E773),ISNUMBER(G773)),(G773-E773),"")</f>
        <v/>
      </c>
      <c r="N773" s="11">
        <f>IF(AND(ISNUMBER(G773),ISNUMBER(L773)),(L773-G773),"")</f>
        <v/>
      </c>
      <c r="O773" s="10" t="n">
        <v>45678.64412037037</v>
      </c>
      <c r="P773" s="11">
        <f>IF(AND(ISNUMBER(I773),ISNUMBER(O773)),(I773-O773),"")</f>
        <v/>
      </c>
      <c r="Q773" s="12" t="inlineStr">
        <is>
          <t>WG 1020508 entered track and got coupled to WG 1019808 then waited 16:06:03 for WG 1021105 to get coupled, OBTP started on 07:21:22 finished on 07:48:06 and then left at 07:50:14</t>
        </is>
      </c>
    </row>
    <row r="774">
      <c r="A774" s="3" t="inlineStr">
        <is>
          <t>1020601</t>
        </is>
      </c>
      <c r="B774" s="3" t="inlineStr">
        <is>
          <t>10206</t>
        </is>
      </c>
      <c r="C774" s="9" t="n">
        <v>125.92</v>
      </c>
      <c r="D774" s="3" t="inlineStr">
        <is>
          <t>Wien Kledering</t>
        </is>
      </c>
      <c r="E774" s="10" t="n">
        <v>45678.62731481482</v>
      </c>
      <c r="F774" s="10" t="n">
        <v>45678.64109953704</v>
      </c>
      <c r="G774" s="10" t="n">
        <v>45678.64329861111</v>
      </c>
      <c r="H774" s="3" t="inlineStr">
        <is>
          <t>OBT210125152947-Wien Kledering</t>
        </is>
      </c>
      <c r="I774" s="10" t="n">
        <v>45679.76295138889</v>
      </c>
      <c r="J774" s="10" t="n">
        <v>45679.78480324074</v>
      </c>
      <c r="K774" s="10" t="n">
        <v>45679.78480324074</v>
      </c>
      <c r="L774" s="10" t="n">
        <v>45679.78564814815</v>
      </c>
      <c r="M774" s="11">
        <f>IF(AND(ISNUMBER(E774),ISNUMBER(G774)),(G774-E774),"")</f>
        <v/>
      </c>
      <c r="N774" s="11">
        <f>IF(AND(ISNUMBER(G774),ISNUMBER(L774)),(L774-G774),"")</f>
        <v/>
      </c>
      <c r="O774" s="10" t="n">
        <v>45678.64568287037</v>
      </c>
      <c r="P774" s="11">
        <f>IF(AND(ISNUMBER(I774),ISNUMBER(O774)),(I774-O774),"")</f>
        <v/>
      </c>
      <c r="Q774" s="12" t="inlineStr">
        <is>
          <t>WG 1020601 entered track and got secured, OBTP started on 18:18:39 finished on 18:50:07 and then left at 18:51:20</t>
        </is>
      </c>
    </row>
    <row r="775">
      <c r="A775" s="3" t="inlineStr">
        <is>
          <t>1020701</t>
        </is>
      </c>
      <c r="B775" s="3" t="inlineStr">
        <is>
          <t>10207</t>
        </is>
      </c>
      <c r="C775" s="9" t="n">
        <v>187.4</v>
      </c>
      <c r="D775" s="3" t="inlineStr">
        <is>
          <t>Wien Kledering</t>
        </is>
      </c>
      <c r="E775" s="10" t="n">
        <v>45678.87028935185</v>
      </c>
      <c r="F775" s="10" t="n">
        <v>45678.87542824074</v>
      </c>
      <c r="G775" s="10" t="n">
        <v>45678.87777777778</v>
      </c>
      <c r="H775" s="3" t="inlineStr">
        <is>
          <t>OBT210125210727-Wien Kledering</t>
        </is>
      </c>
      <c r="I775" s="10" t="n">
        <v>45679.76534722222</v>
      </c>
      <c r="J775" s="10" t="n">
        <v>45679.79788194445</v>
      </c>
      <c r="K775" s="10" t="n">
        <v>45679.79788194445</v>
      </c>
      <c r="L775" s="10" t="n">
        <v>45679.79885416666</v>
      </c>
      <c r="M775" s="11">
        <f>IF(AND(ISNUMBER(E775),ISNUMBER(G775)),(G775-E775),"")</f>
        <v/>
      </c>
      <c r="N775" s="11">
        <f>IF(AND(ISNUMBER(G775),ISNUMBER(L775)),(L775-G775),"")</f>
        <v/>
      </c>
      <c r="O775" s="10" t="n">
        <v>45678.88017361111</v>
      </c>
      <c r="P775" s="11">
        <f>IF(AND(ISNUMBER(I775),ISNUMBER(O775)),(I775-O775),"")</f>
        <v/>
      </c>
      <c r="Q775" s="12" t="inlineStr">
        <is>
          <t>WG 1020701 entered track and got secured, OBTP started on 18:22:06 finished on 19:08:57 and then left at 19:10:21</t>
        </is>
      </c>
    </row>
    <row r="776">
      <c r="A776" s="3" t="inlineStr">
        <is>
          <t>1020801</t>
        </is>
      </c>
      <c r="B776" s="3" t="inlineStr">
        <is>
          <t>10208</t>
        </is>
      </c>
      <c r="C776" s="9" t="n">
        <v>74.62</v>
      </c>
      <c r="D776" s="3" t="inlineStr">
        <is>
          <t>Other sidings south</t>
        </is>
      </c>
      <c r="E776" s="10" t="n">
        <v>45679.10524305556</v>
      </c>
      <c r="F776" s="10" t="n">
        <v>45679.11453703704</v>
      </c>
      <c r="G776" s="10" t="n">
        <v>45679.11583333334</v>
      </c>
      <c r="H776" s="3" t="inlineStr">
        <is>
          <t>OBT220125025432-Other sidings south</t>
        </is>
      </c>
      <c r="I776" s="10" t="n">
        <v>45679.86597222222</v>
      </c>
      <c r="J776" s="10" t="n">
        <v>45679.9040625</v>
      </c>
      <c r="K776" s="10" t="n">
        <v>45679.9040625</v>
      </c>
      <c r="L776" s="10" t="n">
        <v>45679.90503472222</v>
      </c>
      <c r="M776" s="11">
        <f>IF(AND(ISNUMBER(E776),ISNUMBER(G776)),(G776-E776),"")</f>
        <v/>
      </c>
      <c r="N776" s="11">
        <f>IF(AND(ISNUMBER(G776),ISNUMBER(L776)),(L776-G776),"")</f>
        <v/>
      </c>
      <c r="O776" s="10" t="n">
        <v>45679.11802083333</v>
      </c>
      <c r="P776" s="11">
        <f>IF(AND(ISNUMBER(I776),ISNUMBER(O776)),(I776-O776),"")</f>
        <v/>
      </c>
      <c r="Q776" s="12" t="inlineStr">
        <is>
          <t>WG 1020801 entered track and got secured then waited 0:04:35 for WG 1020802 to get coupled, OBTP started on 20:47:00 finished on 21:41:51 and then left at 21:43:15</t>
        </is>
      </c>
    </row>
    <row r="777">
      <c r="A777" s="3" t="inlineStr">
        <is>
          <t>1020802</t>
        </is>
      </c>
      <c r="B777" s="3" t="inlineStr">
        <is>
          <t>10208</t>
        </is>
      </c>
      <c r="C777" s="9" t="n">
        <v>144.8</v>
      </c>
      <c r="D777" s="3" t="inlineStr">
        <is>
          <t>Neunkirchen (loading tracks)</t>
        </is>
      </c>
      <c r="E777" s="10" t="n">
        <v>45679.10524305556</v>
      </c>
      <c r="F777" s="10" t="n">
        <v>45679.11583333334</v>
      </c>
      <c r="G777" s="10" t="n">
        <v>45679.11729166667</v>
      </c>
      <c r="H777" s="3" t="inlineStr">
        <is>
          <t>OBT220125025432-Other sidings south</t>
        </is>
      </c>
      <c r="I777" s="10" t="n">
        <v>45679.86597222222</v>
      </c>
      <c r="J777" s="10" t="n">
        <v>45679.9040625</v>
      </c>
      <c r="K777" s="10" t="n">
        <v>45679.9040625</v>
      </c>
      <c r="L777" s="10" t="n">
        <v>45679.90503472222</v>
      </c>
      <c r="M777" s="11">
        <f>IF(AND(ISNUMBER(E777),ISNUMBER(G777)),(G777-E777),"")</f>
        <v/>
      </c>
      <c r="N777" s="11">
        <f>IF(AND(ISNUMBER(G777),ISNUMBER(L777)),(L777-G777),"")</f>
        <v/>
      </c>
      <c r="O777" s="10" t="n">
        <v>45679.1212037037</v>
      </c>
      <c r="P777" s="11">
        <f>IF(AND(ISNUMBER(I777),ISNUMBER(O777)),(I777-O777),"")</f>
        <v/>
      </c>
      <c r="Q777" s="12" t="inlineStr">
        <is>
          <t>WG 1020802 entered track and got coupled to WG 1020801, OBTP started on 20:47:00 finished on 21:41:51 and then left at 21:43:15</t>
        </is>
      </c>
    </row>
    <row r="778">
      <c r="A778" s="3" t="inlineStr">
        <is>
          <t>1020803</t>
        </is>
      </c>
      <c r="B778" s="3" t="inlineStr">
        <is>
          <t>10208</t>
        </is>
      </c>
      <c r="C778" s="9" t="n">
        <v>47.22</v>
      </c>
      <c r="D778" s="3" t="inlineStr">
        <is>
          <t>Gloggnitz</t>
        </is>
      </c>
      <c r="E778" s="10" t="n">
        <v>45679.10524305556</v>
      </c>
      <c r="F778" s="10" t="n">
        <v>45679.11729166667</v>
      </c>
      <c r="G778" s="10" t="n">
        <v>45679.11928240741</v>
      </c>
      <c r="H778" s="3" t="inlineStr">
        <is>
          <t>OBT220125094552-Pitten (Hamburger)</t>
        </is>
      </c>
      <c r="I778" s="10" t="n">
        <v>45680.33</v>
      </c>
      <c r="J778" s="10" t="n">
        <v>45680.36111111111</v>
      </c>
      <c r="K778" s="10" t="n">
        <v>45680.36111111111</v>
      </c>
      <c r="L778" s="10" t="n">
        <v>45680.36192129629</v>
      </c>
      <c r="M778" s="11">
        <f>IF(AND(ISNUMBER(E778),ISNUMBER(G778)),(G778-E778),"")</f>
        <v/>
      </c>
      <c r="N778" s="11">
        <f>IF(AND(ISNUMBER(G778),ISNUMBER(L778)),(L778-G778),"")</f>
        <v/>
      </c>
      <c r="O778" s="10" t="n">
        <v>45679.12145833333</v>
      </c>
      <c r="P778" s="11">
        <f>IF(AND(ISNUMBER(I778),ISNUMBER(O778)),(I778-O778),"")</f>
        <v/>
      </c>
      <c r="Q778" s="12" t="inlineStr">
        <is>
          <t>WG 1020803 entered track and got secured then waited 6:50:58 for WG 1021502 to get coupled, OBTP started on 07:55:12 finished on 08:40:00 and then left at 08:41:10</t>
        </is>
      </c>
    </row>
    <row r="779">
      <c r="A779" s="3" t="inlineStr">
        <is>
          <t>1020804</t>
        </is>
      </c>
      <c r="B779" s="3" t="inlineStr">
        <is>
          <t>10208</t>
        </is>
      </c>
      <c r="C779" s="9" t="n">
        <v>31.94</v>
      </c>
      <c r="D779" s="3" t="inlineStr">
        <is>
          <t>Ternitz (Schoeller-Bleckmann)</t>
        </is>
      </c>
      <c r="E779" s="10" t="n">
        <v>45679.10524305556</v>
      </c>
      <c r="F779" s="10" t="n">
        <v>45679.11928240741</v>
      </c>
      <c r="G779" s="10" t="n">
        <v>45679.12127314815</v>
      </c>
      <c r="H779" s="3" t="inlineStr">
        <is>
          <t>OBT220125095350-Neunkirchen (loading tracks)</t>
        </is>
      </c>
      <c r="I779" s="10" t="n">
        <v>45680.37738425926</v>
      </c>
      <c r="J779" s="10" t="n">
        <v>45680.39731481481</v>
      </c>
      <c r="K779" s="10" t="n">
        <v>45680.39731481481</v>
      </c>
      <c r="L779" s="10" t="n">
        <v>45680.398125</v>
      </c>
      <c r="M779" s="11">
        <f>IF(AND(ISNUMBER(E779),ISNUMBER(G779)),(G779-E779),"")</f>
        <v/>
      </c>
      <c r="N779" s="11">
        <f>IF(AND(ISNUMBER(G779),ISNUMBER(L779)),(L779-G779),"")</f>
        <v/>
      </c>
      <c r="O779" s="10" t="n">
        <v>45679.1234375</v>
      </c>
      <c r="P779" s="11">
        <f>IF(AND(ISNUMBER(I779),ISNUMBER(O779)),(I779-O779),"")</f>
        <v/>
      </c>
      <c r="Q779" s="12" t="inlineStr">
        <is>
          <t>WG 1020804 entered track and got secured then waited 4:25:42 for WG 1021102 to get coupled then waited 0:12:25 for WG 1021106 to get coupled then waited 2:15:10 for WG 1021503 to get coupled then waited 0:02:48 for WG 1021504 to get coupled, OBTP started on 09:03:26 finished on 09:32:08 and then left at 09:33:18</t>
        </is>
      </c>
    </row>
    <row r="780">
      <c r="A780" s="3" t="inlineStr">
        <is>
          <t>1020901</t>
        </is>
      </c>
      <c r="B780" s="3" t="inlineStr">
        <is>
          <t>10209</t>
        </is>
      </c>
      <c r="C780" s="9" t="n">
        <v>366.6</v>
      </c>
      <c r="D780" s="3" t="inlineStr">
        <is>
          <t>Neudörfl (FunderMax)</t>
        </is>
      </c>
      <c r="E780" s="10" t="n">
        <v>45679.19233796297</v>
      </c>
      <c r="F780" s="10" t="n">
        <v>45679.19890046296</v>
      </c>
      <c r="G780" s="10" t="n">
        <v>45679.20173611111</v>
      </c>
      <c r="H780" s="3" t="inlineStr">
        <is>
          <t>OBT220125045357-Neudörfl (FunderMax)</t>
        </is>
      </c>
      <c r="I780" s="10" t="n">
        <v>45680.1319212963</v>
      </c>
      <c r="J780" s="10" t="n">
        <v>45680.19556712963</v>
      </c>
      <c r="K780" s="10" t="n">
        <v>45680.19556712963</v>
      </c>
      <c r="L780" s="10" t="n">
        <v>45680.19690972222</v>
      </c>
      <c r="M780" s="11">
        <f>IF(AND(ISNUMBER(E780),ISNUMBER(G780)),(G780-E780),"")</f>
        <v/>
      </c>
      <c r="N780" s="11">
        <f>IF(AND(ISNUMBER(G780),ISNUMBER(L780)),(L780-G780),"")</f>
        <v/>
      </c>
      <c r="O780" s="10" t="n">
        <v>45679.20413194445</v>
      </c>
      <c r="P780" s="11">
        <f>IF(AND(ISNUMBER(I780),ISNUMBER(O780)),(I780-O780),"")</f>
        <v/>
      </c>
      <c r="Q780" s="12" t="inlineStr">
        <is>
          <t>WG 1020901 entered track and got secured, OBTP started on 03:09:58 finished on 04:41:37 and then left at 04:43:33</t>
        </is>
      </c>
    </row>
    <row r="781">
      <c r="A781" s="3" t="inlineStr">
        <is>
          <t>1021001</t>
        </is>
      </c>
      <c r="B781" s="3" t="inlineStr">
        <is>
          <t>10210</t>
        </is>
      </c>
      <c r="C781" s="9" t="n">
        <v>291.7</v>
      </c>
      <c r="D781" s="3" t="inlineStr">
        <is>
          <t>Wien Kledering</t>
        </is>
      </c>
      <c r="E781" s="10" t="n">
        <v>45679.26664351852</v>
      </c>
      <c r="F781" s="10" t="n">
        <v>45679.27265046296</v>
      </c>
      <c r="G781" s="10" t="n">
        <v>45679.27524305556</v>
      </c>
      <c r="H781" s="3" t="inlineStr">
        <is>
          <t>OBT220125063948-Wien Kledering</t>
        </is>
      </c>
      <c r="I781" s="10" t="n">
        <v>45680.27384259259</v>
      </c>
      <c r="J781" s="10" t="n">
        <v>45680.32447916667</v>
      </c>
      <c r="K781" s="10" t="n">
        <v>45680.32447916667</v>
      </c>
      <c r="L781" s="10" t="n">
        <v>45680.32570601852</v>
      </c>
      <c r="M781" s="11">
        <f>IF(AND(ISNUMBER(E781),ISNUMBER(G781)),(G781-E781),"")</f>
        <v/>
      </c>
      <c r="N781" s="11">
        <f>IF(AND(ISNUMBER(G781),ISNUMBER(L781)),(L781-G781),"")</f>
        <v/>
      </c>
      <c r="O781" s="10" t="n">
        <v>45679.27763888889</v>
      </c>
      <c r="P781" s="11">
        <f>IF(AND(ISNUMBER(I781),ISNUMBER(O781)),(I781-O781),"")</f>
        <v/>
      </c>
      <c r="Q781" s="12" t="inlineStr">
        <is>
          <t>WG 1021001 entered track and got secured, OBTP started on 06:34:20 finished on 07:47:15 and then left at 07:49:01</t>
        </is>
      </c>
    </row>
    <row r="782">
      <c r="A782" s="3" t="inlineStr">
        <is>
          <t>1021101</t>
        </is>
      </c>
      <c r="B782" s="3" t="inlineStr">
        <is>
          <t>10211</t>
        </is>
      </c>
      <c r="C782" s="9" t="n">
        <v>81</v>
      </c>
      <c r="D782" s="3" t="inlineStr">
        <is>
          <t>Wr. Neustadt (Hödlmayr)</t>
        </is>
      </c>
      <c r="E782" s="10" t="n">
        <v>45679.28451388889</v>
      </c>
      <c r="F782" s="10" t="n">
        <v>45679.30229166667</v>
      </c>
      <c r="G782" s="10" t="n">
        <v>45679.30383101852</v>
      </c>
      <c r="H782" s="3" t="inlineStr">
        <is>
          <t>OBT220125095549-Wr. Neustadt (Hödlmayr)</t>
        </is>
      </c>
      <c r="I782" s="10" t="n">
        <v>45680.41893518518</v>
      </c>
      <c r="J782" s="10" t="n">
        <v>45680.43768518518</v>
      </c>
      <c r="K782" s="10" t="n">
        <v>45680.43768518518</v>
      </c>
      <c r="L782" s="10" t="n">
        <v>45680.43841435185</v>
      </c>
      <c r="M782" s="11">
        <f>IF(AND(ISNUMBER(E782),ISNUMBER(G782)),(G782-E782),"")</f>
        <v/>
      </c>
      <c r="N782" s="11">
        <f>IF(AND(ISNUMBER(G782),ISNUMBER(L782)),(L782-G782),"")</f>
        <v/>
      </c>
      <c r="O782" s="10" t="n">
        <v>45679.30622685186</v>
      </c>
      <c r="P782" s="11">
        <f>IF(AND(ISNUMBER(I782),ISNUMBER(O782)),(I782-O782),"")</f>
        <v/>
      </c>
      <c r="Q782" s="12" t="inlineStr">
        <is>
          <t>WG 1021101 entered track and got secured then waited 2:34:51 for WG 1021505 to get coupled, OBTP started on 10:03:16 finished on 10:30:16 and then left at 10:31:19</t>
        </is>
      </c>
    </row>
    <row r="783">
      <c r="A783" s="3" t="inlineStr">
        <is>
          <t>1021102</t>
        </is>
      </c>
      <c r="B783" s="3" t="inlineStr">
        <is>
          <t>10211</t>
        </is>
      </c>
      <c r="C783" s="9" t="n">
        <v>19.9</v>
      </c>
      <c r="D783" s="3" t="inlineStr">
        <is>
          <t>Neunkirchen (loading tracks)</t>
        </is>
      </c>
      <c r="E783" s="10" t="n">
        <v>45679.28451388889</v>
      </c>
      <c r="F783" s="10" t="n">
        <v>45679.30383101852</v>
      </c>
      <c r="G783" s="10" t="n">
        <v>45679.30578703704</v>
      </c>
      <c r="H783" s="3" t="inlineStr">
        <is>
          <t>OBT220125095350-Neunkirchen (loading tracks)</t>
        </is>
      </c>
      <c r="I783" s="10" t="n">
        <v>45680.37738425926</v>
      </c>
      <c r="J783" s="10" t="n">
        <v>45680.39731481481</v>
      </c>
      <c r="K783" s="10" t="n">
        <v>45680.39731481481</v>
      </c>
      <c r="L783" s="10" t="n">
        <v>45680.398125</v>
      </c>
      <c r="M783" s="11">
        <f>IF(AND(ISNUMBER(E783),ISNUMBER(G783)),(G783-E783),"")</f>
        <v/>
      </c>
      <c r="N783" s="11">
        <f>IF(AND(ISNUMBER(G783),ISNUMBER(L783)),(L783-G783),"")</f>
        <v/>
      </c>
      <c r="O783" s="10" t="n">
        <v>45679.30795138889</v>
      </c>
      <c r="P783" s="11">
        <f>IF(AND(ISNUMBER(I783),ISNUMBER(O783)),(I783-O783),"")</f>
        <v/>
      </c>
      <c r="Q783" s="12" t="inlineStr">
        <is>
          <t>WG 1021102 entered track and got secured then waited 0:12:25 for WG 1021106 to get coupled then waited 2:15:10 for WG 1021503 to get coupled then waited 0:02:48 for WG 1021504 to get coupled, OBTP started on 09:03:26 finished on 09:32:08 and then left at 09:33:18</t>
        </is>
      </c>
    </row>
    <row r="784">
      <c r="A784" s="3" t="inlineStr">
        <is>
          <t>1021103</t>
        </is>
      </c>
      <c r="B784" s="3" t="inlineStr">
        <is>
          <t>10211</t>
        </is>
      </c>
      <c r="C784" s="9" t="n">
        <v>15.74</v>
      </c>
      <c r="D784" s="3" t="inlineStr">
        <is>
          <t>Obereggendorf (Hofer)</t>
        </is>
      </c>
      <c r="E784" s="10" t="n">
        <v>45679.28451388889</v>
      </c>
      <c r="F784" s="10" t="n">
        <v>45679.30578703704</v>
      </c>
      <c r="G784" s="10" t="n">
        <v>45679.30740740741</v>
      </c>
      <c r="H784" s="3" t="inlineStr">
        <is>
          <t>OBT230125175458-Wr. Neustadt Ausfahrbf (Furtenbach)</t>
        </is>
      </c>
      <c r="I784" s="10" t="n">
        <v>45681.73866898148</v>
      </c>
      <c r="J784" s="10" t="n">
        <v>45681.7572337963</v>
      </c>
      <c r="K784" s="10" t="n">
        <v>45681.7572337963</v>
      </c>
      <c r="L784" s="10" t="n">
        <v>45681.7580787037</v>
      </c>
      <c r="M784" s="11">
        <f>IF(AND(ISNUMBER(E784),ISNUMBER(G784)),(G784-E784),"")</f>
        <v/>
      </c>
      <c r="N784" s="11">
        <f>IF(AND(ISNUMBER(G784),ISNUMBER(L784)),(L784-G784),"")</f>
        <v/>
      </c>
      <c r="O784" s="10" t="n">
        <v>45679.30980324074</v>
      </c>
      <c r="P784" s="11">
        <f>IF(AND(ISNUMBER(I784),ISNUMBER(O784)),(I784-O784),"")</f>
        <v/>
      </c>
      <c r="Q784" s="12" t="inlineStr">
        <is>
          <t>WG 1021103 entered track and got secured then waited 2:32:04 for WG 1021506 to get coupled then waited 8:15:35 for WG 1021907 to get coupled then waited 2:18:45 for WG 1022202 to get coupled then waited 0:14:35 for WG 1022207 to get coupled then waited 13:00:33 for WG 1022904 to get coupled then waited 0:02:14 for WG 1022905 to get coupled then waited 7:57:19 for WG 1023505 to get coupled then waited 0:07:46 for WG 1023508 to get coupled, OBTP started on 17:43:41 finished on 18:10:25 and then left at 18:11:38</t>
        </is>
      </c>
    </row>
    <row r="785">
      <c r="A785" s="3" t="inlineStr">
        <is>
          <t>1021104</t>
        </is>
      </c>
      <c r="B785" s="3" t="inlineStr">
        <is>
          <t>10211</t>
        </is>
      </c>
      <c r="C785" s="9" t="n">
        <v>19.9</v>
      </c>
      <c r="D785" s="3" t="inlineStr">
        <is>
          <t>Neudörfl (FunderMax)</t>
        </is>
      </c>
      <c r="E785" s="10" t="n">
        <v>45679.28451388889</v>
      </c>
      <c r="F785" s="10" t="n">
        <v>45679.30740740741</v>
      </c>
      <c r="G785" s="10" t="n">
        <v>45679.3093287037</v>
      </c>
      <c r="H785" s="3" t="inlineStr">
        <is>
          <t>OBT220125100316-Neudörfl (FunderMax)</t>
        </is>
      </c>
      <c r="I785" s="10" t="n">
        <v>45680.45319444445</v>
      </c>
      <c r="J785" s="10" t="n">
        <v>45680.47625</v>
      </c>
      <c r="K785" s="10" t="n">
        <v>45680.47625</v>
      </c>
      <c r="L785" s="10" t="n">
        <v>45680.47693287037</v>
      </c>
      <c r="M785" s="11">
        <f>IF(AND(ISNUMBER(E785),ISNUMBER(G785)),(G785-E785),"")</f>
        <v/>
      </c>
      <c r="N785" s="11">
        <f>IF(AND(ISNUMBER(G785),ISNUMBER(L785)),(L785-G785),"")</f>
        <v/>
      </c>
      <c r="O785" s="10" t="n">
        <v>45679.31149305555</v>
      </c>
      <c r="P785" s="11">
        <f>IF(AND(ISNUMBER(I785),ISNUMBER(O785)),(I785-O785),"")</f>
        <v/>
      </c>
      <c r="Q785" s="12" t="inlineStr">
        <is>
          <t>WG 1021104 entered track and got secured then waited 0:13:34 for WG 1021109 to get coupled then waited 2:02:36 for WG 1021501 to get coupled then waited 0:18:33 for WG 1021508 to get coupled, OBTP started on 10:52:36 finished on 11:25:48 and then left at 11:26:47</t>
        </is>
      </c>
    </row>
    <row r="786">
      <c r="A786" s="3" t="inlineStr">
        <is>
          <t>1021105</t>
        </is>
      </c>
      <c r="B786" s="3" t="inlineStr">
        <is>
          <t>10211</t>
        </is>
      </c>
      <c r="C786" s="9" t="n">
        <v>19.9</v>
      </c>
      <c r="D786" s="3" t="inlineStr">
        <is>
          <t>Other sidings local</t>
        </is>
      </c>
      <c r="E786" s="10" t="n">
        <v>45679.28451388889</v>
      </c>
      <c r="F786" s="10" t="n">
        <v>45679.3093287037</v>
      </c>
      <c r="G786" s="10" t="n">
        <v>45679.31106481481</v>
      </c>
      <c r="H786" s="3" t="inlineStr">
        <is>
          <t>OBT220125073335-Other sidings local</t>
        </is>
      </c>
      <c r="I786" s="10" t="n">
        <v>45680.30650462963</v>
      </c>
      <c r="J786" s="10" t="n">
        <v>45680.32506944444</v>
      </c>
      <c r="K786" s="10" t="n">
        <v>45680.32570601852</v>
      </c>
      <c r="L786" s="10" t="n">
        <v>45680.32655092593</v>
      </c>
      <c r="M786" s="11">
        <f>IF(AND(ISNUMBER(E786),ISNUMBER(G786)),(G786-E786),"")</f>
        <v/>
      </c>
      <c r="N786" s="11">
        <f>IF(AND(ISNUMBER(G786),ISNUMBER(L786)),(L786-G786),"")</f>
        <v/>
      </c>
      <c r="O786" s="10" t="n">
        <v>45679.31498842593</v>
      </c>
      <c r="P786" s="11">
        <f>IF(AND(ISNUMBER(I786),ISNUMBER(O786)),(I786-O786),"")</f>
        <v/>
      </c>
      <c r="Q786" s="12" t="inlineStr">
        <is>
          <t>WG 1021105 entered track and got coupled to WG 1020508, OBTP started on 07:21:22 finished on 07:48:06 and then left at 07:50:14</t>
        </is>
      </c>
    </row>
    <row r="787">
      <c r="A787" s="3" t="inlineStr">
        <is>
          <t>1021106</t>
        </is>
      </c>
      <c r="B787" s="3" t="inlineStr">
        <is>
          <t>10211</t>
        </is>
      </c>
      <c r="C787" s="9" t="n">
        <v>21</v>
      </c>
      <c r="D787" s="3" t="inlineStr">
        <is>
          <t>Neunkirchen (loading tracks)</t>
        </is>
      </c>
      <c r="E787" s="10" t="n">
        <v>45679.28451388889</v>
      </c>
      <c r="F787" s="10" t="n">
        <v>45679.31106481481</v>
      </c>
      <c r="G787" s="10" t="n">
        <v>45679.31303240741</v>
      </c>
      <c r="H787" s="3" t="inlineStr">
        <is>
          <t>OBT220125095350-Neunkirchen (loading tracks)</t>
        </is>
      </c>
      <c r="I787" s="10" t="n">
        <v>45680.37738425926</v>
      </c>
      <c r="J787" s="10" t="n">
        <v>45680.39731481481</v>
      </c>
      <c r="K787" s="10" t="n">
        <v>45680.39731481481</v>
      </c>
      <c r="L787" s="10" t="n">
        <v>45680.398125</v>
      </c>
      <c r="M787" s="11">
        <f>IF(AND(ISNUMBER(E787),ISNUMBER(G787)),(G787-E787),"")</f>
        <v/>
      </c>
      <c r="N787" s="11">
        <f>IF(AND(ISNUMBER(G787),ISNUMBER(L787)),(L787-G787),"")</f>
        <v/>
      </c>
      <c r="O787" s="10" t="n">
        <v>45679.31657407407</v>
      </c>
      <c r="P787" s="11">
        <f>IF(AND(ISNUMBER(I787),ISNUMBER(O787)),(I787-O787),"")</f>
        <v/>
      </c>
      <c r="Q787" s="12" t="inlineStr">
        <is>
          <t>WG 1021106 entered track and got coupled to WG 1021102 then waited 2:15:10 for WG 1021503 to get coupled then waited 0:02:48 for WG 1021504 to get coupled, OBTP started on 09:03:26 finished on 09:32:08 and then left at 09:33:18</t>
        </is>
      </c>
    </row>
    <row r="788">
      <c r="A788" s="3" t="inlineStr">
        <is>
          <t>1021107</t>
        </is>
      </c>
      <c r="B788" s="3" t="inlineStr">
        <is>
          <t>10211</t>
        </is>
      </c>
      <c r="C788" s="9" t="n">
        <v>15.74</v>
      </c>
      <c r="D788" s="3" t="inlineStr">
        <is>
          <t>Ebenfurth (beet loading)</t>
        </is>
      </c>
      <c r="E788" s="10" t="n">
        <v>45679.28451388889</v>
      </c>
      <c r="F788" s="10" t="n">
        <v>45679.31303240741</v>
      </c>
      <c r="G788" s="10" t="n">
        <v>45679.31505787037</v>
      </c>
      <c r="H788" s="3" t="inlineStr">
        <is>
          <t>OBT230125063522-Wien Kledering</t>
        </is>
      </c>
      <c r="I788" s="10" t="n">
        <v>45681.3009375</v>
      </c>
      <c r="J788" s="10" t="n">
        <v>45681.32601851852</v>
      </c>
      <c r="K788" s="10" t="n">
        <v>45681.32601851852</v>
      </c>
      <c r="L788" s="10" t="n">
        <v>45681.32685185185</v>
      </c>
      <c r="M788" s="11">
        <f>IF(AND(ISNUMBER(E788),ISNUMBER(G788)),(G788-E788),"")</f>
        <v/>
      </c>
      <c r="N788" s="11">
        <f>IF(AND(ISNUMBER(G788),ISNUMBER(L788)),(L788-G788),"")</f>
        <v/>
      </c>
      <c r="O788" s="10" t="n">
        <v>45679.31741898148</v>
      </c>
      <c r="P788" s="11">
        <f>IF(AND(ISNUMBER(I788),ISNUMBER(O788)),(I788-O788),"")</f>
        <v/>
      </c>
      <c r="Q788" s="12" t="inlineStr">
        <is>
          <t>WG 1021107 entered track and got secured then waited 0:07:24 for WG 1021110 to get coupled then waited 10:24:30 for WG 1021905 to get coupled then waited 12:26:23 for WG 1022401 to get coupled, OBTP started on 07:13:21 finished on 07:49:28 and then left at 07:50:40</t>
        </is>
      </c>
    </row>
    <row r="789">
      <c r="A789" s="3" t="inlineStr">
        <is>
          <t>1021108</t>
        </is>
      </c>
      <c r="B789" s="3" t="inlineStr">
        <is>
          <t>10211</t>
        </is>
      </c>
      <c r="C789" s="9" t="n">
        <v>219.62</v>
      </c>
      <c r="D789" s="3" t="inlineStr">
        <is>
          <t>Pitten (Hamburger)</t>
        </is>
      </c>
      <c r="E789" s="10" t="n">
        <v>45679.28451388889</v>
      </c>
      <c r="F789" s="10" t="n"/>
      <c r="G789" s="10" t="n"/>
      <c r="H789" s="3" t="n"/>
      <c r="I789" s="10" t="n"/>
      <c r="J789" s="10" t="n"/>
      <c r="K789" s="10" t="n"/>
      <c r="L789" s="10" t="n"/>
      <c r="M789" s="11">
        <f>IF(AND(ISNUMBER(E789),ISNUMBER(G789)),(G789-E789),"")</f>
        <v/>
      </c>
      <c r="N789" s="11">
        <f>IF(AND(ISNUMBER(G789),ISNUMBER(L789)),(L789-G789),"")</f>
        <v/>
      </c>
      <c r="O789" s="10" t="n"/>
      <c r="P789" s="11">
        <f>IF(AND(ISNUMBER(I789),ISNUMBER(O789)),(I789-O789),"")</f>
        <v/>
      </c>
      <c r="Q789" s="12" t="n"/>
    </row>
    <row r="790">
      <c r="A790" s="3" t="inlineStr">
        <is>
          <t>1021109</t>
        </is>
      </c>
      <c r="B790" s="3" t="inlineStr">
        <is>
          <t>10211</t>
        </is>
      </c>
      <c r="C790" s="9" t="n">
        <v>23.24</v>
      </c>
      <c r="D790" s="3" t="inlineStr">
        <is>
          <t>Other sidings north</t>
        </is>
      </c>
      <c r="E790" s="10" t="n">
        <v>45679.28451388889</v>
      </c>
      <c r="F790" s="10" t="n">
        <v>45679.31505787037</v>
      </c>
      <c r="G790" s="10" t="n">
        <v>45679.31699074074</v>
      </c>
      <c r="H790" s="3" t="inlineStr">
        <is>
          <t>OBT220125100316-Neudörfl (FunderMax)</t>
        </is>
      </c>
      <c r="I790" s="10" t="n">
        <v>45680.45319444445</v>
      </c>
      <c r="J790" s="10" t="n">
        <v>45680.47625</v>
      </c>
      <c r="K790" s="10" t="n">
        <v>45680.47625</v>
      </c>
      <c r="L790" s="10" t="n">
        <v>45680.47693287037</v>
      </c>
      <c r="M790" s="11">
        <f>IF(AND(ISNUMBER(E790),ISNUMBER(G790)),(G790-E790),"")</f>
        <v/>
      </c>
      <c r="N790" s="11">
        <f>IF(AND(ISNUMBER(G790),ISNUMBER(L790)),(L790-G790),"")</f>
        <v/>
      </c>
      <c r="O790" s="10" t="n">
        <v>45679.32091435185</v>
      </c>
      <c r="P790" s="11">
        <f>IF(AND(ISNUMBER(I790),ISNUMBER(O790)),(I790-O790),"")</f>
        <v/>
      </c>
      <c r="Q790" s="12" t="inlineStr">
        <is>
          <t>WG 1021109 entered track and got coupled to WG 1021104 then waited 2:02:36 for WG 1021501 to get coupled then waited 0:18:33 for WG 1021508 to get coupled, OBTP started on 10:52:36 finished on 11:25:48 and then left at 11:26:47</t>
        </is>
      </c>
    </row>
    <row r="791">
      <c r="A791" s="3" t="inlineStr">
        <is>
          <t>1021110</t>
        </is>
      </c>
      <c r="B791" s="3" t="inlineStr">
        <is>
          <t>10211</t>
        </is>
      </c>
      <c r="C791" s="9" t="n">
        <v>15.74</v>
      </c>
      <c r="D791" s="3" t="inlineStr">
        <is>
          <t>Ebenfurth (beet loading)</t>
        </is>
      </c>
      <c r="E791" s="10" t="n">
        <v>45679.28451388889</v>
      </c>
      <c r="F791" s="10" t="n">
        <v>45679.31699074074</v>
      </c>
      <c r="G791" s="10" t="n">
        <v>45679.31901620371</v>
      </c>
      <c r="H791" s="3" t="inlineStr">
        <is>
          <t>OBT230125063522-Wien Kledering</t>
        </is>
      </c>
      <c r="I791" s="10" t="n">
        <v>45681.3009375</v>
      </c>
      <c r="J791" s="10" t="n">
        <v>45681.32601851852</v>
      </c>
      <c r="K791" s="10" t="n">
        <v>45681.32601851852</v>
      </c>
      <c r="L791" s="10" t="n">
        <v>45681.32685185185</v>
      </c>
      <c r="M791" s="11">
        <f>IF(AND(ISNUMBER(E791),ISNUMBER(G791)),(G791-E791),"")</f>
        <v/>
      </c>
      <c r="N791" s="11">
        <f>IF(AND(ISNUMBER(G791),ISNUMBER(L791)),(L791-G791),"")</f>
        <v/>
      </c>
      <c r="O791" s="10" t="n">
        <v>45679.32255787037</v>
      </c>
      <c r="P791" s="11">
        <f>IF(AND(ISNUMBER(I791),ISNUMBER(O791)),(I791-O791),"")</f>
        <v/>
      </c>
      <c r="Q791" s="12" t="inlineStr">
        <is>
          <t>WG 1021110 entered track and got coupled to WG 1021107 then waited 10:24:30 for WG 1021905 to get coupled then waited 12:26:23 for WG 1022401 to get coupled, OBTP started on 07:13:21 finished on 07:49:28 and then left at 07:50:40</t>
        </is>
      </c>
    </row>
    <row r="792">
      <c r="A792" s="3" t="inlineStr">
        <is>
          <t>1021111</t>
        </is>
      </c>
      <c r="B792" s="3" t="inlineStr">
        <is>
          <t>10211</t>
        </is>
      </c>
      <c r="C792" s="9" t="n">
        <v>15.74</v>
      </c>
      <c r="D792" s="3" t="inlineStr">
        <is>
          <t>Steinabrückl/Wöllersdorf</t>
        </is>
      </c>
      <c r="E792" s="10" t="n">
        <v>45679.28451388889</v>
      </c>
      <c r="F792" s="10" t="n">
        <v>45679.31901620371</v>
      </c>
      <c r="G792" s="10" t="n">
        <v>45679.32076388889</v>
      </c>
      <c r="H792" s="3" t="inlineStr">
        <is>
          <t>OBT220125204226-Neunkirchen (loading tracks)</t>
        </is>
      </c>
      <c r="I792" s="10" t="n">
        <v>45680.8828587963</v>
      </c>
      <c r="J792" s="10" t="n">
        <v>45680.90070601852</v>
      </c>
      <c r="K792" s="10" t="n">
        <v>45680.90070601852</v>
      </c>
      <c r="L792" s="10" t="n">
        <v>45680.90148148148</v>
      </c>
      <c r="M792" s="11">
        <f>IF(AND(ISNUMBER(E792),ISNUMBER(G792)),(G792-E792),"")</f>
        <v/>
      </c>
      <c r="N792" s="11">
        <f>IF(AND(ISNUMBER(G792),ISNUMBER(L792)),(L792-G792),"")</f>
        <v/>
      </c>
      <c r="O792" s="10" t="n">
        <v>45679.32315972223</v>
      </c>
      <c r="P792" s="11">
        <f>IF(AND(ISNUMBER(I792),ISNUMBER(O792)),(I792-O792),"")</f>
        <v/>
      </c>
      <c r="Q792" s="12" t="inlineStr">
        <is>
          <t>WG 1021111 entered track and got secured then waited 10:23:37 for WG 1021906 to get coupled then waited 0:10:30 for WG 1021909 to get coupled then waited 2:22:58 for WG 1022205 to get coupled, OBTP started on 21:11:19 finished on 21:37:01 and then left at 21:38:08</t>
        </is>
      </c>
    </row>
    <row r="793">
      <c r="A793" s="3" t="inlineStr">
        <is>
          <t>1021201</t>
        </is>
      </c>
      <c r="B793" s="3" t="inlineStr">
        <is>
          <t>10212</t>
        </is>
      </c>
      <c r="C793" s="9" t="n">
        <v>330.7</v>
      </c>
      <c r="D793" s="3" t="inlineStr">
        <is>
          <t>Wien Kledering</t>
        </is>
      </c>
      <c r="E793" s="10" t="n">
        <v>45679.31346064815</v>
      </c>
      <c r="F793" s="10" t="n"/>
      <c r="G793" s="10" t="n"/>
      <c r="H793" s="3" t="n"/>
      <c r="I793" s="10" t="n"/>
      <c r="J793" s="10" t="n"/>
      <c r="K793" s="10" t="n"/>
      <c r="L793" s="10" t="n"/>
      <c r="M793" s="11">
        <f>IF(AND(ISNUMBER(E793),ISNUMBER(G793)),(G793-E793),"")</f>
        <v/>
      </c>
      <c r="N793" s="11">
        <f>IF(AND(ISNUMBER(G793),ISNUMBER(L793)),(L793-G793),"")</f>
        <v/>
      </c>
      <c r="O793" s="10" t="n"/>
      <c r="P793" s="11">
        <f>IF(AND(ISNUMBER(I793),ISNUMBER(O793)),(I793-O793),"")</f>
        <v/>
      </c>
      <c r="Q793" s="12" t="n"/>
    </row>
    <row r="794">
      <c r="A794" s="3" t="inlineStr">
        <is>
          <t>1021301</t>
        </is>
      </c>
      <c r="B794" s="3" t="inlineStr">
        <is>
          <t>10213</t>
        </is>
      </c>
      <c r="C794" s="9" t="n">
        <v>295.3600000000001</v>
      </c>
      <c r="D794" s="3" t="inlineStr">
        <is>
          <t>Wien Kledering</t>
        </is>
      </c>
      <c r="E794" s="10" t="n">
        <v>45679.33365740741</v>
      </c>
      <c r="F794" s="10" t="n"/>
      <c r="G794" s="10" t="n"/>
      <c r="H794" s="3" t="n"/>
      <c r="I794" s="10" t="n"/>
      <c r="J794" s="10" t="n"/>
      <c r="K794" s="10" t="n"/>
      <c r="L794" s="10" t="n"/>
      <c r="M794" s="11">
        <f>IF(AND(ISNUMBER(E794),ISNUMBER(G794)),(G794-E794),"")</f>
        <v/>
      </c>
      <c r="N794" s="11">
        <f>IF(AND(ISNUMBER(G794),ISNUMBER(L794)),(L794-G794),"")</f>
        <v/>
      </c>
      <c r="O794" s="10" t="n"/>
      <c r="P794" s="11">
        <f>IF(AND(ISNUMBER(I794),ISNUMBER(O794)),(I794-O794),"")</f>
        <v/>
      </c>
      <c r="Q794" s="12" t="n"/>
    </row>
    <row r="795">
      <c r="A795" s="3" t="inlineStr">
        <is>
          <t>1021401</t>
        </is>
      </c>
      <c r="B795" s="3" t="inlineStr">
        <is>
          <t>10214</t>
        </is>
      </c>
      <c r="C795" s="9" t="n">
        <v>114.8</v>
      </c>
      <c r="D795" s="3" t="inlineStr">
        <is>
          <t>St. Veit an der Glan</t>
        </is>
      </c>
      <c r="E795" s="10" t="n">
        <v>45679.35113425926</v>
      </c>
      <c r="F795" s="10" t="n">
        <v>45679.35821759259</v>
      </c>
      <c r="G795" s="10" t="n">
        <v>45679.35960648148</v>
      </c>
      <c r="H795" s="3" t="inlineStr">
        <is>
          <t>OBT220125084547-St. Veit an der Glan</t>
        </is>
      </c>
      <c r="I795" s="10" t="n">
        <v>45680.31045138889</v>
      </c>
      <c r="J795" s="10" t="n">
        <v>45680.36795138889</v>
      </c>
      <c r="K795" s="10" t="n">
        <v>45680.36795138889</v>
      </c>
      <c r="L795" s="10" t="n">
        <v>45680.36918981482</v>
      </c>
      <c r="M795" s="11">
        <f>IF(AND(ISNUMBER(E795),ISNUMBER(G795)),(G795-E795),"")</f>
        <v/>
      </c>
      <c r="N795" s="11">
        <f>IF(AND(ISNUMBER(G795),ISNUMBER(L795)),(L795-G795),"")</f>
        <v/>
      </c>
      <c r="O795" s="10" t="n">
        <v>45679.36200231482</v>
      </c>
      <c r="P795" s="11">
        <f>IF(AND(ISNUMBER(I795),ISNUMBER(O795)),(I795-O795),"")</f>
        <v/>
      </c>
      <c r="Q795" s="12" t="inlineStr">
        <is>
          <t>WG 1021401 entered track and got secured then waited 0:04:30 for WG 1021402 to get coupled, OBTP started on 07:27:03 finished on 08:49:51 and then left at 08:51:38</t>
        </is>
      </c>
    </row>
    <row r="796">
      <c r="A796" s="3" t="inlineStr">
        <is>
          <t>1021402</t>
        </is>
      </c>
      <c r="B796" s="3" t="inlineStr">
        <is>
          <t>10214</t>
        </is>
      </c>
      <c r="C796" s="9" t="n">
        <v>216.4</v>
      </c>
      <c r="D796" s="3" t="inlineStr">
        <is>
          <t>Wien Kledering</t>
        </is>
      </c>
      <c r="E796" s="10" t="n">
        <v>45679.35113425926</v>
      </c>
      <c r="F796" s="10" t="n">
        <v>45679.35960648148</v>
      </c>
      <c r="G796" s="10" t="n">
        <v>45679.36122685186</v>
      </c>
      <c r="H796" s="3" t="inlineStr">
        <is>
          <t>OBT220125084547-St. Veit an der Glan</t>
        </is>
      </c>
      <c r="I796" s="10" t="n">
        <v>45680.31045138889</v>
      </c>
      <c r="J796" s="10" t="n">
        <v>45680.36795138889</v>
      </c>
      <c r="K796" s="10" t="n">
        <v>45680.36795138889</v>
      </c>
      <c r="L796" s="10" t="n">
        <v>45680.36918981482</v>
      </c>
      <c r="M796" s="11">
        <f>IF(AND(ISNUMBER(E796),ISNUMBER(G796)),(G796-E796),"")</f>
        <v/>
      </c>
      <c r="N796" s="11">
        <f>IF(AND(ISNUMBER(G796),ISNUMBER(L796)),(L796-G796),"")</f>
        <v/>
      </c>
      <c r="O796" s="10" t="n">
        <v>45679.36512731481</v>
      </c>
      <c r="P796" s="11">
        <f>IF(AND(ISNUMBER(I796),ISNUMBER(O796)),(I796-O796),"")</f>
        <v/>
      </c>
      <c r="Q796" s="12" t="inlineStr">
        <is>
          <t>WG 1021402 entered track and got coupled to WG 1021401, OBTP started on 07:27:03 finished on 08:49:51 and then left at 08:51:38</t>
        </is>
      </c>
    </row>
    <row r="797">
      <c r="A797" s="3" t="inlineStr">
        <is>
          <t>1021501</t>
        </is>
      </c>
      <c r="B797" s="3" t="inlineStr">
        <is>
          <t>10215</t>
        </is>
      </c>
      <c r="C797" s="9" t="n">
        <v>15.74</v>
      </c>
      <c r="D797" s="3" t="inlineStr">
        <is>
          <t>Other sidings north</t>
        </is>
      </c>
      <c r="E797" s="10" t="n">
        <v>45679.381875</v>
      </c>
      <c r="F797" s="10" t="n">
        <v>45679.40025462963</v>
      </c>
      <c r="G797" s="10" t="n">
        <v>45679.40216435185</v>
      </c>
      <c r="H797" s="3" t="inlineStr">
        <is>
          <t>OBT220125100316-Neudörfl (FunderMax)</t>
        </is>
      </c>
      <c r="I797" s="10" t="n">
        <v>45680.45319444445</v>
      </c>
      <c r="J797" s="10" t="n">
        <v>45680.47625</v>
      </c>
      <c r="K797" s="10" t="n">
        <v>45680.47625</v>
      </c>
      <c r="L797" s="10" t="n">
        <v>45680.47693287037</v>
      </c>
      <c r="M797" s="11">
        <f>IF(AND(ISNUMBER(E797),ISNUMBER(G797)),(G797-E797),"")</f>
        <v/>
      </c>
      <c r="N797" s="11">
        <f>IF(AND(ISNUMBER(G797),ISNUMBER(L797)),(L797-G797),"")</f>
        <v/>
      </c>
      <c r="O797" s="10" t="n">
        <v>45679.40605324074</v>
      </c>
      <c r="P797" s="11">
        <f>IF(AND(ISNUMBER(I797),ISNUMBER(O797)),(I797-O797),"")</f>
        <v/>
      </c>
      <c r="Q797" s="12" t="inlineStr">
        <is>
          <t>WG 1021501 entered track and got coupled to WG 1021109 then waited 0:18:33 for WG 1021508 to get coupled, OBTP started on 10:52:36 finished on 11:25:48 and then left at 11:26:47</t>
        </is>
      </c>
    </row>
    <row r="798">
      <c r="A798" s="3" t="inlineStr">
        <is>
          <t>1021502</t>
        </is>
      </c>
      <c r="B798" s="3" t="inlineStr">
        <is>
          <t>10215</t>
        </is>
      </c>
      <c r="C798" s="9" t="n">
        <v>179.16</v>
      </c>
      <c r="D798" s="3" t="inlineStr">
        <is>
          <t>Pitten (Hamburger)</t>
        </is>
      </c>
      <c r="E798" s="10" t="n">
        <v>45679.381875</v>
      </c>
      <c r="F798" s="10" t="n">
        <v>45679.40216435185</v>
      </c>
      <c r="G798" s="10" t="n">
        <v>45679.40445601852</v>
      </c>
      <c r="H798" s="3" t="inlineStr">
        <is>
          <t>OBT220125094552-Pitten (Hamburger)</t>
        </is>
      </c>
      <c r="I798" s="10" t="n">
        <v>45680.33</v>
      </c>
      <c r="J798" s="10" t="n">
        <v>45680.36111111111</v>
      </c>
      <c r="K798" s="10" t="n">
        <v>45680.36111111111</v>
      </c>
      <c r="L798" s="10" t="n">
        <v>45680.36192129629</v>
      </c>
      <c r="M798" s="11">
        <f>IF(AND(ISNUMBER(E798),ISNUMBER(G798)),(G798-E798),"")</f>
        <v/>
      </c>
      <c r="N798" s="11">
        <f>IF(AND(ISNUMBER(G798),ISNUMBER(L798)),(L798-G798),"")</f>
        <v/>
      </c>
      <c r="O798" s="10" t="n">
        <v>45679.40685185185</v>
      </c>
      <c r="P798" s="11">
        <f>IF(AND(ISNUMBER(I798),ISNUMBER(O798)),(I798-O798),"")</f>
        <v/>
      </c>
      <c r="Q798" s="12" t="inlineStr">
        <is>
          <t>WG 1021502 entered track and got secured, OBTP started on 07:55:12 finished on 08:40:00 and then left at 08:41:10</t>
        </is>
      </c>
    </row>
    <row r="799">
      <c r="A799" s="3" t="inlineStr">
        <is>
          <t>1021503</t>
        </is>
      </c>
      <c r="B799" s="3" t="inlineStr">
        <is>
          <t>10215</t>
        </is>
      </c>
      <c r="C799" s="9" t="n">
        <v>61.9</v>
      </c>
      <c r="D799" s="3" t="inlineStr">
        <is>
          <t>Neunkirchen (loading tracks)</t>
        </is>
      </c>
      <c r="E799" s="10" t="n">
        <v>45679.381875</v>
      </c>
      <c r="F799" s="10" t="n">
        <v>45679.40445601852</v>
      </c>
      <c r="G799" s="10" t="n">
        <v>45679.4065162037</v>
      </c>
      <c r="H799" s="3" t="inlineStr">
        <is>
          <t>OBT220125095350-Neunkirchen (loading tracks)</t>
        </is>
      </c>
      <c r="I799" s="10" t="n">
        <v>45680.37738425926</v>
      </c>
      <c r="J799" s="10" t="n">
        <v>45680.39731481481</v>
      </c>
      <c r="K799" s="10" t="n">
        <v>45680.39731481481</v>
      </c>
      <c r="L799" s="10" t="n">
        <v>45680.398125</v>
      </c>
      <c r="M799" s="11">
        <f>IF(AND(ISNUMBER(E799),ISNUMBER(G799)),(G799-E799),"")</f>
        <v/>
      </c>
      <c r="N799" s="11">
        <f>IF(AND(ISNUMBER(G799),ISNUMBER(L799)),(L799-G799),"")</f>
        <v/>
      </c>
      <c r="O799" s="10" t="n">
        <v>45679.41043981481</v>
      </c>
      <c r="P799" s="11">
        <f>IF(AND(ISNUMBER(I799),ISNUMBER(O799)),(I799-O799),"")</f>
        <v/>
      </c>
      <c r="Q799" s="12" t="inlineStr">
        <is>
          <t>WG 1021503 entered track and got coupled to WG 1021106 then waited 0:02:48 for WG 1021504 to get coupled, OBTP started on 09:03:26 finished on 09:32:08 and then left at 09:33:18</t>
        </is>
      </c>
    </row>
    <row r="800">
      <c r="A800" s="3" t="inlineStr">
        <is>
          <t>1021504</t>
        </is>
      </c>
      <c r="B800" s="3" t="inlineStr">
        <is>
          <t>10215</t>
        </is>
      </c>
      <c r="C800" s="9" t="n">
        <v>12.04</v>
      </c>
      <c r="D800" s="3" t="inlineStr">
        <is>
          <t>Ternitz (Schoeller-Bleckmann)</t>
        </is>
      </c>
      <c r="E800" s="10" t="n">
        <v>45679.381875</v>
      </c>
      <c r="F800" s="10" t="n">
        <v>45679.4065162037</v>
      </c>
      <c r="G800" s="10" t="n">
        <v>45679.40846064815</v>
      </c>
      <c r="H800" s="3" t="inlineStr">
        <is>
          <t>OBT220125095350-Neunkirchen (loading tracks)</t>
        </is>
      </c>
      <c r="I800" s="10" t="n">
        <v>45680.37738425926</v>
      </c>
      <c r="J800" s="10" t="n">
        <v>45680.39731481481</v>
      </c>
      <c r="K800" s="10" t="n">
        <v>45680.39731481481</v>
      </c>
      <c r="L800" s="10" t="n">
        <v>45680.398125</v>
      </c>
      <c r="M800" s="11">
        <f>IF(AND(ISNUMBER(E800),ISNUMBER(G800)),(G800-E800),"")</f>
        <v/>
      </c>
      <c r="N800" s="11">
        <f>IF(AND(ISNUMBER(G800),ISNUMBER(L800)),(L800-G800),"")</f>
        <v/>
      </c>
      <c r="O800" s="10" t="n">
        <v>45679.41238425926</v>
      </c>
      <c r="P800" s="11">
        <f>IF(AND(ISNUMBER(I800),ISNUMBER(O800)),(I800-O800),"")</f>
        <v/>
      </c>
      <c r="Q800" s="12" t="inlineStr">
        <is>
          <t>WG 1021504 entered track and got coupled to WG 1021503, OBTP started on 09:03:26 finished on 09:32:08 and then left at 09:33:18</t>
        </is>
      </c>
    </row>
    <row r="801">
      <c r="A801" s="3" t="inlineStr">
        <is>
          <t>1021505</t>
        </is>
      </c>
      <c r="B801" s="3" t="inlineStr">
        <is>
          <t>10215</t>
        </is>
      </c>
      <c r="C801" s="9" t="n">
        <v>27</v>
      </c>
      <c r="D801" s="3" t="inlineStr">
        <is>
          <t>Wr. Neustadt (Hödlmayr)</t>
        </is>
      </c>
      <c r="E801" s="10" t="n">
        <v>45679.381875</v>
      </c>
      <c r="F801" s="10" t="n">
        <v>45679.40846064815</v>
      </c>
      <c r="G801" s="10" t="n">
        <v>45679.40987268519</v>
      </c>
      <c r="H801" s="3" t="inlineStr">
        <is>
          <t>OBT220125095549-Wr. Neustadt (Hödlmayr)</t>
        </is>
      </c>
      <c r="I801" s="10" t="n">
        <v>45680.41893518518</v>
      </c>
      <c r="J801" s="10" t="n">
        <v>45680.43768518518</v>
      </c>
      <c r="K801" s="10" t="n">
        <v>45680.43768518518</v>
      </c>
      <c r="L801" s="10" t="n">
        <v>45680.43841435185</v>
      </c>
      <c r="M801" s="11">
        <f>IF(AND(ISNUMBER(E801),ISNUMBER(G801)),(G801-E801),"")</f>
        <v/>
      </c>
      <c r="N801" s="11">
        <f>IF(AND(ISNUMBER(G801),ISNUMBER(L801)),(L801-G801),"")</f>
        <v/>
      </c>
      <c r="O801" s="10" t="n">
        <v>45679.41376157408</v>
      </c>
      <c r="P801" s="11">
        <f>IF(AND(ISNUMBER(I801),ISNUMBER(O801)),(I801-O801),"")</f>
        <v/>
      </c>
      <c r="Q801" s="12" t="inlineStr">
        <is>
          <t>WG 1021505 entered track and got coupled to WG 1021101, OBTP started on 10:03:16 finished on 10:30:16 and then left at 10:31:19</t>
        </is>
      </c>
    </row>
    <row r="802">
      <c r="A802" s="3" t="inlineStr">
        <is>
          <t>1021506</t>
        </is>
      </c>
      <c r="B802" s="3" t="inlineStr">
        <is>
          <t>10215</t>
        </is>
      </c>
      <c r="C802" s="9" t="n">
        <v>15.74</v>
      </c>
      <c r="D802" s="3" t="inlineStr">
        <is>
          <t>Obereggendorf (Hofer)</t>
        </is>
      </c>
      <c r="E802" s="10" t="n">
        <v>45679.381875</v>
      </c>
      <c r="F802" s="10" t="n">
        <v>45679.40987268519</v>
      </c>
      <c r="G802" s="10" t="n">
        <v>45679.41148148148</v>
      </c>
      <c r="H802" s="3" t="inlineStr">
        <is>
          <t>OBT230125175458-Wr. Neustadt Ausfahrbf (Furtenbach)</t>
        </is>
      </c>
      <c r="I802" s="10" t="n">
        <v>45681.73866898148</v>
      </c>
      <c r="J802" s="10" t="n">
        <v>45681.7572337963</v>
      </c>
      <c r="K802" s="10" t="n">
        <v>45681.7572337963</v>
      </c>
      <c r="L802" s="10" t="n">
        <v>45681.7580787037</v>
      </c>
      <c r="M802" s="11">
        <f>IF(AND(ISNUMBER(E802),ISNUMBER(G802)),(G802-E802),"")</f>
        <v/>
      </c>
      <c r="N802" s="11">
        <f>IF(AND(ISNUMBER(G802),ISNUMBER(L802)),(L802-G802),"")</f>
        <v/>
      </c>
      <c r="O802" s="10" t="n">
        <v>45679.41540509259</v>
      </c>
      <c r="P802" s="11">
        <f>IF(AND(ISNUMBER(I802),ISNUMBER(O802)),(I802-O802),"")</f>
        <v/>
      </c>
      <c r="Q802" s="12" t="inlineStr">
        <is>
          <t>WG 1021506 entered track and got coupled to WG 1021103 then waited 8:15:35 for WG 1021907 to get coupled then waited 2:18:45 for WG 1022202 to get coupled then waited 0:14:35 for WG 1022207 to get coupled then waited 13:00:33 for WG 1022904 to get coupled then waited 0:02:14 for WG 1022905 to get coupled then waited 7:57:19 for WG 1023505 to get coupled then waited 0:07:46 for WG 1023508 to get coupled, OBTP started on 17:43:41 finished on 18:10:25 and then left at 18:11:38</t>
        </is>
      </c>
    </row>
    <row r="803">
      <c r="A803" s="3" t="inlineStr">
        <is>
          <t>1021507</t>
        </is>
      </c>
      <c r="B803" s="3" t="inlineStr">
        <is>
          <t>10215</t>
        </is>
      </c>
      <c r="C803" s="9" t="n">
        <v>19.9</v>
      </c>
      <c r="D803" s="3" t="inlineStr">
        <is>
          <t>Felixdorf/Sollenau (Bundesheer, Maba)</t>
        </is>
      </c>
      <c r="E803" s="10" t="n">
        <v>45679.381875</v>
      </c>
      <c r="F803" s="10" t="n">
        <v>45679.41148148148</v>
      </c>
      <c r="G803" s="10" t="n">
        <v>45679.41299768518</v>
      </c>
      <c r="H803" s="3" t="inlineStr">
        <is>
          <t>OBT220125180146-Felixdorf/Sollenau (Bundesheer, Maba)</t>
        </is>
      </c>
      <c r="I803" s="10" t="n">
        <v>45680.65077546296</v>
      </c>
      <c r="J803" s="10" t="n">
        <v>45680.67150462963</v>
      </c>
      <c r="K803" s="10" t="n">
        <v>45680.67150462963</v>
      </c>
      <c r="L803" s="10" t="n">
        <v>45680.67232638889</v>
      </c>
      <c r="M803" s="11">
        <f>IF(AND(ISNUMBER(E803),ISNUMBER(G803)),(G803-E803),"")</f>
        <v/>
      </c>
      <c r="N803" s="11">
        <f>IF(AND(ISNUMBER(G803),ISNUMBER(L803)),(L803-G803),"")</f>
        <v/>
      </c>
      <c r="O803" s="10" t="n">
        <v>45679.41653935185</v>
      </c>
      <c r="P803" s="11">
        <f>IF(AND(ISNUMBER(I803),ISNUMBER(O803)),(I803-O803),"")</f>
        <v/>
      </c>
      <c r="Q803" s="12" t="inlineStr">
        <is>
          <t>WG 1021507 entered track and got coupled to WG 1020502 then waited 8:01:57 for WG 1021902 to get coupled, OBTP started on 15:37:07 finished on 16:06:58 and then left at 16:08:09</t>
        </is>
      </c>
    </row>
    <row r="804">
      <c r="A804" s="3" t="inlineStr">
        <is>
          <t>1021508</t>
        </is>
      </c>
      <c r="B804" s="3" t="inlineStr">
        <is>
          <t>10215</t>
        </is>
      </c>
      <c r="C804" s="9" t="n">
        <v>73.90000000000001</v>
      </c>
      <c r="D804" s="3" t="inlineStr">
        <is>
          <t>Neudörfl (FunderMax)</t>
        </is>
      </c>
      <c r="E804" s="10" t="n">
        <v>45679.381875</v>
      </c>
      <c r="F804" s="10" t="n">
        <v>45679.41299768518</v>
      </c>
      <c r="G804" s="10" t="n">
        <v>45679.41504629629</v>
      </c>
      <c r="H804" s="3" t="inlineStr">
        <is>
          <t>OBT220125100316-Neudörfl (FunderMax)</t>
        </is>
      </c>
      <c r="I804" s="10" t="n">
        <v>45680.45319444445</v>
      </c>
      <c r="J804" s="10" t="n">
        <v>45680.47625</v>
      </c>
      <c r="K804" s="10" t="n">
        <v>45680.47625</v>
      </c>
      <c r="L804" s="10" t="n">
        <v>45680.47693287037</v>
      </c>
      <c r="M804" s="11">
        <f>IF(AND(ISNUMBER(E804),ISNUMBER(G804)),(G804-E804),"")</f>
        <v/>
      </c>
      <c r="N804" s="11">
        <f>IF(AND(ISNUMBER(G804),ISNUMBER(L804)),(L804-G804),"")</f>
        <v/>
      </c>
      <c r="O804" s="10" t="n">
        <v>45679.41893518518</v>
      </c>
      <c r="P804" s="11">
        <f>IF(AND(ISNUMBER(I804),ISNUMBER(O804)),(I804-O804),"")</f>
        <v/>
      </c>
      <c r="Q804" s="12" t="inlineStr">
        <is>
          <t>WG 1021508 entered track and got coupled to WG 1021501, OBTP started on 10:52:36 finished on 11:25:48 and then left at 11:26:47</t>
        </is>
      </c>
    </row>
    <row r="805">
      <c r="A805" s="3" t="inlineStr">
        <is>
          <t>1021509</t>
        </is>
      </c>
      <c r="B805" s="3" t="inlineStr">
        <is>
          <t>10215</t>
        </is>
      </c>
      <c r="C805" s="9" t="n">
        <v>56</v>
      </c>
      <c r="D805" s="3" t="inlineStr">
        <is>
          <t>Wr. Neustadt (Brenntag)</t>
        </is>
      </c>
      <c r="E805" s="10" t="n">
        <v>45679.381875</v>
      </c>
      <c r="F805" s="10" t="n">
        <v>45679.41504629629</v>
      </c>
      <c r="G805" s="10" t="n">
        <v>45679.41708333333</v>
      </c>
      <c r="H805" s="3" t="inlineStr">
        <is>
          <t>OBT220125181516-Pitten (Hamburger)</t>
        </is>
      </c>
      <c r="I805" s="10" t="n">
        <v>45680.75005787037</v>
      </c>
      <c r="J805" s="10" t="n">
        <v>45680.80133101852</v>
      </c>
      <c r="K805" s="10" t="n">
        <v>45680.80133101852</v>
      </c>
      <c r="L805" s="10" t="n">
        <v>45680.80255787037</v>
      </c>
      <c r="M805" s="11">
        <f>IF(AND(ISNUMBER(E805),ISNUMBER(G805)),(G805-E805),"")</f>
        <v/>
      </c>
      <c r="N805" s="11">
        <f>IF(AND(ISNUMBER(G805),ISNUMBER(L805)),(L805-G805),"")</f>
        <v/>
      </c>
      <c r="O805" s="10" t="n">
        <v>45679.41947916667</v>
      </c>
      <c r="P805" s="11">
        <f>IF(AND(ISNUMBER(I805),ISNUMBER(O805)),(I805-O805),"")</f>
        <v/>
      </c>
      <c r="Q805" s="12" t="inlineStr">
        <is>
          <t>WG 1021509 entered track and got secured then waited 8:11:13 for WG 1021908 to get coupled, OBTP started on 18:00:05 finished on 19:13:55 and then left at 19:15:41</t>
        </is>
      </c>
    </row>
    <row r="806">
      <c r="A806" s="3" t="inlineStr">
        <is>
          <t>1021510</t>
        </is>
      </c>
      <c r="B806" s="3" t="inlineStr">
        <is>
          <t>10215</t>
        </is>
      </c>
      <c r="C806" s="9" t="n">
        <v>53.8</v>
      </c>
      <c r="D806" s="3" t="inlineStr">
        <is>
          <t>Other sidings local</t>
        </is>
      </c>
      <c r="E806" s="10" t="n">
        <v>45679.381875</v>
      </c>
      <c r="F806" s="10" t="n">
        <v>45679.41708333333</v>
      </c>
      <c r="G806" s="10" t="n">
        <v>45679.41890046297</v>
      </c>
      <c r="H806" s="3" t="inlineStr">
        <is>
          <t>OBT220125205009-Other sidings local</t>
        </is>
      </c>
      <c r="I806" s="10" t="n">
        <v>45681.13284722222</v>
      </c>
      <c r="J806" s="10" t="n">
        <v>45681.15251157407</v>
      </c>
      <c r="K806" s="10" t="n">
        <v>45681.15251157407</v>
      </c>
      <c r="L806" s="10" t="n">
        <v>45681.15327546297</v>
      </c>
      <c r="M806" s="11">
        <f>IF(AND(ISNUMBER(E806),ISNUMBER(G806)),(G806-E806),"")</f>
        <v/>
      </c>
      <c r="N806" s="11">
        <f>IF(AND(ISNUMBER(G806),ISNUMBER(L806)),(L806-G806),"")</f>
        <v/>
      </c>
      <c r="O806" s="10" t="n">
        <v>45679.42106481481</v>
      </c>
      <c r="P806" s="11">
        <f>IF(AND(ISNUMBER(I806),ISNUMBER(O806)),(I806-O806),"")</f>
        <v/>
      </c>
      <c r="Q806" s="12" t="inlineStr">
        <is>
          <t>WG 1021510 entered track and got secured then waited 7:53:46 for WG 1021901 to get coupled then waited 2:50:03 for WG 1022208 to get coupled, OBTP started on 03:11:18 finished on 03:39:37 and then left at 03:40:43</t>
        </is>
      </c>
    </row>
    <row r="807">
      <c r="A807" s="3" t="inlineStr">
        <is>
          <t>1021601</t>
        </is>
      </c>
      <c r="B807" s="3" t="inlineStr">
        <is>
          <t>10216</t>
        </is>
      </c>
      <c r="C807" s="9" t="n">
        <v>446.2400000000001</v>
      </c>
      <c r="D807" s="3" t="inlineStr">
        <is>
          <t>Wien Kledering</t>
        </is>
      </c>
      <c r="E807" s="10" t="n">
        <v>45679.43501157407</v>
      </c>
      <c r="F807" s="10" t="n">
        <v>45679.44196759259</v>
      </c>
      <c r="G807" s="10" t="n">
        <v>45679.44413194444</v>
      </c>
      <c r="H807" s="3" t="inlineStr">
        <is>
          <t>OBT220125104258-Wien Kledering</t>
        </is>
      </c>
      <c r="I807" s="10" t="n">
        <v>45680.61497685185</v>
      </c>
      <c r="J807" s="10" t="n">
        <v>45680.69244212963</v>
      </c>
      <c r="K807" s="10" t="n">
        <v>45680.69244212963</v>
      </c>
      <c r="L807" s="10" t="n">
        <v>45680.69394675926</v>
      </c>
      <c r="M807" s="11">
        <f>IF(AND(ISNUMBER(E807),ISNUMBER(G807)),(G807-E807),"")</f>
        <v/>
      </c>
      <c r="N807" s="11">
        <f>IF(AND(ISNUMBER(G807),ISNUMBER(L807)),(L807-G807),"")</f>
        <v/>
      </c>
      <c r="O807" s="10" t="n">
        <v>45679.44650462963</v>
      </c>
      <c r="P807" s="11">
        <f>IF(AND(ISNUMBER(I807),ISNUMBER(O807)),(I807-O807),"")</f>
        <v/>
      </c>
      <c r="Q807" s="12" t="inlineStr">
        <is>
          <t>WG 1021601 entered track and got secured, OBTP started on 14:45:34 finished on 16:37:07 and then left at 16:39:17</t>
        </is>
      </c>
    </row>
    <row r="808">
      <c r="A808" s="3" t="inlineStr">
        <is>
          <t>1021701</t>
        </is>
      </c>
      <c r="B808" s="3" t="inlineStr">
        <is>
          <t>10217</t>
        </is>
      </c>
      <c r="C808" s="9" t="n">
        <v>33.9</v>
      </c>
      <c r="D808" s="3" t="inlineStr">
        <is>
          <t>Wien Kledering</t>
        </is>
      </c>
      <c r="E808" s="10" t="n">
        <v>45679.54280092593</v>
      </c>
      <c r="F808" s="10" t="n">
        <v>45679.54666666667</v>
      </c>
      <c r="G808" s="10" t="n">
        <v>45679.54821759259</v>
      </c>
      <c r="H808" s="3" t="inlineStr">
        <is>
          <t>OBT220125175314-Wien Kledering</t>
        </is>
      </c>
      <c r="I808" s="10" t="n">
        <v>45680.64006944445</v>
      </c>
      <c r="J808" s="10" t="n">
        <v>45680.70748842593</v>
      </c>
      <c r="K808" s="10" t="n">
        <v>45680.70748842593</v>
      </c>
      <c r="L808" s="10" t="n">
        <v>45680.70885416667</v>
      </c>
      <c r="M808" s="11">
        <f>IF(AND(ISNUMBER(E808),ISNUMBER(G808)),(G808-E808),"")</f>
        <v/>
      </c>
      <c r="N808" s="11">
        <f>IF(AND(ISNUMBER(G808),ISNUMBER(L808)),(L808-G808),"")</f>
        <v/>
      </c>
      <c r="O808" s="10" t="n">
        <v>45679.55061342593</v>
      </c>
      <c r="P808" s="11">
        <f>IF(AND(ISNUMBER(I808),ISNUMBER(O808)),(I808-O808),"")</f>
        <v/>
      </c>
      <c r="Q808" s="12" t="inlineStr">
        <is>
          <t>WG 1021701 entered track and got secured then waited 2:12:26 for WG 1021801 to get coupled then waited 2:27:55 for WG 1022001 to get coupled, OBTP started on 15:21:42 finished on 16:58:47 and then left at 17:00:45</t>
        </is>
      </c>
    </row>
    <row r="809">
      <c r="A809" s="3" t="inlineStr">
        <is>
          <t>1021801</t>
        </is>
      </c>
      <c r="B809" s="3" t="inlineStr">
        <is>
          <t>10218</t>
        </is>
      </c>
      <c r="C809" s="9" t="n">
        <v>62.96</v>
      </c>
      <c r="D809" s="3" t="inlineStr">
        <is>
          <t>Wien Kledering</t>
        </is>
      </c>
      <c r="E809" s="10" t="n">
        <v>45679.63465277778</v>
      </c>
      <c r="F809" s="10" t="n">
        <v>45679.63877314814</v>
      </c>
      <c r="G809" s="10" t="n">
        <v>45679.64039351852</v>
      </c>
      <c r="H809" s="3" t="inlineStr">
        <is>
          <t>OBT220125175314-Wien Kledering</t>
        </is>
      </c>
      <c r="I809" s="10" t="n">
        <v>45680.64006944445</v>
      </c>
      <c r="J809" s="10" t="n">
        <v>45680.70748842593</v>
      </c>
      <c r="K809" s="10" t="n">
        <v>45680.70748842593</v>
      </c>
      <c r="L809" s="10" t="n">
        <v>45680.70885416667</v>
      </c>
      <c r="M809" s="11">
        <f>IF(AND(ISNUMBER(E809),ISNUMBER(G809)),(G809-E809),"")</f>
        <v/>
      </c>
      <c r="N809" s="11">
        <f>IF(AND(ISNUMBER(G809),ISNUMBER(L809)),(L809-G809),"")</f>
        <v/>
      </c>
      <c r="O809" s="10" t="n">
        <v>45679.64258101852</v>
      </c>
      <c r="P809" s="11">
        <f>IF(AND(ISNUMBER(I809),ISNUMBER(O809)),(I809-O809),"")</f>
        <v/>
      </c>
      <c r="Q809" s="12" t="inlineStr">
        <is>
          <t>WG 1021801 entered track and got secured then waited 2:27:55 for WG 1022001 to get coupled, OBTP started on 15:21:42 finished on 16:58:47 and then left at 17:00:45</t>
        </is>
      </c>
    </row>
    <row r="810">
      <c r="A810" s="3" t="inlineStr">
        <is>
          <t>1021901</t>
        </is>
      </c>
      <c r="B810" s="3" t="inlineStr">
        <is>
          <t>10219</t>
        </is>
      </c>
      <c r="C810" s="9" t="n">
        <v>29.74</v>
      </c>
      <c r="D810" s="3" t="inlineStr">
        <is>
          <t>Other sidings local</t>
        </is>
      </c>
      <c r="E810" s="10" t="n">
        <v>45679.72533564815</v>
      </c>
      <c r="F810" s="10" t="n">
        <v>45679.74444444444</v>
      </c>
      <c r="G810" s="10" t="n">
        <v>45679.74618055556</v>
      </c>
      <c r="H810" s="3" t="inlineStr">
        <is>
          <t>OBT220125205009-Other sidings local</t>
        </is>
      </c>
      <c r="I810" s="10" t="n">
        <v>45681.13284722222</v>
      </c>
      <c r="J810" s="10" t="n">
        <v>45681.15251157407</v>
      </c>
      <c r="K810" s="10" t="n">
        <v>45681.15251157407</v>
      </c>
      <c r="L810" s="10" t="n">
        <v>45681.15327546297</v>
      </c>
      <c r="M810" s="11">
        <f>IF(AND(ISNUMBER(E810),ISNUMBER(G810)),(G810-E810),"")</f>
        <v/>
      </c>
      <c r="N810" s="11">
        <f>IF(AND(ISNUMBER(G810),ISNUMBER(L810)),(L810-G810),"")</f>
        <v/>
      </c>
      <c r="O810" s="10" t="n">
        <v>45679.75006944445</v>
      </c>
      <c r="P810" s="11">
        <f>IF(AND(ISNUMBER(I810),ISNUMBER(O810)),(I810-O810),"")</f>
        <v/>
      </c>
      <c r="Q810" s="12" t="inlineStr">
        <is>
          <t>WG 1021901 entered track and got coupled to WG 1021510 then waited 2:50:03 for WG 1022208 to get coupled, OBTP started on 03:11:18 finished on 03:39:37 and then left at 03:40:43</t>
        </is>
      </c>
    </row>
    <row r="811">
      <c r="A811" s="3" t="inlineStr">
        <is>
          <t>1021902</t>
        </is>
      </c>
      <c r="B811" s="3" t="inlineStr">
        <is>
          <t>10219</t>
        </is>
      </c>
      <c r="C811" s="9" t="n">
        <v>19.9</v>
      </c>
      <c r="D811" s="3" t="inlineStr">
        <is>
          <t>Felixdorf/Sollenau (Bundesheer, Maba)</t>
        </is>
      </c>
      <c r="E811" s="10" t="n">
        <v>45679.72533564815</v>
      </c>
      <c r="F811" s="10" t="n">
        <v>45679.74618055556</v>
      </c>
      <c r="G811" s="10" t="n">
        <v>45679.74766203704</v>
      </c>
      <c r="H811" s="3" t="inlineStr">
        <is>
          <t>OBT220125180146-Felixdorf/Sollenau (Bundesheer, Maba)</t>
        </is>
      </c>
      <c r="I811" s="10" t="n">
        <v>45680.65077546296</v>
      </c>
      <c r="J811" s="10" t="n">
        <v>45680.67150462963</v>
      </c>
      <c r="K811" s="10" t="n">
        <v>45680.67150462963</v>
      </c>
      <c r="L811" s="10" t="n">
        <v>45680.67232638889</v>
      </c>
      <c r="M811" s="11">
        <f>IF(AND(ISNUMBER(E811),ISNUMBER(G811)),(G811-E811),"")</f>
        <v/>
      </c>
      <c r="N811" s="11">
        <f>IF(AND(ISNUMBER(G811),ISNUMBER(L811)),(L811-G811),"")</f>
        <v/>
      </c>
      <c r="O811" s="10" t="n">
        <v>45679.75122685185</v>
      </c>
      <c r="P811" s="11">
        <f>IF(AND(ISNUMBER(I811),ISNUMBER(O811)),(I811-O811),"")</f>
        <v/>
      </c>
      <c r="Q811" s="12" t="inlineStr">
        <is>
          <t>WG 1021902 entered track and got coupled to WG 1021507, OBTP started on 15:37:07 finished on 16:06:58 and then left at 16:08:09</t>
        </is>
      </c>
    </row>
    <row r="812">
      <c r="A812" s="3" t="inlineStr">
        <is>
          <t>1021903</t>
        </is>
      </c>
      <c r="B812" s="3" t="inlineStr">
        <is>
          <t>10219</t>
        </is>
      </c>
      <c r="C812" s="9" t="n">
        <v>54.72</v>
      </c>
      <c r="D812" s="3" t="inlineStr">
        <is>
          <t>Other sidings south</t>
        </is>
      </c>
      <c r="E812" s="10" t="n">
        <v>45679.72533564815</v>
      </c>
      <c r="F812" s="10" t="n">
        <v>45679.74766203704</v>
      </c>
      <c r="G812" s="10" t="n">
        <v>45679.74887731481</v>
      </c>
      <c r="H812" s="3" t="inlineStr">
        <is>
          <t>OBT230125030314-Neunkirchen (loading tracks)</t>
        </is>
      </c>
      <c r="I812" s="10" t="n">
        <v>45681.19891203703</v>
      </c>
      <c r="J812" s="10" t="n">
        <v>45681.22040509259</v>
      </c>
      <c r="K812" s="10" t="n">
        <v>45681.22040509259</v>
      </c>
      <c r="L812" s="10" t="n">
        <v>45681.22115740741</v>
      </c>
      <c r="M812" s="11">
        <f>IF(AND(ISNUMBER(E812),ISNUMBER(G812)),(G812-E812),"")</f>
        <v/>
      </c>
      <c r="N812" s="11">
        <f>IF(AND(ISNUMBER(G812),ISNUMBER(L812)),(L812-G812),"")</f>
        <v/>
      </c>
      <c r="O812" s="10" t="n">
        <v>45679.75127314815</v>
      </c>
      <c r="P812" s="11">
        <f>IF(AND(ISNUMBER(I812),ISNUMBER(O812)),(I812-O812),"")</f>
        <v/>
      </c>
      <c r="Q812" s="12" t="inlineStr">
        <is>
          <t>WG 1021903 entered track and got secured then waited 9:01:24 for WG 1022301 to get coupled, OBTP started on 04:46:26 finished on 05:17:23 and then left at 05:18:28</t>
        </is>
      </c>
    </row>
    <row r="813">
      <c r="A813" s="3" t="inlineStr">
        <is>
          <t>1021904</t>
        </is>
      </c>
      <c r="B813" s="3" t="inlineStr">
        <is>
          <t>10219</t>
        </is>
      </c>
      <c r="C813" s="9" t="n">
        <v>99.5</v>
      </c>
      <c r="D813" s="3" t="inlineStr">
        <is>
          <t>Wr. Neustadt Ausfahrbf (Furtenbach)</t>
        </is>
      </c>
      <c r="E813" s="10" t="n">
        <v>45679.72533564815</v>
      </c>
      <c r="F813" s="10" t="n">
        <v>45679.74887731481</v>
      </c>
      <c r="G813" s="10" t="n">
        <v>45679.75032407408</v>
      </c>
      <c r="H813" s="3" t="inlineStr">
        <is>
          <t>OBT220125180607-Wr. Neustadt Ausfahrbf (Furtenbach)</t>
        </is>
      </c>
      <c r="I813" s="10" t="n">
        <v>45680.67324074074</v>
      </c>
      <c r="J813" s="10" t="n">
        <v>45680.70087962963</v>
      </c>
      <c r="K813" s="10" t="n">
        <v>45680.70087962963</v>
      </c>
      <c r="L813" s="10" t="n">
        <v>45680.70167824074</v>
      </c>
      <c r="M813" s="11">
        <f>IF(AND(ISNUMBER(E813),ISNUMBER(G813)),(G813-E813),"")</f>
        <v/>
      </c>
      <c r="N813" s="11">
        <f>IF(AND(ISNUMBER(G813),ISNUMBER(L813)),(L813-G813),"")</f>
        <v/>
      </c>
      <c r="O813" s="10" t="n">
        <v>45679.75424768519</v>
      </c>
      <c r="P813" s="11">
        <f>IF(AND(ISNUMBER(I813),ISNUMBER(O813)),(I813-O813),"")</f>
        <v/>
      </c>
      <c r="Q813" s="12" t="inlineStr">
        <is>
          <t>WG 1021904 entered track and got coupled to WG 1020101, OBTP started on 16:09:28 finished on 16:49:16 and then left at 16:50:25</t>
        </is>
      </c>
    </row>
    <row r="814">
      <c r="A814" s="3" t="inlineStr">
        <is>
          <t>1021905</t>
        </is>
      </c>
      <c r="B814" s="3" t="inlineStr">
        <is>
          <t>10219</t>
        </is>
      </c>
      <c r="C814" s="9" t="n">
        <v>15.74</v>
      </c>
      <c r="D814" s="3" t="inlineStr">
        <is>
          <t>Ebenfurth (beet loading)</t>
        </is>
      </c>
      <c r="E814" s="10" t="n">
        <v>45679.72533564815</v>
      </c>
      <c r="F814" s="10" t="n">
        <v>45679.75032407408</v>
      </c>
      <c r="G814" s="10" t="n">
        <v>45679.75231481482</v>
      </c>
      <c r="H814" s="3" t="inlineStr">
        <is>
          <t>OBT230125063522-Wien Kledering</t>
        </is>
      </c>
      <c r="I814" s="10" t="n">
        <v>45681.3009375</v>
      </c>
      <c r="J814" s="10" t="n">
        <v>45681.32601851852</v>
      </c>
      <c r="K814" s="10" t="n">
        <v>45681.32601851852</v>
      </c>
      <c r="L814" s="10" t="n">
        <v>45681.32685185185</v>
      </c>
      <c r="M814" s="11">
        <f>IF(AND(ISNUMBER(E814),ISNUMBER(G814)),(G814-E814),"")</f>
        <v/>
      </c>
      <c r="N814" s="11">
        <f>IF(AND(ISNUMBER(G814),ISNUMBER(L814)),(L814-G814),"")</f>
        <v/>
      </c>
      <c r="O814" s="10" t="n">
        <v>45679.75623842593</v>
      </c>
      <c r="P814" s="11">
        <f>IF(AND(ISNUMBER(I814),ISNUMBER(O814)),(I814-O814),"")</f>
        <v/>
      </c>
      <c r="Q814" s="12" t="inlineStr">
        <is>
          <t>WG 1021905 entered track and got coupled to WG 1021110 then waited 12:26:23 for WG 1022401 to get coupled, OBTP started on 07:13:21 finished on 07:49:28 and then left at 07:50:40</t>
        </is>
      </c>
    </row>
    <row r="815">
      <c r="A815" s="3" t="inlineStr">
        <is>
          <t>1021906</t>
        </is>
      </c>
      <c r="B815" s="3" t="inlineStr">
        <is>
          <t>10219</t>
        </is>
      </c>
      <c r="C815" s="9" t="n">
        <v>19.9</v>
      </c>
      <c r="D815" s="3" t="inlineStr">
        <is>
          <t>Neunkirchen (loading tracks)</t>
        </is>
      </c>
      <c r="E815" s="10" t="n">
        <v>45679.72533564815</v>
      </c>
      <c r="F815" s="10" t="n">
        <v>45679.75231481482</v>
      </c>
      <c r="G815" s="10" t="n">
        <v>45679.75405092593</v>
      </c>
      <c r="H815" s="3" t="inlineStr">
        <is>
          <t>OBT220125204226-Neunkirchen (loading tracks)</t>
        </is>
      </c>
      <c r="I815" s="10" t="n">
        <v>45680.8828587963</v>
      </c>
      <c r="J815" s="10" t="n">
        <v>45680.90070601852</v>
      </c>
      <c r="K815" s="10" t="n">
        <v>45680.90070601852</v>
      </c>
      <c r="L815" s="10" t="n">
        <v>45680.90148148148</v>
      </c>
      <c r="M815" s="11">
        <f>IF(AND(ISNUMBER(E815),ISNUMBER(G815)),(G815-E815),"")</f>
        <v/>
      </c>
      <c r="N815" s="11">
        <f>IF(AND(ISNUMBER(G815),ISNUMBER(L815)),(L815-G815),"")</f>
        <v/>
      </c>
      <c r="O815" s="10" t="n">
        <v>45679.75622685185</v>
      </c>
      <c r="P815" s="11">
        <f>IF(AND(ISNUMBER(I815),ISNUMBER(O815)),(I815-O815),"")</f>
        <v/>
      </c>
      <c r="Q815" s="12" t="inlineStr">
        <is>
          <t>WG 1021906 entered track and got secured then waited 0:10:30 for WG 1021909 to get coupled then waited 2:22:58 for WG 1022205 to get coupled, OBTP started on 21:11:19 finished on 21:37:01 and then left at 21:38:08</t>
        </is>
      </c>
    </row>
    <row r="816">
      <c r="A816" s="3" t="inlineStr">
        <is>
          <t>1021907</t>
        </is>
      </c>
      <c r="B816" s="3" t="inlineStr">
        <is>
          <t>10219</t>
        </is>
      </c>
      <c r="C816" s="9" t="n">
        <v>15.74</v>
      </c>
      <c r="D816" s="3" t="inlineStr">
        <is>
          <t>Obereggendorf (Hofer)</t>
        </is>
      </c>
      <c r="E816" s="10" t="n">
        <v>45679.72533564815</v>
      </c>
      <c r="F816" s="10" t="n">
        <v>45679.75405092593</v>
      </c>
      <c r="G816" s="10" t="n">
        <v>45679.75563657407</v>
      </c>
      <c r="H816" s="3" t="inlineStr">
        <is>
          <t>OBT230125175458-Wr. Neustadt Ausfahrbf (Furtenbach)</t>
        </is>
      </c>
      <c r="I816" s="10" t="n">
        <v>45681.73866898148</v>
      </c>
      <c r="J816" s="10" t="n">
        <v>45681.7572337963</v>
      </c>
      <c r="K816" s="10" t="n">
        <v>45681.7572337963</v>
      </c>
      <c r="L816" s="10" t="n">
        <v>45681.7580787037</v>
      </c>
      <c r="M816" s="11">
        <f>IF(AND(ISNUMBER(E816),ISNUMBER(G816)),(G816-E816),"")</f>
        <v/>
      </c>
      <c r="N816" s="11">
        <f>IF(AND(ISNUMBER(G816),ISNUMBER(L816)),(L816-G816),"")</f>
        <v/>
      </c>
      <c r="O816" s="10" t="n">
        <v>45679.75956018519</v>
      </c>
      <c r="P816" s="11">
        <f>IF(AND(ISNUMBER(I816),ISNUMBER(O816)),(I816-O816),"")</f>
        <v/>
      </c>
      <c r="Q816" s="12" t="inlineStr">
        <is>
          <t>WG 1021907 entered track and got coupled to WG 1021506 then waited 2:18:45 for WG 1022202 to get coupled then waited 0:14:35 for WG 1022207 to get coupled then waited 13:00:33 for WG 1022904 to get coupled then waited 0:02:14 for WG 1022905 to get coupled then waited 7:57:19 for WG 1023505 to get coupled then waited 0:07:46 for WG 1023508 to get coupled, OBTP started on 17:43:41 finished on 18:10:25 and then left at 18:11:38</t>
        </is>
      </c>
    </row>
    <row r="817">
      <c r="A817" s="3" t="inlineStr">
        <is>
          <t>1021908</t>
        </is>
      </c>
      <c r="B817" s="3" t="inlineStr">
        <is>
          <t>10219</t>
        </is>
      </c>
      <c r="C817" s="9" t="n">
        <v>295.3600000000001</v>
      </c>
      <c r="D817" s="3" t="inlineStr">
        <is>
          <t>Pitten (Hamburger)</t>
        </is>
      </c>
      <c r="E817" s="10" t="n">
        <v>45679.72533564815</v>
      </c>
      <c r="F817" s="10" t="n">
        <v>45679.75563657407</v>
      </c>
      <c r="G817" s="10" t="n">
        <v>45679.75820601852</v>
      </c>
      <c r="H817" s="3" t="inlineStr">
        <is>
          <t>OBT220125181516-Pitten (Hamburger)</t>
        </is>
      </c>
      <c r="I817" s="10" t="n">
        <v>45680.75005787037</v>
      </c>
      <c r="J817" s="10" t="n">
        <v>45680.80133101852</v>
      </c>
      <c r="K817" s="10" t="n">
        <v>45680.80133101852</v>
      </c>
      <c r="L817" s="10" t="n">
        <v>45680.80255787037</v>
      </c>
      <c r="M817" s="11">
        <f>IF(AND(ISNUMBER(E817),ISNUMBER(G817)),(G817-E817),"")</f>
        <v/>
      </c>
      <c r="N817" s="11">
        <f>IF(AND(ISNUMBER(G817),ISNUMBER(L817)),(L817-G817),"")</f>
        <v/>
      </c>
      <c r="O817" s="10" t="n">
        <v>45679.76060185185</v>
      </c>
      <c r="P817" s="11">
        <f>IF(AND(ISNUMBER(I817),ISNUMBER(O817)),(I817-O817),"")</f>
        <v/>
      </c>
      <c r="Q817" s="12" t="inlineStr">
        <is>
          <t>WG 1021908 entered track and got secured, OBTP started on 18:00:05 finished on 19:13:55 and then left at 19:15:41</t>
        </is>
      </c>
    </row>
    <row r="818">
      <c r="A818" s="3" t="inlineStr">
        <is>
          <t>1021909</t>
        </is>
      </c>
      <c r="B818" s="3" t="inlineStr">
        <is>
          <t>10219</t>
        </is>
      </c>
      <c r="C818" s="9" t="n">
        <v>21</v>
      </c>
      <c r="D818" s="3" t="inlineStr">
        <is>
          <t>Neunkirchen (loading tracks)</t>
        </is>
      </c>
      <c r="E818" s="10" t="n">
        <v>45679.72533564815</v>
      </c>
      <c r="F818" s="10" t="n">
        <v>45679.75820601852</v>
      </c>
      <c r="G818" s="10" t="n">
        <v>45679.75994212963</v>
      </c>
      <c r="H818" s="3" t="inlineStr">
        <is>
          <t>OBT220125204226-Neunkirchen (loading tracks)</t>
        </is>
      </c>
      <c r="I818" s="10" t="n">
        <v>45680.8828587963</v>
      </c>
      <c r="J818" s="10" t="n">
        <v>45680.90070601852</v>
      </c>
      <c r="K818" s="10" t="n">
        <v>45680.90070601852</v>
      </c>
      <c r="L818" s="10" t="n">
        <v>45680.90148148148</v>
      </c>
      <c r="M818" s="11">
        <f>IF(AND(ISNUMBER(E818),ISNUMBER(G818)),(G818-E818),"")</f>
        <v/>
      </c>
      <c r="N818" s="11">
        <f>IF(AND(ISNUMBER(G818),ISNUMBER(L818)),(L818-G818),"")</f>
        <v/>
      </c>
      <c r="O818" s="10" t="n">
        <v>45679.76351851852</v>
      </c>
      <c r="P818" s="11">
        <f>IF(AND(ISNUMBER(I818),ISNUMBER(O818)),(I818-O818),"")</f>
        <v/>
      </c>
      <c r="Q818" s="12" t="inlineStr">
        <is>
          <t>WG 1021909 entered track and got coupled to WG 1021906 then waited 2:22:58 for WG 1022205 to get coupled, OBTP started on 21:11:19 finished on 21:37:01 and then left at 21:38:08</t>
        </is>
      </c>
    </row>
    <row r="819">
      <c r="A819" s="3" t="inlineStr">
        <is>
          <t>1021910</t>
        </is>
      </c>
      <c r="B819" s="3" t="inlineStr">
        <is>
          <t>10219</t>
        </is>
      </c>
      <c r="C819" s="9" t="n">
        <v>19.9</v>
      </c>
      <c r="D819" s="3" t="inlineStr">
        <is>
          <t>Neudörfl (FunderMax)</t>
        </is>
      </c>
      <c r="E819" s="10" t="n">
        <v>45679.72533564815</v>
      </c>
      <c r="F819" s="10" t="n">
        <v>45679.75994212963</v>
      </c>
      <c r="G819" s="10" t="n">
        <v>45679.76121527778</v>
      </c>
      <c r="H819" s="3" t="inlineStr">
        <is>
          <t>OBT230125095448-Neudörfl (FunderMax)</t>
        </is>
      </c>
      <c r="I819" s="10" t="n">
        <v>45681.40077546296</v>
      </c>
      <c r="J819" s="10" t="n">
        <v>45681.42721064815</v>
      </c>
      <c r="K819" s="10" t="n">
        <v>45681.42721064815</v>
      </c>
      <c r="L819" s="10" t="n">
        <v>45681.42811342593</v>
      </c>
      <c r="M819" s="11">
        <f>IF(AND(ISNUMBER(E819),ISNUMBER(G819)),(G819-E819),"")</f>
        <v/>
      </c>
      <c r="N819" s="11">
        <f>IF(AND(ISNUMBER(G819),ISNUMBER(L819)),(L819-G819),"")</f>
        <v/>
      </c>
      <c r="O819" s="10" t="n">
        <v>45679.76361111111</v>
      </c>
      <c r="P819" s="11">
        <f>IF(AND(ISNUMBER(I819),ISNUMBER(O819)),(I819-O819),"")</f>
        <v/>
      </c>
      <c r="Q819" s="12" t="inlineStr">
        <is>
          <t>WG 1021910 entered track and got secured then waited 2:19:38 for WG 1022204 to get coupled then waited 10:42:26 for WG 1022505 to get coupled then waited 2:33:08 for WG 1022907 to get coupled, OBTP started on 09:37:07 finished on 10:15:11 and then left at 10:16:29</t>
        </is>
      </c>
    </row>
    <row r="820">
      <c r="A820" s="3" t="inlineStr">
        <is>
          <t>1022001</t>
        </is>
      </c>
      <c r="B820" s="3" t="inlineStr">
        <is>
          <t>10220</t>
        </is>
      </c>
      <c r="C820" s="9" t="n">
        <v>325.3600000000001</v>
      </c>
      <c r="D820" s="3" t="inlineStr">
        <is>
          <t>Wien Kledering</t>
        </is>
      </c>
      <c r="E820" s="10" t="n">
        <v>45679.7334375</v>
      </c>
      <c r="F820" s="10" t="n">
        <v>45679.73950231481</v>
      </c>
      <c r="G820" s="10" t="n">
        <v>45679.74137731481</v>
      </c>
      <c r="H820" s="3" t="inlineStr">
        <is>
          <t>OBT220125175314-Wien Kledering</t>
        </is>
      </c>
      <c r="I820" s="10" t="n">
        <v>45680.64006944445</v>
      </c>
      <c r="J820" s="10" t="n">
        <v>45680.70748842593</v>
      </c>
      <c r="K820" s="10" t="n">
        <v>45680.70748842593</v>
      </c>
      <c r="L820" s="10" t="n">
        <v>45680.70885416667</v>
      </c>
      <c r="M820" s="11">
        <f>IF(AND(ISNUMBER(E820),ISNUMBER(G820)),(G820-E820),"")</f>
        <v/>
      </c>
      <c r="N820" s="11">
        <f>IF(AND(ISNUMBER(G820),ISNUMBER(L820)),(L820-G820),"")</f>
        <v/>
      </c>
      <c r="O820" s="10" t="n">
        <v>45679.74530092593</v>
      </c>
      <c r="P820" s="11">
        <f>IF(AND(ISNUMBER(I820),ISNUMBER(O820)),(I820-O820),"")</f>
        <v/>
      </c>
      <c r="Q820" s="12" t="inlineStr">
        <is>
          <t>WG 1022001 entered track and got coupled to WG 1021801, OBTP started on 15:21:42 finished on 16:58:47 and then left at 17:00:45</t>
        </is>
      </c>
    </row>
    <row r="821">
      <c r="A821" s="3" t="inlineStr">
        <is>
          <t>1022101</t>
        </is>
      </c>
      <c r="B821" s="3" t="inlineStr">
        <is>
          <t>10221</t>
        </is>
      </c>
      <c r="C821" s="9" t="n">
        <v>74.62</v>
      </c>
      <c r="D821" s="3" t="inlineStr">
        <is>
          <t>Wien Kledering</t>
        </is>
      </c>
      <c r="E821" s="10" t="n">
        <v>45679.74369212963</v>
      </c>
      <c r="F821" s="10" t="n"/>
      <c r="G821" s="10" t="n"/>
      <c r="H821" s="3" t="n"/>
      <c r="I821" s="10" t="n"/>
      <c r="J821" s="10" t="n"/>
      <c r="K821" s="10" t="n"/>
      <c r="L821" s="10" t="n"/>
      <c r="M821" s="11">
        <f>IF(AND(ISNUMBER(E821),ISNUMBER(G821)),(G821-E821),"")</f>
        <v/>
      </c>
      <c r="N821" s="11">
        <f>IF(AND(ISNUMBER(G821),ISNUMBER(L821)),(L821-G821),"")</f>
        <v/>
      </c>
      <c r="O821" s="10" t="n"/>
      <c r="P821" s="11">
        <f>IF(AND(ISNUMBER(I821),ISNUMBER(O821)),(I821-O821),"")</f>
        <v/>
      </c>
      <c r="Q821" s="12" t="n"/>
    </row>
    <row r="822">
      <c r="A822" s="3" t="inlineStr">
        <is>
          <t>1022201</t>
        </is>
      </c>
      <c r="B822" s="3" t="inlineStr">
        <is>
          <t>10222</t>
        </is>
      </c>
      <c r="C822" s="9" t="n">
        <v>92.95999999999999</v>
      </c>
      <c r="D822" s="3" t="inlineStr">
        <is>
          <t>Pitten (Hamburger)</t>
        </is>
      </c>
      <c r="E822" s="10" t="n">
        <v>45679.83730324074</v>
      </c>
      <c r="F822" s="10" t="n">
        <v>45679.84998842593</v>
      </c>
      <c r="G822" s="10" t="n">
        <v>45679.85211805555</v>
      </c>
      <c r="H822" s="3" t="inlineStr">
        <is>
          <t>OBT220125203751-Pitten (Hamburger)</t>
        </is>
      </c>
      <c r="I822" s="10" t="n">
        <v>45680.7528587963</v>
      </c>
      <c r="J822" s="10" t="n">
        <v>45680.77143518518</v>
      </c>
      <c r="K822" s="10" t="n">
        <v>45680.77143518518</v>
      </c>
      <c r="L822" s="10" t="n">
        <v>45680.7722337963</v>
      </c>
      <c r="M822" s="11">
        <f>IF(AND(ISNUMBER(E822),ISNUMBER(G822)),(G822-E822),"")</f>
        <v/>
      </c>
      <c r="N822" s="11">
        <f>IF(AND(ISNUMBER(G822),ISNUMBER(L822)),(L822-G822),"")</f>
        <v/>
      </c>
      <c r="O822" s="10" t="n">
        <v>45679.85451388889</v>
      </c>
      <c r="P822" s="11">
        <f>IF(AND(ISNUMBER(I822),ISNUMBER(O822)),(I822-O822),"")</f>
        <v/>
      </c>
      <c r="Q822" s="12" t="inlineStr">
        <is>
          <t>WG 1022201 entered track and got secured then waited 0:07:21 for WG 1022203 to get coupled, OBTP started on 18:04:07 finished on 18:30:52 and then left at 18:32:01</t>
        </is>
      </c>
    </row>
    <row r="823">
      <c r="A823" s="3" t="inlineStr">
        <is>
          <t>1022202</t>
        </is>
      </c>
      <c r="B823" s="3" t="inlineStr">
        <is>
          <t>10222</t>
        </is>
      </c>
      <c r="C823" s="9" t="n">
        <v>19.9</v>
      </c>
      <c r="D823" s="3" t="inlineStr">
        <is>
          <t>Wr. Neustadt Ausfahrbf (Furtenbach)</t>
        </is>
      </c>
      <c r="E823" s="10" t="n">
        <v>45679.83730324074</v>
      </c>
      <c r="F823" s="10" t="n">
        <v>45679.85211805555</v>
      </c>
      <c r="G823" s="10" t="n">
        <v>45679.85373842593</v>
      </c>
      <c r="H823" s="3" t="inlineStr">
        <is>
          <t>OBT230125175458-Wr. Neustadt Ausfahrbf (Furtenbach)</t>
        </is>
      </c>
      <c r="I823" s="10" t="n">
        <v>45681.73866898148</v>
      </c>
      <c r="J823" s="10" t="n">
        <v>45681.7572337963</v>
      </c>
      <c r="K823" s="10" t="n">
        <v>45681.7572337963</v>
      </c>
      <c r="L823" s="10" t="n">
        <v>45681.7580787037</v>
      </c>
      <c r="M823" s="11">
        <f>IF(AND(ISNUMBER(E823),ISNUMBER(G823)),(G823-E823),"")</f>
        <v/>
      </c>
      <c r="N823" s="11">
        <f>IF(AND(ISNUMBER(G823),ISNUMBER(L823)),(L823-G823),"")</f>
        <v/>
      </c>
      <c r="O823" s="10" t="n">
        <v>45679.85591435185</v>
      </c>
      <c r="P823" s="11">
        <f>IF(AND(ISNUMBER(I823),ISNUMBER(O823)),(I823-O823),"")</f>
        <v/>
      </c>
      <c r="Q823" s="12" t="inlineStr">
        <is>
          <t>WG 1022202 entered track and got secured then waited 0:14:35 for WG 1022207 to get coupled then waited 13:00:33 for WG 1022904 to get coupled then waited 0:02:14 for WG 1022905 to get coupled then waited 7:57:19 for WG 1023505 to get coupled then waited 0:07:46 for WG 1023508 to get coupled, OBTP started on 17:43:41 finished on 18:10:25 and then left at 18:11:38</t>
        </is>
      </c>
    </row>
    <row r="824">
      <c r="A824" s="3" t="inlineStr">
        <is>
          <t>1022203</t>
        </is>
      </c>
      <c r="B824" s="3" t="inlineStr">
        <is>
          <t>10222</t>
        </is>
      </c>
      <c r="C824" s="9" t="n">
        <v>14</v>
      </c>
      <c r="D824" s="3" t="inlineStr">
        <is>
          <t>Wr. Neustadt (Brenntag)</t>
        </is>
      </c>
      <c r="E824" s="10" t="n">
        <v>45679.83730324074</v>
      </c>
      <c r="F824" s="10" t="n">
        <v>45679.85373842593</v>
      </c>
      <c r="G824" s="10" t="n">
        <v>45679.85569444444</v>
      </c>
      <c r="H824" s="3" t="inlineStr">
        <is>
          <t>OBT220125203751-Pitten (Hamburger)</t>
        </is>
      </c>
      <c r="I824" s="10" t="n">
        <v>45680.7528587963</v>
      </c>
      <c r="J824" s="10" t="n">
        <v>45680.77143518518</v>
      </c>
      <c r="K824" s="10" t="n">
        <v>45680.77143518518</v>
      </c>
      <c r="L824" s="10" t="n">
        <v>45680.7722337963</v>
      </c>
      <c r="M824" s="11">
        <f>IF(AND(ISNUMBER(E824),ISNUMBER(G824)),(G824-E824),"")</f>
        <v/>
      </c>
      <c r="N824" s="11">
        <f>IF(AND(ISNUMBER(G824),ISNUMBER(L824)),(L824-G824),"")</f>
        <v/>
      </c>
      <c r="O824" s="10" t="n">
        <v>45679.85961805555</v>
      </c>
      <c r="P824" s="11">
        <f>IF(AND(ISNUMBER(I824),ISNUMBER(O824)),(I824-O824),"")</f>
        <v/>
      </c>
      <c r="Q824" s="12" t="inlineStr">
        <is>
          <t>WG 1022203 entered track and got coupled to WG 1022201, OBTP started on 18:04:07 finished on 18:30:52 and then left at 18:32:01</t>
        </is>
      </c>
    </row>
    <row r="825">
      <c r="A825" s="3" t="inlineStr">
        <is>
          <t>1022204</t>
        </is>
      </c>
      <c r="B825" s="3" t="inlineStr">
        <is>
          <t>10222</t>
        </is>
      </c>
      <c r="C825" s="9" t="n">
        <v>33</v>
      </c>
      <c r="D825" s="3" t="inlineStr">
        <is>
          <t>Neudörfl (FunderMax)</t>
        </is>
      </c>
      <c r="E825" s="10" t="n">
        <v>45679.83730324074</v>
      </c>
      <c r="F825" s="10" t="n">
        <v>45679.85569444444</v>
      </c>
      <c r="G825" s="10" t="n">
        <v>45679.85701388889</v>
      </c>
      <c r="H825" s="3" t="inlineStr">
        <is>
          <t>OBT230125095448-Neudörfl (FunderMax)</t>
        </is>
      </c>
      <c r="I825" s="10" t="n">
        <v>45681.40077546296</v>
      </c>
      <c r="J825" s="10" t="n">
        <v>45681.42721064815</v>
      </c>
      <c r="K825" s="10" t="n">
        <v>45681.42721064815</v>
      </c>
      <c r="L825" s="10" t="n">
        <v>45681.42811342593</v>
      </c>
      <c r="M825" s="11">
        <f>IF(AND(ISNUMBER(E825),ISNUMBER(G825)),(G825-E825),"")</f>
        <v/>
      </c>
      <c r="N825" s="11">
        <f>IF(AND(ISNUMBER(G825),ISNUMBER(L825)),(L825-G825),"")</f>
        <v/>
      </c>
      <c r="O825" s="10" t="n">
        <v>45679.8605787037</v>
      </c>
      <c r="P825" s="11">
        <f>IF(AND(ISNUMBER(I825),ISNUMBER(O825)),(I825-O825),"")</f>
        <v/>
      </c>
      <c r="Q825" s="12" t="inlineStr">
        <is>
          <t>WG 1022204 entered track and got coupled to WG 1021910 then waited 10:42:26 for WG 1022505 to get coupled then waited 2:33:08 for WG 1022907 to get coupled, OBTP started on 09:37:07 finished on 10:15:11 and then left at 10:16:29</t>
        </is>
      </c>
    </row>
    <row r="826">
      <c r="A826" s="3" t="inlineStr">
        <is>
          <t>1022205</t>
        </is>
      </c>
      <c r="B826" s="3" t="inlineStr">
        <is>
          <t>10222</t>
        </is>
      </c>
      <c r="C826" s="9" t="n">
        <v>61.9</v>
      </c>
      <c r="D826" s="3" t="inlineStr">
        <is>
          <t>Neunkirchen (loading tracks)</t>
        </is>
      </c>
      <c r="E826" s="10" t="n">
        <v>45679.83730324074</v>
      </c>
      <c r="F826" s="10" t="n">
        <v>45679.85701388889</v>
      </c>
      <c r="G826" s="10" t="n">
        <v>45679.85887731481</v>
      </c>
      <c r="H826" s="3" t="inlineStr">
        <is>
          <t>OBT220125204226-Neunkirchen (loading tracks)</t>
        </is>
      </c>
      <c r="I826" s="10" t="n">
        <v>45680.8828587963</v>
      </c>
      <c r="J826" s="10" t="n">
        <v>45680.90070601852</v>
      </c>
      <c r="K826" s="10" t="n">
        <v>45680.90070601852</v>
      </c>
      <c r="L826" s="10" t="n">
        <v>45680.90148148148</v>
      </c>
      <c r="M826" s="11">
        <f>IF(AND(ISNUMBER(E826),ISNUMBER(G826)),(G826-E826),"")</f>
        <v/>
      </c>
      <c r="N826" s="11">
        <f>IF(AND(ISNUMBER(G826),ISNUMBER(L826)),(L826-G826),"")</f>
        <v/>
      </c>
      <c r="O826" s="10" t="n">
        <v>45679.86280092593</v>
      </c>
      <c r="P826" s="11">
        <f>IF(AND(ISNUMBER(I826),ISNUMBER(O826)),(I826-O826),"")</f>
        <v/>
      </c>
      <c r="Q826" s="12" t="inlineStr">
        <is>
          <t>WG 1022205 entered track and got coupled to WG 1021909, OBTP started on 21:11:19 finished on 21:37:01 and then left at 21:38:08</t>
        </is>
      </c>
    </row>
    <row r="827">
      <c r="A827" s="3" t="inlineStr">
        <is>
          <t>1022206</t>
        </is>
      </c>
      <c r="B827" s="3" t="inlineStr">
        <is>
          <t>10222</t>
        </is>
      </c>
      <c r="C827" s="9" t="n">
        <v>31.48</v>
      </c>
      <c r="D827" s="3" t="inlineStr">
        <is>
          <t>Pitten (Hamburger)</t>
        </is>
      </c>
      <c r="E827" s="10" t="n">
        <v>45679.83730324074</v>
      </c>
      <c r="F827" s="10" t="n">
        <v>45679.85887731481</v>
      </c>
      <c r="G827" s="10" t="n">
        <v>45679.86086805556</v>
      </c>
      <c r="H827" s="3" t="inlineStr">
        <is>
          <t>OBT230125100554-Pitten (Hamburger)</t>
        </is>
      </c>
      <c r="I827" s="10" t="n">
        <v>45681.55319444444</v>
      </c>
      <c r="J827" s="10" t="n">
        <v>45681.58391203704</v>
      </c>
      <c r="K827" s="10" t="n">
        <v>45681.58391203704</v>
      </c>
      <c r="L827" s="10" t="n">
        <v>45681.58487268518</v>
      </c>
      <c r="M827" s="11">
        <f>IF(AND(ISNUMBER(E827),ISNUMBER(G827)),(G827-E827),"")</f>
        <v/>
      </c>
      <c r="N827" s="11">
        <f>IF(AND(ISNUMBER(G827),ISNUMBER(L827)),(L827-G827),"")</f>
        <v/>
      </c>
      <c r="O827" s="10" t="n">
        <v>45679.86326388889</v>
      </c>
      <c r="P827" s="11">
        <f>IF(AND(ISNUMBER(I827),ISNUMBER(O827)),(I827-O827),"")</f>
        <v/>
      </c>
      <c r="Q827" s="12" t="inlineStr">
        <is>
          <t>WG 1022206 entered track and got secured then waited 10:41:27 for cut 1022506+1022508 to get coupled then waited 2:36:54 for WG 1022910 to get coupled then waited 0:04:27 for WG 1022911 to get coupled, OBTP started on 13:16:36 finished on 14:00:50 and then left at 14:02:13</t>
        </is>
      </c>
    </row>
    <row r="828">
      <c r="A828" s="3" t="inlineStr">
        <is>
          <t>1022207</t>
        </is>
      </c>
      <c r="B828" s="3" t="inlineStr">
        <is>
          <t>10222</t>
        </is>
      </c>
      <c r="C828" s="9" t="n">
        <v>15.74</v>
      </c>
      <c r="D828" s="3" t="inlineStr">
        <is>
          <t>Obereggendorf (Hofer)</t>
        </is>
      </c>
      <c r="E828" s="10" t="n">
        <v>45679.83730324074</v>
      </c>
      <c r="F828" s="10" t="n">
        <v>45679.86086805556</v>
      </c>
      <c r="G828" s="10" t="n">
        <v>45679.86247685185</v>
      </c>
      <c r="H828" s="3" t="inlineStr">
        <is>
          <t>OBT230125175458-Wr. Neustadt Ausfahrbf (Furtenbach)</t>
        </is>
      </c>
      <c r="I828" s="10" t="n">
        <v>45681.73866898148</v>
      </c>
      <c r="J828" s="10" t="n">
        <v>45681.7572337963</v>
      </c>
      <c r="K828" s="10" t="n">
        <v>45681.7572337963</v>
      </c>
      <c r="L828" s="10" t="n">
        <v>45681.7580787037</v>
      </c>
      <c r="M828" s="11">
        <f>IF(AND(ISNUMBER(E828),ISNUMBER(G828)),(G828-E828),"")</f>
        <v/>
      </c>
      <c r="N828" s="11">
        <f>IF(AND(ISNUMBER(G828),ISNUMBER(L828)),(L828-G828),"")</f>
        <v/>
      </c>
      <c r="O828" s="10" t="n">
        <v>45679.86604166667</v>
      </c>
      <c r="P828" s="11">
        <f>IF(AND(ISNUMBER(I828),ISNUMBER(O828)),(I828-O828),"")</f>
        <v/>
      </c>
      <c r="Q828" s="12" t="inlineStr">
        <is>
          <t>WG 1022207 entered track and got coupled to WG 1022202 then waited 13:00:33 for WG 1022904 to get coupled then waited 0:02:14 for WG 1022905 to get coupled then waited 7:57:19 for WG 1023505 to get coupled then waited 0:07:46 for WG 1023508 to get coupled, OBTP started on 17:43:41 finished on 18:10:25 and then left at 18:11:38</t>
        </is>
      </c>
    </row>
    <row r="829">
      <c r="A829" s="3" t="inlineStr">
        <is>
          <t>1022208</t>
        </is>
      </c>
      <c r="B829" s="3" t="inlineStr">
        <is>
          <t>10222</t>
        </is>
      </c>
      <c r="C829" s="9" t="n">
        <v>29.74</v>
      </c>
      <c r="D829" s="3" t="inlineStr">
        <is>
          <t>Other sidings local</t>
        </is>
      </c>
      <c r="E829" s="10" t="n">
        <v>45679.83730324074</v>
      </c>
      <c r="F829" s="10" t="n">
        <v>45679.86247685185</v>
      </c>
      <c r="G829" s="10" t="n">
        <v>45679.86423611111</v>
      </c>
      <c r="H829" s="3" t="inlineStr">
        <is>
          <t>OBT220125205009-Other sidings local</t>
        </is>
      </c>
      <c r="I829" s="10" t="n">
        <v>45681.13284722222</v>
      </c>
      <c r="J829" s="10" t="n">
        <v>45681.15251157407</v>
      </c>
      <c r="K829" s="10" t="n">
        <v>45681.15251157407</v>
      </c>
      <c r="L829" s="10" t="n">
        <v>45681.15327546297</v>
      </c>
      <c r="M829" s="11">
        <f>IF(AND(ISNUMBER(E829),ISNUMBER(G829)),(G829-E829),"")</f>
        <v/>
      </c>
      <c r="N829" s="11">
        <f>IF(AND(ISNUMBER(G829),ISNUMBER(L829)),(L829-G829),"")</f>
        <v/>
      </c>
      <c r="O829" s="10" t="n">
        <v>45679.86815972222</v>
      </c>
      <c r="P829" s="11">
        <f>IF(AND(ISNUMBER(I829),ISNUMBER(O829)),(I829-O829),"")</f>
        <v/>
      </c>
      <c r="Q829" s="12" t="inlineStr">
        <is>
          <t>WG 1022208 entered track and got coupled to WG 1021901, OBTP started on 03:11:18 finished on 03:39:37 and then left at 03:40:43</t>
        </is>
      </c>
    </row>
    <row r="830">
      <c r="A830" s="3" t="inlineStr">
        <is>
          <t>1022301</t>
        </is>
      </c>
      <c r="B830" s="3" t="inlineStr">
        <is>
          <t>10223</t>
        </is>
      </c>
      <c r="C830" s="9" t="n">
        <v>123.8</v>
      </c>
      <c r="D830" s="3" t="inlineStr">
        <is>
          <t>Neunkirchen (loading tracks)</t>
        </is>
      </c>
      <c r="E830" s="10" t="n">
        <v>45680.11449074074</v>
      </c>
      <c r="F830" s="10" t="n">
        <v>45680.1234375</v>
      </c>
      <c r="G830" s="10" t="n">
        <v>45680.12484953704</v>
      </c>
      <c r="H830" s="3" t="inlineStr">
        <is>
          <t>OBT230125030314-Neunkirchen (loading tracks)</t>
        </is>
      </c>
      <c r="I830" s="10" t="n">
        <v>45681.19891203703</v>
      </c>
      <c r="J830" s="10" t="n">
        <v>45681.22040509259</v>
      </c>
      <c r="K830" s="10" t="n">
        <v>45681.22040509259</v>
      </c>
      <c r="L830" s="10" t="n">
        <v>45681.22115740741</v>
      </c>
      <c r="M830" s="11">
        <f>IF(AND(ISNUMBER(E830),ISNUMBER(G830)),(G830-E830),"")</f>
        <v/>
      </c>
      <c r="N830" s="11">
        <f>IF(AND(ISNUMBER(G830),ISNUMBER(L830)),(L830-G830),"")</f>
        <v/>
      </c>
      <c r="O830" s="10" t="n">
        <v>45680.12724537037</v>
      </c>
      <c r="P830" s="11">
        <f>IF(AND(ISNUMBER(I830),ISNUMBER(O830)),(I830-O830),"")</f>
        <v/>
      </c>
      <c r="Q830" s="12" t="inlineStr">
        <is>
          <t>WG 1022301 entered track and got secured, OBTP started on 04:46:26 finished on 05:17:23 and then left at 05:18:28</t>
        </is>
      </c>
    </row>
    <row r="831">
      <c r="A831" s="3" t="inlineStr">
        <is>
          <t>1022302</t>
        </is>
      </c>
      <c r="B831" s="3" t="inlineStr">
        <is>
          <t>10223</t>
        </is>
      </c>
      <c r="C831" s="9" t="n">
        <v>107.86</v>
      </c>
      <c r="D831" s="3" t="inlineStr">
        <is>
          <t>Ternitz (Schoeller-Bleckmann)</t>
        </is>
      </c>
      <c r="E831" s="10" t="n">
        <v>45680.11449074074</v>
      </c>
      <c r="F831" s="10" t="n">
        <v>45680.12484953704</v>
      </c>
      <c r="G831" s="10" t="n">
        <v>45680.12701388889</v>
      </c>
      <c r="H831" s="3" t="inlineStr">
        <is>
          <t>OBT230125030603-Ternitz (Schoeller-Bleckmann)</t>
        </is>
      </c>
      <c r="I831" s="10" t="n">
        <v>45681.2693287037</v>
      </c>
      <c r="J831" s="10" t="n">
        <v>45681.28805555555</v>
      </c>
      <c r="K831" s="10" t="n">
        <v>45681.28805555555</v>
      </c>
      <c r="L831" s="10" t="n">
        <v>45681.28884259259</v>
      </c>
      <c r="M831" s="11">
        <f>IF(AND(ISNUMBER(E831),ISNUMBER(G831)),(G831-E831),"")</f>
        <v/>
      </c>
      <c r="N831" s="11">
        <f>IF(AND(ISNUMBER(G831),ISNUMBER(L831)),(L831-G831),"")</f>
        <v/>
      </c>
      <c r="O831" s="10" t="n">
        <v>45680.12920138889</v>
      </c>
      <c r="P831" s="11">
        <f>IF(AND(ISNUMBER(I831),ISNUMBER(O831)),(I831-O831),"")</f>
        <v/>
      </c>
      <c r="Q831" s="12" t="inlineStr">
        <is>
          <t>WG 1022302 entered track and got secured, OBTP started on 06:27:50 finished on 06:54:48 and then left at 06:55:56</t>
        </is>
      </c>
    </row>
    <row r="832">
      <c r="A832" s="3" t="inlineStr">
        <is>
          <t>1022303</t>
        </is>
      </c>
      <c r="B832" s="3" t="inlineStr">
        <is>
          <t>10223</t>
        </is>
      </c>
      <c r="C832" s="9" t="n">
        <v>15.74</v>
      </c>
      <c r="D832" s="3" t="inlineStr">
        <is>
          <t>Gloggnitz</t>
        </is>
      </c>
      <c r="E832" s="10" t="n">
        <v>45680.11449074074</v>
      </c>
      <c r="F832" s="10" t="n">
        <v>45680.12701388889</v>
      </c>
      <c r="G832" s="10" t="n">
        <v>45680.12893518519</v>
      </c>
      <c r="H832" s="3" t="inlineStr">
        <is>
          <t>OBT230125090110-Wien Kledering</t>
        </is>
      </c>
      <c r="I832" s="10" t="n">
        <v>45681.33265046297</v>
      </c>
      <c r="J832" s="10" t="n">
        <v>45681.36351851852</v>
      </c>
      <c r="K832" s="10" t="n">
        <v>45681.36351851852</v>
      </c>
      <c r="L832" s="10" t="n">
        <v>45681.3643287037</v>
      </c>
      <c r="M832" s="11">
        <f>IF(AND(ISNUMBER(E832),ISNUMBER(G832)),(G832-E832),"")</f>
        <v/>
      </c>
      <c r="N832" s="11">
        <f>IF(AND(ISNUMBER(G832),ISNUMBER(L832)),(L832-G832),"")</f>
        <v/>
      </c>
      <c r="O832" s="10" t="n">
        <v>45680.13133101852</v>
      </c>
      <c r="P832" s="11">
        <f>IF(AND(ISNUMBER(I832),ISNUMBER(O832)),(I832-O832),"")</f>
        <v/>
      </c>
      <c r="Q832" s="12" t="inlineStr">
        <is>
          <t>WG 1022303 entered track and got secured then waited 5:52:03 for WG 1022801 to get coupled, OBTP started on 07:59:01 finished on 08:43:28 and then left at 08:44:38</t>
        </is>
      </c>
    </row>
    <row r="833">
      <c r="A833" s="3" t="inlineStr">
        <is>
          <t>1022304</t>
        </is>
      </c>
      <c r="B833" s="3" t="inlineStr">
        <is>
          <t>10223</t>
        </is>
      </c>
      <c r="C833" s="9" t="n">
        <v>63.03999999999999</v>
      </c>
      <c r="D833" s="3" t="inlineStr">
        <is>
          <t>Other sidings south</t>
        </is>
      </c>
      <c r="E833" s="10" t="n">
        <v>45680.11449074074</v>
      </c>
      <c r="F833" s="10" t="n">
        <v>45680.12893518519</v>
      </c>
      <c r="G833" s="10" t="n">
        <v>45680.13020833334</v>
      </c>
      <c r="H833" s="3" t="inlineStr">
        <is>
          <t>OBT230125071649-Other sidings south</t>
        </is>
      </c>
      <c r="I833" s="10" t="n">
        <v>45681.31454861111</v>
      </c>
      <c r="J833" s="10" t="n">
        <v>45681.335</v>
      </c>
      <c r="K833" s="10" t="n">
        <v>45681.335</v>
      </c>
      <c r="L833" s="10" t="n">
        <v>45681.33572916667</v>
      </c>
      <c r="M833" s="11">
        <f>IF(AND(ISNUMBER(E833),ISNUMBER(G833)),(G833-E833),"")</f>
        <v/>
      </c>
      <c r="N833" s="11">
        <f>IF(AND(ISNUMBER(G833),ISNUMBER(L833)),(L833-G833),"")</f>
        <v/>
      </c>
      <c r="O833" s="10" t="n">
        <v>45680.13238425926</v>
      </c>
      <c r="P833" s="11">
        <f>IF(AND(ISNUMBER(I833),ISNUMBER(O833)),(I833-O833),"")</f>
        <v/>
      </c>
      <c r="Q833" s="12" t="inlineStr">
        <is>
          <t>WG 1022304 entered track and got secured then waited 4:06:11 for WG 1022503 to get coupled, OBTP started on 07:32:57 finished on 08:02:24 and then left at 08:03:27</t>
        </is>
      </c>
    </row>
    <row r="834">
      <c r="A834" s="3" t="inlineStr">
        <is>
          <t>1022401</t>
        </is>
      </c>
      <c r="B834" s="3" t="inlineStr">
        <is>
          <t>10224</t>
        </is>
      </c>
      <c r="C834" s="9" t="n">
        <v>144.44</v>
      </c>
      <c r="D834" s="3" t="inlineStr">
        <is>
          <t>Wien Kledering</t>
        </is>
      </c>
      <c r="E834" s="10" t="n">
        <v>45680.26512731481</v>
      </c>
      <c r="F834" s="10" t="n">
        <v>45680.26986111111</v>
      </c>
      <c r="G834" s="10" t="n">
        <v>45680.27217592593</v>
      </c>
      <c r="H834" s="3" t="inlineStr">
        <is>
          <t>OBT230125063522-Wien Kledering</t>
        </is>
      </c>
      <c r="I834" s="10" t="n">
        <v>45681.3009375</v>
      </c>
      <c r="J834" s="10" t="n">
        <v>45681.32601851852</v>
      </c>
      <c r="K834" s="10" t="n">
        <v>45681.32601851852</v>
      </c>
      <c r="L834" s="10" t="n">
        <v>45681.32685185185</v>
      </c>
      <c r="M834" s="11">
        <f>IF(AND(ISNUMBER(E834),ISNUMBER(G834)),(G834-E834),"")</f>
        <v/>
      </c>
      <c r="N834" s="11">
        <f>IF(AND(ISNUMBER(G834),ISNUMBER(L834)),(L834-G834),"")</f>
        <v/>
      </c>
      <c r="O834" s="10" t="n">
        <v>45680.27456018519</v>
      </c>
      <c r="P834" s="11">
        <f>IF(AND(ISNUMBER(I834),ISNUMBER(O834)),(I834-O834),"")</f>
        <v/>
      </c>
      <c r="Q834" s="12" t="inlineStr">
        <is>
          <t>WG 1022401 entered track and got secured, OBTP started on 07:13:21 finished on 07:49:28 and then left at 07:50:40</t>
        </is>
      </c>
    </row>
    <row r="835">
      <c r="A835" s="3" t="inlineStr">
        <is>
          <t>1022501</t>
        </is>
      </c>
      <c r="B835" s="3" t="inlineStr">
        <is>
          <t>10225</t>
        </is>
      </c>
      <c r="C835" s="9" t="n">
        <v>27</v>
      </c>
      <c r="D835" s="3" t="inlineStr">
        <is>
          <t>Wr. Neustadt (Hödlmayr)</t>
        </is>
      </c>
      <c r="E835" s="10" t="n">
        <v>45680.28364583333</v>
      </c>
      <c r="F835" s="10" t="n"/>
      <c r="G835" s="10" t="n"/>
      <c r="H835" s="3" t="n"/>
      <c r="I835" s="10" t="n"/>
      <c r="J835" s="10" t="n"/>
      <c r="K835" s="10" t="n"/>
      <c r="L835" s="10" t="n"/>
      <c r="M835" s="11">
        <f>IF(AND(ISNUMBER(E835),ISNUMBER(G835)),(G835-E835),"")</f>
        <v/>
      </c>
      <c r="N835" s="11">
        <f>IF(AND(ISNUMBER(G835),ISNUMBER(L835)),(L835-G835),"")</f>
        <v/>
      </c>
      <c r="O835" s="10" t="n"/>
      <c r="P835" s="11">
        <f>IF(AND(ISNUMBER(I835),ISNUMBER(O835)),(I835-O835),"")</f>
        <v/>
      </c>
      <c r="Q835" s="12" t="n"/>
    </row>
    <row r="836">
      <c r="A836" s="3" t="inlineStr">
        <is>
          <t>1022502</t>
        </is>
      </c>
      <c r="B836" s="3" t="inlineStr">
        <is>
          <t>10225</t>
        </is>
      </c>
      <c r="C836" s="9" t="n">
        <v>12.04</v>
      </c>
      <c r="D836" s="3" t="inlineStr">
        <is>
          <t>Ternitz (Schoeller-Bleckmann)</t>
        </is>
      </c>
      <c r="E836" s="10" t="n">
        <v>45680.28364583333</v>
      </c>
      <c r="F836" s="10" t="n">
        <v>45680.29622685185</v>
      </c>
      <c r="G836" s="10" t="n">
        <v>45680.29817129629</v>
      </c>
      <c r="H836" s="3" t="inlineStr">
        <is>
          <t>OBT230125105334-Wien Kledering</t>
        </is>
      </c>
      <c r="I836" s="10" t="n">
        <v>45681.61537037037</v>
      </c>
      <c r="J836" s="10" t="n">
        <v>45681.68616898148</v>
      </c>
      <c r="K836" s="10" t="n">
        <v>45681.68616898148</v>
      </c>
      <c r="L836" s="10" t="n">
        <v>45681.68765046296</v>
      </c>
      <c r="M836" s="11">
        <f>IF(AND(ISNUMBER(E836),ISNUMBER(G836)),(G836-E836),"")</f>
        <v/>
      </c>
      <c r="N836" s="11">
        <f>IF(AND(ISNUMBER(G836),ISNUMBER(L836)),(L836-G836),"")</f>
        <v/>
      </c>
      <c r="O836" s="10" t="n">
        <v>45680.30054398148</v>
      </c>
      <c r="P836" s="11">
        <f>IF(AND(ISNUMBER(I836),ISNUMBER(O836)),(I836-O836),"")</f>
        <v/>
      </c>
      <c r="Q836" s="12" t="inlineStr">
        <is>
          <t>WG 1022502 entered track and got secured then waited 3:40:47 for cut 1023001+1023003+1023005 to get coupled, OBTP started on 14:46:08 finished on 16:28:05 and then left at 16:30:13</t>
        </is>
      </c>
    </row>
    <row r="837">
      <c r="A837" s="3" t="inlineStr">
        <is>
          <t>1022503</t>
        </is>
      </c>
      <c r="B837" s="3" t="inlineStr">
        <is>
          <t>10225</t>
        </is>
      </c>
      <c r="C837" s="9" t="n">
        <v>54.72</v>
      </c>
      <c r="D837" s="3" t="inlineStr">
        <is>
          <t>Other sidings south</t>
        </is>
      </c>
      <c r="E837" s="10" t="n">
        <v>45680.28364583333</v>
      </c>
      <c r="F837" s="10" t="n">
        <v>45680.29817129629</v>
      </c>
      <c r="G837" s="10" t="n">
        <v>45680.29942129629</v>
      </c>
      <c r="H837" s="3" t="inlineStr">
        <is>
          <t>OBT230125071649-Other sidings south</t>
        </is>
      </c>
      <c r="I837" s="10" t="n">
        <v>45681.31454861111</v>
      </c>
      <c r="J837" s="10" t="n">
        <v>45681.335</v>
      </c>
      <c r="K837" s="10" t="n">
        <v>45681.335</v>
      </c>
      <c r="L837" s="10" t="n">
        <v>45681.33572916667</v>
      </c>
      <c r="M837" s="11">
        <f>IF(AND(ISNUMBER(E837),ISNUMBER(G837)),(G837-E837),"")</f>
        <v/>
      </c>
      <c r="N837" s="11">
        <f>IF(AND(ISNUMBER(G837),ISNUMBER(L837)),(L837-G837),"")</f>
        <v/>
      </c>
      <c r="O837" s="10" t="n">
        <v>45680.30334490741</v>
      </c>
      <c r="P837" s="11">
        <f>IF(AND(ISNUMBER(I837),ISNUMBER(O837)),(I837-O837),"")</f>
        <v/>
      </c>
      <c r="Q837" s="12" t="inlineStr">
        <is>
          <t>WG 1022503 entered track and got coupled to WG 1022304, OBTP started on 07:32:57 finished on 08:02:24 and then left at 08:03:27</t>
        </is>
      </c>
    </row>
    <row r="838">
      <c r="A838" s="3" t="inlineStr">
        <is>
          <t>1022504</t>
        </is>
      </c>
      <c r="B838" s="3" t="inlineStr">
        <is>
          <t>10225</t>
        </is>
      </c>
      <c r="C838" s="9" t="n">
        <v>62.96</v>
      </c>
      <c r="D838" s="3" t="inlineStr">
        <is>
          <t>Other sidings north</t>
        </is>
      </c>
      <c r="E838" s="10" t="n">
        <v>45680.28364583333</v>
      </c>
      <c r="F838" s="10" t="n">
        <v>45680.29942129629</v>
      </c>
      <c r="G838" s="10" t="n">
        <v>45680.30144675926</v>
      </c>
      <c r="H838" s="3" t="inlineStr">
        <is>
          <t>OBT230125095729-Other sidings north</t>
        </is>
      </c>
      <c r="I838" s="10" t="n">
        <v>45681.42479166666</v>
      </c>
      <c r="J838" s="10" t="n">
        <v>45681.4534375</v>
      </c>
      <c r="K838" s="10" t="n">
        <v>45681.4534375</v>
      </c>
      <c r="L838" s="10" t="n">
        <v>45681.45420138889</v>
      </c>
      <c r="M838" s="11">
        <f>IF(AND(ISNUMBER(E838),ISNUMBER(G838)),(G838-E838),"")</f>
        <v/>
      </c>
      <c r="N838" s="11">
        <f>IF(AND(ISNUMBER(G838),ISNUMBER(L838)),(L838-G838),"")</f>
        <v/>
      </c>
      <c r="O838" s="10" t="n">
        <v>45680.30381944445</v>
      </c>
      <c r="P838" s="11">
        <f>IF(AND(ISNUMBER(I838),ISNUMBER(O838)),(I838-O838),"")</f>
        <v/>
      </c>
      <c r="Q838" s="12" t="inlineStr">
        <is>
          <t>WG 1022504 entered track and got secured then waited 2:34:49 for WG 1022906 to get coupled then waited 0:05:10 for WG 1022908 to get coupled, OBTP started on 10:11:42 finished on 10:52:57 and then left at 10:54:03</t>
        </is>
      </c>
    </row>
    <row r="839">
      <c r="A839" s="3" t="inlineStr">
        <is>
          <t>1022505</t>
        </is>
      </c>
      <c r="B839" s="3" t="inlineStr">
        <is>
          <t>10225</t>
        </is>
      </c>
      <c r="C839" s="9" t="n">
        <v>42</v>
      </c>
      <c r="D839" s="3" t="inlineStr">
        <is>
          <t>Neudörfl (FunderMax)</t>
        </is>
      </c>
      <c r="E839" s="10" t="n">
        <v>45680.28364583333</v>
      </c>
      <c r="F839" s="10" t="n">
        <v>45680.30144675926</v>
      </c>
      <c r="G839" s="10" t="n">
        <v>45680.30278935185</v>
      </c>
      <c r="H839" s="3" t="inlineStr">
        <is>
          <t>OBT230125095448-Neudörfl (FunderMax)</t>
        </is>
      </c>
      <c r="I839" s="10" t="n">
        <v>45681.40077546296</v>
      </c>
      <c r="J839" s="10" t="n">
        <v>45681.42721064815</v>
      </c>
      <c r="K839" s="10" t="n">
        <v>45681.42721064815</v>
      </c>
      <c r="L839" s="10" t="n">
        <v>45681.42811342593</v>
      </c>
      <c r="M839" s="11">
        <f>IF(AND(ISNUMBER(E839),ISNUMBER(G839)),(G839-E839),"")</f>
        <v/>
      </c>
      <c r="N839" s="11">
        <f>IF(AND(ISNUMBER(G839),ISNUMBER(L839)),(L839-G839),"")</f>
        <v/>
      </c>
      <c r="O839" s="10" t="n">
        <v>45680.30671296296</v>
      </c>
      <c r="P839" s="11">
        <f>IF(AND(ISNUMBER(I839),ISNUMBER(O839)),(I839-O839),"")</f>
        <v/>
      </c>
      <c r="Q839" s="12" t="inlineStr">
        <is>
          <t>WG 1022505 entered track and got coupled to WG 1022204 then waited 2:33:08 for WG 1022907 to get coupled, OBTP started on 09:37:07 finished on 10:15:11 and then left at 10:16:29</t>
        </is>
      </c>
    </row>
    <row r="840">
      <c r="A840" s="3" t="inlineStr">
        <is>
          <t>1022506</t>
        </is>
      </c>
      <c r="B840" s="3" t="inlineStr">
        <is>
          <t>10225</t>
        </is>
      </c>
      <c r="C840" s="9" t="n">
        <v>23.24</v>
      </c>
      <c r="D840" s="3" t="inlineStr">
        <is>
          <t>Pitten (Hamburger)</t>
        </is>
      </c>
      <c r="E840" s="10" t="n">
        <v>45680.28364583333</v>
      </c>
      <c r="F840" s="10" t="n">
        <v>45680.30278935185</v>
      </c>
      <c r="G840" s="10" t="n">
        <v>45680.30479166667</v>
      </c>
      <c r="H840" s="3" t="inlineStr">
        <is>
          <t>OBT230125100554-Pitten (Hamburger)</t>
        </is>
      </c>
      <c r="I840" s="10" t="n">
        <v>45681.55319444444</v>
      </c>
      <c r="J840" s="10" t="n">
        <v>45681.58391203704</v>
      </c>
      <c r="K840" s="10" t="n">
        <v>45681.58391203704</v>
      </c>
      <c r="L840" s="10" t="n">
        <v>45681.58487268518</v>
      </c>
      <c r="M840" s="11">
        <f>IF(AND(ISNUMBER(E840),ISNUMBER(G840)),(G840-E840),"")</f>
        <v/>
      </c>
      <c r="N840" s="11">
        <f>IF(AND(ISNUMBER(G840),ISNUMBER(L840)),(L840-G840),"")</f>
        <v/>
      </c>
      <c r="O840" s="10" t="n">
        <v>45680.30871527778</v>
      </c>
      <c r="P840" s="11">
        <f>IF(AND(ISNUMBER(I840),ISNUMBER(O840)),(I840-O840),"")</f>
        <v/>
      </c>
      <c r="Q840" s="12" t="inlineStr">
        <is>
          <t>WG 1022506 (already coupled to WG 1022508 from the inbound train) entered track and got coupled to WG 1022206 then waited 2:36:54 for WG 1022910 to get coupled then waited 0:04:27 for WG 1022911 to get coupled, OBTP started on 13:16:36 finished on 14:00:50 and then left at 14:02:13</t>
        </is>
      </c>
    </row>
    <row r="841">
      <c r="A841" s="3" t="inlineStr">
        <is>
          <t>1022507</t>
        </is>
      </c>
      <c r="B841" s="3" t="inlineStr">
        <is>
          <t>10225</t>
        </is>
      </c>
      <c r="C841" s="9" t="n">
        <v>19.9</v>
      </c>
      <c r="D841" s="3" t="inlineStr">
        <is>
          <t>Neunkirchen (loading tracks)</t>
        </is>
      </c>
      <c r="E841" s="10" t="n">
        <v>45680.28364583333</v>
      </c>
      <c r="F841" s="10" t="n"/>
      <c r="G841" s="10" t="n"/>
      <c r="H841" s="3" t="n"/>
      <c r="I841" s="10" t="n"/>
      <c r="J841" s="10" t="n"/>
      <c r="K841" s="10" t="n"/>
      <c r="L841" s="10" t="n"/>
      <c r="M841" s="11">
        <f>IF(AND(ISNUMBER(E841),ISNUMBER(G841)),(G841-E841),"")</f>
        <v/>
      </c>
      <c r="N841" s="11">
        <f>IF(AND(ISNUMBER(G841),ISNUMBER(L841)),(L841-G841),"")</f>
        <v/>
      </c>
      <c r="O841" s="10" t="n"/>
      <c r="P841" s="11">
        <f>IF(AND(ISNUMBER(I841),ISNUMBER(O841)),(I841-O841),"")</f>
        <v/>
      </c>
      <c r="Q841" s="12" t="n"/>
    </row>
    <row r="842">
      <c r="A842" s="3" t="inlineStr">
        <is>
          <t>1022508</t>
        </is>
      </c>
      <c r="B842" s="3" t="inlineStr">
        <is>
          <t>10225</t>
        </is>
      </c>
      <c r="C842" s="9" t="n">
        <v>15.74</v>
      </c>
      <c r="D842" s="3" t="inlineStr">
        <is>
          <t>Pitten (Hamburger)</t>
        </is>
      </c>
      <c r="E842" s="10" t="n">
        <v>45680.28364583333</v>
      </c>
      <c r="F842" s="10" t="n">
        <v>45680.30278935185</v>
      </c>
      <c r="G842" s="10" t="n">
        <v>45680.30479166667</v>
      </c>
      <c r="H842" s="3" t="inlineStr">
        <is>
          <t>OBT230125100554-Pitten (Hamburger)</t>
        </is>
      </c>
      <c r="I842" s="10" t="n">
        <v>45681.55319444444</v>
      </c>
      <c r="J842" s="10" t="n">
        <v>45681.58391203704</v>
      </c>
      <c r="K842" s="10" t="n">
        <v>45681.58391203704</v>
      </c>
      <c r="L842" s="10" t="n">
        <v>45681.58487268518</v>
      </c>
      <c r="M842" s="11">
        <f>IF(AND(ISNUMBER(E842),ISNUMBER(G842)),(G842-E842),"")</f>
        <v/>
      </c>
      <c r="N842" s="11">
        <f>IF(AND(ISNUMBER(G842),ISNUMBER(L842)),(L842-G842),"")</f>
        <v/>
      </c>
      <c r="O842" s="10" t="n">
        <v>45680.30871527778</v>
      </c>
      <c r="P842" s="11">
        <f>IF(AND(ISNUMBER(I842),ISNUMBER(O842)),(I842-O842),"")</f>
        <v/>
      </c>
      <c r="Q842" s="12" t="inlineStr">
        <is>
          <t>WG 1022508 (already coupled to WG 1022506 from the inbound train) entered track and got coupled to WG 1022206 then waited 2:36:54 for WG 1022910 to get coupled then waited 0:04:27 for WG 1022911 to get coupled, OBTP started on 13:16:36 finished on 14:00:50 and then left at 14:02:13</t>
        </is>
      </c>
    </row>
    <row r="843">
      <c r="A843" s="3" t="inlineStr">
        <is>
          <t>1022601</t>
        </is>
      </c>
      <c r="B843" s="3" t="inlineStr">
        <is>
          <t>10226</t>
        </is>
      </c>
      <c r="C843" s="9" t="n">
        <v>205.52</v>
      </c>
      <c r="D843" s="3" t="inlineStr">
        <is>
          <t>Wien Kledering</t>
        </is>
      </c>
      <c r="E843" s="10" t="n">
        <v>45680.29689814815</v>
      </c>
      <c r="F843" s="10" t="n"/>
      <c r="G843" s="10" t="n"/>
      <c r="H843" s="3" t="n"/>
      <c r="I843" s="10" t="n"/>
      <c r="J843" s="10" t="n"/>
      <c r="K843" s="10" t="n"/>
      <c r="L843" s="10" t="n"/>
      <c r="M843" s="11">
        <f>IF(AND(ISNUMBER(E843),ISNUMBER(G843)),(G843-E843),"")</f>
        <v/>
      </c>
      <c r="N843" s="11">
        <f>IF(AND(ISNUMBER(G843),ISNUMBER(L843)),(L843-G843),"")</f>
        <v/>
      </c>
      <c r="O843" s="10" t="n"/>
      <c r="P843" s="11">
        <f>IF(AND(ISNUMBER(I843),ISNUMBER(O843)),(I843-O843),"")</f>
        <v/>
      </c>
      <c r="Q843" s="12" t="n"/>
    </row>
    <row r="844">
      <c r="A844" s="3" t="inlineStr">
        <is>
          <t>1022701</t>
        </is>
      </c>
      <c r="B844" s="3" t="inlineStr">
        <is>
          <t>10227</t>
        </is>
      </c>
      <c r="C844" s="9" t="n">
        <v>397.3000000000001</v>
      </c>
      <c r="D844" s="3" t="inlineStr">
        <is>
          <t>Wien Kledering</t>
        </is>
      </c>
      <c r="E844" s="10" t="n">
        <v>45680.32159722222</v>
      </c>
      <c r="F844" s="10" t="n"/>
      <c r="G844" s="10" t="n"/>
      <c r="H844" s="3" t="n"/>
      <c r="I844" s="10" t="n"/>
      <c r="J844" s="10" t="n"/>
      <c r="K844" s="10" t="n"/>
      <c r="L844" s="10" t="n"/>
      <c r="M844" s="11">
        <f>IF(AND(ISNUMBER(E844),ISNUMBER(G844)),(G844-E844),"")</f>
        <v/>
      </c>
      <c r="N844" s="11">
        <f>IF(AND(ISNUMBER(G844),ISNUMBER(L844)),(L844-G844),"")</f>
        <v/>
      </c>
      <c r="O844" s="10" t="n"/>
      <c r="P844" s="11">
        <f>IF(AND(ISNUMBER(I844),ISNUMBER(O844)),(I844-O844),"")</f>
        <v/>
      </c>
      <c r="Q844" s="12" t="n"/>
    </row>
    <row r="845">
      <c r="A845" s="3" t="inlineStr">
        <is>
          <t>1022801</t>
        </is>
      </c>
      <c r="B845" s="3" t="inlineStr">
        <is>
          <t>10228</t>
        </is>
      </c>
      <c r="C845" s="9" t="n">
        <v>177.8</v>
      </c>
      <c r="D845" s="3" t="inlineStr">
        <is>
          <t>Wien Kledering</t>
        </is>
      </c>
      <c r="E845" s="10" t="n">
        <v>45680.3637962963</v>
      </c>
      <c r="F845" s="10" t="n">
        <v>45680.3711574074</v>
      </c>
      <c r="G845" s="10" t="n">
        <v>45680.37344907408</v>
      </c>
      <c r="H845" s="3" t="inlineStr">
        <is>
          <t>OBT230125090110-Wien Kledering</t>
        </is>
      </c>
      <c r="I845" s="10" t="n">
        <v>45681.33265046297</v>
      </c>
      <c r="J845" s="10" t="n">
        <v>45681.36351851852</v>
      </c>
      <c r="K845" s="10" t="n">
        <v>45681.36351851852</v>
      </c>
      <c r="L845" s="10" t="n">
        <v>45681.3643287037</v>
      </c>
      <c r="M845" s="11">
        <f>IF(AND(ISNUMBER(E845),ISNUMBER(G845)),(G845-E845),"")</f>
        <v/>
      </c>
      <c r="N845" s="11">
        <f>IF(AND(ISNUMBER(G845),ISNUMBER(L845)),(L845-G845),"")</f>
        <v/>
      </c>
      <c r="O845" s="10" t="n">
        <v>45680.37581018519</v>
      </c>
      <c r="P845" s="11">
        <f>IF(AND(ISNUMBER(I845),ISNUMBER(O845)),(I845-O845),"")</f>
        <v/>
      </c>
      <c r="Q845" s="12" t="inlineStr">
        <is>
          <t>WG 1022801 entered track and got secured, OBTP started on 07:59:01 finished on 08:43:28 and then left at 08:44:38</t>
        </is>
      </c>
    </row>
    <row r="846">
      <c r="A846" s="3" t="inlineStr">
        <is>
          <t>1022802</t>
        </is>
      </c>
      <c r="B846" s="3" t="inlineStr">
        <is>
          <t>10228</t>
        </is>
      </c>
      <c r="C846" s="9" t="n">
        <v>218.7</v>
      </c>
      <c r="D846" s="3" t="inlineStr">
        <is>
          <t>St. Veit an der Glan</t>
        </is>
      </c>
      <c r="E846" s="10" t="n">
        <v>45680.3637962963</v>
      </c>
      <c r="F846" s="10" t="n">
        <v>45680.37344907408</v>
      </c>
      <c r="G846" s="10" t="n">
        <v>45680.37564814815</v>
      </c>
      <c r="H846" s="3" t="inlineStr">
        <is>
          <t>OBT230125090423-St. Veit an der Glan</t>
        </is>
      </c>
      <c r="I846" s="10" t="n">
        <v>45681.37797453703</v>
      </c>
      <c r="J846" s="10" t="n">
        <v>45681.41594907407</v>
      </c>
      <c r="K846" s="10" t="n">
        <v>45681.41594907407</v>
      </c>
      <c r="L846" s="10" t="n">
        <v>45681.41704861111</v>
      </c>
      <c r="M846" s="11">
        <f>IF(AND(ISNUMBER(E846),ISNUMBER(G846)),(G846-E846),"")</f>
        <v/>
      </c>
      <c r="N846" s="11">
        <f>IF(AND(ISNUMBER(G846),ISNUMBER(L846)),(L846-G846),"")</f>
        <v/>
      </c>
      <c r="O846" s="10" t="n">
        <v>45680.37804398148</v>
      </c>
      <c r="P846" s="11">
        <f>IF(AND(ISNUMBER(I846),ISNUMBER(O846)),(I846-O846),"")</f>
        <v/>
      </c>
      <c r="Q846" s="12" t="inlineStr">
        <is>
          <t>WG 1022802 entered track and got secured, OBTP started on 09:04:17 finished on 09:58:58 and then left at 10:00:33</t>
        </is>
      </c>
    </row>
    <row r="847">
      <c r="A847" s="3" t="inlineStr">
        <is>
          <t>1022901</t>
        </is>
      </c>
      <c r="B847" s="3" t="inlineStr">
        <is>
          <t>10229</t>
        </is>
      </c>
      <c r="C847" s="9" t="n">
        <v>28</v>
      </c>
      <c r="D847" s="3" t="inlineStr">
        <is>
          <t>Wr. Neustadt (Brenntag)</t>
        </is>
      </c>
      <c r="E847" s="10" t="n">
        <v>45680.37878472222</v>
      </c>
      <c r="F847" s="10" t="n">
        <v>45680.39851851852</v>
      </c>
      <c r="G847" s="10" t="n">
        <v>45680.39967592592</v>
      </c>
      <c r="H847" s="3" t="inlineStr">
        <is>
          <t>OBT240125031427-Wr. Neustadt (Hödlmayr)</t>
        </is>
      </c>
      <c r="I847" s="10" t="n">
        <v>45684.1284837963</v>
      </c>
      <c r="J847" s="10" t="n">
        <v>45684.1534375</v>
      </c>
      <c r="K847" s="10" t="n">
        <v>45684.1534375</v>
      </c>
      <c r="L847" s="10" t="n">
        <v>45684.15423611111</v>
      </c>
      <c r="M847" s="11">
        <f>IF(AND(ISNUMBER(E847),ISNUMBER(G847)),(G847-E847),"")</f>
        <v/>
      </c>
      <c r="N847" s="11">
        <f>IF(AND(ISNUMBER(G847),ISNUMBER(L847)),(L847-G847),"")</f>
        <v/>
      </c>
      <c r="O847" s="10" t="n">
        <v>45680.40207175926</v>
      </c>
      <c r="P847" s="11">
        <f>IF(AND(ISNUMBER(I847),ISNUMBER(O847)),(I847-O847),"")</f>
        <v/>
      </c>
      <c r="Q847" s="12" t="inlineStr">
        <is>
          <t>WG 1022901 entered track and got secured then waited 0:05:50 for WG 1022903 to get coupled then waited 7:57:32 for WG 1023504 to get coupled then waited 0:13:46 for WG 1023509 to get coupled then waited 0:06:36 for WG 1023512 to get coupled then waited 9:07:05 for WG 1023803 to get coupled then waited 0:04:39 for WG 1023805 to get coupled, OBTP started on 03:05:01 finished on 03:40:57 and then left at 03:42:06</t>
        </is>
      </c>
    </row>
    <row r="848">
      <c r="A848" s="3" t="inlineStr">
        <is>
          <t>1022902</t>
        </is>
      </c>
      <c r="B848" s="3" t="inlineStr">
        <is>
          <t>10229</t>
        </is>
      </c>
      <c r="C848" s="9" t="n">
        <v>15.74</v>
      </c>
      <c r="D848" s="3" t="inlineStr">
        <is>
          <t>Steinabrückl/Wöllersdorf</t>
        </is>
      </c>
      <c r="E848" s="10" t="n">
        <v>45680.37878472222</v>
      </c>
      <c r="F848" s="10" t="n">
        <v>45680.39967592592</v>
      </c>
      <c r="G848" s="10" t="n">
        <v>45680.40140046296</v>
      </c>
      <c r="H848" s="3" t="inlineStr">
        <is>
          <t>OBT240125044723-Neudörfl (FunderMax)</t>
        </is>
      </c>
      <c r="I848" s="10" t="n">
        <v>45684.20037037037</v>
      </c>
      <c r="J848" s="10" t="n">
        <v>45684.2208912037</v>
      </c>
      <c r="K848" s="10" t="n">
        <v>45684.2208912037</v>
      </c>
      <c r="L848" s="10" t="n">
        <v>45684.22171296296</v>
      </c>
      <c r="M848" s="11">
        <f>IF(AND(ISNUMBER(E848),ISNUMBER(G848)),(G848-E848),"")</f>
        <v/>
      </c>
      <c r="N848" s="11">
        <f>IF(AND(ISNUMBER(G848),ISNUMBER(L848)),(L848-G848),"")</f>
        <v/>
      </c>
      <c r="O848" s="10" t="n">
        <v>45680.40376157407</v>
      </c>
      <c r="P848" s="11">
        <f>IF(AND(ISNUMBER(I848),ISNUMBER(O848)),(I848-O848),"")</f>
        <v/>
      </c>
      <c r="Q848" s="12" t="inlineStr">
        <is>
          <t>WG 1022902 entered track and got secured then waited 5:37:47 for WG 1023204 to get coupled then waited 2:30:00 for WG 1023506 to get coupled then waited 10:58:11 for WG 1023901 to get coupled, OBTP started on 04:48:32 finished on 05:18:05 and then left at 05:19:16</t>
        </is>
      </c>
    </row>
    <row r="849">
      <c r="A849" s="3" t="inlineStr">
        <is>
          <t>1022903</t>
        </is>
      </c>
      <c r="B849" s="3" t="inlineStr">
        <is>
          <t>10229</t>
        </is>
      </c>
      <c r="C849" s="9" t="n">
        <v>31.48</v>
      </c>
      <c r="D849" s="3" t="inlineStr">
        <is>
          <t>Other sidings south</t>
        </is>
      </c>
      <c r="E849" s="10" t="n">
        <v>45680.37878472222</v>
      </c>
      <c r="F849" s="10" t="n">
        <v>45680.40140046296</v>
      </c>
      <c r="G849" s="10" t="n">
        <v>45680.40256944444</v>
      </c>
      <c r="H849" s="3" t="inlineStr">
        <is>
          <t>OBT240125031427-Wr. Neustadt (Hödlmayr)</t>
        </is>
      </c>
      <c r="I849" s="10" t="n">
        <v>45684.1284837963</v>
      </c>
      <c r="J849" s="10" t="n">
        <v>45684.1534375</v>
      </c>
      <c r="K849" s="10" t="n">
        <v>45684.1534375</v>
      </c>
      <c r="L849" s="10" t="n">
        <v>45684.15423611111</v>
      </c>
      <c r="M849" s="11">
        <f>IF(AND(ISNUMBER(E849),ISNUMBER(G849)),(G849-E849),"")</f>
        <v/>
      </c>
      <c r="N849" s="11">
        <f>IF(AND(ISNUMBER(G849),ISNUMBER(L849)),(L849-G849),"")</f>
        <v/>
      </c>
      <c r="O849" s="10" t="n">
        <v>45680.40612268518</v>
      </c>
      <c r="P849" s="11">
        <f>IF(AND(ISNUMBER(I849),ISNUMBER(O849)),(I849-O849),"")</f>
        <v/>
      </c>
      <c r="Q849" s="12" t="inlineStr">
        <is>
          <t>WG 1022903 entered track and got coupled to WG 1022901 then waited 7:57:32 for WG 1023504 to get coupled then waited 0:13:46 for WG 1023509 to get coupled then waited 0:06:36 for WG 1023512 to get coupled then waited 9:07:05 for WG 1023803 to get coupled then waited 0:04:39 for WG 1023805 to get coupled, OBTP started on 03:05:01 finished on 03:40:57 and then left at 03:42:06</t>
        </is>
      </c>
    </row>
    <row r="850">
      <c r="A850" s="3" t="inlineStr">
        <is>
          <t>1022904</t>
        </is>
      </c>
      <c r="B850" s="3" t="inlineStr">
        <is>
          <t>10229</t>
        </is>
      </c>
      <c r="C850" s="9" t="n">
        <v>19.9</v>
      </c>
      <c r="D850" s="3" t="inlineStr">
        <is>
          <t>Wr. Neustadt Ausfahrbf (Furtenbach)</t>
        </is>
      </c>
      <c r="E850" s="10" t="n">
        <v>45680.37878472222</v>
      </c>
      <c r="F850" s="10" t="n">
        <v>45680.40256944444</v>
      </c>
      <c r="G850" s="10" t="n">
        <v>45680.40416666667</v>
      </c>
      <c r="H850" s="3" t="inlineStr">
        <is>
          <t>OBT230125175458-Wr. Neustadt Ausfahrbf (Furtenbach)</t>
        </is>
      </c>
      <c r="I850" s="10" t="n">
        <v>45681.73866898148</v>
      </c>
      <c r="J850" s="10" t="n">
        <v>45681.7572337963</v>
      </c>
      <c r="K850" s="10" t="n">
        <v>45681.7572337963</v>
      </c>
      <c r="L850" s="10" t="n">
        <v>45681.7580787037</v>
      </c>
      <c r="M850" s="11">
        <f>IF(AND(ISNUMBER(E850),ISNUMBER(G850)),(G850-E850),"")</f>
        <v/>
      </c>
      <c r="N850" s="11">
        <f>IF(AND(ISNUMBER(G850),ISNUMBER(L850)),(L850-G850),"")</f>
        <v/>
      </c>
      <c r="O850" s="10" t="n">
        <v>45680.40809027778</v>
      </c>
      <c r="P850" s="11">
        <f>IF(AND(ISNUMBER(I850),ISNUMBER(O850)),(I850-O850),"")</f>
        <v/>
      </c>
      <c r="Q850" s="12" t="inlineStr">
        <is>
          <t>WG 1022904 entered track and got coupled to WG 1022207 then waited 0:02:14 for WG 1022905 to get coupled then waited 7:57:19 for WG 1023505 to get coupled then waited 0:07:46 for WG 1023508 to get coupled, OBTP started on 17:43:41 finished on 18:10:25 and then left at 18:11:38</t>
        </is>
      </c>
    </row>
    <row r="851">
      <c r="A851" s="3" t="inlineStr">
        <is>
          <t>1022905</t>
        </is>
      </c>
      <c r="B851" s="3" t="inlineStr">
        <is>
          <t>10229</t>
        </is>
      </c>
      <c r="C851" s="9" t="n">
        <v>15.74</v>
      </c>
      <c r="D851" s="3" t="inlineStr">
        <is>
          <t>Obereggendorf (Hofer)</t>
        </is>
      </c>
      <c r="E851" s="10" t="n">
        <v>45680.37878472222</v>
      </c>
      <c r="F851" s="10" t="n">
        <v>45680.40416666667</v>
      </c>
      <c r="G851" s="10" t="n">
        <v>45680.40575231481</v>
      </c>
      <c r="H851" s="3" t="inlineStr">
        <is>
          <t>OBT230125175458-Wr. Neustadt Ausfahrbf (Furtenbach)</t>
        </is>
      </c>
      <c r="I851" s="10" t="n">
        <v>45681.73866898148</v>
      </c>
      <c r="J851" s="10" t="n">
        <v>45681.7572337963</v>
      </c>
      <c r="K851" s="10" t="n">
        <v>45681.7572337963</v>
      </c>
      <c r="L851" s="10" t="n">
        <v>45681.7580787037</v>
      </c>
      <c r="M851" s="11">
        <f>IF(AND(ISNUMBER(E851),ISNUMBER(G851)),(G851-E851),"")</f>
        <v/>
      </c>
      <c r="N851" s="11">
        <f>IF(AND(ISNUMBER(G851),ISNUMBER(L851)),(L851-G851),"")</f>
        <v/>
      </c>
      <c r="O851" s="10" t="n">
        <v>45680.4096412037</v>
      </c>
      <c r="P851" s="11">
        <f>IF(AND(ISNUMBER(I851),ISNUMBER(O851)),(I851-O851),"")</f>
        <v/>
      </c>
      <c r="Q851" s="12" t="inlineStr">
        <is>
          <t>WG 1022905 entered track and got coupled to WG 1022904 then waited 7:57:19 for WG 1023505 to get coupled then waited 0:07:46 for WG 1023508 to get coupled, OBTP started on 17:43:41 finished on 18:10:25 and then left at 18:11:38</t>
        </is>
      </c>
    </row>
    <row r="852">
      <c r="A852" s="3" t="inlineStr">
        <is>
          <t>1022906</t>
        </is>
      </c>
      <c r="B852" s="3" t="inlineStr">
        <is>
          <t>10229</t>
        </is>
      </c>
      <c r="C852" s="9" t="n">
        <v>82.11999999999999</v>
      </c>
      <c r="D852" s="3" t="inlineStr">
        <is>
          <t>Other sidings north</t>
        </is>
      </c>
      <c r="E852" s="10" t="n">
        <v>45680.37878472222</v>
      </c>
      <c r="F852" s="10" t="n">
        <v>45680.40575231481</v>
      </c>
      <c r="G852" s="10" t="n">
        <v>45680.40778935186</v>
      </c>
      <c r="H852" s="3" t="inlineStr">
        <is>
          <t>OBT230125095729-Other sidings north</t>
        </is>
      </c>
      <c r="I852" s="10" t="n">
        <v>45681.42479166666</v>
      </c>
      <c r="J852" s="10" t="n">
        <v>45681.4534375</v>
      </c>
      <c r="K852" s="10" t="n">
        <v>45681.4534375</v>
      </c>
      <c r="L852" s="10" t="n">
        <v>45681.45420138889</v>
      </c>
      <c r="M852" s="11">
        <f>IF(AND(ISNUMBER(E852),ISNUMBER(G852)),(G852-E852),"")</f>
        <v/>
      </c>
      <c r="N852" s="11">
        <f>IF(AND(ISNUMBER(G852),ISNUMBER(L852)),(L852-G852),"")</f>
        <v/>
      </c>
      <c r="O852" s="10" t="n">
        <v>45680.41133101852</v>
      </c>
      <c r="P852" s="11">
        <f>IF(AND(ISNUMBER(I852),ISNUMBER(O852)),(I852-O852),"")</f>
        <v/>
      </c>
      <c r="Q852" s="12" t="inlineStr">
        <is>
          <t>WG 1022906 entered track and got coupled to WG 1022504 then waited 0:05:10 for WG 1022908 to get coupled, OBTP started on 10:11:42 finished on 10:52:57 and then left at 10:54:03</t>
        </is>
      </c>
    </row>
    <row r="853">
      <c r="A853" s="3" t="inlineStr">
        <is>
          <t>1022907</t>
        </is>
      </c>
      <c r="B853" s="3" t="inlineStr">
        <is>
          <t>10229</t>
        </is>
      </c>
      <c r="C853" s="9" t="n">
        <v>57.4</v>
      </c>
      <c r="D853" s="3" t="inlineStr">
        <is>
          <t>Neudörfl (FunderMax)</t>
        </is>
      </c>
      <c r="E853" s="10" t="n">
        <v>45680.37878472222</v>
      </c>
      <c r="F853" s="10" t="n">
        <v>45680.40778935186</v>
      </c>
      <c r="G853" s="10" t="n">
        <v>45680.40913194444</v>
      </c>
      <c r="H853" s="3" t="inlineStr">
        <is>
          <t>OBT230125095448-Neudörfl (FunderMax)</t>
        </is>
      </c>
      <c r="I853" s="10" t="n">
        <v>45681.40077546296</v>
      </c>
      <c r="J853" s="10" t="n">
        <v>45681.42721064815</v>
      </c>
      <c r="K853" s="10" t="n">
        <v>45681.42721064815</v>
      </c>
      <c r="L853" s="10" t="n">
        <v>45681.42811342593</v>
      </c>
      <c r="M853" s="11">
        <f>IF(AND(ISNUMBER(E853),ISNUMBER(G853)),(G853-E853),"")</f>
        <v/>
      </c>
      <c r="N853" s="11">
        <f>IF(AND(ISNUMBER(G853),ISNUMBER(L853)),(L853-G853),"")</f>
        <v/>
      </c>
      <c r="O853" s="10" t="n">
        <v>45680.41305555555</v>
      </c>
      <c r="P853" s="11">
        <f>IF(AND(ISNUMBER(I853),ISNUMBER(O853)),(I853-O853),"")</f>
        <v/>
      </c>
      <c r="Q853" s="12" t="inlineStr">
        <is>
          <t>WG 1022907 entered track and got coupled to WG 1022505, OBTP started on 09:37:07 finished on 10:15:11 and then left at 10:16:29</t>
        </is>
      </c>
    </row>
    <row r="854">
      <c r="A854" s="3" t="inlineStr">
        <is>
          <t>1022908</t>
        </is>
      </c>
      <c r="B854" s="3" t="inlineStr">
        <is>
          <t>10229</t>
        </is>
      </c>
      <c r="C854" s="9" t="n">
        <v>19.9</v>
      </c>
      <c r="D854" s="3" t="inlineStr">
        <is>
          <t>Other sidings north</t>
        </is>
      </c>
      <c r="E854" s="10" t="n">
        <v>45680.37878472222</v>
      </c>
      <c r="F854" s="10" t="n">
        <v>45680.40913194444</v>
      </c>
      <c r="G854" s="10" t="n">
        <v>45680.41103009259</v>
      </c>
      <c r="H854" s="3" t="inlineStr">
        <is>
          <t>OBT230125095729-Other sidings north</t>
        </is>
      </c>
      <c r="I854" s="10" t="n">
        <v>45681.42479166666</v>
      </c>
      <c r="J854" s="10" t="n">
        <v>45681.4534375</v>
      </c>
      <c r="K854" s="10" t="n">
        <v>45681.4534375</v>
      </c>
      <c r="L854" s="10" t="n">
        <v>45681.45420138889</v>
      </c>
      <c r="M854" s="11">
        <f>IF(AND(ISNUMBER(E854),ISNUMBER(G854)),(G854-E854),"")</f>
        <v/>
      </c>
      <c r="N854" s="11">
        <f>IF(AND(ISNUMBER(G854),ISNUMBER(L854)),(L854-G854),"")</f>
        <v/>
      </c>
      <c r="O854" s="10" t="n">
        <v>45680.41491898148</v>
      </c>
      <c r="P854" s="11">
        <f>IF(AND(ISNUMBER(I854),ISNUMBER(O854)),(I854-O854),"")</f>
        <v/>
      </c>
      <c r="Q854" s="12" t="inlineStr">
        <is>
          <t>WG 1022908 entered track and got coupled to WG 1022906, OBTP started on 10:11:42 finished on 10:52:57 and then left at 10:54:03</t>
        </is>
      </c>
    </row>
    <row r="855">
      <c r="A855" s="3" t="inlineStr">
        <is>
          <t>1022909</t>
        </is>
      </c>
      <c r="B855" s="3" t="inlineStr">
        <is>
          <t>10229</t>
        </is>
      </c>
      <c r="C855" s="9" t="n">
        <v>15.74</v>
      </c>
      <c r="D855" s="3" t="inlineStr">
        <is>
          <t>Ebenfurth (beet loading)</t>
        </is>
      </c>
      <c r="E855" s="10" t="n">
        <v>45680.37878472222</v>
      </c>
      <c r="F855" s="10" t="n">
        <v>45680.41103009259</v>
      </c>
      <c r="G855" s="10" t="n">
        <v>45680.41303240741</v>
      </c>
      <c r="H855" s="3" t="inlineStr">
        <is>
          <t>OBT240125093343-Pitten (Hamburger)</t>
        </is>
      </c>
      <c r="I855" s="10" t="n">
        <v>45684.33965277778</v>
      </c>
      <c r="J855" s="10" t="n">
        <v>45684.370625</v>
      </c>
      <c r="K855" s="10" t="n">
        <v>45684.370625</v>
      </c>
      <c r="L855" s="10" t="n">
        <v>45684.37153935185</v>
      </c>
      <c r="M855" s="11">
        <f>IF(AND(ISNUMBER(E855),ISNUMBER(G855)),(G855-E855),"")</f>
        <v/>
      </c>
      <c r="N855" s="11">
        <f>IF(AND(ISNUMBER(G855),ISNUMBER(L855)),(L855-G855),"")</f>
        <v/>
      </c>
      <c r="O855" s="10" t="n">
        <v>45680.41518518519</v>
      </c>
      <c r="P855" s="11">
        <f>IF(AND(ISNUMBER(I855),ISNUMBER(O855)),(I855-O855),"")</f>
        <v/>
      </c>
      <c r="Q855" s="12" t="inlineStr">
        <is>
          <t>WG 1022909 entered track and got secured then waited 7:54:44 for WG 1023507 to get coupled then waited 15:41:07 for WG 1024503 to get coupled, OBTP started on 08:09:06 finished on 08:53:42 and then left at 08:55:01</t>
        </is>
      </c>
    </row>
    <row r="856">
      <c r="A856" s="3" t="inlineStr">
        <is>
          <t>1022910</t>
        </is>
      </c>
      <c r="B856" s="3" t="inlineStr">
        <is>
          <t>10229</t>
        </is>
      </c>
      <c r="C856" s="9" t="n">
        <v>155.92</v>
      </c>
      <c r="D856" s="3" t="inlineStr">
        <is>
          <t>Pitten (Hamburger)</t>
        </is>
      </c>
      <c r="E856" s="10" t="n">
        <v>45680.37878472222</v>
      </c>
      <c r="F856" s="10" t="n">
        <v>45680.41303240741</v>
      </c>
      <c r="G856" s="10" t="n">
        <v>45680.41527777778</v>
      </c>
      <c r="H856" s="3" t="inlineStr">
        <is>
          <t>OBT230125100554-Pitten (Hamburger)</t>
        </is>
      </c>
      <c r="I856" s="10" t="n">
        <v>45681.55319444444</v>
      </c>
      <c r="J856" s="10" t="n">
        <v>45681.58391203704</v>
      </c>
      <c r="K856" s="10" t="n">
        <v>45681.58391203704</v>
      </c>
      <c r="L856" s="10" t="n">
        <v>45681.58487268518</v>
      </c>
      <c r="M856" s="11">
        <f>IF(AND(ISNUMBER(E856),ISNUMBER(G856)),(G856-E856),"")</f>
        <v/>
      </c>
      <c r="N856" s="11">
        <f>IF(AND(ISNUMBER(G856),ISNUMBER(L856)),(L856-G856),"")</f>
        <v/>
      </c>
      <c r="O856" s="10" t="n">
        <v>45680.41767361111</v>
      </c>
      <c r="P856" s="11">
        <f>IF(AND(ISNUMBER(I856),ISNUMBER(O856)),(I856-O856),"")</f>
        <v/>
      </c>
      <c r="Q856" s="12" t="inlineStr">
        <is>
          <t>WG 1022910 entered track and got secured then waited 0:04:27 for WG 1022911 to get coupled, OBTP started on 13:16:36 finished on 14:00:50 and then left at 14:02:13</t>
        </is>
      </c>
    </row>
    <row r="857">
      <c r="A857" s="3" t="inlineStr">
        <is>
          <t>1022911</t>
        </is>
      </c>
      <c r="B857" s="3" t="inlineStr">
        <is>
          <t>10229</t>
        </is>
      </c>
      <c r="C857" s="9" t="n">
        <v>21</v>
      </c>
      <c r="D857" s="3" t="inlineStr">
        <is>
          <t>Neunkirchen (loading tracks)</t>
        </is>
      </c>
      <c r="E857" s="10" t="n">
        <v>45680.37878472222</v>
      </c>
      <c r="F857" s="10" t="n">
        <v>45680.41527777778</v>
      </c>
      <c r="G857" s="10" t="n">
        <v>45680.41721064815</v>
      </c>
      <c r="H857" s="3" t="inlineStr">
        <is>
          <t>OBT230125100554-Pitten (Hamburger)</t>
        </is>
      </c>
      <c r="I857" s="10" t="n">
        <v>45681.55319444444</v>
      </c>
      <c r="J857" s="10" t="n">
        <v>45681.58391203704</v>
      </c>
      <c r="K857" s="10" t="n">
        <v>45681.58391203704</v>
      </c>
      <c r="L857" s="10" t="n">
        <v>45681.58487268518</v>
      </c>
      <c r="M857" s="11">
        <f>IF(AND(ISNUMBER(E857),ISNUMBER(G857)),(G857-E857),"")</f>
        <v/>
      </c>
      <c r="N857" s="11">
        <f>IF(AND(ISNUMBER(G857),ISNUMBER(L857)),(L857-G857),"")</f>
        <v/>
      </c>
      <c r="O857" s="10" t="n">
        <v>45680.42076388889</v>
      </c>
      <c r="P857" s="11">
        <f>IF(AND(ISNUMBER(I857),ISNUMBER(O857)),(I857-O857),"")</f>
        <v/>
      </c>
      <c r="Q857" s="12" t="inlineStr">
        <is>
          <t>WG 1022911 entered track and got coupled to WG 1022910, OBTP started on 13:16:36 finished on 14:00:50 and then left at 14:02:13</t>
        </is>
      </c>
    </row>
    <row r="858">
      <c r="A858" s="3" t="inlineStr">
        <is>
          <t>1022912</t>
        </is>
      </c>
      <c r="B858" s="3" t="inlineStr">
        <is>
          <t>10229</t>
        </is>
      </c>
      <c r="C858" s="9" t="n">
        <v>81</v>
      </c>
      <c r="D858" s="3" t="inlineStr">
        <is>
          <t>Wr. Neustadt (Hödlmayr)</t>
        </is>
      </c>
      <c r="E858" s="10" t="n">
        <v>45680.37878472222</v>
      </c>
      <c r="F858" s="10" t="n"/>
      <c r="G858" s="10" t="n"/>
      <c r="H858" s="3" t="n"/>
      <c r="I858" s="10" t="n"/>
      <c r="J858" s="10" t="n"/>
      <c r="K858" s="10" t="n"/>
      <c r="L858" s="10" t="n"/>
      <c r="M858" s="11">
        <f>IF(AND(ISNUMBER(E858),ISNUMBER(G858)),(G858-E858),"")</f>
        <v/>
      </c>
      <c r="N858" s="11">
        <f>IF(AND(ISNUMBER(G858),ISNUMBER(L858)),(L858-G858),"")</f>
        <v/>
      </c>
      <c r="O858" s="10" t="n"/>
      <c r="P858" s="11">
        <f>IF(AND(ISNUMBER(I858),ISNUMBER(O858)),(I858-O858),"")</f>
        <v/>
      </c>
      <c r="Q858" s="12" t="n"/>
    </row>
    <row r="859">
      <c r="A859" s="3" t="inlineStr">
        <is>
          <t>1023001</t>
        </is>
      </c>
      <c r="B859" s="3" t="inlineStr">
        <is>
          <t>10230</t>
        </is>
      </c>
      <c r="C859" s="9" t="n">
        <v>42</v>
      </c>
      <c r="D859" s="3" t="inlineStr">
        <is>
          <t>Wien Kledering</t>
        </is>
      </c>
      <c r="E859" s="10" t="n">
        <v>45680.43740740741</v>
      </c>
      <c r="F859" s="10" t="n">
        <v>45680.44863425926</v>
      </c>
      <c r="G859" s="10" t="n">
        <v>45680.45149305555</v>
      </c>
      <c r="H859" s="3" t="inlineStr">
        <is>
          <t>OBT230125105334-Wien Kledering</t>
        </is>
      </c>
      <c r="I859" s="10" t="n">
        <v>45681.61537037037</v>
      </c>
      <c r="J859" s="10" t="n">
        <v>45681.68616898148</v>
      </c>
      <c r="K859" s="10" t="n">
        <v>45681.68616898148</v>
      </c>
      <c r="L859" s="10" t="n">
        <v>45681.68765046296</v>
      </c>
      <c r="M859" s="11">
        <f>IF(AND(ISNUMBER(E859),ISNUMBER(G859)),(G859-E859),"")</f>
        <v/>
      </c>
      <c r="N859" s="11">
        <f>IF(AND(ISNUMBER(G859),ISNUMBER(L859)),(L859-G859),"")</f>
        <v/>
      </c>
      <c r="O859" s="10" t="n">
        <v>45680.45386574074</v>
      </c>
      <c r="P859" s="11">
        <f>IF(AND(ISNUMBER(I859),ISNUMBER(O859)),(I859-O859),"")</f>
        <v/>
      </c>
      <c r="Q859" s="12" t="inlineStr">
        <is>
          <t>WG 1023001 (already coupled to WG 1023003, WG 1023005 from the inbound train) entered track and got secured, OBTP started on 14:46:08 finished on 16:28:05 and then left at 16:30:13</t>
        </is>
      </c>
    </row>
    <row r="860">
      <c r="A860" s="3" t="inlineStr">
        <is>
          <t>1023002</t>
        </is>
      </c>
      <c r="B860" s="3" t="inlineStr">
        <is>
          <t>10230</t>
        </is>
      </c>
      <c r="C860" s="9" t="n">
        <v>21</v>
      </c>
      <c r="D860" s="3" t="inlineStr">
        <is>
          <t>St. Veit an der Glan</t>
        </is>
      </c>
      <c r="E860" s="10" t="n">
        <v>45680.43740740741</v>
      </c>
      <c r="F860" s="10" t="n"/>
      <c r="G860" s="10" t="n"/>
      <c r="H860" s="3" t="n"/>
      <c r="I860" s="10" t="n"/>
      <c r="J860" s="10" t="n"/>
      <c r="K860" s="10" t="n"/>
      <c r="L860" s="10" t="n"/>
      <c r="M860" s="11">
        <f>IF(AND(ISNUMBER(E860),ISNUMBER(G860)),(G860-E860),"")</f>
        <v/>
      </c>
      <c r="N860" s="11">
        <f>IF(AND(ISNUMBER(G860),ISNUMBER(L860)),(L860-G860),"")</f>
        <v/>
      </c>
      <c r="O860" s="10" t="n"/>
      <c r="P860" s="11">
        <f>IF(AND(ISNUMBER(I860),ISNUMBER(O860)),(I860-O860),"")</f>
        <v/>
      </c>
      <c r="Q860" s="12" t="n"/>
    </row>
    <row r="861">
      <c r="A861" s="3" t="inlineStr">
        <is>
          <t>1023003</t>
        </is>
      </c>
      <c r="B861" s="3" t="inlineStr">
        <is>
          <t>10230</t>
        </is>
      </c>
      <c r="C861" s="9" t="n">
        <v>144.8</v>
      </c>
      <c r="D861" s="3" t="inlineStr">
        <is>
          <t>Wien Kledering</t>
        </is>
      </c>
      <c r="E861" s="10" t="n">
        <v>45680.43740740741</v>
      </c>
      <c r="F861" s="10" t="n">
        <v>45680.44863425926</v>
      </c>
      <c r="G861" s="10" t="n">
        <v>45680.45149305555</v>
      </c>
      <c r="H861" s="3" t="inlineStr">
        <is>
          <t>OBT230125105334-Wien Kledering</t>
        </is>
      </c>
      <c r="I861" s="10" t="n">
        <v>45681.61537037037</v>
      </c>
      <c r="J861" s="10" t="n">
        <v>45681.68616898148</v>
      </c>
      <c r="K861" s="10" t="n">
        <v>45681.68616898148</v>
      </c>
      <c r="L861" s="10" t="n">
        <v>45681.68765046296</v>
      </c>
      <c r="M861" s="11">
        <f>IF(AND(ISNUMBER(E861),ISNUMBER(G861)),(G861-E861),"")</f>
        <v/>
      </c>
      <c r="N861" s="11">
        <f>IF(AND(ISNUMBER(G861),ISNUMBER(L861)),(L861-G861),"")</f>
        <v/>
      </c>
      <c r="O861" s="10" t="n">
        <v>45680.45386574074</v>
      </c>
      <c r="P861" s="11">
        <f>IF(AND(ISNUMBER(I861),ISNUMBER(O861)),(I861-O861),"")</f>
        <v/>
      </c>
      <c r="Q861" s="12" t="inlineStr">
        <is>
          <t>WG 1023003 (already coupled to WG 1023001, WG 1023005 from the inbound train) entered track and got secured, OBTP started on 14:46:08 finished on 16:28:05 and then left at 16:30:13</t>
        </is>
      </c>
    </row>
    <row r="862">
      <c r="A862" s="3" t="inlineStr">
        <is>
          <t>1023004</t>
        </is>
      </c>
      <c r="B862" s="3" t="inlineStr">
        <is>
          <t>10230</t>
        </is>
      </c>
      <c r="C862" s="9" t="n">
        <v>19.9</v>
      </c>
      <c r="D862" s="3" t="inlineStr">
        <is>
          <t>St. Veit an der Glan</t>
        </is>
      </c>
      <c r="E862" s="10" t="n">
        <v>45680.43740740741</v>
      </c>
      <c r="F862" s="10" t="n"/>
      <c r="G862" s="10" t="n"/>
      <c r="H862" s="3" t="n"/>
      <c r="I862" s="10" t="n"/>
      <c r="J862" s="10" t="n"/>
      <c r="K862" s="10" t="n"/>
      <c r="L862" s="10" t="n"/>
      <c r="M862" s="11">
        <f>IF(AND(ISNUMBER(E862),ISNUMBER(G862)),(G862-E862),"")</f>
        <v/>
      </c>
      <c r="N862" s="11">
        <f>IF(AND(ISNUMBER(G862),ISNUMBER(L862)),(L862-G862),"")</f>
        <v/>
      </c>
      <c r="O862" s="10" t="n"/>
      <c r="P862" s="11">
        <f>IF(AND(ISNUMBER(I862),ISNUMBER(O862)),(I862-O862),"")</f>
        <v/>
      </c>
      <c r="Q862" s="12" t="n"/>
    </row>
    <row r="863">
      <c r="A863" s="3" t="inlineStr">
        <is>
          <t>1023005</t>
        </is>
      </c>
      <c r="B863" s="3" t="inlineStr">
        <is>
          <t>10230</t>
        </is>
      </c>
      <c r="C863" s="9" t="n">
        <v>221</v>
      </c>
      <c r="D863" s="3" t="inlineStr">
        <is>
          <t>Wien Kledering</t>
        </is>
      </c>
      <c r="E863" s="10" t="n">
        <v>45680.43740740741</v>
      </c>
      <c r="F863" s="10" t="n">
        <v>45680.44863425926</v>
      </c>
      <c r="G863" s="10" t="n">
        <v>45680.45149305555</v>
      </c>
      <c r="H863" s="3" t="inlineStr">
        <is>
          <t>OBT230125105334-Wien Kledering</t>
        </is>
      </c>
      <c r="I863" s="10" t="n">
        <v>45681.61537037037</v>
      </c>
      <c r="J863" s="10" t="n">
        <v>45681.68616898148</v>
      </c>
      <c r="K863" s="10" t="n">
        <v>45681.68616898148</v>
      </c>
      <c r="L863" s="10" t="n">
        <v>45681.68765046296</v>
      </c>
      <c r="M863" s="11">
        <f>IF(AND(ISNUMBER(E863),ISNUMBER(G863)),(G863-E863),"")</f>
        <v/>
      </c>
      <c r="N863" s="11">
        <f>IF(AND(ISNUMBER(G863),ISNUMBER(L863)),(L863-G863),"")</f>
        <v/>
      </c>
      <c r="O863" s="10" t="n">
        <v>45680.45386574074</v>
      </c>
      <c r="P863" s="11">
        <f>IF(AND(ISNUMBER(I863),ISNUMBER(O863)),(I863-O863),"")</f>
        <v/>
      </c>
      <c r="Q863" s="12" t="inlineStr">
        <is>
          <t>WG 1023005 (already coupled to WG 1023001, WG 1023003 from the inbound train) entered track and got secured, OBTP started on 14:46:08 finished on 16:28:05 and then left at 16:30:13</t>
        </is>
      </c>
    </row>
    <row r="864">
      <c r="A864" s="3" t="inlineStr">
        <is>
          <t>1023101</t>
        </is>
      </c>
      <c r="B864" s="3" t="inlineStr">
        <is>
          <t>10231</t>
        </is>
      </c>
      <c r="C864" s="9" t="n">
        <v>396.5600000000001</v>
      </c>
      <c r="D864" s="3" t="inlineStr">
        <is>
          <t>Wien Kledering</t>
        </is>
      </c>
      <c r="E864" s="10" t="n">
        <v>45680.60445601852</v>
      </c>
      <c r="F864" s="10" t="n">
        <v>45680.61098379629</v>
      </c>
      <c r="G864" s="10" t="n">
        <v>45680.61325231481</v>
      </c>
      <c r="H864" s="3" t="inlineStr">
        <is>
          <t>OBT230125144630-Wien Kledering</t>
        </is>
      </c>
      <c r="I864" s="10" t="n">
        <v>45681.65070601852</v>
      </c>
      <c r="J864" s="10" t="n">
        <v>45681.71954861111</v>
      </c>
      <c r="K864" s="10" t="n">
        <v>45681.71954861111</v>
      </c>
      <c r="L864" s="10" t="n">
        <v>45681.72094907407</v>
      </c>
      <c r="M864" s="11">
        <f>IF(AND(ISNUMBER(E864),ISNUMBER(G864)),(G864-E864),"")</f>
        <v/>
      </c>
      <c r="N864" s="11">
        <f>IF(AND(ISNUMBER(G864),ISNUMBER(L864)),(L864-G864),"")</f>
        <v/>
      </c>
      <c r="O864" s="10" t="n">
        <v>45680.615625</v>
      </c>
      <c r="P864" s="11">
        <f>IF(AND(ISNUMBER(I864),ISNUMBER(O864)),(I864-O864),"")</f>
        <v/>
      </c>
      <c r="Q864" s="12" t="inlineStr">
        <is>
          <t>WG 1023101 entered track and got secured, OBTP started on 15:37:01 finished on 17:16:09 and then left at 17:18:10</t>
        </is>
      </c>
    </row>
    <row r="865">
      <c r="A865" s="3" t="inlineStr">
        <is>
          <t>1023201</t>
        </is>
      </c>
      <c r="B865" s="3" t="inlineStr">
        <is>
          <t>10232</t>
        </is>
      </c>
      <c r="C865" s="9" t="n">
        <v>35.64</v>
      </c>
      <c r="D865" s="3" t="inlineStr">
        <is>
          <t>Other sidings north</t>
        </is>
      </c>
      <c r="E865" s="10" t="n">
        <v>45680.6134375</v>
      </c>
      <c r="F865" s="10" t="n">
        <v>45680.62690972222</v>
      </c>
      <c r="G865" s="10" t="n">
        <v>45680.6288425926</v>
      </c>
      <c r="H865" s="3" t="inlineStr">
        <is>
          <t>OBT230125174306-Other sidings north</t>
        </is>
      </c>
      <c r="I865" s="10" t="n">
        <v>45681.65447916667</v>
      </c>
      <c r="J865" s="10" t="n">
        <v>45681.67707175926</v>
      </c>
      <c r="K865" s="10" t="n">
        <v>45681.67707175926</v>
      </c>
      <c r="L865" s="10" t="n">
        <v>45681.67775462963</v>
      </c>
      <c r="M865" s="11">
        <f>IF(AND(ISNUMBER(E865),ISNUMBER(G865)),(G865-E865),"")</f>
        <v/>
      </c>
      <c r="N865" s="11">
        <f>IF(AND(ISNUMBER(G865),ISNUMBER(L865)),(L865-G865),"")</f>
        <v/>
      </c>
      <c r="O865" s="10" t="n">
        <v>45680.63120370371</v>
      </c>
      <c r="P865" s="11">
        <f>IF(AND(ISNUMBER(I865),ISNUMBER(O865)),(I865-O865),"")</f>
        <v/>
      </c>
      <c r="Q865" s="12" t="inlineStr">
        <is>
          <t>WG 1023201 entered track and got secured then waited 0:07:44 for WG 1023203 to get coupled then waited 0:05:20 for WG 1023205 to get coupled then waited 2:21:06 for WG 1023503 to get coupled, OBTP started on 15:42:27 finished on 16:14:59 and then left at 16:15:58</t>
        </is>
      </c>
    </row>
    <row r="866">
      <c r="A866" s="3" t="inlineStr">
        <is>
          <t>1023202</t>
        </is>
      </c>
      <c r="B866" s="3" t="inlineStr">
        <is>
          <t>10232</t>
        </is>
      </c>
      <c r="C866" s="9" t="n">
        <v>31.94</v>
      </c>
      <c r="D866" s="3" t="inlineStr">
        <is>
          <t>Ternitz (Schoeller-Bleckmann)</t>
        </is>
      </c>
      <c r="E866" s="10" t="n">
        <v>45680.6134375</v>
      </c>
      <c r="F866" s="10" t="n">
        <v>45680.6288425926</v>
      </c>
      <c r="G866" s="10" t="n">
        <v>45680.63079861111</v>
      </c>
      <c r="H866" s="3" t="inlineStr">
        <is>
          <t>OBT240125174924-Wien Kledering</t>
        </is>
      </c>
      <c r="I866" s="10" t="n">
        <v>45684.65190972222</v>
      </c>
      <c r="J866" s="10" t="n">
        <v>45684.69225694444</v>
      </c>
      <c r="K866" s="10" t="n">
        <v>45684.69225694444</v>
      </c>
      <c r="L866" s="10" t="n">
        <v>45684.69333333334</v>
      </c>
      <c r="M866" s="11">
        <f>IF(AND(ISNUMBER(E866),ISNUMBER(G866)),(G866-E866),"")</f>
        <v/>
      </c>
      <c r="N866" s="11">
        <f>IF(AND(ISNUMBER(G866),ISNUMBER(L866)),(L866-G866),"")</f>
        <v/>
      </c>
      <c r="O866" s="10" t="n">
        <v>45680.63319444445</v>
      </c>
      <c r="P866" s="11">
        <f>IF(AND(ISNUMBER(I866),ISNUMBER(O866)),(I866-O866),"")</f>
        <v/>
      </c>
      <c r="Q866" s="12" t="inlineStr">
        <is>
          <t>WG 1023202 entered track and got secured then waited 12:00:19 for WG 1023804 to get coupled then waited 4:37:31 for WG 1024202 to get coupled then waited 0:07:01 for WG 1024208 to get coupled then waited 7:32:10 for WG 1024903 to get coupled then waited 0:08:05 for WG 1024906 to get coupled then waited 2:12:30 for WG 1025101 to get coupled, OBTP started on 15:38:45 finished on 16:36:51 and then left at 16:38:24</t>
        </is>
      </c>
    </row>
    <row r="867">
      <c r="A867" s="3" t="inlineStr">
        <is>
          <t>1023203</t>
        </is>
      </c>
      <c r="B867" s="3" t="inlineStr">
        <is>
          <t>10232</t>
        </is>
      </c>
      <c r="C867" s="9" t="n">
        <v>15.74</v>
      </c>
      <c r="D867" s="3" t="inlineStr">
        <is>
          <t>Other sidings local</t>
        </is>
      </c>
      <c r="E867" s="10" t="n">
        <v>45680.6134375</v>
      </c>
      <c r="F867" s="10" t="n">
        <v>45680.63079861111</v>
      </c>
      <c r="G867" s="10" t="n">
        <v>45680.63268518518</v>
      </c>
      <c r="H867" s="3" t="inlineStr">
        <is>
          <t>OBT230125174306-Other sidings north</t>
        </is>
      </c>
      <c r="I867" s="10" t="n">
        <v>45681.65447916667</v>
      </c>
      <c r="J867" s="10" t="n">
        <v>45681.67707175926</v>
      </c>
      <c r="K867" s="10" t="n">
        <v>45681.67707175926</v>
      </c>
      <c r="L867" s="10" t="n">
        <v>45681.67775462963</v>
      </c>
      <c r="M867" s="11">
        <f>IF(AND(ISNUMBER(E867),ISNUMBER(G867)),(G867-E867),"")</f>
        <v/>
      </c>
      <c r="N867" s="11">
        <f>IF(AND(ISNUMBER(G867),ISNUMBER(L867)),(L867-G867),"")</f>
        <v/>
      </c>
      <c r="O867" s="10" t="n">
        <v>45680.63657407407</v>
      </c>
      <c r="P867" s="11">
        <f>IF(AND(ISNUMBER(I867),ISNUMBER(O867)),(I867-O867),"")</f>
        <v/>
      </c>
      <c r="Q867" s="12" t="inlineStr">
        <is>
          <t>WG 1023203 entered track and got coupled to WG 1023201 then waited 0:05:20 for WG 1023205 to get coupled then waited 2:21:06 for WG 1023503 to get coupled, OBTP started on 15:42:27 finished on 16:14:59 and then left at 16:15:58</t>
        </is>
      </c>
    </row>
    <row r="868">
      <c r="A868" s="3" t="inlineStr">
        <is>
          <t>1023204</t>
        </is>
      </c>
      <c r="B868" s="3" t="inlineStr">
        <is>
          <t>10232</t>
        </is>
      </c>
      <c r="C868" s="9" t="n">
        <v>15.74</v>
      </c>
      <c r="D868" s="3" t="inlineStr">
        <is>
          <t>Steinabrückl/Wöllersdorf</t>
        </is>
      </c>
      <c r="E868" s="10" t="n">
        <v>45680.6134375</v>
      </c>
      <c r="F868" s="10" t="n">
        <v>45680.63268518518</v>
      </c>
      <c r="G868" s="10" t="n">
        <v>45680.63440972222</v>
      </c>
      <c r="H868" s="3" t="inlineStr">
        <is>
          <t>OBT240125044723-Neudörfl (FunderMax)</t>
        </is>
      </c>
      <c r="I868" s="10" t="n">
        <v>45684.20037037037</v>
      </c>
      <c r="J868" s="10" t="n">
        <v>45684.2208912037</v>
      </c>
      <c r="K868" s="10" t="n">
        <v>45684.2208912037</v>
      </c>
      <c r="L868" s="10" t="n">
        <v>45684.22171296296</v>
      </c>
      <c r="M868" s="11">
        <f>IF(AND(ISNUMBER(E868),ISNUMBER(G868)),(G868-E868),"")</f>
        <v/>
      </c>
      <c r="N868" s="11">
        <f>IF(AND(ISNUMBER(G868),ISNUMBER(L868)),(L868-G868),"")</f>
        <v/>
      </c>
      <c r="O868" s="10" t="n">
        <v>45680.63833333334</v>
      </c>
      <c r="P868" s="11">
        <f>IF(AND(ISNUMBER(I868),ISNUMBER(O868)),(I868-O868),"")</f>
        <v/>
      </c>
      <c r="Q868" s="12" t="inlineStr">
        <is>
          <t>WG 1023204 entered track and got coupled to WG 1022902 then waited 2:30:00 for WG 1023506 to get coupled then waited 10:58:11 for WG 1023901 to get coupled, OBTP started on 04:48:32 finished on 05:18:05 and then left at 05:19:16</t>
        </is>
      </c>
    </row>
    <row r="869">
      <c r="A869" s="3" t="inlineStr">
        <is>
          <t>1023205</t>
        </is>
      </c>
      <c r="B869" s="3" t="inlineStr">
        <is>
          <t>10232</t>
        </is>
      </c>
      <c r="C869" s="9" t="n">
        <v>39.8</v>
      </c>
      <c r="D869" s="3" t="inlineStr">
        <is>
          <t>Other sidings north</t>
        </is>
      </c>
      <c r="E869" s="10" t="n">
        <v>45680.6134375</v>
      </c>
      <c r="F869" s="10" t="n">
        <v>45680.63440972222</v>
      </c>
      <c r="G869" s="10" t="n">
        <v>45680.63635416667</v>
      </c>
      <c r="H869" s="3" t="inlineStr">
        <is>
          <t>OBT230125174306-Other sidings north</t>
        </is>
      </c>
      <c r="I869" s="10" t="n">
        <v>45681.65447916667</v>
      </c>
      <c r="J869" s="10" t="n">
        <v>45681.67707175926</v>
      </c>
      <c r="K869" s="10" t="n">
        <v>45681.67707175926</v>
      </c>
      <c r="L869" s="10" t="n">
        <v>45681.67775462963</v>
      </c>
      <c r="M869" s="11">
        <f>IF(AND(ISNUMBER(E869),ISNUMBER(G869)),(G869-E869),"")</f>
        <v/>
      </c>
      <c r="N869" s="11">
        <f>IF(AND(ISNUMBER(G869),ISNUMBER(L869)),(L869-G869),"")</f>
        <v/>
      </c>
      <c r="O869" s="10" t="n">
        <v>45680.64027777778</v>
      </c>
      <c r="P869" s="11">
        <f>IF(AND(ISNUMBER(I869),ISNUMBER(O869)),(I869-O869),"")</f>
        <v/>
      </c>
      <c r="Q869" s="12" t="inlineStr">
        <is>
          <t>WG 1023205 entered track and got coupled to WG 1023203 then waited 2:21:06 for WG 1023503 to get coupled, OBTP started on 15:42:27 finished on 16:14:59 and then left at 16:15:58</t>
        </is>
      </c>
    </row>
    <row r="870">
      <c r="A870" s="3" t="inlineStr">
        <is>
          <t>1023206</t>
        </is>
      </c>
      <c r="B870" s="3" t="inlineStr">
        <is>
          <t>10232</t>
        </is>
      </c>
      <c r="C870" s="9" t="n">
        <v>15.74</v>
      </c>
      <c r="D870" s="3" t="inlineStr">
        <is>
          <t>Gloggnitz</t>
        </is>
      </c>
      <c r="E870" s="10" t="n">
        <v>45680.6134375</v>
      </c>
      <c r="F870" s="10" t="n">
        <v>45680.63635416667</v>
      </c>
      <c r="G870" s="10" t="n">
        <v>45680.63822916667</v>
      </c>
      <c r="H870" s="3" t="inlineStr">
        <is>
          <t>OBT240125090519-Wien Kledering</t>
        </is>
      </c>
      <c r="I870" s="10" t="n">
        <v>45684.32550925926</v>
      </c>
      <c r="J870" s="10" t="n">
        <v>45684.34484953704</v>
      </c>
      <c r="K870" s="10" t="n">
        <v>45684.34484953704</v>
      </c>
      <c r="L870" s="10" t="n">
        <v>45684.34549768519</v>
      </c>
      <c r="M870" s="11">
        <f>IF(AND(ISNUMBER(E870),ISNUMBER(G870)),(G870-E870),"")</f>
        <v/>
      </c>
      <c r="N870" s="11">
        <f>IF(AND(ISNUMBER(G870),ISNUMBER(L870)),(L870-G870),"")</f>
        <v/>
      </c>
      <c r="O870" s="10" t="n">
        <v>45680.64060185185</v>
      </c>
      <c r="P870" s="11">
        <f>IF(AND(ISNUMBER(I870),ISNUMBER(O870)),(I870-O870),"")</f>
        <v/>
      </c>
      <c r="Q870" s="12" t="inlineStr">
        <is>
          <t>WG 1023206 entered track and got secured then waited 2:17:51 for WG 1023502 to get coupled then waited 9:23:57 for WG 1023801 to get coupled then waited 6:01:03 for WG 1024402 to get coupled, OBTP started on 07:48:44 finished on 08:16:35 and then left at 08:17:31</t>
        </is>
      </c>
    </row>
    <row r="871">
      <c r="A871" s="3" t="inlineStr">
        <is>
          <t>1023207</t>
        </is>
      </c>
      <c r="B871" s="3" t="inlineStr">
        <is>
          <t>10232</t>
        </is>
      </c>
      <c r="C871" s="9" t="n">
        <v>116.94</v>
      </c>
      <c r="D871" s="3" t="inlineStr">
        <is>
          <t>Pitten (Hamburger)</t>
        </is>
      </c>
      <c r="E871" s="10" t="n">
        <v>45680.6134375</v>
      </c>
      <c r="F871" s="10" t="n"/>
      <c r="G871" s="10" t="n"/>
      <c r="H871" s="3" t="n"/>
      <c r="I871" s="10" t="n"/>
      <c r="J871" s="10" t="n"/>
      <c r="K871" s="10" t="n"/>
      <c r="L871" s="10" t="n"/>
      <c r="M871" s="11">
        <f>IF(AND(ISNUMBER(E871),ISNUMBER(G871)),(G871-E871),"")</f>
        <v/>
      </c>
      <c r="N871" s="11">
        <f>IF(AND(ISNUMBER(G871),ISNUMBER(L871)),(L871-G871),"")</f>
        <v/>
      </c>
      <c r="O871" s="10" t="n"/>
      <c r="P871" s="11">
        <f>IF(AND(ISNUMBER(I871),ISNUMBER(O871)),(I871-O871),"")</f>
        <v/>
      </c>
      <c r="Q871" s="12" t="n"/>
    </row>
    <row r="872">
      <c r="A872" s="3" t="inlineStr">
        <is>
          <t>1023208</t>
        </is>
      </c>
      <c r="B872" s="3" t="inlineStr">
        <is>
          <t>10232</t>
        </is>
      </c>
      <c r="C872" s="9" t="n">
        <v>27</v>
      </c>
      <c r="D872" s="3" t="inlineStr">
        <is>
          <t>Wr. Neustadt (Hödlmayr)</t>
        </is>
      </c>
      <c r="E872" s="10" t="n">
        <v>45680.6134375</v>
      </c>
      <c r="F872" s="10" t="n"/>
      <c r="G872" s="10" t="n"/>
      <c r="H872" s="3" t="n"/>
      <c r="I872" s="10" t="n"/>
      <c r="J872" s="10" t="n"/>
      <c r="K872" s="10" t="n"/>
      <c r="L872" s="10" t="n"/>
      <c r="M872" s="11">
        <f>IF(AND(ISNUMBER(E872),ISNUMBER(G872)),(G872-E872),"")</f>
        <v/>
      </c>
      <c r="N872" s="11">
        <f>IF(AND(ISNUMBER(G872),ISNUMBER(L872)),(L872-G872),"")</f>
        <v/>
      </c>
      <c r="O872" s="10" t="n"/>
      <c r="P872" s="11">
        <f>IF(AND(ISNUMBER(I872),ISNUMBER(O872)),(I872-O872),"")</f>
        <v/>
      </c>
      <c r="Q872" s="12" t="n"/>
    </row>
    <row r="873">
      <c r="A873" s="3" t="inlineStr">
        <is>
          <t>1023209</t>
        </is>
      </c>
      <c r="B873" s="3" t="inlineStr">
        <is>
          <t>10232</t>
        </is>
      </c>
      <c r="C873" s="9" t="n">
        <v>19.9</v>
      </c>
      <c r="D873" s="3" t="inlineStr">
        <is>
          <t>Neudörfl (FunderMax)</t>
        </is>
      </c>
      <c r="E873" s="10" t="n">
        <v>45680.6134375</v>
      </c>
      <c r="F873" s="10" t="n"/>
      <c r="G873" s="10" t="n"/>
      <c r="H873" s="3" t="n"/>
      <c r="I873" s="10" t="n"/>
      <c r="J873" s="10" t="n"/>
      <c r="K873" s="10" t="n"/>
      <c r="L873" s="10" t="n"/>
      <c r="M873" s="11">
        <f>IF(AND(ISNUMBER(E873),ISNUMBER(G873)),(G873-E873),"")</f>
        <v/>
      </c>
      <c r="N873" s="11">
        <f>IF(AND(ISNUMBER(G873),ISNUMBER(L873)),(L873-G873),"")</f>
        <v/>
      </c>
      <c r="O873" s="10" t="n"/>
      <c r="P873" s="11">
        <f>IF(AND(ISNUMBER(I873),ISNUMBER(O873)),(I873-O873),"")</f>
        <v/>
      </c>
      <c r="Q873" s="12" t="n"/>
    </row>
    <row r="874">
      <c r="A874" s="3" t="inlineStr">
        <is>
          <t>1023301</t>
        </is>
      </c>
      <c r="B874" s="3" t="inlineStr">
        <is>
          <t>10233</t>
        </is>
      </c>
      <c r="C874" s="9" t="n">
        <v>94.44</v>
      </c>
      <c r="D874" s="3" t="inlineStr">
        <is>
          <t>Wien Kledering</t>
        </is>
      </c>
      <c r="E874" s="10" t="n">
        <v>45680.6447337963</v>
      </c>
      <c r="F874" s="10" t="n"/>
      <c r="G874" s="10" t="n"/>
      <c r="H874" s="3" t="n"/>
      <c r="I874" s="10" t="n"/>
      <c r="J874" s="10" t="n"/>
      <c r="K874" s="10" t="n"/>
      <c r="L874" s="10" t="n"/>
      <c r="M874" s="11">
        <f>IF(AND(ISNUMBER(E874),ISNUMBER(G874)),(G874-E874),"")</f>
        <v/>
      </c>
      <c r="N874" s="11">
        <f>IF(AND(ISNUMBER(G874),ISNUMBER(L874)),(L874-G874),"")</f>
        <v/>
      </c>
      <c r="O874" s="10" t="n"/>
      <c r="P874" s="11">
        <f>IF(AND(ISNUMBER(I874),ISNUMBER(O874)),(I874-O874),"")</f>
        <v/>
      </c>
      <c r="Q874" s="12" t="n"/>
    </row>
    <row r="875">
      <c r="A875" s="3" t="inlineStr">
        <is>
          <t>1023401</t>
        </is>
      </c>
      <c r="B875" s="3" t="inlineStr">
        <is>
          <t>10234</t>
        </is>
      </c>
      <c r="C875" s="9" t="n">
        <v>75</v>
      </c>
      <c r="D875" s="3" t="inlineStr">
        <is>
          <t>Wien Kledering</t>
        </is>
      </c>
      <c r="E875" s="10" t="n">
        <v>45680.65686342592</v>
      </c>
      <c r="F875" s="10" t="n"/>
      <c r="G875" s="10" t="n"/>
      <c r="H875" s="3" t="n"/>
      <c r="I875" s="10" t="n"/>
      <c r="J875" s="10" t="n"/>
      <c r="K875" s="10" t="n"/>
      <c r="L875" s="10" t="n"/>
      <c r="M875" s="11">
        <f>IF(AND(ISNUMBER(E875),ISNUMBER(G875)),(G875-E875),"")</f>
        <v/>
      </c>
      <c r="N875" s="11">
        <f>IF(AND(ISNUMBER(G875),ISNUMBER(L875)),(L875-G875),"")</f>
        <v/>
      </c>
      <c r="O875" s="10" t="n"/>
      <c r="P875" s="11">
        <f>IF(AND(ISNUMBER(I875),ISNUMBER(O875)),(I875-O875),"")</f>
        <v/>
      </c>
      <c r="Q875" s="12" t="n"/>
    </row>
    <row r="876">
      <c r="A876" s="3" t="inlineStr">
        <is>
          <t>1023402</t>
        </is>
      </c>
      <c r="B876" s="3" t="inlineStr">
        <is>
          <t>10234</t>
        </is>
      </c>
      <c r="C876" s="9" t="n">
        <v>69.40000000000001</v>
      </c>
      <c r="D876" s="3" t="inlineStr">
        <is>
          <t>St. Veit an der Glan</t>
        </is>
      </c>
      <c r="E876" s="10" t="n">
        <v>45680.65686342592</v>
      </c>
      <c r="F876" s="10" t="n"/>
      <c r="G876" s="10" t="n"/>
      <c r="H876" s="3" t="n"/>
      <c r="I876" s="10" t="n"/>
      <c r="J876" s="10" t="n"/>
      <c r="K876" s="10" t="n"/>
      <c r="L876" s="10" t="n"/>
      <c r="M876" s="11">
        <f>IF(AND(ISNUMBER(E876),ISNUMBER(G876)),(G876-E876),"")</f>
        <v/>
      </c>
      <c r="N876" s="11">
        <f>IF(AND(ISNUMBER(G876),ISNUMBER(L876)),(L876-G876),"")</f>
        <v/>
      </c>
      <c r="O876" s="10" t="n"/>
      <c r="P876" s="11">
        <f>IF(AND(ISNUMBER(I876),ISNUMBER(O876)),(I876-O876),"")</f>
        <v/>
      </c>
      <c r="Q876" s="12" t="n"/>
    </row>
    <row r="877">
      <c r="A877" s="3" t="inlineStr">
        <is>
          <t>1023501</t>
        </is>
      </c>
      <c r="B877" s="3" t="inlineStr">
        <is>
          <t>10235</t>
        </is>
      </c>
      <c r="C877" s="9" t="n">
        <v>21</v>
      </c>
      <c r="D877" s="3" t="inlineStr">
        <is>
          <t>Neunkirchen (loading tracks)</t>
        </is>
      </c>
      <c r="E877" s="10" t="n">
        <v>45680.71091435185</v>
      </c>
      <c r="F877" s="10" t="n">
        <v>45680.72853009259</v>
      </c>
      <c r="G877" s="10" t="n">
        <v>45680.73049768519</v>
      </c>
      <c r="H877" s="3" t="inlineStr">
        <is>
          <t>OBT240125030555-Neunkirchen (loading tracks)</t>
        </is>
      </c>
      <c r="I877" s="10" t="n">
        <v>45683.76060185185</v>
      </c>
      <c r="J877" s="10" t="n">
        <v>45683.78920138889</v>
      </c>
      <c r="K877" s="10" t="n">
        <v>45683.78920138889</v>
      </c>
      <c r="L877" s="10" t="n">
        <v>45683.79012731482</v>
      </c>
      <c r="M877" s="11">
        <f>IF(AND(ISNUMBER(E877),ISNUMBER(G877)),(G877-E877),"")</f>
        <v/>
      </c>
      <c r="N877" s="11">
        <f>IF(AND(ISNUMBER(G877),ISNUMBER(L877)),(L877-G877),"")</f>
        <v/>
      </c>
      <c r="O877" s="10" t="n">
        <v>45680.7328587963</v>
      </c>
      <c r="P877" s="11">
        <f>IF(AND(ISNUMBER(I877),ISNUMBER(O877)),(I877-O877),"")</f>
        <v/>
      </c>
      <c r="Q877" s="12" t="inlineStr">
        <is>
          <t>WG 1023501 entered track and got secured then waited 9:30:36 for WG 1023802 to get coupled, OBTP started on 18:15:16 finished on 18:56:27 and then left at 18:57:47</t>
        </is>
      </c>
    </row>
    <row r="878">
      <c r="A878" s="3" t="inlineStr">
        <is>
          <t>1023502</t>
        </is>
      </c>
      <c r="B878" s="3" t="inlineStr">
        <is>
          <t>10235</t>
        </is>
      </c>
      <c r="C878" s="9" t="n">
        <v>15.74</v>
      </c>
      <c r="D878" s="3" t="inlineStr">
        <is>
          <t>Gloggnitz</t>
        </is>
      </c>
      <c r="E878" s="10" t="n">
        <v>45680.71091435185</v>
      </c>
      <c r="F878" s="10" t="n">
        <v>45680.73049768519</v>
      </c>
      <c r="G878" s="10" t="n">
        <v>45680.73240740741</v>
      </c>
      <c r="H878" s="3" t="inlineStr">
        <is>
          <t>OBT240125090519-Wien Kledering</t>
        </is>
      </c>
      <c r="I878" s="10" t="n">
        <v>45684.32550925926</v>
      </c>
      <c r="J878" s="10" t="n">
        <v>45684.34484953704</v>
      </c>
      <c r="K878" s="10" t="n">
        <v>45684.34484953704</v>
      </c>
      <c r="L878" s="10" t="n">
        <v>45684.34549768519</v>
      </c>
      <c r="M878" s="11">
        <f>IF(AND(ISNUMBER(E878),ISNUMBER(G878)),(G878-E878),"")</f>
        <v/>
      </c>
      <c r="N878" s="11">
        <f>IF(AND(ISNUMBER(G878),ISNUMBER(L878)),(L878-G878),"")</f>
        <v/>
      </c>
      <c r="O878" s="10" t="n">
        <v>45680.73633101852</v>
      </c>
      <c r="P878" s="11">
        <f>IF(AND(ISNUMBER(I878),ISNUMBER(O878)),(I878-O878),"")</f>
        <v/>
      </c>
      <c r="Q878" s="12" t="inlineStr">
        <is>
          <t>WG 1023502 entered track and got coupled to WG 1023206 then waited 9:23:57 for WG 1023801 to get coupled then waited 6:01:03 for WG 1024402 to get coupled, OBTP started on 07:48:44 finished on 08:16:35 and then left at 08:17:31</t>
        </is>
      </c>
    </row>
    <row r="879">
      <c r="A879" s="3" t="inlineStr">
        <is>
          <t>1023503</t>
        </is>
      </c>
      <c r="B879" s="3" t="inlineStr">
        <is>
          <t>10235</t>
        </is>
      </c>
      <c r="C879" s="9" t="n">
        <v>38.98</v>
      </c>
      <c r="D879" s="3" t="inlineStr">
        <is>
          <t>Other sidings north</t>
        </is>
      </c>
      <c r="E879" s="10" t="n">
        <v>45680.71091435185</v>
      </c>
      <c r="F879" s="10" t="n">
        <v>45680.73240740741</v>
      </c>
      <c r="G879" s="10" t="n">
        <v>45680.734375</v>
      </c>
      <c r="H879" s="3" t="inlineStr">
        <is>
          <t>OBT230125174306-Other sidings north</t>
        </is>
      </c>
      <c r="I879" s="10" t="n">
        <v>45681.65447916667</v>
      </c>
      <c r="J879" s="10" t="n">
        <v>45681.67707175926</v>
      </c>
      <c r="K879" s="10" t="n">
        <v>45681.67707175926</v>
      </c>
      <c r="L879" s="10" t="n">
        <v>45681.67775462963</v>
      </c>
      <c r="M879" s="11">
        <f>IF(AND(ISNUMBER(E879),ISNUMBER(G879)),(G879-E879),"")</f>
        <v/>
      </c>
      <c r="N879" s="11">
        <f>IF(AND(ISNUMBER(G879),ISNUMBER(L879)),(L879-G879),"")</f>
        <v/>
      </c>
      <c r="O879" s="10" t="n">
        <v>45680.73826388889</v>
      </c>
      <c r="P879" s="11">
        <f>IF(AND(ISNUMBER(I879),ISNUMBER(O879)),(I879-O879),"")</f>
        <v/>
      </c>
      <c r="Q879" s="12" t="inlineStr">
        <is>
          <t>WG 1023503 entered track and got coupled to WG 1023205, OBTP started on 15:42:27 finished on 16:14:59 and then left at 16:15:58</t>
        </is>
      </c>
    </row>
    <row r="880">
      <c r="A880" s="3" t="inlineStr">
        <is>
          <t>1023504</t>
        </is>
      </c>
      <c r="B880" s="3" t="inlineStr">
        <is>
          <t>10235</t>
        </is>
      </c>
      <c r="C880" s="9" t="n">
        <v>27</v>
      </c>
      <c r="D880" s="3" t="inlineStr">
        <is>
          <t>Wr. Neustadt (Hödlmayr)</t>
        </is>
      </c>
      <c r="E880" s="10" t="n">
        <v>45680.71091435185</v>
      </c>
      <c r="F880" s="10" t="n">
        <v>45680.734375</v>
      </c>
      <c r="G880" s="10" t="n">
        <v>45680.73556712963</v>
      </c>
      <c r="H880" s="3" t="inlineStr">
        <is>
          <t>OBT240125031427-Wr. Neustadt (Hödlmayr)</t>
        </is>
      </c>
      <c r="I880" s="10" t="n">
        <v>45684.1284837963</v>
      </c>
      <c r="J880" s="10" t="n">
        <v>45684.1534375</v>
      </c>
      <c r="K880" s="10" t="n">
        <v>45684.1534375</v>
      </c>
      <c r="L880" s="10" t="n">
        <v>45684.15423611111</v>
      </c>
      <c r="M880" s="11">
        <f>IF(AND(ISNUMBER(E880),ISNUMBER(G880)),(G880-E880),"")</f>
        <v/>
      </c>
      <c r="N880" s="11">
        <f>IF(AND(ISNUMBER(G880),ISNUMBER(L880)),(L880-G880),"")</f>
        <v/>
      </c>
      <c r="O880" s="10" t="n">
        <v>45680.73774305556</v>
      </c>
      <c r="P880" s="11">
        <f>IF(AND(ISNUMBER(I880),ISNUMBER(O880)),(I880-O880),"")</f>
        <v/>
      </c>
      <c r="Q880" s="12" t="inlineStr">
        <is>
          <t>WG 1023504 entered track and got secured then waited 0:13:46 for WG 1023509 to get coupled then waited 0:06:36 for WG 1023512 to get coupled then waited 9:07:05 for WG 1023803 to get coupled then waited 0:04:39 for WG 1023805 to get coupled, OBTP started on 03:05:01 finished on 03:40:57 and then left at 03:42:06</t>
        </is>
      </c>
    </row>
    <row r="881">
      <c r="A881" s="3" t="inlineStr">
        <is>
          <t>1023505</t>
        </is>
      </c>
      <c r="B881" s="3" t="inlineStr">
        <is>
          <t>10235</t>
        </is>
      </c>
      <c r="C881" s="9" t="n">
        <v>19.9</v>
      </c>
      <c r="D881" s="3" t="inlineStr">
        <is>
          <t>Wr. Neustadt Ausfahrbf (Furtenbach)</t>
        </is>
      </c>
      <c r="E881" s="10" t="n">
        <v>45680.71091435185</v>
      </c>
      <c r="F881" s="10" t="n">
        <v>45680.73556712963</v>
      </c>
      <c r="G881" s="10" t="n">
        <v>45680.7371875</v>
      </c>
      <c r="H881" s="3" t="inlineStr">
        <is>
          <t>OBT230125175458-Wr. Neustadt Ausfahrbf (Furtenbach)</t>
        </is>
      </c>
      <c r="I881" s="10" t="n">
        <v>45681.73866898148</v>
      </c>
      <c r="J881" s="10" t="n">
        <v>45681.7572337963</v>
      </c>
      <c r="K881" s="10" t="n">
        <v>45681.7572337963</v>
      </c>
      <c r="L881" s="10" t="n">
        <v>45681.7580787037</v>
      </c>
      <c r="M881" s="11">
        <f>IF(AND(ISNUMBER(E881),ISNUMBER(G881)),(G881-E881),"")</f>
        <v/>
      </c>
      <c r="N881" s="11">
        <f>IF(AND(ISNUMBER(G881),ISNUMBER(L881)),(L881-G881),"")</f>
        <v/>
      </c>
      <c r="O881" s="10" t="n">
        <v>45680.74111111111</v>
      </c>
      <c r="P881" s="11">
        <f>IF(AND(ISNUMBER(I881),ISNUMBER(O881)),(I881-O881),"")</f>
        <v/>
      </c>
      <c r="Q881" s="12" t="inlineStr">
        <is>
          <t>WG 1023505 entered track and got coupled to WG 1022905 then waited 0:07:46 for WG 1023508 to get coupled, OBTP started on 17:43:41 finished on 18:10:25 and then left at 18:11:38</t>
        </is>
      </c>
    </row>
    <row r="882">
      <c r="A882" s="3" t="inlineStr">
        <is>
          <t>1023506</t>
        </is>
      </c>
      <c r="B882" s="3" t="inlineStr">
        <is>
          <t>10235</t>
        </is>
      </c>
      <c r="C882" s="9" t="n">
        <v>15.74</v>
      </c>
      <c r="D882" s="3" t="inlineStr">
        <is>
          <t>Steinabrückl/Wöllersdorf</t>
        </is>
      </c>
      <c r="E882" s="10" t="n">
        <v>45680.71091435185</v>
      </c>
      <c r="F882" s="10" t="n">
        <v>45680.7371875</v>
      </c>
      <c r="G882" s="10" t="n">
        <v>45680.73893518518</v>
      </c>
      <c r="H882" s="3" t="inlineStr">
        <is>
          <t>OBT240125044723-Neudörfl (FunderMax)</t>
        </is>
      </c>
      <c r="I882" s="10" t="n">
        <v>45684.20037037037</v>
      </c>
      <c r="J882" s="10" t="n">
        <v>45684.2208912037</v>
      </c>
      <c r="K882" s="10" t="n">
        <v>45684.2208912037</v>
      </c>
      <c r="L882" s="10" t="n">
        <v>45684.22171296296</v>
      </c>
      <c r="M882" s="11">
        <f>IF(AND(ISNUMBER(E882),ISNUMBER(G882)),(G882-E882),"")</f>
        <v/>
      </c>
      <c r="N882" s="11">
        <f>IF(AND(ISNUMBER(G882),ISNUMBER(L882)),(L882-G882),"")</f>
        <v/>
      </c>
      <c r="O882" s="10" t="n">
        <v>45680.7425</v>
      </c>
      <c r="P882" s="11">
        <f>IF(AND(ISNUMBER(I882),ISNUMBER(O882)),(I882-O882),"")</f>
        <v/>
      </c>
      <c r="Q882" s="12" t="inlineStr">
        <is>
          <t>WG 1023506 entered track and got coupled to WG 1023204 then waited 10:58:11 for WG 1023901 to get coupled, OBTP started on 04:48:32 finished on 05:18:05 and then left at 05:19:16</t>
        </is>
      </c>
    </row>
    <row r="883">
      <c r="A883" s="3" t="inlineStr">
        <is>
          <t>1023507</t>
        </is>
      </c>
      <c r="B883" s="3" t="inlineStr">
        <is>
          <t>10235</t>
        </is>
      </c>
      <c r="C883" s="9" t="n">
        <v>15.74</v>
      </c>
      <c r="D883" s="3" t="inlineStr">
        <is>
          <t>Ebenfurth (beet loading)</t>
        </is>
      </c>
      <c r="E883" s="10" t="n">
        <v>45680.71091435185</v>
      </c>
      <c r="F883" s="10" t="n">
        <v>45680.73893518518</v>
      </c>
      <c r="G883" s="10" t="n">
        <v>45680.74096064815</v>
      </c>
      <c r="H883" s="3" t="inlineStr">
        <is>
          <t>OBT240125093343-Pitten (Hamburger)</t>
        </is>
      </c>
      <c r="I883" s="10" t="n">
        <v>45684.33965277778</v>
      </c>
      <c r="J883" s="10" t="n">
        <v>45684.370625</v>
      </c>
      <c r="K883" s="10" t="n">
        <v>45684.370625</v>
      </c>
      <c r="L883" s="10" t="n">
        <v>45684.37153935185</v>
      </c>
      <c r="M883" s="11">
        <f>IF(AND(ISNUMBER(E883),ISNUMBER(G883)),(G883-E883),"")</f>
        <v/>
      </c>
      <c r="N883" s="11">
        <f>IF(AND(ISNUMBER(G883),ISNUMBER(L883)),(L883-G883),"")</f>
        <v/>
      </c>
      <c r="O883" s="10" t="n">
        <v>45680.74486111111</v>
      </c>
      <c r="P883" s="11">
        <f>IF(AND(ISNUMBER(I883),ISNUMBER(O883)),(I883-O883),"")</f>
        <v/>
      </c>
      <c r="Q883" s="12" t="inlineStr">
        <is>
          <t>WG 1023507 entered track and got coupled to WG 1022909 then waited 15:41:07 for WG 1024503 to get coupled, OBTP started on 08:09:06 finished on 08:53:42 and then left at 08:55:01</t>
        </is>
      </c>
    </row>
    <row r="884">
      <c r="A884" s="3" t="inlineStr">
        <is>
          <t>1023508</t>
        </is>
      </c>
      <c r="B884" s="3" t="inlineStr">
        <is>
          <t>10235</t>
        </is>
      </c>
      <c r="C884" s="9" t="n">
        <v>15.74</v>
      </c>
      <c r="D884" s="3" t="inlineStr">
        <is>
          <t>Obereggendorf (Hofer)</t>
        </is>
      </c>
      <c r="E884" s="10" t="n">
        <v>45680.71091435185</v>
      </c>
      <c r="F884" s="10" t="n">
        <v>45680.74096064815</v>
      </c>
      <c r="G884" s="10" t="n">
        <v>45680.74258101852</v>
      </c>
      <c r="H884" s="3" t="inlineStr">
        <is>
          <t>OBT230125175458-Wr. Neustadt Ausfahrbf (Furtenbach)</t>
        </is>
      </c>
      <c r="I884" s="10" t="n">
        <v>45681.73866898148</v>
      </c>
      <c r="J884" s="10" t="n">
        <v>45681.7572337963</v>
      </c>
      <c r="K884" s="10" t="n">
        <v>45681.7572337963</v>
      </c>
      <c r="L884" s="10" t="n">
        <v>45681.7580787037</v>
      </c>
      <c r="M884" s="11">
        <f>IF(AND(ISNUMBER(E884),ISNUMBER(G884)),(G884-E884),"")</f>
        <v/>
      </c>
      <c r="N884" s="11">
        <f>IF(AND(ISNUMBER(G884),ISNUMBER(L884)),(L884-G884),"")</f>
        <v/>
      </c>
      <c r="O884" s="10" t="n">
        <v>45680.74650462963</v>
      </c>
      <c r="P884" s="11">
        <f>IF(AND(ISNUMBER(I884),ISNUMBER(O884)),(I884-O884),"")</f>
        <v/>
      </c>
      <c r="Q884" s="12" t="inlineStr">
        <is>
          <t>WG 1023508 entered track and got coupled to WG 1023505, OBTP started on 17:43:41 finished on 18:10:25 and then left at 18:11:38</t>
        </is>
      </c>
    </row>
    <row r="885">
      <c r="A885" s="3" t="inlineStr">
        <is>
          <t>1023509</t>
        </is>
      </c>
      <c r="B885" s="3" t="inlineStr">
        <is>
          <t>10235</t>
        </is>
      </c>
      <c r="C885" s="9" t="n">
        <v>15.74</v>
      </c>
      <c r="D885" s="3" t="inlineStr">
        <is>
          <t>Other sidings south</t>
        </is>
      </c>
      <c r="E885" s="10" t="n">
        <v>45680.71091435185</v>
      </c>
      <c r="F885" s="10" t="n">
        <v>45680.74258101852</v>
      </c>
      <c r="G885" s="10" t="n">
        <v>45680.74373842592</v>
      </c>
      <c r="H885" s="3" t="inlineStr">
        <is>
          <t>OBT240125031427-Wr. Neustadt (Hödlmayr)</t>
        </is>
      </c>
      <c r="I885" s="10" t="n">
        <v>45684.1284837963</v>
      </c>
      <c r="J885" s="10" t="n">
        <v>45684.1534375</v>
      </c>
      <c r="K885" s="10" t="n">
        <v>45684.1534375</v>
      </c>
      <c r="L885" s="10" t="n">
        <v>45684.15423611111</v>
      </c>
      <c r="M885" s="11">
        <f>IF(AND(ISNUMBER(E885),ISNUMBER(G885)),(G885-E885),"")</f>
        <v/>
      </c>
      <c r="N885" s="11">
        <f>IF(AND(ISNUMBER(G885),ISNUMBER(L885)),(L885-G885),"")</f>
        <v/>
      </c>
      <c r="O885" s="10" t="n">
        <v>45680.74730324074</v>
      </c>
      <c r="P885" s="11">
        <f>IF(AND(ISNUMBER(I885),ISNUMBER(O885)),(I885-O885),"")</f>
        <v/>
      </c>
      <c r="Q885" s="12" t="inlineStr">
        <is>
          <t>WG 1023509 entered track and got coupled to WG 1023504 then waited 0:06:36 for WG 1023512 to get coupled then waited 9:07:05 for WG 1023803 to get coupled then waited 0:04:39 for WG 1023805 to get coupled, OBTP started on 03:05:01 finished on 03:40:57 and then left at 03:42:06</t>
        </is>
      </c>
    </row>
    <row r="886">
      <c r="A886" s="3" t="inlineStr">
        <is>
          <t>1023510</t>
        </is>
      </c>
      <c r="B886" s="3" t="inlineStr">
        <is>
          <t>10235</t>
        </is>
      </c>
      <c r="C886" s="9" t="n">
        <v>14</v>
      </c>
      <c r="D886" s="3" t="inlineStr">
        <is>
          <t>Other sidings local</t>
        </is>
      </c>
      <c r="E886" s="10" t="n">
        <v>45680.71091435185</v>
      </c>
      <c r="F886" s="10" t="n">
        <v>45680.74373842592</v>
      </c>
      <c r="G886" s="10" t="n">
        <v>45680.74564814815</v>
      </c>
      <c r="H886" s="3" t="inlineStr">
        <is>
          <t>OBT240125152920-Pitten (Hamburger)</t>
        </is>
      </c>
      <c r="I886" s="10" t="n">
        <v>45684.53989583333</v>
      </c>
      <c r="J886" s="10" t="n">
        <v>45684.5575925926</v>
      </c>
      <c r="K886" s="10" t="n">
        <v>45684.5575925926</v>
      </c>
      <c r="L886" s="10" t="n">
        <v>45684.5582175926</v>
      </c>
      <c r="M886" s="11">
        <f>IF(AND(ISNUMBER(E886),ISNUMBER(G886)),(G886-E886),"")</f>
        <v/>
      </c>
      <c r="N886" s="11">
        <f>IF(AND(ISNUMBER(G886),ISNUMBER(L886)),(L886-G886),"")</f>
        <v/>
      </c>
      <c r="O886" s="10" t="n">
        <v>45680.74804398148</v>
      </c>
      <c r="P886" s="11">
        <f>IF(AND(ISNUMBER(I886),ISNUMBER(O886)),(I886-O886),"")</f>
        <v/>
      </c>
      <c r="Q886" s="12" t="inlineStr">
        <is>
          <t>WG 1023510 entered track and got secured then waited 21:32:09 for WG 1024904 to get coupled, OBTP started on 12:57:27 finished on 13:22:56 and then left at 13:23:50</t>
        </is>
      </c>
    </row>
    <row r="887">
      <c r="A887" s="3" t="inlineStr">
        <is>
          <t>1023511</t>
        </is>
      </c>
      <c r="B887" s="3" t="inlineStr">
        <is>
          <t>10235</t>
        </is>
      </c>
      <c r="C887" s="9" t="n">
        <v>117.68</v>
      </c>
      <c r="D887" s="3" t="inlineStr">
        <is>
          <t>Pitten (Hamburger)</t>
        </is>
      </c>
      <c r="E887" s="10" t="n">
        <v>45680.71091435185</v>
      </c>
      <c r="F887" s="10" t="n">
        <v>45680.74564814815</v>
      </c>
      <c r="G887" s="10" t="n">
        <v>45680.74716435185</v>
      </c>
      <c r="H887" s="3" t="inlineStr">
        <is>
          <t>OBT230125175919-Pitten (Hamburger)</t>
        </is>
      </c>
      <c r="I887" s="10" t="n">
        <v>45681.74197916667</v>
      </c>
      <c r="J887" s="10" t="n">
        <v>45681.7624074074</v>
      </c>
      <c r="K887" s="10" t="n">
        <v>45681.7624074074</v>
      </c>
      <c r="L887" s="10" t="n">
        <v>45681.76310185185</v>
      </c>
      <c r="M887" s="11">
        <f>IF(AND(ISNUMBER(E887),ISNUMBER(G887)),(G887-E887),"")</f>
        <v/>
      </c>
      <c r="N887" s="11">
        <f>IF(AND(ISNUMBER(G887),ISNUMBER(L887)),(L887-G887),"")</f>
        <v/>
      </c>
      <c r="O887" s="10" t="n">
        <v>45680.74952546296</v>
      </c>
      <c r="P887" s="11">
        <f>IF(AND(ISNUMBER(I887),ISNUMBER(O887)),(I887-O887),"")</f>
        <v/>
      </c>
      <c r="Q887" s="12" t="inlineStr">
        <is>
          <t>WG 1023511 entered track and got secured, OBTP started on 17:48:27 finished on 18:17:52 and then left at 18:18:52</t>
        </is>
      </c>
    </row>
    <row r="888">
      <c r="A888" s="3" t="inlineStr">
        <is>
          <t>1023512</t>
        </is>
      </c>
      <c r="B888" s="3" t="inlineStr">
        <is>
          <t>10235</t>
        </is>
      </c>
      <c r="C888" s="9" t="n">
        <v>14</v>
      </c>
      <c r="D888" s="3" t="inlineStr">
        <is>
          <t>Wr. Neustadt (Brenntag)</t>
        </is>
      </c>
      <c r="E888" s="10" t="n">
        <v>45680.71091435185</v>
      </c>
      <c r="F888" s="10" t="n">
        <v>45680.74716435185</v>
      </c>
      <c r="G888" s="10" t="n">
        <v>45680.74832175926</v>
      </c>
      <c r="H888" s="3" t="inlineStr">
        <is>
          <t>OBT240125031427-Wr. Neustadt (Hödlmayr)</t>
        </is>
      </c>
      <c r="I888" s="10" t="n">
        <v>45684.1284837963</v>
      </c>
      <c r="J888" s="10" t="n">
        <v>45684.1534375</v>
      </c>
      <c r="K888" s="10" t="n">
        <v>45684.1534375</v>
      </c>
      <c r="L888" s="10" t="n">
        <v>45684.15423611111</v>
      </c>
      <c r="M888" s="11">
        <f>IF(AND(ISNUMBER(E888),ISNUMBER(G888)),(G888-E888),"")</f>
        <v/>
      </c>
      <c r="N888" s="11">
        <f>IF(AND(ISNUMBER(G888),ISNUMBER(L888)),(L888-G888),"")</f>
        <v/>
      </c>
      <c r="O888" s="10" t="n">
        <v>45680.75188657407</v>
      </c>
      <c r="P888" s="11">
        <f>IF(AND(ISNUMBER(I888),ISNUMBER(O888)),(I888-O888),"")</f>
        <v/>
      </c>
      <c r="Q888" s="12" t="inlineStr">
        <is>
          <t>WG 1023512 entered track and got coupled to WG 1023509 then waited 9:07:05 for WG 1023803 to get coupled then waited 0:04:39 for WG 1023805 to get coupled, OBTP started on 03:05:01 finished on 03:40:57 and then left at 03:42:06</t>
        </is>
      </c>
    </row>
    <row r="889">
      <c r="A889" s="3" t="inlineStr">
        <is>
          <t>1023601</t>
        </is>
      </c>
      <c r="B889" s="3" t="inlineStr">
        <is>
          <t>10236</t>
        </is>
      </c>
      <c r="C889" s="9" t="n">
        <v>54.72</v>
      </c>
      <c r="D889" s="3" t="inlineStr">
        <is>
          <t>Wien Kledering</t>
        </is>
      </c>
      <c r="E889" s="10" t="n">
        <v>45680.73459490741</v>
      </c>
      <c r="F889" s="10" t="n">
        <v>45680.74918981481</v>
      </c>
      <c r="G889" s="10" t="n">
        <v>45680.75112268519</v>
      </c>
      <c r="H889" s="3" t="inlineStr">
        <is>
          <t>OBT230125211356-Wien Kledering</t>
        </is>
      </c>
      <c r="I889" s="10" t="n">
        <v>45682.09043981481</v>
      </c>
      <c r="J889" s="10" t="n">
        <v>45682.11478009259</v>
      </c>
      <c r="K889" s="10" t="n">
        <v>45682.11478009259</v>
      </c>
      <c r="L889" s="10" t="n">
        <v>45682.11563657408</v>
      </c>
      <c r="M889" s="11">
        <f>IF(AND(ISNUMBER(E889),ISNUMBER(G889)),(G889-E889),"")</f>
        <v/>
      </c>
      <c r="N889" s="11">
        <f>IF(AND(ISNUMBER(G889),ISNUMBER(L889)),(L889-G889),"")</f>
        <v/>
      </c>
      <c r="O889" s="10" t="n">
        <v>45680.75349537037</v>
      </c>
      <c r="P889" s="11">
        <f>IF(AND(ISNUMBER(I889),ISNUMBER(O889)),(I889-O889),"")</f>
        <v/>
      </c>
      <c r="Q889" s="12" t="inlineStr">
        <is>
          <t>WG 1023601 entered track and got secured then waited 3:08:54 for WG 1023701 to get coupled, OBTP started on 02:10:14 finished on 02:45:17 and then left at 02:46:31</t>
        </is>
      </c>
    </row>
    <row r="890">
      <c r="A890" s="3" t="inlineStr">
        <is>
          <t>1023701</t>
        </is>
      </c>
      <c r="B890" s="3" t="inlineStr">
        <is>
          <t>10237</t>
        </is>
      </c>
      <c r="C890" s="9" t="n">
        <v>85.45999999999999</v>
      </c>
      <c r="D890" s="3" t="inlineStr">
        <is>
          <t>Wien Kledering</t>
        </is>
      </c>
      <c r="E890" s="10" t="n">
        <v>45680.87517361111</v>
      </c>
      <c r="F890" s="10" t="n">
        <v>45680.87946759259</v>
      </c>
      <c r="G890" s="10" t="n">
        <v>45680.88112268518</v>
      </c>
      <c r="H890" s="3" t="inlineStr">
        <is>
          <t>OBT230125211356-Wien Kledering</t>
        </is>
      </c>
      <c r="I890" s="10" t="n">
        <v>45682.09043981481</v>
      </c>
      <c r="J890" s="10" t="n">
        <v>45682.11478009259</v>
      </c>
      <c r="K890" s="10" t="n">
        <v>45682.11478009259</v>
      </c>
      <c r="L890" s="10" t="n">
        <v>45682.11563657408</v>
      </c>
      <c r="M890" s="11">
        <f>IF(AND(ISNUMBER(E890),ISNUMBER(G890)),(G890-E890),"")</f>
        <v/>
      </c>
      <c r="N890" s="11">
        <f>IF(AND(ISNUMBER(G890),ISNUMBER(L890)),(L890-G890),"")</f>
        <v/>
      </c>
      <c r="O890" s="10" t="n">
        <v>45680.88467592592</v>
      </c>
      <c r="P890" s="11">
        <f>IF(AND(ISNUMBER(I890),ISNUMBER(O890)),(I890-O890),"")</f>
        <v/>
      </c>
      <c r="Q890" s="12" t="inlineStr">
        <is>
          <t>WG 1023701 entered track and got coupled to WG 1023601, OBTP started on 02:10:14 finished on 02:45:17 and then left at 02:46:31</t>
        </is>
      </c>
    </row>
    <row r="891">
      <c r="A891" s="3" t="inlineStr">
        <is>
          <t>1023801</t>
        </is>
      </c>
      <c r="B891" s="3" t="inlineStr">
        <is>
          <t>10238</t>
        </is>
      </c>
      <c r="C891" s="9" t="n">
        <v>31.48</v>
      </c>
      <c r="D891" s="3" t="inlineStr">
        <is>
          <t>Gloggnitz</t>
        </is>
      </c>
      <c r="E891" s="10" t="n">
        <v>45681.11278935185</v>
      </c>
      <c r="F891" s="10" t="n">
        <v>45681.12246527777</v>
      </c>
      <c r="G891" s="10" t="n">
        <v>45681.12440972222</v>
      </c>
      <c r="H891" s="3" t="inlineStr">
        <is>
          <t>OBT240125090519-Wien Kledering</t>
        </is>
      </c>
      <c r="I891" s="10" t="n">
        <v>45684.32550925926</v>
      </c>
      <c r="J891" s="10" t="n">
        <v>45684.34484953704</v>
      </c>
      <c r="K891" s="10" t="n">
        <v>45684.34484953704</v>
      </c>
      <c r="L891" s="10" t="n">
        <v>45684.34549768519</v>
      </c>
      <c r="M891" s="11">
        <f>IF(AND(ISNUMBER(E891),ISNUMBER(G891)),(G891-E891),"")</f>
        <v/>
      </c>
      <c r="N891" s="11">
        <f>IF(AND(ISNUMBER(G891),ISNUMBER(L891)),(L891-G891),"")</f>
        <v/>
      </c>
      <c r="O891" s="10" t="n">
        <v>45681.12796296296</v>
      </c>
      <c r="P891" s="11">
        <f>IF(AND(ISNUMBER(I891),ISNUMBER(O891)),(I891-O891),"")</f>
        <v/>
      </c>
      <c r="Q891" s="12" t="inlineStr">
        <is>
          <t>WG 1023801 entered track and got coupled to WG 1023502 then waited 6:01:03 for WG 1024402 to get coupled, OBTP started on 07:48:44 finished on 08:16:35 and then left at 08:17:31</t>
        </is>
      </c>
    </row>
    <row r="892">
      <c r="A892" s="3" t="inlineStr">
        <is>
          <t>1023802</t>
        </is>
      </c>
      <c r="B892" s="3" t="inlineStr">
        <is>
          <t>10238</t>
        </is>
      </c>
      <c r="C892" s="9" t="n">
        <v>164.7</v>
      </c>
      <c r="D892" s="3" t="inlineStr">
        <is>
          <t>Neunkirchen (loading tracks)</t>
        </is>
      </c>
      <c r="E892" s="10" t="n">
        <v>45681.11278935185</v>
      </c>
      <c r="F892" s="10" t="n">
        <v>45681.12440972222</v>
      </c>
      <c r="G892" s="10" t="n">
        <v>45681.12671296296</v>
      </c>
      <c r="H892" s="3" t="inlineStr">
        <is>
          <t>OBT240125030555-Neunkirchen (loading tracks)</t>
        </is>
      </c>
      <c r="I892" s="10" t="n">
        <v>45683.76060185185</v>
      </c>
      <c r="J892" s="10" t="n">
        <v>45683.78920138889</v>
      </c>
      <c r="K892" s="10" t="n">
        <v>45683.78920138889</v>
      </c>
      <c r="L892" s="10" t="n">
        <v>45683.79012731482</v>
      </c>
      <c r="M892" s="11">
        <f>IF(AND(ISNUMBER(E892),ISNUMBER(G892)),(G892-E892),"")</f>
        <v/>
      </c>
      <c r="N892" s="11">
        <f>IF(AND(ISNUMBER(G892),ISNUMBER(L892)),(L892-G892),"")</f>
        <v/>
      </c>
      <c r="O892" s="10" t="n">
        <v>45681.1291087963</v>
      </c>
      <c r="P892" s="11">
        <f>IF(AND(ISNUMBER(I892),ISNUMBER(O892)),(I892-O892),"")</f>
        <v/>
      </c>
      <c r="Q892" s="12" t="inlineStr">
        <is>
          <t>WG 1023802 entered track and got secured, OBTP started on 18:15:16 finished on 18:56:27 and then left at 18:57:47</t>
        </is>
      </c>
    </row>
    <row r="893">
      <c r="A893" s="3" t="inlineStr">
        <is>
          <t>1023803</t>
        </is>
      </c>
      <c r="B893" s="3" t="inlineStr">
        <is>
          <t>10238</t>
        </is>
      </c>
      <c r="C893" s="9" t="n">
        <v>35.64</v>
      </c>
      <c r="D893" s="3" t="inlineStr">
        <is>
          <t>Other sidings south</t>
        </is>
      </c>
      <c r="E893" s="10" t="n">
        <v>45681.11278935185</v>
      </c>
      <c r="F893" s="10" t="n">
        <v>45681.12671296296</v>
      </c>
      <c r="G893" s="10" t="n">
        <v>45681.12791666666</v>
      </c>
      <c r="H893" s="3" t="inlineStr">
        <is>
          <t>OBT240125031427-Wr. Neustadt (Hödlmayr)</t>
        </is>
      </c>
      <c r="I893" s="10" t="n">
        <v>45684.1284837963</v>
      </c>
      <c r="J893" s="10" t="n">
        <v>45684.1534375</v>
      </c>
      <c r="K893" s="10" t="n">
        <v>45684.1534375</v>
      </c>
      <c r="L893" s="10" t="n">
        <v>45684.15423611111</v>
      </c>
      <c r="M893" s="11">
        <f>IF(AND(ISNUMBER(E893),ISNUMBER(G893)),(G893-E893),"")</f>
        <v/>
      </c>
      <c r="N893" s="11">
        <f>IF(AND(ISNUMBER(G893),ISNUMBER(L893)),(L893-G893),"")</f>
        <v/>
      </c>
      <c r="O893" s="10" t="n">
        <v>45681.13180555555</v>
      </c>
      <c r="P893" s="11">
        <f>IF(AND(ISNUMBER(I893),ISNUMBER(O893)),(I893-O893),"")</f>
        <v/>
      </c>
      <c r="Q893" s="12" t="inlineStr">
        <is>
          <t>WG 1023803 entered track and got coupled to WG 1023512 then waited 0:04:39 for WG 1023805 to get coupled, OBTP started on 03:05:01 finished on 03:40:57 and then left at 03:42:06</t>
        </is>
      </c>
    </row>
    <row r="894">
      <c r="A894" s="3" t="inlineStr">
        <is>
          <t>1023804</t>
        </is>
      </c>
      <c r="B894" s="3" t="inlineStr">
        <is>
          <t>10238</t>
        </is>
      </c>
      <c r="C894" s="9" t="n">
        <v>12.04</v>
      </c>
      <c r="D894" s="3" t="inlineStr">
        <is>
          <t>Ternitz (Schoeller-Bleckmann)</t>
        </is>
      </c>
      <c r="E894" s="10" t="n">
        <v>45681.11278935185</v>
      </c>
      <c r="F894" s="10" t="n">
        <v>45681.12791666666</v>
      </c>
      <c r="G894" s="10" t="n">
        <v>45681.12986111111</v>
      </c>
      <c r="H894" s="3" t="inlineStr">
        <is>
          <t>OBT240125174924-Wien Kledering</t>
        </is>
      </c>
      <c r="I894" s="10" t="n">
        <v>45684.65190972222</v>
      </c>
      <c r="J894" s="10" t="n">
        <v>45684.69225694444</v>
      </c>
      <c r="K894" s="10" t="n">
        <v>45684.69225694444</v>
      </c>
      <c r="L894" s="10" t="n">
        <v>45684.69333333334</v>
      </c>
      <c r="M894" s="11">
        <f>IF(AND(ISNUMBER(E894),ISNUMBER(G894)),(G894-E894),"")</f>
        <v/>
      </c>
      <c r="N894" s="11">
        <f>IF(AND(ISNUMBER(G894),ISNUMBER(L894)),(L894-G894),"")</f>
        <v/>
      </c>
      <c r="O894" s="10" t="n">
        <v>45681.13341435185</v>
      </c>
      <c r="P894" s="11">
        <f>IF(AND(ISNUMBER(I894),ISNUMBER(O894)),(I894-O894),"")</f>
        <v/>
      </c>
      <c r="Q894" s="12" t="inlineStr">
        <is>
          <t>WG 1023804 entered track and got coupled to WG 1023202 then waited 4:37:31 for WG 1024202 to get coupled then waited 0:07:01 for WG 1024208 to get coupled then waited 7:32:10 for WG 1024903 to get coupled then waited 0:08:05 for WG 1024906 to get coupled then waited 2:12:30 for WG 1025101 to get coupled, OBTP started on 15:38:45 finished on 16:36:51 and then left at 16:38:24</t>
        </is>
      </c>
    </row>
    <row r="895">
      <c r="A895" s="3" t="inlineStr">
        <is>
          <t>1023805</t>
        </is>
      </c>
      <c r="B895" s="3" t="inlineStr">
        <is>
          <t>10238</t>
        </is>
      </c>
      <c r="C895" s="9" t="n">
        <v>51.38</v>
      </c>
      <c r="D895" s="3" t="inlineStr">
        <is>
          <t>Other sidings south</t>
        </is>
      </c>
      <c r="E895" s="10" t="n">
        <v>45681.11278935185</v>
      </c>
      <c r="F895" s="10" t="n">
        <v>45681.12986111111</v>
      </c>
      <c r="G895" s="10" t="n">
        <v>45681.13111111111</v>
      </c>
      <c r="H895" s="3" t="inlineStr">
        <is>
          <t>OBT240125031427-Wr. Neustadt (Hödlmayr)</t>
        </is>
      </c>
      <c r="I895" s="10" t="n">
        <v>45684.1284837963</v>
      </c>
      <c r="J895" s="10" t="n">
        <v>45684.1534375</v>
      </c>
      <c r="K895" s="10" t="n">
        <v>45684.1534375</v>
      </c>
      <c r="L895" s="10" t="n">
        <v>45684.15423611111</v>
      </c>
      <c r="M895" s="11">
        <f>IF(AND(ISNUMBER(E895),ISNUMBER(G895)),(G895-E895),"")</f>
        <v/>
      </c>
      <c r="N895" s="11">
        <f>IF(AND(ISNUMBER(G895),ISNUMBER(L895)),(L895-G895),"")</f>
        <v/>
      </c>
      <c r="O895" s="10" t="n">
        <v>45681.13503472223</v>
      </c>
      <c r="P895" s="11">
        <f>IF(AND(ISNUMBER(I895),ISNUMBER(O895)),(I895-O895),"")</f>
        <v/>
      </c>
      <c r="Q895" s="12" t="inlineStr">
        <is>
          <t>WG 1023805 entered track and got coupled to WG 1023803, OBTP started on 03:05:01 finished on 03:40:57 and then left at 03:42:06</t>
        </is>
      </c>
    </row>
    <row r="896">
      <c r="A896" s="3" t="inlineStr">
        <is>
          <t>1023901</t>
        </is>
      </c>
      <c r="B896" s="3" t="inlineStr">
        <is>
          <t>10239</t>
        </is>
      </c>
      <c r="C896" s="9" t="n">
        <v>118.2</v>
      </c>
      <c r="D896" s="3" t="inlineStr">
        <is>
          <t>Neudörfl (FunderMax)</t>
        </is>
      </c>
      <c r="E896" s="10" t="n">
        <v>45681.19063657407</v>
      </c>
      <c r="F896" s="10" t="n">
        <v>45681.19518518518</v>
      </c>
      <c r="G896" s="10" t="n">
        <v>45681.19717592592</v>
      </c>
      <c r="H896" s="3" t="inlineStr">
        <is>
          <t>OBT240125044723-Neudörfl (FunderMax)</t>
        </is>
      </c>
      <c r="I896" s="10" t="n">
        <v>45684.20037037037</v>
      </c>
      <c r="J896" s="10" t="n">
        <v>45684.2208912037</v>
      </c>
      <c r="K896" s="10" t="n">
        <v>45684.2208912037</v>
      </c>
      <c r="L896" s="10" t="n">
        <v>45684.22171296296</v>
      </c>
      <c r="M896" s="11">
        <f>IF(AND(ISNUMBER(E896),ISNUMBER(G896)),(G896-E896),"")</f>
        <v/>
      </c>
      <c r="N896" s="11">
        <f>IF(AND(ISNUMBER(G896),ISNUMBER(L896)),(L896-G896),"")</f>
        <v/>
      </c>
      <c r="O896" s="10" t="n">
        <v>45681.19957175926</v>
      </c>
      <c r="P896" s="11">
        <f>IF(AND(ISNUMBER(I896),ISNUMBER(O896)),(I896-O896),"")</f>
        <v/>
      </c>
      <c r="Q896" s="12" t="inlineStr">
        <is>
          <t>WG 1023901 entered track and got secured, OBTP started on 04:48:32 finished on 05:18:05 and then left at 05:19:16</t>
        </is>
      </c>
    </row>
    <row r="897">
      <c r="A897" s="3" t="inlineStr">
        <is>
          <t>1024001</t>
        </is>
      </c>
      <c r="B897" s="3" t="inlineStr">
        <is>
          <t>10240</t>
        </is>
      </c>
      <c r="C897" s="9" t="n">
        <v>297</v>
      </c>
      <c r="D897" s="3" t="inlineStr">
        <is>
          <t>Wien Kledering</t>
        </is>
      </c>
      <c r="E897" s="10" t="n">
        <v>45681.25998842593</v>
      </c>
      <c r="F897" s="10" t="n">
        <v>45681.26577546296</v>
      </c>
      <c r="G897" s="10" t="n">
        <v>45681.26759259259</v>
      </c>
      <c r="H897" s="3" t="inlineStr">
        <is>
          <t>OBT240125062847-Wien Kledering</t>
        </is>
      </c>
      <c r="I897" s="10" t="n">
        <v>45684.28619212963</v>
      </c>
      <c r="J897" s="10" t="n">
        <v>45684.33775462963</v>
      </c>
      <c r="K897" s="10" t="n">
        <v>45684.33775462963</v>
      </c>
      <c r="L897" s="10" t="n">
        <v>45684.33891203703</v>
      </c>
      <c r="M897" s="11">
        <f>IF(AND(ISNUMBER(E897),ISNUMBER(G897)),(G897-E897),"")</f>
        <v/>
      </c>
      <c r="N897" s="11">
        <f>IF(AND(ISNUMBER(G897),ISNUMBER(L897)),(L897-G897),"")</f>
        <v/>
      </c>
      <c r="O897" s="10" t="n">
        <v>45681.26998842593</v>
      </c>
      <c r="P897" s="11">
        <f>IF(AND(ISNUMBER(I897),ISNUMBER(O897)),(I897-O897),"")</f>
        <v/>
      </c>
      <c r="Q897" s="12" t="inlineStr">
        <is>
          <t>WG 1024001 entered track and got secured, OBTP started on 06:52:07 finished on 08:06:22 and then left at 08:08:02</t>
        </is>
      </c>
    </row>
    <row r="898">
      <c r="A898" s="3" t="inlineStr">
        <is>
          <t>1024101</t>
        </is>
      </c>
      <c r="B898" s="3" t="inlineStr">
        <is>
          <t>10241</t>
        </is>
      </c>
      <c r="C898" s="9" t="n">
        <v>240.42</v>
      </c>
      <c r="D898" s="3" t="inlineStr">
        <is>
          <t>Wien Kledering</t>
        </is>
      </c>
      <c r="E898" s="10" t="n">
        <v>45681.29149305556</v>
      </c>
      <c r="F898" s="10" t="n">
        <v>45681.29695601852</v>
      </c>
      <c r="G898" s="10" t="n">
        <v>45681.29920138889</v>
      </c>
      <c r="H898" s="3" t="inlineStr">
        <is>
          <t>OBT240125071418-Wien Kledering</t>
        </is>
      </c>
      <c r="I898" s="10" t="n">
        <v>45684.32334490741</v>
      </c>
      <c r="J898" s="10" t="n">
        <v>45684.36508101852</v>
      </c>
      <c r="K898" s="10" t="n">
        <v>45684.36508101852</v>
      </c>
      <c r="L898" s="10" t="n">
        <v>45684.36614583333</v>
      </c>
      <c r="M898" s="11">
        <f>IF(AND(ISNUMBER(E898),ISNUMBER(G898)),(G898-E898),"")</f>
        <v/>
      </c>
      <c r="N898" s="11">
        <f>IF(AND(ISNUMBER(G898),ISNUMBER(L898)),(L898-G898),"")</f>
        <v/>
      </c>
      <c r="O898" s="10" t="n">
        <v>45681.30159722222</v>
      </c>
      <c r="P898" s="11">
        <f>IF(AND(ISNUMBER(I898),ISNUMBER(O898)),(I898-O898),"")</f>
        <v/>
      </c>
      <c r="Q898" s="12" t="inlineStr">
        <is>
          <t>WG 1024101 entered track and got secured, OBTP started on 07:45:37 finished on 08:45:43 and then left at 08:47:15</t>
        </is>
      </c>
    </row>
    <row r="899">
      <c r="A899" s="3" t="inlineStr">
        <is>
          <t>1024201</t>
        </is>
      </c>
      <c r="B899" s="3" t="inlineStr">
        <is>
          <t>10242</t>
        </is>
      </c>
      <c r="C899" s="9" t="n">
        <v>42</v>
      </c>
      <c r="D899" s="3" t="inlineStr">
        <is>
          <t>Wr. Neustadt (Brenntag)</t>
        </is>
      </c>
      <c r="E899" s="10" t="n">
        <v>45681.30241898148</v>
      </c>
      <c r="F899" s="10" t="n">
        <v>45681.32078703704</v>
      </c>
      <c r="G899" s="10" t="n">
        <v>45681.32200231482</v>
      </c>
      <c r="H899" s="3" t="inlineStr">
        <is>
          <t>OBT240125101450-St. Veit an der Glan</t>
        </is>
      </c>
      <c r="I899" s="10" t="n">
        <v>45684.36520833334</v>
      </c>
      <c r="J899" s="10" t="n">
        <v>45684.38939814815</v>
      </c>
      <c r="K899" s="10" t="n">
        <v>45684.38939814815</v>
      </c>
      <c r="L899" s="10" t="n">
        <v>45684.39018518518</v>
      </c>
      <c r="M899" s="11">
        <f>IF(AND(ISNUMBER(E899),ISNUMBER(G899)),(G899-E899),"")</f>
        <v/>
      </c>
      <c r="N899" s="11">
        <f>IF(AND(ISNUMBER(G899),ISNUMBER(L899)),(L899-G899),"")</f>
        <v/>
      </c>
      <c r="O899" s="10" t="n">
        <v>45681.32436342593</v>
      </c>
      <c r="P899" s="11">
        <f>IF(AND(ISNUMBER(I899),ISNUMBER(O899)),(I899-O899),"")</f>
        <v/>
      </c>
      <c r="Q899" s="12" t="inlineStr">
        <is>
          <t>WG 1024201 entered track and got secured then waited 0:06:49 for WG 1024206 to get coupled then waited 1:08:02 for WG 1024401 to get coupled then waited 0:28:03 for WG 1024501 to get coupled then waited 0:07:32 for WG 1024505 to get coupled then waited 0:37:19 for WG 1024601 to get coupled, OBTP started on 08:45:54 finished on 09:20:44 and then left at 09:21:52</t>
        </is>
      </c>
    </row>
    <row r="900">
      <c r="A900" s="3" t="inlineStr">
        <is>
          <t>1024202</t>
        </is>
      </c>
      <c r="B900" s="3" t="inlineStr">
        <is>
          <t>10242</t>
        </is>
      </c>
      <c r="C900" s="9" t="n">
        <v>15.74</v>
      </c>
      <c r="D900" s="3" t="inlineStr">
        <is>
          <t>Obereggendorf (Hofer)</t>
        </is>
      </c>
      <c r="E900" s="10" t="n">
        <v>45681.30241898148</v>
      </c>
      <c r="F900" s="10" t="n">
        <v>45681.32200231482</v>
      </c>
      <c r="G900" s="10" t="n">
        <v>45681.32395833333</v>
      </c>
      <c r="H900" s="3" t="inlineStr">
        <is>
          <t>OBT240125174924-Wien Kledering</t>
        </is>
      </c>
      <c r="I900" s="10" t="n">
        <v>45684.65190972222</v>
      </c>
      <c r="J900" s="10" t="n">
        <v>45684.69225694444</v>
      </c>
      <c r="K900" s="10" t="n">
        <v>45684.69225694444</v>
      </c>
      <c r="L900" s="10" t="n">
        <v>45684.69333333334</v>
      </c>
      <c r="M900" s="11">
        <f>IF(AND(ISNUMBER(E900),ISNUMBER(G900)),(G900-E900),"")</f>
        <v/>
      </c>
      <c r="N900" s="11">
        <f>IF(AND(ISNUMBER(G900),ISNUMBER(L900)),(L900-G900),"")</f>
        <v/>
      </c>
      <c r="O900" s="10" t="n">
        <v>45681.32613425926</v>
      </c>
      <c r="P900" s="11">
        <f>IF(AND(ISNUMBER(I900),ISNUMBER(O900)),(I900-O900),"")</f>
        <v/>
      </c>
      <c r="Q900" s="12" t="inlineStr">
        <is>
          <t>WG 1024202 entered track and got secured then waited 0:07:01 for WG 1024208 to get coupled then waited 7:32:10 for WG 1024903 to get coupled then waited 0:08:05 for WG 1024906 to get coupled then waited 2:12:30 for WG 1025101 to get coupled, OBTP started on 15:38:45 finished on 16:36:51 and then left at 16:38:24</t>
        </is>
      </c>
    </row>
    <row r="901">
      <c r="A901" s="3" t="inlineStr">
        <is>
          <t>1024203</t>
        </is>
      </c>
      <c r="B901" s="3" t="inlineStr">
        <is>
          <t>10242</t>
        </is>
      </c>
      <c r="C901" s="9" t="n">
        <v>37.5</v>
      </c>
      <c r="D901" s="3" t="inlineStr">
        <is>
          <t>Neudörfl (FunderMax)</t>
        </is>
      </c>
      <c r="E901" s="10" t="n">
        <v>45681.30241898148</v>
      </c>
      <c r="F901" s="10" t="n"/>
      <c r="G901" s="10" t="n"/>
      <c r="H901" s="3" t="n"/>
      <c r="I901" s="10" t="n"/>
      <c r="J901" s="10" t="n"/>
      <c r="K901" s="10" t="n"/>
      <c r="L901" s="10" t="n"/>
      <c r="M901" s="11">
        <f>IF(AND(ISNUMBER(E901),ISNUMBER(G901)),(G901-E901),"")</f>
        <v/>
      </c>
      <c r="N901" s="11">
        <f>IF(AND(ISNUMBER(G901),ISNUMBER(L901)),(L901-G901),"")</f>
        <v/>
      </c>
      <c r="O901" s="10" t="n"/>
      <c r="P901" s="11">
        <f>IF(AND(ISNUMBER(I901),ISNUMBER(O901)),(I901-O901),"")</f>
        <v/>
      </c>
      <c r="Q901" s="12" t="n"/>
    </row>
    <row r="902">
      <c r="A902" s="3" t="inlineStr">
        <is>
          <t>1024204</t>
        </is>
      </c>
      <c r="B902" s="3" t="inlineStr">
        <is>
          <t>10242</t>
        </is>
      </c>
      <c r="C902" s="9" t="n">
        <v>19.9</v>
      </c>
      <c r="D902" s="3" t="inlineStr">
        <is>
          <t>Neunkirchen (loading tracks)</t>
        </is>
      </c>
      <c r="E902" s="10" t="n">
        <v>45681.30241898148</v>
      </c>
      <c r="F902" s="10" t="n"/>
      <c r="G902" s="10" t="n"/>
      <c r="H902" s="3" t="n"/>
      <c r="I902" s="10" t="n"/>
      <c r="J902" s="10" t="n"/>
      <c r="K902" s="10" t="n"/>
      <c r="L902" s="10" t="n"/>
      <c r="M902" s="11">
        <f>IF(AND(ISNUMBER(E902),ISNUMBER(G902)),(G902-E902),"")</f>
        <v/>
      </c>
      <c r="N902" s="11">
        <f>IF(AND(ISNUMBER(G902),ISNUMBER(L902)),(L902-G902),"")</f>
        <v/>
      </c>
      <c r="O902" s="10" t="n"/>
      <c r="P902" s="11">
        <f>IF(AND(ISNUMBER(I902),ISNUMBER(O902)),(I902-O902),"")</f>
        <v/>
      </c>
      <c r="Q902" s="12" t="n"/>
    </row>
    <row r="903">
      <c r="A903" s="3" t="inlineStr">
        <is>
          <t>1024205</t>
        </is>
      </c>
      <c r="B903" s="3" t="inlineStr">
        <is>
          <t>10242</t>
        </is>
      </c>
      <c r="C903" s="9" t="n">
        <v>19.9</v>
      </c>
      <c r="D903" s="3" t="inlineStr">
        <is>
          <t>Other sidings south</t>
        </is>
      </c>
      <c r="E903" s="10" t="n">
        <v>45681.30241898148</v>
      </c>
      <c r="F903" s="10" t="n"/>
      <c r="G903" s="10" t="n"/>
      <c r="H903" s="3" t="n"/>
      <c r="I903" s="10" t="n"/>
      <c r="J903" s="10" t="n"/>
      <c r="K903" s="10" t="n"/>
      <c r="L903" s="10" t="n"/>
      <c r="M903" s="11">
        <f>IF(AND(ISNUMBER(E903),ISNUMBER(G903)),(G903-E903),"")</f>
        <v/>
      </c>
      <c r="N903" s="11">
        <f>IF(AND(ISNUMBER(G903),ISNUMBER(L903)),(L903-G903),"")</f>
        <v/>
      </c>
      <c r="O903" s="10" t="n"/>
      <c r="P903" s="11">
        <f>IF(AND(ISNUMBER(I903),ISNUMBER(O903)),(I903-O903),"")</f>
        <v/>
      </c>
      <c r="Q903" s="12" t="n"/>
    </row>
    <row r="904">
      <c r="A904" s="3" t="inlineStr">
        <is>
          <t>1024206</t>
        </is>
      </c>
      <c r="B904" s="3" t="inlineStr">
        <is>
          <t>10242</t>
        </is>
      </c>
      <c r="C904" s="9" t="n">
        <v>27</v>
      </c>
      <c r="D904" s="3" t="inlineStr">
        <is>
          <t>Wr. Neustadt (Hödlmayr)</t>
        </is>
      </c>
      <c r="E904" s="10" t="n">
        <v>45681.30241898148</v>
      </c>
      <c r="F904" s="10" t="n">
        <v>45681.32395833333</v>
      </c>
      <c r="G904" s="10" t="n">
        <v>45681.32513888889</v>
      </c>
      <c r="H904" s="3" t="inlineStr">
        <is>
          <t>OBT240125101450-St. Veit an der Glan</t>
        </is>
      </c>
      <c r="I904" s="10" t="n">
        <v>45684.36520833334</v>
      </c>
      <c r="J904" s="10" t="n">
        <v>45684.38939814815</v>
      </c>
      <c r="K904" s="10" t="n">
        <v>45684.38939814815</v>
      </c>
      <c r="L904" s="10" t="n">
        <v>45684.39018518518</v>
      </c>
      <c r="M904" s="11">
        <f>IF(AND(ISNUMBER(E904),ISNUMBER(G904)),(G904-E904),"")</f>
        <v/>
      </c>
      <c r="N904" s="11">
        <f>IF(AND(ISNUMBER(G904),ISNUMBER(L904)),(L904-G904),"")</f>
        <v/>
      </c>
      <c r="O904" s="10" t="n">
        <v>45681.32909722222</v>
      </c>
      <c r="P904" s="11">
        <f>IF(AND(ISNUMBER(I904),ISNUMBER(O904)),(I904-O904),"")</f>
        <v/>
      </c>
      <c r="Q904" s="12" t="inlineStr">
        <is>
          <t>WG 1024206 entered track and got coupled to WG 1024201 then waited 1:08:02 for WG 1024401 to get coupled then waited 0:28:03 for WG 1024501 to get coupled then waited 0:07:32 for WG 1024505 to get coupled then waited 0:37:19 for WG 1024601 to get coupled, OBTP started on 08:45:54 finished on 09:20:44 and then left at 09:21:52</t>
        </is>
      </c>
    </row>
    <row r="905">
      <c r="A905" s="3" t="inlineStr">
        <is>
          <t>1024207</t>
        </is>
      </c>
      <c r="B905" s="3" t="inlineStr">
        <is>
          <t>10242</t>
        </is>
      </c>
      <c r="C905" s="9" t="n">
        <v>15.74</v>
      </c>
      <c r="D905" s="3" t="inlineStr">
        <is>
          <t>Other sidings north</t>
        </is>
      </c>
      <c r="E905" s="10" t="n">
        <v>45681.30241898148</v>
      </c>
      <c r="F905" s="10" t="n"/>
      <c r="G905" s="10" t="n"/>
      <c r="H905" s="3" t="n"/>
      <c r="I905" s="10" t="n"/>
      <c r="J905" s="10" t="n"/>
      <c r="K905" s="10" t="n"/>
      <c r="L905" s="10" t="n"/>
      <c r="M905" s="11">
        <f>IF(AND(ISNUMBER(E905),ISNUMBER(G905)),(G905-E905),"")</f>
        <v/>
      </c>
      <c r="N905" s="11">
        <f>IF(AND(ISNUMBER(G905),ISNUMBER(L905)),(L905-G905),"")</f>
        <v/>
      </c>
      <c r="O905" s="10" t="n"/>
      <c r="P905" s="11">
        <f>IF(AND(ISNUMBER(I905),ISNUMBER(O905)),(I905-O905),"")</f>
        <v/>
      </c>
      <c r="Q905" s="12" t="n"/>
    </row>
    <row r="906">
      <c r="A906" s="3" t="inlineStr">
        <is>
          <t>1024208</t>
        </is>
      </c>
      <c r="B906" s="3" t="inlineStr">
        <is>
          <t>10242</t>
        </is>
      </c>
      <c r="C906" s="9" t="n">
        <v>12.04</v>
      </c>
      <c r="D906" s="3" t="inlineStr">
        <is>
          <t>Ternitz (Schoeller-Bleckmann)</t>
        </is>
      </c>
      <c r="E906" s="10" t="n">
        <v>45681.30241898148</v>
      </c>
      <c r="F906" s="10" t="n">
        <v>45681.32513888889</v>
      </c>
      <c r="G906" s="10" t="n">
        <v>45681.32708333333</v>
      </c>
      <c r="H906" s="3" t="inlineStr">
        <is>
          <t>OBT240125174924-Wien Kledering</t>
        </is>
      </c>
      <c r="I906" s="10" t="n">
        <v>45684.65190972222</v>
      </c>
      <c r="J906" s="10" t="n">
        <v>45684.69225694444</v>
      </c>
      <c r="K906" s="10" t="n">
        <v>45684.69225694444</v>
      </c>
      <c r="L906" s="10" t="n">
        <v>45684.69333333334</v>
      </c>
      <c r="M906" s="11">
        <f>IF(AND(ISNUMBER(E906),ISNUMBER(G906)),(G906-E906),"")</f>
        <v/>
      </c>
      <c r="N906" s="11">
        <f>IF(AND(ISNUMBER(G906),ISNUMBER(L906)),(L906-G906),"")</f>
        <v/>
      </c>
      <c r="O906" s="10" t="n">
        <v>45681.33100694444</v>
      </c>
      <c r="P906" s="11">
        <f>IF(AND(ISNUMBER(I906),ISNUMBER(O906)),(I906-O906),"")</f>
        <v/>
      </c>
      <c r="Q906" s="12" t="inlineStr">
        <is>
          <t>WG 1024208 entered track and got coupled to WG 1024202 then waited 7:32:10 for WG 1024903 to get coupled then waited 0:08:05 for WG 1024906 to get coupled then waited 2:12:30 for WG 1025101 to get coupled, OBTP started on 15:38:45 finished on 16:36:51 and then left at 16:38:24</t>
        </is>
      </c>
    </row>
    <row r="907">
      <c r="A907" s="3" t="inlineStr">
        <is>
          <t>1024209</t>
        </is>
      </c>
      <c r="B907" s="3" t="inlineStr">
        <is>
          <t>10242</t>
        </is>
      </c>
      <c r="C907" s="9" t="n">
        <v>35.64</v>
      </c>
      <c r="D907" s="3" t="inlineStr">
        <is>
          <t>Other sidings south</t>
        </is>
      </c>
      <c r="E907" s="10" t="n">
        <v>45681.30241898148</v>
      </c>
      <c r="F907" s="10" t="n"/>
      <c r="G907" s="10" t="n"/>
      <c r="H907" s="3" t="n"/>
      <c r="I907" s="10" t="n"/>
      <c r="J907" s="10" t="n"/>
      <c r="K907" s="10" t="n"/>
      <c r="L907" s="10" t="n"/>
      <c r="M907" s="11">
        <f>IF(AND(ISNUMBER(E907),ISNUMBER(G907)),(G907-E907),"")</f>
        <v/>
      </c>
      <c r="N907" s="11">
        <f>IF(AND(ISNUMBER(G907),ISNUMBER(L907)),(L907-G907),"")</f>
        <v/>
      </c>
      <c r="O907" s="10" t="n"/>
      <c r="P907" s="11">
        <f>IF(AND(ISNUMBER(I907),ISNUMBER(O907)),(I907-O907),"")</f>
        <v/>
      </c>
      <c r="Q907" s="12" t="n"/>
    </row>
    <row r="908">
      <c r="A908" s="3" t="inlineStr">
        <is>
          <t>1024210</t>
        </is>
      </c>
      <c r="B908" s="3" t="inlineStr">
        <is>
          <t>10242</t>
        </is>
      </c>
      <c r="C908" s="9" t="n">
        <v>15.74</v>
      </c>
      <c r="D908" s="3" t="inlineStr">
        <is>
          <t>Steinabrückl/Wöllersdorf</t>
        </is>
      </c>
      <c r="E908" s="10" t="n">
        <v>45681.30241898148</v>
      </c>
      <c r="F908" s="10" t="n">
        <v>45681.32708333333</v>
      </c>
      <c r="G908" s="10" t="n">
        <v>45681.32884259259</v>
      </c>
      <c r="H908" s="3" t="inlineStr">
        <is>
          <t>OBT270125065248-Wien Kledering</t>
        </is>
      </c>
      <c r="I908" s="10" t="n">
        <v>45685.32569444444</v>
      </c>
      <c r="J908" s="10" t="n">
        <v>45685.37513888889</v>
      </c>
      <c r="K908" s="10" t="n">
        <v>45685.37513888889</v>
      </c>
      <c r="L908" s="10" t="n">
        <v>45685.37634259259</v>
      </c>
      <c r="M908" s="11">
        <f>IF(AND(ISNUMBER(E908),ISNUMBER(G908)),(G908-E908),"")</f>
        <v/>
      </c>
      <c r="N908" s="11">
        <f>IF(AND(ISNUMBER(G908),ISNUMBER(L908)),(L908-G908),"")</f>
        <v/>
      </c>
      <c r="O908" s="10" t="n">
        <v>45681.33101851852</v>
      </c>
      <c r="P908" s="11">
        <f>IF(AND(ISNUMBER(I908),ISNUMBER(O908)),(I908-O908),"")</f>
        <v/>
      </c>
      <c r="Q908" s="12" t="inlineStr">
        <is>
          <t>WG 1024210 entered track and got secured then waited 1:35:47 for WG 1024502 to get coupled then waited 6:07:30 for WG 1024908 to get coupled then waited 63:12:51 for WG 1025701 to get coupled, OBTP started on 07:49:00 finished on 09:00:12 and then left at 09:01:56</t>
        </is>
      </c>
    </row>
    <row r="909">
      <c r="A909" s="3" t="inlineStr">
        <is>
          <t>1024211</t>
        </is>
      </c>
      <c r="B909" s="3" t="inlineStr">
        <is>
          <t>10242</t>
        </is>
      </c>
      <c r="C909" s="9" t="n">
        <v>108.7</v>
      </c>
      <c r="D909" s="3" t="inlineStr">
        <is>
          <t>Pitten (Hamburger)</t>
        </is>
      </c>
      <c r="E909" s="10" t="n">
        <v>45681.30241898148</v>
      </c>
      <c r="F909" s="10" t="n"/>
      <c r="G909" s="10" t="n"/>
      <c r="H909" s="3" t="n"/>
      <c r="I909" s="10" t="n"/>
      <c r="J909" s="10" t="n"/>
      <c r="K909" s="10" t="n"/>
      <c r="L909" s="10" t="n"/>
      <c r="M909" s="11">
        <f>IF(AND(ISNUMBER(E909),ISNUMBER(G909)),(G909-E909),"")</f>
        <v/>
      </c>
      <c r="N909" s="11">
        <f>IF(AND(ISNUMBER(G909),ISNUMBER(L909)),(L909-G909),"")</f>
        <v/>
      </c>
      <c r="O909" s="10" t="n"/>
      <c r="P909" s="11">
        <f>IF(AND(ISNUMBER(I909),ISNUMBER(O909)),(I909-O909),"")</f>
        <v/>
      </c>
      <c r="Q909" s="12" t="n"/>
    </row>
    <row r="910">
      <c r="A910" s="3" t="inlineStr">
        <is>
          <t>1024212</t>
        </is>
      </c>
      <c r="B910" s="3" t="inlineStr">
        <is>
          <t>10242</t>
        </is>
      </c>
      <c r="C910" s="9" t="n">
        <v>16.5</v>
      </c>
      <c r="D910" s="3" t="inlineStr">
        <is>
          <t>Neudörfl (FunderMax)</t>
        </is>
      </c>
      <c r="E910" s="10" t="n">
        <v>45681.30241898148</v>
      </c>
      <c r="F910" s="10" t="n"/>
      <c r="G910" s="10" t="n"/>
      <c r="H910" s="3" t="n"/>
      <c r="I910" s="10" t="n"/>
      <c r="J910" s="10" t="n"/>
      <c r="K910" s="10" t="n"/>
      <c r="L910" s="10" t="n"/>
      <c r="M910" s="11">
        <f>IF(AND(ISNUMBER(E910),ISNUMBER(G910)),(G910-E910),"")</f>
        <v/>
      </c>
      <c r="N910" s="11">
        <f>IF(AND(ISNUMBER(G910),ISNUMBER(L910)),(L910-G910),"")</f>
        <v/>
      </c>
      <c r="O910" s="10" t="n"/>
      <c r="P910" s="11">
        <f>IF(AND(ISNUMBER(I910),ISNUMBER(O910)),(I910-O910),"")</f>
        <v/>
      </c>
      <c r="Q910" s="12" t="n"/>
    </row>
    <row r="911">
      <c r="A911" s="3" t="inlineStr">
        <is>
          <t>1024213</t>
        </is>
      </c>
      <c r="B911" s="3" t="inlineStr">
        <is>
          <t>10242</t>
        </is>
      </c>
      <c r="C911" s="9" t="n">
        <v>39.8</v>
      </c>
      <c r="D911" s="3" t="inlineStr">
        <is>
          <t>Wr. Neustadt Ausfahrbf (Furtenbach)</t>
        </is>
      </c>
      <c r="E911" s="10" t="n">
        <v>45681.30241898148</v>
      </c>
      <c r="F911" s="10" t="n">
        <v>45681.32884259259</v>
      </c>
      <c r="G911" s="10" t="n">
        <v>45681.33050925926</v>
      </c>
      <c r="H911" s="3" t="inlineStr">
        <is>
          <t>OBT260125181754-Neudörfl (FunderMax)</t>
        </is>
      </c>
      <c r="I911" s="10" t="n">
        <v>45684.88719907407</v>
      </c>
      <c r="J911" s="10" t="n">
        <v>45684.9111574074</v>
      </c>
      <c r="K911" s="10" t="n">
        <v>45684.9111574074</v>
      </c>
      <c r="L911" s="10" t="n">
        <v>45684.91208333334</v>
      </c>
      <c r="M911" s="11">
        <f>IF(AND(ISNUMBER(E911),ISNUMBER(G911)),(G911-E911),"")</f>
        <v/>
      </c>
      <c r="N911" s="11">
        <f>IF(AND(ISNUMBER(G911),ISNUMBER(L911)),(L911-G911),"")</f>
        <v/>
      </c>
      <c r="O911" s="10" t="n">
        <v>45681.33287037037</v>
      </c>
      <c r="P911" s="11">
        <f>IF(AND(ISNUMBER(I911),ISNUMBER(O911)),(I911-O911),"")</f>
        <v/>
      </c>
      <c r="Q911" s="12" t="inlineStr">
        <is>
          <t>WG 1024213 entered track and got secured then waited 18:08:24 for WG 1025302 to get coupled then waited 40:04:43 for WG 1025401 to get coupled then waited 0:05:27 for WG 1025403 to get coupled, OBTP started on 21:17:34 finished on 21:52:04 and then left at 21:53:24</t>
        </is>
      </c>
    </row>
    <row r="912">
      <c r="A912" s="3" t="inlineStr">
        <is>
          <t>1024301</t>
        </is>
      </c>
      <c r="B912" s="3" t="inlineStr">
        <is>
          <t>10243</t>
        </is>
      </c>
      <c r="C912" s="9" t="n">
        <v>390.5400000000001</v>
      </c>
      <c r="D912" s="3" t="inlineStr">
        <is>
          <t>Wien Kledering</t>
        </is>
      </c>
      <c r="E912" s="10" t="n">
        <v>45681.30619212963</v>
      </c>
      <c r="F912" s="10" t="n"/>
      <c r="G912" s="10" t="n"/>
      <c r="H912" s="3" t="n"/>
      <c r="I912" s="10" t="n"/>
      <c r="J912" s="10" t="n"/>
      <c r="K912" s="10" t="n"/>
      <c r="L912" s="10" t="n"/>
      <c r="M912" s="11">
        <f>IF(AND(ISNUMBER(E912),ISNUMBER(G912)),(G912-E912),"")</f>
        <v/>
      </c>
      <c r="N912" s="11">
        <f>IF(AND(ISNUMBER(G912),ISNUMBER(L912)),(L912-G912),"")</f>
        <v/>
      </c>
      <c r="O912" s="10" t="n"/>
      <c r="P912" s="11">
        <f>IF(AND(ISNUMBER(I912),ISNUMBER(O912)),(I912-O912),"")</f>
        <v/>
      </c>
      <c r="Q912" s="12" t="n"/>
    </row>
    <row r="913">
      <c r="A913" s="3" t="inlineStr">
        <is>
          <t>1024401</t>
        </is>
      </c>
      <c r="B913" s="3" t="inlineStr">
        <is>
          <t>10244</t>
        </is>
      </c>
      <c r="C913" s="9" t="n">
        <v>36.4</v>
      </c>
      <c r="D913" s="3" t="inlineStr">
        <is>
          <t>St. Veit an der Glan</t>
        </is>
      </c>
      <c r="E913" s="10" t="n">
        <v>45681.36704861111</v>
      </c>
      <c r="F913" s="10" t="n">
        <v>45681.37297453704</v>
      </c>
      <c r="G913" s="10" t="n">
        <v>45681.37418981481</v>
      </c>
      <c r="H913" s="3" t="inlineStr">
        <is>
          <t>OBT240125101450-St. Veit an der Glan</t>
        </is>
      </c>
      <c r="I913" s="10" t="n">
        <v>45684.36520833334</v>
      </c>
      <c r="J913" s="10" t="n">
        <v>45684.38939814815</v>
      </c>
      <c r="K913" s="10" t="n">
        <v>45684.38939814815</v>
      </c>
      <c r="L913" s="10" t="n">
        <v>45684.39018518518</v>
      </c>
      <c r="M913" s="11">
        <f>IF(AND(ISNUMBER(E913),ISNUMBER(G913)),(G913-E913),"")</f>
        <v/>
      </c>
      <c r="N913" s="11">
        <f>IF(AND(ISNUMBER(G913),ISNUMBER(L913)),(L913-G913),"")</f>
        <v/>
      </c>
      <c r="O913" s="10" t="n">
        <v>45681.37634259259</v>
      </c>
      <c r="P913" s="11">
        <f>IF(AND(ISNUMBER(I913),ISNUMBER(O913)),(I913-O913),"")</f>
        <v/>
      </c>
      <c r="Q913" s="12" t="inlineStr">
        <is>
          <t>WG 1024401 entered track and got secured then waited 0:28:03 for WG 1024501 to get coupled then waited 0:07:32 for WG 1024505 to get coupled then waited 0:37:19 for WG 1024601 to get coupled, OBTP started on 08:45:54 finished on 09:20:44 and then left at 09:21:52</t>
        </is>
      </c>
    </row>
    <row r="914">
      <c r="A914" s="3" t="inlineStr">
        <is>
          <t>1024402</t>
        </is>
      </c>
      <c r="B914" s="3" t="inlineStr">
        <is>
          <t>10244</t>
        </is>
      </c>
      <c r="C914" s="9" t="n">
        <v>111.4</v>
      </c>
      <c r="D914" s="3" t="inlineStr">
        <is>
          <t>Wien Kledering</t>
        </is>
      </c>
      <c r="E914" s="10" t="n">
        <v>45681.36704861111</v>
      </c>
      <c r="F914" s="10" t="n">
        <v>45681.37418981481</v>
      </c>
      <c r="G914" s="10" t="n">
        <v>45681.37631944445</v>
      </c>
      <c r="H914" s="3" t="inlineStr">
        <is>
          <t>OBT240125090519-Wien Kledering</t>
        </is>
      </c>
      <c r="I914" s="10" t="n">
        <v>45684.32550925926</v>
      </c>
      <c r="J914" s="10" t="n">
        <v>45684.34484953704</v>
      </c>
      <c r="K914" s="10" t="n">
        <v>45684.34484953704</v>
      </c>
      <c r="L914" s="10" t="n">
        <v>45684.34549768519</v>
      </c>
      <c r="M914" s="11">
        <f>IF(AND(ISNUMBER(E914),ISNUMBER(G914)),(G914-E914),"")</f>
        <v/>
      </c>
      <c r="N914" s="11">
        <f>IF(AND(ISNUMBER(G914),ISNUMBER(L914)),(L914-G914),"")</f>
        <v/>
      </c>
      <c r="O914" s="10" t="n">
        <v>45681.37869212963</v>
      </c>
      <c r="P914" s="11">
        <f>IF(AND(ISNUMBER(I914),ISNUMBER(O914)),(I914-O914),"")</f>
        <v/>
      </c>
      <c r="Q914" s="12" t="inlineStr">
        <is>
          <t>WG 1024402 entered track and got secured, OBTP started on 07:48:44 finished on 08:16:35 and then left at 08:17:31</t>
        </is>
      </c>
    </row>
    <row r="915">
      <c r="A915" s="3" t="inlineStr">
        <is>
          <t>1024501</t>
        </is>
      </c>
      <c r="B915" s="3" t="inlineStr">
        <is>
          <t>10245</t>
        </is>
      </c>
      <c r="C915" s="9" t="n">
        <v>27</v>
      </c>
      <c r="D915" s="3" t="inlineStr">
        <is>
          <t>Wr. Neustadt (Hödlmayr)</t>
        </is>
      </c>
      <c r="E915" s="10" t="n">
        <v>45681.37725694444</v>
      </c>
      <c r="F915" s="10" t="n">
        <v>45681.39076388889</v>
      </c>
      <c r="G915" s="10" t="n">
        <v>45681.39192129629</v>
      </c>
      <c r="H915" s="3" t="inlineStr">
        <is>
          <t>OBT240125101450-St. Veit an der Glan</t>
        </is>
      </c>
      <c r="I915" s="10" t="n">
        <v>45684.36520833334</v>
      </c>
      <c r="J915" s="10" t="n">
        <v>45684.38939814815</v>
      </c>
      <c r="K915" s="10" t="n">
        <v>45684.38939814815</v>
      </c>
      <c r="L915" s="10" t="n">
        <v>45684.39018518518</v>
      </c>
      <c r="M915" s="11">
        <f>IF(AND(ISNUMBER(E915),ISNUMBER(G915)),(G915-E915),"")</f>
        <v/>
      </c>
      <c r="N915" s="11">
        <f>IF(AND(ISNUMBER(G915),ISNUMBER(L915)),(L915-G915),"")</f>
        <v/>
      </c>
      <c r="O915" s="10" t="n">
        <v>45681.39582175926</v>
      </c>
      <c r="P915" s="11">
        <f>IF(AND(ISNUMBER(I915),ISNUMBER(O915)),(I915-O915),"")</f>
        <v/>
      </c>
      <c r="Q915" s="12" t="inlineStr">
        <is>
          <t>WG 1024501 entered track and got coupled to WG 1024401 then waited 0:07:32 for WG 1024505 to get coupled then waited 0:37:19 for WG 1024601 to get coupled, OBTP started on 08:45:54 finished on 09:20:44 and then left at 09:21:52</t>
        </is>
      </c>
    </row>
    <row r="916">
      <c r="A916" s="3" t="inlineStr">
        <is>
          <t>1024502</t>
        </is>
      </c>
      <c r="B916" s="3" t="inlineStr">
        <is>
          <t>10245</t>
        </is>
      </c>
      <c r="C916" s="9" t="n">
        <v>15.74</v>
      </c>
      <c r="D916" s="3" t="inlineStr">
        <is>
          <t>Steinabrückl/Wöllersdorf</t>
        </is>
      </c>
      <c r="E916" s="10" t="n">
        <v>45681.37725694444</v>
      </c>
      <c r="F916" s="10" t="n">
        <v>45681.39192129629</v>
      </c>
      <c r="G916" s="10" t="n">
        <v>45681.39364583333</v>
      </c>
      <c r="H916" s="3" t="inlineStr">
        <is>
          <t>OBT270125065248-Wien Kledering</t>
        </is>
      </c>
      <c r="I916" s="10" t="n">
        <v>45685.32569444444</v>
      </c>
      <c r="J916" s="10" t="n">
        <v>45685.37513888889</v>
      </c>
      <c r="K916" s="10" t="n">
        <v>45685.37513888889</v>
      </c>
      <c r="L916" s="10" t="n">
        <v>45685.37634259259</v>
      </c>
      <c r="M916" s="11">
        <f>IF(AND(ISNUMBER(E916),ISNUMBER(G916)),(G916-E916),"")</f>
        <v/>
      </c>
      <c r="N916" s="11">
        <f>IF(AND(ISNUMBER(G916),ISNUMBER(L916)),(L916-G916),"")</f>
        <v/>
      </c>
      <c r="O916" s="10" t="n">
        <v>45681.39753472222</v>
      </c>
      <c r="P916" s="11">
        <f>IF(AND(ISNUMBER(I916),ISNUMBER(O916)),(I916-O916),"")</f>
        <v/>
      </c>
      <c r="Q916" s="12" t="inlineStr">
        <is>
          <t>WG 1024502 entered track and got coupled to WG 1024210 then waited 6:07:30 for WG 1024908 to get coupled then waited 63:12:51 for WG 1025701 to get coupled, OBTP started on 07:49:00 finished on 09:00:12 and then left at 09:01:56</t>
        </is>
      </c>
    </row>
    <row r="917">
      <c r="A917" s="3" t="inlineStr">
        <is>
          <t>1024503</t>
        </is>
      </c>
      <c r="B917" s="3" t="inlineStr">
        <is>
          <t>10245</t>
        </is>
      </c>
      <c r="C917" s="9" t="n">
        <v>178.42</v>
      </c>
      <c r="D917" s="3" t="inlineStr">
        <is>
          <t>Pitten (Hamburger)</t>
        </is>
      </c>
      <c r="E917" s="10" t="n">
        <v>45681.37725694444</v>
      </c>
      <c r="F917" s="10" t="n">
        <v>45681.39364583333</v>
      </c>
      <c r="G917" s="10" t="n">
        <v>45681.39601851852</v>
      </c>
      <c r="H917" s="3" t="inlineStr">
        <is>
          <t>OBT240125093343-Pitten (Hamburger)</t>
        </is>
      </c>
      <c r="I917" s="10" t="n">
        <v>45684.33965277778</v>
      </c>
      <c r="J917" s="10" t="n">
        <v>45684.370625</v>
      </c>
      <c r="K917" s="10" t="n">
        <v>45684.370625</v>
      </c>
      <c r="L917" s="10" t="n">
        <v>45684.37153935185</v>
      </c>
      <c r="M917" s="11">
        <f>IF(AND(ISNUMBER(E917),ISNUMBER(G917)),(G917-E917),"")</f>
        <v/>
      </c>
      <c r="N917" s="11">
        <f>IF(AND(ISNUMBER(G917),ISNUMBER(L917)),(L917-G917),"")</f>
        <v/>
      </c>
      <c r="O917" s="10" t="n">
        <v>45681.39841435185</v>
      </c>
      <c r="P917" s="11">
        <f>IF(AND(ISNUMBER(I917),ISNUMBER(O917)),(I917-O917),"")</f>
        <v/>
      </c>
      <c r="Q917" s="12" t="inlineStr">
        <is>
          <t>WG 1024503 entered track and got secured, OBTP started on 08:09:06 finished on 08:53:42 and then left at 08:55:01</t>
        </is>
      </c>
    </row>
    <row r="918">
      <c r="A918" s="3" t="inlineStr">
        <is>
          <t>1024504</t>
        </is>
      </c>
      <c r="B918" s="3" t="inlineStr">
        <is>
          <t>10245</t>
        </is>
      </c>
      <c r="C918" s="9" t="n">
        <v>15.74</v>
      </c>
      <c r="D918" s="3" t="inlineStr">
        <is>
          <t>Other sidings south</t>
        </is>
      </c>
      <c r="E918" s="10" t="n">
        <v>45681.37725694444</v>
      </c>
      <c r="F918" s="10" t="n"/>
      <c r="G918" s="10" t="n"/>
      <c r="H918" s="3" t="n"/>
      <c r="I918" s="10" t="n"/>
      <c r="J918" s="10" t="n"/>
      <c r="K918" s="10" t="n"/>
      <c r="L918" s="10" t="n"/>
      <c r="M918" s="11">
        <f>IF(AND(ISNUMBER(E918),ISNUMBER(G918)),(G918-E918),"")</f>
        <v/>
      </c>
      <c r="N918" s="11">
        <f>IF(AND(ISNUMBER(G918),ISNUMBER(L918)),(L918-G918),"")</f>
        <v/>
      </c>
      <c r="O918" s="10" t="n"/>
      <c r="P918" s="11">
        <f>IF(AND(ISNUMBER(I918),ISNUMBER(O918)),(I918-O918),"")</f>
        <v/>
      </c>
      <c r="Q918" s="12" t="n"/>
    </row>
    <row r="919">
      <c r="A919" s="3" t="inlineStr">
        <is>
          <t>1024505</t>
        </is>
      </c>
      <c r="B919" s="3" t="inlineStr">
        <is>
          <t>10245</t>
        </is>
      </c>
      <c r="C919" s="9" t="n">
        <v>14</v>
      </c>
      <c r="D919" s="3" t="inlineStr">
        <is>
          <t>Wr. Neustadt (Brenntag)</t>
        </is>
      </c>
      <c r="E919" s="10" t="n">
        <v>45681.37725694444</v>
      </c>
      <c r="F919" s="10" t="n">
        <v>45681.39601851852</v>
      </c>
      <c r="G919" s="10" t="n">
        <v>45681.39715277778</v>
      </c>
      <c r="H919" s="3" t="inlineStr">
        <is>
          <t>OBT240125101450-St. Veit an der Glan</t>
        </is>
      </c>
      <c r="I919" s="10" t="n">
        <v>45684.36520833334</v>
      </c>
      <c r="J919" s="10" t="n">
        <v>45684.38939814815</v>
      </c>
      <c r="K919" s="10" t="n">
        <v>45684.38939814815</v>
      </c>
      <c r="L919" s="10" t="n">
        <v>45684.39018518518</v>
      </c>
      <c r="M919" s="11">
        <f>IF(AND(ISNUMBER(E919),ISNUMBER(G919)),(G919-E919),"")</f>
        <v/>
      </c>
      <c r="N919" s="11">
        <f>IF(AND(ISNUMBER(G919),ISNUMBER(L919)),(L919-G919),"")</f>
        <v/>
      </c>
      <c r="O919" s="10" t="n">
        <v>45681.40105324074</v>
      </c>
      <c r="P919" s="11">
        <f>IF(AND(ISNUMBER(I919),ISNUMBER(O919)),(I919-O919),"")</f>
        <v/>
      </c>
      <c r="Q919" s="12" t="inlineStr">
        <is>
          <t>WG 1024505 entered track and got coupled to WG 1024501 then waited 0:37:19 for WG 1024601 to get coupled, OBTP started on 08:45:54 finished on 09:20:44 and then left at 09:21:52</t>
        </is>
      </c>
    </row>
    <row r="920">
      <c r="A920" s="3" t="inlineStr">
        <is>
          <t>1024506</t>
        </is>
      </c>
      <c r="B920" s="3" t="inlineStr">
        <is>
          <t>10245</t>
        </is>
      </c>
      <c r="C920" s="9" t="n">
        <v>35.64</v>
      </c>
      <c r="D920" s="3" t="inlineStr">
        <is>
          <t>Other sidings south</t>
        </is>
      </c>
      <c r="E920" s="10" t="n">
        <v>45681.37725694444</v>
      </c>
      <c r="F920" s="10" t="n"/>
      <c r="G920" s="10" t="n"/>
      <c r="H920" s="3" t="n"/>
      <c r="I920" s="10" t="n"/>
      <c r="J920" s="10" t="n"/>
      <c r="K920" s="10" t="n"/>
      <c r="L920" s="10" t="n"/>
      <c r="M920" s="11">
        <f>IF(AND(ISNUMBER(E920),ISNUMBER(G920)),(G920-E920),"")</f>
        <v/>
      </c>
      <c r="N920" s="11">
        <f>IF(AND(ISNUMBER(G920),ISNUMBER(L920)),(L920-G920),"")</f>
        <v/>
      </c>
      <c r="O920" s="10" t="n"/>
      <c r="P920" s="11">
        <f>IF(AND(ISNUMBER(I920),ISNUMBER(O920)),(I920-O920),"")</f>
        <v/>
      </c>
      <c r="Q920" s="12" t="n"/>
    </row>
    <row r="921">
      <c r="A921" s="3" t="inlineStr">
        <is>
          <t>1024507</t>
        </is>
      </c>
      <c r="B921" s="3" t="inlineStr">
        <is>
          <t>10245</t>
        </is>
      </c>
      <c r="C921" s="9" t="n">
        <v>15.74</v>
      </c>
      <c r="D921" s="3" t="inlineStr">
        <is>
          <t>Gloggnitz</t>
        </is>
      </c>
      <c r="E921" s="10" t="n">
        <v>45681.37725694444</v>
      </c>
      <c r="F921" s="10" t="n">
        <v>45681.39715277778</v>
      </c>
      <c r="G921" s="10" t="n">
        <v>45681.39903935185</v>
      </c>
      <c r="H921" s="3" t="inlineStr">
        <is>
          <t>OBT270125092111-Pitten (Hamburger)</t>
        </is>
      </c>
      <c r="I921" s="10" t="n">
        <v>45685.33599537037</v>
      </c>
      <c r="J921" s="10" t="n">
        <v>45685.36983796296</v>
      </c>
      <c r="K921" s="10" t="n">
        <v>45685.36983796296</v>
      </c>
      <c r="L921" s="10" t="n">
        <v>45685.3706712963</v>
      </c>
      <c r="M921" s="11">
        <f>IF(AND(ISNUMBER(E921),ISNUMBER(G921)),(G921-E921),"")</f>
        <v/>
      </c>
      <c r="N921" s="11">
        <f>IF(AND(ISNUMBER(G921),ISNUMBER(L921)),(L921-G921),"")</f>
        <v/>
      </c>
      <c r="O921" s="10" t="n">
        <v>45681.40140046296</v>
      </c>
      <c r="P921" s="11">
        <f>IF(AND(ISNUMBER(I921),ISNUMBER(O921)),(I921-O921),"")</f>
        <v/>
      </c>
      <c r="Q921" s="12" t="inlineStr">
        <is>
          <t>WG 1024507 entered track and got secured then waited 5:56:34 for WG 1024905 to get coupled then waited 59:25:30 for WG 1025501 to get coupled then waited 6:16:39 for WG 1026105 to get coupled then waited 0:04:27 for WG 1026108 to get coupled, OBTP started on 08:03:50 finished on 08:52:34 and then left at 08:53:46</t>
        </is>
      </c>
    </row>
    <row r="922">
      <c r="A922" s="3" t="inlineStr">
        <is>
          <t>1024508</t>
        </is>
      </c>
      <c r="B922" s="3" t="inlineStr">
        <is>
          <t>10245</t>
        </is>
      </c>
      <c r="C922" s="9" t="n">
        <v>16.5</v>
      </c>
      <c r="D922" s="3" t="inlineStr">
        <is>
          <t>Neudörfl (FunderMax)</t>
        </is>
      </c>
      <c r="E922" s="10" t="n">
        <v>45681.37725694444</v>
      </c>
      <c r="F922" s="10" t="n"/>
      <c r="G922" s="10" t="n"/>
      <c r="H922" s="3" t="n"/>
      <c r="I922" s="10" t="n"/>
      <c r="J922" s="10" t="n"/>
      <c r="K922" s="10" t="n"/>
      <c r="L922" s="10" t="n"/>
      <c r="M922" s="11">
        <f>IF(AND(ISNUMBER(E922),ISNUMBER(G922)),(G922-E922),"")</f>
        <v/>
      </c>
      <c r="N922" s="11">
        <f>IF(AND(ISNUMBER(G922),ISNUMBER(L922)),(L922-G922),"")</f>
        <v/>
      </c>
      <c r="O922" s="10" t="n"/>
      <c r="P922" s="11">
        <f>IF(AND(ISNUMBER(I922),ISNUMBER(O922)),(I922-O922),"")</f>
        <v/>
      </c>
      <c r="Q922" s="12" t="n"/>
    </row>
    <row r="923">
      <c r="A923" s="3" t="inlineStr">
        <is>
          <t>1024601</t>
        </is>
      </c>
      <c r="B923" s="3" t="inlineStr">
        <is>
          <t>10246</t>
        </is>
      </c>
      <c r="C923" s="9" t="n">
        <v>61.9</v>
      </c>
      <c r="D923" s="3" t="inlineStr">
        <is>
          <t>St. Veit an der Glan</t>
        </is>
      </c>
      <c r="E923" s="10" t="n">
        <v>45681.41354166667</v>
      </c>
      <c r="F923" s="10" t="n">
        <v>45681.42180555555</v>
      </c>
      <c r="G923" s="10" t="n">
        <v>45681.4230787037</v>
      </c>
      <c r="H923" s="3" t="inlineStr">
        <is>
          <t>OBT240125101450-St. Veit an der Glan</t>
        </is>
      </c>
      <c r="I923" s="10" t="n">
        <v>45684.36520833334</v>
      </c>
      <c r="J923" s="10" t="n">
        <v>45684.38939814815</v>
      </c>
      <c r="K923" s="10" t="n">
        <v>45684.38939814815</v>
      </c>
      <c r="L923" s="10" t="n">
        <v>45684.39018518518</v>
      </c>
      <c r="M923" s="11">
        <f>IF(AND(ISNUMBER(E923),ISNUMBER(G923)),(G923-E923),"")</f>
        <v/>
      </c>
      <c r="N923" s="11">
        <f>IF(AND(ISNUMBER(G923),ISNUMBER(L923)),(L923-G923),"")</f>
        <v/>
      </c>
      <c r="O923" s="10" t="n">
        <v>45681.42696759259</v>
      </c>
      <c r="P923" s="11">
        <f>IF(AND(ISNUMBER(I923),ISNUMBER(O923)),(I923-O923),"")</f>
        <v/>
      </c>
      <c r="Q923" s="12" t="inlineStr">
        <is>
          <t>WG 1024601 entered track and got coupled to WG 1024505, OBTP started on 08:45:54 finished on 09:20:44 and then left at 09:21:52</t>
        </is>
      </c>
    </row>
    <row r="924">
      <c r="A924" s="3" t="inlineStr">
        <is>
          <t>1024602</t>
        </is>
      </c>
      <c r="B924" s="3" t="inlineStr">
        <is>
          <t>10246</t>
        </is>
      </c>
      <c r="C924" s="9" t="n">
        <v>375.58</v>
      </c>
      <c r="D924" s="3" t="inlineStr">
        <is>
          <t>Wien Kledering</t>
        </is>
      </c>
      <c r="E924" s="10" t="n">
        <v>45681.41354166667</v>
      </c>
      <c r="F924" s="10" t="n"/>
      <c r="G924" s="10" t="n"/>
      <c r="H924" s="3" t="n"/>
      <c r="I924" s="10" t="n"/>
      <c r="J924" s="10" t="n"/>
      <c r="K924" s="10" t="n"/>
      <c r="L924" s="10" t="n"/>
      <c r="M924" s="11">
        <f>IF(AND(ISNUMBER(E924),ISNUMBER(G924)),(G924-E924),"")</f>
        <v/>
      </c>
      <c r="N924" s="11">
        <f>IF(AND(ISNUMBER(G924),ISNUMBER(L924)),(L924-G924),"")</f>
        <v/>
      </c>
      <c r="O924" s="10" t="n"/>
      <c r="P924" s="11">
        <f>IF(AND(ISNUMBER(I924),ISNUMBER(O924)),(I924-O924),"")</f>
        <v/>
      </c>
      <c r="Q924" s="12" t="n"/>
    </row>
    <row r="925">
      <c r="A925" s="3" t="inlineStr">
        <is>
          <t>1024701</t>
        </is>
      </c>
      <c r="B925" s="3" t="inlineStr">
        <is>
          <t>10247</t>
        </is>
      </c>
      <c r="C925" s="9" t="n">
        <v>177.54</v>
      </c>
      <c r="D925" s="3" t="inlineStr">
        <is>
          <t>Wien Kledering</t>
        </is>
      </c>
      <c r="E925" s="10" t="n">
        <v>45681.54430555556</v>
      </c>
      <c r="F925" s="10" t="n">
        <v>45681.54938657407</v>
      </c>
      <c r="G925" s="10" t="n">
        <v>45681.55148148148</v>
      </c>
      <c r="H925" s="3" t="inlineStr">
        <is>
          <t>OBT240125131735-Wien Kledering</t>
        </is>
      </c>
      <c r="I925" s="10" t="n">
        <v>45684.39259259259</v>
      </c>
      <c r="J925" s="10" t="n">
        <v>45684.42341435186</v>
      </c>
      <c r="K925" s="10" t="n">
        <v>45684.42341435186</v>
      </c>
      <c r="L925" s="10" t="n">
        <v>45684.42442129629</v>
      </c>
      <c r="M925" s="11">
        <f>IF(AND(ISNUMBER(E925),ISNUMBER(G925)),(G925-E925),"")</f>
        <v/>
      </c>
      <c r="N925" s="11">
        <f>IF(AND(ISNUMBER(G925),ISNUMBER(L925)),(L925-G925),"")</f>
        <v/>
      </c>
      <c r="O925" s="10" t="n">
        <v>45681.55387731481</v>
      </c>
      <c r="P925" s="11">
        <f>IF(AND(ISNUMBER(I925),ISNUMBER(O925)),(I925-O925),"")</f>
        <v/>
      </c>
      <c r="Q925" s="12" t="inlineStr">
        <is>
          <t>WG 1024701 entered track and got secured, OBTP started on 09:25:20 finished on 10:09:43 and then left at 10:11:10</t>
        </is>
      </c>
    </row>
    <row r="926">
      <c r="A926" s="3" t="inlineStr">
        <is>
          <t>1024801</t>
        </is>
      </c>
      <c r="B926" s="3" t="inlineStr">
        <is>
          <t>10248</t>
        </is>
      </c>
      <c r="C926" s="9" t="n">
        <v>296.1</v>
      </c>
      <c r="D926" s="3" t="inlineStr">
        <is>
          <t>Wien Kledering</t>
        </is>
      </c>
      <c r="E926" s="10" t="n">
        <v>45681.60498842593</v>
      </c>
      <c r="F926" s="10" t="n">
        <v>45681.61103009259</v>
      </c>
      <c r="G926" s="10" t="n">
        <v>45681.61363425926</v>
      </c>
      <c r="H926" s="3" t="inlineStr">
        <is>
          <t>OBT240125144703-Wien Kledering</t>
        </is>
      </c>
      <c r="I926" s="10" t="n">
        <v>45684.45369212963</v>
      </c>
      <c r="J926" s="10" t="n">
        <v>45684.50509259259</v>
      </c>
      <c r="K926" s="10" t="n">
        <v>45684.50509259259</v>
      </c>
      <c r="L926" s="10" t="n">
        <v>45684.50633101852</v>
      </c>
      <c r="M926" s="11">
        <f>IF(AND(ISNUMBER(E926),ISNUMBER(G926)),(G926-E926),"")</f>
        <v/>
      </c>
      <c r="N926" s="11">
        <f>IF(AND(ISNUMBER(G926),ISNUMBER(L926)),(L926-G926),"")</f>
        <v/>
      </c>
      <c r="O926" s="10" t="n">
        <v>45681.61600694444</v>
      </c>
      <c r="P926" s="11">
        <f>IF(AND(ISNUMBER(I926),ISNUMBER(O926)),(I926-O926),"")</f>
        <v/>
      </c>
      <c r="Q926" s="12" t="inlineStr">
        <is>
          <t>WG 1024801 entered track and got secured, OBTP started on 10:53:19 finished on 12:07:20 and then left at 12:09:07</t>
        </is>
      </c>
    </row>
    <row r="927">
      <c r="A927" s="3" t="inlineStr">
        <is>
          <t>1024901</t>
        </is>
      </c>
      <c r="B927" s="3" t="inlineStr">
        <is>
          <t>10249</t>
        </is>
      </c>
      <c r="C927" s="9" t="n">
        <v>42</v>
      </c>
      <c r="D927" s="3" t="inlineStr">
        <is>
          <t>Neunkirchen (loading tracks)</t>
        </is>
      </c>
      <c r="E927" s="10" t="n">
        <v>45681.62211805556</v>
      </c>
      <c r="F927" s="10" t="n">
        <v>45681.63652777778</v>
      </c>
      <c r="G927" s="10" t="n">
        <v>45681.63787037037</v>
      </c>
      <c r="H927" s="3" t="inlineStr">
        <is>
          <t>OBT270125030450-Neunkirchen (loading tracks)</t>
        </is>
      </c>
      <c r="I927" s="10" t="n">
        <v>45685.13552083333</v>
      </c>
      <c r="J927" s="10" t="n">
        <v>45685.17467592593</v>
      </c>
      <c r="K927" s="10" t="n">
        <v>45685.17467592593</v>
      </c>
      <c r="L927" s="10" t="n">
        <v>45685.17574074074</v>
      </c>
      <c r="M927" s="11">
        <f>IF(AND(ISNUMBER(E927),ISNUMBER(G927)),(G927-E927),"")</f>
        <v/>
      </c>
      <c r="N927" s="11">
        <f>IF(AND(ISNUMBER(G927),ISNUMBER(L927)),(L927-G927),"")</f>
        <v/>
      </c>
      <c r="O927" s="10" t="n">
        <v>45681.64024305555</v>
      </c>
      <c r="P927" s="11">
        <f>IF(AND(ISNUMBER(I927),ISNUMBER(O927)),(I927-O927),"")</f>
        <v/>
      </c>
      <c r="Q927" s="12" t="inlineStr">
        <is>
          <t>WG 1024901 entered track and got secured then waited 59:42:53 for WG 1025503 to get coupled, OBTP started on 03:15:09 finished on 04:11:32 and then left at 04:13:04</t>
        </is>
      </c>
    </row>
    <row r="928">
      <c r="A928" s="3" t="inlineStr">
        <is>
          <t>1024902</t>
        </is>
      </c>
      <c r="B928" s="3" t="inlineStr">
        <is>
          <t>10249</t>
        </is>
      </c>
      <c r="C928" s="9" t="n">
        <v>54</v>
      </c>
      <c r="D928" s="3" t="inlineStr">
        <is>
          <t>Wr. Neustadt (Hödlmayr)</t>
        </is>
      </c>
      <c r="E928" s="10" t="n">
        <v>45681.62211805556</v>
      </c>
      <c r="F928" s="10" t="n">
        <v>45681.63787037037</v>
      </c>
      <c r="G928" s="10" t="n">
        <v>45681.63912037037</v>
      </c>
      <c r="H928" s="3" t="inlineStr">
        <is>
          <t>OBT270125044934-Neudörfl (FunderMax)</t>
        </is>
      </c>
      <c r="I928" s="10" t="n">
        <v>45685.28248842592</v>
      </c>
      <c r="J928" s="10" t="n">
        <v>45685.33425925926</v>
      </c>
      <c r="K928" s="10" t="n">
        <v>45685.33425925926</v>
      </c>
      <c r="L928" s="10" t="n">
        <v>45685.33541666667</v>
      </c>
      <c r="M928" s="11">
        <f>IF(AND(ISNUMBER(E928),ISNUMBER(G928)),(G928-E928),"")</f>
        <v/>
      </c>
      <c r="N928" s="11">
        <f>IF(AND(ISNUMBER(G928),ISNUMBER(L928)),(L928-G928),"")</f>
        <v/>
      </c>
      <c r="O928" s="10" t="n">
        <v>45681.64129629629</v>
      </c>
      <c r="P928" s="11">
        <f>IF(AND(ISNUMBER(I928),ISNUMBER(O928)),(I928-O928),"")</f>
        <v/>
      </c>
      <c r="Q928" s="12" t="inlineStr">
        <is>
          <t>WG 1024902 entered track and got secured then waited 61:26:06 for WG 1025601 to get coupled, OBTP started on 06:46:47 finished on 08:01:20 and then left at 08:03:00</t>
        </is>
      </c>
    </row>
    <row r="929">
      <c r="A929" s="3" t="inlineStr">
        <is>
          <t>1024903</t>
        </is>
      </c>
      <c r="B929" s="3" t="inlineStr">
        <is>
          <t>10249</t>
        </is>
      </c>
      <c r="C929" s="9" t="n">
        <v>19.9</v>
      </c>
      <c r="D929" s="3" t="inlineStr">
        <is>
          <t>Ternitz (Schoeller-Bleckmann)</t>
        </is>
      </c>
      <c r="E929" s="10" t="n">
        <v>45681.62211805556</v>
      </c>
      <c r="F929" s="10" t="n">
        <v>45681.63912037037</v>
      </c>
      <c r="G929" s="10" t="n">
        <v>45681.64108796296</v>
      </c>
      <c r="H929" s="3" t="inlineStr">
        <is>
          <t>OBT240125174924-Wien Kledering</t>
        </is>
      </c>
      <c r="I929" s="10" t="n">
        <v>45684.65190972222</v>
      </c>
      <c r="J929" s="10" t="n">
        <v>45684.69225694444</v>
      </c>
      <c r="K929" s="10" t="n">
        <v>45684.69225694444</v>
      </c>
      <c r="L929" s="10" t="n">
        <v>45684.69333333334</v>
      </c>
      <c r="M929" s="11">
        <f>IF(AND(ISNUMBER(E929),ISNUMBER(G929)),(G929-E929),"")</f>
        <v/>
      </c>
      <c r="N929" s="11">
        <f>IF(AND(ISNUMBER(G929),ISNUMBER(L929)),(L929-G929),"")</f>
        <v/>
      </c>
      <c r="O929" s="10" t="n">
        <v>45681.64501157407</v>
      </c>
      <c r="P929" s="11">
        <f>IF(AND(ISNUMBER(I929),ISNUMBER(O929)),(I929-O929),"")</f>
        <v/>
      </c>
      <c r="Q929" s="12" t="inlineStr">
        <is>
          <t>WG 1024903 entered track and got coupled to WG 1024208 then waited 0:08:05 for WG 1024906 to get coupled then waited 2:12:30 for WG 1025101 to get coupled, OBTP started on 15:38:45 finished on 16:36:51 and then left at 16:38:24</t>
        </is>
      </c>
    </row>
    <row r="930">
      <c r="A930" s="3" t="inlineStr">
        <is>
          <t>1024904</t>
        </is>
      </c>
      <c r="B930" s="3" t="inlineStr">
        <is>
          <t>10249</t>
        </is>
      </c>
      <c r="C930" s="9" t="n">
        <v>101.94</v>
      </c>
      <c r="D930" s="3" t="inlineStr">
        <is>
          <t>Pitten (Hamburger)</t>
        </is>
      </c>
      <c r="E930" s="10" t="n">
        <v>45681.62211805556</v>
      </c>
      <c r="F930" s="10" t="n">
        <v>45681.64108796296</v>
      </c>
      <c r="G930" s="10" t="n">
        <v>45681.64319444444</v>
      </c>
      <c r="H930" s="3" t="inlineStr">
        <is>
          <t>OBT240125152920-Pitten (Hamburger)</t>
        </is>
      </c>
      <c r="I930" s="10" t="n">
        <v>45684.53989583333</v>
      </c>
      <c r="J930" s="10" t="n">
        <v>45684.5575925926</v>
      </c>
      <c r="K930" s="10" t="n">
        <v>45684.5575925926</v>
      </c>
      <c r="L930" s="10" t="n">
        <v>45684.5582175926</v>
      </c>
      <c r="M930" s="11">
        <f>IF(AND(ISNUMBER(E930),ISNUMBER(G930)),(G930-E930),"")</f>
        <v/>
      </c>
      <c r="N930" s="11">
        <f>IF(AND(ISNUMBER(G930),ISNUMBER(L930)),(L930-G930),"")</f>
        <v/>
      </c>
      <c r="O930" s="10" t="n">
        <v>45681.64537037037</v>
      </c>
      <c r="P930" s="11">
        <f>IF(AND(ISNUMBER(I930),ISNUMBER(O930)),(I930-O930),"")</f>
        <v/>
      </c>
      <c r="Q930" s="12" t="inlineStr">
        <is>
          <t>WG 1024904 entered track and got secured, OBTP started on 12:57:27 finished on 13:22:56 and then left at 13:23:50</t>
        </is>
      </c>
    </row>
    <row r="931">
      <c r="A931" s="3" t="inlineStr">
        <is>
          <t>1024905</t>
        </is>
      </c>
      <c r="B931" s="3" t="inlineStr">
        <is>
          <t>10249</t>
        </is>
      </c>
      <c r="C931" s="9" t="n">
        <v>15.74</v>
      </c>
      <c r="D931" s="3" t="inlineStr">
        <is>
          <t>Gloggnitz</t>
        </is>
      </c>
      <c r="E931" s="10" t="n">
        <v>45681.62211805556</v>
      </c>
      <c r="F931" s="10" t="n">
        <v>45681.64319444444</v>
      </c>
      <c r="G931" s="10" t="n">
        <v>45681.64510416667</v>
      </c>
      <c r="H931" s="3" t="inlineStr">
        <is>
          <t>OBT270125092111-Pitten (Hamburger)</t>
        </is>
      </c>
      <c r="I931" s="10" t="n">
        <v>45685.33599537037</v>
      </c>
      <c r="J931" s="10" t="n">
        <v>45685.36983796296</v>
      </c>
      <c r="K931" s="10" t="n">
        <v>45685.36983796296</v>
      </c>
      <c r="L931" s="10" t="n">
        <v>45685.3706712963</v>
      </c>
      <c r="M931" s="11">
        <f>IF(AND(ISNUMBER(E931),ISNUMBER(G931)),(G931-E931),"")</f>
        <v/>
      </c>
      <c r="N931" s="11">
        <f>IF(AND(ISNUMBER(G931),ISNUMBER(L931)),(L931-G931),"")</f>
        <v/>
      </c>
      <c r="O931" s="10" t="n">
        <v>45681.6490162037</v>
      </c>
      <c r="P931" s="11">
        <f>IF(AND(ISNUMBER(I931),ISNUMBER(O931)),(I931-O931),"")</f>
        <v/>
      </c>
      <c r="Q931" s="12" t="inlineStr">
        <is>
          <t>WG 1024905 entered track and got coupled to WG 1024507 then waited 59:25:30 for WG 1025501 to get coupled then waited 6:16:39 for WG 1026105 to get coupled then waited 0:04:27 for WG 1026108 to get coupled, OBTP started on 08:03:50 finished on 08:52:34 and then left at 08:53:46</t>
        </is>
      </c>
    </row>
    <row r="932">
      <c r="A932" s="3" t="inlineStr">
        <is>
          <t>1024906</t>
        </is>
      </c>
      <c r="B932" s="3" t="inlineStr">
        <is>
          <t>10249</t>
        </is>
      </c>
      <c r="C932" s="9" t="n">
        <v>15.74</v>
      </c>
      <c r="D932" s="3" t="inlineStr">
        <is>
          <t>Obereggendorf (Hofer)</t>
        </is>
      </c>
      <c r="E932" s="10" t="n">
        <v>45681.62211805556</v>
      </c>
      <c r="F932" s="10" t="n">
        <v>45681.64510416667</v>
      </c>
      <c r="G932" s="10" t="n">
        <v>45681.64706018518</v>
      </c>
      <c r="H932" s="3" t="inlineStr">
        <is>
          <t>OBT240125174924-Wien Kledering</t>
        </is>
      </c>
      <c r="I932" s="10" t="n">
        <v>45684.65190972222</v>
      </c>
      <c r="J932" s="10" t="n">
        <v>45684.69225694444</v>
      </c>
      <c r="K932" s="10" t="n">
        <v>45684.69225694444</v>
      </c>
      <c r="L932" s="10" t="n">
        <v>45684.69333333334</v>
      </c>
      <c r="M932" s="11">
        <f>IF(AND(ISNUMBER(E932),ISNUMBER(G932)),(G932-E932),"")</f>
        <v/>
      </c>
      <c r="N932" s="11">
        <f>IF(AND(ISNUMBER(G932),ISNUMBER(L932)),(L932-G932),"")</f>
        <v/>
      </c>
      <c r="O932" s="10" t="n">
        <v>45681.650625</v>
      </c>
      <c r="P932" s="11">
        <f>IF(AND(ISNUMBER(I932),ISNUMBER(O932)),(I932-O932),"")</f>
        <v/>
      </c>
      <c r="Q932" s="12" t="inlineStr">
        <is>
          <t>WG 1024906 entered track and got coupled to WG 1024903 then waited 2:12:30 for WG 1025101 to get coupled, OBTP started on 15:38:45 finished on 16:36:51 and then left at 16:38:24</t>
        </is>
      </c>
    </row>
    <row r="933">
      <c r="A933" s="3" t="inlineStr">
        <is>
          <t>1024907</t>
        </is>
      </c>
      <c r="B933" s="3" t="inlineStr">
        <is>
          <t>10249</t>
        </is>
      </c>
      <c r="C933" s="9" t="n">
        <v>31.48</v>
      </c>
      <c r="D933" s="3" t="inlineStr">
        <is>
          <t>Other sidings north</t>
        </is>
      </c>
      <c r="E933" s="10" t="n">
        <v>45681.62211805556</v>
      </c>
      <c r="F933" s="10" t="n"/>
      <c r="G933" s="10" t="n"/>
      <c r="H933" s="3" t="n"/>
      <c r="I933" s="10" t="n"/>
      <c r="J933" s="10" t="n"/>
      <c r="K933" s="10" t="n"/>
      <c r="L933" s="10" t="n"/>
      <c r="M933" s="11">
        <f>IF(AND(ISNUMBER(E933),ISNUMBER(G933)),(G933-E933),"")</f>
        <v/>
      </c>
      <c r="N933" s="11">
        <f>IF(AND(ISNUMBER(G933),ISNUMBER(L933)),(L933-G933),"")</f>
        <v/>
      </c>
      <c r="O933" s="10" t="n"/>
      <c r="P933" s="11">
        <f>IF(AND(ISNUMBER(I933),ISNUMBER(O933)),(I933-O933),"")</f>
        <v/>
      </c>
      <c r="Q933" s="12" t="n"/>
    </row>
    <row r="934">
      <c r="A934" s="3" t="inlineStr">
        <is>
          <t>1024908</t>
        </is>
      </c>
      <c r="B934" s="3" t="inlineStr">
        <is>
          <t>10249</t>
        </is>
      </c>
      <c r="C934" s="9" t="n">
        <v>15.74</v>
      </c>
      <c r="D934" s="3" t="inlineStr">
        <is>
          <t>Steinabrückl/Wöllersdorf</t>
        </is>
      </c>
      <c r="E934" s="10" t="n">
        <v>45681.62211805556</v>
      </c>
      <c r="F934" s="10" t="n">
        <v>45681.64706018518</v>
      </c>
      <c r="G934" s="10" t="n">
        <v>45681.64881944445</v>
      </c>
      <c r="H934" s="3" t="inlineStr">
        <is>
          <t>OBT270125065248-Wien Kledering</t>
        </is>
      </c>
      <c r="I934" s="10" t="n">
        <v>45685.32569444444</v>
      </c>
      <c r="J934" s="10" t="n">
        <v>45685.37513888889</v>
      </c>
      <c r="K934" s="10" t="n">
        <v>45685.37513888889</v>
      </c>
      <c r="L934" s="10" t="n">
        <v>45685.37634259259</v>
      </c>
      <c r="M934" s="11">
        <f>IF(AND(ISNUMBER(E934),ISNUMBER(G934)),(G934-E934),"")</f>
        <v/>
      </c>
      <c r="N934" s="11">
        <f>IF(AND(ISNUMBER(G934),ISNUMBER(L934)),(L934-G934),"")</f>
        <v/>
      </c>
      <c r="O934" s="10" t="n">
        <v>45681.65274305556</v>
      </c>
      <c r="P934" s="11">
        <f>IF(AND(ISNUMBER(I934),ISNUMBER(O934)),(I934-O934),"")</f>
        <v/>
      </c>
      <c r="Q934" s="12" t="inlineStr">
        <is>
          <t>WG 1024908 entered track and got coupled to WG 1024502 then waited 63:12:51 for WG 1025701 to get coupled, OBTP started on 07:49:00 finished on 09:00:12 and then left at 09:01:56</t>
        </is>
      </c>
    </row>
    <row r="935">
      <c r="A935" s="3" t="inlineStr">
        <is>
          <t>1024909</t>
        </is>
      </c>
      <c r="B935" s="3" t="inlineStr">
        <is>
          <t>10249</t>
        </is>
      </c>
      <c r="C935" s="9" t="n">
        <v>16.5</v>
      </c>
      <c r="D935" s="3" t="inlineStr">
        <is>
          <t>Neudörfl (FunderMax)</t>
        </is>
      </c>
      <c r="E935" s="10" t="n">
        <v>45681.62211805556</v>
      </c>
      <c r="F935" s="10" t="n"/>
      <c r="G935" s="10" t="n"/>
      <c r="H935" s="3" t="n"/>
      <c r="I935" s="10" t="n"/>
      <c r="J935" s="10" t="n"/>
      <c r="K935" s="10" t="n"/>
      <c r="L935" s="10" t="n"/>
      <c r="M935" s="11">
        <f>IF(AND(ISNUMBER(E935),ISNUMBER(G935)),(G935-E935),"")</f>
        <v/>
      </c>
      <c r="N935" s="11">
        <f>IF(AND(ISNUMBER(G935),ISNUMBER(L935)),(L935-G935),"")</f>
        <v/>
      </c>
      <c r="O935" s="10" t="n"/>
      <c r="P935" s="11">
        <f>IF(AND(ISNUMBER(I935),ISNUMBER(O935)),(I935-O935),"")</f>
        <v/>
      </c>
      <c r="Q935" s="12" t="n"/>
    </row>
    <row r="936">
      <c r="A936" s="3" t="inlineStr">
        <is>
          <t>1025001</t>
        </is>
      </c>
      <c r="B936" s="3" t="inlineStr">
        <is>
          <t>10250</t>
        </is>
      </c>
      <c r="C936" s="9" t="n">
        <v>15.74</v>
      </c>
      <c r="D936" s="3" t="inlineStr">
        <is>
          <t>Wien Kledering</t>
        </is>
      </c>
      <c r="E936" s="10" t="n">
        <v>45681.63396990741</v>
      </c>
      <c r="F936" s="10" t="n"/>
      <c r="G936" s="10" t="n"/>
      <c r="H936" s="3" t="n"/>
      <c r="I936" s="10" t="n"/>
      <c r="J936" s="10" t="n"/>
      <c r="K936" s="10" t="n"/>
      <c r="L936" s="10" t="n"/>
      <c r="M936" s="11">
        <f>IF(AND(ISNUMBER(E936),ISNUMBER(G936)),(G936-E936),"")</f>
        <v/>
      </c>
      <c r="N936" s="11">
        <f>IF(AND(ISNUMBER(G936),ISNUMBER(L936)),(L936-G936),"")</f>
        <v/>
      </c>
      <c r="O936" s="10" t="n"/>
      <c r="P936" s="11">
        <f>IF(AND(ISNUMBER(I936),ISNUMBER(O936)),(I936-O936),"")</f>
        <v/>
      </c>
      <c r="Q936" s="12" t="n"/>
    </row>
    <row r="937">
      <c r="A937" s="3" t="inlineStr">
        <is>
          <t>1025101</t>
        </is>
      </c>
      <c r="B937" s="3" t="inlineStr">
        <is>
          <t>10251</t>
        </is>
      </c>
      <c r="C937" s="9" t="n">
        <v>232.4</v>
      </c>
      <c r="D937" s="3" t="inlineStr">
        <is>
          <t>Wien Kledering</t>
        </is>
      </c>
      <c r="E937" s="10" t="n">
        <v>45681.73060185185</v>
      </c>
      <c r="F937" s="10" t="n">
        <v>45681.7378125</v>
      </c>
      <c r="G937" s="10" t="n">
        <v>45681.74026620371</v>
      </c>
      <c r="H937" s="3" t="inlineStr">
        <is>
          <t>OBT240125174924-Wien Kledering</t>
        </is>
      </c>
      <c r="I937" s="10" t="n">
        <v>45684.65190972222</v>
      </c>
      <c r="J937" s="10" t="n">
        <v>45684.69225694444</v>
      </c>
      <c r="K937" s="10" t="n">
        <v>45684.69225694444</v>
      </c>
      <c r="L937" s="10" t="n">
        <v>45684.69333333334</v>
      </c>
      <c r="M937" s="11">
        <f>IF(AND(ISNUMBER(E937),ISNUMBER(G937)),(G937-E937),"")</f>
        <v/>
      </c>
      <c r="N937" s="11">
        <f>IF(AND(ISNUMBER(G937),ISNUMBER(L937)),(L937-G937),"")</f>
        <v/>
      </c>
      <c r="O937" s="10" t="n">
        <v>45681.74263888889</v>
      </c>
      <c r="P937" s="11">
        <f>IF(AND(ISNUMBER(I937),ISNUMBER(O937)),(I937-O937),"")</f>
        <v/>
      </c>
      <c r="Q937" s="12" t="inlineStr">
        <is>
          <t>WG 1025101 entered track and got secured, OBTP started on 15:38:45 finished on 16:36:51 and then left at 16:38:24</t>
        </is>
      </c>
    </row>
    <row r="938">
      <c r="A938" s="3" t="inlineStr">
        <is>
          <t>1025201</t>
        </is>
      </c>
      <c r="B938" s="3" t="inlineStr">
        <is>
          <t>10252</t>
        </is>
      </c>
      <c r="C938" s="9" t="n">
        <v>134.7</v>
      </c>
      <c r="D938" s="3" t="inlineStr">
        <is>
          <t>Wien Kledering</t>
        </is>
      </c>
      <c r="E938" s="10" t="n">
        <v>45681.73063657407</v>
      </c>
      <c r="F938" s="10" t="n">
        <v>45681.73530092592</v>
      </c>
      <c r="G938" s="10" t="n">
        <v>45681.73693287037</v>
      </c>
      <c r="H938" s="3" t="inlineStr">
        <is>
          <t>OBT240125174436-Wien Kledering</t>
        </is>
      </c>
      <c r="I938" s="10" t="n">
        <v>45684.61123842592</v>
      </c>
      <c r="J938" s="10" t="n">
        <v>45684.63461805556</v>
      </c>
      <c r="K938" s="10" t="n">
        <v>45684.63461805556</v>
      </c>
      <c r="L938" s="10" t="n">
        <v>45684.63541666666</v>
      </c>
      <c r="M938" s="11">
        <f>IF(AND(ISNUMBER(E938),ISNUMBER(G938)),(G938-E938),"")</f>
        <v/>
      </c>
      <c r="N938" s="11">
        <f>IF(AND(ISNUMBER(G938),ISNUMBER(L938)),(L938-G938),"")</f>
        <v/>
      </c>
      <c r="O938" s="10" t="n">
        <v>45681.73930555556</v>
      </c>
      <c r="P938" s="11">
        <f>IF(AND(ISNUMBER(I938),ISNUMBER(O938)),(I938-O938),"")</f>
        <v/>
      </c>
      <c r="Q938" s="12" t="inlineStr">
        <is>
          <t>WG 1025201 entered track and got secured, OBTP started on 14:40:11 finished on 15:13:51 and then left at 15:15:00</t>
        </is>
      </c>
    </row>
    <row r="939">
      <c r="A939" s="3" t="inlineStr">
        <is>
          <t>1025301</t>
        </is>
      </c>
      <c r="B939" s="3" t="inlineStr">
        <is>
          <t>10253</t>
        </is>
      </c>
      <c r="C939" s="9" t="n">
        <v>389.0600000000001</v>
      </c>
      <c r="D939" s="3" t="inlineStr">
        <is>
          <t>Pitten (Hamburger)</t>
        </is>
      </c>
      <c r="E939" s="10" t="n">
        <v>45682.07225694445</v>
      </c>
      <c r="F939" s="10" t="n">
        <v>45682.08277777778</v>
      </c>
      <c r="G939" s="10" t="n">
        <v>45682.08489583333</v>
      </c>
      <c r="H939" s="3" t="inlineStr">
        <is>
          <t>OBT250125020542-Pitten (Hamburger)</t>
        </is>
      </c>
      <c r="I939" s="10" t="n">
        <v>45684.67938657408</v>
      </c>
      <c r="J939" s="10" t="n">
        <v>45684.74693287037</v>
      </c>
      <c r="K939" s="10" t="n">
        <v>45684.74693287037</v>
      </c>
      <c r="L939" s="10" t="n">
        <v>45684.74825231481</v>
      </c>
      <c r="M939" s="11">
        <f>IF(AND(ISNUMBER(E939),ISNUMBER(G939)),(G939-E939),"")</f>
        <v/>
      </c>
      <c r="N939" s="11">
        <f>IF(AND(ISNUMBER(G939),ISNUMBER(L939)),(L939-G939),"")</f>
        <v/>
      </c>
      <c r="O939" s="10" t="n">
        <v>45682.08729166666</v>
      </c>
      <c r="P939" s="11">
        <f>IF(AND(ISNUMBER(I939),ISNUMBER(O939)),(I939-O939),"")</f>
        <v/>
      </c>
      <c r="Q939" s="12" t="inlineStr">
        <is>
          <t>WG 1025301 entered track and got secured, OBTP started on 16:18:19 finished on 17:55:35 and then left at 17:57:29</t>
        </is>
      </c>
    </row>
    <row r="940">
      <c r="A940" s="3" t="inlineStr">
        <is>
          <t>1025302</t>
        </is>
      </c>
      <c r="B940" s="3" t="inlineStr">
        <is>
          <t>10253</t>
        </is>
      </c>
      <c r="C940" s="9" t="n">
        <v>37.5</v>
      </c>
      <c r="D940" s="3" t="inlineStr">
        <is>
          <t>Neudörfl (FunderMax)</t>
        </is>
      </c>
      <c r="E940" s="10" t="n">
        <v>45682.07225694445</v>
      </c>
      <c r="F940" s="10" t="n">
        <v>45682.08489583333</v>
      </c>
      <c r="G940" s="10" t="n">
        <v>45682.08652777778</v>
      </c>
      <c r="H940" s="3" t="inlineStr">
        <is>
          <t>OBT260125181754-Neudörfl (FunderMax)</t>
        </is>
      </c>
      <c r="I940" s="10" t="n">
        <v>45684.88719907407</v>
      </c>
      <c r="J940" s="10" t="n">
        <v>45684.9111574074</v>
      </c>
      <c r="K940" s="10" t="n">
        <v>45684.9111574074</v>
      </c>
      <c r="L940" s="10" t="n">
        <v>45684.91208333334</v>
      </c>
      <c r="M940" s="11">
        <f>IF(AND(ISNUMBER(E940),ISNUMBER(G940)),(G940-E940),"")</f>
        <v/>
      </c>
      <c r="N940" s="11">
        <f>IF(AND(ISNUMBER(G940),ISNUMBER(L940)),(L940-G940),"")</f>
        <v/>
      </c>
      <c r="O940" s="10" t="n">
        <v>45682.0887037037</v>
      </c>
      <c r="P940" s="11">
        <f>IF(AND(ISNUMBER(I940),ISNUMBER(O940)),(I940-O940),"")</f>
        <v/>
      </c>
      <c r="Q940" s="12" t="inlineStr">
        <is>
          <t>WG 1025302 entered track and got secured then waited 40:04:43 for WG 1025401 to get coupled then waited 0:05:27 for WG 1025403 to get coupled, OBTP started on 21:17:34 finished on 21:52:04 and then left at 21:53:24</t>
        </is>
      </c>
    </row>
    <row r="941">
      <c r="A941" s="3" t="inlineStr">
        <is>
          <t>1025303</t>
        </is>
      </c>
      <c r="B941" s="3" t="inlineStr">
        <is>
          <t>10253</t>
        </is>
      </c>
      <c r="C941" s="9" t="n">
        <v>155.92</v>
      </c>
      <c r="D941" s="3" t="inlineStr">
        <is>
          <t>Pitten (Hamburger)</t>
        </is>
      </c>
      <c r="E941" s="10" t="n">
        <v>45682.07225694445</v>
      </c>
      <c r="F941" s="10" t="n">
        <v>45682.08652777778</v>
      </c>
      <c r="G941" s="10" t="n">
        <v>45682.08873842593</v>
      </c>
      <c r="H941" s="3" t="inlineStr">
        <is>
          <t>OBT250125021114-Pitten (Hamburger)</t>
        </is>
      </c>
      <c r="I941" s="10" t="n">
        <v>45684.74144675926</v>
      </c>
      <c r="J941" s="10" t="n">
        <v>45684.76851851852</v>
      </c>
      <c r="K941" s="10" t="n">
        <v>45684.76851851852</v>
      </c>
      <c r="L941" s="10" t="n">
        <v>45684.76925925926</v>
      </c>
      <c r="M941" s="11">
        <f>IF(AND(ISNUMBER(E941),ISNUMBER(G941)),(G941-E941),"")</f>
        <v/>
      </c>
      <c r="N941" s="11">
        <f>IF(AND(ISNUMBER(G941),ISNUMBER(L941)),(L941-G941),"")</f>
        <v/>
      </c>
      <c r="O941" s="10" t="n">
        <v>45682.09113425926</v>
      </c>
      <c r="P941" s="11">
        <f>IF(AND(ISNUMBER(I941),ISNUMBER(O941)),(I941-O941),"")</f>
        <v/>
      </c>
      <c r="Q941" s="12" t="inlineStr">
        <is>
          <t>WG 1025303 entered track and got secured, OBTP started on 17:47:41 finished on 18:26:40 and then left at 18:27:44</t>
        </is>
      </c>
    </row>
    <row r="942">
      <c r="A942" s="3" t="inlineStr">
        <is>
          <t>1025401</t>
        </is>
      </c>
      <c r="B942" s="3" t="inlineStr">
        <is>
          <t>10254</t>
        </is>
      </c>
      <c r="C942" s="9" t="n">
        <v>58.5</v>
      </c>
      <c r="D942" s="3" t="inlineStr">
        <is>
          <t>Neudörfl (FunderMax)</t>
        </is>
      </c>
      <c r="E942" s="10" t="n">
        <v>45683.7428125</v>
      </c>
      <c r="F942" s="10" t="n">
        <v>45683.75304398148</v>
      </c>
      <c r="G942" s="10" t="n">
        <v>45683.75472222222</v>
      </c>
      <c r="H942" s="3" t="inlineStr">
        <is>
          <t>OBT260125181754-Neudörfl (FunderMax)</t>
        </is>
      </c>
      <c r="I942" s="10" t="n">
        <v>45684.88719907407</v>
      </c>
      <c r="J942" s="10" t="n">
        <v>45684.9111574074</v>
      </c>
      <c r="K942" s="10" t="n">
        <v>45684.9111574074</v>
      </c>
      <c r="L942" s="10" t="n">
        <v>45684.91208333334</v>
      </c>
      <c r="M942" s="11">
        <f>IF(AND(ISNUMBER(E942),ISNUMBER(G942)),(G942-E942),"")</f>
        <v/>
      </c>
      <c r="N942" s="11">
        <f>IF(AND(ISNUMBER(G942),ISNUMBER(L942)),(L942-G942),"")</f>
        <v/>
      </c>
      <c r="O942" s="10" t="n">
        <v>45683.75864583333</v>
      </c>
      <c r="P942" s="11">
        <f>IF(AND(ISNUMBER(I942),ISNUMBER(O942)),(I942-O942),"")</f>
        <v/>
      </c>
      <c r="Q942" s="12" t="inlineStr">
        <is>
          <t>WG 1025401 entered track and got coupled to WG 1025302 then waited 0:05:27 for WG 1025403 to get coupled, OBTP started on 21:17:34 finished on 21:52:04 and then left at 21:53:24</t>
        </is>
      </c>
    </row>
    <row r="943">
      <c r="A943" s="3" t="inlineStr">
        <is>
          <t>1025402</t>
        </is>
      </c>
      <c r="B943" s="3" t="inlineStr">
        <is>
          <t>10254</t>
        </is>
      </c>
      <c r="C943" s="9" t="n">
        <v>459.5200000000001</v>
      </c>
      <c r="D943" s="3" t="inlineStr">
        <is>
          <t>Pitten (Hamburger)</t>
        </is>
      </c>
      <c r="E943" s="10" t="n">
        <v>45683.7428125</v>
      </c>
      <c r="F943" s="10" t="n">
        <v>45683.75472222222</v>
      </c>
      <c r="G943" s="10" t="n">
        <v>45683.75722222222</v>
      </c>
      <c r="H943" s="3" t="inlineStr">
        <is>
          <t>OBT260125181348-Pitten (Hamburger)</t>
        </is>
      </c>
      <c r="I943" s="10" t="n">
        <v>45684.75555555556</v>
      </c>
      <c r="J943" s="10" t="n">
        <v>45684.83533564815</v>
      </c>
      <c r="K943" s="10" t="n">
        <v>45684.83533564815</v>
      </c>
      <c r="L943" s="10" t="n">
        <v>45684.83693287037</v>
      </c>
      <c r="M943" s="11">
        <f>IF(AND(ISNUMBER(E943),ISNUMBER(G943)),(G943-E943),"")</f>
        <v/>
      </c>
      <c r="N943" s="11">
        <f>IF(AND(ISNUMBER(G943),ISNUMBER(L943)),(L943-G943),"")</f>
        <v/>
      </c>
      <c r="O943" s="10" t="n">
        <v>45683.75958333333</v>
      </c>
      <c r="P943" s="11">
        <f>IF(AND(ISNUMBER(I943),ISNUMBER(O943)),(I943-O943),"")</f>
        <v/>
      </c>
      <c r="Q943" s="12" t="inlineStr">
        <is>
          <t>WG 1025402 entered track and got secured, OBTP started on 18:08:00 finished on 20:02:53 and then left at 20:05:11</t>
        </is>
      </c>
    </row>
    <row r="944">
      <c r="A944" s="3" t="inlineStr">
        <is>
          <t>1025403</t>
        </is>
      </c>
      <c r="B944" s="3" t="inlineStr">
        <is>
          <t>10254</t>
        </is>
      </c>
      <c r="C944" s="9" t="n">
        <v>42</v>
      </c>
      <c r="D944" s="3" t="inlineStr">
        <is>
          <t>Neudörfl (FunderMax)</t>
        </is>
      </c>
      <c r="E944" s="10" t="n">
        <v>45683.7428125</v>
      </c>
      <c r="F944" s="10" t="n">
        <v>45683.75722222222</v>
      </c>
      <c r="G944" s="10" t="n">
        <v>45683.75886574074</v>
      </c>
      <c r="H944" s="3" t="inlineStr">
        <is>
          <t>OBT260125181754-Neudörfl (FunderMax)</t>
        </is>
      </c>
      <c r="I944" s="10" t="n">
        <v>45684.88719907407</v>
      </c>
      <c r="J944" s="10" t="n">
        <v>45684.9111574074</v>
      </c>
      <c r="K944" s="10" t="n">
        <v>45684.9111574074</v>
      </c>
      <c r="L944" s="10" t="n">
        <v>45684.91208333334</v>
      </c>
      <c r="M944" s="11">
        <f>IF(AND(ISNUMBER(E944),ISNUMBER(G944)),(G944-E944),"")</f>
        <v/>
      </c>
      <c r="N944" s="11">
        <f>IF(AND(ISNUMBER(G944),ISNUMBER(L944)),(L944-G944),"")</f>
        <v/>
      </c>
      <c r="O944" s="10" t="n">
        <v>45683.76243055556</v>
      </c>
      <c r="P944" s="11">
        <f>IF(AND(ISNUMBER(I944),ISNUMBER(O944)),(I944-O944),"")</f>
        <v/>
      </c>
      <c r="Q944" s="12" t="inlineStr">
        <is>
          <t>WG 1025403 entered track and got coupled to WG 1025401, OBTP started on 21:17:34 finished on 21:52:04 and then left at 21:53:24</t>
        </is>
      </c>
    </row>
    <row r="945">
      <c r="A945" s="3" t="inlineStr">
        <is>
          <t>1025501</t>
        </is>
      </c>
      <c r="B945" s="3" t="inlineStr">
        <is>
          <t>10255</t>
        </is>
      </c>
      <c r="C945" s="9" t="n">
        <v>31.48</v>
      </c>
      <c r="D945" s="3" t="inlineStr">
        <is>
          <t>Gloggnitz</t>
        </is>
      </c>
      <c r="E945" s="10" t="n">
        <v>45684.11024305555</v>
      </c>
      <c r="F945" s="10" t="n">
        <v>45684.11922453704</v>
      </c>
      <c r="G945" s="10" t="n">
        <v>45684.12116898148</v>
      </c>
      <c r="H945" s="3" t="inlineStr">
        <is>
          <t>OBT270125092111-Pitten (Hamburger)</t>
        </is>
      </c>
      <c r="I945" s="10" t="n">
        <v>45685.33599537037</v>
      </c>
      <c r="J945" s="10" t="n">
        <v>45685.36983796296</v>
      </c>
      <c r="K945" s="10" t="n">
        <v>45685.36983796296</v>
      </c>
      <c r="L945" s="10" t="n">
        <v>45685.3706712963</v>
      </c>
      <c r="M945" s="11">
        <f>IF(AND(ISNUMBER(E945),ISNUMBER(G945)),(G945-E945),"")</f>
        <v/>
      </c>
      <c r="N945" s="11">
        <f>IF(AND(ISNUMBER(G945),ISNUMBER(L945)),(L945-G945),"")</f>
        <v/>
      </c>
      <c r="O945" s="10" t="n">
        <v>45684.12505787037</v>
      </c>
      <c r="P945" s="11">
        <f>IF(AND(ISNUMBER(I945),ISNUMBER(O945)),(I945-O945),"")</f>
        <v/>
      </c>
      <c r="Q945" s="12" t="inlineStr">
        <is>
          <t>WG 1025501 entered track and got coupled to WG 1024905 then waited 6:16:39 for WG 1026105 to get coupled then waited 0:04:27 for WG 1026108 to get coupled, OBTP started on 08:03:50 finished on 08:52:34 and then left at 08:53:46</t>
        </is>
      </c>
    </row>
    <row r="946">
      <c r="A946" s="3" t="inlineStr">
        <is>
          <t>1025502</t>
        </is>
      </c>
      <c r="B946" s="3" t="inlineStr">
        <is>
          <t>10255</t>
        </is>
      </c>
      <c r="C946" s="9" t="n">
        <v>19.9</v>
      </c>
      <c r="D946" s="3" t="inlineStr">
        <is>
          <t>Other sidings south</t>
        </is>
      </c>
      <c r="E946" s="10" t="n">
        <v>45684.11024305555</v>
      </c>
      <c r="F946" s="10" t="n">
        <v>45684.12116898148</v>
      </c>
      <c r="G946" s="10" t="n">
        <v>45684.12313657408</v>
      </c>
      <c r="H946" s="3" t="inlineStr">
        <is>
          <t>OBT270125144049-Wien Kledering</t>
        </is>
      </c>
      <c r="I946" s="10" t="n">
        <v>45685.45540509259</v>
      </c>
      <c r="J946" s="10" t="n">
        <v>45685.52165509259</v>
      </c>
      <c r="K946" s="10" t="n">
        <v>45685.52165509259</v>
      </c>
      <c r="L946" s="10" t="n">
        <v>45685.52307870371</v>
      </c>
      <c r="M946" s="11">
        <f>IF(AND(ISNUMBER(E946),ISNUMBER(G946)),(G946-E946),"")</f>
        <v/>
      </c>
      <c r="N946" s="11">
        <f>IF(AND(ISNUMBER(G946),ISNUMBER(L946)),(L946-G946),"")</f>
        <v/>
      </c>
      <c r="O946" s="10" t="n">
        <v>45684.12553240741</v>
      </c>
      <c r="P946" s="11">
        <f>IF(AND(ISNUMBER(I946),ISNUMBER(O946)),(I946-O946),"")</f>
        <v/>
      </c>
      <c r="Q946" s="12" t="inlineStr">
        <is>
          <t>WG 1025502 entered track and got secured then waited 4:42:21 for WG 1025802 to get coupled then waited 1:32:04 for WG 1026104 to get coupled then waited 5:25:38 for WG 1026501 to get coupled, OBTP started on 10:55:47 finished on 12:31:11 and then left at 12:33:14</t>
        </is>
      </c>
    </row>
    <row r="947">
      <c r="A947" s="3" t="inlineStr">
        <is>
          <t>1025503</t>
        </is>
      </c>
      <c r="B947" s="3" t="inlineStr">
        <is>
          <t>10255</t>
        </is>
      </c>
      <c r="C947" s="9" t="n">
        <v>183.5</v>
      </c>
      <c r="D947" s="3" t="inlineStr">
        <is>
          <t>Neunkirchen (loading tracks)</t>
        </is>
      </c>
      <c r="E947" s="10" t="n">
        <v>45684.11024305555</v>
      </c>
      <c r="F947" s="10" t="n">
        <v>45684.12313657408</v>
      </c>
      <c r="G947" s="10" t="n">
        <v>45684.12480324074</v>
      </c>
      <c r="H947" s="3" t="inlineStr">
        <is>
          <t>OBT270125030450-Neunkirchen (loading tracks)</t>
        </is>
      </c>
      <c r="I947" s="10" t="n">
        <v>45685.13552083333</v>
      </c>
      <c r="J947" s="10" t="n">
        <v>45685.17467592593</v>
      </c>
      <c r="K947" s="10" t="n">
        <v>45685.17467592593</v>
      </c>
      <c r="L947" s="10" t="n">
        <v>45685.17574074074</v>
      </c>
      <c r="M947" s="11">
        <f>IF(AND(ISNUMBER(E947),ISNUMBER(G947)),(G947-E947),"")</f>
        <v/>
      </c>
      <c r="N947" s="11">
        <f>IF(AND(ISNUMBER(G947),ISNUMBER(L947)),(L947-G947),"")</f>
        <v/>
      </c>
      <c r="O947" s="10" t="n">
        <v>45684.12835648148</v>
      </c>
      <c r="P947" s="11">
        <f>IF(AND(ISNUMBER(I947),ISNUMBER(O947)),(I947-O947),"")</f>
        <v/>
      </c>
      <c r="Q947" s="12" t="inlineStr">
        <is>
          <t>WG 1025503 entered track and got coupled to WG 1024901, OBTP started on 03:15:09 finished on 04:11:32 and then left at 04:13:04</t>
        </is>
      </c>
    </row>
    <row r="948">
      <c r="A948" s="3" t="inlineStr">
        <is>
          <t>1025504</t>
        </is>
      </c>
      <c r="B948" s="3" t="inlineStr">
        <is>
          <t>10255</t>
        </is>
      </c>
      <c r="C948" s="9" t="n">
        <v>24.08</v>
      </c>
      <c r="D948" s="3" t="inlineStr">
        <is>
          <t>Ternitz (Schoeller-Bleckmann)</t>
        </is>
      </c>
      <c r="E948" s="10" t="n">
        <v>45684.11024305555</v>
      </c>
      <c r="F948" s="10" t="n">
        <v>45684.12480324074</v>
      </c>
      <c r="G948" s="10" t="n">
        <v>45684.12677083333</v>
      </c>
      <c r="H948" s="3" t="inlineStr">
        <is>
          <t>OBT280125031334-St. Veit an der Glan</t>
        </is>
      </c>
      <c r="I948" s="10" t="n">
        <v>45686.13351851852</v>
      </c>
      <c r="J948" s="10" t="n">
        <v>45686.15229166667</v>
      </c>
      <c r="K948" s="10" t="n">
        <v>45686.15229166667</v>
      </c>
      <c r="L948" s="10" t="n">
        <v>45686.1530787037</v>
      </c>
      <c r="M948" s="11">
        <f>IF(AND(ISNUMBER(E948),ISNUMBER(G948)),(G948-E948),"")</f>
        <v/>
      </c>
      <c r="N948" s="11">
        <f>IF(AND(ISNUMBER(G948),ISNUMBER(L948)),(L948-G948),"")</f>
        <v/>
      </c>
      <c r="O948" s="10" t="n">
        <v>45684.12916666667</v>
      </c>
      <c r="P948" s="11">
        <f>IF(AND(ISNUMBER(I948),ISNUMBER(O948)),(I948-O948),"")</f>
        <v/>
      </c>
      <c r="Q948" s="12" t="inlineStr">
        <is>
          <t>WG 1025504 entered track and got secured then waited 6:21:58 for WG 1026112 to get coupled then waited 8:39:07 for WG 1026902 to get coupled then waited 9:06:29 for WG 1027101 to get coupled, OBTP started on 03:12:16 finished on 03:39:18 and then left at 03:40:26</t>
        </is>
      </c>
    </row>
    <row r="949">
      <c r="A949" s="3" t="inlineStr">
        <is>
          <t>1025601</t>
        </is>
      </c>
      <c r="B949" s="3" t="inlineStr">
        <is>
          <t>10256</t>
        </is>
      </c>
      <c r="C949" s="9" t="n">
        <v>298.2</v>
      </c>
      <c r="D949" s="3" t="inlineStr">
        <is>
          <t>Neudörfl (FunderMax)</t>
        </is>
      </c>
      <c r="E949" s="10" t="n">
        <v>45684.19085648148</v>
      </c>
      <c r="F949" s="10" t="n">
        <v>45684.19689814815</v>
      </c>
      <c r="G949" s="10" t="n">
        <v>45684.19871527778</v>
      </c>
      <c r="H949" s="3" t="inlineStr">
        <is>
          <t>OBT270125044934-Neudörfl (FunderMax)</t>
        </is>
      </c>
      <c r="I949" s="10" t="n">
        <v>45685.28248842592</v>
      </c>
      <c r="J949" s="10" t="n">
        <v>45685.33425925926</v>
      </c>
      <c r="K949" s="10" t="n">
        <v>45685.33425925926</v>
      </c>
      <c r="L949" s="10" t="n">
        <v>45685.33541666667</v>
      </c>
      <c r="M949" s="11">
        <f>IF(AND(ISNUMBER(E949),ISNUMBER(G949)),(G949-E949),"")</f>
        <v/>
      </c>
      <c r="N949" s="11">
        <f>IF(AND(ISNUMBER(G949),ISNUMBER(L949)),(L949-G949),"")</f>
        <v/>
      </c>
      <c r="O949" s="10" t="n">
        <v>45684.20108796296</v>
      </c>
      <c r="P949" s="11">
        <f>IF(AND(ISNUMBER(I949),ISNUMBER(O949)),(I949-O949),"")</f>
        <v/>
      </c>
      <c r="Q949" s="12" t="inlineStr">
        <is>
          <t>WG 1025601 entered track and got secured, OBTP started on 06:46:47 finished on 08:01:20 and then left at 08:03:00</t>
        </is>
      </c>
    </row>
    <row r="950">
      <c r="A950" s="3" t="inlineStr">
        <is>
          <t>1025701</t>
        </is>
      </c>
      <c r="B950" s="3" t="inlineStr">
        <is>
          <t>10257</t>
        </is>
      </c>
      <c r="C950" s="9" t="n">
        <v>284.8</v>
      </c>
      <c r="D950" s="3" t="inlineStr">
        <is>
          <t>Wien Kledering</t>
        </is>
      </c>
      <c r="E950" s="10" t="n">
        <v>45684.27615740741</v>
      </c>
      <c r="F950" s="10" t="n">
        <v>45684.28211805555</v>
      </c>
      <c r="G950" s="10" t="n">
        <v>45684.28449074074</v>
      </c>
      <c r="H950" s="3" t="inlineStr">
        <is>
          <t>OBT270125065248-Wien Kledering</t>
        </is>
      </c>
      <c r="I950" s="10" t="n">
        <v>45685.32569444444</v>
      </c>
      <c r="J950" s="10" t="n">
        <v>45685.37513888889</v>
      </c>
      <c r="K950" s="10" t="n">
        <v>45685.37513888889</v>
      </c>
      <c r="L950" s="10" t="n">
        <v>45685.37634259259</v>
      </c>
      <c r="M950" s="11">
        <f>IF(AND(ISNUMBER(E950),ISNUMBER(G950)),(G950-E950),"")</f>
        <v/>
      </c>
      <c r="N950" s="11">
        <f>IF(AND(ISNUMBER(G950),ISNUMBER(L950)),(L950-G950),"")</f>
        <v/>
      </c>
      <c r="O950" s="10" t="n">
        <v>45684.28666666667</v>
      </c>
      <c r="P950" s="11">
        <f>IF(AND(ISNUMBER(I950),ISNUMBER(O950)),(I950-O950),"")</f>
        <v/>
      </c>
      <c r="Q950" s="12" t="inlineStr">
        <is>
          <t>WG 1025701 entered track and got secured, OBTP started on 07:49:00 finished on 09:00:12 and then left at 09:01:56</t>
        </is>
      </c>
    </row>
    <row r="951">
      <c r="A951" s="3" t="inlineStr">
        <is>
          <t>1025801</t>
        </is>
      </c>
      <c r="B951" s="3" t="inlineStr">
        <is>
          <t>10258</t>
        </is>
      </c>
      <c r="C951" s="9" t="n">
        <v>27</v>
      </c>
      <c r="D951" s="3" t="inlineStr">
        <is>
          <t>Wr. Neustadt (Hödlmayr)</t>
        </is>
      </c>
      <c r="E951" s="10" t="n">
        <v>45684.29895833333</v>
      </c>
      <c r="F951" s="10" t="n">
        <v>45684.31454861111</v>
      </c>
      <c r="G951" s="10" t="n">
        <v>45684.31570601852</v>
      </c>
      <c r="H951" s="3" t="inlineStr">
        <is>
          <t>OBT270125105122-Wien Kledering</t>
        </is>
      </c>
      <c r="I951" s="10" t="n">
        <v>45685.39344907407</v>
      </c>
      <c r="J951" s="10" t="n">
        <v>45685.46195601852</v>
      </c>
      <c r="K951" s="10" t="n">
        <v>45685.46195601852</v>
      </c>
      <c r="L951" s="10" t="n">
        <v>45685.46333333333</v>
      </c>
      <c r="M951" s="11">
        <f>IF(AND(ISNUMBER(E951),ISNUMBER(G951)),(G951-E951),"")</f>
        <v/>
      </c>
      <c r="N951" s="11">
        <f>IF(AND(ISNUMBER(G951),ISNUMBER(L951)),(L951-G951),"")</f>
        <v/>
      </c>
      <c r="O951" s="10" t="n">
        <v>45684.31788194444</v>
      </c>
      <c r="P951" s="11">
        <f>IF(AND(ISNUMBER(I951),ISNUMBER(O951)),(I951-O951),"")</f>
        <v/>
      </c>
      <c r="Q951" s="12" t="inlineStr">
        <is>
          <t>WG 1025801 entered track and got secured then waited 1:28:15 for WG 1026101 to get coupled then waited 0:06:26 for WG 1026103 to get coupled then waited 0:12:44 for WG 1026110 to get coupled then waited 1:26:12 for WG 1026301 to get coupled, OBTP started on 09:26:34 finished on 11:05:13 and then left at 11:07:12</t>
        </is>
      </c>
    </row>
    <row r="952">
      <c r="A952" s="3" t="inlineStr">
        <is>
          <t>1025802</t>
        </is>
      </c>
      <c r="B952" s="3" t="inlineStr">
        <is>
          <t>10258</t>
        </is>
      </c>
      <c r="C952" s="9" t="n">
        <v>38.98</v>
      </c>
      <c r="D952" s="3" t="inlineStr">
        <is>
          <t>Other sidings south</t>
        </is>
      </c>
      <c r="E952" s="10" t="n">
        <v>45684.29895833333</v>
      </c>
      <c r="F952" s="10" t="n">
        <v>45684.31570601852</v>
      </c>
      <c r="G952" s="10" t="n">
        <v>45684.31768518518</v>
      </c>
      <c r="H952" s="3" t="inlineStr">
        <is>
          <t>OBT270125144049-Wien Kledering</t>
        </is>
      </c>
      <c r="I952" s="10" t="n">
        <v>45685.45540509259</v>
      </c>
      <c r="J952" s="10" t="n">
        <v>45685.52165509259</v>
      </c>
      <c r="K952" s="10" t="n">
        <v>45685.52165509259</v>
      </c>
      <c r="L952" s="10" t="n">
        <v>45685.52307870371</v>
      </c>
      <c r="M952" s="11">
        <f>IF(AND(ISNUMBER(E952),ISNUMBER(G952)),(G952-E952),"")</f>
        <v/>
      </c>
      <c r="N952" s="11">
        <f>IF(AND(ISNUMBER(G952),ISNUMBER(L952)),(L952-G952),"")</f>
        <v/>
      </c>
      <c r="O952" s="10" t="n">
        <v>45684.32160879629</v>
      </c>
      <c r="P952" s="11">
        <f>IF(AND(ISNUMBER(I952),ISNUMBER(O952)),(I952-O952),"")</f>
        <v/>
      </c>
      <c r="Q952" s="12" t="inlineStr">
        <is>
          <t>WG 1025802 entered track and got coupled to WG 1025502 then waited 1:32:04 for WG 1026104 to get coupled then waited 5:25:38 for WG 1026501 to get coupled, OBTP started on 10:55:47 finished on 12:31:11 and then left at 12:33:14</t>
        </is>
      </c>
    </row>
    <row r="953">
      <c r="A953" s="3" t="inlineStr">
        <is>
          <t>1025803</t>
        </is>
      </c>
      <c r="B953" s="3" t="inlineStr">
        <is>
          <t>10258</t>
        </is>
      </c>
      <c r="C953" s="9" t="n">
        <v>163.2</v>
      </c>
      <c r="D953" s="3" t="inlineStr">
        <is>
          <t>Neudörfl (FunderMax)</t>
        </is>
      </c>
      <c r="E953" s="10" t="n">
        <v>45684.29895833333</v>
      </c>
      <c r="F953" s="10" t="n"/>
      <c r="G953" s="10" t="n"/>
      <c r="H953" s="3" t="n"/>
      <c r="I953" s="10" t="n"/>
      <c r="J953" s="10" t="n"/>
      <c r="K953" s="10" t="n"/>
      <c r="L953" s="10" t="n"/>
      <c r="M953" s="11">
        <f>IF(AND(ISNUMBER(E953),ISNUMBER(G953)),(G953-E953),"")</f>
        <v/>
      </c>
      <c r="N953" s="11">
        <f>IF(AND(ISNUMBER(G953),ISNUMBER(L953)),(L953-G953),"")</f>
        <v/>
      </c>
      <c r="O953" s="10" t="n"/>
      <c r="P953" s="11">
        <f>IF(AND(ISNUMBER(I953),ISNUMBER(O953)),(I953-O953),"")</f>
        <v/>
      </c>
      <c r="Q953" s="12" t="n"/>
    </row>
    <row r="954">
      <c r="A954" s="3" t="inlineStr">
        <is>
          <t>1025804</t>
        </is>
      </c>
      <c r="B954" s="3" t="inlineStr">
        <is>
          <t>10258</t>
        </is>
      </c>
      <c r="C954" s="9" t="n">
        <v>21</v>
      </c>
      <c r="D954" s="3" t="inlineStr">
        <is>
          <t>Neunkirchen (loading tracks)</t>
        </is>
      </c>
      <c r="E954" s="10" t="n">
        <v>45684.29895833333</v>
      </c>
      <c r="F954" s="10" t="n"/>
      <c r="G954" s="10" t="n"/>
      <c r="H954" s="3" t="n"/>
      <c r="I954" s="10" t="n"/>
      <c r="J954" s="10" t="n"/>
      <c r="K954" s="10" t="n"/>
      <c r="L954" s="10" t="n"/>
      <c r="M954" s="11">
        <f>IF(AND(ISNUMBER(E954),ISNUMBER(G954)),(G954-E954),"")</f>
        <v/>
      </c>
      <c r="N954" s="11">
        <f>IF(AND(ISNUMBER(G954),ISNUMBER(L954)),(L954-G954),"")</f>
        <v/>
      </c>
      <c r="O954" s="10" t="n"/>
      <c r="P954" s="11">
        <f>IF(AND(ISNUMBER(I954),ISNUMBER(O954)),(I954-O954),"")</f>
        <v/>
      </c>
      <c r="Q954" s="12" t="n"/>
    </row>
    <row r="955">
      <c r="A955" s="3" t="inlineStr">
        <is>
          <t>1025805</t>
        </is>
      </c>
      <c r="B955" s="3" t="inlineStr">
        <is>
          <t>10258</t>
        </is>
      </c>
      <c r="C955" s="9" t="n">
        <v>106.92</v>
      </c>
      <c r="D955" s="3" t="inlineStr">
        <is>
          <t>Other sidings local</t>
        </is>
      </c>
      <c r="E955" s="10" t="n">
        <v>45684.29895833333</v>
      </c>
      <c r="F955" s="10" t="n">
        <v>45684.31768518518</v>
      </c>
      <c r="G955" s="10" t="n">
        <v>45684.31978009259</v>
      </c>
      <c r="H955" s="3" t="inlineStr">
        <is>
          <t>OBT270125074356-Other sidings local</t>
        </is>
      </c>
      <c r="I955" s="10" t="n">
        <v>45685.32960648148</v>
      </c>
      <c r="J955" s="10" t="n">
        <v>45685.3481712963</v>
      </c>
      <c r="K955" s="10" t="n">
        <v>45685.3481712963</v>
      </c>
      <c r="L955" s="10" t="n">
        <v>45685.3487962963</v>
      </c>
      <c r="M955" s="11">
        <f>IF(AND(ISNUMBER(E955),ISNUMBER(G955)),(G955-E955),"")</f>
        <v/>
      </c>
      <c r="N955" s="11">
        <f>IF(AND(ISNUMBER(G955),ISNUMBER(L955)),(L955-G955),"")</f>
        <v/>
      </c>
      <c r="O955" s="10" t="n">
        <v>45684.32217592592</v>
      </c>
      <c r="P955" s="11">
        <f>IF(AND(ISNUMBER(I955),ISNUMBER(O955)),(I955-O955),"")</f>
        <v/>
      </c>
      <c r="Q955" s="12" t="inlineStr">
        <is>
          <t>WG 1025805 entered track and got secured, OBTP started on 07:54:38 finished on 08:21:22 and then left at 08:22:16</t>
        </is>
      </c>
    </row>
    <row r="956">
      <c r="A956" s="3" t="inlineStr">
        <is>
          <t>1025806</t>
        </is>
      </c>
      <c r="B956" s="3" t="inlineStr">
        <is>
          <t>10258</t>
        </is>
      </c>
      <c r="C956" s="9" t="n">
        <v>39.8</v>
      </c>
      <c r="D956" s="3" t="inlineStr">
        <is>
          <t>Wr. Neustadt Ausfahrbf (Furtenbach)</t>
        </is>
      </c>
      <c r="E956" s="10" t="n">
        <v>45684.29895833333</v>
      </c>
      <c r="F956" s="10" t="n">
        <v>45684.31978009259</v>
      </c>
      <c r="G956" s="10" t="n">
        <v>45684.32141203704</v>
      </c>
      <c r="H956" s="3" t="inlineStr">
        <is>
          <t>OBT280125064741-Wien Kledering</t>
        </is>
      </c>
      <c r="I956" s="10" t="n">
        <v>45686.18910879629</v>
      </c>
      <c r="J956" s="10" t="n">
        <v>45686.2406712963</v>
      </c>
      <c r="K956" s="10" t="n">
        <v>45686.2406712963</v>
      </c>
      <c r="L956" s="10" t="n">
        <v>45686.24194444445</v>
      </c>
      <c r="M956" s="11">
        <f>IF(AND(ISNUMBER(E956),ISNUMBER(G956)),(G956-E956),"")</f>
        <v/>
      </c>
      <c r="N956" s="11">
        <f>IF(AND(ISNUMBER(G956),ISNUMBER(L956)),(L956-G956),"")</f>
        <v/>
      </c>
      <c r="O956" s="10" t="n">
        <v>45684.3237962963</v>
      </c>
      <c r="P956" s="11">
        <f>IF(AND(ISNUMBER(I956),ISNUMBER(O956)),(I956-O956),"")</f>
        <v/>
      </c>
      <c r="Q956" s="12" t="inlineStr">
        <is>
          <t>WG 1025806 entered track and got secured then waited 1:37:41 for WG 1026109 to get coupled then waited 21:23:44 for WG 1027201 to get coupled, OBTP started on 04:32:19 finished on 05:46:34 and then left at 05:48:24</t>
        </is>
      </c>
    </row>
    <row r="957">
      <c r="A957" s="3" t="inlineStr">
        <is>
          <t>1025807</t>
        </is>
      </c>
      <c r="B957" s="3" t="inlineStr">
        <is>
          <t>10258</t>
        </is>
      </c>
      <c r="C957" s="9" t="n">
        <v>172.4</v>
      </c>
      <c r="D957" s="3" t="inlineStr">
        <is>
          <t>Pitten (Hamburger)</t>
        </is>
      </c>
      <c r="E957" s="10" t="n">
        <v>45684.29895833333</v>
      </c>
      <c r="F957" s="10" t="n"/>
      <c r="G957" s="10" t="n"/>
      <c r="H957" s="3" t="n"/>
      <c r="I957" s="10" t="n"/>
      <c r="J957" s="10" t="n"/>
      <c r="K957" s="10" t="n"/>
      <c r="L957" s="10" t="n"/>
      <c r="M957" s="11">
        <f>IF(AND(ISNUMBER(E957),ISNUMBER(G957)),(G957-E957),"")</f>
        <v/>
      </c>
      <c r="N957" s="11">
        <f>IF(AND(ISNUMBER(G957),ISNUMBER(L957)),(L957-G957),"")</f>
        <v/>
      </c>
      <c r="O957" s="10" t="n"/>
      <c r="P957" s="11">
        <f>IF(AND(ISNUMBER(I957),ISNUMBER(O957)),(I957-O957),"")</f>
        <v/>
      </c>
      <c r="Q957" s="12" t="n"/>
    </row>
    <row r="958">
      <c r="A958" s="3" t="inlineStr">
        <is>
          <t>1025808</t>
        </is>
      </c>
      <c r="B958" s="3" t="inlineStr">
        <is>
          <t>10258</t>
        </is>
      </c>
      <c r="C958" s="9" t="n">
        <v>19.9</v>
      </c>
      <c r="D958" s="3" t="inlineStr">
        <is>
          <t>Felixdorf/Sollenau (Bundesheer, Maba)</t>
        </is>
      </c>
      <c r="E958" s="10" t="n">
        <v>45684.29895833333</v>
      </c>
      <c r="F958" s="10" t="n"/>
      <c r="G958" s="10" t="n"/>
      <c r="H958" s="3" t="n"/>
      <c r="I958" s="10" t="n"/>
      <c r="J958" s="10" t="n"/>
      <c r="K958" s="10" t="n"/>
      <c r="L958" s="10" t="n"/>
      <c r="M958" s="11">
        <f>IF(AND(ISNUMBER(E958),ISNUMBER(G958)),(G958-E958),"")</f>
        <v/>
      </c>
      <c r="N958" s="11">
        <f>IF(AND(ISNUMBER(G958),ISNUMBER(L958)),(L958-G958),"")</f>
        <v/>
      </c>
      <c r="O958" s="10" t="n"/>
      <c r="P958" s="11">
        <f>IF(AND(ISNUMBER(I958),ISNUMBER(O958)),(I958-O958),"")</f>
        <v/>
      </c>
      <c r="Q958" s="12" t="n"/>
    </row>
    <row r="959">
      <c r="A959" s="3" t="inlineStr">
        <is>
          <t>1025901</t>
        </is>
      </c>
      <c r="B959" s="3" t="inlineStr">
        <is>
          <t>10259</t>
        </is>
      </c>
      <c r="C959" s="9" t="n">
        <v>253.64</v>
      </c>
      <c r="D959" s="3" t="inlineStr">
        <is>
          <t>Wien Kledering</t>
        </is>
      </c>
      <c r="E959" s="10" t="n">
        <v>45684.31259259259</v>
      </c>
      <c r="F959" s="10" t="n"/>
      <c r="G959" s="10" t="n"/>
      <c r="H959" s="3" t="n"/>
      <c r="I959" s="10" t="n"/>
      <c r="J959" s="10" t="n"/>
      <c r="K959" s="10" t="n"/>
      <c r="L959" s="10" t="n"/>
      <c r="M959" s="11">
        <f>IF(AND(ISNUMBER(E959),ISNUMBER(G959)),(G959-E959),"")</f>
        <v/>
      </c>
      <c r="N959" s="11">
        <f>IF(AND(ISNUMBER(G959),ISNUMBER(L959)),(L959-G959),"")</f>
        <v/>
      </c>
      <c r="O959" s="10" t="n"/>
      <c r="P959" s="11">
        <f>IF(AND(ISNUMBER(I959),ISNUMBER(O959)),(I959-O959),"")</f>
        <v/>
      </c>
      <c r="Q959" s="12" t="n"/>
    </row>
    <row r="960">
      <c r="A960" s="3" t="inlineStr">
        <is>
          <t>1026001</t>
        </is>
      </c>
      <c r="B960" s="3" t="inlineStr">
        <is>
          <t>10260</t>
        </is>
      </c>
      <c r="C960" s="9" t="n">
        <v>389.0600000000001</v>
      </c>
      <c r="D960" s="3" t="inlineStr">
        <is>
          <t>Wien Kledering</t>
        </is>
      </c>
      <c r="E960" s="10" t="n">
        <v>45684.33115740741</v>
      </c>
      <c r="F960" s="10" t="n"/>
      <c r="G960" s="10" t="n"/>
      <c r="H960" s="3" t="n"/>
      <c r="I960" s="10" t="n"/>
      <c r="J960" s="10" t="n"/>
      <c r="K960" s="10" t="n"/>
      <c r="L960" s="10" t="n"/>
      <c r="M960" s="11">
        <f>IF(AND(ISNUMBER(E960),ISNUMBER(G960)),(G960-E960),"")</f>
        <v/>
      </c>
      <c r="N960" s="11">
        <f>IF(AND(ISNUMBER(G960),ISNUMBER(L960)),(L960-G960),"")</f>
        <v/>
      </c>
      <c r="O960" s="10" t="n"/>
      <c r="P960" s="11">
        <f>IF(AND(ISNUMBER(I960),ISNUMBER(O960)),(I960-O960),"")</f>
        <v/>
      </c>
      <c r="Q960" s="12" t="n"/>
    </row>
    <row r="961">
      <c r="A961" s="3" t="inlineStr">
        <is>
          <t>1026101</t>
        </is>
      </c>
      <c r="B961" s="3" t="inlineStr">
        <is>
          <t>10261</t>
        </is>
      </c>
      <c r="C961" s="9" t="n">
        <v>40.9</v>
      </c>
      <c r="D961" s="3" t="inlineStr">
        <is>
          <t>Neunkirchen (loading tracks)</t>
        </is>
      </c>
      <c r="E961" s="10" t="n">
        <v>45684.35555555556</v>
      </c>
      <c r="F961" s="10" t="n">
        <v>45684.37579861111</v>
      </c>
      <c r="G961" s="10" t="n">
        <v>45684.37699074074</v>
      </c>
      <c r="H961" s="3" t="inlineStr">
        <is>
          <t>OBT270125105122-Wien Kledering</t>
        </is>
      </c>
      <c r="I961" s="10" t="n">
        <v>45685.39344907407</v>
      </c>
      <c r="J961" s="10" t="n">
        <v>45685.46195601852</v>
      </c>
      <c r="K961" s="10" t="n">
        <v>45685.46195601852</v>
      </c>
      <c r="L961" s="10" t="n">
        <v>45685.46333333333</v>
      </c>
      <c r="M961" s="11">
        <f>IF(AND(ISNUMBER(E961),ISNUMBER(G961)),(G961-E961),"")</f>
        <v/>
      </c>
      <c r="N961" s="11">
        <f>IF(AND(ISNUMBER(G961),ISNUMBER(L961)),(L961-G961),"")</f>
        <v/>
      </c>
      <c r="O961" s="10" t="n">
        <v>45684.37916666667</v>
      </c>
      <c r="P961" s="11">
        <f>IF(AND(ISNUMBER(I961),ISNUMBER(O961)),(I961-O961),"")</f>
        <v/>
      </c>
      <c r="Q961" s="12" t="inlineStr">
        <is>
          <t>WG 1026101 entered track and got secured then waited 0:06:26 for WG 1026103 to get coupled then waited 0:12:44 for WG 1026110 to get coupled then waited 1:26:12 for WG 1026301 to get coupled, OBTP started on 09:26:34 finished on 11:05:13 and then left at 11:07:12</t>
        </is>
      </c>
    </row>
    <row r="962">
      <c r="A962" s="3" t="inlineStr">
        <is>
          <t>1026102</t>
        </is>
      </c>
      <c r="B962" s="3" t="inlineStr">
        <is>
          <t>10261</t>
        </is>
      </c>
      <c r="C962" s="9" t="n">
        <v>33.9</v>
      </c>
      <c r="D962" s="3" t="inlineStr">
        <is>
          <t>Other sidings local</t>
        </is>
      </c>
      <c r="E962" s="10" t="n">
        <v>45684.35555555556</v>
      </c>
      <c r="F962" s="10" t="n">
        <v>45684.37699074074</v>
      </c>
      <c r="G962" s="10" t="n">
        <v>45684.37891203703</v>
      </c>
      <c r="H962" s="3" t="inlineStr">
        <is>
          <t>OBT270125180405-Wien Kledering</t>
        </is>
      </c>
      <c r="I962" s="10" t="n">
        <v>45685.6533449074</v>
      </c>
      <c r="J962" s="10" t="n">
        <v>45685.70726851852</v>
      </c>
      <c r="K962" s="10" t="n">
        <v>45685.70726851852</v>
      </c>
      <c r="L962" s="10" t="n">
        <v>45685.70836805556</v>
      </c>
      <c r="M962" s="11">
        <f>IF(AND(ISNUMBER(E962),ISNUMBER(G962)),(G962-E962),"")</f>
        <v/>
      </c>
      <c r="N962" s="11">
        <f>IF(AND(ISNUMBER(G962),ISNUMBER(L962)),(L962-G962),"")</f>
        <v/>
      </c>
      <c r="O962" s="10" t="n">
        <v>45684.38127314814</v>
      </c>
      <c r="P962" s="11">
        <f>IF(AND(ISNUMBER(I962),ISNUMBER(O962)),(I962-O962),"")</f>
        <v/>
      </c>
      <c r="Q962" s="12" t="inlineStr">
        <is>
          <t>WG 1026102 entered track and got secured then waited 8:55:03 for WG 1026901 to get coupled, OBTP started on 15:40:49 finished on 16:58:28 and then left at 17:00:03</t>
        </is>
      </c>
    </row>
    <row r="963">
      <c r="A963" s="3" t="inlineStr">
        <is>
          <t>1026103</t>
        </is>
      </c>
      <c r="B963" s="3" t="inlineStr">
        <is>
          <t>10261</t>
        </is>
      </c>
      <c r="C963" s="9" t="n">
        <v>27</v>
      </c>
      <c r="D963" s="3" t="inlineStr">
        <is>
          <t>Wr. Neustadt (Hödlmayr)</t>
        </is>
      </c>
      <c r="E963" s="10" t="n">
        <v>45684.35555555556</v>
      </c>
      <c r="F963" s="10" t="n">
        <v>45684.37891203703</v>
      </c>
      <c r="G963" s="10" t="n">
        <v>45684.38006944444</v>
      </c>
      <c r="H963" s="3" t="inlineStr">
        <is>
          <t>OBT270125105122-Wien Kledering</t>
        </is>
      </c>
      <c r="I963" s="10" t="n">
        <v>45685.39344907407</v>
      </c>
      <c r="J963" s="10" t="n">
        <v>45685.46195601852</v>
      </c>
      <c r="K963" s="10" t="n">
        <v>45685.46195601852</v>
      </c>
      <c r="L963" s="10" t="n">
        <v>45685.46333333333</v>
      </c>
      <c r="M963" s="11">
        <f>IF(AND(ISNUMBER(E963),ISNUMBER(G963)),(G963-E963),"")</f>
        <v/>
      </c>
      <c r="N963" s="11">
        <f>IF(AND(ISNUMBER(G963),ISNUMBER(L963)),(L963-G963),"")</f>
        <v/>
      </c>
      <c r="O963" s="10" t="n">
        <v>45684.38363425926</v>
      </c>
      <c r="P963" s="11">
        <f>IF(AND(ISNUMBER(I963),ISNUMBER(O963)),(I963-O963),"")</f>
        <v/>
      </c>
      <c r="Q963" s="12" t="inlineStr">
        <is>
          <t>WG 1026103 entered track and got coupled to WG 1026101 then waited 0:12:44 for WG 1026110 to get coupled then waited 1:26:12 for WG 1026301 to get coupled, OBTP started on 09:26:34 finished on 11:05:13 and then left at 11:07:12</t>
        </is>
      </c>
    </row>
    <row r="964">
      <c r="A964" s="3" t="inlineStr">
        <is>
          <t>1026104</t>
        </is>
      </c>
      <c r="B964" s="3" t="inlineStr">
        <is>
          <t>10261</t>
        </is>
      </c>
      <c r="C964" s="9" t="n">
        <v>15.74</v>
      </c>
      <c r="D964" s="3" t="inlineStr">
        <is>
          <t>Other sidings south</t>
        </is>
      </c>
      <c r="E964" s="10" t="n">
        <v>45684.35555555556</v>
      </c>
      <c r="F964" s="10" t="n">
        <v>45684.38006944444</v>
      </c>
      <c r="G964" s="10" t="n">
        <v>45684.38200231481</v>
      </c>
      <c r="H964" s="3" t="inlineStr">
        <is>
          <t>OBT270125144049-Wien Kledering</t>
        </is>
      </c>
      <c r="I964" s="10" t="n">
        <v>45685.45540509259</v>
      </c>
      <c r="J964" s="10" t="n">
        <v>45685.52165509259</v>
      </c>
      <c r="K964" s="10" t="n">
        <v>45685.52165509259</v>
      </c>
      <c r="L964" s="10" t="n">
        <v>45685.52307870371</v>
      </c>
      <c r="M964" s="11">
        <f>IF(AND(ISNUMBER(E964),ISNUMBER(G964)),(G964-E964),"")</f>
        <v/>
      </c>
      <c r="N964" s="11">
        <f>IF(AND(ISNUMBER(G964),ISNUMBER(L964)),(L964-G964),"")</f>
        <v/>
      </c>
      <c r="O964" s="10" t="n">
        <v>45684.38554398148</v>
      </c>
      <c r="P964" s="11">
        <f>IF(AND(ISNUMBER(I964),ISNUMBER(O964)),(I964-O964),"")</f>
        <v/>
      </c>
      <c r="Q964" s="12" t="inlineStr">
        <is>
          <t>WG 1026104 entered track and got coupled to WG 1025802 then waited 5:25:38 for WG 1026501 to get coupled, OBTP started on 10:55:47 finished on 12:31:11 and then left at 12:33:14</t>
        </is>
      </c>
    </row>
    <row r="965">
      <c r="A965" s="3" t="inlineStr">
        <is>
          <t>1026105</t>
        </is>
      </c>
      <c r="B965" s="3" t="inlineStr">
        <is>
          <t>10261</t>
        </is>
      </c>
      <c r="C965" s="9" t="n">
        <v>179.16</v>
      </c>
      <c r="D965" s="3" t="inlineStr">
        <is>
          <t>Pitten (Hamburger)</t>
        </is>
      </c>
      <c r="E965" s="10" t="n">
        <v>45684.35555555556</v>
      </c>
      <c r="F965" s="10" t="n">
        <v>45684.38200231481</v>
      </c>
      <c r="G965" s="10" t="n">
        <v>45684.38425925926</v>
      </c>
      <c r="H965" s="3" t="inlineStr">
        <is>
          <t>OBT270125092111-Pitten (Hamburger)</t>
        </is>
      </c>
      <c r="I965" s="10" t="n">
        <v>45685.33599537037</v>
      </c>
      <c r="J965" s="10" t="n">
        <v>45685.36983796296</v>
      </c>
      <c r="K965" s="10" t="n">
        <v>45685.36983796296</v>
      </c>
      <c r="L965" s="10" t="n">
        <v>45685.3706712963</v>
      </c>
      <c r="M965" s="11">
        <f>IF(AND(ISNUMBER(E965),ISNUMBER(G965)),(G965-E965),"")</f>
        <v/>
      </c>
      <c r="N965" s="11">
        <f>IF(AND(ISNUMBER(G965),ISNUMBER(L965)),(L965-G965),"")</f>
        <v/>
      </c>
      <c r="O965" s="10" t="n">
        <v>45684.38662037037</v>
      </c>
      <c r="P965" s="11">
        <f>IF(AND(ISNUMBER(I965),ISNUMBER(O965)),(I965-O965),"")</f>
        <v/>
      </c>
      <c r="Q965" s="12" t="inlineStr">
        <is>
          <t>WG 1026105 entered track and got secured then waited 0:04:27 for WG 1026108 to get coupled, OBTP started on 08:03:50 finished on 08:52:34 and then left at 08:53:46</t>
        </is>
      </c>
    </row>
    <row r="966">
      <c r="A966" s="3" t="inlineStr">
        <is>
          <t>1026106</t>
        </is>
      </c>
      <c r="B966" s="3" t="inlineStr">
        <is>
          <t>10261</t>
        </is>
      </c>
      <c r="C966" s="9" t="n">
        <v>39.8</v>
      </c>
      <c r="D966" s="3" t="inlineStr">
        <is>
          <t>Felixdorf/Sollenau (Bundesheer, Maba)</t>
        </is>
      </c>
      <c r="E966" s="10" t="n">
        <v>45684.35555555556</v>
      </c>
      <c r="F966" s="10" t="n"/>
      <c r="G966" s="10" t="n"/>
      <c r="H966" s="3" t="n"/>
      <c r="I966" s="10" t="n"/>
      <c r="J966" s="10" t="n"/>
      <c r="K966" s="10" t="n"/>
      <c r="L966" s="10" t="n"/>
      <c r="M966" s="11">
        <f>IF(AND(ISNUMBER(E966),ISNUMBER(G966)),(G966-E966),"")</f>
        <v/>
      </c>
      <c r="N966" s="11">
        <f>IF(AND(ISNUMBER(G966),ISNUMBER(L966)),(L966-G966),"")</f>
        <v/>
      </c>
      <c r="O966" s="10" t="n"/>
      <c r="P966" s="11">
        <f>IF(AND(ISNUMBER(I966),ISNUMBER(O966)),(I966-O966),"")</f>
        <v/>
      </c>
      <c r="Q966" s="12" t="n"/>
    </row>
    <row r="967">
      <c r="A967" s="3" t="inlineStr">
        <is>
          <t>1026107</t>
        </is>
      </c>
      <c r="B967" s="3" t="inlineStr">
        <is>
          <t>10261</t>
        </is>
      </c>
      <c r="C967" s="9" t="n">
        <v>90.40000000000001</v>
      </c>
      <c r="D967" s="3" t="inlineStr">
        <is>
          <t>Neudörfl (FunderMax)</t>
        </is>
      </c>
      <c r="E967" s="10" t="n">
        <v>45684.35555555556</v>
      </c>
      <c r="F967" s="10" t="n"/>
      <c r="G967" s="10" t="n"/>
      <c r="H967" s="3" t="n"/>
      <c r="I967" s="10" t="n"/>
      <c r="J967" s="10" t="n"/>
      <c r="K967" s="10" t="n"/>
      <c r="L967" s="10" t="n"/>
      <c r="M967" s="11">
        <f>IF(AND(ISNUMBER(E967),ISNUMBER(G967)),(G967-E967),"")</f>
        <v/>
      </c>
      <c r="N967" s="11">
        <f>IF(AND(ISNUMBER(G967),ISNUMBER(L967)),(L967-G967),"")</f>
        <v/>
      </c>
      <c r="O967" s="10" t="n"/>
      <c r="P967" s="11">
        <f>IF(AND(ISNUMBER(I967),ISNUMBER(O967)),(I967-O967),"")</f>
        <v/>
      </c>
      <c r="Q967" s="12" t="n"/>
    </row>
    <row r="968">
      <c r="A968" s="3" t="inlineStr">
        <is>
          <t>1026108</t>
        </is>
      </c>
      <c r="B968" s="3" t="inlineStr">
        <is>
          <t>10261</t>
        </is>
      </c>
      <c r="C968" s="9" t="n">
        <v>15.74</v>
      </c>
      <c r="D968" s="3" t="inlineStr">
        <is>
          <t>Gloggnitz</t>
        </is>
      </c>
      <c r="E968" s="10" t="n">
        <v>45684.35555555556</v>
      </c>
      <c r="F968" s="10" t="n">
        <v>45684.38425925926</v>
      </c>
      <c r="G968" s="10" t="n">
        <v>45684.38614583333</v>
      </c>
      <c r="H968" s="3" t="inlineStr">
        <is>
          <t>OBT270125092111-Pitten (Hamburger)</t>
        </is>
      </c>
      <c r="I968" s="10" t="n">
        <v>45685.33599537037</v>
      </c>
      <c r="J968" s="10" t="n">
        <v>45685.36983796296</v>
      </c>
      <c r="K968" s="10" t="n">
        <v>45685.36983796296</v>
      </c>
      <c r="L968" s="10" t="n">
        <v>45685.3706712963</v>
      </c>
      <c r="M968" s="11">
        <f>IF(AND(ISNUMBER(E968),ISNUMBER(G968)),(G968-E968),"")</f>
        <v/>
      </c>
      <c r="N968" s="11">
        <f>IF(AND(ISNUMBER(G968),ISNUMBER(L968)),(L968-G968),"")</f>
        <v/>
      </c>
      <c r="O968" s="10" t="n">
        <v>45684.38971064815</v>
      </c>
      <c r="P968" s="11">
        <f>IF(AND(ISNUMBER(I968),ISNUMBER(O968)),(I968-O968),"")</f>
        <v/>
      </c>
      <c r="Q968" s="12" t="inlineStr">
        <is>
          <t>WG 1026108 entered track and got coupled to WG 1026105, OBTP started on 08:03:50 finished on 08:52:34 and then left at 08:53:46</t>
        </is>
      </c>
    </row>
    <row r="969">
      <c r="A969" s="3" t="inlineStr">
        <is>
          <t>1026109</t>
        </is>
      </c>
      <c r="B969" s="3" t="inlineStr">
        <is>
          <t>10261</t>
        </is>
      </c>
      <c r="C969" s="9" t="n">
        <v>19.9</v>
      </c>
      <c r="D969" s="3" t="inlineStr">
        <is>
          <t>Wr. Neustadt Ausfahrbf (Furtenbach)</t>
        </is>
      </c>
      <c r="E969" s="10" t="n">
        <v>45684.35555555556</v>
      </c>
      <c r="F969" s="10" t="n">
        <v>45684.38614583333</v>
      </c>
      <c r="G969" s="10" t="n">
        <v>45684.38774305556</v>
      </c>
      <c r="H969" s="3" t="inlineStr">
        <is>
          <t>OBT280125064741-Wien Kledering</t>
        </is>
      </c>
      <c r="I969" s="10" t="n">
        <v>45686.18910879629</v>
      </c>
      <c r="J969" s="10" t="n">
        <v>45686.2406712963</v>
      </c>
      <c r="K969" s="10" t="n">
        <v>45686.2406712963</v>
      </c>
      <c r="L969" s="10" t="n">
        <v>45686.24194444445</v>
      </c>
      <c r="M969" s="11">
        <f>IF(AND(ISNUMBER(E969),ISNUMBER(G969)),(G969-E969),"")</f>
        <v/>
      </c>
      <c r="N969" s="11">
        <f>IF(AND(ISNUMBER(G969),ISNUMBER(L969)),(L969-G969),"")</f>
        <v/>
      </c>
      <c r="O969" s="10" t="n">
        <v>45684.39163194445</v>
      </c>
      <c r="P969" s="11">
        <f>IF(AND(ISNUMBER(I969),ISNUMBER(O969)),(I969-O969),"")</f>
        <v/>
      </c>
      <c r="Q969" s="12" t="inlineStr">
        <is>
          <t>WG 1026109 entered track and got coupled to WG 1025806 then waited 21:23:44 for WG 1027201 to get coupled, OBTP started on 04:32:19 finished on 05:46:34 and then left at 05:48:24</t>
        </is>
      </c>
    </row>
    <row r="970">
      <c r="A970" s="3" t="inlineStr">
        <is>
          <t>1026110</t>
        </is>
      </c>
      <c r="B970" s="3" t="inlineStr">
        <is>
          <t>10261</t>
        </is>
      </c>
      <c r="C970" s="9" t="n">
        <v>42</v>
      </c>
      <c r="D970" s="3" t="inlineStr">
        <is>
          <t>Wr. Neustadt (Brenntag)</t>
        </is>
      </c>
      <c r="E970" s="10" t="n">
        <v>45684.35555555556</v>
      </c>
      <c r="F970" s="10" t="n">
        <v>45684.38774305556</v>
      </c>
      <c r="G970" s="10" t="n">
        <v>45684.38893518518</v>
      </c>
      <c r="H970" s="3" t="inlineStr">
        <is>
          <t>OBT270125105122-Wien Kledering</t>
        </is>
      </c>
      <c r="I970" s="10" t="n">
        <v>45685.39344907407</v>
      </c>
      <c r="J970" s="10" t="n">
        <v>45685.46195601852</v>
      </c>
      <c r="K970" s="10" t="n">
        <v>45685.46195601852</v>
      </c>
      <c r="L970" s="10" t="n">
        <v>45685.46333333333</v>
      </c>
      <c r="M970" s="11">
        <f>IF(AND(ISNUMBER(E970),ISNUMBER(G970)),(G970-E970),"")</f>
        <v/>
      </c>
      <c r="N970" s="11">
        <f>IF(AND(ISNUMBER(G970),ISNUMBER(L970)),(L970-G970),"")</f>
        <v/>
      </c>
      <c r="O970" s="10" t="n">
        <v>45684.39247685186</v>
      </c>
      <c r="P970" s="11">
        <f>IF(AND(ISNUMBER(I970),ISNUMBER(O970)),(I970-O970),"")</f>
        <v/>
      </c>
      <c r="Q970" s="12" t="inlineStr">
        <is>
          <t>WG 1026110 entered track and got coupled to WG 1026103 then waited 1:26:12 for WG 1026301 to get coupled, OBTP started on 09:26:34 finished on 11:05:13 and then left at 11:07:12</t>
        </is>
      </c>
    </row>
    <row r="971">
      <c r="A971" s="3" t="inlineStr">
        <is>
          <t>1026111</t>
        </is>
      </c>
      <c r="B971" s="3" t="inlineStr">
        <is>
          <t>10261</t>
        </is>
      </c>
      <c r="C971" s="9" t="n">
        <v>66.38</v>
      </c>
      <c r="D971" s="3" t="inlineStr">
        <is>
          <t>Other sidings north</t>
        </is>
      </c>
      <c r="E971" s="10" t="n">
        <v>45684.35555555556</v>
      </c>
      <c r="F971" s="10" t="n"/>
      <c r="G971" s="10" t="n"/>
      <c r="H971" s="3" t="n"/>
      <c r="I971" s="10" t="n"/>
      <c r="J971" s="10" t="n"/>
      <c r="K971" s="10" t="n"/>
      <c r="L971" s="10" t="n"/>
      <c r="M971" s="11">
        <f>IF(AND(ISNUMBER(E971),ISNUMBER(G971)),(G971-E971),"")</f>
        <v/>
      </c>
      <c r="N971" s="11">
        <f>IF(AND(ISNUMBER(G971),ISNUMBER(L971)),(L971-G971),"")</f>
        <v/>
      </c>
      <c r="O971" s="10" t="n"/>
      <c r="P971" s="11">
        <f>IF(AND(ISNUMBER(I971),ISNUMBER(O971)),(I971-O971),"")</f>
        <v/>
      </c>
      <c r="Q971" s="12" t="n"/>
    </row>
    <row r="972">
      <c r="A972" s="3" t="inlineStr">
        <is>
          <t>1026112</t>
        </is>
      </c>
      <c r="B972" s="3" t="inlineStr">
        <is>
          <t>10261</t>
        </is>
      </c>
      <c r="C972" s="9" t="n">
        <v>15.74</v>
      </c>
      <c r="D972" s="3" t="inlineStr">
        <is>
          <t>Obereggendorf (Hofer)</t>
        </is>
      </c>
      <c r="E972" s="10" t="n">
        <v>45684.35555555556</v>
      </c>
      <c r="F972" s="10" t="n">
        <v>45684.38893518518</v>
      </c>
      <c r="G972" s="10" t="n">
        <v>45684.39085648148</v>
      </c>
      <c r="H972" s="3" t="inlineStr">
        <is>
          <t>OBT280125031334-St. Veit an der Glan</t>
        </is>
      </c>
      <c r="I972" s="10" t="n">
        <v>45686.13351851852</v>
      </c>
      <c r="J972" s="10" t="n">
        <v>45686.15229166667</v>
      </c>
      <c r="K972" s="10" t="n">
        <v>45686.15229166667</v>
      </c>
      <c r="L972" s="10" t="n">
        <v>45686.1530787037</v>
      </c>
      <c r="M972" s="11">
        <f>IF(AND(ISNUMBER(E972),ISNUMBER(G972)),(G972-E972),"")</f>
        <v/>
      </c>
      <c r="N972" s="11">
        <f>IF(AND(ISNUMBER(G972),ISNUMBER(L972)),(L972-G972),"")</f>
        <v/>
      </c>
      <c r="O972" s="10" t="n">
        <v>45684.3944212963</v>
      </c>
      <c r="P972" s="11">
        <f>IF(AND(ISNUMBER(I972),ISNUMBER(O972)),(I972-O972),"")</f>
        <v/>
      </c>
      <c r="Q972" s="12" t="inlineStr">
        <is>
          <t>WG 1026112 entered track and got coupled to WG 1025504 then waited 8:39:07 for WG 1026902 to get coupled then waited 9:06:29 for WG 1027101 to get coupled, OBTP started on 03:12:16 finished on 03:39:18 and then left at 03:40:26</t>
        </is>
      </c>
    </row>
    <row r="973">
      <c r="A973" s="3" t="inlineStr">
        <is>
          <t>1026201</t>
        </is>
      </c>
      <c r="B973" s="3" t="inlineStr">
        <is>
          <t>10262</t>
        </is>
      </c>
      <c r="C973" s="9" t="n">
        <v>225.1</v>
      </c>
      <c r="D973" s="3" t="inlineStr">
        <is>
          <t>Wien Kledering</t>
        </is>
      </c>
      <c r="E973" s="10" t="n">
        <v>45684.35585648148</v>
      </c>
      <c r="F973" s="10" t="n"/>
      <c r="G973" s="10" t="n"/>
      <c r="H973" s="3" t="n"/>
      <c r="I973" s="10" t="n"/>
      <c r="J973" s="10" t="n"/>
      <c r="K973" s="10" t="n"/>
      <c r="L973" s="10" t="n"/>
      <c r="M973" s="11">
        <f>IF(AND(ISNUMBER(E973),ISNUMBER(G973)),(G973-E973),"")</f>
        <v/>
      </c>
      <c r="N973" s="11">
        <f>IF(AND(ISNUMBER(G973),ISNUMBER(L973)),(L973-G973),"")</f>
        <v/>
      </c>
      <c r="O973" s="10" t="n"/>
      <c r="P973" s="11">
        <f>IF(AND(ISNUMBER(I973),ISNUMBER(O973)),(I973-O973),"")</f>
        <v/>
      </c>
      <c r="Q973" s="12" t="n"/>
    </row>
    <row r="974">
      <c r="A974" s="3" t="inlineStr">
        <is>
          <t>1026202</t>
        </is>
      </c>
      <c r="B974" s="3" t="inlineStr">
        <is>
          <t>10262</t>
        </is>
      </c>
      <c r="C974" s="9" t="n">
        <v>165.4</v>
      </c>
      <c r="D974" s="3" t="inlineStr">
        <is>
          <t>St. Veit an der Glan</t>
        </is>
      </c>
      <c r="E974" s="10" t="n">
        <v>45684.35585648148</v>
      </c>
      <c r="F974" s="10" t="n"/>
      <c r="G974" s="10" t="n"/>
      <c r="H974" s="3" t="n"/>
      <c r="I974" s="10" t="n"/>
      <c r="J974" s="10" t="n"/>
      <c r="K974" s="10" t="n"/>
      <c r="L974" s="10" t="n"/>
      <c r="M974" s="11">
        <f>IF(AND(ISNUMBER(E974),ISNUMBER(G974)),(G974-E974),"")</f>
        <v/>
      </c>
      <c r="N974" s="11">
        <f>IF(AND(ISNUMBER(G974),ISNUMBER(L974)),(L974-G974),"")</f>
        <v/>
      </c>
      <c r="O974" s="10" t="n"/>
      <c r="P974" s="11">
        <f>IF(AND(ISNUMBER(I974),ISNUMBER(O974)),(I974-O974),"")</f>
        <v/>
      </c>
      <c r="Q974" s="12" t="n"/>
    </row>
    <row r="975">
      <c r="A975" s="3" t="inlineStr">
        <is>
          <t>1026301</t>
        </is>
      </c>
      <c r="B975" s="3" t="inlineStr">
        <is>
          <t>10263</t>
        </is>
      </c>
      <c r="C975" s="9" t="n">
        <v>394.6</v>
      </c>
      <c r="D975" s="3" t="inlineStr">
        <is>
          <t>Wien Kledering</t>
        </is>
      </c>
      <c r="E975" s="10" t="n">
        <v>45684.43972222223</v>
      </c>
      <c r="F975" s="10" t="n">
        <v>45684.44790509259</v>
      </c>
      <c r="G975" s="10" t="n">
        <v>45684.44994212963</v>
      </c>
      <c r="H975" s="3" t="inlineStr">
        <is>
          <t>OBT270125105122-Wien Kledering</t>
        </is>
      </c>
      <c r="I975" s="10" t="n">
        <v>45685.39344907407</v>
      </c>
      <c r="J975" s="10" t="n">
        <v>45685.46195601852</v>
      </c>
      <c r="K975" s="10" t="n">
        <v>45685.46195601852</v>
      </c>
      <c r="L975" s="10" t="n">
        <v>45685.46333333333</v>
      </c>
      <c r="M975" s="11">
        <f>IF(AND(ISNUMBER(E975),ISNUMBER(G975)),(G975-E975),"")</f>
        <v/>
      </c>
      <c r="N975" s="11">
        <f>IF(AND(ISNUMBER(G975),ISNUMBER(L975)),(L975-G975),"")</f>
        <v/>
      </c>
      <c r="O975" s="10" t="n">
        <v>45684.45233796296</v>
      </c>
      <c r="P975" s="11">
        <f>IF(AND(ISNUMBER(I975),ISNUMBER(O975)),(I975-O975),"")</f>
        <v/>
      </c>
      <c r="Q975" s="12" t="inlineStr">
        <is>
          <t>WG 1026301 entered track and got secured, OBTP started on 09:26:34 finished on 11:05:13 and then left at 11:07:12</t>
        </is>
      </c>
    </row>
    <row r="976">
      <c r="A976" s="3" t="inlineStr">
        <is>
          <t>1026302</t>
        </is>
      </c>
      <c r="B976" s="3" t="inlineStr">
        <is>
          <t>10263</t>
        </is>
      </c>
      <c r="C976" s="9" t="n">
        <v>40.9</v>
      </c>
      <c r="D976" s="3" t="inlineStr">
        <is>
          <t>St. Veit an der Glan</t>
        </is>
      </c>
      <c r="E976" s="10" t="n">
        <v>45684.43972222223</v>
      </c>
      <c r="F976" s="10" t="n">
        <v>45684.44994212963</v>
      </c>
      <c r="G976" s="10" t="n">
        <v>45684.45202546296</v>
      </c>
      <c r="H976" s="3" t="inlineStr">
        <is>
          <t>OBT270125161730-St. Veit an der Glan</t>
        </is>
      </c>
      <c r="I976" s="10" t="n">
        <v>45685.55023148148</v>
      </c>
      <c r="J976" s="10" t="n">
        <v>45685.57075231482</v>
      </c>
      <c r="K976" s="10" t="n">
        <v>45685.57075231482</v>
      </c>
      <c r="L976" s="10" t="n">
        <v>45685.57152777778</v>
      </c>
      <c r="M976" s="11">
        <f>IF(AND(ISNUMBER(E976),ISNUMBER(G976)),(G976-E976),"")</f>
        <v/>
      </c>
      <c r="N976" s="11">
        <f>IF(AND(ISNUMBER(G976),ISNUMBER(L976)),(L976-G976),"")</f>
        <v/>
      </c>
      <c r="O976" s="10" t="n">
        <v>45684.45440972222</v>
      </c>
      <c r="P976" s="11">
        <f>IF(AND(ISNUMBER(I976),ISNUMBER(O976)),(I976-O976),"")</f>
        <v/>
      </c>
      <c r="Q976" s="12" t="inlineStr">
        <is>
          <t>WG 1026302 entered track and got secured then waited 5:23:09 for WG 1026701 to get coupled, OBTP started on 13:12:20 finished on 13:41:53 and then left at 13:43:00</t>
        </is>
      </c>
    </row>
    <row r="977">
      <c r="A977" s="3" t="inlineStr">
        <is>
          <t>1026401</t>
        </is>
      </c>
      <c r="B977" s="3" t="inlineStr">
        <is>
          <t>10264</t>
        </is>
      </c>
      <c r="C977" s="9" t="n">
        <v>212.1</v>
      </c>
      <c r="D977" s="3" t="inlineStr">
        <is>
          <t>Wien Kledering</t>
        </is>
      </c>
      <c r="E977" s="10" t="n">
        <v>45684.53069444445</v>
      </c>
      <c r="F977" s="10" t="n">
        <v>45684.53606481481</v>
      </c>
      <c r="G977" s="10" t="n">
        <v>45684.53824074074</v>
      </c>
      <c r="H977" s="3" t="inlineStr">
        <is>
          <t>OBT270125125831-Wien Kledering</t>
        </is>
      </c>
      <c r="I977" s="10" t="n">
        <v>45685.41371527778</v>
      </c>
      <c r="J977" s="10" t="n">
        <v>45685.45054398148</v>
      </c>
      <c r="K977" s="10" t="n">
        <v>45685.45054398148</v>
      </c>
      <c r="L977" s="10" t="n">
        <v>45685.45163194444</v>
      </c>
      <c r="M977" s="11">
        <f>IF(AND(ISNUMBER(E977),ISNUMBER(G977)),(G977-E977),"")</f>
        <v/>
      </c>
      <c r="N977" s="11">
        <f>IF(AND(ISNUMBER(G977),ISNUMBER(L977)),(L977-G977),"")</f>
        <v/>
      </c>
      <c r="O977" s="10" t="n">
        <v>45684.54063657407</v>
      </c>
      <c r="P977" s="11">
        <f>IF(AND(ISNUMBER(I977),ISNUMBER(O977)),(I977-O977),"")</f>
        <v/>
      </c>
      <c r="Q977" s="12" t="inlineStr">
        <is>
          <t>WG 1026401 entered track and got secured, OBTP started on 09:55:45 finished on 10:48:47 and then left at 10:50:21</t>
        </is>
      </c>
    </row>
    <row r="978">
      <c r="A978" s="3" t="inlineStr">
        <is>
          <t>1026501</t>
        </is>
      </c>
      <c r="B978" s="3" t="inlineStr">
        <is>
          <t>10265</t>
        </is>
      </c>
      <c r="C978" s="9" t="n">
        <v>381.5600000000001</v>
      </c>
      <c r="D978" s="3" t="inlineStr">
        <is>
          <t>Wien Kledering</t>
        </is>
      </c>
      <c r="E978" s="10" t="n">
        <v>45684.59998842593</v>
      </c>
      <c r="F978" s="10" t="n">
        <v>45684.60670138889</v>
      </c>
      <c r="G978" s="10" t="n">
        <v>45684.60950231482</v>
      </c>
      <c r="H978" s="3" t="inlineStr">
        <is>
          <t>OBT270125144049-Wien Kledering</t>
        </is>
      </c>
      <c r="I978" s="10" t="n">
        <v>45685.45540509259</v>
      </c>
      <c r="J978" s="10" t="n">
        <v>45685.52165509259</v>
      </c>
      <c r="K978" s="10" t="n">
        <v>45685.52165509259</v>
      </c>
      <c r="L978" s="10" t="n">
        <v>45685.52307870371</v>
      </c>
      <c r="M978" s="11">
        <f>IF(AND(ISNUMBER(E978),ISNUMBER(G978)),(G978-E978),"")</f>
        <v/>
      </c>
      <c r="N978" s="11">
        <f>IF(AND(ISNUMBER(G978),ISNUMBER(L978)),(L978-G978),"")</f>
        <v/>
      </c>
      <c r="O978" s="10" t="n">
        <v>45684.61167824074</v>
      </c>
      <c r="P978" s="11">
        <f>IF(AND(ISNUMBER(I978),ISNUMBER(O978)),(I978-O978),"")</f>
        <v/>
      </c>
      <c r="Q978" s="12" t="inlineStr">
        <is>
          <t>WG 1026501 entered track and got secured, OBTP started on 10:55:47 finished on 12:31:11 and then left at 12:33:14</t>
        </is>
      </c>
    </row>
    <row r="979">
      <c r="A979" s="3" t="inlineStr">
        <is>
          <t>1026601</t>
        </is>
      </c>
      <c r="B979" s="3" t="inlineStr">
        <is>
          <t>10266</t>
        </is>
      </c>
      <c r="C979" s="9" t="n">
        <v>15.74</v>
      </c>
      <c r="D979" s="3" t="inlineStr">
        <is>
          <t>Wien Kledering</t>
        </is>
      </c>
      <c r="E979" s="10" t="n">
        <v>45684.64430555556</v>
      </c>
      <c r="F979" s="10" t="n">
        <v>45684.64809027778</v>
      </c>
      <c r="G979" s="10" t="n">
        <v>45684.65017361111</v>
      </c>
      <c r="H979" s="3" t="inlineStr">
        <is>
          <t>OBT270125162126-Wien Kledering</t>
        </is>
      </c>
      <c r="I979" s="10" t="n">
        <v>45685.60773148148</v>
      </c>
      <c r="J979" s="10" t="n">
        <v>45685.66355324074</v>
      </c>
      <c r="K979" s="10" t="n">
        <v>45685.66355324074</v>
      </c>
      <c r="L979" s="10" t="n">
        <v>45685.66481481482</v>
      </c>
      <c r="M979" s="11">
        <f>IF(AND(ISNUMBER(E979),ISNUMBER(G979)),(G979-E979),"")</f>
        <v/>
      </c>
      <c r="N979" s="11">
        <f>IF(AND(ISNUMBER(G979),ISNUMBER(L979)),(L979-G979),"")</f>
        <v/>
      </c>
      <c r="O979" s="10" t="n">
        <v>45684.65234953703</v>
      </c>
      <c r="P979" s="11">
        <f>IF(AND(ISNUMBER(I979),ISNUMBER(O979)),(I979-O979),"")</f>
        <v/>
      </c>
      <c r="Q979" s="12" t="inlineStr">
        <is>
          <t>WG 1026601 entered track and got secured then waited 0:42:03 for WG 1026702 to get coupled, OBTP started on 14:35:08 finished on 15:55:31 and then left at 15:57:20</t>
        </is>
      </c>
    </row>
    <row r="980">
      <c r="A980" s="3" t="inlineStr">
        <is>
          <t>1026701</t>
        </is>
      </c>
      <c r="B980" s="3" t="inlineStr">
        <is>
          <t>10267</t>
        </is>
      </c>
      <c r="C980" s="9" t="n">
        <v>77.3</v>
      </c>
      <c r="D980" s="3" t="inlineStr">
        <is>
          <t>St. Veit an der Glan</t>
        </is>
      </c>
      <c r="E980" s="10" t="n">
        <v>45684.6653125</v>
      </c>
      <c r="F980" s="10" t="n">
        <v>45684.6730787037</v>
      </c>
      <c r="G980" s="10" t="n">
        <v>45684.67525462963</v>
      </c>
      <c r="H980" s="3" t="inlineStr">
        <is>
          <t>OBT270125161730-St. Veit an der Glan</t>
        </is>
      </c>
      <c r="I980" s="10" t="n">
        <v>45685.55023148148</v>
      </c>
      <c r="J980" s="10" t="n">
        <v>45685.57075231482</v>
      </c>
      <c r="K980" s="10" t="n">
        <v>45685.57075231482</v>
      </c>
      <c r="L980" s="10" t="n">
        <v>45685.57152777778</v>
      </c>
      <c r="M980" s="11">
        <f>IF(AND(ISNUMBER(E980),ISNUMBER(G980)),(G980-E980),"")</f>
        <v/>
      </c>
      <c r="N980" s="11">
        <f>IF(AND(ISNUMBER(G980),ISNUMBER(L980)),(L980-G980),"")</f>
        <v/>
      </c>
      <c r="O980" s="10" t="n">
        <v>45684.67881944445</v>
      </c>
      <c r="P980" s="11">
        <f>IF(AND(ISNUMBER(I980),ISNUMBER(O980)),(I980-O980),"")</f>
        <v/>
      </c>
      <c r="Q980" s="12" t="inlineStr">
        <is>
          <t>WG 1026701 entered track and got coupled to WG 1026302, OBTP started on 13:12:20 finished on 13:41:53 and then left at 13:43:00</t>
        </is>
      </c>
    </row>
    <row r="981">
      <c r="A981" s="3" t="inlineStr">
        <is>
          <t>1026702</t>
        </is>
      </c>
      <c r="B981" s="3" t="inlineStr">
        <is>
          <t>10267</t>
        </is>
      </c>
      <c r="C981" s="9" t="n">
        <v>305.8</v>
      </c>
      <c r="D981" s="3" t="inlineStr">
        <is>
          <t>Wien Kledering</t>
        </is>
      </c>
      <c r="E981" s="10" t="n">
        <v>45684.6653125</v>
      </c>
      <c r="F981" s="10" t="n">
        <v>45684.67525462963</v>
      </c>
      <c r="G981" s="10" t="n">
        <v>45684.67765046296</v>
      </c>
      <c r="H981" s="3" t="inlineStr">
        <is>
          <t>OBT270125162126-Wien Kledering</t>
        </is>
      </c>
      <c r="I981" s="10" t="n">
        <v>45685.60773148148</v>
      </c>
      <c r="J981" s="10" t="n">
        <v>45685.66355324074</v>
      </c>
      <c r="K981" s="10" t="n">
        <v>45685.66355324074</v>
      </c>
      <c r="L981" s="10" t="n">
        <v>45685.66481481482</v>
      </c>
      <c r="M981" s="11">
        <f>IF(AND(ISNUMBER(E981),ISNUMBER(G981)),(G981-E981),"")</f>
        <v/>
      </c>
      <c r="N981" s="11">
        <f>IF(AND(ISNUMBER(G981),ISNUMBER(L981)),(L981-G981),"")</f>
        <v/>
      </c>
      <c r="O981" s="10" t="n">
        <v>45684.68155092592</v>
      </c>
      <c r="P981" s="11">
        <f>IF(AND(ISNUMBER(I981),ISNUMBER(O981)),(I981-O981),"")</f>
        <v/>
      </c>
      <c r="Q981" s="12" t="inlineStr">
        <is>
          <t>WG 1026702 entered track and got coupled to WG 1026601, OBTP started on 14:35:08 finished on 15:55:31 and then left at 15:57:20</t>
        </is>
      </c>
    </row>
    <row r="982">
      <c r="A982" s="3" t="inlineStr">
        <is>
          <t>1026801</t>
        </is>
      </c>
      <c r="B982" s="3" t="inlineStr">
        <is>
          <t>10268</t>
        </is>
      </c>
      <c r="C982" s="9" t="n">
        <v>232.4</v>
      </c>
      <c r="D982" s="3" t="inlineStr">
        <is>
          <t>Wien Kledering</t>
        </is>
      </c>
      <c r="E982" s="10" t="n">
        <v>45684.73231481481</v>
      </c>
      <c r="F982" s="10" t="n">
        <v>45684.73784722222</v>
      </c>
      <c r="G982" s="10" t="n">
        <v>45684.7397337963</v>
      </c>
      <c r="H982" s="3" t="inlineStr">
        <is>
          <t>OBT270125174840-Wien Kledering</t>
        </is>
      </c>
      <c r="I982" s="10" t="n">
        <v>45685.63396990741</v>
      </c>
      <c r="J982" s="10" t="n">
        <v>45685.67431712963</v>
      </c>
      <c r="K982" s="10" t="n">
        <v>45685.67431712963</v>
      </c>
      <c r="L982" s="10" t="n">
        <v>45685.67533564815</v>
      </c>
      <c r="M982" s="11">
        <f>IF(AND(ISNUMBER(E982),ISNUMBER(G982)),(G982-E982),"")</f>
        <v/>
      </c>
      <c r="N982" s="11">
        <f>IF(AND(ISNUMBER(G982),ISNUMBER(L982)),(L982-G982),"")</f>
        <v/>
      </c>
      <c r="O982" s="10" t="n">
        <v>45684.74212962963</v>
      </c>
      <c r="P982" s="11">
        <f>IF(AND(ISNUMBER(I982),ISNUMBER(O982)),(I982-O982),"")</f>
        <v/>
      </c>
      <c r="Q982" s="12" t="inlineStr">
        <is>
          <t>WG 1026801 entered track and got secured, OBTP started on 15:12:55 finished on 16:11:01 and then left at 16:12:29</t>
        </is>
      </c>
    </row>
    <row r="983">
      <c r="A983" s="3" t="inlineStr">
        <is>
          <t>1026901</t>
        </is>
      </c>
      <c r="B983" s="3" t="inlineStr">
        <is>
          <t>10269</t>
        </is>
      </c>
      <c r="C983" s="9" t="n">
        <v>310.6</v>
      </c>
      <c r="D983" s="3" t="inlineStr">
        <is>
          <t>Wien Kledering</t>
        </is>
      </c>
      <c r="E983" s="10" t="n">
        <v>45684.73846064815</v>
      </c>
      <c r="F983" s="10" t="n">
        <v>45684.74787037037</v>
      </c>
      <c r="G983" s="10" t="n">
        <v>45684.75043981482</v>
      </c>
      <c r="H983" s="3" t="inlineStr">
        <is>
          <t>OBT270125180405-Wien Kledering</t>
        </is>
      </c>
      <c r="I983" s="10" t="n">
        <v>45685.6533449074</v>
      </c>
      <c r="J983" s="10" t="n">
        <v>45685.70726851852</v>
      </c>
      <c r="K983" s="10" t="n">
        <v>45685.70726851852</v>
      </c>
      <c r="L983" s="10" t="n">
        <v>45685.70836805556</v>
      </c>
      <c r="M983" s="11">
        <f>IF(AND(ISNUMBER(E983),ISNUMBER(G983)),(G983-E983),"")</f>
        <v/>
      </c>
      <c r="N983" s="11">
        <f>IF(AND(ISNUMBER(G983),ISNUMBER(L983)),(L983-G983),"")</f>
        <v/>
      </c>
      <c r="O983" s="10" t="n">
        <v>45684.75283564815</v>
      </c>
      <c r="P983" s="11">
        <f>IF(AND(ISNUMBER(I983),ISNUMBER(O983)),(I983-O983),"")</f>
        <v/>
      </c>
      <c r="Q983" s="12" t="inlineStr">
        <is>
          <t>WG 1026901 entered track and got secured, OBTP started on 15:40:49 finished on 16:58:28 and then left at 17:00:03</t>
        </is>
      </c>
    </row>
    <row r="984">
      <c r="A984" s="3" t="inlineStr">
        <is>
          <t>1026902</t>
        </is>
      </c>
      <c r="B984" s="3" t="inlineStr">
        <is>
          <t>10269</t>
        </is>
      </c>
      <c r="C984" s="9" t="n">
        <v>84</v>
      </c>
      <c r="D984" s="3" t="inlineStr">
        <is>
          <t>St. Veit an der Glan</t>
        </is>
      </c>
      <c r="E984" s="10" t="n">
        <v>45684.73846064815</v>
      </c>
      <c r="F984" s="10" t="n">
        <v>45684.75043981482</v>
      </c>
      <c r="G984" s="10" t="n">
        <v>45684.75252314815</v>
      </c>
      <c r="H984" s="3" t="inlineStr">
        <is>
          <t>OBT280125031334-St. Veit an der Glan</t>
        </is>
      </c>
      <c r="I984" s="10" t="n">
        <v>45686.13351851852</v>
      </c>
      <c r="J984" s="10" t="n">
        <v>45686.15229166667</v>
      </c>
      <c r="K984" s="10" t="n">
        <v>45686.15229166667</v>
      </c>
      <c r="L984" s="10" t="n">
        <v>45686.1530787037</v>
      </c>
      <c r="M984" s="11">
        <f>IF(AND(ISNUMBER(E984),ISNUMBER(G984)),(G984-E984),"")</f>
        <v/>
      </c>
      <c r="N984" s="11">
        <f>IF(AND(ISNUMBER(G984),ISNUMBER(L984)),(L984-G984),"")</f>
        <v/>
      </c>
      <c r="O984" s="10" t="n">
        <v>45684.75491898148</v>
      </c>
      <c r="P984" s="11">
        <f>IF(AND(ISNUMBER(I984),ISNUMBER(O984)),(I984-O984),"")</f>
        <v/>
      </c>
      <c r="Q984" s="12" t="inlineStr">
        <is>
          <t>WG 1026902 entered track and got secured then waited 9:06:29 for WG 1027101 to get coupled, OBTP started on 03:12:16 finished on 03:39:18 and then left at 03:40:26</t>
        </is>
      </c>
    </row>
    <row r="985">
      <c r="A985" s="3" t="inlineStr">
        <is>
          <t>1026903</t>
        </is>
      </c>
      <c r="B985" s="3" t="inlineStr">
        <is>
          <t>10269</t>
        </is>
      </c>
      <c r="C985" s="9" t="n">
        <v>51.38</v>
      </c>
      <c r="D985" s="3" t="inlineStr">
        <is>
          <t>Wien Kledering</t>
        </is>
      </c>
      <c r="E985" s="10" t="n">
        <v>45684.73846064815</v>
      </c>
      <c r="F985" s="10" t="n">
        <v>45684.75252314815</v>
      </c>
      <c r="G985" s="10" t="n">
        <v>45684.75385416667</v>
      </c>
      <c r="H985" s="3" t="inlineStr">
        <is>
          <t>OBT270125212041-Wien Kledering</t>
        </is>
      </c>
      <c r="I985" s="10" t="n">
        <v>45685.823125</v>
      </c>
      <c r="J985" s="10" t="n">
        <v>45685.90101851852</v>
      </c>
      <c r="K985" s="10" t="n">
        <v>45685.90101851852</v>
      </c>
      <c r="L985" s="10" t="n">
        <v>45685.90248842593</v>
      </c>
      <c r="M985" s="11">
        <f>IF(AND(ISNUMBER(E985),ISNUMBER(G985)),(G985-E985),"")</f>
        <v/>
      </c>
      <c r="N985" s="11">
        <f>IF(AND(ISNUMBER(G985),ISNUMBER(L985)),(L985-G985),"")</f>
        <v/>
      </c>
      <c r="O985" s="10" t="n">
        <v>45684.75625</v>
      </c>
      <c r="P985" s="11">
        <f>IF(AND(ISNUMBER(I985),ISNUMBER(O985)),(I985-O985),"")</f>
        <v/>
      </c>
      <c r="Q985" s="12" t="inlineStr">
        <is>
          <t>WG 1026903 entered track and got secured then waited 3:11:41 for WG 1027001 to get coupled, OBTP started on 19:45:18 finished on 21:37:28 and then left at 21:39:35</t>
        </is>
      </c>
    </row>
    <row r="986">
      <c r="A986" s="3" t="inlineStr">
        <is>
          <t>1027001</t>
        </is>
      </c>
      <c r="B986" s="3" t="inlineStr">
        <is>
          <t>10270</t>
        </is>
      </c>
      <c r="C986" s="9" t="n">
        <v>397.3000000000001</v>
      </c>
      <c r="D986" s="3" t="inlineStr">
        <is>
          <t>Wien Kledering</t>
        </is>
      </c>
      <c r="E986" s="10" t="n">
        <v>45684.87646990741</v>
      </c>
      <c r="F986" s="10" t="n">
        <v>45684.88331018519</v>
      </c>
      <c r="G986" s="10" t="n">
        <v>45684.88546296296</v>
      </c>
      <c r="H986" s="3" t="inlineStr">
        <is>
          <t>OBT270125212041-Wien Kledering</t>
        </is>
      </c>
      <c r="I986" s="10" t="n">
        <v>45685.823125</v>
      </c>
      <c r="J986" s="10" t="n">
        <v>45685.90101851852</v>
      </c>
      <c r="K986" s="10" t="n">
        <v>45685.90101851852</v>
      </c>
      <c r="L986" s="10" t="n">
        <v>45685.90248842593</v>
      </c>
      <c r="M986" s="11">
        <f>IF(AND(ISNUMBER(E986),ISNUMBER(G986)),(G986-E986),"")</f>
        <v/>
      </c>
      <c r="N986" s="11">
        <f>IF(AND(ISNUMBER(G986),ISNUMBER(L986)),(L986-G986),"")</f>
        <v/>
      </c>
      <c r="O986" s="10" t="n">
        <v>45684.88936342593</v>
      </c>
      <c r="P986" s="11">
        <f>IF(AND(ISNUMBER(I986),ISNUMBER(O986)),(I986-O986),"")</f>
        <v/>
      </c>
      <c r="Q986" s="12" t="inlineStr">
        <is>
          <t>WG 1027001 entered track and got coupled to WG 1026903, OBTP started on 19:45:18 finished on 21:37:28 and then left at 21:39:35</t>
        </is>
      </c>
    </row>
    <row r="987">
      <c r="A987" s="3" t="inlineStr">
        <is>
          <t>1027101</t>
        </is>
      </c>
      <c r="B987" s="3" t="inlineStr">
        <is>
          <t>10271</t>
        </is>
      </c>
      <c r="C987" s="9" t="n">
        <v>24.08</v>
      </c>
      <c r="D987" s="3" t="inlineStr">
        <is>
          <t>Ternitz (Schoeller-Bleckmann)</t>
        </is>
      </c>
      <c r="E987" s="10" t="n">
        <v>45685.12155092593</v>
      </c>
      <c r="F987" s="10" t="n">
        <v>45685.1285300926</v>
      </c>
      <c r="G987" s="10" t="n">
        <v>45685.13049768518</v>
      </c>
      <c r="H987" s="3" t="inlineStr">
        <is>
          <t>OBT280125031334-St. Veit an der Glan</t>
        </is>
      </c>
      <c r="I987" s="10" t="n">
        <v>45686.13351851852</v>
      </c>
      <c r="J987" s="10" t="n">
        <v>45686.15229166667</v>
      </c>
      <c r="K987" s="10" t="n">
        <v>45686.15229166667</v>
      </c>
      <c r="L987" s="10" t="n">
        <v>45686.1530787037</v>
      </c>
      <c r="M987" s="11">
        <f>IF(AND(ISNUMBER(E987),ISNUMBER(G987)),(G987-E987),"")</f>
        <v/>
      </c>
      <c r="N987" s="11">
        <f>IF(AND(ISNUMBER(G987),ISNUMBER(L987)),(L987-G987),"")</f>
        <v/>
      </c>
      <c r="O987" s="10" t="n">
        <v>45685.13442129629</v>
      </c>
      <c r="P987" s="11">
        <f>IF(AND(ISNUMBER(I987),ISNUMBER(O987)),(I987-O987),"")</f>
        <v/>
      </c>
      <c r="Q987" s="12" t="inlineStr">
        <is>
          <t>WG 1027101 entered track and got coupled to WG 1026902, OBTP started on 03:12:16 finished on 03:39:18 and then left at 03:40:26</t>
        </is>
      </c>
    </row>
    <row r="988">
      <c r="A988" s="3" t="inlineStr">
        <is>
          <t>1027102</t>
        </is>
      </c>
      <c r="B988" s="3" t="inlineStr">
        <is>
          <t>10271</t>
        </is>
      </c>
      <c r="C988" s="9" t="n">
        <v>101.7</v>
      </c>
      <c r="D988" s="3" t="inlineStr">
        <is>
          <t>Neunkirchen (loading tracks)</t>
        </is>
      </c>
      <c r="E988" s="10" t="n">
        <v>45685.12155092593</v>
      </c>
      <c r="F988" s="10" t="n">
        <v>45685.13049768518</v>
      </c>
      <c r="G988" s="10" t="n">
        <v>45685.13186342592</v>
      </c>
      <c r="H988" s="3" t="inlineStr">
        <is>
          <t>OBT280125031301-Neunkirchen (loading tracks)</t>
        </is>
      </c>
      <c r="I988" s="10" t="n">
        <v>45685.88734953704</v>
      </c>
      <c r="J988" s="10" t="n">
        <v>45685.905</v>
      </c>
      <c r="K988" s="10" t="n">
        <v>45685.905</v>
      </c>
      <c r="L988" s="10" t="n">
        <v>45685.90570601852</v>
      </c>
      <c r="M988" s="11">
        <f>IF(AND(ISNUMBER(E988),ISNUMBER(G988)),(G988-E988),"")</f>
        <v/>
      </c>
      <c r="N988" s="11">
        <f>IF(AND(ISNUMBER(G988),ISNUMBER(L988)),(L988-G988),"")</f>
        <v/>
      </c>
      <c r="O988" s="10" t="n">
        <v>45685.13403935185</v>
      </c>
      <c r="P988" s="11">
        <f>IF(AND(ISNUMBER(I988),ISNUMBER(O988)),(I988-O988),"")</f>
        <v/>
      </c>
      <c r="Q988" s="12" t="inlineStr">
        <is>
          <t>WG 1027102 entered track and got secured, OBTP started on 21:17:47 finished on 21:43:12 and then left at 21:44:13</t>
        </is>
      </c>
    </row>
    <row r="989">
      <c r="A989" s="3" t="inlineStr">
        <is>
          <t>1027103</t>
        </is>
      </c>
      <c r="B989" s="3" t="inlineStr">
        <is>
          <t>10271</t>
        </is>
      </c>
      <c r="C989" s="9" t="n">
        <v>19.9</v>
      </c>
      <c r="D989" s="3" t="inlineStr">
        <is>
          <t>Other sidings south</t>
        </is>
      </c>
      <c r="E989" s="10" t="n">
        <v>45685.12155092593</v>
      </c>
      <c r="F989" s="10" t="n">
        <v>45685.13186342592</v>
      </c>
      <c r="G989" s="10" t="n">
        <v>45685.13381944445</v>
      </c>
      <c r="H989" s="3" t="inlineStr">
        <is>
          <t>OBT290125093729-Other sidings south</t>
        </is>
      </c>
      <c r="I989" s="10" t="n">
        <v>45687.34841435185</v>
      </c>
      <c r="J989" s="10" t="n">
        <v>45687.36755787037</v>
      </c>
      <c r="K989" s="10" t="n">
        <v>45687.36755787037</v>
      </c>
      <c r="L989" s="10" t="n">
        <v>45687.36836805556</v>
      </c>
      <c r="M989" s="11">
        <f>IF(AND(ISNUMBER(E989),ISNUMBER(G989)),(G989-E989),"")</f>
        <v/>
      </c>
      <c r="N989" s="11">
        <f>IF(AND(ISNUMBER(G989),ISNUMBER(L989)),(L989-G989),"")</f>
        <v/>
      </c>
      <c r="O989" s="10" t="n">
        <v>45685.13619212963</v>
      </c>
      <c r="P989" s="11">
        <f>IF(AND(ISNUMBER(I989),ISNUMBER(O989)),(I989-O989),"")</f>
        <v/>
      </c>
      <c r="Q989" s="12" t="inlineStr">
        <is>
          <t>WG 1027103 entered track and got secured then waited 6:28:19 for WG 1027606 to get coupled then waited 0:11:40 for WG 1027612 to get coupled then waited 5:06:11 for WG 1028102 to get coupled then waited 0:04:57 for WG 1028103 to get coupled then waited 12:05:28 for WG 1028503 to get coupled then waited 6:24:47 for WG 1029101 to get coupled, OBTP started on 08:21:43 finished on 08:49:17 and then left at 08:50:27</t>
        </is>
      </c>
    </row>
    <row r="990">
      <c r="A990" s="3" t="inlineStr">
        <is>
          <t>1027201</t>
        </is>
      </c>
      <c r="B990" s="3" t="inlineStr">
        <is>
          <t>10272</t>
        </is>
      </c>
      <c r="C990" s="9" t="n">
        <v>297</v>
      </c>
      <c r="D990" s="3" t="inlineStr">
        <is>
          <t>Wien Kledering</t>
        </is>
      </c>
      <c r="E990" s="10" t="n">
        <v>45685.27245370371</v>
      </c>
      <c r="F990" s="10" t="n">
        <v>45685.2784837963</v>
      </c>
      <c r="G990" s="10" t="n">
        <v>45685.28075231481</v>
      </c>
      <c r="H990" s="3" t="inlineStr">
        <is>
          <t>OBT280125064741-Wien Kledering</t>
        </is>
      </c>
      <c r="I990" s="10" t="n">
        <v>45686.18910879629</v>
      </c>
      <c r="J990" s="10" t="n">
        <v>45686.2406712963</v>
      </c>
      <c r="K990" s="10" t="n">
        <v>45686.2406712963</v>
      </c>
      <c r="L990" s="10" t="n">
        <v>45686.24194444445</v>
      </c>
      <c r="M990" s="11">
        <f>IF(AND(ISNUMBER(E990),ISNUMBER(G990)),(G990-E990),"")</f>
        <v/>
      </c>
      <c r="N990" s="11">
        <f>IF(AND(ISNUMBER(G990),ISNUMBER(L990)),(L990-G990),"")</f>
        <v/>
      </c>
      <c r="O990" s="10" t="n">
        <v>45685.28311342592</v>
      </c>
      <c r="P990" s="11">
        <f>IF(AND(ISNUMBER(I990),ISNUMBER(O990)),(I990-O990),"")</f>
        <v/>
      </c>
      <c r="Q990" s="12" t="inlineStr">
        <is>
          <t>WG 1027201 entered track and got secured, OBTP started on 04:32:19 finished on 05:46:34 and then left at 05:48:24</t>
        </is>
      </c>
    </row>
    <row r="991">
      <c r="A991" s="3" t="inlineStr">
        <is>
          <t>1027301</t>
        </is>
      </c>
      <c r="B991" s="3" t="inlineStr">
        <is>
          <t>10273</t>
        </is>
      </c>
      <c r="C991" s="9" t="n">
        <v>21</v>
      </c>
      <c r="D991" s="3" t="inlineStr">
        <is>
          <t>Neunkirchen (loading tracks)</t>
        </is>
      </c>
      <c r="E991" s="10" t="n">
        <v>45685.30219907407</v>
      </c>
      <c r="F991" s="10" t="n">
        <v>45685.31473379629</v>
      </c>
      <c r="G991" s="10" t="n">
        <v>45685.31591435185</v>
      </c>
      <c r="H991" s="3" t="inlineStr">
        <is>
          <t>OBT280125095318-Wr. Neustadt (Hödlmayr)</t>
        </is>
      </c>
      <c r="I991" s="10" t="n">
        <v>45686.32211805556</v>
      </c>
      <c r="J991" s="10" t="n">
        <v>45686.34131944444</v>
      </c>
      <c r="K991" s="10" t="n">
        <v>45686.34131944444</v>
      </c>
      <c r="L991" s="10" t="n">
        <v>45686.34203703704</v>
      </c>
      <c r="M991" s="11">
        <f>IF(AND(ISNUMBER(E991),ISNUMBER(G991)),(G991-E991),"")</f>
        <v/>
      </c>
      <c r="N991" s="11">
        <f>IF(AND(ISNUMBER(G991),ISNUMBER(L991)),(L991-G991),"")</f>
        <v/>
      </c>
      <c r="O991" s="10" t="n">
        <v>45685.31828703704</v>
      </c>
      <c r="P991" s="11">
        <f>IF(AND(ISNUMBER(I991),ISNUMBER(O991)),(I991-O991),"")</f>
        <v/>
      </c>
      <c r="Q991" s="12" t="inlineStr">
        <is>
          <t>WG 1027301 entered track and got secured then waited 0:03:26 for WG 1027302 to get coupled then waited 1:48:43 for WG 1027601 to get coupled then waited 0:06:04 for WG 1027603 to get coupled then waited 0:12:25 for WG 1027608 to get coupled then waited 0:04:20 for WG 1027611 to get coupled, OBTP started on 07:43:51 finished on 08:11:30 and then left at 08:12:32</t>
        </is>
      </c>
    </row>
    <row r="992">
      <c r="A992" s="3" t="inlineStr">
        <is>
          <t>1027302</t>
        </is>
      </c>
      <c r="B992" s="3" t="inlineStr">
        <is>
          <t>10273</t>
        </is>
      </c>
      <c r="C992" s="9" t="n">
        <v>27</v>
      </c>
      <c r="D992" s="3" t="inlineStr">
        <is>
          <t>Wr. Neustadt (Hödlmayr)</t>
        </is>
      </c>
      <c r="E992" s="10" t="n">
        <v>45685.30219907407</v>
      </c>
      <c r="F992" s="10" t="n">
        <v>45685.31591435185</v>
      </c>
      <c r="G992" s="10" t="n">
        <v>45685.3170949074</v>
      </c>
      <c r="H992" s="3" t="inlineStr">
        <is>
          <t>OBT280125095318-Wr. Neustadt (Hödlmayr)</t>
        </is>
      </c>
      <c r="I992" s="10" t="n">
        <v>45686.32211805556</v>
      </c>
      <c r="J992" s="10" t="n">
        <v>45686.34131944444</v>
      </c>
      <c r="K992" s="10" t="n">
        <v>45686.34131944444</v>
      </c>
      <c r="L992" s="10" t="n">
        <v>45686.34203703704</v>
      </c>
      <c r="M992" s="11">
        <f>IF(AND(ISNUMBER(E992),ISNUMBER(G992)),(G992-E992),"")</f>
        <v/>
      </c>
      <c r="N992" s="11">
        <f>IF(AND(ISNUMBER(G992),ISNUMBER(L992)),(L992-G992),"")</f>
        <v/>
      </c>
      <c r="O992" s="10" t="n">
        <v>45685.32067129629</v>
      </c>
      <c r="P992" s="11">
        <f>IF(AND(ISNUMBER(I992),ISNUMBER(O992)),(I992-O992),"")</f>
        <v/>
      </c>
      <c r="Q992" s="12" t="inlineStr">
        <is>
          <t>WG 1027302 entered track and got coupled to WG 1027301 then waited 1:48:43 for WG 1027601 to get coupled then waited 0:06:04 for WG 1027603 to get coupled then waited 0:12:25 for WG 1027608 to get coupled then waited 0:04:20 for WG 1027611 to get coupled, OBTP started on 07:43:51 finished on 08:11:30 and then left at 08:12:32</t>
        </is>
      </c>
    </row>
    <row r="993">
      <c r="A993" s="3" t="inlineStr">
        <is>
          <t>1027303</t>
        </is>
      </c>
      <c r="B993" s="3" t="inlineStr">
        <is>
          <t>10273</t>
        </is>
      </c>
      <c r="C993" s="9" t="n">
        <v>56.3</v>
      </c>
      <c r="D993" s="3" t="inlineStr">
        <is>
          <t>Neudörfl (FunderMax)</t>
        </is>
      </c>
      <c r="E993" s="10" t="n">
        <v>45685.30219907407</v>
      </c>
      <c r="F993" s="10" t="n">
        <v>45685.3170949074</v>
      </c>
      <c r="G993" s="10" t="n">
        <v>45685.31869212963</v>
      </c>
      <c r="H993" s="3" t="inlineStr">
        <is>
          <t>OBT280125095752-Neudörfl (FunderMax)</t>
        </is>
      </c>
      <c r="I993" s="10" t="n">
        <v>45686.35826388889</v>
      </c>
      <c r="J993" s="10" t="n">
        <v>45686.3789699074</v>
      </c>
      <c r="K993" s="10" t="n">
        <v>45686.3789699074</v>
      </c>
      <c r="L993" s="10" t="n">
        <v>45686.37979166667</v>
      </c>
      <c r="M993" s="11">
        <f>IF(AND(ISNUMBER(E993),ISNUMBER(G993)),(G993-E993),"")</f>
        <v/>
      </c>
      <c r="N993" s="11">
        <f>IF(AND(ISNUMBER(G993),ISNUMBER(L993)),(L993-G993),"")</f>
        <v/>
      </c>
      <c r="O993" s="10" t="n">
        <v>45685.32105324074</v>
      </c>
      <c r="P993" s="11">
        <f>IF(AND(ISNUMBER(I993),ISNUMBER(O993)),(I993-O993),"")</f>
        <v/>
      </c>
      <c r="Q993" s="12" t="inlineStr">
        <is>
          <t>WG 1027303 entered track and got secured then waited 2:15:33 for WG 1027614 to get coupled, OBTP started on 08:35:54 finished on 09:05:43 and then left at 09:06:54</t>
        </is>
      </c>
    </row>
    <row r="994">
      <c r="A994" s="3" t="inlineStr">
        <is>
          <t>1027304</t>
        </is>
      </c>
      <c r="B994" s="3" t="inlineStr">
        <is>
          <t>10273</t>
        </is>
      </c>
      <c r="C994" s="9" t="n">
        <v>14</v>
      </c>
      <c r="D994" s="3" t="inlineStr">
        <is>
          <t>Wr. Neustadt (Brenntag)</t>
        </is>
      </c>
      <c r="E994" s="10" t="n">
        <v>45685.30219907407</v>
      </c>
      <c r="F994" s="10" t="n">
        <v>45685.31869212963</v>
      </c>
      <c r="G994" s="10" t="n">
        <v>45685.31996527778</v>
      </c>
      <c r="H994" s="3" t="inlineStr">
        <is>
          <t>OBT300125081010-Wr. Neustadt (Brenntag)</t>
        </is>
      </c>
      <c r="I994" s="10" t="n">
        <v>45688.30097222222</v>
      </c>
      <c r="J994" s="10" t="n">
        <v>45688.32527777777</v>
      </c>
      <c r="K994" s="10" t="n">
        <v>45688.32527777777</v>
      </c>
      <c r="L994" s="10" t="n">
        <v>45688.32615740741</v>
      </c>
      <c r="M994" s="11">
        <f>IF(AND(ISNUMBER(E994),ISNUMBER(G994)),(G994-E994),"")</f>
        <v/>
      </c>
      <c r="N994" s="11">
        <f>IF(AND(ISNUMBER(G994),ISNUMBER(L994)),(L994-G994),"")</f>
        <v/>
      </c>
      <c r="O994" s="10" t="n">
        <v>45685.32234953704</v>
      </c>
      <c r="P994" s="11">
        <f>IF(AND(ISNUMBER(I994),ISNUMBER(O994)),(I994-O994),"")</f>
        <v/>
      </c>
      <c r="Q994" s="12" t="inlineStr">
        <is>
          <t>WG 1027304 entered track and got secured then waited 1:57:29 for WG 1027605 to get coupled then waited 23:57:36 for WG 1029102 to get coupled then waited 5:53:36 for WG 1029503 to get coupled then waited 2:41:35 for WG 1029802 to get coupled then waited 13:55:43 for WG 1030310 to get coupled, OBTP started on 07:13:24 finished on 07:48:24 and then left at 07:49:40</t>
        </is>
      </c>
    </row>
    <row r="995">
      <c r="A995" s="3" t="inlineStr">
        <is>
          <t>1027305</t>
        </is>
      </c>
      <c r="B995" s="3" t="inlineStr">
        <is>
          <t>10273</t>
        </is>
      </c>
      <c r="C995" s="9" t="n">
        <v>101.2</v>
      </c>
      <c r="D995" s="3" t="inlineStr">
        <is>
          <t>Pitten (Hamburger)</t>
        </is>
      </c>
      <c r="E995" s="10" t="n">
        <v>45685.30219907407</v>
      </c>
      <c r="F995" s="10" t="n">
        <v>45685.31996527778</v>
      </c>
      <c r="G995" s="10" t="n">
        <v>45685.32208333333</v>
      </c>
      <c r="H995" s="3" t="inlineStr">
        <is>
          <t>OBT280125075210-Pitten (Hamburger)</t>
        </is>
      </c>
      <c r="I995" s="10" t="n">
        <v>45686.27232638889</v>
      </c>
      <c r="J995" s="10" t="n">
        <v>45686.29232638889</v>
      </c>
      <c r="K995" s="10" t="n">
        <v>45686.29232638889</v>
      </c>
      <c r="L995" s="10" t="n">
        <v>45686.29297453703</v>
      </c>
      <c r="M995" s="11">
        <f>IF(AND(ISNUMBER(E995),ISNUMBER(G995)),(G995-E995),"")</f>
        <v/>
      </c>
      <c r="N995" s="11">
        <f>IF(AND(ISNUMBER(G995),ISNUMBER(L995)),(L995-G995),"")</f>
        <v/>
      </c>
      <c r="O995" s="10" t="n">
        <v>45685.32447916667</v>
      </c>
      <c r="P995" s="11">
        <f>IF(AND(ISNUMBER(I995),ISNUMBER(O995)),(I995-O995),"")</f>
        <v/>
      </c>
      <c r="Q995" s="12" t="inlineStr">
        <is>
          <t>WG 1027305 entered track and got secured then waited 0:04:55 for WG 1027307 to get coupled, OBTP started on 06:32:09 finished on 07:00:57 and then left at 07:01:53</t>
        </is>
      </c>
    </row>
    <row r="996">
      <c r="A996" s="3" t="inlineStr">
        <is>
          <t>1027306</t>
        </is>
      </c>
      <c r="B996" s="3" t="inlineStr">
        <is>
          <t>10273</t>
        </is>
      </c>
      <c r="C996" s="9" t="n">
        <v>66.38</v>
      </c>
      <c r="D996" s="3" t="inlineStr">
        <is>
          <t>Other sidings north</t>
        </is>
      </c>
      <c r="E996" s="10" t="n">
        <v>45685.30219907407</v>
      </c>
      <c r="F996" s="10" t="n"/>
      <c r="G996" s="10" t="n"/>
      <c r="H996" s="3" t="n"/>
      <c r="I996" s="10" t="n"/>
      <c r="J996" s="10" t="n"/>
      <c r="K996" s="10" t="n"/>
      <c r="L996" s="10" t="n"/>
      <c r="M996" s="11">
        <f>IF(AND(ISNUMBER(E996),ISNUMBER(G996)),(G996-E996),"")</f>
        <v/>
      </c>
      <c r="N996" s="11">
        <f>IF(AND(ISNUMBER(G996),ISNUMBER(L996)),(L996-G996),"")</f>
        <v/>
      </c>
      <c r="O996" s="10" t="n"/>
      <c r="P996" s="11">
        <f>IF(AND(ISNUMBER(I996),ISNUMBER(O996)),(I996-O996),"")</f>
        <v/>
      </c>
      <c r="Q996" s="12" t="n"/>
    </row>
    <row r="997">
      <c r="A997" s="3" t="inlineStr">
        <is>
          <t>1027307</t>
        </is>
      </c>
      <c r="B997" s="3" t="inlineStr">
        <is>
          <t>10273</t>
        </is>
      </c>
      <c r="C997" s="9" t="n">
        <v>14</v>
      </c>
      <c r="D997" s="3" t="inlineStr">
        <is>
          <t>Other sidings local</t>
        </is>
      </c>
      <c r="E997" s="10" t="n">
        <v>45685.30219907407</v>
      </c>
      <c r="F997" s="10" t="n">
        <v>45685.32208333333</v>
      </c>
      <c r="G997" s="10" t="n">
        <v>45685.32399305556</v>
      </c>
      <c r="H997" s="3" t="inlineStr">
        <is>
          <t>OBT280125075210-Pitten (Hamburger)</t>
        </is>
      </c>
      <c r="I997" s="10" t="n">
        <v>45686.27232638889</v>
      </c>
      <c r="J997" s="10" t="n">
        <v>45686.29232638889</v>
      </c>
      <c r="K997" s="10" t="n">
        <v>45686.29232638889</v>
      </c>
      <c r="L997" s="10" t="n">
        <v>45686.29297453703</v>
      </c>
      <c r="M997" s="11">
        <f>IF(AND(ISNUMBER(E997),ISNUMBER(G997)),(G997-E997),"")</f>
        <v/>
      </c>
      <c r="N997" s="11">
        <f>IF(AND(ISNUMBER(G997),ISNUMBER(L997)),(L997-G997),"")</f>
        <v/>
      </c>
      <c r="O997" s="10" t="n">
        <v>45685.32789351852</v>
      </c>
      <c r="P997" s="11">
        <f>IF(AND(ISNUMBER(I997),ISNUMBER(O997)),(I997-O997),"")</f>
        <v/>
      </c>
      <c r="Q997" s="12" t="inlineStr">
        <is>
          <t>WG 1027307 entered track and got coupled to WG 1027305, OBTP started on 06:32:09 finished on 07:00:57 and then left at 07:01:53</t>
        </is>
      </c>
    </row>
    <row r="998">
      <c r="A998" s="3" t="inlineStr">
        <is>
          <t>1027401</t>
        </is>
      </c>
      <c r="B998" s="3" t="inlineStr">
        <is>
          <t>10274</t>
        </is>
      </c>
      <c r="C998" s="9" t="n">
        <v>157.48</v>
      </c>
      <c r="D998" s="3" t="inlineStr">
        <is>
          <t>Wien Kledering</t>
        </is>
      </c>
      <c r="E998" s="10" t="n">
        <v>45685.31505787037</v>
      </c>
      <c r="F998" s="10" t="n"/>
      <c r="G998" s="10" t="n"/>
      <c r="H998" s="3" t="n"/>
      <c r="I998" s="10" t="n"/>
      <c r="J998" s="10" t="n"/>
      <c r="K998" s="10" t="n"/>
      <c r="L998" s="10" t="n"/>
      <c r="M998" s="11">
        <f>IF(AND(ISNUMBER(E998),ISNUMBER(G998)),(G998-E998),"")</f>
        <v/>
      </c>
      <c r="N998" s="11">
        <f>IF(AND(ISNUMBER(G998),ISNUMBER(L998)),(L998-G998),"")</f>
        <v/>
      </c>
      <c r="O998" s="10" t="n"/>
      <c r="P998" s="11">
        <f>IF(AND(ISNUMBER(I998),ISNUMBER(O998)),(I998-O998),"")</f>
        <v/>
      </c>
      <c r="Q998" s="12" t="n"/>
    </row>
    <row r="999">
      <c r="A999" s="3" t="inlineStr">
        <is>
          <t>1027501</t>
        </is>
      </c>
      <c r="B999" s="3" t="inlineStr">
        <is>
          <t>10275</t>
        </is>
      </c>
      <c r="C999" s="9" t="n">
        <v>398.0400000000001</v>
      </c>
      <c r="D999" s="3" t="inlineStr">
        <is>
          <t>Wien Kledering</t>
        </is>
      </c>
      <c r="E999" s="10" t="n">
        <v>45685.32259259259</v>
      </c>
      <c r="F999" s="10" t="n"/>
      <c r="G999" s="10" t="n"/>
      <c r="H999" s="3" t="n"/>
      <c r="I999" s="10" t="n"/>
      <c r="J999" s="10" t="n"/>
      <c r="K999" s="10" t="n"/>
      <c r="L999" s="10" t="n"/>
      <c r="M999" s="11">
        <f>IF(AND(ISNUMBER(E999),ISNUMBER(G999)),(G999-E999),"")</f>
        <v/>
      </c>
      <c r="N999" s="11">
        <f>IF(AND(ISNUMBER(G999),ISNUMBER(L999)),(L999-G999),"")</f>
        <v/>
      </c>
      <c r="O999" s="10" t="n"/>
      <c r="P999" s="11">
        <f>IF(AND(ISNUMBER(I999),ISNUMBER(O999)),(I999-O999),"")</f>
        <v/>
      </c>
      <c r="Q999" s="12" t="n"/>
    </row>
    <row r="1000">
      <c r="A1000" s="3" t="inlineStr">
        <is>
          <t>1027601</t>
        </is>
      </c>
      <c r="B1000" s="3" t="inlineStr">
        <is>
          <t>10276</t>
        </is>
      </c>
      <c r="C1000" s="9" t="n">
        <v>54</v>
      </c>
      <c r="D1000" s="3" t="inlineStr">
        <is>
          <t>Wr. Neustadt (Hödlmayr)</t>
        </is>
      </c>
      <c r="E1000" s="10" t="n">
        <v>45685.36739583333</v>
      </c>
      <c r="F1000" s="10" t="n">
        <v>45685.39259259259</v>
      </c>
      <c r="G1000" s="10" t="n">
        <v>45685.39380787037</v>
      </c>
      <c r="H1000" s="3" t="inlineStr">
        <is>
          <t>OBT280125095318-Wr. Neustadt (Hödlmayr)</t>
        </is>
      </c>
      <c r="I1000" s="10" t="n">
        <v>45686.32211805556</v>
      </c>
      <c r="J1000" s="10" t="n">
        <v>45686.34131944444</v>
      </c>
      <c r="K1000" s="10" t="n">
        <v>45686.34131944444</v>
      </c>
      <c r="L1000" s="10" t="n">
        <v>45686.34203703704</v>
      </c>
      <c r="M1000" s="11">
        <f>IF(AND(ISNUMBER(E1000),ISNUMBER(G1000)),(G1000-E1000),"")</f>
        <v/>
      </c>
      <c r="N1000" s="11">
        <f>IF(AND(ISNUMBER(G1000),ISNUMBER(L1000)),(L1000-G1000),"")</f>
        <v/>
      </c>
      <c r="O1000" s="10" t="n">
        <v>45685.39616898148</v>
      </c>
      <c r="P1000" s="11">
        <f>IF(AND(ISNUMBER(I1000),ISNUMBER(O1000)),(I1000-O1000),"")</f>
        <v/>
      </c>
      <c r="Q1000" s="12" t="inlineStr">
        <is>
          <t>WG 1027601 entered track and got secured then waited 0:06:04 for WG 1027603 to get coupled then waited 0:12:25 for WG 1027608 to get coupled then waited 0:04:20 for WG 1027611 to get coupled, OBTP started on 07:43:51 finished on 08:11:30 and then left at 08:12:32</t>
        </is>
      </c>
    </row>
    <row r="1001">
      <c r="A1001" s="3" t="inlineStr">
        <is>
          <t>1027602</t>
        </is>
      </c>
      <c r="B1001" s="3" t="inlineStr">
        <is>
          <t>10276</t>
        </is>
      </c>
      <c r="C1001" s="9" t="n">
        <v>15.74</v>
      </c>
      <c r="D1001" s="3" t="inlineStr">
        <is>
          <t>Gloggnitz</t>
        </is>
      </c>
      <c r="E1001" s="10" t="n">
        <v>45685.36739583333</v>
      </c>
      <c r="F1001" s="10" t="n">
        <v>45685.39380787037</v>
      </c>
      <c r="G1001" s="10" t="n">
        <v>45685.39569444444</v>
      </c>
      <c r="H1001" s="3" t="inlineStr">
        <is>
          <t>OBT280125105241-Wien Kledering</t>
        </is>
      </c>
      <c r="I1001" s="10" t="n">
        <v>45686.40908564815</v>
      </c>
      <c r="J1001" s="10" t="n">
        <v>45686.44287037037</v>
      </c>
      <c r="K1001" s="10" t="n">
        <v>45686.44287037037</v>
      </c>
      <c r="L1001" s="10" t="n">
        <v>45686.44371527778</v>
      </c>
      <c r="M1001" s="11">
        <f>IF(AND(ISNUMBER(E1001),ISNUMBER(G1001)),(G1001-E1001),"")</f>
        <v/>
      </c>
      <c r="N1001" s="11">
        <f>IF(AND(ISNUMBER(G1001),ISNUMBER(L1001)),(L1001-G1001),"")</f>
        <v/>
      </c>
      <c r="O1001" s="10" t="n">
        <v>45685.39961805556</v>
      </c>
      <c r="P1001" s="11">
        <f>IF(AND(ISNUMBER(I1001),ISNUMBER(O1001)),(I1001-O1001),"")</f>
        <v/>
      </c>
      <c r="Q1001" s="12" t="inlineStr">
        <is>
          <t>WG 1027602 entered track and got coupled to WG 1027701 then waited 1:17:14 for WG 1027801 to get coupled, OBTP started on 09:49:05 finished on 10:37:44 and then left at 10:38:57</t>
        </is>
      </c>
    </row>
    <row r="1002">
      <c r="A1002" s="3" t="inlineStr">
        <is>
          <t>1027603</t>
        </is>
      </c>
      <c r="B1002" s="3" t="inlineStr">
        <is>
          <t>10276</t>
        </is>
      </c>
      <c r="C1002" s="9" t="n">
        <v>15.74</v>
      </c>
      <c r="D1002" s="3" t="inlineStr">
        <is>
          <t>Other sidings north</t>
        </is>
      </c>
      <c r="E1002" s="10" t="n">
        <v>45685.36739583333</v>
      </c>
      <c r="F1002" s="10" t="n">
        <v>45685.39569444444</v>
      </c>
      <c r="G1002" s="10" t="n">
        <v>45685.39682870371</v>
      </c>
      <c r="H1002" s="3" t="inlineStr">
        <is>
          <t>OBT280125095318-Wr. Neustadt (Hödlmayr)</t>
        </is>
      </c>
      <c r="I1002" s="10" t="n">
        <v>45686.32211805556</v>
      </c>
      <c r="J1002" s="10" t="n">
        <v>45686.34131944444</v>
      </c>
      <c r="K1002" s="10" t="n">
        <v>45686.34131944444</v>
      </c>
      <c r="L1002" s="10" t="n">
        <v>45686.34203703704</v>
      </c>
      <c r="M1002" s="11">
        <f>IF(AND(ISNUMBER(E1002),ISNUMBER(G1002)),(G1002-E1002),"")</f>
        <v/>
      </c>
      <c r="N1002" s="11">
        <f>IF(AND(ISNUMBER(G1002),ISNUMBER(L1002)),(L1002-G1002),"")</f>
        <v/>
      </c>
      <c r="O1002" s="10" t="n">
        <v>45685.40038194445</v>
      </c>
      <c r="P1002" s="11">
        <f>IF(AND(ISNUMBER(I1002),ISNUMBER(O1002)),(I1002-O1002),"")</f>
        <v/>
      </c>
      <c r="Q1002" s="12" t="inlineStr">
        <is>
          <t>WG 1027603 entered track and got coupled to WG 1027601 then waited 0:12:25 for WG 1027608 to get coupled then waited 0:04:20 for WG 1027611 to get coupled, OBTP started on 07:43:51 finished on 08:11:30 and then left at 08:12:32</t>
        </is>
      </c>
    </row>
    <row r="1003">
      <c r="A1003" s="3" t="inlineStr">
        <is>
          <t>1027604</t>
        </is>
      </c>
      <c r="B1003" s="3" t="inlineStr">
        <is>
          <t>10276</t>
        </is>
      </c>
      <c r="C1003" s="9" t="n">
        <v>15.74</v>
      </c>
      <c r="D1003" s="3" t="inlineStr">
        <is>
          <t>Obereggendorf (Hofer)</t>
        </is>
      </c>
      <c r="E1003" s="10" t="n">
        <v>45685.36739583333</v>
      </c>
      <c r="F1003" s="10" t="n">
        <v>45685.39682870371</v>
      </c>
      <c r="G1003" s="10" t="n">
        <v>45685.39875</v>
      </c>
      <c r="H1003" s="3" t="inlineStr">
        <is>
          <t>OBT290125073710-Wien Kledering</t>
        </is>
      </c>
      <c r="I1003" s="10" t="n">
        <v>45687.29908564815</v>
      </c>
      <c r="J1003" s="10" t="n">
        <v>45687.36805555555</v>
      </c>
      <c r="K1003" s="10" t="n">
        <v>45687.36836805556</v>
      </c>
      <c r="L1003" s="10" t="n">
        <v>45687.36982638889</v>
      </c>
      <c r="M1003" s="11">
        <f>IF(AND(ISNUMBER(E1003),ISNUMBER(G1003)),(G1003-E1003),"")</f>
        <v/>
      </c>
      <c r="N1003" s="11">
        <f>IF(AND(ISNUMBER(G1003),ISNUMBER(L1003)),(L1003-G1003),"")</f>
        <v/>
      </c>
      <c r="O1003" s="10" t="n">
        <v>45685.40111111111</v>
      </c>
      <c r="P1003" s="11">
        <f>IF(AND(ISNUMBER(I1003),ISNUMBER(O1003)),(I1003-O1003),"")</f>
        <v/>
      </c>
      <c r="Q1003" s="12" t="inlineStr">
        <is>
          <t>WG 1027604 entered track and got secured then waited 1:18:24 for WG 1027802 to get coupled then waited 20:41:10 for WG 1028801 to get coupled, OBTP started on 07:10:41 finished on 08:50:00 and then left at 08:52:33</t>
        </is>
      </c>
    </row>
    <row r="1004">
      <c r="A1004" s="3" t="inlineStr">
        <is>
          <t>1027605</t>
        </is>
      </c>
      <c r="B1004" s="3" t="inlineStr">
        <is>
          <t>10276</t>
        </is>
      </c>
      <c r="C1004" s="9" t="n">
        <v>28</v>
      </c>
      <c r="D1004" s="3" t="inlineStr">
        <is>
          <t>Wr. Neustadt (Brenntag)</t>
        </is>
      </c>
      <c r="E1004" s="10" t="n">
        <v>45685.36739583333</v>
      </c>
      <c r="F1004" s="10" t="n">
        <v>45685.39875</v>
      </c>
      <c r="G1004" s="10" t="n">
        <v>45685.40003472222</v>
      </c>
      <c r="H1004" s="3" t="inlineStr">
        <is>
          <t>OBT300125081010-Wr. Neustadt (Brenntag)</t>
        </is>
      </c>
      <c r="I1004" s="10" t="n">
        <v>45688.30097222222</v>
      </c>
      <c r="J1004" s="10" t="n">
        <v>45688.32527777777</v>
      </c>
      <c r="K1004" s="10" t="n">
        <v>45688.32527777777</v>
      </c>
      <c r="L1004" s="10" t="n">
        <v>45688.32615740741</v>
      </c>
      <c r="M1004" s="11">
        <f>IF(AND(ISNUMBER(E1004),ISNUMBER(G1004)),(G1004-E1004),"")</f>
        <v/>
      </c>
      <c r="N1004" s="11">
        <f>IF(AND(ISNUMBER(G1004),ISNUMBER(L1004)),(L1004-G1004),"")</f>
        <v/>
      </c>
      <c r="O1004" s="10" t="n">
        <v>45685.40393518518</v>
      </c>
      <c r="P1004" s="11">
        <f>IF(AND(ISNUMBER(I1004),ISNUMBER(O1004)),(I1004-O1004),"")</f>
        <v/>
      </c>
      <c r="Q1004" s="12" t="inlineStr">
        <is>
          <t>WG 1027605 entered track and got coupled to WG 1027304 then waited 23:57:36 for WG 1029102 to get coupled then waited 5:53:36 for WG 1029503 to get coupled then waited 2:41:35 for WG 1029802 to get coupled then waited 13:55:43 for WG 1030310 to get coupled, OBTP started on 07:13:24 finished on 07:48:24 and then left at 07:49:40</t>
        </is>
      </c>
    </row>
    <row r="1005">
      <c r="A1005" s="3" t="inlineStr">
        <is>
          <t>1027606</t>
        </is>
      </c>
      <c r="B1005" s="3" t="inlineStr">
        <is>
          <t>10276</t>
        </is>
      </c>
      <c r="C1005" s="9" t="n">
        <v>19.9</v>
      </c>
      <c r="D1005" s="3" t="inlineStr">
        <is>
          <t>Other sidings south</t>
        </is>
      </c>
      <c r="E1005" s="10" t="n">
        <v>45685.36739583333</v>
      </c>
      <c r="F1005" s="10" t="n">
        <v>45685.40003472222</v>
      </c>
      <c r="G1005" s="10" t="n">
        <v>45685.4019675926</v>
      </c>
      <c r="H1005" s="3" t="inlineStr">
        <is>
          <t>OBT290125093729-Other sidings south</t>
        </is>
      </c>
      <c r="I1005" s="10" t="n">
        <v>45687.34841435185</v>
      </c>
      <c r="J1005" s="10" t="n">
        <v>45687.36755787037</v>
      </c>
      <c r="K1005" s="10" t="n">
        <v>45687.36755787037</v>
      </c>
      <c r="L1005" s="10" t="n">
        <v>45687.36836805556</v>
      </c>
      <c r="M1005" s="11">
        <f>IF(AND(ISNUMBER(E1005),ISNUMBER(G1005)),(G1005-E1005),"")</f>
        <v/>
      </c>
      <c r="N1005" s="11">
        <f>IF(AND(ISNUMBER(G1005),ISNUMBER(L1005)),(L1005-G1005),"")</f>
        <v/>
      </c>
      <c r="O1005" s="10" t="n">
        <v>45685.40585648148</v>
      </c>
      <c r="P1005" s="11">
        <f>IF(AND(ISNUMBER(I1005),ISNUMBER(O1005)),(I1005-O1005),"")</f>
        <v/>
      </c>
      <c r="Q1005" s="12" t="inlineStr">
        <is>
          <t>WG 1027606 entered track and got coupled to WG 1027103 then waited 0:11:40 for WG 1027612 to get coupled then waited 5:06:11 for WG 1028102 to get coupled then waited 0:04:57 for WG 1028103 to get coupled then waited 12:05:28 for WG 1028503 to get coupled then waited 6:24:47 for WG 1029101 to get coupled, OBTP started on 08:21:43 finished on 08:49:17 and then left at 08:50:27</t>
        </is>
      </c>
    </row>
    <row r="1006">
      <c r="A1006" s="3" t="inlineStr">
        <is>
          <t>1027607</t>
        </is>
      </c>
      <c r="B1006" s="3" t="inlineStr">
        <is>
          <t>10276</t>
        </is>
      </c>
      <c r="C1006" s="9" t="n">
        <v>61.22</v>
      </c>
      <c r="D1006" s="3" t="inlineStr">
        <is>
          <t>Other sidings local</t>
        </is>
      </c>
      <c r="E1006" s="10" t="n">
        <v>45685.36739583333</v>
      </c>
      <c r="F1006" s="10" t="n">
        <v>45685.4019675926</v>
      </c>
      <c r="G1006" s="10" t="n">
        <v>45685.40395833334</v>
      </c>
      <c r="H1006" s="3" t="inlineStr">
        <is>
          <t>OBT280125151006-Other sidings local</t>
        </is>
      </c>
      <c r="I1006" s="10" t="n">
        <v>45686.65686342592</v>
      </c>
      <c r="J1006" s="10" t="n">
        <v>45686.67820601852</v>
      </c>
      <c r="K1006" s="10" t="n">
        <v>45686.67820601852</v>
      </c>
      <c r="L1006" s="10" t="n">
        <v>45686.67886574074</v>
      </c>
      <c r="M1006" s="11">
        <f>IF(AND(ISNUMBER(E1006),ISNUMBER(G1006)),(G1006-E1006),"")</f>
        <v/>
      </c>
      <c r="N1006" s="11">
        <f>IF(AND(ISNUMBER(G1006),ISNUMBER(L1006)),(L1006-G1006),"")</f>
        <v/>
      </c>
      <c r="O1006" s="10" t="n">
        <v>45685.40612268518</v>
      </c>
      <c r="P1006" s="11">
        <f>IF(AND(ISNUMBER(I1006),ISNUMBER(O1006)),(I1006-O1006),"")</f>
        <v/>
      </c>
      <c r="Q1006" s="12" t="inlineStr">
        <is>
          <t>WG 1027607 entered track and got secured then waited 0:06:21 for WG 1027609 to get coupled then waited 5:18:56 for WG 1028104 to get coupled, OBTP started on 15:45:53 finished on 16:16:37 and then left at 16:17:34</t>
        </is>
      </c>
    </row>
    <row r="1007">
      <c r="A1007" s="3" t="inlineStr">
        <is>
          <t>1027608</t>
        </is>
      </c>
      <c r="B1007" s="3" t="inlineStr">
        <is>
          <t>10276</t>
        </is>
      </c>
      <c r="C1007" s="9" t="n">
        <v>21</v>
      </c>
      <c r="D1007" s="3" t="inlineStr">
        <is>
          <t>Neunkirchen (loading tracks)</t>
        </is>
      </c>
      <c r="E1007" s="10" t="n">
        <v>45685.36739583333</v>
      </c>
      <c r="F1007" s="10" t="n">
        <v>45685.40395833334</v>
      </c>
      <c r="G1007" s="10" t="n">
        <v>45685.40510416667</v>
      </c>
      <c r="H1007" s="3" t="inlineStr">
        <is>
          <t>OBT280125095318-Wr. Neustadt (Hödlmayr)</t>
        </is>
      </c>
      <c r="I1007" s="10" t="n">
        <v>45686.32211805556</v>
      </c>
      <c r="J1007" s="10" t="n">
        <v>45686.34131944444</v>
      </c>
      <c r="K1007" s="10" t="n">
        <v>45686.34131944444</v>
      </c>
      <c r="L1007" s="10" t="n">
        <v>45686.34203703704</v>
      </c>
      <c r="M1007" s="11">
        <f>IF(AND(ISNUMBER(E1007),ISNUMBER(G1007)),(G1007-E1007),"")</f>
        <v/>
      </c>
      <c r="N1007" s="11">
        <f>IF(AND(ISNUMBER(G1007),ISNUMBER(L1007)),(L1007-G1007),"")</f>
        <v/>
      </c>
      <c r="O1007" s="10" t="n">
        <v>45685.40900462963</v>
      </c>
      <c r="P1007" s="11">
        <f>IF(AND(ISNUMBER(I1007),ISNUMBER(O1007)),(I1007-O1007),"")</f>
        <v/>
      </c>
      <c r="Q1007" s="12" t="inlineStr">
        <is>
          <t>WG 1027608 entered track and got coupled to WG 1027603 then waited 0:04:20 for WG 1027611 to get coupled, OBTP started on 07:43:51 finished on 08:11:30 and then left at 08:12:32</t>
        </is>
      </c>
    </row>
    <row r="1008">
      <c r="A1008" s="3" t="inlineStr">
        <is>
          <t>1027609</t>
        </is>
      </c>
      <c r="B1008" s="3" t="inlineStr">
        <is>
          <t>10276</t>
        </is>
      </c>
      <c r="C1008" s="9" t="n">
        <v>12.04</v>
      </c>
      <c r="D1008" s="3" t="inlineStr">
        <is>
          <t>Ternitz (Schoeller-Bleckmann)</t>
        </is>
      </c>
      <c r="E1008" s="10" t="n">
        <v>45685.36739583333</v>
      </c>
      <c r="F1008" s="10" t="n">
        <v>45685.40510416667</v>
      </c>
      <c r="G1008" s="10" t="n">
        <v>45685.40697916667</v>
      </c>
      <c r="H1008" s="3" t="inlineStr">
        <is>
          <t>OBT280125151006-Other sidings local</t>
        </is>
      </c>
      <c r="I1008" s="10" t="n">
        <v>45686.65686342592</v>
      </c>
      <c r="J1008" s="10" t="n">
        <v>45686.67820601852</v>
      </c>
      <c r="K1008" s="10" t="n">
        <v>45686.67820601852</v>
      </c>
      <c r="L1008" s="10" t="n">
        <v>45686.67886574074</v>
      </c>
      <c r="M1008" s="11">
        <f>IF(AND(ISNUMBER(E1008),ISNUMBER(G1008)),(G1008-E1008),"")</f>
        <v/>
      </c>
      <c r="N1008" s="11">
        <f>IF(AND(ISNUMBER(G1008),ISNUMBER(L1008)),(L1008-G1008),"")</f>
        <v/>
      </c>
      <c r="O1008" s="10" t="n">
        <v>45685.4105324074</v>
      </c>
      <c r="P1008" s="11">
        <f>IF(AND(ISNUMBER(I1008),ISNUMBER(O1008)),(I1008-O1008),"")</f>
        <v/>
      </c>
      <c r="Q1008" s="12" t="inlineStr">
        <is>
          <t>WG 1027609 entered track and got coupled to WG 1027607 then waited 5:18:56 for WG 1028104 to get coupled, OBTP started on 15:45:53 finished on 16:16:37 and then left at 16:17:34</t>
        </is>
      </c>
    </row>
    <row r="1009">
      <c r="A1009" s="3" t="inlineStr">
        <is>
          <t>1027610</t>
        </is>
      </c>
      <c r="B1009" s="3" t="inlineStr">
        <is>
          <t>10276</t>
        </is>
      </c>
      <c r="C1009" s="9" t="n">
        <v>218.14</v>
      </c>
      <c r="D1009" s="3" t="inlineStr">
        <is>
          <t>Pitten (Hamburger)</t>
        </is>
      </c>
      <c r="E1009" s="10" t="n">
        <v>45685.36739583333</v>
      </c>
      <c r="F1009" s="10" t="n"/>
      <c r="G1009" s="10" t="n"/>
      <c r="H1009" s="3" t="n"/>
      <c r="I1009" s="10" t="n"/>
      <c r="J1009" s="10" t="n"/>
      <c r="K1009" s="10" t="n"/>
      <c r="L1009" s="10" t="n"/>
      <c r="M1009" s="11">
        <f>IF(AND(ISNUMBER(E1009),ISNUMBER(G1009)),(G1009-E1009),"")</f>
        <v/>
      </c>
      <c r="N1009" s="11">
        <f>IF(AND(ISNUMBER(G1009),ISNUMBER(L1009)),(L1009-G1009),"")</f>
        <v/>
      </c>
      <c r="O1009" s="10" t="n"/>
      <c r="P1009" s="11">
        <f>IF(AND(ISNUMBER(I1009),ISNUMBER(O1009)),(I1009-O1009),"")</f>
        <v/>
      </c>
      <c r="Q1009" s="12" t="n"/>
    </row>
    <row r="1010">
      <c r="A1010" s="3" t="inlineStr">
        <is>
          <t>1027611</t>
        </is>
      </c>
      <c r="B1010" s="3" t="inlineStr">
        <is>
          <t>10276</t>
        </is>
      </c>
      <c r="C1010" s="9" t="n">
        <v>19.9</v>
      </c>
      <c r="D1010" s="3" t="inlineStr">
        <is>
          <t>Other sidings north</t>
        </is>
      </c>
      <c r="E1010" s="10" t="n">
        <v>45685.36739583333</v>
      </c>
      <c r="F1010" s="10" t="n">
        <v>45685.40697916667</v>
      </c>
      <c r="G1010" s="10" t="n">
        <v>45685.408125</v>
      </c>
      <c r="H1010" s="3" t="inlineStr">
        <is>
          <t>OBT280125095318-Wr. Neustadt (Hödlmayr)</t>
        </is>
      </c>
      <c r="I1010" s="10" t="n">
        <v>45686.32211805556</v>
      </c>
      <c r="J1010" s="10" t="n">
        <v>45686.34131944444</v>
      </c>
      <c r="K1010" s="10" t="n">
        <v>45686.34131944444</v>
      </c>
      <c r="L1010" s="10" t="n">
        <v>45686.34203703704</v>
      </c>
      <c r="M1010" s="11">
        <f>IF(AND(ISNUMBER(E1010),ISNUMBER(G1010)),(G1010-E1010),"")</f>
        <v/>
      </c>
      <c r="N1010" s="11">
        <f>IF(AND(ISNUMBER(G1010),ISNUMBER(L1010)),(L1010-G1010),"")</f>
        <v/>
      </c>
      <c r="O1010" s="10" t="n">
        <v>45685.41201388889</v>
      </c>
      <c r="P1010" s="11">
        <f>IF(AND(ISNUMBER(I1010),ISNUMBER(O1010)),(I1010-O1010),"")</f>
        <v/>
      </c>
      <c r="Q1010" s="12" t="inlineStr">
        <is>
          <t>WG 1027611 entered track and got coupled to WG 1027608, OBTP started on 07:43:51 finished on 08:11:30 and then left at 08:12:32</t>
        </is>
      </c>
    </row>
    <row r="1011">
      <c r="A1011" s="3" t="inlineStr">
        <is>
          <t>1027612</t>
        </is>
      </c>
      <c r="B1011" s="3" t="inlineStr">
        <is>
          <t>10276</t>
        </is>
      </c>
      <c r="C1011" s="9" t="n">
        <v>19.9</v>
      </c>
      <c r="D1011" s="3" t="inlineStr">
        <is>
          <t>Other sidings south</t>
        </is>
      </c>
      <c r="E1011" s="10" t="n">
        <v>45685.36739583333</v>
      </c>
      <c r="F1011" s="10" t="n">
        <v>45685.408125</v>
      </c>
      <c r="G1011" s="10" t="n">
        <v>45685.41005787037</v>
      </c>
      <c r="H1011" s="3" t="inlineStr">
        <is>
          <t>OBT290125093729-Other sidings south</t>
        </is>
      </c>
      <c r="I1011" s="10" t="n">
        <v>45687.34841435185</v>
      </c>
      <c r="J1011" s="10" t="n">
        <v>45687.36755787037</v>
      </c>
      <c r="K1011" s="10" t="n">
        <v>45687.36755787037</v>
      </c>
      <c r="L1011" s="10" t="n">
        <v>45687.36836805556</v>
      </c>
      <c r="M1011" s="11">
        <f>IF(AND(ISNUMBER(E1011),ISNUMBER(G1011)),(G1011-E1011),"")</f>
        <v/>
      </c>
      <c r="N1011" s="11">
        <f>IF(AND(ISNUMBER(G1011),ISNUMBER(L1011)),(L1011-G1011),"")</f>
        <v/>
      </c>
      <c r="O1011" s="10" t="n">
        <v>45685.41395833333</v>
      </c>
      <c r="P1011" s="11">
        <f>IF(AND(ISNUMBER(I1011),ISNUMBER(O1011)),(I1011-O1011),"")</f>
        <v/>
      </c>
      <c r="Q1011" s="12" t="inlineStr">
        <is>
          <t>WG 1027612 entered track and got coupled to WG 1027606 then waited 5:06:11 for WG 1028102 to get coupled then waited 0:04:57 for WG 1028103 to get coupled then waited 12:05:28 for WG 1028503 to get coupled then waited 6:24:47 for WG 1029101 to get coupled, OBTP started on 08:21:43 finished on 08:49:17 and then left at 08:50:27</t>
        </is>
      </c>
    </row>
    <row r="1012">
      <c r="A1012" s="3" t="inlineStr">
        <is>
          <t>1027613</t>
        </is>
      </c>
      <c r="B1012" s="3" t="inlineStr">
        <is>
          <t>10276</t>
        </is>
      </c>
      <c r="C1012" s="9" t="n">
        <v>19.9</v>
      </c>
      <c r="D1012" s="3" t="inlineStr">
        <is>
          <t>Felixdorf/Sollenau (Bundesheer, Maba)</t>
        </is>
      </c>
      <c r="E1012" s="10" t="n">
        <v>45685.36739583333</v>
      </c>
      <c r="F1012" s="10" t="n"/>
      <c r="G1012" s="10" t="n"/>
      <c r="H1012" s="3" t="n"/>
      <c r="I1012" s="10" t="n"/>
      <c r="J1012" s="10" t="n"/>
      <c r="K1012" s="10" t="n"/>
      <c r="L1012" s="10" t="n"/>
      <c r="M1012" s="11">
        <f>IF(AND(ISNUMBER(E1012),ISNUMBER(G1012)),(G1012-E1012),"")</f>
        <v/>
      </c>
      <c r="N1012" s="11">
        <f>IF(AND(ISNUMBER(G1012),ISNUMBER(L1012)),(L1012-G1012),"")</f>
        <v/>
      </c>
      <c r="O1012" s="10" t="n"/>
      <c r="P1012" s="11">
        <f>IF(AND(ISNUMBER(I1012),ISNUMBER(O1012)),(I1012-O1012),"")</f>
        <v/>
      </c>
      <c r="Q1012" s="12" t="n"/>
    </row>
    <row r="1013">
      <c r="A1013" s="3" t="inlineStr">
        <is>
          <t>1027614</t>
        </is>
      </c>
      <c r="B1013" s="3" t="inlineStr">
        <is>
          <t>10276</t>
        </is>
      </c>
      <c r="C1013" s="9" t="n">
        <v>63</v>
      </c>
      <c r="D1013" s="3" t="inlineStr">
        <is>
          <t>Neudörfl (FunderMax)</t>
        </is>
      </c>
      <c r="E1013" s="10" t="n">
        <v>45685.36739583333</v>
      </c>
      <c r="F1013" s="10" t="n">
        <v>45685.41005787037</v>
      </c>
      <c r="G1013" s="10" t="n">
        <v>45685.41163194444</v>
      </c>
      <c r="H1013" s="3" t="inlineStr">
        <is>
          <t>OBT280125095752-Neudörfl (FunderMax)</t>
        </is>
      </c>
      <c r="I1013" s="10" t="n">
        <v>45686.35826388889</v>
      </c>
      <c r="J1013" s="10" t="n">
        <v>45686.3789699074</v>
      </c>
      <c r="K1013" s="10" t="n">
        <v>45686.3789699074</v>
      </c>
      <c r="L1013" s="10" t="n">
        <v>45686.37979166667</v>
      </c>
      <c r="M1013" s="11">
        <f>IF(AND(ISNUMBER(E1013),ISNUMBER(G1013)),(G1013-E1013),"")</f>
        <v/>
      </c>
      <c r="N1013" s="11">
        <f>IF(AND(ISNUMBER(G1013),ISNUMBER(L1013)),(L1013-G1013),"")</f>
        <v/>
      </c>
      <c r="O1013" s="10" t="n">
        <v>45685.41518518519</v>
      </c>
      <c r="P1013" s="11">
        <f>IF(AND(ISNUMBER(I1013),ISNUMBER(O1013)),(I1013-O1013),"")</f>
        <v/>
      </c>
      <c r="Q1013" s="12" t="inlineStr">
        <is>
          <t>WG 1027614 entered track and got coupled to WG 1027303, OBTP started on 08:35:54 finished on 09:05:43 and then left at 09:06:54</t>
        </is>
      </c>
    </row>
    <row r="1014">
      <c r="A1014" s="3" t="inlineStr">
        <is>
          <t>1027701</t>
        </is>
      </c>
      <c r="B1014" s="3" t="inlineStr">
        <is>
          <t>10277</t>
        </is>
      </c>
      <c r="C1014" s="9" t="n">
        <v>73.90000000000001</v>
      </c>
      <c r="D1014" s="3" t="inlineStr">
        <is>
          <t>Wien Kledering</t>
        </is>
      </c>
      <c r="E1014" s="10" t="n">
        <v>45685.38087962963</v>
      </c>
      <c r="F1014" s="10" t="n">
        <v>45685.38739583334</v>
      </c>
      <c r="G1014" s="10" t="n">
        <v>45685.38944444444</v>
      </c>
      <c r="H1014" s="3" t="inlineStr">
        <is>
          <t>OBT280125105241-Wien Kledering</t>
        </is>
      </c>
      <c r="I1014" s="10" t="n">
        <v>45686.40908564815</v>
      </c>
      <c r="J1014" s="10" t="n">
        <v>45686.44287037037</v>
      </c>
      <c r="K1014" s="10" t="n">
        <v>45686.44287037037</v>
      </c>
      <c r="L1014" s="10" t="n">
        <v>45686.44371527778</v>
      </c>
      <c r="M1014" s="11">
        <f>IF(AND(ISNUMBER(E1014),ISNUMBER(G1014)),(G1014-E1014),"")</f>
        <v/>
      </c>
      <c r="N1014" s="11">
        <f>IF(AND(ISNUMBER(G1014),ISNUMBER(L1014)),(L1014-G1014),"")</f>
        <v/>
      </c>
      <c r="O1014" s="10" t="n">
        <v>45685.39181712963</v>
      </c>
      <c r="P1014" s="11">
        <f>IF(AND(ISNUMBER(I1014),ISNUMBER(O1014)),(I1014-O1014),"")</f>
        <v/>
      </c>
      <c r="Q1014" s="12" t="inlineStr">
        <is>
          <t>WG 1027701 entered track and got secured then waited 0:11:14 for WG 1027602 to get coupled then waited 1:17:14 for WG 1027801 to get coupled, OBTP started on 09:49:05 finished on 10:37:44 and then left at 10:38:57</t>
        </is>
      </c>
    </row>
    <row r="1015">
      <c r="A1015" s="3" t="inlineStr">
        <is>
          <t>1027702</t>
        </is>
      </c>
      <c r="B1015" s="3" t="inlineStr">
        <is>
          <t>10277</t>
        </is>
      </c>
      <c r="C1015" s="9" t="n">
        <v>148.9</v>
      </c>
      <c r="D1015" s="3" t="inlineStr">
        <is>
          <t>St. Veit an der Glan</t>
        </is>
      </c>
      <c r="E1015" s="10" t="n">
        <v>45685.38087962963</v>
      </c>
      <c r="F1015" s="10" t="n">
        <v>45685.38944444444</v>
      </c>
      <c r="G1015" s="10" t="n">
        <v>45685.39171296296</v>
      </c>
      <c r="H1015" s="3" t="inlineStr">
        <is>
          <t>OBT280125092731-St. Veit an der Glan</t>
        </is>
      </c>
      <c r="I1015" s="10" t="n">
        <v>45686.31684027778</v>
      </c>
      <c r="J1015" s="10" t="n">
        <v>45686.34268518518</v>
      </c>
      <c r="K1015" s="10" t="n">
        <v>45686.34268518518</v>
      </c>
      <c r="L1015" s="10" t="n">
        <v>45686.34357638889</v>
      </c>
      <c r="M1015" s="11">
        <f>IF(AND(ISNUMBER(E1015),ISNUMBER(G1015)),(G1015-E1015),"")</f>
        <v/>
      </c>
      <c r="N1015" s="11">
        <f>IF(AND(ISNUMBER(G1015),ISNUMBER(L1015)),(L1015-G1015),"")</f>
        <v/>
      </c>
      <c r="O1015" s="10" t="n">
        <v>45685.3941087963</v>
      </c>
      <c r="P1015" s="11">
        <f>IF(AND(ISNUMBER(I1015),ISNUMBER(O1015)),(I1015-O1015),"")</f>
        <v/>
      </c>
      <c r="Q1015" s="12" t="inlineStr">
        <is>
          <t>WG 1027702 entered track and got secured, OBTP started on 07:36:15 finished on 08:13:28 and then left at 08:14:45</t>
        </is>
      </c>
    </row>
    <row r="1016">
      <c r="A1016" s="3" t="inlineStr">
        <is>
          <t>1027801</t>
        </is>
      </c>
      <c r="B1016" s="3" t="inlineStr">
        <is>
          <t>10278</t>
        </is>
      </c>
      <c r="C1016" s="9" t="n">
        <v>105</v>
      </c>
      <c r="D1016" s="3" t="inlineStr">
        <is>
          <t>Wien Kledering</t>
        </is>
      </c>
      <c r="E1016" s="10" t="n">
        <v>45685.43951388889</v>
      </c>
      <c r="F1016" s="10" t="n">
        <v>45685.44758101852</v>
      </c>
      <c r="G1016" s="10" t="n">
        <v>45685.44969907407</v>
      </c>
      <c r="H1016" s="3" t="inlineStr">
        <is>
          <t>OBT280125105241-Wien Kledering</t>
        </is>
      </c>
      <c r="I1016" s="10" t="n">
        <v>45686.40908564815</v>
      </c>
      <c r="J1016" s="10" t="n">
        <v>45686.44287037037</v>
      </c>
      <c r="K1016" s="10" t="n">
        <v>45686.44287037037</v>
      </c>
      <c r="L1016" s="10" t="n">
        <v>45686.44371527778</v>
      </c>
      <c r="M1016" s="11">
        <f>IF(AND(ISNUMBER(E1016),ISNUMBER(G1016)),(G1016-E1016),"")</f>
        <v/>
      </c>
      <c r="N1016" s="11">
        <f>IF(AND(ISNUMBER(G1016),ISNUMBER(L1016)),(L1016-G1016),"")</f>
        <v/>
      </c>
      <c r="O1016" s="10" t="n">
        <v>45685.45325231482</v>
      </c>
      <c r="P1016" s="11">
        <f>IF(AND(ISNUMBER(I1016),ISNUMBER(O1016)),(I1016-O1016),"")</f>
        <v/>
      </c>
      <c r="Q1016" s="12" t="inlineStr">
        <is>
          <t>WG 1027801 entered track and got coupled to WG 1027602, OBTP started on 09:49:05 finished on 10:37:44 and then left at 10:38:57</t>
        </is>
      </c>
    </row>
    <row r="1017">
      <c r="A1017" s="3" t="inlineStr">
        <is>
          <t>1027802</t>
        </is>
      </c>
      <c r="B1017" s="3" t="inlineStr">
        <is>
          <t>10278</t>
        </is>
      </c>
      <c r="C1017" s="9" t="n">
        <v>21</v>
      </c>
      <c r="D1017" s="3" t="inlineStr">
        <is>
          <t>St. Veit an der Glan</t>
        </is>
      </c>
      <c r="E1017" s="10" t="n">
        <v>45685.43951388889</v>
      </c>
      <c r="F1017" s="10" t="n">
        <v>45685.44969907407</v>
      </c>
      <c r="G1017" s="10" t="n">
        <v>45685.45166666667</v>
      </c>
      <c r="H1017" s="3" t="inlineStr">
        <is>
          <t>OBT290125073710-Wien Kledering</t>
        </is>
      </c>
      <c r="I1017" s="10" t="n">
        <v>45687.29908564815</v>
      </c>
      <c r="J1017" s="10" t="n">
        <v>45687.36805555555</v>
      </c>
      <c r="K1017" s="10" t="n">
        <v>45687.36836805556</v>
      </c>
      <c r="L1017" s="10" t="n">
        <v>45687.36982638889</v>
      </c>
      <c r="M1017" s="11">
        <f>IF(AND(ISNUMBER(E1017),ISNUMBER(G1017)),(G1017-E1017),"")</f>
        <v/>
      </c>
      <c r="N1017" s="11">
        <f>IF(AND(ISNUMBER(G1017),ISNUMBER(L1017)),(L1017-G1017),"")</f>
        <v/>
      </c>
      <c r="O1017" s="10" t="n">
        <v>45685.45555555556</v>
      </c>
      <c r="P1017" s="11">
        <f>IF(AND(ISNUMBER(I1017),ISNUMBER(O1017)),(I1017-O1017),"")</f>
        <v/>
      </c>
      <c r="Q1017" s="12" t="inlineStr">
        <is>
          <t>WG 1027802 entered track and got coupled to WG 1027604 then waited 20:41:10 for WG 1028801 to get coupled, OBTP started on 07:10:41 finished on 08:50:00 and then left at 08:52:33</t>
        </is>
      </c>
    </row>
    <row r="1018">
      <c r="A1018" s="3" t="inlineStr">
        <is>
          <t>1027803</t>
        </is>
      </c>
      <c r="B1018" s="3" t="inlineStr">
        <is>
          <t>10278</t>
        </is>
      </c>
      <c r="C1018" s="9" t="n">
        <v>147.02</v>
      </c>
      <c r="D1018" s="3" t="inlineStr">
        <is>
          <t>Wien Kledering</t>
        </is>
      </c>
      <c r="E1018" s="10" t="n">
        <v>45685.43951388889</v>
      </c>
      <c r="F1018" s="10" t="n">
        <v>45685.45166666667</v>
      </c>
      <c r="G1018" s="10" t="n">
        <v>45685.45369212963</v>
      </c>
      <c r="H1018" s="3" t="inlineStr">
        <is>
          <t>OBT280125105646-Wien Kledering</t>
        </is>
      </c>
      <c r="I1018" s="10" t="n">
        <v>45686.45136574074</v>
      </c>
      <c r="J1018" s="10" t="n">
        <v>45686.47688657408</v>
      </c>
      <c r="K1018" s="10" t="n">
        <v>45686.47688657408</v>
      </c>
      <c r="L1018" s="10" t="n">
        <v>45686.47782407407</v>
      </c>
      <c r="M1018" s="11">
        <f>IF(AND(ISNUMBER(E1018),ISNUMBER(G1018)),(G1018-E1018),"")</f>
        <v/>
      </c>
      <c r="N1018" s="11">
        <f>IF(AND(ISNUMBER(G1018),ISNUMBER(L1018)),(L1018-G1018),"")</f>
        <v/>
      </c>
      <c r="O1018" s="10" t="n">
        <v>45685.45608796296</v>
      </c>
      <c r="P1018" s="11">
        <f>IF(AND(ISNUMBER(I1018),ISNUMBER(O1018)),(I1018-O1018),"")</f>
        <v/>
      </c>
      <c r="Q1018" s="12" t="inlineStr">
        <is>
          <t>WG 1027803 entered track and got secured, OBTP started on 10:49:58 finished on 11:26:43 and then left at 11:28:04</t>
        </is>
      </c>
    </row>
    <row r="1019">
      <c r="A1019" s="3" t="inlineStr">
        <is>
          <t>1027901</t>
        </is>
      </c>
      <c r="B1019" s="3" t="inlineStr">
        <is>
          <t>10279</t>
        </is>
      </c>
      <c r="C1019" s="9" t="n">
        <v>291.9</v>
      </c>
      <c r="D1019" s="3" t="inlineStr">
        <is>
          <t>Wien Kledering</t>
        </is>
      </c>
      <c r="E1019" s="10" t="n">
        <v>45685.5409375</v>
      </c>
      <c r="F1019" s="10" t="n">
        <v>45685.54671296296</v>
      </c>
      <c r="G1019" s="10" t="n">
        <v>45685.54851851852</v>
      </c>
      <c r="H1019" s="3" t="inlineStr">
        <is>
          <t>OBT280125131319-Wien Kledering</t>
        </is>
      </c>
      <c r="I1019" s="10" t="n">
        <v>45686.55601851852</v>
      </c>
      <c r="J1019" s="10" t="n">
        <v>45686.60668981481</v>
      </c>
      <c r="K1019" s="10" t="n">
        <v>45686.60668981481</v>
      </c>
      <c r="L1019" s="10" t="n">
        <v>45686.60783564814</v>
      </c>
      <c r="M1019" s="11">
        <f>IF(AND(ISNUMBER(E1019),ISNUMBER(G1019)),(G1019-E1019),"")</f>
        <v/>
      </c>
      <c r="N1019" s="11">
        <f>IF(AND(ISNUMBER(G1019),ISNUMBER(L1019)),(L1019-G1019),"")</f>
        <v/>
      </c>
      <c r="O1019" s="10" t="n">
        <v>45685.55091435185</v>
      </c>
      <c r="P1019" s="11">
        <f>IF(AND(ISNUMBER(I1019),ISNUMBER(O1019)),(I1019-O1019),"")</f>
        <v/>
      </c>
      <c r="Q1019" s="12" t="inlineStr">
        <is>
          <t>WG 1027901 entered track and got secured, OBTP started on 13:20:40 finished on 14:33:38 and then left at 14:35:17</t>
        </is>
      </c>
    </row>
    <row r="1020">
      <c r="A1020" s="3" t="inlineStr">
        <is>
          <t>1028001</t>
        </is>
      </c>
      <c r="B1020" s="3" t="inlineStr">
        <is>
          <t>10280</t>
        </is>
      </c>
      <c r="C1020" s="9" t="n">
        <v>389.8000000000001</v>
      </c>
      <c r="D1020" s="3" t="inlineStr">
        <is>
          <t>Wien Kledering</t>
        </is>
      </c>
      <c r="E1020" s="10" t="n">
        <v>45685.59627314815</v>
      </c>
      <c r="F1020" s="10" t="n">
        <v>45685.60310185186</v>
      </c>
      <c r="G1020" s="10" t="n">
        <v>45685.60599537037</v>
      </c>
      <c r="H1020" s="3" t="inlineStr">
        <is>
          <t>OBT280125143604-Wien Kledering</t>
        </is>
      </c>
      <c r="I1020" s="10" t="n">
        <v>45686.61636574074</v>
      </c>
      <c r="J1020" s="10" t="n">
        <v>45686.68403935185</v>
      </c>
      <c r="K1020" s="10" t="n">
        <v>45686.68403935185</v>
      </c>
      <c r="L1020" s="10" t="n">
        <v>45686.68543981481</v>
      </c>
      <c r="M1020" s="11">
        <f>IF(AND(ISNUMBER(E1020),ISNUMBER(G1020)),(G1020-E1020),"")</f>
        <v/>
      </c>
      <c r="N1020" s="11">
        <f>IF(AND(ISNUMBER(G1020),ISNUMBER(L1020)),(L1020-G1020),"")</f>
        <v/>
      </c>
      <c r="O1020" s="10" t="n">
        <v>45685.60837962963</v>
      </c>
      <c r="P1020" s="11">
        <f>IF(AND(ISNUMBER(I1020),ISNUMBER(O1020)),(I1020-O1020),"")</f>
        <v/>
      </c>
      <c r="Q1020" s="12" t="inlineStr">
        <is>
          <t>WG 1028001 entered track and got secured, OBTP started on 14:47:34 finished on 16:25:01 and then left at 16:27:02</t>
        </is>
      </c>
    </row>
    <row r="1021">
      <c r="A1021" s="3" t="inlineStr">
        <is>
          <t>1028101</t>
        </is>
      </c>
      <c r="B1021" s="3" t="inlineStr">
        <is>
          <t>10281</t>
        </is>
      </c>
      <c r="C1021" s="9" t="n">
        <v>39.8</v>
      </c>
      <c r="D1021" s="3" t="inlineStr">
        <is>
          <t>Other sidings north</t>
        </is>
      </c>
      <c r="E1021" s="10" t="n">
        <v>45685.60334490741</v>
      </c>
      <c r="F1021" s="10" t="n">
        <v>45685.62048611111</v>
      </c>
      <c r="G1021" s="10" t="n">
        <v>45685.62226851852</v>
      </c>
      <c r="H1021" s="3" t="inlineStr">
        <is>
          <t>OBT290125152804-Other sidings north</t>
        </is>
      </c>
      <c r="I1021" s="10" t="n">
        <v>45687.61464120371</v>
      </c>
      <c r="J1021" s="10" t="n">
        <v>45687.63377314815</v>
      </c>
      <c r="K1021" s="10" t="n">
        <v>45687.63377314815</v>
      </c>
      <c r="L1021" s="10" t="n">
        <v>45687.63457175926</v>
      </c>
      <c r="M1021" s="11">
        <f>IF(AND(ISNUMBER(E1021),ISNUMBER(G1021)),(G1021-E1021),"")</f>
        <v/>
      </c>
      <c r="N1021" s="11">
        <f>IF(AND(ISNUMBER(G1021),ISNUMBER(L1021)),(L1021-G1021),"")</f>
        <v/>
      </c>
      <c r="O1021" s="10" t="n">
        <v>45685.62464120371</v>
      </c>
      <c r="P1021" s="11">
        <f>IF(AND(ISNUMBER(I1021),ISNUMBER(O1021)),(I1021-O1021),"")</f>
        <v/>
      </c>
      <c r="Q1021" s="12" t="inlineStr">
        <is>
          <t>WG 1028101 entered track and got secured then waited 18:52:45 for WG 1029110 to get coupled then waited 5:35:50 for WG 1029501 to get coupled, OBTP started on 14:45:05 finished on 15:12:38 and then left at 15:13:47</t>
        </is>
      </c>
    </row>
    <row r="1022">
      <c r="A1022" s="3" t="inlineStr">
        <is>
          <t>1028102</t>
        </is>
      </c>
      <c r="B1022" s="3" t="inlineStr">
        <is>
          <t>10281</t>
        </is>
      </c>
      <c r="C1022" s="9" t="n">
        <v>15.74</v>
      </c>
      <c r="D1022" s="3" t="inlineStr">
        <is>
          <t>Other sidings south</t>
        </is>
      </c>
      <c r="E1022" s="10" t="n">
        <v>45685.60334490741</v>
      </c>
      <c r="F1022" s="10" t="n">
        <v>45685.62226851852</v>
      </c>
      <c r="G1022" s="10" t="n">
        <v>45685.62418981481</v>
      </c>
      <c r="H1022" s="3" t="inlineStr">
        <is>
          <t>OBT290125093729-Other sidings south</t>
        </is>
      </c>
      <c r="I1022" s="10" t="n">
        <v>45687.34841435185</v>
      </c>
      <c r="J1022" s="10" t="n">
        <v>45687.36755787037</v>
      </c>
      <c r="K1022" s="10" t="n">
        <v>45687.36755787037</v>
      </c>
      <c r="L1022" s="10" t="n">
        <v>45687.36836805556</v>
      </c>
      <c r="M1022" s="11">
        <f>IF(AND(ISNUMBER(E1022),ISNUMBER(G1022)),(G1022-E1022),"")</f>
        <v/>
      </c>
      <c r="N1022" s="11">
        <f>IF(AND(ISNUMBER(G1022),ISNUMBER(L1022)),(L1022-G1022),"")</f>
        <v/>
      </c>
      <c r="O1022" s="10" t="n">
        <v>45685.62658564815</v>
      </c>
      <c r="P1022" s="11">
        <f>IF(AND(ISNUMBER(I1022),ISNUMBER(O1022)),(I1022-O1022),"")</f>
        <v/>
      </c>
      <c r="Q1022" s="12" t="inlineStr">
        <is>
          <t>WG 1028102 entered track and got secured then waited 0:04:57 for WG 1028103 to get coupled then waited 12:05:28 for WG 1028503 to get coupled then waited 6:24:47 for WG 1029101 to get coupled, OBTP started on 08:21:43 finished on 08:49:17 and then left at 08:50:27</t>
        </is>
      </c>
    </row>
    <row r="1023">
      <c r="A1023" s="3" t="inlineStr">
        <is>
          <t>1028103</t>
        </is>
      </c>
      <c r="B1023" s="3" t="inlineStr">
        <is>
          <t>10281</t>
        </is>
      </c>
      <c r="C1023" s="9" t="n">
        <v>19.9</v>
      </c>
      <c r="D1023" s="3" t="inlineStr">
        <is>
          <t>Felixdorf/Sollenau (Bundesheer, Maba)</t>
        </is>
      </c>
      <c r="E1023" s="10" t="n">
        <v>45685.60334490741</v>
      </c>
      <c r="F1023" s="10" t="n">
        <v>45685.62418981481</v>
      </c>
      <c r="G1023" s="10" t="n">
        <v>45685.62612268519</v>
      </c>
      <c r="H1023" s="3" t="inlineStr">
        <is>
          <t>OBT290125093729-Other sidings south</t>
        </is>
      </c>
      <c r="I1023" s="10" t="n">
        <v>45687.34841435185</v>
      </c>
      <c r="J1023" s="10" t="n">
        <v>45687.36755787037</v>
      </c>
      <c r="K1023" s="10" t="n">
        <v>45687.36755787037</v>
      </c>
      <c r="L1023" s="10" t="n">
        <v>45687.36836805556</v>
      </c>
      <c r="M1023" s="11">
        <f>IF(AND(ISNUMBER(E1023),ISNUMBER(G1023)),(G1023-E1023),"")</f>
        <v/>
      </c>
      <c r="N1023" s="11">
        <f>IF(AND(ISNUMBER(G1023),ISNUMBER(L1023)),(L1023-G1023),"")</f>
        <v/>
      </c>
      <c r="O1023" s="10" t="n">
        <v>45685.63002314815</v>
      </c>
      <c r="P1023" s="11">
        <f>IF(AND(ISNUMBER(I1023),ISNUMBER(O1023)),(I1023-O1023),"")</f>
        <v/>
      </c>
      <c r="Q1023" s="12" t="inlineStr">
        <is>
          <t>WG 1028103 entered track and got coupled to WG 1028102 then waited 12:05:28 for WG 1028503 to get coupled then waited 6:24:47 for WG 1029101 to get coupled, OBTP started on 08:21:43 finished on 08:49:17 and then left at 08:50:27</t>
        </is>
      </c>
    </row>
    <row r="1024">
      <c r="A1024" s="3" t="inlineStr">
        <is>
          <t>1028104</t>
        </is>
      </c>
      <c r="B1024" s="3" t="inlineStr">
        <is>
          <t>10281</t>
        </is>
      </c>
      <c r="C1024" s="9" t="n">
        <v>49.64</v>
      </c>
      <c r="D1024" s="3" t="inlineStr">
        <is>
          <t>Other sidings local</t>
        </is>
      </c>
      <c r="E1024" s="10" t="n">
        <v>45685.60334490741</v>
      </c>
      <c r="F1024" s="10" t="n">
        <v>45685.62612268519</v>
      </c>
      <c r="G1024" s="10" t="n">
        <v>45685.62809027778</v>
      </c>
      <c r="H1024" s="3" t="inlineStr">
        <is>
          <t>OBT280125151006-Other sidings local</t>
        </is>
      </c>
      <c r="I1024" s="10" t="n">
        <v>45686.65686342592</v>
      </c>
      <c r="J1024" s="10" t="n">
        <v>45686.67820601852</v>
      </c>
      <c r="K1024" s="10" t="n">
        <v>45686.67820601852</v>
      </c>
      <c r="L1024" s="10" t="n">
        <v>45686.67886574074</v>
      </c>
      <c r="M1024" s="11">
        <f>IF(AND(ISNUMBER(E1024),ISNUMBER(G1024)),(G1024-E1024),"")</f>
        <v/>
      </c>
      <c r="N1024" s="11">
        <f>IF(AND(ISNUMBER(G1024),ISNUMBER(L1024)),(L1024-G1024),"")</f>
        <v/>
      </c>
      <c r="O1024" s="10" t="n">
        <v>45685.63201388889</v>
      </c>
      <c r="P1024" s="11">
        <f>IF(AND(ISNUMBER(I1024),ISNUMBER(O1024)),(I1024-O1024),"")</f>
        <v/>
      </c>
      <c r="Q1024" s="12" t="inlineStr">
        <is>
          <t>WG 1028104 entered track and got coupled to WG 1027609, OBTP started on 15:45:53 finished on 16:16:37 and then left at 16:17:34</t>
        </is>
      </c>
    </row>
    <row r="1025">
      <c r="A1025" s="3" t="inlineStr">
        <is>
          <t>1028105</t>
        </is>
      </c>
      <c r="B1025" s="3" t="inlineStr">
        <is>
          <t>10281</t>
        </is>
      </c>
      <c r="C1025" s="9" t="n">
        <v>240.64</v>
      </c>
      <c r="D1025" s="3" t="inlineStr">
        <is>
          <t>Pitten (Hamburger)</t>
        </is>
      </c>
      <c r="E1025" s="10" t="n">
        <v>45685.60334490741</v>
      </c>
      <c r="F1025" s="10" t="n"/>
      <c r="G1025" s="10" t="n"/>
      <c r="H1025" s="3" t="n"/>
      <c r="I1025" s="10" t="n"/>
      <c r="J1025" s="10" t="n"/>
      <c r="K1025" s="10" t="n"/>
      <c r="L1025" s="10" t="n"/>
      <c r="M1025" s="11">
        <f>IF(AND(ISNUMBER(E1025),ISNUMBER(G1025)),(G1025-E1025),"")</f>
        <v/>
      </c>
      <c r="N1025" s="11">
        <f>IF(AND(ISNUMBER(G1025),ISNUMBER(L1025)),(L1025-G1025),"")</f>
        <v/>
      </c>
      <c r="O1025" s="10" t="n"/>
      <c r="P1025" s="11">
        <f>IF(AND(ISNUMBER(I1025),ISNUMBER(O1025)),(I1025-O1025),"")</f>
        <v/>
      </c>
      <c r="Q1025" s="12" t="n"/>
    </row>
    <row r="1026">
      <c r="A1026" s="3" t="inlineStr">
        <is>
          <t>1028106</t>
        </is>
      </c>
      <c r="B1026" s="3" t="inlineStr">
        <is>
          <t>10281</t>
        </is>
      </c>
      <c r="C1026" s="9" t="n">
        <v>19.9</v>
      </c>
      <c r="D1026" s="3" t="inlineStr">
        <is>
          <t>Wr. Neustadt Ausfahrbf (Furtenbach)</t>
        </is>
      </c>
      <c r="E1026" s="10" t="n">
        <v>45685.60334490741</v>
      </c>
      <c r="F1026" s="10" t="n">
        <v>45685.62809027778</v>
      </c>
      <c r="G1026" s="10" t="n">
        <v>45685.62967592593</v>
      </c>
      <c r="H1026" s="3" t="inlineStr">
        <is>
          <t>OBT290125063308-Wien Kledering</t>
        </is>
      </c>
      <c r="I1026" s="10" t="n">
        <v>45687.2740162037</v>
      </c>
      <c r="J1026" s="10" t="n">
        <v>45687.32557870371</v>
      </c>
      <c r="K1026" s="10" t="n">
        <v>45687.32557870371</v>
      </c>
      <c r="L1026" s="10" t="n">
        <v>45687.32686342593</v>
      </c>
      <c r="M1026" s="11">
        <f>IF(AND(ISNUMBER(E1026),ISNUMBER(G1026)),(G1026-E1026),"")</f>
        <v/>
      </c>
      <c r="N1026" s="11">
        <f>IF(AND(ISNUMBER(G1026),ISNUMBER(L1026)),(L1026-G1026),"")</f>
        <v/>
      </c>
      <c r="O1026" s="10" t="n">
        <v>45685.63186342592</v>
      </c>
      <c r="P1026" s="11">
        <f>IF(AND(ISNUMBER(I1026),ISNUMBER(O1026)),(I1026-O1026),"")</f>
        <v/>
      </c>
      <c r="Q1026" s="12" t="inlineStr">
        <is>
          <t>WG 1028106 entered track and got secured then waited 15:23:15 for WG 1028701 to get coupled, OBTP started on 06:34:35 finished on 07:48:50 and then left at 07:50:41</t>
        </is>
      </c>
    </row>
    <row r="1027">
      <c r="A1027" s="3" t="inlineStr">
        <is>
          <t>1028107</t>
        </is>
      </c>
      <c r="B1027" s="3" t="inlineStr">
        <is>
          <t>10281</t>
        </is>
      </c>
      <c r="C1027" s="9" t="n">
        <v>21</v>
      </c>
      <c r="D1027" s="3" t="inlineStr">
        <is>
          <t>Neunkirchen (loading tracks)</t>
        </is>
      </c>
      <c r="E1027" s="10" t="n">
        <v>45685.60334490741</v>
      </c>
      <c r="F1027" s="10" t="n">
        <v>45685.62967592593</v>
      </c>
      <c r="G1027" s="10" t="n">
        <v>45685.63082175926</v>
      </c>
      <c r="H1027" s="3" t="inlineStr">
        <is>
          <t>OBT280125151602-Neunkirchen (loading tracks)</t>
        </is>
      </c>
      <c r="I1027" s="10" t="n">
        <v>45686.66518518519</v>
      </c>
      <c r="J1027" s="10" t="n">
        <v>45686.69226851852</v>
      </c>
      <c r="K1027" s="10" t="n">
        <v>45686.69226851852</v>
      </c>
      <c r="L1027" s="10" t="n">
        <v>45686.69310185185</v>
      </c>
      <c r="M1027" s="11">
        <f>IF(AND(ISNUMBER(E1027),ISNUMBER(G1027)),(G1027-E1027),"")</f>
        <v/>
      </c>
      <c r="N1027" s="11">
        <f>IF(AND(ISNUMBER(G1027),ISNUMBER(L1027)),(L1027-G1027),"")</f>
        <v/>
      </c>
      <c r="O1027" s="10" t="n">
        <v>45685.63319444445</v>
      </c>
      <c r="P1027" s="11">
        <f>IF(AND(ISNUMBER(I1027),ISNUMBER(O1027)),(I1027-O1027),"")</f>
        <v/>
      </c>
      <c r="Q1027" s="12" t="inlineStr">
        <is>
          <t>WG 1028107 entered track and got secured then waited 0:04:14 for WG 1028108 to get coupled, OBTP started on 15:57:52 finished on 16:36:52 and then left at 16:38:04</t>
        </is>
      </c>
    </row>
    <row r="1028">
      <c r="A1028" s="3" t="inlineStr">
        <is>
          <t>1028108</t>
        </is>
      </c>
      <c r="B1028" s="3" t="inlineStr">
        <is>
          <t>10281</t>
        </is>
      </c>
      <c r="C1028" s="9" t="n">
        <v>135</v>
      </c>
      <c r="D1028" s="3" t="inlineStr">
        <is>
          <t>Wr. Neustadt (Hödlmayr)</t>
        </is>
      </c>
      <c r="E1028" s="10" t="n">
        <v>45685.60334490741</v>
      </c>
      <c r="F1028" s="10" t="n">
        <v>45685.63082175926</v>
      </c>
      <c r="G1028" s="10" t="n">
        <v>45685.6322337963</v>
      </c>
      <c r="H1028" s="3" t="inlineStr">
        <is>
          <t>OBT280125151602-Neunkirchen (loading tracks)</t>
        </is>
      </c>
      <c r="I1028" s="10" t="n">
        <v>45686.66518518519</v>
      </c>
      <c r="J1028" s="10" t="n">
        <v>45686.69226851852</v>
      </c>
      <c r="K1028" s="10" t="n">
        <v>45686.69226851852</v>
      </c>
      <c r="L1028" s="10" t="n">
        <v>45686.69310185185</v>
      </c>
      <c r="M1028" s="11">
        <f>IF(AND(ISNUMBER(E1028),ISNUMBER(G1028)),(G1028-E1028),"")</f>
        <v/>
      </c>
      <c r="N1028" s="11">
        <f>IF(AND(ISNUMBER(G1028),ISNUMBER(L1028)),(L1028-G1028),"")</f>
        <v/>
      </c>
      <c r="O1028" s="10" t="n">
        <v>45685.63613425926</v>
      </c>
      <c r="P1028" s="11">
        <f>IF(AND(ISNUMBER(I1028),ISNUMBER(O1028)),(I1028-O1028),"")</f>
        <v/>
      </c>
      <c r="Q1028" s="12" t="inlineStr">
        <is>
          <t>WG 1028108 entered track and got coupled to WG 1028107, OBTP started on 15:57:52 finished on 16:36:52 and then left at 16:38:04</t>
        </is>
      </c>
    </row>
    <row r="1029">
      <c r="A1029" s="3" t="inlineStr">
        <is>
          <t>1028109</t>
        </is>
      </c>
      <c r="B1029" s="3" t="inlineStr">
        <is>
          <t>10281</t>
        </is>
      </c>
      <c r="C1029" s="9" t="n">
        <v>16.5</v>
      </c>
      <c r="D1029" s="3" t="inlineStr">
        <is>
          <t>Neudörfl (FunderMax)</t>
        </is>
      </c>
      <c r="E1029" s="10" t="n">
        <v>45685.60334490741</v>
      </c>
      <c r="F1029" s="10" t="n"/>
      <c r="G1029" s="10" t="n"/>
      <c r="H1029" s="3" t="n"/>
      <c r="I1029" s="10" t="n"/>
      <c r="J1029" s="10" t="n"/>
      <c r="K1029" s="10" t="n"/>
      <c r="L1029" s="10" t="n"/>
      <c r="M1029" s="11">
        <f>IF(AND(ISNUMBER(E1029),ISNUMBER(G1029)),(G1029-E1029),"")</f>
        <v/>
      </c>
      <c r="N1029" s="11">
        <f>IF(AND(ISNUMBER(G1029),ISNUMBER(L1029)),(L1029-G1029),"")</f>
        <v/>
      </c>
      <c r="O1029" s="10" t="n"/>
      <c r="P1029" s="11">
        <f>IF(AND(ISNUMBER(I1029),ISNUMBER(O1029)),(I1029-O1029),"")</f>
        <v/>
      </c>
      <c r="Q1029" s="12" t="n"/>
    </row>
    <row r="1030">
      <c r="A1030" s="3" t="inlineStr">
        <is>
          <t>1028201</t>
        </is>
      </c>
      <c r="B1030" s="3" t="inlineStr">
        <is>
          <t>10282</t>
        </is>
      </c>
      <c r="C1030" s="9" t="n">
        <v>31.48</v>
      </c>
      <c r="D1030" s="3" t="inlineStr">
        <is>
          <t>Wien Kledering</t>
        </is>
      </c>
      <c r="E1030" s="10" t="n">
        <v>45685.64773148148</v>
      </c>
      <c r="F1030" s="10" t="n"/>
      <c r="G1030" s="10" t="n"/>
      <c r="H1030" s="3" t="n"/>
      <c r="I1030" s="10" t="n"/>
      <c r="J1030" s="10" t="n"/>
      <c r="K1030" s="10" t="n"/>
      <c r="L1030" s="10" t="n"/>
      <c r="M1030" s="11">
        <f>IF(AND(ISNUMBER(E1030),ISNUMBER(G1030)),(G1030-E1030),"")</f>
        <v/>
      </c>
      <c r="N1030" s="11">
        <f>IF(AND(ISNUMBER(G1030),ISNUMBER(L1030)),(L1030-G1030),"")</f>
        <v/>
      </c>
      <c r="O1030" s="10" t="n"/>
      <c r="P1030" s="11">
        <f>IF(AND(ISNUMBER(I1030),ISNUMBER(O1030)),(I1030-O1030),"")</f>
        <v/>
      </c>
      <c r="Q1030" s="12" t="n"/>
    </row>
    <row r="1031">
      <c r="A1031" s="3" t="inlineStr">
        <is>
          <t>1028301</t>
        </is>
      </c>
      <c r="B1031" s="3" t="inlineStr">
        <is>
          <t>10283</t>
        </is>
      </c>
      <c r="C1031" s="9" t="n">
        <v>232.68</v>
      </c>
      <c r="D1031" s="3" t="inlineStr">
        <is>
          <t>Wien Kledering</t>
        </is>
      </c>
      <c r="E1031" s="10" t="n">
        <v>45685.8137037037</v>
      </c>
      <c r="F1031" s="10" t="n">
        <v>45685.81916666667</v>
      </c>
      <c r="G1031" s="10" t="n">
        <v>45685.82138888889</v>
      </c>
      <c r="H1031" s="3" t="inlineStr">
        <is>
          <t>OBT280125194613-Wien Kledering</t>
        </is>
      </c>
      <c r="I1031" s="10" t="n">
        <v>45686.74023148148</v>
      </c>
      <c r="J1031" s="10" t="n">
        <v>45686.780625</v>
      </c>
      <c r="K1031" s="10" t="n">
        <v>45686.780625</v>
      </c>
      <c r="L1031" s="10" t="n">
        <v>45686.78166666667</v>
      </c>
      <c r="M1031" s="11">
        <f>IF(AND(ISNUMBER(E1031),ISNUMBER(G1031)),(G1031-E1031),"")</f>
        <v/>
      </c>
      <c r="N1031" s="11">
        <f>IF(AND(ISNUMBER(G1031),ISNUMBER(L1031)),(L1031-G1031),"")</f>
        <v/>
      </c>
      <c r="O1031" s="10" t="n">
        <v>45685.82376157407</v>
      </c>
      <c r="P1031" s="11">
        <f>IF(AND(ISNUMBER(I1031),ISNUMBER(O1031)),(I1031-O1031),"")</f>
        <v/>
      </c>
      <c r="Q1031" s="12" t="inlineStr">
        <is>
          <t>WG 1028301 entered track and got secured, OBTP started on 17:45:56 finished on 18:44:06 and then left at 18:45:36</t>
        </is>
      </c>
    </row>
    <row r="1032">
      <c r="A1032" s="3" t="inlineStr">
        <is>
          <t>1028401</t>
        </is>
      </c>
      <c r="B1032" s="3" t="inlineStr">
        <is>
          <t>10284</t>
        </is>
      </c>
      <c r="C1032" s="9" t="n">
        <v>397.3000000000001</v>
      </c>
      <c r="D1032" s="3" t="inlineStr">
        <is>
          <t>Wien Kledering</t>
        </is>
      </c>
      <c r="E1032" s="10" t="n">
        <v>45685.87657407407</v>
      </c>
      <c r="F1032" s="10" t="n">
        <v>45685.88334490741</v>
      </c>
      <c r="G1032" s="10" t="n">
        <v>45685.88561342593</v>
      </c>
      <c r="H1032" s="3" t="inlineStr">
        <is>
          <t>OBT280125211842-Wien Kledering</t>
        </is>
      </c>
      <c r="I1032" s="10" t="n">
        <v>45686.773125</v>
      </c>
      <c r="J1032" s="10" t="n">
        <v>45686.84210648148</v>
      </c>
      <c r="K1032" s="10" t="n">
        <v>45686.84210648148</v>
      </c>
      <c r="L1032" s="10" t="n">
        <v>45686.84350694445</v>
      </c>
      <c r="M1032" s="11">
        <f>IF(AND(ISNUMBER(E1032),ISNUMBER(G1032)),(G1032-E1032),"")</f>
        <v/>
      </c>
      <c r="N1032" s="11">
        <f>IF(AND(ISNUMBER(G1032),ISNUMBER(L1032)),(L1032-G1032),"")</f>
        <v/>
      </c>
      <c r="O1032" s="10" t="n">
        <v>45685.88798611111</v>
      </c>
      <c r="P1032" s="11">
        <f>IF(AND(ISNUMBER(I1032),ISNUMBER(O1032)),(I1032-O1032),"")</f>
        <v/>
      </c>
      <c r="Q1032" s="12" t="inlineStr">
        <is>
          <t>WG 1028401 entered track and got secured, OBTP started on 18:33:18 finished on 20:12:38 and then left at 20:14:39</t>
        </is>
      </c>
    </row>
    <row r="1033">
      <c r="A1033" s="3" t="inlineStr">
        <is>
          <t>1028501</t>
        </is>
      </c>
      <c r="B1033" s="3" t="inlineStr">
        <is>
          <t>10285</t>
        </is>
      </c>
      <c r="C1033" s="9" t="n">
        <v>19.9</v>
      </c>
      <c r="D1033" s="3" t="inlineStr">
        <is>
          <t>Ternitz (Schoeller-Bleckmann)</t>
        </is>
      </c>
      <c r="E1033" s="10" t="n">
        <v>45686.11571759259</v>
      </c>
      <c r="F1033" s="10" t="n">
        <v>45686.1244212963</v>
      </c>
      <c r="G1033" s="10" t="n">
        <v>45686.12634259259</v>
      </c>
      <c r="H1033" s="3" t="inlineStr">
        <is>
          <t>OBT290125074446-Wien Kledering</t>
        </is>
      </c>
      <c r="I1033" s="10" t="n">
        <v>45687.34200231481</v>
      </c>
      <c r="J1033" s="10" t="n">
        <v>45687.36445601852</v>
      </c>
      <c r="K1033" s="10" t="n">
        <v>45687.36445601852</v>
      </c>
      <c r="L1033" s="10" t="n">
        <v>45687.36512731481</v>
      </c>
      <c r="M1033" s="11">
        <f>IF(AND(ISNUMBER(E1033),ISNUMBER(G1033)),(G1033-E1033),"")</f>
        <v/>
      </c>
      <c r="N1033" s="11">
        <f>IF(AND(ISNUMBER(G1033),ISNUMBER(L1033)),(L1033-G1033),"")</f>
        <v/>
      </c>
      <c r="O1033" s="10" t="n">
        <v>45686.12873842593</v>
      </c>
      <c r="P1033" s="11">
        <f>IF(AND(ISNUMBER(I1033),ISNUMBER(O1033)),(I1033-O1033),"")</f>
        <v/>
      </c>
      <c r="Q1033" s="12" t="inlineStr">
        <is>
          <t>WG 1028501 entered track and got secured then waited 0:10:05 for WG 1028504 to get coupled then waited 4:29:18 for WG 1028901 to get coupled, OBTP started on 08:12:29 finished on 08:44:49 and then left at 08:45:47</t>
        </is>
      </c>
    </row>
    <row r="1034">
      <c r="A1034" s="3" t="inlineStr">
        <is>
          <t>1028502</t>
        </is>
      </c>
      <c r="B1034" s="3" t="inlineStr">
        <is>
          <t>10285</t>
        </is>
      </c>
      <c r="C1034" s="9" t="n">
        <v>165.8</v>
      </c>
      <c r="D1034" s="3" t="inlineStr">
        <is>
          <t>Neunkirchen (loading tracks)</t>
        </is>
      </c>
      <c r="E1034" s="10" t="n">
        <v>45686.11571759259</v>
      </c>
      <c r="F1034" s="10" t="n">
        <v>45686.12634259259</v>
      </c>
      <c r="G1034" s="10" t="n">
        <v>45686.12784722223</v>
      </c>
      <c r="H1034" s="3" t="inlineStr">
        <is>
          <t>OBT290125030733-Neunkirchen (loading tracks)</t>
        </is>
      </c>
      <c r="I1034" s="10" t="n">
        <v>45686.87881944444</v>
      </c>
      <c r="J1034" s="10" t="n">
        <v>45686.90760416666</v>
      </c>
      <c r="K1034" s="10" t="n">
        <v>45686.90760416666</v>
      </c>
      <c r="L1034" s="10" t="n">
        <v>45686.90846064815</v>
      </c>
      <c r="M1034" s="11">
        <f>IF(AND(ISNUMBER(E1034),ISNUMBER(G1034)),(G1034-E1034),"")</f>
        <v/>
      </c>
      <c r="N1034" s="11">
        <f>IF(AND(ISNUMBER(G1034),ISNUMBER(L1034)),(L1034-G1034),"")</f>
        <v/>
      </c>
      <c r="O1034" s="10" t="n">
        <v>45686.13024305556</v>
      </c>
      <c r="P1034" s="11">
        <f>IF(AND(ISNUMBER(I1034),ISNUMBER(O1034)),(I1034-O1034),"")</f>
        <v/>
      </c>
      <c r="Q1034" s="12" t="inlineStr">
        <is>
          <t>WG 1028502 entered track and got secured, OBTP started on 21:05:30 finished on 21:46:57 and then left at 21:48:11</t>
        </is>
      </c>
    </row>
    <row r="1035">
      <c r="A1035" s="3" t="inlineStr">
        <is>
          <t>1028503</t>
        </is>
      </c>
      <c r="B1035" s="3" t="inlineStr">
        <is>
          <t>10285</t>
        </is>
      </c>
      <c r="C1035" s="9" t="n">
        <v>54.72</v>
      </c>
      <c r="D1035" s="3" t="inlineStr">
        <is>
          <t>Other sidings south</t>
        </is>
      </c>
      <c r="E1035" s="10" t="n">
        <v>45686.11571759259</v>
      </c>
      <c r="F1035" s="10" t="n">
        <v>45686.12784722223</v>
      </c>
      <c r="G1035" s="10" t="n">
        <v>45686.12989583334</v>
      </c>
      <c r="H1035" s="3" t="inlineStr">
        <is>
          <t>OBT290125093729-Other sidings south</t>
        </is>
      </c>
      <c r="I1035" s="10" t="n">
        <v>45687.34841435185</v>
      </c>
      <c r="J1035" s="10" t="n">
        <v>45687.36755787037</v>
      </c>
      <c r="K1035" s="10" t="n">
        <v>45687.36755787037</v>
      </c>
      <c r="L1035" s="10" t="n">
        <v>45687.36836805556</v>
      </c>
      <c r="M1035" s="11">
        <f>IF(AND(ISNUMBER(E1035),ISNUMBER(G1035)),(G1035-E1035),"")</f>
        <v/>
      </c>
      <c r="N1035" s="11">
        <f>IF(AND(ISNUMBER(G1035),ISNUMBER(L1035)),(L1035-G1035),"")</f>
        <v/>
      </c>
      <c r="O1035" s="10" t="n">
        <v>45686.13381944445</v>
      </c>
      <c r="P1035" s="11">
        <f>IF(AND(ISNUMBER(I1035),ISNUMBER(O1035)),(I1035-O1035),"")</f>
        <v/>
      </c>
      <c r="Q1035" s="12" t="inlineStr">
        <is>
          <t>WG 1028503 entered track and got coupled to WG 1028103 then waited 6:24:47 for WG 1029101 to get coupled, OBTP started on 08:21:43 finished on 08:49:17 and then left at 08:50:27</t>
        </is>
      </c>
    </row>
    <row r="1036">
      <c r="A1036" s="3" t="inlineStr">
        <is>
          <t>1028504</t>
        </is>
      </c>
      <c r="B1036" s="3" t="inlineStr">
        <is>
          <t>10285</t>
        </is>
      </c>
      <c r="C1036" s="9" t="n">
        <v>19.9</v>
      </c>
      <c r="D1036" s="3" t="inlineStr">
        <is>
          <t>Ternitz (Schoeller-Bleckmann)</t>
        </is>
      </c>
      <c r="E1036" s="10" t="n">
        <v>45686.11571759259</v>
      </c>
      <c r="F1036" s="10" t="n">
        <v>45686.12989583334</v>
      </c>
      <c r="G1036" s="10" t="n">
        <v>45686.13181712963</v>
      </c>
      <c r="H1036" s="3" t="inlineStr">
        <is>
          <t>OBT290125074446-Wien Kledering</t>
        </is>
      </c>
      <c r="I1036" s="10" t="n">
        <v>45687.34200231481</v>
      </c>
      <c r="J1036" s="10" t="n">
        <v>45687.36445601852</v>
      </c>
      <c r="K1036" s="10" t="n">
        <v>45687.36445601852</v>
      </c>
      <c r="L1036" s="10" t="n">
        <v>45687.36512731481</v>
      </c>
      <c r="M1036" s="11">
        <f>IF(AND(ISNUMBER(E1036),ISNUMBER(G1036)),(G1036-E1036),"")</f>
        <v/>
      </c>
      <c r="N1036" s="11">
        <f>IF(AND(ISNUMBER(G1036),ISNUMBER(L1036)),(L1036-G1036),"")</f>
        <v/>
      </c>
      <c r="O1036" s="10" t="n">
        <v>45686.13574074074</v>
      </c>
      <c r="P1036" s="11">
        <f>IF(AND(ISNUMBER(I1036),ISNUMBER(O1036)),(I1036-O1036),"")</f>
        <v/>
      </c>
      <c r="Q1036" s="12" t="inlineStr">
        <is>
          <t>WG 1028504 entered track and got coupled to WG 1028501 then waited 4:29:18 for WG 1028901 to get coupled, OBTP started on 08:12:29 finished on 08:44:49 and then left at 08:45:47</t>
        </is>
      </c>
    </row>
    <row r="1037">
      <c r="A1037" s="3" t="inlineStr">
        <is>
          <t>1028601</t>
        </is>
      </c>
      <c r="B1037" s="3" t="inlineStr">
        <is>
          <t>10286</t>
        </is>
      </c>
      <c r="C1037" s="9" t="n">
        <v>106.9</v>
      </c>
      <c r="D1037" s="3" t="inlineStr">
        <is>
          <t>Neudörfl (FunderMax)</t>
        </is>
      </c>
      <c r="E1037" s="10" t="n">
        <v>45686.18138888889</v>
      </c>
      <c r="F1037" s="10" t="n">
        <v>45686.18587962963</v>
      </c>
      <c r="G1037" s="10" t="n">
        <v>45686.18737268518</v>
      </c>
      <c r="H1037" s="3" t="inlineStr">
        <is>
          <t>OBT290125043313-Neudörfl (FunderMax)</t>
        </is>
      </c>
      <c r="I1037" s="10" t="n">
        <v>45687.13313657408</v>
      </c>
      <c r="J1037" s="10" t="n">
        <v>45687.15170138889</v>
      </c>
      <c r="K1037" s="10" t="n">
        <v>45687.15170138889</v>
      </c>
      <c r="L1037" s="10" t="n">
        <v>45687.15237268519</v>
      </c>
      <c r="M1037" s="11">
        <f>IF(AND(ISNUMBER(E1037),ISNUMBER(G1037)),(G1037-E1037),"")</f>
        <v/>
      </c>
      <c r="N1037" s="11">
        <f>IF(AND(ISNUMBER(G1037),ISNUMBER(L1037)),(L1037-G1037),"")</f>
        <v/>
      </c>
      <c r="O1037" s="10" t="n">
        <v>45686.18973379629</v>
      </c>
      <c r="P1037" s="11">
        <f>IF(AND(ISNUMBER(I1037),ISNUMBER(O1037)),(I1037-O1037),"")</f>
        <v/>
      </c>
      <c r="Q1037" s="12" t="inlineStr">
        <is>
          <t>WG 1028601 entered track and got secured, OBTP started on 03:11:43 finished on 03:38:27 and then left at 03:39:25</t>
        </is>
      </c>
    </row>
    <row r="1038">
      <c r="A1038" s="3" t="inlineStr">
        <is>
          <t>1028701</t>
        </is>
      </c>
      <c r="B1038" s="3" t="inlineStr">
        <is>
          <t>10287</t>
        </is>
      </c>
      <c r="C1038" s="9" t="n">
        <v>297</v>
      </c>
      <c r="D1038" s="3" t="inlineStr">
        <is>
          <t>Wien Kledering</t>
        </is>
      </c>
      <c r="E1038" s="10" t="n">
        <v>45686.26238425926</v>
      </c>
      <c r="F1038" s="10" t="n">
        <v>45686.26834490741</v>
      </c>
      <c r="G1038" s="10" t="n">
        <v>45686.27061342593</v>
      </c>
      <c r="H1038" s="3" t="inlineStr">
        <is>
          <t>OBT290125063308-Wien Kledering</t>
        </is>
      </c>
      <c r="I1038" s="10" t="n">
        <v>45687.2740162037</v>
      </c>
      <c r="J1038" s="10" t="n">
        <v>45687.32557870371</v>
      </c>
      <c r="K1038" s="10" t="n">
        <v>45687.32557870371</v>
      </c>
      <c r="L1038" s="10" t="n">
        <v>45687.32686342593</v>
      </c>
      <c r="M1038" s="11">
        <f>IF(AND(ISNUMBER(E1038),ISNUMBER(G1038)),(G1038-E1038),"")</f>
        <v/>
      </c>
      <c r="N1038" s="11">
        <f>IF(AND(ISNUMBER(G1038),ISNUMBER(L1038)),(L1038-G1038),"")</f>
        <v/>
      </c>
      <c r="O1038" s="10" t="n">
        <v>45686.27300925926</v>
      </c>
      <c r="P1038" s="11">
        <f>IF(AND(ISNUMBER(I1038),ISNUMBER(O1038)),(I1038-O1038),"")</f>
        <v/>
      </c>
      <c r="Q1038" s="12" t="inlineStr">
        <is>
          <t>WG 1028701 entered track and got secured, OBTP started on 06:34:35 finished on 07:48:50 and then left at 07:50:41</t>
        </is>
      </c>
    </row>
    <row r="1039">
      <c r="A1039" s="3" t="inlineStr">
        <is>
          <t>1028801</t>
        </is>
      </c>
      <c r="B1039" s="3" t="inlineStr">
        <is>
          <t>10288</t>
        </is>
      </c>
      <c r="C1039" s="9" t="n">
        <v>397.3000000000001</v>
      </c>
      <c r="D1039" s="3" t="inlineStr">
        <is>
          <t>Wien Kledering</t>
        </is>
      </c>
      <c r="E1039" s="10" t="n">
        <v>45686.30549768519</v>
      </c>
      <c r="F1039" s="10" t="n">
        <v>45686.31226851852</v>
      </c>
      <c r="G1039" s="10" t="n">
        <v>45686.31510416666</v>
      </c>
      <c r="H1039" s="3" t="inlineStr">
        <is>
          <t>OBT290125073710-Wien Kledering</t>
        </is>
      </c>
      <c r="I1039" s="10" t="n">
        <v>45687.29908564815</v>
      </c>
      <c r="J1039" s="10" t="n">
        <v>45687.36805555555</v>
      </c>
      <c r="K1039" s="10" t="n">
        <v>45687.36836805556</v>
      </c>
      <c r="L1039" s="10" t="n">
        <v>45687.36982638889</v>
      </c>
      <c r="M1039" s="11">
        <f>IF(AND(ISNUMBER(E1039),ISNUMBER(G1039)),(G1039-E1039),"")</f>
        <v/>
      </c>
      <c r="N1039" s="11">
        <f>IF(AND(ISNUMBER(G1039),ISNUMBER(L1039)),(L1039-G1039),"")</f>
        <v/>
      </c>
      <c r="O1039" s="10" t="n">
        <v>45686.31747685185</v>
      </c>
      <c r="P1039" s="11">
        <f>IF(AND(ISNUMBER(I1039),ISNUMBER(O1039)),(I1039-O1039),"")</f>
        <v/>
      </c>
      <c r="Q1039" s="12" t="inlineStr">
        <is>
          <t>WG 1028801 entered track and got secured, OBTP started on 07:10:41 finished on 08:50:00 and then left at 08:52:33</t>
        </is>
      </c>
    </row>
    <row r="1040">
      <c r="A1040" s="3" t="inlineStr">
        <is>
          <t>1028901</t>
        </is>
      </c>
      <c r="B1040" s="3" t="inlineStr">
        <is>
          <t>10289</t>
        </is>
      </c>
      <c r="C1040" s="9" t="n">
        <v>129.34</v>
      </c>
      <c r="D1040" s="3" t="inlineStr">
        <is>
          <t>Wien Kledering</t>
        </is>
      </c>
      <c r="E1040" s="10" t="n">
        <v>45686.31355324074</v>
      </c>
      <c r="F1040" s="10" t="n">
        <v>45686.31822916667</v>
      </c>
      <c r="G1040" s="10" t="n">
        <v>45686.32038194445</v>
      </c>
      <c r="H1040" s="3" t="inlineStr">
        <is>
          <t>OBT290125074446-Wien Kledering</t>
        </is>
      </c>
      <c r="I1040" s="10" t="n">
        <v>45687.34200231481</v>
      </c>
      <c r="J1040" s="10" t="n">
        <v>45687.36445601852</v>
      </c>
      <c r="K1040" s="10" t="n">
        <v>45687.36445601852</v>
      </c>
      <c r="L1040" s="10" t="n">
        <v>45687.36512731481</v>
      </c>
      <c r="M1040" s="11">
        <f>IF(AND(ISNUMBER(E1040),ISNUMBER(G1040)),(G1040-E1040),"")</f>
        <v/>
      </c>
      <c r="N1040" s="11">
        <f>IF(AND(ISNUMBER(G1040),ISNUMBER(L1040)),(L1040-G1040),"")</f>
        <v/>
      </c>
      <c r="O1040" s="10" t="n">
        <v>45686.32275462963</v>
      </c>
      <c r="P1040" s="11">
        <f>IF(AND(ISNUMBER(I1040),ISNUMBER(O1040)),(I1040-O1040),"")</f>
        <v/>
      </c>
      <c r="Q1040" s="12" t="inlineStr">
        <is>
          <t>WG 1028901 entered track and got secured, OBTP started on 08:12:29 finished on 08:44:49 and then left at 08:45:47</t>
        </is>
      </c>
    </row>
    <row r="1041">
      <c r="A1041" s="3" t="inlineStr">
        <is>
          <t>1029001</t>
        </is>
      </c>
      <c r="B1041" s="3" t="inlineStr">
        <is>
          <t>10290</t>
        </is>
      </c>
      <c r="C1041" s="9" t="n">
        <v>16.5</v>
      </c>
      <c r="D1041" s="3" t="inlineStr">
        <is>
          <t>St. Veit an der Glan</t>
        </is>
      </c>
      <c r="E1041" s="10" t="n">
        <v>45686.34802083333</v>
      </c>
      <c r="F1041" s="10" t="n">
        <v>45686.35329861111</v>
      </c>
      <c r="G1041" s="10" t="n">
        <v>45686.35525462963</v>
      </c>
      <c r="H1041" s="3" t="inlineStr">
        <is>
          <t>OBT300125085102-St. Veit an der Glan</t>
        </is>
      </c>
      <c r="I1041" s="10" t="n">
        <v>45688.34722222222</v>
      </c>
      <c r="J1041" s="10" t="n">
        <v>45688.36916666666</v>
      </c>
      <c r="K1041" s="10" t="n">
        <v>45688.36916666666</v>
      </c>
      <c r="L1041" s="10" t="n">
        <v>45688.36998842593</v>
      </c>
      <c r="M1041" s="11">
        <f>IF(AND(ISNUMBER(E1041),ISNUMBER(G1041)),(G1041-E1041),"")</f>
        <v/>
      </c>
      <c r="N1041" s="11">
        <f>IF(AND(ISNUMBER(G1041),ISNUMBER(L1041)),(L1041-G1041),"")</f>
        <v/>
      </c>
      <c r="O1041" s="10" t="n">
        <v>45686.35765046296</v>
      </c>
      <c r="P1041" s="11">
        <f>IF(AND(ISNUMBER(I1041),ISNUMBER(O1041)),(I1041-O1041),"")</f>
        <v/>
      </c>
      <c r="Q1041" s="12" t="inlineStr">
        <is>
          <t>WG 1029001 entered track and got secured then waited 1:11:47 for WG 1029107 to get coupled then waited 1:04:00 for WG 1029201 to get coupled then waited 7:29:40 for WG 1029804 to get coupled then waited 14:30:34 for cut 1030501+1030503 to get coupled, OBTP started on 08:20:00 finished on 08:51:36 and then left at 08:52:47</t>
        </is>
      </c>
    </row>
    <row r="1042">
      <c r="A1042" s="3" t="inlineStr">
        <is>
          <t>1029002</t>
        </is>
      </c>
      <c r="B1042" s="3" t="inlineStr">
        <is>
          <t>10290</t>
        </is>
      </c>
      <c r="C1042" s="9" t="n">
        <v>63</v>
      </c>
      <c r="D1042" s="3" t="inlineStr">
        <is>
          <t>Wien Kledering</t>
        </is>
      </c>
      <c r="E1042" s="10" t="n">
        <v>45686.34802083333</v>
      </c>
      <c r="F1042" s="10" t="n">
        <v>45686.35525462963</v>
      </c>
      <c r="G1042" s="10" t="n">
        <v>45686.35652777777</v>
      </c>
      <c r="H1042" s="3" t="inlineStr">
        <is>
          <t>OBT290125094134-Wien Kledering</t>
        </is>
      </c>
      <c r="I1042" s="10" t="n">
        <v>45687.36918981482</v>
      </c>
      <c r="J1042" s="10" t="n">
        <v>45687.41293981481</v>
      </c>
      <c r="K1042" s="10" t="n">
        <v>45687.41293981481</v>
      </c>
      <c r="L1042" s="10" t="n">
        <v>45687.41398148148</v>
      </c>
      <c r="M1042" s="11">
        <f>IF(AND(ISNUMBER(E1042),ISNUMBER(G1042)),(G1042-E1042),"")</f>
        <v/>
      </c>
      <c r="N1042" s="11">
        <f>IF(AND(ISNUMBER(G1042),ISNUMBER(L1042)),(L1042-G1042),"")</f>
        <v/>
      </c>
      <c r="O1042" s="10" t="n">
        <v>45686.35888888889</v>
      </c>
      <c r="P1042" s="11">
        <f>IF(AND(ISNUMBER(I1042),ISNUMBER(O1042)),(I1042-O1042),"")</f>
        <v/>
      </c>
      <c r="Q1042" s="12" t="inlineStr">
        <is>
          <t>WG 1029002 entered track and got secured then waited 1:04:46 for WG 1029104 to get coupled, OBTP started on 08:51:38 finished on 09:54:38 and then left at 09:56:08</t>
        </is>
      </c>
    </row>
    <row r="1043">
      <c r="A1043" s="3" t="inlineStr">
        <is>
          <t>1029101</t>
        </is>
      </c>
      <c r="B1043" s="3" t="inlineStr">
        <is>
          <t>10291</t>
        </is>
      </c>
      <c r="C1043" s="9" t="n">
        <v>19.9</v>
      </c>
      <c r="D1043" s="3" t="inlineStr">
        <is>
          <t>Other sidings south</t>
        </is>
      </c>
      <c r="E1043" s="10" t="n">
        <v>45686.3786574074</v>
      </c>
      <c r="F1043" s="10" t="n">
        <v>45686.39513888889</v>
      </c>
      <c r="G1043" s="10" t="n">
        <v>45686.39710648148</v>
      </c>
      <c r="H1043" s="3" t="inlineStr">
        <is>
          <t>OBT290125093729-Other sidings south</t>
        </is>
      </c>
      <c r="I1043" s="10" t="n">
        <v>45687.34841435185</v>
      </c>
      <c r="J1043" s="10" t="n">
        <v>45687.36755787037</v>
      </c>
      <c r="K1043" s="10" t="n">
        <v>45687.36755787037</v>
      </c>
      <c r="L1043" s="10" t="n">
        <v>45687.36836805556</v>
      </c>
      <c r="M1043" s="11">
        <f>IF(AND(ISNUMBER(E1043),ISNUMBER(G1043)),(G1043-E1043),"")</f>
        <v/>
      </c>
      <c r="N1043" s="11">
        <f>IF(AND(ISNUMBER(G1043),ISNUMBER(L1043)),(L1043-G1043),"")</f>
        <v/>
      </c>
      <c r="O1043" s="10" t="n">
        <v>45686.40103009259</v>
      </c>
      <c r="P1043" s="11">
        <f>IF(AND(ISNUMBER(I1043),ISNUMBER(O1043)),(I1043-O1043),"")</f>
        <v/>
      </c>
      <c r="Q1043" s="12" t="inlineStr">
        <is>
          <t>WG 1029101 entered track and got coupled to WG 1028503, OBTP started on 08:21:43 finished on 08:49:17 and then left at 08:50:27</t>
        </is>
      </c>
    </row>
    <row r="1044">
      <c r="A1044" s="3" t="inlineStr">
        <is>
          <t>1029102</t>
        </is>
      </c>
      <c r="B1044" s="3" t="inlineStr">
        <is>
          <t>10291</t>
        </is>
      </c>
      <c r="C1044" s="9" t="n">
        <v>14</v>
      </c>
      <c r="D1044" s="3" t="inlineStr">
        <is>
          <t>Wr. Neustadt (Brenntag)</t>
        </is>
      </c>
      <c r="E1044" s="10" t="n">
        <v>45686.3786574074</v>
      </c>
      <c r="F1044" s="10" t="n">
        <v>45686.39710648148</v>
      </c>
      <c r="G1044" s="10" t="n">
        <v>45686.39837962963</v>
      </c>
      <c r="H1044" s="3" t="inlineStr">
        <is>
          <t>OBT300125081010-Wr. Neustadt (Brenntag)</t>
        </is>
      </c>
      <c r="I1044" s="10" t="n">
        <v>45688.30097222222</v>
      </c>
      <c r="J1044" s="10" t="n">
        <v>45688.32527777777</v>
      </c>
      <c r="K1044" s="10" t="n">
        <v>45688.32527777777</v>
      </c>
      <c r="L1044" s="10" t="n">
        <v>45688.32615740741</v>
      </c>
      <c r="M1044" s="11">
        <f>IF(AND(ISNUMBER(E1044),ISNUMBER(G1044)),(G1044-E1044),"")</f>
        <v/>
      </c>
      <c r="N1044" s="11">
        <f>IF(AND(ISNUMBER(G1044),ISNUMBER(L1044)),(L1044-G1044),"")</f>
        <v/>
      </c>
      <c r="O1044" s="10" t="n">
        <v>45686.40226851852</v>
      </c>
      <c r="P1044" s="11">
        <f>IF(AND(ISNUMBER(I1044),ISNUMBER(O1044)),(I1044-O1044),"")</f>
        <v/>
      </c>
      <c r="Q1044" s="12" t="inlineStr">
        <is>
          <t>WG 1029102 entered track and got coupled to WG 1027605 then waited 5:53:36 for WG 1029503 to get coupled then waited 2:41:35 for WG 1029802 to get coupled then waited 13:55:43 for WG 1030310 to get coupled, OBTP started on 07:13:24 finished on 07:48:24 and then left at 07:49:40</t>
        </is>
      </c>
    </row>
    <row r="1045">
      <c r="A1045" s="3" t="inlineStr">
        <is>
          <t>1029103</t>
        </is>
      </c>
      <c r="B1045" s="3" t="inlineStr">
        <is>
          <t>10291</t>
        </is>
      </c>
      <c r="C1045" s="9" t="n">
        <v>19.9</v>
      </c>
      <c r="D1045" s="3" t="inlineStr">
        <is>
          <t>Other sidings local</t>
        </is>
      </c>
      <c r="E1045" s="10" t="n">
        <v>45686.3786574074</v>
      </c>
      <c r="F1045" s="10" t="n"/>
      <c r="G1045" s="10" t="n"/>
      <c r="H1045" s="3" t="n"/>
      <c r="I1045" s="10" t="n"/>
      <c r="J1045" s="10" t="n"/>
      <c r="K1045" s="10" t="n"/>
      <c r="L1045" s="10" t="n"/>
      <c r="M1045" s="11">
        <f>IF(AND(ISNUMBER(E1045),ISNUMBER(G1045)),(G1045-E1045),"")</f>
        <v/>
      </c>
      <c r="N1045" s="11">
        <f>IF(AND(ISNUMBER(G1045),ISNUMBER(L1045)),(L1045-G1045),"")</f>
        <v/>
      </c>
      <c r="O1045" s="10" t="n"/>
      <c r="P1045" s="11">
        <f>IF(AND(ISNUMBER(I1045),ISNUMBER(O1045)),(I1045-O1045),"")</f>
        <v/>
      </c>
      <c r="Q1045" s="12" t="n"/>
    </row>
    <row r="1046">
      <c r="A1046" s="3" t="inlineStr">
        <is>
          <t>1029104</t>
        </is>
      </c>
      <c r="B1046" s="3" t="inlineStr">
        <is>
          <t>10291</t>
        </is>
      </c>
      <c r="C1046" s="9" t="n">
        <v>189</v>
      </c>
      <c r="D1046" s="3" t="inlineStr">
        <is>
          <t>Wr. Neustadt (Hödlmayr)</t>
        </is>
      </c>
      <c r="E1046" s="10" t="n">
        <v>45686.3786574074</v>
      </c>
      <c r="F1046" s="10" t="n">
        <v>45686.39837962963</v>
      </c>
      <c r="G1046" s="10" t="n">
        <v>45686.39994212963</v>
      </c>
      <c r="H1046" s="3" t="inlineStr">
        <is>
          <t>OBT290125094134-Wien Kledering</t>
        </is>
      </c>
      <c r="I1046" s="10" t="n">
        <v>45687.36918981482</v>
      </c>
      <c r="J1046" s="10" t="n">
        <v>45687.41293981481</v>
      </c>
      <c r="K1046" s="10" t="n">
        <v>45687.41293981481</v>
      </c>
      <c r="L1046" s="10" t="n">
        <v>45687.41398148148</v>
      </c>
      <c r="M1046" s="11">
        <f>IF(AND(ISNUMBER(E1046),ISNUMBER(G1046)),(G1046-E1046),"")</f>
        <v/>
      </c>
      <c r="N1046" s="11">
        <f>IF(AND(ISNUMBER(G1046),ISNUMBER(L1046)),(L1046-G1046),"")</f>
        <v/>
      </c>
      <c r="O1046" s="10" t="n">
        <v>45686.40386574074</v>
      </c>
      <c r="P1046" s="11">
        <f>IF(AND(ISNUMBER(I1046),ISNUMBER(O1046)),(I1046-O1046),"")</f>
        <v/>
      </c>
      <c r="Q1046" s="12" t="inlineStr">
        <is>
          <t>WG 1029104 entered track and got coupled to WG 1029002, OBTP started on 08:51:38 finished on 09:54:38 and then left at 09:56:08</t>
        </is>
      </c>
    </row>
    <row r="1047">
      <c r="A1047" s="3" t="inlineStr">
        <is>
          <t>1029105</t>
        </is>
      </c>
      <c r="B1047" s="3" t="inlineStr">
        <is>
          <t>10291</t>
        </is>
      </c>
      <c r="C1047" s="9" t="n">
        <v>19.9</v>
      </c>
      <c r="D1047" s="3" t="inlineStr">
        <is>
          <t>Neunkirchen (loading tracks)</t>
        </is>
      </c>
      <c r="E1047" s="10" t="n">
        <v>45686.3786574074</v>
      </c>
      <c r="F1047" s="10" t="n"/>
      <c r="G1047" s="10" t="n"/>
      <c r="H1047" s="3" t="n"/>
      <c r="I1047" s="10" t="n"/>
      <c r="J1047" s="10" t="n"/>
      <c r="K1047" s="10" t="n"/>
      <c r="L1047" s="10" t="n"/>
      <c r="M1047" s="11">
        <f>IF(AND(ISNUMBER(E1047),ISNUMBER(G1047)),(G1047-E1047),"")</f>
        <v/>
      </c>
      <c r="N1047" s="11">
        <f>IF(AND(ISNUMBER(G1047),ISNUMBER(L1047)),(L1047-G1047),"")</f>
        <v/>
      </c>
      <c r="O1047" s="10" t="n"/>
      <c r="P1047" s="11">
        <f>IF(AND(ISNUMBER(I1047),ISNUMBER(O1047)),(I1047-O1047),"")</f>
        <v/>
      </c>
      <c r="Q1047" s="12" t="n"/>
    </row>
    <row r="1048">
      <c r="A1048" s="3" t="inlineStr">
        <is>
          <t>1029106</t>
        </is>
      </c>
      <c r="B1048" s="3" t="inlineStr">
        <is>
          <t>10291</t>
        </is>
      </c>
      <c r="C1048" s="9" t="n">
        <v>59.7</v>
      </c>
      <c r="D1048" s="3" t="inlineStr">
        <is>
          <t>Wr. Neustadt Ausfahrbf (Furtenbach)</t>
        </is>
      </c>
      <c r="E1048" s="10" t="n">
        <v>45686.3786574074</v>
      </c>
      <c r="F1048" s="10" t="n">
        <v>45686.39994212963</v>
      </c>
      <c r="G1048" s="10" t="n">
        <v>45686.4016550926</v>
      </c>
      <c r="H1048" s="3" t="inlineStr">
        <is>
          <t>OBT300125081913-Wr. Neustadt Ausfahrbf (Furtenbach)</t>
        </is>
      </c>
      <c r="I1048" s="10" t="n">
        <v>45688.33234953704</v>
      </c>
      <c r="J1048" s="10" t="n">
        <v>45688.40537037037</v>
      </c>
      <c r="K1048" s="10" t="n">
        <v>45688.40537037037</v>
      </c>
      <c r="L1048" s="10" t="n">
        <v>45688.40694444445</v>
      </c>
      <c r="M1048" s="11">
        <f>IF(AND(ISNUMBER(E1048),ISNUMBER(G1048)),(G1048-E1048),"")</f>
        <v/>
      </c>
      <c r="N1048" s="11">
        <f>IF(AND(ISNUMBER(G1048),ISNUMBER(L1048)),(L1048-G1048),"")</f>
        <v/>
      </c>
      <c r="O1048" s="10" t="n">
        <v>45686.40403935185</v>
      </c>
      <c r="P1048" s="11">
        <f>IF(AND(ISNUMBER(I1048),ISNUMBER(O1048)),(I1048-O1048),"")</f>
        <v/>
      </c>
      <c r="Q1048" s="12" t="inlineStr">
        <is>
          <t>WG 1029106 entered track and got secured then waited 8:49:03 for WG 1029808 to get coupled then waited 13:41:02 for WG 1030312 to get coupled then waited 0:07:19 for WG 1030401 to get coupled, OBTP started on 07:58:35 finished on 09:43:44 and then left at 09:46:00</t>
        </is>
      </c>
    </row>
    <row r="1049">
      <c r="A1049" s="3" t="inlineStr">
        <is>
          <t>1029107</t>
        </is>
      </c>
      <c r="B1049" s="3" t="inlineStr">
        <is>
          <t>10291</t>
        </is>
      </c>
      <c r="C1049" s="9" t="n">
        <v>15.74</v>
      </c>
      <c r="D1049" s="3" t="inlineStr">
        <is>
          <t>Obereggendorf (Hofer)</t>
        </is>
      </c>
      <c r="E1049" s="10" t="n">
        <v>45686.3786574074</v>
      </c>
      <c r="F1049" s="10" t="n">
        <v>45686.4016550926</v>
      </c>
      <c r="G1049" s="10" t="n">
        <v>45686.40361111111</v>
      </c>
      <c r="H1049" s="3" t="inlineStr">
        <is>
          <t>OBT300125085102-St. Veit an der Glan</t>
        </is>
      </c>
      <c r="I1049" s="10" t="n">
        <v>45688.34722222222</v>
      </c>
      <c r="J1049" s="10" t="n">
        <v>45688.36916666666</v>
      </c>
      <c r="K1049" s="10" t="n">
        <v>45688.36916666666</v>
      </c>
      <c r="L1049" s="10" t="n">
        <v>45688.36998842593</v>
      </c>
      <c r="M1049" s="11">
        <f>IF(AND(ISNUMBER(E1049),ISNUMBER(G1049)),(G1049-E1049),"")</f>
        <v/>
      </c>
      <c r="N1049" s="11">
        <f>IF(AND(ISNUMBER(G1049),ISNUMBER(L1049)),(L1049-G1049),"")</f>
        <v/>
      </c>
      <c r="O1049" s="10" t="n">
        <v>45686.4075</v>
      </c>
      <c r="P1049" s="11">
        <f>IF(AND(ISNUMBER(I1049),ISNUMBER(O1049)),(I1049-O1049),"")</f>
        <v/>
      </c>
      <c r="Q1049" s="12" t="inlineStr">
        <is>
          <t>WG 1029107 entered track and got coupled to WG 1029001 then waited 1:04:00 for WG 1029201 to get coupled then waited 7:29:40 for WG 1029804 to get coupled then waited 14:30:34 for cut 1030501+1030503 to get coupled, OBTP started on 08:20:00 finished on 08:51:36 and then left at 08:52:47</t>
        </is>
      </c>
    </row>
    <row r="1050">
      <c r="A1050" s="3" t="inlineStr">
        <is>
          <t>1029108</t>
        </is>
      </c>
      <c r="B1050" s="3" t="inlineStr">
        <is>
          <t>10291</t>
        </is>
      </c>
      <c r="C1050" s="9" t="n">
        <v>54.72</v>
      </c>
      <c r="D1050" s="3" t="inlineStr">
        <is>
          <t>Pitten (Hamburger)</t>
        </is>
      </c>
      <c r="E1050" s="10" t="n">
        <v>45686.3786574074</v>
      </c>
      <c r="F1050" s="10" t="n"/>
      <c r="G1050" s="10" t="n"/>
      <c r="H1050" s="3" t="n"/>
      <c r="I1050" s="10" t="n"/>
      <c r="J1050" s="10" t="n"/>
      <c r="K1050" s="10" t="n"/>
      <c r="L1050" s="10" t="n"/>
      <c r="M1050" s="11">
        <f>IF(AND(ISNUMBER(E1050),ISNUMBER(G1050)),(G1050-E1050),"")</f>
        <v/>
      </c>
      <c r="N1050" s="11">
        <f>IF(AND(ISNUMBER(G1050),ISNUMBER(L1050)),(L1050-G1050),"")</f>
        <v/>
      </c>
      <c r="O1050" s="10" t="n"/>
      <c r="P1050" s="11">
        <f>IF(AND(ISNUMBER(I1050),ISNUMBER(O1050)),(I1050-O1050),"")</f>
        <v/>
      </c>
      <c r="Q1050" s="12" t="n"/>
    </row>
    <row r="1051">
      <c r="A1051" s="3" t="inlineStr">
        <is>
          <t>1029109</t>
        </is>
      </c>
      <c r="B1051" s="3" t="inlineStr">
        <is>
          <t>10291</t>
        </is>
      </c>
      <c r="C1051" s="9" t="n">
        <v>19.9</v>
      </c>
      <c r="D1051" s="3" t="inlineStr">
        <is>
          <t>Felixdorf/Sollenau (Bundesheer, Maba)</t>
        </is>
      </c>
      <c r="E1051" s="10" t="n">
        <v>45686.3786574074</v>
      </c>
      <c r="F1051" s="10" t="n">
        <v>45686.40361111111</v>
      </c>
      <c r="G1051" s="10" t="n">
        <v>45686.40557870371</v>
      </c>
      <c r="H1051" s="3" t="inlineStr">
        <is>
          <t>OBT310125080145-Wr. Neustadt (Brenntag)</t>
        </is>
      </c>
      <c r="I1051" s="10" t="n">
        <v>45688.86421296297</v>
      </c>
      <c r="J1051" s="10" t="n">
        <v>45688.88429398148</v>
      </c>
      <c r="K1051" s="10" t="n">
        <v>45688.88429398148</v>
      </c>
      <c r="L1051" s="10" t="n">
        <v>45688.88511574074</v>
      </c>
      <c r="M1051" s="11">
        <f>IF(AND(ISNUMBER(E1051),ISNUMBER(G1051)),(G1051-E1051),"")</f>
        <v/>
      </c>
      <c r="N1051" s="11">
        <f>IF(AND(ISNUMBER(G1051),ISNUMBER(L1051)),(L1051-G1051),"")</f>
        <v/>
      </c>
      <c r="O1051" s="10" t="n">
        <v>45686.40795138889</v>
      </c>
      <c r="P1051" s="11">
        <f>IF(AND(ISNUMBER(I1051),ISNUMBER(O1051)),(I1051-O1051),"")</f>
        <v/>
      </c>
      <c r="Q1051" s="12" t="inlineStr">
        <is>
          <t>WG 1029109 entered track and got secured then waited 5:56:00 for WG 1029507 to get coupled then waited 17:53:49 for WG 1030602 to get coupled then waited 5:49:19 for WG 1031003 to get coupled then waited 16:26:39 for WG 1031907 to get coupled then waited 0:08:31 for WG 1031911 to get coupled, OBTP started on 20:44:28 finished on 21:13:23 and then left at 21:14:34</t>
        </is>
      </c>
    </row>
    <row r="1052">
      <c r="A1052" s="3" t="inlineStr">
        <is>
          <t>1029110</t>
        </is>
      </c>
      <c r="B1052" s="3" t="inlineStr">
        <is>
          <t>10291</t>
        </is>
      </c>
      <c r="C1052" s="9" t="n">
        <v>23.24</v>
      </c>
      <c r="D1052" s="3" t="inlineStr">
        <is>
          <t>Other sidings north</t>
        </is>
      </c>
      <c r="E1052" s="10" t="n">
        <v>45686.3786574074</v>
      </c>
      <c r="F1052" s="10" t="n">
        <v>45686.40557870371</v>
      </c>
      <c r="G1052" s="10" t="n">
        <v>45686.40734953704</v>
      </c>
      <c r="H1052" s="3" t="inlineStr">
        <is>
          <t>OBT290125152804-Other sidings north</t>
        </is>
      </c>
      <c r="I1052" s="10" t="n">
        <v>45687.61464120371</v>
      </c>
      <c r="J1052" s="10" t="n">
        <v>45687.63377314815</v>
      </c>
      <c r="K1052" s="10" t="n">
        <v>45687.63377314815</v>
      </c>
      <c r="L1052" s="10" t="n">
        <v>45687.63457175926</v>
      </c>
      <c r="M1052" s="11">
        <f>IF(AND(ISNUMBER(E1052),ISNUMBER(G1052)),(G1052-E1052),"")</f>
        <v/>
      </c>
      <c r="N1052" s="11">
        <f>IF(AND(ISNUMBER(G1052),ISNUMBER(L1052)),(L1052-G1052),"")</f>
        <v/>
      </c>
      <c r="O1052" s="10" t="n">
        <v>45686.41127314815</v>
      </c>
      <c r="P1052" s="11">
        <f>IF(AND(ISNUMBER(I1052),ISNUMBER(O1052)),(I1052-O1052),"")</f>
        <v/>
      </c>
      <c r="Q1052" s="12" t="inlineStr">
        <is>
          <t>WG 1029110 entered track and got coupled to WG 1028101 then waited 5:35:50 for WG 1029501 to get coupled, OBTP started on 14:45:05 finished on 15:12:38 and then left at 15:13:47</t>
        </is>
      </c>
    </row>
    <row r="1053">
      <c r="A1053" s="3" t="inlineStr">
        <is>
          <t>1029201</t>
        </is>
      </c>
      <c r="B1053" s="3" t="inlineStr">
        <is>
          <t>10292</t>
        </is>
      </c>
      <c r="C1053" s="9" t="n">
        <v>21</v>
      </c>
      <c r="D1053" s="3" t="inlineStr">
        <is>
          <t>St. Veit an der Glan</t>
        </is>
      </c>
      <c r="E1053" s="10" t="n">
        <v>45686.43953703704</v>
      </c>
      <c r="F1053" s="10" t="n">
        <v>45686.44605324074</v>
      </c>
      <c r="G1053" s="10" t="n">
        <v>45686.44802083333</v>
      </c>
      <c r="H1053" s="3" t="inlineStr">
        <is>
          <t>OBT300125085102-St. Veit an der Glan</t>
        </is>
      </c>
      <c r="I1053" s="10" t="n">
        <v>45688.34722222222</v>
      </c>
      <c r="J1053" s="10" t="n">
        <v>45688.36916666666</v>
      </c>
      <c r="K1053" s="10" t="n">
        <v>45688.36916666666</v>
      </c>
      <c r="L1053" s="10" t="n">
        <v>45688.36998842593</v>
      </c>
      <c r="M1053" s="11">
        <f>IF(AND(ISNUMBER(E1053),ISNUMBER(G1053)),(G1053-E1053),"")</f>
        <v/>
      </c>
      <c r="N1053" s="11">
        <f>IF(AND(ISNUMBER(G1053),ISNUMBER(L1053)),(L1053-G1053),"")</f>
        <v/>
      </c>
      <c r="O1053" s="10" t="n">
        <v>45686.45194444444</v>
      </c>
      <c r="P1053" s="11">
        <f>IF(AND(ISNUMBER(I1053),ISNUMBER(O1053)),(I1053-O1053),"")</f>
        <v/>
      </c>
      <c r="Q1053" s="12" t="inlineStr">
        <is>
          <t>WG 1029201 entered track and got coupled to WG 1029107 then waited 7:29:40 for WG 1029804 to get coupled then waited 14:30:34 for cut 1030501+1030503 to get coupled, OBTP started on 08:20:00 finished on 08:51:36 and then left at 08:52:47</t>
        </is>
      </c>
    </row>
    <row r="1054">
      <c r="A1054" s="3" t="inlineStr">
        <is>
          <t>1029202</t>
        </is>
      </c>
      <c r="B1054" s="3" t="inlineStr">
        <is>
          <t>10292</t>
        </is>
      </c>
      <c r="C1054" s="9" t="n">
        <v>220.3</v>
      </c>
      <c r="D1054" s="3" t="inlineStr">
        <is>
          <t>Wien Kledering</t>
        </is>
      </c>
      <c r="E1054" s="10" t="n">
        <v>45686.43953703704</v>
      </c>
      <c r="F1054" s="10" t="n">
        <v>45686.44802083333</v>
      </c>
      <c r="G1054" s="10" t="n">
        <v>45686.44965277778</v>
      </c>
      <c r="H1054" s="3" t="inlineStr">
        <is>
          <t>OBT290125105057-Wien Kledering</t>
        </is>
      </c>
      <c r="I1054" s="10" t="n">
        <v>45687.40633101852</v>
      </c>
      <c r="J1054" s="10" t="n">
        <v>45687.44457175926</v>
      </c>
      <c r="K1054" s="10" t="n">
        <v>45687.44457175926</v>
      </c>
      <c r="L1054" s="10" t="n">
        <v>45687.44554398148</v>
      </c>
      <c r="M1054" s="11">
        <f>IF(AND(ISNUMBER(E1054),ISNUMBER(G1054)),(G1054-E1054),"")</f>
        <v/>
      </c>
      <c r="N1054" s="11">
        <f>IF(AND(ISNUMBER(G1054),ISNUMBER(L1054)),(L1054-G1054),"")</f>
        <v/>
      </c>
      <c r="O1054" s="10" t="n">
        <v>45686.45204861111</v>
      </c>
      <c r="P1054" s="11">
        <f>IF(AND(ISNUMBER(I1054),ISNUMBER(O1054)),(I1054-O1054),"")</f>
        <v/>
      </c>
      <c r="Q1054" s="12" t="inlineStr">
        <is>
          <t>WG 1029202 entered track and got secured, OBTP started on 09:45:07 finished on 10:40:11 and then left at 10:41:35</t>
        </is>
      </c>
    </row>
    <row r="1055">
      <c r="A1055" s="3" t="inlineStr">
        <is>
          <t>1029301</t>
        </is>
      </c>
      <c r="B1055" s="3" t="inlineStr">
        <is>
          <t>10293</t>
        </is>
      </c>
      <c r="C1055" s="9" t="n">
        <v>259.66</v>
      </c>
      <c r="D1055" s="3" t="inlineStr">
        <is>
          <t>Wien Kledering</t>
        </is>
      </c>
      <c r="E1055" s="10" t="n">
        <v>45686.54684027778</v>
      </c>
      <c r="F1055" s="10" t="n">
        <v>45686.55255787037</v>
      </c>
      <c r="G1055" s="10" t="n">
        <v>45686.55428240741</v>
      </c>
      <c r="H1055" s="3" t="inlineStr">
        <is>
          <t>OBT290125132135-Wien Kledering</t>
        </is>
      </c>
      <c r="I1055" s="10" t="n">
        <v>45687.42520833333</v>
      </c>
      <c r="J1055" s="10" t="n">
        <v>45687.47028935186</v>
      </c>
      <c r="K1055" s="10" t="n">
        <v>45687.47028935186</v>
      </c>
      <c r="L1055" s="10" t="n">
        <v>45687.47135416666</v>
      </c>
      <c r="M1055" s="11">
        <f>IF(AND(ISNUMBER(E1055),ISNUMBER(G1055)),(G1055-E1055),"")</f>
        <v/>
      </c>
      <c r="N1055" s="11">
        <f>IF(AND(ISNUMBER(G1055),ISNUMBER(L1055)),(L1055-G1055),"")</f>
        <v/>
      </c>
      <c r="O1055" s="10" t="n">
        <v>45686.55665509259</v>
      </c>
      <c r="P1055" s="11">
        <f>IF(AND(ISNUMBER(I1055),ISNUMBER(O1055)),(I1055-O1055),"")</f>
        <v/>
      </c>
      <c r="Q1055" s="12" t="inlineStr">
        <is>
          <t>WG 1029301 entered track and got secured, OBTP started on 10:12:18 finished on 11:17:13 and then left at 11:18:45</t>
        </is>
      </c>
    </row>
    <row r="1056">
      <c r="A1056" s="3" t="inlineStr">
        <is>
          <t>1029401</t>
        </is>
      </c>
      <c r="B1056" s="3" t="inlineStr">
        <is>
          <t>10294</t>
        </is>
      </c>
      <c r="C1056" s="9" t="n">
        <v>398.0400000000001</v>
      </c>
      <c r="D1056" s="3" t="inlineStr">
        <is>
          <t>Wien Kledering</t>
        </is>
      </c>
      <c r="E1056" s="10" t="n">
        <v>45686.60586805556</v>
      </c>
      <c r="F1056" s="10" t="n">
        <v>45686.61258101852</v>
      </c>
      <c r="G1056" s="10" t="n">
        <v>45686.61462962963</v>
      </c>
      <c r="H1056" s="3" t="inlineStr">
        <is>
          <t>OBT290125144829-Wien Kledering</t>
        </is>
      </c>
      <c r="I1056" s="10" t="n">
        <v>45687.5509837963</v>
      </c>
      <c r="J1056" s="10" t="n">
        <v>45687.62008101852</v>
      </c>
      <c r="K1056" s="10" t="n">
        <v>45687.62008101852</v>
      </c>
      <c r="L1056" s="10" t="n">
        <v>45687.6214699074</v>
      </c>
      <c r="M1056" s="11">
        <f>IF(AND(ISNUMBER(E1056),ISNUMBER(G1056)),(G1056-E1056),"")</f>
        <v/>
      </c>
      <c r="N1056" s="11">
        <f>IF(AND(ISNUMBER(G1056),ISNUMBER(L1056)),(L1056-G1056),"")</f>
        <v/>
      </c>
      <c r="O1056" s="10" t="n">
        <v>45686.61700231482</v>
      </c>
      <c r="P1056" s="11">
        <f>IF(AND(ISNUMBER(I1056),ISNUMBER(O1056)),(I1056-O1056),"")</f>
        <v/>
      </c>
      <c r="Q1056" s="12" t="inlineStr">
        <is>
          <t>WG 1029401 entered track and got secured, OBTP started on 13:13:25 finished on 14:52:55 and then left at 14:54:55</t>
        </is>
      </c>
    </row>
    <row r="1057">
      <c r="A1057" s="3" t="inlineStr">
        <is>
          <t>1029501</t>
        </is>
      </c>
      <c r="B1057" s="3" t="inlineStr">
        <is>
          <t>10295</t>
        </is>
      </c>
      <c r="C1057" s="9" t="n">
        <v>47.22</v>
      </c>
      <c r="D1057" s="3" t="inlineStr">
        <is>
          <t>Other sidings north</t>
        </is>
      </c>
      <c r="E1057" s="10" t="n">
        <v>45686.62068287037</v>
      </c>
      <c r="F1057" s="10" t="n">
        <v>45686.63876157408</v>
      </c>
      <c r="G1057" s="10" t="n">
        <v>45686.6405787037</v>
      </c>
      <c r="H1057" s="3" t="inlineStr">
        <is>
          <t>OBT290125152804-Other sidings north</t>
        </is>
      </c>
      <c r="I1057" s="10" t="n">
        <v>45687.61464120371</v>
      </c>
      <c r="J1057" s="10" t="n">
        <v>45687.63377314815</v>
      </c>
      <c r="K1057" s="10" t="n">
        <v>45687.63377314815</v>
      </c>
      <c r="L1057" s="10" t="n">
        <v>45687.63457175926</v>
      </c>
      <c r="M1057" s="11">
        <f>IF(AND(ISNUMBER(E1057),ISNUMBER(G1057)),(G1057-E1057),"")</f>
        <v/>
      </c>
      <c r="N1057" s="11">
        <f>IF(AND(ISNUMBER(G1057),ISNUMBER(L1057)),(L1057-G1057),"")</f>
        <v/>
      </c>
      <c r="O1057" s="10" t="n">
        <v>45686.64449074074</v>
      </c>
      <c r="P1057" s="11">
        <f>IF(AND(ISNUMBER(I1057),ISNUMBER(O1057)),(I1057-O1057),"")</f>
        <v/>
      </c>
      <c r="Q1057" s="12" t="inlineStr">
        <is>
          <t>WG 1029501 entered track and got coupled to WG 1029110, OBTP started on 14:45:05 finished on 15:12:38 and then left at 15:13:47</t>
        </is>
      </c>
    </row>
    <row r="1058">
      <c r="A1058" s="3" t="inlineStr">
        <is>
          <t>1029502</t>
        </is>
      </c>
      <c r="B1058" s="3" t="inlineStr">
        <is>
          <t>10295</t>
        </is>
      </c>
      <c r="C1058" s="9" t="n">
        <v>81</v>
      </c>
      <c r="D1058" s="3" t="inlineStr">
        <is>
          <t>Wr. Neustadt (Hödlmayr)</t>
        </is>
      </c>
      <c r="E1058" s="10" t="n">
        <v>45686.62068287037</v>
      </c>
      <c r="F1058" s="10" t="n">
        <v>45686.6405787037</v>
      </c>
      <c r="G1058" s="10" t="n">
        <v>45686.64265046296</v>
      </c>
      <c r="H1058" s="3" t="inlineStr">
        <is>
          <t>OBT290125154754-Wr. Neustadt (Hödlmayr)</t>
        </is>
      </c>
      <c r="I1058" s="10" t="n">
        <v>45687.64940972222</v>
      </c>
      <c r="J1058" s="10" t="n">
        <v>45687.66893518518</v>
      </c>
      <c r="K1058" s="10" t="n">
        <v>45687.66893518518</v>
      </c>
      <c r="L1058" s="10" t="n">
        <v>45687.66959490741</v>
      </c>
      <c r="M1058" s="11">
        <f>IF(AND(ISNUMBER(E1058),ISNUMBER(G1058)),(G1058-E1058),"")</f>
        <v/>
      </c>
      <c r="N1058" s="11">
        <f>IF(AND(ISNUMBER(G1058),ISNUMBER(L1058)),(L1058-G1058),"")</f>
        <v/>
      </c>
      <c r="O1058" s="10" t="n">
        <v>45686.64480324074</v>
      </c>
      <c r="P1058" s="11">
        <f>IF(AND(ISNUMBER(I1058),ISNUMBER(O1058)),(I1058-O1058),"")</f>
        <v/>
      </c>
      <c r="Q1058" s="12" t="inlineStr">
        <is>
          <t>WG 1029502 entered track and got secured then waited 0:19:23 for WG 1029511 to get coupled, OBTP started on 15:35:09 finished on 16:03:16 and then left at 16:04:13</t>
        </is>
      </c>
    </row>
    <row r="1059">
      <c r="A1059" s="3" t="inlineStr">
        <is>
          <t>1029503</t>
        </is>
      </c>
      <c r="B1059" s="3" t="inlineStr">
        <is>
          <t>10295</t>
        </is>
      </c>
      <c r="C1059" s="9" t="n">
        <v>14</v>
      </c>
      <c r="D1059" s="3" t="inlineStr">
        <is>
          <t>Wr. Neustadt (Brenntag)</t>
        </is>
      </c>
      <c r="E1059" s="10" t="n">
        <v>45686.62068287037</v>
      </c>
      <c r="F1059" s="10" t="n">
        <v>45686.64265046296</v>
      </c>
      <c r="G1059" s="10" t="n">
        <v>45686.64392361111</v>
      </c>
      <c r="H1059" s="3" t="inlineStr">
        <is>
          <t>OBT300125081010-Wr. Neustadt (Brenntag)</t>
        </is>
      </c>
      <c r="I1059" s="10" t="n">
        <v>45688.30097222222</v>
      </c>
      <c r="J1059" s="10" t="n">
        <v>45688.32527777777</v>
      </c>
      <c r="K1059" s="10" t="n">
        <v>45688.32527777777</v>
      </c>
      <c r="L1059" s="10" t="n">
        <v>45688.32615740741</v>
      </c>
      <c r="M1059" s="11">
        <f>IF(AND(ISNUMBER(E1059),ISNUMBER(G1059)),(G1059-E1059),"")</f>
        <v/>
      </c>
      <c r="N1059" s="11">
        <f>IF(AND(ISNUMBER(G1059),ISNUMBER(L1059)),(L1059-G1059),"")</f>
        <v/>
      </c>
      <c r="O1059" s="10" t="n">
        <v>45686.64782407408</v>
      </c>
      <c r="P1059" s="11">
        <f>IF(AND(ISNUMBER(I1059),ISNUMBER(O1059)),(I1059-O1059),"")</f>
        <v/>
      </c>
      <c r="Q1059" s="12" t="inlineStr">
        <is>
          <t>WG 1029503 entered track and got coupled to WG 1029102 then waited 2:41:35 for WG 1029802 to get coupled then waited 13:55:43 for WG 1030310 to get coupled, OBTP started on 07:13:24 finished on 07:48:24 and then left at 07:49:40</t>
        </is>
      </c>
    </row>
    <row r="1060">
      <c r="A1060" s="3" t="inlineStr">
        <is>
          <t>1029504</t>
        </is>
      </c>
      <c r="B1060" s="3" t="inlineStr">
        <is>
          <t>10295</t>
        </is>
      </c>
      <c r="C1060" s="9" t="n">
        <v>15.74</v>
      </c>
      <c r="D1060" s="3" t="inlineStr">
        <is>
          <t>Other sidings south</t>
        </is>
      </c>
      <c r="E1060" s="10" t="n">
        <v>45686.62068287037</v>
      </c>
      <c r="F1060" s="10" t="n">
        <v>45686.64392361111</v>
      </c>
      <c r="G1060" s="10" t="n">
        <v>45686.64564814815</v>
      </c>
      <c r="H1060" s="3" t="inlineStr">
        <is>
          <t>OBT300125153454-Other sidings south</t>
        </is>
      </c>
      <c r="I1060" s="10" t="n">
        <v>45688.53015046296</v>
      </c>
      <c r="J1060" s="10" t="n">
        <v>45688.55475694445</v>
      </c>
      <c r="K1060" s="10" t="n">
        <v>45688.55475694445</v>
      </c>
      <c r="L1060" s="10" t="n">
        <v>45688.55568287037</v>
      </c>
      <c r="M1060" s="11">
        <f>IF(AND(ISNUMBER(E1060),ISNUMBER(G1060)),(G1060-E1060),"")</f>
        <v/>
      </c>
      <c r="N1060" s="11">
        <f>IF(AND(ISNUMBER(G1060),ISNUMBER(L1060)),(L1060-G1060),"")</f>
        <v/>
      </c>
      <c r="O1060" s="10" t="n">
        <v>45686.6478125</v>
      </c>
      <c r="P1060" s="11">
        <f>IF(AND(ISNUMBER(I1060),ISNUMBER(O1060)),(I1060-O1060),"")</f>
        <v/>
      </c>
      <c r="Q1060" s="12" t="inlineStr">
        <is>
          <t>WG 1029504 entered track and got secured then waited 3:02:45 for WG 1029810 to get coupled then waited 8:32:17 for WG 1030002 to get coupled then waited 4:55:50 for WG 1030306 to get coupled then waited 7:31:11 for WG 1031007 to get coupled, OBTP started on 12:43:25 finished on 13:18:51 and then left at 13:20:11</t>
        </is>
      </c>
    </row>
    <row r="1061">
      <c r="A1061" s="3" t="inlineStr">
        <is>
          <t>1029505</t>
        </is>
      </c>
      <c r="B1061" s="3" t="inlineStr">
        <is>
          <t>10295</t>
        </is>
      </c>
      <c r="C1061" s="9" t="n">
        <v>19.9</v>
      </c>
      <c r="D1061" s="3" t="inlineStr">
        <is>
          <t>Ternitz (Schoeller-Bleckmann)</t>
        </is>
      </c>
      <c r="E1061" s="10" t="n">
        <v>45686.62068287037</v>
      </c>
      <c r="F1061" s="10" t="n">
        <v>45686.64564814815</v>
      </c>
      <c r="G1061" s="10" t="n">
        <v>45686.64756944445</v>
      </c>
      <c r="H1061" s="3" t="inlineStr">
        <is>
          <t>OBT300125030547-Neunkirchen (loading tracks)</t>
        </is>
      </c>
      <c r="I1061" s="10" t="n">
        <v>45687.86457175926</v>
      </c>
      <c r="J1061" s="10" t="n">
        <v>45687.88241898148</v>
      </c>
      <c r="K1061" s="10" t="n">
        <v>45687.88241898148</v>
      </c>
      <c r="L1061" s="10" t="n">
        <v>45687.88303240741</v>
      </c>
      <c r="M1061" s="11">
        <f>IF(AND(ISNUMBER(E1061),ISNUMBER(G1061)),(G1061-E1061),"")</f>
        <v/>
      </c>
      <c r="N1061" s="11">
        <f>IF(AND(ISNUMBER(G1061),ISNUMBER(L1061)),(L1061-G1061),"")</f>
        <v/>
      </c>
      <c r="O1061" s="10" t="n">
        <v>45686.6499537037</v>
      </c>
      <c r="P1061" s="11">
        <f>IF(AND(ISNUMBER(I1061),ISNUMBER(O1061)),(I1061-O1061),"")</f>
        <v/>
      </c>
      <c r="Q1061" s="12" t="inlineStr">
        <is>
          <t>WG 1029505 entered track and got secured then waited 2:50:21 for WG 1029807 to get coupled then waited 0:07:22 for WG 1029809 to get coupled then waited 8:32:08 for WG 1030001 to get coupled, OBTP started on 20:44:59 finished on 21:10:41 and then left at 21:11:34</t>
        </is>
      </c>
    </row>
    <row r="1062">
      <c r="A1062" s="3" t="inlineStr">
        <is>
          <t>1029506</t>
        </is>
      </c>
      <c r="B1062" s="3" t="inlineStr">
        <is>
          <t>10295</t>
        </is>
      </c>
      <c r="C1062" s="9" t="n">
        <v>77.95999999999999</v>
      </c>
      <c r="D1062" s="3" t="inlineStr">
        <is>
          <t>Pitten (Hamburger)</t>
        </is>
      </c>
      <c r="E1062" s="10" t="n">
        <v>45686.62068287037</v>
      </c>
      <c r="F1062" s="10" t="n">
        <v>45686.64756944445</v>
      </c>
      <c r="G1062" s="10" t="n">
        <v>45686.64921296296</v>
      </c>
      <c r="H1062" s="3" t="inlineStr">
        <is>
          <t>OBT290125182252-Pitten (Hamburger)</t>
        </is>
      </c>
      <c r="I1062" s="10" t="n">
        <v>45687.73236111111</v>
      </c>
      <c r="J1062" s="10" t="n">
        <v>45687.76489583333</v>
      </c>
      <c r="K1062" s="10" t="n">
        <v>45687.76489583333</v>
      </c>
      <c r="L1062" s="10" t="n">
        <v>45687.76586805555</v>
      </c>
      <c r="M1062" s="11">
        <f>IF(AND(ISNUMBER(E1062),ISNUMBER(G1062)),(G1062-E1062),"")</f>
        <v/>
      </c>
      <c r="N1062" s="11">
        <f>IF(AND(ISNUMBER(G1062),ISNUMBER(L1062)),(L1062-G1062),"")</f>
        <v/>
      </c>
      <c r="O1062" s="10" t="n">
        <v>45686.65158564815</v>
      </c>
      <c r="P1062" s="11">
        <f>IF(AND(ISNUMBER(I1062),ISNUMBER(O1062)),(I1062-O1062),"")</f>
        <v/>
      </c>
      <c r="Q1062" s="12" t="inlineStr">
        <is>
          <t>WG 1029506 entered track and got secured then waited 0:07:19 for WG 1029508 to get coupled then waited 2:37:16 for WG 1029805 to get coupled, OBTP started on 17:34:36 finished on 18:21:27 and then left at 18:22:51</t>
        </is>
      </c>
    </row>
    <row r="1063">
      <c r="A1063" s="3" t="inlineStr">
        <is>
          <t>1029507</t>
        </is>
      </c>
      <c r="B1063" s="3" t="inlineStr">
        <is>
          <t>10295</t>
        </is>
      </c>
      <c r="C1063" s="9" t="n">
        <v>59.7</v>
      </c>
      <c r="D1063" s="3" t="inlineStr">
        <is>
          <t>Felixdorf/Sollenau (Bundesheer, Maba)</t>
        </is>
      </c>
      <c r="E1063" s="10" t="n">
        <v>45686.62068287037</v>
      </c>
      <c r="F1063" s="10" t="n">
        <v>45686.64921296296</v>
      </c>
      <c r="G1063" s="10" t="n">
        <v>45686.65127314815</v>
      </c>
      <c r="H1063" s="3" t="inlineStr">
        <is>
          <t>OBT310125080145-Wr. Neustadt (Brenntag)</t>
        </is>
      </c>
      <c r="I1063" s="10" t="n">
        <v>45688.86421296297</v>
      </c>
      <c r="J1063" s="10" t="n">
        <v>45688.88429398148</v>
      </c>
      <c r="K1063" s="10" t="n">
        <v>45688.88429398148</v>
      </c>
      <c r="L1063" s="10" t="n">
        <v>45688.88511574074</v>
      </c>
      <c r="M1063" s="11">
        <f>IF(AND(ISNUMBER(E1063),ISNUMBER(G1063)),(G1063-E1063),"")</f>
        <v/>
      </c>
      <c r="N1063" s="11">
        <f>IF(AND(ISNUMBER(G1063),ISNUMBER(L1063)),(L1063-G1063),"")</f>
        <v/>
      </c>
      <c r="O1063" s="10" t="n">
        <v>45686.65517361111</v>
      </c>
      <c r="P1063" s="11">
        <f>IF(AND(ISNUMBER(I1063),ISNUMBER(O1063)),(I1063-O1063),"")</f>
        <v/>
      </c>
      <c r="Q1063" s="12" t="inlineStr">
        <is>
          <t>WG 1029507 entered track and got coupled to WG 1029109 then waited 17:53:49 for WG 1030602 to get coupled then waited 5:49:19 for WG 1031003 to get coupled then waited 16:26:39 for WG 1031907 to get coupled then waited 0:08:31 for WG 1031911 to get coupled, OBTP started on 20:44:28 finished on 21:13:23 and then left at 21:14:34</t>
        </is>
      </c>
    </row>
    <row r="1064">
      <c r="A1064" s="3" t="inlineStr">
        <is>
          <t>1029508</t>
        </is>
      </c>
      <c r="B1064" s="3" t="inlineStr">
        <is>
          <t>10295</t>
        </is>
      </c>
      <c r="C1064" s="9" t="n">
        <v>15.74</v>
      </c>
      <c r="D1064" s="3" t="inlineStr">
        <is>
          <t>Pitten (Hamburger)</t>
        </is>
      </c>
      <c r="E1064" s="10" t="n">
        <v>45686.62068287037</v>
      </c>
      <c r="F1064" s="10" t="n">
        <v>45686.65127314815</v>
      </c>
      <c r="G1064" s="10" t="n">
        <v>45686.6527662037</v>
      </c>
      <c r="H1064" s="3" t="inlineStr">
        <is>
          <t>OBT290125182252-Pitten (Hamburger)</t>
        </is>
      </c>
      <c r="I1064" s="10" t="n">
        <v>45687.73236111111</v>
      </c>
      <c r="J1064" s="10" t="n">
        <v>45687.76489583333</v>
      </c>
      <c r="K1064" s="10" t="n">
        <v>45687.76489583333</v>
      </c>
      <c r="L1064" s="10" t="n">
        <v>45687.76586805555</v>
      </c>
      <c r="M1064" s="11">
        <f>IF(AND(ISNUMBER(E1064),ISNUMBER(G1064)),(G1064-E1064),"")</f>
        <v/>
      </c>
      <c r="N1064" s="11">
        <f>IF(AND(ISNUMBER(G1064),ISNUMBER(L1064)),(L1064-G1064),"")</f>
        <v/>
      </c>
      <c r="O1064" s="10" t="n">
        <v>45686.65666666667</v>
      </c>
      <c r="P1064" s="11">
        <f>IF(AND(ISNUMBER(I1064),ISNUMBER(O1064)),(I1064-O1064),"")</f>
        <v/>
      </c>
      <c r="Q1064" s="12" t="inlineStr">
        <is>
          <t>WG 1029508 entered track and got coupled to WG 1029506 then waited 2:37:16 for WG 1029805 to get coupled, OBTP started on 17:34:36 finished on 18:21:27 and then left at 18:22:51</t>
        </is>
      </c>
    </row>
    <row r="1065">
      <c r="A1065" s="3" t="inlineStr">
        <is>
          <t>1029509</t>
        </is>
      </c>
      <c r="B1065" s="3" t="inlineStr">
        <is>
          <t>10295</t>
        </is>
      </c>
      <c r="C1065" s="9" t="n">
        <v>84</v>
      </c>
      <c r="D1065" s="3" t="inlineStr">
        <is>
          <t>Neunkirchen (loading tracks)</t>
        </is>
      </c>
      <c r="E1065" s="10" t="n">
        <v>45686.62068287037</v>
      </c>
      <c r="F1065" s="10" t="n"/>
      <c r="G1065" s="10" t="n"/>
      <c r="H1065" s="3" t="n"/>
      <c r="I1065" s="10" t="n"/>
      <c r="J1065" s="10" t="n"/>
      <c r="K1065" s="10" t="n"/>
      <c r="L1065" s="10" t="n"/>
      <c r="M1065" s="11">
        <f>IF(AND(ISNUMBER(E1065),ISNUMBER(G1065)),(G1065-E1065),"")</f>
        <v/>
      </c>
      <c r="N1065" s="11">
        <f>IF(AND(ISNUMBER(G1065),ISNUMBER(L1065)),(L1065-G1065),"")</f>
        <v/>
      </c>
      <c r="O1065" s="10" t="n"/>
      <c r="P1065" s="11">
        <f>IF(AND(ISNUMBER(I1065),ISNUMBER(O1065)),(I1065-O1065),"")</f>
        <v/>
      </c>
      <c r="Q1065" s="12" t="n"/>
    </row>
    <row r="1066">
      <c r="A1066" s="3" t="inlineStr">
        <is>
          <t>1029510</t>
        </is>
      </c>
      <c r="B1066" s="3" t="inlineStr">
        <is>
          <t>10295</t>
        </is>
      </c>
      <c r="C1066" s="9" t="n">
        <v>57.4</v>
      </c>
      <c r="D1066" s="3" t="inlineStr">
        <is>
          <t>Neudörfl (FunderMax)</t>
        </is>
      </c>
      <c r="E1066" s="10" t="n">
        <v>45686.62068287037</v>
      </c>
      <c r="F1066" s="10" t="n"/>
      <c r="G1066" s="10" t="n"/>
      <c r="H1066" s="3" t="n"/>
      <c r="I1066" s="10" t="n"/>
      <c r="J1066" s="10" t="n"/>
      <c r="K1066" s="10" t="n"/>
      <c r="L1066" s="10" t="n"/>
      <c r="M1066" s="11">
        <f>IF(AND(ISNUMBER(E1066),ISNUMBER(G1066)),(G1066-E1066),"")</f>
        <v/>
      </c>
      <c r="N1066" s="11">
        <f>IF(AND(ISNUMBER(G1066),ISNUMBER(L1066)),(L1066-G1066),"")</f>
        <v/>
      </c>
      <c r="O1066" s="10" t="n"/>
      <c r="P1066" s="11">
        <f>IF(AND(ISNUMBER(I1066),ISNUMBER(O1066)),(I1066-O1066),"")</f>
        <v/>
      </c>
      <c r="Q1066" s="12" t="n"/>
    </row>
    <row r="1067">
      <c r="A1067" s="3" t="inlineStr">
        <is>
          <t>1029511</t>
        </is>
      </c>
      <c r="B1067" s="3" t="inlineStr">
        <is>
          <t>10295</t>
        </is>
      </c>
      <c r="C1067" s="9" t="n">
        <v>31.48</v>
      </c>
      <c r="D1067" s="3" t="inlineStr">
        <is>
          <t>Gloggnitz</t>
        </is>
      </c>
      <c r="E1067" s="10" t="n">
        <v>45686.62068287037</v>
      </c>
      <c r="F1067" s="10" t="n">
        <v>45686.6527662037</v>
      </c>
      <c r="G1067" s="10" t="n">
        <v>45686.65472222222</v>
      </c>
      <c r="H1067" s="3" t="inlineStr">
        <is>
          <t>OBT290125154754-Wr. Neustadt (Hödlmayr)</t>
        </is>
      </c>
      <c r="I1067" s="10" t="n">
        <v>45687.64940972222</v>
      </c>
      <c r="J1067" s="10" t="n">
        <v>45687.66893518518</v>
      </c>
      <c r="K1067" s="10" t="n">
        <v>45687.66893518518</v>
      </c>
      <c r="L1067" s="10" t="n">
        <v>45687.66959490741</v>
      </c>
      <c r="M1067" s="11">
        <f>IF(AND(ISNUMBER(E1067),ISNUMBER(G1067)),(G1067-E1067),"")</f>
        <v/>
      </c>
      <c r="N1067" s="11">
        <f>IF(AND(ISNUMBER(G1067),ISNUMBER(L1067)),(L1067-G1067),"")</f>
        <v/>
      </c>
      <c r="O1067" s="10" t="n">
        <v>45686.65826388889</v>
      </c>
      <c r="P1067" s="11">
        <f>IF(AND(ISNUMBER(I1067),ISNUMBER(O1067)),(I1067-O1067),"")</f>
        <v/>
      </c>
      <c r="Q1067" s="12" t="inlineStr">
        <is>
          <t>WG 1029511 entered track and got coupled to WG 1029502, OBTP started on 15:35:09 finished on 16:03:16 and then left at 16:04:13</t>
        </is>
      </c>
    </row>
    <row r="1068">
      <c r="A1068" s="3" t="inlineStr">
        <is>
          <t>1029601</t>
        </is>
      </c>
      <c r="B1068" s="3" t="inlineStr">
        <is>
          <t>10296</t>
        </is>
      </c>
      <c r="C1068" s="9" t="n">
        <v>15.74</v>
      </c>
      <c r="D1068" s="3" t="inlineStr">
        <is>
          <t>Wien Kledering</t>
        </is>
      </c>
      <c r="E1068" s="10" t="n">
        <v>45686.6597800926</v>
      </c>
      <c r="F1068" s="10" t="n"/>
      <c r="G1068" s="10" t="n"/>
      <c r="H1068" s="3" t="n"/>
      <c r="I1068" s="10" t="n"/>
      <c r="J1068" s="10" t="n"/>
      <c r="K1068" s="10" t="n"/>
      <c r="L1068" s="10" t="n"/>
      <c r="M1068" s="11">
        <f>IF(AND(ISNUMBER(E1068),ISNUMBER(G1068)),(G1068-E1068),"")</f>
        <v/>
      </c>
      <c r="N1068" s="11">
        <f>IF(AND(ISNUMBER(G1068),ISNUMBER(L1068)),(L1068-G1068),"")</f>
        <v/>
      </c>
      <c r="O1068" s="10" t="n"/>
      <c r="P1068" s="11">
        <f>IF(AND(ISNUMBER(I1068),ISNUMBER(O1068)),(I1068-O1068),"")</f>
        <v/>
      </c>
      <c r="Q1068" s="12" t="n"/>
    </row>
    <row r="1069">
      <c r="A1069" s="3" t="inlineStr">
        <is>
          <t>1029701</t>
        </is>
      </c>
      <c r="B1069" s="3" t="inlineStr">
        <is>
          <t>10297</t>
        </is>
      </c>
      <c r="C1069" s="9" t="n">
        <v>302.1200000000001</v>
      </c>
      <c r="D1069" s="3" t="inlineStr">
        <is>
          <t>Wien Kledering</t>
        </is>
      </c>
      <c r="E1069" s="10" t="n">
        <v>45686.73079861111</v>
      </c>
      <c r="F1069" s="10" t="n">
        <v>45686.73666666666</v>
      </c>
      <c r="G1069" s="10" t="n">
        <v>45686.73849537037</v>
      </c>
      <c r="H1069" s="3" t="inlineStr">
        <is>
          <t>OBT290125174650-Wien Kledering</t>
        </is>
      </c>
      <c r="I1069" s="10" t="n">
        <v>45687.65604166667</v>
      </c>
      <c r="J1069" s="10" t="n">
        <v>45687.70849537037</v>
      </c>
      <c r="K1069" s="10" t="n">
        <v>45687.70849537037</v>
      </c>
      <c r="L1069" s="10" t="n">
        <v>45687.70966435185</v>
      </c>
      <c r="M1069" s="11">
        <f>IF(AND(ISNUMBER(E1069),ISNUMBER(G1069)),(G1069-E1069),"")</f>
        <v/>
      </c>
      <c r="N1069" s="11">
        <f>IF(AND(ISNUMBER(G1069),ISNUMBER(L1069)),(L1069-G1069),"")</f>
        <v/>
      </c>
      <c r="O1069" s="10" t="n">
        <v>45686.74085648148</v>
      </c>
      <c r="P1069" s="11">
        <f>IF(AND(ISNUMBER(I1069),ISNUMBER(O1069)),(I1069-O1069),"")</f>
        <v/>
      </c>
      <c r="Q1069" s="12" t="inlineStr">
        <is>
          <t>WG 1029701 entered track and got secured, OBTP started on 15:44:42 finished on 17:00:14 and then left at 17:01:55</t>
        </is>
      </c>
    </row>
    <row r="1070">
      <c r="A1070" s="3" t="inlineStr">
        <is>
          <t>1029801</t>
        </is>
      </c>
      <c r="B1070" s="3" t="inlineStr">
        <is>
          <t>10298</t>
        </is>
      </c>
      <c r="C1070" s="9" t="n">
        <v>15.74</v>
      </c>
      <c r="D1070" s="3" t="inlineStr">
        <is>
          <t>Other sidings local</t>
        </is>
      </c>
      <c r="E1070" s="10" t="n">
        <v>45686.73533564815</v>
      </c>
      <c r="F1070" s="10" t="n">
        <v>45686.75324074074</v>
      </c>
      <c r="G1070" s="10" t="n">
        <v>45686.75524305556</v>
      </c>
      <c r="H1070" s="3" t="n"/>
      <c r="I1070" s="10" t="n"/>
      <c r="J1070" s="10" t="n"/>
      <c r="K1070" s="10" t="n"/>
      <c r="L1070" s="10" t="n"/>
      <c r="M1070" s="11">
        <f>IF(AND(ISNUMBER(E1070),ISNUMBER(G1070)),(G1070-E1070),"")</f>
        <v/>
      </c>
      <c r="N1070" s="11">
        <f>IF(AND(ISNUMBER(G1070),ISNUMBER(L1070)),(L1070-G1070),"")</f>
        <v/>
      </c>
      <c r="O1070" s="10" t="n">
        <v>45686.75760416667</v>
      </c>
      <c r="P1070" s="11">
        <f>IF(AND(ISNUMBER(I1070),ISNUMBER(O1070)),(I1070-O1070),"")</f>
        <v/>
      </c>
      <c r="Q1070" s="12" t="n"/>
    </row>
    <row r="1071">
      <c r="A1071" s="3" t="inlineStr">
        <is>
          <t>1029802</t>
        </is>
      </c>
      <c r="B1071" s="3" t="inlineStr">
        <is>
          <t>10298</t>
        </is>
      </c>
      <c r="C1071" s="9" t="n">
        <v>14</v>
      </c>
      <c r="D1071" s="3" t="inlineStr">
        <is>
          <t>Wr. Neustadt (Brenntag)</t>
        </is>
      </c>
      <c r="E1071" s="10" t="n">
        <v>45686.73533564815</v>
      </c>
      <c r="F1071" s="10" t="n">
        <v>45686.75524305556</v>
      </c>
      <c r="G1071" s="10" t="n">
        <v>45686.75649305555</v>
      </c>
      <c r="H1071" s="3" t="inlineStr">
        <is>
          <t>OBT300125081010-Wr. Neustadt (Brenntag)</t>
        </is>
      </c>
      <c r="I1071" s="10" t="n">
        <v>45688.30097222222</v>
      </c>
      <c r="J1071" s="10" t="n">
        <v>45688.32527777777</v>
      </c>
      <c r="K1071" s="10" t="n">
        <v>45688.32527777777</v>
      </c>
      <c r="L1071" s="10" t="n">
        <v>45688.32615740741</v>
      </c>
      <c r="M1071" s="11">
        <f>IF(AND(ISNUMBER(E1071),ISNUMBER(G1071)),(G1071-E1071),"")</f>
        <v/>
      </c>
      <c r="N1071" s="11">
        <f>IF(AND(ISNUMBER(G1071),ISNUMBER(L1071)),(L1071-G1071),"")</f>
        <v/>
      </c>
      <c r="O1071" s="10" t="n">
        <v>45686.76003472223</v>
      </c>
      <c r="P1071" s="11">
        <f>IF(AND(ISNUMBER(I1071),ISNUMBER(O1071)),(I1071-O1071),"")</f>
        <v/>
      </c>
      <c r="Q1071" s="12" t="inlineStr">
        <is>
          <t>WG 1029802 entered track and got coupled to WG 1029503 then waited 13:55:43 for WG 1030310 to get coupled, OBTP started on 07:13:24 finished on 07:48:24 and then left at 07:49:40</t>
        </is>
      </c>
    </row>
    <row r="1072">
      <c r="A1072" s="3" t="inlineStr">
        <is>
          <t>1029803</t>
        </is>
      </c>
      <c r="B1072" s="3" t="inlineStr">
        <is>
          <t>10298</t>
        </is>
      </c>
      <c r="C1072" s="9" t="n">
        <v>27</v>
      </c>
      <c r="D1072" s="3" t="inlineStr">
        <is>
          <t>Wr. Neustadt (Hödlmayr)</t>
        </is>
      </c>
      <c r="E1072" s="10" t="n">
        <v>45686.73533564815</v>
      </c>
      <c r="F1072" s="10" t="n">
        <v>45686.75649305555</v>
      </c>
      <c r="G1072" s="10" t="n">
        <v>45686.75840277778</v>
      </c>
      <c r="H1072" s="3" t="inlineStr">
        <is>
          <t>OBT300125075751-Wr. Neustadt (Hödlmayr)</t>
        </is>
      </c>
      <c r="I1072" s="10" t="n">
        <v>45688.19435185185</v>
      </c>
      <c r="J1072" s="10" t="n">
        <v>45688.24591435185</v>
      </c>
      <c r="K1072" s="10" t="n">
        <v>45688.24591435185</v>
      </c>
      <c r="L1072" s="10" t="n">
        <v>45688.24699074074</v>
      </c>
      <c r="M1072" s="11">
        <f>IF(AND(ISNUMBER(E1072),ISNUMBER(G1072)),(G1072-E1072),"")</f>
        <v/>
      </c>
      <c r="N1072" s="11">
        <f>IF(AND(ISNUMBER(G1072),ISNUMBER(L1072)),(L1072-G1072),"")</f>
        <v/>
      </c>
      <c r="O1072" s="10" t="n">
        <v>45686.76077546296</v>
      </c>
      <c r="P1072" s="11">
        <f>IF(AND(ISNUMBER(I1072),ISNUMBER(O1072)),(I1072-O1072),"")</f>
        <v/>
      </c>
      <c r="Q1072" s="12" t="inlineStr">
        <is>
          <t>WG 1029803 entered track and got secured then waited 0:09:41 for WG 1029806 to get coupled then waited 13:32:39 for WG 1030302 to get coupled, OBTP started on 04:39:52 finished on 05:54:07 and then left at 05:55:40</t>
        </is>
      </c>
    </row>
    <row r="1073">
      <c r="A1073" s="3" t="inlineStr">
        <is>
          <t>1029804</t>
        </is>
      </c>
      <c r="B1073" s="3" t="inlineStr">
        <is>
          <t>10298</t>
        </is>
      </c>
      <c r="C1073" s="9" t="n">
        <v>15.74</v>
      </c>
      <c r="D1073" s="3" t="inlineStr">
        <is>
          <t>Obereggendorf (Hofer)</t>
        </is>
      </c>
      <c r="E1073" s="10" t="n">
        <v>45686.73533564815</v>
      </c>
      <c r="F1073" s="10" t="n">
        <v>45686.75840277778</v>
      </c>
      <c r="G1073" s="10" t="n">
        <v>45686.76032407407</v>
      </c>
      <c r="H1073" s="3" t="inlineStr">
        <is>
          <t>OBT300125085102-St. Veit an der Glan</t>
        </is>
      </c>
      <c r="I1073" s="10" t="n">
        <v>45688.34722222222</v>
      </c>
      <c r="J1073" s="10" t="n">
        <v>45688.36916666666</v>
      </c>
      <c r="K1073" s="10" t="n">
        <v>45688.36916666666</v>
      </c>
      <c r="L1073" s="10" t="n">
        <v>45688.36998842593</v>
      </c>
      <c r="M1073" s="11">
        <f>IF(AND(ISNUMBER(E1073),ISNUMBER(G1073)),(G1073-E1073),"")</f>
        <v/>
      </c>
      <c r="N1073" s="11">
        <f>IF(AND(ISNUMBER(G1073),ISNUMBER(L1073)),(L1073-G1073),"")</f>
        <v/>
      </c>
      <c r="O1073" s="10" t="n">
        <v>45686.76421296296</v>
      </c>
      <c r="P1073" s="11">
        <f>IF(AND(ISNUMBER(I1073),ISNUMBER(O1073)),(I1073-O1073),"")</f>
        <v/>
      </c>
      <c r="Q1073" s="12" t="inlineStr">
        <is>
          <t>WG 1029804 entered track and got coupled to WG 1029201 then waited 14:30:34 for cut 1030501+1030503 to get coupled, OBTP started on 08:20:00 finished on 08:51:36 and then left at 08:52:47</t>
        </is>
      </c>
    </row>
    <row r="1074">
      <c r="A1074" s="3" t="inlineStr">
        <is>
          <t>1029805</t>
        </is>
      </c>
      <c r="B1074" s="3" t="inlineStr">
        <is>
          <t>10298</t>
        </is>
      </c>
      <c r="C1074" s="9" t="n">
        <v>93.69999999999999</v>
      </c>
      <c r="D1074" s="3" t="inlineStr">
        <is>
          <t>Pitten (Hamburger)</t>
        </is>
      </c>
      <c r="E1074" s="10" t="n">
        <v>45686.73533564815</v>
      </c>
      <c r="F1074" s="10" t="n">
        <v>45686.76032407407</v>
      </c>
      <c r="G1074" s="10" t="n">
        <v>45686.7619675926</v>
      </c>
      <c r="H1074" s="3" t="inlineStr">
        <is>
          <t>OBT290125182252-Pitten (Hamburger)</t>
        </is>
      </c>
      <c r="I1074" s="10" t="n">
        <v>45687.73236111111</v>
      </c>
      <c r="J1074" s="10" t="n">
        <v>45687.76489583333</v>
      </c>
      <c r="K1074" s="10" t="n">
        <v>45687.76489583333</v>
      </c>
      <c r="L1074" s="10" t="n">
        <v>45687.76586805555</v>
      </c>
      <c r="M1074" s="11">
        <f>IF(AND(ISNUMBER(E1074),ISNUMBER(G1074)),(G1074-E1074),"")</f>
        <v/>
      </c>
      <c r="N1074" s="11">
        <f>IF(AND(ISNUMBER(G1074),ISNUMBER(L1074)),(L1074-G1074),"")</f>
        <v/>
      </c>
      <c r="O1074" s="10" t="n">
        <v>45686.76587962963</v>
      </c>
      <c r="P1074" s="11">
        <f>IF(AND(ISNUMBER(I1074),ISNUMBER(O1074)),(I1074-O1074),"")</f>
        <v/>
      </c>
      <c r="Q1074" s="12" t="inlineStr">
        <is>
          <t>WG 1029805 entered track and got coupled to WG 1029508, OBTP started on 17:34:36 finished on 18:21:27 and then left at 18:22:51</t>
        </is>
      </c>
    </row>
    <row r="1075">
      <c r="A1075" s="3" t="inlineStr">
        <is>
          <t>1029806</t>
        </is>
      </c>
      <c r="B1075" s="3" t="inlineStr">
        <is>
          <t>10298</t>
        </is>
      </c>
      <c r="C1075" s="9" t="n">
        <v>54</v>
      </c>
      <c r="D1075" s="3" t="inlineStr">
        <is>
          <t>Wr. Neustadt (Hödlmayr)</t>
        </is>
      </c>
      <c r="E1075" s="10" t="n">
        <v>45686.73533564815</v>
      </c>
      <c r="F1075" s="10" t="n">
        <v>45686.7619675926</v>
      </c>
      <c r="G1075" s="10" t="n">
        <v>45686.76394675926</v>
      </c>
      <c r="H1075" s="3" t="inlineStr">
        <is>
          <t>OBT300125075751-Wr. Neustadt (Hödlmayr)</t>
        </is>
      </c>
      <c r="I1075" s="10" t="n">
        <v>45688.19435185185</v>
      </c>
      <c r="J1075" s="10" t="n">
        <v>45688.24591435185</v>
      </c>
      <c r="K1075" s="10" t="n">
        <v>45688.24591435185</v>
      </c>
      <c r="L1075" s="10" t="n">
        <v>45688.24699074074</v>
      </c>
      <c r="M1075" s="11">
        <f>IF(AND(ISNUMBER(E1075),ISNUMBER(G1075)),(G1075-E1075),"")</f>
        <v/>
      </c>
      <c r="N1075" s="11">
        <f>IF(AND(ISNUMBER(G1075),ISNUMBER(L1075)),(L1075-G1075),"")</f>
        <v/>
      </c>
      <c r="O1075" s="10" t="n">
        <v>45686.7675</v>
      </c>
      <c r="P1075" s="11">
        <f>IF(AND(ISNUMBER(I1075),ISNUMBER(O1075)),(I1075-O1075),"")</f>
        <v/>
      </c>
      <c r="Q1075" s="12" t="inlineStr">
        <is>
          <t>WG 1029806 entered track and got coupled to WG 1029803 then waited 13:32:39 for WG 1030302 to get coupled, OBTP started on 04:39:52 finished on 05:54:07 and then left at 05:55:40</t>
        </is>
      </c>
    </row>
    <row r="1076">
      <c r="A1076" s="3" t="inlineStr">
        <is>
          <t>1029807</t>
        </is>
      </c>
      <c r="B1076" s="3" t="inlineStr">
        <is>
          <t>10298</t>
        </is>
      </c>
      <c r="C1076" s="9" t="n">
        <v>42</v>
      </c>
      <c r="D1076" s="3" t="inlineStr">
        <is>
          <t>Neunkirchen (loading tracks)</t>
        </is>
      </c>
      <c r="E1076" s="10" t="n">
        <v>45686.73533564815</v>
      </c>
      <c r="F1076" s="10" t="n">
        <v>45686.76394675926</v>
      </c>
      <c r="G1076" s="10" t="n">
        <v>45686.7658912037</v>
      </c>
      <c r="H1076" s="3" t="inlineStr">
        <is>
          <t>OBT300125030547-Neunkirchen (loading tracks)</t>
        </is>
      </c>
      <c r="I1076" s="10" t="n">
        <v>45687.86457175926</v>
      </c>
      <c r="J1076" s="10" t="n">
        <v>45687.88241898148</v>
      </c>
      <c r="K1076" s="10" t="n">
        <v>45687.88241898148</v>
      </c>
      <c r="L1076" s="10" t="n">
        <v>45687.88303240741</v>
      </c>
      <c r="M1076" s="11">
        <f>IF(AND(ISNUMBER(E1076),ISNUMBER(G1076)),(G1076-E1076),"")</f>
        <v/>
      </c>
      <c r="N1076" s="11">
        <f>IF(AND(ISNUMBER(G1076),ISNUMBER(L1076)),(L1076-G1076),"")</f>
        <v/>
      </c>
      <c r="O1076" s="10" t="n">
        <v>45686.76825231482</v>
      </c>
      <c r="P1076" s="11">
        <f>IF(AND(ISNUMBER(I1076),ISNUMBER(O1076)),(I1076-O1076),"")</f>
        <v/>
      </c>
      <c r="Q1076" s="12" t="inlineStr">
        <is>
          <t>WG 1029807 entered track and got secured then waited 0:07:22 for WG 1029809 to get coupled then waited 8:32:08 for WG 1030001 to get coupled, OBTP started on 20:44:59 finished on 21:10:41 and then left at 21:11:34</t>
        </is>
      </c>
    </row>
    <row r="1077">
      <c r="A1077" s="3" t="inlineStr">
        <is>
          <t>1029808</t>
        </is>
      </c>
      <c r="B1077" s="3" t="inlineStr">
        <is>
          <t>10298</t>
        </is>
      </c>
      <c r="C1077" s="9" t="n">
        <v>39.8</v>
      </c>
      <c r="D1077" s="3" t="inlineStr">
        <is>
          <t>Wr. Neustadt Ausfahrbf (Furtenbach)</t>
        </is>
      </c>
      <c r="E1077" s="10" t="n">
        <v>45686.73533564815</v>
      </c>
      <c r="F1077" s="10" t="n">
        <v>45686.7658912037</v>
      </c>
      <c r="G1077" s="10" t="n">
        <v>45686.76753472222</v>
      </c>
      <c r="H1077" s="3" t="inlineStr">
        <is>
          <t>OBT300125081913-Wr. Neustadt Ausfahrbf (Furtenbach)</t>
        </is>
      </c>
      <c r="I1077" s="10" t="n">
        <v>45688.33234953704</v>
      </c>
      <c r="J1077" s="10" t="n">
        <v>45688.40537037037</v>
      </c>
      <c r="K1077" s="10" t="n">
        <v>45688.40537037037</v>
      </c>
      <c r="L1077" s="10" t="n">
        <v>45688.40694444445</v>
      </c>
      <c r="M1077" s="11">
        <f>IF(AND(ISNUMBER(E1077),ISNUMBER(G1077)),(G1077-E1077),"")</f>
        <v/>
      </c>
      <c r="N1077" s="11">
        <f>IF(AND(ISNUMBER(G1077),ISNUMBER(L1077)),(L1077-G1077),"")</f>
        <v/>
      </c>
      <c r="O1077" s="10" t="n">
        <v>45686.77143518518</v>
      </c>
      <c r="P1077" s="11">
        <f>IF(AND(ISNUMBER(I1077),ISNUMBER(O1077)),(I1077-O1077),"")</f>
        <v/>
      </c>
      <c r="Q1077" s="12" t="inlineStr">
        <is>
          <t>WG 1029808 entered track and got coupled to WG 1029106 then waited 13:41:02 for WG 1030312 to get coupled then waited 0:07:19 for WG 1030401 to get coupled, OBTP started on 07:58:35 finished on 09:43:44 and then left at 09:46:00</t>
        </is>
      </c>
    </row>
    <row r="1078">
      <c r="A1078" s="3" t="inlineStr">
        <is>
          <t>1029809</t>
        </is>
      </c>
      <c r="B1078" s="3" t="inlineStr">
        <is>
          <t>10298</t>
        </is>
      </c>
      <c r="C1078" s="9" t="n">
        <v>39.8</v>
      </c>
      <c r="D1078" s="3" t="inlineStr">
        <is>
          <t>Neunkirchen (loading tracks)</t>
        </is>
      </c>
      <c r="E1078" s="10" t="n">
        <v>45686.73533564815</v>
      </c>
      <c r="F1078" s="10" t="n">
        <v>45686.76753472222</v>
      </c>
      <c r="G1078" s="10" t="n">
        <v>45686.7694675926</v>
      </c>
      <c r="H1078" s="3" t="inlineStr">
        <is>
          <t>OBT300125030547-Neunkirchen (loading tracks)</t>
        </is>
      </c>
      <c r="I1078" s="10" t="n">
        <v>45687.86457175926</v>
      </c>
      <c r="J1078" s="10" t="n">
        <v>45687.88241898148</v>
      </c>
      <c r="K1078" s="10" t="n">
        <v>45687.88241898148</v>
      </c>
      <c r="L1078" s="10" t="n">
        <v>45687.88303240741</v>
      </c>
      <c r="M1078" s="11">
        <f>IF(AND(ISNUMBER(E1078),ISNUMBER(G1078)),(G1078-E1078),"")</f>
        <v/>
      </c>
      <c r="N1078" s="11">
        <f>IF(AND(ISNUMBER(G1078),ISNUMBER(L1078)),(L1078-G1078),"")</f>
        <v/>
      </c>
      <c r="O1078" s="10" t="n">
        <v>45686.77336805555</v>
      </c>
      <c r="P1078" s="11">
        <f>IF(AND(ISNUMBER(I1078),ISNUMBER(O1078)),(I1078-O1078),"")</f>
        <v/>
      </c>
      <c r="Q1078" s="12" t="inlineStr">
        <is>
          <t>WG 1029809 entered track and got coupled to WG 1029807 then waited 8:32:08 for WG 1030001 to get coupled, OBTP started on 20:44:59 finished on 21:10:41 and then left at 21:11:34</t>
        </is>
      </c>
    </row>
    <row r="1079">
      <c r="A1079" s="3" t="inlineStr">
        <is>
          <t>1029810</t>
        </is>
      </c>
      <c r="B1079" s="3" t="inlineStr">
        <is>
          <t>10298</t>
        </is>
      </c>
      <c r="C1079" s="9" t="n">
        <v>15.74</v>
      </c>
      <c r="D1079" s="3" t="inlineStr">
        <is>
          <t>Other sidings south</t>
        </is>
      </c>
      <c r="E1079" s="10" t="n">
        <v>45686.73533564815</v>
      </c>
      <c r="F1079" s="10" t="n">
        <v>45686.7694675926</v>
      </c>
      <c r="G1079" s="10" t="n">
        <v>45686.77116898148</v>
      </c>
      <c r="H1079" s="3" t="inlineStr">
        <is>
          <t>OBT300125153454-Other sidings south</t>
        </is>
      </c>
      <c r="I1079" s="10" t="n">
        <v>45688.53015046296</v>
      </c>
      <c r="J1079" s="10" t="n">
        <v>45688.55475694445</v>
      </c>
      <c r="K1079" s="10" t="n">
        <v>45688.55475694445</v>
      </c>
      <c r="L1079" s="10" t="n">
        <v>45688.55568287037</v>
      </c>
      <c r="M1079" s="11">
        <f>IF(AND(ISNUMBER(E1079),ISNUMBER(G1079)),(G1079-E1079),"")</f>
        <v/>
      </c>
      <c r="N1079" s="11">
        <f>IF(AND(ISNUMBER(G1079),ISNUMBER(L1079)),(L1079-G1079),"")</f>
        <v/>
      </c>
      <c r="O1079" s="10" t="n">
        <v>45686.77472222222</v>
      </c>
      <c r="P1079" s="11">
        <f>IF(AND(ISNUMBER(I1079),ISNUMBER(O1079)),(I1079-O1079),"")</f>
        <v/>
      </c>
      <c r="Q1079" s="12" t="inlineStr">
        <is>
          <t>WG 1029810 entered track and got coupled to WG 1029504 then waited 8:32:17 for WG 1030002 to get coupled then waited 4:55:50 for WG 1030306 to get coupled then waited 7:31:11 for WG 1031007 to get coupled, OBTP started on 12:43:25 finished on 13:18:51 and then left at 13:20:11</t>
        </is>
      </c>
    </row>
    <row r="1080">
      <c r="A1080" s="3" t="inlineStr">
        <is>
          <t>1029811</t>
        </is>
      </c>
      <c r="B1080" s="3" t="inlineStr">
        <is>
          <t>10298</t>
        </is>
      </c>
      <c r="C1080" s="9" t="n">
        <v>19.9</v>
      </c>
      <c r="D1080" s="3" t="inlineStr">
        <is>
          <t>Other sidings north</t>
        </is>
      </c>
      <c r="E1080" s="10" t="n">
        <v>45686.73533564815</v>
      </c>
      <c r="F1080" s="10" t="n"/>
      <c r="G1080" s="10" t="n"/>
      <c r="H1080" s="3" t="n"/>
      <c r="I1080" s="10" t="n"/>
      <c r="J1080" s="10" t="n"/>
      <c r="K1080" s="10" t="n"/>
      <c r="L1080" s="10" t="n"/>
      <c r="M1080" s="11">
        <f>IF(AND(ISNUMBER(E1080),ISNUMBER(G1080)),(G1080-E1080),"")</f>
        <v/>
      </c>
      <c r="N1080" s="11">
        <f>IF(AND(ISNUMBER(G1080),ISNUMBER(L1080)),(L1080-G1080),"")</f>
        <v/>
      </c>
      <c r="O1080" s="10" t="n"/>
      <c r="P1080" s="11">
        <f>IF(AND(ISNUMBER(I1080),ISNUMBER(O1080)),(I1080-O1080),"")</f>
        <v/>
      </c>
      <c r="Q1080" s="12" t="n"/>
    </row>
    <row r="1081">
      <c r="A1081" s="3" t="inlineStr">
        <is>
          <t>1029901</t>
        </is>
      </c>
      <c r="B1081" s="3" t="inlineStr">
        <is>
          <t>10299</t>
        </is>
      </c>
      <c r="C1081" s="9" t="n">
        <v>380.8200000000001</v>
      </c>
      <c r="D1081" s="3" t="inlineStr">
        <is>
          <t>Wien Kledering</t>
        </is>
      </c>
      <c r="E1081" s="10" t="n">
        <v>45686.86755787037</v>
      </c>
      <c r="F1081" s="10" t="n">
        <v>45686.87451388889</v>
      </c>
      <c r="G1081" s="10" t="n">
        <v>45686.87708333333</v>
      </c>
      <c r="H1081" s="3" t="inlineStr">
        <is>
          <t>OBT290125210626-Wien Kledering</t>
        </is>
      </c>
      <c r="I1081" s="10" t="n">
        <v>45687.8312037037</v>
      </c>
      <c r="J1081" s="10" t="n">
        <v>45687.89732638889</v>
      </c>
      <c r="K1081" s="10" t="n">
        <v>45687.89732638889</v>
      </c>
      <c r="L1081" s="10" t="n">
        <v>45687.89871527778</v>
      </c>
      <c r="M1081" s="11">
        <f>IF(AND(ISNUMBER(E1081),ISNUMBER(G1081)),(G1081-E1081),"")</f>
        <v/>
      </c>
      <c r="N1081" s="11">
        <f>IF(AND(ISNUMBER(G1081),ISNUMBER(L1081)),(L1081-G1081),"")</f>
        <v/>
      </c>
      <c r="O1081" s="10" t="n">
        <v>45686.87946759259</v>
      </c>
      <c r="P1081" s="11">
        <f>IF(AND(ISNUMBER(I1081),ISNUMBER(O1081)),(I1081-O1081),"")</f>
        <v/>
      </c>
      <c r="Q1081" s="12" t="inlineStr">
        <is>
          <t>WG 1029901 entered track and got secured, OBTP started on 19:56:56 finished on 21:32:09 and then left at 21:34:09</t>
        </is>
      </c>
    </row>
    <row r="1082">
      <c r="A1082" s="3" t="inlineStr">
        <is>
          <t>1030001</t>
        </is>
      </c>
      <c r="B1082" s="3" t="inlineStr">
        <is>
          <t>10300</t>
        </is>
      </c>
      <c r="C1082" s="9" t="n">
        <v>21</v>
      </c>
      <c r="D1082" s="3" t="inlineStr">
        <is>
          <t>Neunkirchen (loading tracks)</t>
        </is>
      </c>
      <c r="E1082" s="10" t="n">
        <v>45687.11429398148</v>
      </c>
      <c r="F1082" s="10" t="n">
        <v>45687.1231712963</v>
      </c>
      <c r="G1082" s="10" t="n">
        <v>45687.12509259259</v>
      </c>
      <c r="H1082" s="3" t="inlineStr">
        <is>
          <t>OBT300125030547-Neunkirchen (loading tracks)</t>
        </is>
      </c>
      <c r="I1082" s="10" t="n">
        <v>45687.86457175926</v>
      </c>
      <c r="J1082" s="10" t="n">
        <v>45687.88241898148</v>
      </c>
      <c r="K1082" s="10" t="n">
        <v>45687.88241898148</v>
      </c>
      <c r="L1082" s="10" t="n">
        <v>45687.88303240741</v>
      </c>
      <c r="M1082" s="11">
        <f>IF(AND(ISNUMBER(E1082),ISNUMBER(G1082)),(G1082-E1082),"")</f>
        <v/>
      </c>
      <c r="N1082" s="11">
        <f>IF(AND(ISNUMBER(G1082),ISNUMBER(L1082)),(L1082-G1082),"")</f>
        <v/>
      </c>
      <c r="O1082" s="10" t="n">
        <v>45687.1290162037</v>
      </c>
      <c r="P1082" s="11">
        <f>IF(AND(ISNUMBER(I1082),ISNUMBER(O1082)),(I1082-O1082),"")</f>
        <v/>
      </c>
      <c r="Q1082" s="12" t="inlineStr">
        <is>
          <t>WG 1030001 entered track and got coupled to WG 1029809, OBTP started on 20:44:59 finished on 21:10:41 and then left at 21:11:34</t>
        </is>
      </c>
    </row>
    <row r="1083">
      <c r="A1083" s="3" t="inlineStr">
        <is>
          <t>1030002</t>
        </is>
      </c>
      <c r="B1083" s="3" t="inlineStr">
        <is>
          <t>10300</t>
        </is>
      </c>
      <c r="C1083" s="9" t="n">
        <v>51.38</v>
      </c>
      <c r="D1083" s="3" t="inlineStr">
        <is>
          <t>Other sidings south</t>
        </is>
      </c>
      <c r="E1083" s="10" t="n">
        <v>45687.11429398148</v>
      </c>
      <c r="F1083" s="10" t="n">
        <v>45687.12509259259</v>
      </c>
      <c r="G1083" s="10" t="n">
        <v>45687.12689814815</v>
      </c>
      <c r="H1083" s="3" t="inlineStr">
        <is>
          <t>OBT300125153454-Other sidings south</t>
        </is>
      </c>
      <c r="I1083" s="10" t="n">
        <v>45688.53015046296</v>
      </c>
      <c r="J1083" s="10" t="n">
        <v>45688.55475694445</v>
      </c>
      <c r="K1083" s="10" t="n">
        <v>45688.55475694445</v>
      </c>
      <c r="L1083" s="10" t="n">
        <v>45688.55568287037</v>
      </c>
      <c r="M1083" s="11">
        <f>IF(AND(ISNUMBER(E1083),ISNUMBER(G1083)),(G1083-E1083),"")</f>
        <v/>
      </c>
      <c r="N1083" s="11">
        <f>IF(AND(ISNUMBER(G1083),ISNUMBER(L1083)),(L1083-G1083),"")</f>
        <v/>
      </c>
      <c r="O1083" s="10" t="n">
        <v>45687.13047453704</v>
      </c>
      <c r="P1083" s="11">
        <f>IF(AND(ISNUMBER(I1083),ISNUMBER(O1083)),(I1083-O1083),"")</f>
        <v/>
      </c>
      <c r="Q1083" s="12" t="inlineStr">
        <is>
          <t>WG 1030002 entered track and got coupled to WG 1029810 then waited 4:55:50 for WG 1030306 to get coupled then waited 7:31:11 for WG 1031007 to get coupled, OBTP started on 12:43:25 finished on 13:18:51 and then left at 13:20:11</t>
        </is>
      </c>
    </row>
    <row r="1084">
      <c r="A1084" s="3" t="inlineStr">
        <is>
          <t>1030003</t>
        </is>
      </c>
      <c r="B1084" s="3" t="inlineStr">
        <is>
          <t>10300</t>
        </is>
      </c>
      <c r="C1084" s="9" t="n">
        <v>31.48</v>
      </c>
      <c r="D1084" s="3" t="inlineStr">
        <is>
          <t>Gloggnitz</t>
        </is>
      </c>
      <c r="E1084" s="10" t="n">
        <v>45687.11429398148</v>
      </c>
      <c r="F1084" s="10" t="n">
        <v>45687.12689814815</v>
      </c>
      <c r="G1084" s="10" t="n">
        <v>45687.12810185185</v>
      </c>
      <c r="H1084" s="3" t="inlineStr">
        <is>
          <t>OBT300125131403-Wien Kledering</t>
        </is>
      </c>
      <c r="I1084" s="10" t="n">
        <v>45688.40701388889</v>
      </c>
      <c r="J1084" s="10" t="n">
        <v>45688.45766203704</v>
      </c>
      <c r="K1084" s="10" t="n">
        <v>45688.45766203704</v>
      </c>
      <c r="L1084" s="10" t="n">
        <v>45688.4587962963</v>
      </c>
      <c r="M1084" s="11">
        <f>IF(AND(ISNUMBER(E1084),ISNUMBER(G1084)),(G1084-E1084),"")</f>
        <v/>
      </c>
      <c r="N1084" s="11">
        <f>IF(AND(ISNUMBER(G1084),ISNUMBER(L1084)),(L1084-G1084),"")</f>
        <v/>
      </c>
      <c r="O1084" s="10" t="n">
        <v>45687.13047453704</v>
      </c>
      <c r="P1084" s="11">
        <f>IF(AND(ISNUMBER(I1084),ISNUMBER(O1084)),(I1084-O1084),"")</f>
        <v/>
      </c>
      <c r="Q1084" s="12" t="inlineStr">
        <is>
          <t>WG 1030003 entered track and got secured then waited 5:04:20 for WG 1030311 to get coupled then waited 5:01:50 for WG 1030801 to get coupled, OBTP started on 09:46:06 finished on 10:59:02 and then left at 11:00:40</t>
        </is>
      </c>
    </row>
    <row r="1085">
      <c r="A1085" s="3" t="inlineStr">
        <is>
          <t>1030004</t>
        </is>
      </c>
      <c r="B1085" s="3" t="inlineStr">
        <is>
          <t>10300</t>
        </is>
      </c>
      <c r="C1085" s="9" t="n">
        <v>12.04</v>
      </c>
      <c r="D1085" s="3" t="inlineStr">
        <is>
          <t>Ternitz (Schoeller-Bleckmann)</t>
        </is>
      </c>
      <c r="E1085" s="10" t="n">
        <v>45687.11429398148</v>
      </c>
      <c r="F1085" s="10" t="n">
        <v>45687.12810185185</v>
      </c>
      <c r="G1085" s="10" t="n">
        <v>45687.13</v>
      </c>
      <c r="H1085" s="3" t="inlineStr">
        <is>
          <t>OBT310125075821-Ternitz (Schoeller-Bleckmann)</t>
        </is>
      </c>
      <c r="I1085" s="10" t="n">
        <v>45688.75071759259</v>
      </c>
      <c r="J1085" s="10" t="n">
        <v>45688.77137731481</v>
      </c>
      <c r="K1085" s="10" t="n">
        <v>45688.77137731481</v>
      </c>
      <c r="L1085" s="10" t="n">
        <v>45688.77202546296</v>
      </c>
      <c r="M1085" s="11">
        <f>IF(AND(ISNUMBER(E1085),ISNUMBER(G1085)),(G1085-E1085),"")</f>
        <v/>
      </c>
      <c r="N1085" s="11">
        <f>IF(AND(ISNUMBER(G1085),ISNUMBER(L1085)),(L1085-G1085),"")</f>
        <v/>
      </c>
      <c r="O1085" s="10" t="n">
        <v>45687.13239583333</v>
      </c>
      <c r="P1085" s="11">
        <f>IF(AND(ISNUMBER(I1085),ISNUMBER(O1085)),(I1085-O1085),"")</f>
        <v/>
      </c>
      <c r="Q1085" s="12" t="inlineStr">
        <is>
          <t>WG 1030004 entered track and got secured then waited 4:43:26 for WG 1030301 to get coupled then waited 1:51:59 for WG 1030605 to get coupled then waited 5:35:37 for WG 1031001 to get coupled then waited 11:56:26 for WG 1031505 to get coupled then waited 4:29:34 for WG 1031904 to get coupled then waited 0:10:40 for WG 1031910 to get coupled, OBTP started on 18:01:02 finished on 18:30:47 and then left at 18:31:43</t>
        </is>
      </c>
    </row>
    <row r="1086">
      <c r="A1086" s="3" t="inlineStr">
        <is>
          <t>1030005</t>
        </is>
      </c>
      <c r="B1086" s="3" t="inlineStr">
        <is>
          <t>10300</t>
        </is>
      </c>
      <c r="C1086" s="9" t="n">
        <v>21</v>
      </c>
      <c r="D1086" s="3" t="inlineStr">
        <is>
          <t>Neunkirchen (loading tracks)</t>
        </is>
      </c>
      <c r="E1086" s="10" t="n">
        <v>45687.11429398148</v>
      </c>
      <c r="F1086" s="10" t="n">
        <v>45687.13</v>
      </c>
      <c r="G1086" s="10" t="n">
        <v>45687.13140046296</v>
      </c>
      <c r="H1086" s="3" t="inlineStr">
        <is>
          <t>OBT300125080541-Neunkirchen (loading tracks)</t>
        </is>
      </c>
      <c r="I1086" s="10" t="n">
        <v>45688.25971064815</v>
      </c>
      <c r="J1086" s="10" t="n">
        <v>45688.27736111111</v>
      </c>
      <c r="K1086" s="10" t="n">
        <v>45688.27736111111</v>
      </c>
      <c r="L1086" s="10" t="n">
        <v>45688.27809027778</v>
      </c>
      <c r="M1086" s="11">
        <f>IF(AND(ISNUMBER(E1086),ISNUMBER(G1086)),(G1086-E1086),"")</f>
        <v/>
      </c>
      <c r="N1086" s="11">
        <f>IF(AND(ISNUMBER(G1086),ISNUMBER(L1086)),(L1086-G1086),"")</f>
        <v/>
      </c>
      <c r="O1086" s="10" t="n">
        <v>45687.13377314815</v>
      </c>
      <c r="P1086" s="11">
        <f>IF(AND(ISNUMBER(I1086),ISNUMBER(O1086)),(I1086-O1086),"")</f>
        <v/>
      </c>
      <c r="Q1086" s="12" t="inlineStr">
        <is>
          <t>WG 1030005 entered track and got secured then waited 4:46:30 for WG 1030303 to get coupled then waited 0:06:33 for WG 1030307 to get coupled, OBTP started on 06:13:59 finished on 06:39:24 and then left at 06:40:27</t>
        </is>
      </c>
    </row>
    <row r="1087">
      <c r="A1087" s="3" t="inlineStr">
        <is>
          <t>1030101</t>
        </is>
      </c>
      <c r="B1087" s="3" t="inlineStr">
        <is>
          <t>10301</t>
        </is>
      </c>
      <c r="C1087" s="9" t="n">
        <v>297</v>
      </c>
      <c r="D1087" s="3" t="inlineStr">
        <is>
          <t>Wien Kledering</t>
        </is>
      </c>
      <c r="E1087" s="10" t="n">
        <v>45687.26412037037</v>
      </c>
      <c r="F1087" s="10" t="n">
        <v>45687.2703587963</v>
      </c>
      <c r="G1087" s="10" t="n">
        <v>45687.27228009259</v>
      </c>
      <c r="H1087" s="3" t="inlineStr">
        <is>
          <t>OBT300125063532-Wien Kledering</t>
        </is>
      </c>
      <c r="I1087" s="10" t="n">
        <v>45688.1371412037</v>
      </c>
      <c r="J1087" s="10" t="n">
        <v>45688.1887037037</v>
      </c>
      <c r="K1087" s="10" t="n">
        <v>45688.1887037037</v>
      </c>
      <c r="L1087" s="10" t="n">
        <v>45688.18981481482</v>
      </c>
      <c r="M1087" s="11">
        <f>IF(AND(ISNUMBER(E1087),ISNUMBER(G1087)),(G1087-E1087),"")</f>
        <v/>
      </c>
      <c r="N1087" s="11">
        <f>IF(AND(ISNUMBER(G1087),ISNUMBER(L1087)),(L1087-G1087),"")</f>
        <v/>
      </c>
      <c r="O1087" s="10" t="n">
        <v>45687.27467592592</v>
      </c>
      <c r="P1087" s="11">
        <f>IF(AND(ISNUMBER(I1087),ISNUMBER(O1087)),(I1087-O1087),"")</f>
        <v/>
      </c>
      <c r="Q1087" s="12" t="inlineStr">
        <is>
          <t>WG 1030101 entered track and got secured, OBTP started on 03:17:29 finished on 04:31:44 and then left at 04:33:20</t>
        </is>
      </c>
    </row>
    <row r="1088">
      <c r="A1088" s="3" t="inlineStr">
        <is>
          <t>1030201</t>
        </is>
      </c>
      <c r="B1088" s="3" t="inlineStr">
        <is>
          <t>10302</t>
        </is>
      </c>
      <c r="C1088" s="9" t="n">
        <v>336.5</v>
      </c>
      <c r="D1088" s="3" t="inlineStr">
        <is>
          <t>Wien Kledering</t>
        </is>
      </c>
      <c r="E1088" s="10" t="n">
        <v>45687.29108796296</v>
      </c>
      <c r="F1088" s="10" t="n"/>
      <c r="G1088" s="10" t="n"/>
      <c r="H1088" s="3" t="n"/>
      <c r="I1088" s="10" t="n"/>
      <c r="J1088" s="10" t="n"/>
      <c r="K1088" s="10" t="n"/>
      <c r="L1088" s="10" t="n"/>
      <c r="M1088" s="11">
        <f>IF(AND(ISNUMBER(E1088),ISNUMBER(G1088)),(G1088-E1088),"")</f>
        <v/>
      </c>
      <c r="N1088" s="11">
        <f>IF(AND(ISNUMBER(G1088),ISNUMBER(L1088)),(L1088-G1088),"")</f>
        <v/>
      </c>
      <c r="O1088" s="10" t="n"/>
      <c r="P1088" s="11">
        <f>IF(AND(ISNUMBER(I1088),ISNUMBER(O1088)),(I1088-O1088),"")</f>
        <v/>
      </c>
      <c r="Q1088" s="12" t="n"/>
    </row>
    <row r="1089">
      <c r="A1089" s="3" t="inlineStr">
        <is>
          <t>1030301</t>
        </is>
      </c>
      <c r="B1089" s="3" t="inlineStr">
        <is>
          <t>10303</t>
        </is>
      </c>
      <c r="C1089" s="9" t="n">
        <v>24.08</v>
      </c>
      <c r="D1089" s="3" t="inlineStr">
        <is>
          <t>Ternitz (Schoeller-Bleckmann)</t>
        </is>
      </c>
      <c r="E1089" s="10" t="n">
        <v>45687.30241898148</v>
      </c>
      <c r="F1089" s="10" t="n">
        <v>45687.32388888889</v>
      </c>
      <c r="G1089" s="10" t="n">
        <v>45687.32568287037</v>
      </c>
      <c r="H1089" s="3" t="inlineStr">
        <is>
          <t>OBT310125075821-Ternitz (Schoeller-Bleckmann)</t>
        </is>
      </c>
      <c r="I1089" s="10" t="n">
        <v>45688.75071759259</v>
      </c>
      <c r="J1089" s="10" t="n">
        <v>45688.77137731481</v>
      </c>
      <c r="K1089" s="10" t="n">
        <v>45688.77137731481</v>
      </c>
      <c r="L1089" s="10" t="n">
        <v>45688.77202546296</v>
      </c>
      <c r="M1089" s="11">
        <f>IF(AND(ISNUMBER(E1089),ISNUMBER(G1089)),(G1089-E1089),"")</f>
        <v/>
      </c>
      <c r="N1089" s="11">
        <f>IF(AND(ISNUMBER(G1089),ISNUMBER(L1089)),(L1089-G1089),"")</f>
        <v/>
      </c>
      <c r="O1089" s="10" t="n">
        <v>45687.32922453704</v>
      </c>
      <c r="P1089" s="11">
        <f>IF(AND(ISNUMBER(I1089),ISNUMBER(O1089)),(I1089-O1089),"")</f>
        <v/>
      </c>
      <c r="Q1089" s="12" t="inlineStr">
        <is>
          <t>WG 1030301 entered track and got coupled to WG 1030004 then waited 1:51:59 for WG 1030605 to get coupled then waited 5:35:37 for WG 1031001 to get coupled then waited 11:56:26 for WG 1031505 to get coupled then waited 4:29:34 for WG 1031904 to get coupled then waited 0:10:40 for WG 1031910 to get coupled, OBTP started on 18:01:02 finished on 18:30:47 and then left at 18:31:43</t>
        </is>
      </c>
    </row>
    <row r="1090">
      <c r="A1090" s="3" t="inlineStr">
        <is>
          <t>1030302</t>
        </is>
      </c>
      <c r="B1090" s="3" t="inlineStr">
        <is>
          <t>10303</t>
        </is>
      </c>
      <c r="C1090" s="9" t="n">
        <v>216</v>
      </c>
      <c r="D1090" s="3" t="inlineStr">
        <is>
          <t>Wr. Neustadt (Hödlmayr)</t>
        </is>
      </c>
      <c r="E1090" s="10" t="n">
        <v>45687.30241898148</v>
      </c>
      <c r="F1090" s="10" t="n">
        <v>45687.32568287037</v>
      </c>
      <c r="G1090" s="10" t="n">
        <v>45687.32791666667</v>
      </c>
      <c r="H1090" s="3" t="inlineStr">
        <is>
          <t>OBT300125075751-Wr. Neustadt (Hödlmayr)</t>
        </is>
      </c>
      <c r="I1090" s="10" t="n">
        <v>45688.19435185185</v>
      </c>
      <c r="J1090" s="10" t="n">
        <v>45688.24591435185</v>
      </c>
      <c r="K1090" s="10" t="n">
        <v>45688.24591435185</v>
      </c>
      <c r="L1090" s="10" t="n">
        <v>45688.24699074074</v>
      </c>
      <c r="M1090" s="11">
        <f>IF(AND(ISNUMBER(E1090),ISNUMBER(G1090)),(G1090-E1090),"")</f>
        <v/>
      </c>
      <c r="N1090" s="11">
        <f>IF(AND(ISNUMBER(G1090),ISNUMBER(L1090)),(L1090-G1090),"")</f>
        <v/>
      </c>
      <c r="O1090" s="10" t="n">
        <v>45687.33184027778</v>
      </c>
      <c r="P1090" s="11">
        <f>IF(AND(ISNUMBER(I1090),ISNUMBER(O1090)),(I1090-O1090),"")</f>
        <v/>
      </c>
      <c r="Q1090" s="12" t="inlineStr">
        <is>
          <t>WG 1030302 entered track and got coupled to WG 1029806, OBTP started on 04:39:52 finished on 05:54:07 and then left at 05:55:40</t>
        </is>
      </c>
    </row>
    <row r="1091">
      <c r="A1091" s="3" t="inlineStr">
        <is>
          <t>1030303</t>
        </is>
      </c>
      <c r="B1091" s="3" t="inlineStr">
        <is>
          <t>10303</t>
        </is>
      </c>
      <c r="C1091" s="9" t="n">
        <v>19.9</v>
      </c>
      <c r="D1091" s="3" t="inlineStr">
        <is>
          <t>Neunkirchen (loading tracks)</t>
        </is>
      </c>
      <c r="E1091" s="10" t="n">
        <v>45687.30241898148</v>
      </c>
      <c r="F1091" s="10" t="n">
        <v>45687.32791666667</v>
      </c>
      <c r="G1091" s="10" t="n">
        <v>45687.32916666667</v>
      </c>
      <c r="H1091" s="3" t="inlineStr">
        <is>
          <t>OBT300125080541-Neunkirchen (loading tracks)</t>
        </is>
      </c>
      <c r="I1091" s="10" t="n">
        <v>45688.25971064815</v>
      </c>
      <c r="J1091" s="10" t="n">
        <v>45688.27736111111</v>
      </c>
      <c r="K1091" s="10" t="n">
        <v>45688.27736111111</v>
      </c>
      <c r="L1091" s="10" t="n">
        <v>45688.27809027778</v>
      </c>
      <c r="M1091" s="11">
        <f>IF(AND(ISNUMBER(E1091),ISNUMBER(G1091)),(G1091-E1091),"")</f>
        <v/>
      </c>
      <c r="N1091" s="11">
        <f>IF(AND(ISNUMBER(G1091),ISNUMBER(L1091)),(L1091-G1091),"")</f>
        <v/>
      </c>
      <c r="O1091" s="10" t="n">
        <v>45687.33273148148</v>
      </c>
      <c r="P1091" s="11">
        <f>IF(AND(ISNUMBER(I1091),ISNUMBER(O1091)),(I1091-O1091),"")</f>
        <v/>
      </c>
      <c r="Q1091" s="12" t="inlineStr">
        <is>
          <t>WG 1030303 entered track and got coupled to WG 1030005 then waited 0:06:33 for WG 1030307 to get coupled, OBTP started on 06:13:59 finished on 06:39:24 and then left at 06:40:27</t>
        </is>
      </c>
    </row>
    <row r="1092">
      <c r="A1092" s="3" t="inlineStr">
        <is>
          <t>1030304</t>
        </is>
      </c>
      <c r="B1092" s="3" t="inlineStr">
        <is>
          <t>10303</t>
        </is>
      </c>
      <c r="C1092" s="9" t="n">
        <v>23.24</v>
      </c>
      <c r="D1092" s="3" t="inlineStr">
        <is>
          <t>Pitten (Hamburger)</t>
        </is>
      </c>
      <c r="E1092" s="10" t="n">
        <v>45687.30241898148</v>
      </c>
      <c r="F1092" s="10" t="n"/>
      <c r="G1092" s="10" t="n"/>
      <c r="H1092" s="3" t="n"/>
      <c r="I1092" s="10" t="n"/>
      <c r="J1092" s="10" t="n"/>
      <c r="K1092" s="10" t="n"/>
      <c r="L1092" s="10" t="n"/>
      <c r="M1092" s="11">
        <f>IF(AND(ISNUMBER(E1092),ISNUMBER(G1092)),(G1092-E1092),"")</f>
        <v/>
      </c>
      <c r="N1092" s="11">
        <f>IF(AND(ISNUMBER(G1092),ISNUMBER(L1092)),(L1092-G1092),"")</f>
        <v/>
      </c>
      <c r="O1092" s="10" t="n"/>
      <c r="P1092" s="11">
        <f>IF(AND(ISNUMBER(I1092),ISNUMBER(O1092)),(I1092-O1092),"")</f>
        <v/>
      </c>
      <c r="Q1092" s="12" t="n"/>
    </row>
    <row r="1093">
      <c r="A1093" s="3" t="inlineStr">
        <is>
          <t>1030305</t>
        </is>
      </c>
      <c r="B1093" s="3" t="inlineStr">
        <is>
          <t>10303</t>
        </is>
      </c>
      <c r="C1093" s="9" t="n">
        <v>15.74</v>
      </c>
      <c r="D1093" s="3" t="inlineStr">
        <is>
          <t>Steinabrückl/Wöllersdorf</t>
        </is>
      </c>
      <c r="E1093" s="10" t="n">
        <v>45687.30241898148</v>
      </c>
      <c r="F1093" s="10" t="n">
        <v>45687.32916666667</v>
      </c>
      <c r="G1093" s="10" t="n">
        <v>45687.33077546296</v>
      </c>
      <c r="H1093" s="3" t="inlineStr">
        <is>
          <t>OBT310125161451-Steinabrückl/Wöllersdorf</t>
        </is>
      </c>
      <c r="I1093" s="10" t="n"/>
      <c r="J1093" s="10" t="n"/>
      <c r="K1093" s="10" t="n"/>
      <c r="L1093" s="10" t="n"/>
      <c r="M1093" s="11">
        <f>IF(AND(ISNUMBER(E1093),ISNUMBER(G1093)),(G1093-E1093),"")</f>
        <v/>
      </c>
      <c r="N1093" s="11">
        <f>IF(AND(ISNUMBER(G1093),ISNUMBER(L1093)),(L1093-G1093),"")</f>
        <v/>
      </c>
      <c r="O1093" s="10" t="n">
        <v>45687.33314814815</v>
      </c>
      <c r="P1093" s="11">
        <f>IF(AND(ISNUMBER(I1093),ISNUMBER(O1093)),(I1093-O1093),"")</f>
        <v/>
      </c>
      <c r="Q1093" s="12" t="inlineStr">
        <is>
          <t>WG 1030305 entered track and got secured then waited 7:22:21 for WG 1031002 to get coupled then waited 18:10:58 for WG 1032203 to get coupled then waited 0:06:17 for WG 1032205 to get coupled then waited 5:59:51 for WG 1032604 to get coupled then waited 0:35:40 for WG 1032707 to get coupled, OBTP started on ? finished on ? and then left at ?</t>
        </is>
      </c>
    </row>
    <row r="1094">
      <c r="A1094" s="3" t="inlineStr">
        <is>
          <t>1030306</t>
        </is>
      </c>
      <c r="B1094" s="3" t="inlineStr">
        <is>
          <t>10303</t>
        </is>
      </c>
      <c r="C1094" s="9" t="n">
        <v>15.74</v>
      </c>
      <c r="D1094" s="3" t="inlineStr">
        <is>
          <t>Other sidings south</t>
        </is>
      </c>
      <c r="E1094" s="10" t="n">
        <v>45687.30241898148</v>
      </c>
      <c r="F1094" s="10" t="n">
        <v>45687.33077546296</v>
      </c>
      <c r="G1094" s="10" t="n">
        <v>45687.33236111111</v>
      </c>
      <c r="H1094" s="3" t="inlineStr">
        <is>
          <t>OBT300125153454-Other sidings south</t>
        </is>
      </c>
      <c r="I1094" s="10" t="n">
        <v>45688.53015046296</v>
      </c>
      <c r="J1094" s="10" t="n">
        <v>45688.55475694445</v>
      </c>
      <c r="K1094" s="10" t="n">
        <v>45688.55475694445</v>
      </c>
      <c r="L1094" s="10" t="n">
        <v>45688.55568287037</v>
      </c>
      <c r="M1094" s="11">
        <f>IF(AND(ISNUMBER(E1094),ISNUMBER(G1094)),(G1094-E1094),"")</f>
        <v/>
      </c>
      <c r="N1094" s="11">
        <f>IF(AND(ISNUMBER(G1094),ISNUMBER(L1094)),(L1094-G1094),"")</f>
        <v/>
      </c>
      <c r="O1094" s="10" t="n">
        <v>45687.33591435185</v>
      </c>
      <c r="P1094" s="11">
        <f>IF(AND(ISNUMBER(I1094),ISNUMBER(O1094)),(I1094-O1094),"")</f>
        <v/>
      </c>
      <c r="Q1094" s="12" t="inlineStr">
        <is>
          <t>WG 1030306 entered track and got coupled to WG 1030002 then waited 7:31:11 for WG 1031007 to get coupled, OBTP started on 12:43:25 finished on 13:18:51 and then left at 13:20:11</t>
        </is>
      </c>
    </row>
    <row r="1095">
      <c r="A1095" s="3" t="inlineStr">
        <is>
          <t>1030307</t>
        </is>
      </c>
      <c r="B1095" s="3" t="inlineStr">
        <is>
          <t>10303</t>
        </is>
      </c>
      <c r="C1095" s="9" t="n">
        <v>60.8</v>
      </c>
      <c r="D1095" s="3" t="inlineStr">
        <is>
          <t>Neunkirchen (loading tracks)</t>
        </is>
      </c>
      <c r="E1095" s="10" t="n">
        <v>45687.30241898148</v>
      </c>
      <c r="F1095" s="10" t="n">
        <v>45687.33236111111</v>
      </c>
      <c r="G1095" s="10" t="n">
        <v>45687.33371527777</v>
      </c>
      <c r="H1095" s="3" t="inlineStr">
        <is>
          <t>OBT300125080541-Neunkirchen (loading tracks)</t>
        </is>
      </c>
      <c r="I1095" s="10" t="n">
        <v>45688.25971064815</v>
      </c>
      <c r="J1095" s="10" t="n">
        <v>45688.27736111111</v>
      </c>
      <c r="K1095" s="10" t="n">
        <v>45688.27736111111</v>
      </c>
      <c r="L1095" s="10" t="n">
        <v>45688.27809027778</v>
      </c>
      <c r="M1095" s="11">
        <f>IF(AND(ISNUMBER(E1095),ISNUMBER(G1095)),(G1095-E1095),"")</f>
        <v/>
      </c>
      <c r="N1095" s="11">
        <f>IF(AND(ISNUMBER(G1095),ISNUMBER(L1095)),(L1095-G1095),"")</f>
        <v/>
      </c>
      <c r="O1095" s="10" t="n">
        <v>45687.33728009259</v>
      </c>
      <c r="P1095" s="11">
        <f>IF(AND(ISNUMBER(I1095),ISNUMBER(O1095)),(I1095-O1095),"")</f>
        <v/>
      </c>
      <c r="Q1095" s="12" t="inlineStr">
        <is>
          <t>WG 1030307 entered track and got coupled to WG 1030303, OBTP started on 06:13:59 finished on 06:39:24 and then left at 06:40:27</t>
        </is>
      </c>
    </row>
    <row r="1096">
      <c r="A1096" s="3" t="inlineStr">
        <is>
          <t>1030308</t>
        </is>
      </c>
      <c r="B1096" s="3" t="inlineStr">
        <is>
          <t>10303</t>
        </is>
      </c>
      <c r="C1096" s="9" t="n">
        <v>76.19999999999999</v>
      </c>
      <c r="D1096" s="3" t="inlineStr">
        <is>
          <t>Neudörfl (FunderMax)</t>
        </is>
      </c>
      <c r="E1096" s="10" t="n">
        <v>45687.30241898148</v>
      </c>
      <c r="F1096" s="10" t="n"/>
      <c r="G1096" s="10" t="n"/>
      <c r="H1096" s="3" t="n"/>
      <c r="I1096" s="10" t="n"/>
      <c r="J1096" s="10" t="n"/>
      <c r="K1096" s="10" t="n"/>
      <c r="L1096" s="10" t="n"/>
      <c r="M1096" s="11">
        <f>IF(AND(ISNUMBER(E1096),ISNUMBER(G1096)),(G1096-E1096),"")</f>
        <v/>
      </c>
      <c r="N1096" s="11">
        <f>IF(AND(ISNUMBER(G1096),ISNUMBER(L1096)),(L1096-G1096),"")</f>
        <v/>
      </c>
      <c r="O1096" s="10" t="n"/>
      <c r="P1096" s="11">
        <f>IF(AND(ISNUMBER(I1096),ISNUMBER(O1096)),(I1096-O1096),"")</f>
        <v/>
      </c>
      <c r="Q1096" s="12" t="n"/>
    </row>
    <row r="1097">
      <c r="A1097" s="3" t="inlineStr">
        <is>
          <t>1030309</t>
        </is>
      </c>
      <c r="B1097" s="3" t="inlineStr">
        <is>
          <t>10303</t>
        </is>
      </c>
      <c r="C1097" s="9" t="n">
        <v>19.9</v>
      </c>
      <c r="D1097" s="3" t="inlineStr">
        <is>
          <t>Other sidings local</t>
        </is>
      </c>
      <c r="E1097" s="10" t="n">
        <v>45687.30241898148</v>
      </c>
      <c r="F1097" s="10" t="n">
        <v>45687.33371527777</v>
      </c>
      <c r="G1097" s="10" t="n">
        <v>45687.33560185185</v>
      </c>
      <c r="H1097" s="3" t="n"/>
      <c r="I1097" s="10" t="n"/>
      <c r="J1097" s="10" t="n"/>
      <c r="K1097" s="10" t="n"/>
      <c r="L1097" s="10" t="n"/>
      <c r="M1097" s="11">
        <f>IF(AND(ISNUMBER(E1097),ISNUMBER(G1097)),(G1097-E1097),"")</f>
        <v/>
      </c>
      <c r="N1097" s="11">
        <f>IF(AND(ISNUMBER(G1097),ISNUMBER(L1097)),(L1097-G1097),"")</f>
        <v/>
      </c>
      <c r="O1097" s="10" t="n">
        <v>45687.33950231481</v>
      </c>
      <c r="P1097" s="11">
        <f>IF(AND(ISNUMBER(I1097),ISNUMBER(O1097)),(I1097-O1097),"")</f>
        <v/>
      </c>
      <c r="Q1097" s="12" t="n"/>
    </row>
    <row r="1098">
      <c r="A1098" s="3" t="inlineStr">
        <is>
          <t>1030310</t>
        </is>
      </c>
      <c r="B1098" s="3" t="inlineStr">
        <is>
          <t>10303</t>
        </is>
      </c>
      <c r="C1098" s="9" t="n">
        <v>56</v>
      </c>
      <c r="D1098" s="3" t="inlineStr">
        <is>
          <t>Wr. Neustadt (Brenntag)</t>
        </is>
      </c>
      <c r="E1098" s="10" t="n">
        <v>45687.30241898148</v>
      </c>
      <c r="F1098" s="10" t="n">
        <v>45687.33560185185</v>
      </c>
      <c r="G1098" s="10" t="n">
        <v>45687.33684027778</v>
      </c>
      <c r="H1098" s="3" t="inlineStr">
        <is>
          <t>OBT300125081010-Wr. Neustadt (Brenntag)</t>
        </is>
      </c>
      <c r="I1098" s="10" t="n">
        <v>45688.30097222222</v>
      </c>
      <c r="J1098" s="10" t="n">
        <v>45688.32527777777</v>
      </c>
      <c r="K1098" s="10" t="n">
        <v>45688.32527777777</v>
      </c>
      <c r="L1098" s="10" t="n">
        <v>45688.32615740741</v>
      </c>
      <c r="M1098" s="11">
        <f>IF(AND(ISNUMBER(E1098),ISNUMBER(G1098)),(G1098-E1098),"")</f>
        <v/>
      </c>
      <c r="N1098" s="11">
        <f>IF(AND(ISNUMBER(G1098),ISNUMBER(L1098)),(L1098-G1098),"")</f>
        <v/>
      </c>
      <c r="O1098" s="10" t="n">
        <v>45687.34039351852</v>
      </c>
      <c r="P1098" s="11">
        <f>IF(AND(ISNUMBER(I1098),ISNUMBER(O1098)),(I1098-O1098),"")</f>
        <v/>
      </c>
      <c r="Q1098" s="12" t="inlineStr">
        <is>
          <t>WG 1030310 entered track and got coupled to WG 1029802, OBTP started on 07:13:24 finished on 07:48:24 and then left at 07:49:40</t>
        </is>
      </c>
    </row>
    <row r="1099">
      <c r="A1099" s="3" t="inlineStr">
        <is>
          <t>1030311</t>
        </is>
      </c>
      <c r="B1099" s="3" t="inlineStr">
        <is>
          <t>10303</t>
        </is>
      </c>
      <c r="C1099" s="9" t="n">
        <v>31.48</v>
      </c>
      <c r="D1099" s="3" t="inlineStr">
        <is>
          <t>Gloggnitz</t>
        </is>
      </c>
      <c r="E1099" s="10" t="n">
        <v>45687.30241898148</v>
      </c>
      <c r="F1099" s="10" t="n">
        <v>45687.33684027778</v>
      </c>
      <c r="G1099" s="10" t="n">
        <v>45687.33789351852</v>
      </c>
      <c r="H1099" s="3" t="inlineStr">
        <is>
          <t>OBT300125131403-Wien Kledering</t>
        </is>
      </c>
      <c r="I1099" s="10" t="n">
        <v>45688.40701388889</v>
      </c>
      <c r="J1099" s="10" t="n">
        <v>45688.45766203704</v>
      </c>
      <c r="K1099" s="10" t="n">
        <v>45688.45766203704</v>
      </c>
      <c r="L1099" s="10" t="n">
        <v>45688.4587962963</v>
      </c>
      <c r="M1099" s="11">
        <f>IF(AND(ISNUMBER(E1099),ISNUMBER(G1099)),(G1099-E1099),"")</f>
        <v/>
      </c>
      <c r="N1099" s="11">
        <f>IF(AND(ISNUMBER(G1099),ISNUMBER(L1099)),(L1099-G1099),"")</f>
        <v/>
      </c>
      <c r="O1099" s="10" t="n">
        <v>45687.34181712963</v>
      </c>
      <c r="P1099" s="11">
        <f>IF(AND(ISNUMBER(I1099),ISNUMBER(O1099)),(I1099-O1099),"")</f>
        <v/>
      </c>
      <c r="Q1099" s="12" t="inlineStr">
        <is>
          <t>WG 1030311 entered track and got coupled to WG 1030003 then waited 5:01:50 for WG 1030801 to get coupled, OBTP started on 09:46:06 finished on 10:59:02 and then left at 11:00:40</t>
        </is>
      </c>
    </row>
    <row r="1100">
      <c r="A1100" s="3" t="inlineStr">
        <is>
          <t>1030312</t>
        </is>
      </c>
      <c r="B1100" s="3" t="inlineStr">
        <is>
          <t>10303</t>
        </is>
      </c>
      <c r="C1100" s="9" t="n">
        <v>39.8</v>
      </c>
      <c r="D1100" s="3" t="inlineStr">
        <is>
          <t>Wr. Neustadt Ausfahrbf (Furtenbach)</t>
        </is>
      </c>
      <c r="E1100" s="10" t="n">
        <v>45687.30241898148</v>
      </c>
      <c r="F1100" s="10" t="n">
        <v>45687.33789351852</v>
      </c>
      <c r="G1100" s="10" t="n">
        <v>45687.3394212963</v>
      </c>
      <c r="H1100" s="3" t="inlineStr">
        <is>
          <t>OBT300125081913-Wr. Neustadt Ausfahrbf (Furtenbach)</t>
        </is>
      </c>
      <c r="I1100" s="10" t="n">
        <v>45688.33234953704</v>
      </c>
      <c r="J1100" s="10" t="n">
        <v>45688.40537037037</v>
      </c>
      <c r="K1100" s="10" t="n">
        <v>45688.40537037037</v>
      </c>
      <c r="L1100" s="10" t="n">
        <v>45688.40694444445</v>
      </c>
      <c r="M1100" s="11">
        <f>IF(AND(ISNUMBER(E1100),ISNUMBER(G1100)),(G1100-E1100),"")</f>
        <v/>
      </c>
      <c r="N1100" s="11">
        <f>IF(AND(ISNUMBER(G1100),ISNUMBER(L1100)),(L1100-G1100),"")</f>
        <v/>
      </c>
      <c r="O1100" s="10" t="n">
        <v>45687.34159722222</v>
      </c>
      <c r="P1100" s="11">
        <f>IF(AND(ISNUMBER(I1100),ISNUMBER(O1100)),(I1100-O1100),"")</f>
        <v/>
      </c>
      <c r="Q1100" s="12" t="inlineStr">
        <is>
          <t>WG 1030312 entered track and got secured then waited 0:07:19 for WG 1030401 to get coupled, OBTP started on 07:58:35 finished on 09:43:44 and then left at 09:46:00</t>
        </is>
      </c>
    </row>
    <row r="1101">
      <c r="A1101" s="3" t="inlineStr">
        <is>
          <t>1030401</t>
        </is>
      </c>
      <c r="B1101" s="3" t="inlineStr">
        <is>
          <t>10304</t>
        </is>
      </c>
      <c r="C1101" s="9" t="n">
        <v>380.8200000000001</v>
      </c>
      <c r="D1101" s="3" t="inlineStr">
        <is>
          <t>Wien Kledering</t>
        </is>
      </c>
      <c r="E1101" s="10" t="n">
        <v>45687.32996527778</v>
      </c>
      <c r="F1101" s="10" t="n">
        <v>45687.34030092593</v>
      </c>
      <c r="G1101" s="10" t="n">
        <v>45687.34275462963</v>
      </c>
      <c r="H1101" s="3" t="inlineStr">
        <is>
          <t>OBT300125081913-Wr. Neustadt Ausfahrbf (Furtenbach)</t>
        </is>
      </c>
      <c r="I1101" s="10" t="n">
        <v>45688.33234953704</v>
      </c>
      <c r="J1101" s="10" t="n">
        <v>45688.40537037037</v>
      </c>
      <c r="K1101" s="10" t="n">
        <v>45688.40537037037</v>
      </c>
      <c r="L1101" s="10" t="n">
        <v>45688.40694444445</v>
      </c>
      <c r="M1101" s="11">
        <f>IF(AND(ISNUMBER(E1101),ISNUMBER(G1101)),(G1101-E1101),"")</f>
        <v/>
      </c>
      <c r="N1101" s="11">
        <f>IF(AND(ISNUMBER(G1101),ISNUMBER(L1101)),(L1101-G1101),"")</f>
        <v/>
      </c>
      <c r="O1101" s="10" t="n">
        <v>45687.34667824074</v>
      </c>
      <c r="P1101" s="11">
        <f>IF(AND(ISNUMBER(I1101),ISNUMBER(O1101)),(I1101-O1101),"")</f>
        <v/>
      </c>
      <c r="Q1101" s="12" t="inlineStr">
        <is>
          <t>WG 1030401 entered track and got coupled to WG 1030312, OBTP started on 07:58:35 finished on 09:43:44 and then left at 09:46:00</t>
        </is>
      </c>
    </row>
    <row r="1102">
      <c r="A1102" s="3" t="inlineStr">
        <is>
          <t>1030501</t>
        </is>
      </c>
      <c r="B1102" s="3" t="inlineStr">
        <is>
          <t>10305</t>
        </is>
      </c>
      <c r="C1102" s="9" t="n">
        <v>37.5</v>
      </c>
      <c r="D1102" s="3" t="inlineStr">
        <is>
          <t>St. Veit an der Glan</t>
        </is>
      </c>
      <c r="E1102" s="10" t="n">
        <v>45687.35047453704</v>
      </c>
      <c r="F1102" s="10" t="n">
        <v>45687.35827546296</v>
      </c>
      <c r="G1102" s="10" t="n">
        <v>45687.36032407408</v>
      </c>
      <c r="H1102" s="3" t="inlineStr">
        <is>
          <t>OBT300125085102-St. Veit an der Glan</t>
        </is>
      </c>
      <c r="I1102" s="10" t="n">
        <v>45688.34722222222</v>
      </c>
      <c r="J1102" s="10" t="n">
        <v>45688.36916666666</v>
      </c>
      <c r="K1102" s="10" t="n">
        <v>45688.36916666666</v>
      </c>
      <c r="L1102" s="10" t="n">
        <v>45688.36998842593</v>
      </c>
      <c r="M1102" s="11">
        <f>IF(AND(ISNUMBER(E1102),ISNUMBER(G1102)),(G1102-E1102),"")</f>
        <v/>
      </c>
      <c r="N1102" s="11">
        <f>IF(AND(ISNUMBER(G1102),ISNUMBER(L1102)),(L1102-G1102),"")</f>
        <v/>
      </c>
      <c r="O1102" s="10" t="n">
        <v>45687.36877314815</v>
      </c>
      <c r="P1102" s="11">
        <f>IF(AND(ISNUMBER(I1102),ISNUMBER(O1102)),(I1102-O1102),"")</f>
        <v/>
      </c>
      <c r="Q1102" s="12" t="inlineStr">
        <is>
          <t>WG 1030501 (already coupled to WG 1030503 from the inbound train) entered track and got coupled to WG 1029804, OBTP started on 08:20:00 finished on 08:51:36 and then left at 08:52:47</t>
        </is>
      </c>
    </row>
    <row r="1103">
      <c r="A1103" s="3" t="inlineStr">
        <is>
          <t>1030502</t>
        </is>
      </c>
      <c r="B1103" s="3" t="inlineStr">
        <is>
          <t>10305</t>
        </is>
      </c>
      <c r="C1103" s="9" t="n">
        <v>155.7</v>
      </c>
      <c r="D1103" s="3" t="inlineStr">
        <is>
          <t>Wien Kledering</t>
        </is>
      </c>
      <c r="E1103" s="10" t="n">
        <v>45687.35047453704</v>
      </c>
      <c r="F1103" s="10" t="n"/>
      <c r="G1103" s="10" t="n"/>
      <c r="H1103" s="3" t="n"/>
      <c r="I1103" s="10" t="n"/>
      <c r="J1103" s="10" t="n"/>
      <c r="K1103" s="10" t="n"/>
      <c r="L1103" s="10" t="n"/>
      <c r="M1103" s="11">
        <f>IF(AND(ISNUMBER(E1103),ISNUMBER(G1103)),(G1103-E1103),"")</f>
        <v/>
      </c>
      <c r="N1103" s="11">
        <f>IF(AND(ISNUMBER(G1103),ISNUMBER(L1103)),(L1103-G1103),"")</f>
        <v/>
      </c>
      <c r="O1103" s="10" t="n"/>
      <c r="P1103" s="11">
        <f>IF(AND(ISNUMBER(I1103),ISNUMBER(O1103)),(I1103-O1103),"")</f>
        <v/>
      </c>
      <c r="Q1103" s="12" t="n"/>
    </row>
    <row r="1104">
      <c r="A1104" s="3" t="inlineStr">
        <is>
          <t>1030503</t>
        </is>
      </c>
      <c r="B1104" s="3" t="inlineStr">
        <is>
          <t>10305</t>
        </is>
      </c>
      <c r="C1104" s="9" t="n">
        <v>19.9</v>
      </c>
      <c r="D1104" s="3" t="inlineStr">
        <is>
          <t>St. Veit an der Glan</t>
        </is>
      </c>
      <c r="E1104" s="10" t="n">
        <v>45687.35047453704</v>
      </c>
      <c r="F1104" s="10" t="n">
        <v>45687.35827546296</v>
      </c>
      <c r="G1104" s="10" t="n">
        <v>45687.36032407408</v>
      </c>
      <c r="H1104" s="3" t="inlineStr">
        <is>
          <t>OBT300125085102-St. Veit an der Glan</t>
        </is>
      </c>
      <c r="I1104" s="10" t="n">
        <v>45688.34722222222</v>
      </c>
      <c r="J1104" s="10" t="n">
        <v>45688.36916666666</v>
      </c>
      <c r="K1104" s="10" t="n">
        <v>45688.36916666666</v>
      </c>
      <c r="L1104" s="10" t="n">
        <v>45688.36998842593</v>
      </c>
      <c r="M1104" s="11">
        <f>IF(AND(ISNUMBER(E1104),ISNUMBER(G1104)),(G1104-E1104),"")</f>
        <v/>
      </c>
      <c r="N1104" s="11">
        <f>IF(AND(ISNUMBER(G1104),ISNUMBER(L1104)),(L1104-G1104),"")</f>
        <v/>
      </c>
      <c r="O1104" s="10" t="n">
        <v>45687.36877314815</v>
      </c>
      <c r="P1104" s="11">
        <f>IF(AND(ISNUMBER(I1104),ISNUMBER(O1104)),(I1104-O1104),"")</f>
        <v/>
      </c>
      <c r="Q1104" s="12" t="inlineStr">
        <is>
          <t>WG 1030503 (already coupled to WG 1030501 from the inbound train) entered track and got coupled to WG 1029804, OBTP started on 08:20:00 finished on 08:51:36 and then left at 08:52:47</t>
        </is>
      </c>
    </row>
    <row r="1105">
      <c r="A1105" s="3" t="inlineStr">
        <is>
          <t>1030601</t>
        </is>
      </c>
      <c r="B1105" s="3" t="inlineStr">
        <is>
          <t>10306</t>
        </is>
      </c>
      <c r="C1105" s="9" t="n">
        <v>135</v>
      </c>
      <c r="D1105" s="3" t="inlineStr">
        <is>
          <t>Wr. Neustadt (Hödlmayr)</t>
        </is>
      </c>
      <c r="E1105" s="10" t="n">
        <v>45687.38271990741</v>
      </c>
      <c r="F1105" s="10" t="n">
        <v>45687.39434027778</v>
      </c>
      <c r="G1105" s="10" t="n">
        <v>45687.39652777778</v>
      </c>
      <c r="H1105" s="3" t="inlineStr">
        <is>
          <t>OBT300125093406-Wr. Neustadt (Hödlmayr)</t>
        </is>
      </c>
      <c r="I1105" s="10" t="n">
        <v>45688.38344907408</v>
      </c>
      <c r="J1105" s="10" t="n">
        <v>45688.40688657408</v>
      </c>
      <c r="K1105" s="10" t="n">
        <v>45688.40694444445</v>
      </c>
      <c r="L1105" s="10" t="n">
        <v>45688.40765046296</v>
      </c>
      <c r="M1105" s="11">
        <f>IF(AND(ISNUMBER(E1105),ISNUMBER(G1105)),(G1105-E1105),"")</f>
        <v/>
      </c>
      <c r="N1105" s="11">
        <f>IF(AND(ISNUMBER(G1105),ISNUMBER(L1105)),(L1105-G1105),"")</f>
        <v/>
      </c>
      <c r="O1105" s="10" t="n">
        <v>45687.39868055555</v>
      </c>
      <c r="P1105" s="11">
        <f>IF(AND(ISNUMBER(I1105),ISNUMBER(O1105)),(I1105-O1105),"")</f>
        <v/>
      </c>
      <c r="Q1105" s="12" t="inlineStr">
        <is>
          <t>WG 1030601 entered track and got secured, OBTP started on 09:12:10 finished on 09:45:55 and then left at 09:47:01</t>
        </is>
      </c>
    </row>
    <row r="1106">
      <c r="A1106" s="3" t="inlineStr">
        <is>
          <t>1030602</t>
        </is>
      </c>
      <c r="B1106" s="3" t="inlineStr">
        <is>
          <t>10306</t>
        </is>
      </c>
      <c r="C1106" s="9" t="n">
        <v>28</v>
      </c>
      <c r="D1106" s="3" t="inlineStr">
        <is>
          <t>Wr. Neustadt (Brenntag)</t>
        </is>
      </c>
      <c r="E1106" s="10" t="n">
        <v>45687.38271990741</v>
      </c>
      <c r="F1106" s="10" t="n">
        <v>45687.39652777778</v>
      </c>
      <c r="G1106" s="10" t="n">
        <v>45687.39850694445</v>
      </c>
      <c r="H1106" s="3" t="inlineStr">
        <is>
          <t>OBT310125080145-Wr. Neustadt (Brenntag)</t>
        </is>
      </c>
      <c r="I1106" s="10" t="n">
        <v>45688.86421296297</v>
      </c>
      <c r="J1106" s="10" t="n">
        <v>45688.88429398148</v>
      </c>
      <c r="K1106" s="10" t="n">
        <v>45688.88429398148</v>
      </c>
      <c r="L1106" s="10" t="n">
        <v>45688.88511574074</v>
      </c>
      <c r="M1106" s="11">
        <f>IF(AND(ISNUMBER(E1106),ISNUMBER(G1106)),(G1106-E1106),"")</f>
        <v/>
      </c>
      <c r="N1106" s="11">
        <f>IF(AND(ISNUMBER(G1106),ISNUMBER(L1106)),(L1106-G1106),"")</f>
        <v/>
      </c>
      <c r="O1106" s="10" t="n">
        <v>45687.40087962963</v>
      </c>
      <c r="P1106" s="11">
        <f>IF(AND(ISNUMBER(I1106),ISNUMBER(O1106)),(I1106-O1106),"")</f>
        <v/>
      </c>
      <c r="Q1106" s="12" t="inlineStr">
        <is>
          <t>WG 1030602 entered track and got secured then waited 5:49:19 for WG 1031003 to get coupled then waited 16:26:39 for WG 1031907 to get coupled then waited 0:08:31 for WG 1031911 to get coupled, OBTP started on 20:44:28 finished on 21:13:23 and then left at 21:14:34</t>
        </is>
      </c>
    </row>
    <row r="1107">
      <c r="A1107" s="3" t="inlineStr">
        <is>
          <t>1030603</t>
        </is>
      </c>
      <c r="B1107" s="3" t="inlineStr">
        <is>
          <t>10306</t>
        </is>
      </c>
      <c r="C1107" s="9" t="n">
        <v>15.74</v>
      </c>
      <c r="D1107" s="3" t="inlineStr">
        <is>
          <t>Other sidings local</t>
        </is>
      </c>
      <c r="E1107" s="10" t="n">
        <v>45687.38271990741</v>
      </c>
      <c r="F1107" s="10" t="n">
        <v>45687.39850694445</v>
      </c>
      <c r="G1107" s="10" t="n">
        <v>45687.40053240741</v>
      </c>
      <c r="H1107" s="3" t="n"/>
      <c r="I1107" s="10" t="n"/>
      <c r="J1107" s="10" t="n"/>
      <c r="K1107" s="10" t="n"/>
      <c r="L1107" s="10" t="n"/>
      <c r="M1107" s="11">
        <f>IF(AND(ISNUMBER(E1107),ISNUMBER(G1107)),(G1107-E1107),"")</f>
        <v/>
      </c>
      <c r="N1107" s="11">
        <f>IF(AND(ISNUMBER(G1107),ISNUMBER(L1107)),(L1107-G1107),"")</f>
        <v/>
      </c>
      <c r="O1107" s="10" t="n">
        <v>45687.40408564815</v>
      </c>
      <c r="P1107" s="11">
        <f>IF(AND(ISNUMBER(I1107),ISNUMBER(O1107)),(I1107-O1107),"")</f>
        <v/>
      </c>
      <c r="Q1107" s="12" t="n"/>
    </row>
    <row r="1108">
      <c r="A1108" s="3" t="inlineStr">
        <is>
          <t>1030604</t>
        </is>
      </c>
      <c r="B1108" s="3" t="inlineStr">
        <is>
          <t>10306</t>
        </is>
      </c>
      <c r="C1108" s="9" t="n">
        <v>78.40000000000001</v>
      </c>
      <c r="D1108" s="3" t="inlineStr">
        <is>
          <t>Neudörfl (FunderMax)</t>
        </is>
      </c>
      <c r="E1108" s="10" t="n">
        <v>45687.38271990741</v>
      </c>
      <c r="F1108" s="10" t="n">
        <v>45687.40053240741</v>
      </c>
      <c r="G1108" s="10" t="n">
        <v>45687.40262731481</v>
      </c>
      <c r="H1108" s="3" t="inlineStr">
        <is>
          <t>OBT300125153249-Neudörfl (FunderMax)</t>
        </is>
      </c>
      <c r="I1108" s="10" t="n">
        <v>45688.45875</v>
      </c>
      <c r="J1108" s="10" t="n">
        <v>45688.48446759259</v>
      </c>
      <c r="K1108" s="10" t="n">
        <v>45688.48446759259</v>
      </c>
      <c r="L1108" s="10" t="n">
        <v>45688.48535879629</v>
      </c>
      <c r="M1108" s="11">
        <f>IF(AND(ISNUMBER(E1108),ISNUMBER(G1108)),(G1108-E1108),"")</f>
        <v/>
      </c>
      <c r="N1108" s="11">
        <f>IF(AND(ISNUMBER(G1108),ISNUMBER(L1108)),(L1108-G1108),"")</f>
        <v/>
      </c>
      <c r="O1108" s="10" t="n">
        <v>45687.405</v>
      </c>
      <c r="P1108" s="11">
        <f>IF(AND(ISNUMBER(I1108),ISNUMBER(O1108)),(I1108-O1108),"")</f>
        <v/>
      </c>
      <c r="Q1108" s="12" t="inlineStr">
        <is>
          <t>WG 1030604 entered track and got secured then waited 5:46:42 for WG 1031004 to get coupled then waited 0:02:55 for WG 1031005 to get coupled, OBTP started on 11:00:36 finished on 11:37:38 and then left at 11:38:55</t>
        </is>
      </c>
    </row>
    <row r="1109">
      <c r="A1109" s="3" t="inlineStr">
        <is>
          <t>1030605</t>
        </is>
      </c>
      <c r="B1109" s="3" t="inlineStr">
        <is>
          <t>10306</t>
        </is>
      </c>
      <c r="C1109" s="9" t="n">
        <v>35.64</v>
      </c>
      <c r="D1109" s="3" t="inlineStr">
        <is>
          <t>Other sidings north</t>
        </is>
      </c>
      <c r="E1109" s="10" t="n">
        <v>45687.38271990741</v>
      </c>
      <c r="F1109" s="10" t="n">
        <v>45687.40262731481</v>
      </c>
      <c r="G1109" s="10" t="n">
        <v>45687.40459490741</v>
      </c>
      <c r="H1109" s="3" t="inlineStr">
        <is>
          <t>OBT310125075821-Ternitz (Schoeller-Bleckmann)</t>
        </is>
      </c>
      <c r="I1109" s="10" t="n">
        <v>45688.75071759259</v>
      </c>
      <c r="J1109" s="10" t="n">
        <v>45688.77137731481</v>
      </c>
      <c r="K1109" s="10" t="n">
        <v>45688.77137731481</v>
      </c>
      <c r="L1109" s="10" t="n">
        <v>45688.77202546296</v>
      </c>
      <c r="M1109" s="11">
        <f>IF(AND(ISNUMBER(E1109),ISNUMBER(G1109)),(G1109-E1109),"")</f>
        <v/>
      </c>
      <c r="N1109" s="11">
        <f>IF(AND(ISNUMBER(G1109),ISNUMBER(L1109)),(L1109-G1109),"")</f>
        <v/>
      </c>
      <c r="O1109" s="10" t="n">
        <v>45687.40699074074</v>
      </c>
      <c r="P1109" s="11">
        <f>IF(AND(ISNUMBER(I1109),ISNUMBER(O1109)),(I1109-O1109),"")</f>
        <v/>
      </c>
      <c r="Q1109" s="12" t="inlineStr">
        <is>
          <t>WG 1030605 entered track and got secured then waited 5:35:37 for WG 1031001 to get coupled then waited 11:56:26 for WG 1031505 to get coupled then waited 4:29:34 for WG 1031904 to get coupled then waited 0:10:40 for WG 1031910 to get coupled, OBTP started on 18:01:02 finished on 18:30:47 and then left at 18:31:43</t>
        </is>
      </c>
    </row>
    <row r="1110">
      <c r="A1110" s="3" t="inlineStr">
        <is>
          <t>1030606</t>
        </is>
      </c>
      <c r="B1110" s="3" t="inlineStr">
        <is>
          <t>10306</t>
        </is>
      </c>
      <c r="C1110" s="9" t="n">
        <v>63</v>
      </c>
      <c r="D1110" s="3" t="inlineStr">
        <is>
          <t>Neunkirchen (loading tracks)</t>
        </is>
      </c>
      <c r="E1110" s="10" t="n">
        <v>45687.38271990741</v>
      </c>
      <c r="F1110" s="10" t="n"/>
      <c r="G1110" s="10" t="n"/>
      <c r="H1110" s="3" t="n"/>
      <c r="I1110" s="10" t="n"/>
      <c r="J1110" s="10" t="n"/>
      <c r="K1110" s="10" t="n"/>
      <c r="L1110" s="10" t="n"/>
      <c r="M1110" s="11">
        <f>IF(AND(ISNUMBER(E1110),ISNUMBER(G1110)),(G1110-E1110),"")</f>
        <v/>
      </c>
      <c r="N1110" s="11">
        <f>IF(AND(ISNUMBER(G1110),ISNUMBER(L1110)),(L1110-G1110),"")</f>
        <v/>
      </c>
      <c r="O1110" s="10" t="n"/>
      <c r="P1110" s="11">
        <f>IF(AND(ISNUMBER(I1110),ISNUMBER(O1110)),(I1110-O1110),"")</f>
        <v/>
      </c>
      <c r="Q1110" s="12" t="n"/>
    </row>
    <row r="1111">
      <c r="A1111" s="3" t="inlineStr">
        <is>
          <t>1030701</t>
        </is>
      </c>
      <c r="B1111" s="3" t="inlineStr">
        <is>
          <t>10307</t>
        </is>
      </c>
      <c r="C1111" s="9" t="n">
        <v>269.7</v>
      </c>
      <c r="D1111" s="3" t="inlineStr">
        <is>
          <t>Wien Kledering</t>
        </is>
      </c>
      <c r="E1111" s="10" t="n">
        <v>45687.41376157408</v>
      </c>
      <c r="F1111" s="10" t="n"/>
      <c r="G1111" s="10" t="n"/>
      <c r="H1111" s="3" t="n"/>
      <c r="I1111" s="10" t="n"/>
      <c r="J1111" s="10" t="n"/>
      <c r="K1111" s="10" t="n"/>
      <c r="L1111" s="10" t="n"/>
      <c r="M1111" s="11">
        <f>IF(AND(ISNUMBER(E1111),ISNUMBER(G1111)),(G1111-E1111),"")</f>
        <v/>
      </c>
      <c r="N1111" s="11">
        <f>IF(AND(ISNUMBER(G1111),ISNUMBER(L1111)),(L1111-G1111),"")</f>
        <v/>
      </c>
      <c r="O1111" s="10" t="n"/>
      <c r="P1111" s="11">
        <f>IF(AND(ISNUMBER(I1111),ISNUMBER(O1111)),(I1111-O1111),"")</f>
        <v/>
      </c>
      <c r="Q1111" s="12" t="n"/>
    </row>
    <row r="1112">
      <c r="A1112" s="3" t="inlineStr">
        <is>
          <t>1030702</t>
        </is>
      </c>
      <c r="B1112" s="3" t="inlineStr">
        <is>
          <t>10307</t>
        </is>
      </c>
      <c r="C1112" s="9" t="n">
        <v>19.9</v>
      </c>
      <c r="D1112" s="3" t="inlineStr">
        <is>
          <t>St. Veit an der Glan</t>
        </is>
      </c>
      <c r="E1112" s="10" t="n">
        <v>45687.41376157408</v>
      </c>
      <c r="F1112" s="10" t="n"/>
      <c r="G1112" s="10" t="n"/>
      <c r="H1112" s="3" t="n"/>
      <c r="I1112" s="10" t="n"/>
      <c r="J1112" s="10" t="n"/>
      <c r="K1112" s="10" t="n"/>
      <c r="L1112" s="10" t="n"/>
      <c r="M1112" s="11">
        <f>IF(AND(ISNUMBER(E1112),ISNUMBER(G1112)),(G1112-E1112),"")</f>
        <v/>
      </c>
      <c r="N1112" s="11">
        <f>IF(AND(ISNUMBER(G1112),ISNUMBER(L1112)),(L1112-G1112),"")</f>
        <v/>
      </c>
      <c r="O1112" s="10" t="n"/>
      <c r="P1112" s="11">
        <f>IF(AND(ISNUMBER(I1112),ISNUMBER(O1112)),(I1112-O1112),"")</f>
        <v/>
      </c>
      <c r="Q1112" s="12" t="n"/>
    </row>
    <row r="1113">
      <c r="A1113" s="3" t="inlineStr">
        <is>
          <t>1030703</t>
        </is>
      </c>
      <c r="B1113" s="3" t="inlineStr">
        <is>
          <t>10307</t>
        </is>
      </c>
      <c r="C1113" s="9" t="n">
        <v>145.54</v>
      </c>
      <c r="D1113" s="3" t="inlineStr">
        <is>
          <t>Wien Kledering</t>
        </is>
      </c>
      <c r="E1113" s="10" t="n">
        <v>45687.41376157408</v>
      </c>
      <c r="F1113" s="10" t="n"/>
      <c r="G1113" s="10" t="n"/>
      <c r="H1113" s="3" t="n"/>
      <c r="I1113" s="10" t="n"/>
      <c r="J1113" s="10" t="n"/>
      <c r="K1113" s="10" t="n"/>
      <c r="L1113" s="10" t="n"/>
      <c r="M1113" s="11">
        <f>IF(AND(ISNUMBER(E1113),ISNUMBER(G1113)),(G1113-E1113),"")</f>
        <v/>
      </c>
      <c r="N1113" s="11">
        <f>IF(AND(ISNUMBER(G1113),ISNUMBER(L1113)),(L1113-G1113),"")</f>
        <v/>
      </c>
      <c r="O1113" s="10" t="n"/>
      <c r="P1113" s="11">
        <f>IF(AND(ISNUMBER(I1113),ISNUMBER(O1113)),(I1113-O1113),"")</f>
        <v/>
      </c>
      <c r="Q1113" s="12" t="n"/>
    </row>
    <row r="1114">
      <c r="A1114" s="3" t="inlineStr">
        <is>
          <t>1030801</t>
        </is>
      </c>
      <c r="B1114" s="3" t="inlineStr">
        <is>
          <t>10308</t>
        </is>
      </c>
      <c r="C1114" s="9" t="n">
        <v>291.7</v>
      </c>
      <c r="D1114" s="3" t="inlineStr">
        <is>
          <t>Wien Kledering</t>
        </is>
      </c>
      <c r="E1114" s="10" t="n">
        <v>45687.54155092593</v>
      </c>
      <c r="F1114" s="10" t="n">
        <v>45687.54746527778</v>
      </c>
      <c r="G1114" s="10" t="n">
        <v>45687.54925925926</v>
      </c>
      <c r="H1114" s="3" t="inlineStr">
        <is>
          <t>OBT300125131403-Wien Kledering</t>
        </is>
      </c>
      <c r="I1114" s="10" t="n">
        <v>45688.40701388889</v>
      </c>
      <c r="J1114" s="10" t="n">
        <v>45688.45766203704</v>
      </c>
      <c r="K1114" s="10" t="n">
        <v>45688.45766203704</v>
      </c>
      <c r="L1114" s="10" t="n">
        <v>45688.4587962963</v>
      </c>
      <c r="M1114" s="11">
        <f>IF(AND(ISNUMBER(E1114),ISNUMBER(G1114)),(G1114-E1114),"")</f>
        <v/>
      </c>
      <c r="N1114" s="11">
        <f>IF(AND(ISNUMBER(G1114),ISNUMBER(L1114)),(L1114-G1114),"")</f>
        <v/>
      </c>
      <c r="O1114" s="10" t="n">
        <v>45687.55142361111</v>
      </c>
      <c r="P1114" s="11">
        <f>IF(AND(ISNUMBER(I1114),ISNUMBER(O1114)),(I1114-O1114),"")</f>
        <v/>
      </c>
      <c r="Q1114" s="12" t="inlineStr">
        <is>
          <t>WG 1030801 entered track and got secured, OBTP started on 09:46:06 finished on 10:59:02 and then left at 11:00:40</t>
        </is>
      </c>
    </row>
    <row r="1115">
      <c r="A1115" s="3" t="inlineStr">
        <is>
          <t>1030901</t>
        </is>
      </c>
      <c r="B1115" s="3" t="inlineStr">
        <is>
          <t>10309</t>
        </is>
      </c>
      <c r="C1115" s="9" t="n">
        <v>388.3200000000001</v>
      </c>
      <c r="D1115" s="3" t="inlineStr">
        <is>
          <t>Wien Kledering</t>
        </is>
      </c>
      <c r="E1115" s="10" t="n">
        <v>45687.60586805556</v>
      </c>
      <c r="F1115" s="10" t="n"/>
      <c r="G1115" s="10" t="n"/>
      <c r="H1115" s="3" t="n"/>
      <c r="I1115" s="10" t="n"/>
      <c r="J1115" s="10" t="n"/>
      <c r="K1115" s="10" t="n"/>
      <c r="L1115" s="10" t="n"/>
      <c r="M1115" s="11">
        <f>IF(AND(ISNUMBER(E1115),ISNUMBER(G1115)),(G1115-E1115),"")</f>
        <v/>
      </c>
      <c r="N1115" s="11">
        <f>IF(AND(ISNUMBER(G1115),ISNUMBER(L1115)),(L1115-G1115),"")</f>
        <v/>
      </c>
      <c r="O1115" s="10" t="n"/>
      <c r="P1115" s="11">
        <f>IF(AND(ISNUMBER(I1115),ISNUMBER(O1115)),(I1115-O1115),"")</f>
        <v/>
      </c>
      <c r="Q1115" s="12" t="n"/>
    </row>
    <row r="1116">
      <c r="A1116" s="3" t="inlineStr">
        <is>
          <t>1031001</t>
        </is>
      </c>
      <c r="B1116" s="3" t="inlineStr">
        <is>
          <t>10310</t>
        </is>
      </c>
      <c r="C1116" s="9" t="n">
        <v>31.94</v>
      </c>
      <c r="D1116" s="3" t="inlineStr">
        <is>
          <t>Ternitz (Schoeller-Bleckmann)</t>
        </is>
      </c>
      <c r="E1116" s="10" t="n">
        <v>45687.62118055556</v>
      </c>
      <c r="F1116" s="10" t="n">
        <v>45687.63420138889</v>
      </c>
      <c r="G1116" s="10" t="n">
        <v>45687.63614583333</v>
      </c>
      <c r="H1116" s="3" t="inlineStr">
        <is>
          <t>OBT310125075821-Ternitz (Schoeller-Bleckmann)</t>
        </is>
      </c>
      <c r="I1116" s="10" t="n">
        <v>45688.75071759259</v>
      </c>
      <c r="J1116" s="10" t="n">
        <v>45688.77137731481</v>
      </c>
      <c r="K1116" s="10" t="n">
        <v>45688.77137731481</v>
      </c>
      <c r="L1116" s="10" t="n">
        <v>45688.77202546296</v>
      </c>
      <c r="M1116" s="11">
        <f>IF(AND(ISNUMBER(E1116),ISNUMBER(G1116)),(G1116-E1116),"")</f>
        <v/>
      </c>
      <c r="N1116" s="11">
        <f>IF(AND(ISNUMBER(G1116),ISNUMBER(L1116)),(L1116-G1116),"")</f>
        <v/>
      </c>
      <c r="O1116" s="10" t="n">
        <v>45687.64005787037</v>
      </c>
      <c r="P1116" s="11">
        <f>IF(AND(ISNUMBER(I1116),ISNUMBER(O1116)),(I1116-O1116),"")</f>
        <v/>
      </c>
      <c r="Q1116" s="12" t="inlineStr">
        <is>
          <t>WG 1031001 entered track and got coupled to WG 1030605 then waited 11:56:26 for WG 1031505 to get coupled then waited 4:29:34 for WG 1031904 to get coupled then waited 0:10:40 for WG 1031910 to get coupled, OBTP started on 18:01:02 finished on 18:30:47 and then left at 18:31:43</t>
        </is>
      </c>
    </row>
    <row r="1117">
      <c r="A1117" s="3" t="inlineStr">
        <is>
          <t>1031002</t>
        </is>
      </c>
      <c r="B1117" s="3" t="inlineStr">
        <is>
          <t>10310</t>
        </is>
      </c>
      <c r="C1117" s="9" t="n">
        <v>31.48</v>
      </c>
      <c r="D1117" s="3" t="inlineStr">
        <is>
          <t>Steinabrückl/Wöllersdorf</t>
        </is>
      </c>
      <c r="E1117" s="10" t="n">
        <v>45687.62118055556</v>
      </c>
      <c r="F1117" s="10" t="n">
        <v>45687.63614583333</v>
      </c>
      <c r="G1117" s="10" t="n">
        <v>45687.63793981481</v>
      </c>
      <c r="H1117" s="3" t="inlineStr">
        <is>
          <t>OBT310125161451-Steinabrückl/Wöllersdorf</t>
        </is>
      </c>
      <c r="I1117" s="10" t="n"/>
      <c r="J1117" s="10" t="n"/>
      <c r="K1117" s="10" t="n"/>
      <c r="L1117" s="10" t="n"/>
      <c r="M1117" s="11">
        <f>IF(AND(ISNUMBER(E1117),ISNUMBER(G1117)),(G1117-E1117),"")</f>
        <v/>
      </c>
      <c r="N1117" s="11">
        <f>IF(AND(ISNUMBER(G1117),ISNUMBER(L1117)),(L1117-G1117),"")</f>
        <v/>
      </c>
      <c r="O1117" s="10" t="n">
        <v>45687.64033564815</v>
      </c>
      <c r="P1117" s="11">
        <f>IF(AND(ISNUMBER(I1117),ISNUMBER(O1117)),(I1117-O1117),"")</f>
        <v/>
      </c>
      <c r="Q1117" s="12" t="inlineStr">
        <is>
          <t>WG 1031002 entered track and got secured then waited 18:10:58 for WG 1032203 to get coupled then waited 0:06:17 for WG 1032205 to get coupled then waited 5:59:51 for WG 1032604 to get coupled then waited 0:35:40 for WG 1032707 to get coupled, OBTP started on ? finished on ? and then left at ?</t>
        </is>
      </c>
    </row>
    <row r="1118">
      <c r="A1118" s="3" t="inlineStr">
        <is>
          <t>1031003</t>
        </is>
      </c>
      <c r="B1118" s="3" t="inlineStr">
        <is>
          <t>10310</t>
        </is>
      </c>
      <c r="C1118" s="9" t="n">
        <v>14</v>
      </c>
      <c r="D1118" s="3" t="inlineStr">
        <is>
          <t>Wr. Neustadt (Brenntag)</t>
        </is>
      </c>
      <c r="E1118" s="10" t="n">
        <v>45687.62118055556</v>
      </c>
      <c r="F1118" s="10" t="n">
        <v>45687.63793981481</v>
      </c>
      <c r="G1118" s="10" t="n">
        <v>45687.63988425926</v>
      </c>
      <c r="H1118" s="3" t="inlineStr">
        <is>
          <t>OBT310125080145-Wr. Neustadt (Brenntag)</t>
        </is>
      </c>
      <c r="I1118" s="10" t="n">
        <v>45688.86421296297</v>
      </c>
      <c r="J1118" s="10" t="n">
        <v>45688.88429398148</v>
      </c>
      <c r="K1118" s="10" t="n">
        <v>45688.88429398148</v>
      </c>
      <c r="L1118" s="10" t="n">
        <v>45688.88511574074</v>
      </c>
      <c r="M1118" s="11">
        <f>IF(AND(ISNUMBER(E1118),ISNUMBER(G1118)),(G1118-E1118),"")</f>
        <v/>
      </c>
      <c r="N1118" s="11">
        <f>IF(AND(ISNUMBER(G1118),ISNUMBER(L1118)),(L1118-G1118),"")</f>
        <v/>
      </c>
      <c r="O1118" s="10" t="n">
        <v>45687.64346064815</v>
      </c>
      <c r="P1118" s="11">
        <f>IF(AND(ISNUMBER(I1118),ISNUMBER(O1118)),(I1118-O1118),"")</f>
        <v/>
      </c>
      <c r="Q1118" s="12" t="inlineStr">
        <is>
          <t>WG 1031003 entered track and got coupled to WG 1030602 then waited 16:26:39 for WG 1031907 to get coupled then waited 0:08:31 for WG 1031911 to get coupled, OBTP started on 20:44:28 finished on 21:13:23 and then left at 21:14:34</t>
        </is>
      </c>
    </row>
    <row r="1119">
      <c r="A1119" s="3" t="inlineStr">
        <is>
          <t>1031004</t>
        </is>
      </c>
      <c r="B1119" s="3" t="inlineStr">
        <is>
          <t>10310</t>
        </is>
      </c>
      <c r="C1119" s="9" t="n">
        <v>15.74</v>
      </c>
      <c r="D1119" s="3" t="inlineStr">
        <is>
          <t>Obereggendorf (Hofer)</t>
        </is>
      </c>
      <c r="E1119" s="10" t="n">
        <v>45687.62118055556</v>
      </c>
      <c r="F1119" s="10" t="n">
        <v>45687.63988425926</v>
      </c>
      <c r="G1119" s="10" t="n">
        <v>45687.64184027778</v>
      </c>
      <c r="H1119" s="3" t="inlineStr">
        <is>
          <t>OBT300125153249-Neudörfl (FunderMax)</t>
        </is>
      </c>
      <c r="I1119" s="10" t="n">
        <v>45688.45875</v>
      </c>
      <c r="J1119" s="10" t="n">
        <v>45688.48446759259</v>
      </c>
      <c r="K1119" s="10" t="n">
        <v>45688.48446759259</v>
      </c>
      <c r="L1119" s="10" t="n">
        <v>45688.48535879629</v>
      </c>
      <c r="M1119" s="11">
        <f>IF(AND(ISNUMBER(E1119),ISNUMBER(G1119)),(G1119-E1119),"")</f>
        <v/>
      </c>
      <c r="N1119" s="11">
        <f>IF(AND(ISNUMBER(G1119),ISNUMBER(L1119)),(L1119-G1119),"")</f>
        <v/>
      </c>
      <c r="O1119" s="10" t="n">
        <v>45687.64576388889</v>
      </c>
      <c r="P1119" s="11">
        <f>IF(AND(ISNUMBER(I1119),ISNUMBER(O1119)),(I1119-O1119),"")</f>
        <v/>
      </c>
      <c r="Q1119" s="12" t="inlineStr">
        <is>
          <t>WG 1031004 entered track and got coupled to WG 1030604 then waited 0:02:55 for WG 1031005 to get coupled, OBTP started on 11:00:36 finished on 11:37:38 and then left at 11:38:55</t>
        </is>
      </c>
    </row>
    <row r="1120">
      <c r="A1120" s="3" t="inlineStr">
        <is>
          <t>1031005</t>
        </is>
      </c>
      <c r="B1120" s="3" t="inlineStr">
        <is>
          <t>10310</t>
        </is>
      </c>
      <c r="C1120" s="9" t="n">
        <v>54</v>
      </c>
      <c r="D1120" s="3" t="inlineStr">
        <is>
          <t>Neudörfl (FunderMax)</t>
        </is>
      </c>
      <c r="E1120" s="10" t="n">
        <v>45687.62118055556</v>
      </c>
      <c r="F1120" s="10" t="n">
        <v>45687.64184027778</v>
      </c>
      <c r="G1120" s="10" t="n">
        <v>45687.64388888889</v>
      </c>
      <c r="H1120" s="3" t="inlineStr">
        <is>
          <t>OBT300125153249-Neudörfl (FunderMax)</t>
        </is>
      </c>
      <c r="I1120" s="10" t="n">
        <v>45688.45875</v>
      </c>
      <c r="J1120" s="10" t="n">
        <v>45688.48446759259</v>
      </c>
      <c r="K1120" s="10" t="n">
        <v>45688.48446759259</v>
      </c>
      <c r="L1120" s="10" t="n">
        <v>45688.48535879629</v>
      </c>
      <c r="M1120" s="11">
        <f>IF(AND(ISNUMBER(E1120),ISNUMBER(G1120)),(G1120-E1120),"")</f>
        <v/>
      </c>
      <c r="N1120" s="11">
        <f>IF(AND(ISNUMBER(G1120),ISNUMBER(L1120)),(L1120-G1120),"")</f>
        <v/>
      </c>
      <c r="O1120" s="10" t="n">
        <v>45687.64778935185</v>
      </c>
      <c r="P1120" s="11">
        <f>IF(AND(ISNUMBER(I1120),ISNUMBER(O1120)),(I1120-O1120),"")</f>
        <v/>
      </c>
      <c r="Q1120" s="12" t="inlineStr">
        <is>
          <t>WG 1031005 entered track and got coupled to WG 1031004, OBTP started on 11:00:36 finished on 11:37:38 and then left at 11:38:55</t>
        </is>
      </c>
    </row>
    <row r="1121">
      <c r="A1121" s="3" t="inlineStr">
        <is>
          <t>1031006</t>
        </is>
      </c>
      <c r="B1121" s="3" t="inlineStr">
        <is>
          <t>10310</t>
        </is>
      </c>
      <c r="C1121" s="9" t="n">
        <v>23.24</v>
      </c>
      <c r="D1121" s="3" t="inlineStr">
        <is>
          <t>Pitten (Hamburger)</t>
        </is>
      </c>
      <c r="E1121" s="10" t="n">
        <v>45687.62118055556</v>
      </c>
      <c r="F1121" s="10" t="n"/>
      <c r="G1121" s="10" t="n"/>
      <c r="H1121" s="3" t="n"/>
      <c r="I1121" s="10" t="n"/>
      <c r="J1121" s="10" t="n"/>
      <c r="K1121" s="10" t="n"/>
      <c r="L1121" s="10" t="n"/>
      <c r="M1121" s="11">
        <f>IF(AND(ISNUMBER(E1121),ISNUMBER(G1121)),(G1121-E1121),"")</f>
        <v/>
      </c>
      <c r="N1121" s="11">
        <f>IF(AND(ISNUMBER(G1121),ISNUMBER(L1121)),(L1121-G1121),"")</f>
        <v/>
      </c>
      <c r="O1121" s="10" t="n"/>
      <c r="P1121" s="11">
        <f>IF(AND(ISNUMBER(I1121),ISNUMBER(O1121)),(I1121-O1121),"")</f>
        <v/>
      </c>
      <c r="Q1121" s="12" t="n"/>
    </row>
    <row r="1122">
      <c r="A1122" s="3" t="inlineStr">
        <is>
          <t>1031007</t>
        </is>
      </c>
      <c r="B1122" s="3" t="inlineStr">
        <is>
          <t>10310</t>
        </is>
      </c>
      <c r="C1122" s="9" t="n">
        <v>43.14</v>
      </c>
      <c r="D1122" s="3" t="inlineStr">
        <is>
          <t>Other sidings south</t>
        </is>
      </c>
      <c r="E1122" s="10" t="n">
        <v>45687.62118055556</v>
      </c>
      <c r="F1122" s="10" t="n">
        <v>45687.64388888889</v>
      </c>
      <c r="G1122" s="10" t="n">
        <v>45687.6456712963</v>
      </c>
      <c r="H1122" s="3" t="inlineStr">
        <is>
          <t>OBT300125153454-Other sidings south</t>
        </is>
      </c>
      <c r="I1122" s="10" t="n">
        <v>45688.53015046296</v>
      </c>
      <c r="J1122" s="10" t="n">
        <v>45688.55475694445</v>
      </c>
      <c r="K1122" s="10" t="n">
        <v>45688.55475694445</v>
      </c>
      <c r="L1122" s="10" t="n">
        <v>45688.55568287037</v>
      </c>
      <c r="M1122" s="11">
        <f>IF(AND(ISNUMBER(E1122),ISNUMBER(G1122)),(G1122-E1122),"")</f>
        <v/>
      </c>
      <c r="N1122" s="11">
        <f>IF(AND(ISNUMBER(G1122),ISNUMBER(L1122)),(L1122-G1122),"")</f>
        <v/>
      </c>
      <c r="O1122" s="10" t="n">
        <v>45687.64923611111</v>
      </c>
      <c r="P1122" s="11">
        <f>IF(AND(ISNUMBER(I1122),ISNUMBER(O1122)),(I1122-O1122),"")</f>
        <v/>
      </c>
      <c r="Q1122" s="12" t="inlineStr">
        <is>
          <t>WG 1031007 entered track and got coupled to WG 1030306, OBTP started on 12:43:25 finished on 13:18:51 and then left at 13:20:11</t>
        </is>
      </c>
    </row>
    <row r="1123">
      <c r="A1123" s="3" t="inlineStr">
        <is>
          <t>1031008</t>
        </is>
      </c>
      <c r="B1123" s="3" t="inlineStr">
        <is>
          <t>10310</t>
        </is>
      </c>
      <c r="C1123" s="9" t="n">
        <v>54</v>
      </c>
      <c r="D1123" s="3" t="inlineStr">
        <is>
          <t>Wr. Neustadt (Hödlmayr)</t>
        </is>
      </c>
      <c r="E1123" s="10" t="n">
        <v>45687.62118055556</v>
      </c>
      <c r="F1123" s="10" t="n">
        <v>45687.6456712963</v>
      </c>
      <c r="G1123" s="10" t="n">
        <v>45687.64767361111</v>
      </c>
      <c r="H1123" s="3" t="inlineStr">
        <is>
          <t>OBT300125204557-Wien Kledering</t>
        </is>
      </c>
      <c r="I1123" s="10" t="n">
        <v>45688.65584490741</v>
      </c>
      <c r="J1123" s="10" t="n">
        <v>45688.7233912037</v>
      </c>
      <c r="K1123" s="10" t="n">
        <v>45688.7233912037</v>
      </c>
      <c r="L1123" s="10" t="n">
        <v>45688.7246875</v>
      </c>
      <c r="M1123" s="11">
        <f>IF(AND(ISNUMBER(E1123),ISNUMBER(G1123)),(G1123-E1123),"")</f>
        <v/>
      </c>
      <c r="N1123" s="11">
        <f>IF(AND(ISNUMBER(G1123),ISNUMBER(L1123)),(L1123-G1123),"")</f>
        <v/>
      </c>
      <c r="O1123" s="10" t="n">
        <v>45687.65006944445</v>
      </c>
      <c r="P1123" s="11">
        <f>IF(AND(ISNUMBER(I1123),ISNUMBER(O1123)),(I1123-O1123),"")</f>
        <v/>
      </c>
      <c r="Q1123" s="12" t="inlineStr">
        <is>
          <t>WG 1031008 entered track and got secured then waited 5:09:51 for WG 1031401 to get coupled, OBTP started on 15:44:25 finished on 17:21:41 and then left at 17:23:33</t>
        </is>
      </c>
    </row>
    <row r="1124">
      <c r="A1124" s="3" t="inlineStr">
        <is>
          <t>1031101</t>
        </is>
      </c>
      <c r="B1124" s="3" t="inlineStr">
        <is>
          <t>10311</t>
        </is>
      </c>
      <c r="C1124" s="9" t="n">
        <v>15.74</v>
      </c>
      <c r="D1124" s="3" t="inlineStr">
        <is>
          <t>Wien Kledering</t>
        </is>
      </c>
      <c r="E1124" s="10" t="n">
        <v>45687.64900462963</v>
      </c>
      <c r="F1124" s="10" t="n">
        <v>45687.65278935185</v>
      </c>
      <c r="G1124" s="10" t="n">
        <v>45687.65430555555</v>
      </c>
      <c r="H1124" s="3" t="inlineStr">
        <is>
          <t>OBT300125200005-Wien Kledering</t>
        </is>
      </c>
      <c r="I1124" s="10" t="n">
        <v>45688.60199074074</v>
      </c>
      <c r="J1124" s="10" t="n">
        <v>45688.63364583333</v>
      </c>
      <c r="K1124" s="10" t="n">
        <v>45688.63364583333</v>
      </c>
      <c r="L1124" s="10" t="n">
        <v>45688.63453703704</v>
      </c>
      <c r="M1124" s="11">
        <f>IF(AND(ISNUMBER(E1124),ISNUMBER(G1124)),(G1124-E1124),"")</f>
        <v/>
      </c>
      <c r="N1124" s="11">
        <f>IF(AND(ISNUMBER(G1124),ISNUMBER(L1124)),(L1124-G1124),"")</f>
        <v/>
      </c>
      <c r="O1124" s="10" t="n">
        <v>45687.65667824074</v>
      </c>
      <c r="P1124" s="11">
        <f>IF(AND(ISNUMBER(I1124),ISNUMBER(O1124)),(I1124-O1124),"")</f>
        <v/>
      </c>
      <c r="Q1124" s="12" t="inlineStr">
        <is>
          <t>WG 1031101 entered track and got secured then waited 1:49:36 for WG 1031201 to get coupled then waited 2:24:52 for WG 1031301 to get coupled, OBTP started on 14:26:52 finished on 15:12:27 and then left at 15:13:44</t>
        </is>
      </c>
    </row>
    <row r="1125">
      <c r="A1125" s="3" t="inlineStr">
        <is>
          <t>1031201</t>
        </is>
      </c>
      <c r="B1125" s="3" t="inlineStr">
        <is>
          <t>10312</t>
        </is>
      </c>
      <c r="C1125" s="9" t="n">
        <v>47.22</v>
      </c>
      <c r="D1125" s="3" t="inlineStr">
        <is>
          <t>Wien Kledering</t>
        </is>
      </c>
      <c r="E1125" s="10" t="n">
        <v>45687.72502314814</v>
      </c>
      <c r="F1125" s="10" t="n">
        <v>45687.72903935185</v>
      </c>
      <c r="G1125" s="10" t="n">
        <v>45687.730625</v>
      </c>
      <c r="H1125" s="3" t="inlineStr">
        <is>
          <t>OBT300125200005-Wien Kledering</t>
        </is>
      </c>
      <c r="I1125" s="10" t="n">
        <v>45688.60199074074</v>
      </c>
      <c r="J1125" s="10" t="n">
        <v>45688.63364583333</v>
      </c>
      <c r="K1125" s="10" t="n">
        <v>45688.63364583333</v>
      </c>
      <c r="L1125" s="10" t="n">
        <v>45688.63453703704</v>
      </c>
      <c r="M1125" s="11">
        <f>IF(AND(ISNUMBER(E1125),ISNUMBER(G1125)),(G1125-E1125),"")</f>
        <v/>
      </c>
      <c r="N1125" s="11">
        <f>IF(AND(ISNUMBER(G1125),ISNUMBER(L1125)),(L1125-G1125),"")</f>
        <v/>
      </c>
      <c r="O1125" s="10" t="n">
        <v>45687.73278935185</v>
      </c>
      <c r="P1125" s="11">
        <f>IF(AND(ISNUMBER(I1125),ISNUMBER(O1125)),(I1125-O1125),"")</f>
        <v/>
      </c>
      <c r="Q1125" s="12" t="inlineStr">
        <is>
          <t>WG 1031201 entered track and got secured then waited 2:24:52 for WG 1031301 to get coupled, OBTP started on 14:26:52 finished on 15:12:27 and then left at 15:13:44</t>
        </is>
      </c>
    </row>
    <row r="1126">
      <c r="A1126" s="3" t="inlineStr">
        <is>
          <t>1031301</t>
        </is>
      </c>
      <c r="B1126" s="3" t="inlineStr">
        <is>
          <t>10313</t>
        </is>
      </c>
      <c r="C1126" s="9" t="n">
        <v>135.14</v>
      </c>
      <c r="D1126" s="3" t="inlineStr">
        <is>
          <t>Wien Kledering</t>
        </is>
      </c>
      <c r="E1126" s="10" t="n">
        <v>45687.82320601852</v>
      </c>
      <c r="F1126" s="10" t="n">
        <v>45687.82803240741</v>
      </c>
      <c r="G1126" s="10" t="n">
        <v>45687.82946759259</v>
      </c>
      <c r="H1126" s="3" t="inlineStr">
        <is>
          <t>OBT300125200005-Wien Kledering</t>
        </is>
      </c>
      <c r="I1126" s="10" t="n">
        <v>45688.60199074074</v>
      </c>
      <c r="J1126" s="10" t="n">
        <v>45688.63364583333</v>
      </c>
      <c r="K1126" s="10" t="n">
        <v>45688.63364583333</v>
      </c>
      <c r="L1126" s="10" t="n">
        <v>45688.63453703704</v>
      </c>
      <c r="M1126" s="11">
        <f>IF(AND(ISNUMBER(E1126),ISNUMBER(G1126)),(G1126-E1126),"")</f>
        <v/>
      </c>
      <c r="N1126" s="11">
        <f>IF(AND(ISNUMBER(G1126),ISNUMBER(L1126)),(L1126-G1126),"")</f>
        <v/>
      </c>
      <c r="O1126" s="10" t="n">
        <v>45687.83339120371</v>
      </c>
      <c r="P1126" s="11">
        <f>IF(AND(ISNUMBER(I1126),ISNUMBER(O1126)),(I1126-O1126),"")</f>
        <v/>
      </c>
      <c r="Q1126" s="12" t="inlineStr">
        <is>
          <t>WG 1031301 entered track and got coupled to WG 1031201, OBTP started on 14:26:52 finished on 15:12:27 and then left at 15:13:44</t>
        </is>
      </c>
    </row>
    <row r="1127">
      <c r="A1127" s="3" t="inlineStr">
        <is>
          <t>1031401</t>
        </is>
      </c>
      <c r="B1127" s="3" t="inlineStr">
        <is>
          <t>10314</t>
        </is>
      </c>
      <c r="C1127" s="9" t="n">
        <v>389.0600000000001</v>
      </c>
      <c r="D1127" s="3" t="inlineStr">
        <is>
          <t>Wien Kledering</t>
        </is>
      </c>
      <c r="E1127" s="10" t="n">
        <v>45687.85340277778</v>
      </c>
      <c r="F1127" s="10" t="n">
        <v>45687.86008101852</v>
      </c>
      <c r="G1127" s="10" t="n">
        <v>45687.86284722222</v>
      </c>
      <c r="H1127" s="3" t="inlineStr">
        <is>
          <t>OBT300125204557-Wien Kledering</t>
        </is>
      </c>
      <c r="I1127" s="10" t="n">
        <v>45688.65584490741</v>
      </c>
      <c r="J1127" s="10" t="n">
        <v>45688.7233912037</v>
      </c>
      <c r="K1127" s="10" t="n">
        <v>45688.7233912037</v>
      </c>
      <c r="L1127" s="10" t="n">
        <v>45688.7246875</v>
      </c>
      <c r="M1127" s="11">
        <f>IF(AND(ISNUMBER(E1127),ISNUMBER(G1127)),(G1127-E1127),"")</f>
        <v/>
      </c>
      <c r="N1127" s="11">
        <f>IF(AND(ISNUMBER(G1127),ISNUMBER(L1127)),(L1127-G1127),"")</f>
        <v/>
      </c>
      <c r="O1127" s="10" t="n">
        <v>45687.86524305555</v>
      </c>
      <c r="P1127" s="11">
        <f>IF(AND(ISNUMBER(I1127),ISNUMBER(O1127)),(I1127-O1127),"")</f>
        <v/>
      </c>
      <c r="Q1127" s="12" t="inlineStr">
        <is>
          <t>WG 1031401 entered track and got secured, OBTP started on 15:44:25 finished on 17:21:41 and then left at 17:23:33</t>
        </is>
      </c>
    </row>
    <row r="1128">
      <c r="A1128" s="3" t="inlineStr">
        <is>
          <t>1031501</t>
        </is>
      </c>
      <c r="B1128" s="3" t="inlineStr">
        <is>
          <t>10315</t>
        </is>
      </c>
      <c r="C1128" s="9" t="n">
        <v>15.74</v>
      </c>
      <c r="D1128" s="3" t="inlineStr">
        <is>
          <t>Gloggnitz</t>
        </is>
      </c>
      <c r="E1128" s="10" t="n">
        <v>45688.11768518519</v>
      </c>
      <c r="F1128" s="10" t="n">
        <v>45688.12766203703</v>
      </c>
      <c r="G1128" s="10" t="n">
        <v>45688.12881944444</v>
      </c>
      <c r="H1128" s="3" t="inlineStr">
        <is>
          <t>OBT310125142730-Wien Kledering</t>
        </is>
      </c>
      <c r="I1128" s="10" t="n"/>
      <c r="J1128" s="10" t="n"/>
      <c r="K1128" s="10" t="n"/>
      <c r="L1128" s="10" t="n"/>
      <c r="M1128" s="11">
        <f>IF(AND(ISNUMBER(E1128),ISNUMBER(G1128)),(G1128-E1128),"")</f>
        <v/>
      </c>
      <c r="N1128" s="11">
        <f>IF(AND(ISNUMBER(G1128),ISNUMBER(L1128)),(L1128-G1128),"")</f>
        <v/>
      </c>
      <c r="O1128" s="10" t="n">
        <v>45688.13121527778</v>
      </c>
      <c r="P1128" s="11">
        <f>IF(AND(ISNUMBER(I1128),ISNUMBER(O1128)),(I1128-O1128),"")</f>
        <v/>
      </c>
      <c r="Q1128" s="12" t="inlineStr">
        <is>
          <t>WG 1031501 entered track and got secured then waited 0:08:50 for WG 1031504 to get coupled then waited 11:09:43 for WG 1032501 to get coupled, OBTP started on ? finished on ? and then left at ?</t>
        </is>
      </c>
    </row>
    <row r="1129">
      <c r="A1129" s="3" t="inlineStr">
        <is>
          <t>1031502</t>
        </is>
      </c>
      <c r="B1129" s="3" t="inlineStr">
        <is>
          <t>10315</t>
        </is>
      </c>
      <c r="C1129" s="9" t="n">
        <v>81.8</v>
      </c>
      <c r="D1129" s="3" t="inlineStr">
        <is>
          <t>Neunkirchen (loading tracks)</t>
        </is>
      </c>
      <c r="E1129" s="10" t="n">
        <v>45688.11768518519</v>
      </c>
      <c r="F1129" s="10" t="n">
        <v>45688.12881944444</v>
      </c>
      <c r="G1129" s="10" t="n">
        <v>45688.13069444444</v>
      </c>
      <c r="H1129" s="3" t="inlineStr">
        <is>
          <t>OBT310125075536-Neunkirchen (loading tracks)</t>
        </is>
      </c>
      <c r="I1129" s="10" t="n">
        <v>45688.74189814815</v>
      </c>
      <c r="J1129" s="10" t="n">
        <v>45688.78085648148</v>
      </c>
      <c r="K1129" s="10" t="n">
        <v>45688.78085648148</v>
      </c>
      <c r="L1129" s="10" t="n">
        <v>45688.78188657408</v>
      </c>
      <c r="M1129" s="11">
        <f>IF(AND(ISNUMBER(E1129),ISNUMBER(G1129)),(G1129-E1129),"")</f>
        <v/>
      </c>
      <c r="N1129" s="11">
        <f>IF(AND(ISNUMBER(G1129),ISNUMBER(L1129)),(L1129-G1129),"")</f>
        <v/>
      </c>
      <c r="O1129" s="10" t="n">
        <v>45688.13288194445</v>
      </c>
      <c r="P1129" s="11">
        <f>IF(AND(ISNUMBER(I1129),ISNUMBER(O1129)),(I1129-O1129),"")</f>
        <v/>
      </c>
      <c r="Q1129" s="12" t="inlineStr">
        <is>
          <t>WG 1031502 entered track and got secured then waited 4:44:15 for WG 1031908 to get coupled, OBTP started on 17:48:20 finished on 18:44:26 and then left at 18:45:55</t>
        </is>
      </c>
    </row>
    <row r="1130">
      <c r="A1130" s="3" t="inlineStr">
        <is>
          <t>1031503</t>
        </is>
      </c>
      <c r="B1130" s="3" t="inlineStr">
        <is>
          <t>10315</t>
        </is>
      </c>
      <c r="C1130" s="9" t="n">
        <v>54.72</v>
      </c>
      <c r="D1130" s="3" t="inlineStr">
        <is>
          <t>Other sidings south</t>
        </is>
      </c>
      <c r="E1130" s="10" t="n">
        <v>45688.11768518519</v>
      </c>
      <c r="F1130" s="10" t="n">
        <v>45688.13069444444</v>
      </c>
      <c r="G1130" s="10" t="n">
        <v>45688.13229166667</v>
      </c>
      <c r="H1130" s="3" t="inlineStr">
        <is>
          <t>OBT310125162356-Other sidings south</t>
        </is>
      </c>
      <c r="I1130" s="10" t="n"/>
      <c r="J1130" s="10" t="n"/>
      <c r="K1130" s="10" t="n"/>
      <c r="L1130" s="10" t="n"/>
      <c r="M1130" s="11">
        <f>IF(AND(ISNUMBER(E1130),ISNUMBER(G1130)),(G1130-E1130),"")</f>
        <v/>
      </c>
      <c r="N1130" s="11">
        <f>IF(AND(ISNUMBER(G1130),ISNUMBER(L1130)),(L1130-G1130),"")</f>
        <v/>
      </c>
      <c r="O1130" s="10" t="n">
        <v>45688.1346875</v>
      </c>
      <c r="P1130" s="11">
        <f>IF(AND(ISNUMBER(I1130),ISNUMBER(O1130)),(I1130-O1130),"")</f>
        <v/>
      </c>
      <c r="Q1130" s="12" t="inlineStr">
        <is>
          <t>WG 1031503 entered track and got secured then waited 6:29:28 for WG 1032206 to get coupled then waited 6:40:31 for WG 1032711 to get coupled, OBTP started on ? finished on ? and then left at ?</t>
        </is>
      </c>
    </row>
    <row r="1131">
      <c r="A1131" s="3" t="inlineStr">
        <is>
          <t>1031504</t>
        </is>
      </c>
      <c r="B1131" s="3" t="inlineStr">
        <is>
          <t>10315</t>
        </is>
      </c>
      <c r="C1131" s="9" t="n">
        <v>15.74</v>
      </c>
      <c r="D1131" s="3" t="inlineStr">
        <is>
          <t>Gloggnitz</t>
        </is>
      </c>
      <c r="E1131" s="10" t="n">
        <v>45688.11768518519</v>
      </c>
      <c r="F1131" s="10" t="n">
        <v>45688.13229166667</v>
      </c>
      <c r="G1131" s="10" t="n">
        <v>45688.13344907408</v>
      </c>
      <c r="H1131" s="3" t="inlineStr">
        <is>
          <t>OBT310125142730-Wien Kledering</t>
        </is>
      </c>
      <c r="I1131" s="10" t="n"/>
      <c r="J1131" s="10" t="n"/>
      <c r="K1131" s="10" t="n"/>
      <c r="L1131" s="10" t="n"/>
      <c r="M1131" s="11">
        <f>IF(AND(ISNUMBER(E1131),ISNUMBER(G1131)),(G1131-E1131),"")</f>
        <v/>
      </c>
      <c r="N1131" s="11">
        <f>IF(AND(ISNUMBER(G1131),ISNUMBER(L1131)),(L1131-G1131),"")</f>
        <v/>
      </c>
      <c r="O1131" s="10" t="n">
        <v>45688.13734953704</v>
      </c>
      <c r="P1131" s="11">
        <f>IF(AND(ISNUMBER(I1131),ISNUMBER(O1131)),(I1131-O1131),"")</f>
        <v/>
      </c>
      <c r="Q1131" s="12" t="inlineStr">
        <is>
          <t>WG 1031504 entered track and got coupled to WG 1031501 then waited 11:09:43 for WG 1032501 to get coupled, OBTP started on ? finished on ? and then left at ?</t>
        </is>
      </c>
    </row>
    <row r="1132">
      <c r="A1132" s="3" t="inlineStr">
        <is>
          <t>1031505</t>
        </is>
      </c>
      <c r="B1132" s="3" t="inlineStr">
        <is>
          <t>10315</t>
        </is>
      </c>
      <c r="C1132" s="9" t="n">
        <v>31.94</v>
      </c>
      <c r="D1132" s="3" t="inlineStr">
        <is>
          <t>Ternitz (Schoeller-Bleckmann)</t>
        </is>
      </c>
      <c r="E1132" s="10" t="n">
        <v>45688.11768518519</v>
      </c>
      <c r="F1132" s="10" t="n">
        <v>45688.13344907408</v>
      </c>
      <c r="G1132" s="10" t="n">
        <v>45688.13540509259</v>
      </c>
      <c r="H1132" s="3" t="inlineStr">
        <is>
          <t>OBT310125075821-Ternitz (Schoeller-Bleckmann)</t>
        </is>
      </c>
      <c r="I1132" s="10" t="n">
        <v>45688.75071759259</v>
      </c>
      <c r="J1132" s="10" t="n">
        <v>45688.77137731481</v>
      </c>
      <c r="K1132" s="10" t="n">
        <v>45688.77137731481</v>
      </c>
      <c r="L1132" s="10" t="n">
        <v>45688.77202546296</v>
      </c>
      <c r="M1132" s="11">
        <f>IF(AND(ISNUMBER(E1132),ISNUMBER(G1132)),(G1132-E1132),"")</f>
        <v/>
      </c>
      <c r="N1132" s="11">
        <f>IF(AND(ISNUMBER(G1132),ISNUMBER(L1132)),(L1132-G1132),"")</f>
        <v/>
      </c>
      <c r="O1132" s="10" t="n">
        <v>45688.13758101852</v>
      </c>
      <c r="P1132" s="11">
        <f>IF(AND(ISNUMBER(I1132),ISNUMBER(O1132)),(I1132-O1132),"")</f>
        <v/>
      </c>
      <c r="Q1132" s="12" t="inlineStr">
        <is>
          <t>WG 1031505 entered track and got secured then waited 4:29:34 for WG 1031904 to get coupled then waited 0:10:40 for WG 1031910 to get coupled, OBTP started on 18:01:02 finished on 18:30:47 and then left at 18:31:43</t>
        </is>
      </c>
    </row>
    <row r="1133">
      <c r="A1133" s="3" t="inlineStr">
        <is>
          <t>1031601</t>
        </is>
      </c>
      <c r="B1133" s="3" t="inlineStr">
        <is>
          <t>10316</t>
        </is>
      </c>
      <c r="C1133" s="9" t="n">
        <v>238.6</v>
      </c>
      <c r="D1133" s="3" t="inlineStr">
        <is>
          <t>Neudörfl (FunderMax)</t>
        </is>
      </c>
      <c r="E1133" s="10" t="n">
        <v>45688.18710648148</v>
      </c>
      <c r="F1133" s="10" t="n"/>
      <c r="G1133" s="10" t="n"/>
      <c r="H1133" s="3" t="n"/>
      <c r="I1133" s="10" t="n"/>
      <c r="J1133" s="10" t="n"/>
      <c r="K1133" s="10" t="n"/>
      <c r="L1133" s="10" t="n"/>
      <c r="M1133" s="11">
        <f>IF(AND(ISNUMBER(E1133),ISNUMBER(G1133)),(G1133-E1133),"")</f>
        <v/>
      </c>
      <c r="N1133" s="11">
        <f>IF(AND(ISNUMBER(G1133),ISNUMBER(L1133)),(L1133-G1133),"")</f>
        <v/>
      </c>
      <c r="O1133" s="10" t="n"/>
      <c r="P1133" s="11">
        <f>IF(AND(ISNUMBER(I1133),ISNUMBER(O1133)),(I1133-O1133),"")</f>
        <v/>
      </c>
      <c r="Q1133" s="12" t="n"/>
    </row>
    <row r="1134">
      <c r="A1134" s="3" t="inlineStr">
        <is>
          <t>1031701</t>
        </is>
      </c>
      <c r="B1134" s="3" t="inlineStr">
        <is>
          <t>10317</t>
        </is>
      </c>
      <c r="C1134" s="9" t="n">
        <v>297</v>
      </c>
      <c r="D1134" s="3" t="inlineStr">
        <is>
          <t>Wien Kledering</t>
        </is>
      </c>
      <c r="E1134" s="10" t="n">
        <v>45688.24981481482</v>
      </c>
      <c r="F1134" s="10" t="n">
        <v>45688.25605324074</v>
      </c>
      <c r="G1134" s="10" t="n">
        <v>45688.25797453704</v>
      </c>
      <c r="H1134" s="3" t="inlineStr">
        <is>
          <t>OBT310125061436-Wien Kledering</t>
        </is>
      </c>
      <c r="I1134" s="10" t="n">
        <v>45688.65667824074</v>
      </c>
      <c r="J1134" s="10" t="n">
        <v>45688.70824074074</v>
      </c>
      <c r="K1134" s="10" t="n">
        <v>45688.70824074074</v>
      </c>
      <c r="L1134" s="10" t="n">
        <v>45688.70936342593</v>
      </c>
      <c r="M1134" s="11">
        <f>IF(AND(ISNUMBER(E1134),ISNUMBER(G1134)),(G1134-E1134),"")</f>
        <v/>
      </c>
      <c r="N1134" s="11">
        <f>IF(AND(ISNUMBER(G1134),ISNUMBER(L1134)),(L1134-G1134),"")</f>
        <v/>
      </c>
      <c r="O1134" s="10" t="n">
        <v>45688.26013888889</v>
      </c>
      <c r="P1134" s="11">
        <f>IF(AND(ISNUMBER(I1134),ISNUMBER(O1134)),(I1134-O1134),"")</f>
        <v/>
      </c>
      <c r="Q1134" s="12" t="inlineStr">
        <is>
          <t>WG 1031701 entered track and got secured, OBTP started on 15:45:37 finished on 16:59:52 and then left at 17:01:29</t>
        </is>
      </c>
    </row>
    <row r="1135">
      <c r="A1135" s="3" t="inlineStr">
        <is>
          <t>1031801</t>
        </is>
      </c>
      <c r="B1135" s="3" t="inlineStr">
        <is>
          <t>10318</t>
        </is>
      </c>
      <c r="C1135" s="9" t="n">
        <v>74.62</v>
      </c>
      <c r="D1135" s="3" t="inlineStr">
        <is>
          <t>Wien Kledering</t>
        </is>
      </c>
      <c r="E1135" s="10" t="n">
        <v>45688.29295138889</v>
      </c>
      <c r="F1135" s="10" t="n">
        <v>45688.2971875</v>
      </c>
      <c r="G1135" s="10" t="n">
        <v>45688.29923611111</v>
      </c>
      <c r="H1135" s="3" t="inlineStr">
        <is>
          <t>OBT310125074214-Wien Kledering</t>
        </is>
      </c>
      <c r="I1135" s="10" t="n">
        <v>45688.68502314815</v>
      </c>
      <c r="J1135" s="10" t="n">
        <v>45688.71672453704</v>
      </c>
      <c r="K1135" s="10" t="n">
        <v>45688.71672453704</v>
      </c>
      <c r="L1135" s="10" t="n">
        <v>45688.7175462963</v>
      </c>
      <c r="M1135" s="11">
        <f>IF(AND(ISNUMBER(E1135),ISNUMBER(G1135)),(G1135-E1135),"")</f>
        <v/>
      </c>
      <c r="N1135" s="11">
        <f>IF(AND(ISNUMBER(G1135),ISNUMBER(L1135)),(L1135-G1135),"")</f>
        <v/>
      </c>
      <c r="O1135" s="10" t="n">
        <v>45688.30163194444</v>
      </c>
      <c r="P1135" s="11">
        <f>IF(AND(ISNUMBER(I1135),ISNUMBER(O1135)),(I1135-O1135),"")</f>
        <v/>
      </c>
      <c r="Q1135" s="12" t="inlineStr">
        <is>
          <t>WG 1031801 entered track and got secured then waited 0:27:53 for WG 1031902 to get coupled, OBTP started on 16:26:26 finished on 17:12:05 and then left at 17:13:16</t>
        </is>
      </c>
    </row>
    <row r="1136">
      <c r="A1136" s="3" t="inlineStr">
        <is>
          <t>1031901</t>
        </is>
      </c>
      <c r="B1136" s="3" t="inlineStr">
        <is>
          <t>10319</t>
        </is>
      </c>
      <c r="C1136" s="9" t="n">
        <v>37.5</v>
      </c>
      <c r="D1136" s="3" t="inlineStr">
        <is>
          <t>Neudörfl (FunderMax)</t>
        </is>
      </c>
      <c r="E1136" s="10" t="n">
        <v>45688.29658564815</v>
      </c>
      <c r="F1136" s="10" t="n">
        <v>45688.31392361111</v>
      </c>
      <c r="G1136" s="10" t="n">
        <v>45688.31533564815</v>
      </c>
      <c r="H1136" s="3" t="inlineStr">
        <is>
          <t>OBT310125155832-Neudörfl (FunderMax)</t>
        </is>
      </c>
      <c r="I1136" s="10" t="n"/>
      <c r="J1136" s="10" t="n"/>
      <c r="K1136" s="10" t="n"/>
      <c r="L1136" s="10" t="n"/>
      <c r="M1136" s="11">
        <f>IF(AND(ISNUMBER(E1136),ISNUMBER(G1136)),(G1136-E1136),"")</f>
        <v/>
      </c>
      <c r="N1136" s="11">
        <f>IF(AND(ISNUMBER(G1136),ISNUMBER(L1136)),(L1136-G1136),"")</f>
        <v/>
      </c>
      <c r="O1136" s="10" t="n">
        <v>45688.31770833334</v>
      </c>
      <c r="P1136" s="11">
        <f>IF(AND(ISNUMBER(I1136),ISNUMBER(O1136)),(I1136-O1136),"")</f>
        <v/>
      </c>
      <c r="Q1136" s="12" t="inlineStr">
        <is>
          <t>WG 1031901 entered track and got secured then waited 0:07:19 for WG 1031903 to get coupled then waited 8:13:43 for WG 1032702 to get coupled, OBTP started on ? finished on ? and then left at ?</t>
        </is>
      </c>
    </row>
    <row r="1137">
      <c r="A1137" s="3" t="inlineStr">
        <is>
          <t>1031902</t>
        </is>
      </c>
      <c r="B1137" s="3" t="inlineStr">
        <is>
          <t>10319</t>
        </is>
      </c>
      <c r="C1137" s="9" t="n">
        <v>108</v>
      </c>
      <c r="D1137" s="3" t="inlineStr">
        <is>
          <t>Wr. Neustadt (Hödlmayr)</t>
        </is>
      </c>
      <c r="E1137" s="10" t="n">
        <v>45688.29658564815</v>
      </c>
      <c r="F1137" s="10" t="n">
        <v>45688.31533564815</v>
      </c>
      <c r="G1137" s="10" t="n">
        <v>45688.31743055556</v>
      </c>
      <c r="H1137" s="3" t="inlineStr">
        <is>
          <t>OBT310125074214-Wien Kledering</t>
        </is>
      </c>
      <c r="I1137" s="10" t="n">
        <v>45688.68502314815</v>
      </c>
      <c r="J1137" s="10" t="n">
        <v>45688.71672453704</v>
      </c>
      <c r="K1137" s="10" t="n">
        <v>45688.71672453704</v>
      </c>
      <c r="L1137" s="10" t="n">
        <v>45688.7175462963</v>
      </c>
      <c r="M1137" s="11">
        <f>IF(AND(ISNUMBER(E1137),ISNUMBER(G1137)),(G1137-E1137),"")</f>
        <v/>
      </c>
      <c r="N1137" s="11">
        <f>IF(AND(ISNUMBER(G1137),ISNUMBER(L1137)),(L1137-G1137),"")</f>
        <v/>
      </c>
      <c r="O1137" s="10" t="n">
        <v>45688.32099537037</v>
      </c>
      <c r="P1137" s="11">
        <f>IF(AND(ISNUMBER(I1137),ISNUMBER(O1137)),(I1137-O1137),"")</f>
        <v/>
      </c>
      <c r="Q1137" s="12" t="inlineStr">
        <is>
          <t>WG 1031902 entered track and got coupled to WG 1031801, OBTP started on 16:26:26 finished on 17:12:05 and then left at 17:13:16</t>
        </is>
      </c>
    </row>
    <row r="1138">
      <c r="A1138" s="3" t="inlineStr">
        <is>
          <t>1031903</t>
        </is>
      </c>
      <c r="B1138" s="3" t="inlineStr">
        <is>
          <t>10319</t>
        </is>
      </c>
      <c r="C1138" s="9" t="n">
        <v>58.5</v>
      </c>
      <c r="D1138" s="3" t="inlineStr">
        <is>
          <t>Neudörfl (FunderMax)</t>
        </is>
      </c>
      <c r="E1138" s="10" t="n">
        <v>45688.29658564815</v>
      </c>
      <c r="F1138" s="10" t="n">
        <v>45688.31743055556</v>
      </c>
      <c r="G1138" s="10" t="n">
        <v>45688.31888888889</v>
      </c>
      <c r="H1138" s="3" t="inlineStr">
        <is>
          <t>OBT310125155832-Neudörfl (FunderMax)</t>
        </is>
      </c>
      <c r="I1138" s="10" t="n"/>
      <c r="J1138" s="10" t="n"/>
      <c r="K1138" s="10" t="n"/>
      <c r="L1138" s="10" t="n"/>
      <c r="M1138" s="11">
        <f>IF(AND(ISNUMBER(E1138),ISNUMBER(G1138)),(G1138-E1138),"")</f>
        <v/>
      </c>
      <c r="N1138" s="11">
        <f>IF(AND(ISNUMBER(G1138),ISNUMBER(L1138)),(L1138-G1138),"")</f>
        <v/>
      </c>
      <c r="O1138" s="10" t="n">
        <v>45688.32278935185</v>
      </c>
      <c r="P1138" s="11">
        <f>IF(AND(ISNUMBER(I1138),ISNUMBER(O1138)),(I1138-O1138),"")</f>
        <v/>
      </c>
      <c r="Q1138" s="12" t="inlineStr">
        <is>
          <t>WG 1031903 entered track and got coupled to WG 1031901 then waited 8:13:43 for WG 1032702 to get coupled, OBTP started on ? finished on ? and then left at ?</t>
        </is>
      </c>
    </row>
    <row r="1139">
      <c r="A1139" s="3" t="inlineStr">
        <is>
          <t>1031904</t>
        </is>
      </c>
      <c r="B1139" s="3" t="inlineStr">
        <is>
          <t>10319</t>
        </is>
      </c>
      <c r="C1139" s="9" t="n">
        <v>67.12</v>
      </c>
      <c r="D1139" s="3" t="inlineStr">
        <is>
          <t>Other sidings north</t>
        </is>
      </c>
      <c r="E1139" s="10" t="n">
        <v>45688.29658564815</v>
      </c>
      <c r="F1139" s="10" t="n">
        <v>45688.31888888889</v>
      </c>
      <c r="G1139" s="10" t="n">
        <v>45688.3208912037</v>
      </c>
      <c r="H1139" s="3" t="inlineStr">
        <is>
          <t>OBT310125075821-Ternitz (Schoeller-Bleckmann)</t>
        </is>
      </c>
      <c r="I1139" s="10" t="n">
        <v>45688.75071759259</v>
      </c>
      <c r="J1139" s="10" t="n">
        <v>45688.77137731481</v>
      </c>
      <c r="K1139" s="10" t="n">
        <v>45688.77137731481</v>
      </c>
      <c r="L1139" s="10" t="n">
        <v>45688.77202546296</v>
      </c>
      <c r="M1139" s="11">
        <f>IF(AND(ISNUMBER(E1139),ISNUMBER(G1139)),(G1139-E1139),"")</f>
        <v/>
      </c>
      <c r="N1139" s="11">
        <f>IF(AND(ISNUMBER(G1139),ISNUMBER(L1139)),(L1139-G1139),"")</f>
        <v/>
      </c>
      <c r="O1139" s="10" t="n">
        <v>45688.32478009259</v>
      </c>
      <c r="P1139" s="11">
        <f>IF(AND(ISNUMBER(I1139),ISNUMBER(O1139)),(I1139-O1139),"")</f>
        <v/>
      </c>
      <c r="Q1139" s="12" t="inlineStr">
        <is>
          <t>WG 1031904 entered track and got coupled to WG 1031505 then waited 0:10:40 for WG 1031910 to get coupled, OBTP started on 18:01:02 finished on 18:30:47 and then left at 18:31:43</t>
        </is>
      </c>
    </row>
    <row r="1140">
      <c r="A1140" s="3" t="inlineStr">
        <is>
          <t>1031905</t>
        </is>
      </c>
      <c r="B1140" s="3" t="inlineStr">
        <is>
          <t>10319</t>
        </is>
      </c>
      <c r="C1140" s="9" t="n">
        <v>15.74</v>
      </c>
      <c r="D1140" s="3" t="inlineStr">
        <is>
          <t>Obereggendorf (Hofer)</t>
        </is>
      </c>
      <c r="E1140" s="10" t="n">
        <v>45688.29658564815</v>
      </c>
      <c r="F1140" s="10" t="n">
        <v>45688.3208912037</v>
      </c>
      <c r="G1140" s="10" t="n">
        <v>45688.3228125</v>
      </c>
      <c r="H1140" s="3" t="inlineStr">
        <is>
          <t>OBT310125155632-Pitten (Hamburger)</t>
        </is>
      </c>
      <c r="I1140" s="10" t="n"/>
      <c r="J1140" s="10" t="n"/>
      <c r="K1140" s="10" t="n"/>
      <c r="L1140" s="10" t="n"/>
      <c r="M1140" s="11">
        <f>IF(AND(ISNUMBER(E1140),ISNUMBER(G1140)),(G1140-E1140),"")</f>
        <v/>
      </c>
      <c r="N1140" s="11">
        <f>IF(AND(ISNUMBER(G1140),ISNUMBER(L1140)),(L1140-G1140),"")</f>
        <v/>
      </c>
      <c r="O1140" s="10" t="n">
        <v>45688.325</v>
      </c>
      <c r="P1140" s="11">
        <f>IF(AND(ISNUMBER(I1140),ISNUMBER(O1140)),(I1140-O1140),"")</f>
        <v/>
      </c>
      <c r="Q1140" s="12" t="inlineStr">
        <is>
          <t>WG 1031905 entered track and got secured then waited 1:40:50 for WG 1032201 to get coupled then waited 0:16:46 for WG 1032208 to get coupled then waited 5:49:23 for WG 1032603 to get coupled then waited 0:12:33 for WG 1032607 to get coupled then waited 0:09:00 for WG 1032701 to get coupled, OBTP started on ? finished on ? and then left at ?</t>
        </is>
      </c>
    </row>
    <row r="1141">
      <c r="A1141" s="3" t="inlineStr">
        <is>
          <t>1031906</t>
        </is>
      </c>
      <c r="B1141" s="3" t="inlineStr">
        <is>
          <t>10319</t>
        </is>
      </c>
      <c r="C1141" s="9" t="n">
        <v>15.74</v>
      </c>
      <c r="D1141" s="3" t="inlineStr">
        <is>
          <t>Pitten (Hamburger)</t>
        </is>
      </c>
      <c r="E1141" s="10" t="n">
        <v>45688.29658564815</v>
      </c>
      <c r="F1141" s="10" t="n"/>
      <c r="G1141" s="10" t="n"/>
      <c r="H1141" s="3" t="n"/>
      <c r="I1141" s="10" t="n"/>
      <c r="J1141" s="10" t="n"/>
      <c r="K1141" s="10" t="n"/>
      <c r="L1141" s="10" t="n"/>
      <c r="M1141" s="11">
        <f>IF(AND(ISNUMBER(E1141),ISNUMBER(G1141)),(G1141-E1141),"")</f>
        <v/>
      </c>
      <c r="N1141" s="11">
        <f>IF(AND(ISNUMBER(G1141),ISNUMBER(L1141)),(L1141-G1141),"")</f>
        <v/>
      </c>
      <c r="O1141" s="10" t="n"/>
      <c r="P1141" s="11">
        <f>IF(AND(ISNUMBER(I1141),ISNUMBER(O1141)),(I1141-O1141),"")</f>
        <v/>
      </c>
      <c r="Q1141" s="12" t="n"/>
    </row>
    <row r="1142">
      <c r="A1142" s="3" t="inlineStr">
        <is>
          <t>1031907</t>
        </is>
      </c>
      <c r="B1142" s="3" t="inlineStr">
        <is>
          <t>10319</t>
        </is>
      </c>
      <c r="C1142" s="9" t="n">
        <v>14</v>
      </c>
      <c r="D1142" s="3" t="inlineStr">
        <is>
          <t>Wr. Neustadt (Brenntag)</t>
        </is>
      </c>
      <c r="E1142" s="10" t="n">
        <v>45688.29658564815</v>
      </c>
      <c r="F1142" s="10" t="n">
        <v>45688.3228125</v>
      </c>
      <c r="G1142" s="10" t="n">
        <v>45688.3247337963</v>
      </c>
      <c r="H1142" s="3" t="inlineStr">
        <is>
          <t>OBT310125080145-Wr. Neustadt (Brenntag)</t>
        </is>
      </c>
      <c r="I1142" s="10" t="n">
        <v>45688.86421296297</v>
      </c>
      <c r="J1142" s="10" t="n">
        <v>45688.88429398148</v>
      </c>
      <c r="K1142" s="10" t="n">
        <v>45688.88429398148</v>
      </c>
      <c r="L1142" s="10" t="n">
        <v>45688.88511574074</v>
      </c>
      <c r="M1142" s="11">
        <f>IF(AND(ISNUMBER(E1142),ISNUMBER(G1142)),(G1142-E1142),"")</f>
        <v/>
      </c>
      <c r="N1142" s="11">
        <f>IF(AND(ISNUMBER(G1142),ISNUMBER(L1142)),(L1142-G1142),"")</f>
        <v/>
      </c>
      <c r="O1142" s="10" t="n">
        <v>45688.32863425926</v>
      </c>
      <c r="P1142" s="11">
        <f>IF(AND(ISNUMBER(I1142),ISNUMBER(O1142)),(I1142-O1142),"")</f>
        <v/>
      </c>
      <c r="Q1142" s="12" t="inlineStr">
        <is>
          <t>WG 1031907 entered track and got coupled to WG 1031003 then waited 0:08:31 for WG 1031911 to get coupled, OBTP started on 20:44:28 finished on 21:13:23 and then left at 21:14:34</t>
        </is>
      </c>
    </row>
    <row r="1143">
      <c r="A1143" s="3" t="inlineStr">
        <is>
          <t>1031908</t>
        </is>
      </c>
      <c r="B1143" s="3" t="inlineStr">
        <is>
          <t>10319</t>
        </is>
      </c>
      <c r="C1143" s="9" t="n">
        <v>142.6</v>
      </c>
      <c r="D1143" s="3" t="inlineStr">
        <is>
          <t>Neunkirchen (loading tracks)</t>
        </is>
      </c>
      <c r="E1143" s="10" t="n">
        <v>45688.29658564815</v>
      </c>
      <c r="F1143" s="10" t="n">
        <v>45688.3247337963</v>
      </c>
      <c r="G1143" s="10" t="n">
        <v>45688.32672453704</v>
      </c>
      <c r="H1143" s="3" t="inlineStr">
        <is>
          <t>OBT310125075536-Neunkirchen (loading tracks)</t>
        </is>
      </c>
      <c r="I1143" s="10" t="n">
        <v>45688.74189814815</v>
      </c>
      <c r="J1143" s="10" t="n">
        <v>45688.78085648148</v>
      </c>
      <c r="K1143" s="10" t="n">
        <v>45688.78085648148</v>
      </c>
      <c r="L1143" s="10" t="n">
        <v>45688.78188657408</v>
      </c>
      <c r="M1143" s="11">
        <f>IF(AND(ISNUMBER(E1143),ISNUMBER(G1143)),(G1143-E1143),"")</f>
        <v/>
      </c>
      <c r="N1143" s="11">
        <f>IF(AND(ISNUMBER(G1143),ISNUMBER(L1143)),(L1143-G1143),"")</f>
        <v/>
      </c>
      <c r="O1143" s="10" t="n">
        <v>45688.33027777778</v>
      </c>
      <c r="P1143" s="11">
        <f>IF(AND(ISNUMBER(I1143),ISNUMBER(O1143)),(I1143-O1143),"")</f>
        <v/>
      </c>
      <c r="Q1143" s="12" t="inlineStr">
        <is>
          <t>WG 1031908 entered track and got coupled to WG 1031502, OBTP started on 17:48:20 finished on 18:44:26 and then left at 18:45:55</t>
        </is>
      </c>
    </row>
    <row r="1144">
      <c r="A1144" s="3" t="inlineStr">
        <is>
          <t>1031909</t>
        </is>
      </c>
      <c r="B1144" s="3" t="inlineStr">
        <is>
          <t>10319</t>
        </is>
      </c>
      <c r="C1144" s="9" t="n">
        <v>46.48</v>
      </c>
      <c r="D1144" s="3" t="inlineStr">
        <is>
          <t>Pitten (Hamburger)</t>
        </is>
      </c>
      <c r="E1144" s="10" t="n">
        <v>45688.29658564815</v>
      </c>
      <c r="F1144" s="10" t="n"/>
      <c r="G1144" s="10" t="n"/>
      <c r="H1144" s="3" t="n"/>
      <c r="I1144" s="10" t="n"/>
      <c r="J1144" s="10" t="n"/>
      <c r="K1144" s="10" t="n"/>
      <c r="L1144" s="10" t="n"/>
      <c r="M1144" s="11">
        <f>IF(AND(ISNUMBER(E1144),ISNUMBER(G1144)),(G1144-E1144),"")</f>
        <v/>
      </c>
      <c r="N1144" s="11">
        <f>IF(AND(ISNUMBER(G1144),ISNUMBER(L1144)),(L1144-G1144),"")</f>
        <v/>
      </c>
      <c r="O1144" s="10" t="n"/>
      <c r="P1144" s="11">
        <f>IF(AND(ISNUMBER(I1144),ISNUMBER(O1144)),(I1144-O1144),"")</f>
        <v/>
      </c>
      <c r="Q1144" s="12" t="n"/>
    </row>
    <row r="1145">
      <c r="A1145" s="3" t="inlineStr">
        <is>
          <t>1031910</t>
        </is>
      </c>
      <c r="B1145" s="3" t="inlineStr">
        <is>
          <t>10319</t>
        </is>
      </c>
      <c r="C1145" s="9" t="n">
        <v>19.9</v>
      </c>
      <c r="D1145" s="3" t="inlineStr">
        <is>
          <t>Ternitz (Schoeller-Bleckmann)</t>
        </is>
      </c>
      <c r="E1145" s="10" t="n">
        <v>45688.29658564815</v>
      </c>
      <c r="F1145" s="10" t="n">
        <v>45688.32672453704</v>
      </c>
      <c r="G1145" s="10" t="n">
        <v>45688.32862268519</v>
      </c>
      <c r="H1145" s="3" t="inlineStr">
        <is>
          <t>OBT310125075821-Ternitz (Schoeller-Bleckmann)</t>
        </is>
      </c>
      <c r="I1145" s="10" t="n">
        <v>45688.75071759259</v>
      </c>
      <c r="J1145" s="10" t="n">
        <v>45688.77137731481</v>
      </c>
      <c r="K1145" s="10" t="n">
        <v>45688.77137731481</v>
      </c>
      <c r="L1145" s="10" t="n">
        <v>45688.77202546296</v>
      </c>
      <c r="M1145" s="11">
        <f>IF(AND(ISNUMBER(E1145),ISNUMBER(G1145)),(G1145-E1145),"")</f>
        <v/>
      </c>
      <c r="N1145" s="11">
        <f>IF(AND(ISNUMBER(G1145),ISNUMBER(L1145)),(L1145-G1145),"")</f>
        <v/>
      </c>
      <c r="O1145" s="10" t="n">
        <v>45688.3321875</v>
      </c>
      <c r="P1145" s="11">
        <f>IF(AND(ISNUMBER(I1145),ISNUMBER(O1145)),(I1145-O1145),"")</f>
        <v/>
      </c>
      <c r="Q1145" s="12" t="inlineStr">
        <is>
          <t>WG 1031910 entered track and got coupled to WG 1031904, OBTP started on 18:01:02 finished on 18:30:47 and then left at 18:31:43</t>
        </is>
      </c>
    </row>
    <row r="1146">
      <c r="A1146" s="3" t="inlineStr">
        <is>
          <t>1031911</t>
        </is>
      </c>
      <c r="B1146" s="3" t="inlineStr">
        <is>
          <t>10319</t>
        </is>
      </c>
      <c r="C1146" s="9" t="n">
        <v>59.7</v>
      </c>
      <c r="D1146" s="3" t="inlineStr">
        <is>
          <t>Felixdorf/Sollenau (Bundesheer, Maba)</t>
        </is>
      </c>
      <c r="E1146" s="10" t="n">
        <v>45688.29658564815</v>
      </c>
      <c r="F1146" s="10" t="n">
        <v>45688.32862268519</v>
      </c>
      <c r="G1146" s="10" t="n">
        <v>45688.33064814815</v>
      </c>
      <c r="H1146" s="3" t="inlineStr">
        <is>
          <t>OBT310125080145-Wr. Neustadt (Brenntag)</t>
        </is>
      </c>
      <c r="I1146" s="10" t="n">
        <v>45688.86421296297</v>
      </c>
      <c r="J1146" s="10" t="n">
        <v>45688.88429398148</v>
      </c>
      <c r="K1146" s="10" t="n">
        <v>45688.88429398148</v>
      </c>
      <c r="L1146" s="10" t="n">
        <v>45688.88511574074</v>
      </c>
      <c r="M1146" s="11">
        <f>IF(AND(ISNUMBER(E1146),ISNUMBER(G1146)),(G1146-E1146),"")</f>
        <v/>
      </c>
      <c r="N1146" s="11">
        <f>IF(AND(ISNUMBER(G1146),ISNUMBER(L1146)),(L1146-G1146),"")</f>
        <v/>
      </c>
      <c r="O1146" s="10" t="n">
        <v>45688.33454861111</v>
      </c>
      <c r="P1146" s="11">
        <f>IF(AND(ISNUMBER(I1146),ISNUMBER(O1146)),(I1146-O1146),"")</f>
        <v/>
      </c>
      <c r="Q1146" s="12" t="inlineStr">
        <is>
          <t>WG 1031911 entered track and got coupled to WG 1031907, OBTP started on 20:44:28 finished on 21:13:23 and then left at 21:14:34</t>
        </is>
      </c>
    </row>
    <row r="1147">
      <c r="A1147" s="3" t="inlineStr">
        <is>
          <t>1032001</t>
        </is>
      </c>
      <c r="B1147" s="3" t="inlineStr">
        <is>
          <t>10320</t>
        </is>
      </c>
      <c r="C1147" s="9" t="n">
        <v>381.5600000000001</v>
      </c>
      <c r="D1147" s="3" t="inlineStr">
        <is>
          <t>Wien Kledering</t>
        </is>
      </c>
      <c r="E1147" s="10" t="n">
        <v>45688.33626157408</v>
      </c>
      <c r="F1147" s="10" t="n">
        <v>45688.34271990741</v>
      </c>
      <c r="G1147" s="10" t="n">
        <v>45688.34548611111</v>
      </c>
      <c r="H1147" s="3" t="inlineStr">
        <is>
          <t>OBT310125082055-Wien Kledering</t>
        </is>
      </c>
      <c r="I1147" s="10" t="n"/>
      <c r="J1147" s="10" t="n"/>
      <c r="K1147" s="10" t="n"/>
      <c r="L1147" s="10" t="n"/>
      <c r="M1147" s="11">
        <f>IF(AND(ISNUMBER(E1147),ISNUMBER(G1147)),(G1147-E1147),"")</f>
        <v/>
      </c>
      <c r="N1147" s="11">
        <f>IF(AND(ISNUMBER(G1147),ISNUMBER(L1147)),(L1147-G1147),"")</f>
        <v/>
      </c>
      <c r="O1147" s="10" t="n">
        <v>45688.3478587963</v>
      </c>
      <c r="P1147" s="11">
        <f>IF(AND(ISNUMBER(I1147),ISNUMBER(O1147)),(I1147-O1147),"")</f>
        <v/>
      </c>
      <c r="Q1147" s="12" t="inlineStr">
        <is>
          <t>WG 1032001 entered track and got secured, OBTP started on ? finished on ? and then left at ?</t>
        </is>
      </c>
    </row>
    <row r="1148">
      <c r="A1148" s="3" t="inlineStr">
        <is>
          <t>1032101</t>
        </is>
      </c>
      <c r="B1148" s="3" t="inlineStr">
        <is>
          <t>10321</t>
        </is>
      </c>
      <c r="C1148" s="9" t="n">
        <v>164.3</v>
      </c>
      <c r="D1148" s="3" t="inlineStr">
        <is>
          <t>Wien Kledering</t>
        </is>
      </c>
      <c r="E1148" s="10" t="n">
        <v>45688.37148148148</v>
      </c>
      <c r="F1148" s="10" t="n">
        <v>45688.37804398148</v>
      </c>
      <c r="G1148" s="10" t="n">
        <v>45688.38030092593</v>
      </c>
      <c r="H1148" s="3" t="inlineStr">
        <is>
          <t>OBT310125091105-Wien Kledering</t>
        </is>
      </c>
      <c r="I1148" s="10" t="n"/>
      <c r="J1148" s="10" t="n"/>
      <c r="K1148" s="10" t="n"/>
      <c r="L1148" s="10" t="n"/>
      <c r="M1148" s="11">
        <f>IF(AND(ISNUMBER(E1148),ISNUMBER(G1148)),(G1148-E1148),"")</f>
        <v/>
      </c>
      <c r="N1148" s="11">
        <f>IF(AND(ISNUMBER(G1148),ISNUMBER(L1148)),(L1148-G1148),"")</f>
        <v/>
      </c>
      <c r="O1148" s="10" t="n">
        <v>45688.38269675926</v>
      </c>
      <c r="P1148" s="11">
        <f>IF(AND(ISNUMBER(I1148),ISNUMBER(O1148)),(I1148-O1148),"")</f>
        <v/>
      </c>
      <c r="Q1148" s="12" t="inlineStr">
        <is>
          <t>WG 1032101 entered track and got secured, OBTP started on ? finished on ? and then left at ?</t>
        </is>
      </c>
    </row>
    <row r="1149">
      <c r="A1149" s="3" t="inlineStr">
        <is>
          <t>1032102</t>
        </is>
      </c>
      <c r="B1149" s="3" t="inlineStr">
        <is>
          <t>10321</t>
        </is>
      </c>
      <c r="C1149" s="9" t="n">
        <v>72.8</v>
      </c>
      <c r="D1149" s="3" t="inlineStr">
        <is>
          <t>St. Veit an der Glan</t>
        </is>
      </c>
      <c r="E1149" s="10" t="n">
        <v>45688.37148148148</v>
      </c>
      <c r="F1149" s="10" t="n">
        <v>45688.38030092593</v>
      </c>
      <c r="G1149" s="10" t="n">
        <v>45688.38171296296</v>
      </c>
      <c r="H1149" s="3" t="inlineStr">
        <is>
          <t>OBT310125110109-St. Veit an der Glan</t>
        </is>
      </c>
      <c r="I1149" s="10" t="n"/>
      <c r="J1149" s="10" t="n"/>
      <c r="K1149" s="10" t="n"/>
      <c r="L1149" s="10" t="n"/>
      <c r="M1149" s="11">
        <f>IF(AND(ISNUMBER(E1149),ISNUMBER(G1149)),(G1149-E1149),"")</f>
        <v/>
      </c>
      <c r="N1149" s="11">
        <f>IF(AND(ISNUMBER(G1149),ISNUMBER(L1149)),(L1149-G1149),"")</f>
        <v/>
      </c>
      <c r="O1149" s="10" t="n">
        <v>45688.38390046296</v>
      </c>
      <c r="P1149" s="11">
        <f>IF(AND(ISNUMBER(I1149),ISNUMBER(O1149)),(I1149-O1149),"")</f>
        <v/>
      </c>
      <c r="Q1149" s="12" t="inlineStr">
        <is>
          <t>WG 1032102 entered track and got secured then waited 1:48:20 for WG 1032302 to get coupled, OBTP started on ? finished on ? and then left at ?</t>
        </is>
      </c>
    </row>
    <row r="1150">
      <c r="A1150" s="3" t="inlineStr">
        <is>
          <t>1032201</t>
        </is>
      </c>
      <c r="B1150" s="3" t="inlineStr">
        <is>
          <t>10322</t>
        </is>
      </c>
      <c r="C1150" s="9" t="n">
        <v>46.48</v>
      </c>
      <c r="D1150" s="3" t="inlineStr">
        <is>
          <t>Pitten (Hamburger)</t>
        </is>
      </c>
      <c r="E1150" s="10" t="n">
        <v>45688.37666666666</v>
      </c>
      <c r="F1150" s="10" t="n">
        <v>45688.39063657408</v>
      </c>
      <c r="G1150" s="10" t="n">
        <v>45688.39262731482</v>
      </c>
      <c r="H1150" s="3" t="inlineStr">
        <is>
          <t>OBT310125155632-Pitten (Hamburger)</t>
        </is>
      </c>
      <c r="I1150" s="10" t="n"/>
      <c r="J1150" s="10" t="n"/>
      <c r="K1150" s="10" t="n"/>
      <c r="L1150" s="10" t="n"/>
      <c r="M1150" s="11">
        <f>IF(AND(ISNUMBER(E1150),ISNUMBER(G1150)),(G1150-E1150),"")</f>
        <v/>
      </c>
      <c r="N1150" s="11">
        <f>IF(AND(ISNUMBER(G1150),ISNUMBER(L1150)),(L1150-G1150),"")</f>
        <v/>
      </c>
      <c r="O1150" s="10" t="n">
        <v>45688.39502314815</v>
      </c>
      <c r="P1150" s="11">
        <f>IF(AND(ISNUMBER(I1150),ISNUMBER(O1150)),(I1150-O1150),"")</f>
        <v/>
      </c>
      <c r="Q1150" s="12" t="inlineStr">
        <is>
          <t>WG 1032201 entered track and got secured then waited 0:16:46 for WG 1032208 to get coupled then waited 5:49:23 for WG 1032603 to get coupled then waited 0:12:33 for WG 1032607 to get coupled then waited 0:09:00 for WG 1032701 to get coupled, OBTP started on ? finished on ? and then left at ?</t>
        </is>
      </c>
    </row>
    <row r="1151">
      <c r="A1151" s="3" t="inlineStr">
        <is>
          <t>1032202</t>
        </is>
      </c>
      <c r="B1151" s="3" t="inlineStr">
        <is>
          <t>10322</t>
        </is>
      </c>
      <c r="C1151" s="9" t="n">
        <v>39.8</v>
      </c>
      <c r="D1151" s="3" t="inlineStr">
        <is>
          <t>Neunkirchen (loading tracks)</t>
        </is>
      </c>
      <c r="E1151" s="10" t="n">
        <v>45688.37666666666</v>
      </c>
      <c r="F1151" s="10" t="n"/>
      <c r="G1151" s="10" t="n"/>
      <c r="H1151" s="3" t="n"/>
      <c r="I1151" s="10" t="n"/>
      <c r="J1151" s="10" t="n"/>
      <c r="K1151" s="10" t="n"/>
      <c r="L1151" s="10" t="n"/>
      <c r="M1151" s="11">
        <f>IF(AND(ISNUMBER(E1151),ISNUMBER(G1151)),(G1151-E1151),"")</f>
        <v/>
      </c>
      <c r="N1151" s="11">
        <f>IF(AND(ISNUMBER(G1151),ISNUMBER(L1151)),(L1151-G1151),"")</f>
        <v/>
      </c>
      <c r="O1151" s="10" t="n"/>
      <c r="P1151" s="11">
        <f>IF(AND(ISNUMBER(I1151),ISNUMBER(O1151)),(I1151-O1151),"")</f>
        <v/>
      </c>
      <c r="Q1151" s="12" t="n"/>
    </row>
    <row r="1152">
      <c r="A1152" s="3" t="inlineStr">
        <is>
          <t>1032203</t>
        </is>
      </c>
      <c r="B1152" s="3" t="inlineStr">
        <is>
          <t>10322</t>
        </is>
      </c>
      <c r="C1152" s="9" t="n">
        <v>31.48</v>
      </c>
      <c r="D1152" s="3" t="inlineStr">
        <is>
          <t>Steinabrückl/Wöllersdorf</t>
        </is>
      </c>
      <c r="E1152" s="10" t="n">
        <v>45688.37666666666</v>
      </c>
      <c r="F1152" s="10" t="n">
        <v>45688.39262731482</v>
      </c>
      <c r="G1152" s="10" t="n">
        <v>45688.39438657407</v>
      </c>
      <c r="H1152" s="3" t="inlineStr">
        <is>
          <t>OBT310125161451-Steinabrückl/Wöllersdorf</t>
        </is>
      </c>
      <c r="I1152" s="10" t="n"/>
      <c r="J1152" s="10" t="n"/>
      <c r="K1152" s="10" t="n"/>
      <c r="L1152" s="10" t="n"/>
      <c r="M1152" s="11">
        <f>IF(AND(ISNUMBER(E1152),ISNUMBER(G1152)),(G1152-E1152),"")</f>
        <v/>
      </c>
      <c r="N1152" s="11">
        <f>IF(AND(ISNUMBER(G1152),ISNUMBER(L1152)),(L1152-G1152),"")</f>
        <v/>
      </c>
      <c r="O1152" s="10" t="n">
        <v>45688.39795138889</v>
      </c>
      <c r="P1152" s="11">
        <f>IF(AND(ISNUMBER(I1152),ISNUMBER(O1152)),(I1152-O1152),"")</f>
        <v/>
      </c>
      <c r="Q1152" s="12" t="inlineStr">
        <is>
          <t>WG 1032203 entered track and got coupled to WG 1031002 then waited 0:06:17 for WG 1032205 to get coupled then waited 5:59:51 for WG 1032604 to get coupled then waited 0:35:40 for WG 1032707 to get coupled, OBTP started on ? finished on ? and then left at ?</t>
        </is>
      </c>
    </row>
    <row r="1153">
      <c r="A1153" s="3" t="inlineStr">
        <is>
          <t>1032204</t>
        </is>
      </c>
      <c r="B1153" s="3" t="inlineStr">
        <is>
          <t>10322</t>
        </is>
      </c>
      <c r="C1153" s="9" t="n">
        <v>33.9</v>
      </c>
      <c r="D1153" s="3" t="inlineStr">
        <is>
          <t>Other sidings local</t>
        </is>
      </c>
      <c r="E1153" s="10" t="n">
        <v>45688.37666666666</v>
      </c>
      <c r="F1153" s="10" t="n">
        <v>45688.39438657407</v>
      </c>
      <c r="G1153" s="10" t="n">
        <v>45688.39643518518</v>
      </c>
      <c r="H1153" s="3" t="n"/>
      <c r="I1153" s="10" t="n"/>
      <c r="J1153" s="10" t="n"/>
      <c r="K1153" s="10" t="n"/>
      <c r="L1153" s="10" t="n"/>
      <c r="M1153" s="11">
        <f>IF(AND(ISNUMBER(E1153),ISNUMBER(G1153)),(G1153-E1153),"")</f>
        <v/>
      </c>
      <c r="N1153" s="11">
        <f>IF(AND(ISNUMBER(G1153),ISNUMBER(L1153)),(L1153-G1153),"")</f>
        <v/>
      </c>
      <c r="O1153" s="10" t="n">
        <v>45688.40035879629</v>
      </c>
      <c r="P1153" s="11">
        <f>IF(AND(ISNUMBER(I1153),ISNUMBER(O1153)),(I1153-O1153),"")</f>
        <v/>
      </c>
      <c r="Q1153" s="12" t="n"/>
    </row>
    <row r="1154">
      <c r="A1154" s="3" t="inlineStr">
        <is>
          <t>1032205</t>
        </is>
      </c>
      <c r="B1154" s="3" t="inlineStr">
        <is>
          <t>10322</t>
        </is>
      </c>
      <c r="C1154" s="9" t="n">
        <v>15.74</v>
      </c>
      <c r="D1154" s="3" t="inlineStr">
        <is>
          <t>Steinabrückl/Wöllersdorf</t>
        </is>
      </c>
      <c r="E1154" s="10" t="n">
        <v>45688.37666666666</v>
      </c>
      <c r="F1154" s="10" t="n">
        <v>45688.39643518518</v>
      </c>
      <c r="G1154" s="10" t="n">
        <v>45688.39815972222</v>
      </c>
      <c r="H1154" s="3" t="inlineStr">
        <is>
          <t>OBT310125161451-Steinabrückl/Wöllersdorf</t>
        </is>
      </c>
      <c r="I1154" s="10" t="n"/>
      <c r="J1154" s="10" t="n"/>
      <c r="K1154" s="10" t="n"/>
      <c r="L1154" s="10" t="n"/>
      <c r="M1154" s="11">
        <f>IF(AND(ISNUMBER(E1154),ISNUMBER(G1154)),(G1154-E1154),"")</f>
        <v/>
      </c>
      <c r="N1154" s="11">
        <f>IF(AND(ISNUMBER(G1154),ISNUMBER(L1154)),(L1154-G1154),"")</f>
        <v/>
      </c>
      <c r="O1154" s="10" t="n">
        <v>45688.40231481481</v>
      </c>
      <c r="P1154" s="11">
        <f>IF(AND(ISNUMBER(I1154),ISNUMBER(O1154)),(I1154-O1154),"")</f>
        <v/>
      </c>
      <c r="Q1154" s="12" t="inlineStr">
        <is>
          <t>WG 1032205 entered track and got coupled to WG 1032203 then waited 5:59:51 for WG 1032604 to get coupled then waited 0:35:40 for WG 1032707 to get coupled, OBTP started on ? finished on ? and then left at ?</t>
        </is>
      </c>
    </row>
    <row r="1155">
      <c r="A1155" s="3" t="inlineStr">
        <is>
          <t>1032206</t>
        </is>
      </c>
      <c r="B1155" s="3" t="inlineStr">
        <is>
          <t>10322</t>
        </is>
      </c>
      <c r="C1155" s="9" t="n">
        <v>15.74</v>
      </c>
      <c r="D1155" s="3" t="inlineStr">
        <is>
          <t>Other sidings south</t>
        </is>
      </c>
      <c r="E1155" s="10" t="n">
        <v>45688.37666666666</v>
      </c>
      <c r="F1155" s="10" t="n">
        <v>45688.39815972222</v>
      </c>
      <c r="G1155" s="10" t="n">
        <v>45688.39962962963</v>
      </c>
      <c r="H1155" s="3" t="inlineStr">
        <is>
          <t>OBT310125162356-Other sidings south</t>
        </is>
      </c>
      <c r="I1155" s="10" t="n"/>
      <c r="J1155" s="10" t="n"/>
      <c r="K1155" s="10" t="n"/>
      <c r="L1155" s="10" t="n"/>
      <c r="M1155" s="11">
        <f>IF(AND(ISNUMBER(E1155),ISNUMBER(G1155)),(G1155-E1155),"")</f>
        <v/>
      </c>
      <c r="N1155" s="11">
        <f>IF(AND(ISNUMBER(G1155),ISNUMBER(L1155)),(L1155-G1155),"")</f>
        <v/>
      </c>
      <c r="O1155" s="10" t="n">
        <v>45688.40515046296</v>
      </c>
      <c r="P1155" s="11">
        <f>IF(AND(ISNUMBER(I1155),ISNUMBER(O1155)),(I1155-O1155),"")</f>
        <v/>
      </c>
      <c r="Q1155" s="12" t="inlineStr">
        <is>
          <t>WG 1032206 entered track and got coupled to WG 1031503 then waited 6:40:31 for WG 1032711 to get coupled, OBTP started on ? finished on ? and then left at ?</t>
        </is>
      </c>
    </row>
    <row r="1156">
      <c r="A1156" s="3" t="inlineStr">
        <is>
          <t>1032207</t>
        </is>
      </c>
      <c r="B1156" s="3" t="inlineStr">
        <is>
          <t>10322</t>
        </is>
      </c>
      <c r="C1156" s="9" t="n">
        <v>162</v>
      </c>
      <c r="D1156" s="3" t="inlineStr">
        <is>
          <t>Wr. Neustadt (Hödlmayr)</t>
        </is>
      </c>
      <c r="E1156" s="10" t="n">
        <v>45688.37666666666</v>
      </c>
      <c r="F1156" s="10" t="n"/>
      <c r="G1156" s="10" t="n"/>
      <c r="H1156" s="3" t="n"/>
      <c r="I1156" s="10" t="n"/>
      <c r="J1156" s="10" t="n"/>
      <c r="K1156" s="10" t="n"/>
      <c r="L1156" s="10" t="n"/>
      <c r="M1156" s="11">
        <f>IF(AND(ISNUMBER(E1156),ISNUMBER(G1156)),(G1156-E1156),"")</f>
        <v/>
      </c>
      <c r="N1156" s="11">
        <f>IF(AND(ISNUMBER(G1156),ISNUMBER(L1156)),(L1156-G1156),"")</f>
        <v/>
      </c>
      <c r="O1156" s="10" t="n"/>
      <c r="P1156" s="11">
        <f>IF(AND(ISNUMBER(I1156),ISNUMBER(O1156)),(I1156-O1156),"")</f>
        <v/>
      </c>
      <c r="Q1156" s="12" t="n"/>
    </row>
    <row r="1157">
      <c r="A1157" s="3" t="inlineStr">
        <is>
          <t>1032208</t>
        </is>
      </c>
      <c r="B1157" s="3" t="inlineStr">
        <is>
          <t>10322</t>
        </is>
      </c>
      <c r="C1157" s="9" t="n">
        <v>31.48</v>
      </c>
      <c r="D1157" s="3" t="inlineStr">
        <is>
          <t>Obereggendorf (Hofer)</t>
        </is>
      </c>
      <c r="E1157" s="10" t="n">
        <v>45688.37666666666</v>
      </c>
      <c r="F1157" s="10" t="n">
        <v>45688.39962962963</v>
      </c>
      <c r="G1157" s="10" t="n">
        <v>45688.40158564815</v>
      </c>
      <c r="H1157" s="3" t="inlineStr">
        <is>
          <t>OBT310125155632-Pitten (Hamburger)</t>
        </is>
      </c>
      <c r="I1157" s="10" t="n"/>
      <c r="J1157" s="10" t="n"/>
      <c r="K1157" s="10" t="n"/>
      <c r="L1157" s="10" t="n"/>
      <c r="M1157" s="11">
        <f>IF(AND(ISNUMBER(E1157),ISNUMBER(G1157)),(G1157-E1157),"")</f>
        <v/>
      </c>
      <c r="N1157" s="11">
        <f>IF(AND(ISNUMBER(G1157),ISNUMBER(L1157)),(L1157-G1157),"")</f>
        <v/>
      </c>
      <c r="O1157" s="10" t="n">
        <v>45688.40666666667</v>
      </c>
      <c r="P1157" s="11">
        <f>IF(AND(ISNUMBER(I1157),ISNUMBER(O1157)),(I1157-O1157),"")</f>
        <v/>
      </c>
      <c r="Q1157" s="12" t="inlineStr">
        <is>
          <t>WG 1032208 entered track and got coupled to WG 1032201 then waited 5:49:23 for WG 1032603 to get coupled then waited 0:12:33 for WG 1032607 to get coupled then waited 0:09:00 for WG 1032701 to get coupled, OBTP started on ? finished on ? and then left at ?</t>
        </is>
      </c>
    </row>
    <row r="1158">
      <c r="A1158" s="3" t="inlineStr">
        <is>
          <t>1032301</t>
        </is>
      </c>
      <c r="B1158" s="3" t="inlineStr">
        <is>
          <t>10323</t>
        </is>
      </c>
      <c r="C1158" s="9" t="n">
        <v>270.8</v>
      </c>
      <c r="D1158" s="3" t="inlineStr">
        <is>
          <t>Wien Kledering</t>
        </is>
      </c>
      <c r="E1158" s="10" t="n">
        <v>45688.44170138889</v>
      </c>
      <c r="F1158" s="10" t="n">
        <v>45688.45128472222</v>
      </c>
      <c r="G1158" s="10" t="n">
        <v>45688.45378472222</v>
      </c>
      <c r="H1158" s="3" t="inlineStr">
        <is>
          <t>OBT310125105654-Wien Kledering</t>
        </is>
      </c>
      <c r="I1158" s="10" t="n"/>
      <c r="J1158" s="10" t="n"/>
      <c r="K1158" s="10" t="n"/>
      <c r="L1158" s="10" t="n"/>
      <c r="M1158" s="11">
        <f>IF(AND(ISNUMBER(E1158),ISNUMBER(G1158)),(G1158-E1158),"")</f>
        <v/>
      </c>
      <c r="N1158" s="11">
        <f>IF(AND(ISNUMBER(G1158),ISNUMBER(L1158)),(L1158-G1158),"")</f>
        <v/>
      </c>
      <c r="O1158" s="10" t="n">
        <v>45688.45618055556</v>
      </c>
      <c r="P1158" s="11">
        <f>IF(AND(ISNUMBER(I1158),ISNUMBER(O1158)),(I1158-O1158),"")</f>
        <v/>
      </c>
      <c r="Q1158" s="12" t="inlineStr">
        <is>
          <t>WG 1032301 entered track and got secured, OBTP started on ? finished on ? and then left at ?</t>
        </is>
      </c>
    </row>
    <row r="1159">
      <c r="A1159" s="3" t="inlineStr">
        <is>
          <t>1032302</t>
        </is>
      </c>
      <c r="B1159" s="3" t="inlineStr">
        <is>
          <t>10323</t>
        </is>
      </c>
      <c r="C1159" s="9" t="n">
        <v>82.90000000000001</v>
      </c>
      <c r="D1159" s="3" t="inlineStr">
        <is>
          <t>St. Veit an der Glan</t>
        </is>
      </c>
      <c r="E1159" s="10" t="n">
        <v>45688.44170138889</v>
      </c>
      <c r="F1159" s="10" t="n">
        <v>45688.45378472222</v>
      </c>
      <c r="G1159" s="10" t="n">
        <v>45688.45523148148</v>
      </c>
      <c r="H1159" s="3" t="inlineStr">
        <is>
          <t>OBT310125110109-St. Veit an der Glan</t>
        </is>
      </c>
      <c r="I1159" s="10" t="n"/>
      <c r="J1159" s="10" t="n"/>
      <c r="K1159" s="10" t="n"/>
      <c r="L1159" s="10" t="n"/>
      <c r="M1159" s="11">
        <f>IF(AND(ISNUMBER(E1159),ISNUMBER(G1159)),(G1159-E1159),"")</f>
        <v/>
      </c>
      <c r="N1159" s="11">
        <f>IF(AND(ISNUMBER(G1159),ISNUMBER(L1159)),(L1159-G1159),"")</f>
        <v/>
      </c>
      <c r="O1159" s="10" t="n">
        <v>45688.45913194444</v>
      </c>
      <c r="P1159" s="11">
        <f>IF(AND(ISNUMBER(I1159),ISNUMBER(O1159)),(I1159-O1159),"")</f>
        <v/>
      </c>
      <c r="Q1159" s="12" t="inlineStr">
        <is>
          <t>WG 1032302 entered track and got coupled to WG 1032102, OBTP started on ? finished on ? and then left at ?</t>
        </is>
      </c>
    </row>
    <row r="1160">
      <c r="A1160" s="3" t="inlineStr">
        <is>
          <t>1032303</t>
        </is>
      </c>
      <c r="B1160" s="3" t="inlineStr">
        <is>
          <t>10323</t>
        </is>
      </c>
      <c r="C1160" s="9" t="n">
        <v>91.65999999999998</v>
      </c>
      <c r="D1160" s="3" t="inlineStr">
        <is>
          <t>Wien Kledering</t>
        </is>
      </c>
      <c r="E1160" s="10" t="n">
        <v>45688.44170138889</v>
      </c>
      <c r="F1160" s="10" t="n">
        <v>45688.45523148148</v>
      </c>
      <c r="G1160" s="10" t="n">
        <v>45688.45701388889</v>
      </c>
      <c r="H1160" s="3" t="inlineStr">
        <is>
          <t>OBT310125124603-Wien Kledering</t>
        </is>
      </c>
      <c r="I1160" s="10" t="n"/>
      <c r="J1160" s="10" t="n"/>
      <c r="K1160" s="10" t="n"/>
      <c r="L1160" s="10" t="n"/>
      <c r="M1160" s="11">
        <f>IF(AND(ISNUMBER(E1160),ISNUMBER(G1160)),(G1160-E1160),"")</f>
        <v/>
      </c>
      <c r="N1160" s="11">
        <f>IF(AND(ISNUMBER(G1160),ISNUMBER(L1160)),(L1160-G1160),"")</f>
        <v/>
      </c>
      <c r="O1160" s="10" t="n">
        <v>45688.45918981481</v>
      </c>
      <c r="P1160" s="11">
        <f>IF(AND(ISNUMBER(I1160),ISNUMBER(O1160)),(I1160-O1160),"")</f>
        <v/>
      </c>
      <c r="Q1160" s="12" t="inlineStr">
        <is>
          <t>WG 1032303 entered track and got secured then waited 1:44:49 for WG 1032401 to get coupled, OBTP started on ? finished on ? and then left at ?</t>
        </is>
      </c>
    </row>
    <row r="1161">
      <c r="A1161" s="3" t="inlineStr">
        <is>
          <t>1032401</t>
        </is>
      </c>
      <c r="B1161" s="3" t="inlineStr">
        <is>
          <t>10324</t>
        </is>
      </c>
      <c r="C1161" s="9" t="n">
        <v>247.34</v>
      </c>
      <c r="D1161" s="3" t="inlineStr">
        <is>
          <t>Wien Kledering</t>
        </is>
      </c>
      <c r="E1161" s="10" t="n">
        <v>45688.52075231481</v>
      </c>
      <c r="F1161" s="10" t="n">
        <v>45688.52626157407</v>
      </c>
      <c r="G1161" s="10" t="n">
        <v>45688.52841435185</v>
      </c>
      <c r="H1161" s="3" t="inlineStr">
        <is>
          <t>OBT310125124603-Wien Kledering</t>
        </is>
      </c>
      <c r="I1161" s="10" t="n"/>
      <c r="J1161" s="10" t="n"/>
      <c r="K1161" s="10" t="n"/>
      <c r="L1161" s="10" t="n"/>
      <c r="M1161" s="11">
        <f>IF(AND(ISNUMBER(E1161),ISNUMBER(G1161)),(G1161-E1161),"")</f>
        <v/>
      </c>
      <c r="N1161" s="11">
        <f>IF(AND(ISNUMBER(G1161),ISNUMBER(L1161)),(L1161-G1161),"")</f>
        <v/>
      </c>
      <c r="O1161" s="10" t="n">
        <v>45688.53197916667</v>
      </c>
      <c r="P1161" s="11">
        <f>IF(AND(ISNUMBER(I1161),ISNUMBER(O1161)),(I1161-O1161),"")</f>
        <v/>
      </c>
      <c r="Q1161" s="12" t="inlineStr">
        <is>
          <t>WG 1032401 entered track and got coupled to WG 1032303, OBTP started on ? finished on ? and then left at ?</t>
        </is>
      </c>
    </row>
    <row r="1162">
      <c r="A1162" s="3" t="inlineStr">
        <is>
          <t>1032501</t>
        </is>
      </c>
      <c r="B1162" s="3" t="inlineStr">
        <is>
          <t>10325</t>
        </is>
      </c>
      <c r="C1162" s="9" t="n">
        <v>186.66</v>
      </c>
      <c r="D1162" s="3" t="inlineStr">
        <is>
          <t>Wien Kledering</t>
        </is>
      </c>
      <c r="E1162" s="10" t="n">
        <v>45688.59349537037</v>
      </c>
      <c r="F1162" s="10" t="n">
        <v>45688.59869212963</v>
      </c>
      <c r="G1162" s="10" t="n">
        <v>45688.60025462963</v>
      </c>
      <c r="H1162" s="3" t="inlineStr">
        <is>
          <t>OBT310125142730-Wien Kledering</t>
        </is>
      </c>
      <c r="I1162" s="10" t="n"/>
      <c r="J1162" s="10" t="n"/>
      <c r="K1162" s="10" t="n"/>
      <c r="L1162" s="10" t="n"/>
      <c r="M1162" s="11">
        <f>IF(AND(ISNUMBER(E1162),ISNUMBER(G1162)),(G1162-E1162),"")</f>
        <v/>
      </c>
      <c r="N1162" s="11">
        <f>IF(AND(ISNUMBER(G1162),ISNUMBER(L1162)),(L1162-G1162),"")</f>
        <v/>
      </c>
      <c r="O1162" s="10" t="n">
        <v>45688.60243055555</v>
      </c>
      <c r="P1162" s="11">
        <f>IF(AND(ISNUMBER(I1162),ISNUMBER(O1162)),(I1162-O1162),"")</f>
        <v/>
      </c>
      <c r="Q1162" s="12" t="inlineStr">
        <is>
          <t>WG 1032501 entered track and got secured, OBTP started on ? finished on ? and then left at ?</t>
        </is>
      </c>
    </row>
    <row r="1163">
      <c r="A1163" s="3" t="inlineStr">
        <is>
          <t>1032601</t>
        </is>
      </c>
      <c r="B1163" s="3" t="inlineStr">
        <is>
          <t>10326</t>
        </is>
      </c>
      <c r="C1163" s="9" t="n">
        <v>31.48</v>
      </c>
      <c r="D1163" s="3" t="inlineStr">
        <is>
          <t>Other sidings north</t>
        </is>
      </c>
      <c r="E1163" s="10" t="n">
        <v>45688.62810185185</v>
      </c>
      <c r="F1163" s="10" t="n">
        <v>45688.64104166667</v>
      </c>
      <c r="G1163" s="10" t="n">
        <v>45688.64299768519</v>
      </c>
      <c r="H1163" s="3" t="inlineStr">
        <is>
          <t>OBT310125160801-Other sidings north</t>
        </is>
      </c>
      <c r="I1163" s="10" t="n"/>
      <c r="J1163" s="10" t="n"/>
      <c r="K1163" s="10" t="n"/>
      <c r="L1163" s="10" t="n"/>
      <c r="M1163" s="11">
        <f>IF(AND(ISNUMBER(E1163),ISNUMBER(G1163)),(G1163-E1163),"")</f>
        <v/>
      </c>
      <c r="N1163" s="11">
        <f>IF(AND(ISNUMBER(G1163),ISNUMBER(L1163)),(L1163-G1163),"")</f>
        <v/>
      </c>
      <c r="O1163" s="10" t="n">
        <v>45688.64539351852</v>
      </c>
      <c r="P1163" s="11">
        <f>IF(AND(ISNUMBER(I1163),ISNUMBER(O1163)),(I1163-O1163),"")</f>
        <v/>
      </c>
      <c r="Q1163" s="12" t="inlineStr">
        <is>
          <t>WG 1032601 entered track and got secured then waited 0:38:39 for WG 1032705 to get coupled, OBTP started on ? finished on ? and then left at ?</t>
        </is>
      </c>
    </row>
    <row r="1164">
      <c r="A1164" s="3" t="inlineStr">
        <is>
          <t>1032602</t>
        </is>
      </c>
      <c r="B1164" s="3" t="inlineStr">
        <is>
          <t>10326</t>
        </is>
      </c>
      <c r="C1164" s="9" t="n">
        <v>14</v>
      </c>
      <c r="D1164" s="3" t="inlineStr">
        <is>
          <t>Wr. Neustadt (Brenntag)</t>
        </is>
      </c>
      <c r="E1164" s="10" t="n">
        <v>45688.62810185185</v>
      </c>
      <c r="F1164" s="10" t="n">
        <v>45688.64299768519</v>
      </c>
      <c r="G1164" s="10" t="n">
        <v>45688.64494212963</v>
      </c>
      <c r="H1164" s="3" t="n"/>
      <c r="I1164" s="10" t="n"/>
      <c r="J1164" s="10" t="n"/>
      <c r="K1164" s="10" t="n"/>
      <c r="L1164" s="10" t="n"/>
      <c r="M1164" s="11">
        <f>IF(AND(ISNUMBER(E1164),ISNUMBER(G1164)),(G1164-E1164),"")</f>
        <v/>
      </c>
      <c r="N1164" s="11">
        <f>IF(AND(ISNUMBER(G1164),ISNUMBER(L1164)),(L1164-G1164),"")</f>
        <v/>
      </c>
      <c r="O1164" s="10" t="n">
        <v>45688.64711805555</v>
      </c>
      <c r="P1164" s="11">
        <f>IF(AND(ISNUMBER(I1164),ISNUMBER(O1164)),(I1164-O1164),"")</f>
        <v/>
      </c>
      <c r="Q1164" s="12" t="n"/>
    </row>
    <row r="1165">
      <c r="A1165" s="3" t="inlineStr">
        <is>
          <t>1032603</t>
        </is>
      </c>
      <c r="B1165" s="3" t="inlineStr">
        <is>
          <t>10326</t>
        </is>
      </c>
      <c r="C1165" s="9" t="n">
        <v>15.74</v>
      </c>
      <c r="D1165" s="3" t="inlineStr">
        <is>
          <t>Pitten (Hamburger)</t>
        </is>
      </c>
      <c r="E1165" s="10" t="n">
        <v>45688.62810185185</v>
      </c>
      <c r="F1165" s="10" t="n">
        <v>45688.64494212963</v>
      </c>
      <c r="G1165" s="10" t="n">
        <v>45688.64689814814</v>
      </c>
      <c r="H1165" s="3" t="inlineStr">
        <is>
          <t>OBT310125155632-Pitten (Hamburger)</t>
        </is>
      </c>
      <c r="I1165" s="10" t="n"/>
      <c r="J1165" s="10" t="n"/>
      <c r="K1165" s="10" t="n"/>
      <c r="L1165" s="10" t="n"/>
      <c r="M1165" s="11">
        <f>IF(AND(ISNUMBER(E1165),ISNUMBER(G1165)),(G1165-E1165),"")</f>
        <v/>
      </c>
      <c r="N1165" s="11">
        <f>IF(AND(ISNUMBER(G1165),ISNUMBER(L1165)),(L1165-G1165),"")</f>
        <v/>
      </c>
      <c r="O1165" s="10" t="n">
        <v>45688.64929398148</v>
      </c>
      <c r="P1165" s="11">
        <f>IF(AND(ISNUMBER(I1165),ISNUMBER(O1165)),(I1165-O1165),"")</f>
        <v/>
      </c>
      <c r="Q1165" s="12" t="inlineStr">
        <is>
          <t>WG 1032603 entered track and got secured then waited 0:12:33 for WG 1032607 to get coupled then waited 0:09:00 for WG 1032701 to get coupled, OBTP started on ? finished on ? and then left at ?</t>
        </is>
      </c>
    </row>
    <row r="1166">
      <c r="A1166" s="3" t="inlineStr">
        <is>
          <t>1032604</t>
        </is>
      </c>
      <c r="B1166" s="3" t="inlineStr">
        <is>
          <t>10326</t>
        </is>
      </c>
      <c r="C1166" s="9" t="n">
        <v>15.74</v>
      </c>
      <c r="D1166" s="3" t="inlineStr">
        <is>
          <t>Steinabrückl/Wöllersdorf</t>
        </is>
      </c>
      <c r="E1166" s="10" t="n">
        <v>45688.62810185185</v>
      </c>
      <c r="F1166" s="10" t="n">
        <v>45688.64689814814</v>
      </c>
      <c r="G1166" s="10" t="n">
        <v>45688.64864583333</v>
      </c>
      <c r="H1166" s="3" t="inlineStr">
        <is>
          <t>OBT310125161451-Steinabrückl/Wöllersdorf</t>
        </is>
      </c>
      <c r="I1166" s="10" t="n"/>
      <c r="J1166" s="10" t="n"/>
      <c r="K1166" s="10" t="n"/>
      <c r="L1166" s="10" t="n"/>
      <c r="M1166" s="11">
        <f>IF(AND(ISNUMBER(E1166),ISNUMBER(G1166)),(G1166-E1166),"")</f>
        <v/>
      </c>
      <c r="N1166" s="11">
        <f>IF(AND(ISNUMBER(G1166),ISNUMBER(L1166)),(L1166-G1166),"")</f>
        <v/>
      </c>
      <c r="O1166" s="10" t="n">
        <v>45688.65221064815</v>
      </c>
      <c r="P1166" s="11">
        <f>IF(AND(ISNUMBER(I1166),ISNUMBER(O1166)),(I1166-O1166),"")</f>
        <v/>
      </c>
      <c r="Q1166" s="12" t="inlineStr">
        <is>
          <t>WG 1032604 entered track and got coupled to WG 1032205 then waited 0:35:40 for WG 1032707 to get coupled, OBTP started on ? finished on ? and then left at ?</t>
        </is>
      </c>
    </row>
    <row r="1167">
      <c r="A1167" s="3" t="inlineStr">
        <is>
          <t>1032605</t>
        </is>
      </c>
      <c r="B1167" s="3" t="inlineStr">
        <is>
          <t>10326</t>
        </is>
      </c>
      <c r="C1167" s="9" t="n">
        <v>19.9</v>
      </c>
      <c r="D1167" s="3" t="inlineStr">
        <is>
          <t>Wr. Neustadt Ausfahrbf (Furtenbach)</t>
        </is>
      </c>
      <c r="E1167" s="10" t="n">
        <v>45688.62810185185</v>
      </c>
      <c r="F1167" s="10" t="n">
        <v>45688.64864583333</v>
      </c>
      <c r="G1167" s="10" t="n">
        <v>45688.6502662037</v>
      </c>
      <c r="H1167" s="3" t="n"/>
      <c r="I1167" s="10" t="n"/>
      <c r="J1167" s="10" t="n"/>
      <c r="K1167" s="10" t="n"/>
      <c r="L1167" s="10" t="n"/>
      <c r="M1167" s="11">
        <f>IF(AND(ISNUMBER(E1167),ISNUMBER(G1167)),(G1167-E1167),"")</f>
        <v/>
      </c>
      <c r="N1167" s="11">
        <f>IF(AND(ISNUMBER(G1167),ISNUMBER(L1167)),(L1167-G1167),"")</f>
        <v/>
      </c>
      <c r="O1167" s="10" t="n">
        <v>45688.65265046297</v>
      </c>
      <c r="P1167" s="11">
        <f>IF(AND(ISNUMBER(I1167),ISNUMBER(O1167)),(I1167-O1167),"")</f>
        <v/>
      </c>
      <c r="Q1167" s="12" t="n"/>
    </row>
    <row r="1168">
      <c r="A1168" s="3" t="inlineStr">
        <is>
          <t>1032606</t>
        </is>
      </c>
      <c r="B1168" s="3" t="inlineStr">
        <is>
          <t>10326</t>
        </is>
      </c>
      <c r="C1168" s="9" t="n">
        <v>19.9</v>
      </c>
      <c r="D1168" s="3" t="inlineStr">
        <is>
          <t>Felixdorf/Sollenau (Bundesheer, Maba)</t>
        </is>
      </c>
      <c r="E1168" s="10" t="n">
        <v>45688.62810185185</v>
      </c>
      <c r="F1168" s="10" t="n">
        <v>45688.6502662037</v>
      </c>
      <c r="G1168" s="10" t="n">
        <v>45688.65200231481</v>
      </c>
      <c r="H1168" s="3" t="n"/>
      <c r="I1168" s="10" t="n"/>
      <c r="J1168" s="10" t="n"/>
      <c r="K1168" s="10" t="n"/>
      <c r="L1168" s="10" t="n"/>
      <c r="M1168" s="11">
        <f>IF(AND(ISNUMBER(E1168),ISNUMBER(G1168)),(G1168-E1168),"")</f>
        <v/>
      </c>
      <c r="N1168" s="11">
        <f>IF(AND(ISNUMBER(G1168),ISNUMBER(L1168)),(L1168-G1168),"")</f>
        <v/>
      </c>
      <c r="O1168" s="10" t="n">
        <v>45688.654375</v>
      </c>
      <c r="P1168" s="11">
        <f>IF(AND(ISNUMBER(I1168),ISNUMBER(O1168)),(I1168-O1168),"")</f>
        <v/>
      </c>
      <c r="Q1168" s="12" t="n"/>
    </row>
    <row r="1169">
      <c r="A1169" s="3" t="inlineStr">
        <is>
          <t>1032607</t>
        </is>
      </c>
      <c r="B1169" s="3" t="inlineStr">
        <is>
          <t>10326</t>
        </is>
      </c>
      <c r="C1169" s="9" t="n">
        <v>80.69999999999999</v>
      </c>
      <c r="D1169" s="3" t="inlineStr">
        <is>
          <t>Neunkirchen (loading tracks)</t>
        </is>
      </c>
      <c r="E1169" s="10" t="n">
        <v>45688.62810185185</v>
      </c>
      <c r="F1169" s="10" t="n">
        <v>45688.65200231481</v>
      </c>
      <c r="G1169" s="10" t="n">
        <v>45688.6541087963</v>
      </c>
      <c r="H1169" s="3" t="inlineStr">
        <is>
          <t>OBT310125155632-Pitten (Hamburger)</t>
        </is>
      </c>
      <c r="I1169" s="10" t="n"/>
      <c r="J1169" s="10" t="n"/>
      <c r="K1169" s="10" t="n"/>
      <c r="L1169" s="10" t="n"/>
      <c r="M1169" s="11">
        <f>IF(AND(ISNUMBER(E1169),ISNUMBER(G1169)),(G1169-E1169),"")</f>
        <v/>
      </c>
      <c r="N1169" s="11">
        <f>IF(AND(ISNUMBER(G1169),ISNUMBER(L1169)),(L1169-G1169),"")</f>
        <v/>
      </c>
      <c r="O1169" s="10" t="n">
        <v>45688.65800925926</v>
      </c>
      <c r="P1169" s="11">
        <f>IF(AND(ISNUMBER(I1169),ISNUMBER(O1169)),(I1169-O1169),"")</f>
        <v/>
      </c>
      <c r="Q1169" s="12" t="inlineStr">
        <is>
          <t>WG 1032607 entered track and got coupled to WG 1032603 then waited 0:09:00 for WG 1032701 to get coupled, OBTP started on ? finished on ? and then left at ?</t>
        </is>
      </c>
    </row>
    <row r="1170">
      <c r="A1170" s="3" t="inlineStr">
        <is>
          <t>1032608</t>
        </is>
      </c>
      <c r="B1170" s="3" t="inlineStr">
        <is>
          <t>10326</t>
        </is>
      </c>
      <c r="C1170" s="9" t="n">
        <v>135</v>
      </c>
      <c r="D1170" s="3" t="inlineStr">
        <is>
          <t>Wr. Neustadt (Hödlmayr)</t>
        </is>
      </c>
      <c r="E1170" s="10" t="n">
        <v>45688.62810185185</v>
      </c>
      <c r="F1170" s="10" t="n"/>
      <c r="G1170" s="10" t="n"/>
      <c r="H1170" s="3" t="n"/>
      <c r="I1170" s="10" t="n"/>
      <c r="J1170" s="10" t="n"/>
      <c r="K1170" s="10" t="n"/>
      <c r="L1170" s="10" t="n"/>
      <c r="M1170" s="11">
        <f>IF(AND(ISNUMBER(E1170),ISNUMBER(G1170)),(G1170-E1170),"")</f>
        <v/>
      </c>
      <c r="N1170" s="11">
        <f>IF(AND(ISNUMBER(G1170),ISNUMBER(L1170)),(L1170-G1170),"")</f>
        <v/>
      </c>
      <c r="O1170" s="10" t="n"/>
      <c r="P1170" s="11">
        <f>IF(AND(ISNUMBER(I1170),ISNUMBER(O1170)),(I1170-O1170),"")</f>
        <v/>
      </c>
      <c r="Q1170" s="12" t="n"/>
    </row>
    <row r="1171">
      <c r="A1171" s="3" t="inlineStr">
        <is>
          <t>1032701</t>
        </is>
      </c>
      <c r="B1171" s="3" t="inlineStr">
        <is>
          <t>10327</t>
        </is>
      </c>
      <c r="C1171" s="9" t="n">
        <v>60.8</v>
      </c>
      <c r="D1171" s="3" t="inlineStr">
        <is>
          <t>Neunkirchen (loading tracks)</t>
        </is>
      </c>
      <c r="E1171" s="10" t="n">
        <v>45688.64006944445</v>
      </c>
      <c r="F1171" s="10" t="n">
        <v>45688.65833333333</v>
      </c>
      <c r="G1171" s="10" t="n">
        <v>45688.6603587963</v>
      </c>
      <c r="H1171" s="3" t="inlineStr">
        <is>
          <t>OBT310125155632-Pitten (Hamburger)</t>
        </is>
      </c>
      <c r="I1171" s="10" t="n"/>
      <c r="J1171" s="10" t="n"/>
      <c r="K1171" s="10" t="n"/>
      <c r="L1171" s="10" t="n"/>
      <c r="M1171" s="11">
        <f>IF(AND(ISNUMBER(E1171),ISNUMBER(G1171)),(G1171-E1171),"")</f>
        <v/>
      </c>
      <c r="N1171" s="11">
        <f>IF(AND(ISNUMBER(G1171),ISNUMBER(L1171)),(L1171-G1171),"")</f>
        <v/>
      </c>
      <c r="O1171" s="10" t="n">
        <v>45688.66425925926</v>
      </c>
      <c r="P1171" s="11">
        <f>IF(AND(ISNUMBER(I1171),ISNUMBER(O1171)),(I1171-O1171),"")</f>
        <v/>
      </c>
      <c r="Q1171" s="12" t="inlineStr">
        <is>
          <t>WG 1032701 entered track and got coupled to WG 1032607, OBTP started on ? finished on ? and then left at ?</t>
        </is>
      </c>
    </row>
    <row r="1172">
      <c r="A1172" s="3" t="inlineStr">
        <is>
          <t>1032702</t>
        </is>
      </c>
      <c r="B1172" s="3" t="inlineStr">
        <is>
          <t>10327</t>
        </is>
      </c>
      <c r="C1172" s="9" t="n">
        <v>19.9</v>
      </c>
      <c r="D1172" s="3" t="inlineStr">
        <is>
          <t>Neudörfl (FunderMax)</t>
        </is>
      </c>
      <c r="E1172" s="10" t="n">
        <v>45688.64006944445</v>
      </c>
      <c r="F1172" s="10" t="n">
        <v>45688.6603587963</v>
      </c>
      <c r="G1172" s="10" t="n">
        <v>45688.66172453704</v>
      </c>
      <c r="H1172" s="3" t="inlineStr">
        <is>
          <t>OBT310125155832-Neudörfl (FunderMax)</t>
        </is>
      </c>
      <c r="I1172" s="10" t="n"/>
      <c r="J1172" s="10" t="n"/>
      <c r="K1172" s="10" t="n"/>
      <c r="L1172" s="10" t="n"/>
      <c r="M1172" s="11">
        <f>IF(AND(ISNUMBER(E1172),ISNUMBER(G1172)),(G1172-E1172),"")</f>
        <v/>
      </c>
      <c r="N1172" s="11">
        <f>IF(AND(ISNUMBER(G1172),ISNUMBER(L1172)),(L1172-G1172),"")</f>
        <v/>
      </c>
      <c r="O1172" s="10" t="n">
        <v>45688.66564814815</v>
      </c>
      <c r="P1172" s="11">
        <f>IF(AND(ISNUMBER(I1172),ISNUMBER(O1172)),(I1172-O1172),"")</f>
        <v/>
      </c>
      <c r="Q1172" s="12" t="inlineStr">
        <is>
          <t>WG 1032702 entered track and got coupled to WG 1031903, OBTP started on ? finished on ? and then left at ?</t>
        </is>
      </c>
    </row>
    <row r="1173">
      <c r="A1173" s="3" t="inlineStr">
        <is>
          <t>1032703</t>
        </is>
      </c>
      <c r="B1173" s="3" t="inlineStr">
        <is>
          <t>10327</t>
        </is>
      </c>
      <c r="C1173" s="9" t="n">
        <v>12.04</v>
      </c>
      <c r="D1173" s="3" t="inlineStr">
        <is>
          <t>Ternitz (Schoeller-Bleckmann)</t>
        </is>
      </c>
      <c r="E1173" s="10" t="n">
        <v>45688.64006944445</v>
      </c>
      <c r="F1173" s="10" t="n">
        <v>45688.66172453704</v>
      </c>
      <c r="G1173" s="10" t="n">
        <v>45688.66284722222</v>
      </c>
      <c r="H1173" s="3" t="n"/>
      <c r="I1173" s="10" t="n"/>
      <c r="J1173" s="10" t="n"/>
      <c r="K1173" s="10" t="n"/>
      <c r="L1173" s="10" t="n"/>
      <c r="M1173" s="11">
        <f>IF(AND(ISNUMBER(E1173),ISNUMBER(G1173)),(G1173-E1173),"")</f>
        <v/>
      </c>
      <c r="N1173" s="11">
        <f>IF(AND(ISNUMBER(G1173),ISNUMBER(L1173)),(L1173-G1173),"")</f>
        <v/>
      </c>
      <c r="O1173" s="10" t="n">
        <v>45688.66747685185</v>
      </c>
      <c r="P1173" s="11">
        <f>IF(AND(ISNUMBER(I1173),ISNUMBER(O1173)),(I1173-O1173),"")</f>
        <v/>
      </c>
      <c r="Q1173" s="12" t="n"/>
    </row>
    <row r="1174">
      <c r="A1174" s="3" t="inlineStr">
        <is>
          <t>1032704</t>
        </is>
      </c>
      <c r="B1174" s="3" t="inlineStr">
        <is>
          <t>10327</t>
        </is>
      </c>
      <c r="C1174" s="9" t="n">
        <v>19.9</v>
      </c>
      <c r="D1174" s="3" t="inlineStr">
        <is>
          <t>Wr. Neustadt Ausfahrbf (Furtenbach)</t>
        </is>
      </c>
      <c r="E1174" s="10" t="n">
        <v>45688.64006944445</v>
      </c>
      <c r="F1174" s="10" t="n">
        <v>45688.66284722222</v>
      </c>
      <c r="G1174" s="10" t="n">
        <v>45688.66444444445</v>
      </c>
      <c r="H1174" s="3" t="n"/>
      <c r="I1174" s="10" t="n"/>
      <c r="J1174" s="10" t="n"/>
      <c r="K1174" s="10" t="n"/>
      <c r="L1174" s="10" t="n"/>
      <c r="M1174" s="11">
        <f>IF(AND(ISNUMBER(E1174),ISNUMBER(G1174)),(G1174-E1174),"")</f>
        <v/>
      </c>
      <c r="N1174" s="11">
        <f>IF(AND(ISNUMBER(G1174),ISNUMBER(L1174)),(L1174-G1174),"")</f>
        <v/>
      </c>
      <c r="O1174" s="10" t="n">
        <v>45688.67043981481</v>
      </c>
      <c r="P1174" s="11">
        <f>IF(AND(ISNUMBER(I1174),ISNUMBER(O1174)),(I1174-O1174),"")</f>
        <v/>
      </c>
      <c r="Q1174" s="12" t="n"/>
    </row>
    <row r="1175">
      <c r="A1175" s="3" t="inlineStr">
        <is>
          <t>1032705</t>
        </is>
      </c>
      <c r="B1175" s="3" t="inlineStr">
        <is>
          <t>10327</t>
        </is>
      </c>
      <c r="C1175" s="9" t="n">
        <v>121.84</v>
      </c>
      <c r="D1175" s="3" t="inlineStr">
        <is>
          <t>Other sidings north</t>
        </is>
      </c>
      <c r="E1175" s="10" t="n">
        <v>45688.64006944445</v>
      </c>
      <c r="F1175" s="10" t="n">
        <v>45688.66444444445</v>
      </c>
      <c r="G1175" s="10" t="n">
        <v>45688.66657407407</v>
      </c>
      <c r="H1175" s="3" t="inlineStr">
        <is>
          <t>OBT310125160801-Other sidings north</t>
        </is>
      </c>
      <c r="I1175" s="10" t="n"/>
      <c r="J1175" s="10" t="n"/>
      <c r="K1175" s="10" t="n"/>
      <c r="L1175" s="10" t="n"/>
      <c r="M1175" s="11">
        <f>IF(AND(ISNUMBER(E1175),ISNUMBER(G1175)),(G1175-E1175),"")</f>
        <v/>
      </c>
      <c r="N1175" s="11">
        <f>IF(AND(ISNUMBER(G1175),ISNUMBER(L1175)),(L1175-G1175),"")</f>
        <v/>
      </c>
      <c r="O1175" s="10" t="n">
        <v>45688.67223379629</v>
      </c>
      <c r="P1175" s="11">
        <f>IF(AND(ISNUMBER(I1175),ISNUMBER(O1175)),(I1175-O1175),"")</f>
        <v/>
      </c>
      <c r="Q1175" s="12" t="inlineStr">
        <is>
          <t>WG 1032705 entered track and got coupled to WG 1032601, OBTP started on ? finished on ? and then left at ?</t>
        </is>
      </c>
    </row>
    <row r="1176">
      <c r="A1176" s="3" t="inlineStr">
        <is>
          <t>1032706</t>
        </is>
      </c>
      <c r="B1176" s="3" t="inlineStr">
        <is>
          <t>10327</t>
        </is>
      </c>
      <c r="C1176" s="9" t="n">
        <v>46.48</v>
      </c>
      <c r="D1176" s="3" t="inlineStr">
        <is>
          <t>Pitten (Hamburger)</t>
        </is>
      </c>
      <c r="E1176" s="10" t="n">
        <v>45688.64006944445</v>
      </c>
      <c r="F1176" s="10" t="n">
        <v>45688.66657407407</v>
      </c>
      <c r="G1176" s="10" t="n">
        <v>45688.66856481481</v>
      </c>
      <c r="H1176" s="3" t="inlineStr">
        <is>
          <t>OBT310125203626-Pitten (Hamburger)</t>
        </is>
      </c>
      <c r="I1176" s="10" t="n"/>
      <c r="J1176" s="10" t="n"/>
      <c r="K1176" s="10" t="n"/>
      <c r="L1176" s="10" t="n"/>
      <c r="M1176" s="11">
        <f>IF(AND(ISNUMBER(E1176),ISNUMBER(G1176)),(G1176-E1176),"")</f>
        <v/>
      </c>
      <c r="N1176" s="11">
        <f>IF(AND(ISNUMBER(G1176),ISNUMBER(L1176)),(L1176-G1176),"")</f>
        <v/>
      </c>
      <c r="O1176" s="10" t="n">
        <v>45688.6737037037</v>
      </c>
      <c r="P1176" s="11">
        <f>IF(AND(ISNUMBER(I1176),ISNUMBER(O1176)),(I1176-O1176),"")</f>
        <v/>
      </c>
      <c r="Q1176" s="12" t="inlineStr">
        <is>
          <t>WG 1032706 entered track and got secured then waited 0:06:54 for WG 1032709 to get coupled then waited 4:19:24 for WG 1033102 to get coupled, OBTP started on ? finished on ? and then left at ?</t>
        </is>
      </c>
    </row>
    <row r="1177">
      <c r="A1177" s="3" t="inlineStr">
        <is>
          <t>1032707</t>
        </is>
      </c>
      <c r="B1177" s="3" t="inlineStr">
        <is>
          <t>10327</t>
        </is>
      </c>
      <c r="C1177" s="9" t="n">
        <v>15.74</v>
      </c>
      <c r="D1177" s="3" t="inlineStr">
        <is>
          <t>Steinabrückl/Wöllersdorf</t>
        </is>
      </c>
      <c r="E1177" s="10" t="n">
        <v>45688.64006944445</v>
      </c>
      <c r="F1177" s="10" t="n">
        <v>45688.66856481481</v>
      </c>
      <c r="G1177" s="10" t="n">
        <v>45688.67028935185</v>
      </c>
      <c r="H1177" s="3" t="inlineStr">
        <is>
          <t>OBT310125161451-Steinabrückl/Wöllersdorf</t>
        </is>
      </c>
      <c r="I1177" s="10" t="n"/>
      <c r="J1177" s="10" t="n"/>
      <c r="K1177" s="10" t="n"/>
      <c r="L1177" s="10" t="n"/>
      <c r="M1177" s="11">
        <f>IF(AND(ISNUMBER(E1177),ISNUMBER(G1177)),(G1177-E1177),"")</f>
        <v/>
      </c>
      <c r="N1177" s="11">
        <f>IF(AND(ISNUMBER(G1177),ISNUMBER(L1177)),(L1177-G1177),"")</f>
        <v/>
      </c>
      <c r="O1177" s="10" t="n">
        <v>45688.67697916667</v>
      </c>
      <c r="P1177" s="11">
        <f>IF(AND(ISNUMBER(I1177),ISNUMBER(O1177)),(I1177-O1177),"")</f>
        <v/>
      </c>
      <c r="Q1177" s="12" t="inlineStr">
        <is>
          <t>WG 1032707 entered track and got coupled to WG 1032604, OBTP started on ? finished on ? and then left at ?</t>
        </is>
      </c>
    </row>
    <row r="1178">
      <c r="A1178" s="3" t="inlineStr">
        <is>
          <t>1032708</t>
        </is>
      </c>
      <c r="B1178" s="3" t="inlineStr">
        <is>
          <t>10327</t>
        </is>
      </c>
      <c r="C1178" s="9" t="n">
        <v>27</v>
      </c>
      <c r="D1178" s="3" t="inlineStr">
        <is>
          <t>Wr. Neustadt (Hödlmayr)</t>
        </is>
      </c>
      <c r="E1178" s="10" t="n">
        <v>45688.64006944445</v>
      </c>
      <c r="F1178" s="10" t="n"/>
      <c r="G1178" s="10" t="n"/>
      <c r="H1178" s="3" t="n"/>
      <c r="I1178" s="10" t="n"/>
      <c r="J1178" s="10" t="n"/>
      <c r="K1178" s="10" t="n"/>
      <c r="L1178" s="10" t="n"/>
      <c r="M1178" s="11">
        <f>IF(AND(ISNUMBER(E1178),ISNUMBER(G1178)),(G1178-E1178),"")</f>
        <v/>
      </c>
      <c r="N1178" s="11">
        <f>IF(AND(ISNUMBER(G1178),ISNUMBER(L1178)),(L1178-G1178),"")</f>
        <v/>
      </c>
      <c r="O1178" s="10" t="n"/>
      <c r="P1178" s="11">
        <f>IF(AND(ISNUMBER(I1178),ISNUMBER(O1178)),(I1178-O1178),"")</f>
        <v/>
      </c>
      <c r="Q1178" s="12" t="n"/>
    </row>
    <row r="1179">
      <c r="A1179" s="3" t="inlineStr">
        <is>
          <t>1032709</t>
        </is>
      </c>
      <c r="B1179" s="3" t="inlineStr">
        <is>
          <t>10327</t>
        </is>
      </c>
      <c r="C1179" s="9" t="n">
        <v>47.22</v>
      </c>
      <c r="D1179" s="3" t="inlineStr">
        <is>
          <t>Pitten (Hamburger)</t>
        </is>
      </c>
      <c r="E1179" s="10" t="n">
        <v>45688.64006944445</v>
      </c>
      <c r="F1179" s="10" t="n">
        <v>45688.67028935185</v>
      </c>
      <c r="G1179" s="10" t="n">
        <v>45688.67229166667</v>
      </c>
      <c r="H1179" s="3" t="inlineStr">
        <is>
          <t>OBT310125203626-Pitten (Hamburger)</t>
        </is>
      </c>
      <c r="I1179" s="10" t="n"/>
      <c r="J1179" s="10" t="n"/>
      <c r="K1179" s="10" t="n"/>
      <c r="L1179" s="10" t="n"/>
      <c r="M1179" s="11">
        <f>IF(AND(ISNUMBER(E1179),ISNUMBER(G1179)),(G1179-E1179),"")</f>
        <v/>
      </c>
      <c r="N1179" s="11">
        <f>IF(AND(ISNUMBER(G1179),ISNUMBER(L1179)),(L1179-G1179),"")</f>
        <v/>
      </c>
      <c r="O1179" s="10" t="n">
        <v>45688.67849537037</v>
      </c>
      <c r="P1179" s="11">
        <f>IF(AND(ISNUMBER(I1179),ISNUMBER(O1179)),(I1179-O1179),"")</f>
        <v/>
      </c>
      <c r="Q1179" s="12" t="inlineStr">
        <is>
          <t>WG 1032709 entered track and got coupled to WG 1032706 then waited 4:19:24 for WG 1033102 to get coupled, OBTP started on ? finished on ? and then left at ?</t>
        </is>
      </c>
    </row>
    <row r="1180">
      <c r="A1180" s="3" t="inlineStr">
        <is>
          <t>1032710</t>
        </is>
      </c>
      <c r="B1180" s="3" t="inlineStr">
        <is>
          <t>10327</t>
        </is>
      </c>
      <c r="C1180" s="9" t="n">
        <v>14</v>
      </c>
      <c r="D1180" s="3" t="inlineStr">
        <is>
          <t>Other sidings local</t>
        </is>
      </c>
      <c r="E1180" s="10" t="n">
        <v>45688.64006944445</v>
      </c>
      <c r="F1180" s="10" t="n">
        <v>45688.67229166667</v>
      </c>
      <c r="G1180" s="10" t="n">
        <v>45688.67428240741</v>
      </c>
      <c r="H1180" s="3" t="n"/>
      <c r="I1180" s="10" t="n"/>
      <c r="J1180" s="10" t="n"/>
      <c r="K1180" s="10" t="n"/>
      <c r="L1180" s="10" t="n"/>
      <c r="M1180" s="11">
        <f>IF(AND(ISNUMBER(E1180),ISNUMBER(G1180)),(G1180-E1180),"")</f>
        <v/>
      </c>
      <c r="N1180" s="11">
        <f>IF(AND(ISNUMBER(G1180),ISNUMBER(L1180)),(L1180-G1180),"")</f>
        <v/>
      </c>
      <c r="O1180" s="10" t="n">
        <v>45688.68172453704</v>
      </c>
      <c r="P1180" s="11">
        <f>IF(AND(ISNUMBER(I1180),ISNUMBER(O1180)),(I1180-O1180),"")</f>
        <v/>
      </c>
      <c r="Q1180" s="12" t="n"/>
    </row>
    <row r="1181">
      <c r="A1181" s="3" t="inlineStr">
        <is>
          <t>1032711</t>
        </is>
      </c>
      <c r="B1181" s="3" t="inlineStr">
        <is>
          <t>10327</t>
        </is>
      </c>
      <c r="C1181" s="9" t="n">
        <v>35.64</v>
      </c>
      <c r="D1181" s="3" t="inlineStr">
        <is>
          <t>Other sidings south</t>
        </is>
      </c>
      <c r="E1181" s="10" t="n">
        <v>45688.64006944445</v>
      </c>
      <c r="F1181" s="10" t="n">
        <v>45688.67428240741</v>
      </c>
      <c r="G1181" s="10" t="n">
        <v>45688.67579861111</v>
      </c>
      <c r="H1181" s="3" t="inlineStr">
        <is>
          <t>OBT310125162356-Other sidings south</t>
        </is>
      </c>
      <c r="I1181" s="10" t="n"/>
      <c r="J1181" s="10" t="n"/>
      <c r="K1181" s="10" t="n"/>
      <c r="L1181" s="10" t="n"/>
      <c r="M1181" s="11">
        <f>IF(AND(ISNUMBER(E1181),ISNUMBER(G1181)),(G1181-E1181),"")</f>
        <v/>
      </c>
      <c r="N1181" s="11">
        <f>IF(AND(ISNUMBER(G1181),ISNUMBER(L1181)),(L1181-G1181),"")</f>
        <v/>
      </c>
      <c r="O1181" s="10" t="n">
        <v>45688.68328703703</v>
      </c>
      <c r="P1181" s="11">
        <f>IF(AND(ISNUMBER(I1181),ISNUMBER(O1181)),(I1181-O1181),"")</f>
        <v/>
      </c>
      <c r="Q1181" s="12" t="inlineStr">
        <is>
          <t>WG 1032711 entered track and got coupled to WG 1032206, OBTP started on ? finished on ? and then left at ?</t>
        </is>
      </c>
    </row>
    <row r="1182">
      <c r="A1182" s="3" t="inlineStr">
        <is>
          <t>1032801</t>
        </is>
      </c>
      <c r="B1182" s="3" t="inlineStr">
        <is>
          <t>10328</t>
        </is>
      </c>
      <c r="C1182" s="9" t="n">
        <v>47.22</v>
      </c>
      <c r="D1182" s="3" t="inlineStr">
        <is>
          <t>Wien Kledering</t>
        </is>
      </c>
      <c r="E1182" s="10" t="n">
        <v>45688.64875</v>
      </c>
      <c r="F1182" s="10" t="n"/>
      <c r="G1182" s="10" t="n"/>
      <c r="H1182" s="3" t="n"/>
      <c r="I1182" s="10" t="n"/>
      <c r="J1182" s="10" t="n"/>
      <c r="K1182" s="10" t="n"/>
      <c r="L1182" s="10" t="n"/>
      <c r="M1182" s="11">
        <f>IF(AND(ISNUMBER(E1182),ISNUMBER(G1182)),(G1182-E1182),"")</f>
        <v/>
      </c>
      <c r="N1182" s="11">
        <f>IF(AND(ISNUMBER(G1182),ISNUMBER(L1182)),(L1182-G1182),"")</f>
        <v/>
      </c>
      <c r="O1182" s="10" t="n"/>
      <c r="P1182" s="11">
        <f>IF(AND(ISNUMBER(I1182),ISNUMBER(O1182)),(I1182-O1182),"")</f>
        <v/>
      </c>
      <c r="Q1182" s="12" t="n"/>
    </row>
    <row r="1183">
      <c r="A1183" s="3" t="inlineStr">
        <is>
          <t>1032901</t>
        </is>
      </c>
      <c r="B1183" s="3" t="inlineStr">
        <is>
          <t>10329</t>
        </is>
      </c>
      <c r="C1183" s="9" t="n">
        <v>302.1200000000001</v>
      </c>
      <c r="D1183" s="3" t="inlineStr">
        <is>
          <t>Wien Kledering</t>
        </is>
      </c>
      <c r="E1183" s="10" t="n">
        <v>45688.73206018518</v>
      </c>
      <c r="F1183" s="10" t="n">
        <v>45688.7382175926</v>
      </c>
      <c r="G1183" s="10" t="n">
        <v>45688.74016203704</v>
      </c>
      <c r="H1183" s="3" t="inlineStr">
        <is>
          <t>OBT310125174917-Wien Kledering</t>
        </is>
      </c>
      <c r="I1183" s="10" t="n"/>
      <c r="J1183" s="10" t="n"/>
      <c r="K1183" s="10" t="n"/>
      <c r="L1183" s="10" t="n"/>
      <c r="M1183" s="11">
        <f>IF(AND(ISNUMBER(E1183),ISNUMBER(G1183)),(G1183-E1183),"")</f>
        <v/>
      </c>
      <c r="N1183" s="11">
        <f>IF(AND(ISNUMBER(G1183),ISNUMBER(L1183)),(L1183-G1183),"")</f>
        <v/>
      </c>
      <c r="O1183" s="10" t="n">
        <v>45688.74255787037</v>
      </c>
      <c r="P1183" s="11">
        <f>IF(AND(ISNUMBER(I1183),ISNUMBER(O1183)),(I1183-O1183),"")</f>
        <v/>
      </c>
      <c r="Q1183" s="12" t="inlineStr">
        <is>
          <t>WG 1032901 entered track and got secured, OBTP started on ? finished on ? and then left at ?</t>
        </is>
      </c>
    </row>
    <row r="1184">
      <c r="A1184" s="3" t="inlineStr">
        <is>
          <t>1033001</t>
        </is>
      </c>
      <c r="B1184" s="3" t="inlineStr">
        <is>
          <t>10330</t>
        </is>
      </c>
      <c r="C1184" s="9" t="n">
        <v>193.12</v>
      </c>
      <c r="D1184" s="3" t="inlineStr">
        <is>
          <t>Wien Kledering</t>
        </is>
      </c>
      <c r="E1184" s="10" t="n">
        <v>45688.74155092592</v>
      </c>
      <c r="F1184" s="10" t="n">
        <v>45688.74671296297</v>
      </c>
      <c r="G1184" s="10" t="n">
        <v>45688.74900462963</v>
      </c>
      <c r="H1184" s="3" t="inlineStr">
        <is>
          <t>OBT310125180201-Wien Kledering</t>
        </is>
      </c>
      <c r="I1184" s="10" t="n"/>
      <c r="J1184" s="10" t="n"/>
      <c r="K1184" s="10" t="n"/>
      <c r="L1184" s="10" t="n"/>
      <c r="M1184" s="11">
        <f>IF(AND(ISNUMBER(E1184),ISNUMBER(G1184)),(G1184-E1184),"")</f>
        <v/>
      </c>
      <c r="N1184" s="11">
        <f>IF(AND(ISNUMBER(G1184),ISNUMBER(L1184)),(L1184-G1184),"")</f>
        <v/>
      </c>
      <c r="O1184" s="10" t="n">
        <v>45688.75140046296</v>
      </c>
      <c r="P1184" s="11">
        <f>IF(AND(ISNUMBER(I1184),ISNUMBER(O1184)),(I1184-O1184),"")</f>
        <v/>
      </c>
      <c r="Q1184" s="12" t="inlineStr">
        <is>
          <t>WG 1033001 entered track and got secured, OBTP started on ? finished on ? and then left at ?</t>
        </is>
      </c>
    </row>
    <row r="1185">
      <c r="A1185" s="3" t="inlineStr">
        <is>
          <t>1033101</t>
        </is>
      </c>
      <c r="B1185" s="3" t="inlineStr">
        <is>
          <t>10331</t>
        </is>
      </c>
      <c r="C1185" s="9" t="n">
        <v>162</v>
      </c>
      <c r="D1185" s="3" t="inlineStr">
        <is>
          <t>Wr. Neustadt (Hödlmayr)</t>
        </is>
      </c>
      <c r="E1185" s="10" t="n">
        <v>45688.83893518519</v>
      </c>
      <c r="F1185" s="10" t="n">
        <v>45688.85105324074</v>
      </c>
      <c r="G1185" s="10" t="n">
        <v>45688.853125</v>
      </c>
      <c r="H1185" s="3" t="inlineStr">
        <is>
          <t>OBT310125203154-Wr. Neustadt (Hödlmayr)</t>
        </is>
      </c>
      <c r="I1185" s="10" t="n"/>
      <c r="J1185" s="10" t="n"/>
      <c r="K1185" s="10" t="n"/>
      <c r="L1185" s="10" t="n"/>
      <c r="M1185" s="11">
        <f>IF(AND(ISNUMBER(E1185),ISNUMBER(G1185)),(G1185-E1185),"")</f>
        <v/>
      </c>
      <c r="N1185" s="11">
        <f>IF(AND(ISNUMBER(G1185),ISNUMBER(L1185)),(L1185-G1185),"")</f>
        <v/>
      </c>
      <c r="O1185" s="10" t="n">
        <v>45688.85548611111</v>
      </c>
      <c r="P1185" s="11">
        <f>IF(AND(ISNUMBER(I1185),ISNUMBER(O1185)),(I1185-O1185),"")</f>
        <v/>
      </c>
      <c r="Q1185" s="12" t="inlineStr">
        <is>
          <t>WG 1033101 entered track and got secured, OBTP started on ? finished on ? and then left at ?</t>
        </is>
      </c>
    </row>
    <row r="1186">
      <c r="A1186" s="3" t="inlineStr">
        <is>
          <t>1033102</t>
        </is>
      </c>
      <c r="B1186" s="3" t="inlineStr">
        <is>
          <t>10331</t>
        </is>
      </c>
      <c r="C1186" s="9" t="n">
        <v>23.24</v>
      </c>
      <c r="D1186" s="3" t="inlineStr">
        <is>
          <t>Pitten (Hamburger)</t>
        </is>
      </c>
      <c r="E1186" s="10" t="n">
        <v>45688.83893518519</v>
      </c>
      <c r="F1186" s="10" t="n">
        <v>45688.853125</v>
      </c>
      <c r="G1186" s="10" t="n">
        <v>45688.8550925926</v>
      </c>
      <c r="H1186" s="3" t="inlineStr">
        <is>
          <t>OBT310125203626-Pitten (Hamburger)</t>
        </is>
      </c>
      <c r="I1186" s="10" t="n"/>
      <c r="J1186" s="10" t="n"/>
      <c r="K1186" s="10" t="n"/>
      <c r="L1186" s="10" t="n"/>
      <c r="M1186" s="11">
        <f>IF(AND(ISNUMBER(E1186),ISNUMBER(G1186)),(G1186-E1186),"")</f>
        <v/>
      </c>
      <c r="N1186" s="11">
        <f>IF(AND(ISNUMBER(G1186),ISNUMBER(L1186)),(L1186-G1186),"")</f>
        <v/>
      </c>
      <c r="O1186" s="10" t="n">
        <v>45688.85863425926</v>
      </c>
      <c r="P1186" s="11">
        <f>IF(AND(ISNUMBER(I1186),ISNUMBER(O1186)),(I1186-O1186),"")</f>
        <v/>
      </c>
      <c r="Q1186" s="12" t="inlineStr">
        <is>
          <t>WG 1033102 entered track and got coupled to WG 1032709, OBTP started on ? finished on ? and then left at ?</t>
        </is>
      </c>
    </row>
    <row r="1187">
      <c r="A1187" s="3" t="inlineStr">
        <is>
          <t>1033103</t>
        </is>
      </c>
      <c r="B1187" s="3" t="inlineStr">
        <is>
          <t>10331</t>
        </is>
      </c>
      <c r="C1187" s="9" t="n">
        <v>19.9</v>
      </c>
      <c r="D1187" s="3" t="inlineStr">
        <is>
          <t>Wr. Neustadt Ausfahrbf (Furtenbach)</t>
        </is>
      </c>
      <c r="E1187" s="10" t="n">
        <v>45688.83893518519</v>
      </c>
      <c r="F1187" s="10" t="n">
        <v>45688.8550925926</v>
      </c>
      <c r="G1187" s="10" t="n">
        <v>45688.85671296297</v>
      </c>
      <c r="H1187" s="3" t="n"/>
      <c r="I1187" s="10" t="n"/>
      <c r="J1187" s="10" t="n"/>
      <c r="K1187" s="10" t="n"/>
      <c r="L1187" s="10" t="n"/>
      <c r="M1187" s="11">
        <f>IF(AND(ISNUMBER(E1187),ISNUMBER(G1187)),(G1187-E1187),"")</f>
        <v/>
      </c>
      <c r="N1187" s="11">
        <f>IF(AND(ISNUMBER(G1187),ISNUMBER(L1187)),(L1187-G1187),"")</f>
        <v/>
      </c>
      <c r="O1187" s="10" t="n">
        <v>45688.86060185185</v>
      </c>
      <c r="P1187" s="11">
        <f>IF(AND(ISNUMBER(I1187),ISNUMBER(O1187)),(I1187-O1187),"")</f>
        <v/>
      </c>
      <c r="Q1187" s="12" t="n"/>
    </row>
    <row r="1188">
      <c r="A1188" s="3" t="inlineStr">
        <is>
          <t>1033104</t>
        </is>
      </c>
      <c r="B1188" s="3" t="inlineStr">
        <is>
          <t>10331</t>
        </is>
      </c>
      <c r="C1188" s="9" t="n">
        <v>15.74</v>
      </c>
      <c r="D1188" s="3" t="inlineStr">
        <is>
          <t>Other sidings south</t>
        </is>
      </c>
      <c r="E1188" s="10" t="n">
        <v>45688.83893518519</v>
      </c>
      <c r="F1188" s="10" t="n">
        <v>45688.85671296297</v>
      </c>
      <c r="G1188" s="10" t="n">
        <v>45688.85862268518</v>
      </c>
      <c r="H1188" s="3" t="inlineStr">
        <is>
          <t>OBT310125204436-Other sidings south</t>
        </is>
      </c>
      <c r="I1188" s="10" t="n"/>
      <c r="J1188" s="10" t="n"/>
      <c r="K1188" s="10" t="n"/>
      <c r="L1188" s="10" t="n"/>
      <c r="M1188" s="11">
        <f>IF(AND(ISNUMBER(E1188),ISNUMBER(G1188)),(G1188-E1188),"")</f>
        <v/>
      </c>
      <c r="N1188" s="11">
        <f>IF(AND(ISNUMBER(G1188),ISNUMBER(L1188)),(L1188-G1188),"")</f>
        <v/>
      </c>
      <c r="O1188" s="10" t="n">
        <v>45688.86101851852</v>
      </c>
      <c r="P1188" s="11">
        <f>IF(AND(ISNUMBER(I1188),ISNUMBER(O1188)),(I1188-O1188),"")</f>
        <v/>
      </c>
      <c r="Q1188" s="12" t="inlineStr">
        <is>
          <t>WG 1033104 entered track and got secured then waited 0:04:44 for WG 1033105 to get coupled, OBTP started on ? finished on ? and then left at ?</t>
        </is>
      </c>
    </row>
    <row r="1189">
      <c r="A1189" s="3" t="inlineStr">
        <is>
          <t>1033105</t>
        </is>
      </c>
      <c r="B1189" s="3" t="inlineStr">
        <is>
          <t>10331</t>
        </is>
      </c>
      <c r="C1189" s="9" t="n">
        <v>110.26</v>
      </c>
      <c r="D1189" s="3" t="inlineStr">
        <is>
          <t>Other sidings north</t>
        </is>
      </c>
      <c r="E1189" s="10" t="n">
        <v>45688.83893518519</v>
      </c>
      <c r="F1189" s="10" t="n">
        <v>45688.85862268518</v>
      </c>
      <c r="G1189" s="10" t="n">
        <v>45688.86075231482</v>
      </c>
      <c r="H1189" s="3" t="inlineStr">
        <is>
          <t>OBT310125204436-Other sidings south</t>
        </is>
      </c>
      <c r="I1189" s="10" t="n"/>
      <c r="J1189" s="10" t="n"/>
      <c r="K1189" s="10" t="n"/>
      <c r="L1189" s="10" t="n"/>
      <c r="M1189" s="11">
        <f>IF(AND(ISNUMBER(E1189),ISNUMBER(G1189)),(G1189-E1189),"")</f>
        <v/>
      </c>
      <c r="N1189" s="11">
        <f>IF(AND(ISNUMBER(G1189),ISNUMBER(L1189)),(L1189-G1189),"")</f>
        <v/>
      </c>
      <c r="O1189" s="10" t="n">
        <v>45688.86430555556</v>
      </c>
      <c r="P1189" s="11">
        <f>IF(AND(ISNUMBER(I1189),ISNUMBER(O1189)),(I1189-O1189),"")</f>
        <v/>
      </c>
      <c r="Q1189" s="12" t="inlineStr">
        <is>
          <t>WG 1033105 entered track and got coupled to WG 1033104, OBTP started on ? finished on ? and then left at ?</t>
        </is>
      </c>
    </row>
    <row r="1190">
      <c r="A1190" s="3" t="inlineStr">
        <is>
          <t>1033106</t>
        </is>
      </c>
      <c r="B1190" s="3" t="inlineStr">
        <is>
          <t>10331</t>
        </is>
      </c>
      <c r="C1190" s="9" t="n">
        <v>19.9</v>
      </c>
      <c r="D1190" s="3" t="inlineStr">
        <is>
          <t>Felixdorf/Sollenau (Bundesheer, Maba)</t>
        </is>
      </c>
      <c r="E1190" s="10" t="n">
        <v>45688.83893518519</v>
      </c>
      <c r="F1190" s="10" t="n">
        <v>45688.86075231482</v>
      </c>
      <c r="G1190" s="10" t="n">
        <v>45688.86248842593</v>
      </c>
      <c r="H1190" s="3" t="n"/>
      <c r="I1190" s="10" t="n"/>
      <c r="J1190" s="10" t="n"/>
      <c r="K1190" s="10" t="n"/>
      <c r="L1190" s="10" t="n"/>
      <c r="M1190" s="11">
        <f>IF(AND(ISNUMBER(E1190),ISNUMBER(G1190)),(G1190-E1190),"")</f>
        <v/>
      </c>
      <c r="N1190" s="11">
        <f>IF(AND(ISNUMBER(G1190),ISNUMBER(L1190)),(L1190-G1190),"")</f>
        <v/>
      </c>
      <c r="O1190" s="10" t="n">
        <v>45688.86641203704</v>
      </c>
      <c r="P1190" s="11">
        <f>IF(AND(ISNUMBER(I1190),ISNUMBER(O1190)),(I1190-O1190),"")</f>
        <v/>
      </c>
      <c r="Q1190" s="12" t="n"/>
    </row>
  </sheetData>
  <autoFilter ref="A1:Q1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</cols>
  <sheetData>
    <row r="1" ht="45" customHeight="1">
      <c r="A1" s="1" t="inlineStr">
        <is>
          <t>ID</t>
        </is>
      </c>
      <c r="B1" s="1" t="inlineStr">
        <is>
          <t>Destination</t>
        </is>
      </c>
      <c r="C1" s="1" t="inlineStr">
        <is>
          <t>Length (m)</t>
        </is>
      </c>
      <c r="D1" s="1" t="inlineStr">
        <is>
          <t>Track</t>
        </is>
      </c>
      <c r="E1" s="1" t="inlineStr">
        <is>
          <t>OBTP init</t>
        </is>
      </c>
      <c r="F1" s="1" t="inlineStr">
        <is>
          <t>OBTP starts</t>
        </is>
      </c>
      <c r="G1" s="1" t="inlineStr">
        <is>
          <t>OBTP ends</t>
        </is>
      </c>
      <c r="H1" s="1" t="inlineStr">
        <is>
          <t>Departure drive init</t>
        </is>
      </c>
      <c r="I1" s="1" t="inlineStr">
        <is>
          <t>Departure drive starts</t>
        </is>
      </c>
      <c r="J1" s="1" t="inlineStr">
        <is>
          <t>Departure drive ends</t>
        </is>
      </c>
      <c r="K1" s="1" t="inlineStr">
        <is>
          <t>OBTP wait (hh:mm:ss)</t>
        </is>
      </c>
      <c r="L1" s="1" t="inlineStr">
        <is>
          <t>OBTP duration (hh:mm:ss)</t>
        </is>
      </c>
      <c r="M1" s="1" t="inlineStr">
        <is>
          <t>DEPD gate wait (hh:mm:ss)</t>
        </is>
      </c>
      <c r="N1" s="1" t="inlineStr">
        <is>
          <t>DEPD duration (hh:mm:ss)</t>
        </is>
      </c>
      <c r="O1" s="1" t="inlineStr">
        <is>
          <t>Total on classification track (hh:mm:ss)</t>
        </is>
      </c>
    </row>
    <row r="2">
      <c r="A2" s="3" t="inlineStr">
        <is>
          <t>OBT020125030112-Neunkirchen (loading tracks)</t>
        </is>
      </c>
      <c r="B2" s="3" t="inlineStr">
        <is>
          <t>Neunkirchen (loading tracks)</t>
        </is>
      </c>
      <c r="C2" s="9" t="n">
        <v>103.9</v>
      </c>
      <c r="D2" s="3" t="inlineStr">
        <is>
          <t>613</t>
        </is>
      </c>
      <c r="E2" s="10" t="n">
        <v>45659.12583333333</v>
      </c>
      <c r="F2" s="10" t="n">
        <v>45659.12670138889</v>
      </c>
      <c r="G2" s="10" t="n">
        <v>45659.1447337963</v>
      </c>
      <c r="H2" s="10" t="n">
        <v>45659.1447337963</v>
      </c>
      <c r="I2" s="10" t="n">
        <v>45659.1447337963</v>
      </c>
      <c r="J2" s="10" t="n">
        <v>45659.14540509259</v>
      </c>
      <c r="K2" s="11">
        <f>IF(AND(ISNUMBER(E2),ISNUMBER(F2)),(F2-E2),"")</f>
        <v/>
      </c>
      <c r="L2" s="11">
        <f>IF(AND(ISNUMBER(F2),ISNUMBER(G2)),(G2-F2),"")</f>
        <v/>
      </c>
      <c r="M2" s="11">
        <f>IF(AND(ISNUMBER(H2),ISNUMBER(I2)),(I2-H2),"")</f>
        <v/>
      </c>
      <c r="N2" s="11">
        <f>IF(AND(ISNUMBER(I2),ISNUMBER(J2)),(J2-I2),"")</f>
        <v/>
      </c>
      <c r="O2" s="11">
        <f>IF(AND(ISNUMBER(E2),ISNUMBER(J2)),(J2-E2),"")</f>
        <v/>
      </c>
    </row>
    <row r="3">
      <c r="A3" s="3" t="inlineStr">
        <is>
          <t>OBT020125064334-Wien Kledering</t>
        </is>
      </c>
      <c r="B3" s="3" t="inlineStr">
        <is>
          <t>Wien Kledering</t>
        </is>
      </c>
      <c r="C3" s="9" t="n">
        <v>182.7</v>
      </c>
      <c r="D3" s="3" t="inlineStr">
        <is>
          <t>613</t>
        </is>
      </c>
      <c r="E3" s="10" t="n">
        <v>45659.28025462963</v>
      </c>
      <c r="F3" s="10" t="n">
        <v>45659.28109953704</v>
      </c>
      <c r="G3" s="10" t="n">
        <v>45659.3128125</v>
      </c>
      <c r="H3" s="10" t="n">
        <v>45659.3128125</v>
      </c>
      <c r="I3" s="10" t="n">
        <v>45659.3128125</v>
      </c>
      <c r="J3" s="10" t="n">
        <v>45659.31366898148</v>
      </c>
      <c r="K3" s="11">
        <f>IF(AND(ISNUMBER(E3),ISNUMBER(F3)),(F3-E3),"")</f>
        <v/>
      </c>
      <c r="L3" s="11">
        <f>IF(AND(ISNUMBER(F3),ISNUMBER(G3)),(G3-F3),"")</f>
        <v/>
      </c>
      <c r="M3" s="11">
        <f>IF(AND(ISNUMBER(H3),ISNUMBER(I3)),(I3-H3),"")</f>
        <v/>
      </c>
      <c r="N3" s="11">
        <f>IF(AND(ISNUMBER(I3),ISNUMBER(J3)),(J3-I3),"")</f>
        <v/>
      </c>
      <c r="O3" s="11">
        <f>IF(AND(ISNUMBER(E3),ISNUMBER(J3)),(J3-E3),"")</f>
        <v/>
      </c>
    </row>
    <row r="4">
      <c r="A4" s="3" t="inlineStr">
        <is>
          <t>OBT020125073857-Wien Kledering</t>
        </is>
      </c>
      <c r="B4" s="3" t="inlineStr">
        <is>
          <t>Wien Kledering</t>
        </is>
      </c>
      <c r="C4" s="9" t="n">
        <v>188.96</v>
      </c>
      <c r="D4" s="3" t="inlineStr">
        <is>
          <t>621</t>
        </is>
      </c>
      <c r="E4" s="10" t="n">
        <v>45659.31871527778</v>
      </c>
      <c r="F4" s="10" t="n">
        <v>45659.31954861111</v>
      </c>
      <c r="G4" s="10" t="n">
        <v>45659.35234953704</v>
      </c>
      <c r="H4" s="10" t="n">
        <v>45659.35234953704</v>
      </c>
      <c r="I4" s="10" t="n">
        <v>45659.35234953704</v>
      </c>
      <c r="J4" s="10" t="n">
        <v>45659.35333333333</v>
      </c>
      <c r="K4" s="11">
        <f>IF(AND(ISNUMBER(E4),ISNUMBER(F4)),(F4-E4),"")</f>
        <v/>
      </c>
      <c r="L4" s="11">
        <f>IF(AND(ISNUMBER(F4),ISNUMBER(G4)),(G4-F4),"")</f>
        <v/>
      </c>
      <c r="M4" s="11">
        <f>IF(AND(ISNUMBER(H4),ISNUMBER(I4)),(I4-H4),"")</f>
        <v/>
      </c>
      <c r="N4" s="11">
        <f>IF(AND(ISNUMBER(I4),ISNUMBER(J4)),(J4-I4),"")</f>
        <v/>
      </c>
      <c r="O4" s="11">
        <f>IF(AND(ISNUMBER(E4),ISNUMBER(J4)),(J4-E4),"")</f>
        <v/>
      </c>
    </row>
    <row r="5">
      <c r="A5" s="3" t="inlineStr">
        <is>
          <t>OBT020125074750-Pitten (Hamburger)</t>
        </is>
      </c>
      <c r="B5" s="3" t="inlineStr">
        <is>
          <t>Pitten (Hamburger)</t>
        </is>
      </c>
      <c r="C5" s="9" t="n">
        <v>264.62</v>
      </c>
      <c r="D5" s="3" t="inlineStr">
        <is>
          <t>605</t>
        </is>
      </c>
      <c r="E5" s="10" t="n">
        <v>45659.32488425926</v>
      </c>
      <c r="F5" s="10" t="n">
        <v>45659.32586805556</v>
      </c>
      <c r="G5" s="10" t="n">
        <v>45659.37180555556</v>
      </c>
      <c r="H5" s="10" t="n">
        <v>45659.37180555556</v>
      </c>
      <c r="I5" s="10" t="n">
        <v>45659.37180555556</v>
      </c>
      <c r="J5" s="10" t="n">
        <v>45659.37302083334</v>
      </c>
      <c r="K5" s="11">
        <f>IF(AND(ISNUMBER(E5),ISNUMBER(F5)),(F5-E5),"")</f>
        <v/>
      </c>
      <c r="L5" s="11">
        <f>IF(AND(ISNUMBER(F5),ISNUMBER(G5)),(G5-F5),"")</f>
        <v/>
      </c>
      <c r="M5" s="11">
        <f>IF(AND(ISNUMBER(H5),ISNUMBER(I5)),(I5-H5),"")</f>
        <v/>
      </c>
      <c r="N5" s="11">
        <f>IF(AND(ISNUMBER(I5),ISNUMBER(J5)),(J5-I5),"")</f>
        <v/>
      </c>
      <c r="O5" s="11">
        <f>IF(AND(ISNUMBER(E5),ISNUMBER(J5)),(J5-E5),"")</f>
        <v/>
      </c>
    </row>
    <row r="6">
      <c r="A6" s="3" t="inlineStr">
        <is>
          <t>OBT020125082044-Wien Kledering</t>
        </is>
      </c>
      <c r="B6" s="3" t="inlineStr">
        <is>
          <t>Wien Kledering</t>
        </is>
      </c>
      <c r="C6" s="9" t="n">
        <v>396.5600000000001</v>
      </c>
      <c r="D6" s="3" t="inlineStr">
        <is>
          <t>613</t>
        </is>
      </c>
      <c r="E6" s="10" t="n">
        <v>45659.34773148148</v>
      </c>
      <c r="F6" s="10" t="n">
        <v>45659.34944444444</v>
      </c>
      <c r="G6" s="10" t="n">
        <v>45659.41829861111</v>
      </c>
      <c r="H6" s="10" t="n">
        <v>45659.41829861111</v>
      </c>
      <c r="I6" s="10" t="n">
        <v>45659.41829861111</v>
      </c>
      <c r="J6" s="10" t="n">
        <v>45659.41964120371</v>
      </c>
      <c r="K6" s="11">
        <f>IF(AND(ISNUMBER(E6),ISNUMBER(F6)),(F6-E6),"")</f>
        <v/>
      </c>
      <c r="L6" s="11">
        <f>IF(AND(ISNUMBER(F6),ISNUMBER(G6)),(G6-F6),"")</f>
        <v/>
      </c>
      <c r="M6" s="11">
        <f>IF(AND(ISNUMBER(H6),ISNUMBER(I6)),(I6-H6),"")</f>
        <v/>
      </c>
      <c r="N6" s="11">
        <f>IF(AND(ISNUMBER(I6),ISNUMBER(J6)),(J6-I6),"")</f>
        <v/>
      </c>
      <c r="O6" s="11">
        <f>IF(AND(ISNUMBER(E6),ISNUMBER(J6)),(J6-E6),"")</f>
        <v/>
      </c>
    </row>
    <row r="7">
      <c r="A7" s="3" t="inlineStr">
        <is>
          <t>OBT020125092035-Wien Kledering</t>
        </is>
      </c>
      <c r="B7" s="3" t="inlineStr">
        <is>
          <t>Wien Kledering</t>
        </is>
      </c>
      <c r="C7" s="9" t="n">
        <v>142.2</v>
      </c>
      <c r="D7" s="3" t="inlineStr">
        <is>
          <t>629</t>
        </is>
      </c>
      <c r="E7" s="10" t="n">
        <v>45659.38929398148</v>
      </c>
      <c r="F7" s="10" t="n">
        <v>45659.39012731481</v>
      </c>
      <c r="G7" s="10" t="n">
        <v>45659.41481481482</v>
      </c>
      <c r="H7" s="10" t="n">
        <v>45659.41481481482</v>
      </c>
      <c r="I7" s="10" t="n">
        <v>45659.41481481482</v>
      </c>
      <c r="J7" s="10" t="n">
        <v>45659.41552083333</v>
      </c>
      <c r="K7" s="11">
        <f>IF(AND(ISNUMBER(E7),ISNUMBER(F7)),(F7-E7),"")</f>
        <v/>
      </c>
      <c r="L7" s="11">
        <f>IF(AND(ISNUMBER(F7),ISNUMBER(G7)),(G7-F7),"")</f>
        <v/>
      </c>
      <c r="M7" s="11">
        <f>IF(AND(ISNUMBER(H7),ISNUMBER(I7)),(I7-H7),"")</f>
        <v/>
      </c>
      <c r="N7" s="11">
        <f>IF(AND(ISNUMBER(I7),ISNUMBER(J7)),(J7-I7),"")</f>
        <v/>
      </c>
      <c r="O7" s="11">
        <f>IF(AND(ISNUMBER(E7),ISNUMBER(J7)),(J7-E7),"")</f>
        <v/>
      </c>
    </row>
    <row r="8">
      <c r="A8" s="3" t="inlineStr">
        <is>
          <t>OBT020125093208-Other sidings north</t>
        </is>
      </c>
      <c r="B8" s="3" t="inlineStr">
        <is>
          <t>Other sidings north</t>
        </is>
      </c>
      <c r="C8" s="9" t="n">
        <v>134.24</v>
      </c>
      <c r="D8" s="3" t="inlineStr">
        <is>
          <t>619</t>
        </is>
      </c>
      <c r="E8" s="10" t="n">
        <v>45659.39731481481</v>
      </c>
      <c r="F8" s="10" t="n">
        <v>45659.41431712963</v>
      </c>
      <c r="G8" s="10" t="n">
        <v>45659.43761574074</v>
      </c>
      <c r="H8" s="10" t="n">
        <v>45659.43761574074</v>
      </c>
      <c r="I8" s="10" t="n">
        <v>45659.43761574074</v>
      </c>
      <c r="J8" s="10" t="n">
        <v>45659.43848379629</v>
      </c>
      <c r="K8" s="11">
        <f>IF(AND(ISNUMBER(E8),ISNUMBER(F8)),(F8-E8),"")</f>
        <v/>
      </c>
      <c r="L8" s="11">
        <f>IF(AND(ISNUMBER(F8),ISNUMBER(G8)),(G8-F8),"")</f>
        <v/>
      </c>
      <c r="M8" s="11">
        <f>IF(AND(ISNUMBER(H8),ISNUMBER(I8)),(I8-H8),"")</f>
        <v/>
      </c>
      <c r="N8" s="11">
        <f>IF(AND(ISNUMBER(I8),ISNUMBER(J8)),(J8-I8),"")</f>
        <v/>
      </c>
      <c r="O8" s="11">
        <f>IF(AND(ISNUMBER(E8),ISNUMBER(J8)),(J8-E8),"")</f>
        <v/>
      </c>
    </row>
    <row r="9">
      <c r="A9" s="3" t="inlineStr">
        <is>
          <t>OBT020125093825-Wr. Neustadt (Hödlmayr)</t>
        </is>
      </c>
      <c r="B9" s="3" t="inlineStr">
        <is>
          <t>Wr. Neustadt (Hödlmayr)</t>
        </is>
      </c>
      <c r="C9" s="9" t="n">
        <v>108</v>
      </c>
      <c r="D9" s="3" t="inlineStr">
        <is>
          <t>609</t>
        </is>
      </c>
      <c r="E9" s="10" t="n">
        <v>45659.40167824074</v>
      </c>
      <c r="F9" s="10" t="n">
        <v>45659.41649305556</v>
      </c>
      <c r="G9" s="10" t="n">
        <v>45659.43524305556</v>
      </c>
      <c r="H9" s="10" t="n">
        <v>45659.43524305556</v>
      </c>
      <c r="I9" s="10" t="n">
        <v>45659.43524305556</v>
      </c>
      <c r="J9" s="10" t="n">
        <v>45659.43603009259</v>
      </c>
      <c r="K9" s="11">
        <f>IF(AND(ISNUMBER(E9),ISNUMBER(F9)),(F9-E9),"")</f>
        <v/>
      </c>
      <c r="L9" s="11">
        <f>IF(AND(ISNUMBER(F9),ISNUMBER(G9)),(G9-F9),"")</f>
        <v/>
      </c>
      <c r="M9" s="11">
        <f>IF(AND(ISNUMBER(H9),ISNUMBER(I9)),(I9-H9),"")</f>
        <v/>
      </c>
      <c r="N9" s="11">
        <f>IF(AND(ISNUMBER(I9),ISNUMBER(J9)),(J9-I9),"")</f>
        <v/>
      </c>
      <c r="O9" s="11">
        <f>IF(AND(ISNUMBER(E9),ISNUMBER(J9)),(J9-E9),"")</f>
        <v/>
      </c>
    </row>
    <row r="10">
      <c r="A10" s="3" t="inlineStr">
        <is>
          <t>OBT020125094857-Pitten (Hamburger)</t>
        </is>
      </c>
      <c r="B10" s="3" t="inlineStr">
        <is>
          <t>Pitten (Hamburger)</t>
        </is>
      </c>
      <c r="C10" s="9" t="n">
        <v>194.16</v>
      </c>
      <c r="D10" s="3" t="inlineStr">
        <is>
          <t>629</t>
        </is>
      </c>
      <c r="E10" s="10" t="n">
        <v>45659.40899305556</v>
      </c>
      <c r="F10" s="10" t="n">
        <v>45659.42003472222</v>
      </c>
      <c r="G10" s="10" t="n">
        <v>45659.45373842592</v>
      </c>
      <c r="H10" s="10" t="n">
        <v>45659.45373842592</v>
      </c>
      <c r="I10" s="10" t="n">
        <v>45659.45373842592</v>
      </c>
      <c r="J10" s="10" t="n">
        <v>45659.45457175926</v>
      </c>
      <c r="K10" s="11">
        <f>IF(AND(ISNUMBER(E10),ISNUMBER(F10)),(F10-E10),"")</f>
        <v/>
      </c>
      <c r="L10" s="11">
        <f>IF(AND(ISNUMBER(F10),ISNUMBER(G10)),(G10-F10),"")</f>
        <v/>
      </c>
      <c r="M10" s="11">
        <f>IF(AND(ISNUMBER(H10),ISNUMBER(I10)),(I10-H10),"")</f>
        <v/>
      </c>
      <c r="N10" s="11">
        <f>IF(AND(ISNUMBER(I10),ISNUMBER(J10)),(J10-I10),"")</f>
        <v/>
      </c>
      <c r="O10" s="11">
        <f>IF(AND(ISNUMBER(E10),ISNUMBER(J10)),(J10-E10),"")</f>
        <v/>
      </c>
    </row>
    <row r="11">
      <c r="A11" s="3" t="inlineStr">
        <is>
          <t>OBT020125105809-Wien Kledering</t>
        </is>
      </c>
      <c r="B11" s="3" t="inlineStr">
        <is>
          <t>Wien Kledering</t>
        </is>
      </c>
      <c r="C11" s="9" t="n">
        <v>367.1600000000001</v>
      </c>
      <c r="D11" s="3" t="inlineStr">
        <is>
          <t>613</t>
        </is>
      </c>
      <c r="E11" s="10" t="n">
        <v>45659.45704861111</v>
      </c>
      <c r="F11" s="10" t="n">
        <v>45659.45791666667</v>
      </c>
      <c r="G11" s="10" t="n">
        <v>45659.52166666667</v>
      </c>
      <c r="H11" s="10" t="n">
        <v>45659.52166666667</v>
      </c>
      <c r="I11" s="10" t="n">
        <v>45659.52166666667</v>
      </c>
      <c r="J11" s="10" t="n">
        <v>45659.52293981481</v>
      </c>
      <c r="K11" s="11">
        <f>IF(AND(ISNUMBER(E11),ISNUMBER(F11)),(F11-E11),"")</f>
        <v/>
      </c>
      <c r="L11" s="11">
        <f>IF(AND(ISNUMBER(F11),ISNUMBER(G11)),(G11-F11),"")</f>
        <v/>
      </c>
      <c r="M11" s="11">
        <f>IF(AND(ISNUMBER(H11),ISNUMBER(I11)),(I11-H11),"")</f>
        <v/>
      </c>
      <c r="N11" s="11">
        <f>IF(AND(ISNUMBER(I11),ISNUMBER(J11)),(J11-I11),"")</f>
        <v/>
      </c>
      <c r="O11" s="11">
        <f>IF(AND(ISNUMBER(E11),ISNUMBER(J11)),(J11-E11),"")</f>
        <v/>
      </c>
    </row>
    <row r="12">
      <c r="A12" s="3" t="inlineStr">
        <is>
          <t>OBT020125145206-Wien Kledering</t>
        </is>
      </c>
      <c r="B12" s="3" t="inlineStr">
        <is>
          <t>Wien Kledering</t>
        </is>
      </c>
      <c r="C12" s="9" t="n">
        <v>287.1200000000001</v>
      </c>
      <c r="D12" s="3" t="inlineStr">
        <is>
          <t>613</t>
        </is>
      </c>
      <c r="E12" s="10" t="n">
        <v>45659.61951388889</v>
      </c>
      <c r="F12" s="10" t="n">
        <v>45659.62038194444</v>
      </c>
      <c r="G12" s="10" t="n">
        <v>45659.67023148148</v>
      </c>
      <c r="H12" s="10" t="n">
        <v>45659.67023148148</v>
      </c>
      <c r="I12" s="10" t="n">
        <v>45659.67023148148</v>
      </c>
      <c r="J12" s="10" t="n">
        <v>45659.67131944445</v>
      </c>
      <c r="K12" s="11">
        <f>IF(AND(ISNUMBER(E12),ISNUMBER(F12)),(F12-E12),"")</f>
        <v/>
      </c>
      <c r="L12" s="11">
        <f>IF(AND(ISNUMBER(F12),ISNUMBER(G12)),(G12-F12),"")</f>
        <v/>
      </c>
      <c r="M12" s="11">
        <f>IF(AND(ISNUMBER(H12),ISNUMBER(I12)),(I12-H12),"")</f>
        <v/>
      </c>
      <c r="N12" s="11">
        <f>IF(AND(ISNUMBER(I12),ISNUMBER(J12)),(J12-I12),"")</f>
        <v/>
      </c>
      <c r="O12" s="11">
        <f>IF(AND(ISNUMBER(E12),ISNUMBER(J12)),(J12-E12),"")</f>
        <v/>
      </c>
    </row>
    <row r="13">
      <c r="A13" s="3" t="inlineStr">
        <is>
          <t>OBT020125152222-Ternitz (Schoeller-Bleckmann)</t>
        </is>
      </c>
      <c r="B13" s="3" t="inlineStr">
        <is>
          <t>Ternitz (Schoeller-Bleckmann)</t>
        </is>
      </c>
      <c r="C13" s="9" t="n">
        <v>363.4</v>
      </c>
      <c r="D13" s="3" t="inlineStr">
        <is>
          <t>627</t>
        </is>
      </c>
      <c r="E13" s="10" t="n">
        <v>45659.64053240741</v>
      </c>
      <c r="F13" s="10" t="n">
        <v>45659.64138888889</v>
      </c>
      <c r="G13" s="10" t="n">
        <v>45659.70447916666</v>
      </c>
      <c r="H13" s="10" t="n">
        <v>45659.70447916666</v>
      </c>
      <c r="I13" s="10" t="n">
        <v>45659.70460648148</v>
      </c>
      <c r="J13" s="10" t="n">
        <v>45659.70583333333</v>
      </c>
      <c r="K13" s="11">
        <f>IF(AND(ISNUMBER(E13),ISNUMBER(F13)),(F13-E13),"")</f>
        <v/>
      </c>
      <c r="L13" s="11">
        <f>IF(AND(ISNUMBER(F13),ISNUMBER(G13)),(G13-F13),"")</f>
        <v/>
      </c>
      <c r="M13" s="11">
        <f>IF(AND(ISNUMBER(H13),ISNUMBER(I13)),(I13-H13),"")</f>
        <v/>
      </c>
      <c r="N13" s="11">
        <f>IF(AND(ISNUMBER(I13),ISNUMBER(J13)),(J13-I13),"")</f>
        <v/>
      </c>
      <c r="O13" s="11">
        <f>IF(AND(ISNUMBER(E13),ISNUMBER(J13)),(J13-E13),"")</f>
        <v/>
      </c>
    </row>
    <row r="14">
      <c r="A14" s="3" t="inlineStr">
        <is>
          <t>OBT020125154035-Neudörfl (FunderMax)</t>
        </is>
      </c>
      <c r="B14" s="3" t="inlineStr">
        <is>
          <t>Neudörfl (FunderMax)</t>
        </is>
      </c>
      <c r="C14" s="9" t="n">
        <v>114.8</v>
      </c>
      <c r="D14" s="3" t="inlineStr">
        <is>
          <t>606</t>
        </is>
      </c>
      <c r="E14" s="10" t="n">
        <v>45659.65318287037</v>
      </c>
      <c r="F14" s="10" t="n">
        <v>45659.66200231481</v>
      </c>
      <c r="G14" s="10" t="n">
        <v>45659.68193287037</v>
      </c>
      <c r="H14" s="10" t="n">
        <v>45659.68193287037</v>
      </c>
      <c r="I14" s="10" t="n">
        <v>45659.68193287037</v>
      </c>
      <c r="J14" s="10" t="n">
        <v>45659.68270833333</v>
      </c>
      <c r="K14" s="11">
        <f>IF(AND(ISNUMBER(E14),ISNUMBER(F14)),(F14-E14),"")</f>
        <v/>
      </c>
      <c r="L14" s="11">
        <f>IF(AND(ISNUMBER(F14),ISNUMBER(G14)),(G14-F14),"")</f>
        <v/>
      </c>
      <c r="M14" s="11">
        <f>IF(AND(ISNUMBER(H14),ISNUMBER(I14)),(I14-H14),"")</f>
        <v/>
      </c>
      <c r="N14" s="11">
        <f>IF(AND(ISNUMBER(I14),ISNUMBER(J14)),(J14-I14),"")</f>
        <v/>
      </c>
      <c r="O14" s="11">
        <f>IF(AND(ISNUMBER(E14),ISNUMBER(J14)),(J14-E14),"")</f>
        <v/>
      </c>
    </row>
    <row r="15">
      <c r="A15" s="3" t="inlineStr">
        <is>
          <t>OBT020125154208-Pitten (Hamburger)</t>
        </is>
      </c>
      <c r="B15" s="3" t="inlineStr">
        <is>
          <t>Pitten (Hamburger)</t>
        </is>
      </c>
      <c r="C15" s="9" t="n">
        <v>257.1200000000001</v>
      </c>
      <c r="D15" s="3" t="inlineStr">
        <is>
          <t>629</t>
        </is>
      </c>
      <c r="E15" s="10" t="n">
        <v>45659.65425925926</v>
      </c>
      <c r="F15" s="10" t="n">
        <v>45659.67196759259</v>
      </c>
      <c r="G15" s="10" t="n">
        <v>45659.7166087963</v>
      </c>
      <c r="H15" s="10" t="n">
        <v>45659.7166087963</v>
      </c>
      <c r="I15" s="10" t="n">
        <v>45659.7166087963</v>
      </c>
      <c r="J15" s="10" t="n">
        <v>45659.71758101852</v>
      </c>
      <c r="K15" s="11">
        <f>IF(AND(ISNUMBER(E15),ISNUMBER(F15)),(F15-E15),"")</f>
        <v/>
      </c>
      <c r="L15" s="11">
        <f>IF(AND(ISNUMBER(F15),ISNUMBER(G15)),(G15-F15),"")</f>
        <v/>
      </c>
      <c r="M15" s="11">
        <f>IF(AND(ISNUMBER(H15),ISNUMBER(I15)),(I15-H15),"")</f>
        <v/>
      </c>
      <c r="N15" s="11">
        <f>IF(AND(ISNUMBER(I15),ISNUMBER(J15)),(J15-I15),"")</f>
        <v/>
      </c>
      <c r="O15" s="11">
        <f>IF(AND(ISNUMBER(E15),ISNUMBER(J15)),(J15-E15),"")</f>
        <v/>
      </c>
    </row>
    <row r="16">
      <c r="A16" s="3" t="inlineStr">
        <is>
          <t>OBT020125155102-Other sidings north</t>
        </is>
      </c>
      <c r="B16" s="3" t="inlineStr">
        <is>
          <t>Other sidings north</t>
        </is>
      </c>
      <c r="C16" s="9" t="n">
        <v>117.76</v>
      </c>
      <c r="D16" s="3" t="inlineStr">
        <is>
          <t>629</t>
        </is>
      </c>
      <c r="E16" s="10" t="n">
        <v>45659.66043981481</v>
      </c>
      <c r="F16" s="10" t="n">
        <v>45659.68350694444</v>
      </c>
      <c r="G16" s="10" t="n">
        <v>45659.70394675926</v>
      </c>
      <c r="H16" s="10" t="n">
        <v>45659.70394675926</v>
      </c>
      <c r="I16" s="10" t="n">
        <v>45659.70394675926</v>
      </c>
      <c r="J16" s="10" t="n">
        <v>45659.70460648148</v>
      </c>
      <c r="K16" s="11">
        <f>IF(AND(ISNUMBER(E16),ISNUMBER(F16)),(F16-E16),"")</f>
        <v/>
      </c>
      <c r="L16" s="11">
        <f>IF(AND(ISNUMBER(F16),ISNUMBER(G16)),(G16-F16),"")</f>
        <v/>
      </c>
      <c r="M16" s="11">
        <f>IF(AND(ISNUMBER(H16),ISNUMBER(I16)),(I16-H16),"")</f>
        <v/>
      </c>
      <c r="N16" s="11">
        <f>IF(AND(ISNUMBER(I16),ISNUMBER(J16)),(J16-I16),"")</f>
        <v/>
      </c>
      <c r="O16" s="11">
        <f>IF(AND(ISNUMBER(E16),ISNUMBER(J16)),(J16-E16),"")</f>
        <v/>
      </c>
    </row>
    <row r="17">
      <c r="A17" s="3" t="inlineStr">
        <is>
          <t>OBT020125183042-Wr. Neustadt (Hödlmayr)</t>
        </is>
      </c>
      <c r="B17" s="3" t="inlineStr">
        <is>
          <t>Wr. Neustadt (Hödlmayr)</t>
        </is>
      </c>
      <c r="C17" s="9" t="n">
        <v>216</v>
      </c>
      <c r="D17" s="3" t="inlineStr">
        <is>
          <t>619</t>
        </is>
      </c>
      <c r="E17" s="10" t="n">
        <v>45659.77131944444</v>
      </c>
      <c r="F17" s="10" t="n">
        <v>45659.77215277778</v>
      </c>
      <c r="G17" s="10" t="n">
        <v>45659.80965277777</v>
      </c>
      <c r="H17" s="10" t="n">
        <v>45659.80965277777</v>
      </c>
      <c r="I17" s="10" t="n">
        <v>45659.80965277777</v>
      </c>
      <c r="J17" s="10" t="n">
        <v>45659.81069444444</v>
      </c>
      <c r="K17" s="11">
        <f>IF(AND(ISNUMBER(E17),ISNUMBER(F17)),(F17-E17),"")</f>
        <v/>
      </c>
      <c r="L17" s="11">
        <f>IF(AND(ISNUMBER(F17),ISNUMBER(G17)),(G17-F17),"")</f>
        <v/>
      </c>
      <c r="M17" s="11">
        <f>IF(AND(ISNUMBER(H17),ISNUMBER(I17)),(I17-H17),"")</f>
        <v/>
      </c>
      <c r="N17" s="11">
        <f>IF(AND(ISNUMBER(I17),ISNUMBER(J17)),(J17-I17),"")</f>
        <v/>
      </c>
      <c r="O17" s="11">
        <f>IF(AND(ISNUMBER(E17),ISNUMBER(J17)),(J17-E17),"")</f>
        <v/>
      </c>
    </row>
    <row r="18">
      <c r="A18" s="3" t="inlineStr">
        <is>
          <t>OBT020125183645-Pitten (Hamburger)</t>
        </is>
      </c>
      <c r="B18" s="3" t="inlineStr">
        <is>
          <t>Pitten (Hamburger)</t>
        </is>
      </c>
      <c r="C18" s="9" t="n">
        <v>194.16</v>
      </c>
      <c r="D18" s="3" t="inlineStr">
        <is>
          <t>627</t>
        </is>
      </c>
      <c r="E18" s="10" t="n">
        <v>45659.77552083333</v>
      </c>
      <c r="F18" s="10" t="n">
        <v>45659.77638888889</v>
      </c>
      <c r="G18" s="10" t="n">
        <v>45659.81009259259</v>
      </c>
      <c r="H18" s="10" t="n">
        <v>45659.81009259259</v>
      </c>
      <c r="I18" s="10" t="n">
        <v>45659.81069444444</v>
      </c>
      <c r="J18" s="10" t="n">
        <v>45659.81153935185</v>
      </c>
      <c r="K18" s="11">
        <f>IF(AND(ISNUMBER(E18),ISNUMBER(F18)),(F18-E18),"")</f>
        <v/>
      </c>
      <c r="L18" s="11">
        <f>IF(AND(ISNUMBER(F18),ISNUMBER(G18)),(G18-F18),"")</f>
        <v/>
      </c>
      <c r="M18" s="11">
        <f>IF(AND(ISNUMBER(H18),ISNUMBER(I18)),(I18-H18),"")</f>
        <v/>
      </c>
      <c r="N18" s="11">
        <f>IF(AND(ISNUMBER(I18),ISNUMBER(J18)),(J18-I18),"")</f>
        <v/>
      </c>
      <c r="O18" s="11">
        <f>IF(AND(ISNUMBER(E18),ISNUMBER(J18)),(J18-E18),"")</f>
        <v/>
      </c>
    </row>
    <row r="19">
      <c r="A19" s="3" t="inlineStr">
        <is>
          <t>OBT020125184418-Neunkirchen (loading tracks)</t>
        </is>
      </c>
      <c r="B19" s="3" t="inlineStr">
        <is>
          <t>Neunkirchen (loading tracks)</t>
        </is>
      </c>
      <c r="C19" s="9" t="n">
        <v>102.8</v>
      </c>
      <c r="D19" s="3" t="inlineStr">
        <is>
          <t>623</t>
        </is>
      </c>
      <c r="E19" s="10" t="n">
        <v>45659.78076388889</v>
      </c>
      <c r="F19" s="10" t="n">
        <v>45659.78405092593</v>
      </c>
      <c r="G19" s="10" t="n">
        <v>45659.80189814815</v>
      </c>
      <c r="H19" s="10" t="n">
        <v>45659.80189814815</v>
      </c>
      <c r="I19" s="10" t="n">
        <v>45659.80189814815</v>
      </c>
      <c r="J19" s="10" t="n">
        <v>45659.80267361111</v>
      </c>
      <c r="K19" s="11">
        <f>IF(AND(ISNUMBER(E19),ISNUMBER(F19)),(F19-E19),"")</f>
        <v/>
      </c>
      <c r="L19" s="11">
        <f>IF(AND(ISNUMBER(F19),ISNUMBER(G19)),(G19-F19),"")</f>
        <v/>
      </c>
      <c r="M19" s="11">
        <f>IF(AND(ISNUMBER(H19),ISNUMBER(I19)),(I19-H19),"")</f>
        <v/>
      </c>
      <c r="N19" s="11">
        <f>IF(AND(ISNUMBER(I19),ISNUMBER(J19)),(J19-I19),"")</f>
        <v/>
      </c>
      <c r="O19" s="11">
        <f>IF(AND(ISNUMBER(E19),ISNUMBER(J19)),(J19-E19),"")</f>
        <v/>
      </c>
    </row>
    <row r="20">
      <c r="A20" s="3" t="inlineStr">
        <is>
          <t>OBT020125205242-Ebenfurth (beet loading)</t>
        </is>
      </c>
      <c r="B20" s="3" t="inlineStr">
        <is>
          <t>Ebenfurth (beet loading)</t>
        </is>
      </c>
      <c r="C20" s="9" t="n">
        <v>157.4</v>
      </c>
      <c r="D20" s="3" t="inlineStr">
        <is>
          <t>611</t>
        </is>
      </c>
      <c r="E20" s="10" t="n">
        <v>45659.86993055556</v>
      </c>
      <c r="F20" s="10" t="n">
        <v>45659.87079861111</v>
      </c>
      <c r="G20" s="10" t="n">
        <v>45659.898125</v>
      </c>
      <c r="H20" s="10" t="n">
        <v>45659.898125</v>
      </c>
      <c r="I20" s="10" t="n">
        <v>45659.898125</v>
      </c>
      <c r="J20" s="10" t="n">
        <v>45659.89896990741</v>
      </c>
      <c r="K20" s="11">
        <f>IF(AND(ISNUMBER(E20),ISNUMBER(F20)),(F20-E20),"")</f>
        <v/>
      </c>
      <c r="L20" s="11">
        <f>IF(AND(ISNUMBER(F20),ISNUMBER(G20)),(G20-F20),"")</f>
        <v/>
      </c>
      <c r="M20" s="11">
        <f>IF(AND(ISNUMBER(H20),ISNUMBER(I20)),(I20-H20),"")</f>
        <v/>
      </c>
      <c r="N20" s="11">
        <f>IF(AND(ISNUMBER(I20),ISNUMBER(J20)),(J20-I20),"")</f>
        <v/>
      </c>
      <c r="O20" s="11">
        <f>IF(AND(ISNUMBER(E20),ISNUMBER(J20)),(J20-E20),"")</f>
        <v/>
      </c>
    </row>
    <row r="21">
      <c r="A21" s="3" t="inlineStr">
        <is>
          <t>OBT020125210324-Other sidings north</t>
        </is>
      </c>
      <c r="B21" s="3" t="inlineStr">
        <is>
          <t>Other sidings north</t>
        </is>
      </c>
      <c r="C21" s="9" t="n">
        <v>117.76</v>
      </c>
      <c r="D21" s="3" t="inlineStr">
        <is>
          <t>629</t>
        </is>
      </c>
      <c r="E21" s="10" t="n">
        <v>45659.87736111111</v>
      </c>
      <c r="F21" s="10" t="n">
        <v>45659.8790625</v>
      </c>
      <c r="G21" s="10" t="n">
        <v>45659.89950231482</v>
      </c>
      <c r="H21" s="10" t="n">
        <v>45659.89950231482</v>
      </c>
      <c r="I21" s="10" t="n">
        <v>45659.90002314815</v>
      </c>
      <c r="J21" s="10" t="n">
        <v>45659.90067129629</v>
      </c>
      <c r="K21" s="11">
        <f>IF(AND(ISNUMBER(E21),ISNUMBER(F21)),(F21-E21),"")</f>
        <v/>
      </c>
      <c r="L21" s="11">
        <f>IF(AND(ISNUMBER(F21),ISNUMBER(G21)),(G21-F21),"")</f>
        <v/>
      </c>
      <c r="M21" s="11">
        <f>IF(AND(ISNUMBER(H21),ISNUMBER(I21)),(I21-H21),"")</f>
        <v/>
      </c>
      <c r="N21" s="11">
        <f>IF(AND(ISNUMBER(I21),ISNUMBER(J21)),(J21-I21),"")</f>
        <v/>
      </c>
      <c r="O21" s="11">
        <f>IF(AND(ISNUMBER(E21),ISNUMBER(J21)),(J21-E21),"")</f>
        <v/>
      </c>
    </row>
    <row r="22">
      <c r="A22" s="3" t="inlineStr">
        <is>
          <t>OBT020125210709-Neudörfl (FunderMax)</t>
        </is>
      </c>
      <c r="B22" s="3" t="inlineStr">
        <is>
          <t>Neudörfl (FunderMax)</t>
        </is>
      </c>
      <c r="C22" s="9" t="n">
        <v>101.7</v>
      </c>
      <c r="D22" s="3" t="inlineStr">
        <is>
          <t>613</t>
        </is>
      </c>
      <c r="E22" s="10" t="n">
        <v>45659.87996527777</v>
      </c>
      <c r="F22" s="10" t="n">
        <v>45659.88170138889</v>
      </c>
      <c r="G22" s="10" t="n">
        <v>45659.89935185185</v>
      </c>
      <c r="H22" s="10" t="n">
        <v>45659.89935185185</v>
      </c>
      <c r="I22" s="10" t="n">
        <v>45659.89935185185</v>
      </c>
      <c r="J22" s="10" t="n">
        <v>45659.90002314815</v>
      </c>
      <c r="K22" s="11">
        <f>IF(AND(ISNUMBER(E22),ISNUMBER(F22)),(F22-E22),"")</f>
        <v/>
      </c>
      <c r="L22" s="11">
        <f>IF(AND(ISNUMBER(F22),ISNUMBER(G22)),(G22-F22),"")</f>
        <v/>
      </c>
      <c r="M22" s="11">
        <f>IF(AND(ISNUMBER(H22),ISNUMBER(I22)),(I22-H22),"")</f>
        <v/>
      </c>
      <c r="N22" s="11">
        <f>IF(AND(ISNUMBER(I22),ISNUMBER(J22)),(J22-I22),"")</f>
        <v/>
      </c>
      <c r="O22" s="11">
        <f>IF(AND(ISNUMBER(E22),ISNUMBER(J22)),(J22-E22),"")</f>
        <v/>
      </c>
    </row>
    <row r="23">
      <c r="A23" s="3" t="inlineStr">
        <is>
          <t>OBT030125030120-Pitten (Hamburger)</t>
        </is>
      </c>
      <c r="B23" s="3" t="inlineStr">
        <is>
          <t>Pitten (Hamburger)</t>
        </is>
      </c>
      <c r="C23" s="9" t="n">
        <v>134.44</v>
      </c>
      <c r="D23" s="3" t="inlineStr">
        <is>
          <t>627</t>
        </is>
      </c>
      <c r="E23" s="10" t="n">
        <v>45660.12592592592</v>
      </c>
      <c r="F23" s="10" t="n">
        <v>45660.12675925926</v>
      </c>
      <c r="G23" s="10" t="n">
        <v>45660.15010416666</v>
      </c>
      <c r="H23" s="10" t="n">
        <v>45660.15010416666</v>
      </c>
      <c r="I23" s="10" t="n">
        <v>45660.15010416666</v>
      </c>
      <c r="J23" s="10" t="n">
        <v>45660.15079861111</v>
      </c>
      <c r="K23" s="11">
        <f>IF(AND(ISNUMBER(E23),ISNUMBER(F23)),(F23-E23),"")</f>
        <v/>
      </c>
      <c r="L23" s="11">
        <f>IF(AND(ISNUMBER(F23),ISNUMBER(G23)),(G23-F23),"")</f>
        <v/>
      </c>
      <c r="M23" s="11">
        <f>IF(AND(ISNUMBER(H23),ISNUMBER(I23)),(I23-H23),"")</f>
        <v/>
      </c>
      <c r="N23" s="11">
        <f>IF(AND(ISNUMBER(I23),ISNUMBER(J23)),(J23-I23),"")</f>
        <v/>
      </c>
      <c r="O23" s="11">
        <f>IF(AND(ISNUMBER(E23),ISNUMBER(J23)),(J23-E23),"")</f>
        <v/>
      </c>
    </row>
    <row r="24">
      <c r="A24" s="3" t="inlineStr">
        <is>
          <t>OBT030125045529-Neudörfl (FunderMax)</t>
        </is>
      </c>
      <c r="B24" s="3" t="inlineStr">
        <is>
          <t>Neudörfl (FunderMax)</t>
        </is>
      </c>
      <c r="C24" s="9" t="n">
        <v>497</v>
      </c>
      <c r="D24" s="3" t="inlineStr">
        <is>
          <t>613</t>
        </is>
      </c>
      <c r="E24" s="10" t="n">
        <v>45660.20519675926</v>
      </c>
      <c r="F24" s="10" t="n">
        <v>45660.20606481482</v>
      </c>
      <c r="G24" s="10" t="n">
        <v>45660.29234953703</v>
      </c>
      <c r="H24" s="10" t="n">
        <v>45660.29234953703</v>
      </c>
      <c r="I24" s="10" t="n">
        <v>45660.29234953703</v>
      </c>
      <c r="J24" s="10" t="n">
        <v>45660.29392361111</v>
      </c>
      <c r="K24" s="11">
        <f>IF(AND(ISNUMBER(E24),ISNUMBER(F24)),(F24-E24),"")</f>
        <v/>
      </c>
      <c r="L24" s="11">
        <f>IF(AND(ISNUMBER(F24),ISNUMBER(G24)),(G24-F24),"")</f>
        <v/>
      </c>
      <c r="M24" s="11">
        <f>IF(AND(ISNUMBER(H24),ISNUMBER(I24)),(I24-H24),"")</f>
        <v/>
      </c>
      <c r="N24" s="11">
        <f>IF(AND(ISNUMBER(I24),ISNUMBER(J24)),(J24-I24),"")</f>
        <v/>
      </c>
      <c r="O24" s="11">
        <f>IF(AND(ISNUMBER(E24),ISNUMBER(J24)),(J24-E24),"")</f>
        <v/>
      </c>
    </row>
    <row r="25">
      <c r="A25" s="3" t="inlineStr">
        <is>
          <t>OBT030125061555-Other sidings south</t>
        </is>
      </c>
      <c r="B25" s="3" t="inlineStr">
        <is>
          <t>Other sidings south</t>
        </is>
      </c>
      <c r="C25" s="9" t="n">
        <v>102.76</v>
      </c>
      <c r="D25" s="3" t="inlineStr">
        <is>
          <t>615</t>
        </is>
      </c>
      <c r="E25" s="10" t="n">
        <v>45660.26105324074</v>
      </c>
      <c r="F25" s="10" t="n">
        <v>45660.26269675926</v>
      </c>
      <c r="G25" s="10" t="n">
        <v>45660.28053240741</v>
      </c>
      <c r="H25" s="10" t="n">
        <v>45660.28053240741</v>
      </c>
      <c r="I25" s="10" t="n">
        <v>45660.28053240741</v>
      </c>
      <c r="J25" s="10" t="n">
        <v>45660.28123842592</v>
      </c>
      <c r="K25" s="11">
        <f>IF(AND(ISNUMBER(E25),ISNUMBER(F25)),(F25-E25),"")</f>
        <v/>
      </c>
      <c r="L25" s="11">
        <f>IF(AND(ISNUMBER(F25),ISNUMBER(G25)),(G25-F25),"")</f>
        <v/>
      </c>
      <c r="M25" s="11">
        <f>IF(AND(ISNUMBER(H25),ISNUMBER(I25)),(I25-H25),"")</f>
        <v/>
      </c>
      <c r="N25" s="11">
        <f>IF(AND(ISNUMBER(I25),ISNUMBER(J25)),(J25-I25),"")</f>
        <v/>
      </c>
      <c r="O25" s="11">
        <f>IF(AND(ISNUMBER(E25),ISNUMBER(J25)),(J25-E25),"")</f>
        <v/>
      </c>
    </row>
    <row r="26">
      <c r="A26" s="3" t="inlineStr">
        <is>
          <t>OBT030125063005-Gloggnitz</t>
        </is>
      </c>
      <c r="B26" s="3" t="inlineStr">
        <is>
          <t>Gloggnitz</t>
        </is>
      </c>
      <c r="C26" s="9" t="n">
        <v>204.62</v>
      </c>
      <c r="D26" s="3" t="inlineStr">
        <is>
          <t>625</t>
        </is>
      </c>
      <c r="E26" s="10" t="n">
        <v>45660.27089120371</v>
      </c>
      <c r="F26" s="10" t="n">
        <v>45660.27732638889</v>
      </c>
      <c r="G26" s="10" t="n">
        <v>45660.31285879629</v>
      </c>
      <c r="H26" s="10" t="n">
        <v>45660.31285879629</v>
      </c>
      <c r="I26" s="10" t="n">
        <v>45660.31285879629</v>
      </c>
      <c r="J26" s="10" t="n">
        <v>45660.31383101852</v>
      </c>
      <c r="K26" s="11">
        <f>IF(AND(ISNUMBER(E26),ISNUMBER(F26)),(F26-E26),"")</f>
        <v/>
      </c>
      <c r="L26" s="11">
        <f>IF(AND(ISNUMBER(F26),ISNUMBER(G26)),(G26-F26),"")</f>
        <v/>
      </c>
      <c r="M26" s="11">
        <f>IF(AND(ISNUMBER(H26),ISNUMBER(I26)),(I26-H26),"")</f>
        <v/>
      </c>
      <c r="N26" s="11">
        <f>IF(AND(ISNUMBER(I26),ISNUMBER(J26)),(J26-I26),"")</f>
        <v/>
      </c>
      <c r="O26" s="11">
        <f>IF(AND(ISNUMBER(E26),ISNUMBER(J26)),(J26-E26),"")</f>
        <v/>
      </c>
    </row>
    <row r="27">
      <c r="A27" s="3" t="inlineStr">
        <is>
          <t>OBT030125063320-Ternitz (Schoeller-Bleckmann)</t>
        </is>
      </c>
      <c r="B27" s="3" t="inlineStr">
        <is>
          <t>Ternitz (Schoeller-Bleckmann)</t>
        </is>
      </c>
      <c r="C27" s="9" t="n">
        <v>144.34</v>
      </c>
      <c r="D27" s="3" t="inlineStr">
        <is>
          <t>627</t>
        </is>
      </c>
      <c r="E27" s="10" t="n">
        <v>45660.27314814815</v>
      </c>
      <c r="F27" s="10" t="n">
        <v>45660.28226851852</v>
      </c>
      <c r="G27" s="10" t="n">
        <v>45660.30732638889</v>
      </c>
      <c r="H27" s="10" t="n">
        <v>45660.30732638889</v>
      </c>
      <c r="I27" s="10" t="n">
        <v>45660.30732638889</v>
      </c>
      <c r="J27" s="10" t="n">
        <v>45660.30805555556</v>
      </c>
      <c r="K27" s="11">
        <f>IF(AND(ISNUMBER(E27),ISNUMBER(F27)),(F27-E27),"")</f>
        <v/>
      </c>
      <c r="L27" s="11">
        <f>IF(AND(ISNUMBER(F27),ISNUMBER(G27)),(G27-F27),"")</f>
        <v/>
      </c>
      <c r="M27" s="11">
        <f>IF(AND(ISNUMBER(H27),ISNUMBER(I27)),(I27-H27),"")</f>
        <v/>
      </c>
      <c r="N27" s="11">
        <f>IF(AND(ISNUMBER(I27),ISNUMBER(J27)),(J27-I27),"")</f>
        <v/>
      </c>
      <c r="O27" s="11">
        <f>IF(AND(ISNUMBER(E27),ISNUMBER(J27)),(J27-E27),"")</f>
        <v/>
      </c>
    </row>
    <row r="28">
      <c r="A28" s="3" t="inlineStr">
        <is>
          <t>OBT030125063655-Wr. Neustadt (Hödlmayr)</t>
        </is>
      </c>
      <c r="B28" s="3" t="inlineStr">
        <is>
          <t>Wr. Neustadt (Hödlmayr)</t>
        </is>
      </c>
      <c r="C28" s="9" t="n">
        <v>108</v>
      </c>
      <c r="D28" s="3" t="inlineStr">
        <is>
          <t>619</t>
        </is>
      </c>
      <c r="E28" s="10" t="n">
        <v>45660.27563657407</v>
      </c>
      <c r="F28" s="10" t="n">
        <v>45660.29878472222</v>
      </c>
      <c r="G28" s="10" t="n">
        <v>45660.31753472222</v>
      </c>
      <c r="H28" s="10" t="n">
        <v>45660.31753472222</v>
      </c>
      <c r="I28" s="10" t="n">
        <v>45660.31753472222</v>
      </c>
      <c r="J28" s="10" t="n">
        <v>45660.31833333334</v>
      </c>
      <c r="K28" s="11">
        <f>IF(AND(ISNUMBER(E28),ISNUMBER(F28)),(F28-E28),"")</f>
        <v/>
      </c>
      <c r="L28" s="11">
        <f>IF(AND(ISNUMBER(F28),ISNUMBER(G28)),(G28-F28),"")</f>
        <v/>
      </c>
      <c r="M28" s="11">
        <f>IF(AND(ISNUMBER(H28),ISNUMBER(I28)),(I28-H28),"")</f>
        <v/>
      </c>
      <c r="N28" s="11">
        <f>IF(AND(ISNUMBER(I28),ISNUMBER(J28)),(J28-I28),"")</f>
        <v/>
      </c>
      <c r="O28" s="11">
        <f>IF(AND(ISNUMBER(E28),ISNUMBER(J28)),(J28-E28),"")</f>
        <v/>
      </c>
    </row>
    <row r="29">
      <c r="A29" s="3" t="inlineStr">
        <is>
          <t>OBT030125070748-Neunkirchen (loading tracks)</t>
        </is>
      </c>
      <c r="B29" s="3" t="inlineStr">
        <is>
          <t>Neunkirchen (loading tracks)</t>
        </is>
      </c>
      <c r="C29" s="9" t="n">
        <v>358.9</v>
      </c>
      <c r="D29" s="3" t="inlineStr">
        <is>
          <t>623</t>
        </is>
      </c>
      <c r="E29" s="10" t="n">
        <v>45660.29708333333</v>
      </c>
      <c r="F29" s="10" t="n">
        <v>45660.3090625</v>
      </c>
      <c r="G29" s="10" t="n">
        <v>45660.37137731481</v>
      </c>
      <c r="H29" s="10" t="n">
        <v>45660.37137731481</v>
      </c>
      <c r="I29" s="10" t="n">
        <v>45660.37137731481</v>
      </c>
      <c r="J29" s="10" t="n">
        <v>45660.37274305556</v>
      </c>
      <c r="K29" s="11">
        <f>IF(AND(ISNUMBER(E29),ISNUMBER(F29)),(F29-E29),"")</f>
        <v/>
      </c>
      <c r="L29" s="11">
        <f>IF(AND(ISNUMBER(F29),ISNUMBER(G29)),(G29-F29),"")</f>
        <v/>
      </c>
      <c r="M29" s="11">
        <f>IF(AND(ISNUMBER(H29),ISNUMBER(I29)),(I29-H29),"")</f>
        <v/>
      </c>
      <c r="N29" s="11">
        <f>IF(AND(ISNUMBER(I29),ISNUMBER(J29)),(J29-I29),"")</f>
        <v/>
      </c>
      <c r="O29" s="11">
        <f>IF(AND(ISNUMBER(E29),ISNUMBER(J29)),(J29-E29),"")</f>
        <v/>
      </c>
    </row>
    <row r="30">
      <c r="A30" s="3" t="inlineStr">
        <is>
          <t>OBT030125075311-Felixdorf/Sollenau (Bundesheer, Maba)</t>
        </is>
      </c>
      <c r="B30" s="3" t="inlineStr">
        <is>
          <t>Felixdorf/Sollenau (Bundesheer, Maba)</t>
        </is>
      </c>
      <c r="C30" s="9" t="n">
        <v>184.14</v>
      </c>
      <c r="D30" s="3" t="inlineStr">
        <is>
          <t>621</t>
        </is>
      </c>
      <c r="E30" s="10" t="n">
        <v>45660.32859953704</v>
      </c>
      <c r="F30" s="10" t="n">
        <v>45660.33030092593</v>
      </c>
      <c r="G30" s="10" t="n">
        <v>45660.36226851852</v>
      </c>
      <c r="H30" s="10" t="n">
        <v>45660.36226851852</v>
      </c>
      <c r="I30" s="10" t="n">
        <v>45660.36226851852</v>
      </c>
      <c r="J30" s="10" t="n">
        <v>45660.36324074074</v>
      </c>
      <c r="K30" s="11">
        <f>IF(AND(ISNUMBER(E30),ISNUMBER(F30)),(F30-E30),"")</f>
        <v/>
      </c>
      <c r="L30" s="11">
        <f>IF(AND(ISNUMBER(F30),ISNUMBER(G30)),(G30-F30),"")</f>
        <v/>
      </c>
      <c r="M30" s="11">
        <f>IF(AND(ISNUMBER(H30),ISNUMBER(I30)),(I30-H30),"")</f>
        <v/>
      </c>
      <c r="N30" s="11">
        <f>IF(AND(ISNUMBER(I30),ISNUMBER(J30)),(J30-I30),"")</f>
        <v/>
      </c>
      <c r="O30" s="11">
        <f>IF(AND(ISNUMBER(E30),ISNUMBER(J30)),(J30-E30),"")</f>
        <v/>
      </c>
    </row>
    <row r="31">
      <c r="A31" s="3" t="inlineStr">
        <is>
          <t>OBT030125080046-Wien Kledering</t>
        </is>
      </c>
      <c r="B31" s="3" t="inlineStr">
        <is>
          <t>Wien Kledering</t>
        </is>
      </c>
      <c r="C31" s="9" t="n">
        <v>256.9</v>
      </c>
      <c r="D31" s="3" t="inlineStr">
        <is>
          <t>627</t>
        </is>
      </c>
      <c r="E31" s="10" t="n">
        <v>45660.33386574074</v>
      </c>
      <c r="F31" s="10" t="n">
        <v>45660.33550925926</v>
      </c>
      <c r="G31" s="10" t="n">
        <v>45660.38010416667</v>
      </c>
      <c r="H31" s="10" t="n">
        <v>45660.38010416667</v>
      </c>
      <c r="I31" s="10" t="n">
        <v>45660.38010416667</v>
      </c>
      <c r="J31" s="10" t="n">
        <v>45660.38109953704</v>
      </c>
      <c r="K31" s="11">
        <f>IF(AND(ISNUMBER(E31),ISNUMBER(F31)),(F31-E31),"")</f>
        <v/>
      </c>
      <c r="L31" s="11">
        <f>IF(AND(ISNUMBER(F31),ISNUMBER(G31)),(G31-F31),"")</f>
        <v/>
      </c>
      <c r="M31" s="11">
        <f>IF(AND(ISNUMBER(H31),ISNUMBER(I31)),(I31-H31),"")</f>
        <v/>
      </c>
      <c r="N31" s="11">
        <f>IF(AND(ISNUMBER(I31),ISNUMBER(J31)),(J31-I31),"")</f>
        <v/>
      </c>
      <c r="O31" s="11">
        <f>IF(AND(ISNUMBER(E31),ISNUMBER(J31)),(J31-E31),"")</f>
        <v/>
      </c>
    </row>
    <row r="32">
      <c r="A32" s="3" t="inlineStr">
        <is>
          <t>OBT030125084617-Wien Kledering</t>
        </is>
      </c>
      <c r="B32" s="3" t="inlineStr">
        <is>
          <t>Wien Kledering</t>
        </is>
      </c>
      <c r="C32" s="9" t="n">
        <v>396.5600000000001</v>
      </c>
      <c r="D32" s="3" t="inlineStr">
        <is>
          <t>625</t>
        </is>
      </c>
      <c r="E32" s="10" t="n">
        <v>45660.36547453704</v>
      </c>
      <c r="F32" s="10" t="n">
        <v>45660.36717592592</v>
      </c>
      <c r="G32" s="10" t="n">
        <v>45660.43603009259</v>
      </c>
      <c r="H32" s="10" t="n">
        <v>45660.43603009259</v>
      </c>
      <c r="I32" s="10" t="n">
        <v>45660.43603009259</v>
      </c>
      <c r="J32" s="10" t="n">
        <v>45660.43744212963</v>
      </c>
      <c r="K32" s="11">
        <f>IF(AND(ISNUMBER(E32),ISNUMBER(F32)),(F32-E32),"")</f>
        <v/>
      </c>
      <c r="L32" s="11">
        <f>IF(AND(ISNUMBER(F32),ISNUMBER(G32)),(G32-F32),"")</f>
        <v/>
      </c>
      <c r="M32" s="11">
        <f>IF(AND(ISNUMBER(H32),ISNUMBER(I32)),(I32-H32),"")</f>
        <v/>
      </c>
      <c r="N32" s="11">
        <f>IF(AND(ISNUMBER(I32),ISNUMBER(J32)),(J32-I32),"")</f>
        <v/>
      </c>
      <c r="O32" s="11">
        <f>IF(AND(ISNUMBER(E32),ISNUMBER(J32)),(J32-E32),"")</f>
        <v/>
      </c>
    </row>
    <row r="33">
      <c r="A33" s="3" t="inlineStr">
        <is>
          <t>OBT030125090715-St. Veit an der Glan</t>
        </is>
      </c>
      <c r="B33" s="3" t="inlineStr">
        <is>
          <t>St. Veit an der Glan</t>
        </is>
      </c>
      <c r="C33" s="9" t="n">
        <v>221.7</v>
      </c>
      <c r="D33" s="3" t="inlineStr">
        <is>
          <t>605</t>
        </is>
      </c>
      <c r="E33" s="10" t="n">
        <v>45660.38003472222</v>
      </c>
      <c r="F33" s="10" t="n">
        <v>45660.38177083333</v>
      </c>
      <c r="G33" s="10" t="n">
        <v>45660.42026620371</v>
      </c>
      <c r="H33" s="10" t="n">
        <v>45660.42026620371</v>
      </c>
      <c r="I33" s="10" t="n">
        <v>45660.42116898148</v>
      </c>
      <c r="J33" s="10" t="n">
        <v>45660.42228009259</v>
      </c>
      <c r="K33" s="11">
        <f>IF(AND(ISNUMBER(E33),ISNUMBER(F33)),(F33-E33),"")</f>
        <v/>
      </c>
      <c r="L33" s="11">
        <f>IF(AND(ISNUMBER(F33),ISNUMBER(G33)),(G33-F33),"")</f>
        <v/>
      </c>
      <c r="M33" s="11">
        <f>IF(AND(ISNUMBER(H33),ISNUMBER(I33)),(I33-H33),"")</f>
        <v/>
      </c>
      <c r="N33" s="11">
        <f>IF(AND(ISNUMBER(I33),ISNUMBER(J33)),(J33-I33),"")</f>
        <v/>
      </c>
      <c r="O33" s="11">
        <f>IF(AND(ISNUMBER(E33),ISNUMBER(J33)),(J33-E33),"")</f>
        <v/>
      </c>
    </row>
    <row r="34">
      <c r="A34" s="3" t="inlineStr">
        <is>
          <t>OBT030125090958-Ebenfurth (beet loading)</t>
        </is>
      </c>
      <c r="B34" s="3" t="inlineStr">
        <is>
          <t>Ebenfurth (beet loading)</t>
        </is>
      </c>
      <c r="C34" s="9" t="n">
        <v>210.76</v>
      </c>
      <c r="D34" s="3" t="inlineStr">
        <is>
          <t>619</t>
        </is>
      </c>
      <c r="E34" s="10" t="n">
        <v>45660.3819212963</v>
      </c>
      <c r="F34" s="10" t="n">
        <v>45660.38354166667</v>
      </c>
      <c r="G34" s="10" t="n">
        <v>45660.42012731481</v>
      </c>
      <c r="H34" s="10" t="n">
        <v>45660.42012731481</v>
      </c>
      <c r="I34" s="10" t="n">
        <v>45660.42012731481</v>
      </c>
      <c r="J34" s="10" t="n">
        <v>45660.42116898148</v>
      </c>
      <c r="K34" s="11">
        <f>IF(AND(ISNUMBER(E34),ISNUMBER(F34)),(F34-E34),"")</f>
        <v/>
      </c>
      <c r="L34" s="11">
        <f>IF(AND(ISNUMBER(F34),ISNUMBER(G34)),(G34-F34),"")</f>
        <v/>
      </c>
      <c r="M34" s="11">
        <f>IF(AND(ISNUMBER(H34),ISNUMBER(I34)),(I34-H34),"")</f>
        <v/>
      </c>
      <c r="N34" s="11">
        <f>IF(AND(ISNUMBER(I34),ISNUMBER(J34)),(J34-I34),"")</f>
        <v/>
      </c>
      <c r="O34" s="11">
        <f>IF(AND(ISNUMBER(E34),ISNUMBER(J34)),(J34-E34),"")</f>
        <v/>
      </c>
    </row>
    <row r="35">
      <c r="A35" s="3" t="inlineStr">
        <is>
          <t>OBT030125105420-Wien Kledering</t>
        </is>
      </c>
      <c r="B35" s="3" t="inlineStr">
        <is>
          <t>Wien Kledering</t>
        </is>
      </c>
      <c r="C35" s="9" t="n">
        <v>266.4</v>
      </c>
      <c r="D35" s="3" t="inlineStr">
        <is>
          <t>627</t>
        </is>
      </c>
      <c r="E35" s="10" t="n">
        <v>45660.45439814815</v>
      </c>
      <c r="F35" s="10" t="n">
        <v>45660.45524305556</v>
      </c>
      <c r="G35" s="10" t="n">
        <v>45660.50149305556</v>
      </c>
      <c r="H35" s="10" t="n">
        <v>45660.50149305556</v>
      </c>
      <c r="I35" s="10" t="n">
        <v>45660.50149305556</v>
      </c>
      <c r="J35" s="10" t="n">
        <v>45660.50251157407</v>
      </c>
      <c r="K35" s="11">
        <f>IF(AND(ISNUMBER(E35),ISNUMBER(F35)),(F35-E35),"")</f>
        <v/>
      </c>
      <c r="L35" s="11">
        <f>IF(AND(ISNUMBER(F35),ISNUMBER(G35)),(G35-F35),"")</f>
        <v/>
      </c>
      <c r="M35" s="11">
        <f>IF(AND(ISNUMBER(H35),ISNUMBER(I35)),(I35-H35),"")</f>
        <v/>
      </c>
      <c r="N35" s="11">
        <f>IF(AND(ISNUMBER(I35),ISNUMBER(J35)),(J35-I35),"")</f>
        <v/>
      </c>
      <c r="O35" s="11">
        <f>IF(AND(ISNUMBER(E35),ISNUMBER(J35)),(J35-E35),"")</f>
        <v/>
      </c>
    </row>
    <row r="36">
      <c r="A36" s="3" t="inlineStr">
        <is>
          <t>OBT030125110012-Wien Kledering</t>
        </is>
      </c>
      <c r="B36" s="3" t="inlineStr">
        <is>
          <t>Wien Kledering</t>
        </is>
      </c>
      <c r="C36" s="9" t="n">
        <v>146.3</v>
      </c>
      <c r="D36" s="3" t="inlineStr">
        <is>
          <t>605</t>
        </is>
      </c>
      <c r="E36" s="10" t="n">
        <v>45660.45847222222</v>
      </c>
      <c r="F36" s="10" t="n">
        <v>45660.45934027778</v>
      </c>
      <c r="G36" s="10" t="n">
        <v>45660.48473379629</v>
      </c>
      <c r="H36" s="10" t="n">
        <v>45660.48473379629</v>
      </c>
      <c r="I36" s="10" t="n">
        <v>45660.48473379629</v>
      </c>
      <c r="J36" s="10" t="n">
        <v>45660.48567129629</v>
      </c>
      <c r="K36" s="11">
        <f>IF(AND(ISNUMBER(E36),ISNUMBER(F36)),(F36-E36),"")</f>
        <v/>
      </c>
      <c r="L36" s="11">
        <f>IF(AND(ISNUMBER(F36),ISNUMBER(G36)),(G36-F36),"")</f>
        <v/>
      </c>
      <c r="M36" s="11">
        <f>IF(AND(ISNUMBER(H36),ISNUMBER(I36)),(I36-H36),"")</f>
        <v/>
      </c>
      <c r="N36" s="11">
        <f>IF(AND(ISNUMBER(I36),ISNUMBER(J36)),(J36-I36),"")</f>
        <v/>
      </c>
      <c r="O36" s="11">
        <f>IF(AND(ISNUMBER(E36),ISNUMBER(J36)),(J36-E36),"")</f>
        <v/>
      </c>
    </row>
    <row r="37">
      <c r="A37" s="3" t="inlineStr">
        <is>
          <t>OBT030125131727-Wien Kledering</t>
        </is>
      </c>
      <c r="B37" s="3" t="inlineStr">
        <is>
          <t>Wien Kledering</t>
        </is>
      </c>
      <c r="C37" s="9" t="n">
        <v>278.02</v>
      </c>
      <c r="D37" s="3" t="inlineStr">
        <is>
          <t>627</t>
        </is>
      </c>
      <c r="E37" s="10" t="n">
        <v>45660.55378472222</v>
      </c>
      <c r="F37" s="10" t="n">
        <v>45660.55465277778</v>
      </c>
      <c r="G37" s="10" t="n">
        <v>45660.60292824074</v>
      </c>
      <c r="H37" s="10" t="n">
        <v>45660.60292824074</v>
      </c>
      <c r="I37" s="10" t="n">
        <v>45660.60292824074</v>
      </c>
      <c r="J37" s="10" t="n">
        <v>45660.60395833333</v>
      </c>
      <c r="K37" s="11">
        <f>IF(AND(ISNUMBER(E37),ISNUMBER(F37)),(F37-E37),"")</f>
        <v/>
      </c>
      <c r="L37" s="11">
        <f>IF(AND(ISNUMBER(F37),ISNUMBER(G37)),(G37-F37),"")</f>
        <v/>
      </c>
      <c r="M37" s="11">
        <f>IF(AND(ISNUMBER(H37),ISNUMBER(I37)),(I37-H37),"")</f>
        <v/>
      </c>
      <c r="N37" s="11">
        <f>IF(AND(ISNUMBER(I37),ISNUMBER(J37)),(J37-I37),"")</f>
        <v/>
      </c>
      <c r="O37" s="11">
        <f>IF(AND(ISNUMBER(E37),ISNUMBER(J37)),(J37-E37),"")</f>
        <v/>
      </c>
    </row>
    <row r="38">
      <c r="A38" s="3" t="inlineStr">
        <is>
          <t>OBT030125154014-Pitten (Hamburger)</t>
        </is>
      </c>
      <c r="B38" s="3" t="inlineStr">
        <is>
          <t>Pitten (Hamburger)</t>
        </is>
      </c>
      <c r="C38" s="9" t="n">
        <v>164.16</v>
      </c>
      <c r="D38" s="3" t="inlineStr">
        <is>
          <t>627</t>
        </is>
      </c>
      <c r="E38" s="10" t="n">
        <v>45660.65293981481</v>
      </c>
      <c r="F38" s="10" t="n">
        <v>45660.65377314815</v>
      </c>
      <c r="G38" s="10" t="n">
        <v>45660.68226851852</v>
      </c>
      <c r="H38" s="10" t="n">
        <v>45660.68226851852</v>
      </c>
      <c r="I38" s="10" t="n">
        <v>45660.68226851852</v>
      </c>
      <c r="J38" s="10" t="n">
        <v>45660.68304398148</v>
      </c>
      <c r="K38" s="11">
        <f>IF(AND(ISNUMBER(E38),ISNUMBER(F38)),(F38-E38),"")</f>
        <v/>
      </c>
      <c r="L38" s="11">
        <f>IF(AND(ISNUMBER(F38),ISNUMBER(G38)),(G38-F38),"")</f>
        <v/>
      </c>
      <c r="M38" s="11">
        <f>IF(AND(ISNUMBER(H38),ISNUMBER(I38)),(I38-H38),"")</f>
        <v/>
      </c>
      <c r="N38" s="11">
        <f>IF(AND(ISNUMBER(I38),ISNUMBER(J38)),(J38-I38),"")</f>
        <v/>
      </c>
      <c r="O38" s="11">
        <f>IF(AND(ISNUMBER(E38),ISNUMBER(J38)),(J38-E38),"")</f>
        <v/>
      </c>
    </row>
    <row r="39">
      <c r="A39" s="3" t="inlineStr">
        <is>
          <t>OBT030125160132-Wr. Neustadt Ausfahrbf (Furtenbach)</t>
        </is>
      </c>
      <c r="B39" s="3" t="inlineStr">
        <is>
          <t>Wr. Neustadt Ausfahrbf (Furtenbach)</t>
        </is>
      </c>
      <c r="C39" s="9" t="n">
        <v>119.4</v>
      </c>
      <c r="D39" s="3" t="inlineStr">
        <is>
          <t>617</t>
        </is>
      </c>
      <c r="E39" s="10" t="n">
        <v>45660.66773148148</v>
      </c>
      <c r="F39" s="10" t="n">
        <v>45660.66859953704</v>
      </c>
      <c r="G39" s="10" t="n">
        <v>45660.6893287037</v>
      </c>
      <c r="H39" s="10" t="n">
        <v>45660.6893287037</v>
      </c>
      <c r="I39" s="10" t="n">
        <v>45660.6893287037</v>
      </c>
      <c r="J39" s="10" t="n">
        <v>45660.69015046296</v>
      </c>
      <c r="K39" s="11">
        <f>IF(AND(ISNUMBER(E39),ISNUMBER(F39)),(F39-E39),"")</f>
        <v/>
      </c>
      <c r="L39" s="11">
        <f>IF(AND(ISNUMBER(F39),ISNUMBER(G39)),(G39-F39),"")</f>
        <v/>
      </c>
      <c r="M39" s="11">
        <f>IF(AND(ISNUMBER(H39),ISNUMBER(I39)),(I39-H39),"")</f>
        <v/>
      </c>
      <c r="N39" s="11">
        <f>IF(AND(ISNUMBER(I39),ISNUMBER(J39)),(J39-I39),"")</f>
        <v/>
      </c>
      <c r="O39" s="11">
        <f>IF(AND(ISNUMBER(E39),ISNUMBER(J39)),(J39-E39),"")</f>
        <v/>
      </c>
    </row>
    <row r="40">
      <c r="A40" s="3" t="inlineStr">
        <is>
          <t>OBT030125160747-Wien Kledering</t>
        </is>
      </c>
      <c r="B40" s="3" t="inlineStr">
        <is>
          <t>Wien Kledering</t>
        </is>
      </c>
      <c r="C40" s="9" t="n">
        <v>125.92</v>
      </c>
      <c r="D40" s="3" t="inlineStr">
        <is>
          <t>605</t>
        </is>
      </c>
      <c r="E40" s="10" t="n">
        <v>45660.67207175926</v>
      </c>
      <c r="F40" s="10" t="n">
        <v>45660.67371527778</v>
      </c>
      <c r="G40" s="10" t="n">
        <v>45660.69556712963</v>
      </c>
      <c r="H40" s="10" t="n">
        <v>45660.69556712963</v>
      </c>
      <c r="I40" s="10" t="n">
        <v>45660.69556712963</v>
      </c>
      <c r="J40" s="10" t="n">
        <v>45660.69645833333</v>
      </c>
      <c r="K40" s="11">
        <f>IF(AND(ISNUMBER(E40),ISNUMBER(F40)),(F40-E40),"")</f>
        <v/>
      </c>
      <c r="L40" s="11">
        <f>IF(AND(ISNUMBER(F40),ISNUMBER(G40)),(G40-F40),"")</f>
        <v/>
      </c>
      <c r="M40" s="11">
        <f>IF(AND(ISNUMBER(H40),ISNUMBER(I40)),(I40-H40),"")</f>
        <v/>
      </c>
      <c r="N40" s="11">
        <f>IF(AND(ISNUMBER(I40),ISNUMBER(J40)),(J40-I40),"")</f>
        <v/>
      </c>
      <c r="O40" s="11">
        <f>IF(AND(ISNUMBER(E40),ISNUMBER(J40)),(J40-E40),"")</f>
        <v/>
      </c>
    </row>
    <row r="41">
      <c r="A41" s="3" t="inlineStr">
        <is>
          <t>OBT030125173012-Wien Kledering</t>
        </is>
      </c>
      <c r="B41" s="3" t="inlineStr">
        <is>
          <t>Wien Kledering</t>
        </is>
      </c>
      <c r="C41" s="9" t="n">
        <v>278.8800000000001</v>
      </c>
      <c r="D41" s="3" t="inlineStr">
        <is>
          <t>627</t>
        </is>
      </c>
      <c r="E41" s="10" t="n">
        <v>45660.72930555556</v>
      </c>
      <c r="F41" s="10" t="n">
        <v>45660.73015046296</v>
      </c>
      <c r="G41" s="10" t="n">
        <v>45660.77856481481</v>
      </c>
      <c r="H41" s="10" t="n">
        <v>45660.77856481481</v>
      </c>
      <c r="I41" s="10" t="n">
        <v>45660.77856481481</v>
      </c>
      <c r="J41" s="10" t="n">
        <v>45660.77960648148</v>
      </c>
      <c r="K41" s="11">
        <f>IF(AND(ISNUMBER(E41),ISNUMBER(F41)),(F41-E41),"")</f>
        <v/>
      </c>
      <c r="L41" s="11">
        <f>IF(AND(ISNUMBER(F41),ISNUMBER(G41)),(G41-F41),"")</f>
        <v/>
      </c>
      <c r="M41" s="11">
        <f>IF(AND(ISNUMBER(H41),ISNUMBER(I41)),(I41-H41),"")</f>
        <v/>
      </c>
      <c r="N41" s="11">
        <f>IF(AND(ISNUMBER(I41),ISNUMBER(J41)),(J41-I41),"")</f>
        <v/>
      </c>
      <c r="O41" s="11">
        <f>IF(AND(ISNUMBER(E41),ISNUMBER(J41)),(J41-E41),"")</f>
        <v/>
      </c>
    </row>
    <row r="42">
      <c r="A42" s="3" t="inlineStr">
        <is>
          <t>OBT030125203217-Other sidings north</t>
        </is>
      </c>
      <c r="B42" s="3" t="inlineStr">
        <is>
          <t>Other sidings north</t>
        </is>
      </c>
      <c r="C42" s="9" t="n">
        <v>110.26</v>
      </c>
      <c r="D42" s="3" t="inlineStr">
        <is>
          <t>629</t>
        </is>
      </c>
      <c r="E42" s="10" t="n">
        <v>45660.85575231481</v>
      </c>
      <c r="F42" s="10" t="n">
        <v>45660.85662037037</v>
      </c>
      <c r="G42" s="10" t="n">
        <v>45660.87576388889</v>
      </c>
      <c r="H42" s="10" t="n">
        <v>45660.87576388889</v>
      </c>
      <c r="I42" s="10" t="n">
        <v>45660.87576388889</v>
      </c>
      <c r="J42" s="10" t="n">
        <v>45660.87640046296</v>
      </c>
      <c r="K42" s="11">
        <f>IF(AND(ISNUMBER(E42),ISNUMBER(F42)),(F42-E42),"")</f>
        <v/>
      </c>
      <c r="L42" s="11">
        <f>IF(AND(ISNUMBER(F42),ISNUMBER(G42)),(G42-F42),"")</f>
        <v/>
      </c>
      <c r="M42" s="11">
        <f>IF(AND(ISNUMBER(H42),ISNUMBER(I42)),(I42-H42),"")</f>
        <v/>
      </c>
      <c r="N42" s="11">
        <f>IF(AND(ISNUMBER(I42),ISNUMBER(J42)),(J42-I42),"")</f>
        <v/>
      </c>
      <c r="O42" s="11">
        <f>IF(AND(ISNUMBER(E42),ISNUMBER(J42)),(J42-E42),"")</f>
        <v/>
      </c>
    </row>
    <row r="43">
      <c r="A43" s="3" t="inlineStr">
        <is>
          <t>OBT030125203727-Wr. Neustadt (Hödlmayr)</t>
        </is>
      </c>
      <c r="B43" s="3" t="inlineStr">
        <is>
          <t>Wr. Neustadt (Hödlmayr)</t>
        </is>
      </c>
      <c r="C43" s="9" t="n">
        <v>189</v>
      </c>
      <c r="D43" s="3" t="inlineStr">
        <is>
          <t>613</t>
        </is>
      </c>
      <c r="E43" s="10" t="n">
        <v>45660.85934027778</v>
      </c>
      <c r="F43" s="10" t="n">
        <v>45660.86020833333</v>
      </c>
      <c r="G43" s="10" t="n">
        <v>45660.89302083333</v>
      </c>
      <c r="H43" s="10" t="n">
        <v>45660.89302083333</v>
      </c>
      <c r="I43" s="10" t="n">
        <v>45660.89302083333</v>
      </c>
      <c r="J43" s="10" t="n">
        <v>45660.89388888889</v>
      </c>
      <c r="K43" s="11">
        <f>IF(AND(ISNUMBER(E43),ISNUMBER(F43)),(F43-E43),"")</f>
        <v/>
      </c>
      <c r="L43" s="11">
        <f>IF(AND(ISNUMBER(F43),ISNUMBER(G43)),(G43-F43),"")</f>
        <v/>
      </c>
      <c r="M43" s="11">
        <f>IF(AND(ISNUMBER(H43),ISNUMBER(I43)),(I43-H43),"")</f>
        <v/>
      </c>
      <c r="N43" s="11">
        <f>IF(AND(ISNUMBER(I43),ISNUMBER(J43)),(J43-I43),"")</f>
        <v/>
      </c>
      <c r="O43" s="11">
        <f>IF(AND(ISNUMBER(E43),ISNUMBER(J43)),(J43-E43),"")</f>
        <v/>
      </c>
    </row>
    <row r="44">
      <c r="A44" s="3" t="inlineStr">
        <is>
          <t>OBT030125204417-Ebenfurth (beet loading)</t>
        </is>
      </c>
      <c r="B44" s="3" t="inlineStr">
        <is>
          <t>Ebenfurth (beet loading)</t>
        </is>
      </c>
      <c r="C44" s="9" t="n">
        <v>173.14</v>
      </c>
      <c r="D44" s="3" t="inlineStr">
        <is>
          <t>619</t>
        </is>
      </c>
      <c r="E44" s="10" t="n">
        <v>45660.86408564815</v>
      </c>
      <c r="F44" s="10" t="n">
        <v>45660.87092592593</v>
      </c>
      <c r="G44" s="10" t="n">
        <v>45660.90098379629</v>
      </c>
      <c r="H44" s="10" t="n">
        <v>45660.90098379629</v>
      </c>
      <c r="I44" s="10" t="n">
        <v>45660.90098379629</v>
      </c>
      <c r="J44" s="10" t="n">
        <v>45660.90193287037</v>
      </c>
      <c r="K44" s="11">
        <f>IF(AND(ISNUMBER(E44),ISNUMBER(F44)),(F44-E44),"")</f>
        <v/>
      </c>
      <c r="L44" s="11">
        <f>IF(AND(ISNUMBER(F44),ISNUMBER(G44)),(G44-F44),"")</f>
        <v/>
      </c>
      <c r="M44" s="11">
        <f>IF(AND(ISNUMBER(H44),ISNUMBER(I44)),(I44-H44),"")</f>
        <v/>
      </c>
      <c r="N44" s="11">
        <f>IF(AND(ISNUMBER(I44),ISNUMBER(J44)),(J44-I44),"")</f>
        <v/>
      </c>
      <c r="O44" s="11">
        <f>IF(AND(ISNUMBER(E44),ISNUMBER(J44)),(J44-E44),"")</f>
        <v/>
      </c>
    </row>
    <row r="45">
      <c r="A45" s="3" t="inlineStr">
        <is>
          <t>OBT030125204535-Pitten (Hamburger)</t>
        </is>
      </c>
      <c r="B45" s="3" t="inlineStr">
        <is>
          <t>Pitten (Hamburger)</t>
        </is>
      </c>
      <c r="C45" s="9" t="n">
        <v>186.66</v>
      </c>
      <c r="D45" s="3" t="inlineStr">
        <is>
          <t>627</t>
        </is>
      </c>
      <c r="E45" s="10" t="n">
        <v>45660.86498842593</v>
      </c>
      <c r="F45" s="10" t="n">
        <v>45660.8775</v>
      </c>
      <c r="G45" s="10" t="n">
        <v>45660.9099074074</v>
      </c>
      <c r="H45" s="10" t="n">
        <v>45660.9099074074</v>
      </c>
      <c r="I45" s="10" t="n">
        <v>45660.9099074074</v>
      </c>
      <c r="J45" s="10" t="n">
        <v>45660.91072916667</v>
      </c>
      <c r="K45" s="11">
        <f>IF(AND(ISNUMBER(E45),ISNUMBER(F45)),(F45-E45),"")</f>
        <v/>
      </c>
      <c r="L45" s="11">
        <f>IF(AND(ISNUMBER(F45),ISNUMBER(G45)),(G45-F45),"")</f>
        <v/>
      </c>
      <c r="M45" s="11">
        <f>IF(AND(ISNUMBER(H45),ISNUMBER(I45)),(I45-H45),"")</f>
        <v/>
      </c>
      <c r="N45" s="11">
        <f>IF(AND(ISNUMBER(I45),ISNUMBER(J45)),(J45-I45),"")</f>
        <v/>
      </c>
      <c r="O45" s="11">
        <f>IF(AND(ISNUMBER(E45),ISNUMBER(J45)),(J45-E45),"")</f>
        <v/>
      </c>
    </row>
    <row r="46">
      <c r="A46" s="3" t="inlineStr">
        <is>
          <t>OBT030125205107-Other sidings local</t>
        </is>
      </c>
      <c r="B46" s="3" t="inlineStr">
        <is>
          <t>Other sidings local</t>
        </is>
      </c>
      <c r="C46" s="9" t="n">
        <v>115.02</v>
      </c>
      <c r="D46" s="3" t="inlineStr">
        <is>
          <t>607</t>
        </is>
      </c>
      <c r="E46" s="10" t="n">
        <v>45660.86883101852</v>
      </c>
      <c r="F46" s="10" t="n">
        <v>45660.89475694444</v>
      </c>
      <c r="G46" s="10" t="n">
        <v>45660.91472222222</v>
      </c>
      <c r="H46" s="10" t="n">
        <v>45660.91472222222</v>
      </c>
      <c r="I46" s="10" t="n">
        <v>45660.91472222222</v>
      </c>
      <c r="J46" s="10" t="n">
        <v>45660.91559027778</v>
      </c>
      <c r="K46" s="11">
        <f>IF(AND(ISNUMBER(E46),ISNUMBER(F46)),(F46-E46),"")</f>
        <v/>
      </c>
      <c r="L46" s="11">
        <f>IF(AND(ISNUMBER(F46),ISNUMBER(G46)),(G46-F46),"")</f>
        <v/>
      </c>
      <c r="M46" s="11">
        <f>IF(AND(ISNUMBER(H46),ISNUMBER(I46)),(I46-H46),"")</f>
        <v/>
      </c>
      <c r="N46" s="11">
        <f>IF(AND(ISNUMBER(I46),ISNUMBER(J46)),(J46-I46),"")</f>
        <v/>
      </c>
      <c r="O46" s="11">
        <f>IF(AND(ISNUMBER(E46),ISNUMBER(J46)),(J46-E46),"")</f>
        <v/>
      </c>
    </row>
    <row r="47">
      <c r="A47" s="3" t="inlineStr">
        <is>
          <t>OBT030125220232-Neudörfl (FunderMax)</t>
        </is>
      </c>
      <c r="B47" s="3" t="inlineStr">
        <is>
          <t>Neudörfl (FunderMax)</t>
        </is>
      </c>
      <c r="C47" s="9" t="n">
        <v>110.3</v>
      </c>
      <c r="D47" s="3" t="inlineStr">
        <is>
          <t>611</t>
        </is>
      </c>
      <c r="E47" s="10" t="n">
        <v>45660.91842592593</v>
      </c>
      <c r="F47" s="10" t="n">
        <v>45660.91929398148</v>
      </c>
      <c r="G47" s="10" t="n">
        <v>45660.9384375</v>
      </c>
      <c r="H47" s="10" t="n">
        <v>45660.9384375</v>
      </c>
      <c r="I47" s="10" t="n">
        <v>45660.9384375</v>
      </c>
      <c r="J47" s="10" t="n">
        <v>45660.93917824074</v>
      </c>
      <c r="K47" s="11">
        <f>IF(AND(ISNUMBER(E47),ISNUMBER(F47)),(F47-E47),"")</f>
        <v/>
      </c>
      <c r="L47" s="11">
        <f>IF(AND(ISNUMBER(F47),ISNUMBER(G47)),(G47-F47),"")</f>
        <v/>
      </c>
      <c r="M47" s="11">
        <f>IF(AND(ISNUMBER(H47),ISNUMBER(I47)),(I47-H47),"")</f>
        <v/>
      </c>
      <c r="N47" s="11">
        <f>IF(AND(ISNUMBER(I47),ISNUMBER(J47)),(J47-I47),"")</f>
        <v/>
      </c>
      <c r="O47" s="11">
        <f>IF(AND(ISNUMBER(E47),ISNUMBER(J47)),(J47-E47),"")</f>
        <v/>
      </c>
    </row>
    <row r="48">
      <c r="A48" s="3" t="inlineStr">
        <is>
          <t>OBT030125220353-Other sidings south</t>
        </is>
      </c>
      <c r="B48" s="3" t="inlineStr">
        <is>
          <t>Other sidings south</t>
        </is>
      </c>
      <c r="C48" s="9" t="n">
        <v>149.98</v>
      </c>
      <c r="D48" s="3" t="inlineStr">
        <is>
          <t>615</t>
        </is>
      </c>
      <c r="E48" s="10" t="n">
        <v>45660.91936342593</v>
      </c>
      <c r="F48" s="10" t="n">
        <v>45660.92020833334</v>
      </c>
      <c r="G48" s="10" t="n">
        <v>45660.94625</v>
      </c>
      <c r="H48" s="10" t="n">
        <v>45660.94625</v>
      </c>
      <c r="I48" s="10" t="n">
        <v>45660.94625</v>
      </c>
      <c r="J48" s="10" t="n">
        <v>45660.94706018519</v>
      </c>
      <c r="K48" s="11">
        <f>IF(AND(ISNUMBER(E48),ISNUMBER(F48)),(F48-E48),"")</f>
        <v/>
      </c>
      <c r="L48" s="11">
        <f>IF(AND(ISNUMBER(F48),ISNUMBER(G48)),(G48-F48),"")</f>
        <v/>
      </c>
      <c r="M48" s="11">
        <f>IF(AND(ISNUMBER(H48),ISNUMBER(I48)),(I48-H48),"")</f>
        <v/>
      </c>
      <c r="N48" s="11">
        <f>IF(AND(ISNUMBER(I48),ISNUMBER(J48)),(J48-I48),"")</f>
        <v/>
      </c>
      <c r="O48" s="11">
        <f>IF(AND(ISNUMBER(E48),ISNUMBER(J48)),(J48-E48),"")</f>
        <v/>
      </c>
    </row>
    <row r="49">
      <c r="A49" s="3" t="inlineStr">
        <is>
          <t>OBT040125055908-Ebenfurth (beet loading)</t>
        </is>
      </c>
      <c r="B49" s="3" t="inlineStr">
        <is>
          <t>Ebenfurth (beet loading)</t>
        </is>
      </c>
      <c r="C49" s="9" t="n">
        <v>220.36</v>
      </c>
      <c r="D49" s="3" t="inlineStr">
        <is>
          <t>615</t>
        </is>
      </c>
      <c r="E49" s="10" t="n">
        <v>45661.24939814815</v>
      </c>
      <c r="F49" s="10" t="n">
        <v>45661.25024305555</v>
      </c>
      <c r="G49" s="10" t="n">
        <v>45661.28849537037</v>
      </c>
      <c r="H49" s="10" t="n">
        <v>45661.28849537037</v>
      </c>
      <c r="I49" s="10" t="n">
        <v>45661.28849537037</v>
      </c>
      <c r="J49" s="10" t="n">
        <v>45661.28946759259</v>
      </c>
      <c r="K49" s="11">
        <f>IF(AND(ISNUMBER(E49),ISNUMBER(F49)),(F49-E49),"")</f>
        <v/>
      </c>
      <c r="L49" s="11">
        <f>IF(AND(ISNUMBER(F49),ISNUMBER(G49)),(G49-F49),"")</f>
        <v/>
      </c>
      <c r="M49" s="11">
        <f>IF(AND(ISNUMBER(H49),ISNUMBER(I49)),(I49-H49),"")</f>
        <v/>
      </c>
      <c r="N49" s="11">
        <f>IF(AND(ISNUMBER(I49),ISNUMBER(J49)),(J49-I49),"")</f>
        <v/>
      </c>
      <c r="O49" s="11">
        <f>IF(AND(ISNUMBER(E49),ISNUMBER(J49)),(J49-E49),"")</f>
        <v/>
      </c>
    </row>
    <row r="50">
      <c r="A50" s="3" t="inlineStr">
        <is>
          <t>OBT050125180143-Pitten (Hamburger)</t>
        </is>
      </c>
      <c r="B50" s="3" t="inlineStr">
        <is>
          <t>Pitten (Hamburger)</t>
        </is>
      </c>
      <c r="C50" s="9" t="n">
        <v>397.3000000000001</v>
      </c>
      <c r="D50" s="3" t="inlineStr">
        <is>
          <t>619</t>
        </is>
      </c>
      <c r="E50" s="10" t="n">
        <v>45662.75119212963</v>
      </c>
      <c r="F50" s="10" t="n">
        <v>45662.75206018519</v>
      </c>
      <c r="G50" s="10" t="n">
        <v>45662.82103009259</v>
      </c>
      <c r="H50" s="10" t="n">
        <v>45662.82103009259</v>
      </c>
      <c r="I50" s="10" t="n">
        <v>45662.82103009259</v>
      </c>
      <c r="J50" s="10" t="n">
        <v>45662.8225</v>
      </c>
      <c r="K50" s="11">
        <f>IF(AND(ISNUMBER(E50),ISNUMBER(F50)),(F50-E50),"")</f>
        <v/>
      </c>
      <c r="L50" s="11">
        <f>IF(AND(ISNUMBER(F50),ISNUMBER(G50)),(G50-F50),"")</f>
        <v/>
      </c>
      <c r="M50" s="11">
        <f>IF(AND(ISNUMBER(H50),ISNUMBER(I50)),(I50-H50),"")</f>
        <v/>
      </c>
      <c r="N50" s="11">
        <f>IF(AND(ISNUMBER(I50),ISNUMBER(J50)),(J50-I50),"")</f>
        <v/>
      </c>
      <c r="O50" s="11">
        <f>IF(AND(ISNUMBER(E50),ISNUMBER(J50)),(J50-E50),"")</f>
        <v/>
      </c>
    </row>
    <row r="51">
      <c r="A51" s="3" t="inlineStr">
        <is>
          <t>OBT050125180350-Neudörfl (FunderMax)</t>
        </is>
      </c>
      <c r="B51" s="3" t="inlineStr">
        <is>
          <t>Neudörfl (FunderMax)</t>
        </is>
      </c>
      <c r="C51" s="9" t="n">
        <v>118.2</v>
      </c>
      <c r="D51" s="3" t="inlineStr">
        <is>
          <t>613</t>
        </is>
      </c>
      <c r="E51" s="10" t="n">
        <v>45662.75266203703</v>
      </c>
      <c r="F51" s="10" t="n">
        <v>45662.75349537037</v>
      </c>
      <c r="G51" s="10" t="n">
        <v>45662.7740162037</v>
      </c>
      <c r="H51" s="10" t="n">
        <v>45662.7740162037</v>
      </c>
      <c r="I51" s="10" t="n">
        <v>45662.7740162037</v>
      </c>
      <c r="J51" s="10" t="n">
        <v>45662.77472222222</v>
      </c>
      <c r="K51" s="11">
        <f>IF(AND(ISNUMBER(E51),ISNUMBER(F51)),(F51-E51),"")</f>
        <v/>
      </c>
      <c r="L51" s="11">
        <f>IF(AND(ISNUMBER(F51),ISNUMBER(G51)),(G51-F51),"")</f>
        <v/>
      </c>
      <c r="M51" s="11">
        <f>IF(AND(ISNUMBER(H51),ISNUMBER(I51)),(I51-H51),"")</f>
        <v/>
      </c>
      <c r="N51" s="11">
        <f>IF(AND(ISNUMBER(I51),ISNUMBER(J51)),(J51-I51),"")</f>
        <v/>
      </c>
      <c r="O51" s="11">
        <f>IF(AND(ISNUMBER(E51),ISNUMBER(J51)),(J51-E51),"")</f>
        <v/>
      </c>
    </row>
    <row r="52">
      <c r="A52" s="3" t="inlineStr">
        <is>
          <t>OBT050125203113-Pitten (Hamburger)</t>
        </is>
      </c>
      <c r="B52" s="3" t="inlineStr">
        <is>
          <t>Pitten (Hamburger)</t>
        </is>
      </c>
      <c r="C52" s="9" t="n">
        <v>428.7800000000001</v>
      </c>
      <c r="D52" s="3" t="inlineStr">
        <is>
          <t>613</t>
        </is>
      </c>
      <c r="E52" s="10" t="n">
        <v>45662.85501157407</v>
      </c>
      <c r="F52" s="10" t="n">
        <v>45662.8558449074</v>
      </c>
      <c r="G52" s="10" t="n">
        <v>45662.93028935185</v>
      </c>
      <c r="H52" s="10" t="n">
        <v>45662.93028935185</v>
      </c>
      <c r="I52" s="10" t="n">
        <v>45662.93028935185</v>
      </c>
      <c r="J52" s="10" t="n">
        <v>45662.93170138889</v>
      </c>
      <c r="K52" s="11">
        <f>IF(AND(ISNUMBER(E52),ISNUMBER(F52)),(F52-E52),"")</f>
        <v/>
      </c>
      <c r="L52" s="11">
        <f>IF(AND(ISNUMBER(F52),ISNUMBER(G52)),(G52-F52),"")</f>
        <v/>
      </c>
      <c r="M52" s="11">
        <f>IF(AND(ISNUMBER(H52),ISNUMBER(I52)),(I52-H52),"")</f>
        <v/>
      </c>
      <c r="N52" s="11">
        <f>IF(AND(ISNUMBER(I52),ISNUMBER(J52)),(J52-I52),"")</f>
        <v/>
      </c>
      <c r="O52" s="11">
        <f>IF(AND(ISNUMBER(E52),ISNUMBER(J52)),(J52-E52),"")</f>
        <v/>
      </c>
    </row>
    <row r="53">
      <c r="A53" s="3" t="inlineStr">
        <is>
          <t>OBT050125203708-Pitten (Hamburger)</t>
        </is>
      </c>
      <c r="B53" s="3" t="inlineStr">
        <is>
          <t>Pitten (Hamburger)</t>
        </is>
      </c>
      <c r="C53" s="9" t="n">
        <v>101.2</v>
      </c>
      <c r="D53" s="3" t="inlineStr">
        <is>
          <t>619</t>
        </is>
      </c>
      <c r="E53" s="10" t="n">
        <v>45662.85912037037</v>
      </c>
      <c r="F53" s="10" t="n">
        <v>45662.85998842592</v>
      </c>
      <c r="G53" s="10" t="n">
        <v>45662.87755787037</v>
      </c>
      <c r="H53" s="10" t="n">
        <v>45662.87755787037</v>
      </c>
      <c r="I53" s="10" t="n">
        <v>45662.87755787037</v>
      </c>
      <c r="J53" s="10" t="n">
        <v>45662.87833333333</v>
      </c>
      <c r="K53" s="11">
        <f>IF(AND(ISNUMBER(E53),ISNUMBER(F53)),(F53-E53),"")</f>
        <v/>
      </c>
      <c r="L53" s="11">
        <f>IF(AND(ISNUMBER(F53),ISNUMBER(G53)),(G53-F53),"")</f>
        <v/>
      </c>
      <c r="M53" s="11">
        <f>IF(AND(ISNUMBER(H53),ISNUMBER(I53)),(I53-H53),"")</f>
        <v/>
      </c>
      <c r="N53" s="11">
        <f>IF(AND(ISNUMBER(I53),ISNUMBER(J53)),(J53-I53),"")</f>
        <v/>
      </c>
      <c r="O53" s="11">
        <f>IF(AND(ISNUMBER(E53),ISNUMBER(J53)),(J53-E53),"")</f>
        <v/>
      </c>
    </row>
    <row r="54">
      <c r="A54" s="3" t="inlineStr">
        <is>
          <t>OBT060125175612-Pitten (Hamburger)</t>
        </is>
      </c>
      <c r="B54" s="3" t="inlineStr">
        <is>
          <t>Pitten (Hamburger)</t>
        </is>
      </c>
      <c r="C54" s="9" t="n">
        <v>241.38</v>
      </c>
      <c r="D54" s="3" t="inlineStr">
        <is>
          <t>613</t>
        </is>
      </c>
      <c r="E54" s="10" t="n">
        <v>45663.74736111111</v>
      </c>
      <c r="F54" s="10" t="n">
        <v>45663.74822916667</v>
      </c>
      <c r="G54" s="10" t="n">
        <v>45663.79013888889</v>
      </c>
      <c r="H54" s="10" t="n">
        <v>45663.79013888889</v>
      </c>
      <c r="I54" s="10" t="n">
        <v>45663.79013888889</v>
      </c>
      <c r="J54" s="10" t="n">
        <v>45663.79112268519</v>
      </c>
      <c r="K54" s="11">
        <f>IF(AND(ISNUMBER(E54),ISNUMBER(F54)),(F54-E54),"")</f>
        <v/>
      </c>
      <c r="L54" s="11">
        <f>IF(AND(ISNUMBER(F54),ISNUMBER(G54)),(G54-F54),"")</f>
        <v/>
      </c>
      <c r="M54" s="11">
        <f>IF(AND(ISNUMBER(H54),ISNUMBER(I54)),(I54-H54),"")</f>
        <v/>
      </c>
      <c r="N54" s="11">
        <f>IF(AND(ISNUMBER(I54),ISNUMBER(J54)),(J54-I54),"")</f>
        <v/>
      </c>
      <c r="O54" s="11">
        <f>IF(AND(ISNUMBER(E54),ISNUMBER(J54)),(J54-E54),"")</f>
        <v/>
      </c>
    </row>
    <row r="55">
      <c r="A55" s="3" t="inlineStr">
        <is>
          <t>OBT070125031735-Neunkirchen (loading tracks)</t>
        </is>
      </c>
      <c r="B55" s="3" t="inlineStr">
        <is>
          <t>Neunkirchen (loading tracks)</t>
        </is>
      </c>
      <c r="C55" s="9" t="n">
        <v>267.5</v>
      </c>
      <c r="D55" s="3" t="inlineStr">
        <is>
          <t>623</t>
        </is>
      </c>
      <c r="E55" s="10" t="n">
        <v>45664.13721064815</v>
      </c>
      <c r="F55" s="10" t="n">
        <v>45664.13804398148</v>
      </c>
      <c r="G55" s="10" t="n">
        <v>45664.18449074074</v>
      </c>
      <c r="H55" s="10" t="n">
        <v>45664.18449074074</v>
      </c>
      <c r="I55" s="10" t="n">
        <v>45664.18449074074</v>
      </c>
      <c r="J55" s="10" t="n">
        <v>45664.18564814814</v>
      </c>
      <c r="K55" s="11">
        <f>IF(AND(ISNUMBER(E55),ISNUMBER(F55)),(F55-E55),"")</f>
        <v/>
      </c>
      <c r="L55" s="11">
        <f>IF(AND(ISNUMBER(F55),ISNUMBER(G55)),(G55-F55),"")</f>
        <v/>
      </c>
      <c r="M55" s="11">
        <f>IF(AND(ISNUMBER(H55),ISNUMBER(I55)),(I55-H55),"")</f>
        <v/>
      </c>
      <c r="N55" s="11">
        <f>IF(AND(ISNUMBER(I55),ISNUMBER(J55)),(J55-I55),"")</f>
        <v/>
      </c>
      <c r="O55" s="11">
        <f>IF(AND(ISNUMBER(E55),ISNUMBER(J55)),(J55-E55),"")</f>
        <v/>
      </c>
    </row>
    <row r="56">
      <c r="A56" s="3" t="inlineStr">
        <is>
          <t>OBT070125031850-Ebenfurth (beet loading)</t>
        </is>
      </c>
      <c r="B56" s="3" t="inlineStr">
        <is>
          <t>Ebenfurth (beet loading)</t>
        </is>
      </c>
      <c r="C56" s="9" t="n">
        <v>137.58</v>
      </c>
      <c r="D56" s="3" t="inlineStr">
        <is>
          <t>615</t>
        </is>
      </c>
      <c r="E56" s="10" t="n">
        <v>45664.13807870371</v>
      </c>
      <c r="F56" s="10" t="n">
        <v>45664.13894675926</v>
      </c>
      <c r="G56" s="10" t="n">
        <v>45664.16282407408</v>
      </c>
      <c r="H56" s="10" t="n">
        <v>45664.16282407408</v>
      </c>
      <c r="I56" s="10" t="n">
        <v>45664.16282407408</v>
      </c>
      <c r="J56" s="10" t="n">
        <v>45664.16361111111</v>
      </c>
      <c r="K56" s="11">
        <f>IF(AND(ISNUMBER(E56),ISNUMBER(F56)),(F56-E56),"")</f>
        <v/>
      </c>
      <c r="L56" s="11">
        <f>IF(AND(ISNUMBER(F56),ISNUMBER(G56)),(G56-F56),"")</f>
        <v/>
      </c>
      <c r="M56" s="11">
        <f>IF(AND(ISNUMBER(H56),ISNUMBER(I56)),(I56-H56),"")</f>
        <v/>
      </c>
      <c r="N56" s="11">
        <f>IF(AND(ISNUMBER(I56),ISNUMBER(J56)),(J56-I56),"")</f>
        <v/>
      </c>
      <c r="O56" s="11">
        <f>IF(AND(ISNUMBER(E56),ISNUMBER(J56)),(J56-E56),"")</f>
        <v/>
      </c>
    </row>
    <row r="57">
      <c r="A57" s="3" t="inlineStr">
        <is>
          <t>OBT070125064820-Wien Kledering</t>
        </is>
      </c>
      <c r="B57" s="3" t="inlineStr">
        <is>
          <t>Wien Kledering</t>
        </is>
      </c>
      <c r="C57" s="9" t="n">
        <v>297</v>
      </c>
      <c r="D57" s="3" t="inlineStr">
        <is>
          <t>615</t>
        </is>
      </c>
      <c r="E57" s="10" t="n">
        <v>45664.28356481482</v>
      </c>
      <c r="F57" s="10" t="n">
        <v>45664.28443287037</v>
      </c>
      <c r="G57" s="10" t="n">
        <v>45664.33599537037</v>
      </c>
      <c r="H57" s="10" t="n">
        <v>45664.33599537037</v>
      </c>
      <c r="I57" s="10" t="n">
        <v>45664.33599537037</v>
      </c>
      <c r="J57" s="10" t="n">
        <v>45664.3371412037</v>
      </c>
      <c r="K57" s="11">
        <f>IF(AND(ISNUMBER(E57),ISNUMBER(F57)),(F57-E57),"")</f>
        <v/>
      </c>
      <c r="L57" s="11">
        <f>IF(AND(ISNUMBER(F57),ISNUMBER(G57)),(G57-F57),"")</f>
        <v/>
      </c>
      <c r="M57" s="11">
        <f>IF(AND(ISNUMBER(H57),ISNUMBER(I57)),(I57-H57),"")</f>
        <v/>
      </c>
      <c r="N57" s="11">
        <f>IF(AND(ISNUMBER(I57),ISNUMBER(J57)),(J57-I57),"")</f>
        <v/>
      </c>
      <c r="O57" s="11">
        <f>IF(AND(ISNUMBER(E57),ISNUMBER(J57)),(J57-E57),"")</f>
        <v/>
      </c>
    </row>
    <row r="58">
      <c r="A58" s="3" t="inlineStr">
        <is>
          <t>OBT070125074225-Wien Kledering</t>
        </is>
      </c>
      <c r="B58" s="3" t="inlineStr">
        <is>
          <t>Wien Kledering</t>
        </is>
      </c>
      <c r="C58" s="9" t="n">
        <v>396.5600000000001</v>
      </c>
      <c r="D58" s="3" t="inlineStr">
        <is>
          <t>619</t>
        </is>
      </c>
      <c r="E58" s="10" t="n">
        <v>45664.32112268519</v>
      </c>
      <c r="F58" s="10" t="n">
        <v>45664.32196759259</v>
      </c>
      <c r="G58" s="10" t="n">
        <v>45664.39082175926</v>
      </c>
      <c r="H58" s="10" t="n">
        <v>45664.39082175926</v>
      </c>
      <c r="I58" s="10" t="n">
        <v>45664.39082175926</v>
      </c>
      <c r="J58" s="10" t="n">
        <v>45664.39228009259</v>
      </c>
      <c r="K58" s="11">
        <f>IF(AND(ISNUMBER(E58),ISNUMBER(F58)),(F58-E58),"")</f>
        <v/>
      </c>
      <c r="L58" s="11">
        <f>IF(AND(ISNUMBER(F58),ISNUMBER(G58)),(G58-F58),"")</f>
        <v/>
      </c>
      <c r="M58" s="11">
        <f>IF(AND(ISNUMBER(H58),ISNUMBER(I58)),(I58-H58),"")</f>
        <v/>
      </c>
      <c r="N58" s="11">
        <f>IF(AND(ISNUMBER(I58),ISNUMBER(J58)),(J58-I58),"")</f>
        <v/>
      </c>
      <c r="O58" s="11">
        <f>IF(AND(ISNUMBER(E58),ISNUMBER(J58)),(J58-E58),"")</f>
        <v/>
      </c>
    </row>
    <row r="59">
      <c r="A59" s="3" t="inlineStr">
        <is>
          <t>OBT070125074625-Wien Kledering</t>
        </is>
      </c>
      <c r="B59" s="3" t="inlineStr">
        <is>
          <t>Wien Kledering</t>
        </is>
      </c>
      <c r="C59" s="9" t="n">
        <v>189.86</v>
      </c>
      <c r="D59" s="3" t="inlineStr">
        <is>
          <t>607</t>
        </is>
      </c>
      <c r="E59" s="10" t="n">
        <v>45664.32390046296</v>
      </c>
      <c r="F59" s="10" t="n">
        <v>45664.33782407407</v>
      </c>
      <c r="G59" s="10" t="n">
        <v>45664.37078703703</v>
      </c>
      <c r="H59" s="10" t="n">
        <v>45664.37078703703</v>
      </c>
      <c r="I59" s="10" t="n">
        <v>45664.37078703703</v>
      </c>
      <c r="J59" s="10" t="n">
        <v>45664.37181712963</v>
      </c>
      <c r="K59" s="11">
        <f>IF(AND(ISNUMBER(E59),ISNUMBER(F59)),(F59-E59),"")</f>
        <v/>
      </c>
      <c r="L59" s="11">
        <f>IF(AND(ISNUMBER(F59),ISNUMBER(G59)),(G59-F59),"")</f>
        <v/>
      </c>
      <c r="M59" s="11">
        <f>IF(AND(ISNUMBER(H59),ISNUMBER(I59)),(I59-H59),"")</f>
        <v/>
      </c>
      <c r="N59" s="11">
        <f>IF(AND(ISNUMBER(I59),ISNUMBER(J59)),(J59-I59),"")</f>
        <v/>
      </c>
      <c r="O59" s="11">
        <f>IF(AND(ISNUMBER(E59),ISNUMBER(J59)),(J59-E59),"")</f>
        <v/>
      </c>
    </row>
    <row r="60">
      <c r="A60" s="3" t="inlineStr">
        <is>
          <t>OBT070125075235-Neudörfl (FunderMax)</t>
        </is>
      </c>
      <c r="B60" s="3" t="inlineStr">
        <is>
          <t>Neudörfl (FunderMax)</t>
        </is>
      </c>
      <c r="C60" s="9" t="n">
        <v>113.74</v>
      </c>
      <c r="D60" s="3" t="inlineStr">
        <is>
          <t>627</t>
        </is>
      </c>
      <c r="E60" s="10" t="n">
        <v>45664.32818287037</v>
      </c>
      <c r="F60" s="10" t="n">
        <v>45664.34056712963</v>
      </c>
      <c r="G60" s="10" t="n">
        <v>45664.3603125</v>
      </c>
      <c r="H60" s="10" t="n">
        <v>45664.3603125</v>
      </c>
      <c r="I60" s="10" t="n">
        <v>45664.3603125</v>
      </c>
      <c r="J60" s="10" t="n">
        <v>45664.36096064815</v>
      </c>
      <c r="K60" s="11">
        <f>IF(AND(ISNUMBER(E60),ISNUMBER(F60)),(F60-E60),"")</f>
        <v/>
      </c>
      <c r="L60" s="11">
        <f>IF(AND(ISNUMBER(F60),ISNUMBER(G60)),(G60-F60),"")</f>
        <v/>
      </c>
      <c r="M60" s="11">
        <f>IF(AND(ISNUMBER(H60),ISNUMBER(I60)),(I60-H60),"")</f>
        <v/>
      </c>
      <c r="N60" s="11">
        <f>IF(AND(ISNUMBER(I60),ISNUMBER(J60)),(J60-I60),"")</f>
        <v/>
      </c>
      <c r="O60" s="11">
        <f>IF(AND(ISNUMBER(E60),ISNUMBER(J60)),(J60-E60),"")</f>
        <v/>
      </c>
    </row>
    <row r="61">
      <c r="A61" s="3" t="inlineStr">
        <is>
          <t>OBT070125080206-Other sidings north</t>
        </is>
      </c>
      <c r="B61" s="3" t="inlineStr">
        <is>
          <t>Other sidings north</t>
        </is>
      </c>
      <c r="C61" s="9" t="n">
        <v>214.1</v>
      </c>
      <c r="D61" s="3" t="inlineStr">
        <is>
          <t>617</t>
        </is>
      </c>
      <c r="E61" s="10" t="n">
        <v>45664.33479166667</v>
      </c>
      <c r="F61" s="10" t="n">
        <v>45664.36684027778</v>
      </c>
      <c r="G61" s="10" t="n">
        <v>45664.40400462963</v>
      </c>
      <c r="H61" s="10" t="n">
        <v>45664.40400462963</v>
      </c>
      <c r="I61" s="10" t="n">
        <v>45664.40400462963</v>
      </c>
      <c r="J61" s="10" t="n">
        <v>45664.4050462963</v>
      </c>
      <c r="K61" s="11">
        <f>IF(AND(ISNUMBER(E61),ISNUMBER(F61)),(F61-E61),"")</f>
        <v/>
      </c>
      <c r="L61" s="11">
        <f>IF(AND(ISNUMBER(F61),ISNUMBER(G61)),(G61-F61),"")</f>
        <v/>
      </c>
      <c r="M61" s="11">
        <f>IF(AND(ISNUMBER(H61),ISNUMBER(I61)),(I61-H61),"")</f>
        <v/>
      </c>
      <c r="N61" s="11">
        <f>IF(AND(ISNUMBER(I61),ISNUMBER(J61)),(J61-I61),"")</f>
        <v/>
      </c>
      <c r="O61" s="11">
        <f>IF(AND(ISNUMBER(E61),ISNUMBER(J61)),(J61-E61),"")</f>
        <v/>
      </c>
    </row>
    <row r="62">
      <c r="A62" s="3" t="inlineStr">
        <is>
          <t>OBT070125084304-Wien Kledering</t>
        </is>
      </c>
      <c r="B62" s="3" t="inlineStr">
        <is>
          <t>Wien Kledering</t>
        </is>
      </c>
      <c r="C62" s="9" t="n">
        <v>281.4</v>
      </c>
      <c r="D62" s="3" t="inlineStr">
        <is>
          <t>615</t>
        </is>
      </c>
      <c r="E62" s="10" t="n">
        <v>45664.36324074074</v>
      </c>
      <c r="F62" s="10" t="n">
        <v>45664.37252314815</v>
      </c>
      <c r="G62" s="10" t="n">
        <v>45664.42137731481</v>
      </c>
      <c r="H62" s="10" t="n">
        <v>45664.42137731481</v>
      </c>
      <c r="I62" s="10" t="n">
        <v>45664.42137731481</v>
      </c>
      <c r="J62" s="10" t="n">
        <v>45664.42248842592</v>
      </c>
      <c r="K62" s="11">
        <f>IF(AND(ISNUMBER(E62),ISNUMBER(F62)),(F62-E62),"")</f>
        <v/>
      </c>
      <c r="L62" s="11">
        <f>IF(AND(ISNUMBER(F62),ISNUMBER(G62)),(G62-F62),"")</f>
        <v/>
      </c>
      <c r="M62" s="11">
        <f>IF(AND(ISNUMBER(H62),ISNUMBER(I62)),(I62-H62),"")</f>
        <v/>
      </c>
      <c r="N62" s="11">
        <f>IF(AND(ISNUMBER(I62),ISNUMBER(J62)),(J62-I62),"")</f>
        <v/>
      </c>
      <c r="O62" s="11">
        <f>IF(AND(ISNUMBER(E62),ISNUMBER(J62)),(J62-E62),"")</f>
        <v/>
      </c>
    </row>
    <row r="63">
      <c r="A63" s="3" t="inlineStr">
        <is>
          <t>OBT070125084545-St. Veit an der Glan</t>
        </is>
      </c>
      <c r="B63" s="3" t="inlineStr">
        <is>
          <t>St. Veit an der Glan</t>
        </is>
      </c>
      <c r="C63" s="9" t="n">
        <v>180.72</v>
      </c>
      <c r="D63" s="3" t="inlineStr">
        <is>
          <t>625</t>
        </is>
      </c>
      <c r="E63" s="10" t="n">
        <v>45664.36510416667</v>
      </c>
      <c r="F63" s="10" t="n">
        <v>45664.40565972222</v>
      </c>
      <c r="G63" s="10" t="n">
        <v>45664.43702546296</v>
      </c>
      <c r="H63" s="10" t="n">
        <v>45664.43702546296</v>
      </c>
      <c r="I63" s="10" t="n">
        <v>45664.43702546296</v>
      </c>
      <c r="J63" s="10" t="n">
        <v>45664.43795138889</v>
      </c>
      <c r="K63" s="11">
        <f>IF(AND(ISNUMBER(E63),ISNUMBER(F63)),(F63-E63),"")</f>
        <v/>
      </c>
      <c r="L63" s="11">
        <f>IF(AND(ISNUMBER(F63),ISNUMBER(G63)),(G63-F63),"")</f>
        <v/>
      </c>
      <c r="M63" s="11">
        <f>IF(AND(ISNUMBER(H63),ISNUMBER(I63)),(I63-H63),"")</f>
        <v/>
      </c>
      <c r="N63" s="11">
        <f>IF(AND(ISNUMBER(I63),ISNUMBER(J63)),(J63-I63),"")</f>
        <v/>
      </c>
      <c r="O63" s="11">
        <f>IF(AND(ISNUMBER(E63),ISNUMBER(J63)),(J63-E63),"")</f>
        <v/>
      </c>
    </row>
    <row r="64">
      <c r="A64" s="3" t="inlineStr">
        <is>
          <t>OBT070125105541-Wien Kledering</t>
        </is>
      </c>
      <c r="B64" s="3" t="inlineStr">
        <is>
          <t>Wien Kledering</t>
        </is>
      </c>
      <c r="C64" s="9" t="n">
        <v>292.9</v>
      </c>
      <c r="D64" s="3" t="inlineStr">
        <is>
          <t>615</t>
        </is>
      </c>
      <c r="E64" s="10" t="n">
        <v>45664.45533564815</v>
      </c>
      <c r="F64" s="10" t="n">
        <v>45664.45618055556</v>
      </c>
      <c r="G64" s="10" t="n">
        <v>45664.50702546296</v>
      </c>
      <c r="H64" s="10" t="n">
        <v>45664.50702546296</v>
      </c>
      <c r="I64" s="10" t="n">
        <v>45664.50702546296</v>
      </c>
      <c r="J64" s="10" t="n">
        <v>45664.50817129629</v>
      </c>
      <c r="K64" s="11">
        <f>IF(AND(ISNUMBER(E64),ISNUMBER(F64)),(F64-E64),"")</f>
        <v/>
      </c>
      <c r="L64" s="11">
        <f>IF(AND(ISNUMBER(F64),ISNUMBER(G64)),(G64-F64),"")</f>
        <v/>
      </c>
      <c r="M64" s="11">
        <f>IF(AND(ISNUMBER(H64),ISNUMBER(I64)),(I64-H64),"")</f>
        <v/>
      </c>
      <c r="N64" s="11">
        <f>IF(AND(ISNUMBER(I64),ISNUMBER(J64)),(J64-I64),"")</f>
        <v/>
      </c>
      <c r="O64" s="11">
        <f>IF(AND(ISNUMBER(E64),ISNUMBER(J64)),(J64-E64),"")</f>
        <v/>
      </c>
    </row>
    <row r="65">
      <c r="A65" s="3" t="inlineStr">
        <is>
          <t>OBT070125131825-Wien Kledering</t>
        </is>
      </c>
      <c r="B65" s="3" t="inlineStr">
        <is>
          <t>Wien Kledering</t>
        </is>
      </c>
      <c r="C65" s="9" t="n">
        <v>264.28</v>
      </c>
      <c r="D65" s="3" t="inlineStr">
        <is>
          <t>625</t>
        </is>
      </c>
      <c r="E65" s="10" t="n">
        <v>45664.55445601852</v>
      </c>
      <c r="F65" s="10" t="n">
        <v>45664.55532407408</v>
      </c>
      <c r="G65" s="10" t="n">
        <v>45664.60120370371</v>
      </c>
      <c r="H65" s="10" t="n">
        <v>45664.60120370371</v>
      </c>
      <c r="I65" s="10" t="n">
        <v>45664.60120370371</v>
      </c>
      <c r="J65" s="10" t="n">
        <v>45664.60231481482</v>
      </c>
      <c r="K65" s="11">
        <f>IF(AND(ISNUMBER(E65),ISNUMBER(F65)),(F65-E65),"")</f>
        <v/>
      </c>
      <c r="L65" s="11">
        <f>IF(AND(ISNUMBER(F65),ISNUMBER(G65)),(G65-F65),"")</f>
        <v/>
      </c>
      <c r="M65" s="11">
        <f>IF(AND(ISNUMBER(H65),ISNUMBER(I65)),(I65-H65),"")</f>
        <v/>
      </c>
      <c r="N65" s="11">
        <f>IF(AND(ISNUMBER(I65),ISNUMBER(J65)),(J65-I65),"")</f>
        <v/>
      </c>
      <c r="O65" s="11">
        <f>IF(AND(ISNUMBER(E65),ISNUMBER(J65)),(J65-E65),"")</f>
        <v/>
      </c>
    </row>
    <row r="66">
      <c r="A66" s="3" t="inlineStr">
        <is>
          <t>OBT070125143346-Wien Kledering</t>
        </is>
      </c>
      <c r="B66" s="3" t="inlineStr">
        <is>
          <t>Wien Kledering</t>
        </is>
      </c>
      <c r="C66" s="9" t="n">
        <v>398.0400000000001</v>
      </c>
      <c r="D66" s="3" t="inlineStr">
        <is>
          <t>615</t>
        </is>
      </c>
      <c r="E66" s="10" t="n">
        <v>45664.60678240741</v>
      </c>
      <c r="F66" s="10" t="n">
        <v>45664.60762731481</v>
      </c>
      <c r="G66" s="10" t="n">
        <v>45664.67672453704</v>
      </c>
      <c r="H66" s="10" t="n">
        <v>45664.67672453704</v>
      </c>
      <c r="I66" s="10" t="n">
        <v>45664.67672453704</v>
      </c>
      <c r="J66" s="10" t="n">
        <v>45664.67811342593</v>
      </c>
      <c r="K66" s="11">
        <f>IF(AND(ISNUMBER(E66),ISNUMBER(F66)),(F66-E66),"")</f>
        <v/>
      </c>
      <c r="L66" s="11">
        <f>IF(AND(ISNUMBER(F66),ISNUMBER(G66)),(G66-F66),"")</f>
        <v/>
      </c>
      <c r="M66" s="11">
        <f>IF(AND(ISNUMBER(H66),ISNUMBER(I66)),(I66-H66),"")</f>
        <v/>
      </c>
      <c r="N66" s="11">
        <f>IF(AND(ISNUMBER(I66),ISNUMBER(J66)),(J66-I66),"")</f>
        <v/>
      </c>
      <c r="O66" s="11">
        <f>IF(AND(ISNUMBER(E66),ISNUMBER(J66)),(J66-E66),"")</f>
        <v/>
      </c>
    </row>
    <row r="67">
      <c r="A67" s="3" t="inlineStr">
        <is>
          <t>OBT070125154136-Wr. Neustadt (Hödlmayr)</t>
        </is>
      </c>
      <c r="B67" s="3" t="inlineStr">
        <is>
          <t>Wr. Neustadt (Hödlmayr)</t>
        </is>
      </c>
      <c r="C67" s="9" t="n">
        <v>135</v>
      </c>
      <c r="D67" s="3" t="inlineStr">
        <is>
          <t>629</t>
        </is>
      </c>
      <c r="E67" s="10" t="n">
        <v>45664.65388888889</v>
      </c>
      <c r="F67" s="10" t="n">
        <v>45664.65876157407</v>
      </c>
      <c r="G67" s="10" t="n">
        <v>45664.68219907407</v>
      </c>
      <c r="H67" s="10" t="n">
        <v>45664.68219907407</v>
      </c>
      <c r="I67" s="10" t="n">
        <v>45664.68219907407</v>
      </c>
      <c r="J67" s="10" t="n">
        <v>45664.68289351852</v>
      </c>
      <c r="K67" s="11">
        <f>IF(AND(ISNUMBER(E67),ISNUMBER(F67)),(F67-E67),"")</f>
        <v/>
      </c>
      <c r="L67" s="11">
        <f>IF(AND(ISNUMBER(F67),ISNUMBER(G67)),(G67-F67),"")</f>
        <v/>
      </c>
      <c r="M67" s="11">
        <f>IF(AND(ISNUMBER(H67),ISNUMBER(I67)),(I67-H67),"")</f>
        <v/>
      </c>
      <c r="N67" s="11">
        <f>IF(AND(ISNUMBER(I67),ISNUMBER(J67)),(J67-I67),"")</f>
        <v/>
      </c>
      <c r="O67" s="11">
        <f>IF(AND(ISNUMBER(E67),ISNUMBER(J67)),(J67-E67),"")</f>
        <v/>
      </c>
    </row>
    <row r="68">
      <c r="A68" s="3" t="inlineStr">
        <is>
          <t>OBT070125154601-Other sidings north</t>
        </is>
      </c>
      <c r="B68" s="3" t="inlineStr">
        <is>
          <t>Other sidings north</t>
        </is>
      </c>
      <c r="C68" s="9" t="n">
        <v>101.94</v>
      </c>
      <c r="D68" s="3" t="inlineStr">
        <is>
          <t>617</t>
        </is>
      </c>
      <c r="E68" s="10" t="n">
        <v>45664.65695601852</v>
      </c>
      <c r="F68" s="10" t="n">
        <v>45664.66853009259</v>
      </c>
      <c r="G68" s="10" t="n">
        <v>45664.68622685185</v>
      </c>
      <c r="H68" s="10" t="n">
        <v>45664.68622685185</v>
      </c>
      <c r="I68" s="10" t="n">
        <v>45664.68622685185</v>
      </c>
      <c r="J68" s="10" t="n">
        <v>45664.68701388889</v>
      </c>
      <c r="K68" s="11">
        <f>IF(AND(ISNUMBER(E68),ISNUMBER(F68)),(F68-E68),"")</f>
        <v/>
      </c>
      <c r="L68" s="11">
        <f>IF(AND(ISNUMBER(F68),ISNUMBER(G68)),(G68-F68),"")</f>
        <v/>
      </c>
      <c r="M68" s="11">
        <f>IF(AND(ISNUMBER(H68),ISNUMBER(I68)),(I68-H68),"")</f>
        <v/>
      </c>
      <c r="N68" s="11">
        <f>IF(AND(ISNUMBER(I68),ISNUMBER(J68)),(J68-I68),"")</f>
        <v/>
      </c>
      <c r="O68" s="11">
        <f>IF(AND(ISNUMBER(E68),ISNUMBER(J68)),(J68-E68),"")</f>
        <v/>
      </c>
    </row>
    <row r="69">
      <c r="A69" s="3" t="inlineStr">
        <is>
          <t>OBT070125155207-Pitten (Hamburger)</t>
        </is>
      </c>
      <c r="B69" s="3" t="inlineStr">
        <is>
          <t>Pitten (Hamburger)</t>
        </is>
      </c>
      <c r="C69" s="9" t="n">
        <v>119.96</v>
      </c>
      <c r="D69" s="3" t="inlineStr">
        <is>
          <t>613</t>
        </is>
      </c>
      <c r="E69" s="10" t="n">
        <v>45664.66119212963</v>
      </c>
      <c r="F69" s="10" t="n">
        <v>45664.68381944444</v>
      </c>
      <c r="G69" s="10" t="n">
        <v>45664.7046412037</v>
      </c>
      <c r="H69" s="10" t="n">
        <v>45664.7046412037</v>
      </c>
      <c r="I69" s="10" t="n">
        <v>45664.7046412037</v>
      </c>
      <c r="J69" s="10" t="n">
        <v>45664.70534722223</v>
      </c>
      <c r="K69" s="11">
        <f>IF(AND(ISNUMBER(E69),ISNUMBER(F69)),(F69-E69),"")</f>
        <v/>
      </c>
      <c r="L69" s="11">
        <f>IF(AND(ISNUMBER(F69),ISNUMBER(G69)),(G69-F69),"")</f>
        <v/>
      </c>
      <c r="M69" s="11">
        <f>IF(AND(ISNUMBER(H69),ISNUMBER(I69)),(I69-H69),"")</f>
        <v/>
      </c>
      <c r="N69" s="11">
        <f>IF(AND(ISNUMBER(I69),ISNUMBER(J69)),(J69-I69),"")</f>
        <v/>
      </c>
      <c r="O69" s="11">
        <f>IF(AND(ISNUMBER(E69),ISNUMBER(J69)),(J69-E69),"")</f>
        <v/>
      </c>
    </row>
    <row r="70">
      <c r="A70" s="3" t="inlineStr">
        <is>
          <t>OBT070125160018-Wien Kledering</t>
        </is>
      </c>
      <c r="B70" s="3" t="inlineStr">
        <is>
          <t>Wien Kledering</t>
        </is>
      </c>
      <c r="C70" s="9" t="n">
        <v>393.5000000000001</v>
      </c>
      <c r="D70" s="3" t="inlineStr">
        <is>
          <t>619</t>
        </is>
      </c>
      <c r="E70" s="10" t="n">
        <v>45664.666875</v>
      </c>
      <c r="F70" s="10" t="n">
        <v>45664.68393518519</v>
      </c>
      <c r="G70" s="10" t="n">
        <v>45664.75224537037</v>
      </c>
      <c r="H70" s="10" t="n">
        <v>45664.75224537037</v>
      </c>
      <c r="I70" s="10" t="n">
        <v>45664.75224537037</v>
      </c>
      <c r="J70" s="10" t="n">
        <v>45664.7537037037</v>
      </c>
      <c r="K70" s="11">
        <f>IF(AND(ISNUMBER(E70),ISNUMBER(F70)),(F70-E70),"")</f>
        <v/>
      </c>
      <c r="L70" s="11">
        <f>IF(AND(ISNUMBER(F70),ISNUMBER(G70)),(G70-F70),"")</f>
        <v/>
      </c>
      <c r="M70" s="11">
        <f>IF(AND(ISNUMBER(H70),ISNUMBER(I70)),(I70-H70),"")</f>
        <v/>
      </c>
      <c r="N70" s="11">
        <f>IF(AND(ISNUMBER(I70),ISNUMBER(J70)),(J70-I70),"")</f>
        <v/>
      </c>
      <c r="O70" s="11">
        <f>IF(AND(ISNUMBER(E70),ISNUMBER(J70)),(J70-E70),"")</f>
        <v/>
      </c>
    </row>
    <row r="71">
      <c r="A71" s="3" t="inlineStr">
        <is>
          <t>OBT070125162217-St. Veit an der Glan</t>
        </is>
      </c>
      <c r="B71" s="3" t="inlineStr">
        <is>
          <t>St. Veit an der Glan</t>
        </is>
      </c>
      <c r="C71" s="9" t="n">
        <v>100.5</v>
      </c>
      <c r="D71" s="3" t="inlineStr">
        <is>
          <t>627</t>
        </is>
      </c>
      <c r="E71" s="10" t="n">
        <v>45664.6821412037</v>
      </c>
      <c r="F71" s="10" t="n">
        <v>45664.68796296296</v>
      </c>
      <c r="G71" s="10" t="n">
        <v>45664.70540509259</v>
      </c>
      <c r="H71" s="10" t="n">
        <v>45664.70540509259</v>
      </c>
      <c r="I71" s="10" t="n">
        <v>45664.70540509259</v>
      </c>
      <c r="J71" s="10" t="n">
        <v>45664.7060300926</v>
      </c>
      <c r="K71" s="11">
        <f>IF(AND(ISNUMBER(E71),ISNUMBER(F71)),(F71-E71),"")</f>
        <v/>
      </c>
      <c r="L71" s="11">
        <f>IF(AND(ISNUMBER(F71),ISNUMBER(G71)),(G71-F71),"")</f>
        <v/>
      </c>
      <c r="M71" s="11">
        <f>IF(AND(ISNUMBER(H71),ISNUMBER(I71)),(I71-H71),"")</f>
        <v/>
      </c>
      <c r="N71" s="11">
        <f>IF(AND(ISNUMBER(I71),ISNUMBER(J71)),(J71-I71),"")</f>
        <v/>
      </c>
      <c r="O71" s="11">
        <f>IF(AND(ISNUMBER(E71),ISNUMBER(J71)),(J71-E71),"")</f>
        <v/>
      </c>
    </row>
    <row r="72">
      <c r="A72" s="3" t="inlineStr">
        <is>
          <t>OBT070125180657-Wr. Neustadt Ausfahrbf (Furtenbach)</t>
        </is>
      </c>
      <c r="B72" s="3" t="inlineStr">
        <is>
          <t>Wr. Neustadt Ausfahrbf (Furtenbach)</t>
        </is>
      </c>
      <c r="C72" s="9" t="n">
        <v>139.3</v>
      </c>
      <c r="D72" s="3" t="inlineStr">
        <is>
          <t>605</t>
        </is>
      </c>
      <c r="E72" s="10" t="n">
        <v>45664.75482638889</v>
      </c>
      <c r="F72" s="10" t="n">
        <v>45664.75568287037</v>
      </c>
      <c r="G72" s="10" t="n">
        <v>45664.77986111111</v>
      </c>
      <c r="H72" s="10" t="n">
        <v>45664.77986111111</v>
      </c>
      <c r="I72" s="10" t="n">
        <v>45664.77986111111</v>
      </c>
      <c r="J72" s="10" t="n">
        <v>45664.78077546296</v>
      </c>
      <c r="K72" s="11">
        <f>IF(AND(ISNUMBER(E72),ISNUMBER(F72)),(F72-E72),"")</f>
        <v/>
      </c>
      <c r="L72" s="11">
        <f>IF(AND(ISNUMBER(F72),ISNUMBER(G72)),(G72-F72),"")</f>
        <v/>
      </c>
      <c r="M72" s="11">
        <f>IF(AND(ISNUMBER(H72),ISNUMBER(I72)),(I72-H72),"")</f>
        <v/>
      </c>
      <c r="N72" s="11">
        <f>IF(AND(ISNUMBER(I72),ISNUMBER(J72)),(J72-I72),"")</f>
        <v/>
      </c>
      <c r="O72" s="11">
        <f>IF(AND(ISNUMBER(E72),ISNUMBER(J72)),(J72-E72),"")</f>
        <v/>
      </c>
    </row>
    <row r="73">
      <c r="A73" s="3" t="inlineStr">
        <is>
          <t>OBT070125180725-Wr. Neustadt (Hödlmayr)</t>
        </is>
      </c>
      <c r="B73" s="3" t="inlineStr">
        <is>
          <t>Wr. Neustadt (Hödlmayr)</t>
        </is>
      </c>
      <c r="C73" s="9" t="n">
        <v>108</v>
      </c>
      <c r="D73" s="3" t="inlineStr">
        <is>
          <t>613</t>
        </is>
      </c>
      <c r="E73" s="10" t="n">
        <v>45664.75515046297</v>
      </c>
      <c r="F73" s="10" t="n">
        <v>45664.75641203704</v>
      </c>
      <c r="G73" s="10" t="n">
        <v>45664.77516203704</v>
      </c>
      <c r="H73" s="10" t="n">
        <v>45664.77516203704</v>
      </c>
      <c r="I73" s="10" t="n">
        <v>45664.77516203704</v>
      </c>
      <c r="J73" s="10" t="n">
        <v>45664.77583333333</v>
      </c>
      <c r="K73" s="11">
        <f>IF(AND(ISNUMBER(E73),ISNUMBER(F73)),(F73-E73),"")</f>
        <v/>
      </c>
      <c r="L73" s="11">
        <f>IF(AND(ISNUMBER(F73),ISNUMBER(G73)),(G73-F73),"")</f>
        <v/>
      </c>
      <c r="M73" s="11">
        <f>IF(AND(ISNUMBER(H73),ISNUMBER(I73)),(I73-H73),"")</f>
        <v/>
      </c>
      <c r="N73" s="11">
        <f>IF(AND(ISNUMBER(I73),ISNUMBER(J73)),(J73-I73),"")</f>
        <v/>
      </c>
      <c r="O73" s="11">
        <f>IF(AND(ISNUMBER(E73),ISNUMBER(J73)),(J73-E73),"")</f>
        <v/>
      </c>
    </row>
    <row r="74">
      <c r="A74" s="3" t="inlineStr">
        <is>
          <t>OBT070125183432-Wien Kledering</t>
        </is>
      </c>
      <c r="B74" s="3" t="inlineStr">
        <is>
          <t>Wien Kledering</t>
        </is>
      </c>
      <c r="C74" s="9" t="n">
        <v>305.78</v>
      </c>
      <c r="D74" s="3" t="inlineStr">
        <is>
          <t>607</t>
        </is>
      </c>
      <c r="E74" s="10" t="n">
        <v>45664.77398148148</v>
      </c>
      <c r="F74" s="10" t="n">
        <v>45664.77571759259</v>
      </c>
      <c r="G74" s="10" t="n">
        <v>45664.82879629629</v>
      </c>
      <c r="H74" s="10" t="n">
        <v>45664.82879629629</v>
      </c>
      <c r="I74" s="10" t="n">
        <v>45664.82879629629</v>
      </c>
      <c r="J74" s="10" t="n">
        <v>45664.83010416666</v>
      </c>
      <c r="K74" s="11">
        <f>IF(AND(ISNUMBER(E74),ISNUMBER(F74)),(F74-E74),"")</f>
        <v/>
      </c>
      <c r="L74" s="11">
        <f>IF(AND(ISNUMBER(F74),ISNUMBER(G74)),(G74-F74),"")</f>
        <v/>
      </c>
      <c r="M74" s="11">
        <f>IF(AND(ISNUMBER(H74),ISNUMBER(I74)),(I74-H74),"")</f>
        <v/>
      </c>
      <c r="N74" s="11">
        <f>IF(AND(ISNUMBER(I74),ISNUMBER(J74)),(J74-I74),"")</f>
        <v/>
      </c>
      <c r="O74" s="11">
        <f>IF(AND(ISNUMBER(E74),ISNUMBER(J74)),(J74-E74),"")</f>
        <v/>
      </c>
    </row>
    <row r="75">
      <c r="A75" s="3" t="inlineStr">
        <is>
          <t>OBT070125212007-Wien Kledering</t>
        </is>
      </c>
      <c r="B75" s="3" t="inlineStr">
        <is>
          <t>Wien Kledering</t>
        </is>
      </c>
      <c r="C75" s="9" t="n">
        <v>389.0600000000001</v>
      </c>
      <c r="D75" s="3" t="inlineStr">
        <is>
          <t>613</t>
        </is>
      </c>
      <c r="E75" s="10" t="n">
        <v>45664.88896990741</v>
      </c>
      <c r="F75" s="10" t="n">
        <v>45664.88983796296</v>
      </c>
      <c r="G75" s="10" t="n">
        <v>45664.95738425926</v>
      </c>
      <c r="H75" s="10" t="n">
        <v>45664.95738425926</v>
      </c>
      <c r="I75" s="10" t="n">
        <v>45664.95738425926</v>
      </c>
      <c r="J75" s="10" t="n">
        <v>45664.95870370371</v>
      </c>
      <c r="K75" s="11">
        <f>IF(AND(ISNUMBER(E75),ISNUMBER(F75)),(F75-E75),"")</f>
        <v/>
      </c>
      <c r="L75" s="11">
        <f>IF(AND(ISNUMBER(F75),ISNUMBER(G75)),(G75-F75),"")</f>
        <v/>
      </c>
      <c r="M75" s="11">
        <f>IF(AND(ISNUMBER(H75),ISNUMBER(I75)),(I75-H75),"")</f>
        <v/>
      </c>
      <c r="N75" s="11">
        <f>IF(AND(ISNUMBER(I75),ISNUMBER(J75)),(J75-I75),"")</f>
        <v/>
      </c>
      <c r="O75" s="11">
        <f>IF(AND(ISNUMBER(E75),ISNUMBER(J75)),(J75-E75),"")</f>
        <v/>
      </c>
    </row>
    <row r="76">
      <c r="A76" s="3" t="inlineStr">
        <is>
          <t>OBT080125031418-Pitten (Hamburger)</t>
        </is>
      </c>
      <c r="B76" s="3" t="inlineStr">
        <is>
          <t>Pitten (Hamburger)</t>
        </is>
      </c>
      <c r="C76" s="9" t="n">
        <v>102.86</v>
      </c>
      <c r="D76" s="3" t="inlineStr">
        <is>
          <t>627</t>
        </is>
      </c>
      <c r="E76" s="10" t="n">
        <v>45665.13493055556</v>
      </c>
      <c r="F76" s="10" t="n">
        <v>45665.13576388889</v>
      </c>
      <c r="G76" s="10" t="n">
        <v>45665.15362268518</v>
      </c>
      <c r="H76" s="10" t="n">
        <v>45665.15362268518</v>
      </c>
      <c r="I76" s="10" t="n">
        <v>45665.15362268518</v>
      </c>
      <c r="J76" s="10" t="n">
        <v>45665.15424768518</v>
      </c>
      <c r="K76" s="11">
        <f>IF(AND(ISNUMBER(E76),ISNUMBER(F76)),(F76-E76),"")</f>
        <v/>
      </c>
      <c r="L76" s="11">
        <f>IF(AND(ISNUMBER(F76),ISNUMBER(G76)),(G76-F76),"")</f>
        <v/>
      </c>
      <c r="M76" s="11">
        <f>IF(AND(ISNUMBER(H76),ISNUMBER(I76)),(I76-H76),"")</f>
        <v/>
      </c>
      <c r="N76" s="11">
        <f>IF(AND(ISNUMBER(I76),ISNUMBER(J76)),(J76-I76),"")</f>
        <v/>
      </c>
      <c r="O76" s="11">
        <f>IF(AND(ISNUMBER(E76),ISNUMBER(J76)),(J76-E76),"")</f>
        <v/>
      </c>
    </row>
    <row r="77">
      <c r="A77" s="3" t="inlineStr">
        <is>
          <t>OBT080125031718-Other sidings local</t>
        </is>
      </c>
      <c r="B77" s="3" t="inlineStr">
        <is>
          <t>Other sidings local</t>
        </is>
      </c>
      <c r="C77" s="9" t="n">
        <v>114.34</v>
      </c>
      <c r="D77" s="3" t="inlineStr">
        <is>
          <t>625</t>
        </is>
      </c>
      <c r="E77" s="10" t="n">
        <v>45665.13701388889</v>
      </c>
      <c r="F77" s="10" t="n">
        <v>45665.13884259259</v>
      </c>
      <c r="G77" s="10" t="n">
        <v>45665.15869212963</v>
      </c>
      <c r="H77" s="10" t="n">
        <v>45665.15869212963</v>
      </c>
      <c r="I77" s="10" t="n">
        <v>45665.15869212963</v>
      </c>
      <c r="J77" s="10" t="n">
        <v>45665.1594675926</v>
      </c>
      <c r="K77" s="11">
        <f>IF(AND(ISNUMBER(E77),ISNUMBER(F77)),(F77-E77),"")</f>
        <v/>
      </c>
      <c r="L77" s="11">
        <f>IF(AND(ISNUMBER(F77),ISNUMBER(G77)),(G77-F77),"")</f>
        <v/>
      </c>
      <c r="M77" s="11">
        <f>IF(AND(ISNUMBER(H77),ISNUMBER(I77)),(I77-H77),"")</f>
        <v/>
      </c>
      <c r="N77" s="11">
        <f>IF(AND(ISNUMBER(I77),ISNUMBER(J77)),(J77-I77),"")</f>
        <v/>
      </c>
      <c r="O77" s="11">
        <f>IF(AND(ISNUMBER(E77),ISNUMBER(J77)),(J77-E77),"")</f>
        <v/>
      </c>
    </row>
    <row r="78">
      <c r="A78" s="3" t="inlineStr">
        <is>
          <t>OBT080125031726-Neunkirchen (loading tracks)</t>
        </is>
      </c>
      <c r="B78" s="3" t="inlineStr">
        <is>
          <t>Neunkirchen (loading tracks)</t>
        </is>
      </c>
      <c r="C78" s="9" t="n">
        <v>166.9</v>
      </c>
      <c r="D78" s="3" t="inlineStr">
        <is>
          <t>613</t>
        </is>
      </c>
      <c r="E78" s="10" t="n">
        <v>45665.13710648148</v>
      </c>
      <c r="F78" s="10" t="n">
        <v>45665.1421412037</v>
      </c>
      <c r="G78" s="10" t="n">
        <v>45665.17112268518</v>
      </c>
      <c r="H78" s="10" t="n">
        <v>45665.17112268518</v>
      </c>
      <c r="I78" s="10" t="n">
        <v>45665.17112268518</v>
      </c>
      <c r="J78" s="10" t="n">
        <v>45665.17193287037</v>
      </c>
      <c r="K78" s="11">
        <f>IF(AND(ISNUMBER(E78),ISNUMBER(F78)),(F78-E78),"")</f>
        <v/>
      </c>
      <c r="L78" s="11">
        <f>IF(AND(ISNUMBER(F78),ISNUMBER(G78)),(G78-F78),"")</f>
        <v/>
      </c>
      <c r="M78" s="11">
        <f>IF(AND(ISNUMBER(H78),ISNUMBER(I78)),(I78-H78),"")</f>
        <v/>
      </c>
      <c r="N78" s="11">
        <f>IF(AND(ISNUMBER(I78),ISNUMBER(J78)),(J78-I78),"")</f>
        <v/>
      </c>
      <c r="O78" s="11">
        <f>IF(AND(ISNUMBER(E78),ISNUMBER(J78)),(J78-E78),"")</f>
        <v/>
      </c>
    </row>
    <row r="79">
      <c r="A79" s="3" t="inlineStr">
        <is>
          <t>OBT080125032215-Other sidings south</t>
        </is>
      </c>
      <c r="B79" s="3" t="inlineStr">
        <is>
          <t>Other sidings south</t>
        </is>
      </c>
      <c r="C79" s="9" t="n">
        <v>141.74</v>
      </c>
      <c r="D79" s="3" t="inlineStr">
        <is>
          <t>623</t>
        </is>
      </c>
      <c r="E79" s="10" t="n">
        <v>45665.14045138889</v>
      </c>
      <c r="F79" s="10" t="n">
        <v>45665.15530092592</v>
      </c>
      <c r="G79" s="10" t="n">
        <v>45665.17990740741</v>
      </c>
      <c r="H79" s="10" t="n">
        <v>45665.17990740741</v>
      </c>
      <c r="I79" s="10" t="n">
        <v>45665.17990740741</v>
      </c>
      <c r="J79" s="10" t="n">
        <v>45665.18077546296</v>
      </c>
      <c r="K79" s="11">
        <f>IF(AND(ISNUMBER(E79),ISNUMBER(F79)),(F79-E79),"")</f>
        <v/>
      </c>
      <c r="L79" s="11">
        <f>IF(AND(ISNUMBER(F79),ISNUMBER(G79)),(G79-F79),"")</f>
        <v/>
      </c>
      <c r="M79" s="11">
        <f>IF(AND(ISNUMBER(H79),ISNUMBER(I79)),(I79-H79),"")</f>
        <v/>
      </c>
      <c r="N79" s="11">
        <f>IF(AND(ISNUMBER(I79),ISNUMBER(J79)),(J79-I79),"")</f>
        <v/>
      </c>
      <c r="O79" s="11">
        <f>IF(AND(ISNUMBER(E79),ISNUMBER(J79)),(J79-E79),"")</f>
        <v/>
      </c>
    </row>
    <row r="80">
      <c r="A80" s="3" t="inlineStr">
        <is>
          <t>OBT080125041024-Neudörfl (FunderMax)</t>
        </is>
      </c>
      <c r="B80" s="3" t="inlineStr">
        <is>
          <t>Neudörfl (FunderMax)</t>
        </is>
      </c>
      <c r="C80" s="9" t="n">
        <v>592.6999999999999</v>
      </c>
      <c r="D80" s="3" t="inlineStr">
        <is>
          <t>611</t>
        </is>
      </c>
      <c r="E80" s="10" t="n">
        <v>45665.17388888889</v>
      </c>
      <c r="F80" s="10" t="n">
        <v>45665.1747337963</v>
      </c>
      <c r="G80" s="10" t="n">
        <v>45665.27763888889</v>
      </c>
      <c r="H80" s="10" t="n">
        <v>45665.27763888889</v>
      </c>
      <c r="I80" s="10" t="n">
        <v>45665.27763888889</v>
      </c>
      <c r="J80" s="10" t="n">
        <v>45665.27949074074</v>
      </c>
      <c r="K80" s="11">
        <f>IF(AND(ISNUMBER(E80),ISNUMBER(F80)),(F80-E80),"")</f>
        <v/>
      </c>
      <c r="L80" s="11">
        <f>IF(AND(ISNUMBER(F80),ISNUMBER(G80)),(G80-F80),"")</f>
        <v/>
      </c>
      <c r="M80" s="11">
        <f>IF(AND(ISNUMBER(H80),ISNUMBER(I80)),(I80-H80),"")</f>
        <v/>
      </c>
      <c r="N80" s="11">
        <f>IF(AND(ISNUMBER(I80),ISNUMBER(J80)),(J80-I80),"")</f>
        <v/>
      </c>
      <c r="O80" s="11">
        <f>IF(AND(ISNUMBER(E80),ISNUMBER(J80)),(J80-E80),"")</f>
        <v/>
      </c>
    </row>
    <row r="81">
      <c r="A81" s="3" t="inlineStr">
        <is>
          <t>OBT080125061845-Wien Kledering</t>
        </is>
      </c>
      <c r="B81" s="3" t="inlineStr">
        <is>
          <t>Wien Kledering</t>
        </is>
      </c>
      <c r="C81" s="9" t="n">
        <v>297</v>
      </c>
      <c r="D81" s="3" t="inlineStr">
        <is>
          <t>613</t>
        </is>
      </c>
      <c r="E81" s="10" t="n">
        <v>45665.26302083334</v>
      </c>
      <c r="F81" s="10" t="n">
        <v>45665.26388888889</v>
      </c>
      <c r="G81" s="10" t="n">
        <v>45665.31545138889</v>
      </c>
      <c r="H81" s="10" t="n">
        <v>45665.31545138889</v>
      </c>
      <c r="I81" s="10" t="n">
        <v>45665.31545138889</v>
      </c>
      <c r="J81" s="10" t="n">
        <v>45665.31657407407</v>
      </c>
      <c r="K81" s="11">
        <f>IF(AND(ISNUMBER(E81),ISNUMBER(F81)),(F81-E81),"")</f>
        <v/>
      </c>
      <c r="L81" s="11">
        <f>IF(AND(ISNUMBER(F81),ISNUMBER(G81)),(G81-F81),"")</f>
        <v/>
      </c>
      <c r="M81" s="11">
        <f>IF(AND(ISNUMBER(H81),ISNUMBER(I81)),(I81-H81),"")</f>
        <v/>
      </c>
      <c r="N81" s="11">
        <f>IF(AND(ISNUMBER(I81),ISNUMBER(J81)),(J81-I81),"")</f>
        <v/>
      </c>
      <c r="O81" s="11">
        <f>IF(AND(ISNUMBER(E81),ISNUMBER(J81)),(J81-E81),"")</f>
        <v/>
      </c>
    </row>
    <row r="82">
      <c r="A82" s="3" t="inlineStr">
        <is>
          <t>OBT080125073527-Wien Kledering</t>
        </is>
      </c>
      <c r="B82" s="3" t="inlineStr">
        <is>
          <t>Wien Kledering</t>
        </is>
      </c>
      <c r="C82" s="9" t="n">
        <v>156.74</v>
      </c>
      <c r="D82" s="3" t="inlineStr">
        <is>
          <t>611</t>
        </is>
      </c>
      <c r="E82" s="10" t="n">
        <v>45665.31628472222</v>
      </c>
      <c r="F82" s="10" t="n">
        <v>45665.31712962963</v>
      </c>
      <c r="G82" s="10" t="n">
        <v>45665.34434027778</v>
      </c>
      <c r="H82" s="10" t="n">
        <v>45665.34434027778</v>
      </c>
      <c r="I82" s="10" t="n">
        <v>45665.34434027778</v>
      </c>
      <c r="J82" s="10" t="n">
        <v>45665.34519675926</v>
      </c>
      <c r="K82" s="11">
        <f>IF(AND(ISNUMBER(E82),ISNUMBER(F82)),(F82-E82),"")</f>
        <v/>
      </c>
      <c r="L82" s="11">
        <f>IF(AND(ISNUMBER(F82),ISNUMBER(G82)),(G82-F82),"")</f>
        <v/>
      </c>
      <c r="M82" s="11">
        <f>IF(AND(ISNUMBER(H82),ISNUMBER(I82)),(I82-H82),"")</f>
        <v/>
      </c>
      <c r="N82" s="11">
        <f>IF(AND(ISNUMBER(I82),ISNUMBER(J82)),(J82-I82),"")</f>
        <v/>
      </c>
      <c r="O82" s="11">
        <f>IF(AND(ISNUMBER(E82),ISNUMBER(J82)),(J82-E82),"")</f>
        <v/>
      </c>
    </row>
    <row r="83">
      <c r="A83" s="3" t="inlineStr">
        <is>
          <t>OBT080125081724-Other sidings north</t>
        </is>
      </c>
      <c r="B83" s="3" t="inlineStr">
        <is>
          <t>Other sidings north</t>
        </is>
      </c>
      <c r="C83" s="9" t="n">
        <v>130.08</v>
      </c>
      <c r="D83" s="3" t="inlineStr">
        <is>
          <t>615</t>
        </is>
      </c>
      <c r="E83" s="10" t="n">
        <v>45665.34541666666</v>
      </c>
      <c r="F83" s="10" t="n">
        <v>45665.34628472223</v>
      </c>
      <c r="G83" s="10" t="n">
        <v>45665.36886574074</v>
      </c>
      <c r="H83" s="10" t="n">
        <v>45665.36886574074</v>
      </c>
      <c r="I83" s="10" t="n">
        <v>45665.36886574074</v>
      </c>
      <c r="J83" s="10" t="n">
        <v>45665.36962962963</v>
      </c>
      <c r="K83" s="11">
        <f>IF(AND(ISNUMBER(E83),ISNUMBER(F83)),(F83-E83),"")</f>
        <v/>
      </c>
      <c r="L83" s="11">
        <f>IF(AND(ISNUMBER(F83),ISNUMBER(G83)),(G83-F83),"")</f>
        <v/>
      </c>
      <c r="M83" s="11">
        <f>IF(AND(ISNUMBER(H83),ISNUMBER(I83)),(I83-H83),"")</f>
        <v/>
      </c>
      <c r="N83" s="11">
        <f>IF(AND(ISNUMBER(I83),ISNUMBER(J83)),(J83-I83),"")</f>
        <v/>
      </c>
      <c r="O83" s="11">
        <f>IF(AND(ISNUMBER(E83),ISNUMBER(J83)),(J83-E83),"")</f>
        <v/>
      </c>
    </row>
    <row r="84">
      <c r="A84" s="3" t="inlineStr">
        <is>
          <t>OBT080125082044-Wr. Neustadt (Hödlmayr)</t>
        </is>
      </c>
      <c r="B84" s="3" t="inlineStr">
        <is>
          <t>Wr. Neustadt (Hödlmayr)</t>
        </is>
      </c>
      <c r="C84" s="9" t="n">
        <v>108</v>
      </c>
      <c r="D84" s="3" t="inlineStr">
        <is>
          <t>619</t>
        </is>
      </c>
      <c r="E84" s="10" t="n">
        <v>45665.34773148148</v>
      </c>
      <c r="F84" s="10" t="n">
        <v>45665.34859953704</v>
      </c>
      <c r="G84" s="10" t="n">
        <v>45665.36734953704</v>
      </c>
      <c r="H84" s="10" t="n">
        <v>45665.36734953704</v>
      </c>
      <c r="I84" s="10" t="n">
        <v>45665.36734953704</v>
      </c>
      <c r="J84" s="10" t="n">
        <v>45665.36813657408</v>
      </c>
      <c r="K84" s="11">
        <f>IF(AND(ISNUMBER(E84),ISNUMBER(F84)),(F84-E84),"")</f>
        <v/>
      </c>
      <c r="L84" s="11">
        <f>IF(AND(ISNUMBER(F84),ISNUMBER(G84)),(G84-F84),"")</f>
        <v/>
      </c>
      <c r="M84" s="11">
        <f>IF(AND(ISNUMBER(H84),ISNUMBER(I84)),(I84-H84),"")</f>
        <v/>
      </c>
      <c r="N84" s="11">
        <f>IF(AND(ISNUMBER(I84),ISNUMBER(J84)),(J84-I84),"")</f>
        <v/>
      </c>
      <c r="O84" s="11">
        <f>IF(AND(ISNUMBER(E84),ISNUMBER(J84)),(J84-E84),"")</f>
        <v/>
      </c>
    </row>
    <row r="85">
      <c r="A85" s="3" t="inlineStr">
        <is>
          <t>OBT080125083220-Pitten (Hamburger)</t>
        </is>
      </c>
      <c r="B85" s="3" t="inlineStr">
        <is>
          <t>Pitten (Hamburger)</t>
        </is>
      </c>
      <c r="C85" s="9" t="n">
        <v>124.44</v>
      </c>
      <c r="D85" s="3" t="inlineStr">
        <is>
          <t>627</t>
        </is>
      </c>
      <c r="E85" s="10" t="n">
        <v>45665.35578703704</v>
      </c>
      <c r="F85" s="10" t="n">
        <v>45665.36579861111</v>
      </c>
      <c r="G85" s="10" t="n">
        <v>45665.3874074074</v>
      </c>
      <c r="H85" s="10" t="n">
        <v>45665.3874074074</v>
      </c>
      <c r="I85" s="10" t="n">
        <v>45665.3874074074</v>
      </c>
      <c r="J85" s="10" t="n">
        <v>45665.38809027777</v>
      </c>
      <c r="K85" s="11">
        <f>IF(AND(ISNUMBER(E85),ISNUMBER(F85)),(F85-E85),"")</f>
        <v/>
      </c>
      <c r="L85" s="11">
        <f>IF(AND(ISNUMBER(F85),ISNUMBER(G85)),(G85-F85),"")</f>
        <v/>
      </c>
      <c r="M85" s="11">
        <f>IF(AND(ISNUMBER(H85),ISNUMBER(I85)),(I85-H85),"")</f>
        <v/>
      </c>
      <c r="N85" s="11">
        <f>IF(AND(ISNUMBER(I85),ISNUMBER(J85)),(J85-I85),"")</f>
        <v/>
      </c>
      <c r="O85" s="11">
        <f>IF(AND(ISNUMBER(E85),ISNUMBER(J85)),(J85-E85),"")</f>
        <v/>
      </c>
    </row>
    <row r="86">
      <c r="A86" s="3" t="inlineStr">
        <is>
          <t>OBT080125084420-Ternitz (Schoeller-Bleckmann)</t>
        </is>
      </c>
      <c r="B86" s="3" t="inlineStr">
        <is>
          <t>Ternitz (Schoeller-Bleckmann)</t>
        </is>
      </c>
      <c r="C86" s="9" t="n">
        <v>401.8400000000001</v>
      </c>
      <c r="D86" s="3" t="inlineStr">
        <is>
          <t>613</t>
        </is>
      </c>
      <c r="E86" s="10" t="n">
        <v>45665.36412037037</v>
      </c>
      <c r="F86" s="10" t="n">
        <v>45665.36908564815</v>
      </c>
      <c r="G86" s="10" t="n">
        <v>45665.43884259259</v>
      </c>
      <c r="H86" s="10" t="n">
        <v>45665.43884259259</v>
      </c>
      <c r="I86" s="10" t="n">
        <v>45665.43884259259</v>
      </c>
      <c r="J86" s="10" t="n">
        <v>45665.44020833333</v>
      </c>
      <c r="K86" s="11">
        <f>IF(AND(ISNUMBER(E86),ISNUMBER(F86)),(F86-E86),"")</f>
        <v/>
      </c>
      <c r="L86" s="11">
        <f>IF(AND(ISNUMBER(F86),ISNUMBER(G86)),(G86-F86),"")</f>
        <v/>
      </c>
      <c r="M86" s="11">
        <f>IF(AND(ISNUMBER(H86),ISNUMBER(I86)),(I86-H86),"")</f>
        <v/>
      </c>
      <c r="N86" s="11">
        <f>IF(AND(ISNUMBER(I86),ISNUMBER(J86)),(J86-I86),"")</f>
        <v/>
      </c>
      <c r="O86" s="11">
        <f>IF(AND(ISNUMBER(E86),ISNUMBER(J86)),(J86-E86),"")</f>
        <v/>
      </c>
    </row>
    <row r="87">
      <c r="A87" s="3" t="inlineStr">
        <is>
          <t>OBT080125091709-Wien Kledering</t>
        </is>
      </c>
      <c r="B87" s="3" t="inlineStr">
        <is>
          <t>Wien Kledering</t>
        </is>
      </c>
      <c r="C87" s="9" t="n">
        <v>114.8</v>
      </c>
      <c r="D87" s="3" t="inlineStr">
        <is>
          <t>615</t>
        </is>
      </c>
      <c r="E87" s="10" t="n">
        <v>45665.38690972222</v>
      </c>
      <c r="F87" s="10" t="n">
        <v>45665.3891087963</v>
      </c>
      <c r="G87" s="10" t="n">
        <v>45665.40903935185</v>
      </c>
      <c r="H87" s="10" t="n">
        <v>45665.40903935185</v>
      </c>
      <c r="I87" s="10" t="n">
        <v>45665.40903935185</v>
      </c>
      <c r="J87" s="10" t="n">
        <v>45665.40976851852</v>
      </c>
      <c r="K87" s="11">
        <f>IF(AND(ISNUMBER(E87),ISNUMBER(F87)),(F87-E87),"")</f>
        <v/>
      </c>
      <c r="L87" s="11">
        <f>IF(AND(ISNUMBER(F87),ISNUMBER(G87)),(G87-F87),"")</f>
        <v/>
      </c>
      <c r="M87" s="11">
        <f>IF(AND(ISNUMBER(H87),ISNUMBER(I87)),(I87-H87),"")</f>
        <v/>
      </c>
      <c r="N87" s="11">
        <f>IF(AND(ISNUMBER(I87),ISNUMBER(J87)),(J87-I87),"")</f>
        <v/>
      </c>
      <c r="O87" s="11">
        <f>IF(AND(ISNUMBER(E87),ISNUMBER(J87)),(J87-E87),"")</f>
        <v/>
      </c>
    </row>
    <row r="88">
      <c r="A88" s="3" t="inlineStr">
        <is>
          <t>OBT080125092000-St. Veit an der Glan</t>
        </is>
      </c>
      <c r="B88" s="3" t="inlineStr">
        <is>
          <t>St. Veit an der Glan</t>
        </is>
      </c>
      <c r="C88" s="9" t="n">
        <v>120.4</v>
      </c>
      <c r="D88" s="3" t="inlineStr">
        <is>
          <t>619</t>
        </is>
      </c>
      <c r="E88" s="10" t="n">
        <v>45665.38888888889</v>
      </c>
      <c r="F88" s="10" t="n">
        <v>45665.39052083333</v>
      </c>
      <c r="G88" s="10" t="n">
        <v>45665.41142361111</v>
      </c>
      <c r="H88" s="10" t="n">
        <v>45665.41142361111</v>
      </c>
      <c r="I88" s="10" t="n">
        <v>45665.41142361111</v>
      </c>
      <c r="J88" s="10" t="n">
        <v>45665.41225694444</v>
      </c>
      <c r="K88" s="11">
        <f>IF(AND(ISNUMBER(E88),ISNUMBER(F88)),(F88-E88),"")</f>
        <v/>
      </c>
      <c r="L88" s="11">
        <f>IF(AND(ISNUMBER(F88),ISNUMBER(G88)),(G88-F88),"")</f>
        <v/>
      </c>
      <c r="M88" s="11">
        <f>IF(AND(ISNUMBER(H88),ISNUMBER(I88)),(I88-H88),"")</f>
        <v/>
      </c>
      <c r="N88" s="11">
        <f>IF(AND(ISNUMBER(I88),ISNUMBER(J88)),(J88-I88),"")</f>
        <v/>
      </c>
      <c r="O88" s="11">
        <f>IF(AND(ISNUMBER(E88),ISNUMBER(J88)),(J88-E88),"")</f>
        <v/>
      </c>
    </row>
    <row r="89">
      <c r="A89" s="3" t="inlineStr">
        <is>
          <t>OBT080125103559-Wien Kledering</t>
        </is>
      </c>
      <c r="B89" s="3" t="inlineStr">
        <is>
          <t>Wien Kledering</t>
        </is>
      </c>
      <c r="C89" s="9" t="n">
        <v>124.9</v>
      </c>
      <c r="D89" s="3" t="inlineStr">
        <is>
          <t>615</t>
        </is>
      </c>
      <c r="E89" s="10" t="n">
        <v>45665.4416550926</v>
      </c>
      <c r="F89" s="10" t="n">
        <v>45665.44252314815</v>
      </c>
      <c r="G89" s="10" t="n">
        <v>45665.46420138889</v>
      </c>
      <c r="H89" s="10" t="n">
        <v>45665.46420138889</v>
      </c>
      <c r="I89" s="10" t="n">
        <v>45665.46420138889</v>
      </c>
      <c r="J89" s="10" t="n">
        <v>45665.4649537037</v>
      </c>
      <c r="K89" s="11">
        <f>IF(AND(ISNUMBER(E89),ISNUMBER(F89)),(F89-E89),"")</f>
        <v/>
      </c>
      <c r="L89" s="11">
        <f>IF(AND(ISNUMBER(F89),ISNUMBER(G89)),(G89-F89),"")</f>
        <v/>
      </c>
      <c r="M89" s="11">
        <f>IF(AND(ISNUMBER(H89),ISNUMBER(I89)),(I89-H89),"")</f>
        <v/>
      </c>
      <c r="N89" s="11">
        <f>IF(AND(ISNUMBER(I89),ISNUMBER(J89)),(J89-I89),"")</f>
        <v/>
      </c>
      <c r="O89" s="11">
        <f>IF(AND(ISNUMBER(E89),ISNUMBER(J89)),(J89-E89),"")</f>
        <v/>
      </c>
    </row>
    <row r="90">
      <c r="A90" s="3" t="inlineStr">
        <is>
          <t>OBT080125104132-Wien Kledering</t>
        </is>
      </c>
      <c r="B90" s="3" t="inlineStr">
        <is>
          <t>Wien Kledering</t>
        </is>
      </c>
      <c r="C90" s="9" t="n">
        <v>297.26</v>
      </c>
      <c r="D90" s="3" t="inlineStr">
        <is>
          <t>613</t>
        </is>
      </c>
      <c r="E90" s="10" t="n">
        <v>45665.44550925926</v>
      </c>
      <c r="F90" s="10" t="n">
        <v>45665.44629629629</v>
      </c>
      <c r="G90" s="10" t="n">
        <v>45665.49790509259</v>
      </c>
      <c r="H90" s="10" t="n">
        <v>45665.49790509259</v>
      </c>
      <c r="I90" s="10" t="n">
        <v>45665.49790509259</v>
      </c>
      <c r="J90" s="10" t="n">
        <v>45665.49901620371</v>
      </c>
      <c r="K90" s="11">
        <f>IF(AND(ISNUMBER(E90),ISNUMBER(F90)),(F90-E90),"")</f>
        <v/>
      </c>
      <c r="L90" s="11">
        <f>IF(AND(ISNUMBER(F90),ISNUMBER(G90)),(G90-F90),"")</f>
        <v/>
      </c>
      <c r="M90" s="11">
        <f>IF(AND(ISNUMBER(H90),ISNUMBER(I90)),(I90-H90),"")</f>
        <v/>
      </c>
      <c r="N90" s="11">
        <f>IF(AND(ISNUMBER(I90),ISNUMBER(J90)),(J90-I90),"")</f>
        <v/>
      </c>
      <c r="O90" s="11">
        <f>IF(AND(ISNUMBER(E90),ISNUMBER(J90)),(J90-E90),"")</f>
        <v/>
      </c>
    </row>
    <row r="91">
      <c r="A91" s="3" t="inlineStr">
        <is>
          <t>OBT080125130420-Wien Kledering</t>
        </is>
      </c>
      <c r="B91" s="3" t="inlineStr">
        <is>
          <t>Wien Kledering</t>
        </is>
      </c>
      <c r="C91" s="9" t="n">
        <v>296.8</v>
      </c>
      <c r="D91" s="3" t="inlineStr">
        <is>
          <t>615</t>
        </is>
      </c>
      <c r="E91" s="10" t="n">
        <v>45665.54467592593</v>
      </c>
      <c r="F91" s="10" t="n">
        <v>45665.54554398148</v>
      </c>
      <c r="G91" s="10" t="n">
        <v>45665.59707175926</v>
      </c>
      <c r="H91" s="10" t="n">
        <v>45665.59707175926</v>
      </c>
      <c r="I91" s="10" t="n">
        <v>45665.59707175926</v>
      </c>
      <c r="J91" s="10" t="n">
        <v>45665.59822916667</v>
      </c>
      <c r="K91" s="11">
        <f>IF(AND(ISNUMBER(E91),ISNUMBER(F91)),(F91-E91),"")</f>
        <v/>
      </c>
      <c r="L91" s="11">
        <f>IF(AND(ISNUMBER(F91),ISNUMBER(G91)),(G91-F91),"")</f>
        <v/>
      </c>
      <c r="M91" s="11">
        <f>IF(AND(ISNUMBER(H91),ISNUMBER(I91)),(I91-H91),"")</f>
        <v/>
      </c>
      <c r="N91" s="11">
        <f>IF(AND(ISNUMBER(I91),ISNUMBER(J91)),(J91-I91),"")</f>
        <v/>
      </c>
      <c r="O91" s="11">
        <f>IF(AND(ISNUMBER(E91),ISNUMBER(J91)),(J91-E91),"")</f>
        <v/>
      </c>
    </row>
    <row r="92">
      <c r="A92" s="3" t="inlineStr">
        <is>
          <t>OBT080125144539-Wien Kledering</t>
        </is>
      </c>
      <c r="B92" s="3" t="inlineStr">
        <is>
          <t>Wien Kledering</t>
        </is>
      </c>
      <c r="C92" s="9" t="n">
        <v>365.8200000000001</v>
      </c>
      <c r="D92" s="3" t="inlineStr">
        <is>
          <t>615</t>
        </is>
      </c>
      <c r="E92" s="10" t="n">
        <v>45665.61503472222</v>
      </c>
      <c r="F92" s="10" t="n">
        <v>45665.61582175926</v>
      </c>
      <c r="G92" s="10" t="n">
        <v>45665.67934027778</v>
      </c>
      <c r="H92" s="10" t="n">
        <v>45665.67934027778</v>
      </c>
      <c r="I92" s="10" t="n">
        <v>45665.67934027778</v>
      </c>
      <c r="J92" s="10" t="n">
        <v>45665.68064814815</v>
      </c>
      <c r="K92" s="11">
        <f>IF(AND(ISNUMBER(E92),ISNUMBER(F92)),(F92-E92),"")</f>
        <v/>
      </c>
      <c r="L92" s="11">
        <f>IF(AND(ISNUMBER(F92),ISNUMBER(G92)),(G92-F92),"")</f>
        <v/>
      </c>
      <c r="M92" s="11">
        <f>IF(AND(ISNUMBER(H92),ISNUMBER(I92)),(I92-H92),"")</f>
        <v/>
      </c>
      <c r="N92" s="11">
        <f>IF(AND(ISNUMBER(I92),ISNUMBER(J92)),(J92-I92),"")</f>
        <v/>
      </c>
      <c r="O92" s="11">
        <f>IF(AND(ISNUMBER(E92),ISNUMBER(J92)),(J92-E92),"")</f>
        <v/>
      </c>
    </row>
    <row r="93">
      <c r="A93" s="3" t="inlineStr">
        <is>
          <t>OBT080125153109-Felixdorf/Sollenau (Bundesheer, Maba)</t>
        </is>
      </c>
      <c r="B93" s="3" t="inlineStr">
        <is>
          <t>Felixdorf/Sollenau (Bundesheer, Maba)</t>
        </is>
      </c>
      <c r="C93" s="9" t="n">
        <v>139.3</v>
      </c>
      <c r="D93" s="3" t="inlineStr">
        <is>
          <t>621</t>
        </is>
      </c>
      <c r="E93" s="10" t="n">
        <v>45665.64663194444</v>
      </c>
      <c r="F93" s="10" t="n">
        <v>45665.64836805555</v>
      </c>
      <c r="G93" s="10" t="n">
        <v>45665.67254629629</v>
      </c>
      <c r="H93" s="10" t="n">
        <v>45665.67254629629</v>
      </c>
      <c r="I93" s="10" t="n">
        <v>45665.67254629629</v>
      </c>
      <c r="J93" s="10" t="n">
        <v>45665.67341435186</v>
      </c>
      <c r="K93" s="11">
        <f>IF(AND(ISNUMBER(E93),ISNUMBER(F93)),(F93-E93),"")</f>
        <v/>
      </c>
      <c r="L93" s="11">
        <f>IF(AND(ISNUMBER(F93),ISNUMBER(G93)),(G93-F93),"")</f>
        <v/>
      </c>
      <c r="M93" s="11">
        <f>IF(AND(ISNUMBER(H93),ISNUMBER(I93)),(I93-H93),"")</f>
        <v/>
      </c>
      <c r="N93" s="11">
        <f>IF(AND(ISNUMBER(I93),ISNUMBER(J93)),(J93-I93),"")</f>
        <v/>
      </c>
      <c r="O93" s="11">
        <f>IF(AND(ISNUMBER(E93),ISNUMBER(J93)),(J93-E93),"")</f>
        <v/>
      </c>
    </row>
    <row r="94">
      <c r="A94" s="3" t="inlineStr">
        <is>
          <t>OBT080125160042-Wien Kledering</t>
        </is>
      </c>
      <c r="B94" s="3" t="inlineStr">
        <is>
          <t>Wien Kledering</t>
        </is>
      </c>
      <c r="C94" s="9" t="n">
        <v>362.0200000000001</v>
      </c>
      <c r="D94" s="3" t="inlineStr">
        <is>
          <t>617</t>
        </is>
      </c>
      <c r="E94" s="10" t="n">
        <v>45665.66715277778</v>
      </c>
      <c r="F94" s="10" t="n">
        <v>45665.66885416667</v>
      </c>
      <c r="G94" s="10" t="n">
        <v>45665.73170138889</v>
      </c>
      <c r="H94" s="10" t="n">
        <v>45665.73170138889</v>
      </c>
      <c r="I94" s="10" t="n">
        <v>45665.73170138889</v>
      </c>
      <c r="J94" s="10" t="n">
        <v>45665.73309027778</v>
      </c>
      <c r="K94" s="11">
        <f>IF(AND(ISNUMBER(E94),ISNUMBER(F94)),(F94-E94),"")</f>
        <v/>
      </c>
      <c r="L94" s="11">
        <f>IF(AND(ISNUMBER(F94),ISNUMBER(G94)),(G94-F94),"")</f>
        <v/>
      </c>
      <c r="M94" s="11">
        <f>IF(AND(ISNUMBER(H94),ISNUMBER(I94)),(I94-H94),"")</f>
        <v/>
      </c>
      <c r="N94" s="11">
        <f>IF(AND(ISNUMBER(I94),ISNUMBER(J94)),(J94-I94),"")</f>
        <v/>
      </c>
      <c r="O94" s="11">
        <f>IF(AND(ISNUMBER(E94),ISNUMBER(J94)),(J94-E94),"")</f>
        <v/>
      </c>
    </row>
    <row r="95">
      <c r="A95" s="3" t="inlineStr">
        <is>
          <t>OBT080125173713-Wien Kledering</t>
        </is>
      </c>
      <c r="B95" s="3" t="inlineStr">
        <is>
          <t>Wien Kledering</t>
        </is>
      </c>
      <c r="C95" s="9" t="n">
        <v>209.16</v>
      </c>
      <c r="D95" s="3" t="inlineStr">
        <is>
          <t>615</t>
        </is>
      </c>
      <c r="E95" s="10" t="n">
        <v>45665.73417824074</v>
      </c>
      <c r="F95" s="10" t="n">
        <v>45665.73501157408</v>
      </c>
      <c r="G95" s="10" t="n">
        <v>45665.77131944444</v>
      </c>
      <c r="H95" s="10" t="n">
        <v>45665.77131944444</v>
      </c>
      <c r="I95" s="10" t="n">
        <v>45665.77131944444</v>
      </c>
      <c r="J95" s="10" t="n">
        <v>45665.77226851852</v>
      </c>
      <c r="K95" s="11">
        <f>IF(AND(ISNUMBER(E95),ISNUMBER(F95)),(F95-E95),"")</f>
        <v/>
      </c>
      <c r="L95" s="11">
        <f>IF(AND(ISNUMBER(F95),ISNUMBER(G95)),(G95-F95),"")</f>
        <v/>
      </c>
      <c r="M95" s="11">
        <f>IF(AND(ISNUMBER(H95),ISNUMBER(I95)),(I95-H95),"")</f>
        <v/>
      </c>
      <c r="N95" s="11">
        <f>IF(AND(ISNUMBER(I95),ISNUMBER(J95)),(J95-I95),"")</f>
        <v/>
      </c>
      <c r="O95" s="11">
        <f>IF(AND(ISNUMBER(E95),ISNUMBER(J95)),(J95-E95),"")</f>
        <v/>
      </c>
    </row>
    <row r="96">
      <c r="A96" s="3" t="inlineStr">
        <is>
          <t>OBT080125203302-Wien Kledering</t>
        </is>
      </c>
      <c r="B96" s="3" t="inlineStr">
        <is>
          <t>Wien Kledering</t>
        </is>
      </c>
      <c r="C96" s="9" t="n">
        <v>115.24</v>
      </c>
      <c r="D96" s="3" t="inlineStr">
        <is>
          <t>617</t>
        </is>
      </c>
      <c r="E96" s="10" t="n">
        <v>45665.85627314815</v>
      </c>
      <c r="F96" s="10" t="n">
        <v>45665.85714120371</v>
      </c>
      <c r="G96" s="10" t="n">
        <v>45665.8771412037</v>
      </c>
      <c r="H96" s="10" t="n">
        <v>45665.8771412037</v>
      </c>
      <c r="I96" s="10" t="n">
        <v>45665.8771412037</v>
      </c>
      <c r="J96" s="10" t="n">
        <v>45665.87796296296</v>
      </c>
      <c r="K96" s="11">
        <f>IF(AND(ISNUMBER(E96),ISNUMBER(F96)),(F96-E96),"")</f>
        <v/>
      </c>
      <c r="L96" s="11">
        <f>IF(AND(ISNUMBER(F96),ISNUMBER(G96)),(G96-F96),"")</f>
        <v/>
      </c>
      <c r="M96" s="11">
        <f>IF(AND(ISNUMBER(H96),ISNUMBER(I96)),(I96-H96),"")</f>
        <v/>
      </c>
      <c r="N96" s="11">
        <f>IF(AND(ISNUMBER(I96),ISNUMBER(J96)),(J96-I96),"")</f>
        <v/>
      </c>
      <c r="O96" s="11">
        <f>IF(AND(ISNUMBER(E96),ISNUMBER(J96)),(J96-E96),"")</f>
        <v/>
      </c>
    </row>
    <row r="97">
      <c r="A97" s="3" t="inlineStr">
        <is>
          <t>OBT090125030658-Wr. Neustadt (Hödlmayr)</t>
        </is>
      </c>
      <c r="B97" s="3" t="inlineStr">
        <is>
          <t>Wr. Neustadt (Hödlmayr)</t>
        </is>
      </c>
      <c r="C97" s="9" t="n">
        <v>110.02</v>
      </c>
      <c r="D97" s="3" t="inlineStr">
        <is>
          <t>613</t>
        </is>
      </c>
      <c r="E97" s="10" t="n">
        <v>45666.12983796297</v>
      </c>
      <c r="F97" s="10" t="n">
        <v>45666.130625</v>
      </c>
      <c r="G97" s="10" t="n">
        <v>45666.14973379629</v>
      </c>
      <c r="H97" s="10" t="n">
        <v>45666.14973379629</v>
      </c>
      <c r="I97" s="10" t="n">
        <v>45666.14973379629</v>
      </c>
      <c r="J97" s="10" t="n">
        <v>45666.15041666666</v>
      </c>
      <c r="K97" s="11">
        <f>IF(AND(ISNUMBER(E97),ISNUMBER(F97)),(F97-E97),"")</f>
        <v/>
      </c>
      <c r="L97" s="11">
        <f>IF(AND(ISNUMBER(F97),ISNUMBER(G97)),(G97-F97),"")</f>
        <v/>
      </c>
      <c r="M97" s="11">
        <f>IF(AND(ISNUMBER(H97),ISNUMBER(I97)),(I97-H97),"")</f>
        <v/>
      </c>
      <c r="N97" s="11">
        <f>IF(AND(ISNUMBER(I97),ISNUMBER(J97)),(J97-I97),"")</f>
        <v/>
      </c>
      <c r="O97" s="11">
        <f>IF(AND(ISNUMBER(E97),ISNUMBER(J97)),(J97-E97),"")</f>
        <v/>
      </c>
    </row>
    <row r="98">
      <c r="A98" s="3" t="inlineStr">
        <is>
          <t>OBT090125031241-Neunkirchen (loading tracks)</t>
        </is>
      </c>
      <c r="B98" s="3" t="inlineStr">
        <is>
          <t>Neunkirchen (loading tracks)</t>
        </is>
      </c>
      <c r="C98" s="9" t="n">
        <v>197.04</v>
      </c>
      <c r="D98" s="3" t="inlineStr">
        <is>
          <t>625</t>
        </is>
      </c>
      <c r="E98" s="10" t="n">
        <v>45666.13380787037</v>
      </c>
      <c r="F98" s="10" t="n">
        <v>45666.13467592592</v>
      </c>
      <c r="G98" s="10" t="n">
        <v>45666.16887731481</v>
      </c>
      <c r="H98" s="10" t="n">
        <v>45666.16887731481</v>
      </c>
      <c r="I98" s="10" t="n">
        <v>45666.16887731481</v>
      </c>
      <c r="J98" s="10" t="n">
        <v>45666.16983796296</v>
      </c>
      <c r="K98" s="11">
        <f>IF(AND(ISNUMBER(E98),ISNUMBER(F98)),(F98-E98),"")</f>
        <v/>
      </c>
      <c r="L98" s="11">
        <f>IF(AND(ISNUMBER(F98),ISNUMBER(G98)),(G98-F98),"")</f>
        <v/>
      </c>
      <c r="M98" s="11">
        <f>IF(AND(ISNUMBER(H98),ISNUMBER(I98)),(I98-H98),"")</f>
        <v/>
      </c>
      <c r="N98" s="11">
        <f>IF(AND(ISNUMBER(I98),ISNUMBER(J98)),(J98-I98),"")</f>
        <v/>
      </c>
      <c r="O98" s="11">
        <f>IF(AND(ISNUMBER(E98),ISNUMBER(J98)),(J98-E98),"")</f>
        <v/>
      </c>
    </row>
    <row r="99">
      <c r="A99" s="3" t="inlineStr">
        <is>
          <t>OBT090125063820-Ebenfurth (beet loading)</t>
        </is>
      </c>
      <c r="B99" s="3" t="inlineStr">
        <is>
          <t>Ebenfurth (beet loading)</t>
        </is>
      </c>
      <c r="C99" s="9" t="n">
        <v>141.66</v>
      </c>
      <c r="D99" s="3" t="inlineStr">
        <is>
          <t>615</t>
        </is>
      </c>
      <c r="E99" s="10" t="n">
        <v>45666.27662037037</v>
      </c>
      <c r="F99" s="10" t="n">
        <v>45666.27746527778</v>
      </c>
      <c r="G99" s="10" t="n">
        <v>45666.30206018518</v>
      </c>
      <c r="H99" s="10" t="n">
        <v>45666.30206018518</v>
      </c>
      <c r="I99" s="10" t="n">
        <v>45666.30206018518</v>
      </c>
      <c r="J99" s="10" t="n">
        <v>45666.30284722222</v>
      </c>
      <c r="K99" s="11">
        <f>IF(AND(ISNUMBER(E99),ISNUMBER(F99)),(F99-E99),"")</f>
        <v/>
      </c>
      <c r="L99" s="11">
        <f>IF(AND(ISNUMBER(F99),ISNUMBER(G99)),(G99-F99),"")</f>
        <v/>
      </c>
      <c r="M99" s="11">
        <f>IF(AND(ISNUMBER(H99),ISNUMBER(I99)),(I99-H99),"")</f>
        <v/>
      </c>
      <c r="N99" s="11">
        <f>IF(AND(ISNUMBER(I99),ISNUMBER(J99)),(J99-I99),"")</f>
        <v/>
      </c>
      <c r="O99" s="11">
        <f>IF(AND(ISNUMBER(E99),ISNUMBER(J99)),(J99-E99),"")</f>
        <v/>
      </c>
    </row>
    <row r="100">
      <c r="A100" s="3" t="inlineStr">
        <is>
          <t>OBT090125064202-Other sidings north</t>
        </is>
      </c>
      <c r="B100" s="3" t="inlineStr">
        <is>
          <t>Other sidings north</t>
        </is>
      </c>
      <c r="C100" s="9" t="n">
        <v>175.82</v>
      </c>
      <c r="D100" s="3" t="inlineStr">
        <is>
          <t>619</t>
        </is>
      </c>
      <c r="E100" s="10" t="n">
        <v>45666.27918981481</v>
      </c>
      <c r="F100" s="10" t="n">
        <v>45666.28068287037</v>
      </c>
      <c r="G100" s="10" t="n">
        <v>45666.31120370371</v>
      </c>
      <c r="H100" s="10" t="n">
        <v>45666.31120370371</v>
      </c>
      <c r="I100" s="10" t="n">
        <v>45666.31120370371</v>
      </c>
      <c r="J100" s="10" t="n">
        <v>45666.31216435185</v>
      </c>
      <c r="K100" s="11">
        <f>IF(AND(ISNUMBER(E100),ISNUMBER(F100)),(F100-E100),"")</f>
        <v/>
      </c>
      <c r="L100" s="11">
        <f>IF(AND(ISNUMBER(F100),ISNUMBER(G100)),(G100-F100),"")</f>
        <v/>
      </c>
      <c r="M100" s="11">
        <f>IF(AND(ISNUMBER(H100),ISNUMBER(I100)),(I100-H100),"")</f>
        <v/>
      </c>
      <c r="N100" s="11">
        <f>IF(AND(ISNUMBER(I100),ISNUMBER(J100)),(J100-I100),"")</f>
        <v/>
      </c>
      <c r="O100" s="11">
        <f>IF(AND(ISNUMBER(E100),ISNUMBER(J100)),(J100-E100),"")</f>
        <v/>
      </c>
    </row>
    <row r="101">
      <c r="A101" s="3" t="inlineStr">
        <is>
          <t>OBT090125070004-Wien Kledering</t>
        </is>
      </c>
      <c r="B101" s="3" t="inlineStr">
        <is>
          <t>Wien Kledering</t>
        </is>
      </c>
      <c r="C101" s="9" t="n">
        <v>185.9</v>
      </c>
      <c r="D101" s="3" t="inlineStr">
        <is>
          <t>629</t>
        </is>
      </c>
      <c r="E101" s="10" t="n">
        <v>45666.29171296296</v>
      </c>
      <c r="F101" s="10" t="n">
        <v>45666.29377314815</v>
      </c>
      <c r="G101" s="10" t="n">
        <v>45666.32604166667</v>
      </c>
      <c r="H101" s="10" t="n">
        <v>45666.32604166667</v>
      </c>
      <c r="I101" s="10" t="n">
        <v>45666.32604166667</v>
      </c>
      <c r="J101" s="10" t="n">
        <v>45666.32685185185</v>
      </c>
      <c r="K101" s="11">
        <f>IF(AND(ISNUMBER(E101),ISNUMBER(F101)),(F101-E101),"")</f>
        <v/>
      </c>
      <c r="L101" s="11">
        <f>IF(AND(ISNUMBER(F101),ISNUMBER(G101)),(G101-F101),"")</f>
        <v/>
      </c>
      <c r="M101" s="11">
        <f>IF(AND(ISNUMBER(H101),ISNUMBER(I101)),(I101-H101),"")</f>
        <v/>
      </c>
      <c r="N101" s="11">
        <f>IF(AND(ISNUMBER(I101),ISNUMBER(J101)),(J101-I101),"")</f>
        <v/>
      </c>
      <c r="O101" s="11">
        <f>IF(AND(ISNUMBER(E101),ISNUMBER(J101)),(J101-E101),"")</f>
        <v/>
      </c>
    </row>
    <row r="102">
      <c r="A102" s="3" t="inlineStr">
        <is>
          <t>OBT090125074546-Wr. Neustadt (Brenntag)</t>
        </is>
      </c>
      <c r="B102" s="3" t="inlineStr">
        <is>
          <t>Wr. Neustadt (Brenntag)</t>
        </is>
      </c>
      <c r="C102" s="9" t="n">
        <v>408.9800000000001</v>
      </c>
      <c r="D102" s="3" t="inlineStr">
        <is>
          <t>609</t>
        </is>
      </c>
      <c r="E102" s="10" t="n">
        <v>45666.32344907407</v>
      </c>
      <c r="F102" s="10" t="n">
        <v>45666.32508101852</v>
      </c>
      <c r="G102" s="10" t="n">
        <v>45666.39607638889</v>
      </c>
      <c r="H102" s="10" t="n">
        <v>45666.39607638889</v>
      </c>
      <c r="I102" s="10" t="n">
        <v>45666.39607638889</v>
      </c>
      <c r="J102" s="10" t="n">
        <v>45666.39756944445</v>
      </c>
      <c r="K102" s="11">
        <f>IF(AND(ISNUMBER(E102),ISNUMBER(F102)),(F102-E102),"")</f>
        <v/>
      </c>
      <c r="L102" s="11">
        <f>IF(AND(ISNUMBER(F102),ISNUMBER(G102)),(G102-F102),"")</f>
        <v/>
      </c>
      <c r="M102" s="11">
        <f>IF(AND(ISNUMBER(H102),ISNUMBER(I102)),(I102-H102),"")</f>
        <v/>
      </c>
      <c r="N102" s="11">
        <f>IF(AND(ISNUMBER(I102),ISNUMBER(J102)),(J102-I102),"")</f>
        <v/>
      </c>
      <c r="O102" s="11">
        <f>IF(AND(ISNUMBER(E102),ISNUMBER(J102)),(J102-E102),"")</f>
        <v/>
      </c>
    </row>
    <row r="103">
      <c r="A103" s="3" t="inlineStr">
        <is>
          <t>OBT090125075111-Pitten (Hamburger)</t>
        </is>
      </c>
      <c r="B103" s="3" t="inlineStr">
        <is>
          <t>Pitten (Hamburger)</t>
        </is>
      </c>
      <c r="C103" s="9" t="n">
        <v>133.42</v>
      </c>
      <c r="D103" s="3" t="inlineStr">
        <is>
          <t>611</t>
        </is>
      </c>
      <c r="E103" s="10" t="n">
        <v>45666.32721064815</v>
      </c>
      <c r="F103" s="10" t="n">
        <v>45666.33197916667</v>
      </c>
      <c r="G103" s="10" t="n">
        <v>45666.35515046296</v>
      </c>
      <c r="H103" s="10" t="n">
        <v>45666.35515046296</v>
      </c>
      <c r="I103" s="10" t="n">
        <v>45666.35515046296</v>
      </c>
      <c r="J103" s="10" t="n">
        <v>45666.3559375</v>
      </c>
      <c r="K103" s="11">
        <f>IF(AND(ISNUMBER(E103),ISNUMBER(F103)),(F103-E103),"")</f>
        <v/>
      </c>
      <c r="L103" s="11">
        <f>IF(AND(ISNUMBER(F103),ISNUMBER(G103)),(G103-F103),"")</f>
        <v/>
      </c>
      <c r="M103" s="11">
        <f>IF(AND(ISNUMBER(H103),ISNUMBER(I103)),(I103-H103),"")</f>
        <v/>
      </c>
      <c r="N103" s="11">
        <f>IF(AND(ISNUMBER(I103),ISNUMBER(J103)),(J103-I103),"")</f>
        <v/>
      </c>
      <c r="O103" s="11">
        <f>IF(AND(ISNUMBER(E103),ISNUMBER(J103)),(J103-E103),"")</f>
        <v/>
      </c>
    </row>
    <row r="104">
      <c r="A104" s="3" t="inlineStr">
        <is>
          <t>OBT090125075601-Wr. Neustadt Ausfahrbf (Furtenbach)</t>
        </is>
      </c>
      <c r="B104" s="3" t="inlineStr">
        <is>
          <t>Wr. Neustadt Ausfahrbf (Furtenbach)</t>
        </is>
      </c>
      <c r="C104" s="9" t="n">
        <v>119.4</v>
      </c>
      <c r="D104" s="3" t="inlineStr">
        <is>
          <t>605</t>
        </is>
      </c>
      <c r="E104" s="10" t="n">
        <v>45666.33056712963</v>
      </c>
      <c r="F104" s="10" t="n">
        <v>45666.33230324074</v>
      </c>
      <c r="G104" s="10" t="n">
        <v>45666.35303240741</v>
      </c>
      <c r="H104" s="10" t="n">
        <v>45666.35303240741</v>
      </c>
      <c r="I104" s="10" t="n">
        <v>45666.35303240741</v>
      </c>
      <c r="J104" s="10" t="n">
        <v>45666.35390046296</v>
      </c>
      <c r="K104" s="11">
        <f>IF(AND(ISNUMBER(E104),ISNUMBER(F104)),(F104-E104),"")</f>
        <v/>
      </c>
      <c r="L104" s="11">
        <f>IF(AND(ISNUMBER(F104),ISNUMBER(G104)),(G104-F104),"")</f>
        <v/>
      </c>
      <c r="M104" s="11">
        <f>IF(AND(ISNUMBER(H104),ISNUMBER(I104)),(I104-H104),"")</f>
        <v/>
      </c>
      <c r="N104" s="11">
        <f>IF(AND(ISNUMBER(I104),ISNUMBER(J104)),(J104-I104),"")</f>
        <v/>
      </c>
      <c r="O104" s="11">
        <f>IF(AND(ISNUMBER(E104),ISNUMBER(J104)),(J104-E104),"")</f>
        <v/>
      </c>
    </row>
    <row r="105">
      <c r="A105" s="3" t="inlineStr">
        <is>
          <t>OBT090125083304-Wien Kledering</t>
        </is>
      </c>
      <c r="B105" s="3" t="inlineStr">
        <is>
          <t>Wien Kledering</t>
        </is>
      </c>
      <c r="C105" s="9" t="n">
        <v>381.5600000000001</v>
      </c>
      <c r="D105" s="3" t="inlineStr">
        <is>
          <t>619</t>
        </is>
      </c>
      <c r="E105" s="10" t="n">
        <v>45666.3562962963</v>
      </c>
      <c r="F105" s="10" t="n">
        <v>45666.35714120371</v>
      </c>
      <c r="G105" s="10" t="n">
        <v>45666.42337962963</v>
      </c>
      <c r="H105" s="10" t="n">
        <v>45666.42337962963</v>
      </c>
      <c r="I105" s="10" t="n">
        <v>45666.42337962963</v>
      </c>
      <c r="J105" s="10" t="n">
        <v>45666.42481481482</v>
      </c>
      <c r="K105" s="11">
        <f>IF(AND(ISNUMBER(E105),ISNUMBER(F105)),(F105-E105),"")</f>
        <v/>
      </c>
      <c r="L105" s="11">
        <f>IF(AND(ISNUMBER(F105),ISNUMBER(G105)),(G105-F105),"")</f>
        <v/>
      </c>
      <c r="M105" s="11">
        <f>IF(AND(ISNUMBER(H105),ISNUMBER(I105)),(I105-H105),"")</f>
        <v/>
      </c>
      <c r="N105" s="11">
        <f>IF(AND(ISNUMBER(I105),ISNUMBER(J105)),(J105-I105),"")</f>
        <v/>
      </c>
      <c r="O105" s="11">
        <f>IF(AND(ISNUMBER(E105),ISNUMBER(J105)),(J105-E105),"")</f>
        <v/>
      </c>
    </row>
    <row r="106">
      <c r="A106" s="3" t="inlineStr">
        <is>
          <t>OBT090125090557-Wien Kledering</t>
        </is>
      </c>
      <c r="B106" s="3" t="inlineStr">
        <is>
          <t>Wien Kledering</t>
        </is>
      </c>
      <c r="C106" s="9" t="n">
        <v>118.2</v>
      </c>
      <c r="D106" s="3" t="inlineStr">
        <is>
          <t>605</t>
        </is>
      </c>
      <c r="E106" s="10" t="n">
        <v>45666.37913194444</v>
      </c>
      <c r="F106" s="10" t="n">
        <v>45666.38483796296</v>
      </c>
      <c r="G106" s="10" t="n">
        <v>45666.4053587963</v>
      </c>
      <c r="H106" s="10" t="n">
        <v>45666.4053587963</v>
      </c>
      <c r="I106" s="10" t="n">
        <v>45666.4053587963</v>
      </c>
      <c r="J106" s="10" t="n">
        <v>45666.40622685185</v>
      </c>
      <c r="K106" s="11">
        <f>IF(AND(ISNUMBER(E106),ISNUMBER(F106)),(F106-E106),"")</f>
        <v/>
      </c>
      <c r="L106" s="11">
        <f>IF(AND(ISNUMBER(F106),ISNUMBER(G106)),(G106-F106),"")</f>
        <v/>
      </c>
      <c r="M106" s="11">
        <f>IF(AND(ISNUMBER(H106),ISNUMBER(I106)),(I106-H106),"")</f>
        <v/>
      </c>
      <c r="N106" s="11">
        <f>IF(AND(ISNUMBER(I106),ISNUMBER(J106)),(J106-I106),"")</f>
        <v/>
      </c>
      <c r="O106" s="11">
        <f>IF(AND(ISNUMBER(E106),ISNUMBER(J106)),(J106-E106),"")</f>
        <v/>
      </c>
    </row>
    <row r="107">
      <c r="A107" s="3" t="inlineStr">
        <is>
          <t>OBT090125091140-St. Veit an der Glan</t>
        </is>
      </c>
      <c r="B107" s="3" t="inlineStr">
        <is>
          <t>St. Veit an der Glan</t>
        </is>
      </c>
      <c r="C107" s="9" t="n">
        <v>264.8</v>
      </c>
      <c r="D107" s="3" t="inlineStr">
        <is>
          <t>627</t>
        </is>
      </c>
      <c r="E107" s="10" t="n">
        <v>45666.38310185185</v>
      </c>
      <c r="F107" s="10" t="n">
        <v>45666.39775462963</v>
      </c>
      <c r="G107" s="10" t="n">
        <v>45666.44372685185</v>
      </c>
      <c r="H107" s="10" t="n">
        <v>45666.44372685185</v>
      </c>
      <c r="I107" s="10" t="n">
        <v>45666.44372685185</v>
      </c>
      <c r="J107" s="10" t="n">
        <v>45666.4447337963</v>
      </c>
      <c r="K107" s="11">
        <f>IF(AND(ISNUMBER(E107),ISNUMBER(F107)),(F107-E107),"")</f>
        <v/>
      </c>
      <c r="L107" s="11">
        <f>IF(AND(ISNUMBER(F107),ISNUMBER(G107)),(G107-F107),"")</f>
        <v/>
      </c>
      <c r="M107" s="11">
        <f>IF(AND(ISNUMBER(H107),ISNUMBER(I107)),(I107-H107),"")</f>
        <v/>
      </c>
      <c r="N107" s="11">
        <f>IF(AND(ISNUMBER(I107),ISNUMBER(J107)),(J107-I107),"")</f>
        <v/>
      </c>
      <c r="O107" s="11">
        <f>IF(AND(ISNUMBER(E107),ISNUMBER(J107)),(J107-E107),"")</f>
        <v/>
      </c>
    </row>
    <row r="108">
      <c r="A108" s="3" t="inlineStr">
        <is>
          <t>OBT090125111603-Wien Kledering</t>
        </is>
      </c>
      <c r="B108" s="3" t="inlineStr">
        <is>
          <t>Wien Kledering</t>
        </is>
      </c>
      <c r="C108" s="9" t="n">
        <v>414.6799999999999</v>
      </c>
      <c r="D108" s="3" t="inlineStr">
        <is>
          <t>605</t>
        </is>
      </c>
      <c r="E108" s="10" t="n">
        <v>45666.46947916667</v>
      </c>
      <c r="F108" s="10" t="n">
        <v>45666.47032407407</v>
      </c>
      <c r="G108" s="10" t="n">
        <v>45666.54231481482</v>
      </c>
      <c r="H108" s="10" t="n">
        <v>45666.54231481482</v>
      </c>
      <c r="I108" s="10" t="n">
        <v>45666.54231481482</v>
      </c>
      <c r="J108" s="10" t="n">
        <v>45666.54386574074</v>
      </c>
      <c r="K108" s="11">
        <f>IF(AND(ISNUMBER(E108),ISNUMBER(F108)),(F108-E108),"")</f>
        <v/>
      </c>
      <c r="L108" s="11">
        <f>IF(AND(ISNUMBER(F108),ISNUMBER(G108)),(G108-F108),"")</f>
        <v/>
      </c>
      <c r="M108" s="11">
        <f>IF(AND(ISNUMBER(H108),ISNUMBER(I108)),(I108-H108),"")</f>
        <v/>
      </c>
      <c r="N108" s="11">
        <f>IF(AND(ISNUMBER(I108),ISNUMBER(J108)),(J108-I108),"")</f>
        <v/>
      </c>
      <c r="O108" s="11">
        <f>IF(AND(ISNUMBER(E108),ISNUMBER(J108)),(J108-E108),"")</f>
        <v/>
      </c>
    </row>
    <row r="109">
      <c r="A109" s="3" t="inlineStr">
        <is>
          <t>OBT090125145115-Wien Kledering</t>
        </is>
      </c>
      <c r="B109" s="3" t="inlineStr">
        <is>
          <t>Wien Kledering</t>
        </is>
      </c>
      <c r="C109" s="9" t="n">
        <v>241.38</v>
      </c>
      <c r="D109" s="3" t="inlineStr">
        <is>
          <t>605</t>
        </is>
      </c>
      <c r="E109" s="10" t="n">
        <v>45666.61892361111</v>
      </c>
      <c r="F109" s="10" t="n">
        <v>45666.61979166666</v>
      </c>
      <c r="G109" s="10" t="n">
        <v>45666.66170138889</v>
      </c>
      <c r="H109" s="10" t="n">
        <v>45666.66170138889</v>
      </c>
      <c r="I109" s="10" t="n">
        <v>45666.66170138889</v>
      </c>
      <c r="J109" s="10" t="n">
        <v>45666.6628587963</v>
      </c>
      <c r="K109" s="11">
        <f>IF(AND(ISNUMBER(E109),ISNUMBER(F109)),(F109-E109),"")</f>
        <v/>
      </c>
      <c r="L109" s="11">
        <f>IF(AND(ISNUMBER(F109),ISNUMBER(G109)),(G109-F109),"")</f>
        <v/>
      </c>
      <c r="M109" s="11">
        <f>IF(AND(ISNUMBER(H109),ISNUMBER(I109)),(I109-H109),"")</f>
        <v/>
      </c>
      <c r="N109" s="11">
        <f>IF(AND(ISNUMBER(I109),ISNUMBER(J109)),(J109-I109),"")</f>
        <v/>
      </c>
      <c r="O109" s="11">
        <f>IF(AND(ISNUMBER(E109),ISNUMBER(J109)),(J109-E109),"")</f>
        <v/>
      </c>
    </row>
    <row r="110">
      <c r="A110" s="3" t="inlineStr">
        <is>
          <t>OBT090125152828-Neudörfl (FunderMax)</t>
        </is>
      </c>
      <c r="B110" s="3" t="inlineStr">
        <is>
          <t>Neudörfl (FunderMax)</t>
        </is>
      </c>
      <c r="C110" s="9" t="n">
        <v>117</v>
      </c>
      <c r="D110" s="3" t="inlineStr">
        <is>
          <t>621</t>
        </is>
      </c>
      <c r="E110" s="10" t="n">
        <v>45666.64476851852</v>
      </c>
      <c r="F110" s="10" t="n">
        <v>45666.64561342593</v>
      </c>
      <c r="G110" s="10" t="n">
        <v>45666.66592592592</v>
      </c>
      <c r="H110" s="10" t="n">
        <v>45666.66592592592</v>
      </c>
      <c r="I110" s="10" t="n">
        <v>45666.66592592592</v>
      </c>
      <c r="J110" s="10" t="n">
        <v>45666.66673611111</v>
      </c>
      <c r="K110" s="11">
        <f>IF(AND(ISNUMBER(E110),ISNUMBER(F110)),(F110-E110),"")</f>
        <v/>
      </c>
      <c r="L110" s="11">
        <f>IF(AND(ISNUMBER(F110),ISNUMBER(G110)),(G110-F110),"")</f>
        <v/>
      </c>
      <c r="M110" s="11">
        <f>IF(AND(ISNUMBER(H110),ISNUMBER(I110)),(I110-H110),"")</f>
        <v/>
      </c>
      <c r="N110" s="11">
        <f>IF(AND(ISNUMBER(I110),ISNUMBER(J110)),(J110-I110),"")</f>
        <v/>
      </c>
      <c r="O110" s="11">
        <f>IF(AND(ISNUMBER(E110),ISNUMBER(J110)),(J110-E110),"")</f>
        <v/>
      </c>
    </row>
    <row r="111">
      <c r="A111" s="3" t="inlineStr">
        <is>
          <t>OBT090125153241-Pitten (Hamburger)</t>
        </is>
      </c>
      <c r="B111" s="3" t="inlineStr">
        <is>
          <t>Pitten (Hamburger)</t>
        </is>
      </c>
      <c r="C111" s="9" t="n">
        <v>131.94</v>
      </c>
      <c r="D111" s="3" t="inlineStr">
        <is>
          <t>611</t>
        </is>
      </c>
      <c r="E111" s="10" t="n">
        <v>45666.64769675926</v>
      </c>
      <c r="F111" s="10" t="n">
        <v>45666.65365740741</v>
      </c>
      <c r="G111" s="10" t="n">
        <v>45666.6765625</v>
      </c>
      <c r="H111" s="10" t="n">
        <v>45666.6765625</v>
      </c>
      <c r="I111" s="10" t="n">
        <v>45666.6765625</v>
      </c>
      <c r="J111" s="10" t="n">
        <v>45666.67734953704</v>
      </c>
      <c r="K111" s="11">
        <f>IF(AND(ISNUMBER(E111),ISNUMBER(F111)),(F111-E111),"")</f>
        <v/>
      </c>
      <c r="L111" s="11">
        <f>IF(AND(ISNUMBER(F111),ISNUMBER(G111)),(G111-F111),"")</f>
        <v/>
      </c>
      <c r="M111" s="11">
        <f>IF(AND(ISNUMBER(H111),ISNUMBER(I111)),(I111-H111),"")</f>
        <v/>
      </c>
      <c r="N111" s="11">
        <f>IF(AND(ISNUMBER(I111),ISNUMBER(J111)),(J111-I111),"")</f>
        <v/>
      </c>
      <c r="O111" s="11">
        <f>IF(AND(ISNUMBER(E111),ISNUMBER(J111)),(J111-E111),"")</f>
        <v/>
      </c>
    </row>
    <row r="112">
      <c r="A112" s="3" t="inlineStr">
        <is>
          <t>OBT090125153646-Ebenfurth (beet loading)</t>
        </is>
      </c>
      <c r="B112" s="3" t="inlineStr">
        <is>
          <t>Ebenfurth (beet loading)</t>
        </is>
      </c>
      <c r="C112" s="9" t="n">
        <v>173.14</v>
      </c>
      <c r="D112" s="3" t="inlineStr">
        <is>
          <t>615</t>
        </is>
      </c>
      <c r="E112" s="10" t="n">
        <v>45666.65053240741</v>
      </c>
      <c r="F112" s="10" t="n">
        <v>45666.66660879629</v>
      </c>
      <c r="G112" s="10" t="n">
        <v>45666.69666666666</v>
      </c>
      <c r="H112" s="10" t="n">
        <v>45666.69666666666</v>
      </c>
      <c r="I112" s="10" t="n">
        <v>45666.69666666666</v>
      </c>
      <c r="J112" s="10" t="n">
        <v>45666.69753472223</v>
      </c>
      <c r="K112" s="11">
        <f>IF(AND(ISNUMBER(E112),ISNUMBER(F112)),(F112-E112),"")</f>
        <v/>
      </c>
      <c r="L112" s="11">
        <f>IF(AND(ISNUMBER(F112),ISNUMBER(G112)),(G112-F112),"")</f>
        <v/>
      </c>
      <c r="M112" s="11">
        <f>IF(AND(ISNUMBER(H112),ISNUMBER(I112)),(I112-H112),"")</f>
        <v/>
      </c>
      <c r="N112" s="11">
        <f>IF(AND(ISNUMBER(I112),ISNUMBER(J112)),(J112-I112),"")</f>
        <v/>
      </c>
      <c r="O112" s="11">
        <f>IF(AND(ISNUMBER(E112),ISNUMBER(J112)),(J112-E112),"")</f>
        <v/>
      </c>
    </row>
    <row r="113">
      <c r="A113" s="3" t="inlineStr">
        <is>
          <t>OBT090125155728-Wien Kledering</t>
        </is>
      </c>
      <c r="B113" s="3" t="inlineStr">
        <is>
          <t>Wien Kledering</t>
        </is>
      </c>
      <c r="C113" s="9" t="n">
        <v>314.8000000000001</v>
      </c>
      <c r="D113" s="3" t="inlineStr">
        <is>
          <t>609</t>
        </is>
      </c>
      <c r="E113" s="10" t="n">
        <v>45666.66490740741</v>
      </c>
      <c r="F113" s="10" t="n">
        <v>45666.66761574074</v>
      </c>
      <c r="G113" s="10" t="n">
        <v>45666.72226851852</v>
      </c>
      <c r="H113" s="10" t="n">
        <v>45666.72226851852</v>
      </c>
      <c r="I113" s="10" t="n">
        <v>45666.72226851852</v>
      </c>
      <c r="J113" s="10" t="n">
        <v>45666.72354166667</v>
      </c>
      <c r="K113" s="11">
        <f>IF(AND(ISNUMBER(E113),ISNUMBER(F113)),(F113-E113),"")</f>
        <v/>
      </c>
      <c r="L113" s="11">
        <f>IF(AND(ISNUMBER(F113),ISNUMBER(G113)),(G113-F113),"")</f>
        <v/>
      </c>
      <c r="M113" s="11">
        <f>IF(AND(ISNUMBER(H113),ISNUMBER(I113)),(I113-H113),"")</f>
        <v/>
      </c>
      <c r="N113" s="11">
        <f>IF(AND(ISNUMBER(I113),ISNUMBER(J113)),(J113-I113),"")</f>
        <v/>
      </c>
      <c r="O113" s="11">
        <f>IF(AND(ISNUMBER(E113),ISNUMBER(J113)),(J113-E113),"")</f>
        <v/>
      </c>
    </row>
    <row r="114">
      <c r="A114" s="3" t="inlineStr">
        <is>
          <t>OBT090125182121-Pitten (Hamburger)</t>
        </is>
      </c>
      <c r="B114" s="3" t="inlineStr">
        <is>
          <t>Pitten (Hamburger)</t>
        </is>
      </c>
      <c r="C114" s="9" t="n">
        <v>116.94</v>
      </c>
      <c r="D114" s="3" t="inlineStr">
        <is>
          <t>615</t>
        </is>
      </c>
      <c r="E114" s="10" t="n">
        <v>45666.76482638889</v>
      </c>
      <c r="F114" s="10" t="n">
        <v>45666.7656712963</v>
      </c>
      <c r="G114" s="10" t="n">
        <v>45666.78597222222</v>
      </c>
      <c r="H114" s="10" t="n">
        <v>45666.78597222222</v>
      </c>
      <c r="I114" s="10" t="n">
        <v>45666.78597222222</v>
      </c>
      <c r="J114" s="10" t="n">
        <v>45666.78670138889</v>
      </c>
      <c r="K114" s="11">
        <f>IF(AND(ISNUMBER(E114),ISNUMBER(F114)),(F114-E114),"")</f>
        <v/>
      </c>
      <c r="L114" s="11">
        <f>IF(AND(ISNUMBER(F114),ISNUMBER(G114)),(G114-F114),"")</f>
        <v/>
      </c>
      <c r="M114" s="11">
        <f>IF(AND(ISNUMBER(H114),ISNUMBER(I114)),(I114-H114),"")</f>
        <v/>
      </c>
      <c r="N114" s="11">
        <f>IF(AND(ISNUMBER(I114),ISNUMBER(J114)),(J114-I114),"")</f>
        <v/>
      </c>
      <c r="O114" s="11">
        <f>IF(AND(ISNUMBER(E114),ISNUMBER(J114)),(J114-E114),"")</f>
        <v/>
      </c>
    </row>
    <row r="115">
      <c r="A115" s="3" t="inlineStr">
        <is>
          <t>OBT090125182601-Other sidings north</t>
        </is>
      </c>
      <c r="B115" s="3" t="inlineStr">
        <is>
          <t>Other sidings north</t>
        </is>
      </c>
      <c r="C115" s="9" t="n">
        <v>154.14</v>
      </c>
      <c r="D115" s="3" t="inlineStr">
        <is>
          <t>619</t>
        </is>
      </c>
      <c r="E115" s="10" t="n">
        <v>45666.76806712963</v>
      </c>
      <c r="F115" s="10" t="n">
        <v>45666.76969907407</v>
      </c>
      <c r="G115" s="10" t="n">
        <v>45666.79645833333</v>
      </c>
      <c r="H115" s="10" t="n">
        <v>45666.79645833333</v>
      </c>
      <c r="I115" s="10" t="n">
        <v>45666.79645833333</v>
      </c>
      <c r="J115" s="10" t="n">
        <v>45666.79736111111</v>
      </c>
      <c r="K115" s="11">
        <f>IF(AND(ISNUMBER(E115),ISNUMBER(F115)),(F115-E115),"")</f>
        <v/>
      </c>
      <c r="L115" s="11">
        <f>IF(AND(ISNUMBER(F115),ISNUMBER(G115)),(G115-F115),"")</f>
        <v/>
      </c>
      <c r="M115" s="11">
        <f>IF(AND(ISNUMBER(H115),ISNUMBER(I115)),(I115-H115),"")</f>
        <v/>
      </c>
      <c r="N115" s="11">
        <f>IF(AND(ISNUMBER(I115),ISNUMBER(J115)),(J115-I115),"")</f>
        <v/>
      </c>
      <c r="O115" s="11">
        <f>IF(AND(ISNUMBER(E115),ISNUMBER(J115)),(J115-E115),"")</f>
        <v/>
      </c>
    </row>
    <row r="116">
      <c r="A116" s="3" t="inlineStr">
        <is>
          <t>OBT090125182822-Neunkirchen (loading tracks)</t>
        </is>
      </c>
      <c r="B116" s="3" t="inlineStr">
        <is>
          <t>Neunkirchen (loading tracks)</t>
        </is>
      </c>
      <c r="C116" s="9" t="n">
        <v>107.7</v>
      </c>
      <c r="D116" s="3" t="inlineStr">
        <is>
          <t>613</t>
        </is>
      </c>
      <c r="E116" s="10" t="n">
        <v>45666.76969907407</v>
      </c>
      <c r="F116" s="10" t="n">
        <v>45666.79081018519</v>
      </c>
      <c r="G116" s="10" t="n">
        <v>45666.80951388889</v>
      </c>
      <c r="H116" s="10" t="n">
        <v>45666.80951388889</v>
      </c>
      <c r="I116" s="10" t="n">
        <v>45666.80951388889</v>
      </c>
      <c r="J116" s="10" t="n">
        <v>45666.81018518518</v>
      </c>
      <c r="K116" s="11">
        <f>IF(AND(ISNUMBER(E116),ISNUMBER(F116)),(F116-E116),"")</f>
        <v/>
      </c>
      <c r="L116" s="11">
        <f>IF(AND(ISNUMBER(F116),ISNUMBER(G116)),(G116-F116),"")</f>
        <v/>
      </c>
      <c r="M116" s="11">
        <f>IF(AND(ISNUMBER(H116),ISNUMBER(I116)),(I116-H116),"")</f>
        <v/>
      </c>
      <c r="N116" s="11">
        <f>IF(AND(ISNUMBER(I116),ISNUMBER(J116)),(J116-I116),"")</f>
        <v/>
      </c>
      <c r="O116" s="11">
        <f>IF(AND(ISNUMBER(E116),ISNUMBER(J116)),(J116-E116),"")</f>
        <v/>
      </c>
    </row>
    <row r="117">
      <c r="A117" s="3" t="inlineStr">
        <is>
          <t>OBT090125184210-Steinabrückl/Wöllersdorf</t>
        </is>
      </c>
      <c r="B117" s="3" t="inlineStr">
        <is>
          <t>Steinabrückl/Wöllersdorf</t>
        </is>
      </c>
      <c r="C117" s="9" t="n">
        <v>110.18</v>
      </c>
      <c r="D117" s="3" t="inlineStr">
        <is>
          <t>606</t>
        </is>
      </c>
      <c r="E117" s="10" t="n">
        <v>45666.77928240741</v>
      </c>
      <c r="F117" s="10" t="n">
        <v>45666.79709490741</v>
      </c>
      <c r="G117" s="10" t="n">
        <v>45666.81622685185</v>
      </c>
      <c r="H117" s="10" t="n">
        <v>45666.81622685185</v>
      </c>
      <c r="I117" s="10" t="n">
        <v>45666.81667824074</v>
      </c>
      <c r="J117" s="10" t="n">
        <v>45666.8174537037</v>
      </c>
      <c r="K117" s="11">
        <f>IF(AND(ISNUMBER(E117),ISNUMBER(F117)),(F117-E117),"")</f>
        <v/>
      </c>
      <c r="L117" s="11">
        <f>IF(AND(ISNUMBER(F117),ISNUMBER(G117)),(G117-F117),"")</f>
        <v/>
      </c>
      <c r="M117" s="11">
        <f>IF(AND(ISNUMBER(H117),ISNUMBER(I117)),(I117-H117),"")</f>
        <v/>
      </c>
      <c r="N117" s="11">
        <f>IF(AND(ISNUMBER(I117),ISNUMBER(J117)),(J117-I117),"")</f>
        <v/>
      </c>
      <c r="O117" s="11">
        <f>IF(AND(ISNUMBER(E117),ISNUMBER(J117)),(J117-E117),"")</f>
        <v/>
      </c>
    </row>
    <row r="118">
      <c r="A118" s="3" t="inlineStr">
        <is>
          <t>OBT090125184904-Obereggendorf (Hofer)</t>
        </is>
      </c>
      <c r="B118" s="3" t="inlineStr">
        <is>
          <t>Obereggendorf (Hofer)</t>
        </is>
      </c>
      <c r="C118" s="9" t="n">
        <v>101.94</v>
      </c>
      <c r="D118" s="3" t="inlineStr">
        <is>
          <t>607</t>
        </is>
      </c>
      <c r="E118" s="10" t="n">
        <v>45666.78407407407</v>
      </c>
      <c r="F118" s="10" t="n">
        <v>45666.79814814815</v>
      </c>
      <c r="G118" s="10" t="n">
        <v>45666.81584490741</v>
      </c>
      <c r="H118" s="10" t="n">
        <v>45666.81584490741</v>
      </c>
      <c r="I118" s="10" t="n">
        <v>45666.81584490741</v>
      </c>
      <c r="J118" s="10" t="n">
        <v>45666.81667824074</v>
      </c>
      <c r="K118" s="11">
        <f>IF(AND(ISNUMBER(E118),ISNUMBER(F118)),(F118-E118),"")</f>
        <v/>
      </c>
      <c r="L118" s="11">
        <f>IF(AND(ISNUMBER(F118),ISNUMBER(G118)),(G118-F118),"")</f>
        <v/>
      </c>
      <c r="M118" s="11">
        <f>IF(AND(ISNUMBER(H118),ISNUMBER(I118)),(I118-H118),"")</f>
        <v/>
      </c>
      <c r="N118" s="11">
        <f>IF(AND(ISNUMBER(I118),ISNUMBER(J118)),(J118-I118),"")</f>
        <v/>
      </c>
      <c r="O118" s="11">
        <f>IF(AND(ISNUMBER(E118),ISNUMBER(J118)),(J118-E118),"")</f>
        <v/>
      </c>
    </row>
    <row r="119">
      <c r="A119" s="3" t="inlineStr">
        <is>
          <t>OBT090125185836-Wr. Neustadt (Brenntag)</t>
        </is>
      </c>
      <c r="B119" s="3" t="inlineStr">
        <is>
          <t>Wr. Neustadt (Brenntag)</t>
        </is>
      </c>
      <c r="C119" s="9" t="n">
        <v>120.7</v>
      </c>
      <c r="D119" s="3" t="inlineStr">
        <is>
          <t>609</t>
        </is>
      </c>
      <c r="E119" s="10" t="n">
        <v>45666.79069444445</v>
      </c>
      <c r="F119" s="10" t="n">
        <v>45666.81125</v>
      </c>
      <c r="G119" s="10" t="n">
        <v>45666.83219907407</v>
      </c>
      <c r="H119" s="10" t="n">
        <v>45666.83219907407</v>
      </c>
      <c r="I119" s="10" t="n">
        <v>45666.83219907407</v>
      </c>
      <c r="J119" s="10" t="n">
        <v>45666.83302083334</v>
      </c>
      <c r="K119" s="11">
        <f>IF(AND(ISNUMBER(E119),ISNUMBER(F119)),(F119-E119),"")</f>
        <v/>
      </c>
      <c r="L119" s="11">
        <f>IF(AND(ISNUMBER(F119),ISNUMBER(G119)),(G119-F119),"")</f>
        <v/>
      </c>
      <c r="M119" s="11">
        <f>IF(AND(ISNUMBER(H119),ISNUMBER(I119)),(I119-H119),"")</f>
        <v/>
      </c>
      <c r="N119" s="11">
        <f>IF(AND(ISNUMBER(I119),ISNUMBER(J119)),(J119-I119),"")</f>
        <v/>
      </c>
      <c r="O119" s="11">
        <f>IF(AND(ISNUMBER(E119),ISNUMBER(J119)),(J119-E119),"")</f>
        <v/>
      </c>
    </row>
    <row r="120">
      <c r="A120" s="3" t="inlineStr">
        <is>
          <t>OBT090125190525-Neudörfl (FunderMax)</t>
        </is>
      </c>
      <c r="B120" s="3" t="inlineStr">
        <is>
          <t>Neudörfl (FunderMax)</t>
        </is>
      </c>
      <c r="C120" s="9" t="n">
        <v>137.34</v>
      </c>
      <c r="D120" s="3" t="inlineStr">
        <is>
          <t>605</t>
        </is>
      </c>
      <c r="E120" s="10" t="n">
        <v>45666.79542824074</v>
      </c>
      <c r="F120" s="10" t="n">
        <v>45666.8175462963</v>
      </c>
      <c r="G120" s="10" t="n">
        <v>45666.84138888889</v>
      </c>
      <c r="H120" s="10" t="n">
        <v>45666.84138888889</v>
      </c>
      <c r="I120" s="10" t="n">
        <v>45666.84138888889</v>
      </c>
      <c r="J120" s="10" t="n">
        <v>45666.84230324074</v>
      </c>
      <c r="K120" s="11">
        <f>IF(AND(ISNUMBER(E120),ISNUMBER(F120)),(F120-E120),"")</f>
        <v/>
      </c>
      <c r="L120" s="11">
        <f>IF(AND(ISNUMBER(F120),ISNUMBER(G120)),(G120-F120),"")</f>
        <v/>
      </c>
      <c r="M120" s="11">
        <f>IF(AND(ISNUMBER(H120),ISNUMBER(I120)),(I120-H120),"")</f>
        <v/>
      </c>
      <c r="N120" s="11">
        <f>IF(AND(ISNUMBER(I120),ISNUMBER(J120)),(J120-I120),"")</f>
        <v/>
      </c>
      <c r="O120" s="11">
        <f>IF(AND(ISNUMBER(E120),ISNUMBER(J120)),(J120-E120),"")</f>
        <v/>
      </c>
    </row>
    <row r="121">
      <c r="A121" s="3" t="inlineStr">
        <is>
          <t>OBT090125204342-Felixdorf/Sollenau (Bundesheer, Maba)</t>
        </is>
      </c>
      <c r="B121" s="3" t="inlineStr">
        <is>
          <t>Felixdorf/Sollenau (Bundesheer, Maba)</t>
        </is>
      </c>
      <c r="C121" s="9" t="n">
        <v>122.66</v>
      </c>
      <c r="D121" s="3" t="inlineStr">
        <is>
          <t>625</t>
        </is>
      </c>
      <c r="E121" s="10" t="n">
        <v>45666.86368055556</v>
      </c>
      <c r="F121" s="10" t="n">
        <v>45666.86454861111</v>
      </c>
      <c r="G121" s="10" t="n">
        <v>45666.88584490741</v>
      </c>
      <c r="H121" s="10" t="n">
        <v>45666.88584490741</v>
      </c>
      <c r="I121" s="10" t="n">
        <v>45666.88584490741</v>
      </c>
      <c r="J121" s="10" t="n">
        <v>45666.88663194444</v>
      </c>
      <c r="K121" s="11">
        <f>IF(AND(ISNUMBER(E121),ISNUMBER(F121)),(F121-E121),"")</f>
        <v/>
      </c>
      <c r="L121" s="11">
        <f>IF(AND(ISNUMBER(F121),ISNUMBER(G121)),(G121-F121),"")</f>
        <v/>
      </c>
      <c r="M121" s="11">
        <f>IF(AND(ISNUMBER(H121),ISNUMBER(I121)),(I121-H121),"")</f>
        <v/>
      </c>
      <c r="N121" s="11">
        <f>IF(AND(ISNUMBER(I121),ISNUMBER(J121)),(J121-I121),"")</f>
        <v/>
      </c>
      <c r="O121" s="11">
        <f>IF(AND(ISNUMBER(E121),ISNUMBER(J121)),(J121-E121),"")</f>
        <v/>
      </c>
    </row>
    <row r="122">
      <c r="A122" s="3" t="inlineStr">
        <is>
          <t>OBT090125204925-Other sidings north</t>
        </is>
      </c>
      <c r="B122" s="3" t="inlineStr">
        <is>
          <t>Other sidings north</t>
        </is>
      </c>
      <c r="C122" s="9" t="n">
        <v>126</v>
      </c>
      <c r="D122" s="3" t="inlineStr">
        <is>
          <t>629</t>
        </is>
      </c>
      <c r="E122" s="10" t="n">
        <v>45666.86765046296</v>
      </c>
      <c r="F122" s="10" t="n">
        <v>45666.86848379629</v>
      </c>
      <c r="G122" s="10" t="n">
        <v>45666.8903587963</v>
      </c>
      <c r="H122" s="10" t="n">
        <v>45666.8903587963</v>
      </c>
      <c r="I122" s="10" t="n">
        <v>45666.8903587963</v>
      </c>
      <c r="J122" s="10" t="n">
        <v>45666.89103009259</v>
      </c>
      <c r="K122" s="11">
        <f>IF(AND(ISNUMBER(E122),ISNUMBER(F122)),(F122-E122),"")</f>
        <v/>
      </c>
      <c r="L122" s="11">
        <f>IF(AND(ISNUMBER(F122),ISNUMBER(G122)),(G122-F122),"")</f>
        <v/>
      </c>
      <c r="M122" s="11">
        <f>IF(AND(ISNUMBER(H122),ISNUMBER(I122)),(I122-H122),"")</f>
        <v/>
      </c>
      <c r="N122" s="11">
        <f>IF(AND(ISNUMBER(I122),ISNUMBER(J122)),(J122-I122),"")</f>
        <v/>
      </c>
      <c r="O122" s="11">
        <f>IF(AND(ISNUMBER(E122),ISNUMBER(J122)),(J122-E122),"")</f>
        <v/>
      </c>
    </row>
    <row r="123">
      <c r="A123" s="3" t="inlineStr">
        <is>
          <t>OBT100125031244-Neunkirchen (loading tracks)</t>
        </is>
      </c>
      <c r="B123" s="3" t="inlineStr">
        <is>
          <t>Neunkirchen (loading tracks)</t>
        </is>
      </c>
      <c r="C123" s="9" t="n">
        <v>222.2</v>
      </c>
      <c r="D123" s="3" t="inlineStr">
        <is>
          <t>621</t>
        </is>
      </c>
      <c r="E123" s="10" t="n">
        <v>45667.13384259259</v>
      </c>
      <c r="F123" s="10" t="n">
        <v>45667.1346875</v>
      </c>
      <c r="G123" s="10" t="n">
        <v>45667.17326388889</v>
      </c>
      <c r="H123" s="10" t="n">
        <v>45667.17326388889</v>
      </c>
      <c r="I123" s="10" t="n">
        <v>45667.17326388889</v>
      </c>
      <c r="J123" s="10" t="n">
        <v>45667.17431712963</v>
      </c>
      <c r="K123" s="11">
        <f>IF(AND(ISNUMBER(E123),ISNUMBER(F123)),(F123-E123),"")</f>
        <v/>
      </c>
      <c r="L123" s="11">
        <f>IF(AND(ISNUMBER(F123),ISNUMBER(G123)),(G123-F123),"")</f>
        <v/>
      </c>
      <c r="M123" s="11">
        <f>IF(AND(ISNUMBER(H123),ISNUMBER(I123)),(I123-H123),"")</f>
        <v/>
      </c>
      <c r="N123" s="11">
        <f>IF(AND(ISNUMBER(I123),ISNUMBER(J123)),(J123-I123),"")</f>
        <v/>
      </c>
      <c r="O123" s="11">
        <f>IF(AND(ISNUMBER(E123),ISNUMBER(J123)),(J123-E123),"")</f>
        <v/>
      </c>
    </row>
    <row r="124">
      <c r="A124" s="3" t="inlineStr">
        <is>
          <t>OBT100125031522-Other sidings south</t>
        </is>
      </c>
      <c r="B124" s="3" t="inlineStr">
        <is>
          <t>Other sidings south</t>
        </is>
      </c>
      <c r="C124" s="9" t="n">
        <v>130.16</v>
      </c>
      <c r="D124" s="3" t="inlineStr">
        <is>
          <t>623</t>
        </is>
      </c>
      <c r="E124" s="10" t="n">
        <v>45667.1356712963</v>
      </c>
      <c r="F124" s="10" t="n">
        <v>45667.13653935185</v>
      </c>
      <c r="G124" s="10" t="n">
        <v>45667.15913194444</v>
      </c>
      <c r="H124" s="10" t="n">
        <v>45667.15913194444</v>
      </c>
      <c r="I124" s="10" t="n">
        <v>45667.15913194444</v>
      </c>
      <c r="J124" s="10" t="n">
        <v>45667.15997685185</v>
      </c>
      <c r="K124" s="11">
        <f>IF(AND(ISNUMBER(E124),ISNUMBER(F124)),(F124-E124),"")</f>
        <v/>
      </c>
      <c r="L124" s="11">
        <f>IF(AND(ISNUMBER(F124),ISNUMBER(G124)),(G124-F124),"")</f>
        <v/>
      </c>
      <c r="M124" s="11">
        <f>IF(AND(ISNUMBER(H124),ISNUMBER(I124)),(I124-H124),"")</f>
        <v/>
      </c>
      <c r="N124" s="11">
        <f>IF(AND(ISNUMBER(I124),ISNUMBER(J124)),(J124-I124),"")</f>
        <v/>
      </c>
      <c r="O124" s="11">
        <f>IF(AND(ISNUMBER(E124),ISNUMBER(J124)),(J124-E124),"")</f>
        <v/>
      </c>
    </row>
    <row r="125">
      <c r="A125" s="3" t="inlineStr">
        <is>
          <t>OBT100125045052-Neudörfl (FunderMax)</t>
        </is>
      </c>
      <c r="B125" s="3" t="inlineStr">
        <is>
          <t>Neudörfl (FunderMax)</t>
        </is>
      </c>
      <c r="C125" s="9" t="n">
        <v>240.5</v>
      </c>
      <c r="D125" s="3" t="inlineStr">
        <is>
          <t>615</t>
        </is>
      </c>
      <c r="E125" s="10" t="n">
        <v>45667.20199074074</v>
      </c>
      <c r="F125" s="10" t="n">
        <v>45667.2028587963</v>
      </c>
      <c r="G125" s="10" t="n">
        <v>45667.24460648148</v>
      </c>
      <c r="H125" s="10" t="n">
        <v>45667.24460648148</v>
      </c>
      <c r="I125" s="10" t="n">
        <v>45667.24460648148</v>
      </c>
      <c r="J125" s="10" t="n">
        <v>45667.245625</v>
      </c>
      <c r="K125" s="11">
        <f>IF(AND(ISNUMBER(E125),ISNUMBER(F125)),(F125-E125),"")</f>
        <v/>
      </c>
      <c r="L125" s="11">
        <f>IF(AND(ISNUMBER(F125),ISNUMBER(G125)),(G125-F125),"")</f>
        <v/>
      </c>
      <c r="M125" s="11">
        <f>IF(AND(ISNUMBER(H125),ISNUMBER(I125)),(I125-H125),"")</f>
        <v/>
      </c>
      <c r="N125" s="11">
        <f>IF(AND(ISNUMBER(I125),ISNUMBER(J125)),(J125-I125),"")</f>
        <v/>
      </c>
      <c r="O125" s="11">
        <f>IF(AND(ISNUMBER(E125),ISNUMBER(J125)),(J125-E125),"")</f>
        <v/>
      </c>
    </row>
    <row r="126">
      <c r="A126" s="3" t="inlineStr">
        <is>
          <t>OBT100125060642-Wien Kledering</t>
        </is>
      </c>
      <c r="B126" s="3" t="inlineStr">
        <is>
          <t>Wien Kledering</t>
        </is>
      </c>
      <c r="C126" s="9" t="n">
        <v>345.22</v>
      </c>
      <c r="D126" s="3" t="inlineStr">
        <is>
          <t>611</t>
        </is>
      </c>
      <c r="E126" s="10" t="n">
        <v>45667.25465277778</v>
      </c>
      <c r="F126" s="10" t="n">
        <v>45667.25549768518</v>
      </c>
      <c r="G126" s="10" t="n">
        <v>45667.31542824074</v>
      </c>
      <c r="H126" s="10" t="n">
        <v>45667.31542824074</v>
      </c>
      <c r="I126" s="10" t="n">
        <v>45667.31542824074</v>
      </c>
      <c r="J126" s="10" t="n">
        <v>45667.31671296297</v>
      </c>
      <c r="K126" s="11">
        <f>IF(AND(ISNUMBER(E126),ISNUMBER(F126)),(F126-E126),"")</f>
        <v/>
      </c>
      <c r="L126" s="11">
        <f>IF(AND(ISNUMBER(F126),ISNUMBER(G126)),(G126-F126),"")</f>
        <v/>
      </c>
      <c r="M126" s="11">
        <f>IF(AND(ISNUMBER(H126),ISNUMBER(I126)),(I126-H126),"")</f>
        <v/>
      </c>
      <c r="N126" s="11">
        <f>IF(AND(ISNUMBER(I126),ISNUMBER(J126)),(J126-I126),"")</f>
        <v/>
      </c>
      <c r="O126" s="11">
        <f>IF(AND(ISNUMBER(E126),ISNUMBER(J126)),(J126-E126),"")</f>
        <v/>
      </c>
    </row>
    <row r="127">
      <c r="A127" s="3" t="inlineStr">
        <is>
          <t>OBT100125071706-Wr. Neustadt (Hödlmayr)</t>
        </is>
      </c>
      <c r="B127" s="3" t="inlineStr">
        <is>
          <t>Wr. Neustadt (Hödlmayr)</t>
        </is>
      </c>
      <c r="C127" s="9" t="n">
        <v>152.92</v>
      </c>
      <c r="D127" s="3" t="inlineStr">
        <is>
          <t>613</t>
        </is>
      </c>
      <c r="E127" s="10" t="n">
        <v>45667.30354166667</v>
      </c>
      <c r="F127" s="10" t="n">
        <v>45667.30527777778</v>
      </c>
      <c r="G127" s="10" t="n">
        <v>45667.33181712963</v>
      </c>
      <c r="H127" s="10" t="n">
        <v>45667.33181712963</v>
      </c>
      <c r="I127" s="10" t="n">
        <v>45667.33181712963</v>
      </c>
      <c r="J127" s="10" t="n">
        <v>45667.33260416667</v>
      </c>
      <c r="K127" s="11">
        <f>IF(AND(ISNUMBER(E127),ISNUMBER(F127)),(F127-E127),"")</f>
        <v/>
      </c>
      <c r="L127" s="11">
        <f>IF(AND(ISNUMBER(F127),ISNUMBER(G127)),(G127-F127),"")</f>
        <v/>
      </c>
      <c r="M127" s="11">
        <f>IF(AND(ISNUMBER(H127),ISNUMBER(I127)),(I127-H127),"")</f>
        <v/>
      </c>
      <c r="N127" s="11">
        <f>IF(AND(ISNUMBER(I127),ISNUMBER(J127)),(J127-I127),"")</f>
        <v/>
      </c>
      <c r="O127" s="11">
        <f>IF(AND(ISNUMBER(E127),ISNUMBER(J127)),(J127-E127),"")</f>
        <v/>
      </c>
    </row>
    <row r="128">
      <c r="A128" s="3" t="inlineStr">
        <is>
          <t>OBT100125071957-Pitten (Hamburger)</t>
        </is>
      </c>
      <c r="B128" s="3" t="inlineStr">
        <is>
          <t>Pitten (Hamburger)</t>
        </is>
      </c>
      <c r="C128" s="9" t="n">
        <v>186.66</v>
      </c>
      <c r="D128" s="3" t="inlineStr">
        <is>
          <t>605</t>
        </is>
      </c>
      <c r="E128" s="10" t="n">
        <v>45667.30552083333</v>
      </c>
      <c r="F128" s="10" t="n">
        <v>45667.31530092593</v>
      </c>
      <c r="G128" s="10" t="n">
        <v>45667.34769675926</v>
      </c>
      <c r="H128" s="10" t="n">
        <v>45667.34769675926</v>
      </c>
      <c r="I128" s="10" t="n">
        <v>45667.34769675926</v>
      </c>
      <c r="J128" s="10" t="n">
        <v>45667.34872685185</v>
      </c>
      <c r="K128" s="11">
        <f>IF(AND(ISNUMBER(E128),ISNUMBER(F128)),(F128-E128),"")</f>
        <v/>
      </c>
      <c r="L128" s="11">
        <f>IF(AND(ISNUMBER(F128),ISNUMBER(G128)),(G128-F128),"")</f>
        <v/>
      </c>
      <c r="M128" s="11">
        <f>IF(AND(ISNUMBER(H128),ISNUMBER(I128)),(I128-H128),"")</f>
        <v/>
      </c>
      <c r="N128" s="11">
        <f>IF(AND(ISNUMBER(I128),ISNUMBER(J128)),(J128-I128),"")</f>
        <v/>
      </c>
      <c r="O128" s="11">
        <f>IF(AND(ISNUMBER(E128),ISNUMBER(J128)),(J128-E128),"")</f>
        <v/>
      </c>
    </row>
    <row r="129">
      <c r="A129" s="3" t="inlineStr">
        <is>
          <t>OBT100125074357-Wien Kledering</t>
        </is>
      </c>
      <c r="B129" s="3" t="inlineStr">
        <is>
          <t>Wien Kledering</t>
        </is>
      </c>
      <c r="C129" s="9" t="n">
        <v>193.12</v>
      </c>
      <c r="D129" s="3" t="inlineStr">
        <is>
          <t>619</t>
        </is>
      </c>
      <c r="E129" s="10" t="n">
        <v>45667.3221875</v>
      </c>
      <c r="F129" s="10" t="n">
        <v>45667.32388888889</v>
      </c>
      <c r="G129" s="10" t="n">
        <v>45667.35741898148</v>
      </c>
      <c r="H129" s="10" t="n">
        <v>45667.35741898148</v>
      </c>
      <c r="I129" s="10" t="n">
        <v>45667.35741898148</v>
      </c>
      <c r="J129" s="10" t="n">
        <v>45667.35841435185</v>
      </c>
      <c r="K129" s="11">
        <f>IF(AND(ISNUMBER(E129),ISNUMBER(F129)),(F129-E129),"")</f>
        <v/>
      </c>
      <c r="L129" s="11">
        <f>IF(AND(ISNUMBER(F129),ISNUMBER(G129)),(G129-F129),"")</f>
        <v/>
      </c>
      <c r="M129" s="11">
        <f>IF(AND(ISNUMBER(H129),ISNUMBER(I129)),(I129-H129),"")</f>
        <v/>
      </c>
      <c r="N129" s="11">
        <f>IF(AND(ISNUMBER(I129),ISNUMBER(J129)),(J129-I129),"")</f>
        <v/>
      </c>
      <c r="O129" s="11">
        <f>IF(AND(ISNUMBER(E129),ISNUMBER(J129)),(J129-E129),"")</f>
        <v/>
      </c>
    </row>
    <row r="130">
      <c r="A130" s="3" t="inlineStr">
        <is>
          <t>OBT100125081531-Wien Kledering</t>
        </is>
      </c>
      <c r="B130" s="3" t="inlineStr">
        <is>
          <t>Wien Kledering</t>
        </is>
      </c>
      <c r="C130" s="9" t="n">
        <v>380.8200000000001</v>
      </c>
      <c r="D130" s="3" t="inlineStr">
        <is>
          <t>606</t>
        </is>
      </c>
      <c r="E130" s="10" t="n">
        <v>45667.34410879629</v>
      </c>
      <c r="F130" s="10" t="n">
        <v>45667.34584490741</v>
      </c>
      <c r="G130" s="10" t="n">
        <v>45667.41195601852</v>
      </c>
      <c r="H130" s="10" t="n">
        <v>45667.41195601852</v>
      </c>
      <c r="I130" s="10" t="n">
        <v>45667.41195601852</v>
      </c>
      <c r="J130" s="10" t="n">
        <v>45667.41334490741</v>
      </c>
      <c r="K130" s="11">
        <f>IF(AND(ISNUMBER(E130),ISNUMBER(F130)),(F130-E130),"")</f>
        <v/>
      </c>
      <c r="L130" s="11">
        <f>IF(AND(ISNUMBER(F130),ISNUMBER(G130)),(G130-F130),"")</f>
        <v/>
      </c>
      <c r="M130" s="11">
        <f>IF(AND(ISNUMBER(H130),ISNUMBER(I130)),(I130-H130),"")</f>
        <v/>
      </c>
      <c r="N130" s="11">
        <f>IF(AND(ISNUMBER(I130),ISNUMBER(J130)),(J130-I130),"")</f>
        <v/>
      </c>
      <c r="O130" s="11">
        <f>IF(AND(ISNUMBER(E130),ISNUMBER(J130)),(J130-E130),"")</f>
        <v/>
      </c>
    </row>
    <row r="131">
      <c r="A131" s="3" t="inlineStr">
        <is>
          <t>OBT100125092212-St. Veit an der Glan</t>
        </is>
      </c>
      <c r="B131" s="3" t="inlineStr">
        <is>
          <t>St. Veit an der Glan</t>
        </is>
      </c>
      <c r="C131" s="9" t="n">
        <v>137.2</v>
      </c>
      <c r="D131" s="3" t="inlineStr">
        <is>
          <t>627</t>
        </is>
      </c>
      <c r="E131" s="10" t="n">
        <v>45667.39041666667</v>
      </c>
      <c r="F131" s="10" t="n">
        <v>45667.39128472222</v>
      </c>
      <c r="G131" s="10" t="n">
        <v>45667.41510416667</v>
      </c>
      <c r="H131" s="10" t="n">
        <v>45667.41510416667</v>
      </c>
      <c r="I131" s="10" t="n">
        <v>45667.41510416667</v>
      </c>
      <c r="J131" s="10" t="n">
        <v>45667.41582175926</v>
      </c>
      <c r="K131" s="11">
        <f>IF(AND(ISNUMBER(E131),ISNUMBER(F131)),(F131-E131),"")</f>
        <v/>
      </c>
      <c r="L131" s="11">
        <f>IF(AND(ISNUMBER(F131),ISNUMBER(G131)),(G131-F131),"")</f>
        <v/>
      </c>
      <c r="M131" s="11">
        <f>IF(AND(ISNUMBER(H131),ISNUMBER(I131)),(I131-H131),"")</f>
        <v/>
      </c>
      <c r="N131" s="11">
        <f>IF(AND(ISNUMBER(I131),ISNUMBER(J131)),(J131-I131),"")</f>
        <v/>
      </c>
      <c r="O131" s="11">
        <f>IF(AND(ISNUMBER(E131),ISNUMBER(J131)),(J131-E131),"")</f>
        <v/>
      </c>
    </row>
    <row r="132">
      <c r="A132" s="3" t="inlineStr">
        <is>
          <t>OBT100125092457-Wien Kledering</t>
        </is>
      </c>
      <c r="B132" s="3" t="inlineStr">
        <is>
          <t>Wien Kledering</t>
        </is>
      </c>
      <c r="C132" s="9" t="n">
        <v>168.8</v>
      </c>
      <c r="D132" s="3" t="inlineStr">
        <is>
          <t>611</t>
        </is>
      </c>
      <c r="E132" s="10" t="n">
        <v>45667.39232638889</v>
      </c>
      <c r="F132" s="10" t="n">
        <v>45667.41369212963</v>
      </c>
      <c r="G132" s="10" t="n">
        <v>45667.44299768518</v>
      </c>
      <c r="H132" s="10" t="n">
        <v>45667.44299768518</v>
      </c>
      <c r="I132" s="10" t="n">
        <v>45667.44299768518</v>
      </c>
      <c r="J132" s="10" t="n">
        <v>45667.44386574074</v>
      </c>
      <c r="K132" s="11">
        <f>IF(AND(ISNUMBER(E132),ISNUMBER(F132)),(F132-E132),"")</f>
        <v/>
      </c>
      <c r="L132" s="11">
        <f>IF(AND(ISNUMBER(F132),ISNUMBER(G132)),(G132-F132),"")</f>
        <v/>
      </c>
      <c r="M132" s="11">
        <f>IF(AND(ISNUMBER(H132),ISNUMBER(I132)),(I132-H132),"")</f>
        <v/>
      </c>
      <c r="N132" s="11">
        <f>IF(AND(ISNUMBER(I132),ISNUMBER(J132)),(J132-I132),"")</f>
        <v/>
      </c>
      <c r="O132" s="11">
        <f>IF(AND(ISNUMBER(E132),ISNUMBER(J132)),(J132-E132),"")</f>
        <v/>
      </c>
    </row>
    <row r="133">
      <c r="A133" s="3" t="inlineStr">
        <is>
          <t>OBT100125092935-Ebenfurth (beet loading)</t>
        </is>
      </c>
      <c r="B133" s="3" t="inlineStr">
        <is>
          <t>Ebenfurth (beet loading)</t>
        </is>
      </c>
      <c r="C133" s="9" t="n">
        <v>141.66</v>
      </c>
      <c r="D133" s="3" t="inlineStr">
        <is>
          <t>613</t>
        </is>
      </c>
      <c r="E133" s="10" t="n">
        <v>45667.39554398148</v>
      </c>
      <c r="F133" s="10" t="n">
        <v>45667.41666666666</v>
      </c>
      <c r="G133" s="10" t="n">
        <v>45667.44126157407</v>
      </c>
      <c r="H133" s="10" t="n">
        <v>45667.44126157407</v>
      </c>
      <c r="I133" s="10" t="n">
        <v>45667.44130787037</v>
      </c>
      <c r="J133" s="10" t="n">
        <v>45667.44206018518</v>
      </c>
      <c r="K133" s="11">
        <f>IF(AND(ISNUMBER(E133),ISNUMBER(F133)),(F133-E133),"")</f>
        <v/>
      </c>
      <c r="L133" s="11">
        <f>IF(AND(ISNUMBER(F133),ISNUMBER(G133)),(G133-F133),"")</f>
        <v/>
      </c>
      <c r="M133" s="11">
        <f>IF(AND(ISNUMBER(H133),ISNUMBER(I133)),(I133-H133),"")</f>
        <v/>
      </c>
      <c r="N133" s="11">
        <f>IF(AND(ISNUMBER(I133),ISNUMBER(J133)),(J133-I133),"")</f>
        <v/>
      </c>
      <c r="O133" s="11">
        <f>IF(AND(ISNUMBER(E133),ISNUMBER(J133)),(J133-E133),"")</f>
        <v/>
      </c>
    </row>
    <row r="134">
      <c r="A134" s="3" t="inlineStr">
        <is>
          <t>OBT100125094326-Other sidings north</t>
        </is>
      </c>
      <c r="B134" s="3" t="inlineStr">
        <is>
          <t>Other sidings north</t>
        </is>
      </c>
      <c r="C134" s="9" t="n">
        <v>129.34</v>
      </c>
      <c r="D134" s="3" t="inlineStr">
        <is>
          <t>605</t>
        </is>
      </c>
      <c r="E134" s="10" t="n">
        <v>45667.40516203704</v>
      </c>
      <c r="F134" s="10" t="n">
        <v>45667.41795138889</v>
      </c>
      <c r="G134" s="10" t="n">
        <v>45667.4404050926</v>
      </c>
      <c r="H134" s="10" t="n">
        <v>45667.4404050926</v>
      </c>
      <c r="I134" s="10" t="n">
        <v>45667.4404050926</v>
      </c>
      <c r="J134" s="10" t="n">
        <v>45667.44130787037</v>
      </c>
      <c r="K134" s="11">
        <f>IF(AND(ISNUMBER(E134),ISNUMBER(F134)),(F134-E134),"")</f>
        <v/>
      </c>
      <c r="L134" s="11">
        <f>IF(AND(ISNUMBER(F134),ISNUMBER(G134)),(G134-F134),"")</f>
        <v/>
      </c>
      <c r="M134" s="11">
        <f>IF(AND(ISNUMBER(H134),ISNUMBER(I134)),(I134-H134),"")</f>
        <v/>
      </c>
      <c r="N134" s="11">
        <f>IF(AND(ISNUMBER(I134),ISNUMBER(J134)),(J134-I134),"")</f>
        <v/>
      </c>
      <c r="O134" s="11">
        <f>IF(AND(ISNUMBER(E134),ISNUMBER(J134)),(J134-E134),"")</f>
        <v/>
      </c>
    </row>
    <row r="135">
      <c r="A135" s="3" t="inlineStr">
        <is>
          <t>OBT100125095359-Felixdorf/Sollenau (Bundesheer, Maba)</t>
        </is>
      </c>
      <c r="B135" s="3" t="inlineStr">
        <is>
          <t>Felixdorf/Sollenau (Bundesheer, Maba)</t>
        </is>
      </c>
      <c r="C135" s="9" t="n">
        <v>114.8</v>
      </c>
      <c r="D135" s="3" t="inlineStr">
        <is>
          <t>625</t>
        </is>
      </c>
      <c r="E135" s="10" t="n">
        <v>45667.41248842593</v>
      </c>
      <c r="F135" s="10" t="n">
        <v>45667.44290509259</v>
      </c>
      <c r="G135" s="10" t="n">
        <v>45667.46283564815</v>
      </c>
      <c r="H135" s="10" t="n">
        <v>45667.46283564815</v>
      </c>
      <c r="I135" s="10" t="n">
        <v>45667.46283564815</v>
      </c>
      <c r="J135" s="10" t="n">
        <v>45667.46359953703</v>
      </c>
      <c r="K135" s="11">
        <f>IF(AND(ISNUMBER(E135),ISNUMBER(F135)),(F135-E135),"")</f>
        <v/>
      </c>
      <c r="L135" s="11">
        <f>IF(AND(ISNUMBER(F135),ISNUMBER(G135)),(G135-F135),"")</f>
        <v/>
      </c>
      <c r="M135" s="11">
        <f>IF(AND(ISNUMBER(H135),ISNUMBER(I135)),(I135-H135),"")</f>
        <v/>
      </c>
      <c r="N135" s="11">
        <f>IF(AND(ISNUMBER(I135),ISNUMBER(J135)),(J135-I135),"")</f>
        <v/>
      </c>
      <c r="O135" s="11">
        <f>IF(AND(ISNUMBER(E135),ISNUMBER(J135)),(J135-E135),"")</f>
        <v/>
      </c>
    </row>
    <row r="136">
      <c r="A136" s="3" t="inlineStr">
        <is>
          <t>OBT100125103849-Wien Kledering</t>
        </is>
      </c>
      <c r="B136" s="3" t="inlineStr">
        <is>
          <t>Wien Kledering</t>
        </is>
      </c>
      <c r="C136" s="9" t="n">
        <v>259.66</v>
      </c>
      <c r="D136" s="3" t="inlineStr">
        <is>
          <t>627</t>
        </is>
      </c>
      <c r="E136" s="10" t="n">
        <v>45667.44362268518</v>
      </c>
      <c r="F136" s="10" t="n">
        <v>45667.44466435185</v>
      </c>
      <c r="G136" s="10" t="n">
        <v>45667.48974537037</v>
      </c>
      <c r="H136" s="10" t="n">
        <v>45667.48974537037</v>
      </c>
      <c r="I136" s="10" t="n">
        <v>45667.48974537037</v>
      </c>
      <c r="J136" s="10" t="n">
        <v>45667.49074074074</v>
      </c>
      <c r="K136" s="11">
        <f>IF(AND(ISNUMBER(E136),ISNUMBER(F136)),(F136-E136),"")</f>
        <v/>
      </c>
      <c r="L136" s="11">
        <f>IF(AND(ISNUMBER(F136),ISNUMBER(G136)),(G136-F136),"")</f>
        <v/>
      </c>
      <c r="M136" s="11">
        <f>IF(AND(ISNUMBER(H136),ISNUMBER(I136)),(I136-H136),"")</f>
        <v/>
      </c>
      <c r="N136" s="11">
        <f>IF(AND(ISNUMBER(I136),ISNUMBER(J136)),(J136-I136),"")</f>
        <v/>
      </c>
      <c r="O136" s="11">
        <f>IF(AND(ISNUMBER(E136),ISNUMBER(J136)),(J136-E136),"")</f>
        <v/>
      </c>
    </row>
    <row r="137">
      <c r="A137" s="3" t="inlineStr">
        <is>
          <t>OBT100125142646-Wien Kledering</t>
        </is>
      </c>
      <c r="B137" s="3" t="inlineStr">
        <is>
          <t>Wien Kledering</t>
        </is>
      </c>
      <c r="C137" s="9" t="n">
        <v>118.58</v>
      </c>
      <c r="D137" s="3" t="inlineStr">
        <is>
          <t>613</t>
        </is>
      </c>
      <c r="E137" s="10" t="n">
        <v>45667.60192129629</v>
      </c>
      <c r="F137" s="10" t="n">
        <v>45667.60278935185</v>
      </c>
      <c r="G137" s="10" t="n">
        <v>45667.62337962963</v>
      </c>
      <c r="H137" s="10" t="n">
        <v>45667.62337962963</v>
      </c>
      <c r="I137" s="10" t="n">
        <v>45667.62337962963</v>
      </c>
      <c r="J137" s="10" t="n">
        <v>45667.62408564815</v>
      </c>
      <c r="K137" s="11">
        <f>IF(AND(ISNUMBER(E137),ISNUMBER(F137)),(F137-E137),"")</f>
        <v/>
      </c>
      <c r="L137" s="11">
        <f>IF(AND(ISNUMBER(F137),ISNUMBER(G137)),(G137-F137),"")</f>
        <v/>
      </c>
      <c r="M137" s="11">
        <f>IF(AND(ISNUMBER(H137),ISNUMBER(I137)),(I137-H137),"")</f>
        <v/>
      </c>
      <c r="N137" s="11">
        <f>IF(AND(ISNUMBER(I137),ISNUMBER(J137)),(J137-I137),"")</f>
        <v/>
      </c>
      <c r="O137" s="11">
        <f>IF(AND(ISNUMBER(E137),ISNUMBER(J137)),(J137-E137),"")</f>
        <v/>
      </c>
    </row>
    <row r="138">
      <c r="A138" s="3" t="inlineStr">
        <is>
          <t>OBT100125150940-Wien Kledering</t>
        </is>
      </c>
      <c r="B138" s="3" t="inlineStr">
        <is>
          <t>Wien Kledering</t>
        </is>
      </c>
      <c r="C138" s="9" t="n">
        <v>393.5000000000001</v>
      </c>
      <c r="D138" s="3" t="inlineStr">
        <is>
          <t>627</t>
        </is>
      </c>
      <c r="E138" s="10" t="n">
        <v>45667.63171296296</v>
      </c>
      <c r="F138" s="10" t="n">
        <v>45667.6325462963</v>
      </c>
      <c r="G138" s="10" t="n">
        <v>45667.70086805556</v>
      </c>
      <c r="H138" s="10" t="n">
        <v>45667.70086805556</v>
      </c>
      <c r="I138" s="10" t="n">
        <v>45667.70086805556</v>
      </c>
      <c r="J138" s="10" t="n">
        <v>45667.70216435185</v>
      </c>
      <c r="K138" s="11">
        <f>IF(AND(ISNUMBER(E138),ISNUMBER(F138)),(F138-E138),"")</f>
        <v/>
      </c>
      <c r="L138" s="11">
        <f>IF(AND(ISNUMBER(F138),ISNUMBER(G138)),(G138-F138),"")</f>
        <v/>
      </c>
      <c r="M138" s="11">
        <f>IF(AND(ISNUMBER(H138),ISNUMBER(I138)),(I138-H138),"")</f>
        <v/>
      </c>
      <c r="N138" s="11">
        <f>IF(AND(ISNUMBER(I138),ISNUMBER(J138)),(J138-I138),"")</f>
        <v/>
      </c>
      <c r="O138" s="11">
        <f>IF(AND(ISNUMBER(E138),ISNUMBER(J138)),(J138-E138),"")</f>
        <v/>
      </c>
    </row>
    <row r="139">
      <c r="A139" s="3" t="inlineStr">
        <is>
          <t>OBT100125174706-Wien Kledering</t>
        </is>
      </c>
      <c r="B139" s="3" t="inlineStr">
        <is>
          <t>Wien Kledering</t>
        </is>
      </c>
      <c r="C139" s="9" t="n">
        <v>302.1200000000001</v>
      </c>
      <c r="D139" s="3" t="inlineStr">
        <is>
          <t>613</t>
        </is>
      </c>
      <c r="E139" s="10" t="n">
        <v>45667.74104166667</v>
      </c>
      <c r="F139" s="10" t="n">
        <v>45667.74190972222</v>
      </c>
      <c r="G139" s="10" t="n">
        <v>45667.79436342593</v>
      </c>
      <c r="H139" s="10" t="n">
        <v>45667.79436342593</v>
      </c>
      <c r="I139" s="10" t="n">
        <v>45667.79436342593</v>
      </c>
      <c r="J139" s="10" t="n">
        <v>45667.79549768518</v>
      </c>
      <c r="K139" s="11">
        <f>IF(AND(ISNUMBER(E139),ISNUMBER(F139)),(F139-E139),"")</f>
        <v/>
      </c>
      <c r="L139" s="11">
        <f>IF(AND(ISNUMBER(F139),ISNUMBER(G139)),(G139-F139),"")</f>
        <v/>
      </c>
      <c r="M139" s="11">
        <f>IF(AND(ISNUMBER(H139),ISNUMBER(I139)),(I139-H139),"")</f>
        <v/>
      </c>
      <c r="N139" s="11">
        <f>IF(AND(ISNUMBER(I139),ISNUMBER(J139)),(J139-I139),"")</f>
        <v/>
      </c>
      <c r="O139" s="11">
        <f>IF(AND(ISNUMBER(E139),ISNUMBER(J139)),(J139-E139),"")</f>
        <v/>
      </c>
    </row>
    <row r="140">
      <c r="A140" s="3" t="inlineStr">
        <is>
          <t>OBT100125182130-Pitten (Hamburger)</t>
        </is>
      </c>
      <c r="B140" s="3" t="inlineStr">
        <is>
          <t>Pitten (Hamburger)</t>
        </is>
      </c>
      <c r="C140" s="9" t="n">
        <v>218.14</v>
      </c>
      <c r="D140" s="3" t="inlineStr">
        <is>
          <t>627</t>
        </is>
      </c>
      <c r="E140" s="10" t="n">
        <v>45667.76493055555</v>
      </c>
      <c r="F140" s="10" t="n">
        <v>45667.76601851852</v>
      </c>
      <c r="G140" s="10" t="n">
        <v>45667.80388888889</v>
      </c>
      <c r="H140" s="10" t="n">
        <v>45667.80388888889</v>
      </c>
      <c r="I140" s="10" t="n">
        <v>45667.80388888889</v>
      </c>
      <c r="J140" s="10" t="n">
        <v>45667.80478009259</v>
      </c>
      <c r="K140" s="11">
        <f>IF(AND(ISNUMBER(E140),ISNUMBER(F140)),(F140-E140),"")</f>
        <v/>
      </c>
      <c r="L140" s="11">
        <f>IF(AND(ISNUMBER(F140),ISNUMBER(G140)),(G140-F140),"")</f>
        <v/>
      </c>
      <c r="M140" s="11">
        <f>IF(AND(ISNUMBER(H140),ISNUMBER(I140)),(I140-H140),"")</f>
        <v/>
      </c>
      <c r="N140" s="11">
        <f>IF(AND(ISNUMBER(I140),ISNUMBER(J140)),(J140-I140),"")</f>
        <v/>
      </c>
      <c r="O140" s="11">
        <f>IF(AND(ISNUMBER(E140),ISNUMBER(J140)),(J140-E140),"")</f>
        <v/>
      </c>
    </row>
    <row r="141">
      <c r="A141" s="3" t="inlineStr">
        <is>
          <t>OBT100125183202-Other sidings north</t>
        </is>
      </c>
      <c r="B141" s="3" t="inlineStr">
        <is>
          <t>Other sidings north</t>
        </is>
      </c>
      <c r="C141" s="9" t="n">
        <v>110.18</v>
      </c>
      <c r="D141" s="3" t="inlineStr">
        <is>
          <t>605</t>
        </is>
      </c>
      <c r="E141" s="10" t="n">
        <v>45667.77224537037</v>
      </c>
      <c r="F141" s="10" t="n">
        <v>45667.78793981481</v>
      </c>
      <c r="G141" s="10" t="n">
        <v>45667.80707175926</v>
      </c>
      <c r="H141" s="10" t="n">
        <v>45667.80707175926</v>
      </c>
      <c r="I141" s="10" t="n">
        <v>45667.80707175926</v>
      </c>
      <c r="J141" s="10" t="n">
        <v>45667.80792824074</v>
      </c>
      <c r="K141" s="11">
        <f>IF(AND(ISNUMBER(E141),ISNUMBER(F141)),(F141-E141),"")</f>
        <v/>
      </c>
      <c r="L141" s="11">
        <f>IF(AND(ISNUMBER(F141),ISNUMBER(G141)),(G141-F141),"")</f>
        <v/>
      </c>
      <c r="M141" s="11">
        <f>IF(AND(ISNUMBER(H141),ISNUMBER(I141)),(I141-H141),"")</f>
        <v/>
      </c>
      <c r="N141" s="11">
        <f>IF(AND(ISNUMBER(I141),ISNUMBER(J141)),(J141-I141),"")</f>
        <v/>
      </c>
      <c r="O141" s="11">
        <f>IF(AND(ISNUMBER(E141),ISNUMBER(J141)),(J141-E141),"")</f>
        <v/>
      </c>
    </row>
    <row r="142">
      <c r="A142" s="3" t="inlineStr">
        <is>
          <t>OBT100125183853-Wr. Neustadt Ausfahrbf (Furtenbach)</t>
        </is>
      </c>
      <c r="B142" s="3" t="inlineStr">
        <is>
          <t>Wr. Neustadt Ausfahrbf (Furtenbach)</t>
        </is>
      </c>
      <c r="C142" s="9" t="n">
        <v>133.4</v>
      </c>
      <c r="D142" s="3" t="inlineStr">
        <is>
          <t>609</t>
        </is>
      </c>
      <c r="E142" s="10" t="n">
        <v>45667.77700231481</v>
      </c>
      <c r="F142" s="10" t="n">
        <v>45667.79609953704</v>
      </c>
      <c r="G142" s="10" t="n">
        <v>45667.81925925926</v>
      </c>
      <c r="H142" s="10" t="n">
        <v>45667.81925925926</v>
      </c>
      <c r="I142" s="10" t="n">
        <v>45667.81925925926</v>
      </c>
      <c r="J142" s="10" t="n">
        <v>45667.82010416667</v>
      </c>
      <c r="K142" s="11">
        <f>IF(AND(ISNUMBER(E142),ISNUMBER(F142)),(F142-E142),"")</f>
        <v/>
      </c>
      <c r="L142" s="11">
        <f>IF(AND(ISNUMBER(F142),ISNUMBER(G142)),(G142-F142),"")</f>
        <v/>
      </c>
      <c r="M142" s="11">
        <f>IF(AND(ISNUMBER(H142),ISNUMBER(I142)),(I142-H142),"")</f>
        <v/>
      </c>
      <c r="N142" s="11">
        <f>IF(AND(ISNUMBER(I142),ISNUMBER(J142)),(J142-I142),"")</f>
        <v/>
      </c>
      <c r="O142" s="11">
        <f>IF(AND(ISNUMBER(E142),ISNUMBER(J142)),(J142-E142),"")</f>
        <v/>
      </c>
    </row>
    <row r="143">
      <c r="A143" s="3" t="inlineStr">
        <is>
          <t>OBT100125185219-Neunkirchen (loading tracks)</t>
        </is>
      </c>
      <c r="B143" s="3" t="inlineStr">
        <is>
          <t>Neunkirchen (loading tracks)</t>
        </is>
      </c>
      <c r="C143" s="9" t="n">
        <v>142.6</v>
      </c>
      <c r="D143" s="3" t="inlineStr">
        <is>
          <t>619</t>
        </is>
      </c>
      <c r="E143" s="10" t="n">
        <v>45667.78633101852</v>
      </c>
      <c r="F143" s="10" t="n">
        <v>45667.805625</v>
      </c>
      <c r="G143" s="10" t="n">
        <v>45667.83038194444</v>
      </c>
      <c r="H143" s="10" t="n">
        <v>45667.83038194444</v>
      </c>
      <c r="I143" s="10" t="n">
        <v>45667.83038194444</v>
      </c>
      <c r="J143" s="10" t="n">
        <v>45667.83126157407</v>
      </c>
      <c r="K143" s="11">
        <f>IF(AND(ISNUMBER(E143),ISNUMBER(F143)),(F143-E143),"")</f>
        <v/>
      </c>
      <c r="L143" s="11">
        <f>IF(AND(ISNUMBER(F143),ISNUMBER(G143)),(G143-F143),"")</f>
        <v/>
      </c>
      <c r="M143" s="11">
        <f>IF(AND(ISNUMBER(H143),ISNUMBER(I143)),(I143-H143),"")</f>
        <v/>
      </c>
      <c r="N143" s="11">
        <f>IF(AND(ISNUMBER(I143),ISNUMBER(J143)),(J143-I143),"")</f>
        <v/>
      </c>
      <c r="O143" s="11">
        <f>IF(AND(ISNUMBER(E143),ISNUMBER(J143)),(J143-E143),"")</f>
        <v/>
      </c>
    </row>
    <row r="144">
      <c r="A144" s="3" t="inlineStr">
        <is>
          <t>OBT100125205103-Pitten (Hamburger)</t>
        </is>
      </c>
      <c r="B144" s="3" t="inlineStr">
        <is>
          <t>Pitten (Hamburger)</t>
        </is>
      </c>
      <c r="C144" s="9" t="n">
        <v>112.46</v>
      </c>
      <c r="D144" s="3" t="inlineStr">
        <is>
          <t>613</t>
        </is>
      </c>
      <c r="E144" s="10" t="n">
        <v>45667.86878472222</v>
      </c>
      <c r="F144" s="10" t="n">
        <v>45667.86965277778</v>
      </c>
      <c r="G144" s="10" t="n">
        <v>45667.88917824074</v>
      </c>
      <c r="H144" s="10" t="n">
        <v>45667.88917824074</v>
      </c>
      <c r="I144" s="10" t="n">
        <v>45667.88917824074</v>
      </c>
      <c r="J144" s="10" t="n">
        <v>45667.88987268518</v>
      </c>
      <c r="K144" s="11">
        <f>IF(AND(ISNUMBER(E144),ISNUMBER(F144)),(F144-E144),"")</f>
        <v/>
      </c>
      <c r="L144" s="11">
        <f>IF(AND(ISNUMBER(F144),ISNUMBER(G144)),(G144-F144),"")</f>
        <v/>
      </c>
      <c r="M144" s="11">
        <f>IF(AND(ISNUMBER(H144),ISNUMBER(I144)),(I144-H144),"")</f>
        <v/>
      </c>
      <c r="N144" s="11">
        <f>IF(AND(ISNUMBER(I144),ISNUMBER(J144)),(J144-I144),"")</f>
        <v/>
      </c>
      <c r="O144" s="11">
        <f>IF(AND(ISNUMBER(E144),ISNUMBER(J144)),(J144-E144),"")</f>
        <v/>
      </c>
    </row>
    <row r="145">
      <c r="A145" s="3" t="inlineStr">
        <is>
          <t>OBT100125205342-Other sidings south</t>
        </is>
      </c>
      <c r="B145" s="3" t="inlineStr">
        <is>
          <t>Other sidings south</t>
        </is>
      </c>
      <c r="C145" s="9" t="n">
        <v>114.42</v>
      </c>
      <c r="D145" s="3" t="inlineStr">
        <is>
          <t>623</t>
        </is>
      </c>
      <c r="E145" s="10" t="n">
        <v>45667.870625</v>
      </c>
      <c r="F145" s="10" t="n">
        <v>45667.87236111111</v>
      </c>
      <c r="G145" s="10" t="n">
        <v>45667.89222222222</v>
      </c>
      <c r="H145" s="10" t="n">
        <v>45667.89222222222</v>
      </c>
      <c r="I145" s="10" t="n">
        <v>45667.89222222222</v>
      </c>
      <c r="J145" s="10" t="n">
        <v>45667.89303240741</v>
      </c>
      <c r="K145" s="11">
        <f>IF(AND(ISNUMBER(E145),ISNUMBER(F145)),(F145-E145),"")</f>
        <v/>
      </c>
      <c r="L145" s="11">
        <f>IF(AND(ISNUMBER(F145),ISNUMBER(G145)),(G145-F145),"")</f>
        <v/>
      </c>
      <c r="M145" s="11">
        <f>IF(AND(ISNUMBER(H145),ISNUMBER(I145)),(I145-H145),"")</f>
        <v/>
      </c>
      <c r="N145" s="11">
        <f>IF(AND(ISNUMBER(I145),ISNUMBER(J145)),(J145-I145),"")</f>
        <v/>
      </c>
      <c r="O145" s="11">
        <f>IF(AND(ISNUMBER(E145),ISNUMBER(J145)),(J145-E145),"")</f>
        <v/>
      </c>
    </row>
    <row r="146">
      <c r="A146" s="3" t="inlineStr">
        <is>
          <t>OBT110125052224-Ebenfurth (beet loading)</t>
        </is>
      </c>
      <c r="B146" s="3" t="inlineStr">
        <is>
          <t>Ebenfurth (beet loading)</t>
        </is>
      </c>
      <c r="C146" s="9" t="n">
        <v>110.18</v>
      </c>
      <c r="D146" s="3" t="inlineStr">
        <is>
          <t>619</t>
        </is>
      </c>
      <c r="E146" s="10" t="n">
        <v>45668.22388888889</v>
      </c>
      <c r="F146" s="10" t="n">
        <v>45668.2247337963</v>
      </c>
      <c r="G146" s="10" t="n">
        <v>45668.24385416666</v>
      </c>
      <c r="H146" s="10" t="n">
        <v>45668.24385416666</v>
      </c>
      <c r="I146" s="10" t="n">
        <v>45668.24385416666</v>
      </c>
      <c r="J146" s="10" t="n">
        <v>45668.24466435185</v>
      </c>
      <c r="K146" s="11">
        <f>IF(AND(ISNUMBER(E146),ISNUMBER(F146)),(F146-E146),"")</f>
        <v/>
      </c>
      <c r="L146" s="11">
        <f>IF(AND(ISNUMBER(F146),ISNUMBER(G146)),(G146-F146),"")</f>
        <v/>
      </c>
      <c r="M146" s="11">
        <f>IF(AND(ISNUMBER(H146),ISNUMBER(I146)),(I146-H146),"")</f>
        <v/>
      </c>
      <c r="N146" s="11">
        <f>IF(AND(ISNUMBER(I146),ISNUMBER(J146)),(J146-I146),"")</f>
        <v/>
      </c>
      <c r="O146" s="11">
        <f>IF(AND(ISNUMBER(E146),ISNUMBER(J146)),(J146-E146),"")</f>
        <v/>
      </c>
    </row>
    <row r="147">
      <c r="A147" s="3" t="inlineStr">
        <is>
          <t>OBT110125052552-Pitten (Hamburger)</t>
        </is>
      </c>
      <c r="B147" s="3" t="inlineStr">
        <is>
          <t>Pitten (Hamburger)</t>
        </is>
      </c>
      <c r="C147" s="9" t="n">
        <v>302.86</v>
      </c>
      <c r="D147" s="3" t="inlineStr">
        <is>
          <t>613</t>
        </is>
      </c>
      <c r="E147" s="10" t="n">
        <v>45668.2262962963</v>
      </c>
      <c r="F147" s="10" t="n">
        <v>45668.22716435185</v>
      </c>
      <c r="G147" s="10" t="n">
        <v>45668.27974537037</v>
      </c>
      <c r="H147" s="10" t="n">
        <v>45668.27974537037</v>
      </c>
      <c r="I147" s="10" t="n">
        <v>45668.27974537037</v>
      </c>
      <c r="J147" s="10" t="n">
        <v>45668.28086805555</v>
      </c>
      <c r="K147" s="11">
        <f>IF(AND(ISNUMBER(E147),ISNUMBER(F147)),(F147-E147),"")</f>
        <v/>
      </c>
      <c r="L147" s="11">
        <f>IF(AND(ISNUMBER(F147),ISNUMBER(G147)),(G147-F147),"")</f>
        <v/>
      </c>
      <c r="M147" s="11">
        <f>IF(AND(ISNUMBER(H147),ISNUMBER(I147)),(I147-H147),"")</f>
        <v/>
      </c>
      <c r="N147" s="11">
        <f>IF(AND(ISNUMBER(I147),ISNUMBER(J147)),(J147-I147),"")</f>
        <v/>
      </c>
      <c r="O147" s="11">
        <f>IF(AND(ISNUMBER(E147),ISNUMBER(J147)),(J147-E147),"")</f>
        <v/>
      </c>
    </row>
    <row r="148">
      <c r="A148" s="3" t="inlineStr">
        <is>
          <t>OBT110125055616-Ebenfurth (beet loading)</t>
        </is>
      </c>
      <c r="B148" s="3" t="inlineStr">
        <is>
          <t>Ebenfurth (beet loading)</t>
        </is>
      </c>
      <c r="C148" s="9" t="n">
        <v>110.18</v>
      </c>
      <c r="D148" s="3" t="inlineStr">
        <is>
          <t>623</t>
        </is>
      </c>
      <c r="E148" s="10" t="n">
        <v>45668.24740740741</v>
      </c>
      <c r="F148" s="10" t="n">
        <v>45668.24881944444</v>
      </c>
      <c r="G148" s="10" t="n">
        <v>45668.26795138889</v>
      </c>
      <c r="H148" s="10" t="n">
        <v>45668.26795138889</v>
      </c>
      <c r="I148" s="10" t="n">
        <v>45668.26795138889</v>
      </c>
      <c r="J148" s="10" t="n">
        <v>45668.26873842593</v>
      </c>
      <c r="K148" s="11">
        <f>IF(AND(ISNUMBER(E148),ISNUMBER(F148)),(F148-E148),"")</f>
        <v/>
      </c>
      <c r="L148" s="11">
        <f>IF(AND(ISNUMBER(F148),ISNUMBER(G148)),(G148-F148),"")</f>
        <v/>
      </c>
      <c r="M148" s="11">
        <f>IF(AND(ISNUMBER(H148),ISNUMBER(I148)),(I148-H148),"")</f>
        <v/>
      </c>
      <c r="N148" s="11">
        <f>IF(AND(ISNUMBER(I148),ISNUMBER(J148)),(J148-I148),"")</f>
        <v/>
      </c>
      <c r="O148" s="11">
        <f>IF(AND(ISNUMBER(E148),ISNUMBER(J148)),(J148-E148),"")</f>
        <v/>
      </c>
    </row>
    <row r="149">
      <c r="A149" s="3" t="inlineStr">
        <is>
          <t>OBT110125055912-Pitten (Hamburger)</t>
        </is>
      </c>
      <c r="B149" s="3" t="inlineStr">
        <is>
          <t>Pitten (Hamburger)</t>
        </is>
      </c>
      <c r="C149" s="9" t="n">
        <v>210.64</v>
      </c>
      <c r="D149" s="3" t="inlineStr">
        <is>
          <t>611</t>
        </is>
      </c>
      <c r="E149" s="10" t="n">
        <v>45668.24944444445</v>
      </c>
      <c r="F149" s="10" t="n">
        <v>45668.25430555556</v>
      </c>
      <c r="G149" s="10" t="n">
        <v>45668.29087962963</v>
      </c>
      <c r="H149" s="10" t="n">
        <v>45668.29087962963</v>
      </c>
      <c r="I149" s="10" t="n">
        <v>45668.29087962963</v>
      </c>
      <c r="J149" s="10" t="n">
        <v>45668.29185185185</v>
      </c>
      <c r="K149" s="11">
        <f>IF(AND(ISNUMBER(E149),ISNUMBER(F149)),(F149-E149),"")</f>
        <v/>
      </c>
      <c r="L149" s="11">
        <f>IF(AND(ISNUMBER(F149),ISNUMBER(G149)),(G149-F149),"")</f>
        <v/>
      </c>
      <c r="M149" s="11">
        <f>IF(AND(ISNUMBER(H149),ISNUMBER(I149)),(I149-H149),"")</f>
        <v/>
      </c>
      <c r="N149" s="11">
        <f>IF(AND(ISNUMBER(I149),ISNUMBER(J149)),(J149-I149),"")</f>
        <v/>
      </c>
      <c r="O149" s="11">
        <f>IF(AND(ISNUMBER(E149),ISNUMBER(J149)),(J149-E149),"")</f>
        <v/>
      </c>
    </row>
    <row r="150">
      <c r="A150" s="3" t="inlineStr">
        <is>
          <t>OBT120125180841-Neudörfl (FunderMax)</t>
        </is>
      </c>
      <c r="B150" s="3" t="inlineStr">
        <is>
          <t>Neudörfl (FunderMax)</t>
        </is>
      </c>
      <c r="C150" s="9" t="n">
        <v>268.2</v>
      </c>
      <c r="D150" s="3" t="inlineStr">
        <is>
          <t>625</t>
        </is>
      </c>
      <c r="E150" s="10" t="n">
        <v>45669.75603009259</v>
      </c>
      <c r="F150" s="10" t="n">
        <v>45669.75689814815</v>
      </c>
      <c r="G150" s="10" t="n">
        <v>45669.80346064815</v>
      </c>
      <c r="H150" s="10" t="n">
        <v>45669.80346064815</v>
      </c>
      <c r="I150" s="10" t="n">
        <v>45669.80346064815</v>
      </c>
      <c r="J150" s="10" t="n">
        <v>45669.80458333333</v>
      </c>
      <c r="K150" s="11">
        <f>IF(AND(ISNUMBER(E150),ISNUMBER(F150)),(F150-E150),"")</f>
        <v/>
      </c>
      <c r="L150" s="11">
        <f>IF(AND(ISNUMBER(F150),ISNUMBER(G150)),(G150-F150),"")</f>
        <v/>
      </c>
      <c r="M150" s="11">
        <f>IF(AND(ISNUMBER(H150),ISNUMBER(I150)),(I150-H150),"")</f>
        <v/>
      </c>
      <c r="N150" s="11">
        <f>IF(AND(ISNUMBER(I150),ISNUMBER(J150)),(J150-I150),"")</f>
        <v/>
      </c>
      <c r="O150" s="11">
        <f>IF(AND(ISNUMBER(E150),ISNUMBER(J150)),(J150-E150),"")</f>
        <v/>
      </c>
    </row>
    <row r="151">
      <c r="A151" s="3" t="inlineStr">
        <is>
          <t>OBT120125180921-Pitten (Hamburger)</t>
        </is>
      </c>
      <c r="B151" s="3" t="inlineStr">
        <is>
          <t>Pitten (Hamburger)</t>
        </is>
      </c>
      <c r="C151" s="9" t="n">
        <v>349.34</v>
      </c>
      <c r="D151" s="3" t="inlineStr">
        <is>
          <t>613</t>
        </is>
      </c>
      <c r="E151" s="10" t="n">
        <v>45669.75649305555</v>
      </c>
      <c r="F151" s="10" t="n">
        <v>45669.7577662037</v>
      </c>
      <c r="G151" s="10" t="n">
        <v>45669.81841435185</v>
      </c>
      <c r="H151" s="10" t="n">
        <v>45669.81841435185</v>
      </c>
      <c r="I151" s="10" t="n">
        <v>45669.81841435185</v>
      </c>
      <c r="J151" s="10" t="n">
        <v>45669.81965277778</v>
      </c>
      <c r="K151" s="11">
        <f>IF(AND(ISNUMBER(E151),ISNUMBER(F151)),(F151-E151),"")</f>
        <v/>
      </c>
      <c r="L151" s="11">
        <f>IF(AND(ISNUMBER(F151),ISNUMBER(G151)),(G151-F151),"")</f>
        <v/>
      </c>
      <c r="M151" s="11">
        <f>IF(AND(ISNUMBER(H151),ISNUMBER(I151)),(I151-H151),"")</f>
        <v/>
      </c>
      <c r="N151" s="11">
        <f>IF(AND(ISNUMBER(I151),ISNUMBER(J151)),(J151-I151),"")</f>
        <v/>
      </c>
      <c r="O151" s="11">
        <f>IF(AND(ISNUMBER(E151),ISNUMBER(J151)),(J151-E151),"")</f>
        <v/>
      </c>
    </row>
    <row r="152">
      <c r="A152" s="3" t="inlineStr">
        <is>
          <t>OBT120125201952-Neudörfl (FunderMax)</t>
        </is>
      </c>
      <c r="B152" s="3" t="inlineStr">
        <is>
          <t>Neudörfl (FunderMax)</t>
        </is>
      </c>
      <c r="C152" s="9" t="n">
        <v>106.9</v>
      </c>
      <c r="D152" s="3" t="inlineStr">
        <is>
          <t>613</t>
        </is>
      </c>
      <c r="E152" s="10" t="n">
        <v>45669.84712962963</v>
      </c>
      <c r="F152" s="10" t="n">
        <v>45669.84799768519</v>
      </c>
      <c r="G152" s="10" t="n">
        <v>45669.86655092592</v>
      </c>
      <c r="H152" s="10" t="n">
        <v>45669.86655092592</v>
      </c>
      <c r="I152" s="10" t="n">
        <v>45669.86655092592</v>
      </c>
      <c r="J152" s="10" t="n">
        <v>45669.8672337963</v>
      </c>
      <c r="K152" s="11">
        <f>IF(AND(ISNUMBER(E152),ISNUMBER(F152)),(F152-E152),"")</f>
        <v/>
      </c>
      <c r="L152" s="11">
        <f>IF(AND(ISNUMBER(F152),ISNUMBER(G152)),(G152-F152),"")</f>
        <v/>
      </c>
      <c r="M152" s="11">
        <f>IF(AND(ISNUMBER(H152),ISNUMBER(I152)),(I152-H152),"")</f>
        <v/>
      </c>
      <c r="N152" s="11">
        <f>IF(AND(ISNUMBER(I152),ISNUMBER(J152)),(J152-I152),"")</f>
        <v/>
      </c>
      <c r="O152" s="11">
        <f>IF(AND(ISNUMBER(E152),ISNUMBER(J152)),(J152-E152),"")</f>
        <v/>
      </c>
    </row>
    <row r="153">
      <c r="A153" s="3" t="inlineStr">
        <is>
          <t>OBT120125202320-Pitten (Hamburger)</t>
        </is>
      </c>
      <c r="B153" s="3" t="inlineStr">
        <is>
          <t>Pitten (Hamburger)</t>
        </is>
      </c>
      <c r="C153" s="9" t="n">
        <v>101.2</v>
      </c>
      <c r="D153" s="3" t="inlineStr">
        <is>
          <t>625</t>
        </is>
      </c>
      <c r="E153" s="10" t="n">
        <v>45669.84953703704</v>
      </c>
      <c r="F153" s="10" t="n">
        <v>45669.85032407408</v>
      </c>
      <c r="G153" s="10" t="n">
        <v>45669.86789351852</v>
      </c>
      <c r="H153" s="10" t="n">
        <v>45669.86789351852</v>
      </c>
      <c r="I153" s="10" t="n">
        <v>45669.86789351852</v>
      </c>
      <c r="J153" s="10" t="n">
        <v>45669.86863425926</v>
      </c>
      <c r="K153" s="11">
        <f>IF(AND(ISNUMBER(E153),ISNUMBER(F153)),(F153-E153),"")</f>
        <v/>
      </c>
      <c r="L153" s="11">
        <f>IF(AND(ISNUMBER(F153),ISNUMBER(G153)),(G153-F153),"")</f>
        <v/>
      </c>
      <c r="M153" s="11">
        <f>IF(AND(ISNUMBER(H153),ISNUMBER(I153)),(I153-H153),"")</f>
        <v/>
      </c>
      <c r="N153" s="11">
        <f>IF(AND(ISNUMBER(I153),ISNUMBER(J153)),(J153-I153),"")</f>
        <v/>
      </c>
      <c r="O153" s="11">
        <f>IF(AND(ISNUMBER(E153),ISNUMBER(J153)),(J153-E153),"")</f>
        <v/>
      </c>
    </row>
    <row r="154">
      <c r="A154" s="3" t="inlineStr">
        <is>
          <t>OBT130125024918-Neunkirchen (loading tracks)</t>
        </is>
      </c>
      <c r="B154" s="3" t="inlineStr">
        <is>
          <t>Neunkirchen (loading tracks)</t>
        </is>
      </c>
      <c r="C154" s="9" t="n">
        <v>186.8</v>
      </c>
      <c r="D154" s="3" t="inlineStr">
        <is>
          <t>605</t>
        </is>
      </c>
      <c r="E154" s="10" t="n">
        <v>45670.11756944445</v>
      </c>
      <c r="F154" s="10" t="n">
        <v>45670.1184375</v>
      </c>
      <c r="G154" s="10" t="n">
        <v>45670.15086805556</v>
      </c>
      <c r="H154" s="10" t="n">
        <v>45670.15086805556</v>
      </c>
      <c r="I154" s="10" t="n">
        <v>45670.15086805556</v>
      </c>
      <c r="J154" s="10" t="n">
        <v>45670.15189814815</v>
      </c>
      <c r="K154" s="11">
        <f>IF(AND(ISNUMBER(E154),ISNUMBER(F154)),(F154-E154),"")</f>
        <v/>
      </c>
      <c r="L154" s="11">
        <f>IF(AND(ISNUMBER(F154),ISNUMBER(G154)),(G154-F154),"")</f>
        <v/>
      </c>
      <c r="M154" s="11">
        <f>IF(AND(ISNUMBER(H154),ISNUMBER(I154)),(I154-H154),"")</f>
        <v/>
      </c>
      <c r="N154" s="11">
        <f>IF(AND(ISNUMBER(I154),ISNUMBER(J154)),(J154-I154),"")</f>
        <v/>
      </c>
      <c r="O154" s="11">
        <f>IF(AND(ISNUMBER(E154),ISNUMBER(J154)),(J154-E154),"")</f>
        <v/>
      </c>
    </row>
    <row r="155">
      <c r="A155" s="3" t="inlineStr">
        <is>
          <t>OBT130125044756-Neudörfl (FunderMax)</t>
        </is>
      </c>
      <c r="B155" s="3" t="inlineStr">
        <is>
          <t>Neudörfl (FunderMax)</t>
        </is>
      </c>
      <c r="C155" s="9" t="n">
        <v>301.2</v>
      </c>
      <c r="D155" s="3" t="inlineStr">
        <is>
          <t>625</t>
        </is>
      </c>
      <c r="E155" s="10" t="n">
        <v>45670.1999537037</v>
      </c>
      <c r="F155" s="10" t="n">
        <v>45670.20079861111</v>
      </c>
      <c r="G155" s="10" t="n">
        <v>45670.25309027778</v>
      </c>
      <c r="H155" s="10" t="n">
        <v>45670.25309027778</v>
      </c>
      <c r="I155" s="10" t="n">
        <v>45670.25309027778</v>
      </c>
      <c r="J155" s="10" t="n">
        <v>45670.25429398148</v>
      </c>
      <c r="K155" s="11">
        <f>IF(AND(ISNUMBER(E155),ISNUMBER(F155)),(F155-E155),"")</f>
        <v/>
      </c>
      <c r="L155" s="11">
        <f>IF(AND(ISNUMBER(F155),ISNUMBER(G155)),(G155-F155),"")</f>
        <v/>
      </c>
      <c r="M155" s="11">
        <f>IF(AND(ISNUMBER(H155),ISNUMBER(I155)),(I155-H155),"")</f>
        <v/>
      </c>
      <c r="N155" s="11">
        <f>IF(AND(ISNUMBER(I155),ISNUMBER(J155)),(J155-I155),"")</f>
        <v/>
      </c>
      <c r="O155" s="11">
        <f>IF(AND(ISNUMBER(E155),ISNUMBER(J155)),(J155-E155),"")</f>
        <v/>
      </c>
    </row>
    <row r="156">
      <c r="A156" s="3" t="inlineStr">
        <is>
          <t>OBT130125062348-Wien Kledering</t>
        </is>
      </c>
      <c r="B156" s="3" t="inlineStr">
        <is>
          <t>Wien Kledering</t>
        </is>
      </c>
      <c r="C156" s="9" t="n">
        <v>298</v>
      </c>
      <c r="D156" s="3" t="inlineStr">
        <is>
          <t>625</t>
        </is>
      </c>
      <c r="E156" s="10" t="n">
        <v>45670.26652777778</v>
      </c>
      <c r="F156" s="10" t="n">
        <v>45670.26739583333</v>
      </c>
      <c r="G156" s="10" t="n">
        <v>45670.31913194444</v>
      </c>
      <c r="H156" s="10" t="n">
        <v>45670.31913194444</v>
      </c>
      <c r="I156" s="10" t="n">
        <v>45670.31913194444</v>
      </c>
      <c r="J156" s="10" t="n">
        <v>45670.3203125</v>
      </c>
      <c r="K156" s="11">
        <f>IF(AND(ISNUMBER(E156),ISNUMBER(F156)),(F156-E156),"")</f>
        <v/>
      </c>
      <c r="L156" s="11">
        <f>IF(AND(ISNUMBER(F156),ISNUMBER(G156)),(G156-F156),"")</f>
        <v/>
      </c>
      <c r="M156" s="11">
        <f>IF(AND(ISNUMBER(H156),ISNUMBER(I156)),(I156-H156),"")</f>
        <v/>
      </c>
      <c r="N156" s="11">
        <f>IF(AND(ISNUMBER(I156),ISNUMBER(J156)),(J156-I156),"")</f>
        <v/>
      </c>
      <c r="O156" s="11">
        <f>IF(AND(ISNUMBER(E156),ISNUMBER(J156)),(J156-E156),"")</f>
        <v/>
      </c>
    </row>
    <row r="157">
      <c r="A157" s="3" t="inlineStr">
        <is>
          <t>OBT130125071902-Wien Kledering</t>
        </is>
      </c>
      <c r="B157" s="3" t="inlineStr">
        <is>
          <t>Wien Kledering</t>
        </is>
      </c>
      <c r="C157" s="9" t="n">
        <v>205.52</v>
      </c>
      <c r="D157" s="3" t="inlineStr">
        <is>
          <t>605</t>
        </is>
      </c>
      <c r="E157" s="10" t="n">
        <v>45670.30488425926</v>
      </c>
      <c r="F157" s="10" t="n">
        <v>45670.30571759259</v>
      </c>
      <c r="G157" s="10" t="n">
        <v>45670.34140046296</v>
      </c>
      <c r="H157" s="10" t="n">
        <v>45670.34140046296</v>
      </c>
      <c r="I157" s="10" t="n">
        <v>45670.34140046296</v>
      </c>
      <c r="J157" s="10" t="n">
        <v>45670.34246527778</v>
      </c>
      <c r="K157" s="11">
        <f>IF(AND(ISNUMBER(E157),ISNUMBER(F157)),(F157-E157),"")</f>
        <v/>
      </c>
      <c r="L157" s="11">
        <f>IF(AND(ISNUMBER(F157),ISNUMBER(G157)),(G157-F157),"")</f>
        <v/>
      </c>
      <c r="M157" s="11">
        <f>IF(AND(ISNUMBER(H157),ISNUMBER(I157)),(I157-H157),"")</f>
        <v/>
      </c>
      <c r="N157" s="11">
        <f>IF(AND(ISNUMBER(I157),ISNUMBER(J157)),(J157-I157),"")</f>
        <v/>
      </c>
      <c r="O157" s="11">
        <f>IF(AND(ISNUMBER(E157),ISNUMBER(J157)),(J157-E157),"")</f>
        <v/>
      </c>
    </row>
    <row r="158">
      <c r="A158" s="3" t="inlineStr">
        <is>
          <t>OBT130125073501-Wien Kledering</t>
        </is>
      </c>
      <c r="B158" s="3" t="inlineStr">
        <is>
          <t>Wien Kledering</t>
        </is>
      </c>
      <c r="C158" s="9" t="n">
        <v>397.3000000000001</v>
      </c>
      <c r="D158" s="3" t="inlineStr">
        <is>
          <t>619</t>
        </is>
      </c>
      <c r="E158" s="10" t="n">
        <v>45670.3159837963</v>
      </c>
      <c r="F158" s="10" t="n">
        <v>45670.31762731481</v>
      </c>
      <c r="G158" s="10" t="n">
        <v>45670.3866087963</v>
      </c>
      <c r="H158" s="10" t="n">
        <v>45670.3866087963</v>
      </c>
      <c r="I158" s="10" t="n">
        <v>45670.3866087963</v>
      </c>
      <c r="J158" s="10" t="n">
        <v>45670.38806712963</v>
      </c>
      <c r="K158" s="11">
        <f>IF(AND(ISNUMBER(E158),ISNUMBER(F158)),(F158-E158),"")</f>
        <v/>
      </c>
      <c r="L158" s="11">
        <f>IF(AND(ISNUMBER(F158),ISNUMBER(G158)),(G158-F158),"")</f>
        <v/>
      </c>
      <c r="M158" s="11">
        <f>IF(AND(ISNUMBER(H158),ISNUMBER(I158)),(I158-H158),"")</f>
        <v/>
      </c>
      <c r="N158" s="11">
        <f>IF(AND(ISNUMBER(I158),ISNUMBER(J158)),(J158-I158),"")</f>
        <v/>
      </c>
      <c r="O158" s="11">
        <f>IF(AND(ISNUMBER(E158),ISNUMBER(J158)),(J158-E158),"")</f>
        <v/>
      </c>
    </row>
    <row r="159">
      <c r="A159" s="3" t="inlineStr">
        <is>
          <t>OBT130125082326-Wr. Neustadt (Hödlmayr)</t>
        </is>
      </c>
      <c r="B159" s="3" t="inlineStr">
        <is>
          <t>Wr. Neustadt (Hödlmayr)</t>
        </is>
      </c>
      <c r="C159" s="9" t="n">
        <v>162</v>
      </c>
      <c r="D159" s="3" t="inlineStr">
        <is>
          <t>606</t>
        </is>
      </c>
      <c r="E159" s="10" t="n">
        <v>45670.34960648148</v>
      </c>
      <c r="F159" s="10" t="n">
        <v>45670.35333333333</v>
      </c>
      <c r="G159" s="10" t="n">
        <v>45670.38145833334</v>
      </c>
      <c r="H159" s="10" t="n">
        <v>45670.38145833334</v>
      </c>
      <c r="I159" s="10" t="n">
        <v>45670.38145833334</v>
      </c>
      <c r="J159" s="10" t="n">
        <v>45670.38234953704</v>
      </c>
      <c r="K159" s="11">
        <f>IF(AND(ISNUMBER(E159),ISNUMBER(F159)),(F159-E159),"")</f>
        <v/>
      </c>
      <c r="L159" s="11">
        <f>IF(AND(ISNUMBER(F159),ISNUMBER(G159)),(G159-F159),"")</f>
        <v/>
      </c>
      <c r="M159" s="11">
        <f>IF(AND(ISNUMBER(H159),ISNUMBER(I159)),(I159-H159),"")</f>
        <v/>
      </c>
      <c r="N159" s="11">
        <f>IF(AND(ISNUMBER(I159),ISNUMBER(J159)),(J159-I159),"")</f>
        <v/>
      </c>
      <c r="O159" s="11">
        <f>IF(AND(ISNUMBER(E159),ISNUMBER(J159)),(J159-E159),"")</f>
        <v/>
      </c>
    </row>
    <row r="160">
      <c r="A160" s="3" t="inlineStr">
        <is>
          <t>OBT130125092157-Wien Kledering</t>
        </is>
      </c>
      <c r="B160" s="3" t="inlineStr">
        <is>
          <t>Wien Kledering</t>
        </is>
      </c>
      <c r="C160" s="9" t="n">
        <v>279</v>
      </c>
      <c r="D160" s="3" t="inlineStr">
        <is>
          <t>625</t>
        </is>
      </c>
      <c r="E160" s="10" t="n">
        <v>45670.39024305555</v>
      </c>
      <c r="F160" s="10" t="n">
        <v>45670.39111111111</v>
      </c>
      <c r="G160" s="10" t="n">
        <v>45670.43954861111</v>
      </c>
      <c r="H160" s="10" t="n">
        <v>45670.43954861111</v>
      </c>
      <c r="I160" s="10" t="n">
        <v>45670.43954861111</v>
      </c>
      <c r="J160" s="10" t="n">
        <v>45670.44069444444</v>
      </c>
      <c r="K160" s="11">
        <f>IF(AND(ISNUMBER(E160),ISNUMBER(F160)),(F160-E160),"")</f>
        <v/>
      </c>
      <c r="L160" s="11">
        <f>IF(AND(ISNUMBER(F160),ISNUMBER(G160)),(G160-F160),"")</f>
        <v/>
      </c>
      <c r="M160" s="11">
        <f>IF(AND(ISNUMBER(H160),ISNUMBER(I160)),(I160-H160),"")</f>
        <v/>
      </c>
      <c r="N160" s="11">
        <f>IF(AND(ISNUMBER(I160),ISNUMBER(J160)),(J160-I160),"")</f>
        <v/>
      </c>
      <c r="O160" s="11">
        <f>IF(AND(ISNUMBER(E160),ISNUMBER(J160)),(J160-E160),"")</f>
        <v/>
      </c>
    </row>
    <row r="161">
      <c r="A161" s="3" t="inlineStr">
        <is>
          <t>OBT130125092620-Ternitz (Schoeller-Bleckmann)</t>
        </is>
      </c>
      <c r="B161" s="3" t="inlineStr">
        <is>
          <t>Ternitz (Schoeller-Bleckmann)</t>
        </is>
      </c>
      <c r="C161" s="9" t="n">
        <v>182.86</v>
      </c>
      <c r="D161" s="3" t="inlineStr">
        <is>
          <t>617</t>
        </is>
      </c>
      <c r="E161" s="10" t="n">
        <v>45670.39328703703</v>
      </c>
      <c r="F161" s="10" t="n">
        <v>45670.3941550926</v>
      </c>
      <c r="G161" s="10" t="n">
        <v>45670.42590277778</v>
      </c>
      <c r="H161" s="10" t="n">
        <v>45670.42590277778</v>
      </c>
      <c r="I161" s="10" t="n">
        <v>45670.42590277778</v>
      </c>
      <c r="J161" s="10" t="n">
        <v>45670.426875</v>
      </c>
      <c r="K161" s="11">
        <f>IF(AND(ISNUMBER(E161),ISNUMBER(F161)),(F161-E161),"")</f>
        <v/>
      </c>
      <c r="L161" s="11">
        <f>IF(AND(ISNUMBER(F161),ISNUMBER(G161)),(G161-F161),"")</f>
        <v/>
      </c>
      <c r="M161" s="11">
        <f>IF(AND(ISNUMBER(H161),ISNUMBER(I161)),(I161-H161),"")</f>
        <v/>
      </c>
      <c r="N161" s="11">
        <f>IF(AND(ISNUMBER(I161),ISNUMBER(J161)),(J161-I161),"")</f>
        <v/>
      </c>
      <c r="O161" s="11">
        <f>IF(AND(ISNUMBER(E161),ISNUMBER(J161)),(J161-E161),"")</f>
        <v/>
      </c>
    </row>
    <row r="162">
      <c r="A162" s="3" t="inlineStr">
        <is>
          <t>OBT130125093830-Other sidings local</t>
        </is>
      </c>
      <c r="B162" s="3" t="inlineStr">
        <is>
          <t>Other sidings local</t>
        </is>
      </c>
      <c r="C162" s="9" t="n">
        <v>100.6</v>
      </c>
      <c r="D162" s="3" t="inlineStr">
        <is>
          <t>615</t>
        </is>
      </c>
      <c r="E162" s="10" t="n">
        <v>45670.40173611111</v>
      </c>
      <c r="F162" s="10" t="n">
        <v>45670.42009259259</v>
      </c>
      <c r="G162" s="10" t="n">
        <v>45670.43755787037</v>
      </c>
      <c r="H162" s="10" t="n">
        <v>45670.43755787037</v>
      </c>
      <c r="I162" s="10" t="n">
        <v>45670.43755787037</v>
      </c>
      <c r="J162" s="10" t="n">
        <v>45670.43825231482</v>
      </c>
      <c r="K162" s="11">
        <f>IF(AND(ISNUMBER(E162),ISNUMBER(F162)),(F162-E162),"")</f>
        <v/>
      </c>
      <c r="L162" s="11">
        <f>IF(AND(ISNUMBER(F162),ISNUMBER(G162)),(G162-F162),"")</f>
        <v/>
      </c>
      <c r="M162" s="11">
        <f>IF(AND(ISNUMBER(H162),ISNUMBER(I162)),(I162-H162),"")</f>
        <v/>
      </c>
      <c r="N162" s="11">
        <f>IF(AND(ISNUMBER(I162),ISNUMBER(J162)),(J162-I162),"")</f>
        <v/>
      </c>
      <c r="O162" s="11">
        <f>IF(AND(ISNUMBER(E162),ISNUMBER(J162)),(J162-E162),"")</f>
        <v/>
      </c>
    </row>
    <row r="163">
      <c r="A163" s="3" t="inlineStr">
        <is>
          <t>OBT130125094410-Other sidings south</t>
        </is>
      </c>
      <c r="B163" s="3" t="inlineStr">
        <is>
          <t>Other sidings south</t>
        </is>
      </c>
      <c r="C163" s="9" t="n">
        <v>125.26</v>
      </c>
      <c r="D163" s="3" t="inlineStr">
        <is>
          <t>613</t>
        </is>
      </c>
      <c r="E163" s="10" t="n">
        <v>45670.4056712963</v>
      </c>
      <c r="F163" s="10" t="n">
        <v>45670.42763888889</v>
      </c>
      <c r="G163" s="10" t="n">
        <v>45670.44938657407</v>
      </c>
      <c r="H163" s="10" t="n">
        <v>45670.44938657407</v>
      </c>
      <c r="I163" s="10" t="n">
        <v>45670.44938657407</v>
      </c>
      <c r="J163" s="10" t="n">
        <v>45670.45010416667</v>
      </c>
      <c r="K163" s="11">
        <f>IF(AND(ISNUMBER(E163),ISNUMBER(F163)),(F163-E163),"")</f>
        <v/>
      </c>
      <c r="L163" s="11">
        <f>IF(AND(ISNUMBER(F163),ISNUMBER(G163)),(G163-F163),"")</f>
        <v/>
      </c>
      <c r="M163" s="11">
        <f>IF(AND(ISNUMBER(H163),ISNUMBER(I163)),(I163-H163),"")</f>
        <v/>
      </c>
      <c r="N163" s="11">
        <f>IF(AND(ISNUMBER(I163),ISNUMBER(J163)),(J163-I163),"")</f>
        <v/>
      </c>
      <c r="O163" s="11">
        <f>IF(AND(ISNUMBER(E163),ISNUMBER(J163)),(J163-E163),"")</f>
        <v/>
      </c>
    </row>
    <row r="164">
      <c r="A164" s="3" t="inlineStr">
        <is>
          <t>OBT130125095519-Other sidings north</t>
        </is>
      </c>
      <c r="B164" s="3" t="inlineStr">
        <is>
          <t>Other sidings north</t>
        </is>
      </c>
      <c r="C164" s="9" t="n">
        <v>146.98</v>
      </c>
      <c r="D164" s="3" t="inlineStr">
        <is>
          <t>605</t>
        </is>
      </c>
      <c r="E164" s="10" t="n">
        <v>45670.41341435185</v>
      </c>
      <c r="F164" s="10" t="n">
        <v>45670.44217592593</v>
      </c>
      <c r="G164" s="10" t="n">
        <v>45670.46769675926</v>
      </c>
      <c r="H164" s="10" t="n">
        <v>45670.46769675926</v>
      </c>
      <c r="I164" s="10" t="n">
        <v>45670.46769675926</v>
      </c>
      <c r="J164" s="10" t="n">
        <v>45670.46863425926</v>
      </c>
      <c r="K164" s="11">
        <f>IF(AND(ISNUMBER(E164),ISNUMBER(F164)),(F164-E164),"")</f>
        <v/>
      </c>
      <c r="L164" s="11">
        <f>IF(AND(ISNUMBER(F164),ISNUMBER(G164)),(G164-F164),"")</f>
        <v/>
      </c>
      <c r="M164" s="11">
        <f>IF(AND(ISNUMBER(H164),ISNUMBER(I164)),(I164-H164),"")</f>
        <v/>
      </c>
      <c r="N164" s="11">
        <f>IF(AND(ISNUMBER(I164),ISNUMBER(J164)),(J164-I164),"")</f>
        <v/>
      </c>
      <c r="O164" s="11">
        <f>IF(AND(ISNUMBER(E164),ISNUMBER(J164)),(J164-E164),"")</f>
        <v/>
      </c>
    </row>
    <row r="165">
      <c r="A165" s="3" t="inlineStr">
        <is>
          <t>OBT130125095539-Pitten (Hamburger)</t>
        </is>
      </c>
      <c r="B165" s="3" t="inlineStr">
        <is>
          <t>Pitten (Hamburger)</t>
        </is>
      </c>
      <c r="C165" s="9" t="n">
        <v>218.14</v>
      </c>
      <c r="D165" s="3" t="inlineStr">
        <is>
          <t>611</t>
        </is>
      </c>
      <c r="E165" s="10" t="n">
        <v>45670.41364583333</v>
      </c>
      <c r="F165" s="10" t="n">
        <v>45670.44409722222</v>
      </c>
      <c r="G165" s="10" t="n">
        <v>45670.48196759259</v>
      </c>
      <c r="H165" s="10" t="n">
        <v>45670.48196759259</v>
      </c>
      <c r="I165" s="10" t="n">
        <v>45670.48196759259</v>
      </c>
      <c r="J165" s="10" t="n">
        <v>45670.48296296296</v>
      </c>
      <c r="K165" s="11">
        <f>IF(AND(ISNUMBER(E165),ISNUMBER(F165)),(F165-E165),"")</f>
        <v/>
      </c>
      <c r="L165" s="11">
        <f>IF(AND(ISNUMBER(F165),ISNUMBER(G165)),(G165-F165),"")</f>
        <v/>
      </c>
      <c r="M165" s="11">
        <f>IF(AND(ISNUMBER(H165),ISNUMBER(I165)),(I165-H165),"")</f>
        <v/>
      </c>
      <c r="N165" s="11">
        <f>IF(AND(ISNUMBER(I165),ISNUMBER(J165)),(J165-I165),"")</f>
        <v/>
      </c>
      <c r="O165" s="11">
        <f>IF(AND(ISNUMBER(E165),ISNUMBER(J165)),(J165-E165),"")</f>
        <v/>
      </c>
    </row>
    <row r="166">
      <c r="A166" s="3" t="inlineStr">
        <is>
          <t>OBT130125103421-Wien Kledering</t>
        </is>
      </c>
      <c r="B166" s="3" t="inlineStr">
        <is>
          <t>Wien Kledering</t>
        </is>
      </c>
      <c r="C166" s="9" t="n">
        <v>267.5</v>
      </c>
      <c r="D166" s="3" t="inlineStr">
        <is>
          <t>619</t>
        </is>
      </c>
      <c r="E166" s="10" t="n">
        <v>45670.44052083333</v>
      </c>
      <c r="F166" s="10" t="n">
        <v>45670.45112268518</v>
      </c>
      <c r="G166" s="10" t="n">
        <v>45670.49756944444</v>
      </c>
      <c r="H166" s="10" t="n">
        <v>45670.49756944444</v>
      </c>
      <c r="I166" s="10" t="n">
        <v>45670.49756944444</v>
      </c>
      <c r="J166" s="10" t="n">
        <v>45670.49873842593</v>
      </c>
      <c r="K166" s="11">
        <f>IF(AND(ISNUMBER(E166),ISNUMBER(F166)),(F166-E166),"")</f>
        <v/>
      </c>
      <c r="L166" s="11">
        <f>IF(AND(ISNUMBER(F166),ISNUMBER(G166)),(G166-F166),"")</f>
        <v/>
      </c>
      <c r="M166" s="11">
        <f>IF(AND(ISNUMBER(H166),ISNUMBER(I166)),(I166-H166),"")</f>
        <v/>
      </c>
      <c r="N166" s="11">
        <f>IF(AND(ISNUMBER(I166),ISNUMBER(J166)),(J166-I166),"")</f>
        <v/>
      </c>
      <c r="O166" s="11">
        <f>IF(AND(ISNUMBER(E166),ISNUMBER(J166)),(J166-E166),"")</f>
        <v/>
      </c>
    </row>
    <row r="167">
      <c r="A167" s="3" t="inlineStr">
        <is>
          <t>OBT130125123545-Wien Kledering</t>
        </is>
      </c>
      <c r="B167" s="3" t="inlineStr">
        <is>
          <t>Wien Kledering</t>
        </is>
      </c>
      <c r="C167" s="9" t="n">
        <v>334.4</v>
      </c>
      <c r="D167" s="3" t="inlineStr">
        <is>
          <t>617</t>
        </is>
      </c>
      <c r="E167" s="10" t="n">
        <v>45670.52482638889</v>
      </c>
      <c r="F167" s="10" t="n">
        <v>45670.52567129629</v>
      </c>
      <c r="G167" s="10" t="n">
        <v>45670.58372685185</v>
      </c>
      <c r="H167" s="10" t="n">
        <v>45670.58372685185</v>
      </c>
      <c r="I167" s="10" t="n">
        <v>45670.58372685185</v>
      </c>
      <c r="J167" s="10" t="n">
        <v>45670.5850462963</v>
      </c>
      <c r="K167" s="11">
        <f>IF(AND(ISNUMBER(E167),ISNUMBER(F167)),(F167-E167),"")</f>
        <v/>
      </c>
      <c r="L167" s="11">
        <f>IF(AND(ISNUMBER(F167),ISNUMBER(G167)),(G167-F167),"")</f>
        <v/>
      </c>
      <c r="M167" s="11">
        <f>IF(AND(ISNUMBER(H167),ISNUMBER(I167)),(I167-H167),"")</f>
        <v/>
      </c>
      <c r="N167" s="11">
        <f>IF(AND(ISNUMBER(I167),ISNUMBER(J167)),(J167-I167),"")</f>
        <v/>
      </c>
      <c r="O167" s="11">
        <f>IF(AND(ISNUMBER(E167),ISNUMBER(J167)),(J167-E167),"")</f>
        <v/>
      </c>
    </row>
    <row r="168">
      <c r="A168" s="3" t="inlineStr">
        <is>
          <t>OBT130125144644-Wien Kledering</t>
        </is>
      </c>
      <c r="B168" s="3" t="inlineStr">
        <is>
          <t>Wien Kledering</t>
        </is>
      </c>
      <c r="C168" s="9" t="n">
        <v>388.3200000000001</v>
      </c>
      <c r="D168" s="3" t="inlineStr">
        <is>
          <t>615</t>
        </is>
      </c>
      <c r="E168" s="10" t="n">
        <v>45670.61578703704</v>
      </c>
      <c r="F168" s="10" t="n">
        <v>45670.61665509259</v>
      </c>
      <c r="G168" s="10" t="n">
        <v>45670.68407407407</v>
      </c>
      <c r="H168" s="10" t="n">
        <v>45670.68407407407</v>
      </c>
      <c r="I168" s="10" t="n">
        <v>45670.68407407407</v>
      </c>
      <c r="J168" s="10" t="n">
        <v>45670.68543981481</v>
      </c>
      <c r="K168" s="11">
        <f>IF(AND(ISNUMBER(E168),ISNUMBER(F168)),(F168-E168),"")</f>
        <v/>
      </c>
      <c r="L168" s="11">
        <f>IF(AND(ISNUMBER(F168),ISNUMBER(G168)),(G168-F168),"")</f>
        <v/>
      </c>
      <c r="M168" s="11">
        <f>IF(AND(ISNUMBER(H168),ISNUMBER(I168)),(I168-H168),"")</f>
        <v/>
      </c>
      <c r="N168" s="11">
        <f>IF(AND(ISNUMBER(I168),ISNUMBER(J168)),(J168-I168),"")</f>
        <v/>
      </c>
      <c r="O168" s="11">
        <f>IF(AND(ISNUMBER(E168),ISNUMBER(J168)),(J168-E168),"")</f>
        <v/>
      </c>
    </row>
    <row r="169">
      <c r="A169" s="3" t="inlineStr">
        <is>
          <t>OBT130125152935-Wr. Neustadt (Hödlmayr)</t>
        </is>
      </c>
      <c r="B169" s="3" t="inlineStr">
        <is>
          <t>Wr. Neustadt (Hödlmayr)</t>
        </is>
      </c>
      <c r="C169" s="9" t="n">
        <v>100.9</v>
      </c>
      <c r="D169" s="3" t="inlineStr">
        <is>
          <t>625</t>
        </is>
      </c>
      <c r="E169" s="10" t="n">
        <v>45670.64554398148</v>
      </c>
      <c r="F169" s="10" t="n">
        <v>45670.64724537037</v>
      </c>
      <c r="G169" s="10" t="n">
        <v>45670.66475694445</v>
      </c>
      <c r="H169" s="10" t="n">
        <v>45670.66475694445</v>
      </c>
      <c r="I169" s="10" t="n">
        <v>45670.66475694445</v>
      </c>
      <c r="J169" s="10" t="n">
        <v>45670.66549768519</v>
      </c>
      <c r="K169" s="11">
        <f>IF(AND(ISNUMBER(E169),ISNUMBER(F169)),(F169-E169),"")</f>
        <v/>
      </c>
      <c r="L169" s="11">
        <f>IF(AND(ISNUMBER(F169),ISNUMBER(G169)),(G169-F169),"")</f>
        <v/>
      </c>
      <c r="M169" s="11">
        <f>IF(AND(ISNUMBER(H169),ISNUMBER(I169)),(I169-H169),"")</f>
        <v/>
      </c>
      <c r="N169" s="11">
        <f>IF(AND(ISNUMBER(I169),ISNUMBER(J169)),(J169-I169),"")</f>
        <v/>
      </c>
      <c r="O169" s="11">
        <f>IF(AND(ISNUMBER(E169),ISNUMBER(J169)),(J169-E169),"")</f>
        <v/>
      </c>
    </row>
    <row r="170">
      <c r="A170" s="3" t="inlineStr">
        <is>
          <t>OBT130125155039-Wr. Neustadt Ausfahrbf (Furtenbach)</t>
        </is>
      </c>
      <c r="B170" s="3" t="inlineStr">
        <is>
          <t>Wr. Neustadt Ausfahrbf (Furtenbach)</t>
        </is>
      </c>
      <c r="C170" s="9" t="n">
        <v>119.4</v>
      </c>
      <c r="D170" s="3" t="inlineStr">
        <is>
          <t>609</t>
        </is>
      </c>
      <c r="E170" s="10" t="n">
        <v>45670.66017361111</v>
      </c>
      <c r="F170" s="10" t="n">
        <v>45670.66203703704</v>
      </c>
      <c r="G170" s="10" t="n">
        <v>45670.6827662037</v>
      </c>
      <c r="H170" s="10" t="n">
        <v>45670.6827662037</v>
      </c>
      <c r="I170" s="10" t="n">
        <v>45670.6827662037</v>
      </c>
      <c r="J170" s="10" t="n">
        <v>45670.68358796297</v>
      </c>
      <c r="K170" s="11">
        <f>IF(AND(ISNUMBER(E170),ISNUMBER(F170)),(F170-E170),"")</f>
        <v/>
      </c>
      <c r="L170" s="11">
        <f>IF(AND(ISNUMBER(F170),ISNUMBER(G170)),(G170-F170),"")</f>
        <v/>
      </c>
      <c r="M170" s="11">
        <f>IF(AND(ISNUMBER(H170),ISNUMBER(I170)),(I170-H170),"")</f>
        <v/>
      </c>
      <c r="N170" s="11">
        <f>IF(AND(ISNUMBER(I170),ISNUMBER(J170)),(J170-I170),"")</f>
        <v/>
      </c>
      <c r="O170" s="11">
        <f>IF(AND(ISNUMBER(E170),ISNUMBER(J170)),(J170-E170),"")</f>
        <v/>
      </c>
    </row>
    <row r="171">
      <c r="A171" s="3" t="inlineStr">
        <is>
          <t>OBT130125155053-Wien Kledering</t>
        </is>
      </c>
      <c r="B171" s="3" t="inlineStr">
        <is>
          <t>Wien Kledering</t>
        </is>
      </c>
      <c r="C171" s="9" t="n">
        <v>393.5000000000001</v>
      </c>
      <c r="D171" s="3" t="inlineStr">
        <is>
          <t>611</t>
        </is>
      </c>
      <c r="E171" s="10" t="n">
        <v>45670.66033564815</v>
      </c>
      <c r="F171" s="10" t="n">
        <v>45670.66645833333</v>
      </c>
      <c r="G171" s="10" t="n">
        <v>45670.73476851852</v>
      </c>
      <c r="H171" s="10" t="n">
        <v>45670.73476851852</v>
      </c>
      <c r="I171" s="10" t="n">
        <v>45670.73476851852</v>
      </c>
      <c r="J171" s="10" t="n">
        <v>45670.73616898148</v>
      </c>
      <c r="K171" s="11">
        <f>IF(AND(ISNUMBER(E171),ISNUMBER(F171)),(F171-E171),"")</f>
        <v/>
      </c>
      <c r="L171" s="11">
        <f>IF(AND(ISNUMBER(F171),ISNUMBER(G171)),(G171-F171),"")</f>
        <v/>
      </c>
      <c r="M171" s="11">
        <f>IF(AND(ISNUMBER(H171),ISNUMBER(I171)),(I171-H171),"")</f>
        <v/>
      </c>
      <c r="N171" s="11">
        <f>IF(AND(ISNUMBER(I171),ISNUMBER(J171)),(J171-I171),"")</f>
        <v/>
      </c>
      <c r="O171" s="11">
        <f>IF(AND(ISNUMBER(E171),ISNUMBER(J171)),(J171-E171),"")</f>
        <v/>
      </c>
    </row>
    <row r="172">
      <c r="A172" s="3" t="inlineStr">
        <is>
          <t>OBT130125162753-Wien Kledering</t>
        </is>
      </c>
      <c r="B172" s="3" t="inlineStr">
        <is>
          <t>Wien Kledering</t>
        </is>
      </c>
      <c r="C172" s="9" t="n">
        <v>229.7</v>
      </c>
      <c r="D172" s="3" t="inlineStr">
        <is>
          <t>625</t>
        </is>
      </c>
      <c r="E172" s="10" t="n">
        <v>45670.68603009259</v>
      </c>
      <c r="F172" s="10" t="n">
        <v>45670.68689814815</v>
      </c>
      <c r="G172" s="10" t="n">
        <v>45670.72678240741</v>
      </c>
      <c r="H172" s="10" t="n">
        <v>45670.72678240741</v>
      </c>
      <c r="I172" s="10" t="n">
        <v>45670.72678240741</v>
      </c>
      <c r="J172" s="10" t="n">
        <v>45670.7278125</v>
      </c>
      <c r="K172" s="11">
        <f>IF(AND(ISNUMBER(E172),ISNUMBER(F172)),(F172-E172),"")</f>
        <v/>
      </c>
      <c r="L172" s="11">
        <f>IF(AND(ISNUMBER(F172),ISNUMBER(G172)),(G172-F172),"")</f>
        <v/>
      </c>
      <c r="M172" s="11">
        <f>IF(AND(ISNUMBER(H172),ISNUMBER(I172)),(I172-H172),"")</f>
        <v/>
      </c>
      <c r="N172" s="11">
        <f>IF(AND(ISNUMBER(I172),ISNUMBER(J172)),(J172-I172),"")</f>
        <v/>
      </c>
      <c r="O172" s="11">
        <f>IF(AND(ISNUMBER(E172),ISNUMBER(J172)),(J172-E172),"")</f>
        <v/>
      </c>
    </row>
    <row r="173">
      <c r="A173" s="3" t="inlineStr">
        <is>
          <t>OBT130125163000-St. Veit an der Glan</t>
        </is>
      </c>
      <c r="B173" s="3" t="inlineStr">
        <is>
          <t>St. Veit an der Glan</t>
        </is>
      </c>
      <c r="C173" s="9" t="n">
        <v>198.8</v>
      </c>
      <c r="D173" s="3" t="inlineStr">
        <is>
          <t>606</t>
        </is>
      </c>
      <c r="E173" s="10" t="n">
        <v>45670.6875</v>
      </c>
      <c r="F173" s="10" t="n">
        <v>45670.68920138889</v>
      </c>
      <c r="G173" s="10" t="n">
        <v>45670.72371527777</v>
      </c>
      <c r="H173" s="10" t="n">
        <v>45670.72371527777</v>
      </c>
      <c r="I173" s="10" t="n">
        <v>45670.72371527777</v>
      </c>
      <c r="J173" s="10" t="n">
        <v>45670.7246875</v>
      </c>
      <c r="K173" s="11">
        <f>IF(AND(ISNUMBER(E173),ISNUMBER(F173)),(F173-E173),"")</f>
        <v/>
      </c>
      <c r="L173" s="11">
        <f>IF(AND(ISNUMBER(F173),ISNUMBER(G173)),(G173-F173),"")</f>
        <v/>
      </c>
      <c r="M173" s="11">
        <f>IF(AND(ISNUMBER(H173),ISNUMBER(I173)),(I173-H173),"")</f>
        <v/>
      </c>
      <c r="N173" s="11">
        <f>IF(AND(ISNUMBER(I173),ISNUMBER(J173)),(J173-I173),"")</f>
        <v/>
      </c>
      <c r="O173" s="11">
        <f>IF(AND(ISNUMBER(E173),ISNUMBER(J173)),(J173-E173),"")</f>
        <v/>
      </c>
    </row>
    <row r="174">
      <c r="A174" s="3" t="inlineStr">
        <is>
          <t>OBT130125174233-Wien Kledering</t>
        </is>
      </c>
      <c r="B174" s="3" t="inlineStr">
        <is>
          <t>Wien Kledering</t>
        </is>
      </c>
      <c r="C174" s="9" t="n">
        <v>185.92</v>
      </c>
      <c r="D174" s="3" t="inlineStr">
        <is>
          <t>615</t>
        </is>
      </c>
      <c r="E174" s="10" t="n">
        <v>45670.73788194444</v>
      </c>
      <c r="F174" s="10" t="n">
        <v>45670.73875</v>
      </c>
      <c r="G174" s="10" t="n">
        <v>45670.77103009259</v>
      </c>
      <c r="H174" s="10" t="n">
        <v>45670.77103009259</v>
      </c>
      <c r="I174" s="10" t="n">
        <v>45670.77103009259</v>
      </c>
      <c r="J174" s="10" t="n">
        <v>45670.77193287037</v>
      </c>
      <c r="K174" s="11">
        <f>IF(AND(ISNUMBER(E174),ISNUMBER(F174)),(F174-E174),"")</f>
        <v/>
      </c>
      <c r="L174" s="11">
        <f>IF(AND(ISNUMBER(F174),ISNUMBER(G174)),(G174-F174),"")</f>
        <v/>
      </c>
      <c r="M174" s="11">
        <f>IF(AND(ISNUMBER(H174),ISNUMBER(I174)),(I174-H174),"")</f>
        <v/>
      </c>
      <c r="N174" s="11">
        <f>IF(AND(ISNUMBER(I174),ISNUMBER(J174)),(J174-I174),"")</f>
        <v/>
      </c>
      <c r="O174" s="11">
        <f>IF(AND(ISNUMBER(E174),ISNUMBER(J174)),(J174-E174),"")</f>
        <v/>
      </c>
    </row>
    <row r="175">
      <c r="A175" s="3" t="inlineStr">
        <is>
          <t>OBT130125212354-Wien Kledering</t>
        </is>
      </c>
      <c r="B175" s="3" t="inlineStr">
        <is>
          <t>Wien Kledering</t>
        </is>
      </c>
      <c r="C175" s="9" t="n">
        <v>389.0600000000001</v>
      </c>
      <c r="D175" s="3" t="inlineStr">
        <is>
          <t>615</t>
        </is>
      </c>
      <c r="E175" s="10" t="n">
        <v>45670.89159722222</v>
      </c>
      <c r="F175" s="10" t="n">
        <v>45670.89246527778</v>
      </c>
      <c r="G175" s="10" t="n">
        <v>45670.96001157408</v>
      </c>
      <c r="H175" s="10" t="n">
        <v>45670.96001157408</v>
      </c>
      <c r="I175" s="10" t="n">
        <v>45670.96001157408</v>
      </c>
      <c r="J175" s="10" t="n">
        <v>45670.96137731482</v>
      </c>
      <c r="K175" s="11">
        <f>IF(AND(ISNUMBER(E175),ISNUMBER(F175)),(F175-E175),"")</f>
        <v/>
      </c>
      <c r="L175" s="11">
        <f>IF(AND(ISNUMBER(F175),ISNUMBER(G175)),(G175-F175),"")</f>
        <v/>
      </c>
      <c r="M175" s="11">
        <f>IF(AND(ISNUMBER(H175),ISNUMBER(I175)),(I175-H175),"")</f>
        <v/>
      </c>
      <c r="N175" s="11">
        <f>IF(AND(ISNUMBER(I175),ISNUMBER(J175)),(J175-I175),"")</f>
        <v/>
      </c>
      <c r="O175" s="11">
        <f>IF(AND(ISNUMBER(E175),ISNUMBER(J175)),(J175-E175),"")</f>
        <v/>
      </c>
    </row>
    <row r="176">
      <c r="A176" s="3" t="inlineStr">
        <is>
          <t>OBT140125024930-Neunkirchen (loading tracks)</t>
        </is>
      </c>
      <c r="B176" s="3" t="inlineStr">
        <is>
          <t>Neunkirchen (loading tracks)</t>
        </is>
      </c>
      <c r="C176" s="9" t="n">
        <v>124.9</v>
      </c>
      <c r="D176" s="3" t="inlineStr">
        <is>
          <t>605</t>
        </is>
      </c>
      <c r="E176" s="10" t="n">
        <v>45671.11770833333</v>
      </c>
      <c r="F176" s="10" t="n">
        <v>45671.11855324074</v>
      </c>
      <c r="G176" s="10" t="n">
        <v>45671.14023148148</v>
      </c>
      <c r="H176" s="10" t="n">
        <v>45671.14023148148</v>
      </c>
      <c r="I176" s="10" t="n">
        <v>45671.14023148148</v>
      </c>
      <c r="J176" s="10" t="n">
        <v>45671.14112268519</v>
      </c>
      <c r="K176" s="11">
        <f>IF(AND(ISNUMBER(E176),ISNUMBER(F176)),(F176-E176),"")</f>
        <v/>
      </c>
      <c r="L176" s="11">
        <f>IF(AND(ISNUMBER(F176),ISNUMBER(G176)),(G176-F176),"")</f>
        <v/>
      </c>
      <c r="M176" s="11">
        <f>IF(AND(ISNUMBER(H176),ISNUMBER(I176)),(I176-H176),"")</f>
        <v/>
      </c>
      <c r="N176" s="11">
        <f>IF(AND(ISNUMBER(I176),ISNUMBER(J176)),(J176-I176),"")</f>
        <v/>
      </c>
      <c r="O176" s="11">
        <f>IF(AND(ISNUMBER(E176),ISNUMBER(J176)),(J176-E176),"")</f>
        <v/>
      </c>
    </row>
    <row r="177">
      <c r="A177" s="3" t="inlineStr">
        <is>
          <t>OBT140125064740-Wien Kledering</t>
        </is>
      </c>
      <c r="B177" s="3" t="inlineStr">
        <is>
          <t>Wien Kledering</t>
        </is>
      </c>
      <c r="C177" s="9" t="n">
        <v>297</v>
      </c>
      <c r="D177" s="3" t="inlineStr">
        <is>
          <t>615</t>
        </is>
      </c>
      <c r="E177" s="10" t="n">
        <v>45671.28310185186</v>
      </c>
      <c r="F177" s="10" t="n">
        <v>45671.28396990741</v>
      </c>
      <c r="G177" s="10" t="n">
        <v>45671.33553240741</v>
      </c>
      <c r="H177" s="10" t="n">
        <v>45671.33553240741</v>
      </c>
      <c r="I177" s="10" t="n">
        <v>45671.33553240741</v>
      </c>
      <c r="J177" s="10" t="n">
        <v>45671.33668981482</v>
      </c>
      <c r="K177" s="11">
        <f>IF(AND(ISNUMBER(E177),ISNUMBER(F177)),(F177-E177),"")</f>
        <v/>
      </c>
      <c r="L177" s="11">
        <f>IF(AND(ISNUMBER(F177),ISNUMBER(G177)),(G177-F177),"")</f>
        <v/>
      </c>
      <c r="M177" s="11">
        <f>IF(AND(ISNUMBER(H177),ISNUMBER(I177)),(I177-H177),"")</f>
        <v/>
      </c>
      <c r="N177" s="11">
        <f>IF(AND(ISNUMBER(I177),ISNUMBER(J177)),(J177-I177),"")</f>
        <v/>
      </c>
      <c r="O177" s="11">
        <f>IF(AND(ISNUMBER(E177),ISNUMBER(J177)),(J177-E177),"")</f>
        <v/>
      </c>
    </row>
    <row r="178">
      <c r="A178" s="3" t="inlineStr">
        <is>
          <t>OBT140125070727-Neudörfl (FunderMax)</t>
        </is>
      </c>
      <c r="B178" s="3" t="inlineStr">
        <is>
          <t>Neudörfl (FunderMax)</t>
        </is>
      </c>
      <c r="C178" s="9" t="n">
        <v>187.6</v>
      </c>
      <c r="D178" s="3" t="inlineStr">
        <is>
          <t>629</t>
        </is>
      </c>
      <c r="E178" s="10" t="n">
        <v>45671.29684027778</v>
      </c>
      <c r="F178" s="10" t="n">
        <v>45671.29853009259</v>
      </c>
      <c r="G178" s="10" t="n">
        <v>45671.33109953703</v>
      </c>
      <c r="H178" s="10" t="n">
        <v>45671.33109953703</v>
      </c>
      <c r="I178" s="10" t="n">
        <v>45671.33109953703</v>
      </c>
      <c r="J178" s="10" t="n">
        <v>45671.3319212963</v>
      </c>
      <c r="K178" s="11">
        <f>IF(AND(ISNUMBER(E178),ISNUMBER(F178)),(F178-E178),"")</f>
        <v/>
      </c>
      <c r="L178" s="11">
        <f>IF(AND(ISNUMBER(F178),ISNUMBER(G178)),(G178-F178),"")</f>
        <v/>
      </c>
      <c r="M178" s="11">
        <f>IF(AND(ISNUMBER(H178),ISNUMBER(I178)),(I178-H178),"")</f>
        <v/>
      </c>
      <c r="N178" s="11">
        <f>IF(AND(ISNUMBER(I178),ISNUMBER(J178)),(J178-I178),"")</f>
        <v/>
      </c>
      <c r="O178" s="11">
        <f>IF(AND(ISNUMBER(E178),ISNUMBER(J178)),(J178-E178),"")</f>
        <v/>
      </c>
    </row>
    <row r="179">
      <c r="A179" s="3" t="inlineStr">
        <is>
          <t>OBT140125070928-Pitten (Hamburger)</t>
        </is>
      </c>
      <c r="B179" s="3" t="inlineStr">
        <is>
          <t>Pitten (Hamburger)</t>
        </is>
      </c>
      <c r="C179" s="9" t="n">
        <v>101.94</v>
      </c>
      <c r="D179" s="3" t="inlineStr">
        <is>
          <t>613</t>
        </is>
      </c>
      <c r="E179" s="10" t="n">
        <v>45671.29824074074</v>
      </c>
      <c r="F179" s="10" t="n">
        <v>45671.30900462963</v>
      </c>
      <c r="G179" s="10" t="n">
        <v>45671.32670138889</v>
      </c>
      <c r="H179" s="10" t="n">
        <v>45671.32670138889</v>
      </c>
      <c r="I179" s="10" t="n">
        <v>45671.32670138889</v>
      </c>
      <c r="J179" s="10" t="n">
        <v>45671.32736111111</v>
      </c>
      <c r="K179" s="11">
        <f>IF(AND(ISNUMBER(E179),ISNUMBER(F179)),(F179-E179),"")</f>
        <v/>
      </c>
      <c r="L179" s="11">
        <f>IF(AND(ISNUMBER(F179),ISNUMBER(G179)),(G179-F179),"")</f>
        <v/>
      </c>
      <c r="M179" s="11">
        <f>IF(AND(ISNUMBER(H179),ISNUMBER(I179)),(I179-H179),"")</f>
        <v/>
      </c>
      <c r="N179" s="11">
        <f>IF(AND(ISNUMBER(I179),ISNUMBER(J179)),(J179-I179),"")</f>
        <v/>
      </c>
      <c r="O179" s="11">
        <f>IF(AND(ISNUMBER(E179),ISNUMBER(J179)),(J179-E179),"")</f>
        <v/>
      </c>
    </row>
    <row r="180">
      <c r="A180" s="3" t="inlineStr">
        <is>
          <t>OBT140125075443-Wien Kledering</t>
        </is>
      </c>
      <c r="B180" s="3" t="inlineStr">
        <is>
          <t>Wien Kledering</t>
        </is>
      </c>
      <c r="C180" s="9" t="n">
        <v>213.84</v>
      </c>
      <c r="D180" s="3" t="inlineStr">
        <is>
          <t>606</t>
        </is>
      </c>
      <c r="E180" s="10" t="n">
        <v>45671.32966435186</v>
      </c>
      <c r="F180" s="10" t="n">
        <v>45671.33133101852</v>
      </c>
      <c r="G180" s="10" t="n">
        <v>45671.36844907407</v>
      </c>
      <c r="H180" s="10" t="n">
        <v>45671.36844907407</v>
      </c>
      <c r="I180" s="10" t="n">
        <v>45671.36844907407</v>
      </c>
      <c r="J180" s="10" t="n">
        <v>45671.36945601852</v>
      </c>
      <c r="K180" s="11">
        <f>IF(AND(ISNUMBER(E180),ISNUMBER(F180)),(F180-E180),"")</f>
        <v/>
      </c>
      <c r="L180" s="11">
        <f>IF(AND(ISNUMBER(F180),ISNUMBER(G180)),(G180-F180),"")</f>
        <v/>
      </c>
      <c r="M180" s="11">
        <f>IF(AND(ISNUMBER(H180),ISNUMBER(I180)),(I180-H180),"")</f>
        <v/>
      </c>
      <c r="N180" s="11">
        <f>IF(AND(ISNUMBER(I180),ISNUMBER(J180)),(J180-I180),"")</f>
        <v/>
      </c>
      <c r="O180" s="11">
        <f>IF(AND(ISNUMBER(E180),ISNUMBER(J180)),(J180-E180),"")</f>
        <v/>
      </c>
    </row>
    <row r="181">
      <c r="A181" s="3" t="inlineStr">
        <is>
          <t>OBT140125081951-Wien Kledering</t>
        </is>
      </c>
      <c r="B181" s="3" t="inlineStr">
        <is>
          <t>Wien Kledering</t>
        </is>
      </c>
      <c r="C181" s="9" t="n">
        <v>389.8000000000001</v>
      </c>
      <c r="D181" s="3" t="inlineStr">
        <is>
          <t>613</t>
        </is>
      </c>
      <c r="E181" s="10" t="n">
        <v>45671.34711805556</v>
      </c>
      <c r="F181" s="10" t="n">
        <v>45671.34798611111</v>
      </c>
      <c r="G181" s="10" t="n">
        <v>45671.41565972222</v>
      </c>
      <c r="H181" s="10" t="n">
        <v>45671.41565972222</v>
      </c>
      <c r="I181" s="10" t="n">
        <v>45671.41565972222</v>
      </c>
      <c r="J181" s="10" t="n">
        <v>45671.41699074074</v>
      </c>
      <c r="K181" s="11">
        <f>IF(AND(ISNUMBER(E181),ISNUMBER(F181)),(F181-E181),"")</f>
        <v/>
      </c>
      <c r="L181" s="11">
        <f>IF(AND(ISNUMBER(F181),ISNUMBER(G181)),(G181-F181),"")</f>
        <v/>
      </c>
      <c r="M181" s="11">
        <f>IF(AND(ISNUMBER(H181),ISNUMBER(I181)),(I181-H181),"")</f>
        <v/>
      </c>
      <c r="N181" s="11">
        <f>IF(AND(ISNUMBER(I181),ISNUMBER(J181)),(J181-I181),"")</f>
        <v/>
      </c>
      <c r="O181" s="11">
        <f>IF(AND(ISNUMBER(E181),ISNUMBER(J181)),(J181-E181),"")</f>
        <v/>
      </c>
    </row>
    <row r="182">
      <c r="A182" s="3" t="inlineStr">
        <is>
          <t>OBT140125093209-Obereggendorf (Hofer)</t>
        </is>
      </c>
      <c r="B182" s="3" t="inlineStr">
        <is>
          <t>Obereggendorf (Hofer)</t>
        </is>
      </c>
      <c r="C182" s="9" t="n">
        <v>343.5</v>
      </c>
      <c r="D182" s="3" t="inlineStr">
        <is>
          <t>607</t>
        </is>
      </c>
      <c r="E182" s="10" t="n">
        <v>45671.39732638889</v>
      </c>
      <c r="F182" s="10" t="n">
        <v>45671.39819444445</v>
      </c>
      <c r="G182" s="10" t="n">
        <v>45671.45782407407</v>
      </c>
      <c r="H182" s="10" t="n">
        <v>45671.45782407407</v>
      </c>
      <c r="I182" s="10" t="n">
        <v>45671.45814814815</v>
      </c>
      <c r="J182" s="10" t="n">
        <v>45671.45953703704</v>
      </c>
      <c r="K182" s="11">
        <f>IF(AND(ISNUMBER(E182),ISNUMBER(F182)),(F182-E182),"")</f>
        <v/>
      </c>
      <c r="L182" s="11">
        <f>IF(AND(ISNUMBER(F182),ISNUMBER(G182)),(G182-F182),"")</f>
        <v/>
      </c>
      <c r="M182" s="11">
        <f>IF(AND(ISNUMBER(H182),ISNUMBER(I182)),(I182-H182),"")</f>
        <v/>
      </c>
      <c r="N182" s="11">
        <f>IF(AND(ISNUMBER(I182),ISNUMBER(J182)),(J182-I182),"")</f>
        <v/>
      </c>
      <c r="O182" s="11">
        <f>IF(AND(ISNUMBER(E182),ISNUMBER(J182)),(J182-E182),"")</f>
        <v/>
      </c>
    </row>
    <row r="183">
      <c r="A183" s="3" t="inlineStr">
        <is>
          <t>OBT140125093437-St. Veit an der Glan</t>
        </is>
      </c>
      <c r="B183" s="3" t="inlineStr">
        <is>
          <t>St. Veit an der Glan</t>
        </is>
      </c>
      <c r="C183" s="9" t="n">
        <v>129.1</v>
      </c>
      <c r="D183" s="3" t="inlineStr">
        <is>
          <t>629</t>
        </is>
      </c>
      <c r="E183" s="10" t="n">
        <v>45671.39903935185</v>
      </c>
      <c r="F183" s="10" t="n">
        <v>45671.40067129629</v>
      </c>
      <c r="G183" s="10" t="n">
        <v>45671.42309027778</v>
      </c>
      <c r="H183" s="10" t="n">
        <v>45671.42309027778</v>
      </c>
      <c r="I183" s="10" t="n">
        <v>45671.42309027778</v>
      </c>
      <c r="J183" s="10" t="n">
        <v>45671.42376157407</v>
      </c>
      <c r="K183" s="11">
        <f>IF(AND(ISNUMBER(E183),ISNUMBER(F183)),(F183-E183),"")</f>
        <v/>
      </c>
      <c r="L183" s="11">
        <f>IF(AND(ISNUMBER(F183),ISNUMBER(G183)),(G183-F183),"")</f>
        <v/>
      </c>
      <c r="M183" s="11">
        <f>IF(AND(ISNUMBER(H183),ISNUMBER(I183)),(I183-H183),"")</f>
        <v/>
      </c>
      <c r="N183" s="11">
        <f>IF(AND(ISNUMBER(I183),ISNUMBER(J183)),(J183-I183),"")</f>
        <v/>
      </c>
      <c r="O183" s="11">
        <f>IF(AND(ISNUMBER(E183),ISNUMBER(J183)),(J183-E183),"")</f>
        <v/>
      </c>
    </row>
    <row r="184">
      <c r="A184" s="3" t="inlineStr">
        <is>
          <t>OBT140125101210-Wr. Neustadt (Hödlmayr)</t>
        </is>
      </c>
      <c r="B184" s="3" t="inlineStr">
        <is>
          <t>Wr. Neustadt (Hödlmayr)</t>
        </is>
      </c>
      <c r="C184" s="9" t="n">
        <v>189</v>
      </c>
      <c r="D184" s="3" t="inlineStr">
        <is>
          <t>625</t>
        </is>
      </c>
      <c r="E184" s="10" t="n">
        <v>45671.42511574074</v>
      </c>
      <c r="F184" s="10" t="n">
        <v>45671.43638888889</v>
      </c>
      <c r="G184" s="10" t="n">
        <v>45671.46920138889</v>
      </c>
      <c r="H184" s="10" t="n">
        <v>45671.46920138889</v>
      </c>
      <c r="I184" s="10" t="n">
        <v>45671.46920138889</v>
      </c>
      <c r="J184" s="10" t="n">
        <v>45671.47013888889</v>
      </c>
      <c r="K184" s="11">
        <f>IF(AND(ISNUMBER(E184),ISNUMBER(F184)),(F184-E184),"")</f>
        <v/>
      </c>
      <c r="L184" s="11">
        <f>IF(AND(ISNUMBER(F184),ISNUMBER(G184)),(G184-F184),"")</f>
        <v/>
      </c>
      <c r="M184" s="11">
        <f>IF(AND(ISNUMBER(H184),ISNUMBER(I184)),(I184-H184),"")</f>
        <v/>
      </c>
      <c r="N184" s="11">
        <f>IF(AND(ISNUMBER(I184),ISNUMBER(J184)),(J184-I184),"")</f>
        <v/>
      </c>
      <c r="O184" s="11">
        <f>IF(AND(ISNUMBER(E184),ISNUMBER(J184)),(J184-E184),"")</f>
        <v/>
      </c>
    </row>
    <row r="185">
      <c r="A185" s="3" t="inlineStr">
        <is>
          <t>OBT140125101947-Other sidings north</t>
        </is>
      </c>
      <c r="B185" s="3" t="inlineStr">
        <is>
          <t>Other sidings north</t>
        </is>
      </c>
      <c r="C185" s="9" t="n">
        <v>109.44</v>
      </c>
      <c r="D185" s="3" t="inlineStr">
        <is>
          <t>605</t>
        </is>
      </c>
      <c r="E185" s="10" t="n">
        <v>45671.43040509259</v>
      </c>
      <c r="F185" s="10" t="n">
        <v>45671.43829861111</v>
      </c>
      <c r="G185" s="10" t="n">
        <v>45671.45730324074</v>
      </c>
      <c r="H185" s="10" t="n">
        <v>45671.45730324074</v>
      </c>
      <c r="I185" s="10" t="n">
        <v>45671.45730324074</v>
      </c>
      <c r="J185" s="10" t="n">
        <v>45671.45814814815</v>
      </c>
      <c r="K185" s="11">
        <f>IF(AND(ISNUMBER(E185),ISNUMBER(F185)),(F185-E185),"")</f>
        <v/>
      </c>
      <c r="L185" s="11">
        <f>IF(AND(ISNUMBER(F185),ISNUMBER(G185)),(G185-F185),"")</f>
        <v/>
      </c>
      <c r="M185" s="11">
        <f>IF(AND(ISNUMBER(H185),ISNUMBER(I185)),(I185-H185),"")</f>
        <v/>
      </c>
      <c r="N185" s="11">
        <f>IF(AND(ISNUMBER(I185),ISNUMBER(J185)),(J185-I185),"")</f>
        <v/>
      </c>
      <c r="O185" s="11">
        <f>IF(AND(ISNUMBER(E185),ISNUMBER(J185)),(J185-E185),"")</f>
        <v/>
      </c>
    </row>
    <row r="186">
      <c r="A186" s="3" t="inlineStr">
        <is>
          <t>OBT140125102734-Pitten (Hamburger)</t>
        </is>
      </c>
      <c r="B186" s="3" t="inlineStr">
        <is>
          <t>Pitten (Hamburger)</t>
        </is>
      </c>
      <c r="C186" s="9" t="n">
        <v>651.8</v>
      </c>
      <c r="D186" s="3" t="inlineStr">
        <is>
          <t>611</t>
        </is>
      </c>
      <c r="E186" s="10" t="n">
        <v>45671.43581018518</v>
      </c>
      <c r="F186" s="10" t="n">
        <v>45671.45903935185</v>
      </c>
      <c r="G186" s="10" t="n">
        <v>45671.57219907407</v>
      </c>
      <c r="H186" s="10" t="n">
        <v>45671.57219907407</v>
      </c>
      <c r="I186" s="10" t="n">
        <v>45671.57219907407</v>
      </c>
      <c r="J186" s="10" t="n">
        <v>45671.57418981481</v>
      </c>
      <c r="K186" s="11">
        <f>IF(AND(ISNUMBER(E186),ISNUMBER(F186)),(F186-E186),"")</f>
        <v/>
      </c>
      <c r="L186" s="11">
        <f>IF(AND(ISNUMBER(F186),ISNUMBER(G186)),(G186-F186),"")</f>
        <v/>
      </c>
      <c r="M186" s="11">
        <f>IF(AND(ISNUMBER(H186),ISNUMBER(I186)),(I186-H186),"")</f>
        <v/>
      </c>
      <c r="N186" s="11">
        <f>IF(AND(ISNUMBER(I186),ISNUMBER(J186)),(J186-I186),"")</f>
        <v/>
      </c>
      <c r="O186" s="11">
        <f>IF(AND(ISNUMBER(E186),ISNUMBER(J186)),(J186-E186),"")</f>
        <v/>
      </c>
    </row>
    <row r="187">
      <c r="A187" s="3" t="inlineStr">
        <is>
          <t>OBT140125102839-Wr. Neustadt (Brenntag)</t>
        </is>
      </c>
      <c r="B187" s="3" t="inlineStr">
        <is>
          <t>Wr. Neustadt (Brenntag)</t>
        </is>
      </c>
      <c r="C187" s="9" t="n">
        <v>117.22</v>
      </c>
      <c r="D187" s="3" t="inlineStr">
        <is>
          <t>627</t>
        </is>
      </c>
      <c r="E187" s="10" t="n">
        <v>45671.4365625</v>
      </c>
      <c r="F187" s="10" t="n">
        <v>45671.45956018518</v>
      </c>
      <c r="G187" s="10" t="n">
        <v>45671.47991898148</v>
      </c>
      <c r="H187" s="10" t="n">
        <v>45671.47991898148</v>
      </c>
      <c r="I187" s="10" t="n">
        <v>45671.47991898148</v>
      </c>
      <c r="J187" s="10" t="n">
        <v>45671.4805787037</v>
      </c>
      <c r="K187" s="11">
        <f>IF(AND(ISNUMBER(E187),ISNUMBER(F187)),(F187-E187),"")</f>
        <v/>
      </c>
      <c r="L187" s="11">
        <f>IF(AND(ISNUMBER(F187),ISNUMBER(G187)),(G187-F187),"")</f>
        <v/>
      </c>
      <c r="M187" s="11">
        <f>IF(AND(ISNUMBER(H187),ISNUMBER(I187)),(I187-H187),"")</f>
        <v/>
      </c>
      <c r="N187" s="11">
        <f>IF(AND(ISNUMBER(I187),ISNUMBER(J187)),(J187-I187),"")</f>
        <v/>
      </c>
      <c r="O187" s="11">
        <f>IF(AND(ISNUMBER(E187),ISNUMBER(J187)),(J187-E187),"")</f>
        <v/>
      </c>
    </row>
    <row r="188">
      <c r="A188" s="3" t="inlineStr">
        <is>
          <t>OBT140125130928-Wien Kledering</t>
        </is>
      </c>
      <c r="B188" s="3" t="inlineStr">
        <is>
          <t>Wien Kledering</t>
        </is>
      </c>
      <c r="C188" s="9" t="n">
        <v>297.8</v>
      </c>
      <c r="D188" s="3" t="inlineStr">
        <is>
          <t>611</t>
        </is>
      </c>
      <c r="E188" s="10" t="n">
        <v>45671.54824074074</v>
      </c>
      <c r="F188" s="10" t="n">
        <v>45671.54907407407</v>
      </c>
      <c r="G188" s="10" t="n">
        <v>45671.60077546296</v>
      </c>
      <c r="H188" s="10" t="n">
        <v>45671.60077546296</v>
      </c>
      <c r="I188" s="10" t="n">
        <v>45671.60077546296</v>
      </c>
      <c r="J188" s="10" t="n">
        <v>45671.60194444445</v>
      </c>
      <c r="K188" s="11">
        <f>IF(AND(ISNUMBER(E188),ISNUMBER(F188)),(F188-E188),"")</f>
        <v/>
      </c>
      <c r="L188" s="11">
        <f>IF(AND(ISNUMBER(F188),ISNUMBER(G188)),(G188-F188),"")</f>
        <v/>
      </c>
      <c r="M188" s="11">
        <f>IF(AND(ISNUMBER(H188),ISNUMBER(I188)),(I188-H188),"")</f>
        <v/>
      </c>
      <c r="N188" s="11">
        <f>IF(AND(ISNUMBER(I188),ISNUMBER(J188)),(J188-I188),"")</f>
        <v/>
      </c>
      <c r="O188" s="11">
        <f>IF(AND(ISNUMBER(E188),ISNUMBER(J188)),(J188-E188),"")</f>
        <v/>
      </c>
    </row>
    <row r="189">
      <c r="A189" s="3" t="inlineStr">
        <is>
          <t>OBT140125144027-Wien Kledering</t>
        </is>
      </c>
      <c r="B189" s="3" t="inlineStr">
        <is>
          <t>Wien Kledering</t>
        </is>
      </c>
      <c r="C189" s="9" t="n">
        <v>225.64</v>
      </c>
      <c r="D189" s="3" t="inlineStr">
        <is>
          <t>611</t>
        </is>
      </c>
      <c r="E189" s="10" t="n">
        <v>45671.61142361111</v>
      </c>
      <c r="F189" s="10" t="n">
        <v>45671.61225694444</v>
      </c>
      <c r="G189" s="10" t="n">
        <v>45671.65143518519</v>
      </c>
      <c r="H189" s="10" t="n">
        <v>45671.65143518519</v>
      </c>
      <c r="I189" s="10" t="n">
        <v>45671.65143518519</v>
      </c>
      <c r="J189" s="10" t="n">
        <v>45671.65244212963</v>
      </c>
      <c r="K189" s="11">
        <f>IF(AND(ISNUMBER(E189),ISNUMBER(F189)),(F189-E189),"")</f>
        <v/>
      </c>
      <c r="L189" s="11">
        <f>IF(AND(ISNUMBER(F189),ISNUMBER(G189)),(G189-F189),"")</f>
        <v/>
      </c>
      <c r="M189" s="11">
        <f>IF(AND(ISNUMBER(H189),ISNUMBER(I189)),(I189-H189),"")</f>
        <v/>
      </c>
      <c r="N189" s="11">
        <f>IF(AND(ISNUMBER(I189),ISNUMBER(J189)),(J189-I189),"")</f>
        <v/>
      </c>
      <c r="O189" s="11">
        <f>IF(AND(ISNUMBER(E189),ISNUMBER(J189)),(J189-E189),"")</f>
        <v/>
      </c>
    </row>
    <row r="190">
      <c r="A190" s="3" t="inlineStr">
        <is>
          <t>OBT140125153402-Felixdorf/Sollenau (Bundesheer, Maba)</t>
        </is>
      </c>
      <c r="B190" s="3" t="inlineStr">
        <is>
          <t>Felixdorf/Sollenau (Bundesheer, Maba)</t>
        </is>
      </c>
      <c r="C190" s="9" t="n">
        <v>100.6</v>
      </c>
      <c r="D190" s="3" t="inlineStr">
        <is>
          <t>609</t>
        </is>
      </c>
      <c r="E190" s="10" t="n">
        <v>45671.64863425926</v>
      </c>
      <c r="F190" s="10" t="n">
        <v>45671.65034722222</v>
      </c>
      <c r="G190" s="10" t="n">
        <v>45671.6678125</v>
      </c>
      <c r="H190" s="10" t="n">
        <v>45671.6678125</v>
      </c>
      <c r="I190" s="10" t="n">
        <v>45671.6678125</v>
      </c>
      <c r="J190" s="10" t="n">
        <v>45671.66858796297</v>
      </c>
      <c r="K190" s="11">
        <f>IF(AND(ISNUMBER(E190),ISNUMBER(F190)),(F190-E190),"")</f>
        <v/>
      </c>
      <c r="L190" s="11">
        <f>IF(AND(ISNUMBER(F190),ISNUMBER(G190)),(G190-F190),"")</f>
        <v/>
      </c>
      <c r="M190" s="11">
        <f>IF(AND(ISNUMBER(H190),ISNUMBER(I190)),(I190-H190),"")</f>
        <v/>
      </c>
      <c r="N190" s="11">
        <f>IF(AND(ISNUMBER(I190),ISNUMBER(J190)),(J190-I190),"")</f>
        <v/>
      </c>
      <c r="O190" s="11">
        <f>IF(AND(ISNUMBER(E190),ISNUMBER(J190)),(J190-E190),"")</f>
        <v/>
      </c>
    </row>
    <row r="191">
      <c r="A191" s="3" t="inlineStr">
        <is>
          <t>OBT140125153639-Ebenfurth (beet loading)</t>
        </is>
      </c>
      <c r="B191" s="3" t="inlineStr">
        <is>
          <t>Ebenfurth (beet loading)</t>
        </is>
      </c>
      <c r="C191" s="9" t="n">
        <v>141.66</v>
      </c>
      <c r="D191" s="3" t="inlineStr">
        <is>
          <t>623</t>
        </is>
      </c>
      <c r="E191" s="10" t="n">
        <v>45671.65045138889</v>
      </c>
      <c r="F191" s="10" t="n">
        <v>45671.65310185185</v>
      </c>
      <c r="G191" s="10" t="n">
        <v>45671.67769675926</v>
      </c>
      <c r="H191" s="10" t="n">
        <v>45671.67769675926</v>
      </c>
      <c r="I191" s="10" t="n">
        <v>45671.67769675926</v>
      </c>
      <c r="J191" s="10" t="n">
        <v>45671.67856481481</v>
      </c>
      <c r="K191" s="11">
        <f>IF(AND(ISNUMBER(E191),ISNUMBER(F191)),(F191-E191),"")</f>
        <v/>
      </c>
      <c r="L191" s="11">
        <f>IF(AND(ISNUMBER(F191),ISNUMBER(G191)),(G191-F191),"")</f>
        <v/>
      </c>
      <c r="M191" s="11">
        <f>IF(AND(ISNUMBER(H191),ISNUMBER(I191)),(I191-H191),"")</f>
        <v/>
      </c>
      <c r="N191" s="11">
        <f>IF(AND(ISNUMBER(I191),ISNUMBER(J191)),(J191-I191),"")</f>
        <v/>
      </c>
      <c r="O191" s="11">
        <f>IF(AND(ISNUMBER(E191),ISNUMBER(J191)),(J191-E191),"")</f>
        <v/>
      </c>
    </row>
    <row r="192">
      <c r="A192" s="3" t="inlineStr">
        <is>
          <t>OBT140125153802-Neudörfl (FunderMax)</t>
        </is>
      </c>
      <c r="B192" s="3" t="inlineStr">
        <is>
          <t>Neudörfl (FunderMax)</t>
        </is>
      </c>
      <c r="C192" s="9" t="n">
        <v>132.4</v>
      </c>
      <c r="D192" s="3" t="inlineStr">
        <is>
          <t>615</t>
        </is>
      </c>
      <c r="E192" s="10" t="n">
        <v>45671.65141203703</v>
      </c>
      <c r="F192" s="10" t="n">
        <v>45671.66950231481</v>
      </c>
      <c r="G192" s="10" t="n">
        <v>45671.69248842593</v>
      </c>
      <c r="H192" s="10" t="n">
        <v>45671.69248842593</v>
      </c>
      <c r="I192" s="10" t="n">
        <v>45671.69248842593</v>
      </c>
      <c r="J192" s="10" t="n">
        <v>45671.69326388889</v>
      </c>
      <c r="K192" s="11">
        <f>IF(AND(ISNUMBER(E192),ISNUMBER(F192)),(F192-E192),"")</f>
        <v/>
      </c>
      <c r="L192" s="11">
        <f>IF(AND(ISNUMBER(F192),ISNUMBER(G192)),(G192-F192),"")</f>
        <v/>
      </c>
      <c r="M192" s="11">
        <f>IF(AND(ISNUMBER(H192),ISNUMBER(I192)),(I192-H192),"")</f>
        <v/>
      </c>
      <c r="N192" s="11">
        <f>IF(AND(ISNUMBER(I192),ISNUMBER(J192)),(J192-I192),"")</f>
        <v/>
      </c>
      <c r="O192" s="11">
        <f>IF(AND(ISNUMBER(E192),ISNUMBER(J192)),(J192-E192),"")</f>
        <v/>
      </c>
    </row>
    <row r="193">
      <c r="A193" s="3" t="inlineStr">
        <is>
          <t>OBT140125154219-Pitten (Hamburger)</t>
        </is>
      </c>
      <c r="B193" s="3" t="inlineStr">
        <is>
          <t>Pitten (Hamburger)</t>
        </is>
      </c>
      <c r="C193" s="9" t="n">
        <v>163.42</v>
      </c>
      <c r="D193" s="3" t="inlineStr">
        <is>
          <t>613</t>
        </is>
      </c>
      <c r="E193" s="10" t="n">
        <v>45671.65438657408</v>
      </c>
      <c r="F193" s="10" t="n">
        <v>45671.6715625</v>
      </c>
      <c r="G193" s="10" t="n">
        <v>45671.69993055556</v>
      </c>
      <c r="H193" s="10" t="n">
        <v>45671.69993055556</v>
      </c>
      <c r="I193" s="10" t="n">
        <v>45671.69993055556</v>
      </c>
      <c r="J193" s="10" t="n">
        <v>45671.70074074074</v>
      </c>
      <c r="K193" s="11">
        <f>IF(AND(ISNUMBER(E193),ISNUMBER(F193)),(F193-E193),"")</f>
        <v/>
      </c>
      <c r="L193" s="11">
        <f>IF(AND(ISNUMBER(F193),ISNUMBER(G193)),(G193-F193),"")</f>
        <v/>
      </c>
      <c r="M193" s="11">
        <f>IF(AND(ISNUMBER(H193),ISNUMBER(I193)),(I193-H193),"")</f>
        <v/>
      </c>
      <c r="N193" s="11">
        <f>IF(AND(ISNUMBER(I193),ISNUMBER(J193)),(J193-I193),"")</f>
        <v/>
      </c>
      <c r="O193" s="11">
        <f>IF(AND(ISNUMBER(E193),ISNUMBER(J193)),(J193-E193),"")</f>
        <v/>
      </c>
    </row>
    <row r="194">
      <c r="A194" s="3" t="inlineStr">
        <is>
          <t>OBT140125155553-Gloggnitz</t>
        </is>
      </c>
      <c r="B194" s="3" t="inlineStr">
        <is>
          <t>Gloggnitz</t>
        </is>
      </c>
      <c r="C194" s="9" t="n">
        <v>139.48</v>
      </c>
      <c r="D194" s="3" t="inlineStr">
        <is>
          <t>627</t>
        </is>
      </c>
      <c r="E194" s="10" t="n">
        <v>45671.66380787037</v>
      </c>
      <c r="F194" s="10" t="n">
        <v>45671.679375</v>
      </c>
      <c r="G194" s="10" t="n">
        <v>45671.70358796296</v>
      </c>
      <c r="H194" s="10" t="n">
        <v>45671.70358796296</v>
      </c>
      <c r="I194" s="10" t="n">
        <v>45671.70358796296</v>
      </c>
      <c r="J194" s="10" t="n">
        <v>45671.70430555556</v>
      </c>
      <c r="K194" s="11">
        <f>IF(AND(ISNUMBER(E194),ISNUMBER(F194)),(F194-E194),"")</f>
        <v/>
      </c>
      <c r="L194" s="11">
        <f>IF(AND(ISNUMBER(F194),ISNUMBER(G194)),(G194-F194),"")</f>
        <v/>
      </c>
      <c r="M194" s="11">
        <f>IF(AND(ISNUMBER(H194),ISNUMBER(I194)),(I194-H194),"")</f>
        <v/>
      </c>
      <c r="N194" s="11">
        <f>IF(AND(ISNUMBER(I194),ISNUMBER(J194)),(J194-I194),"")</f>
        <v/>
      </c>
      <c r="O194" s="11">
        <f>IF(AND(ISNUMBER(E194),ISNUMBER(J194)),(J194-E194),"")</f>
        <v/>
      </c>
    </row>
    <row r="195">
      <c r="A195" s="3" t="inlineStr">
        <is>
          <t>OBT140125160010-Wien Kledering</t>
        </is>
      </c>
      <c r="B195" s="3" t="inlineStr">
        <is>
          <t>Wien Kledering</t>
        </is>
      </c>
      <c r="C195" s="9" t="n">
        <v>173.14</v>
      </c>
      <c r="D195" s="3" t="inlineStr">
        <is>
          <t>605</t>
        </is>
      </c>
      <c r="E195" s="10" t="n">
        <v>45671.66678240741</v>
      </c>
      <c r="F195" s="10" t="n">
        <v>45671.69418981481</v>
      </c>
      <c r="G195" s="10" t="n">
        <v>45671.72424768518</v>
      </c>
      <c r="H195" s="10" t="n">
        <v>45671.72424768518</v>
      </c>
      <c r="I195" s="10" t="n">
        <v>45671.72424768518</v>
      </c>
      <c r="J195" s="10" t="n">
        <v>45671.72524305555</v>
      </c>
      <c r="K195" s="11">
        <f>IF(AND(ISNUMBER(E195),ISNUMBER(F195)),(F195-E195),"")</f>
        <v/>
      </c>
      <c r="L195" s="11">
        <f>IF(AND(ISNUMBER(F195),ISNUMBER(G195)),(G195-F195),"")</f>
        <v/>
      </c>
      <c r="M195" s="11">
        <f>IF(AND(ISNUMBER(H195),ISNUMBER(I195)),(I195-H195),"")</f>
        <v/>
      </c>
      <c r="N195" s="11">
        <f>IF(AND(ISNUMBER(I195),ISNUMBER(J195)),(J195-I195),"")</f>
        <v/>
      </c>
      <c r="O195" s="11">
        <f>IF(AND(ISNUMBER(E195),ISNUMBER(J195)),(J195-E195),"")</f>
        <v/>
      </c>
    </row>
    <row r="196">
      <c r="A196" s="3" t="inlineStr">
        <is>
          <t>OBT140125180846-Wien Kledering</t>
        </is>
      </c>
      <c r="B196" s="3" t="inlineStr">
        <is>
          <t>Wien Kledering</t>
        </is>
      </c>
      <c r="C196" s="9" t="n">
        <v>103.86</v>
      </c>
      <c r="D196" s="3" t="inlineStr">
        <is>
          <t>607</t>
        </is>
      </c>
      <c r="E196" s="10" t="n">
        <v>45671.75608796296</v>
      </c>
      <c r="F196" s="10" t="n">
        <v>45671.75695601852</v>
      </c>
      <c r="G196" s="10" t="n">
        <v>45671.77498842592</v>
      </c>
      <c r="H196" s="10" t="n">
        <v>45671.77498842592</v>
      </c>
      <c r="I196" s="10" t="n">
        <v>45671.77498842592</v>
      </c>
      <c r="J196" s="10" t="n">
        <v>45671.77582175926</v>
      </c>
      <c r="K196" s="11">
        <f>IF(AND(ISNUMBER(E196),ISNUMBER(F196)),(F196-E196),"")</f>
        <v/>
      </c>
      <c r="L196" s="11">
        <f>IF(AND(ISNUMBER(F196),ISNUMBER(G196)),(G196-F196),"")</f>
        <v/>
      </c>
      <c r="M196" s="11">
        <f>IF(AND(ISNUMBER(H196),ISNUMBER(I196)),(I196-H196),"")</f>
        <v/>
      </c>
      <c r="N196" s="11">
        <f>IF(AND(ISNUMBER(I196),ISNUMBER(J196)),(J196-I196),"")</f>
        <v/>
      </c>
      <c r="O196" s="11">
        <f>IF(AND(ISNUMBER(E196),ISNUMBER(J196)),(J196-E196),"")</f>
        <v/>
      </c>
    </row>
    <row r="197">
      <c r="A197" s="3" t="inlineStr">
        <is>
          <t>OBT140125181221-Wr. Neustadt (Hödlmayr)</t>
        </is>
      </c>
      <c r="B197" s="3" t="inlineStr">
        <is>
          <t>Wr. Neustadt (Hödlmayr)</t>
        </is>
      </c>
      <c r="C197" s="9" t="n">
        <v>108</v>
      </c>
      <c r="D197" s="3" t="inlineStr">
        <is>
          <t>615</t>
        </is>
      </c>
      <c r="E197" s="10" t="n">
        <v>45671.75857638889</v>
      </c>
      <c r="F197" s="10" t="n">
        <v>45671.76021990741</v>
      </c>
      <c r="G197" s="10" t="n">
        <v>45671.77896990741</v>
      </c>
      <c r="H197" s="10" t="n">
        <v>45671.77896990741</v>
      </c>
      <c r="I197" s="10" t="n">
        <v>45671.77896990741</v>
      </c>
      <c r="J197" s="10" t="n">
        <v>45671.7796875</v>
      </c>
      <c r="K197" s="11">
        <f>IF(AND(ISNUMBER(E197),ISNUMBER(F197)),(F197-E197),"")</f>
        <v/>
      </c>
      <c r="L197" s="11">
        <f>IF(AND(ISNUMBER(F197),ISNUMBER(G197)),(G197-F197),"")</f>
        <v/>
      </c>
      <c r="M197" s="11">
        <f>IF(AND(ISNUMBER(H197),ISNUMBER(I197)),(I197-H197),"")</f>
        <v/>
      </c>
      <c r="N197" s="11">
        <f>IF(AND(ISNUMBER(I197),ISNUMBER(J197)),(J197-I197),"")</f>
        <v/>
      </c>
      <c r="O197" s="11">
        <f>IF(AND(ISNUMBER(E197),ISNUMBER(J197)),(J197-E197),"")</f>
        <v/>
      </c>
    </row>
    <row r="198">
      <c r="A198" s="3" t="inlineStr">
        <is>
          <t>OBT140125181252-Steinabrückl/Wöllersdorf</t>
        </is>
      </c>
      <c r="B198" s="3" t="inlineStr">
        <is>
          <t>Steinabrückl/Wöllersdorf</t>
        </is>
      </c>
      <c r="C198" s="9" t="n">
        <v>125.92</v>
      </c>
      <c r="D198" s="3" t="inlineStr">
        <is>
          <t>621</t>
        </is>
      </c>
      <c r="E198" s="10" t="n">
        <v>45671.75893518519</v>
      </c>
      <c r="F198" s="10" t="n">
        <v>45671.77648148148</v>
      </c>
      <c r="G198" s="10" t="n">
        <v>45671.79834490741</v>
      </c>
      <c r="H198" s="10" t="n">
        <v>45671.79834490741</v>
      </c>
      <c r="I198" s="10" t="n">
        <v>45671.79834490741</v>
      </c>
      <c r="J198" s="10" t="n">
        <v>45671.79916666666</v>
      </c>
      <c r="K198" s="11">
        <f>IF(AND(ISNUMBER(E198),ISNUMBER(F198)),(F198-E198),"")</f>
        <v/>
      </c>
      <c r="L198" s="11">
        <f>IF(AND(ISNUMBER(F198),ISNUMBER(G198)),(G198-F198),"")</f>
        <v/>
      </c>
      <c r="M198" s="11">
        <f>IF(AND(ISNUMBER(H198),ISNUMBER(I198)),(I198-H198),"")</f>
        <v/>
      </c>
      <c r="N198" s="11">
        <f>IF(AND(ISNUMBER(I198),ISNUMBER(J198)),(J198-I198),"")</f>
        <v/>
      </c>
      <c r="O198" s="11">
        <f>IF(AND(ISNUMBER(E198),ISNUMBER(J198)),(J198-E198),"")</f>
        <v/>
      </c>
    </row>
    <row r="199">
      <c r="A199" s="3" t="inlineStr">
        <is>
          <t>OBT140125181642-Ternitz (Schoeller-Bleckmann)</t>
        </is>
      </c>
      <c r="B199" s="3" t="inlineStr">
        <is>
          <t>Ternitz (Schoeller-Bleckmann)</t>
        </is>
      </c>
      <c r="C199" s="9" t="n">
        <v>103.68</v>
      </c>
      <c r="D199" s="3" t="inlineStr">
        <is>
          <t>617</t>
        </is>
      </c>
      <c r="E199" s="10" t="n">
        <v>45671.76159722222</v>
      </c>
      <c r="F199" s="10" t="n">
        <v>45671.77672453703</v>
      </c>
      <c r="G199" s="10" t="n">
        <v>45671.79472222222</v>
      </c>
      <c r="H199" s="10" t="n">
        <v>45671.79472222222</v>
      </c>
      <c r="I199" s="10" t="n">
        <v>45671.79472222222</v>
      </c>
      <c r="J199" s="10" t="n">
        <v>45671.79550925926</v>
      </c>
      <c r="K199" s="11">
        <f>IF(AND(ISNUMBER(E199),ISNUMBER(F199)),(F199-E199),"")</f>
        <v/>
      </c>
      <c r="L199" s="11">
        <f>IF(AND(ISNUMBER(F199),ISNUMBER(G199)),(G199-F199),"")</f>
        <v/>
      </c>
      <c r="M199" s="11">
        <f>IF(AND(ISNUMBER(H199),ISNUMBER(I199)),(I199-H199),"")</f>
        <v/>
      </c>
      <c r="N199" s="11">
        <f>IF(AND(ISNUMBER(I199),ISNUMBER(J199)),(J199-I199),"")</f>
        <v/>
      </c>
      <c r="O199" s="11">
        <f>IF(AND(ISNUMBER(E199),ISNUMBER(J199)),(J199-E199),"")</f>
        <v/>
      </c>
    </row>
    <row r="200">
      <c r="A200" s="3" t="inlineStr">
        <is>
          <t>OBT140125182854-Neudörfl (FunderMax)</t>
        </is>
      </c>
      <c r="B200" s="3" t="inlineStr">
        <is>
          <t>Neudörfl (FunderMax)</t>
        </is>
      </c>
      <c r="C200" s="9" t="n">
        <v>111.4</v>
      </c>
      <c r="D200" s="3" t="inlineStr">
        <is>
          <t>623</t>
        </is>
      </c>
      <c r="E200" s="10" t="n">
        <v>45671.77006944444</v>
      </c>
      <c r="F200" s="10" t="n">
        <v>45671.78070601852</v>
      </c>
      <c r="G200" s="10" t="n">
        <v>45671.8000462963</v>
      </c>
      <c r="H200" s="10" t="n">
        <v>45671.8000462963</v>
      </c>
      <c r="I200" s="10" t="n">
        <v>45671.8000462963</v>
      </c>
      <c r="J200" s="10" t="n">
        <v>45671.8008449074</v>
      </c>
      <c r="K200" s="11">
        <f>IF(AND(ISNUMBER(E200),ISNUMBER(F200)),(F200-E200),"")</f>
        <v/>
      </c>
      <c r="L200" s="11">
        <f>IF(AND(ISNUMBER(F200),ISNUMBER(G200)),(G200-F200),"")</f>
        <v/>
      </c>
      <c r="M200" s="11">
        <f>IF(AND(ISNUMBER(H200),ISNUMBER(I200)),(I200-H200),"")</f>
        <v/>
      </c>
      <c r="N200" s="11">
        <f>IF(AND(ISNUMBER(I200),ISNUMBER(J200)),(J200-I200),"")</f>
        <v/>
      </c>
      <c r="O200" s="11">
        <f>IF(AND(ISNUMBER(E200),ISNUMBER(J200)),(J200-E200),"")</f>
        <v/>
      </c>
    </row>
    <row r="201">
      <c r="A201" s="3" t="inlineStr">
        <is>
          <t>OBT140125183542-Pitten (Hamburger)</t>
        </is>
      </c>
      <c r="B201" s="3" t="inlineStr">
        <is>
          <t>Pitten (Hamburger)</t>
        </is>
      </c>
      <c r="C201" s="9" t="n">
        <v>132.68</v>
      </c>
      <c r="D201" s="3" t="inlineStr">
        <is>
          <t>605</t>
        </is>
      </c>
      <c r="E201" s="10" t="n">
        <v>45671.77479166666</v>
      </c>
      <c r="F201" s="10" t="n">
        <v>45671.79645833333</v>
      </c>
      <c r="G201" s="10" t="n">
        <v>45671.81949074074</v>
      </c>
      <c r="H201" s="10" t="n">
        <v>45671.81949074074</v>
      </c>
      <c r="I201" s="10" t="n">
        <v>45671.81949074074</v>
      </c>
      <c r="J201" s="10" t="n">
        <v>45671.82039351852</v>
      </c>
      <c r="K201" s="11">
        <f>IF(AND(ISNUMBER(E201),ISNUMBER(F201)),(F201-E201),"")</f>
        <v/>
      </c>
      <c r="L201" s="11">
        <f>IF(AND(ISNUMBER(F201),ISNUMBER(G201)),(G201-F201),"")</f>
        <v/>
      </c>
      <c r="M201" s="11">
        <f>IF(AND(ISNUMBER(H201),ISNUMBER(I201)),(I201-H201),"")</f>
        <v/>
      </c>
      <c r="N201" s="11">
        <f>IF(AND(ISNUMBER(I201),ISNUMBER(J201)),(J201-I201),"")</f>
        <v/>
      </c>
      <c r="O201" s="11">
        <f>IF(AND(ISNUMBER(E201),ISNUMBER(J201)),(J201-E201),"")</f>
        <v/>
      </c>
    </row>
    <row r="202">
      <c r="A202" s="3" t="inlineStr">
        <is>
          <t>OBT150125024833-Neunkirchen (loading tracks)</t>
        </is>
      </c>
      <c r="B202" s="3" t="inlineStr">
        <is>
          <t>Neunkirchen (loading tracks)</t>
        </is>
      </c>
      <c r="C202" s="9" t="n">
        <v>208.9</v>
      </c>
      <c r="D202" s="3" t="inlineStr">
        <is>
          <t>606</t>
        </is>
      </c>
      <c r="E202" s="10" t="n">
        <v>45672.11704861111</v>
      </c>
      <c r="F202" s="10" t="n">
        <v>45672.11791666667</v>
      </c>
      <c r="G202" s="10" t="n">
        <v>45672.15417824074</v>
      </c>
      <c r="H202" s="10" t="n">
        <v>45672.15417824074</v>
      </c>
      <c r="I202" s="10" t="n">
        <v>45672.15417824074</v>
      </c>
      <c r="J202" s="10" t="n">
        <v>45672.15517361111</v>
      </c>
      <c r="K202" s="11">
        <f>IF(AND(ISNUMBER(E202),ISNUMBER(F202)),(F202-E202),"")</f>
        <v/>
      </c>
      <c r="L202" s="11">
        <f>IF(AND(ISNUMBER(F202),ISNUMBER(G202)),(G202-F202),"")</f>
        <v/>
      </c>
      <c r="M202" s="11">
        <f>IF(AND(ISNUMBER(H202),ISNUMBER(I202)),(I202-H202),"")</f>
        <v/>
      </c>
      <c r="N202" s="11">
        <f>IF(AND(ISNUMBER(I202),ISNUMBER(J202)),(J202-I202),"")</f>
        <v/>
      </c>
      <c r="O202" s="11">
        <f>IF(AND(ISNUMBER(E202),ISNUMBER(J202)),(J202-E202),"")</f>
        <v/>
      </c>
    </row>
    <row r="203">
      <c r="A203" s="3" t="inlineStr">
        <is>
          <t>OBT150125025656-Other sidings south</t>
        </is>
      </c>
      <c r="B203" s="3" t="inlineStr">
        <is>
          <t>Other sidings south</t>
        </is>
      </c>
      <c r="C203" s="9" t="n">
        <v>177.38</v>
      </c>
      <c r="D203" s="3" t="inlineStr">
        <is>
          <t>619</t>
        </is>
      </c>
      <c r="E203" s="10" t="n">
        <v>45672.12287037037</v>
      </c>
      <c r="F203" s="10" t="n">
        <v>45672.12370370371</v>
      </c>
      <c r="G203" s="10" t="n">
        <v>45672.15450231481</v>
      </c>
      <c r="H203" s="10" t="n">
        <v>45672.15450231481</v>
      </c>
      <c r="I203" s="10" t="n">
        <v>45672.15517361111</v>
      </c>
      <c r="J203" s="10" t="n">
        <v>45672.15613425926</v>
      </c>
      <c r="K203" s="11">
        <f>IF(AND(ISNUMBER(E203),ISNUMBER(F203)),(F203-E203),"")</f>
        <v/>
      </c>
      <c r="L203" s="11">
        <f>IF(AND(ISNUMBER(F203),ISNUMBER(G203)),(G203-F203),"")</f>
        <v/>
      </c>
      <c r="M203" s="11">
        <f>IF(AND(ISNUMBER(H203),ISNUMBER(I203)),(I203-H203),"")</f>
        <v/>
      </c>
      <c r="N203" s="11">
        <f>IF(AND(ISNUMBER(I203),ISNUMBER(J203)),(J203-I203),"")</f>
        <v/>
      </c>
      <c r="O203" s="11">
        <f>IF(AND(ISNUMBER(E203),ISNUMBER(J203)),(J203-E203),"")</f>
        <v/>
      </c>
    </row>
    <row r="204">
      <c r="A204" s="3" t="inlineStr">
        <is>
          <t>OBT150125045827-Neudörfl (FunderMax)</t>
        </is>
      </c>
      <c r="B204" s="3" t="inlineStr">
        <is>
          <t>Neudörfl (FunderMax)</t>
        </is>
      </c>
      <c r="C204" s="9" t="n">
        <v>521.9</v>
      </c>
      <c r="D204" s="3" t="inlineStr">
        <is>
          <t>623</t>
        </is>
      </c>
      <c r="E204" s="10" t="n">
        <v>45672.20725694444</v>
      </c>
      <c r="F204" s="10" t="n">
        <v>45672.20810185185</v>
      </c>
      <c r="G204" s="10" t="n">
        <v>45672.2987037037</v>
      </c>
      <c r="H204" s="10" t="n">
        <v>45672.2987037037</v>
      </c>
      <c r="I204" s="10" t="n">
        <v>45672.2987037037</v>
      </c>
      <c r="J204" s="10" t="n">
        <v>45672.30045138889</v>
      </c>
      <c r="K204" s="11">
        <f>IF(AND(ISNUMBER(E204),ISNUMBER(F204)),(F204-E204),"")</f>
        <v/>
      </c>
      <c r="L204" s="11">
        <f>IF(AND(ISNUMBER(F204),ISNUMBER(G204)),(G204-F204),"")</f>
        <v/>
      </c>
      <c r="M204" s="11">
        <f>IF(AND(ISNUMBER(H204),ISNUMBER(I204)),(I204-H204),"")</f>
        <v/>
      </c>
      <c r="N204" s="11">
        <f>IF(AND(ISNUMBER(I204),ISNUMBER(J204)),(J204-I204),"")</f>
        <v/>
      </c>
      <c r="O204" s="11">
        <f>IF(AND(ISNUMBER(E204),ISNUMBER(J204)),(J204-E204),"")</f>
        <v/>
      </c>
    </row>
    <row r="205">
      <c r="A205" s="3" t="inlineStr">
        <is>
          <t>OBT150125064840-Wien Kledering</t>
        </is>
      </c>
      <c r="B205" s="3" t="inlineStr">
        <is>
          <t>Wien Kledering</t>
        </is>
      </c>
      <c r="C205" s="9" t="n">
        <v>313.74</v>
      </c>
      <c r="D205" s="3" t="inlineStr">
        <is>
          <t>615</t>
        </is>
      </c>
      <c r="E205" s="10" t="n">
        <v>45672.28379629629</v>
      </c>
      <c r="F205" s="10" t="n">
        <v>45672.28466435185</v>
      </c>
      <c r="G205" s="10" t="n">
        <v>45672.33913194444</v>
      </c>
      <c r="H205" s="10" t="n">
        <v>45672.33913194444</v>
      </c>
      <c r="I205" s="10" t="n">
        <v>45672.33913194444</v>
      </c>
      <c r="J205" s="10" t="n">
        <v>45672.34032407407</v>
      </c>
      <c r="K205" s="11">
        <f>IF(AND(ISNUMBER(E205),ISNUMBER(F205)),(F205-E205),"")</f>
        <v/>
      </c>
      <c r="L205" s="11">
        <f>IF(AND(ISNUMBER(F205),ISNUMBER(G205)),(G205-F205),"")</f>
        <v/>
      </c>
      <c r="M205" s="11">
        <f>IF(AND(ISNUMBER(H205),ISNUMBER(I205)),(I205-H205),"")</f>
        <v/>
      </c>
      <c r="N205" s="11">
        <f>IF(AND(ISNUMBER(I205),ISNUMBER(J205)),(J205-I205),"")</f>
        <v/>
      </c>
      <c r="O205" s="11">
        <f>IF(AND(ISNUMBER(E205),ISNUMBER(J205)),(J205-E205),"")</f>
        <v/>
      </c>
    </row>
    <row r="206">
      <c r="A206" s="3" t="inlineStr">
        <is>
          <t>OBT150125074216-Ebenfurth (beet loading)</t>
        </is>
      </c>
      <c r="B206" s="3" t="inlineStr">
        <is>
          <t>Ebenfurth (beet loading)</t>
        </is>
      </c>
      <c r="C206" s="9" t="n">
        <v>110.18</v>
      </c>
      <c r="D206" s="3" t="inlineStr">
        <is>
          <t>627</t>
        </is>
      </c>
      <c r="E206" s="10" t="n">
        <v>45672.32101851852</v>
      </c>
      <c r="F206" s="10" t="n">
        <v>45672.32188657407</v>
      </c>
      <c r="G206" s="10" t="n">
        <v>45672.34101851852</v>
      </c>
      <c r="H206" s="10" t="n">
        <v>45672.34101851852</v>
      </c>
      <c r="I206" s="10" t="n">
        <v>45672.34101851852</v>
      </c>
      <c r="J206" s="10" t="n">
        <v>45672.34166666667</v>
      </c>
      <c r="K206" s="11">
        <f>IF(AND(ISNUMBER(E206),ISNUMBER(F206)),(F206-E206),"")</f>
        <v/>
      </c>
      <c r="L206" s="11">
        <f>IF(AND(ISNUMBER(F206),ISNUMBER(G206)),(G206-F206),"")</f>
        <v/>
      </c>
      <c r="M206" s="11">
        <f>IF(AND(ISNUMBER(H206),ISNUMBER(I206)),(I206-H206),"")</f>
        <v/>
      </c>
      <c r="N206" s="11">
        <f>IF(AND(ISNUMBER(I206),ISNUMBER(J206)),(J206-I206),"")</f>
        <v/>
      </c>
      <c r="O206" s="11">
        <f>IF(AND(ISNUMBER(E206),ISNUMBER(J206)),(J206-E206),"")</f>
        <v/>
      </c>
    </row>
    <row r="207">
      <c r="A207" s="3" t="inlineStr">
        <is>
          <t>OBT150125075736-Other sidings north</t>
        </is>
      </c>
      <c r="B207" s="3" t="inlineStr">
        <is>
          <t>Other sidings north</t>
        </is>
      </c>
      <c r="C207" s="9" t="n">
        <v>145.08</v>
      </c>
      <c r="D207" s="3" t="inlineStr">
        <is>
          <t>625</t>
        </is>
      </c>
      <c r="E207" s="10" t="n">
        <v>45672.33166666667</v>
      </c>
      <c r="F207" s="10" t="n">
        <v>45672.33923611111</v>
      </c>
      <c r="G207" s="10" t="n">
        <v>45672.3644212963</v>
      </c>
      <c r="H207" s="10" t="n">
        <v>45672.3644212963</v>
      </c>
      <c r="I207" s="10" t="n">
        <v>45672.3644212963</v>
      </c>
      <c r="J207" s="10" t="n">
        <v>45672.36525462963</v>
      </c>
      <c r="K207" s="11">
        <f>IF(AND(ISNUMBER(E207),ISNUMBER(F207)),(F207-E207),"")</f>
        <v/>
      </c>
      <c r="L207" s="11">
        <f>IF(AND(ISNUMBER(F207),ISNUMBER(G207)),(G207-F207),"")</f>
        <v/>
      </c>
      <c r="M207" s="11">
        <f>IF(AND(ISNUMBER(H207),ISNUMBER(I207)),(I207-H207),"")</f>
        <v/>
      </c>
      <c r="N207" s="11">
        <f>IF(AND(ISNUMBER(I207),ISNUMBER(J207)),(J207-I207),"")</f>
        <v/>
      </c>
      <c r="O207" s="11">
        <f>IF(AND(ISNUMBER(E207),ISNUMBER(J207)),(J207-E207),"")</f>
        <v/>
      </c>
    </row>
    <row r="208">
      <c r="A208" s="3" t="inlineStr">
        <is>
          <t>OBT150125080153-Wr. Neustadt (Hödlmayr)</t>
        </is>
      </c>
      <c r="B208" s="3" t="inlineStr">
        <is>
          <t>Wr. Neustadt (Hödlmayr)</t>
        </is>
      </c>
      <c r="C208" s="9" t="n">
        <v>108</v>
      </c>
      <c r="D208" s="3" t="inlineStr">
        <is>
          <t>617</t>
        </is>
      </c>
      <c r="E208" s="10" t="n">
        <v>45672.33464120371</v>
      </c>
      <c r="F208" s="10" t="n">
        <v>45672.34086805556</v>
      </c>
      <c r="G208" s="10" t="n">
        <v>45672.35961805555</v>
      </c>
      <c r="H208" s="10" t="n">
        <v>45672.35961805555</v>
      </c>
      <c r="I208" s="10" t="n">
        <v>45672.35961805555</v>
      </c>
      <c r="J208" s="10" t="n">
        <v>45672.36041666667</v>
      </c>
      <c r="K208" s="11">
        <f>IF(AND(ISNUMBER(E208),ISNUMBER(F208)),(F208-E208),"")</f>
        <v/>
      </c>
      <c r="L208" s="11">
        <f>IF(AND(ISNUMBER(F208),ISNUMBER(G208)),(G208-F208),"")</f>
        <v/>
      </c>
      <c r="M208" s="11">
        <f>IF(AND(ISNUMBER(H208),ISNUMBER(I208)),(I208-H208),"")</f>
        <v/>
      </c>
      <c r="N208" s="11">
        <f>IF(AND(ISNUMBER(I208),ISNUMBER(J208)),(J208-I208),"")</f>
        <v/>
      </c>
      <c r="O208" s="11">
        <f>IF(AND(ISNUMBER(E208),ISNUMBER(J208)),(J208-E208),"")</f>
        <v/>
      </c>
    </row>
    <row r="209">
      <c r="A209" s="3" t="inlineStr">
        <is>
          <t>OBT150125080609-Wien Kledering</t>
        </is>
      </c>
      <c r="B209" s="3" t="inlineStr">
        <is>
          <t>Wien Kledering</t>
        </is>
      </c>
      <c r="C209" s="9" t="n">
        <v>256.98</v>
      </c>
      <c r="D209" s="3" t="inlineStr">
        <is>
          <t>623</t>
        </is>
      </c>
      <c r="E209" s="10" t="n">
        <v>45672.33760416666</v>
      </c>
      <c r="F209" s="10" t="n">
        <v>45672.34275462963</v>
      </c>
      <c r="G209" s="10" t="n">
        <v>45672.38737268518</v>
      </c>
      <c r="H209" s="10" t="n">
        <v>45672.38737268518</v>
      </c>
      <c r="I209" s="10" t="n">
        <v>45672.38737268518</v>
      </c>
      <c r="J209" s="10" t="n">
        <v>45672.38850694444</v>
      </c>
      <c r="K209" s="11">
        <f>IF(AND(ISNUMBER(E209),ISNUMBER(F209)),(F209-E209),"")</f>
        <v/>
      </c>
      <c r="L209" s="11">
        <f>IF(AND(ISNUMBER(F209),ISNUMBER(G209)),(G209-F209),"")</f>
        <v/>
      </c>
      <c r="M209" s="11">
        <f>IF(AND(ISNUMBER(H209),ISNUMBER(I209)),(I209-H209),"")</f>
        <v/>
      </c>
      <c r="N209" s="11">
        <f>IF(AND(ISNUMBER(I209),ISNUMBER(J209)),(J209-I209),"")</f>
        <v/>
      </c>
      <c r="O209" s="11">
        <f>IF(AND(ISNUMBER(E209),ISNUMBER(J209)),(J209-E209),"")</f>
        <v/>
      </c>
    </row>
    <row r="210">
      <c r="A210" s="3" t="inlineStr">
        <is>
          <t>OBT150125084204-Wien Kledering</t>
        </is>
      </c>
      <c r="B210" s="3" t="inlineStr">
        <is>
          <t>Wien Kledering</t>
        </is>
      </c>
      <c r="C210" s="9" t="n">
        <v>374.0600000000001</v>
      </c>
      <c r="D210" s="3" t="inlineStr">
        <is>
          <t>621</t>
        </is>
      </c>
      <c r="E210" s="10" t="n">
        <v>45672.3625462963</v>
      </c>
      <c r="F210" s="10" t="n">
        <v>45672.36418981481</v>
      </c>
      <c r="G210" s="10" t="n">
        <v>45672.42913194445</v>
      </c>
      <c r="H210" s="10" t="n">
        <v>45672.42913194445</v>
      </c>
      <c r="I210" s="10" t="n">
        <v>45672.42913194445</v>
      </c>
      <c r="J210" s="10" t="n">
        <v>45672.43053240741</v>
      </c>
      <c r="K210" s="11">
        <f>IF(AND(ISNUMBER(E210),ISNUMBER(F210)),(F210-E210),"")</f>
        <v/>
      </c>
      <c r="L210" s="11">
        <f>IF(AND(ISNUMBER(F210),ISNUMBER(G210)),(G210-F210),"")</f>
        <v/>
      </c>
      <c r="M210" s="11">
        <f>IF(AND(ISNUMBER(H210),ISNUMBER(I210)),(I210-H210),"")</f>
        <v/>
      </c>
      <c r="N210" s="11">
        <f>IF(AND(ISNUMBER(I210),ISNUMBER(J210)),(J210-I210),"")</f>
        <v/>
      </c>
      <c r="O210" s="11">
        <f>IF(AND(ISNUMBER(E210),ISNUMBER(J210)),(J210-E210),"")</f>
        <v/>
      </c>
    </row>
    <row r="211">
      <c r="A211" s="3" t="inlineStr">
        <is>
          <t>OBT150125092356-Pitten (Hamburger)</t>
        </is>
      </c>
      <c r="B211" s="3" t="inlineStr">
        <is>
          <t>Pitten (Hamburger)</t>
        </is>
      </c>
      <c r="C211" s="9" t="n">
        <v>108.7</v>
      </c>
      <c r="D211" s="3" t="inlineStr">
        <is>
          <t>619</t>
        </is>
      </c>
      <c r="E211" s="10" t="n">
        <v>45672.39162037037</v>
      </c>
      <c r="F211" s="10" t="n">
        <v>45672.39465277778</v>
      </c>
      <c r="G211" s="10" t="n">
        <v>45672.41353009259</v>
      </c>
      <c r="H211" s="10" t="n">
        <v>45672.41353009259</v>
      </c>
      <c r="I211" s="10" t="n">
        <v>45672.41353009259</v>
      </c>
      <c r="J211" s="10" t="n">
        <v>45672.4143287037</v>
      </c>
      <c r="K211" s="11">
        <f>IF(AND(ISNUMBER(E211),ISNUMBER(F211)),(F211-E211),"")</f>
        <v/>
      </c>
      <c r="L211" s="11">
        <f>IF(AND(ISNUMBER(F211),ISNUMBER(G211)),(G211-F211),"")</f>
        <v/>
      </c>
      <c r="M211" s="11">
        <f>IF(AND(ISNUMBER(H211),ISNUMBER(I211)),(I211-H211),"")</f>
        <v/>
      </c>
      <c r="N211" s="11">
        <f>IF(AND(ISNUMBER(I211),ISNUMBER(J211)),(J211-I211),"")</f>
        <v/>
      </c>
      <c r="O211" s="11">
        <f>IF(AND(ISNUMBER(E211),ISNUMBER(J211)),(J211-E211),"")</f>
        <v/>
      </c>
    </row>
    <row r="212">
      <c r="A212" s="3" t="inlineStr">
        <is>
          <t>OBT150125094220-Wien Kledering</t>
        </is>
      </c>
      <c r="B212" s="3" t="inlineStr">
        <is>
          <t>Wien Kledering</t>
        </is>
      </c>
      <c r="C212" s="9" t="n">
        <v>281.4</v>
      </c>
      <c r="D212" s="3" t="inlineStr">
        <is>
          <t>617</t>
        </is>
      </c>
      <c r="E212" s="10" t="n">
        <v>45672.40439814814</v>
      </c>
      <c r="F212" s="10" t="n">
        <v>45672.41065972222</v>
      </c>
      <c r="G212" s="10" t="n">
        <v>45672.45951388889</v>
      </c>
      <c r="H212" s="10" t="n">
        <v>45672.45951388889</v>
      </c>
      <c r="I212" s="10" t="n">
        <v>45672.45951388889</v>
      </c>
      <c r="J212" s="10" t="n">
        <v>45672.46071759259</v>
      </c>
      <c r="K212" s="11">
        <f>IF(AND(ISNUMBER(E212),ISNUMBER(F212)),(F212-E212),"")</f>
        <v/>
      </c>
      <c r="L212" s="11">
        <f>IF(AND(ISNUMBER(F212),ISNUMBER(G212)),(G212-F212),"")</f>
        <v/>
      </c>
      <c r="M212" s="11">
        <f>IF(AND(ISNUMBER(H212),ISNUMBER(I212)),(I212-H212),"")</f>
        <v/>
      </c>
      <c r="N212" s="11">
        <f>IF(AND(ISNUMBER(I212),ISNUMBER(J212)),(J212-I212),"")</f>
        <v/>
      </c>
      <c r="O212" s="11">
        <f>IF(AND(ISNUMBER(E212),ISNUMBER(J212)),(J212-E212),"")</f>
        <v/>
      </c>
    </row>
    <row r="213">
      <c r="A213" s="3" t="inlineStr">
        <is>
          <t>OBT150125101800-Felixdorf/Sollenau (Bundesheer, Maba)</t>
        </is>
      </c>
      <c r="B213" s="3" t="inlineStr">
        <is>
          <t>Felixdorf/Sollenau (Bundesheer, Maba)</t>
        </is>
      </c>
      <c r="C213" s="9" t="n">
        <v>114.8</v>
      </c>
      <c r="D213" s="3" t="inlineStr">
        <is>
          <t>609</t>
        </is>
      </c>
      <c r="E213" s="10" t="n">
        <v>45672.42916666667</v>
      </c>
      <c r="F213" s="10" t="n">
        <v>45672.43086805556</v>
      </c>
      <c r="G213" s="10" t="n">
        <v>45672.45079861111</v>
      </c>
      <c r="H213" s="10" t="n">
        <v>45672.45079861111</v>
      </c>
      <c r="I213" s="10" t="n">
        <v>45672.45079861111</v>
      </c>
      <c r="J213" s="10" t="n">
        <v>45672.45159722222</v>
      </c>
      <c r="K213" s="11">
        <f>IF(AND(ISNUMBER(E213),ISNUMBER(F213)),(F213-E213),"")</f>
        <v/>
      </c>
      <c r="L213" s="11">
        <f>IF(AND(ISNUMBER(F213),ISNUMBER(G213)),(G213-F213),"")</f>
        <v/>
      </c>
      <c r="M213" s="11">
        <f>IF(AND(ISNUMBER(H213),ISNUMBER(I213)),(I213-H213),"")</f>
        <v/>
      </c>
      <c r="N213" s="11">
        <f>IF(AND(ISNUMBER(I213),ISNUMBER(J213)),(J213-I213),"")</f>
        <v/>
      </c>
      <c r="O213" s="11">
        <f>IF(AND(ISNUMBER(E213),ISNUMBER(J213)),(J213-E213),"")</f>
        <v/>
      </c>
    </row>
    <row r="214">
      <c r="A214" s="3" t="inlineStr">
        <is>
          <t>OBT150125101848-Wien Kledering</t>
        </is>
      </c>
      <c r="B214" s="3" t="inlineStr">
        <is>
          <t>Wien Kledering</t>
        </is>
      </c>
      <c r="C214" s="9" t="n">
        <v>252.6</v>
      </c>
      <c r="D214" s="3" t="inlineStr">
        <is>
          <t>623</t>
        </is>
      </c>
      <c r="E214" s="10" t="n">
        <v>45672.42972222222</v>
      </c>
      <c r="F214" s="10" t="n">
        <v>45672.43137731482</v>
      </c>
      <c r="G214" s="10" t="n">
        <v>45672.47523148148</v>
      </c>
      <c r="H214" s="10" t="n">
        <v>45672.47523148148</v>
      </c>
      <c r="I214" s="10" t="n">
        <v>45672.47523148148</v>
      </c>
      <c r="J214" s="10" t="n">
        <v>45672.47635416667</v>
      </c>
      <c r="K214" s="11">
        <f>IF(AND(ISNUMBER(E214),ISNUMBER(F214)),(F214-E214),"")</f>
        <v/>
      </c>
      <c r="L214" s="11">
        <f>IF(AND(ISNUMBER(F214),ISNUMBER(G214)),(G214-F214),"")</f>
        <v/>
      </c>
      <c r="M214" s="11">
        <f>IF(AND(ISNUMBER(H214),ISNUMBER(I214)),(I214-H214),"")</f>
        <v/>
      </c>
      <c r="N214" s="11">
        <f>IF(AND(ISNUMBER(I214),ISNUMBER(J214)),(J214-I214),"")</f>
        <v/>
      </c>
      <c r="O214" s="11">
        <f>IF(AND(ISNUMBER(E214),ISNUMBER(J214)),(J214-E214),"")</f>
        <v/>
      </c>
    </row>
    <row r="215">
      <c r="A215" s="3" t="inlineStr">
        <is>
          <t>OBT150125131431-Wien Kledering</t>
        </is>
      </c>
      <c r="B215" s="3" t="inlineStr">
        <is>
          <t>Wien Kledering</t>
        </is>
      </c>
      <c r="C215" s="9" t="n">
        <v>120.92</v>
      </c>
      <c r="D215" s="3" t="inlineStr">
        <is>
          <t>623</t>
        </is>
      </c>
      <c r="E215" s="10" t="n">
        <v>45672.55174768518</v>
      </c>
      <c r="F215" s="10" t="n">
        <v>45672.55261574074</v>
      </c>
      <c r="G215" s="10" t="n">
        <v>45672.57359953703</v>
      </c>
      <c r="H215" s="10" t="n">
        <v>45672.57359953703</v>
      </c>
      <c r="I215" s="10" t="n">
        <v>45672.57359953703</v>
      </c>
      <c r="J215" s="10" t="n">
        <v>45672.5744212963</v>
      </c>
      <c r="K215" s="11">
        <f>IF(AND(ISNUMBER(E215),ISNUMBER(F215)),(F215-E215),"")</f>
        <v/>
      </c>
      <c r="L215" s="11">
        <f>IF(AND(ISNUMBER(F215),ISNUMBER(G215)),(G215-F215),"")</f>
        <v/>
      </c>
      <c r="M215" s="11">
        <f>IF(AND(ISNUMBER(H215),ISNUMBER(I215)),(I215-H215),"")</f>
        <v/>
      </c>
      <c r="N215" s="11">
        <f>IF(AND(ISNUMBER(I215),ISNUMBER(J215)),(J215-I215),"")</f>
        <v/>
      </c>
      <c r="O215" s="11">
        <f>IF(AND(ISNUMBER(E215),ISNUMBER(J215)),(J215-E215),"")</f>
        <v/>
      </c>
    </row>
    <row r="216">
      <c r="A216" s="3" t="inlineStr">
        <is>
          <t>OBT150125154642-Wr. Neustadt (Hödlmayr)</t>
        </is>
      </c>
      <c r="B216" s="3" t="inlineStr">
        <is>
          <t>Wr. Neustadt (Hödlmayr)</t>
        </is>
      </c>
      <c r="C216" s="9" t="n">
        <v>189</v>
      </c>
      <c r="D216" s="3" t="inlineStr">
        <is>
          <t>625</t>
        </is>
      </c>
      <c r="E216" s="10" t="n">
        <v>45672.65743055556</v>
      </c>
      <c r="F216" s="10" t="n">
        <v>45672.65829861111</v>
      </c>
      <c r="G216" s="10" t="n">
        <v>45672.69111111111</v>
      </c>
      <c r="H216" s="10" t="n">
        <v>45672.69111111111</v>
      </c>
      <c r="I216" s="10" t="n">
        <v>45672.69111111111</v>
      </c>
      <c r="J216" s="10" t="n">
        <v>45672.69204861111</v>
      </c>
      <c r="K216" s="11">
        <f>IF(AND(ISNUMBER(E216),ISNUMBER(F216)),(F216-E216),"")</f>
        <v/>
      </c>
      <c r="L216" s="11">
        <f>IF(AND(ISNUMBER(F216),ISNUMBER(G216)),(G216-F216),"")</f>
        <v/>
      </c>
      <c r="M216" s="11">
        <f>IF(AND(ISNUMBER(H216),ISNUMBER(I216)),(I216-H216),"")</f>
        <v/>
      </c>
      <c r="N216" s="11">
        <f>IF(AND(ISNUMBER(I216),ISNUMBER(J216)),(J216-I216),"")</f>
        <v/>
      </c>
      <c r="O216" s="11">
        <f>IF(AND(ISNUMBER(E216),ISNUMBER(J216)),(J216-E216),"")</f>
        <v/>
      </c>
    </row>
    <row r="217">
      <c r="A217" s="3" t="inlineStr">
        <is>
          <t>OBT150125155826-Other sidings north</t>
        </is>
      </c>
      <c r="B217" s="3" t="inlineStr">
        <is>
          <t>Other sidings north</t>
        </is>
      </c>
      <c r="C217" s="9" t="n">
        <v>102.76</v>
      </c>
      <c r="D217" s="3" t="inlineStr">
        <is>
          <t>615</t>
        </is>
      </c>
      <c r="E217" s="10" t="n">
        <v>45672.6655787037</v>
      </c>
      <c r="F217" s="10" t="n">
        <v>45672.66721064815</v>
      </c>
      <c r="G217" s="10" t="n">
        <v>45672.68505787037</v>
      </c>
      <c r="H217" s="10" t="n">
        <v>45672.68505787037</v>
      </c>
      <c r="I217" s="10" t="n">
        <v>45672.68505787037</v>
      </c>
      <c r="J217" s="10" t="n">
        <v>45672.68575231481</v>
      </c>
      <c r="K217" s="11">
        <f>IF(AND(ISNUMBER(E217),ISNUMBER(F217)),(F217-E217),"")</f>
        <v/>
      </c>
      <c r="L217" s="11">
        <f>IF(AND(ISNUMBER(F217),ISNUMBER(G217)),(G217-F217),"")</f>
        <v/>
      </c>
      <c r="M217" s="11">
        <f>IF(AND(ISNUMBER(H217),ISNUMBER(I217)),(I217-H217),"")</f>
        <v/>
      </c>
      <c r="N217" s="11">
        <f>IF(AND(ISNUMBER(I217),ISNUMBER(J217)),(J217-I217),"")</f>
        <v/>
      </c>
      <c r="O217" s="11">
        <f>IF(AND(ISNUMBER(E217),ISNUMBER(J217)),(J217-E217),"")</f>
        <v/>
      </c>
    </row>
    <row r="218">
      <c r="A218" s="3" t="inlineStr">
        <is>
          <t>OBT150125160356-Neudörfl (FunderMax)</t>
        </is>
      </c>
      <c r="B218" s="3" t="inlineStr">
        <is>
          <t>Neudörfl (FunderMax)</t>
        </is>
      </c>
      <c r="C218" s="9" t="n">
        <v>223.9</v>
      </c>
      <c r="D218" s="3" t="inlineStr">
        <is>
          <t>606</t>
        </is>
      </c>
      <c r="E218" s="10" t="n">
        <v>45672.66939814815</v>
      </c>
      <c r="F218" s="10" t="n">
        <v>45672.67197916667</v>
      </c>
      <c r="G218" s="10" t="n">
        <v>45672.71085648148</v>
      </c>
      <c r="H218" s="10" t="n">
        <v>45672.71085648148</v>
      </c>
      <c r="I218" s="10" t="n">
        <v>45672.71085648148</v>
      </c>
      <c r="J218" s="10" t="n">
        <v>45672.71188657408</v>
      </c>
      <c r="K218" s="11">
        <f>IF(AND(ISNUMBER(E218),ISNUMBER(F218)),(F218-E218),"")</f>
        <v/>
      </c>
      <c r="L218" s="11">
        <f>IF(AND(ISNUMBER(F218),ISNUMBER(G218)),(G218-F218),"")</f>
        <v/>
      </c>
      <c r="M218" s="11">
        <f>IF(AND(ISNUMBER(H218),ISNUMBER(I218)),(I218-H218),"")</f>
        <v/>
      </c>
      <c r="N218" s="11">
        <f>IF(AND(ISNUMBER(I218),ISNUMBER(J218)),(J218-I218),"")</f>
        <v/>
      </c>
      <c r="O218" s="11">
        <f>IF(AND(ISNUMBER(E218),ISNUMBER(J218)),(J218-E218),"")</f>
        <v/>
      </c>
    </row>
    <row r="219">
      <c r="A219" s="3" t="inlineStr">
        <is>
          <t>OBT150125160509-Wien Kledering</t>
        </is>
      </c>
      <c r="B219" s="3" t="inlineStr">
        <is>
          <t>Wien Kledering</t>
        </is>
      </c>
      <c r="C219" s="9" t="n">
        <v>110.18</v>
      </c>
      <c r="D219" s="3" t="inlineStr">
        <is>
          <t>617</t>
        </is>
      </c>
      <c r="E219" s="10" t="n">
        <v>45672.67024305555</v>
      </c>
      <c r="F219" s="10" t="n">
        <v>45672.68674768518</v>
      </c>
      <c r="G219" s="10" t="n">
        <v>45672.70587962963</v>
      </c>
      <c r="H219" s="10" t="n">
        <v>45672.70587962963</v>
      </c>
      <c r="I219" s="10" t="n">
        <v>45672.70587962963</v>
      </c>
      <c r="J219" s="10" t="n">
        <v>45672.70667824074</v>
      </c>
      <c r="K219" s="11">
        <f>IF(AND(ISNUMBER(E219),ISNUMBER(F219)),(F219-E219),"")</f>
        <v/>
      </c>
      <c r="L219" s="11">
        <f>IF(AND(ISNUMBER(F219),ISNUMBER(G219)),(G219-F219),"")</f>
        <v/>
      </c>
      <c r="M219" s="11">
        <f>IF(AND(ISNUMBER(H219),ISNUMBER(I219)),(I219-H219),"")</f>
        <v/>
      </c>
      <c r="N219" s="11">
        <f>IF(AND(ISNUMBER(I219),ISNUMBER(J219)),(J219-I219),"")</f>
        <v/>
      </c>
      <c r="O219" s="11">
        <f>IF(AND(ISNUMBER(E219),ISNUMBER(J219)),(J219-E219),"")</f>
        <v/>
      </c>
    </row>
    <row r="220">
      <c r="A220" s="3" t="inlineStr">
        <is>
          <t>OBT150125173247-Wien Kledering</t>
        </is>
      </c>
      <c r="B220" s="3" t="inlineStr">
        <is>
          <t>Wien Kledering</t>
        </is>
      </c>
      <c r="C220" s="9" t="n">
        <v>325.3600000000001</v>
      </c>
      <c r="D220" s="3" t="inlineStr">
        <is>
          <t>615</t>
        </is>
      </c>
      <c r="E220" s="10" t="n">
        <v>45672.73109953704</v>
      </c>
      <c r="F220" s="10" t="n">
        <v>45672.73196759259</v>
      </c>
      <c r="G220" s="10" t="n">
        <v>45672.78846064815</v>
      </c>
      <c r="H220" s="10" t="n">
        <v>45672.78846064815</v>
      </c>
      <c r="I220" s="10" t="n">
        <v>45672.78846064815</v>
      </c>
      <c r="J220" s="10" t="n">
        <v>45672.78967592592</v>
      </c>
      <c r="K220" s="11">
        <f>IF(AND(ISNUMBER(E220),ISNUMBER(F220)),(F220-E220),"")</f>
        <v/>
      </c>
      <c r="L220" s="11">
        <f>IF(AND(ISNUMBER(F220),ISNUMBER(G220)),(G220-F220),"")</f>
        <v/>
      </c>
      <c r="M220" s="11">
        <f>IF(AND(ISNUMBER(H220),ISNUMBER(I220)),(I220-H220),"")</f>
        <v/>
      </c>
      <c r="N220" s="11">
        <f>IF(AND(ISNUMBER(I220),ISNUMBER(J220)),(J220-I220),"")</f>
        <v/>
      </c>
      <c r="O220" s="11">
        <f>IF(AND(ISNUMBER(E220),ISNUMBER(J220)),(J220-E220),"")</f>
        <v/>
      </c>
    </row>
    <row r="221">
      <c r="A221" s="3" t="inlineStr">
        <is>
          <t>OBT150125181910-Pitten (Hamburger)</t>
        </is>
      </c>
      <c r="B221" s="3" t="inlineStr">
        <is>
          <t>Pitten (Hamburger)</t>
        </is>
      </c>
      <c r="C221" s="9" t="n">
        <v>116.94</v>
      </c>
      <c r="D221" s="3" t="inlineStr">
        <is>
          <t>619</t>
        </is>
      </c>
      <c r="E221" s="10" t="n">
        <v>45672.76331018518</v>
      </c>
      <c r="F221" s="10" t="n">
        <v>45672.76415509259</v>
      </c>
      <c r="G221" s="10" t="n">
        <v>45672.78445601852</v>
      </c>
      <c r="H221" s="10" t="n">
        <v>45672.78445601852</v>
      </c>
      <c r="I221" s="10" t="n">
        <v>45672.78445601852</v>
      </c>
      <c r="J221" s="10" t="n">
        <v>45672.78527777778</v>
      </c>
      <c r="K221" s="11">
        <f>IF(AND(ISNUMBER(E221),ISNUMBER(F221)),(F221-E221),"")</f>
        <v/>
      </c>
      <c r="L221" s="11">
        <f>IF(AND(ISNUMBER(F221),ISNUMBER(G221)),(G221-F221),"")</f>
        <v/>
      </c>
      <c r="M221" s="11">
        <f>IF(AND(ISNUMBER(H221),ISNUMBER(I221)),(I221-H221),"")</f>
        <v/>
      </c>
      <c r="N221" s="11">
        <f>IF(AND(ISNUMBER(I221),ISNUMBER(J221)),(J221-I221),"")</f>
        <v/>
      </c>
      <c r="O221" s="11">
        <f>IF(AND(ISNUMBER(E221),ISNUMBER(J221)),(J221-E221),"")</f>
        <v/>
      </c>
    </row>
    <row r="222">
      <c r="A222" s="3" t="inlineStr">
        <is>
          <t>OBT150125182201-Neunkirchen (loading tracks)</t>
        </is>
      </c>
      <c r="B222" s="3" t="inlineStr">
        <is>
          <t>Neunkirchen (loading tracks)</t>
        </is>
      </c>
      <c r="C222" s="9" t="n">
        <v>118.54</v>
      </c>
      <c r="D222" s="3" t="inlineStr">
        <is>
          <t>607</t>
        </is>
      </c>
      <c r="E222" s="10" t="n">
        <v>45672.76528935185</v>
      </c>
      <c r="F222" s="10" t="n">
        <v>45672.7783449074</v>
      </c>
      <c r="G222" s="10" t="n">
        <v>45672.79892361111</v>
      </c>
      <c r="H222" s="10" t="n">
        <v>45672.79892361111</v>
      </c>
      <c r="I222" s="10" t="n">
        <v>45672.79892361111</v>
      </c>
      <c r="J222" s="10" t="n">
        <v>45672.79980324074</v>
      </c>
      <c r="K222" s="11">
        <f>IF(AND(ISNUMBER(E222),ISNUMBER(F222)),(F222-E222),"")</f>
        <v/>
      </c>
      <c r="L222" s="11">
        <f>IF(AND(ISNUMBER(F222),ISNUMBER(G222)),(G222-F222),"")</f>
        <v/>
      </c>
      <c r="M222" s="11">
        <f>IF(AND(ISNUMBER(H222),ISNUMBER(I222)),(I222-H222),"")</f>
        <v/>
      </c>
      <c r="N222" s="11">
        <f>IF(AND(ISNUMBER(I222),ISNUMBER(J222)),(J222-I222),"")</f>
        <v/>
      </c>
      <c r="O222" s="11">
        <f>IF(AND(ISNUMBER(E222),ISNUMBER(J222)),(J222-E222),"")</f>
        <v/>
      </c>
    </row>
    <row r="223">
      <c r="A223" s="3" t="inlineStr">
        <is>
          <t>OBT150125183815-Ebenfurth (beet loading)</t>
        </is>
      </c>
      <c r="B223" s="3" t="inlineStr">
        <is>
          <t>Ebenfurth (beet loading)</t>
        </is>
      </c>
      <c r="C223" s="9" t="n">
        <v>125.92</v>
      </c>
      <c r="D223" s="3" t="inlineStr">
        <is>
          <t>627</t>
        </is>
      </c>
      <c r="E223" s="10" t="n">
        <v>45672.7765625</v>
      </c>
      <c r="F223" s="10" t="n">
        <v>45672.7861574074</v>
      </c>
      <c r="G223" s="10" t="n">
        <v>45672.80800925926</v>
      </c>
      <c r="H223" s="10" t="n">
        <v>45672.80800925926</v>
      </c>
      <c r="I223" s="10" t="n">
        <v>45672.80800925926</v>
      </c>
      <c r="J223" s="10" t="n">
        <v>45672.80869212963</v>
      </c>
      <c r="K223" s="11">
        <f>IF(AND(ISNUMBER(E223),ISNUMBER(F223)),(F223-E223),"")</f>
        <v/>
      </c>
      <c r="L223" s="11">
        <f>IF(AND(ISNUMBER(F223),ISNUMBER(G223)),(G223-F223),"")</f>
        <v/>
      </c>
      <c r="M223" s="11">
        <f>IF(AND(ISNUMBER(H223),ISNUMBER(I223)),(I223-H223),"")</f>
        <v/>
      </c>
      <c r="N223" s="11">
        <f>IF(AND(ISNUMBER(I223),ISNUMBER(J223)),(J223-I223),"")</f>
        <v/>
      </c>
      <c r="O223" s="11">
        <f>IF(AND(ISNUMBER(E223),ISNUMBER(J223)),(J223-E223),"")</f>
        <v/>
      </c>
    </row>
    <row r="224">
      <c r="A224" s="3" t="inlineStr">
        <is>
          <t>OBT160125025835-Neunkirchen (loading tracks)</t>
        </is>
      </c>
      <c r="B224" s="3" t="inlineStr">
        <is>
          <t>Neunkirchen (loading tracks)</t>
        </is>
      </c>
      <c r="C224" s="9" t="n">
        <v>144.8</v>
      </c>
      <c r="D224" s="3" t="inlineStr">
        <is>
          <t>615</t>
        </is>
      </c>
      <c r="E224" s="10" t="n">
        <v>45673.12401620371</v>
      </c>
      <c r="F224" s="10" t="n">
        <v>45673.12480324074</v>
      </c>
      <c r="G224" s="10" t="n">
        <v>45673.14994212963</v>
      </c>
      <c r="H224" s="10" t="n">
        <v>45673.14994212963</v>
      </c>
      <c r="I224" s="10" t="n">
        <v>45673.14994212963</v>
      </c>
      <c r="J224" s="10" t="n">
        <v>45673.15074074074</v>
      </c>
      <c r="K224" s="11">
        <f>IF(AND(ISNUMBER(E224),ISNUMBER(F224)),(F224-E224),"")</f>
        <v/>
      </c>
      <c r="L224" s="11">
        <f>IF(AND(ISNUMBER(F224),ISNUMBER(G224)),(G224-F224),"")</f>
        <v/>
      </c>
      <c r="M224" s="11">
        <f>IF(AND(ISNUMBER(H224),ISNUMBER(I224)),(I224-H224),"")</f>
        <v/>
      </c>
      <c r="N224" s="11">
        <f>IF(AND(ISNUMBER(I224),ISNUMBER(J224)),(J224-I224),"")</f>
        <v/>
      </c>
      <c r="O224" s="11">
        <f>IF(AND(ISNUMBER(E224),ISNUMBER(J224)),(J224-E224),"")</f>
        <v/>
      </c>
    </row>
    <row r="225">
      <c r="A225" s="3" t="inlineStr">
        <is>
          <t>OBT160125063851-Wien Kledering</t>
        </is>
      </c>
      <c r="B225" s="3" t="inlineStr">
        <is>
          <t>Wien Kledering</t>
        </is>
      </c>
      <c r="C225" s="9" t="n">
        <v>297</v>
      </c>
      <c r="D225" s="3" t="inlineStr">
        <is>
          <t>615</t>
        </is>
      </c>
      <c r="E225" s="10" t="n">
        <v>45673.27697916667</v>
      </c>
      <c r="F225" s="10" t="n">
        <v>45673.27784722222</v>
      </c>
      <c r="G225" s="10" t="n">
        <v>45673.32940972222</v>
      </c>
      <c r="H225" s="10" t="n">
        <v>45673.32940972222</v>
      </c>
      <c r="I225" s="10" t="n">
        <v>45673.32940972222</v>
      </c>
      <c r="J225" s="10" t="n">
        <v>45673.33056712963</v>
      </c>
      <c r="K225" s="11">
        <f>IF(AND(ISNUMBER(E225),ISNUMBER(F225)),(F225-E225),"")</f>
        <v/>
      </c>
      <c r="L225" s="11">
        <f>IF(AND(ISNUMBER(F225),ISNUMBER(G225)),(G225-F225),"")</f>
        <v/>
      </c>
      <c r="M225" s="11">
        <f>IF(AND(ISNUMBER(H225),ISNUMBER(I225)),(I225-H225),"")</f>
        <v/>
      </c>
      <c r="N225" s="11">
        <f>IF(AND(ISNUMBER(I225),ISNUMBER(J225)),(J225-I225),"")</f>
        <v/>
      </c>
      <c r="O225" s="11">
        <f>IF(AND(ISNUMBER(E225),ISNUMBER(J225)),(J225-E225),"")</f>
        <v/>
      </c>
    </row>
    <row r="226">
      <c r="A226" s="3" t="inlineStr">
        <is>
          <t>OBT160125072923-Wien Kledering</t>
        </is>
      </c>
      <c r="B226" s="3" t="inlineStr">
        <is>
          <t>Wien Kledering</t>
        </is>
      </c>
      <c r="C226" s="9" t="n">
        <v>126</v>
      </c>
      <c r="D226" s="3" t="inlineStr">
        <is>
          <t>619</t>
        </is>
      </c>
      <c r="E226" s="10" t="n">
        <v>45673.31207175926</v>
      </c>
      <c r="F226" s="10" t="n">
        <v>45673.31290509259</v>
      </c>
      <c r="G226" s="10" t="n">
        <v>45673.33478009259</v>
      </c>
      <c r="H226" s="10" t="n">
        <v>45673.33478009259</v>
      </c>
      <c r="I226" s="10" t="n">
        <v>45673.33478009259</v>
      </c>
      <c r="J226" s="10" t="n">
        <v>45673.335625</v>
      </c>
      <c r="K226" s="11">
        <f>IF(AND(ISNUMBER(E226),ISNUMBER(F226)),(F226-E226),"")</f>
        <v/>
      </c>
      <c r="L226" s="11">
        <f>IF(AND(ISNUMBER(F226),ISNUMBER(G226)),(G226-F226),"")</f>
        <v/>
      </c>
      <c r="M226" s="11">
        <f>IF(AND(ISNUMBER(H226),ISNUMBER(I226)),(I226-H226),"")</f>
        <v/>
      </c>
      <c r="N226" s="11">
        <f>IF(AND(ISNUMBER(I226),ISNUMBER(J226)),(J226-I226),"")</f>
        <v/>
      </c>
      <c r="O226" s="11">
        <f>IF(AND(ISNUMBER(E226),ISNUMBER(J226)),(J226-E226),"")</f>
        <v/>
      </c>
    </row>
    <row r="227">
      <c r="A227" s="3" t="inlineStr">
        <is>
          <t>OBT160125075109-Pitten (Hamburger)</t>
        </is>
      </c>
      <c r="B227" s="3" t="inlineStr">
        <is>
          <t>Pitten (Hamburger)</t>
        </is>
      </c>
      <c r="C227" s="9" t="n">
        <v>124.44</v>
      </c>
      <c r="D227" s="3" t="inlineStr">
        <is>
          <t>621</t>
        </is>
      </c>
      <c r="E227" s="10" t="n">
        <v>45673.3271875</v>
      </c>
      <c r="F227" s="10" t="n">
        <v>45673.33552083333</v>
      </c>
      <c r="G227" s="10" t="n">
        <v>45673.35712962963</v>
      </c>
      <c r="H227" s="10" t="n">
        <v>45673.35712962963</v>
      </c>
      <c r="I227" s="10" t="n">
        <v>45673.35712962963</v>
      </c>
      <c r="J227" s="10" t="n">
        <v>45673.35795138889</v>
      </c>
      <c r="K227" s="11">
        <f>IF(AND(ISNUMBER(E227),ISNUMBER(F227)),(F227-E227),"")</f>
        <v/>
      </c>
      <c r="L227" s="11">
        <f>IF(AND(ISNUMBER(F227),ISNUMBER(G227)),(G227-F227),"")</f>
        <v/>
      </c>
      <c r="M227" s="11">
        <f>IF(AND(ISNUMBER(H227),ISNUMBER(I227)),(I227-H227),"")</f>
        <v/>
      </c>
      <c r="N227" s="11">
        <f>IF(AND(ISNUMBER(I227),ISNUMBER(J227)),(J227-I227),"")</f>
        <v/>
      </c>
      <c r="O227" s="11">
        <f>IF(AND(ISNUMBER(E227),ISNUMBER(J227)),(J227-E227),"")</f>
        <v/>
      </c>
    </row>
    <row r="228">
      <c r="A228" s="3" t="inlineStr">
        <is>
          <t>OBT160125081022-Ternitz (Schoeller-Bleckmann)</t>
        </is>
      </c>
      <c r="B228" s="3" t="inlineStr">
        <is>
          <t>Ternitz (Schoeller-Bleckmann)</t>
        </is>
      </c>
      <c r="C228" s="9" t="n">
        <v>107.86</v>
      </c>
      <c r="D228" s="3" t="inlineStr">
        <is>
          <t>605</t>
        </is>
      </c>
      <c r="E228" s="10" t="n">
        <v>45673.3405324074</v>
      </c>
      <c r="F228" s="10" t="n">
        <v>45673.34136574074</v>
      </c>
      <c r="G228" s="10" t="n">
        <v>45673.36009259259</v>
      </c>
      <c r="H228" s="10" t="n">
        <v>45673.36009259259</v>
      </c>
      <c r="I228" s="10" t="n">
        <v>45673.36009259259</v>
      </c>
      <c r="J228" s="10" t="n">
        <v>45673.3609375</v>
      </c>
      <c r="K228" s="11">
        <f>IF(AND(ISNUMBER(E228),ISNUMBER(F228)),(F228-E228),"")</f>
        <v/>
      </c>
      <c r="L228" s="11">
        <f>IF(AND(ISNUMBER(F228),ISNUMBER(G228)),(G228-F228),"")</f>
        <v/>
      </c>
      <c r="M228" s="11">
        <f>IF(AND(ISNUMBER(H228),ISNUMBER(I228)),(I228-H228),"")</f>
        <v/>
      </c>
      <c r="N228" s="11">
        <f>IF(AND(ISNUMBER(I228),ISNUMBER(J228)),(J228-I228),"")</f>
        <v/>
      </c>
      <c r="O228" s="11">
        <f>IF(AND(ISNUMBER(E228),ISNUMBER(J228)),(J228-E228),"")</f>
        <v/>
      </c>
    </row>
    <row r="229">
      <c r="A229" s="3" t="inlineStr">
        <is>
          <t>OBT160125081516-Wien Kledering</t>
        </is>
      </c>
      <c r="B229" s="3" t="inlineStr">
        <is>
          <t>Wien Kledering</t>
        </is>
      </c>
      <c r="C229" s="9" t="n">
        <v>396.5600000000001</v>
      </c>
      <c r="D229" s="3" t="inlineStr">
        <is>
          <t>615</t>
        </is>
      </c>
      <c r="E229" s="10" t="n">
        <v>45673.34393518518</v>
      </c>
      <c r="F229" s="10" t="n">
        <v>45673.34567129629</v>
      </c>
      <c r="G229" s="10" t="n">
        <v>45673.41452546296</v>
      </c>
      <c r="H229" s="10" t="n">
        <v>45673.41452546296</v>
      </c>
      <c r="I229" s="10" t="n">
        <v>45673.41452546296</v>
      </c>
      <c r="J229" s="10" t="n">
        <v>45673.41590277778</v>
      </c>
      <c r="K229" s="11">
        <f>IF(AND(ISNUMBER(E229),ISNUMBER(F229)),(F229-E229),"")</f>
        <v/>
      </c>
      <c r="L229" s="11">
        <f>IF(AND(ISNUMBER(F229),ISNUMBER(G229)),(G229-F229),"")</f>
        <v/>
      </c>
      <c r="M229" s="11">
        <f>IF(AND(ISNUMBER(H229),ISNUMBER(I229)),(I229-H229),"")</f>
        <v/>
      </c>
      <c r="N229" s="11">
        <f>IF(AND(ISNUMBER(I229),ISNUMBER(J229)),(J229-I229),"")</f>
        <v/>
      </c>
      <c r="O229" s="11">
        <f>IF(AND(ISNUMBER(E229),ISNUMBER(J229)),(J229-E229),"")</f>
        <v/>
      </c>
    </row>
    <row r="230">
      <c r="A230" s="3" t="inlineStr">
        <is>
          <t>OBT160125092224-St. Veit an der Glan</t>
        </is>
      </c>
      <c r="B230" s="3" t="inlineStr">
        <is>
          <t>St. Veit an der Glan</t>
        </is>
      </c>
      <c r="C230" s="9" t="n">
        <v>208.6</v>
      </c>
      <c r="D230" s="3" t="inlineStr">
        <is>
          <t>605</t>
        </is>
      </c>
      <c r="E230" s="10" t="n">
        <v>45673.39055555555</v>
      </c>
      <c r="F230" s="10" t="n">
        <v>45673.39140046296</v>
      </c>
      <c r="G230" s="10" t="n">
        <v>45673.42761574074</v>
      </c>
      <c r="H230" s="10" t="n">
        <v>45673.42761574074</v>
      </c>
      <c r="I230" s="10" t="n">
        <v>45673.42761574074</v>
      </c>
      <c r="J230" s="10" t="n">
        <v>45673.42869212963</v>
      </c>
      <c r="K230" s="11">
        <f>IF(AND(ISNUMBER(E230),ISNUMBER(F230)),(F230-E230),"")</f>
        <v/>
      </c>
      <c r="L230" s="11">
        <f>IF(AND(ISNUMBER(F230),ISNUMBER(G230)),(G230-F230),"")</f>
        <v/>
      </c>
      <c r="M230" s="11">
        <f>IF(AND(ISNUMBER(H230),ISNUMBER(I230)),(I230-H230),"")</f>
        <v/>
      </c>
      <c r="N230" s="11">
        <f>IF(AND(ISNUMBER(I230),ISNUMBER(J230)),(J230-I230),"")</f>
        <v/>
      </c>
      <c r="O230" s="11">
        <f>IF(AND(ISNUMBER(E230),ISNUMBER(J230)),(J230-E230),"")</f>
        <v/>
      </c>
    </row>
    <row r="231">
      <c r="A231" s="3" t="inlineStr">
        <is>
          <t>OBT160125092526-Wien Kledering</t>
        </is>
      </c>
      <c r="B231" s="3" t="inlineStr">
        <is>
          <t>Wien Kledering</t>
        </is>
      </c>
      <c r="C231" s="9" t="n">
        <v>180.8</v>
      </c>
      <c r="D231" s="3" t="inlineStr">
        <is>
          <t>619</t>
        </is>
      </c>
      <c r="E231" s="10" t="n">
        <v>45673.39266203704</v>
      </c>
      <c r="F231" s="10" t="n">
        <v>45673.39427083333</v>
      </c>
      <c r="G231" s="10" t="n">
        <v>45673.42565972222</v>
      </c>
      <c r="H231" s="10" t="n">
        <v>45673.42565972222</v>
      </c>
      <c r="I231" s="10" t="n">
        <v>45673.42565972222</v>
      </c>
      <c r="J231" s="10" t="n">
        <v>45673.42662037037</v>
      </c>
      <c r="K231" s="11">
        <f>IF(AND(ISNUMBER(E231),ISNUMBER(F231)),(F231-E231),"")</f>
        <v/>
      </c>
      <c r="L231" s="11">
        <f>IF(AND(ISNUMBER(F231),ISNUMBER(G231)),(G231-F231),"")</f>
        <v/>
      </c>
      <c r="M231" s="11">
        <f>IF(AND(ISNUMBER(H231),ISNUMBER(I231)),(I231-H231),"")</f>
        <v/>
      </c>
      <c r="N231" s="11">
        <f>IF(AND(ISNUMBER(I231),ISNUMBER(J231)),(J231-I231),"")</f>
        <v/>
      </c>
      <c r="O231" s="11">
        <f>IF(AND(ISNUMBER(E231),ISNUMBER(J231)),(J231-E231),"")</f>
        <v/>
      </c>
    </row>
    <row r="232">
      <c r="A232" s="3" t="inlineStr">
        <is>
          <t>OBT160125101737-Neudörfl (FunderMax)</t>
        </is>
      </c>
      <c r="B232" s="3" t="inlineStr">
        <is>
          <t>Neudörfl (FunderMax)</t>
        </is>
      </c>
      <c r="C232" s="9" t="n">
        <v>100.5</v>
      </c>
      <c r="D232" s="3" t="inlineStr">
        <is>
          <t>617</t>
        </is>
      </c>
      <c r="E232" s="10" t="n">
        <v>45673.42890046296</v>
      </c>
      <c r="F232" s="10" t="n">
        <v>45673.4565162037</v>
      </c>
      <c r="G232" s="10" t="n">
        <v>45673.47396990741</v>
      </c>
      <c r="H232" s="10" t="n">
        <v>45673.47396990741</v>
      </c>
      <c r="I232" s="10" t="n">
        <v>45673.47396990741</v>
      </c>
      <c r="J232" s="10" t="n">
        <v>45673.47474537037</v>
      </c>
      <c r="K232" s="11">
        <f>IF(AND(ISNUMBER(E232),ISNUMBER(F232)),(F232-E232),"")</f>
        <v/>
      </c>
      <c r="L232" s="11">
        <f>IF(AND(ISNUMBER(F232),ISNUMBER(G232)),(G232-F232),"")</f>
        <v/>
      </c>
      <c r="M232" s="11">
        <f>IF(AND(ISNUMBER(H232),ISNUMBER(I232)),(I232-H232),"")</f>
        <v/>
      </c>
      <c r="N232" s="11">
        <f>IF(AND(ISNUMBER(I232),ISNUMBER(J232)),(J232-I232),"")</f>
        <v/>
      </c>
      <c r="O232" s="11">
        <f>IF(AND(ISNUMBER(E232),ISNUMBER(J232)),(J232-E232),"")</f>
        <v/>
      </c>
    </row>
    <row r="233">
      <c r="A233" s="3" t="inlineStr">
        <is>
          <t>OBT160125101737-Wr. Neustadt (Hödlmayr)</t>
        </is>
      </c>
      <c r="B233" s="3" t="inlineStr">
        <is>
          <t>Wr. Neustadt (Hödlmayr)</t>
        </is>
      </c>
      <c r="C233" s="9" t="n">
        <v>108</v>
      </c>
      <c r="D233" s="3" t="inlineStr">
        <is>
          <t>625</t>
        </is>
      </c>
      <c r="E233" s="10" t="n">
        <v>45673.42890046296</v>
      </c>
      <c r="F233" s="10" t="n">
        <v>45673.43063657408</v>
      </c>
      <c r="G233" s="10" t="n">
        <v>45673.44938657407</v>
      </c>
      <c r="H233" s="10" t="n">
        <v>45673.44938657407</v>
      </c>
      <c r="I233" s="10" t="n">
        <v>45673.44938657407</v>
      </c>
      <c r="J233" s="10" t="n">
        <v>45673.45012731481</v>
      </c>
      <c r="K233" s="11">
        <f>IF(AND(ISNUMBER(E233),ISNUMBER(F233)),(F233-E233),"")</f>
        <v/>
      </c>
      <c r="L233" s="11">
        <f>IF(AND(ISNUMBER(F233),ISNUMBER(G233)),(G233-F233),"")</f>
        <v/>
      </c>
      <c r="M233" s="11">
        <f>IF(AND(ISNUMBER(H233),ISNUMBER(I233)),(I233-H233),"")</f>
        <v/>
      </c>
      <c r="N233" s="11">
        <f>IF(AND(ISNUMBER(I233),ISNUMBER(J233)),(J233-I233),"")</f>
        <v/>
      </c>
      <c r="O233" s="11">
        <f>IF(AND(ISNUMBER(E233),ISNUMBER(J233)),(J233-E233),"")</f>
        <v/>
      </c>
    </row>
    <row r="234">
      <c r="A234" s="3" t="inlineStr">
        <is>
          <t>OBT160125102340-Wr. Neustadt Ausfahrbf (Furtenbach)</t>
        </is>
      </c>
      <c r="B234" s="3" t="inlineStr">
        <is>
          <t>Wr. Neustadt Ausfahrbf (Furtenbach)</t>
        </is>
      </c>
      <c r="C234" s="9" t="n">
        <v>317.64</v>
      </c>
      <c r="D234" s="3" t="inlineStr">
        <is>
          <t>613</t>
        </is>
      </c>
      <c r="E234" s="10" t="n">
        <v>45673.43310185185</v>
      </c>
      <c r="F234" s="10" t="n">
        <v>45673.543125</v>
      </c>
      <c r="G234" s="10" t="n">
        <v>45673.59827546297</v>
      </c>
      <c r="H234" s="10" t="n">
        <v>45673.59827546297</v>
      </c>
      <c r="I234" s="10" t="n">
        <v>45673.59827546297</v>
      </c>
      <c r="J234" s="10" t="n">
        <v>45673.59943287037</v>
      </c>
      <c r="K234" s="11">
        <f>IF(AND(ISNUMBER(E234),ISNUMBER(F234)),(F234-E234),"")</f>
        <v/>
      </c>
      <c r="L234" s="11">
        <f>IF(AND(ISNUMBER(F234),ISNUMBER(G234)),(G234-F234),"")</f>
        <v/>
      </c>
      <c r="M234" s="11">
        <f>IF(AND(ISNUMBER(H234),ISNUMBER(I234)),(I234-H234),"")</f>
        <v/>
      </c>
      <c r="N234" s="11">
        <f>IF(AND(ISNUMBER(I234),ISNUMBER(J234)),(J234-I234),"")</f>
        <v/>
      </c>
      <c r="O234" s="11">
        <f>IF(AND(ISNUMBER(E234),ISNUMBER(J234)),(J234-E234),"")</f>
        <v/>
      </c>
    </row>
    <row r="235">
      <c r="A235" s="3" t="inlineStr">
        <is>
          <t>OBT160125105820-Wien Kledering</t>
        </is>
      </c>
      <c r="B235" s="3" t="inlineStr">
        <is>
          <t>Wien Kledering</t>
        </is>
      </c>
      <c r="C235" s="9" t="n">
        <v>338.3400000000001</v>
      </c>
      <c r="D235" s="3" t="inlineStr">
        <is>
          <t>605</t>
        </is>
      </c>
      <c r="E235" s="10" t="n">
        <v>45673.45717592593</v>
      </c>
      <c r="F235" s="10" t="n">
        <v>45673.61599537037</v>
      </c>
      <c r="G235" s="10" t="n">
        <v>45673.6747337963</v>
      </c>
      <c r="H235" s="10" t="n">
        <v>45673.6747337963</v>
      </c>
      <c r="I235" s="10" t="n">
        <v>45673.6747337963</v>
      </c>
      <c r="J235" s="10" t="n">
        <v>45673.67611111111</v>
      </c>
      <c r="K235" s="11">
        <f>IF(AND(ISNUMBER(E235),ISNUMBER(F235)),(F235-E235),"")</f>
        <v/>
      </c>
      <c r="L235" s="11">
        <f>IF(AND(ISNUMBER(F235),ISNUMBER(G235)),(G235-F235),"")</f>
        <v/>
      </c>
      <c r="M235" s="11">
        <f>IF(AND(ISNUMBER(H235),ISNUMBER(I235)),(I235-H235),"")</f>
        <v/>
      </c>
      <c r="N235" s="11">
        <f>IF(AND(ISNUMBER(I235),ISNUMBER(J235)),(J235-I235),"")</f>
        <v/>
      </c>
      <c r="O235" s="11">
        <f>IF(AND(ISNUMBER(E235),ISNUMBER(J235)),(J235-E235),"")</f>
        <v/>
      </c>
    </row>
    <row r="236">
      <c r="A236" s="3" t="inlineStr">
        <is>
          <t>OBT160125130303-Wien Kledering</t>
        </is>
      </c>
      <c r="B236" s="3" t="inlineStr">
        <is>
          <t>Wien Kledering</t>
        </is>
      </c>
      <c r="C236" s="9" t="n">
        <v>172.98</v>
      </c>
      <c r="D236" s="3" t="inlineStr">
        <is>
          <t>625</t>
        </is>
      </c>
      <c r="E236" s="10" t="n">
        <v>45673.54378472222</v>
      </c>
      <c r="F236" s="10" t="n">
        <v>45673.6430787037</v>
      </c>
      <c r="G236" s="10" t="n">
        <v>45673.67310185185</v>
      </c>
      <c r="H236" s="10" t="n">
        <v>45673.67310185185</v>
      </c>
      <c r="I236" s="10" t="n">
        <v>45673.67310185185</v>
      </c>
      <c r="J236" s="10" t="n">
        <v>45673.67400462963</v>
      </c>
      <c r="K236" s="11">
        <f>IF(AND(ISNUMBER(E236),ISNUMBER(F236)),(F236-E236),"")</f>
        <v/>
      </c>
      <c r="L236" s="11">
        <f>IF(AND(ISNUMBER(F236),ISNUMBER(G236)),(G236-F236),"")</f>
        <v/>
      </c>
      <c r="M236" s="11">
        <f>IF(AND(ISNUMBER(H236),ISNUMBER(I236)),(I236-H236),"")</f>
        <v/>
      </c>
      <c r="N236" s="11">
        <f>IF(AND(ISNUMBER(I236),ISNUMBER(J236)),(J236-I236),"")</f>
        <v/>
      </c>
      <c r="O236" s="11">
        <f>IF(AND(ISNUMBER(E236),ISNUMBER(J236)),(J236-E236),"")</f>
        <v/>
      </c>
    </row>
    <row r="237">
      <c r="A237" s="3" t="inlineStr">
        <is>
          <t>OBT160125144759-Wien Kledering</t>
        </is>
      </c>
      <c r="B237" s="3" t="inlineStr">
        <is>
          <t>Wien Kledering</t>
        </is>
      </c>
      <c r="C237" s="9" t="n">
        <v>233.88</v>
      </c>
      <c r="D237" s="3" t="inlineStr">
        <is>
          <t>613</t>
        </is>
      </c>
      <c r="E237" s="10" t="n">
        <v>45673.61665509259</v>
      </c>
      <c r="F237" s="10" t="n">
        <v>45673.65523148148</v>
      </c>
      <c r="G237" s="10" t="n">
        <v>45673.69584490741</v>
      </c>
      <c r="H237" s="10" t="n">
        <v>45673.69584490741</v>
      </c>
      <c r="I237" s="10" t="n">
        <v>45673.69584490741</v>
      </c>
      <c r="J237" s="10" t="n">
        <v>45673.69680555556</v>
      </c>
      <c r="K237" s="11">
        <f>IF(AND(ISNUMBER(E237),ISNUMBER(F237)),(F237-E237),"")</f>
        <v/>
      </c>
      <c r="L237" s="11">
        <f>IF(AND(ISNUMBER(F237),ISNUMBER(G237)),(G237-F237),"")</f>
        <v/>
      </c>
      <c r="M237" s="11">
        <f>IF(AND(ISNUMBER(H237),ISNUMBER(I237)),(I237-H237),"")</f>
        <v/>
      </c>
      <c r="N237" s="11">
        <f>IF(AND(ISNUMBER(I237),ISNUMBER(J237)),(J237-I237),"")</f>
        <v/>
      </c>
      <c r="O237" s="11">
        <f>IF(AND(ISNUMBER(E237),ISNUMBER(J237)),(J237-E237),"")</f>
        <v/>
      </c>
    </row>
    <row r="238">
      <c r="A238" s="3" t="inlineStr">
        <is>
          <t>OBT160125151346-Pitten (Hamburger)</t>
        </is>
      </c>
      <c r="B238" s="3" t="inlineStr">
        <is>
          <t>Pitten (Hamburger)</t>
        </is>
      </c>
      <c r="C238" s="9" t="n">
        <v>171.66</v>
      </c>
      <c r="D238" s="3" t="inlineStr">
        <is>
          <t>613</t>
        </is>
      </c>
      <c r="E238" s="10" t="n">
        <v>45673.63456018519</v>
      </c>
      <c r="F238" s="10" t="n">
        <v>45673.68303240741</v>
      </c>
      <c r="G238" s="10" t="n">
        <v>45673.71283564815</v>
      </c>
      <c r="H238" s="10" t="n">
        <v>45673.71283564815</v>
      </c>
      <c r="I238" s="10" t="n">
        <v>45673.71283564815</v>
      </c>
      <c r="J238" s="10" t="n">
        <v>45673.71365740741</v>
      </c>
      <c r="K238" s="11">
        <f>IF(AND(ISNUMBER(E238),ISNUMBER(F238)),(F238-E238),"")</f>
        <v/>
      </c>
      <c r="L238" s="11">
        <f>IF(AND(ISNUMBER(F238),ISNUMBER(G238)),(G238-F238),"")</f>
        <v/>
      </c>
      <c r="M238" s="11">
        <f>IF(AND(ISNUMBER(H238),ISNUMBER(I238)),(I238-H238),"")</f>
        <v/>
      </c>
      <c r="N238" s="11">
        <f>IF(AND(ISNUMBER(I238),ISNUMBER(J238)),(J238-I238),"")</f>
        <v/>
      </c>
      <c r="O238" s="11">
        <f>IF(AND(ISNUMBER(E238),ISNUMBER(J238)),(J238-E238),"")</f>
        <v/>
      </c>
    </row>
    <row r="239">
      <c r="A239" s="3" t="inlineStr">
        <is>
          <t>OBT160125162643-Wien Kledering</t>
        </is>
      </c>
      <c r="B239" s="3" t="inlineStr">
        <is>
          <t>Wien Kledering</t>
        </is>
      </c>
      <c r="C239" s="9" t="n">
        <v>120.36</v>
      </c>
      <c r="D239" s="3" t="inlineStr">
        <is>
          <t>621</t>
        </is>
      </c>
      <c r="E239" s="10" t="n">
        <v>45673.68521990741</v>
      </c>
      <c r="F239" s="10" t="n">
        <v>45673.75186342592</v>
      </c>
      <c r="G239" s="10" t="n">
        <v>45673.77275462963</v>
      </c>
      <c r="H239" s="10" t="n">
        <v>45673.77275462963</v>
      </c>
      <c r="I239" s="10" t="n">
        <v>45673.77275462963</v>
      </c>
      <c r="J239" s="10" t="n">
        <v>45673.77357638889</v>
      </c>
      <c r="K239" s="11">
        <f>IF(AND(ISNUMBER(E239),ISNUMBER(F239)),(F239-E239),"")</f>
        <v/>
      </c>
      <c r="L239" s="11">
        <f>IF(AND(ISNUMBER(F239),ISNUMBER(G239)),(G239-F239),"")</f>
        <v/>
      </c>
      <c r="M239" s="11">
        <f>IF(AND(ISNUMBER(H239),ISNUMBER(I239)),(I239-H239),"")</f>
        <v/>
      </c>
      <c r="N239" s="11">
        <f>IF(AND(ISNUMBER(I239),ISNUMBER(J239)),(J239-I239),"")</f>
        <v/>
      </c>
      <c r="O239" s="11">
        <f>IF(AND(ISNUMBER(E239),ISNUMBER(J239)),(J239-E239),"")</f>
        <v/>
      </c>
    </row>
    <row r="240">
      <c r="A240" s="3" t="inlineStr">
        <is>
          <t>OBT160125175803-Neunkirchen (loading tracks)</t>
        </is>
      </c>
      <c r="B240" s="3" t="inlineStr">
        <is>
          <t>Neunkirchen (loading tracks)</t>
        </is>
      </c>
      <c r="C240" s="9" t="n">
        <v>126</v>
      </c>
      <c r="D240" s="3" t="inlineStr">
        <is>
          <t>629</t>
        </is>
      </c>
      <c r="E240" s="10" t="n">
        <v>45673.74864583334</v>
      </c>
      <c r="F240" s="10" t="n">
        <v>45673.86166666666</v>
      </c>
      <c r="G240" s="10" t="n">
        <v>45673.88354166667</v>
      </c>
      <c r="H240" s="10" t="n">
        <v>45673.88354166667</v>
      </c>
      <c r="I240" s="10" t="n">
        <v>45673.88354166667</v>
      </c>
      <c r="J240" s="10" t="n">
        <v>45673.88421296296</v>
      </c>
      <c r="K240" s="11">
        <f>IF(AND(ISNUMBER(E240),ISNUMBER(F240)),(F240-E240),"")</f>
        <v/>
      </c>
      <c r="L240" s="11">
        <f>IF(AND(ISNUMBER(F240),ISNUMBER(G240)),(G240-F240),"")</f>
        <v/>
      </c>
      <c r="M240" s="11">
        <f>IF(AND(ISNUMBER(H240),ISNUMBER(I240)),(I240-H240),"")</f>
        <v/>
      </c>
      <c r="N240" s="11">
        <f>IF(AND(ISNUMBER(I240),ISNUMBER(J240)),(J240-I240),"")</f>
        <v/>
      </c>
      <c r="O240" s="11">
        <f>IF(AND(ISNUMBER(E240),ISNUMBER(J240)),(J240-E240),"")</f>
        <v/>
      </c>
    </row>
    <row r="241">
      <c r="A241" s="3" t="inlineStr">
        <is>
          <t>OBT160125175833-Pitten (Hamburger)</t>
        </is>
      </c>
      <c r="B241" s="3" t="inlineStr">
        <is>
          <t>Pitten (Hamburger)</t>
        </is>
      </c>
      <c r="C241" s="9" t="n">
        <v>373.3200000000001</v>
      </c>
      <c r="D241" s="3" t="inlineStr">
        <is>
          <t>613</t>
        </is>
      </c>
      <c r="E241" s="10" t="n">
        <v>45673.74899305555</v>
      </c>
      <c r="F241" s="10" t="n">
        <v>45674.13369212963</v>
      </c>
      <c r="G241" s="10" t="n">
        <v>45674.19850694444</v>
      </c>
      <c r="H241" s="10" t="n">
        <v>45674.19850694444</v>
      </c>
      <c r="I241" s="10" t="n">
        <v>45674.19850694444</v>
      </c>
      <c r="J241" s="10" t="n">
        <v>45674.19979166667</v>
      </c>
      <c r="K241" s="11">
        <f>IF(AND(ISNUMBER(E241),ISNUMBER(F241)),(F241-E241),"")</f>
        <v/>
      </c>
      <c r="L241" s="11">
        <f>IF(AND(ISNUMBER(F241),ISNUMBER(G241)),(G241-F241),"")</f>
        <v/>
      </c>
      <c r="M241" s="11">
        <f>IF(AND(ISNUMBER(H241),ISNUMBER(I241)),(I241-H241),"")</f>
        <v/>
      </c>
      <c r="N241" s="11">
        <f>IF(AND(ISNUMBER(I241),ISNUMBER(J241)),(J241-I241),"")</f>
        <v/>
      </c>
      <c r="O241" s="11">
        <f>IF(AND(ISNUMBER(E241),ISNUMBER(J241)),(J241-E241),"")</f>
        <v/>
      </c>
    </row>
    <row r="242">
      <c r="A242" s="3" t="inlineStr">
        <is>
          <t>OBT160125203020-Pitten (Hamburger)</t>
        </is>
      </c>
      <c r="B242" s="3" t="inlineStr">
        <is>
          <t>Pitten (Hamburger)</t>
        </is>
      </c>
      <c r="C242" s="9" t="n">
        <v>108.7</v>
      </c>
      <c r="D242" s="3" t="inlineStr">
        <is>
          <t>625</t>
        </is>
      </c>
      <c r="E242" s="10" t="n">
        <v>45673.85439814815</v>
      </c>
      <c r="F242" s="10" t="n">
        <v>45674.19945601852</v>
      </c>
      <c r="G242" s="10" t="n">
        <v>45674.21833333333</v>
      </c>
      <c r="H242" s="10" t="n">
        <v>45674.21833333333</v>
      </c>
      <c r="I242" s="10" t="n">
        <v>45674.21833333333</v>
      </c>
      <c r="J242" s="10" t="n">
        <v>45674.21908564815</v>
      </c>
      <c r="K242" s="11">
        <f>IF(AND(ISNUMBER(E242),ISNUMBER(F242)),(F242-E242),"")</f>
        <v/>
      </c>
      <c r="L242" s="11">
        <f>IF(AND(ISNUMBER(F242),ISNUMBER(G242)),(G242-F242),"")</f>
        <v/>
      </c>
      <c r="M242" s="11">
        <f>IF(AND(ISNUMBER(H242),ISNUMBER(I242)),(I242-H242),"")</f>
        <v/>
      </c>
      <c r="N242" s="11">
        <f>IF(AND(ISNUMBER(I242),ISNUMBER(J242)),(J242-I242),"")</f>
        <v/>
      </c>
      <c r="O242" s="11">
        <f>IF(AND(ISNUMBER(E242),ISNUMBER(J242)),(J242-E242),"")</f>
        <v/>
      </c>
    </row>
    <row r="243">
      <c r="A243" s="3" t="inlineStr">
        <is>
          <t>OBT160125203907-Wr. Neustadt (Hödlmayr)</t>
        </is>
      </c>
      <c r="B243" s="3" t="inlineStr">
        <is>
          <t>Wr. Neustadt (Hödlmayr)</t>
        </is>
      </c>
      <c r="C243" s="9" t="n">
        <v>108</v>
      </c>
      <c r="D243" s="3" t="inlineStr">
        <is>
          <t>617</t>
        </is>
      </c>
      <c r="E243" s="10" t="n">
        <v>45673.86049768519</v>
      </c>
      <c r="F243" s="10" t="n">
        <v>45674.2815162037</v>
      </c>
      <c r="G243" s="10" t="n">
        <v>45674.3002662037</v>
      </c>
      <c r="H243" s="10" t="n">
        <v>45674.3002662037</v>
      </c>
      <c r="I243" s="10" t="n">
        <v>45674.3002662037</v>
      </c>
      <c r="J243" s="10" t="n">
        <v>45674.30106481481</v>
      </c>
      <c r="K243" s="11">
        <f>IF(AND(ISNUMBER(E243),ISNUMBER(F243)),(F243-E243),"")</f>
        <v/>
      </c>
      <c r="L243" s="11">
        <f>IF(AND(ISNUMBER(F243),ISNUMBER(G243)),(G243-F243),"")</f>
        <v/>
      </c>
      <c r="M243" s="11">
        <f>IF(AND(ISNUMBER(H243),ISNUMBER(I243)),(I243-H243),"")</f>
        <v/>
      </c>
      <c r="N243" s="11">
        <f>IF(AND(ISNUMBER(I243),ISNUMBER(J243)),(J243-I243),"")</f>
        <v/>
      </c>
      <c r="O243" s="11">
        <f>IF(AND(ISNUMBER(E243),ISNUMBER(J243)),(J243-E243),"")</f>
        <v/>
      </c>
    </row>
    <row r="244">
      <c r="A244" s="3" t="inlineStr">
        <is>
          <t>OBT160125204054-Ebenfurth (beet loading)</t>
        </is>
      </c>
      <c r="B244" s="3" t="inlineStr">
        <is>
          <t>Ebenfurth (beet loading)</t>
        </is>
      </c>
      <c r="C244" s="9" t="n">
        <v>110.18</v>
      </c>
      <c r="D244" s="3" t="inlineStr">
        <is>
          <t>607</t>
        </is>
      </c>
      <c r="E244" s="10" t="n">
        <v>45673.86173611111</v>
      </c>
      <c r="F244" s="10" t="n">
        <v>45674.32607638889</v>
      </c>
      <c r="G244" s="10" t="n">
        <v>45674.34520833333</v>
      </c>
      <c r="H244" s="10" t="n">
        <v>45674.34520833333</v>
      </c>
      <c r="I244" s="10" t="n">
        <v>45674.34520833333</v>
      </c>
      <c r="J244" s="10" t="n">
        <v>45674.34606481482</v>
      </c>
      <c r="K244" s="11">
        <f>IF(AND(ISNUMBER(E244),ISNUMBER(F244)),(F244-E244),"")</f>
        <v/>
      </c>
      <c r="L244" s="11">
        <f>IF(AND(ISNUMBER(F244),ISNUMBER(G244)),(G244-F244),"")</f>
        <v/>
      </c>
      <c r="M244" s="11">
        <f>IF(AND(ISNUMBER(H244),ISNUMBER(I244)),(I244-H244),"")</f>
        <v/>
      </c>
      <c r="N244" s="11">
        <f>IF(AND(ISNUMBER(I244),ISNUMBER(J244)),(J244-I244),"")</f>
        <v/>
      </c>
      <c r="O244" s="11">
        <f>IF(AND(ISNUMBER(E244),ISNUMBER(J244)),(J244-E244),"")</f>
        <v/>
      </c>
    </row>
    <row r="245">
      <c r="A245" s="3" t="inlineStr">
        <is>
          <t>OBT170125030753-Neunkirchen (loading tracks)</t>
        </is>
      </c>
      <c r="B245" s="3" t="inlineStr">
        <is>
          <t>Neunkirchen (loading tracks)</t>
        </is>
      </c>
      <c r="C245" s="9" t="n">
        <v>165.8</v>
      </c>
      <c r="D245" s="3" t="inlineStr">
        <is>
          <t>605</t>
        </is>
      </c>
      <c r="E245" s="10" t="n">
        <v>45674.13047453704</v>
      </c>
      <c r="F245" s="10" t="n">
        <v>45674.32890046296</v>
      </c>
      <c r="G245" s="10" t="n">
        <v>45674.35768518518</v>
      </c>
      <c r="H245" s="10" t="n">
        <v>45674.35768518518</v>
      </c>
      <c r="I245" s="10" t="n">
        <v>45674.35768518518</v>
      </c>
      <c r="J245" s="10" t="n">
        <v>45674.35865740741</v>
      </c>
      <c r="K245" s="11">
        <f>IF(AND(ISNUMBER(E245),ISNUMBER(F245)),(F245-E245),"")</f>
        <v/>
      </c>
      <c r="L245" s="11">
        <f>IF(AND(ISNUMBER(F245),ISNUMBER(G245)),(G245-F245),"")</f>
        <v/>
      </c>
      <c r="M245" s="11">
        <f>IF(AND(ISNUMBER(H245),ISNUMBER(I245)),(I245-H245),"")</f>
        <v/>
      </c>
      <c r="N245" s="11">
        <f>IF(AND(ISNUMBER(I245),ISNUMBER(J245)),(J245-I245),"")</f>
        <v/>
      </c>
      <c r="O245" s="11">
        <f>IF(AND(ISNUMBER(E245),ISNUMBER(J245)),(J245-E245),"")</f>
        <v/>
      </c>
    </row>
    <row r="246">
      <c r="A246" s="3" t="inlineStr">
        <is>
          <t>OBT170125031540-Other sidings south</t>
        </is>
      </c>
      <c r="B246" s="3" t="inlineStr">
        <is>
          <t>Other sidings south</t>
        </is>
      </c>
      <c r="C246" s="9" t="n">
        <v>134.32</v>
      </c>
      <c r="D246" s="3" t="inlineStr">
        <is>
          <t>609</t>
        </is>
      </c>
      <c r="E246" s="10" t="n">
        <v>45674.13587962963</v>
      </c>
      <c r="F246" s="10" t="n">
        <v>45674.34686342593</v>
      </c>
      <c r="G246" s="10" t="n">
        <v>45674.37018518519</v>
      </c>
      <c r="H246" s="10" t="n">
        <v>45674.37018518519</v>
      </c>
      <c r="I246" s="10" t="n">
        <v>45674.37018518519</v>
      </c>
      <c r="J246" s="10" t="n">
        <v>45674.37104166667</v>
      </c>
      <c r="K246" s="11">
        <f>IF(AND(ISNUMBER(E246),ISNUMBER(F246)),(F246-E246),"")</f>
        <v/>
      </c>
      <c r="L246" s="11">
        <f>IF(AND(ISNUMBER(F246),ISNUMBER(G246)),(G246-F246),"")</f>
        <v/>
      </c>
      <c r="M246" s="11">
        <f>IF(AND(ISNUMBER(H246),ISNUMBER(I246)),(I246-H246),"")</f>
        <v/>
      </c>
      <c r="N246" s="11">
        <f>IF(AND(ISNUMBER(I246),ISNUMBER(J246)),(J246-I246),"")</f>
        <v/>
      </c>
      <c r="O246" s="11">
        <f>IF(AND(ISNUMBER(E246),ISNUMBER(J246)),(J246-E246),"")</f>
        <v/>
      </c>
    </row>
    <row r="247">
      <c r="A247" s="3" t="inlineStr">
        <is>
          <t>OBT170125044950-Neudörfl (FunderMax)</t>
        </is>
      </c>
      <c r="B247" s="3" t="inlineStr">
        <is>
          <t>Neudörfl (FunderMax)</t>
        </is>
      </c>
      <c r="C247" s="9" t="n">
        <v>574.0999999999999</v>
      </c>
      <c r="D247" s="3" t="inlineStr">
        <is>
          <t>619</t>
        </is>
      </c>
      <c r="E247" s="10" t="n">
        <v>45674.20127314814</v>
      </c>
      <c r="F247" s="10" t="n">
        <v>45674.37914351852</v>
      </c>
      <c r="G247" s="10" t="n">
        <v>45674.47880787037</v>
      </c>
      <c r="H247" s="10" t="n">
        <v>45674.47880787037</v>
      </c>
      <c r="I247" s="10" t="n">
        <v>45674.47880787037</v>
      </c>
      <c r="J247" s="10" t="n">
        <v>45674.48069444444</v>
      </c>
      <c r="K247" s="11">
        <f>IF(AND(ISNUMBER(E247),ISNUMBER(F247)),(F247-E247),"")</f>
        <v/>
      </c>
      <c r="L247" s="11">
        <f>IF(AND(ISNUMBER(F247),ISNUMBER(G247)),(G247-F247),"")</f>
        <v/>
      </c>
      <c r="M247" s="11">
        <f>IF(AND(ISNUMBER(H247),ISNUMBER(I247)),(I247-H247),"")</f>
        <v/>
      </c>
      <c r="N247" s="11">
        <f>IF(AND(ISNUMBER(I247),ISNUMBER(J247)),(J247-I247),"")</f>
        <v/>
      </c>
      <c r="O247" s="11">
        <f>IF(AND(ISNUMBER(E247),ISNUMBER(J247)),(J247-E247),"")</f>
        <v/>
      </c>
    </row>
    <row r="248">
      <c r="A248" s="3" t="inlineStr">
        <is>
          <t>OBT170125064600-Wien Kledering</t>
        </is>
      </c>
      <c r="B248" s="3" t="inlineStr">
        <is>
          <t>Wien Kledering</t>
        </is>
      </c>
      <c r="C248" s="9" t="n">
        <v>297</v>
      </c>
      <c r="D248" s="3" t="inlineStr">
        <is>
          <t>613</t>
        </is>
      </c>
      <c r="E248" s="10" t="n">
        <v>45674.28194444445</v>
      </c>
      <c r="F248" s="10" t="n">
        <v>45674.39969907407</v>
      </c>
      <c r="G248" s="10" t="n">
        <v>45674.45126157408</v>
      </c>
      <c r="H248" s="10" t="n">
        <v>45674.45126157408</v>
      </c>
      <c r="I248" s="10" t="n">
        <v>45674.45126157408</v>
      </c>
      <c r="J248" s="10" t="n">
        <v>45674.45237268518</v>
      </c>
      <c r="K248" s="11">
        <f>IF(AND(ISNUMBER(E248),ISNUMBER(F248)),(F248-E248),"")</f>
        <v/>
      </c>
      <c r="L248" s="11">
        <f>IF(AND(ISNUMBER(F248),ISNUMBER(G248)),(G248-F248),"")</f>
        <v/>
      </c>
      <c r="M248" s="11">
        <f>IF(AND(ISNUMBER(H248),ISNUMBER(I248)),(I248-H248),"")</f>
        <v/>
      </c>
      <c r="N248" s="11">
        <f>IF(AND(ISNUMBER(I248),ISNUMBER(J248)),(J248-I248),"")</f>
        <v/>
      </c>
      <c r="O248" s="11">
        <f>IF(AND(ISNUMBER(E248),ISNUMBER(J248)),(J248-E248),"")</f>
        <v/>
      </c>
    </row>
    <row r="249">
      <c r="A249" s="3" t="inlineStr">
        <is>
          <t>OBT170125073030-Other sidings north</t>
        </is>
      </c>
      <c r="B249" s="3" t="inlineStr">
        <is>
          <t>Other sidings north</t>
        </is>
      </c>
      <c r="C249" s="9" t="n">
        <v>134.32</v>
      </c>
      <c r="D249" s="3" t="inlineStr">
        <is>
          <t>606</t>
        </is>
      </c>
      <c r="E249" s="10" t="n">
        <v>45674.31284722222</v>
      </c>
      <c r="F249" s="10" t="n">
        <v>45674.43931712963</v>
      </c>
      <c r="G249" s="10" t="n">
        <v>45674.46262731482</v>
      </c>
      <c r="H249" s="10" t="n">
        <v>45674.46262731482</v>
      </c>
      <c r="I249" s="10" t="n">
        <v>45674.46262731482</v>
      </c>
      <c r="J249" s="10" t="n">
        <v>45674.46344907407</v>
      </c>
      <c r="K249" s="11">
        <f>IF(AND(ISNUMBER(E249),ISNUMBER(F249)),(F249-E249),"")</f>
        <v/>
      </c>
      <c r="L249" s="11">
        <f>IF(AND(ISNUMBER(F249),ISNUMBER(G249)),(G249-F249),"")</f>
        <v/>
      </c>
      <c r="M249" s="11">
        <f>IF(AND(ISNUMBER(H249),ISNUMBER(I249)),(I249-H249),"")</f>
        <v/>
      </c>
      <c r="N249" s="11">
        <f>IF(AND(ISNUMBER(I249),ISNUMBER(J249)),(J249-I249),"")</f>
        <v/>
      </c>
      <c r="O249" s="11">
        <f>IF(AND(ISNUMBER(E249),ISNUMBER(J249)),(J249-E249),"")</f>
        <v/>
      </c>
    </row>
    <row r="250">
      <c r="A250" s="3" t="inlineStr">
        <is>
          <t>OBT170125073211-Pitten (Hamburger)</t>
        </is>
      </c>
      <c r="B250" s="3" t="inlineStr">
        <is>
          <t>Pitten (Hamburger)</t>
        </is>
      </c>
      <c r="C250" s="9" t="n">
        <v>147.68</v>
      </c>
      <c r="D250" s="3" t="inlineStr">
        <is>
          <t>625</t>
        </is>
      </c>
      <c r="E250" s="10" t="n">
        <v>45674.3140162037</v>
      </c>
      <c r="F250" s="10" t="n">
        <v>45674.54545138889</v>
      </c>
      <c r="G250" s="10" t="n">
        <v>45674.57109953704</v>
      </c>
      <c r="H250" s="10" t="n">
        <v>45674.57109953704</v>
      </c>
      <c r="I250" s="10" t="n">
        <v>45674.57109953704</v>
      </c>
      <c r="J250" s="10" t="n">
        <v>45674.57193287037</v>
      </c>
      <c r="K250" s="11">
        <f>IF(AND(ISNUMBER(E250),ISNUMBER(F250)),(F250-E250),"")</f>
        <v/>
      </c>
      <c r="L250" s="11">
        <f>IF(AND(ISNUMBER(F250),ISNUMBER(G250)),(G250-F250),"")</f>
        <v/>
      </c>
      <c r="M250" s="11">
        <f>IF(AND(ISNUMBER(H250),ISNUMBER(I250)),(I250-H250),"")</f>
        <v/>
      </c>
      <c r="N250" s="11">
        <f>IF(AND(ISNUMBER(I250),ISNUMBER(J250)),(J250-I250),"")</f>
        <v/>
      </c>
      <c r="O250" s="11">
        <f>IF(AND(ISNUMBER(E250),ISNUMBER(J250)),(J250-E250),"")</f>
        <v/>
      </c>
    </row>
    <row r="251">
      <c r="A251" s="3" t="inlineStr">
        <is>
          <t>OBT170125073842-St. Veit an der Glan</t>
        </is>
      </c>
      <c r="B251" s="3" t="inlineStr">
        <is>
          <t>St. Veit an der Glan</t>
        </is>
      </c>
      <c r="C251" s="9" t="n">
        <v>134.28</v>
      </c>
      <c r="D251" s="3" t="inlineStr">
        <is>
          <t>615</t>
        </is>
      </c>
      <c r="E251" s="10" t="n">
        <v>45674.31854166667</v>
      </c>
      <c r="F251" s="10" t="n">
        <v>45674.65956018519</v>
      </c>
      <c r="G251" s="10" t="n">
        <v>45674.68287037037</v>
      </c>
      <c r="H251" s="10" t="n">
        <v>45674.68287037037</v>
      </c>
      <c r="I251" s="10" t="n">
        <v>45674.68287037037</v>
      </c>
      <c r="J251" s="10" t="n">
        <v>45674.68364583333</v>
      </c>
      <c r="K251" s="11">
        <f>IF(AND(ISNUMBER(E251),ISNUMBER(F251)),(F251-E251),"")</f>
        <v/>
      </c>
      <c r="L251" s="11">
        <f>IF(AND(ISNUMBER(F251),ISNUMBER(G251)),(G251-F251),"")</f>
        <v/>
      </c>
      <c r="M251" s="11">
        <f>IF(AND(ISNUMBER(H251),ISNUMBER(I251)),(I251-H251),"")</f>
        <v/>
      </c>
      <c r="N251" s="11">
        <f>IF(AND(ISNUMBER(I251),ISNUMBER(J251)),(J251-I251),"")</f>
        <v/>
      </c>
      <c r="O251" s="11">
        <f>IF(AND(ISNUMBER(E251),ISNUMBER(J251)),(J251-E251),"")</f>
        <v/>
      </c>
    </row>
    <row r="252">
      <c r="A252" s="3" t="inlineStr">
        <is>
          <t>OBT170125075244-Ternitz (Schoeller-Bleckmann)</t>
        </is>
      </c>
      <c r="B252" s="3" t="inlineStr">
        <is>
          <t>Ternitz (Schoeller-Bleckmann)</t>
        </is>
      </c>
      <c r="C252" s="9" t="n">
        <v>141.02</v>
      </c>
      <c r="D252" s="3" t="inlineStr">
        <is>
          <t>621</t>
        </is>
      </c>
      <c r="E252" s="10" t="n">
        <v>45674.32828703704</v>
      </c>
      <c r="F252" s="10" t="n">
        <v>45674.74086805555</v>
      </c>
      <c r="G252" s="10" t="n">
        <v>45674.76534722222</v>
      </c>
      <c r="H252" s="10" t="n">
        <v>45674.76534722222</v>
      </c>
      <c r="I252" s="10" t="n">
        <v>45674.76534722222</v>
      </c>
      <c r="J252" s="10" t="n">
        <v>45674.76621527778</v>
      </c>
      <c r="K252" s="11">
        <f>IF(AND(ISNUMBER(E252),ISNUMBER(F252)),(F252-E252),"")</f>
        <v/>
      </c>
      <c r="L252" s="11">
        <f>IF(AND(ISNUMBER(F252),ISNUMBER(G252)),(G252-F252),"")</f>
        <v/>
      </c>
      <c r="M252" s="11">
        <f>IF(AND(ISNUMBER(H252),ISNUMBER(I252)),(I252-H252),"")</f>
        <v/>
      </c>
      <c r="N252" s="11">
        <f>IF(AND(ISNUMBER(I252),ISNUMBER(J252)),(J252-I252),"")</f>
        <v/>
      </c>
      <c r="O252" s="11">
        <f>IF(AND(ISNUMBER(E252),ISNUMBER(J252)),(J252-E252),"")</f>
        <v/>
      </c>
    </row>
    <row r="253">
      <c r="A253" s="3" t="inlineStr">
        <is>
          <t>OBT170125075431-Wien Kledering</t>
        </is>
      </c>
      <c r="B253" s="3" t="inlineStr">
        <is>
          <t>Wien Kledering</t>
        </is>
      </c>
      <c r="C253" s="9" t="n">
        <v>339.8400000000001</v>
      </c>
      <c r="D253" s="3" t="inlineStr">
        <is>
          <t>617</t>
        </is>
      </c>
      <c r="E253" s="10" t="n">
        <v>45674.32952546296</v>
      </c>
      <c r="F253" s="10" t="n">
        <v>45674.76011574074</v>
      </c>
      <c r="G253" s="10" t="n">
        <v>45674.81912037037</v>
      </c>
      <c r="H253" s="10" t="n">
        <v>45674.81912037037</v>
      </c>
      <c r="I253" s="10" t="n">
        <v>45674.81912037037</v>
      </c>
      <c r="J253" s="10" t="n">
        <v>45674.82045138889</v>
      </c>
      <c r="K253" s="11">
        <f>IF(AND(ISNUMBER(E253),ISNUMBER(F253)),(F253-E253),"")</f>
        <v/>
      </c>
      <c r="L253" s="11">
        <f>IF(AND(ISNUMBER(F253),ISNUMBER(G253)),(G253-F253),"")</f>
        <v/>
      </c>
      <c r="M253" s="11">
        <f>IF(AND(ISNUMBER(H253),ISNUMBER(I253)),(I253-H253),"")</f>
        <v/>
      </c>
      <c r="N253" s="11">
        <f>IF(AND(ISNUMBER(I253),ISNUMBER(J253)),(J253-I253),"")</f>
        <v/>
      </c>
      <c r="O253" s="11">
        <f>IF(AND(ISNUMBER(E253),ISNUMBER(J253)),(J253-E253),"")</f>
        <v/>
      </c>
    </row>
    <row r="254">
      <c r="A254" s="3" t="inlineStr">
        <is>
          <t>OBT170125081922-Steinabrückl/Wöllersdorf</t>
        </is>
      </c>
      <c r="B254" s="3" t="inlineStr">
        <is>
          <t>Steinabrückl/Wöllersdorf</t>
        </is>
      </c>
      <c r="C254" s="9" t="n">
        <v>350.82</v>
      </c>
      <c r="D254" s="3" t="inlineStr">
        <is>
          <t>623</t>
        </is>
      </c>
      <c r="E254" s="10" t="n">
        <v>45674.34678240741</v>
      </c>
      <c r="F254" s="10" t="n">
        <v>45674.86785879629</v>
      </c>
      <c r="G254" s="10" t="n">
        <v>45674.92876157408</v>
      </c>
      <c r="H254" s="10" t="n">
        <v>45674.92876157408</v>
      </c>
      <c r="I254" s="10" t="n">
        <v>45674.92876157408</v>
      </c>
      <c r="J254" s="10" t="n">
        <v>45674.93011574074</v>
      </c>
      <c r="K254" s="11">
        <f>IF(AND(ISNUMBER(E254),ISNUMBER(F254)),(F254-E254),"")</f>
        <v/>
      </c>
      <c r="L254" s="11">
        <f>IF(AND(ISNUMBER(F254),ISNUMBER(G254)),(G254-F254),"")</f>
        <v/>
      </c>
      <c r="M254" s="11">
        <f>IF(AND(ISNUMBER(H254),ISNUMBER(I254)),(I254-H254),"")</f>
        <v/>
      </c>
      <c r="N254" s="11">
        <f>IF(AND(ISNUMBER(I254),ISNUMBER(J254)),(J254-I254),"")</f>
        <v/>
      </c>
      <c r="O254" s="11">
        <f>IF(AND(ISNUMBER(E254),ISNUMBER(J254)),(J254-E254),"")</f>
        <v/>
      </c>
    </row>
    <row r="255">
      <c r="A255" s="3" t="inlineStr">
        <is>
          <t>OBT170125090658-St. Veit an der Glan</t>
        </is>
      </c>
      <c r="B255" s="3" t="inlineStr">
        <is>
          <t>St. Veit an der Glan</t>
        </is>
      </c>
      <c r="C255" s="9" t="n">
        <v>173.3</v>
      </c>
      <c r="D255" s="3" t="inlineStr">
        <is>
          <t>615</t>
        </is>
      </c>
      <c r="E255" s="10" t="n">
        <v>45674.37983796297</v>
      </c>
      <c r="F255" s="10" t="n">
        <v>45675.03643518518</v>
      </c>
      <c r="G255" s="10" t="n">
        <v>45675.0665162037</v>
      </c>
      <c r="H255" s="10" t="n">
        <v>45675.0665162037</v>
      </c>
      <c r="I255" s="10" t="n">
        <v>45675.0665162037</v>
      </c>
      <c r="J255" s="10" t="n">
        <v>45675.06738425926</v>
      </c>
      <c r="K255" s="11">
        <f>IF(AND(ISNUMBER(E255),ISNUMBER(F255)),(F255-E255),"")</f>
        <v/>
      </c>
      <c r="L255" s="11">
        <f>IF(AND(ISNUMBER(F255),ISNUMBER(G255)),(G255-F255),"")</f>
        <v/>
      </c>
      <c r="M255" s="11">
        <f>IF(AND(ISNUMBER(H255),ISNUMBER(I255)),(I255-H255),"")</f>
        <v/>
      </c>
      <c r="N255" s="11">
        <f>IF(AND(ISNUMBER(I255),ISNUMBER(J255)),(J255-I255),"")</f>
        <v/>
      </c>
      <c r="O255" s="11">
        <f>IF(AND(ISNUMBER(E255),ISNUMBER(J255)),(J255-E255),"")</f>
        <v/>
      </c>
    </row>
    <row r="256">
      <c r="A256" s="3" t="inlineStr">
        <is>
          <t>OBT170125091546-Pitten (Hamburger)</t>
        </is>
      </c>
      <c r="B256" s="3" t="inlineStr">
        <is>
          <t>Pitten (Hamburger)</t>
        </is>
      </c>
      <c r="C256" s="9" t="n">
        <v>240.64</v>
      </c>
      <c r="D256" s="3" t="inlineStr">
        <is>
          <t>607</t>
        </is>
      </c>
      <c r="E256" s="10" t="n">
        <v>45674.38594907407</v>
      </c>
      <c r="F256" s="10" t="n">
        <v>45675.25440972222</v>
      </c>
      <c r="G256" s="10" t="n">
        <v>45675.29618055555</v>
      </c>
      <c r="H256" s="10" t="n">
        <v>45675.29618055555</v>
      </c>
      <c r="I256" s="10" t="n">
        <v>45675.29618055555</v>
      </c>
      <c r="J256" s="10" t="n">
        <v>45675.29733796296</v>
      </c>
      <c r="K256" s="11">
        <f>IF(AND(ISNUMBER(E256),ISNUMBER(F256)),(F256-E256),"")</f>
        <v/>
      </c>
      <c r="L256" s="11">
        <f>IF(AND(ISNUMBER(F256),ISNUMBER(G256)),(G256-F256),"")</f>
        <v/>
      </c>
      <c r="M256" s="11">
        <f>IF(AND(ISNUMBER(H256),ISNUMBER(I256)),(I256-H256),"")</f>
        <v/>
      </c>
      <c r="N256" s="11">
        <f>IF(AND(ISNUMBER(I256),ISNUMBER(J256)),(J256-I256),"")</f>
        <v/>
      </c>
      <c r="O256" s="11">
        <f>IF(AND(ISNUMBER(E256),ISNUMBER(J256)),(J256-E256),"")</f>
        <v/>
      </c>
    </row>
    <row r="257">
      <c r="A257" s="3" t="inlineStr">
        <is>
          <t>OBT170125093600-Gloggnitz</t>
        </is>
      </c>
      <c r="B257" s="3" t="inlineStr">
        <is>
          <t>Gloggnitz</t>
        </is>
      </c>
      <c r="C257" s="9" t="n">
        <v>159.7</v>
      </c>
      <c r="D257" s="3" t="inlineStr">
        <is>
          <t>627</t>
        </is>
      </c>
      <c r="E257" s="10" t="n">
        <v>45674.4</v>
      </c>
      <c r="F257" s="10" t="n">
        <v>45675.30059027778</v>
      </c>
      <c r="G257" s="10" t="n">
        <v>45675.32832175926</v>
      </c>
      <c r="H257" s="10" t="n">
        <v>45675.32832175926</v>
      </c>
      <c r="I257" s="10" t="n">
        <v>45675.32832175926</v>
      </c>
      <c r="J257" s="10" t="n">
        <v>45675.32907407408</v>
      </c>
      <c r="K257" s="11">
        <f>IF(AND(ISNUMBER(E257),ISNUMBER(F257)),(F257-E257),"")</f>
        <v/>
      </c>
      <c r="L257" s="11">
        <f>IF(AND(ISNUMBER(F257),ISNUMBER(G257)),(G257-F257),"")</f>
        <v/>
      </c>
      <c r="M257" s="11">
        <f>IF(AND(ISNUMBER(H257),ISNUMBER(I257)),(I257-H257),"")</f>
        <v/>
      </c>
      <c r="N257" s="11">
        <f>IF(AND(ISNUMBER(I257),ISNUMBER(J257)),(J257-I257),"")</f>
        <v/>
      </c>
      <c r="O257" s="11">
        <f>IF(AND(ISNUMBER(E257),ISNUMBER(J257)),(J257-E257),"")</f>
        <v/>
      </c>
    </row>
    <row r="258">
      <c r="A258" s="3" t="inlineStr">
        <is>
          <t>OBT170125093812-Neudörfl (FunderMax)</t>
        </is>
      </c>
      <c r="B258" s="3" t="inlineStr">
        <is>
          <t>Neudörfl (FunderMax)</t>
        </is>
      </c>
      <c r="C258" s="9" t="n">
        <v>184.54</v>
      </c>
      <c r="D258" s="3" t="inlineStr">
        <is>
          <t>629</t>
        </is>
      </c>
      <c r="E258" s="10" t="n">
        <v>45674.40152777778</v>
      </c>
      <c r="F258" s="10" t="n">
        <v>45676.74791666667</v>
      </c>
      <c r="G258" s="10" t="n">
        <v>45676.77996527778</v>
      </c>
      <c r="H258" s="10" t="n">
        <v>45676.77996527778</v>
      </c>
      <c r="I258" s="10" t="n">
        <v>45676.77996527778</v>
      </c>
      <c r="J258" s="10" t="n">
        <v>45676.78076388889</v>
      </c>
      <c r="K258" s="11">
        <f>IF(AND(ISNUMBER(E258),ISNUMBER(F258)),(F258-E258),"")</f>
        <v/>
      </c>
      <c r="L258" s="11">
        <f>IF(AND(ISNUMBER(F258),ISNUMBER(G258)),(G258-F258),"")</f>
        <v/>
      </c>
      <c r="M258" s="11">
        <f>IF(AND(ISNUMBER(H258),ISNUMBER(I258)),(I258-H258),"")</f>
        <v/>
      </c>
      <c r="N258" s="11">
        <f>IF(AND(ISNUMBER(I258),ISNUMBER(J258)),(J258-I258),"")</f>
        <v/>
      </c>
      <c r="O258" s="11">
        <f>IF(AND(ISNUMBER(E258),ISNUMBER(J258)),(J258-E258),"")</f>
        <v/>
      </c>
    </row>
    <row r="259">
      <c r="A259" s="3" t="inlineStr">
        <is>
          <t>OBT170125130627-Wien Kledering</t>
        </is>
      </c>
      <c r="B259" s="3" t="inlineStr">
        <is>
          <t>Wien Kledering</t>
        </is>
      </c>
      <c r="C259" s="9" t="n">
        <v>238.44</v>
      </c>
      <c r="D259" s="3" t="inlineStr">
        <is>
          <t>613</t>
        </is>
      </c>
      <c r="E259" s="10" t="n">
        <v>45674.54614583333</v>
      </c>
      <c r="F259" s="10" t="n">
        <v>45676.8556712963</v>
      </c>
      <c r="G259" s="10" t="n">
        <v>45676.89707175926</v>
      </c>
      <c r="H259" s="10" t="n">
        <v>45676.89707175926</v>
      </c>
      <c r="I259" s="10" t="n">
        <v>45676.89707175926</v>
      </c>
      <c r="J259" s="10" t="n">
        <v>45676.89804398148</v>
      </c>
      <c r="K259" s="11">
        <f>IF(AND(ISNUMBER(E259),ISNUMBER(F259)),(F259-E259),"")</f>
        <v/>
      </c>
      <c r="L259" s="11">
        <f>IF(AND(ISNUMBER(F259),ISNUMBER(G259)),(G259-F259),"")</f>
        <v/>
      </c>
      <c r="M259" s="11">
        <f>IF(AND(ISNUMBER(H259),ISNUMBER(I259)),(I259-H259),"")</f>
        <v/>
      </c>
      <c r="N259" s="11">
        <f>IF(AND(ISNUMBER(I259),ISNUMBER(J259)),(J259-I259),"")</f>
        <v/>
      </c>
      <c r="O259" s="11">
        <f>IF(AND(ISNUMBER(E259),ISNUMBER(J259)),(J259-E259),"")</f>
        <v/>
      </c>
    </row>
    <row r="260">
      <c r="A260" s="3" t="inlineStr">
        <is>
          <t>OBT170125155040-Wien Kledering</t>
        </is>
      </c>
      <c r="B260" s="3" t="inlineStr">
        <is>
          <t>Wien Kledering</t>
        </is>
      </c>
      <c r="C260" s="9" t="n">
        <v>220.36</v>
      </c>
      <c r="D260" s="3" t="inlineStr">
        <is>
          <t>625</t>
        </is>
      </c>
      <c r="E260" s="10" t="n">
        <v>45674.66018518519</v>
      </c>
      <c r="F260" s="10" t="n">
        <v>45677.12273148148</v>
      </c>
      <c r="G260" s="10" t="n">
        <v>45677.1609837963</v>
      </c>
      <c r="H260" s="10" t="n">
        <v>45677.1609837963</v>
      </c>
      <c r="I260" s="10" t="n">
        <v>45677.1609837963</v>
      </c>
      <c r="J260" s="10" t="n">
        <v>45677.16200231481</v>
      </c>
      <c r="K260" s="11">
        <f>IF(AND(ISNUMBER(E260),ISNUMBER(F260)),(F260-E260),"")</f>
        <v/>
      </c>
      <c r="L260" s="11">
        <f>IF(AND(ISNUMBER(F260),ISNUMBER(G260)),(G260-F260),"")</f>
        <v/>
      </c>
      <c r="M260" s="11">
        <f>IF(AND(ISNUMBER(H260),ISNUMBER(I260)),(I260-H260),"")</f>
        <v/>
      </c>
      <c r="N260" s="11">
        <f>IF(AND(ISNUMBER(I260),ISNUMBER(J260)),(J260-I260),"")</f>
        <v/>
      </c>
      <c r="O260" s="11">
        <f>IF(AND(ISNUMBER(E260),ISNUMBER(J260)),(J260-E260),"")</f>
        <v/>
      </c>
    </row>
    <row r="261">
      <c r="A261" s="3" t="inlineStr">
        <is>
          <t>OBT170125174751-Wien Kledering</t>
        </is>
      </c>
      <c r="B261" s="3" t="inlineStr">
        <is>
          <t>Wien Kledering</t>
        </is>
      </c>
      <c r="C261" s="9" t="n">
        <v>302.1200000000001</v>
      </c>
      <c r="D261" s="3" t="inlineStr">
        <is>
          <t>615</t>
        </is>
      </c>
      <c r="E261" s="10" t="n">
        <v>45674.7415625</v>
      </c>
      <c r="F261" s="10" t="n">
        <v>45677.20133101852</v>
      </c>
      <c r="G261" s="10" t="n">
        <v>45677.25378472222</v>
      </c>
      <c r="H261" s="10" t="n">
        <v>45677.25378472222</v>
      </c>
      <c r="I261" s="10" t="n">
        <v>45677.25378472222</v>
      </c>
      <c r="J261" s="10" t="n">
        <v>45677.25494212963</v>
      </c>
      <c r="K261" s="11">
        <f>IF(AND(ISNUMBER(E261),ISNUMBER(F261)),(F261-E261),"")</f>
        <v/>
      </c>
      <c r="L261" s="11">
        <f>IF(AND(ISNUMBER(F261),ISNUMBER(G261)),(G261-F261),"")</f>
        <v/>
      </c>
      <c r="M261" s="11">
        <f>IF(AND(ISNUMBER(H261),ISNUMBER(I261)),(I261-H261),"")</f>
        <v/>
      </c>
      <c r="N261" s="11">
        <f>IF(AND(ISNUMBER(I261),ISNUMBER(J261)),(J261-I261),"")</f>
        <v/>
      </c>
      <c r="O261" s="11">
        <f>IF(AND(ISNUMBER(E261),ISNUMBER(J261)),(J261-E261),"")</f>
        <v/>
      </c>
    </row>
    <row r="262">
      <c r="A262" s="3" t="inlineStr">
        <is>
          <t>OBT170125181531-Wien Kledering</t>
        </is>
      </c>
      <c r="B262" s="3" t="inlineStr">
        <is>
          <t>Wien Kledering</t>
        </is>
      </c>
      <c r="C262" s="9" t="n">
        <v>110.18</v>
      </c>
      <c r="D262" s="3" t="inlineStr">
        <is>
          <t>619</t>
        </is>
      </c>
      <c r="E262" s="10" t="n">
        <v>45674.76077546296</v>
      </c>
      <c r="F262" s="10" t="n">
        <v>45677.25707175926</v>
      </c>
      <c r="G262" s="10" t="n">
        <v>45677.27619212963</v>
      </c>
      <c r="H262" s="10" t="n">
        <v>45677.27619212963</v>
      </c>
      <c r="I262" s="10" t="n">
        <v>45677.27619212963</v>
      </c>
      <c r="J262" s="10" t="n">
        <v>45677.27700231481</v>
      </c>
      <c r="K262" s="11">
        <f>IF(AND(ISNUMBER(E262),ISNUMBER(F262)),(F262-E262),"")</f>
        <v/>
      </c>
      <c r="L262" s="11">
        <f>IF(AND(ISNUMBER(F262),ISNUMBER(G262)),(G262-F262),"")</f>
        <v/>
      </c>
      <c r="M262" s="11">
        <f>IF(AND(ISNUMBER(H262),ISNUMBER(I262)),(I262-H262),"")</f>
        <v/>
      </c>
      <c r="N262" s="11">
        <f>IF(AND(ISNUMBER(I262),ISNUMBER(J262)),(J262-I262),"")</f>
        <v/>
      </c>
      <c r="O262" s="11">
        <f>IF(AND(ISNUMBER(E262),ISNUMBER(J262)),(J262-E262),"")</f>
        <v/>
      </c>
    </row>
    <row r="263">
      <c r="A263" s="3" t="inlineStr">
        <is>
          <t>OBT170125205009-Ternitz (Schoeller-Bleckmann)</t>
        </is>
      </c>
      <c r="B263" s="3" t="inlineStr">
        <is>
          <t>Ternitz (Schoeller-Bleckmann)</t>
        </is>
      </c>
      <c r="C263" s="9" t="n">
        <v>175.82</v>
      </c>
      <c r="D263" s="3" t="inlineStr">
        <is>
          <t>621</t>
        </is>
      </c>
      <c r="E263" s="10" t="n">
        <v>45674.86815972222</v>
      </c>
      <c r="F263" s="10" t="n">
        <v>45677.32125</v>
      </c>
      <c r="G263" s="10" t="n">
        <v>45677.35177083333</v>
      </c>
      <c r="H263" s="10" t="n">
        <v>45677.35177083333</v>
      </c>
      <c r="I263" s="10" t="n">
        <v>45677.35177083333</v>
      </c>
      <c r="J263" s="10" t="n">
        <v>45677.35271990741</v>
      </c>
      <c r="K263" s="11">
        <f>IF(AND(ISNUMBER(E263),ISNUMBER(F263)),(F263-E263),"")</f>
        <v/>
      </c>
      <c r="L263" s="11">
        <f>IF(AND(ISNUMBER(F263),ISNUMBER(G263)),(G263-F263),"")</f>
        <v/>
      </c>
      <c r="M263" s="11">
        <f>IF(AND(ISNUMBER(H263),ISNUMBER(I263)),(I263-H263),"")</f>
        <v/>
      </c>
      <c r="N263" s="11">
        <f>IF(AND(ISNUMBER(I263),ISNUMBER(J263)),(J263-I263),"")</f>
        <v/>
      </c>
      <c r="O263" s="11">
        <f>IF(AND(ISNUMBER(E263),ISNUMBER(J263)),(J263-E263),"")</f>
        <v/>
      </c>
    </row>
    <row r="264">
      <c r="A264" s="3" t="inlineStr">
        <is>
          <t>OBT180125004751-Pitten (Hamburger)</t>
        </is>
      </c>
      <c r="B264" s="3" t="inlineStr">
        <is>
          <t>Pitten (Hamburger)</t>
        </is>
      </c>
      <c r="C264" s="9" t="n">
        <v>179.16</v>
      </c>
      <c r="D264" s="3" t="inlineStr">
        <is>
          <t>623</t>
        </is>
      </c>
      <c r="E264" s="10" t="n">
        <v>45675.03322916666</v>
      </c>
      <c r="F264" s="10" t="n">
        <v>45677.3228125</v>
      </c>
      <c r="G264" s="10" t="n">
        <v>45677.35392361111</v>
      </c>
      <c r="H264" s="10" t="n">
        <v>45677.35392361111</v>
      </c>
      <c r="I264" s="10" t="n">
        <v>45677.35392361111</v>
      </c>
      <c r="J264" s="10" t="n">
        <v>45677.35487268519</v>
      </c>
      <c r="K264" s="11">
        <f>IF(AND(ISNUMBER(E264),ISNUMBER(F264)),(F264-E264),"")</f>
        <v/>
      </c>
      <c r="L264" s="11">
        <f>IF(AND(ISNUMBER(F264),ISNUMBER(G264)),(G264-F264),"")</f>
        <v/>
      </c>
      <c r="M264" s="11">
        <f>IF(AND(ISNUMBER(H264),ISNUMBER(I264)),(I264-H264),"")</f>
        <v/>
      </c>
      <c r="N264" s="11">
        <f>IF(AND(ISNUMBER(I264),ISNUMBER(J264)),(J264-I264),"")</f>
        <v/>
      </c>
      <c r="O264" s="11">
        <f>IF(AND(ISNUMBER(E264),ISNUMBER(J264)),(J264-E264),"")</f>
        <v/>
      </c>
    </row>
    <row r="265">
      <c r="A265" s="3" t="inlineStr">
        <is>
          <t>OBT180125005504-Neudörfl (FunderMax)</t>
        </is>
      </c>
      <c r="B265" s="3" t="inlineStr">
        <is>
          <t>Neudörfl (FunderMax)</t>
        </is>
      </c>
      <c r="C265" s="9" t="n">
        <v>143.3</v>
      </c>
      <c r="D265" s="3" t="inlineStr">
        <is>
          <t>606</t>
        </is>
      </c>
      <c r="E265" s="10" t="n">
        <v>45675.03824074074</v>
      </c>
      <c r="F265" s="10" t="n">
        <v>45677.35517361111</v>
      </c>
      <c r="G265" s="10" t="n">
        <v>45677.38005787037</v>
      </c>
      <c r="H265" s="10" t="n">
        <v>45677.38005787037</v>
      </c>
      <c r="I265" s="10" t="n">
        <v>45677.38005787037</v>
      </c>
      <c r="J265" s="10" t="n">
        <v>45677.38089120371</v>
      </c>
      <c r="K265" s="11">
        <f>IF(AND(ISNUMBER(E265),ISNUMBER(F265)),(F265-E265),"")</f>
        <v/>
      </c>
      <c r="L265" s="11">
        <f>IF(AND(ISNUMBER(F265),ISNUMBER(G265)),(G265-F265),"")</f>
        <v/>
      </c>
      <c r="M265" s="11">
        <f>IF(AND(ISNUMBER(H265),ISNUMBER(I265)),(I265-H265),"")</f>
        <v/>
      </c>
      <c r="N265" s="11">
        <f>IF(AND(ISNUMBER(I265),ISNUMBER(J265)),(J265-I265),"")</f>
        <v/>
      </c>
      <c r="O265" s="11">
        <f>IF(AND(ISNUMBER(E265),ISNUMBER(J265)),(J265-E265),"")</f>
        <v/>
      </c>
    </row>
    <row r="266">
      <c r="A266" s="3" t="inlineStr">
        <is>
          <t>OBT180125071607-Neudörfl (FunderMax)</t>
        </is>
      </c>
      <c r="B266" s="3" t="inlineStr">
        <is>
          <t>Neudörfl (FunderMax)</t>
        </is>
      </c>
      <c r="C266" s="9" t="n">
        <v>110.3</v>
      </c>
      <c r="D266" s="3" t="inlineStr">
        <is>
          <t>615</t>
        </is>
      </c>
      <c r="E266" s="10" t="n">
        <v>45675.3028587963</v>
      </c>
      <c r="F266" s="10" t="n">
        <v>45677.38726851852</v>
      </c>
      <c r="G266" s="10" t="n">
        <v>45677.40641203704</v>
      </c>
      <c r="H266" s="10" t="n">
        <v>45677.40641203704</v>
      </c>
      <c r="I266" s="10" t="n">
        <v>45677.40641203704</v>
      </c>
      <c r="J266" s="10" t="n">
        <v>45677.4071412037</v>
      </c>
      <c r="K266" s="11">
        <f>IF(AND(ISNUMBER(E266),ISNUMBER(F266)),(F266-E266),"")</f>
        <v/>
      </c>
      <c r="L266" s="11">
        <f>IF(AND(ISNUMBER(F266),ISNUMBER(G266)),(G266-F266),"")</f>
        <v/>
      </c>
      <c r="M266" s="11">
        <f>IF(AND(ISNUMBER(H266),ISNUMBER(I266)),(I266-H266),"")</f>
        <v/>
      </c>
      <c r="N266" s="11">
        <f>IF(AND(ISNUMBER(I266),ISNUMBER(J266)),(J266-I266),"")</f>
        <v/>
      </c>
      <c r="O266" s="11">
        <f>IF(AND(ISNUMBER(E266),ISNUMBER(J266)),(J266-E266),"")</f>
        <v/>
      </c>
    </row>
    <row r="267">
      <c r="A267" s="3" t="inlineStr">
        <is>
          <t>OBT190125175511-Pitten (Hamburger)</t>
        </is>
      </c>
      <c r="B267" s="3" t="inlineStr">
        <is>
          <t>Pitten (Hamburger)</t>
        </is>
      </c>
      <c r="C267" s="9" t="n">
        <v>521.7400000000001</v>
      </c>
      <c r="D267" s="3" t="inlineStr">
        <is>
          <t>627</t>
        </is>
      </c>
      <c r="E267" s="10" t="n">
        <v>45676.74665509259</v>
      </c>
      <c r="F267" s="10" t="n">
        <v>45677.40931712963</v>
      </c>
      <c r="G267" s="10" t="n">
        <v>45677.49989583333</v>
      </c>
      <c r="H267" s="10" t="n">
        <v>45677.49989583333</v>
      </c>
      <c r="I267" s="10" t="n">
        <v>45677.49989583333</v>
      </c>
      <c r="J267" s="10" t="n">
        <v>45677.50149305556</v>
      </c>
      <c r="K267" s="11">
        <f>IF(AND(ISNUMBER(E267),ISNUMBER(F267)),(F267-E267),"")</f>
        <v/>
      </c>
      <c r="L267" s="11">
        <f>IF(AND(ISNUMBER(F267),ISNUMBER(G267)),(G267-F267),"")</f>
        <v/>
      </c>
      <c r="M267" s="11">
        <f>IF(AND(ISNUMBER(H267),ISNUMBER(I267)),(I267-H267),"")</f>
        <v/>
      </c>
      <c r="N267" s="11">
        <f>IF(AND(ISNUMBER(I267),ISNUMBER(J267)),(J267-I267),"")</f>
        <v/>
      </c>
      <c r="O267" s="11">
        <f>IF(AND(ISNUMBER(E267),ISNUMBER(J267)),(J267-E267),"")</f>
        <v/>
      </c>
    </row>
    <row r="268">
      <c r="A268" s="3" t="inlineStr">
        <is>
          <t>OBT190125203024-Pitten (Hamburger)</t>
        </is>
      </c>
      <c r="B268" s="3" t="inlineStr">
        <is>
          <t>Pitten (Hamburger)</t>
        </is>
      </c>
      <c r="C268" s="9" t="n">
        <v>132.68</v>
      </c>
      <c r="D268" s="3" t="inlineStr">
        <is>
          <t>629</t>
        </is>
      </c>
      <c r="E268" s="10" t="n">
        <v>45676.85444444444</v>
      </c>
      <c r="F268" s="10" t="n">
        <v>45677.4568287037</v>
      </c>
      <c r="G268" s="10" t="n">
        <v>45677.47986111111</v>
      </c>
      <c r="H268" s="10" t="n">
        <v>45677.47986111111</v>
      </c>
      <c r="I268" s="10" t="n">
        <v>45677.47986111111</v>
      </c>
      <c r="J268" s="10" t="n">
        <v>45677.48055555556</v>
      </c>
      <c r="K268" s="11">
        <f>IF(AND(ISNUMBER(E268),ISNUMBER(F268)),(F268-E268),"")</f>
        <v/>
      </c>
      <c r="L268" s="11">
        <f>IF(AND(ISNUMBER(F268),ISNUMBER(G268)),(G268-F268),"")</f>
        <v/>
      </c>
      <c r="M268" s="11">
        <f>IF(AND(ISNUMBER(H268),ISNUMBER(I268)),(I268-H268),"")</f>
        <v/>
      </c>
      <c r="N268" s="11">
        <f>IF(AND(ISNUMBER(I268),ISNUMBER(J268)),(J268-I268),"")</f>
        <v/>
      </c>
      <c r="O268" s="11">
        <f>IF(AND(ISNUMBER(E268),ISNUMBER(J268)),(J268-E268),"")</f>
        <v/>
      </c>
    </row>
    <row r="269">
      <c r="A269" s="3" t="inlineStr">
        <is>
          <t>OBT190125203519-Neudörfl (FunderMax)</t>
        </is>
      </c>
      <c r="B269" s="3" t="inlineStr">
        <is>
          <t>Neudörfl (FunderMax)</t>
        </is>
      </c>
      <c r="C269" s="9" t="n">
        <v>108</v>
      </c>
      <c r="D269" s="3" t="inlineStr">
        <is>
          <t>607</t>
        </is>
      </c>
      <c r="E269" s="10" t="n">
        <v>45676.8578587963</v>
      </c>
      <c r="F269" s="10" t="n">
        <v>45677.54091435186</v>
      </c>
      <c r="G269" s="10" t="n">
        <v>45677.55966435185</v>
      </c>
      <c r="H269" s="10" t="n">
        <v>45677.55966435185</v>
      </c>
      <c r="I269" s="10" t="n">
        <v>45677.55966435185</v>
      </c>
      <c r="J269" s="10" t="n">
        <v>45677.56050925926</v>
      </c>
      <c r="K269" s="11">
        <f>IF(AND(ISNUMBER(E269),ISNUMBER(F269)),(F269-E269),"")</f>
        <v/>
      </c>
      <c r="L269" s="11">
        <f>IF(AND(ISNUMBER(F269),ISNUMBER(G269)),(G269-F269),"")</f>
        <v/>
      </c>
      <c r="M269" s="11">
        <f>IF(AND(ISNUMBER(H269),ISNUMBER(I269)),(I269-H269),"")</f>
        <v/>
      </c>
      <c r="N269" s="11">
        <f>IF(AND(ISNUMBER(I269),ISNUMBER(J269)),(J269-I269),"")</f>
        <v/>
      </c>
      <c r="O269" s="11">
        <f>IF(AND(ISNUMBER(E269),ISNUMBER(J269)),(J269-E269),"")</f>
        <v/>
      </c>
    </row>
    <row r="270">
      <c r="A270" s="3" t="inlineStr">
        <is>
          <t>OBT200125025157-Neunkirchen (loading tracks)</t>
        </is>
      </c>
      <c r="B270" s="3" t="inlineStr">
        <is>
          <t>Neunkirchen (loading tracks)</t>
        </is>
      </c>
      <c r="C270" s="9" t="n">
        <v>165.8</v>
      </c>
      <c r="D270" s="3" t="inlineStr">
        <is>
          <t>613</t>
        </is>
      </c>
      <c r="E270" s="10" t="n">
        <v>45677.11940972223</v>
      </c>
      <c r="F270" s="10" t="n">
        <v>45677.61266203703</v>
      </c>
      <c r="G270" s="10" t="n">
        <v>45677.64144675926</v>
      </c>
      <c r="H270" s="10" t="n">
        <v>45677.64144675926</v>
      </c>
      <c r="I270" s="10" t="n">
        <v>45677.64144675926</v>
      </c>
      <c r="J270" s="10" t="n">
        <v>45677.64225694445</v>
      </c>
      <c r="K270" s="11">
        <f>IF(AND(ISNUMBER(E270),ISNUMBER(F270)),(F270-E270),"")</f>
        <v/>
      </c>
      <c r="L270" s="11">
        <f>IF(AND(ISNUMBER(F270),ISNUMBER(G270)),(G270-F270),"")</f>
        <v/>
      </c>
      <c r="M270" s="11">
        <f>IF(AND(ISNUMBER(H270),ISNUMBER(I270)),(I270-H270),"")</f>
        <v/>
      </c>
      <c r="N270" s="11">
        <f>IF(AND(ISNUMBER(I270),ISNUMBER(J270)),(J270-I270),"")</f>
        <v/>
      </c>
      <c r="O270" s="11">
        <f>IF(AND(ISNUMBER(E270),ISNUMBER(J270)),(J270-E270),"")</f>
        <v/>
      </c>
    </row>
    <row r="271">
      <c r="A271" s="3" t="inlineStr">
        <is>
          <t>OBT200125045059-Neudörfl (FunderMax)</t>
        </is>
      </c>
      <c r="B271" s="3" t="inlineStr">
        <is>
          <t>Neudörfl (FunderMax)</t>
        </is>
      </c>
      <c r="C271" s="9" t="n">
        <v>329.7</v>
      </c>
      <c r="D271" s="3" t="inlineStr">
        <is>
          <t>625</t>
        </is>
      </c>
      <c r="E271" s="10" t="n">
        <v>45677.20207175926</v>
      </c>
      <c r="F271" s="10" t="n">
        <v>45677.66603009259</v>
      </c>
      <c r="G271" s="10" t="n">
        <v>45677.72326388889</v>
      </c>
      <c r="H271" s="10" t="n">
        <v>45677.72326388889</v>
      </c>
      <c r="I271" s="10" t="n">
        <v>45677.72326388889</v>
      </c>
      <c r="J271" s="10" t="n">
        <v>45677.72453703704</v>
      </c>
      <c r="K271" s="11">
        <f>IF(AND(ISNUMBER(E271),ISNUMBER(F271)),(F271-E271),"")</f>
        <v/>
      </c>
      <c r="L271" s="11">
        <f>IF(AND(ISNUMBER(F271),ISNUMBER(G271)),(G271-F271),"")</f>
        <v/>
      </c>
      <c r="M271" s="11">
        <f>IF(AND(ISNUMBER(H271),ISNUMBER(I271)),(I271-H271),"")</f>
        <v/>
      </c>
      <c r="N271" s="11">
        <f>IF(AND(ISNUMBER(I271),ISNUMBER(J271)),(J271-I271),"")</f>
        <v/>
      </c>
      <c r="O271" s="11">
        <f>IF(AND(ISNUMBER(E271),ISNUMBER(J271)),(J271-E271),"")</f>
        <v/>
      </c>
    </row>
    <row r="272">
      <c r="A272" s="3" t="inlineStr">
        <is>
          <t>OBT200125080054-Neunkirchen (loading tracks)</t>
        </is>
      </c>
      <c r="B272" s="3" t="inlineStr">
        <is>
          <t>Neunkirchen (loading tracks)</t>
        </is>
      </c>
      <c r="C272" s="9" t="n">
        <v>102.8</v>
      </c>
      <c r="D272" s="3" t="inlineStr">
        <is>
          <t>615</t>
        </is>
      </c>
      <c r="E272" s="10" t="n">
        <v>45677.33395833334</v>
      </c>
      <c r="F272" s="10" t="n">
        <v>45677.66756944444</v>
      </c>
      <c r="G272" s="10" t="n">
        <v>45677.68541666667</v>
      </c>
      <c r="H272" s="10" t="n">
        <v>45677.68541666667</v>
      </c>
      <c r="I272" s="10" t="n">
        <v>45677.68541666667</v>
      </c>
      <c r="J272" s="10" t="n">
        <v>45677.68611111111</v>
      </c>
      <c r="K272" s="11">
        <f>IF(AND(ISNUMBER(E272),ISNUMBER(F272)),(F272-E272),"")</f>
        <v/>
      </c>
      <c r="L272" s="11">
        <f>IF(AND(ISNUMBER(F272),ISNUMBER(G272)),(G272-F272),"")</f>
        <v/>
      </c>
      <c r="M272" s="11">
        <f>IF(AND(ISNUMBER(H272),ISNUMBER(I272)),(I272-H272),"")</f>
        <v/>
      </c>
      <c r="N272" s="11">
        <f>IF(AND(ISNUMBER(I272),ISNUMBER(J272)),(J272-I272),"")</f>
        <v/>
      </c>
      <c r="O272" s="11">
        <f>IF(AND(ISNUMBER(E272),ISNUMBER(J272)),(J272-E272),"")</f>
        <v/>
      </c>
    </row>
    <row r="273">
      <c r="A273" s="3" t="inlineStr">
        <is>
          <t>OBT200125080717-Wr. Neustadt (Hödlmayr)</t>
        </is>
      </c>
      <c r="B273" s="3" t="inlineStr">
        <is>
          <t>Wr. Neustadt (Hödlmayr)</t>
        </is>
      </c>
      <c r="C273" s="9" t="n">
        <v>135</v>
      </c>
      <c r="D273" s="3" t="inlineStr">
        <is>
          <t>617</t>
        </is>
      </c>
      <c r="E273" s="10" t="n">
        <v>45677.3383912037</v>
      </c>
      <c r="F273" s="10" t="n">
        <v>45677.67223379629</v>
      </c>
      <c r="G273" s="10" t="n">
        <v>45677.69567129629</v>
      </c>
      <c r="H273" s="10" t="n">
        <v>45677.69567129629</v>
      </c>
      <c r="I273" s="10" t="n">
        <v>45677.69567129629</v>
      </c>
      <c r="J273" s="10" t="n">
        <v>45677.69652777778</v>
      </c>
      <c r="K273" s="11">
        <f>IF(AND(ISNUMBER(E273),ISNUMBER(F273)),(F273-E273),"")</f>
        <v/>
      </c>
      <c r="L273" s="11">
        <f>IF(AND(ISNUMBER(F273),ISNUMBER(G273)),(G273-F273),"")</f>
        <v/>
      </c>
      <c r="M273" s="11">
        <f>IF(AND(ISNUMBER(H273),ISNUMBER(I273)),(I273-H273),"")</f>
        <v/>
      </c>
      <c r="N273" s="11">
        <f>IF(AND(ISNUMBER(I273),ISNUMBER(J273)),(J273-I273),"")</f>
        <v/>
      </c>
      <c r="O273" s="11">
        <f>IF(AND(ISNUMBER(E273),ISNUMBER(J273)),(J273-E273),"")</f>
        <v/>
      </c>
    </row>
    <row r="274">
      <c r="A274" s="3" t="inlineStr">
        <is>
          <t>OBT200125083327-Wr. Neustadt (Brenntag)</t>
        </is>
      </c>
      <c r="B274" s="3" t="inlineStr">
        <is>
          <t>Wr. Neustadt (Brenntag)</t>
        </is>
      </c>
      <c r="C274" s="9" t="n">
        <v>126</v>
      </c>
      <c r="D274" s="3" t="inlineStr">
        <is>
          <t>611</t>
        </is>
      </c>
      <c r="E274" s="10" t="n">
        <v>45677.3565625</v>
      </c>
      <c r="F274" s="10" t="n">
        <v>45677.7199537037</v>
      </c>
      <c r="G274" s="10" t="n">
        <v>45677.74182870371</v>
      </c>
      <c r="H274" s="10" t="n">
        <v>45677.74182870371</v>
      </c>
      <c r="I274" s="10" t="n">
        <v>45677.74182870371</v>
      </c>
      <c r="J274" s="10" t="n">
        <v>45677.74260416667</v>
      </c>
      <c r="K274" s="11">
        <f>IF(AND(ISNUMBER(E274),ISNUMBER(F274)),(F274-E274),"")</f>
        <v/>
      </c>
      <c r="L274" s="11">
        <f>IF(AND(ISNUMBER(F274),ISNUMBER(G274)),(G274-F274),"")</f>
        <v/>
      </c>
      <c r="M274" s="11">
        <f>IF(AND(ISNUMBER(H274),ISNUMBER(I274)),(I274-H274),"")</f>
        <v/>
      </c>
      <c r="N274" s="11">
        <f>IF(AND(ISNUMBER(I274),ISNUMBER(J274)),(J274-I274),"")</f>
        <v/>
      </c>
      <c r="O274" s="11">
        <f>IF(AND(ISNUMBER(E274),ISNUMBER(J274)),(J274-E274),"")</f>
        <v/>
      </c>
    </row>
    <row r="275">
      <c r="A275" s="3" t="inlineStr">
        <is>
          <t>OBT200125091839-St. Veit an der Glan</t>
        </is>
      </c>
      <c r="B275" s="3" t="inlineStr">
        <is>
          <t>St. Veit an der Glan</t>
        </is>
      </c>
      <c r="C275" s="9" t="n">
        <v>145.6</v>
      </c>
      <c r="D275" s="3" t="inlineStr">
        <is>
          <t>615</t>
        </is>
      </c>
      <c r="E275" s="10" t="n">
        <v>45677.38795138889</v>
      </c>
      <c r="F275" s="10" t="n">
        <v>45677.88935185185</v>
      </c>
      <c r="G275" s="10" t="n">
        <v>45677.91462962963</v>
      </c>
      <c r="H275" s="10" t="n">
        <v>45677.91462962963</v>
      </c>
      <c r="I275" s="10" t="n">
        <v>45677.91462962963</v>
      </c>
      <c r="J275" s="10" t="n">
        <v>45677.91542824074</v>
      </c>
      <c r="K275" s="11">
        <f>IF(AND(ISNUMBER(E275),ISNUMBER(F275)),(F275-E275),"")</f>
        <v/>
      </c>
      <c r="L275" s="11">
        <f>IF(AND(ISNUMBER(F275),ISNUMBER(G275)),(G275-F275),"")</f>
        <v/>
      </c>
      <c r="M275" s="11">
        <f>IF(AND(ISNUMBER(H275),ISNUMBER(I275)),(I275-H275),"")</f>
        <v/>
      </c>
      <c r="N275" s="11">
        <f>IF(AND(ISNUMBER(I275),ISNUMBER(J275)),(J275-I275),"")</f>
        <v/>
      </c>
      <c r="O275" s="11">
        <f>IF(AND(ISNUMBER(E275),ISNUMBER(J275)),(J275-E275),"")</f>
        <v/>
      </c>
    </row>
    <row r="276">
      <c r="A276" s="3" t="inlineStr">
        <is>
          <t>OBT200125093149-Wr. Neustadt (Hödlmayr)</t>
        </is>
      </c>
      <c r="B276" s="3" t="inlineStr">
        <is>
          <t>Wr. Neustadt (Hödlmayr)</t>
        </is>
      </c>
      <c r="C276" s="9" t="n">
        <v>135</v>
      </c>
      <c r="D276" s="3" t="inlineStr">
        <is>
          <t>621</t>
        </is>
      </c>
      <c r="E276" s="10" t="n">
        <v>45677.39709490741</v>
      </c>
      <c r="F276" s="10" t="n">
        <v>45678.1406712963</v>
      </c>
      <c r="G276" s="10" t="n">
        <v>45678.1641087963</v>
      </c>
      <c r="H276" s="10" t="n">
        <v>45678.1641087963</v>
      </c>
      <c r="I276" s="10" t="n">
        <v>45678.1641087963</v>
      </c>
      <c r="J276" s="10" t="n">
        <v>45678.16496527778</v>
      </c>
      <c r="K276" s="11">
        <f>IF(AND(ISNUMBER(E276),ISNUMBER(F276)),(F276-E276),"")</f>
        <v/>
      </c>
      <c r="L276" s="11">
        <f>IF(AND(ISNUMBER(F276),ISNUMBER(G276)),(G276-F276),"")</f>
        <v/>
      </c>
      <c r="M276" s="11">
        <f>IF(AND(ISNUMBER(H276),ISNUMBER(I276)),(I276-H276),"")</f>
        <v/>
      </c>
      <c r="N276" s="11">
        <f>IF(AND(ISNUMBER(I276),ISNUMBER(J276)),(J276-I276),"")</f>
        <v/>
      </c>
      <c r="O276" s="11">
        <f>IF(AND(ISNUMBER(E276),ISNUMBER(J276)),(J276-E276),"")</f>
        <v/>
      </c>
    </row>
    <row r="277">
      <c r="A277" s="3" t="inlineStr">
        <is>
          <t>OBT200125094944-Neudörfl (FunderMax)</t>
        </is>
      </c>
      <c r="B277" s="3" t="inlineStr">
        <is>
          <t>Neudörfl (FunderMax)</t>
        </is>
      </c>
      <c r="C277" s="9" t="n">
        <v>136.18</v>
      </c>
      <c r="D277" s="3" t="inlineStr">
        <is>
          <t>619</t>
        </is>
      </c>
      <c r="E277" s="10" t="n">
        <v>45677.40953703703</v>
      </c>
      <c r="F277" s="10" t="n">
        <v>45678.28607638889</v>
      </c>
      <c r="G277" s="10" t="n">
        <v>45678.30972222222</v>
      </c>
      <c r="H277" s="10" t="n">
        <v>45678.30972222222</v>
      </c>
      <c r="I277" s="10" t="n">
        <v>45678.30972222222</v>
      </c>
      <c r="J277" s="10" t="n">
        <v>45678.31057870371</v>
      </c>
      <c r="K277" s="11">
        <f>IF(AND(ISNUMBER(E277),ISNUMBER(F277)),(F277-E277),"")</f>
        <v/>
      </c>
      <c r="L277" s="11">
        <f>IF(AND(ISNUMBER(F277),ISNUMBER(G277)),(G277-F277),"")</f>
        <v/>
      </c>
      <c r="M277" s="11">
        <f>IF(AND(ISNUMBER(H277),ISNUMBER(I277)),(I277-H277),"")</f>
        <v/>
      </c>
      <c r="N277" s="11">
        <f>IF(AND(ISNUMBER(I277),ISNUMBER(J277)),(J277-I277),"")</f>
        <v/>
      </c>
      <c r="O277" s="11">
        <f>IF(AND(ISNUMBER(E277),ISNUMBER(J277)),(J277-E277),"")</f>
        <v/>
      </c>
    </row>
    <row r="278">
      <c r="A278" s="3" t="inlineStr">
        <is>
          <t>OBT200125105804-Wien Kledering</t>
        </is>
      </c>
      <c r="B278" s="3" t="inlineStr">
        <is>
          <t>Wien Kledering</t>
        </is>
      </c>
      <c r="C278" s="9" t="n">
        <v>165.8</v>
      </c>
      <c r="D278" s="3" t="inlineStr">
        <is>
          <t>615</t>
        </is>
      </c>
      <c r="E278" s="10" t="n">
        <v>45677.45699074074</v>
      </c>
      <c r="F278" s="10" t="n">
        <v>45678.31637731481</v>
      </c>
      <c r="G278" s="10" t="n">
        <v>45678.34516203704</v>
      </c>
      <c r="H278" s="10" t="n">
        <v>45678.34516203704</v>
      </c>
      <c r="I278" s="10" t="n">
        <v>45678.34516203704</v>
      </c>
      <c r="J278" s="10" t="n">
        <v>45678.34601851852</v>
      </c>
      <c r="K278" s="11">
        <f>IF(AND(ISNUMBER(E278),ISNUMBER(F278)),(F278-E278),"")</f>
        <v/>
      </c>
      <c r="L278" s="11">
        <f>IF(AND(ISNUMBER(F278),ISNUMBER(G278)),(G278-F278),"")</f>
        <v/>
      </c>
      <c r="M278" s="11">
        <f>IF(AND(ISNUMBER(H278),ISNUMBER(I278)),(I278-H278),"")</f>
        <v/>
      </c>
      <c r="N278" s="11">
        <f>IF(AND(ISNUMBER(I278),ISNUMBER(J278)),(J278-I278),"")</f>
        <v/>
      </c>
      <c r="O278" s="11">
        <f>IF(AND(ISNUMBER(E278),ISNUMBER(J278)),(J278-E278),"")</f>
        <v/>
      </c>
    </row>
    <row r="279">
      <c r="A279" s="3" t="inlineStr">
        <is>
          <t>OBT200125105846-Wien Kledering</t>
        </is>
      </c>
      <c r="B279" s="3" t="inlineStr">
        <is>
          <t>Wien Kledering</t>
        </is>
      </c>
      <c r="C279" s="9" t="n">
        <v>153.88</v>
      </c>
      <c r="D279" s="3" t="inlineStr">
        <is>
          <t>606</t>
        </is>
      </c>
      <c r="E279" s="10" t="n">
        <v>45677.45747685185</v>
      </c>
      <c r="F279" s="10" t="n">
        <v>45678.33471064815</v>
      </c>
      <c r="G279" s="10" t="n">
        <v>45678.36142361111</v>
      </c>
      <c r="H279" s="10" t="n">
        <v>45678.36142361111</v>
      </c>
      <c r="I279" s="10" t="n">
        <v>45678.36142361111</v>
      </c>
      <c r="J279" s="10" t="n">
        <v>45678.36229166666</v>
      </c>
      <c r="K279" s="11">
        <f>IF(AND(ISNUMBER(E279),ISNUMBER(F279)),(F279-E279),"")</f>
        <v/>
      </c>
      <c r="L279" s="11">
        <f>IF(AND(ISNUMBER(F279),ISNUMBER(G279)),(G279-F279),"")</f>
        <v/>
      </c>
      <c r="M279" s="11">
        <f>IF(AND(ISNUMBER(H279),ISNUMBER(I279)),(I279-H279),"")</f>
        <v/>
      </c>
      <c r="N279" s="11">
        <f>IF(AND(ISNUMBER(I279),ISNUMBER(J279)),(J279-I279),"")</f>
        <v/>
      </c>
      <c r="O279" s="11">
        <f>IF(AND(ISNUMBER(E279),ISNUMBER(J279)),(J279-E279),"")</f>
        <v/>
      </c>
    </row>
    <row r="280">
      <c r="A280" s="3" t="inlineStr">
        <is>
          <t>OBT200125125954-Wien Kledering</t>
        </is>
      </c>
      <c r="B280" s="3" t="inlineStr">
        <is>
          <t>Wien Kledering</t>
        </is>
      </c>
      <c r="C280" s="9" t="n">
        <v>104.96</v>
      </c>
      <c r="D280" s="3" t="inlineStr">
        <is>
          <t>627</t>
        </is>
      </c>
      <c r="E280" s="10" t="n">
        <v>45677.54159722223</v>
      </c>
      <c r="F280" s="10" t="n">
        <v>45678.3405324074</v>
      </c>
      <c r="G280" s="10" t="n">
        <v>45678.35875</v>
      </c>
      <c r="H280" s="10" t="n">
        <v>45678.35875</v>
      </c>
      <c r="I280" s="10" t="n">
        <v>45678.35875</v>
      </c>
      <c r="J280" s="10" t="n">
        <v>45678.35938657408</v>
      </c>
      <c r="K280" s="11">
        <f>IF(AND(ISNUMBER(E280),ISNUMBER(F280)),(F280-E280),"")</f>
        <v/>
      </c>
      <c r="L280" s="11">
        <f>IF(AND(ISNUMBER(F280),ISNUMBER(G280)),(G280-F280),"")</f>
        <v/>
      </c>
      <c r="M280" s="11">
        <f>IF(AND(ISNUMBER(H280),ISNUMBER(I280)),(I280-H280),"")</f>
        <v/>
      </c>
      <c r="N280" s="11">
        <f>IF(AND(ISNUMBER(I280),ISNUMBER(J280)),(J280-I280),"")</f>
        <v/>
      </c>
      <c r="O280" s="11">
        <f>IF(AND(ISNUMBER(E280),ISNUMBER(J280)),(J280-E280),"")</f>
        <v/>
      </c>
    </row>
    <row r="281">
      <c r="A281" s="3" t="inlineStr">
        <is>
          <t>OBT200125144313-Wien Kledering</t>
        </is>
      </c>
      <c r="B281" s="3" t="inlineStr">
        <is>
          <t>Wien Kledering</t>
        </is>
      </c>
      <c r="C281" s="9" t="n">
        <v>389.0600000000001</v>
      </c>
      <c r="D281" s="3" t="inlineStr">
        <is>
          <t>607</t>
        </is>
      </c>
      <c r="E281" s="10" t="n">
        <v>45677.6133449074</v>
      </c>
      <c r="F281" s="10" t="n">
        <v>45678.38799768518</v>
      </c>
      <c r="G281" s="10" t="n">
        <v>45678.45554398148</v>
      </c>
      <c r="H281" s="10" t="n">
        <v>45678.45554398148</v>
      </c>
      <c r="I281" s="10" t="n">
        <v>45678.45554398148</v>
      </c>
      <c r="J281" s="10" t="n">
        <v>45678.45703703703</v>
      </c>
      <c r="K281" s="11">
        <f>IF(AND(ISNUMBER(E281),ISNUMBER(F281)),(F281-E281),"")</f>
        <v/>
      </c>
      <c r="L281" s="11">
        <f>IF(AND(ISNUMBER(F281),ISNUMBER(G281)),(G281-F281),"")</f>
        <v/>
      </c>
      <c r="M281" s="11">
        <f>IF(AND(ISNUMBER(H281),ISNUMBER(I281)),(I281-H281),"")</f>
        <v/>
      </c>
      <c r="N281" s="11">
        <f>IF(AND(ISNUMBER(I281),ISNUMBER(J281)),(J281-I281),"")</f>
        <v/>
      </c>
      <c r="O281" s="11">
        <f>IF(AND(ISNUMBER(E281),ISNUMBER(J281)),(J281-E281),"")</f>
        <v/>
      </c>
    </row>
    <row r="282">
      <c r="A282" s="3" t="inlineStr">
        <is>
          <t>OBT200125155402-Pitten (Hamburger)</t>
        </is>
      </c>
      <c r="B282" s="3" t="inlineStr">
        <is>
          <t>Pitten (Hamburger)</t>
        </is>
      </c>
      <c r="C282" s="9" t="n">
        <v>140.18</v>
      </c>
      <c r="D282" s="3" t="inlineStr">
        <is>
          <t>623</t>
        </is>
      </c>
      <c r="E282" s="10" t="n">
        <v>45677.66252314814</v>
      </c>
      <c r="F282" s="10" t="n">
        <v>45678.4019212963</v>
      </c>
      <c r="G282" s="10" t="n">
        <v>45678.42626157407</v>
      </c>
      <c r="H282" s="10" t="n">
        <v>45678.42626157407</v>
      </c>
      <c r="I282" s="10" t="n">
        <v>45678.42626157407</v>
      </c>
      <c r="J282" s="10" t="n">
        <v>45678.42711805556</v>
      </c>
      <c r="K282" s="11">
        <f>IF(AND(ISNUMBER(E282),ISNUMBER(F282)),(F282-E282),"")</f>
        <v/>
      </c>
      <c r="L282" s="11">
        <f>IF(AND(ISNUMBER(F282),ISNUMBER(G282)),(G282-F282),"")</f>
        <v/>
      </c>
      <c r="M282" s="11">
        <f>IF(AND(ISNUMBER(H282),ISNUMBER(I282)),(I282-H282),"")</f>
        <v/>
      </c>
      <c r="N282" s="11">
        <f>IF(AND(ISNUMBER(I282),ISNUMBER(J282)),(J282-I282),"")</f>
        <v/>
      </c>
      <c r="O282" s="11">
        <f>IF(AND(ISNUMBER(E282),ISNUMBER(J282)),(J282-E282),"")</f>
        <v/>
      </c>
    </row>
    <row r="283">
      <c r="A283" s="3" t="inlineStr">
        <is>
          <t>OBT200125160533-St. Veit an der Glan</t>
        </is>
      </c>
      <c r="B283" s="3" t="inlineStr">
        <is>
          <t>St. Veit an der Glan</t>
        </is>
      </c>
      <c r="C283" s="9" t="n">
        <v>152.3</v>
      </c>
      <c r="D283" s="3" t="inlineStr">
        <is>
          <t>615</t>
        </is>
      </c>
      <c r="E283" s="10" t="n">
        <v>45677.67052083334</v>
      </c>
      <c r="F283" s="10" t="n">
        <v>45678.43840277778</v>
      </c>
      <c r="G283" s="10" t="n">
        <v>45678.46484953703</v>
      </c>
      <c r="H283" s="10" t="n">
        <v>45678.46484953703</v>
      </c>
      <c r="I283" s="10" t="n">
        <v>45678.46484953703</v>
      </c>
      <c r="J283" s="10" t="n">
        <v>45678.4656712963</v>
      </c>
      <c r="K283" s="11">
        <f>IF(AND(ISNUMBER(E283),ISNUMBER(F283)),(F283-E283),"")</f>
        <v/>
      </c>
      <c r="L283" s="11">
        <f>IF(AND(ISNUMBER(F283),ISNUMBER(G283)),(G283-F283),"")</f>
        <v/>
      </c>
      <c r="M283" s="11">
        <f>IF(AND(ISNUMBER(H283),ISNUMBER(I283)),(I283-H283),"")</f>
        <v/>
      </c>
      <c r="N283" s="11">
        <f>IF(AND(ISNUMBER(I283),ISNUMBER(J283)),(J283-I283),"")</f>
        <v/>
      </c>
      <c r="O283" s="11">
        <f>IF(AND(ISNUMBER(E283),ISNUMBER(J283)),(J283-E283),"")</f>
        <v/>
      </c>
    </row>
    <row r="284">
      <c r="A284" s="3" t="inlineStr">
        <is>
          <t>OBT200125171741-Wien Kledering</t>
        </is>
      </c>
      <c r="B284" s="3" t="inlineStr">
        <is>
          <t>Wien Kledering</t>
        </is>
      </c>
      <c r="C284" s="9" t="n">
        <v>325.3600000000001</v>
      </c>
      <c r="D284" s="3" t="inlineStr">
        <is>
          <t>615</t>
        </is>
      </c>
      <c r="E284" s="10" t="n">
        <v>45677.72061342592</v>
      </c>
      <c r="F284" s="10" t="n">
        <v>45678.6159375</v>
      </c>
      <c r="G284" s="10" t="n">
        <v>45678.67241898148</v>
      </c>
      <c r="H284" s="10" t="n">
        <v>45678.67241898148</v>
      </c>
      <c r="I284" s="10" t="n">
        <v>45678.67241898148</v>
      </c>
      <c r="J284" s="10" t="n">
        <v>45678.67363425926</v>
      </c>
      <c r="K284" s="11">
        <f>IF(AND(ISNUMBER(E284),ISNUMBER(F284)),(F284-E284),"")</f>
        <v/>
      </c>
      <c r="L284" s="11">
        <f>IF(AND(ISNUMBER(F284),ISNUMBER(G284)),(G284-F284),"")</f>
        <v/>
      </c>
      <c r="M284" s="11">
        <f>IF(AND(ISNUMBER(H284),ISNUMBER(I284)),(I284-H284),"")</f>
        <v/>
      </c>
      <c r="N284" s="11">
        <f>IF(AND(ISNUMBER(I284),ISNUMBER(J284)),(J284-I284),"")</f>
        <v/>
      </c>
      <c r="O284" s="11">
        <f>IF(AND(ISNUMBER(E284),ISNUMBER(J284)),(J284-E284),"")</f>
        <v/>
      </c>
    </row>
    <row r="285">
      <c r="A285" s="3" t="inlineStr">
        <is>
          <t>OBT200125212137-Wien Kledering</t>
        </is>
      </c>
      <c r="B285" s="3" t="inlineStr">
        <is>
          <t>Wien Kledering</t>
        </is>
      </c>
      <c r="C285" s="9" t="n">
        <v>398.0400000000001</v>
      </c>
      <c r="D285" s="3" t="inlineStr">
        <is>
          <t>625</t>
        </is>
      </c>
      <c r="E285" s="10" t="n">
        <v>45677.89001157408</v>
      </c>
      <c r="F285" s="10" t="n">
        <v>45678.64188657407</v>
      </c>
      <c r="G285" s="10" t="n">
        <v>45678.7109837963</v>
      </c>
      <c r="H285" s="10" t="n">
        <v>45678.7109837963</v>
      </c>
      <c r="I285" s="10" t="n">
        <v>45678.7109837963</v>
      </c>
      <c r="J285" s="10" t="n">
        <v>45678.71240740741</v>
      </c>
      <c r="K285" s="11">
        <f>IF(AND(ISNUMBER(E285),ISNUMBER(F285)),(F285-E285),"")</f>
        <v/>
      </c>
      <c r="L285" s="11">
        <f>IF(AND(ISNUMBER(F285),ISNUMBER(G285)),(G285-F285),"")</f>
        <v/>
      </c>
      <c r="M285" s="11">
        <f>IF(AND(ISNUMBER(H285),ISNUMBER(I285)),(I285-H285),"")</f>
        <v/>
      </c>
      <c r="N285" s="11">
        <f>IF(AND(ISNUMBER(I285),ISNUMBER(J285)),(J285-I285),"")</f>
        <v/>
      </c>
      <c r="O285" s="11">
        <f>IF(AND(ISNUMBER(E285),ISNUMBER(J285)),(J285-E285),"")</f>
        <v/>
      </c>
    </row>
    <row r="286">
      <c r="A286" s="3" t="inlineStr">
        <is>
          <t>OBT210125032545-Neunkirchen (loading tracks)</t>
        </is>
      </c>
      <c r="B286" s="3" t="inlineStr">
        <is>
          <t>Neunkirchen (loading tracks)</t>
        </is>
      </c>
      <c r="C286" s="9" t="n">
        <v>295.68</v>
      </c>
      <c r="D286" s="3" t="inlineStr">
        <is>
          <t>629</t>
        </is>
      </c>
      <c r="E286" s="10" t="n">
        <v>45678.14288194444</v>
      </c>
      <c r="F286" s="10" t="n">
        <v>45678.64737268518</v>
      </c>
      <c r="G286" s="10" t="n">
        <v>45678.6987037037</v>
      </c>
      <c r="H286" s="10" t="n">
        <v>45678.6987037037</v>
      </c>
      <c r="I286" s="10" t="n">
        <v>45678.6987037037</v>
      </c>
      <c r="J286" s="10" t="n">
        <v>45678.69976851852</v>
      </c>
      <c r="K286" s="11">
        <f>IF(AND(ISNUMBER(E286),ISNUMBER(F286)),(F286-E286),"")</f>
        <v/>
      </c>
      <c r="L286" s="11">
        <f>IF(AND(ISNUMBER(F286),ISNUMBER(G286)),(G286-F286),"")</f>
        <v/>
      </c>
      <c r="M286" s="11">
        <f>IF(AND(ISNUMBER(H286),ISNUMBER(I286)),(I286-H286),"")</f>
        <v/>
      </c>
      <c r="N286" s="11">
        <f>IF(AND(ISNUMBER(I286),ISNUMBER(J286)),(J286-I286),"")</f>
        <v/>
      </c>
      <c r="O286" s="11">
        <f>IF(AND(ISNUMBER(E286),ISNUMBER(J286)),(J286-E286),"")</f>
        <v/>
      </c>
    </row>
    <row r="287">
      <c r="A287" s="3" t="inlineStr">
        <is>
          <t>OBT210125065252-Wien Kledering</t>
        </is>
      </c>
      <c r="B287" s="3" t="inlineStr">
        <is>
          <t>Wien Kledering</t>
        </is>
      </c>
      <c r="C287" s="9" t="n">
        <v>233.08</v>
      </c>
      <c r="D287" s="3" t="inlineStr">
        <is>
          <t>611</t>
        </is>
      </c>
      <c r="E287" s="10" t="n">
        <v>45678.28671296296</v>
      </c>
      <c r="F287" s="10" t="n">
        <v>45678.87943287037</v>
      </c>
      <c r="G287" s="10" t="n">
        <v>45678.91990740741</v>
      </c>
      <c r="H287" s="10" t="n">
        <v>45678.91990740741</v>
      </c>
      <c r="I287" s="10" t="n">
        <v>45678.91990740741</v>
      </c>
      <c r="J287" s="10" t="n">
        <v>45678.92092592592</v>
      </c>
      <c r="K287" s="11">
        <f>IF(AND(ISNUMBER(E287),ISNUMBER(F287)),(F287-E287),"")</f>
        <v/>
      </c>
      <c r="L287" s="11">
        <f>IF(AND(ISNUMBER(F287),ISNUMBER(G287)),(G287-F287),"")</f>
        <v/>
      </c>
      <c r="M287" s="11">
        <f>IF(AND(ISNUMBER(H287),ISNUMBER(I287)),(I287-H287),"")</f>
        <v/>
      </c>
      <c r="N287" s="11">
        <f>IF(AND(ISNUMBER(I287),ISNUMBER(J287)),(J287-I287),"")</f>
        <v/>
      </c>
      <c r="O287" s="11">
        <f>IF(AND(ISNUMBER(E287),ISNUMBER(J287)),(J287-E287),"")</f>
        <v/>
      </c>
    </row>
    <row r="288">
      <c r="A288" s="3" t="inlineStr">
        <is>
          <t>OBT210125075153-Pitten (Hamburger)</t>
        </is>
      </c>
      <c r="B288" s="3" t="inlineStr">
        <is>
          <t>Pitten (Hamburger)</t>
        </is>
      </c>
      <c r="C288" s="9" t="n">
        <v>116.94</v>
      </c>
      <c r="D288" s="3" t="inlineStr">
        <is>
          <t>621</t>
        </is>
      </c>
      <c r="E288" s="10" t="n">
        <v>45678.32769675926</v>
      </c>
      <c r="F288" s="10" t="n">
        <v>45679.12300925926</v>
      </c>
      <c r="G288" s="10" t="n">
        <v>45679.14331018519</v>
      </c>
      <c r="H288" s="10" t="n">
        <v>45679.14331018519</v>
      </c>
      <c r="I288" s="10" t="n">
        <v>45679.14331018519</v>
      </c>
      <c r="J288" s="10" t="n">
        <v>45679.14412037037</v>
      </c>
      <c r="K288" s="11">
        <f>IF(AND(ISNUMBER(E288),ISNUMBER(F288)),(F288-E288),"")</f>
        <v/>
      </c>
      <c r="L288" s="11">
        <f>IF(AND(ISNUMBER(F288),ISNUMBER(G288)),(G288-F288),"")</f>
        <v/>
      </c>
      <c r="M288" s="11">
        <f>IF(AND(ISNUMBER(H288),ISNUMBER(I288)),(I288-H288),"")</f>
        <v/>
      </c>
      <c r="N288" s="11">
        <f>IF(AND(ISNUMBER(I288),ISNUMBER(J288)),(J288-I288),"")</f>
        <v/>
      </c>
      <c r="O288" s="11">
        <f>IF(AND(ISNUMBER(E288),ISNUMBER(J288)),(J288-E288),"")</f>
        <v/>
      </c>
    </row>
    <row r="289">
      <c r="A289" s="3" t="inlineStr">
        <is>
          <t>OBT210125080256-Neudörfl (FunderMax)</t>
        </is>
      </c>
      <c r="B289" s="3" t="inlineStr">
        <is>
          <t>Neudörfl (FunderMax)</t>
        </is>
      </c>
      <c r="C289" s="9" t="n">
        <v>117.1</v>
      </c>
      <c r="D289" s="3" t="inlineStr">
        <is>
          <t>619</t>
        </is>
      </c>
      <c r="E289" s="10" t="n">
        <v>45678.33537037037</v>
      </c>
      <c r="F289" s="10" t="n">
        <v>45679.20344907408</v>
      </c>
      <c r="G289" s="10" t="n">
        <v>45679.22378472222</v>
      </c>
      <c r="H289" s="10" t="n">
        <v>45679.22378472222</v>
      </c>
      <c r="I289" s="10" t="n">
        <v>45679.22378472222</v>
      </c>
      <c r="J289" s="10" t="n">
        <v>45679.22459490741</v>
      </c>
      <c r="K289" s="11">
        <f>IF(AND(ISNUMBER(E289),ISNUMBER(F289)),(F289-E289),"")</f>
        <v/>
      </c>
      <c r="L289" s="11">
        <f>IF(AND(ISNUMBER(F289),ISNUMBER(G289)),(G289-F289),"")</f>
        <v/>
      </c>
      <c r="M289" s="11">
        <f>IF(AND(ISNUMBER(H289),ISNUMBER(I289)),(I289-H289),"")</f>
        <v/>
      </c>
      <c r="N289" s="11">
        <f>IF(AND(ISNUMBER(I289),ISNUMBER(J289)),(J289-I289),"")</f>
        <v/>
      </c>
      <c r="O289" s="11">
        <f>IF(AND(ISNUMBER(E289),ISNUMBER(J289)),(J289-E289),"")</f>
        <v/>
      </c>
    </row>
    <row r="290">
      <c r="A290" s="3" t="inlineStr">
        <is>
          <t>OBT210125080752-Wien Kledering</t>
        </is>
      </c>
      <c r="B290" s="3" t="inlineStr">
        <is>
          <t>Wien Kledering</t>
        </is>
      </c>
      <c r="C290" s="9" t="n">
        <v>339.1</v>
      </c>
      <c r="D290" s="3" t="inlineStr">
        <is>
          <t>619</t>
        </is>
      </c>
      <c r="E290" s="10" t="n">
        <v>45678.3387962963</v>
      </c>
      <c r="F290" s="10" t="n">
        <v>45679.27695601852</v>
      </c>
      <c r="G290" s="10" t="n">
        <v>45679.33583333333</v>
      </c>
      <c r="H290" s="10" t="n">
        <v>45679.33583333333</v>
      </c>
      <c r="I290" s="10" t="n">
        <v>45679.33583333333</v>
      </c>
      <c r="J290" s="10" t="n">
        <v>45679.33716435185</v>
      </c>
      <c r="K290" s="11">
        <f>IF(AND(ISNUMBER(E290),ISNUMBER(F290)),(F290-E290),"")</f>
        <v/>
      </c>
      <c r="L290" s="11">
        <f>IF(AND(ISNUMBER(F290),ISNUMBER(G290)),(G290-F290),"")</f>
        <v/>
      </c>
      <c r="M290" s="11">
        <f>IF(AND(ISNUMBER(H290),ISNUMBER(I290)),(I290-H290),"")</f>
        <v/>
      </c>
      <c r="N290" s="11">
        <f>IF(AND(ISNUMBER(I290),ISNUMBER(J290)),(J290-I290),"")</f>
        <v/>
      </c>
      <c r="O290" s="11">
        <f>IF(AND(ISNUMBER(E290),ISNUMBER(J290)),(J290-E290),"")</f>
        <v/>
      </c>
    </row>
    <row r="291">
      <c r="A291" s="3" t="inlineStr">
        <is>
          <t>OBT210125092833-St. Veit an der Glan</t>
        </is>
      </c>
      <c r="B291" s="3" t="inlineStr">
        <is>
          <t>St. Veit an der Glan</t>
        </is>
      </c>
      <c r="C291" s="9" t="n">
        <v>143.6</v>
      </c>
      <c r="D291" s="3" t="inlineStr">
        <is>
          <t>615</t>
        </is>
      </c>
      <c r="E291" s="10" t="n">
        <v>45678.39482638889</v>
      </c>
      <c r="F291" s="10" t="n">
        <v>45679.32265046296</v>
      </c>
      <c r="G291" s="10" t="n">
        <v>45679.34758101852</v>
      </c>
      <c r="H291" s="10" t="n">
        <v>45679.34758101852</v>
      </c>
      <c r="I291" s="10" t="n">
        <v>45679.34758101852</v>
      </c>
      <c r="J291" s="10" t="n">
        <v>45679.34836805556</v>
      </c>
      <c r="K291" s="11">
        <f>IF(AND(ISNUMBER(E291),ISNUMBER(F291)),(F291-E291),"")</f>
        <v/>
      </c>
      <c r="L291" s="11">
        <f>IF(AND(ISNUMBER(F291),ISNUMBER(G291)),(G291-F291),"")</f>
        <v/>
      </c>
      <c r="M291" s="11">
        <f>IF(AND(ISNUMBER(H291),ISNUMBER(I291)),(I291-H291),"")</f>
        <v/>
      </c>
      <c r="N291" s="11">
        <f>IF(AND(ISNUMBER(I291),ISNUMBER(J291)),(J291-I291),"")</f>
        <v/>
      </c>
      <c r="O291" s="11">
        <f>IF(AND(ISNUMBER(E291),ISNUMBER(J291)),(J291-E291),"")</f>
        <v/>
      </c>
    </row>
    <row r="292">
      <c r="A292" s="3" t="inlineStr">
        <is>
          <t>OBT210125093211-Wr. Neustadt (Hödlmayr)</t>
        </is>
      </c>
      <c r="B292" s="3" t="inlineStr">
        <is>
          <t>Wr. Neustadt (Hödlmayr)</t>
        </is>
      </c>
      <c r="C292" s="9" t="n">
        <v>108</v>
      </c>
      <c r="D292" s="3" t="inlineStr">
        <is>
          <t>606</t>
        </is>
      </c>
      <c r="E292" s="10" t="n">
        <v>45678.39734953704</v>
      </c>
      <c r="F292" s="10" t="n">
        <v>45679.32489583334</v>
      </c>
      <c r="G292" s="10" t="n">
        <v>45679.34364583333</v>
      </c>
      <c r="H292" s="10" t="n">
        <v>45679.34364583333</v>
      </c>
      <c r="I292" s="10" t="n">
        <v>45679.34364583333</v>
      </c>
      <c r="J292" s="10" t="n">
        <v>45679.34440972222</v>
      </c>
      <c r="K292" s="11">
        <f>IF(AND(ISNUMBER(E292),ISNUMBER(F292)),(F292-E292),"")</f>
        <v/>
      </c>
      <c r="L292" s="11">
        <f>IF(AND(ISNUMBER(F292),ISNUMBER(G292)),(G292-F292),"")</f>
        <v/>
      </c>
      <c r="M292" s="11">
        <f>IF(AND(ISNUMBER(H292),ISNUMBER(I292)),(I292-H292),"")</f>
        <v/>
      </c>
      <c r="N292" s="11">
        <f>IF(AND(ISNUMBER(I292),ISNUMBER(J292)),(J292-I292),"")</f>
        <v/>
      </c>
      <c r="O292" s="11">
        <f>IF(AND(ISNUMBER(E292),ISNUMBER(J292)),(J292-E292),"")</f>
        <v/>
      </c>
    </row>
    <row r="293">
      <c r="A293" s="3" t="inlineStr">
        <is>
          <t>OBT210125093910-Neudörfl (FunderMax)</t>
        </is>
      </c>
      <c r="B293" s="3" t="inlineStr">
        <is>
          <t>Neudörfl (FunderMax)</t>
        </is>
      </c>
      <c r="C293" s="9" t="n">
        <v>111.4</v>
      </c>
      <c r="D293" s="3" t="inlineStr">
        <is>
          <t>627</t>
        </is>
      </c>
      <c r="E293" s="10" t="n">
        <v>45678.40219907407</v>
      </c>
      <c r="F293" s="10" t="n">
        <v>45679.34151620371</v>
      </c>
      <c r="G293" s="10" t="n">
        <v>45679.36085648148</v>
      </c>
      <c r="H293" s="10" t="n">
        <v>45679.36085648148</v>
      </c>
      <c r="I293" s="10" t="n">
        <v>45679.36085648148</v>
      </c>
      <c r="J293" s="10" t="n">
        <v>45679.36150462963</v>
      </c>
      <c r="K293" s="11">
        <f>IF(AND(ISNUMBER(E293),ISNUMBER(F293)),(F293-E293),"")</f>
        <v/>
      </c>
      <c r="L293" s="11">
        <f>IF(AND(ISNUMBER(F293),ISNUMBER(G293)),(G293-F293),"")</f>
        <v/>
      </c>
      <c r="M293" s="11">
        <f>IF(AND(ISNUMBER(H293),ISNUMBER(I293)),(I293-H293),"")</f>
        <v/>
      </c>
      <c r="N293" s="11">
        <f>IF(AND(ISNUMBER(I293),ISNUMBER(J293)),(J293-I293),"")</f>
        <v/>
      </c>
      <c r="O293" s="11">
        <f>IF(AND(ISNUMBER(E293),ISNUMBER(J293)),(J293-E293),"")</f>
        <v/>
      </c>
    </row>
    <row r="294">
      <c r="A294" s="3" t="inlineStr">
        <is>
          <t>OBT210125103404-Wien Kledering</t>
        </is>
      </c>
      <c r="B294" s="3" t="inlineStr">
        <is>
          <t>Wien Kledering</t>
        </is>
      </c>
      <c r="C294" s="9" t="n">
        <v>454.78</v>
      </c>
      <c r="D294" s="3" t="inlineStr">
        <is>
          <t>619</t>
        </is>
      </c>
      <c r="E294" s="10" t="n">
        <v>45678.44032407407</v>
      </c>
      <c r="F294" s="10" t="n">
        <v>45679.36295138889</v>
      </c>
      <c r="G294" s="10" t="n">
        <v>45679.44189814815</v>
      </c>
      <c r="H294" s="10" t="n">
        <v>45679.44189814815</v>
      </c>
      <c r="I294" s="10" t="n">
        <v>45679.44189814815</v>
      </c>
      <c r="J294" s="10" t="n">
        <v>45679.44350694444</v>
      </c>
      <c r="K294" s="11">
        <f>IF(AND(ISNUMBER(E294),ISNUMBER(F294)),(F294-E294),"")</f>
        <v/>
      </c>
      <c r="L294" s="11">
        <f>IF(AND(ISNUMBER(F294),ISNUMBER(G294)),(G294-F294),"")</f>
        <v/>
      </c>
      <c r="M294" s="11">
        <f>IF(AND(ISNUMBER(H294),ISNUMBER(I294)),(I294-H294),"")</f>
        <v/>
      </c>
      <c r="N294" s="11">
        <f>IF(AND(ISNUMBER(I294),ISNUMBER(J294)),(J294-I294),"")</f>
        <v/>
      </c>
      <c r="O294" s="11">
        <f>IF(AND(ISNUMBER(E294),ISNUMBER(J294)),(J294-E294),"")</f>
        <v/>
      </c>
    </row>
    <row r="295">
      <c r="A295" s="3" t="inlineStr">
        <is>
          <t>OBT210125144735-Wien Kledering</t>
        </is>
      </c>
      <c r="B295" s="3" t="inlineStr">
        <is>
          <t>Wien Kledering</t>
        </is>
      </c>
      <c r="C295" s="9" t="n">
        <v>398.0400000000001</v>
      </c>
      <c r="D295" s="3" t="inlineStr">
        <is>
          <t>619</t>
        </is>
      </c>
      <c r="E295" s="10" t="n">
        <v>45678.61637731481</v>
      </c>
      <c r="F295" s="10" t="n">
        <v>45679.42063657408</v>
      </c>
      <c r="G295" s="10" t="n">
        <v>45679.48974537037</v>
      </c>
      <c r="H295" s="10" t="n">
        <v>45679.48974537037</v>
      </c>
      <c r="I295" s="10" t="n">
        <v>45679.48974537037</v>
      </c>
      <c r="J295" s="10" t="n">
        <v>45679.49121527778</v>
      </c>
      <c r="K295" s="11">
        <f>IF(AND(ISNUMBER(E295),ISNUMBER(F295)),(F295-E295),"")</f>
        <v/>
      </c>
      <c r="L295" s="11">
        <f>IF(AND(ISNUMBER(F295),ISNUMBER(G295)),(G295-F295),"")</f>
        <v/>
      </c>
      <c r="M295" s="11">
        <f>IF(AND(ISNUMBER(H295),ISNUMBER(I295)),(I295-H295),"")</f>
        <v/>
      </c>
      <c r="N295" s="11">
        <f>IF(AND(ISNUMBER(I295),ISNUMBER(J295)),(J295-I295),"")</f>
        <v/>
      </c>
      <c r="O295" s="11">
        <f>IF(AND(ISNUMBER(E295),ISNUMBER(J295)),(J295-E295),"")</f>
        <v/>
      </c>
    </row>
    <row r="296">
      <c r="A296" s="3" t="inlineStr">
        <is>
          <t>OBT210125150922-Neunkirchen (loading tracks)</t>
        </is>
      </c>
      <c r="B296" s="3" t="inlineStr">
        <is>
          <t>Neunkirchen (loading tracks)</t>
        </is>
      </c>
      <c r="C296" s="9" t="n">
        <v>101.7</v>
      </c>
      <c r="D296" s="3" t="inlineStr">
        <is>
          <t>617</t>
        </is>
      </c>
      <c r="E296" s="10" t="n">
        <v>45678.63150462963</v>
      </c>
      <c r="F296" s="10" t="n">
        <v>45679.44578703704</v>
      </c>
      <c r="G296" s="10" t="n">
        <v>45679.46344907407</v>
      </c>
      <c r="H296" s="10" t="n">
        <v>45679.46344907407</v>
      </c>
      <c r="I296" s="10" t="n">
        <v>45679.46344907407</v>
      </c>
      <c r="J296" s="10" t="n">
        <v>45679.46422453703</v>
      </c>
      <c r="K296" s="11">
        <f>IF(AND(ISNUMBER(E296),ISNUMBER(F296)),(F296-E296),"")</f>
        <v/>
      </c>
      <c r="L296" s="11">
        <f>IF(AND(ISNUMBER(F296),ISNUMBER(G296)),(G296-F296),"")</f>
        <v/>
      </c>
      <c r="M296" s="11">
        <f>IF(AND(ISNUMBER(H296),ISNUMBER(I296)),(I296-H296),"")</f>
        <v/>
      </c>
      <c r="N296" s="11">
        <f>IF(AND(ISNUMBER(I296),ISNUMBER(J296)),(J296-I296),"")</f>
        <v/>
      </c>
      <c r="O296" s="11">
        <f>IF(AND(ISNUMBER(E296),ISNUMBER(J296)),(J296-E296),"")</f>
        <v/>
      </c>
    </row>
    <row r="297">
      <c r="A297" s="3" t="inlineStr">
        <is>
          <t>OBT210125151409-Neudörfl (FunderMax)</t>
        </is>
      </c>
      <c r="B297" s="3" t="inlineStr">
        <is>
          <t>Neudörfl (FunderMax)</t>
        </is>
      </c>
      <c r="C297" s="9" t="n">
        <v>173.3</v>
      </c>
      <c r="D297" s="3" t="inlineStr">
        <is>
          <t>615</t>
        </is>
      </c>
      <c r="E297" s="10" t="n">
        <v>45678.63482638889</v>
      </c>
      <c r="F297" s="10" t="n">
        <v>45679.54993055556</v>
      </c>
      <c r="G297" s="10" t="n">
        <v>45679.58002314815</v>
      </c>
      <c r="H297" s="10" t="n">
        <v>45679.58002314815</v>
      </c>
      <c r="I297" s="10" t="n">
        <v>45679.58002314815</v>
      </c>
      <c r="J297" s="10" t="n">
        <v>45679.5808912037</v>
      </c>
      <c r="K297" s="11">
        <f>IF(AND(ISNUMBER(E297),ISNUMBER(F297)),(F297-E297),"")</f>
        <v/>
      </c>
      <c r="L297" s="11">
        <f>IF(AND(ISNUMBER(F297),ISNUMBER(G297)),(G297-F297),"")</f>
        <v/>
      </c>
      <c r="M297" s="11">
        <f>IF(AND(ISNUMBER(H297),ISNUMBER(I297)),(I297-H297),"")</f>
        <v/>
      </c>
      <c r="N297" s="11">
        <f>IF(AND(ISNUMBER(I297),ISNUMBER(J297)),(J297-I297),"")</f>
        <v/>
      </c>
      <c r="O297" s="11">
        <f>IF(AND(ISNUMBER(E297),ISNUMBER(J297)),(J297-E297),"")</f>
        <v/>
      </c>
    </row>
    <row r="298">
      <c r="A298" s="3" t="inlineStr">
        <is>
          <t>OBT210125151926-Steinabrückl/Wöllersdorf</t>
        </is>
      </c>
      <c r="B298" s="3" t="inlineStr">
        <is>
          <t>Steinabrückl/Wöllersdorf</t>
        </is>
      </c>
      <c r="C298" s="9" t="n">
        <v>123.74</v>
      </c>
      <c r="D298" s="3" t="inlineStr">
        <is>
          <t>623</t>
        </is>
      </c>
      <c r="E298" s="10" t="n">
        <v>45678.63849537037</v>
      </c>
      <c r="F298" s="10" t="n">
        <v>45679.64212962963</v>
      </c>
      <c r="G298" s="10" t="n">
        <v>45679.66361111111</v>
      </c>
      <c r="H298" s="10" t="n">
        <v>45679.66361111111</v>
      </c>
      <c r="I298" s="10" t="n">
        <v>45679.66361111111</v>
      </c>
      <c r="J298" s="10" t="n">
        <v>45679.66444444445</v>
      </c>
      <c r="K298" s="11">
        <f>IF(AND(ISNUMBER(E298),ISNUMBER(F298)),(F298-E298),"")</f>
        <v/>
      </c>
      <c r="L298" s="11">
        <f>IF(AND(ISNUMBER(F298),ISNUMBER(G298)),(G298-F298),"")</f>
        <v/>
      </c>
      <c r="M298" s="11">
        <f>IF(AND(ISNUMBER(H298),ISNUMBER(I298)),(I298-H298),"")</f>
        <v/>
      </c>
      <c r="N298" s="11">
        <f>IF(AND(ISNUMBER(I298),ISNUMBER(J298)),(J298-I298),"")</f>
        <v/>
      </c>
      <c r="O298" s="11">
        <f>IF(AND(ISNUMBER(E298),ISNUMBER(J298)),(J298-E298),"")</f>
        <v/>
      </c>
    </row>
    <row r="299">
      <c r="A299" s="3" t="inlineStr">
        <is>
          <t>OBT210125152253-Pitten (Hamburger)</t>
        </is>
      </c>
      <c r="B299" s="3" t="inlineStr">
        <is>
          <t>Pitten (Hamburger)</t>
        </is>
      </c>
      <c r="C299" s="9" t="n">
        <v>209.9</v>
      </c>
      <c r="D299" s="3" t="inlineStr">
        <is>
          <t>607</t>
        </is>
      </c>
      <c r="E299" s="10" t="n">
        <v>45678.6408912037</v>
      </c>
      <c r="F299" s="10" t="n">
        <v>45679.74309027778</v>
      </c>
      <c r="G299" s="10" t="n">
        <v>45679.77953703704</v>
      </c>
      <c r="H299" s="10" t="n">
        <v>45679.77953703704</v>
      </c>
      <c r="I299" s="10" t="n">
        <v>45679.77953703704</v>
      </c>
      <c r="J299" s="10" t="n">
        <v>45679.78061342592</v>
      </c>
      <c r="K299" s="11">
        <f>IF(AND(ISNUMBER(E299),ISNUMBER(F299)),(F299-E299),"")</f>
        <v/>
      </c>
      <c r="L299" s="11">
        <f>IF(AND(ISNUMBER(F299),ISNUMBER(G299)),(G299-F299),"")</f>
        <v/>
      </c>
      <c r="M299" s="11">
        <f>IF(AND(ISNUMBER(H299),ISNUMBER(I299)),(I299-H299),"")</f>
        <v/>
      </c>
      <c r="N299" s="11">
        <f>IF(AND(ISNUMBER(I299),ISNUMBER(J299)),(J299-I299),"")</f>
        <v/>
      </c>
      <c r="O299" s="11">
        <f>IF(AND(ISNUMBER(E299),ISNUMBER(J299)),(J299-E299),"")</f>
        <v/>
      </c>
    </row>
    <row r="300">
      <c r="A300" s="3" t="inlineStr">
        <is>
          <t>OBT210125152947-Wien Kledering</t>
        </is>
      </c>
      <c r="B300" s="3" t="inlineStr">
        <is>
          <t>Wien Kledering</t>
        </is>
      </c>
      <c r="C300" s="9" t="n">
        <v>125.92</v>
      </c>
      <c r="D300" s="3" t="inlineStr">
        <is>
          <t>619</t>
        </is>
      </c>
      <c r="E300" s="10" t="n">
        <v>45678.64568287037</v>
      </c>
      <c r="F300" s="10" t="n">
        <v>45679.76295138889</v>
      </c>
      <c r="G300" s="10" t="n">
        <v>45679.78480324074</v>
      </c>
      <c r="H300" s="10" t="n">
        <v>45679.78480324074</v>
      </c>
      <c r="I300" s="10" t="n">
        <v>45679.78480324074</v>
      </c>
      <c r="J300" s="10" t="n">
        <v>45679.78564814815</v>
      </c>
      <c r="K300" s="11">
        <f>IF(AND(ISNUMBER(E300),ISNUMBER(F300)),(F300-E300),"")</f>
        <v/>
      </c>
      <c r="L300" s="11">
        <f>IF(AND(ISNUMBER(F300),ISNUMBER(G300)),(G300-F300),"")</f>
        <v/>
      </c>
      <c r="M300" s="11">
        <f>IF(AND(ISNUMBER(H300),ISNUMBER(I300)),(I300-H300),"")</f>
        <v/>
      </c>
      <c r="N300" s="11">
        <f>IF(AND(ISNUMBER(I300),ISNUMBER(J300)),(J300-I300),"")</f>
        <v/>
      </c>
      <c r="O300" s="11">
        <f>IF(AND(ISNUMBER(E300),ISNUMBER(J300)),(J300-E300),"")</f>
        <v/>
      </c>
    </row>
    <row r="301">
      <c r="A301" s="3" t="inlineStr">
        <is>
          <t>OBT210125210727-Wien Kledering</t>
        </is>
      </c>
      <c r="B301" s="3" t="inlineStr">
        <is>
          <t>Wien Kledering</t>
        </is>
      </c>
      <c r="C301" s="9" t="n">
        <v>187.4</v>
      </c>
      <c r="D301" s="3" t="inlineStr">
        <is>
          <t>619</t>
        </is>
      </c>
      <c r="E301" s="10" t="n">
        <v>45678.88017361111</v>
      </c>
      <c r="F301" s="10" t="n">
        <v>45679.76534722222</v>
      </c>
      <c r="G301" s="10" t="n">
        <v>45679.79788194445</v>
      </c>
      <c r="H301" s="10" t="n">
        <v>45679.79788194445</v>
      </c>
      <c r="I301" s="10" t="n">
        <v>45679.79788194445</v>
      </c>
      <c r="J301" s="10" t="n">
        <v>45679.79885416666</v>
      </c>
      <c r="K301" s="11">
        <f>IF(AND(ISNUMBER(E301),ISNUMBER(F301)),(F301-E301),"")</f>
        <v/>
      </c>
      <c r="L301" s="11">
        <f>IF(AND(ISNUMBER(F301),ISNUMBER(G301)),(G301-F301),"")</f>
        <v/>
      </c>
      <c r="M301" s="11">
        <f>IF(AND(ISNUMBER(H301),ISNUMBER(I301)),(I301-H301),"")</f>
        <v/>
      </c>
      <c r="N301" s="11">
        <f>IF(AND(ISNUMBER(I301),ISNUMBER(J301)),(J301-I301),"")</f>
        <v/>
      </c>
      <c r="O301" s="11">
        <f>IF(AND(ISNUMBER(E301),ISNUMBER(J301)),(J301-E301),"")</f>
        <v/>
      </c>
    </row>
    <row r="302">
      <c r="A302" s="3" t="inlineStr">
        <is>
          <t>OBT220125025432-Other sidings south</t>
        </is>
      </c>
      <c r="B302" s="3" t="inlineStr">
        <is>
          <t>Other sidings south</t>
        </is>
      </c>
      <c r="C302" s="9" t="n">
        <v>219.42</v>
      </c>
      <c r="D302" s="3" t="inlineStr">
        <is>
          <t>615</t>
        </is>
      </c>
      <c r="E302" s="10" t="n">
        <v>45679.1212037037</v>
      </c>
      <c r="F302" s="10" t="n">
        <v>45679.86597222222</v>
      </c>
      <c r="G302" s="10" t="n">
        <v>45679.9040625</v>
      </c>
      <c r="H302" s="10" t="n">
        <v>45679.9040625</v>
      </c>
      <c r="I302" s="10" t="n">
        <v>45679.9040625</v>
      </c>
      <c r="J302" s="10" t="n">
        <v>45679.90503472222</v>
      </c>
      <c r="K302" s="11">
        <f>IF(AND(ISNUMBER(E302),ISNUMBER(F302)),(F302-E302),"")</f>
        <v/>
      </c>
      <c r="L302" s="11">
        <f>IF(AND(ISNUMBER(F302),ISNUMBER(G302)),(G302-F302),"")</f>
        <v/>
      </c>
      <c r="M302" s="11">
        <f>IF(AND(ISNUMBER(H302),ISNUMBER(I302)),(I302-H302),"")</f>
        <v/>
      </c>
      <c r="N302" s="11">
        <f>IF(AND(ISNUMBER(I302),ISNUMBER(J302)),(J302-I302),"")</f>
        <v/>
      </c>
      <c r="O302" s="11">
        <f>IF(AND(ISNUMBER(E302),ISNUMBER(J302)),(J302-E302),"")</f>
        <v/>
      </c>
    </row>
    <row r="303">
      <c r="A303" s="3" t="inlineStr">
        <is>
          <t>OBT220125045357-Neudörfl (FunderMax)</t>
        </is>
      </c>
      <c r="B303" s="3" t="inlineStr">
        <is>
          <t>Neudörfl (FunderMax)</t>
        </is>
      </c>
      <c r="C303" s="9" t="n">
        <v>366.6</v>
      </c>
      <c r="D303" s="3" t="inlineStr">
        <is>
          <t>625</t>
        </is>
      </c>
      <c r="E303" s="10" t="n">
        <v>45679.20413194445</v>
      </c>
      <c r="F303" s="10" t="n">
        <v>45680.1319212963</v>
      </c>
      <c r="G303" s="10" t="n">
        <v>45680.19556712963</v>
      </c>
      <c r="H303" s="10" t="n">
        <v>45680.19556712963</v>
      </c>
      <c r="I303" s="10" t="n">
        <v>45680.19556712963</v>
      </c>
      <c r="J303" s="10" t="n">
        <v>45680.19690972222</v>
      </c>
      <c r="K303" s="11">
        <f>IF(AND(ISNUMBER(E303),ISNUMBER(F303)),(F303-E303),"")</f>
        <v/>
      </c>
      <c r="L303" s="11">
        <f>IF(AND(ISNUMBER(F303),ISNUMBER(G303)),(G303-F303),"")</f>
        <v/>
      </c>
      <c r="M303" s="11">
        <f>IF(AND(ISNUMBER(H303),ISNUMBER(I303)),(I303-H303),"")</f>
        <v/>
      </c>
      <c r="N303" s="11">
        <f>IF(AND(ISNUMBER(I303),ISNUMBER(J303)),(J303-I303),"")</f>
        <v/>
      </c>
      <c r="O303" s="11">
        <f>IF(AND(ISNUMBER(E303),ISNUMBER(J303)),(J303-E303),"")</f>
        <v/>
      </c>
    </row>
    <row r="304">
      <c r="A304" s="3" t="inlineStr">
        <is>
          <t>OBT220125063948-Wien Kledering</t>
        </is>
      </c>
      <c r="B304" s="3" t="inlineStr">
        <is>
          <t>Wien Kledering</t>
        </is>
      </c>
      <c r="C304" s="9" t="n">
        <v>291.7</v>
      </c>
      <c r="D304" s="3" t="inlineStr">
        <is>
          <t>619</t>
        </is>
      </c>
      <c r="E304" s="10" t="n">
        <v>45679.27763888889</v>
      </c>
      <c r="F304" s="10" t="n">
        <v>45680.27384259259</v>
      </c>
      <c r="G304" s="10" t="n">
        <v>45680.32447916667</v>
      </c>
      <c r="H304" s="10" t="n">
        <v>45680.32447916667</v>
      </c>
      <c r="I304" s="10" t="n">
        <v>45680.32447916667</v>
      </c>
      <c r="J304" s="10" t="n">
        <v>45680.32570601852</v>
      </c>
      <c r="K304" s="11">
        <f>IF(AND(ISNUMBER(E304),ISNUMBER(F304)),(F304-E304),"")</f>
        <v/>
      </c>
      <c r="L304" s="11">
        <f>IF(AND(ISNUMBER(F304),ISNUMBER(G304)),(G304-F304),"")</f>
        <v/>
      </c>
      <c r="M304" s="11">
        <f>IF(AND(ISNUMBER(H304),ISNUMBER(I304)),(I304-H304),"")</f>
        <v/>
      </c>
      <c r="N304" s="11">
        <f>IF(AND(ISNUMBER(I304),ISNUMBER(J304)),(J304-I304),"")</f>
        <v/>
      </c>
      <c r="O304" s="11">
        <f>IF(AND(ISNUMBER(E304),ISNUMBER(J304)),(J304-E304),"")</f>
        <v/>
      </c>
    </row>
    <row r="305">
      <c r="A305" s="3" t="inlineStr">
        <is>
          <t>OBT220125073335-Other sidings local</t>
        </is>
      </c>
      <c r="B305" s="3" t="inlineStr">
        <is>
          <t>Other sidings local</t>
        </is>
      </c>
      <c r="C305" s="9" t="n">
        <v>106.92</v>
      </c>
      <c r="D305" s="3" t="inlineStr">
        <is>
          <t>605</t>
        </is>
      </c>
      <c r="E305" s="10" t="n">
        <v>45679.31498842593</v>
      </c>
      <c r="F305" s="10" t="n">
        <v>45680.30650462963</v>
      </c>
      <c r="G305" s="10" t="n">
        <v>45680.32506944444</v>
      </c>
      <c r="H305" s="10" t="n">
        <v>45680.32506944444</v>
      </c>
      <c r="I305" s="10" t="n">
        <v>45680.32570601852</v>
      </c>
      <c r="J305" s="10" t="n">
        <v>45680.32655092593</v>
      </c>
      <c r="K305" s="11">
        <f>IF(AND(ISNUMBER(E305),ISNUMBER(F305)),(F305-E305),"")</f>
        <v/>
      </c>
      <c r="L305" s="11">
        <f>IF(AND(ISNUMBER(F305),ISNUMBER(G305)),(G305-F305),"")</f>
        <v/>
      </c>
      <c r="M305" s="11">
        <f>IF(AND(ISNUMBER(H305),ISNUMBER(I305)),(I305-H305),"")</f>
        <v/>
      </c>
      <c r="N305" s="11">
        <f>IF(AND(ISNUMBER(I305),ISNUMBER(J305)),(J305-I305),"")</f>
        <v/>
      </c>
      <c r="O305" s="11">
        <f>IF(AND(ISNUMBER(E305),ISNUMBER(J305)),(J305-E305),"")</f>
        <v/>
      </c>
    </row>
    <row r="306">
      <c r="A306" s="3" t="inlineStr">
        <is>
          <t>OBT220125084547-St. Veit an der Glan</t>
        </is>
      </c>
      <c r="B306" s="3" t="inlineStr">
        <is>
          <t>St. Veit an der Glan</t>
        </is>
      </c>
      <c r="C306" s="9" t="n">
        <v>331.2</v>
      </c>
      <c r="D306" s="3" t="inlineStr">
        <is>
          <t>615</t>
        </is>
      </c>
      <c r="E306" s="10" t="n">
        <v>45679.36512731481</v>
      </c>
      <c r="F306" s="10" t="n">
        <v>45680.31045138889</v>
      </c>
      <c r="G306" s="10" t="n">
        <v>45680.36795138889</v>
      </c>
      <c r="H306" s="10" t="n">
        <v>45680.36795138889</v>
      </c>
      <c r="I306" s="10" t="n">
        <v>45680.36795138889</v>
      </c>
      <c r="J306" s="10" t="n">
        <v>45680.36918981482</v>
      </c>
      <c r="K306" s="11">
        <f>IF(AND(ISNUMBER(E306),ISNUMBER(F306)),(F306-E306),"")</f>
        <v/>
      </c>
      <c r="L306" s="11">
        <f>IF(AND(ISNUMBER(F306),ISNUMBER(G306)),(G306-F306),"")</f>
        <v/>
      </c>
      <c r="M306" s="11">
        <f>IF(AND(ISNUMBER(H306),ISNUMBER(I306)),(I306-H306),"")</f>
        <v/>
      </c>
      <c r="N306" s="11">
        <f>IF(AND(ISNUMBER(I306),ISNUMBER(J306)),(J306-I306),"")</f>
        <v/>
      </c>
      <c r="O306" s="11">
        <f>IF(AND(ISNUMBER(E306),ISNUMBER(J306)),(J306-E306),"")</f>
        <v/>
      </c>
    </row>
    <row r="307">
      <c r="A307" s="3" t="inlineStr">
        <is>
          <t>OBT220125094552-Pitten (Hamburger)</t>
        </is>
      </c>
      <c r="B307" s="3" t="inlineStr">
        <is>
          <t>Pitten (Hamburger)</t>
        </is>
      </c>
      <c r="C307" s="9" t="n">
        <v>179.16</v>
      </c>
      <c r="D307" s="3" t="inlineStr">
        <is>
          <t>627</t>
        </is>
      </c>
      <c r="E307" s="10" t="n">
        <v>45679.40685185185</v>
      </c>
      <c r="F307" s="10" t="n">
        <v>45680.33</v>
      </c>
      <c r="G307" s="10" t="n">
        <v>45680.36111111111</v>
      </c>
      <c r="H307" s="10" t="n">
        <v>45680.36111111111</v>
      </c>
      <c r="I307" s="10" t="n">
        <v>45680.36111111111</v>
      </c>
      <c r="J307" s="10" t="n">
        <v>45680.36192129629</v>
      </c>
      <c r="K307" s="11">
        <f>IF(AND(ISNUMBER(E307),ISNUMBER(F307)),(F307-E307),"")</f>
        <v/>
      </c>
      <c r="L307" s="11">
        <f>IF(AND(ISNUMBER(F307),ISNUMBER(G307)),(G307-F307),"")</f>
        <v/>
      </c>
      <c r="M307" s="11">
        <f>IF(AND(ISNUMBER(H307),ISNUMBER(I307)),(I307-H307),"")</f>
        <v/>
      </c>
      <c r="N307" s="11">
        <f>IF(AND(ISNUMBER(I307),ISNUMBER(J307)),(J307-I307),"")</f>
        <v/>
      </c>
      <c r="O307" s="11">
        <f>IF(AND(ISNUMBER(E307),ISNUMBER(J307)),(J307-E307),"")</f>
        <v/>
      </c>
    </row>
    <row r="308">
      <c r="A308" s="3" t="inlineStr">
        <is>
          <t>OBT220125095350-Neunkirchen (loading tracks)</t>
        </is>
      </c>
      <c r="B308" s="3" t="inlineStr">
        <is>
          <t>Neunkirchen (loading tracks)</t>
        </is>
      </c>
      <c r="C308" s="9" t="n">
        <v>114.84</v>
      </c>
      <c r="D308" s="3" t="inlineStr">
        <is>
          <t>621</t>
        </is>
      </c>
      <c r="E308" s="10" t="n">
        <v>45679.41238425926</v>
      </c>
      <c r="F308" s="10" t="n">
        <v>45680.37738425926</v>
      </c>
      <c r="G308" s="10" t="n">
        <v>45680.39731481481</v>
      </c>
      <c r="H308" s="10" t="n">
        <v>45680.39731481481</v>
      </c>
      <c r="I308" s="10" t="n">
        <v>45680.39731481481</v>
      </c>
      <c r="J308" s="10" t="n">
        <v>45680.398125</v>
      </c>
      <c r="K308" s="11">
        <f>IF(AND(ISNUMBER(E308),ISNUMBER(F308)),(F308-E308),"")</f>
        <v/>
      </c>
      <c r="L308" s="11">
        <f>IF(AND(ISNUMBER(F308),ISNUMBER(G308)),(G308-F308),"")</f>
        <v/>
      </c>
      <c r="M308" s="11">
        <f>IF(AND(ISNUMBER(H308),ISNUMBER(I308)),(I308-H308),"")</f>
        <v/>
      </c>
      <c r="N308" s="11">
        <f>IF(AND(ISNUMBER(I308),ISNUMBER(J308)),(J308-I308),"")</f>
        <v/>
      </c>
      <c r="O308" s="11">
        <f>IF(AND(ISNUMBER(E308),ISNUMBER(J308)),(J308-E308),"")</f>
        <v/>
      </c>
    </row>
    <row r="309">
      <c r="A309" s="3" t="inlineStr">
        <is>
          <t>OBT220125095549-Wr. Neustadt (Hödlmayr)</t>
        </is>
      </c>
      <c r="B309" s="3" t="inlineStr">
        <is>
          <t>Wr. Neustadt (Hödlmayr)</t>
        </is>
      </c>
      <c r="C309" s="9" t="n">
        <v>108</v>
      </c>
      <c r="D309" s="3" t="inlineStr">
        <is>
          <t>611</t>
        </is>
      </c>
      <c r="E309" s="10" t="n">
        <v>45679.41376157408</v>
      </c>
      <c r="F309" s="10" t="n">
        <v>45680.41893518518</v>
      </c>
      <c r="G309" s="10" t="n">
        <v>45680.43768518518</v>
      </c>
      <c r="H309" s="10" t="n">
        <v>45680.43768518518</v>
      </c>
      <c r="I309" s="10" t="n">
        <v>45680.43768518518</v>
      </c>
      <c r="J309" s="10" t="n">
        <v>45680.43841435185</v>
      </c>
      <c r="K309" s="11">
        <f>IF(AND(ISNUMBER(E309),ISNUMBER(F309)),(F309-E309),"")</f>
        <v/>
      </c>
      <c r="L309" s="11">
        <f>IF(AND(ISNUMBER(F309),ISNUMBER(G309)),(G309-F309),"")</f>
        <v/>
      </c>
      <c r="M309" s="11">
        <f>IF(AND(ISNUMBER(H309),ISNUMBER(I309)),(I309-H309),"")</f>
        <v/>
      </c>
      <c r="N309" s="11">
        <f>IF(AND(ISNUMBER(I309),ISNUMBER(J309)),(J309-I309),"")</f>
        <v/>
      </c>
      <c r="O309" s="11">
        <f>IF(AND(ISNUMBER(E309),ISNUMBER(J309)),(J309-E309),"")</f>
        <v/>
      </c>
    </row>
    <row r="310">
      <c r="A310" s="3" t="inlineStr">
        <is>
          <t>OBT220125100316-Neudörfl (FunderMax)</t>
        </is>
      </c>
      <c r="B310" s="3" t="inlineStr">
        <is>
          <t>Neudörfl (FunderMax)</t>
        </is>
      </c>
      <c r="C310" s="9" t="n">
        <v>132.78</v>
      </c>
      <c r="D310" s="3" t="inlineStr">
        <is>
          <t>629</t>
        </is>
      </c>
      <c r="E310" s="10" t="n">
        <v>45679.41893518518</v>
      </c>
      <c r="F310" s="10" t="n">
        <v>45680.45319444445</v>
      </c>
      <c r="G310" s="10" t="n">
        <v>45680.47625</v>
      </c>
      <c r="H310" s="10" t="n">
        <v>45680.47625</v>
      </c>
      <c r="I310" s="10" t="n">
        <v>45680.47625</v>
      </c>
      <c r="J310" s="10" t="n">
        <v>45680.47693287037</v>
      </c>
      <c r="K310" s="11">
        <f>IF(AND(ISNUMBER(E310),ISNUMBER(F310)),(F310-E310),"")</f>
        <v/>
      </c>
      <c r="L310" s="11">
        <f>IF(AND(ISNUMBER(F310),ISNUMBER(G310)),(G310-F310),"")</f>
        <v/>
      </c>
      <c r="M310" s="11">
        <f>IF(AND(ISNUMBER(H310),ISNUMBER(I310)),(I310-H310),"")</f>
        <v/>
      </c>
      <c r="N310" s="11">
        <f>IF(AND(ISNUMBER(I310),ISNUMBER(J310)),(J310-I310),"")</f>
        <v/>
      </c>
      <c r="O310" s="11">
        <f>IF(AND(ISNUMBER(E310),ISNUMBER(J310)),(J310-E310),"")</f>
        <v/>
      </c>
    </row>
    <row r="311">
      <c r="A311" s="3" t="inlineStr">
        <is>
          <t>OBT220125104258-Wien Kledering</t>
        </is>
      </c>
      <c r="B311" s="3" t="inlineStr">
        <is>
          <t>Wien Kledering</t>
        </is>
      </c>
      <c r="C311" s="9" t="n">
        <v>446.2400000000001</v>
      </c>
      <c r="D311" s="3" t="inlineStr">
        <is>
          <t>615</t>
        </is>
      </c>
      <c r="E311" s="10" t="n">
        <v>45679.44650462963</v>
      </c>
      <c r="F311" s="10" t="n">
        <v>45680.61497685185</v>
      </c>
      <c r="G311" s="10" t="n">
        <v>45680.69244212963</v>
      </c>
      <c r="H311" s="10" t="n">
        <v>45680.69244212963</v>
      </c>
      <c r="I311" s="10" t="n">
        <v>45680.69244212963</v>
      </c>
      <c r="J311" s="10" t="n">
        <v>45680.69394675926</v>
      </c>
      <c r="K311" s="11">
        <f>IF(AND(ISNUMBER(E311),ISNUMBER(F311)),(F311-E311),"")</f>
        <v/>
      </c>
      <c r="L311" s="11">
        <f>IF(AND(ISNUMBER(F311),ISNUMBER(G311)),(G311-F311),"")</f>
        <v/>
      </c>
      <c r="M311" s="11">
        <f>IF(AND(ISNUMBER(H311),ISNUMBER(I311)),(I311-H311),"")</f>
        <v/>
      </c>
      <c r="N311" s="11">
        <f>IF(AND(ISNUMBER(I311),ISNUMBER(J311)),(J311-I311),"")</f>
        <v/>
      </c>
      <c r="O311" s="11">
        <f>IF(AND(ISNUMBER(E311),ISNUMBER(J311)),(J311-E311),"")</f>
        <v/>
      </c>
    </row>
    <row r="312">
      <c r="A312" s="3" t="inlineStr">
        <is>
          <t>OBT220125175314-Wien Kledering</t>
        </is>
      </c>
      <c r="B312" s="3" t="inlineStr">
        <is>
          <t>Wien Kledering</t>
        </is>
      </c>
      <c r="C312" s="9" t="n">
        <v>388.3200000000001</v>
      </c>
      <c r="D312" s="3" t="inlineStr">
        <is>
          <t>615</t>
        </is>
      </c>
      <c r="E312" s="10" t="n">
        <v>45679.74530092593</v>
      </c>
      <c r="F312" s="10" t="n">
        <v>45680.64006944445</v>
      </c>
      <c r="G312" s="10" t="n">
        <v>45680.70748842593</v>
      </c>
      <c r="H312" s="10" t="n">
        <v>45680.70748842593</v>
      </c>
      <c r="I312" s="10" t="n">
        <v>45680.70748842593</v>
      </c>
      <c r="J312" s="10" t="n">
        <v>45680.70885416667</v>
      </c>
      <c r="K312" s="11">
        <f>IF(AND(ISNUMBER(E312),ISNUMBER(F312)),(F312-E312),"")</f>
        <v/>
      </c>
      <c r="L312" s="11">
        <f>IF(AND(ISNUMBER(F312),ISNUMBER(G312)),(G312-F312),"")</f>
        <v/>
      </c>
      <c r="M312" s="11">
        <f>IF(AND(ISNUMBER(H312),ISNUMBER(I312)),(I312-H312),"")</f>
        <v/>
      </c>
      <c r="N312" s="11">
        <f>IF(AND(ISNUMBER(I312),ISNUMBER(J312)),(J312-I312),"")</f>
        <v/>
      </c>
      <c r="O312" s="11">
        <f>IF(AND(ISNUMBER(E312),ISNUMBER(J312)),(J312-E312),"")</f>
        <v/>
      </c>
    </row>
    <row r="313">
      <c r="A313" s="3" t="inlineStr">
        <is>
          <t>OBT220125180146-Felixdorf/Sollenau (Bundesheer, Maba)</t>
        </is>
      </c>
      <c r="B313" s="3" t="inlineStr">
        <is>
          <t>Felixdorf/Sollenau (Bundesheer, Maba)</t>
        </is>
      </c>
      <c r="C313" s="9" t="n">
        <v>119.4</v>
      </c>
      <c r="D313" s="3" t="inlineStr">
        <is>
          <t>609</t>
        </is>
      </c>
      <c r="E313" s="10" t="n">
        <v>45679.75122685185</v>
      </c>
      <c r="F313" s="10" t="n">
        <v>45680.65077546296</v>
      </c>
      <c r="G313" s="10" t="n">
        <v>45680.67150462963</v>
      </c>
      <c r="H313" s="10" t="n">
        <v>45680.67150462963</v>
      </c>
      <c r="I313" s="10" t="n">
        <v>45680.67150462963</v>
      </c>
      <c r="J313" s="10" t="n">
        <v>45680.67232638889</v>
      </c>
      <c r="K313" s="11">
        <f>IF(AND(ISNUMBER(E313),ISNUMBER(F313)),(F313-E313),"")</f>
        <v/>
      </c>
      <c r="L313" s="11">
        <f>IF(AND(ISNUMBER(F313),ISNUMBER(G313)),(G313-F313),"")</f>
        <v/>
      </c>
      <c r="M313" s="11">
        <f>IF(AND(ISNUMBER(H313),ISNUMBER(I313)),(I313-H313),"")</f>
        <v/>
      </c>
      <c r="N313" s="11">
        <f>IF(AND(ISNUMBER(I313),ISNUMBER(J313)),(J313-I313),"")</f>
        <v/>
      </c>
      <c r="O313" s="11">
        <f>IF(AND(ISNUMBER(E313),ISNUMBER(J313)),(J313-E313),"")</f>
        <v/>
      </c>
    </row>
    <row r="314">
      <c r="A314" s="3" t="inlineStr">
        <is>
          <t>OBT220125180607-Wr. Neustadt Ausfahrbf (Furtenbach)</t>
        </is>
      </c>
      <c r="B314" s="3" t="inlineStr">
        <is>
          <t>Wr. Neustadt Ausfahrbf (Furtenbach)</t>
        </is>
      </c>
      <c r="C314" s="9" t="n">
        <v>159.2</v>
      </c>
      <c r="D314" s="3" t="inlineStr">
        <is>
          <t>613</t>
        </is>
      </c>
      <c r="E314" s="10" t="n">
        <v>45679.75424768519</v>
      </c>
      <c r="F314" s="10" t="n">
        <v>45680.67324074074</v>
      </c>
      <c r="G314" s="10" t="n">
        <v>45680.70087962963</v>
      </c>
      <c r="H314" s="10" t="n">
        <v>45680.70087962963</v>
      </c>
      <c r="I314" s="10" t="n">
        <v>45680.70087962963</v>
      </c>
      <c r="J314" s="10" t="n">
        <v>45680.70167824074</v>
      </c>
      <c r="K314" s="11">
        <f>IF(AND(ISNUMBER(E314),ISNUMBER(F314)),(F314-E314),"")</f>
        <v/>
      </c>
      <c r="L314" s="11">
        <f>IF(AND(ISNUMBER(F314),ISNUMBER(G314)),(G314-F314),"")</f>
        <v/>
      </c>
      <c r="M314" s="11">
        <f>IF(AND(ISNUMBER(H314),ISNUMBER(I314)),(I314-H314),"")</f>
        <v/>
      </c>
      <c r="N314" s="11">
        <f>IF(AND(ISNUMBER(I314),ISNUMBER(J314)),(J314-I314),"")</f>
        <v/>
      </c>
      <c r="O314" s="11">
        <f>IF(AND(ISNUMBER(E314),ISNUMBER(J314)),(J314-E314),"")</f>
        <v/>
      </c>
    </row>
    <row r="315">
      <c r="A315" s="3" t="inlineStr">
        <is>
          <t>OBT220125181516-Pitten (Hamburger)</t>
        </is>
      </c>
      <c r="B315" s="3" t="inlineStr">
        <is>
          <t>Pitten (Hamburger)</t>
        </is>
      </c>
      <c r="C315" s="9" t="n">
        <v>295.3600000000001</v>
      </c>
      <c r="D315" s="3" t="inlineStr">
        <is>
          <t>619</t>
        </is>
      </c>
      <c r="E315" s="10" t="n">
        <v>45679.76060185185</v>
      </c>
      <c r="F315" s="10" t="n">
        <v>45680.75005787037</v>
      </c>
      <c r="G315" s="10" t="n">
        <v>45680.80133101852</v>
      </c>
      <c r="H315" s="10" t="n">
        <v>45680.80133101852</v>
      </c>
      <c r="I315" s="10" t="n">
        <v>45680.80133101852</v>
      </c>
      <c r="J315" s="10" t="n">
        <v>45680.80255787037</v>
      </c>
      <c r="K315" s="11">
        <f>IF(AND(ISNUMBER(E315),ISNUMBER(F315)),(F315-E315),"")</f>
        <v/>
      </c>
      <c r="L315" s="11">
        <f>IF(AND(ISNUMBER(F315),ISNUMBER(G315)),(G315-F315),"")</f>
        <v/>
      </c>
      <c r="M315" s="11">
        <f>IF(AND(ISNUMBER(H315),ISNUMBER(I315)),(I315-H315),"")</f>
        <v/>
      </c>
      <c r="N315" s="11">
        <f>IF(AND(ISNUMBER(I315),ISNUMBER(J315)),(J315-I315),"")</f>
        <v/>
      </c>
      <c r="O315" s="11">
        <f>IF(AND(ISNUMBER(E315),ISNUMBER(J315)),(J315-E315),"")</f>
        <v/>
      </c>
    </row>
    <row r="316">
      <c r="A316" s="3" t="inlineStr">
        <is>
          <t>OBT220125203751-Pitten (Hamburger)</t>
        </is>
      </c>
      <c r="B316" s="3" t="inlineStr">
        <is>
          <t>Pitten (Hamburger)</t>
        </is>
      </c>
      <c r="C316" s="9" t="n">
        <v>106.96</v>
      </c>
      <c r="D316" s="3" t="inlineStr">
        <is>
          <t>619</t>
        </is>
      </c>
      <c r="E316" s="10" t="n">
        <v>45679.85961805555</v>
      </c>
      <c r="F316" s="10" t="n">
        <v>45680.7528587963</v>
      </c>
      <c r="G316" s="10" t="n">
        <v>45680.77143518518</v>
      </c>
      <c r="H316" s="10" t="n">
        <v>45680.77143518518</v>
      </c>
      <c r="I316" s="10" t="n">
        <v>45680.77143518518</v>
      </c>
      <c r="J316" s="10" t="n">
        <v>45680.7722337963</v>
      </c>
      <c r="K316" s="11">
        <f>IF(AND(ISNUMBER(E316),ISNUMBER(F316)),(F316-E316),"")</f>
        <v/>
      </c>
      <c r="L316" s="11">
        <f>IF(AND(ISNUMBER(F316),ISNUMBER(G316)),(G316-F316),"")</f>
        <v/>
      </c>
      <c r="M316" s="11">
        <f>IF(AND(ISNUMBER(H316),ISNUMBER(I316)),(I316-H316),"")</f>
        <v/>
      </c>
      <c r="N316" s="11">
        <f>IF(AND(ISNUMBER(I316),ISNUMBER(J316)),(J316-I316),"")</f>
        <v/>
      </c>
      <c r="O316" s="11">
        <f>IF(AND(ISNUMBER(E316),ISNUMBER(J316)),(J316-E316),"")</f>
        <v/>
      </c>
    </row>
    <row r="317">
      <c r="A317" s="3" t="inlineStr">
        <is>
          <t>OBT220125204226-Neunkirchen (loading tracks)</t>
        </is>
      </c>
      <c r="B317" s="3" t="inlineStr">
        <is>
          <t>Neunkirchen (loading tracks)</t>
        </is>
      </c>
      <c r="C317" s="9" t="n">
        <v>102.8</v>
      </c>
      <c r="D317" s="3" t="inlineStr">
        <is>
          <t>623</t>
        </is>
      </c>
      <c r="E317" s="10" t="n">
        <v>45679.86280092593</v>
      </c>
      <c r="F317" s="10" t="n">
        <v>45680.8828587963</v>
      </c>
      <c r="G317" s="10" t="n">
        <v>45680.90070601852</v>
      </c>
      <c r="H317" s="10" t="n">
        <v>45680.90070601852</v>
      </c>
      <c r="I317" s="10" t="n">
        <v>45680.90070601852</v>
      </c>
      <c r="J317" s="10" t="n">
        <v>45680.90148148148</v>
      </c>
      <c r="K317" s="11">
        <f>IF(AND(ISNUMBER(E317),ISNUMBER(F317)),(F317-E317),"")</f>
        <v/>
      </c>
      <c r="L317" s="11">
        <f>IF(AND(ISNUMBER(F317),ISNUMBER(G317)),(G317-F317),"")</f>
        <v/>
      </c>
      <c r="M317" s="11">
        <f>IF(AND(ISNUMBER(H317),ISNUMBER(I317)),(I317-H317),"")</f>
        <v/>
      </c>
      <c r="N317" s="11">
        <f>IF(AND(ISNUMBER(I317),ISNUMBER(J317)),(J317-I317),"")</f>
        <v/>
      </c>
      <c r="O317" s="11">
        <f>IF(AND(ISNUMBER(E317),ISNUMBER(J317)),(J317-E317),"")</f>
        <v/>
      </c>
    </row>
    <row r="318">
      <c r="A318" s="3" t="inlineStr">
        <is>
          <t>OBT220125205009-Other sidings local</t>
        </is>
      </c>
      <c r="B318" s="3" t="inlineStr">
        <is>
          <t>Other sidings local</t>
        </is>
      </c>
      <c r="C318" s="9" t="n">
        <v>113.28</v>
      </c>
      <c r="D318" s="3" t="inlineStr">
        <is>
          <t>606</t>
        </is>
      </c>
      <c r="E318" s="10" t="n">
        <v>45679.86815972222</v>
      </c>
      <c r="F318" s="10" t="n">
        <v>45681.13284722222</v>
      </c>
      <c r="G318" s="10" t="n">
        <v>45681.15251157407</v>
      </c>
      <c r="H318" s="10" t="n">
        <v>45681.15251157407</v>
      </c>
      <c r="I318" s="10" t="n">
        <v>45681.15251157407</v>
      </c>
      <c r="J318" s="10" t="n">
        <v>45681.15327546297</v>
      </c>
      <c r="K318" s="11">
        <f>IF(AND(ISNUMBER(E318),ISNUMBER(F318)),(F318-E318),"")</f>
        <v/>
      </c>
      <c r="L318" s="11">
        <f>IF(AND(ISNUMBER(F318),ISNUMBER(G318)),(G318-F318),"")</f>
        <v/>
      </c>
      <c r="M318" s="11">
        <f>IF(AND(ISNUMBER(H318),ISNUMBER(I318)),(I318-H318),"")</f>
        <v/>
      </c>
      <c r="N318" s="11">
        <f>IF(AND(ISNUMBER(I318),ISNUMBER(J318)),(J318-I318),"")</f>
        <v/>
      </c>
      <c r="O318" s="11">
        <f>IF(AND(ISNUMBER(E318),ISNUMBER(J318)),(J318-E318),"")</f>
        <v/>
      </c>
    </row>
    <row r="319">
      <c r="A319" s="3" t="inlineStr">
        <is>
          <t>OBT230125030314-Neunkirchen (loading tracks)</t>
        </is>
      </c>
      <c r="B319" s="3" t="inlineStr">
        <is>
          <t>Neunkirchen (loading tracks)</t>
        </is>
      </c>
      <c r="C319" s="9" t="n">
        <v>123.8</v>
      </c>
      <c r="D319" s="3" t="inlineStr">
        <is>
          <t>615</t>
        </is>
      </c>
      <c r="E319" s="10" t="n">
        <v>45680.12724537037</v>
      </c>
      <c r="F319" s="10" t="n">
        <v>45681.19891203703</v>
      </c>
      <c r="G319" s="10" t="n">
        <v>45681.22040509259</v>
      </c>
      <c r="H319" s="10" t="n">
        <v>45681.22040509259</v>
      </c>
      <c r="I319" s="10" t="n">
        <v>45681.22040509259</v>
      </c>
      <c r="J319" s="10" t="n">
        <v>45681.22115740741</v>
      </c>
      <c r="K319" s="11">
        <f>IF(AND(ISNUMBER(E319),ISNUMBER(F319)),(F319-E319),"")</f>
        <v/>
      </c>
      <c r="L319" s="11">
        <f>IF(AND(ISNUMBER(F319),ISNUMBER(G319)),(G319-F319),"")</f>
        <v/>
      </c>
      <c r="M319" s="11">
        <f>IF(AND(ISNUMBER(H319),ISNUMBER(I319)),(I319-H319),"")</f>
        <v/>
      </c>
      <c r="N319" s="11">
        <f>IF(AND(ISNUMBER(I319),ISNUMBER(J319)),(J319-I319),"")</f>
        <v/>
      </c>
      <c r="O319" s="11">
        <f>IF(AND(ISNUMBER(E319),ISNUMBER(J319)),(J319-E319),"")</f>
        <v/>
      </c>
    </row>
    <row r="320">
      <c r="A320" s="3" t="inlineStr">
        <is>
          <t>OBT230125030603-Ternitz (Schoeller-Bleckmann)</t>
        </is>
      </c>
      <c r="B320" s="3" t="inlineStr">
        <is>
          <t>Ternitz (Schoeller-Bleckmann)</t>
        </is>
      </c>
      <c r="C320" s="9" t="n">
        <v>107.86</v>
      </c>
      <c r="D320" s="3" t="inlineStr">
        <is>
          <t>621</t>
        </is>
      </c>
      <c r="E320" s="10" t="n">
        <v>45680.12920138889</v>
      </c>
      <c r="F320" s="10" t="n">
        <v>45681.2693287037</v>
      </c>
      <c r="G320" s="10" t="n">
        <v>45681.28805555555</v>
      </c>
      <c r="H320" s="10" t="n">
        <v>45681.28805555555</v>
      </c>
      <c r="I320" s="10" t="n">
        <v>45681.28805555555</v>
      </c>
      <c r="J320" s="10" t="n">
        <v>45681.28884259259</v>
      </c>
      <c r="K320" s="11">
        <f>IF(AND(ISNUMBER(E320),ISNUMBER(F320)),(F320-E320),"")</f>
        <v/>
      </c>
      <c r="L320" s="11">
        <f>IF(AND(ISNUMBER(F320),ISNUMBER(G320)),(G320-F320),"")</f>
        <v/>
      </c>
      <c r="M320" s="11">
        <f>IF(AND(ISNUMBER(H320),ISNUMBER(I320)),(I320-H320),"")</f>
        <v/>
      </c>
      <c r="N320" s="11">
        <f>IF(AND(ISNUMBER(I320),ISNUMBER(J320)),(J320-I320),"")</f>
        <v/>
      </c>
      <c r="O320" s="11">
        <f>IF(AND(ISNUMBER(E320),ISNUMBER(J320)),(J320-E320),"")</f>
        <v/>
      </c>
    </row>
    <row r="321">
      <c r="A321" s="3" t="inlineStr">
        <is>
          <t>OBT230125063522-Wien Kledering</t>
        </is>
      </c>
      <c r="B321" s="3" t="inlineStr">
        <is>
          <t>Wien Kledering</t>
        </is>
      </c>
      <c r="C321" s="9" t="n">
        <v>144.44</v>
      </c>
      <c r="D321" s="3" t="inlineStr">
        <is>
          <t>625</t>
        </is>
      </c>
      <c r="E321" s="10" t="n">
        <v>45680.27456018519</v>
      </c>
      <c r="F321" s="10" t="n">
        <v>45681.3009375</v>
      </c>
      <c r="G321" s="10" t="n">
        <v>45681.32601851852</v>
      </c>
      <c r="H321" s="10" t="n">
        <v>45681.32601851852</v>
      </c>
      <c r="I321" s="10" t="n">
        <v>45681.32601851852</v>
      </c>
      <c r="J321" s="10" t="n">
        <v>45681.32685185185</v>
      </c>
      <c r="K321" s="11">
        <f>IF(AND(ISNUMBER(E321),ISNUMBER(F321)),(F321-E321),"")</f>
        <v/>
      </c>
      <c r="L321" s="11">
        <f>IF(AND(ISNUMBER(F321),ISNUMBER(G321)),(G321-F321),"")</f>
        <v/>
      </c>
      <c r="M321" s="11">
        <f>IF(AND(ISNUMBER(H321),ISNUMBER(I321)),(I321-H321),"")</f>
        <v/>
      </c>
      <c r="N321" s="11">
        <f>IF(AND(ISNUMBER(I321),ISNUMBER(J321)),(J321-I321),"")</f>
        <v/>
      </c>
      <c r="O321" s="11">
        <f>IF(AND(ISNUMBER(E321),ISNUMBER(J321)),(J321-E321),"")</f>
        <v/>
      </c>
    </row>
    <row r="322">
      <c r="A322" s="3" t="inlineStr">
        <is>
          <t>OBT230125071649-Other sidings south</t>
        </is>
      </c>
      <c r="B322" s="3" t="inlineStr">
        <is>
          <t>Other sidings south</t>
        </is>
      </c>
      <c r="C322" s="9" t="n">
        <v>117.76</v>
      </c>
      <c r="D322" s="3" t="inlineStr">
        <is>
          <t>615</t>
        </is>
      </c>
      <c r="E322" s="10" t="n">
        <v>45680.30334490741</v>
      </c>
      <c r="F322" s="10" t="n">
        <v>45681.31454861111</v>
      </c>
      <c r="G322" s="10" t="n">
        <v>45681.335</v>
      </c>
      <c r="H322" s="10" t="n">
        <v>45681.335</v>
      </c>
      <c r="I322" s="10" t="n">
        <v>45681.335</v>
      </c>
      <c r="J322" s="10" t="n">
        <v>45681.33572916667</v>
      </c>
      <c r="K322" s="11">
        <f>IF(AND(ISNUMBER(E322),ISNUMBER(F322)),(F322-E322),"")</f>
        <v/>
      </c>
      <c r="L322" s="11">
        <f>IF(AND(ISNUMBER(F322),ISNUMBER(G322)),(G322-F322),"")</f>
        <v/>
      </c>
      <c r="M322" s="11">
        <f>IF(AND(ISNUMBER(H322),ISNUMBER(I322)),(I322-H322),"")</f>
        <v/>
      </c>
      <c r="N322" s="11">
        <f>IF(AND(ISNUMBER(I322),ISNUMBER(J322)),(J322-I322),"")</f>
        <v/>
      </c>
      <c r="O322" s="11">
        <f>IF(AND(ISNUMBER(E322),ISNUMBER(J322)),(J322-E322),"")</f>
        <v/>
      </c>
    </row>
    <row r="323">
      <c r="A323" s="3" t="inlineStr">
        <is>
          <t>OBT230125090110-Wien Kledering</t>
        </is>
      </c>
      <c r="B323" s="3" t="inlineStr">
        <is>
          <t>Wien Kledering</t>
        </is>
      </c>
      <c r="C323" s="9" t="n">
        <v>177.8</v>
      </c>
      <c r="D323" s="3" t="inlineStr">
        <is>
          <t>627</t>
        </is>
      </c>
      <c r="E323" s="10" t="n">
        <v>45680.37581018519</v>
      </c>
      <c r="F323" s="10" t="n">
        <v>45681.33265046297</v>
      </c>
      <c r="G323" s="10" t="n">
        <v>45681.36351851852</v>
      </c>
      <c r="H323" s="10" t="n">
        <v>45681.36351851852</v>
      </c>
      <c r="I323" s="10" t="n">
        <v>45681.36351851852</v>
      </c>
      <c r="J323" s="10" t="n">
        <v>45681.3643287037</v>
      </c>
      <c r="K323" s="11">
        <f>IF(AND(ISNUMBER(E323),ISNUMBER(F323)),(F323-E323),"")</f>
        <v/>
      </c>
      <c r="L323" s="11">
        <f>IF(AND(ISNUMBER(F323),ISNUMBER(G323)),(G323-F323),"")</f>
        <v/>
      </c>
      <c r="M323" s="11">
        <f>IF(AND(ISNUMBER(H323),ISNUMBER(I323)),(I323-H323),"")</f>
        <v/>
      </c>
      <c r="N323" s="11">
        <f>IF(AND(ISNUMBER(I323),ISNUMBER(J323)),(J323-I323),"")</f>
        <v/>
      </c>
      <c r="O323" s="11">
        <f>IF(AND(ISNUMBER(E323),ISNUMBER(J323)),(J323-E323),"")</f>
        <v/>
      </c>
    </row>
    <row r="324">
      <c r="A324" s="3" t="inlineStr">
        <is>
          <t>OBT230125090423-St. Veit an der Glan</t>
        </is>
      </c>
      <c r="B324" s="3" t="inlineStr">
        <is>
          <t>St. Veit an der Glan</t>
        </is>
      </c>
      <c r="C324" s="9" t="n">
        <v>218.7</v>
      </c>
      <c r="D324" s="3" t="inlineStr">
        <is>
          <t>605</t>
        </is>
      </c>
      <c r="E324" s="10" t="n">
        <v>45680.37804398148</v>
      </c>
      <c r="F324" s="10" t="n">
        <v>45681.37797453703</v>
      </c>
      <c r="G324" s="10" t="n">
        <v>45681.41594907407</v>
      </c>
      <c r="H324" s="10" t="n">
        <v>45681.41594907407</v>
      </c>
      <c r="I324" s="10" t="n">
        <v>45681.41594907407</v>
      </c>
      <c r="J324" s="10" t="n">
        <v>45681.41704861111</v>
      </c>
      <c r="K324" s="11">
        <f>IF(AND(ISNUMBER(E324),ISNUMBER(F324)),(F324-E324),"")</f>
        <v/>
      </c>
      <c r="L324" s="11">
        <f>IF(AND(ISNUMBER(F324),ISNUMBER(G324)),(G324-F324),"")</f>
        <v/>
      </c>
      <c r="M324" s="11">
        <f>IF(AND(ISNUMBER(H324),ISNUMBER(I324)),(I324-H324),"")</f>
        <v/>
      </c>
      <c r="N324" s="11">
        <f>IF(AND(ISNUMBER(I324),ISNUMBER(J324)),(J324-I324),"")</f>
        <v/>
      </c>
      <c r="O324" s="11">
        <f>IF(AND(ISNUMBER(E324),ISNUMBER(J324)),(J324-E324),"")</f>
        <v/>
      </c>
    </row>
    <row r="325">
      <c r="A325" s="3" t="inlineStr">
        <is>
          <t>OBT230125095448-Neudörfl (FunderMax)</t>
        </is>
      </c>
      <c r="B325" s="3" t="inlineStr">
        <is>
          <t>Neudörfl (FunderMax)</t>
        </is>
      </c>
      <c r="C325" s="9" t="n">
        <v>152.3</v>
      </c>
      <c r="D325" s="3" t="inlineStr">
        <is>
          <t>617</t>
        </is>
      </c>
      <c r="E325" s="10" t="n">
        <v>45680.41305555555</v>
      </c>
      <c r="F325" s="10" t="n">
        <v>45681.40077546296</v>
      </c>
      <c r="G325" s="10" t="n">
        <v>45681.42721064815</v>
      </c>
      <c r="H325" s="10" t="n">
        <v>45681.42721064815</v>
      </c>
      <c r="I325" s="10" t="n">
        <v>45681.42721064815</v>
      </c>
      <c r="J325" s="10" t="n">
        <v>45681.42811342593</v>
      </c>
      <c r="K325" s="11">
        <f>IF(AND(ISNUMBER(E325),ISNUMBER(F325)),(F325-E325),"")</f>
        <v/>
      </c>
      <c r="L325" s="11">
        <f>IF(AND(ISNUMBER(F325),ISNUMBER(G325)),(G325-F325),"")</f>
        <v/>
      </c>
      <c r="M325" s="11">
        <f>IF(AND(ISNUMBER(H325),ISNUMBER(I325)),(I325-H325),"")</f>
        <v/>
      </c>
      <c r="N325" s="11">
        <f>IF(AND(ISNUMBER(I325),ISNUMBER(J325)),(J325-I325),"")</f>
        <v/>
      </c>
      <c r="O325" s="11">
        <f>IF(AND(ISNUMBER(E325),ISNUMBER(J325)),(J325-E325),"")</f>
        <v/>
      </c>
    </row>
    <row r="326">
      <c r="A326" s="3" t="inlineStr">
        <is>
          <t>OBT230125095729-Other sidings north</t>
        </is>
      </c>
      <c r="B326" s="3" t="inlineStr">
        <is>
          <t>Other sidings north</t>
        </is>
      </c>
      <c r="C326" s="9" t="n">
        <v>164.98</v>
      </c>
      <c r="D326" s="3" t="inlineStr">
        <is>
          <t>629</t>
        </is>
      </c>
      <c r="E326" s="10" t="n">
        <v>45680.41491898148</v>
      </c>
      <c r="F326" s="10" t="n">
        <v>45681.42479166666</v>
      </c>
      <c r="G326" s="10" t="n">
        <v>45681.4534375</v>
      </c>
      <c r="H326" s="10" t="n">
        <v>45681.4534375</v>
      </c>
      <c r="I326" s="10" t="n">
        <v>45681.4534375</v>
      </c>
      <c r="J326" s="10" t="n">
        <v>45681.45420138889</v>
      </c>
      <c r="K326" s="11">
        <f>IF(AND(ISNUMBER(E326),ISNUMBER(F326)),(F326-E326),"")</f>
        <v/>
      </c>
      <c r="L326" s="11">
        <f>IF(AND(ISNUMBER(F326),ISNUMBER(G326)),(G326-F326),"")</f>
        <v/>
      </c>
      <c r="M326" s="11">
        <f>IF(AND(ISNUMBER(H326),ISNUMBER(I326)),(I326-H326),"")</f>
        <v/>
      </c>
      <c r="N326" s="11">
        <f>IF(AND(ISNUMBER(I326),ISNUMBER(J326)),(J326-I326),"")</f>
        <v/>
      </c>
      <c r="O326" s="11">
        <f>IF(AND(ISNUMBER(E326),ISNUMBER(J326)),(J326-E326),"")</f>
        <v/>
      </c>
    </row>
    <row r="327">
      <c r="A327" s="3" t="inlineStr">
        <is>
          <t>OBT230125100554-Pitten (Hamburger)</t>
        </is>
      </c>
      <c r="B327" s="3" t="inlineStr">
        <is>
          <t>Pitten (Hamburger)</t>
        </is>
      </c>
      <c r="C327" s="9" t="n">
        <v>176.92</v>
      </c>
      <c r="D327" s="3" t="inlineStr">
        <is>
          <t>619</t>
        </is>
      </c>
      <c r="E327" s="10" t="n">
        <v>45680.42076388889</v>
      </c>
      <c r="F327" s="10" t="n">
        <v>45681.55319444444</v>
      </c>
      <c r="G327" s="10" t="n">
        <v>45681.58391203704</v>
      </c>
      <c r="H327" s="10" t="n">
        <v>45681.58391203704</v>
      </c>
      <c r="I327" s="10" t="n">
        <v>45681.58391203704</v>
      </c>
      <c r="J327" s="10" t="n">
        <v>45681.58487268518</v>
      </c>
      <c r="K327" s="11">
        <f>IF(AND(ISNUMBER(E327),ISNUMBER(F327)),(F327-E327),"")</f>
        <v/>
      </c>
      <c r="L327" s="11">
        <f>IF(AND(ISNUMBER(F327),ISNUMBER(G327)),(G327-F327),"")</f>
        <v/>
      </c>
      <c r="M327" s="11">
        <f>IF(AND(ISNUMBER(H327),ISNUMBER(I327)),(I327-H327),"")</f>
        <v/>
      </c>
      <c r="N327" s="11">
        <f>IF(AND(ISNUMBER(I327),ISNUMBER(J327)),(J327-I327),"")</f>
        <v/>
      </c>
      <c r="O327" s="11">
        <f>IF(AND(ISNUMBER(E327),ISNUMBER(J327)),(J327-E327),"")</f>
        <v/>
      </c>
    </row>
    <row r="328">
      <c r="A328" s="3" t="inlineStr">
        <is>
          <t>OBT230125105334-Wien Kledering</t>
        </is>
      </c>
      <c r="B328" s="3" t="inlineStr">
        <is>
          <t>Wien Kledering</t>
        </is>
      </c>
      <c r="C328" s="9" t="n">
        <v>407.8</v>
      </c>
      <c r="D328" s="3" t="inlineStr">
        <is>
          <t>621</t>
        </is>
      </c>
      <c r="E328" s="10" t="n">
        <v>45680.45386574074</v>
      </c>
      <c r="F328" s="10" t="n">
        <v>45681.61537037037</v>
      </c>
      <c r="G328" s="10" t="n">
        <v>45681.68616898148</v>
      </c>
      <c r="H328" s="10" t="n">
        <v>45681.68616898148</v>
      </c>
      <c r="I328" s="10" t="n">
        <v>45681.68616898148</v>
      </c>
      <c r="J328" s="10" t="n">
        <v>45681.68765046296</v>
      </c>
      <c r="K328" s="11">
        <f>IF(AND(ISNUMBER(E328),ISNUMBER(F328)),(F328-E328),"")</f>
        <v/>
      </c>
      <c r="L328" s="11">
        <f>IF(AND(ISNUMBER(F328),ISNUMBER(G328)),(G328-F328),"")</f>
        <v/>
      </c>
      <c r="M328" s="11">
        <f>IF(AND(ISNUMBER(H328),ISNUMBER(I328)),(I328-H328),"")</f>
        <v/>
      </c>
      <c r="N328" s="11">
        <f>IF(AND(ISNUMBER(I328),ISNUMBER(J328)),(J328-I328),"")</f>
        <v/>
      </c>
      <c r="O328" s="11">
        <f>IF(AND(ISNUMBER(E328),ISNUMBER(J328)),(J328-E328),"")</f>
        <v/>
      </c>
    </row>
    <row r="329">
      <c r="A329" s="3" t="inlineStr">
        <is>
          <t>OBT230125144630-Wien Kledering</t>
        </is>
      </c>
      <c r="B329" s="3" t="inlineStr">
        <is>
          <t>Wien Kledering</t>
        </is>
      </c>
      <c r="C329" s="9" t="n">
        <v>396.5600000000001</v>
      </c>
      <c r="D329" s="3" t="inlineStr">
        <is>
          <t>611</t>
        </is>
      </c>
      <c r="E329" s="10" t="n">
        <v>45680.615625</v>
      </c>
      <c r="F329" s="10" t="n">
        <v>45681.65070601852</v>
      </c>
      <c r="G329" s="10" t="n">
        <v>45681.71954861111</v>
      </c>
      <c r="H329" s="10" t="n">
        <v>45681.71954861111</v>
      </c>
      <c r="I329" s="10" t="n">
        <v>45681.71954861111</v>
      </c>
      <c r="J329" s="10" t="n">
        <v>45681.72094907407</v>
      </c>
      <c r="K329" s="11">
        <f>IF(AND(ISNUMBER(E329),ISNUMBER(F329)),(F329-E329),"")</f>
        <v/>
      </c>
      <c r="L329" s="11">
        <f>IF(AND(ISNUMBER(F329),ISNUMBER(G329)),(G329-F329),"")</f>
        <v/>
      </c>
      <c r="M329" s="11">
        <f>IF(AND(ISNUMBER(H329),ISNUMBER(I329)),(I329-H329),"")</f>
        <v/>
      </c>
      <c r="N329" s="11">
        <f>IF(AND(ISNUMBER(I329),ISNUMBER(J329)),(J329-I329),"")</f>
        <v/>
      </c>
      <c r="O329" s="11">
        <f>IF(AND(ISNUMBER(E329),ISNUMBER(J329)),(J329-E329),"")</f>
        <v/>
      </c>
    </row>
    <row r="330">
      <c r="A330" s="3" t="inlineStr">
        <is>
          <t>OBT230125174306-Other sidings north</t>
        </is>
      </c>
      <c r="B330" s="3" t="inlineStr">
        <is>
          <t>Other sidings north</t>
        </is>
      </c>
      <c r="C330" s="9" t="n">
        <v>130.16</v>
      </c>
      <c r="D330" s="3" t="inlineStr">
        <is>
          <t>629</t>
        </is>
      </c>
      <c r="E330" s="10" t="n">
        <v>45680.73826388889</v>
      </c>
      <c r="F330" s="10" t="n">
        <v>45681.65447916667</v>
      </c>
      <c r="G330" s="10" t="n">
        <v>45681.67707175926</v>
      </c>
      <c r="H330" s="10" t="n">
        <v>45681.67707175926</v>
      </c>
      <c r="I330" s="10" t="n">
        <v>45681.67707175926</v>
      </c>
      <c r="J330" s="10" t="n">
        <v>45681.67775462963</v>
      </c>
      <c r="K330" s="11">
        <f>IF(AND(ISNUMBER(E330),ISNUMBER(F330)),(F330-E330),"")</f>
        <v/>
      </c>
      <c r="L330" s="11">
        <f>IF(AND(ISNUMBER(F330),ISNUMBER(G330)),(G330-F330),"")</f>
        <v/>
      </c>
      <c r="M330" s="11">
        <f>IF(AND(ISNUMBER(H330),ISNUMBER(I330)),(I330-H330),"")</f>
        <v/>
      </c>
      <c r="N330" s="11">
        <f>IF(AND(ISNUMBER(I330),ISNUMBER(J330)),(J330-I330),"")</f>
        <v/>
      </c>
      <c r="O330" s="11">
        <f>IF(AND(ISNUMBER(E330),ISNUMBER(J330)),(J330-E330),"")</f>
        <v/>
      </c>
    </row>
    <row r="331">
      <c r="A331" s="3" t="inlineStr">
        <is>
          <t>OBT230125175458-Wr. Neustadt Ausfahrbf (Furtenbach)</t>
        </is>
      </c>
      <c r="B331" s="3" t="inlineStr">
        <is>
          <t>Wr. Neustadt Ausfahrbf (Furtenbach)</t>
        </is>
      </c>
      <c r="C331" s="9" t="n">
        <v>106.92</v>
      </c>
      <c r="D331" s="3" t="inlineStr">
        <is>
          <t>607</t>
        </is>
      </c>
      <c r="E331" s="10" t="n">
        <v>45680.74650462963</v>
      </c>
      <c r="F331" s="10" t="n">
        <v>45681.73866898148</v>
      </c>
      <c r="G331" s="10" t="n">
        <v>45681.7572337963</v>
      </c>
      <c r="H331" s="10" t="n">
        <v>45681.7572337963</v>
      </c>
      <c r="I331" s="10" t="n">
        <v>45681.7572337963</v>
      </c>
      <c r="J331" s="10" t="n">
        <v>45681.7580787037</v>
      </c>
      <c r="K331" s="11">
        <f>IF(AND(ISNUMBER(E331),ISNUMBER(F331)),(F331-E331),"")</f>
        <v/>
      </c>
      <c r="L331" s="11">
        <f>IF(AND(ISNUMBER(F331),ISNUMBER(G331)),(G331-F331),"")</f>
        <v/>
      </c>
      <c r="M331" s="11">
        <f>IF(AND(ISNUMBER(H331),ISNUMBER(I331)),(I331-H331),"")</f>
        <v/>
      </c>
      <c r="N331" s="11">
        <f>IF(AND(ISNUMBER(I331),ISNUMBER(J331)),(J331-I331),"")</f>
        <v/>
      </c>
      <c r="O331" s="11">
        <f>IF(AND(ISNUMBER(E331),ISNUMBER(J331)),(J331-E331),"")</f>
        <v/>
      </c>
    </row>
    <row r="332">
      <c r="A332" s="3" t="inlineStr">
        <is>
          <t>OBT230125175919-Pitten (Hamburger)</t>
        </is>
      </c>
      <c r="B332" s="3" t="inlineStr">
        <is>
          <t>Pitten (Hamburger)</t>
        </is>
      </c>
      <c r="C332" s="9" t="n">
        <v>117.68</v>
      </c>
      <c r="D332" s="3" t="inlineStr">
        <is>
          <t>613</t>
        </is>
      </c>
      <c r="E332" s="10" t="n">
        <v>45680.74952546296</v>
      </c>
      <c r="F332" s="10" t="n">
        <v>45681.74197916667</v>
      </c>
      <c r="G332" s="10" t="n">
        <v>45681.7624074074</v>
      </c>
      <c r="H332" s="10" t="n">
        <v>45681.7624074074</v>
      </c>
      <c r="I332" s="10" t="n">
        <v>45681.7624074074</v>
      </c>
      <c r="J332" s="10" t="n">
        <v>45681.76310185185</v>
      </c>
      <c r="K332" s="11">
        <f>IF(AND(ISNUMBER(E332),ISNUMBER(F332)),(F332-E332),"")</f>
        <v/>
      </c>
      <c r="L332" s="11">
        <f>IF(AND(ISNUMBER(F332),ISNUMBER(G332)),(G332-F332),"")</f>
        <v/>
      </c>
      <c r="M332" s="11">
        <f>IF(AND(ISNUMBER(H332),ISNUMBER(I332)),(I332-H332),"")</f>
        <v/>
      </c>
      <c r="N332" s="11">
        <f>IF(AND(ISNUMBER(I332),ISNUMBER(J332)),(J332-I332),"")</f>
        <v/>
      </c>
      <c r="O332" s="11">
        <f>IF(AND(ISNUMBER(E332),ISNUMBER(J332)),(J332-E332),"")</f>
        <v/>
      </c>
    </row>
    <row r="333">
      <c r="A333" s="3" t="inlineStr">
        <is>
          <t>OBT230125211356-Wien Kledering</t>
        </is>
      </c>
      <c r="B333" s="3" t="inlineStr">
        <is>
          <t>Wien Kledering</t>
        </is>
      </c>
      <c r="C333" s="9" t="n">
        <v>140.18</v>
      </c>
      <c r="D333" s="3" t="inlineStr">
        <is>
          <t>609</t>
        </is>
      </c>
      <c r="E333" s="10" t="n">
        <v>45680.88467592592</v>
      </c>
      <c r="F333" s="10" t="n">
        <v>45682.09043981481</v>
      </c>
      <c r="G333" s="10" t="n">
        <v>45682.11478009259</v>
      </c>
      <c r="H333" s="10" t="n">
        <v>45682.11478009259</v>
      </c>
      <c r="I333" s="10" t="n">
        <v>45682.11478009259</v>
      </c>
      <c r="J333" s="10" t="n">
        <v>45682.11563657408</v>
      </c>
      <c r="K333" s="11">
        <f>IF(AND(ISNUMBER(E333),ISNUMBER(F333)),(F333-E333),"")</f>
        <v/>
      </c>
      <c r="L333" s="11">
        <f>IF(AND(ISNUMBER(F333),ISNUMBER(G333)),(G333-F333),"")</f>
        <v/>
      </c>
      <c r="M333" s="11">
        <f>IF(AND(ISNUMBER(H333),ISNUMBER(I333)),(I333-H333),"")</f>
        <v/>
      </c>
      <c r="N333" s="11">
        <f>IF(AND(ISNUMBER(I333),ISNUMBER(J333)),(J333-I333),"")</f>
        <v/>
      </c>
      <c r="O333" s="11">
        <f>IF(AND(ISNUMBER(E333),ISNUMBER(J333)),(J333-E333),"")</f>
        <v/>
      </c>
    </row>
    <row r="334">
      <c r="A334" s="3" t="inlineStr">
        <is>
          <t>OBT240125030555-Neunkirchen (loading tracks)</t>
        </is>
      </c>
      <c r="B334" s="3" t="inlineStr">
        <is>
          <t>Neunkirchen (loading tracks)</t>
        </is>
      </c>
      <c r="C334" s="9" t="n">
        <v>164.7</v>
      </c>
      <c r="D334" s="3" t="inlineStr">
        <is>
          <t>619</t>
        </is>
      </c>
      <c r="E334" s="10" t="n">
        <v>45681.1291087963</v>
      </c>
      <c r="F334" s="10" t="n">
        <v>45683.76060185185</v>
      </c>
      <c r="G334" s="10" t="n">
        <v>45683.78920138889</v>
      </c>
      <c r="H334" s="10" t="n">
        <v>45683.78920138889</v>
      </c>
      <c r="I334" s="10" t="n">
        <v>45683.78920138889</v>
      </c>
      <c r="J334" s="10" t="n">
        <v>45683.79012731482</v>
      </c>
      <c r="K334" s="11">
        <f>IF(AND(ISNUMBER(E334),ISNUMBER(F334)),(F334-E334),"")</f>
        <v/>
      </c>
      <c r="L334" s="11">
        <f>IF(AND(ISNUMBER(F334),ISNUMBER(G334)),(G334-F334),"")</f>
        <v/>
      </c>
      <c r="M334" s="11">
        <f>IF(AND(ISNUMBER(H334),ISNUMBER(I334)),(I334-H334),"")</f>
        <v/>
      </c>
      <c r="N334" s="11">
        <f>IF(AND(ISNUMBER(I334),ISNUMBER(J334)),(J334-I334),"")</f>
        <v/>
      </c>
      <c r="O334" s="11">
        <f>IF(AND(ISNUMBER(E334),ISNUMBER(J334)),(J334-E334),"")</f>
        <v/>
      </c>
    </row>
    <row r="335">
      <c r="A335" s="3" t="inlineStr">
        <is>
          <t>OBT240125031427-Wr. Neustadt (Hödlmayr)</t>
        </is>
      </c>
      <c r="B335" s="3" t="inlineStr">
        <is>
          <t>Wr. Neustadt (Hödlmayr)</t>
        </is>
      </c>
      <c r="C335" s="9" t="n">
        <v>143.76</v>
      </c>
      <c r="D335" s="3" t="inlineStr">
        <is>
          <t>615</t>
        </is>
      </c>
      <c r="E335" s="10" t="n">
        <v>45681.13503472223</v>
      </c>
      <c r="F335" s="10" t="n">
        <v>45684.1284837963</v>
      </c>
      <c r="G335" s="10" t="n">
        <v>45684.1534375</v>
      </c>
      <c r="H335" s="10" t="n">
        <v>45684.1534375</v>
      </c>
      <c r="I335" s="10" t="n">
        <v>45684.1534375</v>
      </c>
      <c r="J335" s="10" t="n">
        <v>45684.15423611111</v>
      </c>
      <c r="K335" s="11">
        <f>IF(AND(ISNUMBER(E335),ISNUMBER(F335)),(F335-E335),"")</f>
        <v/>
      </c>
      <c r="L335" s="11">
        <f>IF(AND(ISNUMBER(F335),ISNUMBER(G335)),(G335-F335),"")</f>
        <v/>
      </c>
      <c r="M335" s="11">
        <f>IF(AND(ISNUMBER(H335),ISNUMBER(I335)),(I335-H335),"")</f>
        <v/>
      </c>
      <c r="N335" s="11">
        <f>IF(AND(ISNUMBER(I335),ISNUMBER(J335)),(J335-I335),"")</f>
        <v/>
      </c>
      <c r="O335" s="11">
        <f>IF(AND(ISNUMBER(E335),ISNUMBER(J335)),(J335-E335),"")</f>
        <v/>
      </c>
    </row>
    <row r="336">
      <c r="A336" s="3" t="inlineStr">
        <is>
          <t>OBT240125044723-Neudörfl (FunderMax)</t>
        </is>
      </c>
      <c r="B336" s="3" t="inlineStr">
        <is>
          <t>Neudörfl (FunderMax)</t>
        </is>
      </c>
      <c r="C336" s="9" t="n">
        <v>118.2</v>
      </c>
      <c r="D336" s="3" t="inlineStr">
        <is>
          <t>623</t>
        </is>
      </c>
      <c r="E336" s="10" t="n">
        <v>45681.19957175926</v>
      </c>
      <c r="F336" s="10" t="n">
        <v>45684.20037037037</v>
      </c>
      <c r="G336" s="10" t="n">
        <v>45684.2208912037</v>
      </c>
      <c r="H336" s="10" t="n">
        <v>45684.2208912037</v>
      </c>
      <c r="I336" s="10" t="n">
        <v>45684.2208912037</v>
      </c>
      <c r="J336" s="10" t="n">
        <v>45684.22171296296</v>
      </c>
      <c r="K336" s="11">
        <f>IF(AND(ISNUMBER(E336),ISNUMBER(F336)),(F336-E336),"")</f>
        <v/>
      </c>
      <c r="L336" s="11">
        <f>IF(AND(ISNUMBER(F336),ISNUMBER(G336)),(G336-F336),"")</f>
        <v/>
      </c>
      <c r="M336" s="11">
        <f>IF(AND(ISNUMBER(H336),ISNUMBER(I336)),(I336-H336),"")</f>
        <v/>
      </c>
      <c r="N336" s="11">
        <f>IF(AND(ISNUMBER(I336),ISNUMBER(J336)),(J336-I336),"")</f>
        <v/>
      </c>
      <c r="O336" s="11">
        <f>IF(AND(ISNUMBER(E336),ISNUMBER(J336)),(J336-E336),"")</f>
        <v/>
      </c>
    </row>
    <row r="337">
      <c r="A337" s="3" t="inlineStr">
        <is>
          <t>OBT240125062847-Wien Kledering</t>
        </is>
      </c>
      <c r="B337" s="3" t="inlineStr">
        <is>
          <t>Wien Kledering</t>
        </is>
      </c>
      <c r="C337" s="9" t="n">
        <v>297</v>
      </c>
      <c r="D337" s="3" t="inlineStr">
        <is>
          <t>615</t>
        </is>
      </c>
      <c r="E337" s="10" t="n">
        <v>45681.26998842593</v>
      </c>
      <c r="F337" s="10" t="n">
        <v>45684.28619212963</v>
      </c>
      <c r="G337" s="10" t="n">
        <v>45684.33775462963</v>
      </c>
      <c r="H337" s="10" t="n">
        <v>45684.33775462963</v>
      </c>
      <c r="I337" s="10" t="n">
        <v>45684.33775462963</v>
      </c>
      <c r="J337" s="10" t="n">
        <v>45684.33891203703</v>
      </c>
      <c r="K337" s="11">
        <f>IF(AND(ISNUMBER(E337),ISNUMBER(F337)),(F337-E337),"")</f>
        <v/>
      </c>
      <c r="L337" s="11">
        <f>IF(AND(ISNUMBER(F337),ISNUMBER(G337)),(G337-F337),"")</f>
        <v/>
      </c>
      <c r="M337" s="11">
        <f>IF(AND(ISNUMBER(H337),ISNUMBER(I337)),(I337-H337),"")</f>
        <v/>
      </c>
      <c r="N337" s="11">
        <f>IF(AND(ISNUMBER(I337),ISNUMBER(J337)),(J337-I337),"")</f>
        <v/>
      </c>
      <c r="O337" s="11">
        <f>IF(AND(ISNUMBER(E337),ISNUMBER(J337)),(J337-E337),"")</f>
        <v/>
      </c>
    </row>
    <row r="338">
      <c r="A338" s="3" t="inlineStr">
        <is>
          <t>OBT240125071418-Wien Kledering</t>
        </is>
      </c>
      <c r="B338" s="3" t="inlineStr">
        <is>
          <t>Wien Kledering</t>
        </is>
      </c>
      <c r="C338" s="9" t="n">
        <v>240.42</v>
      </c>
      <c r="D338" s="3" t="inlineStr">
        <is>
          <t>606</t>
        </is>
      </c>
      <c r="E338" s="10" t="n">
        <v>45681.30159722222</v>
      </c>
      <c r="F338" s="10" t="n">
        <v>45684.32334490741</v>
      </c>
      <c r="G338" s="10" t="n">
        <v>45684.36508101852</v>
      </c>
      <c r="H338" s="10" t="n">
        <v>45684.36508101852</v>
      </c>
      <c r="I338" s="10" t="n">
        <v>45684.36508101852</v>
      </c>
      <c r="J338" s="10" t="n">
        <v>45684.36614583333</v>
      </c>
      <c r="K338" s="11">
        <f>IF(AND(ISNUMBER(E338),ISNUMBER(F338)),(F338-E338),"")</f>
        <v/>
      </c>
      <c r="L338" s="11">
        <f>IF(AND(ISNUMBER(F338),ISNUMBER(G338)),(G338-F338),"")</f>
        <v/>
      </c>
      <c r="M338" s="11">
        <f>IF(AND(ISNUMBER(H338),ISNUMBER(I338)),(I338-H338),"")</f>
        <v/>
      </c>
      <c r="N338" s="11">
        <f>IF(AND(ISNUMBER(I338),ISNUMBER(J338)),(J338-I338),"")</f>
        <v/>
      </c>
      <c r="O338" s="11">
        <f>IF(AND(ISNUMBER(E338),ISNUMBER(J338)),(J338-E338),"")</f>
        <v/>
      </c>
    </row>
    <row r="339">
      <c r="A339" s="3" t="inlineStr">
        <is>
          <t>OBT240125090519-Wien Kledering</t>
        </is>
      </c>
      <c r="B339" s="3" t="inlineStr">
        <is>
          <t>Wien Kledering</t>
        </is>
      </c>
      <c r="C339" s="9" t="n">
        <v>111.4</v>
      </c>
      <c r="D339" s="3" t="inlineStr">
        <is>
          <t>627</t>
        </is>
      </c>
      <c r="E339" s="10" t="n">
        <v>45681.37869212963</v>
      </c>
      <c r="F339" s="10" t="n">
        <v>45684.32550925926</v>
      </c>
      <c r="G339" s="10" t="n">
        <v>45684.34484953704</v>
      </c>
      <c r="H339" s="10" t="n">
        <v>45684.34484953704</v>
      </c>
      <c r="I339" s="10" t="n">
        <v>45684.34484953704</v>
      </c>
      <c r="J339" s="10" t="n">
        <v>45684.34549768519</v>
      </c>
      <c r="K339" s="11">
        <f>IF(AND(ISNUMBER(E339),ISNUMBER(F339)),(F339-E339),"")</f>
        <v/>
      </c>
      <c r="L339" s="11">
        <f>IF(AND(ISNUMBER(F339),ISNUMBER(G339)),(G339-F339),"")</f>
        <v/>
      </c>
      <c r="M339" s="11">
        <f>IF(AND(ISNUMBER(H339),ISNUMBER(I339)),(I339-H339),"")</f>
        <v/>
      </c>
      <c r="N339" s="11">
        <f>IF(AND(ISNUMBER(I339),ISNUMBER(J339)),(J339-I339),"")</f>
        <v/>
      </c>
      <c r="O339" s="11">
        <f>IF(AND(ISNUMBER(E339),ISNUMBER(J339)),(J339-E339),"")</f>
        <v/>
      </c>
    </row>
    <row r="340">
      <c r="A340" s="3" t="inlineStr">
        <is>
          <t>OBT240125093343-Pitten (Hamburger)</t>
        </is>
      </c>
      <c r="B340" s="3" t="inlineStr">
        <is>
          <t>Pitten (Hamburger)</t>
        </is>
      </c>
      <c r="C340" s="9" t="n">
        <v>178.42</v>
      </c>
      <c r="D340" s="3" t="inlineStr">
        <is>
          <t>625</t>
        </is>
      </c>
      <c r="E340" s="10" t="n">
        <v>45681.39841435185</v>
      </c>
      <c r="F340" s="10" t="n">
        <v>45684.33965277778</v>
      </c>
      <c r="G340" s="10" t="n">
        <v>45684.370625</v>
      </c>
      <c r="H340" s="10" t="n">
        <v>45684.370625</v>
      </c>
      <c r="I340" s="10" t="n">
        <v>45684.370625</v>
      </c>
      <c r="J340" s="10" t="n">
        <v>45684.37153935185</v>
      </c>
      <c r="K340" s="11">
        <f>IF(AND(ISNUMBER(E340),ISNUMBER(F340)),(F340-E340),"")</f>
        <v/>
      </c>
      <c r="L340" s="11">
        <f>IF(AND(ISNUMBER(F340),ISNUMBER(G340)),(G340-F340),"")</f>
        <v/>
      </c>
      <c r="M340" s="11">
        <f>IF(AND(ISNUMBER(H340),ISNUMBER(I340)),(I340-H340),"")</f>
        <v/>
      </c>
      <c r="N340" s="11">
        <f>IF(AND(ISNUMBER(I340),ISNUMBER(J340)),(J340-I340),"")</f>
        <v/>
      </c>
      <c r="O340" s="11">
        <f>IF(AND(ISNUMBER(E340),ISNUMBER(J340)),(J340-E340),"")</f>
        <v/>
      </c>
    </row>
    <row r="341">
      <c r="A341" s="3" t="inlineStr">
        <is>
          <t>OBT240125101450-St. Veit an der Glan</t>
        </is>
      </c>
      <c r="B341" s="3" t="inlineStr">
        <is>
          <t>St. Veit an der Glan</t>
        </is>
      </c>
      <c r="C341" s="9" t="n">
        <v>139.3</v>
      </c>
      <c r="D341" s="3" t="inlineStr">
        <is>
          <t>615</t>
        </is>
      </c>
      <c r="E341" s="10" t="n">
        <v>45681.42696759259</v>
      </c>
      <c r="F341" s="10" t="n">
        <v>45684.36520833334</v>
      </c>
      <c r="G341" s="10" t="n">
        <v>45684.38939814815</v>
      </c>
      <c r="H341" s="10" t="n">
        <v>45684.38939814815</v>
      </c>
      <c r="I341" s="10" t="n">
        <v>45684.38939814815</v>
      </c>
      <c r="J341" s="10" t="n">
        <v>45684.39018518518</v>
      </c>
      <c r="K341" s="11">
        <f>IF(AND(ISNUMBER(E341),ISNUMBER(F341)),(F341-E341),"")</f>
        <v/>
      </c>
      <c r="L341" s="11">
        <f>IF(AND(ISNUMBER(F341),ISNUMBER(G341)),(G341-F341),"")</f>
        <v/>
      </c>
      <c r="M341" s="11">
        <f>IF(AND(ISNUMBER(H341),ISNUMBER(I341)),(I341-H341),"")</f>
        <v/>
      </c>
      <c r="N341" s="11">
        <f>IF(AND(ISNUMBER(I341),ISNUMBER(J341)),(J341-I341),"")</f>
        <v/>
      </c>
      <c r="O341" s="11">
        <f>IF(AND(ISNUMBER(E341),ISNUMBER(J341)),(J341-E341),"")</f>
        <v/>
      </c>
    </row>
    <row r="342">
      <c r="A342" s="3" t="inlineStr">
        <is>
          <t>OBT240125131735-Wien Kledering</t>
        </is>
      </c>
      <c r="B342" s="3" t="inlineStr">
        <is>
          <t>Wien Kledering</t>
        </is>
      </c>
      <c r="C342" s="9" t="n">
        <v>177.54</v>
      </c>
      <c r="D342" s="3" t="inlineStr">
        <is>
          <t>605</t>
        </is>
      </c>
      <c r="E342" s="10" t="n">
        <v>45681.55387731481</v>
      </c>
      <c r="F342" s="10" t="n">
        <v>45684.39259259259</v>
      </c>
      <c r="G342" s="10" t="n">
        <v>45684.42341435186</v>
      </c>
      <c r="H342" s="10" t="n">
        <v>45684.42341435186</v>
      </c>
      <c r="I342" s="10" t="n">
        <v>45684.42341435186</v>
      </c>
      <c r="J342" s="10" t="n">
        <v>45684.42442129629</v>
      </c>
      <c r="K342" s="11">
        <f>IF(AND(ISNUMBER(E342),ISNUMBER(F342)),(F342-E342),"")</f>
        <v/>
      </c>
      <c r="L342" s="11">
        <f>IF(AND(ISNUMBER(F342),ISNUMBER(G342)),(G342-F342),"")</f>
        <v/>
      </c>
      <c r="M342" s="11">
        <f>IF(AND(ISNUMBER(H342),ISNUMBER(I342)),(I342-H342),"")</f>
        <v/>
      </c>
      <c r="N342" s="11">
        <f>IF(AND(ISNUMBER(I342),ISNUMBER(J342)),(J342-I342),"")</f>
        <v/>
      </c>
      <c r="O342" s="11">
        <f>IF(AND(ISNUMBER(E342),ISNUMBER(J342)),(J342-E342),"")</f>
        <v/>
      </c>
    </row>
    <row r="343">
      <c r="A343" s="3" t="inlineStr">
        <is>
          <t>OBT240125144703-Wien Kledering</t>
        </is>
      </c>
      <c r="B343" s="3" t="inlineStr">
        <is>
          <t>Wien Kledering</t>
        </is>
      </c>
      <c r="C343" s="9" t="n">
        <v>296.1</v>
      </c>
      <c r="D343" s="3" t="inlineStr">
        <is>
          <t>619</t>
        </is>
      </c>
      <c r="E343" s="10" t="n">
        <v>45681.61600694444</v>
      </c>
      <c r="F343" s="10" t="n">
        <v>45684.45369212963</v>
      </c>
      <c r="G343" s="10" t="n">
        <v>45684.50509259259</v>
      </c>
      <c r="H343" s="10" t="n">
        <v>45684.50509259259</v>
      </c>
      <c r="I343" s="10" t="n">
        <v>45684.50509259259</v>
      </c>
      <c r="J343" s="10" t="n">
        <v>45684.50633101852</v>
      </c>
      <c r="K343" s="11">
        <f>IF(AND(ISNUMBER(E343),ISNUMBER(F343)),(F343-E343),"")</f>
        <v/>
      </c>
      <c r="L343" s="11">
        <f>IF(AND(ISNUMBER(F343),ISNUMBER(G343)),(G343-F343),"")</f>
        <v/>
      </c>
      <c r="M343" s="11">
        <f>IF(AND(ISNUMBER(H343),ISNUMBER(I343)),(I343-H343),"")</f>
        <v/>
      </c>
      <c r="N343" s="11">
        <f>IF(AND(ISNUMBER(I343),ISNUMBER(J343)),(J343-I343),"")</f>
        <v/>
      </c>
      <c r="O343" s="11">
        <f>IF(AND(ISNUMBER(E343),ISNUMBER(J343)),(J343-E343),"")</f>
        <v/>
      </c>
    </row>
    <row r="344">
      <c r="A344" s="3" t="inlineStr">
        <is>
          <t>OBT240125152920-Pitten (Hamburger)</t>
        </is>
      </c>
      <c r="B344" s="3" t="inlineStr">
        <is>
          <t>Pitten (Hamburger)</t>
        </is>
      </c>
      <c r="C344" s="9" t="n">
        <v>101.94</v>
      </c>
      <c r="D344" s="3" t="inlineStr">
        <is>
          <t>629</t>
        </is>
      </c>
      <c r="E344" s="10" t="n">
        <v>45681.64537037037</v>
      </c>
      <c r="F344" s="10" t="n">
        <v>45684.53989583333</v>
      </c>
      <c r="G344" s="10" t="n">
        <v>45684.5575925926</v>
      </c>
      <c r="H344" s="10" t="n">
        <v>45684.5575925926</v>
      </c>
      <c r="I344" s="10" t="n">
        <v>45684.5575925926</v>
      </c>
      <c r="J344" s="10" t="n">
        <v>45684.5582175926</v>
      </c>
      <c r="K344" s="11">
        <f>IF(AND(ISNUMBER(E344),ISNUMBER(F344)),(F344-E344),"")</f>
        <v/>
      </c>
      <c r="L344" s="11">
        <f>IF(AND(ISNUMBER(F344),ISNUMBER(G344)),(G344-F344),"")</f>
        <v/>
      </c>
      <c r="M344" s="11">
        <f>IF(AND(ISNUMBER(H344),ISNUMBER(I344)),(I344-H344),"")</f>
        <v/>
      </c>
      <c r="N344" s="11">
        <f>IF(AND(ISNUMBER(I344),ISNUMBER(J344)),(J344-I344),"")</f>
        <v/>
      </c>
      <c r="O344" s="11">
        <f>IF(AND(ISNUMBER(E344),ISNUMBER(J344)),(J344-E344),"")</f>
        <v/>
      </c>
    </row>
    <row r="345">
      <c r="A345" s="3" t="inlineStr">
        <is>
          <t>OBT240125174436-Wien Kledering</t>
        </is>
      </c>
      <c r="B345" s="3" t="inlineStr">
        <is>
          <t>Wien Kledering</t>
        </is>
      </c>
      <c r="C345" s="9" t="n">
        <v>134.7</v>
      </c>
      <c r="D345" s="3" t="inlineStr">
        <is>
          <t>611</t>
        </is>
      </c>
      <c r="E345" s="10" t="n">
        <v>45681.73930555556</v>
      </c>
      <c r="F345" s="10" t="n">
        <v>45684.61123842592</v>
      </c>
      <c r="G345" s="10" t="n">
        <v>45684.63461805556</v>
      </c>
      <c r="H345" s="10" t="n">
        <v>45684.63461805556</v>
      </c>
      <c r="I345" s="10" t="n">
        <v>45684.63461805556</v>
      </c>
      <c r="J345" s="10" t="n">
        <v>45684.63541666666</v>
      </c>
      <c r="K345" s="11">
        <f>IF(AND(ISNUMBER(E345),ISNUMBER(F345)),(F345-E345),"")</f>
        <v/>
      </c>
      <c r="L345" s="11">
        <f>IF(AND(ISNUMBER(F345),ISNUMBER(G345)),(G345-F345),"")</f>
        <v/>
      </c>
      <c r="M345" s="11">
        <f>IF(AND(ISNUMBER(H345),ISNUMBER(I345)),(I345-H345),"")</f>
        <v/>
      </c>
      <c r="N345" s="11">
        <f>IF(AND(ISNUMBER(I345),ISNUMBER(J345)),(J345-I345),"")</f>
        <v/>
      </c>
      <c r="O345" s="11">
        <f>IF(AND(ISNUMBER(E345),ISNUMBER(J345)),(J345-E345),"")</f>
        <v/>
      </c>
    </row>
    <row r="346">
      <c r="A346" s="3" t="inlineStr">
        <is>
          <t>OBT240125174924-Wien Kledering</t>
        </is>
      </c>
      <c r="B346" s="3" t="inlineStr">
        <is>
          <t>Wien Kledering</t>
        </is>
      </c>
      <c r="C346" s="9" t="n">
        <v>232.4</v>
      </c>
      <c r="D346" s="3" t="inlineStr">
        <is>
          <t>621</t>
        </is>
      </c>
      <c r="E346" s="10" t="n">
        <v>45681.74263888889</v>
      </c>
      <c r="F346" s="10" t="n">
        <v>45684.65190972222</v>
      </c>
      <c r="G346" s="10" t="n">
        <v>45684.69225694444</v>
      </c>
      <c r="H346" s="10" t="n">
        <v>45684.69225694444</v>
      </c>
      <c r="I346" s="10" t="n">
        <v>45684.69225694444</v>
      </c>
      <c r="J346" s="10" t="n">
        <v>45684.69333333334</v>
      </c>
      <c r="K346" s="11">
        <f>IF(AND(ISNUMBER(E346),ISNUMBER(F346)),(F346-E346),"")</f>
        <v/>
      </c>
      <c r="L346" s="11">
        <f>IF(AND(ISNUMBER(F346),ISNUMBER(G346)),(G346-F346),"")</f>
        <v/>
      </c>
      <c r="M346" s="11">
        <f>IF(AND(ISNUMBER(H346),ISNUMBER(I346)),(I346-H346),"")</f>
        <v/>
      </c>
      <c r="N346" s="11">
        <f>IF(AND(ISNUMBER(I346),ISNUMBER(J346)),(J346-I346),"")</f>
        <v/>
      </c>
      <c r="O346" s="11">
        <f>IF(AND(ISNUMBER(E346),ISNUMBER(J346)),(J346-E346),"")</f>
        <v/>
      </c>
    </row>
    <row r="347">
      <c r="A347" s="3" t="inlineStr">
        <is>
          <t>OBT250125020542-Pitten (Hamburger)</t>
        </is>
      </c>
      <c r="B347" s="3" t="inlineStr">
        <is>
          <t>Pitten (Hamburger)</t>
        </is>
      </c>
      <c r="C347" s="9" t="n">
        <v>389.0600000000001</v>
      </c>
      <c r="D347" s="3" t="inlineStr">
        <is>
          <t>613</t>
        </is>
      </c>
      <c r="E347" s="10" t="n">
        <v>45682.08729166666</v>
      </c>
      <c r="F347" s="10" t="n">
        <v>45684.67938657408</v>
      </c>
      <c r="G347" s="10" t="n">
        <v>45684.74693287037</v>
      </c>
      <c r="H347" s="10" t="n">
        <v>45684.74693287037</v>
      </c>
      <c r="I347" s="10" t="n">
        <v>45684.74693287037</v>
      </c>
      <c r="J347" s="10" t="n">
        <v>45684.74825231481</v>
      </c>
      <c r="K347" s="11">
        <f>IF(AND(ISNUMBER(E347),ISNUMBER(F347)),(F347-E347),"")</f>
        <v/>
      </c>
      <c r="L347" s="11">
        <f>IF(AND(ISNUMBER(F347),ISNUMBER(G347)),(G347-F347),"")</f>
        <v/>
      </c>
      <c r="M347" s="11">
        <f>IF(AND(ISNUMBER(H347),ISNUMBER(I347)),(I347-H347),"")</f>
        <v/>
      </c>
      <c r="N347" s="11">
        <f>IF(AND(ISNUMBER(I347),ISNUMBER(J347)),(J347-I347),"")</f>
        <v/>
      </c>
      <c r="O347" s="11">
        <f>IF(AND(ISNUMBER(E347),ISNUMBER(J347)),(J347-E347),"")</f>
        <v/>
      </c>
    </row>
    <row r="348">
      <c r="A348" s="3" t="inlineStr">
        <is>
          <t>OBT250125021114-Pitten (Hamburger)</t>
        </is>
      </c>
      <c r="B348" s="3" t="inlineStr">
        <is>
          <t>Pitten (Hamburger)</t>
        </is>
      </c>
      <c r="C348" s="9" t="n">
        <v>155.92</v>
      </c>
      <c r="D348" s="3" t="inlineStr">
        <is>
          <t>629</t>
        </is>
      </c>
      <c r="E348" s="10" t="n">
        <v>45682.09113425926</v>
      </c>
      <c r="F348" s="10" t="n">
        <v>45684.74144675926</v>
      </c>
      <c r="G348" s="10" t="n">
        <v>45684.76851851852</v>
      </c>
      <c r="H348" s="10" t="n">
        <v>45684.76851851852</v>
      </c>
      <c r="I348" s="10" t="n">
        <v>45684.76851851852</v>
      </c>
      <c r="J348" s="10" t="n">
        <v>45684.76925925926</v>
      </c>
      <c r="K348" s="11">
        <f>IF(AND(ISNUMBER(E348),ISNUMBER(F348)),(F348-E348),"")</f>
        <v/>
      </c>
      <c r="L348" s="11">
        <f>IF(AND(ISNUMBER(F348),ISNUMBER(G348)),(G348-F348),"")</f>
        <v/>
      </c>
      <c r="M348" s="11">
        <f>IF(AND(ISNUMBER(H348),ISNUMBER(I348)),(I348-H348),"")</f>
        <v/>
      </c>
      <c r="N348" s="11">
        <f>IF(AND(ISNUMBER(I348),ISNUMBER(J348)),(J348-I348),"")</f>
        <v/>
      </c>
      <c r="O348" s="11">
        <f>IF(AND(ISNUMBER(E348),ISNUMBER(J348)),(J348-E348),"")</f>
        <v/>
      </c>
    </row>
    <row r="349">
      <c r="A349" s="3" t="inlineStr">
        <is>
          <t>OBT260125181348-Pitten (Hamburger)</t>
        </is>
      </c>
      <c r="B349" s="3" t="inlineStr">
        <is>
          <t>Pitten (Hamburger)</t>
        </is>
      </c>
      <c r="C349" s="9" t="n">
        <v>459.5200000000001</v>
      </c>
      <c r="D349" s="3" t="inlineStr">
        <is>
          <t>609</t>
        </is>
      </c>
      <c r="E349" s="10" t="n">
        <v>45683.75958333333</v>
      </c>
      <c r="F349" s="10" t="n">
        <v>45684.75555555556</v>
      </c>
      <c r="G349" s="10" t="n">
        <v>45684.83533564815</v>
      </c>
      <c r="H349" s="10" t="n">
        <v>45684.83533564815</v>
      </c>
      <c r="I349" s="10" t="n">
        <v>45684.83533564815</v>
      </c>
      <c r="J349" s="10" t="n">
        <v>45684.83693287037</v>
      </c>
      <c r="K349" s="11">
        <f>IF(AND(ISNUMBER(E349),ISNUMBER(F349)),(F349-E349),"")</f>
        <v/>
      </c>
      <c r="L349" s="11">
        <f>IF(AND(ISNUMBER(F349),ISNUMBER(G349)),(G349-F349),"")</f>
        <v/>
      </c>
      <c r="M349" s="11">
        <f>IF(AND(ISNUMBER(H349),ISNUMBER(I349)),(I349-H349),"")</f>
        <v/>
      </c>
      <c r="N349" s="11">
        <f>IF(AND(ISNUMBER(I349),ISNUMBER(J349)),(J349-I349),"")</f>
        <v/>
      </c>
      <c r="O349" s="11">
        <f>IF(AND(ISNUMBER(E349),ISNUMBER(J349)),(J349-E349),"")</f>
        <v/>
      </c>
    </row>
    <row r="350">
      <c r="A350" s="3" t="inlineStr">
        <is>
          <t>OBT260125181754-Neudörfl (FunderMax)</t>
        </is>
      </c>
      <c r="B350" s="3" t="inlineStr">
        <is>
          <t>Neudörfl (FunderMax)</t>
        </is>
      </c>
      <c r="C350" s="9" t="n">
        <v>138</v>
      </c>
      <c r="D350" s="3" t="inlineStr">
        <is>
          <t>607</t>
        </is>
      </c>
      <c r="E350" s="10" t="n">
        <v>45683.76243055556</v>
      </c>
      <c r="F350" s="10" t="n">
        <v>45684.88719907407</v>
      </c>
      <c r="G350" s="10" t="n">
        <v>45684.9111574074</v>
      </c>
      <c r="H350" s="10" t="n">
        <v>45684.9111574074</v>
      </c>
      <c r="I350" s="10" t="n">
        <v>45684.9111574074</v>
      </c>
      <c r="J350" s="10" t="n">
        <v>45684.91208333334</v>
      </c>
      <c r="K350" s="11">
        <f>IF(AND(ISNUMBER(E350),ISNUMBER(F350)),(F350-E350),"")</f>
        <v/>
      </c>
      <c r="L350" s="11">
        <f>IF(AND(ISNUMBER(F350),ISNUMBER(G350)),(G350-F350),"")</f>
        <v/>
      </c>
      <c r="M350" s="11">
        <f>IF(AND(ISNUMBER(H350),ISNUMBER(I350)),(I350-H350),"")</f>
        <v/>
      </c>
      <c r="N350" s="11">
        <f>IF(AND(ISNUMBER(I350),ISNUMBER(J350)),(J350-I350),"")</f>
        <v/>
      </c>
      <c r="O350" s="11">
        <f>IF(AND(ISNUMBER(E350),ISNUMBER(J350)),(J350-E350),"")</f>
        <v/>
      </c>
    </row>
    <row r="351">
      <c r="A351" s="3" t="inlineStr">
        <is>
          <t>OBT270125030450-Neunkirchen (loading tracks)</t>
        </is>
      </c>
      <c r="B351" s="3" t="inlineStr">
        <is>
          <t>Neunkirchen (loading tracks)</t>
        </is>
      </c>
      <c r="C351" s="9" t="n">
        <v>225.5</v>
      </c>
      <c r="D351" s="3" t="inlineStr">
        <is>
          <t>617</t>
        </is>
      </c>
      <c r="E351" s="10" t="n">
        <v>45684.12835648148</v>
      </c>
      <c r="F351" s="10" t="n">
        <v>45685.13552083333</v>
      </c>
      <c r="G351" s="10" t="n">
        <v>45685.17467592593</v>
      </c>
      <c r="H351" s="10" t="n">
        <v>45685.17467592593</v>
      </c>
      <c r="I351" s="10" t="n">
        <v>45685.17467592593</v>
      </c>
      <c r="J351" s="10" t="n">
        <v>45685.17574074074</v>
      </c>
      <c r="K351" s="11">
        <f>IF(AND(ISNUMBER(E351),ISNUMBER(F351)),(F351-E351),"")</f>
        <v/>
      </c>
      <c r="L351" s="11">
        <f>IF(AND(ISNUMBER(F351),ISNUMBER(G351)),(G351-F351),"")</f>
        <v/>
      </c>
      <c r="M351" s="11">
        <f>IF(AND(ISNUMBER(H351),ISNUMBER(I351)),(I351-H351),"")</f>
        <v/>
      </c>
      <c r="N351" s="11">
        <f>IF(AND(ISNUMBER(I351),ISNUMBER(J351)),(J351-I351),"")</f>
        <v/>
      </c>
      <c r="O351" s="11">
        <f>IF(AND(ISNUMBER(E351),ISNUMBER(J351)),(J351-E351),"")</f>
        <v/>
      </c>
    </row>
    <row r="352">
      <c r="A352" s="3" t="inlineStr">
        <is>
          <t>OBT270125044934-Neudörfl (FunderMax)</t>
        </is>
      </c>
      <c r="B352" s="3" t="inlineStr">
        <is>
          <t>Neudörfl (FunderMax)</t>
        </is>
      </c>
      <c r="C352" s="9" t="n">
        <v>298.2</v>
      </c>
      <c r="D352" s="3" t="inlineStr">
        <is>
          <t>615</t>
        </is>
      </c>
      <c r="E352" s="10" t="n">
        <v>45684.20108796296</v>
      </c>
      <c r="F352" s="10" t="n">
        <v>45685.28248842592</v>
      </c>
      <c r="G352" s="10" t="n">
        <v>45685.33425925926</v>
      </c>
      <c r="H352" s="10" t="n">
        <v>45685.33425925926</v>
      </c>
      <c r="I352" s="10" t="n">
        <v>45685.33425925926</v>
      </c>
      <c r="J352" s="10" t="n">
        <v>45685.33541666667</v>
      </c>
      <c r="K352" s="11">
        <f>IF(AND(ISNUMBER(E352),ISNUMBER(F352)),(F352-E352),"")</f>
        <v/>
      </c>
      <c r="L352" s="11">
        <f>IF(AND(ISNUMBER(F352),ISNUMBER(G352)),(G352-F352),"")</f>
        <v/>
      </c>
      <c r="M352" s="11">
        <f>IF(AND(ISNUMBER(H352),ISNUMBER(I352)),(I352-H352),"")</f>
        <v/>
      </c>
      <c r="N352" s="11">
        <f>IF(AND(ISNUMBER(I352),ISNUMBER(J352)),(J352-I352),"")</f>
        <v/>
      </c>
      <c r="O352" s="11">
        <f>IF(AND(ISNUMBER(E352),ISNUMBER(J352)),(J352-E352),"")</f>
        <v/>
      </c>
    </row>
    <row r="353">
      <c r="A353" s="3" t="inlineStr">
        <is>
          <t>OBT270125065248-Wien Kledering</t>
        </is>
      </c>
      <c r="B353" s="3" t="inlineStr">
        <is>
          <t>Wien Kledering</t>
        </is>
      </c>
      <c r="C353" s="9" t="n">
        <v>284.8</v>
      </c>
      <c r="D353" s="3" t="inlineStr">
        <is>
          <t>623</t>
        </is>
      </c>
      <c r="E353" s="10" t="n">
        <v>45684.28666666667</v>
      </c>
      <c r="F353" s="10" t="n">
        <v>45685.32569444444</v>
      </c>
      <c r="G353" s="10" t="n">
        <v>45685.37513888889</v>
      </c>
      <c r="H353" s="10" t="n">
        <v>45685.37513888889</v>
      </c>
      <c r="I353" s="10" t="n">
        <v>45685.37513888889</v>
      </c>
      <c r="J353" s="10" t="n">
        <v>45685.37634259259</v>
      </c>
      <c r="K353" s="11">
        <f>IF(AND(ISNUMBER(E353),ISNUMBER(F353)),(F353-E353),"")</f>
        <v/>
      </c>
      <c r="L353" s="11">
        <f>IF(AND(ISNUMBER(F353),ISNUMBER(G353)),(G353-F353),"")</f>
        <v/>
      </c>
      <c r="M353" s="11">
        <f>IF(AND(ISNUMBER(H353),ISNUMBER(I353)),(I353-H353),"")</f>
        <v/>
      </c>
      <c r="N353" s="11">
        <f>IF(AND(ISNUMBER(I353),ISNUMBER(J353)),(J353-I353),"")</f>
        <v/>
      </c>
      <c r="O353" s="11">
        <f>IF(AND(ISNUMBER(E353),ISNUMBER(J353)),(J353-E353),"")</f>
        <v/>
      </c>
    </row>
    <row r="354">
      <c r="A354" s="3" t="inlineStr">
        <is>
          <t>OBT270125074356-Other sidings local</t>
        </is>
      </c>
      <c r="B354" s="3" t="inlineStr">
        <is>
          <t>Other sidings local</t>
        </is>
      </c>
      <c r="C354" s="9" t="n">
        <v>106.92</v>
      </c>
      <c r="D354" s="3" t="inlineStr">
        <is>
          <t>629</t>
        </is>
      </c>
      <c r="E354" s="10" t="n">
        <v>45684.32217592592</v>
      </c>
      <c r="F354" s="10" t="n">
        <v>45685.32960648148</v>
      </c>
      <c r="G354" s="10" t="n">
        <v>45685.3481712963</v>
      </c>
      <c r="H354" s="10" t="n">
        <v>45685.3481712963</v>
      </c>
      <c r="I354" s="10" t="n">
        <v>45685.3481712963</v>
      </c>
      <c r="J354" s="10" t="n">
        <v>45685.3487962963</v>
      </c>
      <c r="K354" s="11">
        <f>IF(AND(ISNUMBER(E354),ISNUMBER(F354)),(F354-E354),"")</f>
        <v/>
      </c>
      <c r="L354" s="11">
        <f>IF(AND(ISNUMBER(F354),ISNUMBER(G354)),(G354-F354),"")</f>
        <v/>
      </c>
      <c r="M354" s="11">
        <f>IF(AND(ISNUMBER(H354),ISNUMBER(I354)),(I354-H354),"")</f>
        <v/>
      </c>
      <c r="N354" s="11">
        <f>IF(AND(ISNUMBER(I354),ISNUMBER(J354)),(J354-I354),"")</f>
        <v/>
      </c>
      <c r="O354" s="11">
        <f>IF(AND(ISNUMBER(E354),ISNUMBER(J354)),(J354-E354),"")</f>
        <v/>
      </c>
    </row>
    <row r="355">
      <c r="A355" s="3" t="inlineStr">
        <is>
          <t>OBT270125092111-Pitten (Hamburger)</t>
        </is>
      </c>
      <c r="B355" s="3" t="inlineStr">
        <is>
          <t>Pitten (Hamburger)</t>
        </is>
      </c>
      <c r="C355" s="9" t="n">
        <v>194.9</v>
      </c>
      <c r="D355" s="3" t="inlineStr">
        <is>
          <t>627</t>
        </is>
      </c>
      <c r="E355" s="10" t="n">
        <v>45684.38971064815</v>
      </c>
      <c r="F355" s="10" t="n">
        <v>45685.33599537037</v>
      </c>
      <c r="G355" s="10" t="n">
        <v>45685.36983796296</v>
      </c>
      <c r="H355" s="10" t="n">
        <v>45685.36983796296</v>
      </c>
      <c r="I355" s="10" t="n">
        <v>45685.36983796296</v>
      </c>
      <c r="J355" s="10" t="n">
        <v>45685.3706712963</v>
      </c>
      <c r="K355" s="11">
        <f>IF(AND(ISNUMBER(E355),ISNUMBER(F355)),(F355-E355),"")</f>
        <v/>
      </c>
      <c r="L355" s="11">
        <f>IF(AND(ISNUMBER(F355),ISNUMBER(G355)),(G355-F355),"")</f>
        <v/>
      </c>
      <c r="M355" s="11">
        <f>IF(AND(ISNUMBER(H355),ISNUMBER(I355)),(I355-H355),"")</f>
        <v/>
      </c>
      <c r="N355" s="11">
        <f>IF(AND(ISNUMBER(I355),ISNUMBER(J355)),(J355-I355),"")</f>
        <v/>
      </c>
      <c r="O355" s="11">
        <f>IF(AND(ISNUMBER(E355),ISNUMBER(J355)),(J355-E355),"")</f>
        <v/>
      </c>
    </row>
    <row r="356">
      <c r="A356" s="3" t="inlineStr">
        <is>
          <t>OBT270125105122-Wien Kledering</t>
        </is>
      </c>
      <c r="B356" s="3" t="inlineStr">
        <is>
          <t>Wien Kledering</t>
        </is>
      </c>
      <c r="C356" s="9" t="n">
        <v>394.6</v>
      </c>
      <c r="D356" s="3" t="inlineStr">
        <is>
          <t>615</t>
        </is>
      </c>
      <c r="E356" s="10" t="n">
        <v>45684.45233796296</v>
      </c>
      <c r="F356" s="10" t="n">
        <v>45685.39344907407</v>
      </c>
      <c r="G356" s="10" t="n">
        <v>45685.46195601852</v>
      </c>
      <c r="H356" s="10" t="n">
        <v>45685.46195601852</v>
      </c>
      <c r="I356" s="10" t="n">
        <v>45685.46195601852</v>
      </c>
      <c r="J356" s="10" t="n">
        <v>45685.46333333333</v>
      </c>
      <c r="K356" s="11">
        <f>IF(AND(ISNUMBER(E356),ISNUMBER(F356)),(F356-E356),"")</f>
        <v/>
      </c>
      <c r="L356" s="11">
        <f>IF(AND(ISNUMBER(F356),ISNUMBER(G356)),(G356-F356),"")</f>
        <v/>
      </c>
      <c r="M356" s="11">
        <f>IF(AND(ISNUMBER(H356),ISNUMBER(I356)),(I356-H356),"")</f>
        <v/>
      </c>
      <c r="N356" s="11">
        <f>IF(AND(ISNUMBER(I356),ISNUMBER(J356)),(J356-I356),"")</f>
        <v/>
      </c>
      <c r="O356" s="11">
        <f>IF(AND(ISNUMBER(E356),ISNUMBER(J356)),(J356-E356),"")</f>
        <v/>
      </c>
    </row>
    <row r="357">
      <c r="A357" s="3" t="inlineStr">
        <is>
          <t>OBT270125125831-Wien Kledering</t>
        </is>
      </c>
      <c r="B357" s="3" t="inlineStr">
        <is>
          <t>Wien Kledering</t>
        </is>
      </c>
      <c r="C357" s="9" t="n">
        <v>212.1</v>
      </c>
      <c r="D357" s="3" t="inlineStr">
        <is>
          <t>605</t>
        </is>
      </c>
      <c r="E357" s="10" t="n">
        <v>45684.54063657407</v>
      </c>
      <c r="F357" s="10" t="n">
        <v>45685.41371527778</v>
      </c>
      <c r="G357" s="10" t="n">
        <v>45685.45054398148</v>
      </c>
      <c r="H357" s="10" t="n">
        <v>45685.45054398148</v>
      </c>
      <c r="I357" s="10" t="n">
        <v>45685.45054398148</v>
      </c>
      <c r="J357" s="10" t="n">
        <v>45685.45163194444</v>
      </c>
      <c r="K357" s="11">
        <f>IF(AND(ISNUMBER(E357),ISNUMBER(F357)),(F357-E357),"")</f>
        <v/>
      </c>
      <c r="L357" s="11">
        <f>IF(AND(ISNUMBER(F357),ISNUMBER(G357)),(G357-F357),"")</f>
        <v/>
      </c>
      <c r="M357" s="11">
        <f>IF(AND(ISNUMBER(H357),ISNUMBER(I357)),(I357-H357),"")</f>
        <v/>
      </c>
      <c r="N357" s="11">
        <f>IF(AND(ISNUMBER(I357),ISNUMBER(J357)),(J357-I357),"")</f>
        <v/>
      </c>
      <c r="O357" s="11">
        <f>IF(AND(ISNUMBER(E357),ISNUMBER(J357)),(J357-E357),"")</f>
        <v/>
      </c>
    </row>
    <row r="358">
      <c r="A358" s="3" t="inlineStr">
        <is>
          <t>OBT270125144049-Wien Kledering</t>
        </is>
      </c>
      <c r="B358" s="3" t="inlineStr">
        <is>
          <t>Wien Kledering</t>
        </is>
      </c>
      <c r="C358" s="9" t="n">
        <v>381.5600000000001</v>
      </c>
      <c r="D358" s="3" t="inlineStr">
        <is>
          <t>619</t>
        </is>
      </c>
      <c r="E358" s="10" t="n">
        <v>45684.61167824074</v>
      </c>
      <c r="F358" s="10" t="n">
        <v>45685.45540509259</v>
      </c>
      <c r="G358" s="10" t="n">
        <v>45685.52165509259</v>
      </c>
      <c r="H358" s="10" t="n">
        <v>45685.52165509259</v>
      </c>
      <c r="I358" s="10" t="n">
        <v>45685.52165509259</v>
      </c>
      <c r="J358" s="10" t="n">
        <v>45685.52307870371</v>
      </c>
      <c r="K358" s="11">
        <f>IF(AND(ISNUMBER(E358),ISNUMBER(F358)),(F358-E358),"")</f>
        <v/>
      </c>
      <c r="L358" s="11">
        <f>IF(AND(ISNUMBER(F358),ISNUMBER(G358)),(G358-F358),"")</f>
        <v/>
      </c>
      <c r="M358" s="11">
        <f>IF(AND(ISNUMBER(H358),ISNUMBER(I358)),(I358-H358),"")</f>
        <v/>
      </c>
      <c r="N358" s="11">
        <f>IF(AND(ISNUMBER(I358),ISNUMBER(J358)),(J358-I358),"")</f>
        <v/>
      </c>
      <c r="O358" s="11">
        <f>IF(AND(ISNUMBER(E358),ISNUMBER(J358)),(J358-E358),"")</f>
        <v/>
      </c>
    </row>
    <row r="359">
      <c r="A359" s="3" t="inlineStr">
        <is>
          <t>OBT270125161730-St. Veit an der Glan</t>
        </is>
      </c>
      <c r="B359" s="3" t="inlineStr">
        <is>
          <t>St. Veit an der Glan</t>
        </is>
      </c>
      <c r="C359" s="9" t="n">
        <v>118.2</v>
      </c>
      <c r="D359" s="3" t="inlineStr">
        <is>
          <t>625</t>
        </is>
      </c>
      <c r="E359" s="10" t="n">
        <v>45684.67881944445</v>
      </c>
      <c r="F359" s="10" t="n">
        <v>45685.55023148148</v>
      </c>
      <c r="G359" s="10" t="n">
        <v>45685.57075231482</v>
      </c>
      <c r="H359" s="10" t="n">
        <v>45685.57075231482</v>
      </c>
      <c r="I359" s="10" t="n">
        <v>45685.57075231482</v>
      </c>
      <c r="J359" s="10" t="n">
        <v>45685.57152777778</v>
      </c>
      <c r="K359" s="11">
        <f>IF(AND(ISNUMBER(E359),ISNUMBER(F359)),(F359-E359),"")</f>
        <v/>
      </c>
      <c r="L359" s="11">
        <f>IF(AND(ISNUMBER(F359),ISNUMBER(G359)),(G359-F359),"")</f>
        <v/>
      </c>
      <c r="M359" s="11">
        <f>IF(AND(ISNUMBER(H359),ISNUMBER(I359)),(I359-H359),"")</f>
        <v/>
      </c>
      <c r="N359" s="11">
        <f>IF(AND(ISNUMBER(I359),ISNUMBER(J359)),(J359-I359),"")</f>
        <v/>
      </c>
      <c r="O359" s="11">
        <f>IF(AND(ISNUMBER(E359),ISNUMBER(J359)),(J359-E359),"")</f>
        <v/>
      </c>
    </row>
    <row r="360">
      <c r="A360" s="3" t="inlineStr">
        <is>
          <t>OBT270125162126-Wien Kledering</t>
        </is>
      </c>
      <c r="B360" s="3" t="inlineStr">
        <is>
          <t>Wien Kledering</t>
        </is>
      </c>
      <c r="C360" s="9" t="n">
        <v>321.54</v>
      </c>
      <c r="D360" s="3" t="inlineStr">
        <is>
          <t>606</t>
        </is>
      </c>
      <c r="E360" s="10" t="n">
        <v>45684.68155092592</v>
      </c>
      <c r="F360" s="10" t="n">
        <v>45685.60773148148</v>
      </c>
      <c r="G360" s="10" t="n">
        <v>45685.66355324074</v>
      </c>
      <c r="H360" s="10" t="n">
        <v>45685.66355324074</v>
      </c>
      <c r="I360" s="10" t="n">
        <v>45685.66355324074</v>
      </c>
      <c r="J360" s="10" t="n">
        <v>45685.66481481482</v>
      </c>
      <c r="K360" s="11">
        <f>IF(AND(ISNUMBER(E360),ISNUMBER(F360)),(F360-E360),"")</f>
        <v/>
      </c>
      <c r="L360" s="11">
        <f>IF(AND(ISNUMBER(F360),ISNUMBER(G360)),(G360-F360),"")</f>
        <v/>
      </c>
      <c r="M360" s="11">
        <f>IF(AND(ISNUMBER(H360),ISNUMBER(I360)),(I360-H360),"")</f>
        <v/>
      </c>
      <c r="N360" s="11">
        <f>IF(AND(ISNUMBER(I360),ISNUMBER(J360)),(J360-I360),"")</f>
        <v/>
      </c>
      <c r="O360" s="11">
        <f>IF(AND(ISNUMBER(E360),ISNUMBER(J360)),(J360-E360),"")</f>
        <v/>
      </c>
    </row>
    <row r="361">
      <c r="A361" s="3" t="inlineStr">
        <is>
          <t>OBT270125174840-Wien Kledering</t>
        </is>
      </c>
      <c r="B361" s="3" t="inlineStr">
        <is>
          <t>Wien Kledering</t>
        </is>
      </c>
      <c r="C361" s="9" t="n">
        <v>232.4</v>
      </c>
      <c r="D361" s="3" t="inlineStr">
        <is>
          <t>611</t>
        </is>
      </c>
      <c r="E361" s="10" t="n">
        <v>45684.74212962963</v>
      </c>
      <c r="F361" s="10" t="n">
        <v>45685.63396990741</v>
      </c>
      <c r="G361" s="10" t="n">
        <v>45685.67431712963</v>
      </c>
      <c r="H361" s="10" t="n">
        <v>45685.67431712963</v>
      </c>
      <c r="I361" s="10" t="n">
        <v>45685.67431712963</v>
      </c>
      <c r="J361" s="10" t="n">
        <v>45685.67533564815</v>
      </c>
      <c r="K361" s="11">
        <f>IF(AND(ISNUMBER(E361),ISNUMBER(F361)),(F361-E361),"")</f>
        <v/>
      </c>
      <c r="L361" s="11">
        <f>IF(AND(ISNUMBER(F361),ISNUMBER(G361)),(G361-F361),"")</f>
        <v/>
      </c>
      <c r="M361" s="11">
        <f>IF(AND(ISNUMBER(H361),ISNUMBER(I361)),(I361-H361),"")</f>
        <v/>
      </c>
      <c r="N361" s="11">
        <f>IF(AND(ISNUMBER(I361),ISNUMBER(J361)),(J361-I361),"")</f>
        <v/>
      </c>
      <c r="O361" s="11">
        <f>IF(AND(ISNUMBER(E361),ISNUMBER(J361)),(J361-E361),"")</f>
        <v/>
      </c>
    </row>
    <row r="362">
      <c r="A362" s="3" t="inlineStr">
        <is>
          <t>OBT270125180405-Wien Kledering</t>
        </is>
      </c>
      <c r="B362" s="3" t="inlineStr">
        <is>
          <t>Wien Kledering</t>
        </is>
      </c>
      <c r="C362" s="9" t="n">
        <v>310.6</v>
      </c>
      <c r="D362" s="3" t="inlineStr">
        <is>
          <t>629</t>
        </is>
      </c>
      <c r="E362" s="10" t="n">
        <v>45684.75283564815</v>
      </c>
      <c r="F362" s="10" t="n">
        <v>45685.6533449074</v>
      </c>
      <c r="G362" s="10" t="n">
        <v>45685.70726851852</v>
      </c>
      <c r="H362" s="10" t="n">
        <v>45685.70726851852</v>
      </c>
      <c r="I362" s="10" t="n">
        <v>45685.70726851852</v>
      </c>
      <c r="J362" s="10" t="n">
        <v>45685.70836805556</v>
      </c>
      <c r="K362" s="11">
        <f>IF(AND(ISNUMBER(E362),ISNUMBER(F362)),(F362-E362),"")</f>
        <v/>
      </c>
      <c r="L362" s="11">
        <f>IF(AND(ISNUMBER(F362),ISNUMBER(G362)),(G362-F362),"")</f>
        <v/>
      </c>
      <c r="M362" s="11">
        <f>IF(AND(ISNUMBER(H362),ISNUMBER(I362)),(I362-H362),"")</f>
        <v/>
      </c>
      <c r="N362" s="11">
        <f>IF(AND(ISNUMBER(I362),ISNUMBER(J362)),(J362-I362),"")</f>
        <v/>
      </c>
      <c r="O362" s="11">
        <f>IF(AND(ISNUMBER(E362),ISNUMBER(J362)),(J362-E362),"")</f>
        <v/>
      </c>
    </row>
    <row r="363">
      <c r="A363" s="3" t="inlineStr">
        <is>
          <t>OBT270125212041-Wien Kledering</t>
        </is>
      </c>
      <c r="B363" s="3" t="inlineStr">
        <is>
          <t>Wien Kledering</t>
        </is>
      </c>
      <c r="C363" s="9" t="n">
        <v>448.6800000000001</v>
      </c>
      <c r="D363" s="3" t="inlineStr">
        <is>
          <t>613</t>
        </is>
      </c>
      <c r="E363" s="10" t="n">
        <v>45684.88936342593</v>
      </c>
      <c r="F363" s="10" t="n">
        <v>45685.823125</v>
      </c>
      <c r="G363" s="10" t="n">
        <v>45685.90101851852</v>
      </c>
      <c r="H363" s="10" t="n">
        <v>45685.90101851852</v>
      </c>
      <c r="I363" s="10" t="n">
        <v>45685.90101851852</v>
      </c>
      <c r="J363" s="10" t="n">
        <v>45685.90248842593</v>
      </c>
      <c r="K363" s="11">
        <f>IF(AND(ISNUMBER(E363),ISNUMBER(F363)),(F363-E363),"")</f>
        <v/>
      </c>
      <c r="L363" s="11">
        <f>IF(AND(ISNUMBER(F363),ISNUMBER(G363)),(G363-F363),"")</f>
        <v/>
      </c>
      <c r="M363" s="11">
        <f>IF(AND(ISNUMBER(H363),ISNUMBER(I363)),(I363-H363),"")</f>
        <v/>
      </c>
      <c r="N363" s="11">
        <f>IF(AND(ISNUMBER(I363),ISNUMBER(J363)),(J363-I363),"")</f>
        <v/>
      </c>
      <c r="O363" s="11">
        <f>IF(AND(ISNUMBER(E363),ISNUMBER(J363)),(J363-E363),"")</f>
        <v/>
      </c>
    </row>
    <row r="364">
      <c r="A364" s="3" t="inlineStr">
        <is>
          <t>OBT280125031301-Neunkirchen (loading tracks)</t>
        </is>
      </c>
      <c r="B364" s="3" t="inlineStr">
        <is>
          <t>Neunkirchen (loading tracks)</t>
        </is>
      </c>
      <c r="C364" s="9" t="n">
        <v>101.7</v>
      </c>
      <c r="D364" s="3" t="inlineStr">
        <is>
          <t>615</t>
        </is>
      </c>
      <c r="E364" s="10" t="n">
        <v>45685.13403935185</v>
      </c>
      <c r="F364" s="10" t="n">
        <v>45685.88734953704</v>
      </c>
      <c r="G364" s="10" t="n">
        <v>45685.905</v>
      </c>
      <c r="H364" s="10" t="n">
        <v>45685.905</v>
      </c>
      <c r="I364" s="10" t="n">
        <v>45685.905</v>
      </c>
      <c r="J364" s="10" t="n">
        <v>45685.90570601852</v>
      </c>
      <c r="K364" s="11">
        <f>IF(AND(ISNUMBER(E364),ISNUMBER(F364)),(F364-E364),"")</f>
        <v/>
      </c>
      <c r="L364" s="11">
        <f>IF(AND(ISNUMBER(F364),ISNUMBER(G364)),(G364-F364),"")</f>
        <v/>
      </c>
      <c r="M364" s="11">
        <f>IF(AND(ISNUMBER(H364),ISNUMBER(I364)),(I364-H364),"")</f>
        <v/>
      </c>
      <c r="N364" s="11">
        <f>IF(AND(ISNUMBER(I364),ISNUMBER(J364)),(J364-I364),"")</f>
        <v/>
      </c>
      <c r="O364" s="11">
        <f>IF(AND(ISNUMBER(E364),ISNUMBER(J364)),(J364-E364),"")</f>
        <v/>
      </c>
    </row>
    <row r="365">
      <c r="A365" s="3" t="inlineStr">
        <is>
          <t>OBT280125031334-St. Veit an der Glan</t>
        </is>
      </c>
      <c r="B365" s="3" t="inlineStr">
        <is>
          <t>St. Veit an der Glan</t>
        </is>
      </c>
      <c r="C365" s="9" t="n">
        <v>108.08</v>
      </c>
      <c r="D365" s="3" t="inlineStr">
        <is>
          <t>621</t>
        </is>
      </c>
      <c r="E365" s="10" t="n">
        <v>45685.13442129629</v>
      </c>
      <c r="F365" s="10" t="n">
        <v>45686.13351851852</v>
      </c>
      <c r="G365" s="10" t="n">
        <v>45686.15229166667</v>
      </c>
      <c r="H365" s="10" t="n">
        <v>45686.15229166667</v>
      </c>
      <c r="I365" s="10" t="n">
        <v>45686.15229166667</v>
      </c>
      <c r="J365" s="10" t="n">
        <v>45686.1530787037</v>
      </c>
      <c r="K365" s="11">
        <f>IF(AND(ISNUMBER(E365),ISNUMBER(F365)),(F365-E365),"")</f>
        <v/>
      </c>
      <c r="L365" s="11">
        <f>IF(AND(ISNUMBER(F365),ISNUMBER(G365)),(G365-F365),"")</f>
        <v/>
      </c>
      <c r="M365" s="11">
        <f>IF(AND(ISNUMBER(H365),ISNUMBER(I365)),(I365-H365),"")</f>
        <v/>
      </c>
      <c r="N365" s="11">
        <f>IF(AND(ISNUMBER(I365),ISNUMBER(J365)),(J365-I365),"")</f>
        <v/>
      </c>
      <c r="O365" s="11">
        <f>IF(AND(ISNUMBER(E365),ISNUMBER(J365)),(J365-E365),"")</f>
        <v/>
      </c>
    </row>
    <row r="366">
      <c r="A366" s="3" t="inlineStr">
        <is>
          <t>OBT280125064741-Wien Kledering</t>
        </is>
      </c>
      <c r="B366" s="3" t="inlineStr">
        <is>
          <t>Wien Kledering</t>
        </is>
      </c>
      <c r="C366" s="9" t="n">
        <v>297</v>
      </c>
      <c r="D366" s="3" t="inlineStr">
        <is>
          <t>607</t>
        </is>
      </c>
      <c r="E366" s="10" t="n">
        <v>45685.28311342592</v>
      </c>
      <c r="F366" s="10" t="n">
        <v>45686.18910879629</v>
      </c>
      <c r="G366" s="10" t="n">
        <v>45686.2406712963</v>
      </c>
      <c r="H366" s="10" t="n">
        <v>45686.2406712963</v>
      </c>
      <c r="I366" s="10" t="n">
        <v>45686.2406712963</v>
      </c>
      <c r="J366" s="10" t="n">
        <v>45686.24194444445</v>
      </c>
      <c r="K366" s="11">
        <f>IF(AND(ISNUMBER(E366),ISNUMBER(F366)),(F366-E366),"")</f>
        <v/>
      </c>
      <c r="L366" s="11">
        <f>IF(AND(ISNUMBER(F366),ISNUMBER(G366)),(G366-F366),"")</f>
        <v/>
      </c>
      <c r="M366" s="11">
        <f>IF(AND(ISNUMBER(H366),ISNUMBER(I366)),(I366-H366),"")</f>
        <v/>
      </c>
      <c r="N366" s="11">
        <f>IF(AND(ISNUMBER(I366),ISNUMBER(J366)),(J366-I366),"")</f>
        <v/>
      </c>
      <c r="O366" s="11">
        <f>IF(AND(ISNUMBER(E366),ISNUMBER(J366)),(J366-E366),"")</f>
        <v/>
      </c>
    </row>
    <row r="367">
      <c r="A367" s="3" t="inlineStr">
        <is>
          <t>OBT280125075210-Pitten (Hamburger)</t>
        </is>
      </c>
      <c r="B367" s="3" t="inlineStr">
        <is>
          <t>Pitten (Hamburger)</t>
        </is>
      </c>
      <c r="C367" s="9" t="n">
        <v>115.2</v>
      </c>
      <c r="D367" s="3" t="inlineStr">
        <is>
          <t>629</t>
        </is>
      </c>
      <c r="E367" s="10" t="n">
        <v>45685.32789351852</v>
      </c>
      <c r="F367" s="10" t="n">
        <v>45686.27232638889</v>
      </c>
      <c r="G367" s="10" t="n">
        <v>45686.29232638889</v>
      </c>
      <c r="H367" s="10" t="n">
        <v>45686.29232638889</v>
      </c>
      <c r="I367" s="10" t="n">
        <v>45686.29232638889</v>
      </c>
      <c r="J367" s="10" t="n">
        <v>45686.29297453703</v>
      </c>
      <c r="K367" s="11">
        <f>IF(AND(ISNUMBER(E367),ISNUMBER(F367)),(F367-E367),"")</f>
        <v/>
      </c>
      <c r="L367" s="11">
        <f>IF(AND(ISNUMBER(F367),ISNUMBER(G367)),(G367-F367),"")</f>
        <v/>
      </c>
      <c r="M367" s="11">
        <f>IF(AND(ISNUMBER(H367),ISNUMBER(I367)),(I367-H367),"")</f>
        <v/>
      </c>
      <c r="N367" s="11">
        <f>IF(AND(ISNUMBER(I367),ISNUMBER(J367)),(J367-I367),"")</f>
        <v/>
      </c>
      <c r="O367" s="11">
        <f>IF(AND(ISNUMBER(E367),ISNUMBER(J367)),(J367-E367),"")</f>
        <v/>
      </c>
    </row>
    <row r="368">
      <c r="A368" s="3" t="inlineStr">
        <is>
          <t>OBT280125092731-St. Veit an der Glan</t>
        </is>
      </c>
      <c r="B368" s="3" t="inlineStr">
        <is>
          <t>St. Veit an der Glan</t>
        </is>
      </c>
      <c r="C368" s="9" t="n">
        <v>148.9</v>
      </c>
      <c r="D368" s="3" t="inlineStr">
        <is>
          <t>621</t>
        </is>
      </c>
      <c r="E368" s="10" t="n">
        <v>45685.3941087963</v>
      </c>
      <c r="F368" s="10" t="n">
        <v>45686.31684027778</v>
      </c>
      <c r="G368" s="10" t="n">
        <v>45686.34268518518</v>
      </c>
      <c r="H368" s="10" t="n">
        <v>45686.34268518518</v>
      </c>
      <c r="I368" s="10" t="n">
        <v>45686.34268518518</v>
      </c>
      <c r="J368" s="10" t="n">
        <v>45686.34357638889</v>
      </c>
      <c r="K368" s="11">
        <f>IF(AND(ISNUMBER(E368),ISNUMBER(F368)),(F368-E368),"")</f>
        <v/>
      </c>
      <c r="L368" s="11">
        <f>IF(AND(ISNUMBER(F368),ISNUMBER(G368)),(G368-F368),"")</f>
        <v/>
      </c>
      <c r="M368" s="11">
        <f>IF(AND(ISNUMBER(H368),ISNUMBER(I368)),(I368-H368),"")</f>
        <v/>
      </c>
      <c r="N368" s="11">
        <f>IF(AND(ISNUMBER(I368),ISNUMBER(J368)),(J368-I368),"")</f>
        <v/>
      </c>
      <c r="O368" s="11">
        <f>IF(AND(ISNUMBER(E368),ISNUMBER(J368)),(J368-E368),"")</f>
        <v/>
      </c>
    </row>
    <row r="369">
      <c r="A369" s="3" t="inlineStr">
        <is>
          <t>OBT280125095318-Wr. Neustadt (Hödlmayr)</t>
        </is>
      </c>
      <c r="B369" s="3" t="inlineStr">
        <is>
          <t>Wr. Neustadt (Hödlmayr)</t>
        </is>
      </c>
      <c r="C369" s="9" t="n">
        <v>110.64</v>
      </c>
      <c r="D369" s="3" t="inlineStr">
        <is>
          <t>615</t>
        </is>
      </c>
      <c r="E369" s="10" t="n">
        <v>45685.41201388889</v>
      </c>
      <c r="F369" s="10" t="n">
        <v>45686.32211805556</v>
      </c>
      <c r="G369" s="10" t="n">
        <v>45686.34131944444</v>
      </c>
      <c r="H369" s="10" t="n">
        <v>45686.34131944444</v>
      </c>
      <c r="I369" s="10" t="n">
        <v>45686.34131944444</v>
      </c>
      <c r="J369" s="10" t="n">
        <v>45686.34203703704</v>
      </c>
      <c r="K369" s="11">
        <f>IF(AND(ISNUMBER(E369),ISNUMBER(F369)),(F369-E369),"")</f>
        <v/>
      </c>
      <c r="L369" s="11">
        <f>IF(AND(ISNUMBER(F369),ISNUMBER(G369)),(G369-F369),"")</f>
        <v/>
      </c>
      <c r="M369" s="11">
        <f>IF(AND(ISNUMBER(H369),ISNUMBER(I369)),(I369-H369),"")</f>
        <v/>
      </c>
      <c r="N369" s="11">
        <f>IF(AND(ISNUMBER(I369),ISNUMBER(J369)),(J369-I369),"")</f>
        <v/>
      </c>
      <c r="O369" s="11">
        <f>IF(AND(ISNUMBER(E369),ISNUMBER(J369)),(J369-E369),"")</f>
        <v/>
      </c>
    </row>
    <row r="370">
      <c r="A370" s="3" t="inlineStr">
        <is>
          <t>OBT280125095752-Neudörfl (FunderMax)</t>
        </is>
      </c>
      <c r="B370" s="3" t="inlineStr">
        <is>
          <t>Neudörfl (FunderMax)</t>
        </is>
      </c>
      <c r="C370" s="9" t="n">
        <v>119.3</v>
      </c>
      <c r="D370" s="3" t="inlineStr">
        <is>
          <t>609</t>
        </is>
      </c>
      <c r="E370" s="10" t="n">
        <v>45685.41518518519</v>
      </c>
      <c r="F370" s="10" t="n">
        <v>45686.35826388889</v>
      </c>
      <c r="G370" s="10" t="n">
        <v>45686.3789699074</v>
      </c>
      <c r="H370" s="10" t="n">
        <v>45686.3789699074</v>
      </c>
      <c r="I370" s="10" t="n">
        <v>45686.3789699074</v>
      </c>
      <c r="J370" s="10" t="n">
        <v>45686.37979166667</v>
      </c>
      <c r="K370" s="11">
        <f>IF(AND(ISNUMBER(E370),ISNUMBER(F370)),(F370-E370),"")</f>
        <v/>
      </c>
      <c r="L370" s="11">
        <f>IF(AND(ISNUMBER(F370),ISNUMBER(G370)),(G370-F370),"")</f>
        <v/>
      </c>
      <c r="M370" s="11">
        <f>IF(AND(ISNUMBER(H370),ISNUMBER(I370)),(I370-H370),"")</f>
        <v/>
      </c>
      <c r="N370" s="11">
        <f>IF(AND(ISNUMBER(I370),ISNUMBER(J370)),(J370-I370),"")</f>
        <v/>
      </c>
      <c r="O370" s="11">
        <f>IF(AND(ISNUMBER(E370),ISNUMBER(J370)),(J370-E370),"")</f>
        <v/>
      </c>
    </row>
    <row r="371">
      <c r="A371" s="3" t="inlineStr">
        <is>
          <t>OBT280125105241-Wien Kledering</t>
        </is>
      </c>
      <c r="B371" s="3" t="inlineStr">
        <is>
          <t>Wien Kledering</t>
        </is>
      </c>
      <c r="C371" s="9" t="n">
        <v>194.64</v>
      </c>
      <c r="D371" s="3" t="inlineStr">
        <is>
          <t>627</t>
        </is>
      </c>
      <c r="E371" s="10" t="n">
        <v>45685.45325231482</v>
      </c>
      <c r="F371" s="10" t="n">
        <v>45686.40908564815</v>
      </c>
      <c r="G371" s="10" t="n">
        <v>45686.44287037037</v>
      </c>
      <c r="H371" s="10" t="n">
        <v>45686.44287037037</v>
      </c>
      <c r="I371" s="10" t="n">
        <v>45686.44287037037</v>
      </c>
      <c r="J371" s="10" t="n">
        <v>45686.44371527778</v>
      </c>
      <c r="K371" s="11">
        <f>IF(AND(ISNUMBER(E371),ISNUMBER(F371)),(F371-E371),"")</f>
        <v/>
      </c>
      <c r="L371" s="11">
        <f>IF(AND(ISNUMBER(F371),ISNUMBER(G371)),(G371-F371),"")</f>
        <v/>
      </c>
      <c r="M371" s="11">
        <f>IF(AND(ISNUMBER(H371),ISNUMBER(I371)),(I371-H371),"")</f>
        <v/>
      </c>
      <c r="N371" s="11">
        <f>IF(AND(ISNUMBER(I371),ISNUMBER(J371)),(J371-I371),"")</f>
        <v/>
      </c>
      <c r="O371" s="11">
        <f>IF(AND(ISNUMBER(E371),ISNUMBER(J371)),(J371-E371),"")</f>
        <v/>
      </c>
    </row>
    <row r="372">
      <c r="A372" s="3" t="inlineStr">
        <is>
          <t>OBT280125105646-Wien Kledering</t>
        </is>
      </c>
      <c r="B372" s="3" t="inlineStr">
        <is>
          <t>Wien Kledering</t>
        </is>
      </c>
      <c r="C372" s="9" t="n">
        <v>147.02</v>
      </c>
      <c r="D372" s="3" t="inlineStr">
        <is>
          <t>605</t>
        </is>
      </c>
      <c r="E372" s="10" t="n">
        <v>45685.45608796296</v>
      </c>
      <c r="F372" s="10" t="n">
        <v>45686.45136574074</v>
      </c>
      <c r="G372" s="10" t="n">
        <v>45686.47688657408</v>
      </c>
      <c r="H372" s="10" t="n">
        <v>45686.47688657408</v>
      </c>
      <c r="I372" s="10" t="n">
        <v>45686.47688657408</v>
      </c>
      <c r="J372" s="10" t="n">
        <v>45686.47782407407</v>
      </c>
      <c r="K372" s="11">
        <f>IF(AND(ISNUMBER(E372),ISNUMBER(F372)),(F372-E372),"")</f>
        <v/>
      </c>
      <c r="L372" s="11">
        <f>IF(AND(ISNUMBER(F372),ISNUMBER(G372)),(G372-F372),"")</f>
        <v/>
      </c>
      <c r="M372" s="11">
        <f>IF(AND(ISNUMBER(H372),ISNUMBER(I372)),(I372-H372),"")</f>
        <v/>
      </c>
      <c r="N372" s="11">
        <f>IF(AND(ISNUMBER(I372),ISNUMBER(J372)),(J372-I372),"")</f>
        <v/>
      </c>
      <c r="O372" s="11">
        <f>IF(AND(ISNUMBER(E372),ISNUMBER(J372)),(J372-E372),"")</f>
        <v/>
      </c>
    </row>
    <row r="373">
      <c r="A373" s="3" t="inlineStr">
        <is>
          <t>OBT280125131319-Wien Kledering</t>
        </is>
      </c>
      <c r="B373" s="3" t="inlineStr">
        <is>
          <t>Wien Kledering</t>
        </is>
      </c>
      <c r="C373" s="9" t="n">
        <v>291.9</v>
      </c>
      <c r="D373" s="3" t="inlineStr">
        <is>
          <t>615</t>
        </is>
      </c>
      <c r="E373" s="10" t="n">
        <v>45685.55091435185</v>
      </c>
      <c r="F373" s="10" t="n">
        <v>45686.55601851852</v>
      </c>
      <c r="G373" s="10" t="n">
        <v>45686.60668981481</v>
      </c>
      <c r="H373" s="10" t="n">
        <v>45686.60668981481</v>
      </c>
      <c r="I373" s="10" t="n">
        <v>45686.60668981481</v>
      </c>
      <c r="J373" s="10" t="n">
        <v>45686.60783564814</v>
      </c>
      <c r="K373" s="11">
        <f>IF(AND(ISNUMBER(E373),ISNUMBER(F373)),(F373-E373),"")</f>
        <v/>
      </c>
      <c r="L373" s="11">
        <f>IF(AND(ISNUMBER(F373),ISNUMBER(G373)),(G373-F373),"")</f>
        <v/>
      </c>
      <c r="M373" s="11">
        <f>IF(AND(ISNUMBER(H373),ISNUMBER(I373)),(I373-H373),"")</f>
        <v/>
      </c>
      <c r="N373" s="11">
        <f>IF(AND(ISNUMBER(I373),ISNUMBER(J373)),(J373-I373),"")</f>
        <v/>
      </c>
      <c r="O373" s="11">
        <f>IF(AND(ISNUMBER(E373),ISNUMBER(J373)),(J373-E373),"")</f>
        <v/>
      </c>
    </row>
    <row r="374">
      <c r="A374" s="3" t="inlineStr">
        <is>
          <t>OBT280125143604-Wien Kledering</t>
        </is>
      </c>
      <c r="B374" s="3" t="inlineStr">
        <is>
          <t>Wien Kledering</t>
        </is>
      </c>
      <c r="C374" s="9" t="n">
        <v>389.8000000000001</v>
      </c>
      <c r="D374" s="3" t="inlineStr">
        <is>
          <t>625</t>
        </is>
      </c>
      <c r="E374" s="10" t="n">
        <v>45685.60837962963</v>
      </c>
      <c r="F374" s="10" t="n">
        <v>45686.61636574074</v>
      </c>
      <c r="G374" s="10" t="n">
        <v>45686.68403935185</v>
      </c>
      <c r="H374" s="10" t="n">
        <v>45686.68403935185</v>
      </c>
      <c r="I374" s="10" t="n">
        <v>45686.68403935185</v>
      </c>
      <c r="J374" s="10" t="n">
        <v>45686.68543981481</v>
      </c>
      <c r="K374" s="11">
        <f>IF(AND(ISNUMBER(E374),ISNUMBER(F374)),(F374-E374),"")</f>
        <v/>
      </c>
      <c r="L374" s="11">
        <f>IF(AND(ISNUMBER(F374),ISNUMBER(G374)),(G374-F374),"")</f>
        <v/>
      </c>
      <c r="M374" s="11">
        <f>IF(AND(ISNUMBER(H374),ISNUMBER(I374)),(I374-H374),"")</f>
        <v/>
      </c>
      <c r="N374" s="11">
        <f>IF(AND(ISNUMBER(I374),ISNUMBER(J374)),(J374-I374),"")</f>
        <v/>
      </c>
      <c r="O374" s="11">
        <f>IF(AND(ISNUMBER(E374),ISNUMBER(J374)),(J374-E374),"")</f>
        <v/>
      </c>
    </row>
    <row r="375">
      <c r="A375" s="3" t="inlineStr">
        <is>
          <t>OBT280125151006-Other sidings local</t>
        </is>
      </c>
      <c r="B375" s="3" t="inlineStr">
        <is>
          <t>Other sidings local</t>
        </is>
      </c>
      <c r="C375" s="9" t="n">
        <v>122.9</v>
      </c>
      <c r="D375" s="3" t="inlineStr">
        <is>
          <t>629</t>
        </is>
      </c>
      <c r="E375" s="10" t="n">
        <v>45685.63201388889</v>
      </c>
      <c r="F375" s="10" t="n">
        <v>45686.65686342592</v>
      </c>
      <c r="G375" s="10" t="n">
        <v>45686.67820601852</v>
      </c>
      <c r="H375" s="10" t="n">
        <v>45686.67820601852</v>
      </c>
      <c r="I375" s="10" t="n">
        <v>45686.67820601852</v>
      </c>
      <c r="J375" s="10" t="n">
        <v>45686.67886574074</v>
      </c>
      <c r="K375" s="11">
        <f>IF(AND(ISNUMBER(E375),ISNUMBER(F375)),(F375-E375),"")</f>
        <v/>
      </c>
      <c r="L375" s="11">
        <f>IF(AND(ISNUMBER(F375),ISNUMBER(G375)),(G375-F375),"")</f>
        <v/>
      </c>
      <c r="M375" s="11">
        <f>IF(AND(ISNUMBER(H375),ISNUMBER(I375)),(I375-H375),"")</f>
        <v/>
      </c>
      <c r="N375" s="11">
        <f>IF(AND(ISNUMBER(I375),ISNUMBER(J375)),(J375-I375),"")</f>
        <v/>
      </c>
      <c r="O375" s="11">
        <f>IF(AND(ISNUMBER(E375),ISNUMBER(J375)),(J375-E375),"")</f>
        <v/>
      </c>
    </row>
    <row r="376">
      <c r="A376" s="3" t="inlineStr">
        <is>
          <t>OBT280125151602-Neunkirchen (loading tracks)</t>
        </is>
      </c>
      <c r="B376" s="3" t="inlineStr">
        <is>
          <t>Neunkirchen (loading tracks)</t>
        </is>
      </c>
      <c r="C376" s="9" t="n">
        <v>156</v>
      </c>
      <c r="D376" s="3" t="inlineStr">
        <is>
          <t>615</t>
        </is>
      </c>
      <c r="E376" s="10" t="n">
        <v>45685.63613425926</v>
      </c>
      <c r="F376" s="10" t="n">
        <v>45686.66518518519</v>
      </c>
      <c r="G376" s="10" t="n">
        <v>45686.69226851852</v>
      </c>
      <c r="H376" s="10" t="n">
        <v>45686.69226851852</v>
      </c>
      <c r="I376" s="10" t="n">
        <v>45686.69226851852</v>
      </c>
      <c r="J376" s="10" t="n">
        <v>45686.69310185185</v>
      </c>
      <c r="K376" s="11">
        <f>IF(AND(ISNUMBER(E376),ISNUMBER(F376)),(F376-E376),"")</f>
        <v/>
      </c>
      <c r="L376" s="11">
        <f>IF(AND(ISNUMBER(F376),ISNUMBER(G376)),(G376-F376),"")</f>
        <v/>
      </c>
      <c r="M376" s="11">
        <f>IF(AND(ISNUMBER(H376),ISNUMBER(I376)),(I376-H376),"")</f>
        <v/>
      </c>
      <c r="N376" s="11">
        <f>IF(AND(ISNUMBER(I376),ISNUMBER(J376)),(J376-I376),"")</f>
        <v/>
      </c>
      <c r="O376" s="11">
        <f>IF(AND(ISNUMBER(E376),ISNUMBER(J376)),(J376-E376),"")</f>
        <v/>
      </c>
    </row>
    <row r="377">
      <c r="A377" s="3" t="inlineStr">
        <is>
          <t>OBT280125194613-Wien Kledering</t>
        </is>
      </c>
      <c r="B377" s="3" t="inlineStr">
        <is>
          <t>Wien Kledering</t>
        </is>
      </c>
      <c r="C377" s="9" t="n">
        <v>232.68</v>
      </c>
      <c r="D377" s="3" t="inlineStr">
        <is>
          <t>606</t>
        </is>
      </c>
      <c r="E377" s="10" t="n">
        <v>45685.82376157407</v>
      </c>
      <c r="F377" s="10" t="n">
        <v>45686.74023148148</v>
      </c>
      <c r="G377" s="10" t="n">
        <v>45686.780625</v>
      </c>
      <c r="H377" s="10" t="n">
        <v>45686.780625</v>
      </c>
      <c r="I377" s="10" t="n">
        <v>45686.780625</v>
      </c>
      <c r="J377" s="10" t="n">
        <v>45686.78166666667</v>
      </c>
      <c r="K377" s="11">
        <f>IF(AND(ISNUMBER(E377),ISNUMBER(F377)),(F377-E377),"")</f>
        <v/>
      </c>
      <c r="L377" s="11">
        <f>IF(AND(ISNUMBER(F377),ISNUMBER(G377)),(G377-F377),"")</f>
        <v/>
      </c>
      <c r="M377" s="11">
        <f>IF(AND(ISNUMBER(H377),ISNUMBER(I377)),(I377-H377),"")</f>
        <v/>
      </c>
      <c r="N377" s="11">
        <f>IF(AND(ISNUMBER(I377),ISNUMBER(J377)),(J377-I377),"")</f>
        <v/>
      </c>
      <c r="O377" s="11">
        <f>IF(AND(ISNUMBER(E377),ISNUMBER(J377)),(J377-E377),"")</f>
        <v/>
      </c>
    </row>
    <row r="378">
      <c r="A378" s="3" t="inlineStr">
        <is>
          <t>OBT280125211842-Wien Kledering</t>
        </is>
      </c>
      <c r="B378" s="3" t="inlineStr">
        <is>
          <t>Wien Kledering</t>
        </is>
      </c>
      <c r="C378" s="9" t="n">
        <v>397.3000000000001</v>
      </c>
      <c r="D378" s="3" t="inlineStr">
        <is>
          <t>611</t>
        </is>
      </c>
      <c r="E378" s="10" t="n">
        <v>45685.88798611111</v>
      </c>
      <c r="F378" s="10" t="n">
        <v>45686.773125</v>
      </c>
      <c r="G378" s="10" t="n">
        <v>45686.84210648148</v>
      </c>
      <c r="H378" s="10" t="n">
        <v>45686.84210648148</v>
      </c>
      <c r="I378" s="10" t="n">
        <v>45686.84210648148</v>
      </c>
      <c r="J378" s="10" t="n">
        <v>45686.84350694445</v>
      </c>
      <c r="K378" s="11">
        <f>IF(AND(ISNUMBER(E378),ISNUMBER(F378)),(F378-E378),"")</f>
        <v/>
      </c>
      <c r="L378" s="11">
        <f>IF(AND(ISNUMBER(F378),ISNUMBER(G378)),(G378-F378),"")</f>
        <v/>
      </c>
      <c r="M378" s="11">
        <f>IF(AND(ISNUMBER(H378),ISNUMBER(I378)),(I378-H378),"")</f>
        <v/>
      </c>
      <c r="N378" s="11">
        <f>IF(AND(ISNUMBER(I378),ISNUMBER(J378)),(J378-I378),"")</f>
        <v/>
      </c>
      <c r="O378" s="11">
        <f>IF(AND(ISNUMBER(E378),ISNUMBER(J378)),(J378-E378),"")</f>
        <v/>
      </c>
    </row>
    <row r="379">
      <c r="A379" s="3" t="inlineStr">
        <is>
          <t>OBT290125030733-Neunkirchen (loading tracks)</t>
        </is>
      </c>
      <c r="B379" s="3" t="inlineStr">
        <is>
          <t>Neunkirchen (loading tracks)</t>
        </is>
      </c>
      <c r="C379" s="9" t="n">
        <v>165.8</v>
      </c>
      <c r="D379" s="3" t="inlineStr">
        <is>
          <t>615</t>
        </is>
      </c>
      <c r="E379" s="10" t="n">
        <v>45686.13024305556</v>
      </c>
      <c r="F379" s="10" t="n">
        <v>45686.87881944444</v>
      </c>
      <c r="G379" s="10" t="n">
        <v>45686.90760416666</v>
      </c>
      <c r="H379" s="10" t="n">
        <v>45686.90760416666</v>
      </c>
      <c r="I379" s="10" t="n">
        <v>45686.90760416666</v>
      </c>
      <c r="J379" s="10" t="n">
        <v>45686.90846064815</v>
      </c>
      <c r="K379" s="11">
        <f>IF(AND(ISNUMBER(E379),ISNUMBER(F379)),(F379-E379),"")</f>
        <v/>
      </c>
      <c r="L379" s="11">
        <f>IF(AND(ISNUMBER(F379),ISNUMBER(G379)),(G379-F379),"")</f>
        <v/>
      </c>
      <c r="M379" s="11">
        <f>IF(AND(ISNUMBER(H379),ISNUMBER(I379)),(I379-H379),"")</f>
        <v/>
      </c>
      <c r="N379" s="11">
        <f>IF(AND(ISNUMBER(I379),ISNUMBER(J379)),(J379-I379),"")</f>
        <v/>
      </c>
      <c r="O379" s="11">
        <f>IF(AND(ISNUMBER(E379),ISNUMBER(J379)),(J379-E379),"")</f>
        <v/>
      </c>
    </row>
    <row r="380">
      <c r="A380" s="3" t="inlineStr">
        <is>
          <t>OBT290125043313-Neudörfl (FunderMax)</t>
        </is>
      </c>
      <c r="B380" s="3" t="inlineStr">
        <is>
          <t>Neudörfl (FunderMax)</t>
        </is>
      </c>
      <c r="C380" s="9" t="n">
        <v>106.9</v>
      </c>
      <c r="D380" s="3" t="inlineStr">
        <is>
          <t>613</t>
        </is>
      </c>
      <c r="E380" s="10" t="n">
        <v>45686.18973379629</v>
      </c>
      <c r="F380" s="10" t="n">
        <v>45687.13313657408</v>
      </c>
      <c r="G380" s="10" t="n">
        <v>45687.15170138889</v>
      </c>
      <c r="H380" s="10" t="n">
        <v>45687.15170138889</v>
      </c>
      <c r="I380" s="10" t="n">
        <v>45687.15170138889</v>
      </c>
      <c r="J380" s="10" t="n">
        <v>45687.15237268519</v>
      </c>
      <c r="K380" s="11">
        <f>IF(AND(ISNUMBER(E380),ISNUMBER(F380)),(F380-E380),"")</f>
        <v/>
      </c>
      <c r="L380" s="11">
        <f>IF(AND(ISNUMBER(F380),ISNUMBER(G380)),(G380-F380),"")</f>
        <v/>
      </c>
      <c r="M380" s="11">
        <f>IF(AND(ISNUMBER(H380),ISNUMBER(I380)),(I380-H380),"")</f>
        <v/>
      </c>
      <c r="N380" s="11">
        <f>IF(AND(ISNUMBER(I380),ISNUMBER(J380)),(J380-I380),"")</f>
        <v/>
      </c>
      <c r="O380" s="11">
        <f>IF(AND(ISNUMBER(E380),ISNUMBER(J380)),(J380-E380),"")</f>
        <v/>
      </c>
    </row>
    <row r="381">
      <c r="A381" s="3" t="inlineStr">
        <is>
          <t>OBT290125063308-Wien Kledering</t>
        </is>
      </c>
      <c r="B381" s="3" t="inlineStr">
        <is>
          <t>Wien Kledering</t>
        </is>
      </c>
      <c r="C381" s="9" t="n">
        <v>297</v>
      </c>
      <c r="D381" s="3" t="inlineStr">
        <is>
          <t>607</t>
        </is>
      </c>
      <c r="E381" s="10" t="n">
        <v>45686.27300925926</v>
      </c>
      <c r="F381" s="10" t="n">
        <v>45687.2740162037</v>
      </c>
      <c r="G381" s="10" t="n">
        <v>45687.32557870371</v>
      </c>
      <c r="H381" s="10" t="n">
        <v>45687.32557870371</v>
      </c>
      <c r="I381" s="10" t="n">
        <v>45687.32557870371</v>
      </c>
      <c r="J381" s="10" t="n">
        <v>45687.32686342593</v>
      </c>
      <c r="K381" s="11">
        <f>IF(AND(ISNUMBER(E381),ISNUMBER(F381)),(F381-E381),"")</f>
        <v/>
      </c>
      <c r="L381" s="11">
        <f>IF(AND(ISNUMBER(F381),ISNUMBER(G381)),(G381-F381),"")</f>
        <v/>
      </c>
      <c r="M381" s="11">
        <f>IF(AND(ISNUMBER(H381),ISNUMBER(I381)),(I381-H381),"")</f>
        <v/>
      </c>
      <c r="N381" s="11">
        <f>IF(AND(ISNUMBER(I381),ISNUMBER(J381)),(J381-I381),"")</f>
        <v/>
      </c>
      <c r="O381" s="11">
        <f>IF(AND(ISNUMBER(E381),ISNUMBER(J381)),(J381-E381),"")</f>
        <v/>
      </c>
    </row>
    <row r="382">
      <c r="A382" s="3" t="inlineStr">
        <is>
          <t>OBT290125073710-Wien Kledering</t>
        </is>
      </c>
      <c r="B382" s="3" t="inlineStr">
        <is>
          <t>Wien Kledering</t>
        </is>
      </c>
      <c r="C382" s="9" t="n">
        <v>397.3000000000001</v>
      </c>
      <c r="D382" s="3" t="inlineStr">
        <is>
          <t>621</t>
        </is>
      </c>
      <c r="E382" s="10" t="n">
        <v>45686.31747685185</v>
      </c>
      <c r="F382" s="10" t="n">
        <v>45687.29908564815</v>
      </c>
      <c r="G382" s="10" t="n">
        <v>45687.36805555555</v>
      </c>
      <c r="H382" s="10" t="n">
        <v>45687.36805555555</v>
      </c>
      <c r="I382" s="10" t="n">
        <v>45687.36836805556</v>
      </c>
      <c r="J382" s="10" t="n">
        <v>45687.36982638889</v>
      </c>
      <c r="K382" s="11">
        <f>IF(AND(ISNUMBER(E382),ISNUMBER(F382)),(F382-E382),"")</f>
        <v/>
      </c>
      <c r="L382" s="11">
        <f>IF(AND(ISNUMBER(F382),ISNUMBER(G382)),(G382-F382),"")</f>
        <v/>
      </c>
      <c r="M382" s="11">
        <f>IF(AND(ISNUMBER(H382),ISNUMBER(I382)),(I382-H382),"")</f>
        <v/>
      </c>
      <c r="N382" s="11">
        <f>IF(AND(ISNUMBER(I382),ISNUMBER(J382)),(J382-I382),"")</f>
        <v/>
      </c>
      <c r="O382" s="11">
        <f>IF(AND(ISNUMBER(E382),ISNUMBER(J382)),(J382-E382),"")</f>
        <v/>
      </c>
    </row>
    <row r="383">
      <c r="A383" s="3" t="inlineStr">
        <is>
          <t>OBT290125074446-Wien Kledering</t>
        </is>
      </c>
      <c r="B383" s="3" t="inlineStr">
        <is>
          <t>Wien Kledering</t>
        </is>
      </c>
      <c r="C383" s="9" t="n">
        <v>129.34</v>
      </c>
      <c r="D383" s="3" t="inlineStr">
        <is>
          <t>629</t>
        </is>
      </c>
      <c r="E383" s="10" t="n">
        <v>45686.32275462963</v>
      </c>
      <c r="F383" s="10" t="n">
        <v>45687.34200231481</v>
      </c>
      <c r="G383" s="10" t="n">
        <v>45687.36445601852</v>
      </c>
      <c r="H383" s="10" t="n">
        <v>45687.36445601852</v>
      </c>
      <c r="I383" s="10" t="n">
        <v>45687.36445601852</v>
      </c>
      <c r="J383" s="10" t="n">
        <v>45687.36512731481</v>
      </c>
      <c r="K383" s="11">
        <f>IF(AND(ISNUMBER(E383),ISNUMBER(F383)),(F383-E383),"")</f>
        <v/>
      </c>
      <c r="L383" s="11">
        <f>IF(AND(ISNUMBER(F383),ISNUMBER(G383)),(G383-F383),"")</f>
        <v/>
      </c>
      <c r="M383" s="11">
        <f>IF(AND(ISNUMBER(H383),ISNUMBER(I383)),(I383-H383),"")</f>
        <v/>
      </c>
      <c r="N383" s="11">
        <f>IF(AND(ISNUMBER(I383),ISNUMBER(J383)),(J383-I383),"")</f>
        <v/>
      </c>
      <c r="O383" s="11">
        <f>IF(AND(ISNUMBER(E383),ISNUMBER(J383)),(J383-E383),"")</f>
        <v/>
      </c>
    </row>
    <row r="384">
      <c r="A384" s="3" t="inlineStr">
        <is>
          <t>OBT290125093729-Other sidings south</t>
        </is>
      </c>
      <c r="B384" s="3" t="inlineStr">
        <is>
          <t>Other sidings south</t>
        </is>
      </c>
      <c r="C384" s="9" t="n">
        <v>110.26</v>
      </c>
      <c r="D384" s="3" t="inlineStr">
        <is>
          <t>619</t>
        </is>
      </c>
      <c r="E384" s="10" t="n">
        <v>45686.40103009259</v>
      </c>
      <c r="F384" s="10" t="n">
        <v>45687.34841435185</v>
      </c>
      <c r="G384" s="10" t="n">
        <v>45687.36755787037</v>
      </c>
      <c r="H384" s="10" t="n">
        <v>45687.36755787037</v>
      </c>
      <c r="I384" s="10" t="n">
        <v>45687.36755787037</v>
      </c>
      <c r="J384" s="10" t="n">
        <v>45687.36836805556</v>
      </c>
      <c r="K384" s="11">
        <f>IF(AND(ISNUMBER(E384),ISNUMBER(F384)),(F384-E384),"")</f>
        <v/>
      </c>
      <c r="L384" s="11">
        <f>IF(AND(ISNUMBER(F384),ISNUMBER(G384)),(G384-F384),"")</f>
        <v/>
      </c>
      <c r="M384" s="11">
        <f>IF(AND(ISNUMBER(H384),ISNUMBER(I384)),(I384-H384),"")</f>
        <v/>
      </c>
      <c r="N384" s="11">
        <f>IF(AND(ISNUMBER(I384),ISNUMBER(J384)),(J384-I384),"")</f>
        <v/>
      </c>
      <c r="O384" s="11">
        <f>IF(AND(ISNUMBER(E384),ISNUMBER(J384)),(J384-E384),"")</f>
        <v/>
      </c>
    </row>
    <row r="385">
      <c r="A385" s="3" t="inlineStr">
        <is>
          <t>OBT290125094134-Wien Kledering</t>
        </is>
      </c>
      <c r="B385" s="3" t="inlineStr">
        <is>
          <t>Wien Kledering</t>
        </is>
      </c>
      <c r="C385" s="9" t="n">
        <v>252</v>
      </c>
      <c r="D385" s="3" t="inlineStr">
        <is>
          <t>615</t>
        </is>
      </c>
      <c r="E385" s="10" t="n">
        <v>45686.40386574074</v>
      </c>
      <c r="F385" s="10" t="n">
        <v>45687.36918981482</v>
      </c>
      <c r="G385" s="10" t="n">
        <v>45687.41293981481</v>
      </c>
      <c r="H385" s="10" t="n">
        <v>45687.41293981481</v>
      </c>
      <c r="I385" s="10" t="n">
        <v>45687.41293981481</v>
      </c>
      <c r="J385" s="10" t="n">
        <v>45687.41398148148</v>
      </c>
      <c r="K385" s="11">
        <f>IF(AND(ISNUMBER(E385),ISNUMBER(F385)),(F385-E385),"")</f>
        <v/>
      </c>
      <c r="L385" s="11">
        <f>IF(AND(ISNUMBER(F385),ISNUMBER(G385)),(G385-F385),"")</f>
        <v/>
      </c>
      <c r="M385" s="11">
        <f>IF(AND(ISNUMBER(H385),ISNUMBER(I385)),(I385-H385),"")</f>
        <v/>
      </c>
      <c r="N385" s="11">
        <f>IF(AND(ISNUMBER(I385),ISNUMBER(J385)),(J385-I385),"")</f>
        <v/>
      </c>
      <c r="O385" s="11">
        <f>IF(AND(ISNUMBER(E385),ISNUMBER(J385)),(J385-E385),"")</f>
        <v/>
      </c>
    </row>
    <row r="386">
      <c r="A386" s="3" t="inlineStr">
        <is>
          <t>OBT290125105057-Wien Kledering</t>
        </is>
      </c>
      <c r="B386" s="3" t="inlineStr">
        <is>
          <t>Wien Kledering</t>
        </is>
      </c>
      <c r="C386" s="9" t="n">
        <v>220.3</v>
      </c>
      <c r="D386" s="3" t="inlineStr">
        <is>
          <t>615</t>
        </is>
      </c>
      <c r="E386" s="10" t="n">
        <v>45686.45204861111</v>
      </c>
      <c r="F386" s="10" t="n">
        <v>45687.40633101852</v>
      </c>
      <c r="G386" s="10" t="n">
        <v>45687.44457175926</v>
      </c>
      <c r="H386" s="10" t="n">
        <v>45687.44457175926</v>
      </c>
      <c r="I386" s="10" t="n">
        <v>45687.44457175926</v>
      </c>
      <c r="J386" s="10" t="n">
        <v>45687.44554398148</v>
      </c>
      <c r="K386" s="11">
        <f>IF(AND(ISNUMBER(E386),ISNUMBER(F386)),(F386-E386),"")</f>
        <v/>
      </c>
      <c r="L386" s="11">
        <f>IF(AND(ISNUMBER(F386),ISNUMBER(G386)),(G386-F386),"")</f>
        <v/>
      </c>
      <c r="M386" s="11">
        <f>IF(AND(ISNUMBER(H386),ISNUMBER(I386)),(I386-H386),"")</f>
        <v/>
      </c>
      <c r="N386" s="11">
        <f>IF(AND(ISNUMBER(I386),ISNUMBER(J386)),(J386-I386),"")</f>
        <v/>
      </c>
      <c r="O386" s="11">
        <f>IF(AND(ISNUMBER(E386),ISNUMBER(J386)),(J386-E386),"")</f>
        <v/>
      </c>
    </row>
    <row r="387">
      <c r="A387" s="3" t="inlineStr">
        <is>
          <t>OBT290125132135-Wien Kledering</t>
        </is>
      </c>
      <c r="B387" s="3" t="inlineStr">
        <is>
          <t>Wien Kledering</t>
        </is>
      </c>
      <c r="C387" s="9" t="n">
        <v>259.66</v>
      </c>
      <c r="D387" s="3" t="inlineStr">
        <is>
          <t>615</t>
        </is>
      </c>
      <c r="E387" s="10" t="n">
        <v>45686.55665509259</v>
      </c>
      <c r="F387" s="10" t="n">
        <v>45687.42520833333</v>
      </c>
      <c r="G387" s="10" t="n">
        <v>45687.47028935186</v>
      </c>
      <c r="H387" s="10" t="n">
        <v>45687.47028935186</v>
      </c>
      <c r="I387" s="10" t="n">
        <v>45687.47028935186</v>
      </c>
      <c r="J387" s="10" t="n">
        <v>45687.47135416666</v>
      </c>
      <c r="K387" s="11">
        <f>IF(AND(ISNUMBER(E387),ISNUMBER(F387)),(F387-E387),"")</f>
        <v/>
      </c>
      <c r="L387" s="11">
        <f>IF(AND(ISNUMBER(F387),ISNUMBER(G387)),(G387-F387),"")</f>
        <v/>
      </c>
      <c r="M387" s="11">
        <f>IF(AND(ISNUMBER(H387),ISNUMBER(I387)),(I387-H387),"")</f>
        <v/>
      </c>
      <c r="N387" s="11">
        <f>IF(AND(ISNUMBER(I387),ISNUMBER(J387)),(J387-I387),"")</f>
        <v/>
      </c>
      <c r="O387" s="11">
        <f>IF(AND(ISNUMBER(E387),ISNUMBER(J387)),(J387-E387),"")</f>
        <v/>
      </c>
    </row>
    <row r="388">
      <c r="A388" s="3" t="inlineStr">
        <is>
          <t>OBT290125144829-Wien Kledering</t>
        </is>
      </c>
      <c r="B388" s="3" t="inlineStr">
        <is>
          <t>Wien Kledering</t>
        </is>
      </c>
      <c r="C388" s="9" t="n">
        <v>398.0400000000001</v>
      </c>
      <c r="D388" s="3" t="inlineStr">
        <is>
          <t>615</t>
        </is>
      </c>
      <c r="E388" s="10" t="n">
        <v>45686.61700231482</v>
      </c>
      <c r="F388" s="10" t="n">
        <v>45687.5509837963</v>
      </c>
      <c r="G388" s="10" t="n">
        <v>45687.62008101852</v>
      </c>
      <c r="H388" s="10" t="n">
        <v>45687.62008101852</v>
      </c>
      <c r="I388" s="10" t="n">
        <v>45687.62008101852</v>
      </c>
      <c r="J388" s="10" t="n">
        <v>45687.6214699074</v>
      </c>
      <c r="K388" s="11">
        <f>IF(AND(ISNUMBER(E388),ISNUMBER(F388)),(F388-E388),"")</f>
        <v/>
      </c>
      <c r="L388" s="11">
        <f>IF(AND(ISNUMBER(F388),ISNUMBER(G388)),(G388-F388),"")</f>
        <v/>
      </c>
      <c r="M388" s="11">
        <f>IF(AND(ISNUMBER(H388),ISNUMBER(I388)),(I388-H388),"")</f>
        <v/>
      </c>
      <c r="N388" s="11">
        <f>IF(AND(ISNUMBER(I388),ISNUMBER(J388)),(J388-I388),"")</f>
        <v/>
      </c>
      <c r="O388" s="11">
        <f>IF(AND(ISNUMBER(E388),ISNUMBER(J388)),(J388-E388),"")</f>
        <v/>
      </c>
    </row>
    <row r="389">
      <c r="A389" s="3" t="inlineStr">
        <is>
          <t>OBT290125152804-Other sidings north</t>
        </is>
      </c>
      <c r="B389" s="3" t="inlineStr">
        <is>
          <t>Other sidings north</t>
        </is>
      </c>
      <c r="C389" s="9" t="n">
        <v>110.26</v>
      </c>
      <c r="D389" s="3" t="inlineStr">
        <is>
          <t>623</t>
        </is>
      </c>
      <c r="E389" s="10" t="n">
        <v>45686.64449074074</v>
      </c>
      <c r="F389" s="10" t="n">
        <v>45687.61464120371</v>
      </c>
      <c r="G389" s="10" t="n">
        <v>45687.63377314815</v>
      </c>
      <c r="H389" s="10" t="n">
        <v>45687.63377314815</v>
      </c>
      <c r="I389" s="10" t="n">
        <v>45687.63377314815</v>
      </c>
      <c r="J389" s="10" t="n">
        <v>45687.63457175926</v>
      </c>
      <c r="K389" s="11">
        <f>IF(AND(ISNUMBER(E389),ISNUMBER(F389)),(F389-E389),"")</f>
        <v/>
      </c>
      <c r="L389" s="11">
        <f>IF(AND(ISNUMBER(F389),ISNUMBER(G389)),(G389-F389),"")</f>
        <v/>
      </c>
      <c r="M389" s="11">
        <f>IF(AND(ISNUMBER(H389),ISNUMBER(I389)),(I389-H389),"")</f>
        <v/>
      </c>
      <c r="N389" s="11">
        <f>IF(AND(ISNUMBER(I389),ISNUMBER(J389)),(J389-I389),"")</f>
        <v/>
      </c>
      <c r="O389" s="11">
        <f>IF(AND(ISNUMBER(E389),ISNUMBER(J389)),(J389-E389),"")</f>
        <v/>
      </c>
    </row>
    <row r="390">
      <c r="A390" s="3" t="inlineStr">
        <is>
          <t>OBT290125154754-Wr. Neustadt (Hödlmayr)</t>
        </is>
      </c>
      <c r="B390" s="3" t="inlineStr">
        <is>
          <t>Wr. Neustadt (Hödlmayr)</t>
        </is>
      </c>
      <c r="C390" s="9" t="n">
        <v>112.48</v>
      </c>
      <c r="D390" s="3" t="inlineStr">
        <is>
          <t>627</t>
        </is>
      </c>
      <c r="E390" s="10" t="n">
        <v>45686.65826388889</v>
      </c>
      <c r="F390" s="10" t="n">
        <v>45687.64940972222</v>
      </c>
      <c r="G390" s="10" t="n">
        <v>45687.66893518518</v>
      </c>
      <c r="H390" s="10" t="n">
        <v>45687.66893518518</v>
      </c>
      <c r="I390" s="10" t="n">
        <v>45687.66893518518</v>
      </c>
      <c r="J390" s="10" t="n">
        <v>45687.66959490741</v>
      </c>
      <c r="K390" s="11">
        <f>IF(AND(ISNUMBER(E390),ISNUMBER(F390)),(F390-E390),"")</f>
        <v/>
      </c>
      <c r="L390" s="11">
        <f>IF(AND(ISNUMBER(F390),ISNUMBER(G390)),(G390-F390),"")</f>
        <v/>
      </c>
      <c r="M390" s="11">
        <f>IF(AND(ISNUMBER(H390),ISNUMBER(I390)),(I390-H390),"")</f>
        <v/>
      </c>
      <c r="N390" s="11">
        <f>IF(AND(ISNUMBER(I390),ISNUMBER(J390)),(J390-I390),"")</f>
        <v/>
      </c>
      <c r="O390" s="11">
        <f>IF(AND(ISNUMBER(E390),ISNUMBER(J390)),(J390-E390),"")</f>
        <v/>
      </c>
    </row>
    <row r="391">
      <c r="A391" s="3" t="inlineStr">
        <is>
          <t>OBT290125174650-Wien Kledering</t>
        </is>
      </c>
      <c r="B391" s="3" t="inlineStr">
        <is>
          <t>Wien Kledering</t>
        </is>
      </c>
      <c r="C391" s="9" t="n">
        <v>302.1200000000001</v>
      </c>
      <c r="D391" s="3" t="inlineStr">
        <is>
          <t>615</t>
        </is>
      </c>
      <c r="E391" s="10" t="n">
        <v>45686.74085648148</v>
      </c>
      <c r="F391" s="10" t="n">
        <v>45687.65604166667</v>
      </c>
      <c r="G391" s="10" t="n">
        <v>45687.70849537037</v>
      </c>
      <c r="H391" s="10" t="n">
        <v>45687.70849537037</v>
      </c>
      <c r="I391" s="10" t="n">
        <v>45687.70849537037</v>
      </c>
      <c r="J391" s="10" t="n">
        <v>45687.70966435185</v>
      </c>
      <c r="K391" s="11">
        <f>IF(AND(ISNUMBER(E391),ISNUMBER(F391)),(F391-E391),"")</f>
        <v/>
      </c>
      <c r="L391" s="11">
        <f>IF(AND(ISNUMBER(F391),ISNUMBER(G391)),(G391-F391),"")</f>
        <v/>
      </c>
      <c r="M391" s="11">
        <f>IF(AND(ISNUMBER(H391),ISNUMBER(I391)),(I391-H391),"")</f>
        <v/>
      </c>
      <c r="N391" s="11">
        <f>IF(AND(ISNUMBER(I391),ISNUMBER(J391)),(J391-I391),"")</f>
        <v/>
      </c>
      <c r="O391" s="11">
        <f>IF(AND(ISNUMBER(E391),ISNUMBER(J391)),(J391-E391),"")</f>
        <v/>
      </c>
    </row>
    <row r="392">
      <c r="A392" s="3" t="inlineStr">
        <is>
          <t>OBT290125182252-Pitten (Hamburger)</t>
        </is>
      </c>
      <c r="B392" s="3" t="inlineStr">
        <is>
          <t>Pitten (Hamburger)</t>
        </is>
      </c>
      <c r="C392" s="9" t="n">
        <v>187.4</v>
      </c>
      <c r="D392" s="3" t="inlineStr">
        <is>
          <t>609</t>
        </is>
      </c>
      <c r="E392" s="10" t="n">
        <v>45686.76587962963</v>
      </c>
      <c r="F392" s="10" t="n">
        <v>45687.73236111111</v>
      </c>
      <c r="G392" s="10" t="n">
        <v>45687.76489583333</v>
      </c>
      <c r="H392" s="10" t="n">
        <v>45687.76489583333</v>
      </c>
      <c r="I392" s="10" t="n">
        <v>45687.76489583333</v>
      </c>
      <c r="J392" s="10" t="n">
        <v>45687.76586805555</v>
      </c>
      <c r="K392" s="11">
        <f>IF(AND(ISNUMBER(E392),ISNUMBER(F392)),(F392-E392),"")</f>
        <v/>
      </c>
      <c r="L392" s="11">
        <f>IF(AND(ISNUMBER(F392),ISNUMBER(G392)),(G392-F392),"")</f>
        <v/>
      </c>
      <c r="M392" s="11">
        <f>IF(AND(ISNUMBER(H392),ISNUMBER(I392)),(I392-H392),"")</f>
        <v/>
      </c>
      <c r="N392" s="11">
        <f>IF(AND(ISNUMBER(I392),ISNUMBER(J392)),(J392-I392),"")</f>
        <v/>
      </c>
      <c r="O392" s="11">
        <f>IF(AND(ISNUMBER(E392),ISNUMBER(J392)),(J392-E392),"")</f>
        <v/>
      </c>
    </row>
    <row r="393">
      <c r="A393" s="3" t="inlineStr">
        <is>
          <t>OBT290125210626-Wien Kledering</t>
        </is>
      </c>
      <c r="B393" s="3" t="inlineStr">
        <is>
          <t>Wien Kledering</t>
        </is>
      </c>
      <c r="C393" s="9" t="n">
        <v>380.8200000000001</v>
      </c>
      <c r="D393" s="3" t="inlineStr">
        <is>
          <t>606</t>
        </is>
      </c>
      <c r="E393" s="10" t="n">
        <v>45686.87946759259</v>
      </c>
      <c r="F393" s="10" t="n">
        <v>45687.8312037037</v>
      </c>
      <c r="G393" s="10" t="n">
        <v>45687.89732638889</v>
      </c>
      <c r="H393" s="10" t="n">
        <v>45687.89732638889</v>
      </c>
      <c r="I393" s="10" t="n">
        <v>45687.89732638889</v>
      </c>
      <c r="J393" s="10" t="n">
        <v>45687.89871527778</v>
      </c>
      <c r="K393" s="11">
        <f>IF(AND(ISNUMBER(E393),ISNUMBER(F393)),(F393-E393),"")</f>
        <v/>
      </c>
      <c r="L393" s="11">
        <f>IF(AND(ISNUMBER(F393),ISNUMBER(G393)),(G393-F393),"")</f>
        <v/>
      </c>
      <c r="M393" s="11">
        <f>IF(AND(ISNUMBER(H393),ISNUMBER(I393)),(I393-H393),"")</f>
        <v/>
      </c>
      <c r="N393" s="11">
        <f>IF(AND(ISNUMBER(I393),ISNUMBER(J393)),(J393-I393),"")</f>
        <v/>
      </c>
      <c r="O393" s="11">
        <f>IF(AND(ISNUMBER(E393),ISNUMBER(J393)),(J393-E393),"")</f>
        <v/>
      </c>
    </row>
    <row r="394">
      <c r="A394" s="3" t="inlineStr">
        <is>
          <t>OBT300125030547-Neunkirchen (loading tracks)</t>
        </is>
      </c>
      <c r="B394" s="3" t="inlineStr">
        <is>
          <t>Neunkirchen (loading tracks)</t>
        </is>
      </c>
      <c r="C394" s="9" t="n">
        <v>102.8</v>
      </c>
      <c r="D394" s="3" t="inlineStr">
        <is>
          <t>629</t>
        </is>
      </c>
      <c r="E394" s="10" t="n">
        <v>45687.1290162037</v>
      </c>
      <c r="F394" s="10" t="n">
        <v>45687.86457175926</v>
      </c>
      <c r="G394" s="10" t="n">
        <v>45687.88241898148</v>
      </c>
      <c r="H394" s="10" t="n">
        <v>45687.88241898148</v>
      </c>
      <c r="I394" s="10" t="n">
        <v>45687.88241898148</v>
      </c>
      <c r="J394" s="10" t="n">
        <v>45687.88303240741</v>
      </c>
      <c r="K394" s="11">
        <f>IF(AND(ISNUMBER(E394),ISNUMBER(F394)),(F394-E394),"")</f>
        <v/>
      </c>
      <c r="L394" s="11">
        <f>IF(AND(ISNUMBER(F394),ISNUMBER(G394)),(G394-F394),"")</f>
        <v/>
      </c>
      <c r="M394" s="11">
        <f>IF(AND(ISNUMBER(H394),ISNUMBER(I394)),(I394-H394),"")</f>
        <v/>
      </c>
      <c r="N394" s="11">
        <f>IF(AND(ISNUMBER(I394),ISNUMBER(J394)),(J394-I394),"")</f>
        <v/>
      </c>
      <c r="O394" s="11">
        <f>IF(AND(ISNUMBER(E394),ISNUMBER(J394)),(J394-E394),"")</f>
        <v/>
      </c>
    </row>
    <row r="395">
      <c r="A395" s="3" t="inlineStr">
        <is>
          <t>OBT300125063532-Wien Kledering</t>
        </is>
      </c>
      <c r="B395" s="3" t="inlineStr">
        <is>
          <t>Wien Kledering</t>
        </is>
      </c>
      <c r="C395" s="9" t="n">
        <v>297</v>
      </c>
      <c r="D395" s="3" t="inlineStr">
        <is>
          <t>613</t>
        </is>
      </c>
      <c r="E395" s="10" t="n">
        <v>45687.27467592592</v>
      </c>
      <c r="F395" s="10" t="n">
        <v>45688.1371412037</v>
      </c>
      <c r="G395" s="10" t="n">
        <v>45688.1887037037</v>
      </c>
      <c r="H395" s="10" t="n">
        <v>45688.1887037037</v>
      </c>
      <c r="I395" s="10" t="n">
        <v>45688.1887037037</v>
      </c>
      <c r="J395" s="10" t="n">
        <v>45688.18981481482</v>
      </c>
      <c r="K395" s="11">
        <f>IF(AND(ISNUMBER(E395),ISNUMBER(F395)),(F395-E395),"")</f>
        <v/>
      </c>
      <c r="L395" s="11">
        <f>IF(AND(ISNUMBER(F395),ISNUMBER(G395)),(G395-F395),"")</f>
        <v/>
      </c>
      <c r="M395" s="11">
        <f>IF(AND(ISNUMBER(H395),ISNUMBER(I395)),(I395-H395),"")</f>
        <v/>
      </c>
      <c r="N395" s="11">
        <f>IF(AND(ISNUMBER(I395),ISNUMBER(J395)),(J395-I395),"")</f>
        <v/>
      </c>
      <c r="O395" s="11">
        <f>IF(AND(ISNUMBER(E395),ISNUMBER(J395)),(J395-E395),"")</f>
        <v/>
      </c>
    </row>
    <row r="396">
      <c r="A396" s="3" t="inlineStr">
        <is>
          <t>OBT300125075751-Wr. Neustadt (Hödlmayr)</t>
        </is>
      </c>
      <c r="B396" s="3" t="inlineStr">
        <is>
          <t>Wr. Neustadt (Hödlmayr)</t>
        </is>
      </c>
      <c r="C396" s="9" t="n">
        <v>297</v>
      </c>
      <c r="D396" s="3" t="inlineStr">
        <is>
          <t>627</t>
        </is>
      </c>
      <c r="E396" s="10" t="n">
        <v>45687.33184027778</v>
      </c>
      <c r="F396" s="10" t="n">
        <v>45688.19435185185</v>
      </c>
      <c r="G396" s="10" t="n">
        <v>45688.24591435185</v>
      </c>
      <c r="H396" s="10" t="n">
        <v>45688.24591435185</v>
      </c>
      <c r="I396" s="10" t="n">
        <v>45688.24591435185</v>
      </c>
      <c r="J396" s="10" t="n">
        <v>45688.24699074074</v>
      </c>
      <c r="K396" s="11">
        <f>IF(AND(ISNUMBER(E396),ISNUMBER(F396)),(F396-E396),"")</f>
        <v/>
      </c>
      <c r="L396" s="11">
        <f>IF(AND(ISNUMBER(F396),ISNUMBER(G396)),(G396-F396),"")</f>
        <v/>
      </c>
      <c r="M396" s="11">
        <f>IF(AND(ISNUMBER(H396),ISNUMBER(I396)),(I396-H396),"")</f>
        <v/>
      </c>
      <c r="N396" s="11">
        <f>IF(AND(ISNUMBER(I396),ISNUMBER(J396)),(J396-I396),"")</f>
        <v/>
      </c>
      <c r="O396" s="11">
        <f>IF(AND(ISNUMBER(E396),ISNUMBER(J396)),(J396-E396),"")</f>
        <v/>
      </c>
    </row>
    <row r="397">
      <c r="A397" s="3" t="inlineStr">
        <is>
          <t>OBT300125080541-Neunkirchen (loading tracks)</t>
        </is>
      </c>
      <c r="B397" s="3" t="inlineStr">
        <is>
          <t>Neunkirchen (loading tracks)</t>
        </is>
      </c>
      <c r="C397" s="9" t="n">
        <v>101.7</v>
      </c>
      <c r="D397" s="3" t="inlineStr">
        <is>
          <t>611</t>
        </is>
      </c>
      <c r="E397" s="10" t="n">
        <v>45687.33728009259</v>
      </c>
      <c r="F397" s="10" t="n">
        <v>45688.25971064815</v>
      </c>
      <c r="G397" s="10" t="n">
        <v>45688.27736111111</v>
      </c>
      <c r="H397" s="10" t="n">
        <v>45688.27736111111</v>
      </c>
      <c r="I397" s="10" t="n">
        <v>45688.27736111111</v>
      </c>
      <c r="J397" s="10" t="n">
        <v>45688.27809027778</v>
      </c>
      <c r="K397" s="11">
        <f>IF(AND(ISNUMBER(E397),ISNUMBER(F397)),(F397-E397),"")</f>
        <v/>
      </c>
      <c r="L397" s="11">
        <f>IF(AND(ISNUMBER(F397),ISNUMBER(G397)),(G397-F397),"")</f>
        <v/>
      </c>
      <c r="M397" s="11">
        <f>IF(AND(ISNUMBER(H397),ISNUMBER(I397)),(I397-H397),"")</f>
        <v/>
      </c>
      <c r="N397" s="11">
        <f>IF(AND(ISNUMBER(I397),ISNUMBER(J397)),(J397-I397),"")</f>
        <v/>
      </c>
      <c r="O397" s="11">
        <f>IF(AND(ISNUMBER(E397),ISNUMBER(J397)),(J397-E397),"")</f>
        <v/>
      </c>
    </row>
    <row r="398">
      <c r="A398" s="3" t="inlineStr">
        <is>
          <t>OBT300125081010-Wr. Neustadt (Brenntag)</t>
        </is>
      </c>
      <c r="B398" s="3" t="inlineStr">
        <is>
          <t>Wr. Neustadt (Brenntag)</t>
        </is>
      </c>
      <c r="C398" s="9" t="n">
        <v>140</v>
      </c>
      <c r="D398" s="3" t="inlineStr">
        <is>
          <t>617</t>
        </is>
      </c>
      <c r="E398" s="10" t="n">
        <v>45687.34039351852</v>
      </c>
      <c r="F398" s="10" t="n">
        <v>45688.30097222222</v>
      </c>
      <c r="G398" s="10" t="n">
        <v>45688.32527777777</v>
      </c>
      <c r="H398" s="10" t="n">
        <v>45688.32527777777</v>
      </c>
      <c r="I398" s="10" t="n">
        <v>45688.32527777777</v>
      </c>
      <c r="J398" s="10" t="n">
        <v>45688.32615740741</v>
      </c>
      <c r="K398" s="11">
        <f>IF(AND(ISNUMBER(E398),ISNUMBER(F398)),(F398-E398),"")</f>
        <v/>
      </c>
      <c r="L398" s="11">
        <f>IF(AND(ISNUMBER(F398),ISNUMBER(G398)),(G398-F398),"")</f>
        <v/>
      </c>
      <c r="M398" s="11">
        <f>IF(AND(ISNUMBER(H398),ISNUMBER(I398)),(I398-H398),"")</f>
        <v/>
      </c>
      <c r="N398" s="11">
        <f>IF(AND(ISNUMBER(I398),ISNUMBER(J398)),(J398-I398),"")</f>
        <v/>
      </c>
      <c r="O398" s="11">
        <f>IF(AND(ISNUMBER(E398),ISNUMBER(J398)),(J398-E398),"")</f>
        <v/>
      </c>
    </row>
    <row r="399">
      <c r="A399" s="3" t="inlineStr">
        <is>
          <t>OBT300125081913-Wr. Neustadt Ausfahrbf (Furtenbach)</t>
        </is>
      </c>
      <c r="B399" s="3" t="inlineStr">
        <is>
          <t>Wr. Neustadt Ausfahrbf (Furtenbach)</t>
        </is>
      </c>
      <c r="C399" s="9" t="n">
        <v>420.6200000000001</v>
      </c>
      <c r="D399" s="3" t="inlineStr">
        <is>
          <t>607</t>
        </is>
      </c>
      <c r="E399" s="10" t="n">
        <v>45687.34667824074</v>
      </c>
      <c r="F399" s="10" t="n">
        <v>45688.33234953704</v>
      </c>
      <c r="G399" s="10" t="n">
        <v>45688.40537037037</v>
      </c>
      <c r="H399" s="10" t="n">
        <v>45688.40537037037</v>
      </c>
      <c r="I399" s="10" t="n">
        <v>45688.40537037037</v>
      </c>
      <c r="J399" s="10" t="n">
        <v>45688.40694444445</v>
      </c>
      <c r="K399" s="11">
        <f>IF(AND(ISNUMBER(E399),ISNUMBER(F399)),(F399-E399),"")</f>
        <v/>
      </c>
      <c r="L399" s="11">
        <f>IF(AND(ISNUMBER(F399),ISNUMBER(G399)),(G399-F399),"")</f>
        <v/>
      </c>
      <c r="M399" s="11">
        <f>IF(AND(ISNUMBER(H399),ISNUMBER(I399)),(I399-H399),"")</f>
        <v/>
      </c>
      <c r="N399" s="11">
        <f>IF(AND(ISNUMBER(I399),ISNUMBER(J399)),(J399-I399),"")</f>
        <v/>
      </c>
      <c r="O399" s="11">
        <f>IF(AND(ISNUMBER(E399),ISNUMBER(J399)),(J399-E399),"")</f>
        <v/>
      </c>
    </row>
    <row r="400">
      <c r="A400" s="3" t="inlineStr">
        <is>
          <t>OBT300125085102-St. Veit an der Glan</t>
        </is>
      </c>
      <c r="B400" s="3" t="inlineStr">
        <is>
          <t>St. Veit an der Glan</t>
        </is>
      </c>
      <c r="C400" s="9" t="n">
        <v>126.38</v>
      </c>
      <c r="D400" s="3" t="inlineStr">
        <is>
          <t>621</t>
        </is>
      </c>
      <c r="E400" s="10" t="n">
        <v>45687.36877314815</v>
      </c>
      <c r="F400" s="10" t="n">
        <v>45688.34722222222</v>
      </c>
      <c r="G400" s="10" t="n">
        <v>45688.36916666666</v>
      </c>
      <c r="H400" s="10" t="n">
        <v>45688.36916666666</v>
      </c>
      <c r="I400" s="10" t="n">
        <v>45688.36916666666</v>
      </c>
      <c r="J400" s="10" t="n">
        <v>45688.36998842593</v>
      </c>
      <c r="K400" s="11">
        <f>IF(AND(ISNUMBER(E400),ISNUMBER(F400)),(F400-E400),"")</f>
        <v/>
      </c>
      <c r="L400" s="11">
        <f>IF(AND(ISNUMBER(F400),ISNUMBER(G400)),(G400-F400),"")</f>
        <v/>
      </c>
      <c r="M400" s="11">
        <f>IF(AND(ISNUMBER(H400),ISNUMBER(I400)),(I400-H400),"")</f>
        <v/>
      </c>
      <c r="N400" s="11">
        <f>IF(AND(ISNUMBER(I400),ISNUMBER(J400)),(J400-I400),"")</f>
        <v/>
      </c>
      <c r="O400" s="11">
        <f>IF(AND(ISNUMBER(E400),ISNUMBER(J400)),(J400-E400),"")</f>
        <v/>
      </c>
    </row>
    <row r="401">
      <c r="A401" s="3" t="inlineStr">
        <is>
          <t>OBT300125093406-Wr. Neustadt (Hödlmayr)</t>
        </is>
      </c>
      <c r="B401" s="3" t="inlineStr">
        <is>
          <t>Wr. Neustadt (Hödlmayr)</t>
        </is>
      </c>
      <c r="C401" s="9" t="n">
        <v>135</v>
      </c>
      <c r="D401" s="3" t="inlineStr">
        <is>
          <t>627</t>
        </is>
      </c>
      <c r="E401" s="10" t="n">
        <v>45687.39868055555</v>
      </c>
      <c r="F401" s="10" t="n">
        <v>45688.38344907408</v>
      </c>
      <c r="G401" s="10" t="n">
        <v>45688.40688657408</v>
      </c>
      <c r="H401" s="10" t="n">
        <v>45688.40688657408</v>
      </c>
      <c r="I401" s="10" t="n">
        <v>45688.40694444445</v>
      </c>
      <c r="J401" s="10" t="n">
        <v>45688.40765046296</v>
      </c>
      <c r="K401" s="11">
        <f>IF(AND(ISNUMBER(E401),ISNUMBER(F401)),(F401-E401),"")</f>
        <v/>
      </c>
      <c r="L401" s="11">
        <f>IF(AND(ISNUMBER(F401),ISNUMBER(G401)),(G401-F401),"")</f>
        <v/>
      </c>
      <c r="M401" s="11">
        <f>IF(AND(ISNUMBER(H401),ISNUMBER(I401)),(I401-H401),"")</f>
        <v/>
      </c>
      <c r="N401" s="11">
        <f>IF(AND(ISNUMBER(I401),ISNUMBER(J401)),(J401-I401),"")</f>
        <v/>
      </c>
      <c r="O401" s="11">
        <f>IF(AND(ISNUMBER(E401),ISNUMBER(J401)),(J401-E401),"")</f>
        <v/>
      </c>
    </row>
    <row r="402">
      <c r="A402" s="3" t="inlineStr">
        <is>
          <t>OBT300125131403-Wien Kledering</t>
        </is>
      </c>
      <c r="B402" s="3" t="inlineStr">
        <is>
          <t>Wien Kledering</t>
        </is>
      </c>
      <c r="C402" s="9" t="n">
        <v>291.7</v>
      </c>
      <c r="D402" s="3" t="inlineStr">
        <is>
          <t>615</t>
        </is>
      </c>
      <c r="E402" s="10" t="n">
        <v>45687.55142361111</v>
      </c>
      <c r="F402" s="10" t="n">
        <v>45688.40701388889</v>
      </c>
      <c r="G402" s="10" t="n">
        <v>45688.45766203704</v>
      </c>
      <c r="H402" s="10" t="n">
        <v>45688.45766203704</v>
      </c>
      <c r="I402" s="10" t="n">
        <v>45688.45766203704</v>
      </c>
      <c r="J402" s="10" t="n">
        <v>45688.4587962963</v>
      </c>
      <c r="K402" s="11">
        <f>IF(AND(ISNUMBER(E402),ISNUMBER(F402)),(F402-E402),"")</f>
        <v/>
      </c>
      <c r="L402" s="11">
        <f>IF(AND(ISNUMBER(F402),ISNUMBER(G402)),(G402-F402),"")</f>
        <v/>
      </c>
      <c r="M402" s="11">
        <f>IF(AND(ISNUMBER(H402),ISNUMBER(I402)),(I402-H402),"")</f>
        <v/>
      </c>
      <c r="N402" s="11">
        <f>IF(AND(ISNUMBER(I402),ISNUMBER(J402)),(J402-I402),"")</f>
        <v/>
      </c>
      <c r="O402" s="11">
        <f>IF(AND(ISNUMBER(E402),ISNUMBER(J402)),(J402-E402),"")</f>
        <v/>
      </c>
    </row>
    <row r="403">
      <c r="A403" s="3" t="inlineStr">
        <is>
          <t>OBT300125153249-Neudörfl (FunderMax)</t>
        </is>
      </c>
      <c r="B403" s="3" t="inlineStr">
        <is>
          <t>Neudörfl (FunderMax)</t>
        </is>
      </c>
      <c r="C403" s="9" t="n">
        <v>148.14</v>
      </c>
      <c r="D403" s="3" t="inlineStr">
        <is>
          <t>621</t>
        </is>
      </c>
      <c r="E403" s="10" t="n">
        <v>45687.64778935185</v>
      </c>
      <c r="F403" s="10" t="n">
        <v>45688.45875</v>
      </c>
      <c r="G403" s="10" t="n">
        <v>45688.48446759259</v>
      </c>
      <c r="H403" s="10" t="n">
        <v>45688.48446759259</v>
      </c>
      <c r="I403" s="10" t="n">
        <v>45688.48446759259</v>
      </c>
      <c r="J403" s="10" t="n">
        <v>45688.48535879629</v>
      </c>
      <c r="K403" s="11">
        <f>IF(AND(ISNUMBER(E403),ISNUMBER(F403)),(F403-E403),"")</f>
        <v/>
      </c>
      <c r="L403" s="11">
        <f>IF(AND(ISNUMBER(F403),ISNUMBER(G403)),(G403-F403),"")</f>
        <v/>
      </c>
      <c r="M403" s="11">
        <f>IF(AND(ISNUMBER(H403),ISNUMBER(I403)),(I403-H403),"")</f>
        <v/>
      </c>
      <c r="N403" s="11">
        <f>IF(AND(ISNUMBER(I403),ISNUMBER(J403)),(J403-I403),"")</f>
        <v/>
      </c>
      <c r="O403" s="11">
        <f>IF(AND(ISNUMBER(E403),ISNUMBER(J403)),(J403-E403),"")</f>
        <v/>
      </c>
    </row>
    <row r="404">
      <c r="A404" s="3" t="inlineStr">
        <is>
          <t>OBT300125153454-Other sidings south</t>
        </is>
      </c>
      <c r="B404" s="3" t="inlineStr">
        <is>
          <t>Other sidings south</t>
        </is>
      </c>
      <c r="C404" s="9" t="n">
        <v>141.74</v>
      </c>
      <c r="D404" s="3" t="inlineStr">
        <is>
          <t>605</t>
        </is>
      </c>
      <c r="E404" s="10" t="n">
        <v>45687.64923611111</v>
      </c>
      <c r="F404" s="10" t="n">
        <v>45688.53015046296</v>
      </c>
      <c r="G404" s="10" t="n">
        <v>45688.55475694445</v>
      </c>
      <c r="H404" s="10" t="n">
        <v>45688.55475694445</v>
      </c>
      <c r="I404" s="10" t="n">
        <v>45688.55475694445</v>
      </c>
      <c r="J404" s="10" t="n">
        <v>45688.55568287037</v>
      </c>
      <c r="K404" s="11">
        <f>IF(AND(ISNUMBER(E404),ISNUMBER(F404)),(F404-E404),"")</f>
        <v/>
      </c>
      <c r="L404" s="11">
        <f>IF(AND(ISNUMBER(F404),ISNUMBER(G404)),(G404-F404),"")</f>
        <v/>
      </c>
      <c r="M404" s="11">
        <f>IF(AND(ISNUMBER(H404),ISNUMBER(I404)),(I404-H404),"")</f>
        <v/>
      </c>
      <c r="N404" s="11">
        <f>IF(AND(ISNUMBER(I404),ISNUMBER(J404)),(J404-I404),"")</f>
        <v/>
      </c>
      <c r="O404" s="11">
        <f>IF(AND(ISNUMBER(E404),ISNUMBER(J404)),(J404-E404),"")</f>
        <v/>
      </c>
    </row>
    <row r="405">
      <c r="A405" s="3" t="inlineStr">
        <is>
          <t>OBT300125200005-Wien Kledering</t>
        </is>
      </c>
      <c r="B405" s="3" t="inlineStr">
        <is>
          <t>Wien Kledering</t>
        </is>
      </c>
      <c r="C405" s="9" t="n">
        <v>182.36</v>
      </c>
      <c r="D405" s="3" t="inlineStr">
        <is>
          <t>615</t>
        </is>
      </c>
      <c r="E405" s="10" t="n">
        <v>45687.83339120371</v>
      </c>
      <c r="F405" s="10" t="n">
        <v>45688.60199074074</v>
      </c>
      <c r="G405" s="10" t="n">
        <v>45688.63364583333</v>
      </c>
      <c r="H405" s="10" t="n">
        <v>45688.63364583333</v>
      </c>
      <c r="I405" s="10" t="n">
        <v>45688.63364583333</v>
      </c>
      <c r="J405" s="10" t="n">
        <v>45688.63453703704</v>
      </c>
      <c r="K405" s="11">
        <f>IF(AND(ISNUMBER(E405),ISNUMBER(F405)),(F405-E405),"")</f>
        <v/>
      </c>
      <c r="L405" s="11">
        <f>IF(AND(ISNUMBER(F405),ISNUMBER(G405)),(G405-F405),"")</f>
        <v/>
      </c>
      <c r="M405" s="11">
        <f>IF(AND(ISNUMBER(H405),ISNUMBER(I405)),(I405-H405),"")</f>
        <v/>
      </c>
      <c r="N405" s="11">
        <f>IF(AND(ISNUMBER(I405),ISNUMBER(J405)),(J405-I405),"")</f>
        <v/>
      </c>
      <c r="O405" s="11">
        <f>IF(AND(ISNUMBER(E405),ISNUMBER(J405)),(J405-E405),"")</f>
        <v/>
      </c>
    </row>
    <row r="406">
      <c r="A406" s="3" t="inlineStr">
        <is>
          <t>OBT300125204557-Wien Kledering</t>
        </is>
      </c>
      <c r="B406" s="3" t="inlineStr">
        <is>
          <t>Wien Kledering</t>
        </is>
      </c>
      <c r="C406" s="9" t="n">
        <v>389.0600000000001</v>
      </c>
      <c r="D406" s="3" t="inlineStr">
        <is>
          <t>627</t>
        </is>
      </c>
      <c r="E406" s="10" t="n">
        <v>45687.86524305555</v>
      </c>
      <c r="F406" s="10" t="n">
        <v>45688.65584490741</v>
      </c>
      <c r="G406" s="10" t="n">
        <v>45688.7233912037</v>
      </c>
      <c r="H406" s="10" t="n">
        <v>45688.7233912037</v>
      </c>
      <c r="I406" s="10" t="n">
        <v>45688.7233912037</v>
      </c>
      <c r="J406" s="10" t="n">
        <v>45688.7246875</v>
      </c>
      <c r="K406" s="11">
        <f>IF(AND(ISNUMBER(E406),ISNUMBER(F406)),(F406-E406),"")</f>
        <v/>
      </c>
      <c r="L406" s="11">
        <f>IF(AND(ISNUMBER(F406),ISNUMBER(G406)),(G406-F406),"")</f>
        <v/>
      </c>
      <c r="M406" s="11">
        <f>IF(AND(ISNUMBER(H406),ISNUMBER(I406)),(I406-H406),"")</f>
        <v/>
      </c>
      <c r="N406" s="11">
        <f>IF(AND(ISNUMBER(I406),ISNUMBER(J406)),(J406-I406),"")</f>
        <v/>
      </c>
      <c r="O406" s="11">
        <f>IF(AND(ISNUMBER(E406),ISNUMBER(J406)),(J406-E406),"")</f>
        <v/>
      </c>
    </row>
    <row r="407">
      <c r="A407" s="3" t="inlineStr">
        <is>
          <t>OBT310125061436-Wien Kledering</t>
        </is>
      </c>
      <c r="B407" s="3" t="inlineStr">
        <is>
          <t>Wien Kledering</t>
        </is>
      </c>
      <c r="C407" s="9" t="n">
        <v>297</v>
      </c>
      <c r="D407" s="3" t="inlineStr">
        <is>
          <t>613</t>
        </is>
      </c>
      <c r="E407" s="10" t="n">
        <v>45688.26013888889</v>
      </c>
      <c r="F407" s="10" t="n">
        <v>45688.65667824074</v>
      </c>
      <c r="G407" s="10" t="n">
        <v>45688.70824074074</v>
      </c>
      <c r="H407" s="10" t="n">
        <v>45688.70824074074</v>
      </c>
      <c r="I407" s="10" t="n">
        <v>45688.70824074074</v>
      </c>
      <c r="J407" s="10" t="n">
        <v>45688.70936342593</v>
      </c>
      <c r="K407" s="11">
        <f>IF(AND(ISNUMBER(E407),ISNUMBER(F407)),(F407-E407),"")</f>
        <v/>
      </c>
      <c r="L407" s="11">
        <f>IF(AND(ISNUMBER(F407),ISNUMBER(G407)),(G407-F407),"")</f>
        <v/>
      </c>
      <c r="M407" s="11">
        <f>IF(AND(ISNUMBER(H407),ISNUMBER(I407)),(I407-H407),"")</f>
        <v/>
      </c>
      <c r="N407" s="11">
        <f>IF(AND(ISNUMBER(I407),ISNUMBER(J407)),(J407-I407),"")</f>
        <v/>
      </c>
      <c r="O407" s="11">
        <f>IF(AND(ISNUMBER(E407),ISNUMBER(J407)),(J407-E407),"")</f>
        <v/>
      </c>
    </row>
    <row r="408">
      <c r="A408" s="3" t="inlineStr">
        <is>
          <t>OBT310125074214-Wien Kledering</t>
        </is>
      </c>
      <c r="B408" s="3" t="inlineStr">
        <is>
          <t>Wien Kledering</t>
        </is>
      </c>
      <c r="C408" s="9" t="n">
        <v>182.62</v>
      </c>
      <c r="D408" s="3" t="inlineStr">
        <is>
          <t>627</t>
        </is>
      </c>
      <c r="E408" s="10" t="n">
        <v>45688.32099537037</v>
      </c>
      <c r="F408" s="10" t="n">
        <v>45688.68502314815</v>
      </c>
      <c r="G408" s="10" t="n">
        <v>45688.71672453704</v>
      </c>
      <c r="H408" s="10" t="n">
        <v>45688.71672453704</v>
      </c>
      <c r="I408" s="10" t="n">
        <v>45688.71672453704</v>
      </c>
      <c r="J408" s="10" t="n">
        <v>45688.7175462963</v>
      </c>
      <c r="K408" s="11">
        <f>IF(AND(ISNUMBER(E408),ISNUMBER(F408)),(F408-E408),"")</f>
        <v/>
      </c>
      <c r="L408" s="11">
        <f>IF(AND(ISNUMBER(F408),ISNUMBER(G408)),(G408-F408),"")</f>
        <v/>
      </c>
      <c r="M408" s="11">
        <f>IF(AND(ISNUMBER(H408),ISNUMBER(I408)),(I408-H408),"")</f>
        <v/>
      </c>
      <c r="N408" s="11">
        <f>IF(AND(ISNUMBER(I408),ISNUMBER(J408)),(J408-I408),"")</f>
        <v/>
      </c>
      <c r="O408" s="11">
        <f>IF(AND(ISNUMBER(E408),ISNUMBER(J408)),(J408-E408),"")</f>
        <v/>
      </c>
    </row>
    <row r="409">
      <c r="A409" s="3" t="inlineStr">
        <is>
          <t>OBT310125075536-Neunkirchen (loading tracks)</t>
        </is>
      </c>
      <c r="B409" s="3" t="inlineStr">
        <is>
          <t>Neunkirchen (loading tracks)</t>
        </is>
      </c>
      <c r="C409" s="9" t="n">
        <v>224.4</v>
      </c>
      <c r="D409" s="3" t="inlineStr">
        <is>
          <t>606</t>
        </is>
      </c>
      <c r="E409" s="10" t="n">
        <v>45688.33027777778</v>
      </c>
      <c r="F409" s="10" t="n">
        <v>45688.74189814815</v>
      </c>
      <c r="G409" s="10" t="n">
        <v>45688.78085648148</v>
      </c>
      <c r="H409" s="10" t="n">
        <v>45688.78085648148</v>
      </c>
      <c r="I409" s="10" t="n">
        <v>45688.78085648148</v>
      </c>
      <c r="J409" s="10" t="n">
        <v>45688.78188657408</v>
      </c>
      <c r="K409" s="11">
        <f>IF(AND(ISNUMBER(E409),ISNUMBER(F409)),(F409-E409),"")</f>
        <v/>
      </c>
      <c r="L409" s="11">
        <f>IF(AND(ISNUMBER(F409),ISNUMBER(G409)),(G409-F409),"")</f>
        <v/>
      </c>
      <c r="M409" s="11">
        <f>IF(AND(ISNUMBER(H409),ISNUMBER(I409)),(I409-H409),"")</f>
        <v/>
      </c>
      <c r="N409" s="11">
        <f>IF(AND(ISNUMBER(I409),ISNUMBER(J409)),(J409-I409),"")</f>
        <v/>
      </c>
      <c r="O409" s="11">
        <f>IF(AND(ISNUMBER(E409),ISNUMBER(J409)),(J409-E409),"")</f>
        <v/>
      </c>
    </row>
    <row r="410">
      <c r="A410" s="3" t="inlineStr">
        <is>
          <t>OBT310125075821-Ternitz (Schoeller-Bleckmann)</t>
        </is>
      </c>
      <c r="B410" s="3" t="inlineStr">
        <is>
          <t>Ternitz (Schoeller-Bleckmann)</t>
        </is>
      </c>
      <c r="C410" s="9" t="n">
        <v>118.96</v>
      </c>
      <c r="D410" s="3" t="inlineStr">
        <is>
          <t>629</t>
        </is>
      </c>
      <c r="E410" s="10" t="n">
        <v>45688.3321875</v>
      </c>
      <c r="F410" s="10" t="n">
        <v>45688.75071759259</v>
      </c>
      <c r="G410" s="10" t="n">
        <v>45688.77137731481</v>
      </c>
      <c r="H410" s="10" t="n">
        <v>45688.77137731481</v>
      </c>
      <c r="I410" s="10" t="n">
        <v>45688.77137731481</v>
      </c>
      <c r="J410" s="10" t="n">
        <v>45688.77202546296</v>
      </c>
      <c r="K410" s="11">
        <f>IF(AND(ISNUMBER(E410),ISNUMBER(F410)),(F410-E410),"")</f>
        <v/>
      </c>
      <c r="L410" s="11">
        <f>IF(AND(ISNUMBER(F410),ISNUMBER(G410)),(G410-F410),"")</f>
        <v/>
      </c>
      <c r="M410" s="11">
        <f>IF(AND(ISNUMBER(H410),ISNUMBER(I410)),(I410-H410),"")</f>
        <v/>
      </c>
      <c r="N410" s="11">
        <f>IF(AND(ISNUMBER(I410),ISNUMBER(J410)),(J410-I410),"")</f>
        <v/>
      </c>
      <c r="O410" s="11">
        <f>IF(AND(ISNUMBER(E410),ISNUMBER(J410)),(J410-E410),"")</f>
        <v/>
      </c>
    </row>
    <row r="411">
      <c r="A411" s="3" t="inlineStr">
        <is>
          <t>OBT310125080145-Wr. Neustadt (Brenntag)</t>
        </is>
      </c>
      <c r="B411" s="3" t="inlineStr">
        <is>
          <t>Wr. Neustadt (Brenntag)</t>
        </is>
      </c>
      <c r="C411" s="9" t="n">
        <v>115.7</v>
      </c>
      <c r="D411" s="3" t="inlineStr">
        <is>
          <t>619</t>
        </is>
      </c>
      <c r="E411" s="10" t="n">
        <v>45688.33454861111</v>
      </c>
      <c r="F411" s="10" t="n">
        <v>45688.86421296297</v>
      </c>
      <c r="G411" s="10" t="n">
        <v>45688.88429398148</v>
      </c>
      <c r="H411" s="10" t="n">
        <v>45688.88429398148</v>
      </c>
      <c r="I411" s="10" t="n">
        <v>45688.88429398148</v>
      </c>
      <c r="J411" s="10" t="n">
        <v>45688.88511574074</v>
      </c>
      <c r="K411" s="11">
        <f>IF(AND(ISNUMBER(E411),ISNUMBER(F411)),(F411-E411),"")</f>
        <v/>
      </c>
      <c r="L411" s="11">
        <f>IF(AND(ISNUMBER(F411),ISNUMBER(G411)),(G411-F411),"")</f>
        <v/>
      </c>
      <c r="M411" s="11">
        <f>IF(AND(ISNUMBER(H411),ISNUMBER(I411)),(I411-H411),"")</f>
        <v/>
      </c>
      <c r="N411" s="11">
        <f>IF(AND(ISNUMBER(I411),ISNUMBER(J411)),(J411-I411),"")</f>
        <v/>
      </c>
      <c r="O411" s="11">
        <f>IF(AND(ISNUMBER(E411),ISNUMBER(J411)),(J411-E411),"")</f>
        <v/>
      </c>
    </row>
    <row r="412">
      <c r="A412" s="3" t="inlineStr">
        <is>
          <t>OBT310125082055-Wien Kledering</t>
        </is>
      </c>
      <c r="B412" s="3" t="inlineStr">
        <is>
          <t>Wien Kledering</t>
        </is>
      </c>
      <c r="C412" s="9" t="n">
        <v>381.5600000000001</v>
      </c>
      <c r="D412" s="3" t="inlineStr">
        <is>
          <t>627</t>
        </is>
      </c>
      <c r="E412" s="10" t="n">
        <v>45688.3478587963</v>
      </c>
      <c r="F412" s="10" t="n"/>
      <c r="G412" s="10" t="n"/>
      <c r="H412" s="10" t="n"/>
      <c r="I412" s="10" t="n"/>
      <c r="J412" s="10" t="n"/>
      <c r="K412" s="11">
        <f>IF(AND(ISNUMBER(E412),ISNUMBER(F412)),(F412-E412),"")</f>
        <v/>
      </c>
      <c r="L412" s="11">
        <f>IF(AND(ISNUMBER(F412),ISNUMBER(G412)),(G412-F412),"")</f>
        <v/>
      </c>
      <c r="M412" s="11">
        <f>IF(AND(ISNUMBER(H412),ISNUMBER(I412)),(I412-H412),"")</f>
        <v/>
      </c>
      <c r="N412" s="11">
        <f>IF(AND(ISNUMBER(I412),ISNUMBER(J412)),(J412-I412),"")</f>
        <v/>
      </c>
      <c r="O412" s="11">
        <f>IF(AND(ISNUMBER(E412),ISNUMBER(J412)),(J412-E412),"")</f>
        <v/>
      </c>
    </row>
    <row r="413">
      <c r="A413" s="3" t="inlineStr">
        <is>
          <t>OBT310125091105-Wien Kledering</t>
        </is>
      </c>
      <c r="B413" s="3" t="inlineStr">
        <is>
          <t>Wien Kledering</t>
        </is>
      </c>
      <c r="C413" s="9" t="n">
        <v>164.3</v>
      </c>
      <c r="D413" s="3" t="inlineStr">
        <is>
          <t>627</t>
        </is>
      </c>
      <c r="E413" s="10" t="n">
        <v>45688.38269675926</v>
      </c>
      <c r="F413" s="10" t="n"/>
      <c r="G413" s="10" t="n"/>
      <c r="H413" s="10" t="n"/>
      <c r="I413" s="10" t="n"/>
      <c r="J413" s="10" t="n"/>
      <c r="K413" s="11">
        <f>IF(AND(ISNUMBER(E413),ISNUMBER(F413)),(F413-E413),"")</f>
        <v/>
      </c>
      <c r="L413" s="11">
        <f>IF(AND(ISNUMBER(F413),ISNUMBER(G413)),(G413-F413),"")</f>
        <v/>
      </c>
      <c r="M413" s="11">
        <f>IF(AND(ISNUMBER(H413),ISNUMBER(I413)),(I413-H413),"")</f>
        <v/>
      </c>
      <c r="N413" s="11">
        <f>IF(AND(ISNUMBER(I413),ISNUMBER(J413)),(J413-I413),"")</f>
        <v/>
      </c>
      <c r="O413" s="11">
        <f>IF(AND(ISNUMBER(E413),ISNUMBER(J413)),(J413-E413),"")</f>
        <v/>
      </c>
    </row>
    <row r="414">
      <c r="A414" s="3" t="inlineStr">
        <is>
          <t>OBT310125105654-Wien Kledering</t>
        </is>
      </c>
      <c r="B414" s="3" t="inlineStr">
        <is>
          <t>Wien Kledering</t>
        </is>
      </c>
      <c r="C414" s="9" t="n">
        <v>270.8</v>
      </c>
      <c r="D414" s="3" t="inlineStr">
        <is>
          <t>627</t>
        </is>
      </c>
      <c r="E414" s="10" t="n">
        <v>45688.45618055556</v>
      </c>
      <c r="F414" s="10" t="n"/>
      <c r="G414" s="10" t="n"/>
      <c r="H414" s="10" t="n"/>
      <c r="I414" s="10" t="n"/>
      <c r="J414" s="10" t="n"/>
      <c r="K414" s="11">
        <f>IF(AND(ISNUMBER(E414),ISNUMBER(F414)),(F414-E414),"")</f>
        <v/>
      </c>
      <c r="L414" s="11">
        <f>IF(AND(ISNUMBER(F414),ISNUMBER(G414)),(G414-F414),"")</f>
        <v/>
      </c>
      <c r="M414" s="11">
        <f>IF(AND(ISNUMBER(H414),ISNUMBER(I414)),(I414-H414),"")</f>
        <v/>
      </c>
      <c r="N414" s="11">
        <f>IF(AND(ISNUMBER(I414),ISNUMBER(J414)),(J414-I414),"")</f>
        <v/>
      </c>
      <c r="O414" s="11">
        <f>IF(AND(ISNUMBER(E414),ISNUMBER(J414)),(J414-E414),"")</f>
        <v/>
      </c>
    </row>
    <row r="415">
      <c r="A415" s="3" t="inlineStr">
        <is>
          <t>OBT310125110109-St. Veit an der Glan</t>
        </is>
      </c>
      <c r="B415" s="3" t="inlineStr">
        <is>
          <t>St. Veit an der Glan</t>
        </is>
      </c>
      <c r="C415" s="9" t="n">
        <v>155.7</v>
      </c>
      <c r="D415" s="3" t="inlineStr">
        <is>
          <t>617</t>
        </is>
      </c>
      <c r="E415" s="10" t="n">
        <v>45688.45913194444</v>
      </c>
      <c r="F415" s="10" t="n"/>
      <c r="G415" s="10" t="n"/>
      <c r="H415" s="10" t="n"/>
      <c r="I415" s="10" t="n"/>
      <c r="J415" s="10" t="n"/>
      <c r="K415" s="11">
        <f>IF(AND(ISNUMBER(E415),ISNUMBER(F415)),(F415-E415),"")</f>
        <v/>
      </c>
      <c r="L415" s="11">
        <f>IF(AND(ISNUMBER(F415),ISNUMBER(G415)),(G415-F415),"")</f>
        <v/>
      </c>
      <c r="M415" s="11">
        <f>IF(AND(ISNUMBER(H415),ISNUMBER(I415)),(I415-H415),"")</f>
        <v/>
      </c>
      <c r="N415" s="11">
        <f>IF(AND(ISNUMBER(I415),ISNUMBER(J415)),(J415-I415),"")</f>
        <v/>
      </c>
      <c r="O415" s="11">
        <f>IF(AND(ISNUMBER(E415),ISNUMBER(J415)),(J415-E415),"")</f>
        <v/>
      </c>
    </row>
    <row r="416">
      <c r="A416" s="3" t="inlineStr">
        <is>
          <t>OBT310125124603-Wien Kledering</t>
        </is>
      </c>
      <c r="B416" s="3" t="inlineStr">
        <is>
          <t>Wien Kledering</t>
        </is>
      </c>
      <c r="C416" s="9" t="n">
        <v>339</v>
      </c>
      <c r="D416" s="3" t="inlineStr">
        <is>
          <t>607</t>
        </is>
      </c>
      <c r="E416" s="10" t="n">
        <v>45688.53197916667</v>
      </c>
      <c r="F416" s="10" t="n"/>
      <c r="G416" s="10" t="n"/>
      <c r="H416" s="10" t="n"/>
      <c r="I416" s="10" t="n"/>
      <c r="J416" s="10" t="n"/>
      <c r="K416" s="11">
        <f>IF(AND(ISNUMBER(E416),ISNUMBER(F416)),(F416-E416),"")</f>
        <v/>
      </c>
      <c r="L416" s="11">
        <f>IF(AND(ISNUMBER(F416),ISNUMBER(G416)),(G416-F416),"")</f>
        <v/>
      </c>
      <c r="M416" s="11">
        <f>IF(AND(ISNUMBER(H416),ISNUMBER(I416)),(I416-H416),"")</f>
        <v/>
      </c>
      <c r="N416" s="11">
        <f>IF(AND(ISNUMBER(I416),ISNUMBER(J416)),(J416-I416),"")</f>
        <v/>
      </c>
      <c r="O416" s="11">
        <f>IF(AND(ISNUMBER(E416),ISNUMBER(J416)),(J416-E416),"")</f>
        <v/>
      </c>
    </row>
    <row r="417">
      <c r="A417" s="3" t="inlineStr">
        <is>
          <t>OBT310125142730-Wien Kledering</t>
        </is>
      </c>
      <c r="B417" s="3" t="inlineStr">
        <is>
          <t>Wien Kledering</t>
        </is>
      </c>
      <c r="C417" s="9" t="n">
        <v>186.66</v>
      </c>
      <c r="D417" s="3" t="inlineStr">
        <is>
          <t>615</t>
        </is>
      </c>
      <c r="E417" s="10" t="n">
        <v>45688.60243055555</v>
      </c>
      <c r="F417" s="10" t="n"/>
      <c r="G417" s="10" t="n"/>
      <c r="H417" s="10" t="n"/>
      <c r="I417" s="10" t="n"/>
      <c r="J417" s="10" t="n"/>
      <c r="K417" s="11">
        <f>IF(AND(ISNUMBER(E417),ISNUMBER(F417)),(F417-E417),"")</f>
        <v/>
      </c>
      <c r="L417" s="11">
        <f>IF(AND(ISNUMBER(F417),ISNUMBER(G417)),(G417-F417),"")</f>
        <v/>
      </c>
      <c r="M417" s="11">
        <f>IF(AND(ISNUMBER(H417),ISNUMBER(I417)),(I417-H417),"")</f>
        <v/>
      </c>
      <c r="N417" s="11">
        <f>IF(AND(ISNUMBER(I417),ISNUMBER(J417)),(J417-I417),"")</f>
        <v/>
      </c>
      <c r="O417" s="11">
        <f>IF(AND(ISNUMBER(E417),ISNUMBER(J417)),(J417-E417),"")</f>
        <v/>
      </c>
    </row>
    <row r="418">
      <c r="A418" s="3" t="inlineStr">
        <is>
          <t>OBT310125155632-Pitten (Hamburger)</t>
        </is>
      </c>
      <c r="B418" s="3" t="inlineStr">
        <is>
          <t>Pitten (Hamburger)</t>
        </is>
      </c>
      <c r="C418" s="9" t="n">
        <v>157.24</v>
      </c>
      <c r="D418" s="3" t="inlineStr">
        <is>
          <t>621</t>
        </is>
      </c>
      <c r="E418" s="10" t="n">
        <v>45688.66425925926</v>
      </c>
      <c r="F418" s="10" t="n"/>
      <c r="G418" s="10" t="n"/>
      <c r="H418" s="10" t="n"/>
      <c r="I418" s="10" t="n"/>
      <c r="J418" s="10" t="n"/>
      <c r="K418" s="11">
        <f>IF(AND(ISNUMBER(E418),ISNUMBER(F418)),(F418-E418),"")</f>
        <v/>
      </c>
      <c r="L418" s="11">
        <f>IF(AND(ISNUMBER(F418),ISNUMBER(G418)),(G418-F418),"")</f>
        <v/>
      </c>
      <c r="M418" s="11">
        <f>IF(AND(ISNUMBER(H418),ISNUMBER(I418)),(I418-H418),"")</f>
        <v/>
      </c>
      <c r="N418" s="11">
        <f>IF(AND(ISNUMBER(I418),ISNUMBER(J418)),(J418-I418),"")</f>
        <v/>
      </c>
      <c r="O418" s="11">
        <f>IF(AND(ISNUMBER(E418),ISNUMBER(J418)),(J418-E418),"")</f>
        <v/>
      </c>
    </row>
    <row r="419">
      <c r="A419" s="3" t="inlineStr">
        <is>
          <t>OBT310125155832-Neudörfl (FunderMax)</t>
        </is>
      </c>
      <c r="B419" s="3" t="inlineStr">
        <is>
          <t>Neudörfl (FunderMax)</t>
        </is>
      </c>
      <c r="C419" s="9" t="n">
        <v>115.9</v>
      </c>
      <c r="D419" s="3" t="inlineStr">
        <is>
          <t>611</t>
        </is>
      </c>
      <c r="E419" s="10" t="n">
        <v>45688.66564814815</v>
      </c>
      <c r="F419" s="10" t="n"/>
      <c r="G419" s="10" t="n"/>
      <c r="H419" s="10" t="n"/>
      <c r="I419" s="10" t="n"/>
      <c r="J419" s="10" t="n"/>
      <c r="K419" s="11">
        <f>IF(AND(ISNUMBER(E419),ISNUMBER(F419)),(F419-E419),"")</f>
        <v/>
      </c>
      <c r="L419" s="11">
        <f>IF(AND(ISNUMBER(F419),ISNUMBER(G419)),(G419-F419),"")</f>
        <v/>
      </c>
      <c r="M419" s="11">
        <f>IF(AND(ISNUMBER(H419),ISNUMBER(I419)),(I419-H419),"")</f>
        <v/>
      </c>
      <c r="N419" s="11">
        <f>IF(AND(ISNUMBER(I419),ISNUMBER(J419)),(J419-I419),"")</f>
        <v/>
      </c>
      <c r="O419" s="11">
        <f>IF(AND(ISNUMBER(E419),ISNUMBER(J419)),(J419-E419),"")</f>
        <v/>
      </c>
    </row>
    <row r="420">
      <c r="A420" s="3" t="inlineStr">
        <is>
          <t>OBT310125160801-Other sidings north</t>
        </is>
      </c>
      <c r="B420" s="3" t="inlineStr">
        <is>
          <t>Other sidings north</t>
        </is>
      </c>
      <c r="C420" s="9" t="n">
        <v>153.32</v>
      </c>
      <c r="D420" s="3" t="inlineStr">
        <is>
          <t>629</t>
        </is>
      </c>
      <c r="E420" s="10" t="n">
        <v>45688.67223379629</v>
      </c>
      <c r="F420" s="10" t="n"/>
      <c r="G420" s="10" t="n"/>
      <c r="H420" s="10" t="n"/>
      <c r="I420" s="10" t="n"/>
      <c r="J420" s="10" t="n"/>
      <c r="K420" s="11">
        <f>IF(AND(ISNUMBER(E420),ISNUMBER(F420)),(F420-E420),"")</f>
        <v/>
      </c>
      <c r="L420" s="11">
        <f>IF(AND(ISNUMBER(F420),ISNUMBER(G420)),(G420-F420),"")</f>
        <v/>
      </c>
      <c r="M420" s="11">
        <f>IF(AND(ISNUMBER(H420),ISNUMBER(I420)),(I420-H420),"")</f>
        <v/>
      </c>
      <c r="N420" s="11">
        <f>IF(AND(ISNUMBER(I420),ISNUMBER(J420)),(J420-I420),"")</f>
        <v/>
      </c>
      <c r="O420" s="11">
        <f>IF(AND(ISNUMBER(E420),ISNUMBER(J420)),(J420-E420),"")</f>
        <v/>
      </c>
    </row>
    <row r="421">
      <c r="A421" s="3" t="inlineStr">
        <is>
          <t>OBT310125161451-Steinabrückl/Wöllersdorf</t>
        </is>
      </c>
      <c r="B421" s="3" t="inlineStr">
        <is>
          <t>Steinabrückl/Wöllersdorf</t>
        </is>
      </c>
      <c r="C421" s="9" t="n">
        <v>110.18</v>
      </c>
      <c r="D421" s="3" t="inlineStr">
        <is>
          <t>623</t>
        </is>
      </c>
      <c r="E421" s="10" t="n">
        <v>45688.67697916667</v>
      </c>
      <c r="F421" s="10" t="n"/>
      <c r="G421" s="10" t="n"/>
      <c r="H421" s="10" t="n"/>
      <c r="I421" s="10" t="n"/>
      <c r="J421" s="10" t="n"/>
      <c r="K421" s="11">
        <f>IF(AND(ISNUMBER(E421),ISNUMBER(F421)),(F421-E421),"")</f>
        <v/>
      </c>
      <c r="L421" s="11">
        <f>IF(AND(ISNUMBER(F421),ISNUMBER(G421)),(G421-F421),"")</f>
        <v/>
      </c>
      <c r="M421" s="11">
        <f>IF(AND(ISNUMBER(H421),ISNUMBER(I421)),(I421-H421),"")</f>
        <v/>
      </c>
      <c r="N421" s="11">
        <f>IF(AND(ISNUMBER(I421),ISNUMBER(J421)),(J421-I421),"")</f>
        <v/>
      </c>
      <c r="O421" s="11">
        <f>IF(AND(ISNUMBER(E421),ISNUMBER(J421)),(J421-E421),"")</f>
        <v/>
      </c>
    </row>
    <row r="422">
      <c r="A422" s="3" t="inlineStr">
        <is>
          <t>OBT310125162356-Other sidings south</t>
        </is>
      </c>
      <c r="B422" s="3" t="inlineStr">
        <is>
          <t>Other sidings south</t>
        </is>
      </c>
      <c r="C422" s="9" t="n">
        <v>106.1</v>
      </c>
      <c r="D422" s="3" t="inlineStr">
        <is>
          <t>609</t>
        </is>
      </c>
      <c r="E422" s="10" t="n">
        <v>45688.68328703703</v>
      </c>
      <c r="F422" s="10" t="n"/>
      <c r="G422" s="10" t="n"/>
      <c r="H422" s="10" t="n"/>
      <c r="I422" s="10" t="n"/>
      <c r="J422" s="10" t="n"/>
      <c r="K422" s="11">
        <f>IF(AND(ISNUMBER(E422),ISNUMBER(F422)),(F422-E422),"")</f>
        <v/>
      </c>
      <c r="L422" s="11">
        <f>IF(AND(ISNUMBER(F422),ISNUMBER(G422)),(G422-F422),"")</f>
        <v/>
      </c>
      <c r="M422" s="11">
        <f>IF(AND(ISNUMBER(H422),ISNUMBER(I422)),(I422-H422),"")</f>
        <v/>
      </c>
      <c r="N422" s="11">
        <f>IF(AND(ISNUMBER(I422),ISNUMBER(J422)),(J422-I422),"")</f>
        <v/>
      </c>
      <c r="O422" s="11">
        <f>IF(AND(ISNUMBER(E422),ISNUMBER(J422)),(J422-E422),"")</f>
        <v/>
      </c>
    </row>
    <row r="423">
      <c r="A423" s="3" t="inlineStr">
        <is>
          <t>OBT310125174917-Wien Kledering</t>
        </is>
      </c>
      <c r="B423" s="3" t="inlineStr">
        <is>
          <t>Wien Kledering</t>
        </is>
      </c>
      <c r="C423" s="9" t="n">
        <v>302.1200000000001</v>
      </c>
      <c r="D423" s="3" t="inlineStr">
        <is>
          <t>613</t>
        </is>
      </c>
      <c r="E423" s="10" t="n">
        <v>45688.74255787037</v>
      </c>
      <c r="F423" s="10" t="n"/>
      <c r="G423" s="10" t="n"/>
      <c r="H423" s="10" t="n"/>
      <c r="I423" s="10" t="n"/>
      <c r="J423" s="10" t="n"/>
      <c r="K423" s="11">
        <f>IF(AND(ISNUMBER(E423),ISNUMBER(F423)),(F423-E423),"")</f>
        <v/>
      </c>
      <c r="L423" s="11">
        <f>IF(AND(ISNUMBER(F423),ISNUMBER(G423)),(G423-F423),"")</f>
        <v/>
      </c>
      <c r="M423" s="11">
        <f>IF(AND(ISNUMBER(H423),ISNUMBER(I423)),(I423-H423),"")</f>
        <v/>
      </c>
      <c r="N423" s="11">
        <f>IF(AND(ISNUMBER(I423),ISNUMBER(J423)),(J423-I423),"")</f>
        <v/>
      </c>
      <c r="O423" s="11">
        <f>IF(AND(ISNUMBER(E423),ISNUMBER(J423)),(J423-E423),"")</f>
        <v/>
      </c>
    </row>
    <row r="424">
      <c r="A424" s="3" t="inlineStr">
        <is>
          <t>OBT310125180201-Wien Kledering</t>
        </is>
      </c>
      <c r="B424" s="3" t="inlineStr">
        <is>
          <t>Wien Kledering</t>
        </is>
      </c>
      <c r="C424" s="9" t="n">
        <v>193.12</v>
      </c>
      <c r="D424" s="3" t="inlineStr">
        <is>
          <t>627</t>
        </is>
      </c>
      <c r="E424" s="10" t="n">
        <v>45688.75140046296</v>
      </c>
      <c r="F424" s="10" t="n"/>
      <c r="G424" s="10" t="n"/>
      <c r="H424" s="10" t="n"/>
      <c r="I424" s="10" t="n"/>
      <c r="J424" s="10" t="n"/>
      <c r="K424" s="11">
        <f>IF(AND(ISNUMBER(E424),ISNUMBER(F424)),(F424-E424),"")</f>
        <v/>
      </c>
      <c r="L424" s="11">
        <f>IF(AND(ISNUMBER(F424),ISNUMBER(G424)),(G424-F424),"")</f>
        <v/>
      </c>
      <c r="M424" s="11">
        <f>IF(AND(ISNUMBER(H424),ISNUMBER(I424)),(I424-H424),"")</f>
        <v/>
      </c>
      <c r="N424" s="11">
        <f>IF(AND(ISNUMBER(I424),ISNUMBER(J424)),(J424-I424),"")</f>
        <v/>
      </c>
      <c r="O424" s="11">
        <f>IF(AND(ISNUMBER(E424),ISNUMBER(J424)),(J424-E424),"")</f>
        <v/>
      </c>
    </row>
    <row r="425">
      <c r="A425" s="3" t="inlineStr">
        <is>
          <t>OBT310125203154-Wr. Neustadt (Hödlmayr)</t>
        </is>
      </c>
      <c r="B425" s="3" t="inlineStr">
        <is>
          <t>Wr. Neustadt (Hödlmayr)</t>
        </is>
      </c>
      <c r="C425" s="9" t="n">
        <v>162</v>
      </c>
      <c r="D425" s="3" t="inlineStr">
        <is>
          <t>606</t>
        </is>
      </c>
      <c r="E425" s="10" t="n">
        <v>45688.85548611111</v>
      </c>
      <c r="F425" s="10" t="n"/>
      <c r="G425" s="10" t="n"/>
      <c r="H425" s="10" t="n"/>
      <c r="I425" s="10" t="n"/>
      <c r="J425" s="10" t="n"/>
      <c r="K425" s="11">
        <f>IF(AND(ISNUMBER(E425),ISNUMBER(F425)),(F425-E425),"")</f>
        <v/>
      </c>
      <c r="L425" s="11">
        <f>IF(AND(ISNUMBER(F425),ISNUMBER(G425)),(G425-F425),"")</f>
        <v/>
      </c>
      <c r="M425" s="11">
        <f>IF(AND(ISNUMBER(H425),ISNUMBER(I425)),(I425-H425),"")</f>
        <v/>
      </c>
      <c r="N425" s="11">
        <f>IF(AND(ISNUMBER(I425),ISNUMBER(J425)),(J425-I425),"")</f>
        <v/>
      </c>
      <c r="O425" s="11">
        <f>IF(AND(ISNUMBER(E425),ISNUMBER(J425)),(J425-E425),"")</f>
        <v/>
      </c>
    </row>
    <row r="426">
      <c r="A426" s="3" t="inlineStr">
        <is>
          <t>OBT310125203626-Pitten (Hamburger)</t>
        </is>
      </c>
      <c r="B426" s="3" t="inlineStr">
        <is>
          <t>Pitten (Hamburger)</t>
        </is>
      </c>
      <c r="C426" s="9" t="n">
        <v>116.94</v>
      </c>
      <c r="D426" s="3" t="inlineStr">
        <is>
          <t>621</t>
        </is>
      </c>
      <c r="E426" s="10" t="n">
        <v>45688.85863425926</v>
      </c>
      <c r="F426" s="10" t="n"/>
      <c r="G426" s="10" t="n"/>
      <c r="H426" s="10" t="n"/>
      <c r="I426" s="10" t="n"/>
      <c r="J426" s="10" t="n"/>
      <c r="K426" s="11">
        <f>IF(AND(ISNUMBER(E426),ISNUMBER(F426)),(F426-E426),"")</f>
        <v/>
      </c>
      <c r="L426" s="11">
        <f>IF(AND(ISNUMBER(F426),ISNUMBER(G426)),(G426-F426),"")</f>
        <v/>
      </c>
      <c r="M426" s="11">
        <f>IF(AND(ISNUMBER(H426),ISNUMBER(I426)),(I426-H426),"")</f>
        <v/>
      </c>
      <c r="N426" s="11">
        <f>IF(AND(ISNUMBER(I426),ISNUMBER(J426)),(J426-I426),"")</f>
        <v/>
      </c>
      <c r="O426" s="11">
        <f>IF(AND(ISNUMBER(E426),ISNUMBER(J426)),(J426-E426),"")</f>
        <v/>
      </c>
    </row>
    <row r="427">
      <c r="A427" s="3" t="inlineStr">
        <is>
          <t>OBT310125204436-Other sidings south</t>
        </is>
      </c>
      <c r="B427" s="3" t="inlineStr">
        <is>
          <t>Other sidings south</t>
        </is>
      </c>
      <c r="C427" s="9" t="n">
        <v>126</v>
      </c>
      <c r="D427" s="3" t="inlineStr">
        <is>
          <t>629</t>
        </is>
      </c>
      <c r="E427" s="10" t="n">
        <v>45688.86430555556</v>
      </c>
      <c r="F427" s="10" t="n"/>
      <c r="G427" s="10" t="n"/>
      <c r="H427" s="10" t="n"/>
      <c r="I427" s="10" t="n"/>
      <c r="J427" s="10" t="n"/>
      <c r="K427" s="11">
        <f>IF(AND(ISNUMBER(E427),ISNUMBER(F427)),(F427-E427),"")</f>
        <v/>
      </c>
      <c r="L427" s="11">
        <f>IF(AND(ISNUMBER(F427),ISNUMBER(G427)),(G427-F427),"")</f>
        <v/>
      </c>
      <c r="M427" s="11">
        <f>IF(AND(ISNUMBER(H427),ISNUMBER(I427)),(I427-H427),"")</f>
        <v/>
      </c>
      <c r="N427" s="11">
        <f>IF(AND(ISNUMBER(I427),ISNUMBER(J427)),(J427-I427),"")</f>
        <v/>
      </c>
      <c r="O427" s="11">
        <f>IF(AND(ISNUMBER(E427),ISNUMBER(J427)),(J427-E427),"")</f>
        <v/>
      </c>
    </row>
  </sheetData>
  <autoFilter ref="A1:O4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</cols>
  <sheetData>
    <row r="1" ht="45" customHeight="1">
      <c r="A1" s="1" t="inlineStr">
        <is>
          <t>Activity 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Mean Dist (m)</t>
        </is>
      </c>
      <c r="F1" s="1" t="inlineStr">
        <is>
          <t>Min Dist (m)</t>
        </is>
      </c>
      <c r="G1" s="1" t="inlineStr">
        <is>
          <t>Max Dist (m)</t>
        </is>
      </c>
      <c r="H1" s="1" t="inlineStr">
        <is>
          <t>Mean Duration (hh:mm:ss)</t>
        </is>
      </c>
      <c r="I1" s="1" t="inlineStr">
        <is>
          <t>Min Duration (hh:mm:ss)</t>
        </is>
      </c>
      <c r="J1" s="1" t="inlineStr">
        <is>
          <t>Max Duration (hh:mm:ss)</t>
        </is>
      </c>
      <c r="K1" s="1" t="inlineStr">
        <is>
          <t>Mean Speed (km/h)</t>
        </is>
      </c>
      <c r="L1" s="1" t="inlineStr">
        <is>
          <t>Min Speed (km/h)</t>
        </is>
      </c>
      <c r="M1" s="1" t="inlineStr">
        <is>
          <t>Max Speed (km/h)</t>
        </is>
      </c>
      <c r="N1" s="1" t="inlineStr">
        <is>
          <t>Speed Std (km/h)</t>
        </is>
      </c>
    </row>
    <row r="2">
      <c r="A2" s="3" t="inlineStr">
        <is>
          <t>ArrivalDrive</t>
        </is>
      </c>
      <c r="B2" s="3" t="inlineStr">
        <is>
          <t>Entry gate</t>
        </is>
      </c>
      <c r="C2" s="3" t="inlineStr">
        <is>
          <t>703</t>
        </is>
      </c>
      <c r="D2" s="13" t="n">
        <v>239</v>
      </c>
      <c r="E2" s="14" t="n">
        <v>766.25</v>
      </c>
      <c r="F2" s="14" t="n">
        <v>766.25</v>
      </c>
      <c r="G2" s="14" t="n">
        <v>766.25</v>
      </c>
      <c r="H2" s="11" t="n">
        <v>0.00230435456376879</v>
      </c>
      <c r="I2" s="11" t="n">
        <v>0.001759259259259259</v>
      </c>
      <c r="J2" s="11" t="n">
        <v>0.002800925925925926</v>
      </c>
      <c r="K2" s="9" t="n">
        <v>14.00948524074241</v>
      </c>
      <c r="L2" s="9" t="n">
        <v>11.39876033057851</v>
      </c>
      <c r="M2" s="9" t="n">
        <v>18.14802631578948</v>
      </c>
      <c r="N2" s="9" t="n">
        <v>1.508711674104769</v>
      </c>
    </row>
    <row r="3">
      <c r="A3" s="3" t="inlineStr">
        <is>
          <t>ArrivalDrive</t>
        </is>
      </c>
      <c r="B3" s="3" t="inlineStr">
        <is>
          <t>Entry gate</t>
        </is>
      </c>
      <c r="C3" s="3" t="inlineStr">
        <is>
          <t>725</t>
        </is>
      </c>
      <c r="D3" s="13" t="n">
        <v>7</v>
      </c>
      <c r="E3" s="14" t="n">
        <v>476.05</v>
      </c>
      <c r="F3" s="14" t="n">
        <v>476.05</v>
      </c>
      <c r="G3" s="14" t="n">
        <v>476.05</v>
      </c>
      <c r="H3" s="11" t="n">
        <v>0.001919642857142857</v>
      </c>
      <c r="I3" s="11" t="n">
        <v>0.001238425925925926</v>
      </c>
      <c r="J3" s="11" t="n">
        <v>0.002372685185185185</v>
      </c>
      <c r="K3" s="9" t="n">
        <v>10.95702790225235</v>
      </c>
      <c r="L3" s="9" t="n">
        <v>8.35990243902439</v>
      </c>
      <c r="M3" s="9" t="n">
        <v>16.0166355140187</v>
      </c>
      <c r="N3" s="9" t="n">
        <v>2.794252644349928</v>
      </c>
    </row>
    <row r="4">
      <c r="A4" s="3" t="inlineStr">
        <is>
          <t>ArrivalDrive</t>
        </is>
      </c>
      <c r="B4" s="3" t="inlineStr">
        <is>
          <t>Entry gate</t>
        </is>
      </c>
      <c r="C4" s="3" t="inlineStr">
        <is>
          <t>727</t>
        </is>
      </c>
      <c r="D4" s="13" t="n">
        <v>66</v>
      </c>
      <c r="E4" s="14" t="n">
        <v>556.2</v>
      </c>
      <c r="F4" s="14" t="n">
        <v>556.2</v>
      </c>
      <c r="G4" s="14" t="n">
        <v>556.2</v>
      </c>
      <c r="H4" s="11" t="n">
        <v>0.002081228956228956</v>
      </c>
      <c r="I4" s="11" t="n">
        <v>0.001388888888888889</v>
      </c>
      <c r="J4" s="11" t="n">
        <v>0.002523148148148148</v>
      </c>
      <c r="K4" s="9" t="n">
        <v>11.50850304147632</v>
      </c>
      <c r="L4" s="9" t="n">
        <v>9.184954128440369</v>
      </c>
      <c r="M4" s="9" t="n">
        <v>16.686</v>
      </c>
      <c r="N4" s="9" t="n">
        <v>2.194305458079676</v>
      </c>
    </row>
    <row r="5">
      <c r="A5" s="3" t="inlineStr">
        <is>
          <t>ArrivalDrive</t>
        </is>
      </c>
      <c r="B5" s="3" t="inlineStr">
        <is>
          <t>Entry gate</t>
        </is>
      </c>
      <c r="C5" s="3" t="inlineStr">
        <is>
          <t>731</t>
        </is>
      </c>
      <c r="D5" s="13" t="n">
        <v>19</v>
      </c>
      <c r="E5" s="14" t="n">
        <v>587.14</v>
      </c>
      <c r="F5" s="14" t="n">
        <v>587.14</v>
      </c>
      <c r="G5" s="14" t="n">
        <v>587.14</v>
      </c>
      <c r="H5" s="11" t="n">
        <v>0.001306652046783626</v>
      </c>
      <c r="I5" s="11" t="n">
        <v>0.00125</v>
      </c>
      <c r="J5" s="11" t="n">
        <v>0.001365740740740741</v>
      </c>
      <c r="K5" s="9" t="n">
        <v>18.74678899638693</v>
      </c>
      <c r="L5" s="9" t="n">
        <v>17.91274576271186</v>
      </c>
      <c r="M5" s="9" t="n">
        <v>19.57133333333333</v>
      </c>
      <c r="N5" s="9" t="n">
        <v>0.6712629184784125</v>
      </c>
    </row>
    <row r="6">
      <c r="A6" s="3" t="inlineStr">
        <is>
          <t>DepartureDrive</t>
        </is>
      </c>
      <c r="B6" s="3" t="inlineStr">
        <is>
          <t>605</t>
        </is>
      </c>
      <c r="C6" s="3" t="inlineStr">
        <is>
          <t>Exit gate</t>
        </is>
      </c>
      <c r="D6" s="13" t="n">
        <v>30</v>
      </c>
      <c r="E6" s="14" t="n">
        <v>286.14</v>
      </c>
      <c r="F6" s="14" t="n">
        <v>286.14</v>
      </c>
      <c r="G6" s="14" t="n">
        <v>286.14</v>
      </c>
      <c r="H6" s="11" t="n">
        <v>0.001001929012345679</v>
      </c>
      <c r="I6" s="11" t="n">
        <v>0.0008449074074074074</v>
      </c>
      <c r="J6" s="11" t="n">
        <v>0.001550925925925926</v>
      </c>
      <c r="K6" s="9" t="n">
        <v>12.14962473767474</v>
      </c>
      <c r="L6" s="9" t="n">
        <v>7.68734328358209</v>
      </c>
      <c r="M6" s="9" t="n">
        <v>14.11101369863014</v>
      </c>
      <c r="N6" s="9" t="n">
        <v>1.602443768828552</v>
      </c>
    </row>
    <row r="7">
      <c r="A7" s="3" t="inlineStr">
        <is>
          <t>DepartureDrive</t>
        </is>
      </c>
      <c r="B7" s="3" t="inlineStr">
        <is>
          <t>606</t>
        </is>
      </c>
      <c r="C7" s="3" t="inlineStr">
        <is>
          <t>Exit gate</t>
        </is>
      </c>
      <c r="D7" s="13" t="n">
        <v>18</v>
      </c>
      <c r="E7" s="14" t="n">
        <v>245</v>
      </c>
      <c r="F7" s="14" t="n">
        <v>245</v>
      </c>
      <c r="G7" s="14" t="n">
        <v>245</v>
      </c>
      <c r="H7" s="11" t="n">
        <v>0.0009818672839506171</v>
      </c>
      <c r="I7" s="11" t="n">
        <v>0.0007638888888888889</v>
      </c>
      <c r="J7" s="11" t="n">
        <v>0.001388888888888889</v>
      </c>
      <c r="K7" s="9" t="n">
        <v>10.76863227500658</v>
      </c>
      <c r="L7" s="9" t="n">
        <v>7.35</v>
      </c>
      <c r="M7" s="9" t="n">
        <v>13.36363636363636</v>
      </c>
      <c r="N7" s="9" t="n">
        <v>1.920792538114345</v>
      </c>
    </row>
    <row r="8">
      <c r="A8" s="3" t="inlineStr">
        <is>
          <t>DepartureDrive</t>
        </is>
      </c>
      <c r="B8" s="3" t="inlineStr">
        <is>
          <t>607</t>
        </is>
      </c>
      <c r="C8" s="3" t="inlineStr">
        <is>
          <t>Exit gate</t>
        </is>
      </c>
      <c r="D8" s="13" t="n">
        <v>17</v>
      </c>
      <c r="E8" s="14" t="n">
        <v>286.14</v>
      </c>
      <c r="F8" s="14" t="n">
        <v>286.14</v>
      </c>
      <c r="G8" s="14" t="n">
        <v>286.14</v>
      </c>
      <c r="H8" s="11" t="n">
        <v>0.001086601307189542</v>
      </c>
      <c r="I8" s="11" t="n">
        <v>0.0008333333333333334</v>
      </c>
      <c r="J8" s="11" t="n">
        <v>0.001574074074074074</v>
      </c>
      <c r="K8" s="9" t="n">
        <v>11.51632706734978</v>
      </c>
      <c r="L8" s="9" t="n">
        <v>7.574294117647059</v>
      </c>
      <c r="M8" s="9" t="n">
        <v>14.307</v>
      </c>
      <c r="N8" s="9" t="n">
        <v>2.418233470108234</v>
      </c>
    </row>
    <row r="9">
      <c r="A9" s="3" t="inlineStr">
        <is>
          <t>DepartureDrive</t>
        </is>
      </c>
      <c r="B9" s="3" t="inlineStr">
        <is>
          <t>609</t>
        </is>
      </c>
      <c r="C9" s="3" t="inlineStr">
        <is>
          <t>Exit gate</t>
        </is>
      </c>
      <c r="D9" s="13" t="n">
        <v>14</v>
      </c>
      <c r="E9" s="14" t="n">
        <v>259.16</v>
      </c>
      <c r="F9" s="14" t="n">
        <v>259.16</v>
      </c>
      <c r="G9" s="14" t="n">
        <v>259.16</v>
      </c>
      <c r="H9" s="11" t="n">
        <v>0.0009672619047619047</v>
      </c>
      <c r="I9" s="11" t="n">
        <v>0.0007754629629629629</v>
      </c>
      <c r="J9" s="11" t="n">
        <v>0.001597222222222222</v>
      </c>
      <c r="K9" s="9" t="n">
        <v>11.80758966422568</v>
      </c>
      <c r="L9" s="9" t="n">
        <v>6.760695652173913</v>
      </c>
      <c r="M9" s="9" t="n">
        <v>13.92501492537314</v>
      </c>
      <c r="N9" s="9" t="n">
        <v>2.365973747107827</v>
      </c>
    </row>
    <row r="10">
      <c r="A10" s="3" t="inlineStr">
        <is>
          <t>DepartureDrive</t>
        </is>
      </c>
      <c r="B10" s="3" t="inlineStr">
        <is>
          <t>611</t>
        </is>
      </c>
      <c r="C10" s="3" t="inlineStr">
        <is>
          <t>Exit gate</t>
        </is>
      </c>
      <c r="D10" s="13" t="n">
        <v>22</v>
      </c>
      <c r="E10" s="14" t="n">
        <v>231.94</v>
      </c>
      <c r="F10" s="14" t="n">
        <v>231.94</v>
      </c>
      <c r="G10" s="14" t="n">
        <v>231.94</v>
      </c>
      <c r="H10" s="11" t="n">
        <v>0.001064814814814815</v>
      </c>
      <c r="I10" s="11" t="n">
        <v>0.0007291666666666667</v>
      </c>
      <c r="J10" s="11" t="n">
        <v>0.001990740740740741</v>
      </c>
      <c r="K10" s="9" t="n">
        <v>9.878161910181332</v>
      </c>
      <c r="L10" s="9" t="n">
        <v>4.854558139534884</v>
      </c>
      <c r="M10" s="9" t="n">
        <v>13.25371428571429</v>
      </c>
      <c r="N10" s="9" t="n">
        <v>2.55898833893522</v>
      </c>
    </row>
    <row r="11">
      <c r="A11" s="3" t="inlineStr">
        <is>
          <t>DepartureDrive</t>
        </is>
      </c>
      <c r="B11" s="3" t="inlineStr">
        <is>
          <t>613</t>
        </is>
      </c>
      <c r="C11" s="3" t="inlineStr">
        <is>
          <t>Exit gate</t>
        </is>
      </c>
      <c r="D11" s="13" t="n">
        <v>46</v>
      </c>
      <c r="E11" s="14" t="n">
        <v>205.9</v>
      </c>
      <c r="F11" s="14" t="n">
        <v>205.9</v>
      </c>
      <c r="G11" s="14" t="n">
        <v>205.9</v>
      </c>
      <c r="H11" s="11" t="n">
        <v>0.0009749899355877617</v>
      </c>
      <c r="I11" s="11" t="n">
        <v>0.0006597222222222222</v>
      </c>
      <c r="J11" s="11" t="n">
        <v>0.001574074074074074</v>
      </c>
      <c r="K11" s="9" t="n">
        <v>9.468624679286444</v>
      </c>
      <c r="L11" s="9" t="n">
        <v>5.450294117647059</v>
      </c>
      <c r="M11" s="9" t="n">
        <v>13.00421052631579</v>
      </c>
      <c r="N11" s="9" t="n">
        <v>2.481388138463774</v>
      </c>
    </row>
    <row r="12">
      <c r="A12" s="3" t="inlineStr">
        <is>
          <t>DepartureDrive</t>
        </is>
      </c>
      <c r="B12" s="3" t="inlineStr">
        <is>
          <t>615</t>
        </is>
      </c>
      <c r="C12" s="3" t="inlineStr">
        <is>
          <t>Exit gate</t>
        </is>
      </c>
      <c r="D12" s="13" t="n">
        <v>65</v>
      </c>
      <c r="E12" s="14" t="n">
        <v>223.61</v>
      </c>
      <c r="F12" s="14" t="n">
        <v>223.61</v>
      </c>
      <c r="G12" s="14" t="n">
        <v>223.61</v>
      </c>
      <c r="H12" s="11" t="n">
        <v>0.0009827279202279202</v>
      </c>
      <c r="I12" s="11" t="n">
        <v>0.0006944444444444445</v>
      </c>
      <c r="J12" s="11" t="n">
        <v>0.00150462962962963</v>
      </c>
      <c r="K12" s="9" t="n">
        <v>9.998342379028319</v>
      </c>
      <c r="L12" s="9" t="n">
        <v>6.192276923076924</v>
      </c>
      <c r="M12" s="9" t="n">
        <v>13.4166</v>
      </c>
      <c r="N12" s="9" t="n">
        <v>2.232029231609819</v>
      </c>
    </row>
    <row r="13">
      <c r="A13" s="3" t="inlineStr">
        <is>
          <t>DepartureDrive</t>
        </is>
      </c>
      <c r="B13" s="3" t="inlineStr">
        <is>
          <t>617</t>
        </is>
      </c>
      <c r="C13" s="3" t="inlineStr">
        <is>
          <t>Exit gate</t>
        </is>
      </c>
      <c r="D13" s="13" t="n">
        <v>19</v>
      </c>
      <c r="E13" s="14" t="n">
        <v>262.93</v>
      </c>
      <c r="F13" s="14" t="n">
        <v>262.93</v>
      </c>
      <c r="G13" s="14" t="n">
        <v>262.93</v>
      </c>
      <c r="H13" s="11" t="n">
        <v>0.0009539473684210526</v>
      </c>
      <c r="I13" s="11" t="n">
        <v>0.0007754629629629629</v>
      </c>
      <c r="J13" s="11" t="n">
        <v>0.001388888888888889</v>
      </c>
      <c r="K13" s="9" t="n">
        <v>11.94162192779887</v>
      </c>
      <c r="L13" s="9" t="n">
        <v>7.8879</v>
      </c>
      <c r="M13" s="9" t="n">
        <v>14.12758208955224</v>
      </c>
      <c r="N13" s="9" t="n">
        <v>2.157738101201276</v>
      </c>
    </row>
    <row r="14">
      <c r="A14" s="3" t="inlineStr">
        <is>
          <t>DepartureDrive</t>
        </is>
      </c>
      <c r="B14" s="3" t="inlineStr">
        <is>
          <t>619</t>
        </is>
      </c>
      <c r="C14" s="3" t="inlineStr">
        <is>
          <t>Exit gate</t>
        </is>
      </c>
      <c r="D14" s="13" t="n">
        <v>42</v>
      </c>
      <c r="E14" s="14" t="n">
        <v>262.93</v>
      </c>
      <c r="F14" s="14" t="n">
        <v>262.93</v>
      </c>
      <c r="G14" s="14" t="n">
        <v>262.93</v>
      </c>
      <c r="H14" s="11" t="n">
        <v>0.001059578924162258</v>
      </c>
      <c r="I14" s="11" t="n">
        <v>0.0007754629629629629</v>
      </c>
      <c r="J14" s="11" t="n">
        <v>0.001886574074074074</v>
      </c>
      <c r="K14" s="9" t="n">
        <v>10.97696623003016</v>
      </c>
      <c r="L14" s="9" t="n">
        <v>5.807042944785277</v>
      </c>
      <c r="M14" s="9" t="n">
        <v>14.12758208955224</v>
      </c>
      <c r="N14" s="9" t="n">
        <v>2.451858673605318</v>
      </c>
    </row>
    <row r="15">
      <c r="A15" s="3" t="inlineStr">
        <is>
          <t>DepartureDrive</t>
        </is>
      </c>
      <c r="B15" s="3" t="inlineStr">
        <is>
          <t>621</t>
        </is>
      </c>
      <c r="C15" s="3" t="inlineStr">
        <is>
          <t>Exit gate</t>
        </is>
      </c>
      <c r="D15" s="13" t="n">
        <v>22</v>
      </c>
      <c r="E15" s="14" t="n">
        <v>259.31</v>
      </c>
      <c r="F15" s="14" t="n">
        <v>259.31</v>
      </c>
      <c r="G15" s="14" t="n">
        <v>259.31</v>
      </c>
      <c r="H15" s="11" t="n">
        <v>0.000956439393939394</v>
      </c>
      <c r="I15" s="11" t="n">
        <v>0.000787037037037037</v>
      </c>
      <c r="J15" s="11" t="n">
        <v>0.001481481481481481</v>
      </c>
      <c r="K15" s="9" t="n">
        <v>11.72754516702735</v>
      </c>
      <c r="L15" s="9" t="n">
        <v>7.293093750000001</v>
      </c>
      <c r="M15" s="9" t="n">
        <v>13.72817647058824</v>
      </c>
      <c r="N15" s="9" t="n">
        <v>1.98235160380826</v>
      </c>
    </row>
    <row r="16">
      <c r="A16" s="3" t="inlineStr">
        <is>
          <t>DepartureDrive</t>
        </is>
      </c>
      <c r="B16" s="3" t="inlineStr">
        <is>
          <t>623</t>
        </is>
      </c>
      <c r="C16" s="3" t="inlineStr">
        <is>
          <t>Exit gate</t>
        </is>
      </c>
      <c r="D16" s="13" t="n">
        <v>21</v>
      </c>
      <c r="E16" s="14" t="n">
        <v>259.31</v>
      </c>
      <c r="F16" s="14" t="n">
        <v>259.31</v>
      </c>
      <c r="G16" s="14" t="n">
        <v>259.31</v>
      </c>
      <c r="H16" s="11" t="n">
        <v>0.0009854497354497354</v>
      </c>
      <c r="I16" s="11" t="n">
        <v>0.0007754629629629629</v>
      </c>
      <c r="J16" s="11" t="n">
        <v>0.001747685185185185</v>
      </c>
      <c r="K16" s="9" t="n">
        <v>11.54592732157173</v>
      </c>
      <c r="L16" s="9" t="n">
        <v>6.182225165562914</v>
      </c>
      <c r="M16" s="9" t="n">
        <v>13.93307462686567</v>
      </c>
      <c r="N16" s="9" t="n">
        <v>2.316474261784935</v>
      </c>
    </row>
    <row r="17">
      <c r="A17" s="3" t="inlineStr">
        <is>
          <t>DepartureDrive</t>
        </is>
      </c>
      <c r="B17" s="3" t="inlineStr">
        <is>
          <t>625</t>
        </is>
      </c>
      <c r="C17" s="3" t="inlineStr">
        <is>
          <t>Exit gate</t>
        </is>
      </c>
      <c r="D17" s="13" t="n">
        <v>30</v>
      </c>
      <c r="E17" s="14" t="n">
        <v>240.31</v>
      </c>
      <c r="F17" s="14" t="n">
        <v>240.31</v>
      </c>
      <c r="G17" s="14" t="n">
        <v>240.31</v>
      </c>
      <c r="H17" s="11" t="n">
        <v>0.0009930555555555556</v>
      </c>
      <c r="I17" s="11" t="n">
        <v>0.0007407407407407407</v>
      </c>
      <c r="J17" s="11" t="n">
        <v>0.001423611111111111</v>
      </c>
      <c r="K17" s="9" t="n">
        <v>10.53729155770933</v>
      </c>
      <c r="L17" s="9" t="n">
        <v>7.033463414634147</v>
      </c>
      <c r="M17" s="9" t="n">
        <v>13.5174375</v>
      </c>
      <c r="N17" s="9" t="n">
        <v>2.121039227699499</v>
      </c>
    </row>
    <row r="18">
      <c r="A18" s="3" t="inlineStr">
        <is>
          <t>DepartureDrive</t>
        </is>
      </c>
      <c r="B18" s="3" t="inlineStr">
        <is>
          <t>627</t>
        </is>
      </c>
      <c r="C18" s="3" t="inlineStr">
        <is>
          <t>Exit gate</t>
        </is>
      </c>
      <c r="D18" s="13" t="n">
        <v>37</v>
      </c>
      <c r="E18" s="14" t="n">
        <v>188.33</v>
      </c>
      <c r="F18" s="14" t="n">
        <v>188.33</v>
      </c>
      <c r="G18" s="14" t="n">
        <v>188.33</v>
      </c>
      <c r="H18" s="11" t="n">
        <v>0.0008517892892892893</v>
      </c>
      <c r="I18" s="11" t="n">
        <v>0.000625</v>
      </c>
      <c r="J18" s="11" t="n">
        <v>0.001597222222222222</v>
      </c>
      <c r="K18" s="9" t="n">
        <v>9.746520455156173</v>
      </c>
      <c r="L18" s="9" t="n">
        <v>4.91295652173913</v>
      </c>
      <c r="M18" s="9" t="n">
        <v>12.55533333333334</v>
      </c>
      <c r="N18" s="9" t="n">
        <v>2.095992913407584</v>
      </c>
    </row>
    <row r="19">
      <c r="A19" s="3" t="inlineStr">
        <is>
          <t>DepartureDrive</t>
        </is>
      </c>
      <c r="B19" s="3" t="inlineStr">
        <is>
          <t>629</t>
        </is>
      </c>
      <c r="C19" s="3" t="inlineStr">
        <is>
          <t>Exit gate</t>
        </is>
      </c>
      <c r="D19" s="13" t="n">
        <v>27</v>
      </c>
      <c r="E19" s="14" t="n">
        <v>182.11</v>
      </c>
      <c r="F19" s="14" t="n">
        <v>182.11</v>
      </c>
      <c r="G19" s="14" t="n">
        <v>182.11</v>
      </c>
      <c r="H19" s="11" t="n">
        <v>0.0007338820301783265</v>
      </c>
      <c r="I19" s="11" t="n">
        <v>0.0006134259259259259</v>
      </c>
      <c r="J19" s="11" t="n">
        <v>0.001099537037037037</v>
      </c>
      <c r="K19" s="9" t="n">
        <v>10.59068105470668</v>
      </c>
      <c r="L19" s="9" t="n">
        <v>6.90101052631579</v>
      </c>
      <c r="M19" s="9" t="n">
        <v>12.3697358490566</v>
      </c>
      <c r="N19" s="9" t="n">
        <v>1.473552986891275</v>
      </c>
    </row>
    <row r="20">
      <c r="A20" s="3" t="inlineStr">
        <is>
          <t>PushOffDrive</t>
        </is>
      </c>
      <c r="B20" s="3" t="inlineStr">
        <is>
          <t>703</t>
        </is>
      </c>
      <c r="C20" s="3" t="inlineStr">
        <is>
          <t>605</t>
        </is>
      </c>
      <c r="D20" s="13" t="n">
        <v>47</v>
      </c>
      <c r="E20" s="14" t="n">
        <v>405.43</v>
      </c>
      <c r="F20" s="14" t="n">
        <v>405.43</v>
      </c>
      <c r="G20" s="14" t="n">
        <v>405.43</v>
      </c>
      <c r="H20" s="11" t="n">
        <v>0.001883618991331757</v>
      </c>
      <c r="I20" s="11" t="n">
        <v>0.001712962962962963</v>
      </c>
      <c r="J20" s="11" t="n">
        <v>0.002650462962962963</v>
      </c>
      <c r="K20" s="9" t="n">
        <v>9.066302870835351</v>
      </c>
      <c r="L20" s="9" t="n">
        <v>6.373572052401747</v>
      </c>
      <c r="M20" s="9" t="n">
        <v>9.861810810810811</v>
      </c>
      <c r="N20" s="9" t="n">
        <v>0.879236850437302</v>
      </c>
    </row>
    <row r="21">
      <c r="A21" s="3" t="inlineStr">
        <is>
          <t>PushOffDrive</t>
        </is>
      </c>
      <c r="B21" s="3" t="inlineStr">
        <is>
          <t>703</t>
        </is>
      </c>
      <c r="C21" s="3" t="inlineStr">
        <is>
          <t>606</t>
        </is>
      </c>
      <c r="D21" s="13" t="n">
        <v>34</v>
      </c>
      <c r="E21" s="14" t="n">
        <v>405.03</v>
      </c>
      <c r="F21" s="14" t="n">
        <v>405.03</v>
      </c>
      <c r="G21" s="14" t="n">
        <v>405.03</v>
      </c>
      <c r="H21" s="11" t="n">
        <v>0.001928104575163399</v>
      </c>
      <c r="I21" s="11" t="n">
        <v>0.001712962962962963</v>
      </c>
      <c r="J21" s="11" t="n">
        <v>0.002569444444444445</v>
      </c>
      <c r="K21" s="9" t="n">
        <v>8.868256196772297</v>
      </c>
      <c r="L21" s="9" t="n">
        <v>6.568054054054054</v>
      </c>
      <c r="M21" s="9" t="n">
        <v>9.85208108108108</v>
      </c>
      <c r="N21" s="9" t="n">
        <v>0.9475463114760206</v>
      </c>
    </row>
    <row r="22">
      <c r="A22" s="3" t="inlineStr">
        <is>
          <t>PushOffDrive</t>
        </is>
      </c>
      <c r="B22" s="3" t="inlineStr">
        <is>
          <t>703</t>
        </is>
      </c>
      <c r="C22" s="3" t="inlineStr">
        <is>
          <t>607</t>
        </is>
      </c>
      <c r="D22" s="13" t="n">
        <v>40</v>
      </c>
      <c r="E22" s="14" t="n">
        <v>378.4</v>
      </c>
      <c r="F22" s="14" t="n">
        <v>378.4</v>
      </c>
      <c r="G22" s="14" t="n">
        <v>378.4</v>
      </c>
      <c r="H22" s="11" t="n">
        <v>0.001736979166666667</v>
      </c>
      <c r="I22" s="11" t="n">
        <v>0.001608796296296296</v>
      </c>
      <c r="J22" s="11" t="n">
        <v>0.002476851851851852</v>
      </c>
      <c r="K22" s="9" t="n">
        <v>9.221242242737345</v>
      </c>
      <c r="L22" s="9" t="n">
        <v>6.365607476635514</v>
      </c>
      <c r="M22" s="9" t="n">
        <v>9.800287769784171</v>
      </c>
      <c r="N22" s="9" t="n">
        <v>1.023848985743877</v>
      </c>
    </row>
    <row r="23">
      <c r="A23" s="3" t="inlineStr">
        <is>
          <t>PushOffDrive</t>
        </is>
      </c>
      <c r="B23" s="3" t="inlineStr">
        <is>
          <t>703</t>
        </is>
      </c>
      <c r="C23" s="3" t="inlineStr">
        <is>
          <t>609</t>
        </is>
      </c>
      <c r="D23" s="13" t="n">
        <v>27</v>
      </c>
      <c r="E23" s="14" t="n">
        <v>350.87</v>
      </c>
      <c r="F23" s="14" t="n">
        <v>350.87</v>
      </c>
      <c r="G23" s="14" t="n">
        <v>350.87</v>
      </c>
      <c r="H23" s="11" t="n">
        <v>0.00153377914951989</v>
      </c>
      <c r="I23" s="11" t="n">
        <v>0.001493055555555556</v>
      </c>
      <c r="J23" s="11" t="n">
        <v>0.001655092592592593</v>
      </c>
      <c r="K23" s="9" t="n">
        <v>9.54131787419972</v>
      </c>
      <c r="L23" s="9" t="n">
        <v>8.83309090909091</v>
      </c>
      <c r="M23" s="9" t="n">
        <v>9.791720930232559</v>
      </c>
      <c r="N23" s="9" t="n">
        <v>0.2960149957378558</v>
      </c>
    </row>
    <row r="24">
      <c r="A24" s="3" t="inlineStr">
        <is>
          <t>PushOffDrive</t>
        </is>
      </c>
      <c r="B24" s="3" t="inlineStr">
        <is>
          <t>703</t>
        </is>
      </c>
      <c r="C24" s="3" t="inlineStr">
        <is>
          <t>611</t>
        </is>
      </c>
      <c r="D24" s="13" t="n">
        <v>34</v>
      </c>
      <c r="E24" s="14" t="n">
        <v>324.35</v>
      </c>
      <c r="F24" s="14" t="n">
        <v>324.35</v>
      </c>
      <c r="G24" s="14" t="n">
        <v>324.35</v>
      </c>
      <c r="H24" s="11" t="n">
        <v>0.001649305555555556</v>
      </c>
      <c r="I24" s="11" t="n">
        <v>0.001388888888888889</v>
      </c>
      <c r="J24" s="11" t="n">
        <v>0.002534722222222222</v>
      </c>
      <c r="K24" s="9" t="n">
        <v>8.459428213213842</v>
      </c>
      <c r="L24" s="9" t="n">
        <v>5.331780821917809</v>
      </c>
      <c r="M24" s="9" t="n">
        <v>9.730500000000001</v>
      </c>
      <c r="N24" s="9" t="n">
        <v>1.375221739787704</v>
      </c>
    </row>
    <row r="25">
      <c r="A25" s="3" t="inlineStr">
        <is>
          <t>PushOffDrive</t>
        </is>
      </c>
      <c r="B25" s="3" t="inlineStr">
        <is>
          <t>703</t>
        </is>
      </c>
      <c r="C25" s="3" t="inlineStr">
        <is>
          <t>613</t>
        </is>
      </c>
      <c r="D25" s="13" t="n">
        <v>68</v>
      </c>
      <c r="E25" s="14" t="n">
        <v>297.43</v>
      </c>
      <c r="F25" s="14" t="n">
        <v>297.43</v>
      </c>
      <c r="G25" s="14" t="n">
        <v>297.43</v>
      </c>
      <c r="H25" s="11" t="n">
        <v>0.001551266339869281</v>
      </c>
      <c r="I25" s="11" t="n">
        <v>0.001261574074074074</v>
      </c>
      <c r="J25" s="11" t="n">
        <v>0.002395833333333333</v>
      </c>
      <c r="K25" s="9" t="n">
        <v>8.28485686885897</v>
      </c>
      <c r="L25" s="9" t="n">
        <v>5.172695652173913</v>
      </c>
      <c r="M25" s="9" t="n">
        <v>9.823376146788991</v>
      </c>
      <c r="N25" s="9" t="n">
        <v>1.469235956516087</v>
      </c>
    </row>
    <row r="26">
      <c r="A26" s="3" t="inlineStr">
        <is>
          <t>PushOffDrive</t>
        </is>
      </c>
      <c r="B26" s="3" t="inlineStr">
        <is>
          <t>703</t>
        </is>
      </c>
      <c r="C26" s="3" t="inlineStr">
        <is>
          <t>615</t>
        </is>
      </c>
      <c r="D26" s="13" t="n">
        <v>98</v>
      </c>
      <c r="E26" s="14" t="n">
        <v>269.92</v>
      </c>
      <c r="F26" s="14" t="n">
        <v>269.92</v>
      </c>
      <c r="G26" s="14" t="n">
        <v>269.92</v>
      </c>
      <c r="H26" s="11" t="n">
        <v>0.001438255857898715</v>
      </c>
      <c r="I26" s="11" t="n">
        <v>0.001157407407407407</v>
      </c>
      <c r="J26" s="11" t="n">
        <v>0.002164351851851852</v>
      </c>
      <c r="K26" s="9" t="n">
        <v>8.103675899151311</v>
      </c>
      <c r="L26" s="9" t="n">
        <v>5.196320855614974</v>
      </c>
      <c r="M26" s="9" t="n">
        <v>9.717120000000001</v>
      </c>
      <c r="N26" s="9" t="n">
        <v>1.435060765918975</v>
      </c>
    </row>
    <row r="27">
      <c r="A27" s="3" t="inlineStr">
        <is>
          <t>PushOffDrive</t>
        </is>
      </c>
      <c r="B27" s="3" t="inlineStr">
        <is>
          <t>703</t>
        </is>
      </c>
      <c r="C27" s="3" t="inlineStr">
        <is>
          <t>617</t>
        </is>
      </c>
      <c r="D27" s="13" t="n">
        <v>33</v>
      </c>
      <c r="E27" s="14" t="n">
        <v>299.11</v>
      </c>
      <c r="F27" s="14" t="n">
        <v>299.11</v>
      </c>
      <c r="G27" s="14" t="n">
        <v>299.11</v>
      </c>
      <c r="H27" s="11" t="n">
        <v>0.001374158249158249</v>
      </c>
      <c r="I27" s="11" t="n">
        <v>0.001273148148148148</v>
      </c>
      <c r="J27" s="11" t="n">
        <v>0.001793981481481481</v>
      </c>
      <c r="K27" s="9" t="n">
        <v>9.126615314193273</v>
      </c>
      <c r="L27" s="9" t="n">
        <v>6.947070967741936</v>
      </c>
      <c r="M27" s="9" t="n">
        <v>9.789054545454546</v>
      </c>
      <c r="N27" s="9" t="n">
        <v>0.6790445122748688</v>
      </c>
    </row>
    <row r="28">
      <c r="A28" s="3" t="inlineStr">
        <is>
          <t>PushOffDrive</t>
        </is>
      </c>
      <c r="B28" s="3" t="inlineStr">
        <is>
          <t>703</t>
        </is>
      </c>
      <c r="C28" s="3" t="inlineStr">
        <is>
          <t>619</t>
        </is>
      </c>
      <c r="D28" s="13" t="n">
        <v>63</v>
      </c>
      <c r="E28" s="14" t="n">
        <v>459.96</v>
      </c>
      <c r="F28" s="14" t="n">
        <v>459.96</v>
      </c>
      <c r="G28" s="14" t="n">
        <v>459.96</v>
      </c>
      <c r="H28" s="11" t="n">
        <v>0.002120076425631981</v>
      </c>
      <c r="I28" s="11" t="n">
        <v>0.001944444444444444</v>
      </c>
      <c r="J28" s="11" t="n">
        <v>0.003101851851851852</v>
      </c>
      <c r="K28" s="9" t="n">
        <v>9.138656630502688</v>
      </c>
      <c r="L28" s="9" t="n">
        <v>6.178567164179105</v>
      </c>
      <c r="M28" s="9" t="n">
        <v>9.856285714285715</v>
      </c>
      <c r="N28" s="9" t="n">
        <v>0.8653927504677498</v>
      </c>
    </row>
    <row r="29">
      <c r="A29" s="3" t="inlineStr">
        <is>
          <t>PushOffDrive</t>
        </is>
      </c>
      <c r="B29" s="3" t="inlineStr">
        <is>
          <t>703</t>
        </is>
      </c>
      <c r="C29" s="3" t="inlineStr">
        <is>
          <t>621</t>
        </is>
      </c>
      <c r="D29" s="13" t="n">
        <v>57</v>
      </c>
      <c r="E29" s="14" t="n">
        <v>459.96</v>
      </c>
      <c r="F29" s="14" t="n">
        <v>459.96</v>
      </c>
      <c r="G29" s="14" t="n">
        <v>459.96</v>
      </c>
      <c r="H29" s="11" t="n">
        <v>0.002078256985055231</v>
      </c>
      <c r="I29" s="11" t="n">
        <v>0.00193287037037037</v>
      </c>
      <c r="J29" s="11" t="n">
        <v>0.002858796296296296</v>
      </c>
      <c r="K29" s="9" t="n">
        <v>9.302346697098052</v>
      </c>
      <c r="L29" s="9" t="n">
        <v>6.703870445344131</v>
      </c>
      <c r="M29" s="9" t="n">
        <v>9.915305389221558</v>
      </c>
      <c r="N29" s="9" t="n">
        <v>0.7871064205611588</v>
      </c>
    </row>
    <row r="30">
      <c r="A30" s="3" t="inlineStr">
        <is>
          <t>PushOffDrive</t>
        </is>
      </c>
      <c r="B30" s="3" t="inlineStr">
        <is>
          <t>703</t>
        </is>
      </c>
      <c r="C30" s="3" t="inlineStr">
        <is>
          <t>623</t>
        </is>
      </c>
      <c r="D30" s="13" t="n">
        <v>45</v>
      </c>
      <c r="E30" s="14" t="n">
        <v>412.05</v>
      </c>
      <c r="F30" s="14" t="n">
        <v>412.05</v>
      </c>
      <c r="G30" s="14" t="n">
        <v>412.05</v>
      </c>
      <c r="H30" s="11" t="n">
        <v>0.001890689300411523</v>
      </c>
      <c r="I30" s="11" t="n">
        <v>0.001747685185185185</v>
      </c>
      <c r="J30" s="11" t="n">
        <v>0.002916666666666667</v>
      </c>
      <c r="K30" s="9" t="n">
        <v>9.195041354785896</v>
      </c>
      <c r="L30" s="9" t="n">
        <v>5.886428571428572</v>
      </c>
      <c r="M30" s="9" t="n">
        <v>9.823708609271524</v>
      </c>
      <c r="N30" s="9" t="n">
        <v>0.9165084060623419</v>
      </c>
    </row>
    <row r="31">
      <c r="A31" s="3" t="inlineStr">
        <is>
          <t>PushOffDrive</t>
        </is>
      </c>
      <c r="B31" s="3" t="inlineStr">
        <is>
          <t>703</t>
        </is>
      </c>
      <c r="C31" s="3" t="inlineStr">
        <is>
          <t>625</t>
        </is>
      </c>
      <c r="D31" s="13" t="n">
        <v>62</v>
      </c>
      <c r="E31" s="14" t="n">
        <v>477.75</v>
      </c>
      <c r="F31" s="14" t="n">
        <v>477.75</v>
      </c>
      <c r="G31" s="14" t="n">
        <v>477.75</v>
      </c>
      <c r="H31" s="11" t="n">
        <v>0.002209154719235364</v>
      </c>
      <c r="I31" s="11" t="n">
        <v>0.002025462962962963</v>
      </c>
      <c r="J31" s="11" t="n">
        <v>0.002916666666666667</v>
      </c>
      <c r="K31" s="9" t="n">
        <v>9.115895358554965</v>
      </c>
      <c r="L31" s="9" t="n">
        <v>6.825</v>
      </c>
      <c r="M31" s="9" t="n">
        <v>9.827999999999999</v>
      </c>
      <c r="N31" s="9" t="n">
        <v>0.9078237169755001</v>
      </c>
    </row>
    <row r="32">
      <c r="A32" s="3" t="inlineStr">
        <is>
          <t>PushOffDrive</t>
        </is>
      </c>
      <c r="B32" s="3" t="inlineStr">
        <is>
          <t>703</t>
        </is>
      </c>
      <c r="C32" s="3" t="inlineStr">
        <is>
          <t>627</t>
        </is>
      </c>
      <c r="D32" s="13" t="n">
        <v>72</v>
      </c>
      <c r="E32" s="14" t="n">
        <v>450.42</v>
      </c>
      <c r="F32" s="14" t="n">
        <v>450.42</v>
      </c>
      <c r="G32" s="14" t="n">
        <v>450.42</v>
      </c>
      <c r="H32" s="11" t="n">
        <v>0.002069990997942387</v>
      </c>
      <c r="I32" s="11" t="n">
        <v>0.001898148148148148</v>
      </c>
      <c r="J32" s="11" t="n">
        <v>0.002789351851851852</v>
      </c>
      <c r="K32" s="9" t="n">
        <v>9.162423038214863</v>
      </c>
      <c r="L32" s="9" t="n">
        <v>6.728265560165974</v>
      </c>
      <c r="M32" s="9" t="n">
        <v>9.887268292682926</v>
      </c>
      <c r="N32" s="9" t="n">
        <v>0.8682353636019661</v>
      </c>
    </row>
    <row r="33">
      <c r="A33" s="3" t="inlineStr">
        <is>
          <t>PushOffDrive</t>
        </is>
      </c>
      <c r="B33" s="3" t="inlineStr">
        <is>
          <t>703</t>
        </is>
      </c>
      <c r="C33" s="3" t="inlineStr">
        <is>
          <t>629</t>
        </is>
      </c>
      <c r="D33" s="13" t="n">
        <v>47</v>
      </c>
      <c r="E33" s="14" t="n">
        <v>450.42</v>
      </c>
      <c r="F33" s="14" t="n">
        <v>450.42</v>
      </c>
      <c r="G33" s="14" t="n">
        <v>450.42</v>
      </c>
      <c r="H33" s="11" t="n">
        <v>0.001980890464933018</v>
      </c>
      <c r="I33" s="11" t="n">
        <v>0.001898148148148148</v>
      </c>
      <c r="J33" s="11" t="n">
        <v>0.002349537037037037</v>
      </c>
      <c r="K33" s="9" t="n">
        <v>9.495770752025818</v>
      </c>
      <c r="L33" s="9" t="n">
        <v>7.987743842364531</v>
      </c>
      <c r="M33" s="9" t="n">
        <v>9.887268292682926</v>
      </c>
      <c r="N33" s="9" t="n">
        <v>0.4304552303647561</v>
      </c>
    </row>
    <row r="34">
      <c r="A34" s="3" t="inlineStr">
        <is>
          <t>PushOffDrive</t>
        </is>
      </c>
      <c r="B34" s="3" t="inlineStr">
        <is>
          <t>725</t>
        </is>
      </c>
      <c r="C34" s="3" t="inlineStr">
        <is>
          <t>605</t>
        </is>
      </c>
      <c r="D34" s="13" t="n">
        <v>2</v>
      </c>
      <c r="E34" s="14" t="n">
        <v>371.24</v>
      </c>
      <c r="F34" s="14" t="n">
        <v>371.24</v>
      </c>
      <c r="G34" s="14" t="n">
        <v>371.24</v>
      </c>
      <c r="H34" s="11" t="n">
        <v>0.001579861111111111</v>
      </c>
      <c r="I34" s="11" t="n">
        <v>0.001574074074074074</v>
      </c>
      <c r="J34" s="11" t="n">
        <v>0.001585648148148148</v>
      </c>
      <c r="K34" s="9" t="n">
        <v>9.791076427651353</v>
      </c>
      <c r="L34" s="9" t="n">
        <v>9.755211678832117</v>
      </c>
      <c r="M34" s="9" t="n">
        <v>9.826941176470589</v>
      </c>
      <c r="N34" s="9" t="n">
        <v>0.03586474881923607</v>
      </c>
    </row>
    <row r="35">
      <c r="A35" s="3" t="inlineStr">
        <is>
          <t>PushOffDrive</t>
        </is>
      </c>
      <c r="B35" s="3" t="inlineStr">
        <is>
          <t>725</t>
        </is>
      </c>
      <c r="C35" s="3" t="inlineStr">
        <is>
          <t>607</t>
        </is>
      </c>
      <c r="D35" s="13" t="n">
        <v>4</v>
      </c>
      <c r="E35" s="14" t="n">
        <v>344.21</v>
      </c>
      <c r="F35" s="14" t="n">
        <v>344.21</v>
      </c>
      <c r="G35" s="14" t="n">
        <v>344.21</v>
      </c>
      <c r="H35" s="11" t="n">
        <v>0.001597222222222222</v>
      </c>
      <c r="I35" s="11" t="n">
        <v>0.001469907407407407</v>
      </c>
      <c r="J35" s="11" t="n">
        <v>0.001875</v>
      </c>
      <c r="K35" s="9" t="n">
        <v>9.063249132698628</v>
      </c>
      <c r="L35" s="9" t="n">
        <v>7.649111111111112</v>
      </c>
      <c r="M35" s="9" t="n">
        <v>9.757133858267718</v>
      </c>
      <c r="N35" s="9" t="n">
        <v>0.8281322941167155</v>
      </c>
    </row>
    <row r="36">
      <c r="A36" s="3" t="inlineStr">
        <is>
          <t>PushOffDrive</t>
        </is>
      </c>
      <c r="B36" s="3" t="inlineStr">
        <is>
          <t>725</t>
        </is>
      </c>
      <c r="C36" s="3" t="inlineStr">
        <is>
          <t>611</t>
        </is>
      </c>
      <c r="D36" s="13" t="n">
        <v>4</v>
      </c>
      <c r="E36" s="14" t="n">
        <v>290.16</v>
      </c>
      <c r="F36" s="14" t="n">
        <v>290.16</v>
      </c>
      <c r="G36" s="14" t="n">
        <v>290.16</v>
      </c>
      <c r="H36" s="11" t="n">
        <v>0.001290509259259259</v>
      </c>
      <c r="I36" s="11" t="n">
        <v>0.00125</v>
      </c>
      <c r="J36" s="11" t="n">
        <v>0.001354166666666667</v>
      </c>
      <c r="K36" s="9" t="n">
        <v>9.379008849557522</v>
      </c>
      <c r="L36" s="9" t="n">
        <v>8.927999999999999</v>
      </c>
      <c r="M36" s="9" t="n">
        <v>9.672000000000001</v>
      </c>
      <c r="N36" s="9" t="n">
        <v>0.3135739320390225</v>
      </c>
    </row>
    <row r="37">
      <c r="A37" s="3" t="inlineStr">
        <is>
          <t>PushOffDrive</t>
        </is>
      </c>
      <c r="B37" s="3" t="inlineStr">
        <is>
          <t>725</t>
        </is>
      </c>
      <c r="C37" s="3" t="inlineStr">
        <is>
          <t>613</t>
        </is>
      </c>
      <c r="D37" s="13" t="n">
        <v>1</v>
      </c>
      <c r="E37" s="14" t="n">
        <v>263.24</v>
      </c>
      <c r="F37" s="14" t="n">
        <v>263.24</v>
      </c>
      <c r="G37" s="14" t="n">
        <v>263.24</v>
      </c>
      <c r="H37" s="11" t="n">
        <v>0.001412037037037037</v>
      </c>
      <c r="I37" s="11" t="n">
        <v>0.001412037037037037</v>
      </c>
      <c r="J37" s="11" t="n">
        <v>0.001412037037037037</v>
      </c>
      <c r="K37" s="9" t="n">
        <v>7.767737704918034</v>
      </c>
      <c r="L37" s="9" t="n">
        <v>7.767737704918034</v>
      </c>
      <c r="M37" s="9" t="n">
        <v>7.767737704918034</v>
      </c>
      <c r="N37" s="9" t="n">
        <v>0</v>
      </c>
    </row>
    <row r="38">
      <c r="A38" s="3" t="inlineStr">
        <is>
          <t>PushOffDrive</t>
        </is>
      </c>
      <c r="B38" s="3" t="inlineStr">
        <is>
          <t>725</t>
        </is>
      </c>
      <c r="C38" s="3" t="inlineStr">
        <is>
          <t>615</t>
        </is>
      </c>
      <c r="D38" s="13" t="n">
        <v>2</v>
      </c>
      <c r="E38" s="14" t="n">
        <v>235.73</v>
      </c>
      <c r="F38" s="14" t="n">
        <v>235.73</v>
      </c>
      <c r="G38" s="14" t="n">
        <v>235.73</v>
      </c>
      <c r="H38" s="11" t="n">
        <v>0.001134259259259259</v>
      </c>
      <c r="I38" s="11" t="n">
        <v>0.001053240740740741</v>
      </c>
      <c r="J38" s="11" t="n">
        <v>0.001215277777777778</v>
      </c>
      <c r="K38" s="9" t="n">
        <v>8.703876923076923</v>
      </c>
      <c r="L38" s="9" t="n">
        <v>8.08217142857143</v>
      </c>
      <c r="M38" s="9" t="n">
        <v>9.325582417582417</v>
      </c>
      <c r="N38" s="9" t="n">
        <v>0.6217054945054938</v>
      </c>
    </row>
    <row r="39">
      <c r="A39" s="3" t="inlineStr">
        <is>
          <t>PushOffDrive</t>
        </is>
      </c>
      <c r="B39" s="3" t="inlineStr">
        <is>
          <t>725</t>
        </is>
      </c>
      <c r="C39" s="3" t="inlineStr">
        <is>
          <t>617</t>
        </is>
      </c>
      <c r="D39" s="13" t="n">
        <v>2</v>
      </c>
      <c r="E39" s="14" t="n">
        <v>264.92</v>
      </c>
      <c r="F39" s="14" t="n">
        <v>264.92</v>
      </c>
      <c r="G39" s="14" t="n">
        <v>264.92</v>
      </c>
      <c r="H39" s="11" t="n">
        <v>0.001238425925925926</v>
      </c>
      <c r="I39" s="11" t="n">
        <v>0.001238425925925926</v>
      </c>
      <c r="J39" s="11" t="n">
        <v>0.001238425925925926</v>
      </c>
      <c r="K39" s="9" t="n">
        <v>8.913196261682243</v>
      </c>
      <c r="L39" s="9" t="n">
        <v>8.913196261682243</v>
      </c>
      <c r="M39" s="9" t="n">
        <v>8.913196261682243</v>
      </c>
      <c r="N39" s="9" t="n">
        <v>0</v>
      </c>
    </row>
    <row r="40">
      <c r="A40" s="3" t="inlineStr">
        <is>
          <t>PushOffDrive</t>
        </is>
      </c>
      <c r="B40" s="3" t="inlineStr">
        <is>
          <t>725</t>
        </is>
      </c>
      <c r="C40" s="3" t="inlineStr">
        <is>
          <t>619</t>
        </is>
      </c>
      <c r="D40" s="13" t="n">
        <v>5</v>
      </c>
      <c r="E40" s="14" t="n">
        <v>425.77</v>
      </c>
      <c r="F40" s="14" t="n">
        <v>425.77</v>
      </c>
      <c r="G40" s="14" t="n">
        <v>425.77</v>
      </c>
      <c r="H40" s="11" t="n">
        <v>0.002023148148148148</v>
      </c>
      <c r="I40" s="11" t="n">
        <v>0.001805555555555555</v>
      </c>
      <c r="J40" s="11" t="n">
        <v>0.002557870370370371</v>
      </c>
      <c r="K40" s="9" t="n">
        <v>8.929374642454926</v>
      </c>
      <c r="L40" s="9" t="n">
        <v>6.935619909502262</v>
      </c>
      <c r="M40" s="9" t="n">
        <v>9.825461538461539</v>
      </c>
      <c r="N40" s="9" t="n">
        <v>1.124803010551455</v>
      </c>
    </row>
    <row r="41">
      <c r="A41" s="3" t="inlineStr">
        <is>
          <t>PushOffDrive</t>
        </is>
      </c>
      <c r="B41" s="3" t="inlineStr">
        <is>
          <t>725</t>
        </is>
      </c>
      <c r="C41" s="3" t="inlineStr">
        <is>
          <t>621</t>
        </is>
      </c>
      <c r="D41" s="13" t="n">
        <v>1</v>
      </c>
      <c r="E41" s="14" t="n">
        <v>425.77</v>
      </c>
      <c r="F41" s="14" t="n">
        <v>425.77</v>
      </c>
      <c r="G41" s="14" t="n">
        <v>425.77</v>
      </c>
      <c r="H41" s="11" t="n">
        <v>0.00181712962962963</v>
      </c>
      <c r="I41" s="11" t="n">
        <v>0.00181712962962963</v>
      </c>
      <c r="J41" s="11" t="n">
        <v>0.00181712962962963</v>
      </c>
      <c r="K41" s="9" t="n">
        <v>9.762878980891719</v>
      </c>
      <c r="L41" s="9" t="n">
        <v>9.762878980891719</v>
      </c>
      <c r="M41" s="9" t="n">
        <v>9.762878980891719</v>
      </c>
      <c r="N41" s="9" t="n">
        <v>0</v>
      </c>
    </row>
    <row r="42">
      <c r="A42" s="3" t="inlineStr">
        <is>
          <t>PushOffDrive</t>
        </is>
      </c>
      <c r="B42" s="3" t="inlineStr">
        <is>
          <t>725</t>
        </is>
      </c>
      <c r="C42" s="3" t="inlineStr">
        <is>
          <t>623</t>
        </is>
      </c>
      <c r="D42" s="13" t="n">
        <v>2</v>
      </c>
      <c r="E42" s="14" t="n">
        <v>377.86</v>
      </c>
      <c r="F42" s="14" t="n">
        <v>377.86</v>
      </c>
      <c r="G42" s="14" t="n">
        <v>377.86</v>
      </c>
      <c r="H42" s="11" t="n">
        <v>0.001626157407407407</v>
      </c>
      <c r="I42" s="11" t="n">
        <v>0.001608796296296296</v>
      </c>
      <c r="J42" s="11" t="n">
        <v>0.001643518518518519</v>
      </c>
      <c r="K42" s="9" t="n">
        <v>9.682925727024015</v>
      </c>
      <c r="L42" s="9" t="n">
        <v>9.579549295774649</v>
      </c>
      <c r="M42" s="9" t="n">
        <v>9.786302158273381</v>
      </c>
      <c r="N42" s="9" t="n">
        <v>0.1033764312493659</v>
      </c>
    </row>
    <row r="43">
      <c r="A43" s="3" t="inlineStr">
        <is>
          <t>PushOffDrive</t>
        </is>
      </c>
      <c r="B43" s="3" t="inlineStr">
        <is>
          <t>725</t>
        </is>
      </c>
      <c r="C43" s="3" t="inlineStr">
        <is>
          <t>625</t>
        </is>
      </c>
      <c r="D43" s="13" t="n">
        <v>3</v>
      </c>
      <c r="E43" s="14" t="n">
        <v>443.5600000000001</v>
      </c>
      <c r="F43" s="14" t="n">
        <v>443.5600000000001</v>
      </c>
      <c r="G43" s="14" t="n">
        <v>443.5600000000001</v>
      </c>
      <c r="H43" s="11" t="n">
        <v>0.001898148148148148</v>
      </c>
      <c r="I43" s="11" t="n">
        <v>0.001886574074074074</v>
      </c>
      <c r="J43" s="11" t="n">
        <v>0.001921296296296296</v>
      </c>
      <c r="K43" s="9" t="n">
        <v>9.737402616601376</v>
      </c>
      <c r="L43" s="9" t="n">
        <v>9.619373493975905</v>
      </c>
      <c r="M43" s="9" t="n">
        <v>9.796417177914112</v>
      </c>
      <c r="N43" s="9" t="n">
        <v>0.08345919298596925</v>
      </c>
    </row>
    <row r="44">
      <c r="A44" s="3" t="inlineStr">
        <is>
          <t>PushOffDrive</t>
        </is>
      </c>
      <c r="B44" s="3" t="inlineStr">
        <is>
          <t>725</t>
        </is>
      </c>
      <c r="C44" s="3" t="inlineStr">
        <is>
          <t>627</t>
        </is>
      </c>
      <c r="D44" s="13" t="n">
        <v>4</v>
      </c>
      <c r="E44" s="14" t="n">
        <v>416.23</v>
      </c>
      <c r="F44" s="14" t="n">
        <v>416.23</v>
      </c>
      <c r="G44" s="14" t="n">
        <v>416.23</v>
      </c>
      <c r="H44" s="11" t="n">
        <v>0.00197337962962963</v>
      </c>
      <c r="I44" s="11" t="n">
        <v>0.001770833333333333</v>
      </c>
      <c r="J44" s="11" t="n">
        <v>0.002233796296296296</v>
      </c>
      <c r="K44" s="9" t="n">
        <v>8.850410341694751</v>
      </c>
      <c r="L44" s="9" t="n">
        <v>7.763875647668394</v>
      </c>
      <c r="M44" s="9" t="n">
        <v>9.793647058823529</v>
      </c>
      <c r="N44" s="9" t="n">
        <v>0.7299465068317863</v>
      </c>
    </row>
    <row r="45">
      <c r="A45" s="3" t="inlineStr">
        <is>
          <t>PushOffDrive</t>
        </is>
      </c>
      <c r="B45" s="3" t="inlineStr">
        <is>
          <t>725</t>
        </is>
      </c>
      <c r="C45" s="3" t="inlineStr">
        <is>
          <t>629</t>
        </is>
      </c>
      <c r="D45" s="13" t="n">
        <v>3</v>
      </c>
      <c r="E45" s="14" t="n">
        <v>416.23</v>
      </c>
      <c r="F45" s="14" t="n">
        <v>416.23</v>
      </c>
      <c r="G45" s="14" t="n">
        <v>416.23</v>
      </c>
      <c r="H45" s="11" t="n">
        <v>0.001824845679012346</v>
      </c>
      <c r="I45" s="11" t="n">
        <v>0.001793981481481481</v>
      </c>
      <c r="J45" s="11" t="n">
        <v>0.001875</v>
      </c>
      <c r="K45" s="9" t="n">
        <v>9.507380222406029</v>
      </c>
      <c r="L45" s="9" t="n">
        <v>9.249555555555556</v>
      </c>
      <c r="M45" s="9" t="n">
        <v>9.667277419354839</v>
      </c>
      <c r="N45" s="9" t="n">
        <v>0.184056569012523</v>
      </c>
    </row>
    <row r="46">
      <c r="A46" s="3" t="inlineStr">
        <is>
          <t>PushOffDrive</t>
        </is>
      </c>
      <c r="B46" s="3" t="inlineStr">
        <is>
          <t>727</t>
        </is>
      </c>
      <c r="C46" s="3" t="inlineStr">
        <is>
          <t>605</t>
        </is>
      </c>
      <c r="D46" s="13" t="n">
        <v>22</v>
      </c>
      <c r="E46" s="14" t="n">
        <v>398.6</v>
      </c>
      <c r="F46" s="14" t="n">
        <v>398.6</v>
      </c>
      <c r="G46" s="14" t="n">
        <v>398.6</v>
      </c>
      <c r="H46" s="11" t="n">
        <v>0.001795559764309764</v>
      </c>
      <c r="I46" s="11" t="n">
        <v>0.001689814814814815</v>
      </c>
      <c r="J46" s="11" t="n">
        <v>0.002280092592592593</v>
      </c>
      <c r="K46" s="9" t="n">
        <v>9.307518394191698</v>
      </c>
      <c r="L46" s="9" t="n">
        <v>7.284060913705584</v>
      </c>
      <c r="M46" s="9" t="n">
        <v>9.828493150684931</v>
      </c>
      <c r="N46" s="9" t="n">
        <v>0.6851753980666987</v>
      </c>
    </row>
    <row r="47">
      <c r="A47" s="3" t="inlineStr">
        <is>
          <t>PushOffDrive</t>
        </is>
      </c>
      <c r="B47" s="3" t="inlineStr">
        <is>
          <t>727</t>
        </is>
      </c>
      <c r="C47" s="3" t="inlineStr">
        <is>
          <t>606</t>
        </is>
      </c>
      <c r="D47" s="13" t="n">
        <v>7</v>
      </c>
      <c r="E47" s="14" t="n">
        <v>398.2</v>
      </c>
      <c r="F47" s="14" t="n">
        <v>398.2</v>
      </c>
      <c r="G47" s="14" t="n">
        <v>398.2</v>
      </c>
      <c r="H47" s="11" t="n">
        <v>0.001752645502645502</v>
      </c>
      <c r="I47" s="11" t="n">
        <v>0.001689814814814815</v>
      </c>
      <c r="J47" s="11" t="n">
        <v>0.001990740740740741</v>
      </c>
      <c r="K47" s="9" t="n">
        <v>9.494743568512924</v>
      </c>
      <c r="L47" s="9" t="n">
        <v>8.334418604651162</v>
      </c>
      <c r="M47" s="9" t="n">
        <v>9.8186301369863</v>
      </c>
      <c r="N47" s="9" t="n">
        <v>0.4922630493904145</v>
      </c>
    </row>
    <row r="48">
      <c r="A48" s="3" t="inlineStr">
        <is>
          <t>PushOffDrive</t>
        </is>
      </c>
      <c r="B48" s="3" t="inlineStr">
        <is>
          <t>727</t>
        </is>
      </c>
      <c r="C48" s="3" t="inlineStr">
        <is>
          <t>607</t>
        </is>
      </c>
      <c r="D48" s="13" t="n">
        <v>20</v>
      </c>
      <c r="E48" s="14" t="n">
        <v>371.57</v>
      </c>
      <c r="F48" s="14" t="n">
        <v>371.57</v>
      </c>
      <c r="G48" s="14" t="n">
        <v>371.57</v>
      </c>
      <c r="H48" s="11" t="n">
        <v>0.001679398148148148</v>
      </c>
      <c r="I48" s="11" t="n">
        <v>0.001574074074074074</v>
      </c>
      <c r="J48" s="11" t="n">
        <v>0.002106481481481481</v>
      </c>
      <c r="K48" s="9" t="n">
        <v>9.294032028851511</v>
      </c>
      <c r="L48" s="9" t="n">
        <v>7.349736263736264</v>
      </c>
      <c r="M48" s="9" t="n">
        <v>9.835676470588234</v>
      </c>
      <c r="N48" s="9" t="n">
        <v>0.7720594368318423</v>
      </c>
    </row>
    <row r="49">
      <c r="A49" s="3" t="inlineStr">
        <is>
          <t>PushOffDrive</t>
        </is>
      </c>
      <c r="B49" s="3" t="inlineStr">
        <is>
          <t>727</t>
        </is>
      </c>
      <c r="C49" s="3" t="inlineStr">
        <is>
          <t>609</t>
        </is>
      </c>
      <c r="D49" s="13" t="n">
        <v>22</v>
      </c>
      <c r="E49" s="14" t="n">
        <v>344.04</v>
      </c>
      <c r="F49" s="14" t="n">
        <v>344.04</v>
      </c>
      <c r="G49" s="14" t="n">
        <v>344.04</v>
      </c>
      <c r="H49" s="11" t="n">
        <v>0.001625105218855219</v>
      </c>
      <c r="I49" s="11" t="n">
        <v>0.001458333333333333</v>
      </c>
      <c r="J49" s="11" t="n">
        <v>0.0025</v>
      </c>
      <c r="K49" s="9" t="n">
        <v>9.009100155611863</v>
      </c>
      <c r="L49" s="9" t="n">
        <v>5.734</v>
      </c>
      <c r="M49" s="9" t="n">
        <v>9.829714285714285</v>
      </c>
      <c r="N49" s="9" t="n">
        <v>1.128888389010909</v>
      </c>
    </row>
    <row r="50">
      <c r="A50" s="3" t="inlineStr">
        <is>
          <t>PushOffDrive</t>
        </is>
      </c>
      <c r="B50" s="3" t="inlineStr">
        <is>
          <t>727</t>
        </is>
      </c>
      <c r="C50" s="3" t="inlineStr">
        <is>
          <t>611</t>
        </is>
      </c>
      <c r="D50" s="13" t="n">
        <v>14</v>
      </c>
      <c r="E50" s="14" t="n">
        <v>317.52</v>
      </c>
      <c r="F50" s="14" t="n">
        <v>317.52</v>
      </c>
      <c r="G50" s="14" t="n">
        <v>317.52</v>
      </c>
      <c r="H50" s="11" t="n">
        <v>0.001515376984126984</v>
      </c>
      <c r="I50" s="11" t="n">
        <v>0.001354166666666667</v>
      </c>
      <c r="J50" s="11" t="n">
        <v>0.002233796296296296</v>
      </c>
      <c r="K50" s="9" t="n">
        <v>8.910177153383588</v>
      </c>
      <c r="L50" s="9" t="n">
        <v>5.922652849740932</v>
      </c>
      <c r="M50" s="9" t="n">
        <v>9.769846153846155</v>
      </c>
      <c r="N50" s="9" t="n">
        <v>1.126983081826983</v>
      </c>
    </row>
    <row r="51">
      <c r="A51" s="3" t="inlineStr">
        <is>
          <t>PushOffDrive</t>
        </is>
      </c>
      <c r="B51" s="3" t="inlineStr">
        <is>
          <t>727</t>
        </is>
      </c>
      <c r="C51" s="3" t="inlineStr">
        <is>
          <t>613</t>
        </is>
      </c>
      <c r="D51" s="13" t="n">
        <v>17</v>
      </c>
      <c r="E51" s="14" t="n">
        <v>290.6</v>
      </c>
      <c r="F51" s="14" t="n">
        <v>290.6</v>
      </c>
      <c r="G51" s="14" t="n">
        <v>290.6</v>
      </c>
      <c r="H51" s="11" t="n">
        <v>0.001493055555555556</v>
      </c>
      <c r="I51" s="11" t="n">
        <v>0.001238425925925926</v>
      </c>
      <c r="J51" s="11" t="n">
        <v>0.002210648148148148</v>
      </c>
      <c r="K51" s="9" t="n">
        <v>8.388624652714828</v>
      </c>
      <c r="L51" s="9" t="n">
        <v>5.477277486910996</v>
      </c>
      <c r="M51" s="9" t="n">
        <v>9.777196261682244</v>
      </c>
      <c r="N51" s="9" t="n">
        <v>1.372746513860256</v>
      </c>
    </row>
    <row r="52">
      <c r="A52" s="3" t="inlineStr">
        <is>
          <t>PushOffDrive</t>
        </is>
      </c>
      <c r="B52" s="3" t="inlineStr">
        <is>
          <t>727</t>
        </is>
      </c>
      <c r="C52" s="3" t="inlineStr">
        <is>
          <t>615</t>
        </is>
      </c>
      <c r="D52" s="13" t="n">
        <v>36</v>
      </c>
      <c r="E52" s="14" t="n">
        <v>263.09</v>
      </c>
      <c r="F52" s="14" t="n">
        <v>263.09</v>
      </c>
      <c r="G52" s="14" t="n">
        <v>263.09</v>
      </c>
      <c r="H52" s="11" t="n">
        <v>0.001234246399176955</v>
      </c>
      <c r="I52" s="11" t="n">
        <v>0.001122685185185185</v>
      </c>
      <c r="J52" s="11" t="n">
        <v>0.002013888888888889</v>
      </c>
      <c r="K52" s="9" t="n">
        <v>9.001461378286027</v>
      </c>
      <c r="L52" s="9" t="n">
        <v>5.443241379310344</v>
      </c>
      <c r="M52" s="9" t="n">
        <v>9.764164948453608</v>
      </c>
      <c r="N52" s="9" t="n">
        <v>0.9097194747291625</v>
      </c>
    </row>
    <row r="53">
      <c r="A53" s="3" t="inlineStr">
        <is>
          <t>PushOffDrive</t>
        </is>
      </c>
      <c r="B53" s="3" t="inlineStr">
        <is>
          <t>727</t>
        </is>
      </c>
      <c r="C53" s="3" t="inlineStr">
        <is>
          <t>617</t>
        </is>
      </c>
      <c r="D53" s="13" t="n">
        <v>19</v>
      </c>
      <c r="E53" s="14" t="n">
        <v>292.28</v>
      </c>
      <c r="F53" s="14" t="n">
        <v>292.28</v>
      </c>
      <c r="G53" s="14" t="n">
        <v>292.28</v>
      </c>
      <c r="H53" s="11" t="n">
        <v>0.001412646198830409</v>
      </c>
      <c r="I53" s="11" t="n">
        <v>0.00125</v>
      </c>
      <c r="J53" s="11" t="n">
        <v>0.002060185185185185</v>
      </c>
      <c r="K53" s="9" t="n">
        <v>8.844777690272446</v>
      </c>
      <c r="L53" s="9" t="n">
        <v>5.911280898876404</v>
      </c>
      <c r="M53" s="9" t="n">
        <v>9.742666666666667</v>
      </c>
      <c r="N53" s="9" t="n">
        <v>1.244293697258918</v>
      </c>
    </row>
    <row r="54">
      <c r="A54" s="3" t="inlineStr">
        <is>
          <t>PushOffDrive</t>
        </is>
      </c>
      <c r="B54" s="3" t="inlineStr">
        <is>
          <t>727</t>
        </is>
      </c>
      <c r="C54" s="3" t="inlineStr">
        <is>
          <t>619</t>
        </is>
      </c>
      <c r="D54" s="13" t="n">
        <v>30</v>
      </c>
      <c r="E54" s="14" t="n">
        <v>453.13</v>
      </c>
      <c r="F54" s="14" t="n">
        <v>453.13</v>
      </c>
      <c r="G54" s="14" t="n">
        <v>453.13</v>
      </c>
      <c r="H54" s="11" t="n">
        <v>0.00218287037037037</v>
      </c>
      <c r="I54" s="11" t="n">
        <v>0.001921296296296296</v>
      </c>
      <c r="J54" s="11" t="n">
        <v>0.0028125</v>
      </c>
      <c r="K54" s="9" t="n">
        <v>8.79301918138453</v>
      </c>
      <c r="L54" s="9" t="n">
        <v>6.713037037037037</v>
      </c>
      <c r="M54" s="9" t="n">
        <v>9.826915662650602</v>
      </c>
      <c r="N54" s="9" t="n">
        <v>1.052546557376808</v>
      </c>
    </row>
    <row r="55">
      <c r="A55" s="3" t="inlineStr">
        <is>
          <t>PushOffDrive</t>
        </is>
      </c>
      <c r="B55" s="3" t="inlineStr">
        <is>
          <t>727</t>
        </is>
      </c>
      <c r="C55" s="3" t="inlineStr">
        <is>
          <t>621</t>
        </is>
      </c>
      <c r="D55" s="13" t="n">
        <v>17</v>
      </c>
      <c r="E55" s="14" t="n">
        <v>453.13</v>
      </c>
      <c r="F55" s="14" t="n">
        <v>453.13</v>
      </c>
      <c r="G55" s="14" t="n">
        <v>453.13</v>
      </c>
      <c r="H55" s="11" t="n">
        <v>0.001964869281045752</v>
      </c>
      <c r="I55" s="11" t="n">
        <v>0.001921296296296296</v>
      </c>
      <c r="J55" s="11" t="n">
        <v>0.002083333333333333</v>
      </c>
      <c r="K55" s="9" t="n">
        <v>9.613653385134846</v>
      </c>
      <c r="L55" s="9" t="n">
        <v>9.0626</v>
      </c>
      <c r="M55" s="9" t="n">
        <v>9.826915662650602</v>
      </c>
      <c r="N55" s="9" t="n">
        <v>0.2092776161459931</v>
      </c>
    </row>
    <row r="56">
      <c r="A56" s="3" t="inlineStr">
        <is>
          <t>PushOffDrive</t>
        </is>
      </c>
      <c r="B56" s="3" t="inlineStr">
        <is>
          <t>727</t>
        </is>
      </c>
      <c r="C56" s="3" t="inlineStr">
        <is>
          <t>623</t>
        </is>
      </c>
      <c r="D56" s="13" t="n">
        <v>25</v>
      </c>
      <c r="E56" s="14" t="n">
        <v>405.22</v>
      </c>
      <c r="F56" s="14" t="n">
        <v>405.22</v>
      </c>
      <c r="G56" s="14" t="n">
        <v>405.22</v>
      </c>
      <c r="H56" s="11" t="n">
        <v>0.001773611111111111</v>
      </c>
      <c r="I56" s="11" t="n">
        <v>0.001724537037037037</v>
      </c>
      <c r="J56" s="11" t="n">
        <v>0.002280092592592593</v>
      </c>
      <c r="K56" s="9" t="n">
        <v>9.551699800245752</v>
      </c>
      <c r="L56" s="9" t="n">
        <v>7.405035532994924</v>
      </c>
      <c r="M56" s="9" t="n">
        <v>9.790550335570471</v>
      </c>
      <c r="N56" s="9" t="n">
        <v>0.5012199364335859</v>
      </c>
    </row>
    <row r="57">
      <c r="A57" s="3" t="inlineStr">
        <is>
          <t>PushOffDrive</t>
        </is>
      </c>
      <c r="B57" s="3" t="inlineStr">
        <is>
          <t>727</t>
        </is>
      </c>
      <c r="C57" s="3" t="inlineStr">
        <is>
          <t>625</t>
        </is>
      </c>
      <c r="D57" s="13" t="n">
        <v>17</v>
      </c>
      <c r="E57" s="14" t="n">
        <v>470.92</v>
      </c>
      <c r="F57" s="14" t="n">
        <v>470.92</v>
      </c>
      <c r="G57" s="14" t="n">
        <v>470.92</v>
      </c>
      <c r="H57" s="11" t="n">
        <v>0.002084014161220044</v>
      </c>
      <c r="I57" s="11" t="n">
        <v>0.001990740740740741</v>
      </c>
      <c r="J57" s="11" t="n">
        <v>0.002372685185185185</v>
      </c>
      <c r="K57" s="9" t="n">
        <v>9.442901024112793</v>
      </c>
      <c r="L57" s="9" t="n">
        <v>8.269814634146343</v>
      </c>
      <c r="M57" s="9" t="n">
        <v>9.85646511627907</v>
      </c>
      <c r="N57" s="9" t="n">
        <v>0.4904115262200605</v>
      </c>
    </row>
    <row r="58">
      <c r="A58" s="3" t="inlineStr">
        <is>
          <t>PushOffDrive</t>
        </is>
      </c>
      <c r="B58" s="3" t="inlineStr">
        <is>
          <t>727</t>
        </is>
      </c>
      <c r="C58" s="3" t="inlineStr">
        <is>
          <t>627</t>
        </is>
      </c>
      <c r="D58" s="13" t="n">
        <v>33</v>
      </c>
      <c r="E58" s="14" t="n">
        <v>443.59</v>
      </c>
      <c r="F58" s="14" t="n">
        <v>443.59</v>
      </c>
      <c r="G58" s="14" t="n">
        <v>443.59</v>
      </c>
      <c r="H58" s="11" t="n">
        <v>0.002014590347923681</v>
      </c>
      <c r="I58" s="11" t="n">
        <v>0.001875</v>
      </c>
      <c r="J58" s="11" t="n">
        <v>0.003055555555555556</v>
      </c>
      <c r="K58" s="9" t="n">
        <v>9.279737294321516</v>
      </c>
      <c r="L58" s="9" t="n">
        <v>6.048954545454546</v>
      </c>
      <c r="M58" s="9" t="n">
        <v>9.857555555555557</v>
      </c>
      <c r="N58" s="9" t="n">
        <v>0.8818243214020179</v>
      </c>
    </row>
    <row r="59">
      <c r="A59" s="3" t="inlineStr">
        <is>
          <t>PushOffDrive</t>
        </is>
      </c>
      <c r="B59" s="3" t="inlineStr">
        <is>
          <t>727</t>
        </is>
      </c>
      <c r="C59" s="3" t="inlineStr">
        <is>
          <t>629</t>
        </is>
      </c>
      <c r="D59" s="13" t="n">
        <v>30</v>
      </c>
      <c r="E59" s="14" t="n">
        <v>443.59</v>
      </c>
      <c r="F59" s="14" t="n">
        <v>443.59</v>
      </c>
      <c r="G59" s="14" t="n">
        <v>443.59</v>
      </c>
      <c r="H59" s="11" t="n">
        <v>0.002045910493827161</v>
      </c>
      <c r="I59" s="11" t="n">
        <v>0.001875</v>
      </c>
      <c r="J59" s="11" t="n">
        <v>0.002569444444444445</v>
      </c>
      <c r="K59" s="9" t="n">
        <v>9.087689440755964</v>
      </c>
      <c r="L59" s="9" t="n">
        <v>7.193351351351351</v>
      </c>
      <c r="M59" s="9" t="n">
        <v>9.857555555555557</v>
      </c>
      <c r="N59" s="9" t="n">
        <v>0.6674869669038885</v>
      </c>
    </row>
    <row r="60">
      <c r="A60" s="3" t="inlineStr">
        <is>
          <t>PushOffDrive</t>
        </is>
      </c>
      <c r="B60" s="3" t="inlineStr">
        <is>
          <t>731</t>
        </is>
      </c>
      <c r="C60" s="3" t="inlineStr">
        <is>
          <t>605</t>
        </is>
      </c>
      <c r="D60" s="13" t="n">
        <v>2</v>
      </c>
      <c r="E60" s="14" t="n">
        <v>490.3200000000001</v>
      </c>
      <c r="F60" s="14" t="n">
        <v>490.3200000000001</v>
      </c>
      <c r="G60" s="14" t="n">
        <v>490.3200000000001</v>
      </c>
      <c r="H60" s="11" t="n">
        <v>0.0021875</v>
      </c>
      <c r="I60" s="11" t="n">
        <v>0.0021875</v>
      </c>
      <c r="J60" s="11" t="n">
        <v>0.0021875</v>
      </c>
      <c r="K60" s="9" t="n">
        <v>9.339428571428574</v>
      </c>
      <c r="L60" s="9" t="n">
        <v>9.339428571428574</v>
      </c>
      <c r="M60" s="9" t="n">
        <v>9.339428571428574</v>
      </c>
      <c r="N60" s="9" t="n">
        <v>0</v>
      </c>
    </row>
    <row r="61">
      <c r="A61" s="3" t="inlineStr">
        <is>
          <t>PushOffDrive</t>
        </is>
      </c>
      <c r="B61" s="3" t="inlineStr">
        <is>
          <t>731</t>
        </is>
      </c>
      <c r="C61" s="3" t="inlineStr">
        <is>
          <t>606</t>
        </is>
      </c>
      <c r="D61" s="13" t="n">
        <v>1</v>
      </c>
      <c r="E61" s="14" t="n">
        <v>489.92</v>
      </c>
      <c r="F61" s="14" t="n">
        <v>489.92</v>
      </c>
      <c r="G61" s="14" t="n">
        <v>489.92</v>
      </c>
      <c r="H61" s="11" t="n">
        <v>0.002083333333333333</v>
      </c>
      <c r="I61" s="11" t="n">
        <v>0.002083333333333333</v>
      </c>
      <c r="J61" s="11" t="n">
        <v>0.002083333333333333</v>
      </c>
      <c r="K61" s="9" t="n">
        <v>9.798400000000001</v>
      </c>
      <c r="L61" s="9" t="n">
        <v>9.798400000000001</v>
      </c>
      <c r="M61" s="9" t="n">
        <v>9.798400000000001</v>
      </c>
      <c r="N61" s="9" t="n">
        <v>0</v>
      </c>
    </row>
    <row r="62">
      <c r="A62" s="3" t="inlineStr">
        <is>
          <t>PushOffDrive</t>
        </is>
      </c>
      <c r="B62" s="3" t="inlineStr">
        <is>
          <t>731</t>
        </is>
      </c>
      <c r="C62" s="3" t="inlineStr">
        <is>
          <t>607</t>
        </is>
      </c>
      <c r="D62" s="13" t="n">
        <v>2</v>
      </c>
      <c r="E62" s="14" t="n">
        <v>463.29</v>
      </c>
      <c r="F62" s="14" t="n">
        <v>463.29</v>
      </c>
      <c r="G62" s="14" t="n">
        <v>463.29</v>
      </c>
      <c r="H62" s="11" t="n">
        <v>0.002054398148148148</v>
      </c>
      <c r="I62" s="11" t="n">
        <v>0.002025462962962963</v>
      </c>
      <c r="J62" s="11" t="n">
        <v>0.002083333333333333</v>
      </c>
      <c r="K62" s="9" t="n">
        <v>9.398168571428572</v>
      </c>
      <c r="L62" s="9" t="n">
        <v>9.2658</v>
      </c>
      <c r="M62" s="9" t="n">
        <v>9.530537142857144</v>
      </c>
      <c r="N62" s="9" t="n">
        <v>0.1323685714285716</v>
      </c>
    </row>
    <row r="63">
      <c r="A63" s="3" t="inlineStr">
        <is>
          <t>PushOffDrive</t>
        </is>
      </c>
      <c r="B63" s="3" t="inlineStr">
        <is>
          <t>731</t>
        </is>
      </c>
      <c r="C63" s="3" t="inlineStr">
        <is>
          <t>609</t>
        </is>
      </c>
      <c r="D63" s="13" t="n">
        <v>1</v>
      </c>
      <c r="E63" s="14" t="n">
        <v>435.76</v>
      </c>
      <c r="F63" s="14" t="n">
        <v>435.76</v>
      </c>
      <c r="G63" s="14" t="n">
        <v>435.76</v>
      </c>
      <c r="H63" s="11" t="n">
        <v>0.00193287037037037</v>
      </c>
      <c r="I63" s="11" t="n">
        <v>0.00193287037037037</v>
      </c>
      <c r="J63" s="11" t="n">
        <v>0.00193287037037037</v>
      </c>
      <c r="K63" s="9" t="n">
        <v>9.39362874251497</v>
      </c>
      <c r="L63" s="9" t="n">
        <v>9.39362874251497</v>
      </c>
      <c r="M63" s="9" t="n">
        <v>9.39362874251497</v>
      </c>
      <c r="N63" s="9" t="n">
        <v>0</v>
      </c>
    </row>
    <row r="64">
      <c r="A64" s="3" t="inlineStr">
        <is>
          <t>PushOffDrive</t>
        </is>
      </c>
      <c r="B64" s="3" t="inlineStr">
        <is>
          <t>731</t>
        </is>
      </c>
      <c r="C64" s="3" t="inlineStr">
        <is>
          <t>611</t>
        </is>
      </c>
      <c r="D64" s="13" t="n">
        <v>1</v>
      </c>
      <c r="E64" s="14" t="n">
        <v>409.24</v>
      </c>
      <c r="F64" s="14" t="n">
        <v>409.24</v>
      </c>
      <c r="G64" s="14" t="n">
        <v>409.24</v>
      </c>
      <c r="H64" s="11" t="n">
        <v>0.00181712962962963</v>
      </c>
      <c r="I64" s="11" t="n">
        <v>0.00181712962962963</v>
      </c>
      <c r="J64" s="11" t="n">
        <v>0.00181712962962963</v>
      </c>
      <c r="K64" s="9" t="n">
        <v>9.383847133757962</v>
      </c>
      <c r="L64" s="9" t="n">
        <v>9.383847133757962</v>
      </c>
      <c r="M64" s="9" t="n">
        <v>9.383847133757962</v>
      </c>
      <c r="N64" s="9" t="n">
        <v>0</v>
      </c>
    </row>
    <row r="65">
      <c r="A65" s="3" t="inlineStr">
        <is>
          <t>PushOffDrive</t>
        </is>
      </c>
      <c r="B65" s="3" t="inlineStr">
        <is>
          <t>731</t>
        </is>
      </c>
      <c r="C65" s="3" t="inlineStr">
        <is>
          <t>613</t>
        </is>
      </c>
      <c r="D65" s="13" t="n">
        <v>1</v>
      </c>
      <c r="E65" s="14" t="n">
        <v>382.3200000000001</v>
      </c>
      <c r="F65" s="14" t="n">
        <v>382.3200000000001</v>
      </c>
      <c r="G65" s="14" t="n">
        <v>382.3200000000001</v>
      </c>
      <c r="H65" s="11" t="n">
        <v>0.001643518518518519</v>
      </c>
      <c r="I65" s="11" t="n">
        <v>0.001643518518518519</v>
      </c>
      <c r="J65" s="11" t="n">
        <v>0.001643518518518519</v>
      </c>
      <c r="K65" s="9" t="n">
        <v>9.69261971830986</v>
      </c>
      <c r="L65" s="9" t="n">
        <v>9.69261971830986</v>
      </c>
      <c r="M65" s="9" t="n">
        <v>9.69261971830986</v>
      </c>
      <c r="N65" s="9" t="n">
        <v>0</v>
      </c>
    </row>
    <row r="66">
      <c r="A66" s="3" t="inlineStr">
        <is>
          <t>PushOffDrive</t>
        </is>
      </c>
      <c r="B66" s="3" t="inlineStr">
        <is>
          <t>731</t>
        </is>
      </c>
      <c r="C66" s="3" t="inlineStr">
        <is>
          <t>615</t>
        </is>
      </c>
      <c r="D66" s="13" t="n">
        <v>5</v>
      </c>
      <c r="E66" s="14" t="n">
        <v>354.81</v>
      </c>
      <c r="F66" s="14" t="n">
        <v>354.81</v>
      </c>
      <c r="G66" s="14" t="n">
        <v>354.81</v>
      </c>
      <c r="H66" s="11" t="n">
        <v>0.00155787037037037</v>
      </c>
      <c r="I66" s="11" t="n">
        <v>0.001516203703703704</v>
      </c>
      <c r="J66" s="11" t="n">
        <v>0.00162037037037037</v>
      </c>
      <c r="K66" s="9" t="n">
        <v>9.496075351130425</v>
      </c>
      <c r="L66" s="9" t="n">
        <v>9.123685714285715</v>
      </c>
      <c r="M66" s="9" t="n">
        <v>9.750503816793893</v>
      </c>
      <c r="N66" s="9" t="n">
        <v>0.2446378701031314</v>
      </c>
    </row>
    <row r="67">
      <c r="A67" s="3" t="inlineStr">
        <is>
          <t>PushOffDrive</t>
        </is>
      </c>
      <c r="B67" s="3" t="inlineStr">
        <is>
          <t>731</t>
        </is>
      </c>
      <c r="C67" s="3" t="inlineStr">
        <is>
          <t>617</t>
        </is>
      </c>
      <c r="D67" s="13" t="n">
        <v>1</v>
      </c>
      <c r="E67" s="14" t="n">
        <v>384</v>
      </c>
      <c r="F67" s="14" t="n">
        <v>384</v>
      </c>
      <c r="G67" s="14" t="n">
        <v>384</v>
      </c>
      <c r="H67" s="11" t="n">
        <v>0.001643518518518519</v>
      </c>
      <c r="I67" s="11" t="n">
        <v>0.001643518518518519</v>
      </c>
      <c r="J67" s="11" t="n">
        <v>0.001643518518518519</v>
      </c>
      <c r="K67" s="9" t="n">
        <v>9.735211267605633</v>
      </c>
      <c r="L67" s="9" t="n">
        <v>9.735211267605633</v>
      </c>
      <c r="M67" s="9" t="n">
        <v>9.735211267605633</v>
      </c>
      <c r="N67" s="9" t="n">
        <v>0</v>
      </c>
    </row>
    <row r="68">
      <c r="A68" s="3" t="inlineStr">
        <is>
          <t>PushOffDrive</t>
        </is>
      </c>
      <c r="B68" s="3" t="inlineStr">
        <is>
          <t>731</t>
        </is>
      </c>
      <c r="C68" s="3" t="inlineStr">
        <is>
          <t>621</t>
        </is>
      </c>
      <c r="D68" s="13" t="n">
        <v>1</v>
      </c>
      <c r="E68" s="14" t="n">
        <v>544.85</v>
      </c>
      <c r="F68" s="14" t="n">
        <v>544.85</v>
      </c>
      <c r="G68" s="14" t="n">
        <v>544.85</v>
      </c>
      <c r="H68" s="11" t="n">
        <v>0.002418981481481482</v>
      </c>
      <c r="I68" s="11" t="n">
        <v>0.002418981481481482</v>
      </c>
      <c r="J68" s="11" t="n">
        <v>0.002418981481481482</v>
      </c>
      <c r="K68" s="9" t="n">
        <v>9.384976076555024</v>
      </c>
      <c r="L68" s="9" t="n">
        <v>9.384976076555024</v>
      </c>
      <c r="M68" s="9" t="n">
        <v>9.384976076555024</v>
      </c>
      <c r="N68" s="9" t="n">
        <v>0</v>
      </c>
    </row>
  </sheetData>
  <autoFilter ref="A1:N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19" customWidth="1" min="3" max="3"/>
    <col width="19" customWidth="1" min="4" max="4"/>
    <col width="19" customWidth="1" min="5" max="5"/>
    <col width="19" customWidth="1" min="6" max="6"/>
    <col width="8.199999999999999" customWidth="1" min="7" max="7"/>
    <col width="19" customWidth="1" min="8" max="8"/>
    <col width="19" customWidth="1" min="9" max="9"/>
    <col width="19" customWidth="1" min="10" max="10"/>
    <col width="8.199999999999999" customWidth="1" min="11" max="11"/>
    <col width="8.199999999999999" customWidth="1" min="12" max="12"/>
    <col width="20" customWidth="1" min="16" max="16"/>
    <col width="12" customWidth="1" min="17" max="17"/>
  </cols>
  <sheetData>
    <row r="1" ht="45" customHeight="1">
      <c r="A1" s="1" t="inlineStr">
        <is>
          <t>WG Id</t>
        </is>
      </c>
      <c r="B1" s="1" t="inlineStr">
        <is>
          <t>Parent Train</t>
        </is>
      </c>
      <c r="C1" s="1" t="inlineStr">
        <is>
          <t>Train Spawn</t>
        </is>
      </c>
      <c r="D1" s="1" t="inlineStr">
        <is>
          <t>Train Arrived Track</t>
        </is>
      </c>
      <c r="E1" s="1" t="inlineStr">
        <is>
          <t>WG PushOff Drive Start</t>
        </is>
      </c>
      <c r="F1" s="1" t="inlineStr">
        <is>
          <t>WG Arrived Classif</t>
        </is>
      </c>
      <c r="G1" s="1" t="inlineStr">
        <is>
          <t>Parent OBT</t>
        </is>
      </c>
      <c r="H1" s="1" t="inlineStr">
        <is>
          <t>OBT Formed</t>
        </is>
      </c>
      <c r="I1" s="1" t="inlineStr">
        <is>
          <t>OBT Leaves Classif (DEPD start)</t>
        </is>
      </c>
      <c r="J1" s="1" t="inlineStr">
        <is>
          <t>Train Exits Station</t>
        </is>
      </c>
      <c r="K1" s="1" t="inlineStr">
        <is>
          <t>Arrival Yard (hh:mm:ss)</t>
        </is>
      </c>
      <c r="L1" s="1" t="inlineStr">
        <is>
          <t>Classif Yard (hh:mm:ss)</t>
        </is>
      </c>
      <c r="P1" s="5" t="inlineStr">
        <is>
          <t>Summary (hh:mm:ss)</t>
        </is>
      </c>
    </row>
    <row r="2">
      <c r="A2" s="3" t="inlineStr">
        <is>
          <t>1000101</t>
        </is>
      </c>
      <c r="B2" s="3" t="inlineStr">
        <is>
          <t>10001</t>
        </is>
      </c>
      <c r="C2" s="10" t="n">
        <v>45659.11092592592</v>
      </c>
      <c r="D2" s="10" t="n">
        <v>45659.11304398148</v>
      </c>
      <c r="E2" s="10" t="n">
        <v>45659.12101851852</v>
      </c>
      <c r="F2" s="10" t="n">
        <v>45659.1221875</v>
      </c>
      <c r="G2" s="3" t="inlineStr">
        <is>
          <t>OBT030125061555-Other sidings south</t>
        </is>
      </c>
      <c r="H2" s="10" t="n">
        <v>45660.26105324074</v>
      </c>
      <c r="I2" s="10" t="n">
        <v>45660.28053240741</v>
      </c>
      <c r="J2" s="10" t="n">
        <v>45660.28123842592</v>
      </c>
      <c r="K2" s="11">
        <f>IF(AND(ISNUMBER(D2),ISNUMBER(E2)),(E2-D2),"")</f>
        <v/>
      </c>
      <c r="L2" s="11">
        <f>IF(AND(ISNUMBER(F2),ISNUMBER(I2)),(I2-F2),"")</f>
        <v/>
      </c>
      <c r="P2" s="6" t="inlineStr">
        <is>
          <t>Arrival yard mean</t>
        </is>
      </c>
      <c r="Q2" s="8">
        <f>IFERROR(AVERAGE(K2:K1089),0)</f>
        <v/>
      </c>
    </row>
    <row r="3">
      <c r="A3" s="3" t="inlineStr">
        <is>
          <t>1000102</t>
        </is>
      </c>
      <c r="B3" s="3" t="inlineStr">
        <is>
          <t>10001</t>
        </is>
      </c>
      <c r="C3" s="10" t="n">
        <v>45659.11092592592</v>
      </c>
      <c r="D3" s="10" t="n">
        <v>45659.11304398148</v>
      </c>
      <c r="E3" s="10" t="n">
        <v>45659.1221875</v>
      </c>
      <c r="F3" s="10" t="n">
        <v>45659.12366898148</v>
      </c>
      <c r="G3" s="3" t="inlineStr">
        <is>
          <t>OBT020125030112-Neunkirchen (loading tracks)</t>
        </is>
      </c>
      <c r="H3" s="10" t="n">
        <v>45659.12583333333</v>
      </c>
      <c r="I3" s="10" t="n">
        <v>45659.1447337963</v>
      </c>
      <c r="J3" s="10" t="n">
        <v>45659.14540509259</v>
      </c>
      <c r="K3" s="11">
        <f>IF(AND(ISNUMBER(D3),ISNUMBER(E3)),(E3-D3),"")</f>
        <v/>
      </c>
      <c r="L3" s="11">
        <f>IF(AND(ISNUMBER(F3),ISNUMBER(I3)),(I3-F3),"")</f>
        <v/>
      </c>
      <c r="P3" s="6" t="inlineStr">
        <is>
          <t>Arrival yard median</t>
        </is>
      </c>
      <c r="Q3" s="8">
        <f>IFERROR(MEDIAN(K2:K1089),0)</f>
        <v/>
      </c>
    </row>
    <row r="4">
      <c r="A4" s="3" t="inlineStr">
        <is>
          <t>1000103</t>
        </is>
      </c>
      <c r="B4" s="3" t="inlineStr">
        <is>
          <t>10001</t>
        </is>
      </c>
      <c r="C4" s="10" t="n">
        <v>45659.11092592592</v>
      </c>
      <c r="D4" s="10" t="n">
        <v>45659.11304398148</v>
      </c>
      <c r="E4" s="10" t="n">
        <v>45659.12366898148</v>
      </c>
      <c r="F4" s="10" t="n">
        <v>45659.12571759259</v>
      </c>
      <c r="G4" s="3" t="inlineStr">
        <is>
          <t>OBT020125152222-Ternitz (Schoeller-Bleckmann)</t>
        </is>
      </c>
      <c r="H4" s="10" t="n">
        <v>45659.64053240741</v>
      </c>
      <c r="I4" s="10" t="n">
        <v>45659.70460648148</v>
      </c>
      <c r="J4" s="10" t="n">
        <v>45659.70583333333</v>
      </c>
      <c r="K4" s="11">
        <f>IF(AND(ISNUMBER(D4),ISNUMBER(E4)),(E4-D4),"")</f>
        <v/>
      </c>
      <c r="L4" s="11">
        <f>IF(AND(ISNUMBER(F4),ISNUMBER(I4)),(I4-F4),"")</f>
        <v/>
      </c>
      <c r="P4" s="6" t="inlineStr">
        <is>
          <t>Arrival yard min</t>
        </is>
      </c>
      <c r="Q4" s="8">
        <f>IFERROR(MIN(K2:K1089),0)</f>
        <v/>
      </c>
    </row>
    <row r="5">
      <c r="A5" s="3" t="inlineStr">
        <is>
          <t>1000104</t>
        </is>
      </c>
      <c r="B5" s="3" t="inlineStr">
        <is>
          <t>10001</t>
        </is>
      </c>
      <c r="C5" s="10" t="n">
        <v>45659.11092592592</v>
      </c>
      <c r="D5" s="10" t="n">
        <v>45659.11304398148</v>
      </c>
      <c r="E5" s="10" t="n">
        <v>45659.12571759259</v>
      </c>
      <c r="F5" s="10" t="n">
        <v>45659.12777777778</v>
      </c>
      <c r="G5" s="3" t="inlineStr">
        <is>
          <t>OBT030125063005-Gloggnitz</t>
        </is>
      </c>
      <c r="H5" s="10" t="n">
        <v>45660.27089120371</v>
      </c>
      <c r="I5" s="10" t="n">
        <v>45660.31285879629</v>
      </c>
      <c r="J5" s="10" t="n">
        <v>45660.31383101852</v>
      </c>
      <c r="K5" s="11">
        <f>IF(AND(ISNUMBER(D5),ISNUMBER(E5)),(E5-D5),"")</f>
        <v/>
      </c>
      <c r="L5" s="11">
        <f>IF(AND(ISNUMBER(F5),ISNUMBER(I5)),(I5-F5),"")</f>
        <v/>
      </c>
      <c r="P5" s="6" t="inlineStr">
        <is>
          <t>Arrival yard max</t>
        </is>
      </c>
      <c r="Q5" s="8">
        <f>IFERROR(MAX(K2:K1089),0)</f>
        <v/>
      </c>
    </row>
    <row r="6">
      <c r="A6" s="3" t="inlineStr">
        <is>
          <t>1000201</t>
        </is>
      </c>
      <c r="B6" s="3" t="inlineStr">
        <is>
          <t>10002</t>
        </is>
      </c>
      <c r="C6" s="10" t="n">
        <v>45659.26921296296</v>
      </c>
      <c r="D6" s="10" t="n">
        <v>45659.27122685185</v>
      </c>
      <c r="E6" s="10" t="n">
        <v>45659.27619212963</v>
      </c>
      <c r="F6" s="10" t="n">
        <v>45659.2778587963</v>
      </c>
      <c r="G6" s="3" t="inlineStr">
        <is>
          <t>OBT020125064334-Wien Kledering</t>
        </is>
      </c>
      <c r="H6" s="10" t="n">
        <v>45659.28025462963</v>
      </c>
      <c r="I6" s="10" t="n">
        <v>45659.3128125</v>
      </c>
      <c r="J6" s="10" t="n">
        <v>45659.31366898148</v>
      </c>
      <c r="K6" s="11">
        <f>IF(AND(ISNUMBER(D6),ISNUMBER(E6)),(E6-D6),"")</f>
        <v/>
      </c>
      <c r="L6" s="11">
        <f>IF(AND(ISNUMBER(F6),ISNUMBER(I6)),(I6-F6),"")</f>
        <v/>
      </c>
      <c r="P6" s="6" t="inlineStr">
        <is>
          <t>Classif yard mean</t>
        </is>
      </c>
      <c r="Q6" s="8">
        <f>IFERROR(AVERAGE(L2:L1089),0)</f>
        <v/>
      </c>
    </row>
    <row r="7">
      <c r="A7" s="3" t="inlineStr">
        <is>
          <t>1000401</t>
        </is>
      </c>
      <c r="B7" s="3" t="inlineStr">
        <is>
          <t>10004</t>
        </is>
      </c>
      <c r="C7" s="10" t="n">
        <v>45659.30684027778</v>
      </c>
      <c r="D7" s="10" t="n">
        <v>45659.30886574074</v>
      </c>
      <c r="E7" s="10" t="n">
        <v>45659.31395833333</v>
      </c>
      <c r="F7" s="10" t="n">
        <v>45659.31631944444</v>
      </c>
      <c r="G7" s="3" t="inlineStr">
        <is>
          <t>OBT020125073857-Wien Kledering</t>
        </is>
      </c>
      <c r="H7" s="10" t="n">
        <v>45659.31871527778</v>
      </c>
      <c r="I7" s="10" t="n">
        <v>45659.35234953704</v>
      </c>
      <c r="J7" s="10" t="n">
        <v>45659.35333333333</v>
      </c>
      <c r="K7" s="11">
        <f>IF(AND(ISNUMBER(D7),ISNUMBER(E7)),(E7-D7),"")</f>
        <v/>
      </c>
      <c r="L7" s="11">
        <f>IF(AND(ISNUMBER(F7),ISNUMBER(I7)),(I7-F7),"")</f>
        <v/>
      </c>
      <c r="P7" s="6" t="inlineStr">
        <is>
          <t>Classif yard median</t>
        </is>
      </c>
      <c r="Q7" s="8">
        <f>IFERROR(MEDIAN(L2:L1089),0)</f>
        <v/>
      </c>
    </row>
    <row r="8">
      <c r="A8" s="3" t="inlineStr">
        <is>
          <t>1000301</t>
        </is>
      </c>
      <c r="B8" s="3" t="inlineStr">
        <is>
          <t>10003</t>
        </is>
      </c>
      <c r="C8" s="10" t="n">
        <v>45659.29792824074</v>
      </c>
      <c r="D8" s="10" t="n">
        <v>45659.30041666667</v>
      </c>
      <c r="E8" s="10" t="n">
        <v>45659.31907407408</v>
      </c>
      <c r="F8" s="10" t="n">
        <v>45659.32020833333</v>
      </c>
      <c r="G8" s="3" t="inlineStr">
        <is>
          <t>OBT030125061555-Other sidings south</t>
        </is>
      </c>
      <c r="H8" s="10" t="n">
        <v>45660.26105324074</v>
      </c>
      <c r="I8" s="10" t="n">
        <v>45660.28053240741</v>
      </c>
      <c r="J8" s="10" t="n">
        <v>45660.28123842592</v>
      </c>
      <c r="K8" s="11">
        <f>IF(AND(ISNUMBER(D8),ISNUMBER(E8)),(E8-D8),"")</f>
        <v/>
      </c>
      <c r="L8" s="11">
        <f>IF(AND(ISNUMBER(F8),ISNUMBER(I8)),(I8-F8),"")</f>
        <v/>
      </c>
      <c r="P8" s="6" t="inlineStr">
        <is>
          <t>Classif yard min</t>
        </is>
      </c>
      <c r="Q8" s="8">
        <f>IFERROR(MIN(L2:L1089),0)</f>
        <v/>
      </c>
    </row>
    <row r="9">
      <c r="A9" s="3" t="inlineStr">
        <is>
          <t>1000302</t>
        </is>
      </c>
      <c r="B9" s="3" t="inlineStr">
        <is>
          <t>10003</t>
        </is>
      </c>
      <c r="C9" s="10" t="n">
        <v>45659.29792824074</v>
      </c>
      <c r="D9" s="10" t="n">
        <v>45659.30041666667</v>
      </c>
      <c r="E9" s="10" t="n">
        <v>45659.32020833333</v>
      </c>
      <c r="F9" s="10" t="n">
        <v>45659.32248842593</v>
      </c>
      <c r="G9" s="3" t="inlineStr">
        <is>
          <t>OBT020125074750-Pitten (Hamburger)</t>
        </is>
      </c>
      <c r="H9" s="10" t="n">
        <v>45659.32488425926</v>
      </c>
      <c r="I9" s="10" t="n">
        <v>45659.37180555556</v>
      </c>
      <c r="J9" s="10" t="n">
        <v>45659.37302083334</v>
      </c>
      <c r="K9" s="11">
        <f>IF(AND(ISNUMBER(D9),ISNUMBER(E9)),(E9-D9),"")</f>
        <v/>
      </c>
      <c r="L9" s="11">
        <f>IF(AND(ISNUMBER(F9),ISNUMBER(I9)),(I9-F9),"")</f>
        <v/>
      </c>
      <c r="P9" s="6" t="inlineStr">
        <is>
          <t>Classif yard max</t>
        </is>
      </c>
      <c r="Q9" s="8">
        <f>IFERROR(MAX(L2:L1089),0)</f>
        <v/>
      </c>
    </row>
    <row r="10">
      <c r="A10" s="3" t="inlineStr">
        <is>
          <t>1000303</t>
        </is>
      </c>
      <c r="B10" s="3" t="inlineStr">
        <is>
          <t>10003</t>
        </is>
      </c>
      <c r="C10" s="10" t="n">
        <v>45659.29792824074</v>
      </c>
      <c r="D10" s="10" t="n">
        <v>45659.30041666667</v>
      </c>
      <c r="E10" s="10" t="n">
        <v>45659.32248842593</v>
      </c>
      <c r="F10" s="10" t="n">
        <v>45659.32422453703</v>
      </c>
      <c r="G10" s="3" t="inlineStr">
        <is>
          <t>OBT020125184418-Neunkirchen (loading tracks)</t>
        </is>
      </c>
      <c r="H10" s="10" t="n">
        <v>45659.78076388889</v>
      </c>
      <c r="I10" s="10" t="n">
        <v>45659.80189814815</v>
      </c>
      <c r="J10" s="10" t="n">
        <v>45659.80267361111</v>
      </c>
      <c r="K10" s="11">
        <f>IF(AND(ISNUMBER(D10),ISNUMBER(E10)),(E10-D10),"")</f>
        <v/>
      </c>
      <c r="L10" s="11">
        <f>IF(AND(ISNUMBER(F10),ISNUMBER(I10)),(I10-F10),"")</f>
        <v/>
      </c>
    </row>
    <row r="11">
      <c r="A11" s="3" t="inlineStr">
        <is>
          <t>1000304</t>
        </is>
      </c>
      <c r="B11" s="3" t="inlineStr">
        <is>
          <t>10003</t>
        </is>
      </c>
      <c r="C11" s="10" t="n">
        <v>45659.29792824074</v>
      </c>
      <c r="D11" s="10" t="n">
        <v>45659.30041666667</v>
      </c>
      <c r="E11" s="10" t="n">
        <v>45659.32422453703</v>
      </c>
      <c r="F11" s="10" t="n">
        <v>45659.32609953704</v>
      </c>
      <c r="G11" s="3" t="inlineStr">
        <is>
          <t>OBT020125152222-Ternitz (Schoeller-Bleckmann)</t>
        </is>
      </c>
      <c r="H11" s="10" t="n">
        <v>45659.64053240741</v>
      </c>
      <c r="I11" s="10" t="n">
        <v>45659.70460648148</v>
      </c>
      <c r="J11" s="10" t="n">
        <v>45659.70583333333</v>
      </c>
      <c r="K11" s="11">
        <f>IF(AND(ISNUMBER(D11),ISNUMBER(E11)),(E11-D11),"")</f>
        <v/>
      </c>
      <c r="L11" s="11">
        <f>IF(AND(ISNUMBER(F11),ISNUMBER(I11)),(I11-F11),"")</f>
        <v/>
      </c>
    </row>
    <row r="12">
      <c r="A12" s="3" t="inlineStr">
        <is>
          <t>1000305</t>
        </is>
      </c>
      <c r="B12" s="3" t="inlineStr">
        <is>
          <t>10003</t>
        </is>
      </c>
      <c r="C12" s="10" t="n">
        <v>45659.29792824074</v>
      </c>
      <c r="D12" s="10" t="n">
        <v>45659.30041666667</v>
      </c>
      <c r="E12" s="10" t="n">
        <v>45659.32609953704</v>
      </c>
      <c r="F12" s="10" t="n">
        <v>45659.32821759259</v>
      </c>
      <c r="G12" s="3" t="inlineStr">
        <is>
          <t>OBT020125093208-Other sidings north</t>
        </is>
      </c>
      <c r="H12" s="10" t="n">
        <v>45659.39731481481</v>
      </c>
      <c r="I12" s="10" t="n">
        <v>45659.43761574074</v>
      </c>
      <c r="J12" s="10" t="n">
        <v>45659.43848379629</v>
      </c>
      <c r="K12" s="11">
        <f>IF(AND(ISNUMBER(D12),ISNUMBER(E12)),(E12-D12),"")</f>
        <v/>
      </c>
      <c r="L12" s="11">
        <f>IF(AND(ISNUMBER(F12),ISNUMBER(I12)),(I12-F12),"")</f>
        <v/>
      </c>
    </row>
    <row r="13">
      <c r="A13" s="3" t="inlineStr">
        <is>
          <t>1000306</t>
        </is>
      </c>
      <c r="B13" s="3" t="inlineStr">
        <is>
          <t>10003</t>
        </is>
      </c>
      <c r="C13" s="10" t="n">
        <v>45659.29792824074</v>
      </c>
      <c r="D13" s="10" t="n">
        <v>45659.30041666667</v>
      </c>
      <c r="E13" s="10" t="n">
        <v>45659.32821759259</v>
      </c>
      <c r="F13" s="10" t="n">
        <v>45659.32991898148</v>
      </c>
      <c r="G13" s="3" t="inlineStr">
        <is>
          <t>OBT020125154035-Neudörfl (FunderMax)</t>
        </is>
      </c>
      <c r="H13" s="10" t="n">
        <v>45659.65318287037</v>
      </c>
      <c r="I13" s="10" t="n">
        <v>45659.68193287037</v>
      </c>
      <c r="J13" s="10" t="n">
        <v>45659.68270833333</v>
      </c>
      <c r="K13" s="11">
        <f>IF(AND(ISNUMBER(D13),ISNUMBER(E13)),(E13-D13),"")</f>
        <v/>
      </c>
      <c r="L13" s="11">
        <f>IF(AND(ISNUMBER(F13),ISNUMBER(I13)),(I13-F13),"")</f>
        <v/>
      </c>
    </row>
    <row r="14">
      <c r="A14" s="3" t="inlineStr">
        <is>
          <t>1000307</t>
        </is>
      </c>
      <c r="B14" s="3" t="inlineStr">
        <is>
          <t>10003</t>
        </is>
      </c>
      <c r="C14" s="10" t="n">
        <v>45659.29792824074</v>
      </c>
      <c r="D14" s="10" t="n">
        <v>45659.30041666667</v>
      </c>
      <c r="E14" s="10" t="n">
        <v>45659.32991898148</v>
      </c>
      <c r="F14" s="10" t="n">
        <v>45659.33150462963</v>
      </c>
      <c r="G14" s="3" t="inlineStr">
        <is>
          <t>OBT030125205107-Other sidings local</t>
        </is>
      </c>
      <c r="H14" s="10" t="n">
        <v>45660.86883101852</v>
      </c>
      <c r="I14" s="10" t="n">
        <v>45660.91472222222</v>
      </c>
      <c r="J14" s="10" t="n">
        <v>45660.91559027778</v>
      </c>
      <c r="K14" s="11">
        <f>IF(AND(ISNUMBER(D14),ISNUMBER(E14)),(E14-D14),"")</f>
        <v/>
      </c>
      <c r="L14" s="11">
        <f>IF(AND(ISNUMBER(F14),ISNUMBER(I14)),(I14-F14),"")</f>
        <v/>
      </c>
    </row>
    <row r="15">
      <c r="A15" s="3" t="inlineStr">
        <is>
          <t>1000308</t>
        </is>
      </c>
      <c r="B15" s="3" t="inlineStr">
        <is>
          <t>10003</t>
        </is>
      </c>
      <c r="C15" s="10" t="n">
        <v>45659.29792824074</v>
      </c>
      <c r="D15" s="10" t="n">
        <v>45659.30041666667</v>
      </c>
      <c r="E15" s="10" t="n">
        <v>45659.33150462963</v>
      </c>
      <c r="F15" s="10" t="n">
        <v>45659.33306712963</v>
      </c>
      <c r="G15" s="3" t="inlineStr">
        <is>
          <t>OBT020125093825-Wr. Neustadt (Hödlmayr)</t>
        </is>
      </c>
      <c r="H15" s="10" t="n">
        <v>45659.40167824074</v>
      </c>
      <c r="I15" s="10" t="n">
        <v>45659.43524305556</v>
      </c>
      <c r="J15" s="10" t="n">
        <v>45659.43603009259</v>
      </c>
      <c r="K15" s="11">
        <f>IF(AND(ISNUMBER(D15),ISNUMBER(E15)),(E15-D15),"")</f>
        <v/>
      </c>
      <c r="L15" s="11">
        <f>IF(AND(ISNUMBER(F15),ISNUMBER(I15)),(I15-F15),"")</f>
        <v/>
      </c>
    </row>
    <row r="16">
      <c r="A16" s="3" t="inlineStr">
        <is>
          <t>1000309</t>
        </is>
      </c>
      <c r="B16" s="3" t="inlineStr">
        <is>
          <t>10003</t>
        </is>
      </c>
      <c r="C16" s="10" t="n">
        <v>45659.29792824074</v>
      </c>
      <c r="D16" s="10" t="n">
        <v>45659.30041666667</v>
      </c>
      <c r="E16" s="10" t="n">
        <v>45659.33306712963</v>
      </c>
      <c r="F16" s="10" t="n">
        <v>45659.33480324074</v>
      </c>
      <c r="G16" s="3" t="inlineStr">
        <is>
          <t>OBT020125184418-Neunkirchen (loading tracks)</t>
        </is>
      </c>
      <c r="H16" s="10" t="n">
        <v>45659.78076388889</v>
      </c>
      <c r="I16" s="10" t="n">
        <v>45659.80189814815</v>
      </c>
      <c r="J16" s="10" t="n">
        <v>45659.80267361111</v>
      </c>
      <c r="K16" s="11">
        <f>IF(AND(ISNUMBER(D16),ISNUMBER(E16)),(E16-D16),"")</f>
        <v/>
      </c>
      <c r="L16" s="11">
        <f>IF(AND(ISNUMBER(F16),ISNUMBER(I16)),(I16-F16),"")</f>
        <v/>
      </c>
    </row>
    <row r="17">
      <c r="A17" s="3" t="inlineStr">
        <is>
          <t>1000310</t>
        </is>
      </c>
      <c r="B17" s="3" t="inlineStr">
        <is>
          <t>10003</t>
        </is>
      </c>
      <c r="C17" s="10" t="n">
        <v>45659.29792824074</v>
      </c>
      <c r="D17" s="10" t="n">
        <v>45659.30041666667</v>
      </c>
      <c r="E17" s="10" t="n">
        <v>45659.33480324074</v>
      </c>
      <c r="F17" s="10" t="n">
        <v>45659.33615740741</v>
      </c>
      <c r="G17" s="3" t="inlineStr">
        <is>
          <t>OBT020125205242-Ebenfurth (beet loading)</t>
        </is>
      </c>
      <c r="H17" s="10" t="n">
        <v>45659.86993055556</v>
      </c>
      <c r="I17" s="10" t="n">
        <v>45659.898125</v>
      </c>
      <c r="J17" s="10" t="n">
        <v>45659.89896990741</v>
      </c>
      <c r="K17" s="11">
        <f>IF(AND(ISNUMBER(D17),ISNUMBER(E17)),(E17-D17),"")</f>
        <v/>
      </c>
      <c r="L17" s="11">
        <f>IF(AND(ISNUMBER(F17),ISNUMBER(I17)),(I17-F17),"")</f>
        <v/>
      </c>
    </row>
    <row r="18">
      <c r="A18" s="3" t="inlineStr">
        <is>
          <t>1000311</t>
        </is>
      </c>
      <c r="B18" s="3" t="inlineStr">
        <is>
          <t>10003</t>
        </is>
      </c>
      <c r="C18" s="10" t="n">
        <v>45659.29792824074</v>
      </c>
      <c r="D18" s="10" t="n">
        <v>45659.30041666667</v>
      </c>
      <c r="E18" s="10" t="n">
        <v>45659.33615740741</v>
      </c>
      <c r="F18" s="10" t="n">
        <v>45659.33785879629</v>
      </c>
      <c r="G18" s="3" t="inlineStr">
        <is>
          <t>OBT020125154035-Neudörfl (FunderMax)</t>
        </is>
      </c>
      <c r="H18" s="10" t="n">
        <v>45659.65318287037</v>
      </c>
      <c r="I18" s="10" t="n">
        <v>45659.68193287037</v>
      </c>
      <c r="J18" s="10" t="n">
        <v>45659.68270833333</v>
      </c>
      <c r="K18" s="11">
        <f>IF(AND(ISNUMBER(D18),ISNUMBER(E18)),(E18-D18),"")</f>
        <v/>
      </c>
      <c r="L18" s="11">
        <f>IF(AND(ISNUMBER(F18),ISNUMBER(I18)),(I18-F18),"")</f>
        <v/>
      </c>
    </row>
    <row r="19">
      <c r="A19" s="3" t="inlineStr">
        <is>
          <t>1000312</t>
        </is>
      </c>
      <c r="B19" s="3" t="inlineStr">
        <is>
          <t>10003</t>
        </is>
      </c>
      <c r="C19" s="10" t="n">
        <v>45659.29792824074</v>
      </c>
      <c r="D19" s="10" t="n">
        <v>45659.30041666667</v>
      </c>
      <c r="E19" s="10" t="n">
        <v>45659.33785879629</v>
      </c>
      <c r="F19" s="10" t="n">
        <v>45659.33913194444</v>
      </c>
      <c r="G19" s="3" t="inlineStr">
        <is>
          <t>OBT030125160132-Wr. Neustadt Ausfahrbf (Furtenbach)</t>
        </is>
      </c>
      <c r="H19" s="10" t="n">
        <v>45660.66773148148</v>
      </c>
      <c r="I19" s="10" t="n">
        <v>45660.6893287037</v>
      </c>
      <c r="J19" s="10" t="n">
        <v>45660.69015046296</v>
      </c>
      <c r="K19" s="11">
        <f>IF(AND(ISNUMBER(D19),ISNUMBER(E19)),(E19-D19),"")</f>
        <v/>
      </c>
      <c r="L19" s="11">
        <f>IF(AND(ISNUMBER(F19),ISNUMBER(I19)),(I19-F19),"")</f>
        <v/>
      </c>
    </row>
    <row r="20">
      <c r="A20" s="3" t="inlineStr">
        <is>
          <t>1000501</t>
        </is>
      </c>
      <c r="B20" s="3" t="inlineStr">
        <is>
          <t>10005</t>
        </is>
      </c>
      <c r="C20" s="10" t="n">
        <v>45659.33384259259</v>
      </c>
      <c r="D20" s="10" t="n">
        <v>45659.33635416667</v>
      </c>
      <c r="E20" s="10" t="n">
        <v>45659.34319444445</v>
      </c>
      <c r="F20" s="10" t="n">
        <v>45659.34535879629</v>
      </c>
      <c r="G20" s="3" t="inlineStr">
        <is>
          <t>OBT020125082044-Wien Kledering</t>
        </is>
      </c>
      <c r="H20" s="10" t="n">
        <v>45659.34773148148</v>
      </c>
      <c r="I20" s="10" t="n">
        <v>45659.41829861111</v>
      </c>
      <c r="J20" s="10" t="n">
        <v>45659.41964120371</v>
      </c>
      <c r="K20" s="11">
        <f>IF(AND(ISNUMBER(D20),ISNUMBER(E20)),(E20-D20),"")</f>
        <v/>
      </c>
      <c r="L20" s="11">
        <f>IF(AND(ISNUMBER(F20),ISNUMBER(I20)),(I20-F20),"")</f>
        <v/>
      </c>
    </row>
    <row r="21">
      <c r="A21" s="3" t="inlineStr">
        <is>
          <t>1000701</t>
        </is>
      </c>
      <c r="B21" s="3" t="inlineStr">
        <is>
          <t>10007</t>
        </is>
      </c>
      <c r="C21" s="10" t="n">
        <v>45659.37511574074</v>
      </c>
      <c r="D21" s="10" t="n">
        <v>45659.37675925926</v>
      </c>
      <c r="E21" s="10" t="n">
        <v>45659.38289351852</v>
      </c>
      <c r="F21" s="10" t="n">
        <v>45659.38472222222</v>
      </c>
      <c r="G21" s="3" t="inlineStr">
        <is>
          <t>OBT030125090715-St. Veit an der Glan</t>
        </is>
      </c>
      <c r="H21" s="10" t="n">
        <v>45660.38003472222</v>
      </c>
      <c r="I21" s="10" t="n">
        <v>45660.42116898148</v>
      </c>
      <c r="J21" s="10" t="n">
        <v>45660.42228009259</v>
      </c>
      <c r="K21" s="11">
        <f>IF(AND(ISNUMBER(D21),ISNUMBER(E21)),(E21-D21),"")</f>
        <v/>
      </c>
      <c r="L21" s="11">
        <f>IF(AND(ISNUMBER(F21),ISNUMBER(I21)),(I21-F21),"")</f>
        <v/>
      </c>
    </row>
    <row r="22">
      <c r="A22" s="3" t="inlineStr">
        <is>
          <t>1000702</t>
        </is>
      </c>
      <c r="B22" s="3" t="inlineStr">
        <is>
          <t>10007</t>
        </is>
      </c>
      <c r="C22" s="10" t="n">
        <v>45659.37511574074</v>
      </c>
      <c r="D22" s="10" t="n">
        <v>45659.37675925926</v>
      </c>
      <c r="E22" s="10" t="n">
        <v>45659.38472222222</v>
      </c>
      <c r="F22" s="10" t="n">
        <v>45659.38689814815</v>
      </c>
      <c r="G22" s="3" t="inlineStr">
        <is>
          <t>OBT020125092035-Wien Kledering</t>
        </is>
      </c>
      <c r="H22" s="10" t="n">
        <v>45659.38929398148</v>
      </c>
      <c r="I22" s="10" t="n">
        <v>45659.41481481482</v>
      </c>
      <c r="J22" s="10" t="n">
        <v>45659.41552083333</v>
      </c>
      <c r="K22" s="11">
        <f>IF(AND(ISNUMBER(D22),ISNUMBER(E22)),(E22-D22),"")</f>
        <v/>
      </c>
      <c r="L22" s="11">
        <f>IF(AND(ISNUMBER(F22),ISNUMBER(I22)),(I22-F22),"")</f>
        <v/>
      </c>
    </row>
    <row r="23">
      <c r="A23" s="3" t="inlineStr">
        <is>
          <t>1000601</t>
        </is>
      </c>
      <c r="B23" s="3" t="inlineStr">
        <is>
          <t>10006</t>
        </is>
      </c>
      <c r="C23" s="10" t="n">
        <v>45659.36704861111</v>
      </c>
      <c r="D23" s="10" t="n">
        <v>45659.36965277778</v>
      </c>
      <c r="E23" s="10" t="n">
        <v>45659.38766203704</v>
      </c>
      <c r="F23" s="10" t="n">
        <v>45659.38939814815</v>
      </c>
      <c r="G23" s="3" t="inlineStr">
        <is>
          <t>OBT020125154035-Neudörfl (FunderMax)</t>
        </is>
      </c>
      <c r="H23" s="10" t="n">
        <v>45659.65318287037</v>
      </c>
      <c r="I23" s="10" t="n">
        <v>45659.68193287037</v>
      </c>
      <c r="J23" s="10" t="n">
        <v>45659.68270833333</v>
      </c>
      <c r="K23" s="11">
        <f>IF(AND(ISNUMBER(D23),ISNUMBER(E23)),(E23-D23),"")</f>
        <v/>
      </c>
      <c r="L23" s="11">
        <f>IF(AND(ISNUMBER(F23),ISNUMBER(I23)),(I23-F23),"")</f>
        <v/>
      </c>
    </row>
    <row r="24">
      <c r="A24" s="3" t="inlineStr">
        <is>
          <t>1000602</t>
        </is>
      </c>
      <c r="B24" s="3" t="inlineStr">
        <is>
          <t>10006</t>
        </is>
      </c>
      <c r="C24" s="10" t="n">
        <v>45659.36704861111</v>
      </c>
      <c r="D24" s="10" t="n">
        <v>45659.36965277778</v>
      </c>
      <c r="E24" s="10" t="n">
        <v>45659.38939814815</v>
      </c>
      <c r="F24" s="10" t="n">
        <v>45659.39101851852</v>
      </c>
      <c r="G24" s="3" t="inlineStr">
        <is>
          <t>OBT030125205107-Other sidings local</t>
        </is>
      </c>
      <c r="H24" s="10" t="n">
        <v>45660.86883101852</v>
      </c>
      <c r="I24" s="10" t="n">
        <v>45660.91472222222</v>
      </c>
      <c r="J24" s="10" t="n">
        <v>45660.91559027778</v>
      </c>
      <c r="K24" s="11">
        <f>IF(AND(ISNUMBER(D24),ISNUMBER(E24)),(E24-D24),"")</f>
        <v/>
      </c>
      <c r="L24" s="11">
        <f>IF(AND(ISNUMBER(F24),ISNUMBER(I24)),(I24-F24),"")</f>
        <v/>
      </c>
    </row>
    <row r="25">
      <c r="A25" s="3" t="inlineStr">
        <is>
          <t>1000603</t>
        </is>
      </c>
      <c r="B25" s="3" t="inlineStr">
        <is>
          <t>10006</t>
        </is>
      </c>
      <c r="C25" s="10" t="n">
        <v>45659.36704861111</v>
      </c>
      <c r="D25" s="10" t="n">
        <v>45659.36965277778</v>
      </c>
      <c r="E25" s="10" t="n">
        <v>45659.39101851852</v>
      </c>
      <c r="F25" s="10" t="n">
        <v>45659.39302083333</v>
      </c>
      <c r="G25" s="3" t="inlineStr">
        <is>
          <t>OBT020125093208-Other sidings north</t>
        </is>
      </c>
      <c r="H25" s="10" t="n">
        <v>45659.39731481481</v>
      </c>
      <c r="I25" s="10" t="n">
        <v>45659.43761574074</v>
      </c>
      <c r="J25" s="10" t="n">
        <v>45659.43848379629</v>
      </c>
      <c r="K25" s="11">
        <f>IF(AND(ISNUMBER(D25),ISNUMBER(E25)),(E25-D25),"")</f>
        <v/>
      </c>
      <c r="L25" s="11">
        <f>IF(AND(ISNUMBER(F25),ISNUMBER(I25)),(I25-F25),"")</f>
        <v/>
      </c>
    </row>
    <row r="26">
      <c r="A26" s="3" t="inlineStr">
        <is>
          <t>1000604</t>
        </is>
      </c>
      <c r="B26" s="3" t="inlineStr">
        <is>
          <t>10006</t>
        </is>
      </c>
      <c r="C26" s="10" t="n">
        <v>45659.36704861111</v>
      </c>
      <c r="D26" s="10" t="n">
        <v>45659.36965277778</v>
      </c>
      <c r="E26" s="10" t="n">
        <v>45659.39302083333</v>
      </c>
      <c r="F26" s="10" t="n">
        <v>45659.39479166667</v>
      </c>
      <c r="G26" s="3" t="inlineStr">
        <is>
          <t>OBT020125154035-Neudörfl (FunderMax)</t>
        </is>
      </c>
      <c r="H26" s="10" t="n">
        <v>45659.65318287037</v>
      </c>
      <c r="I26" s="10" t="n">
        <v>45659.68193287037</v>
      </c>
      <c r="J26" s="10" t="n">
        <v>45659.68270833333</v>
      </c>
      <c r="K26" s="11">
        <f>IF(AND(ISNUMBER(D26),ISNUMBER(E26)),(E26-D26),"")</f>
        <v/>
      </c>
      <c r="L26" s="11">
        <f>IF(AND(ISNUMBER(F26),ISNUMBER(I26)),(I26-F26),"")</f>
        <v/>
      </c>
    </row>
    <row r="27">
      <c r="A27" s="3" t="inlineStr">
        <is>
          <t>1000605</t>
        </is>
      </c>
      <c r="B27" s="3" t="inlineStr">
        <is>
          <t>10006</t>
        </is>
      </c>
      <c r="C27" s="10" t="n">
        <v>45659.36704861111</v>
      </c>
      <c r="D27" s="10" t="n">
        <v>45659.36965277778</v>
      </c>
      <c r="E27" s="10" t="n">
        <v>45659.39479166667</v>
      </c>
      <c r="F27" s="10" t="n">
        <v>45659.39637731481</v>
      </c>
      <c r="G27" s="3" t="inlineStr">
        <is>
          <t>OBT020125093825-Wr. Neustadt (Hödlmayr)</t>
        </is>
      </c>
      <c r="H27" s="10" t="n">
        <v>45659.40167824074</v>
      </c>
      <c r="I27" s="10" t="n">
        <v>45659.43524305556</v>
      </c>
      <c r="J27" s="10" t="n">
        <v>45659.43603009259</v>
      </c>
      <c r="K27" s="11">
        <f>IF(AND(ISNUMBER(D27),ISNUMBER(E27)),(E27-D27),"")</f>
        <v/>
      </c>
      <c r="L27" s="11">
        <f>IF(AND(ISNUMBER(F27),ISNUMBER(I27)),(I27-F27),"")</f>
        <v/>
      </c>
    </row>
    <row r="28">
      <c r="A28" s="3" t="inlineStr">
        <is>
          <t>1000606</t>
        </is>
      </c>
      <c r="B28" s="3" t="inlineStr">
        <is>
          <t>10006</t>
        </is>
      </c>
      <c r="C28" s="10" t="n">
        <v>45659.36704861111</v>
      </c>
      <c r="D28" s="10" t="n">
        <v>45659.36965277778</v>
      </c>
      <c r="E28" s="10" t="n">
        <v>45659.39637731481</v>
      </c>
      <c r="F28" s="10" t="n">
        <v>45659.39827546296</v>
      </c>
      <c r="G28" s="3" t="inlineStr">
        <is>
          <t>OBT020125152222-Ternitz (Schoeller-Bleckmann)</t>
        </is>
      </c>
      <c r="H28" s="10" t="n">
        <v>45659.64053240741</v>
      </c>
      <c r="I28" s="10" t="n">
        <v>45659.70460648148</v>
      </c>
      <c r="J28" s="10" t="n">
        <v>45659.70583333333</v>
      </c>
      <c r="K28" s="11">
        <f>IF(AND(ISNUMBER(D28),ISNUMBER(E28)),(E28-D28),"")</f>
        <v/>
      </c>
      <c r="L28" s="11">
        <f>IF(AND(ISNUMBER(F28),ISNUMBER(I28)),(I28-F28),"")</f>
        <v/>
      </c>
    </row>
    <row r="29">
      <c r="A29" s="3" t="inlineStr">
        <is>
          <t>1000607</t>
        </is>
      </c>
      <c r="B29" s="3" t="inlineStr">
        <is>
          <t>10006</t>
        </is>
      </c>
      <c r="C29" s="10" t="n">
        <v>45659.36704861111</v>
      </c>
      <c r="D29" s="10" t="n">
        <v>45659.36965277778</v>
      </c>
      <c r="E29" s="10" t="n">
        <v>45659.39827546296</v>
      </c>
      <c r="F29" s="10" t="n">
        <v>45659.39969907407</v>
      </c>
      <c r="G29" s="3" t="inlineStr">
        <is>
          <t>OBT020125205242-Ebenfurth (beet loading)</t>
        </is>
      </c>
      <c r="H29" s="10" t="n">
        <v>45659.86993055556</v>
      </c>
      <c r="I29" s="10" t="n">
        <v>45659.898125</v>
      </c>
      <c r="J29" s="10" t="n">
        <v>45659.89896990741</v>
      </c>
      <c r="K29" s="11">
        <f>IF(AND(ISNUMBER(D29),ISNUMBER(E29)),(E29-D29),"")</f>
        <v/>
      </c>
      <c r="L29" s="11">
        <f>IF(AND(ISNUMBER(F29),ISNUMBER(I29)),(I29-F29),"")</f>
        <v/>
      </c>
    </row>
    <row r="30">
      <c r="A30" s="3" t="inlineStr">
        <is>
          <t>1000608</t>
        </is>
      </c>
      <c r="B30" s="3" t="inlineStr">
        <is>
          <t>10006</t>
        </is>
      </c>
      <c r="C30" s="10" t="n">
        <v>45659.36704861111</v>
      </c>
      <c r="D30" s="10" t="n">
        <v>45659.36965277778</v>
      </c>
      <c r="E30" s="10" t="n">
        <v>45659.39969907407</v>
      </c>
      <c r="F30" s="10" t="n">
        <v>45659.40166666666</v>
      </c>
      <c r="G30" s="3" t="inlineStr">
        <is>
          <t>OBT030125075311-Felixdorf/Sollenau (Bundesheer, Maba)</t>
        </is>
      </c>
      <c r="H30" s="10" t="n">
        <v>45660.32859953704</v>
      </c>
      <c r="I30" s="10" t="n">
        <v>45660.36226851852</v>
      </c>
      <c r="J30" s="10" t="n">
        <v>45660.36324074074</v>
      </c>
      <c r="K30" s="11">
        <f>IF(AND(ISNUMBER(D30),ISNUMBER(E30)),(E30-D30),"")</f>
        <v/>
      </c>
      <c r="L30" s="11">
        <f>IF(AND(ISNUMBER(F30),ISNUMBER(I30)),(I30-F30),"")</f>
        <v/>
      </c>
    </row>
    <row r="31">
      <c r="A31" s="3" t="inlineStr">
        <is>
          <t>1000609</t>
        </is>
      </c>
      <c r="B31" s="3" t="inlineStr">
        <is>
          <t>10006</t>
        </is>
      </c>
      <c r="C31" s="10" t="n">
        <v>45659.36704861111</v>
      </c>
      <c r="D31" s="10" t="n">
        <v>45659.36965277778</v>
      </c>
      <c r="E31" s="10" t="n">
        <v>45659.40166666666</v>
      </c>
      <c r="F31" s="10" t="n">
        <v>45659.40399305556</v>
      </c>
      <c r="G31" s="3" t="inlineStr">
        <is>
          <t>OBT020125094857-Pitten (Hamburger)</t>
        </is>
      </c>
      <c r="H31" s="10" t="n">
        <v>45659.40899305556</v>
      </c>
      <c r="I31" s="10" t="n">
        <v>45659.45373842592</v>
      </c>
      <c r="J31" s="10" t="n">
        <v>45659.45457175926</v>
      </c>
      <c r="K31" s="11">
        <f>IF(AND(ISNUMBER(D31),ISNUMBER(E31)),(E31-D31),"")</f>
        <v/>
      </c>
      <c r="L31" s="11">
        <f>IF(AND(ISNUMBER(F31),ISNUMBER(I31)),(I31-F31),"")</f>
        <v/>
      </c>
    </row>
    <row r="32">
      <c r="A32" s="3" t="inlineStr">
        <is>
          <t>1000610</t>
        </is>
      </c>
      <c r="B32" s="3" t="inlineStr">
        <is>
          <t>10006</t>
        </is>
      </c>
      <c r="C32" s="10" t="n">
        <v>45659.36704861111</v>
      </c>
      <c r="D32" s="10" t="n">
        <v>45659.36965277778</v>
      </c>
      <c r="E32" s="10" t="n">
        <v>45659.40399305556</v>
      </c>
      <c r="F32" s="10" t="n">
        <v>45659.40601851852</v>
      </c>
      <c r="G32" s="3" t="inlineStr">
        <is>
          <t>OBT030125063005-Gloggnitz</t>
        </is>
      </c>
      <c r="H32" s="10" t="n">
        <v>45660.27089120371</v>
      </c>
      <c r="I32" s="10" t="n">
        <v>45660.31285879629</v>
      </c>
      <c r="J32" s="10" t="n">
        <v>45660.31383101852</v>
      </c>
      <c r="K32" s="11">
        <f>IF(AND(ISNUMBER(D32),ISNUMBER(E32)),(E32-D32),"")</f>
        <v/>
      </c>
      <c r="L32" s="11">
        <f>IF(AND(ISNUMBER(F32),ISNUMBER(I32)),(I32-F32),"")</f>
        <v/>
      </c>
    </row>
    <row r="33">
      <c r="A33" s="3" t="inlineStr">
        <is>
          <t>1000801</t>
        </is>
      </c>
      <c r="B33" s="3" t="inlineStr">
        <is>
          <t>10008</t>
        </is>
      </c>
      <c r="C33" s="10" t="n">
        <v>45659.43684027778</v>
      </c>
      <c r="D33" s="10" t="n">
        <v>45659.4393287037</v>
      </c>
      <c r="E33" s="10" t="n">
        <v>45659.44806712963</v>
      </c>
      <c r="F33" s="10" t="n">
        <v>45659.44939814815</v>
      </c>
      <c r="G33" s="3" t="inlineStr">
        <is>
          <t>OBT020125105809-Wien Kledering</t>
        </is>
      </c>
      <c r="H33" s="10" t="n">
        <v>45659.45704861111</v>
      </c>
      <c r="I33" s="10" t="n">
        <v>45659.52166666667</v>
      </c>
      <c r="J33" s="10" t="n">
        <v>45659.52293981481</v>
      </c>
      <c r="K33" s="11">
        <f>IF(AND(ISNUMBER(D33),ISNUMBER(E33)),(E33-D33),"")</f>
        <v/>
      </c>
      <c r="L33" s="11">
        <f>IF(AND(ISNUMBER(F33),ISNUMBER(I33)),(I33-F33),"")</f>
        <v/>
      </c>
    </row>
    <row r="34">
      <c r="A34" s="3" t="inlineStr">
        <is>
          <t>1000802</t>
        </is>
      </c>
      <c r="B34" s="3" t="inlineStr">
        <is>
          <t>10008</t>
        </is>
      </c>
      <c r="C34" s="10" t="n">
        <v>45659.43684027778</v>
      </c>
      <c r="D34" s="10" t="n">
        <v>45659.4393287037</v>
      </c>
      <c r="E34" s="10" t="n">
        <v>45659.44939814815</v>
      </c>
      <c r="F34" s="10" t="n">
        <v>45659.45113425926</v>
      </c>
      <c r="G34" s="3" t="inlineStr">
        <is>
          <t>OBT030125090715-St. Veit an der Glan</t>
        </is>
      </c>
      <c r="H34" s="10" t="n">
        <v>45660.38003472222</v>
      </c>
      <c r="I34" s="10" t="n">
        <v>45660.42116898148</v>
      </c>
      <c r="J34" s="10" t="n">
        <v>45660.42228009259</v>
      </c>
      <c r="K34" s="11">
        <f>IF(AND(ISNUMBER(D34),ISNUMBER(E34)),(E34-D34),"")</f>
        <v/>
      </c>
      <c r="L34" s="11">
        <f>IF(AND(ISNUMBER(F34),ISNUMBER(I34)),(I34-F34),"")</f>
        <v/>
      </c>
    </row>
    <row r="35">
      <c r="A35" s="3" t="inlineStr">
        <is>
          <t>1000803</t>
        </is>
      </c>
      <c r="B35" s="3" t="inlineStr">
        <is>
          <t>10008</t>
        </is>
      </c>
      <c r="C35" s="10" t="n">
        <v>45659.43684027778</v>
      </c>
      <c r="D35" s="10" t="n">
        <v>45659.4393287037</v>
      </c>
      <c r="E35" s="10" t="n">
        <v>45659.45113425926</v>
      </c>
      <c r="F35" s="10" t="n">
        <v>45659.453125</v>
      </c>
      <c r="G35" s="3" t="inlineStr">
        <is>
          <t>OBT020125105809-Wien Kledering</t>
        </is>
      </c>
      <c r="H35" s="10" t="n">
        <v>45659.45704861111</v>
      </c>
      <c r="I35" s="10" t="n">
        <v>45659.52166666667</v>
      </c>
      <c r="J35" s="10" t="n">
        <v>45659.52293981481</v>
      </c>
      <c r="K35" s="11">
        <f>IF(AND(ISNUMBER(D35),ISNUMBER(E35)),(E35-D35),"")</f>
        <v/>
      </c>
      <c r="L35" s="11">
        <f>IF(AND(ISNUMBER(F35),ISNUMBER(I35)),(I35-F35),"")</f>
        <v/>
      </c>
    </row>
    <row r="36">
      <c r="A36" s="3" t="inlineStr">
        <is>
          <t>1000901</t>
        </is>
      </c>
      <c r="B36" s="3" t="inlineStr">
        <is>
          <t>10009</t>
        </is>
      </c>
      <c r="C36" s="10" t="n">
        <v>45659.60717592593</v>
      </c>
      <c r="D36" s="10" t="n">
        <v>45659.60943287037</v>
      </c>
      <c r="E36" s="10" t="n">
        <v>45659.61542824074</v>
      </c>
      <c r="F36" s="10" t="n">
        <v>45659.61733796296</v>
      </c>
      <c r="G36" s="3" t="inlineStr">
        <is>
          <t>OBT020125145206-Wien Kledering</t>
        </is>
      </c>
      <c r="H36" s="10" t="n">
        <v>45659.61951388889</v>
      </c>
      <c r="I36" s="10" t="n">
        <v>45659.67023148148</v>
      </c>
      <c r="J36" s="10" t="n">
        <v>45659.67131944445</v>
      </c>
      <c r="K36" s="11">
        <f>IF(AND(ISNUMBER(D36),ISNUMBER(E36)),(E36-D36),"")</f>
        <v/>
      </c>
      <c r="L36" s="11">
        <f>IF(AND(ISNUMBER(F36),ISNUMBER(I36)),(I36-F36),"")</f>
        <v/>
      </c>
    </row>
    <row r="37">
      <c r="A37" s="3" t="inlineStr">
        <is>
          <t>1001101</t>
        </is>
      </c>
      <c r="B37" s="3" t="inlineStr">
        <is>
          <t>10011</t>
        </is>
      </c>
      <c r="C37" s="10" t="n">
        <v>45659.62642361111</v>
      </c>
      <c r="D37" s="10" t="n">
        <v>45659.62863425926</v>
      </c>
      <c r="E37" s="10" t="n">
        <v>45659.63447916666</v>
      </c>
      <c r="F37" s="10" t="n">
        <v>45659.6369675926</v>
      </c>
      <c r="G37" s="3" t="inlineStr">
        <is>
          <t>OBT020125152222-Ternitz (Schoeller-Bleckmann)</t>
        </is>
      </c>
      <c r="H37" s="10" t="n">
        <v>45659.64053240741</v>
      </c>
      <c r="I37" s="10" t="n">
        <v>45659.70460648148</v>
      </c>
      <c r="J37" s="10" t="n">
        <v>45659.70583333333</v>
      </c>
      <c r="K37" s="11">
        <f>IF(AND(ISNUMBER(D37),ISNUMBER(E37)),(E37-D37),"")</f>
        <v/>
      </c>
      <c r="L37" s="11">
        <f>IF(AND(ISNUMBER(F37),ISNUMBER(I37)),(I37-F37),"")</f>
        <v/>
      </c>
    </row>
    <row r="38">
      <c r="A38" s="3" t="inlineStr">
        <is>
          <t>1001001</t>
        </is>
      </c>
      <c r="B38" s="3" t="inlineStr">
        <is>
          <t>10010</t>
        </is>
      </c>
      <c r="C38" s="10" t="n">
        <v>45659.62467592592</v>
      </c>
      <c r="D38" s="10" t="n">
        <v>45659.62715277778</v>
      </c>
      <c r="E38" s="10" t="n">
        <v>45659.64252314815</v>
      </c>
      <c r="F38" s="10" t="n">
        <v>45659.6445949074</v>
      </c>
      <c r="G38" s="3" t="inlineStr">
        <is>
          <t>OBT020125183042-Wr. Neustadt (Hödlmayr)</t>
        </is>
      </c>
      <c r="H38" s="10" t="n">
        <v>45659.77131944444</v>
      </c>
      <c r="I38" s="10" t="n">
        <v>45659.80965277777</v>
      </c>
      <c r="J38" s="10" t="n">
        <v>45659.81069444444</v>
      </c>
      <c r="K38" s="11">
        <f>IF(AND(ISNUMBER(D38),ISNUMBER(E38)),(E38-D38),"")</f>
        <v/>
      </c>
      <c r="L38" s="11">
        <f>IF(AND(ISNUMBER(F38),ISNUMBER(I38)),(I38-F38),"")</f>
        <v/>
      </c>
    </row>
    <row r="39">
      <c r="A39" s="3" t="inlineStr">
        <is>
          <t>1001002</t>
        </is>
      </c>
      <c r="B39" s="3" t="inlineStr">
        <is>
          <t>10010</t>
        </is>
      </c>
      <c r="C39" s="10" t="n">
        <v>45659.62467592592</v>
      </c>
      <c r="D39" s="10" t="n">
        <v>45659.62715277778</v>
      </c>
      <c r="E39" s="10" t="n">
        <v>45659.6445949074</v>
      </c>
      <c r="F39" s="10" t="n">
        <v>45659.64646990741</v>
      </c>
      <c r="G39" s="3" t="inlineStr">
        <is>
          <t>OBT020125183645-Pitten (Hamburger)</t>
        </is>
      </c>
      <c r="H39" s="10" t="n">
        <v>45659.77552083333</v>
      </c>
      <c r="I39" s="10" t="n">
        <v>45659.81069444444</v>
      </c>
      <c r="J39" s="10" t="n">
        <v>45659.81153935185</v>
      </c>
      <c r="K39" s="11">
        <f>IF(AND(ISNUMBER(D39),ISNUMBER(E39)),(E39-D39),"")</f>
        <v/>
      </c>
      <c r="L39" s="11">
        <f>IF(AND(ISNUMBER(F39),ISNUMBER(I39)),(I39-F39),"")</f>
        <v/>
      </c>
    </row>
    <row r="40">
      <c r="A40" s="3" t="inlineStr">
        <is>
          <t>1001003</t>
        </is>
      </c>
      <c r="B40" s="3" t="inlineStr">
        <is>
          <t>10010</t>
        </is>
      </c>
      <c r="C40" s="10" t="n">
        <v>45659.62467592592</v>
      </c>
      <c r="D40" s="10" t="n">
        <v>45659.62715277778</v>
      </c>
      <c r="E40" s="10" t="n">
        <v>45659.64646990741</v>
      </c>
      <c r="F40" s="10" t="n">
        <v>45659.64793981481</v>
      </c>
      <c r="G40" s="3" t="inlineStr">
        <is>
          <t>OBT090125074546-Wr. Neustadt (Brenntag)</t>
        </is>
      </c>
      <c r="H40" s="10" t="n">
        <v>45666.32344907407</v>
      </c>
      <c r="I40" s="10" t="n">
        <v>45666.39607638889</v>
      </c>
      <c r="J40" s="10" t="n">
        <v>45666.39756944445</v>
      </c>
      <c r="K40" s="11">
        <f>IF(AND(ISNUMBER(D40),ISNUMBER(E40)),(E40-D40),"")</f>
        <v/>
      </c>
      <c r="L40" s="11">
        <f>IF(AND(ISNUMBER(F40),ISNUMBER(I40)),(I40-F40),"")</f>
        <v/>
      </c>
    </row>
    <row r="41">
      <c r="A41" s="3" t="inlineStr">
        <is>
          <t>1001004</t>
        </is>
      </c>
      <c r="B41" s="3" t="inlineStr">
        <is>
          <t>10010</t>
        </is>
      </c>
      <c r="C41" s="10" t="n">
        <v>45659.62467592592</v>
      </c>
      <c r="D41" s="10" t="n">
        <v>45659.62715277778</v>
      </c>
      <c r="E41" s="10" t="n">
        <v>45659.64793981481</v>
      </c>
      <c r="F41" s="10" t="n">
        <v>45659.64962962963</v>
      </c>
      <c r="G41" s="3" t="inlineStr">
        <is>
          <t>OBT020125154035-Neudörfl (FunderMax)</t>
        </is>
      </c>
      <c r="H41" s="10" t="n">
        <v>45659.65318287037</v>
      </c>
      <c r="I41" s="10" t="n">
        <v>45659.68193287037</v>
      </c>
      <c r="J41" s="10" t="n">
        <v>45659.68270833333</v>
      </c>
      <c r="K41" s="11">
        <f>IF(AND(ISNUMBER(D41),ISNUMBER(E41)),(E41-D41),"")</f>
        <v/>
      </c>
      <c r="L41" s="11">
        <f>IF(AND(ISNUMBER(F41),ISNUMBER(I41)),(I41-F41),"")</f>
        <v/>
      </c>
    </row>
    <row r="42">
      <c r="A42" s="3" t="inlineStr">
        <is>
          <t>1001005</t>
        </is>
      </c>
      <c r="B42" s="3" t="inlineStr">
        <is>
          <t>10010</t>
        </is>
      </c>
      <c r="C42" s="10" t="n">
        <v>45659.62467592592</v>
      </c>
      <c r="D42" s="10" t="n">
        <v>45659.62715277778</v>
      </c>
      <c r="E42" s="10" t="n">
        <v>45659.64962962963</v>
      </c>
      <c r="F42" s="10" t="n">
        <v>45659.65208333333</v>
      </c>
      <c r="G42" s="3" t="inlineStr">
        <is>
          <t>OBT020125154208-Pitten (Hamburger)</t>
        </is>
      </c>
      <c r="H42" s="10" t="n">
        <v>45659.65425925926</v>
      </c>
      <c r="I42" s="10" t="n">
        <v>45659.7166087963</v>
      </c>
      <c r="J42" s="10" t="n">
        <v>45659.71758101852</v>
      </c>
      <c r="K42" s="11">
        <f>IF(AND(ISNUMBER(D42),ISNUMBER(E42)),(E42-D42),"")</f>
        <v/>
      </c>
      <c r="L42" s="11">
        <f>IF(AND(ISNUMBER(F42),ISNUMBER(I42)),(I42-F42),"")</f>
        <v/>
      </c>
    </row>
    <row r="43">
      <c r="A43" s="3" t="inlineStr">
        <is>
          <t>1001006</t>
        </is>
      </c>
      <c r="B43" s="3" t="inlineStr">
        <is>
          <t>10010</t>
        </is>
      </c>
      <c r="C43" s="10" t="n">
        <v>45659.62467592592</v>
      </c>
      <c r="D43" s="10" t="n">
        <v>45659.62715277778</v>
      </c>
      <c r="E43" s="10" t="n">
        <v>45659.65208333333</v>
      </c>
      <c r="F43" s="10" t="n">
        <v>45659.65347222222</v>
      </c>
      <c r="G43" s="3" t="inlineStr">
        <is>
          <t>OBT020125205242-Ebenfurth (beet loading)</t>
        </is>
      </c>
      <c r="H43" s="10" t="n">
        <v>45659.86993055556</v>
      </c>
      <c r="I43" s="10" t="n">
        <v>45659.898125</v>
      </c>
      <c r="J43" s="10" t="n">
        <v>45659.89896990741</v>
      </c>
      <c r="K43" s="11">
        <f>IF(AND(ISNUMBER(D43),ISNUMBER(E43)),(E43-D43),"")</f>
        <v/>
      </c>
      <c r="L43" s="11">
        <f>IF(AND(ISNUMBER(F43),ISNUMBER(I43)),(I43-F43),"")</f>
        <v/>
      </c>
    </row>
    <row r="44">
      <c r="A44" s="3" t="inlineStr">
        <is>
          <t>1001007</t>
        </is>
      </c>
      <c r="B44" s="3" t="inlineStr">
        <is>
          <t>10010</t>
        </is>
      </c>
      <c r="C44" s="10" t="n">
        <v>45659.62467592592</v>
      </c>
      <c r="D44" s="10" t="n">
        <v>45659.62715277778</v>
      </c>
      <c r="E44" s="10" t="n">
        <v>45659.65347222222</v>
      </c>
      <c r="F44" s="10" t="n">
        <v>45659.65525462963</v>
      </c>
      <c r="G44" s="3" t="inlineStr">
        <is>
          <t>OBT020125184418-Neunkirchen (loading tracks)</t>
        </is>
      </c>
      <c r="H44" s="10" t="n">
        <v>45659.78076388889</v>
      </c>
      <c r="I44" s="10" t="n">
        <v>45659.80189814815</v>
      </c>
      <c r="J44" s="10" t="n">
        <v>45659.80267361111</v>
      </c>
      <c r="K44" s="11">
        <f>IF(AND(ISNUMBER(D44),ISNUMBER(E44)),(E44-D44),"")</f>
        <v/>
      </c>
      <c r="L44" s="11">
        <f>IF(AND(ISNUMBER(F44),ISNUMBER(I44)),(I44-F44),"")</f>
        <v/>
      </c>
    </row>
    <row r="45">
      <c r="A45" s="3" t="inlineStr">
        <is>
          <t>1001008</t>
        </is>
      </c>
      <c r="B45" s="3" t="inlineStr">
        <is>
          <t>10010</t>
        </is>
      </c>
      <c r="C45" s="10" t="n">
        <v>45659.62467592592</v>
      </c>
      <c r="D45" s="10" t="n">
        <v>45659.62715277778</v>
      </c>
      <c r="E45" s="10" t="n">
        <v>45659.65525462963</v>
      </c>
      <c r="F45" s="10" t="n">
        <v>45659.65738425926</v>
      </c>
      <c r="G45" s="3" t="inlineStr">
        <is>
          <t>OBT020125155102-Other sidings north</t>
        </is>
      </c>
      <c r="H45" s="10" t="n">
        <v>45659.66043981481</v>
      </c>
      <c r="I45" s="10" t="n">
        <v>45659.70394675926</v>
      </c>
      <c r="J45" s="10" t="n">
        <v>45659.70460648148</v>
      </c>
      <c r="K45" s="11">
        <f>IF(AND(ISNUMBER(D45),ISNUMBER(E45)),(E45-D45),"")</f>
        <v/>
      </c>
      <c r="L45" s="11">
        <f>IF(AND(ISNUMBER(F45),ISNUMBER(I45)),(I45-F45),"")</f>
        <v/>
      </c>
    </row>
    <row r="46">
      <c r="A46" s="3" t="inlineStr">
        <is>
          <t>1001201</t>
        </is>
      </c>
      <c r="B46" s="3" t="inlineStr">
        <is>
          <t>10012</t>
        </is>
      </c>
      <c r="C46" s="10" t="n">
        <v>45659.73721064815</v>
      </c>
      <c r="D46" s="10" t="n">
        <v>45659.73971064815</v>
      </c>
      <c r="E46" s="10" t="n">
        <v>45659.75923611111</v>
      </c>
      <c r="F46" s="10" t="n">
        <v>45659.76037037037</v>
      </c>
      <c r="G46" s="3" t="inlineStr">
        <is>
          <t>OBT030125061555-Other sidings south</t>
        </is>
      </c>
      <c r="H46" s="10" t="n">
        <v>45660.26105324074</v>
      </c>
      <c r="I46" s="10" t="n">
        <v>45660.28053240741</v>
      </c>
      <c r="J46" s="10" t="n">
        <v>45660.28123842592</v>
      </c>
      <c r="K46" s="11">
        <f>IF(AND(ISNUMBER(D46),ISNUMBER(E46)),(E46-D46),"")</f>
        <v/>
      </c>
      <c r="L46" s="11">
        <f>IF(AND(ISNUMBER(F46),ISNUMBER(I46)),(I46-F46),"")</f>
        <v/>
      </c>
    </row>
    <row r="47">
      <c r="A47" s="3" t="inlineStr">
        <is>
          <t>1001202</t>
        </is>
      </c>
      <c r="B47" s="3" t="inlineStr">
        <is>
          <t>10012</t>
        </is>
      </c>
      <c r="C47" s="10" t="n">
        <v>45659.73721064815</v>
      </c>
      <c r="D47" s="10" t="n">
        <v>45659.73971064815</v>
      </c>
      <c r="E47" s="10" t="n">
        <v>45659.76037037037</v>
      </c>
      <c r="F47" s="10" t="n">
        <v>45659.76237268518</v>
      </c>
      <c r="G47" s="3" t="inlineStr">
        <is>
          <t>OBT030125063005-Gloggnitz</t>
        </is>
      </c>
      <c r="H47" s="10" t="n">
        <v>45660.27089120371</v>
      </c>
      <c r="I47" s="10" t="n">
        <v>45660.31285879629</v>
      </c>
      <c r="J47" s="10" t="n">
        <v>45660.31383101852</v>
      </c>
      <c r="K47" s="11">
        <f>IF(AND(ISNUMBER(D47),ISNUMBER(E47)),(E47-D47),"")</f>
        <v/>
      </c>
      <c r="L47" s="11">
        <f>IF(AND(ISNUMBER(F47),ISNUMBER(I47)),(I47-F47),"")</f>
        <v/>
      </c>
    </row>
    <row r="48">
      <c r="A48" s="3" t="inlineStr">
        <is>
          <t>1001203</t>
        </is>
      </c>
      <c r="B48" s="3" t="inlineStr">
        <is>
          <t>10012</t>
        </is>
      </c>
      <c r="C48" s="10" t="n">
        <v>45659.73721064815</v>
      </c>
      <c r="D48" s="10" t="n">
        <v>45659.73971064815</v>
      </c>
      <c r="E48" s="10" t="n">
        <v>45659.76237268518</v>
      </c>
      <c r="F48" s="10" t="n">
        <v>45659.76363425926</v>
      </c>
      <c r="G48" s="3" t="inlineStr">
        <is>
          <t>OBT020125210709-Neudörfl (FunderMax)</t>
        </is>
      </c>
      <c r="H48" s="10" t="n">
        <v>45659.87996527777</v>
      </c>
      <c r="I48" s="10" t="n">
        <v>45659.89935185185</v>
      </c>
      <c r="J48" s="10" t="n">
        <v>45659.90002314815</v>
      </c>
      <c r="K48" s="11">
        <f>IF(AND(ISNUMBER(D48),ISNUMBER(E48)),(E48-D48),"")</f>
        <v/>
      </c>
      <c r="L48" s="11">
        <f>IF(AND(ISNUMBER(F48),ISNUMBER(I48)),(I48-F48),"")</f>
        <v/>
      </c>
    </row>
    <row r="49">
      <c r="A49" s="3" t="inlineStr">
        <is>
          <t>1001204</t>
        </is>
      </c>
      <c r="B49" s="3" t="inlineStr">
        <is>
          <t>10012</t>
        </is>
      </c>
      <c r="C49" s="10" t="n">
        <v>45659.73721064815</v>
      </c>
      <c r="D49" s="10" t="n">
        <v>45659.73971064815</v>
      </c>
      <c r="E49" s="10" t="n">
        <v>45659.76363425926</v>
      </c>
      <c r="F49" s="10" t="n">
        <v>45659.76520833333</v>
      </c>
      <c r="G49" s="3" t="inlineStr">
        <is>
          <t>OBT030125205107-Other sidings local</t>
        </is>
      </c>
      <c r="H49" s="10" t="n">
        <v>45660.86883101852</v>
      </c>
      <c r="I49" s="10" t="n">
        <v>45660.91472222222</v>
      </c>
      <c r="J49" s="10" t="n">
        <v>45660.91559027778</v>
      </c>
      <c r="K49" s="11">
        <f>IF(AND(ISNUMBER(D49),ISNUMBER(E49)),(E49-D49),"")</f>
        <v/>
      </c>
      <c r="L49" s="11">
        <f>IF(AND(ISNUMBER(F49),ISNUMBER(I49)),(I49-F49),"")</f>
        <v/>
      </c>
    </row>
    <row r="50">
      <c r="A50" s="3" t="inlineStr">
        <is>
          <t>1001205</t>
        </is>
      </c>
      <c r="B50" s="3" t="inlineStr">
        <is>
          <t>10012</t>
        </is>
      </c>
      <c r="C50" s="10" t="n">
        <v>45659.73721064815</v>
      </c>
      <c r="D50" s="10" t="n">
        <v>45659.73971064815</v>
      </c>
      <c r="E50" s="10" t="n">
        <v>45659.76520833333</v>
      </c>
      <c r="F50" s="10" t="n">
        <v>45659.76740740741</v>
      </c>
      <c r="G50" s="3" t="inlineStr">
        <is>
          <t>OBT020125183042-Wr. Neustadt (Hödlmayr)</t>
        </is>
      </c>
      <c r="H50" s="10" t="n">
        <v>45659.77131944444</v>
      </c>
      <c r="I50" s="10" t="n">
        <v>45659.80965277777</v>
      </c>
      <c r="J50" s="10" t="n">
        <v>45659.81069444444</v>
      </c>
      <c r="K50" s="11">
        <f>IF(AND(ISNUMBER(D50),ISNUMBER(E50)),(E50-D50),"")</f>
        <v/>
      </c>
      <c r="L50" s="11">
        <f>IF(AND(ISNUMBER(F50),ISNUMBER(I50)),(I50-F50),"")</f>
        <v/>
      </c>
    </row>
    <row r="51">
      <c r="A51" s="3" t="inlineStr">
        <is>
          <t>1001206</t>
        </is>
      </c>
      <c r="B51" s="3" t="inlineStr">
        <is>
          <t>10012</t>
        </is>
      </c>
      <c r="C51" s="10" t="n">
        <v>45659.73721064815</v>
      </c>
      <c r="D51" s="10" t="n">
        <v>45659.73971064815</v>
      </c>
      <c r="E51" s="10" t="n">
        <v>45659.76740740741</v>
      </c>
      <c r="F51" s="10" t="n">
        <v>45659.76877314815</v>
      </c>
      <c r="G51" s="3" t="inlineStr">
        <is>
          <t>OBT020125205242-Ebenfurth (beet loading)</t>
        </is>
      </c>
      <c r="H51" s="10" t="n">
        <v>45659.86993055556</v>
      </c>
      <c r="I51" s="10" t="n">
        <v>45659.898125</v>
      </c>
      <c r="J51" s="10" t="n">
        <v>45659.89896990741</v>
      </c>
      <c r="K51" s="11">
        <f>IF(AND(ISNUMBER(D51),ISNUMBER(E51)),(E51-D51),"")</f>
        <v/>
      </c>
      <c r="L51" s="11">
        <f>IF(AND(ISNUMBER(F51),ISNUMBER(I51)),(I51-F51),"")</f>
        <v/>
      </c>
    </row>
    <row r="52">
      <c r="A52" s="3" t="inlineStr">
        <is>
          <t>1001207</t>
        </is>
      </c>
      <c r="B52" s="3" t="inlineStr">
        <is>
          <t>10012</t>
        </is>
      </c>
      <c r="C52" s="10" t="n">
        <v>45659.73721064815</v>
      </c>
      <c r="D52" s="10" t="n">
        <v>45659.73971064815</v>
      </c>
      <c r="E52" s="10" t="n">
        <v>45659.76877314815</v>
      </c>
      <c r="F52" s="10" t="n">
        <v>45659.77084490741</v>
      </c>
      <c r="G52" s="3" t="inlineStr">
        <is>
          <t>OBT020125210324-Other sidings north</t>
        </is>
      </c>
      <c r="H52" s="10" t="n">
        <v>45659.87736111111</v>
      </c>
      <c r="I52" s="10" t="n">
        <v>45659.90002314815</v>
      </c>
      <c r="J52" s="10" t="n">
        <v>45659.90067129629</v>
      </c>
      <c r="K52" s="11">
        <f>IF(AND(ISNUMBER(D52),ISNUMBER(E52)),(E52-D52),"")</f>
        <v/>
      </c>
      <c r="L52" s="11">
        <f>IF(AND(ISNUMBER(F52),ISNUMBER(I52)),(I52-F52),"")</f>
        <v/>
      </c>
    </row>
    <row r="53">
      <c r="A53" s="3" t="inlineStr">
        <is>
          <t>1001208</t>
        </is>
      </c>
      <c r="B53" s="3" t="inlineStr">
        <is>
          <t>10012</t>
        </is>
      </c>
      <c r="C53" s="10" t="n">
        <v>45659.73721064815</v>
      </c>
      <c r="D53" s="10" t="n">
        <v>45659.73971064815</v>
      </c>
      <c r="E53" s="10" t="n">
        <v>45659.77084490741</v>
      </c>
      <c r="F53" s="10" t="n">
        <v>45659.77314814815</v>
      </c>
      <c r="G53" s="3" t="inlineStr">
        <is>
          <t>OBT020125183645-Pitten (Hamburger)</t>
        </is>
      </c>
      <c r="H53" s="10" t="n">
        <v>45659.77552083333</v>
      </c>
      <c r="I53" s="10" t="n">
        <v>45659.81069444444</v>
      </c>
      <c r="J53" s="10" t="n">
        <v>45659.81153935185</v>
      </c>
      <c r="K53" s="11">
        <f>IF(AND(ISNUMBER(D53),ISNUMBER(E53)),(E53-D53),"")</f>
        <v/>
      </c>
      <c r="L53" s="11">
        <f>IF(AND(ISNUMBER(F53),ISNUMBER(I53)),(I53-F53),"")</f>
        <v/>
      </c>
    </row>
    <row r="54">
      <c r="A54" s="3" t="inlineStr">
        <is>
          <t>1001209</t>
        </is>
      </c>
      <c r="B54" s="3" t="inlineStr">
        <is>
          <t>10012</t>
        </is>
      </c>
      <c r="C54" s="10" t="n">
        <v>45659.73721064815</v>
      </c>
      <c r="D54" s="10" t="n">
        <v>45659.73971064815</v>
      </c>
      <c r="E54" s="10" t="n">
        <v>45659.77314814815</v>
      </c>
      <c r="F54" s="10" t="n">
        <v>45659.77512731482</v>
      </c>
      <c r="G54" s="3" t="inlineStr">
        <is>
          <t>OBT030125075311-Felixdorf/Sollenau (Bundesheer, Maba)</t>
        </is>
      </c>
      <c r="H54" s="10" t="n">
        <v>45660.32859953704</v>
      </c>
      <c r="I54" s="10" t="n">
        <v>45660.36226851852</v>
      </c>
      <c r="J54" s="10" t="n">
        <v>45660.36324074074</v>
      </c>
      <c r="K54" s="11">
        <f>IF(AND(ISNUMBER(D54),ISNUMBER(E54)),(E54-D54),"")</f>
        <v/>
      </c>
      <c r="L54" s="11">
        <f>IF(AND(ISNUMBER(F54),ISNUMBER(I54)),(I54-F54),"")</f>
        <v/>
      </c>
    </row>
    <row r="55">
      <c r="A55" s="3" t="inlineStr">
        <is>
          <t>1001210</t>
        </is>
      </c>
      <c r="B55" s="3" t="inlineStr">
        <is>
          <t>10012</t>
        </is>
      </c>
      <c r="C55" s="10" t="n">
        <v>45659.73721064815</v>
      </c>
      <c r="D55" s="10" t="n">
        <v>45659.73971064815</v>
      </c>
      <c r="E55" s="10" t="n">
        <v>45659.77512731482</v>
      </c>
      <c r="F55" s="10" t="n">
        <v>45659.77686342593</v>
      </c>
      <c r="G55" s="3" t="inlineStr">
        <is>
          <t>OBT020125184418-Neunkirchen (loading tracks)</t>
        </is>
      </c>
      <c r="H55" s="10" t="n">
        <v>45659.78076388889</v>
      </c>
      <c r="I55" s="10" t="n">
        <v>45659.80189814815</v>
      </c>
      <c r="J55" s="10" t="n">
        <v>45659.80267361111</v>
      </c>
      <c r="K55" s="11">
        <f>IF(AND(ISNUMBER(D55),ISNUMBER(E55)),(E55-D55),"")</f>
        <v/>
      </c>
      <c r="L55" s="11">
        <f>IF(AND(ISNUMBER(F55),ISNUMBER(I55)),(I55-F55),"")</f>
        <v/>
      </c>
    </row>
    <row r="56">
      <c r="A56" s="3" t="inlineStr">
        <is>
          <t>1001211</t>
        </is>
      </c>
      <c r="B56" s="3" t="inlineStr">
        <is>
          <t>10012</t>
        </is>
      </c>
      <c r="C56" s="10" t="n">
        <v>45659.73721064815</v>
      </c>
      <c r="D56" s="10" t="n">
        <v>45659.73971064815</v>
      </c>
      <c r="E56" s="10" t="n">
        <v>45659.77686342593</v>
      </c>
      <c r="F56" s="10" t="n">
        <v>45659.77873842593</v>
      </c>
      <c r="G56" s="3" t="inlineStr">
        <is>
          <t>OBT030125030120-Pitten (Hamburger)</t>
        </is>
      </c>
      <c r="H56" s="10" t="n">
        <v>45660.12592592592</v>
      </c>
      <c r="I56" s="10" t="n">
        <v>45660.15010416666</v>
      </c>
      <c r="J56" s="10" t="n">
        <v>45660.15079861111</v>
      </c>
      <c r="K56" s="11">
        <f>IF(AND(ISNUMBER(D56),ISNUMBER(E56)),(E56-D56),"")</f>
        <v/>
      </c>
      <c r="L56" s="11">
        <f>IF(AND(ISNUMBER(F56),ISNUMBER(I56)),(I56-F56),"")</f>
        <v/>
      </c>
    </row>
    <row r="57">
      <c r="A57" s="3" t="inlineStr">
        <is>
          <t>1001301</t>
        </is>
      </c>
      <c r="B57" s="3" t="inlineStr">
        <is>
          <t>10013</t>
        </is>
      </c>
      <c r="C57" s="10" t="n">
        <v>45659.83844907407</v>
      </c>
      <c r="D57" s="10" t="n">
        <v>45659.84085648148</v>
      </c>
      <c r="E57" s="10" t="n">
        <v>45659.85762731481</v>
      </c>
      <c r="F57" s="10" t="n">
        <v>45659.85960648148</v>
      </c>
      <c r="G57" s="3" t="inlineStr">
        <is>
          <t>OBT030125030120-Pitten (Hamburger)</t>
        </is>
      </c>
      <c r="H57" s="10" t="n">
        <v>45660.12592592592</v>
      </c>
      <c r="I57" s="10" t="n">
        <v>45660.15010416666</v>
      </c>
      <c r="J57" s="10" t="n">
        <v>45660.15079861111</v>
      </c>
      <c r="K57" s="11">
        <f>IF(AND(ISNUMBER(D57),ISNUMBER(E57)),(E57-D57),"")</f>
        <v/>
      </c>
      <c r="L57" s="11">
        <f>IF(AND(ISNUMBER(F57),ISNUMBER(I57)),(I57-F57),"")</f>
        <v/>
      </c>
    </row>
    <row r="58">
      <c r="A58" s="3" t="inlineStr">
        <is>
          <t>1001302</t>
        </is>
      </c>
      <c r="B58" s="3" t="inlineStr">
        <is>
          <t>10013</t>
        </is>
      </c>
      <c r="C58" s="10" t="n">
        <v>45659.83844907407</v>
      </c>
      <c r="D58" s="10" t="n">
        <v>45659.84085648148</v>
      </c>
      <c r="E58" s="10" t="n">
        <v>45659.85960648148</v>
      </c>
      <c r="F58" s="10" t="n">
        <v>45659.86164351852</v>
      </c>
      <c r="G58" s="3" t="inlineStr">
        <is>
          <t>OBT030125063005-Gloggnitz</t>
        </is>
      </c>
      <c r="H58" s="10" t="n">
        <v>45660.27089120371</v>
      </c>
      <c r="I58" s="10" t="n">
        <v>45660.31285879629</v>
      </c>
      <c r="J58" s="10" t="n">
        <v>45660.31383101852</v>
      </c>
      <c r="K58" s="11">
        <f>IF(AND(ISNUMBER(D58),ISNUMBER(E58)),(E58-D58),"")</f>
        <v/>
      </c>
      <c r="L58" s="11">
        <f>IF(AND(ISNUMBER(F58),ISNUMBER(I58)),(I58-F58),"")</f>
        <v/>
      </c>
    </row>
    <row r="59">
      <c r="A59" s="3" t="inlineStr">
        <is>
          <t>1001303</t>
        </is>
      </c>
      <c r="B59" s="3" t="inlineStr">
        <is>
          <t>10013</t>
        </is>
      </c>
      <c r="C59" s="10" t="n">
        <v>45659.83844907407</v>
      </c>
      <c r="D59" s="10" t="n">
        <v>45659.84085648148</v>
      </c>
      <c r="E59" s="10" t="n">
        <v>45659.86164351852</v>
      </c>
      <c r="F59" s="10" t="n">
        <v>45659.86313657407</v>
      </c>
      <c r="G59" s="3" t="inlineStr">
        <is>
          <t>OBT090125074546-Wr. Neustadt (Brenntag)</t>
        </is>
      </c>
      <c r="H59" s="10" t="n">
        <v>45666.32344907407</v>
      </c>
      <c r="I59" s="10" t="n">
        <v>45666.39607638889</v>
      </c>
      <c r="J59" s="10" t="n">
        <v>45666.39756944445</v>
      </c>
      <c r="K59" s="11">
        <f>IF(AND(ISNUMBER(D59),ISNUMBER(E59)),(E59-D59),"")</f>
        <v/>
      </c>
      <c r="L59" s="11">
        <f>IF(AND(ISNUMBER(F59),ISNUMBER(I59)),(I59-F59),"")</f>
        <v/>
      </c>
    </row>
    <row r="60">
      <c r="A60" s="3" t="inlineStr">
        <is>
          <t>1001304</t>
        </is>
      </c>
      <c r="B60" s="3" t="inlineStr">
        <is>
          <t>10013</t>
        </is>
      </c>
      <c r="C60" s="10" t="n">
        <v>45659.83844907407</v>
      </c>
      <c r="D60" s="10" t="n">
        <v>45659.84085648148</v>
      </c>
      <c r="E60" s="10" t="n">
        <v>45659.86313657407</v>
      </c>
      <c r="F60" s="10" t="n">
        <v>45659.86451388889</v>
      </c>
      <c r="G60" s="3" t="inlineStr">
        <is>
          <t>OBT020125210709-Neudörfl (FunderMax)</t>
        </is>
      </c>
      <c r="H60" s="10" t="n">
        <v>45659.87996527777</v>
      </c>
      <c r="I60" s="10" t="n">
        <v>45659.89935185185</v>
      </c>
      <c r="J60" s="10" t="n">
        <v>45659.90002314815</v>
      </c>
      <c r="K60" s="11">
        <f>IF(AND(ISNUMBER(D60),ISNUMBER(E60)),(E60-D60),"")</f>
        <v/>
      </c>
      <c r="L60" s="11">
        <f>IF(AND(ISNUMBER(F60),ISNUMBER(I60)),(I60-F60),"")</f>
        <v/>
      </c>
    </row>
    <row r="61">
      <c r="A61" s="3" t="inlineStr">
        <is>
          <t>1001305</t>
        </is>
      </c>
      <c r="B61" s="3" t="inlineStr">
        <is>
          <t>10013</t>
        </is>
      </c>
      <c r="C61" s="10" t="n">
        <v>45659.83844907407</v>
      </c>
      <c r="D61" s="10" t="n">
        <v>45659.84085648148</v>
      </c>
      <c r="E61" s="10" t="n">
        <v>45659.86451388889</v>
      </c>
      <c r="F61" s="10" t="n">
        <v>45659.86600694444</v>
      </c>
      <c r="G61" s="3" t="inlineStr">
        <is>
          <t>OBT020125205242-Ebenfurth (beet loading)</t>
        </is>
      </c>
      <c r="H61" s="10" t="n">
        <v>45659.86993055556</v>
      </c>
      <c r="I61" s="10" t="n">
        <v>45659.898125</v>
      </c>
      <c r="J61" s="10" t="n">
        <v>45659.89896990741</v>
      </c>
      <c r="K61" s="11">
        <f>IF(AND(ISNUMBER(D61),ISNUMBER(E61)),(E61-D61),"")</f>
        <v/>
      </c>
      <c r="L61" s="11">
        <f>IF(AND(ISNUMBER(F61),ISNUMBER(I61)),(I61-F61),"")</f>
        <v/>
      </c>
    </row>
    <row r="62">
      <c r="A62" s="3" t="inlineStr">
        <is>
          <t>1001306</t>
        </is>
      </c>
      <c r="B62" s="3" t="inlineStr">
        <is>
          <t>10013</t>
        </is>
      </c>
      <c r="C62" s="10" t="n">
        <v>45659.83844907407</v>
      </c>
      <c r="D62" s="10" t="n">
        <v>45659.84085648148</v>
      </c>
      <c r="E62" s="10" t="n">
        <v>45659.86600694444</v>
      </c>
      <c r="F62" s="10" t="n">
        <v>45659.86777777778</v>
      </c>
      <c r="G62" s="3" t="inlineStr">
        <is>
          <t>OBT030125070748-Neunkirchen (loading tracks)</t>
        </is>
      </c>
      <c r="H62" s="10" t="n">
        <v>45660.29708333333</v>
      </c>
      <c r="I62" s="10" t="n">
        <v>45660.37137731481</v>
      </c>
      <c r="J62" s="10" t="n">
        <v>45660.37274305556</v>
      </c>
      <c r="K62" s="11">
        <f>IF(AND(ISNUMBER(D62),ISNUMBER(E62)),(E62-D62),"")</f>
        <v/>
      </c>
      <c r="L62" s="11">
        <f>IF(AND(ISNUMBER(F62),ISNUMBER(I62)),(I62-F62),"")</f>
        <v/>
      </c>
    </row>
    <row r="63">
      <c r="A63" s="3" t="inlineStr">
        <is>
          <t>1001307</t>
        </is>
      </c>
      <c r="B63" s="3" t="inlineStr">
        <is>
          <t>10013</t>
        </is>
      </c>
      <c r="C63" s="10" t="n">
        <v>45659.83844907407</v>
      </c>
      <c r="D63" s="10" t="n">
        <v>45659.84085648148</v>
      </c>
      <c r="E63" s="10" t="n">
        <v>45659.86777777778</v>
      </c>
      <c r="F63" s="10" t="n">
        <v>45659.86981481482</v>
      </c>
      <c r="G63" s="3" t="inlineStr">
        <is>
          <t>OBT030125063655-Wr. Neustadt (Hödlmayr)</t>
        </is>
      </c>
      <c r="H63" s="10" t="n">
        <v>45660.27563657407</v>
      </c>
      <c r="I63" s="10" t="n">
        <v>45660.31753472222</v>
      </c>
      <c r="J63" s="10" t="n">
        <v>45660.31833333334</v>
      </c>
      <c r="K63" s="11">
        <f>IF(AND(ISNUMBER(D63),ISNUMBER(E63)),(E63-D63),"")</f>
        <v/>
      </c>
      <c r="L63" s="11">
        <f>IF(AND(ISNUMBER(F63),ISNUMBER(I63)),(I63-F63),"")</f>
        <v/>
      </c>
    </row>
    <row r="64">
      <c r="A64" s="3" t="inlineStr">
        <is>
          <t>1001308</t>
        </is>
      </c>
      <c r="B64" s="3" t="inlineStr">
        <is>
          <t>10013</t>
        </is>
      </c>
      <c r="C64" s="10" t="n">
        <v>45659.83844907407</v>
      </c>
      <c r="D64" s="10" t="n">
        <v>45659.84085648148</v>
      </c>
      <c r="E64" s="10" t="n">
        <v>45659.86981481482</v>
      </c>
      <c r="F64" s="10" t="n">
        <v>45659.87153935185</v>
      </c>
      <c r="G64" s="3" t="inlineStr">
        <is>
          <t>OBT090125184210-Steinabrückl/Wöllersdorf</t>
        </is>
      </c>
      <c r="H64" s="10" t="n">
        <v>45666.77928240741</v>
      </c>
      <c r="I64" s="10" t="n">
        <v>45666.81667824074</v>
      </c>
      <c r="J64" s="10" t="n">
        <v>45666.8174537037</v>
      </c>
      <c r="K64" s="11">
        <f>IF(AND(ISNUMBER(D64),ISNUMBER(E64)),(E64-D64),"")</f>
        <v/>
      </c>
      <c r="L64" s="11">
        <f>IF(AND(ISNUMBER(F64),ISNUMBER(I64)),(I64-F64),"")</f>
        <v/>
      </c>
    </row>
    <row r="65">
      <c r="A65" s="3" t="inlineStr">
        <is>
          <t>1001309</t>
        </is>
      </c>
      <c r="B65" s="3" t="inlineStr">
        <is>
          <t>10013</t>
        </is>
      </c>
      <c r="C65" s="10" t="n">
        <v>45659.83844907407</v>
      </c>
      <c r="D65" s="10" t="n">
        <v>45659.84085648148</v>
      </c>
      <c r="E65" s="10" t="n">
        <v>45659.87153935185</v>
      </c>
      <c r="F65" s="10" t="n">
        <v>45659.87346064814</v>
      </c>
      <c r="G65" s="3" t="inlineStr">
        <is>
          <t>OBT020125210324-Other sidings north</t>
        </is>
      </c>
      <c r="H65" s="10" t="n">
        <v>45659.87736111111</v>
      </c>
      <c r="I65" s="10" t="n">
        <v>45659.90002314815</v>
      </c>
      <c r="J65" s="10" t="n">
        <v>45659.90067129629</v>
      </c>
      <c r="K65" s="11">
        <f>IF(AND(ISNUMBER(D65),ISNUMBER(E65)),(E65-D65),"")</f>
        <v/>
      </c>
      <c r="L65" s="11">
        <f>IF(AND(ISNUMBER(F65),ISNUMBER(I65)),(I65-F65),"")</f>
        <v/>
      </c>
    </row>
    <row r="66">
      <c r="A66" s="3" t="inlineStr">
        <is>
          <t>1001310</t>
        </is>
      </c>
      <c r="B66" s="3" t="inlineStr">
        <is>
          <t>10013</t>
        </is>
      </c>
      <c r="C66" s="10" t="n">
        <v>45659.83844907407</v>
      </c>
      <c r="D66" s="10" t="n">
        <v>45659.84085648148</v>
      </c>
      <c r="E66" s="10" t="n">
        <v>45659.87346064814</v>
      </c>
      <c r="F66" s="10" t="n">
        <v>45659.87475694445</v>
      </c>
      <c r="G66" s="3" t="inlineStr">
        <is>
          <t>OBT030125160132-Wr. Neustadt Ausfahrbf (Furtenbach)</t>
        </is>
      </c>
      <c r="H66" s="10" t="n">
        <v>45660.66773148148</v>
      </c>
      <c r="I66" s="10" t="n">
        <v>45660.6893287037</v>
      </c>
      <c r="J66" s="10" t="n">
        <v>45660.69015046296</v>
      </c>
      <c r="K66" s="11">
        <f>IF(AND(ISNUMBER(D66),ISNUMBER(E66)),(E66-D66),"")</f>
        <v/>
      </c>
      <c r="L66" s="11">
        <f>IF(AND(ISNUMBER(F66),ISNUMBER(I66)),(I66-F66),"")</f>
        <v/>
      </c>
    </row>
    <row r="67">
      <c r="A67" s="3" t="inlineStr">
        <is>
          <t>1001311</t>
        </is>
      </c>
      <c r="B67" s="3" t="inlineStr">
        <is>
          <t>10013</t>
        </is>
      </c>
      <c r="C67" s="10" t="n">
        <v>45659.83844907407</v>
      </c>
      <c r="D67" s="10" t="n">
        <v>45659.84085648148</v>
      </c>
      <c r="E67" s="10" t="n">
        <v>45659.87475694445</v>
      </c>
      <c r="F67" s="10" t="n">
        <v>45659.87604166667</v>
      </c>
      <c r="G67" s="3" t="inlineStr">
        <is>
          <t>OBT020125210709-Neudörfl (FunderMax)</t>
        </is>
      </c>
      <c r="H67" s="10" t="n">
        <v>45659.87996527777</v>
      </c>
      <c r="I67" s="10" t="n">
        <v>45659.89935185185</v>
      </c>
      <c r="J67" s="10" t="n">
        <v>45659.90002314815</v>
      </c>
      <c r="K67" s="11">
        <f>IF(AND(ISNUMBER(D67),ISNUMBER(E67)),(E67-D67),"")</f>
        <v/>
      </c>
      <c r="L67" s="11">
        <f>IF(AND(ISNUMBER(F67),ISNUMBER(I67)),(I67-F67),"")</f>
        <v/>
      </c>
    </row>
    <row r="68">
      <c r="A68" s="3" t="inlineStr">
        <is>
          <t>1001401</t>
        </is>
      </c>
      <c r="B68" s="3" t="inlineStr">
        <is>
          <t>10014</t>
        </is>
      </c>
      <c r="C68" s="10" t="n">
        <v>45660.11060185185</v>
      </c>
      <c r="D68" s="10" t="n">
        <v>45660.11252314815</v>
      </c>
      <c r="E68" s="10" t="n">
        <v>45660.12027777778</v>
      </c>
      <c r="F68" s="10" t="n">
        <v>45660.12236111111</v>
      </c>
      <c r="G68" s="3" t="inlineStr">
        <is>
          <t>OBT030125030120-Pitten (Hamburger)</t>
        </is>
      </c>
      <c r="H68" s="10" t="n">
        <v>45660.12592592592</v>
      </c>
      <c r="I68" s="10" t="n">
        <v>45660.15010416666</v>
      </c>
      <c r="J68" s="10" t="n">
        <v>45660.15079861111</v>
      </c>
      <c r="K68" s="11">
        <f>IF(AND(ISNUMBER(D68),ISNUMBER(E68)),(E68-D68),"")</f>
        <v/>
      </c>
      <c r="L68" s="11">
        <f>IF(AND(ISNUMBER(F68),ISNUMBER(I68)),(I68-F68),"")</f>
        <v/>
      </c>
    </row>
    <row r="69">
      <c r="A69" s="3" t="inlineStr">
        <is>
          <t>1001402</t>
        </is>
      </c>
      <c r="B69" s="3" t="inlineStr">
        <is>
          <t>10014</t>
        </is>
      </c>
      <c r="C69" s="10" t="n">
        <v>45660.11060185185</v>
      </c>
      <c r="D69" s="10" t="n">
        <v>45660.11252314815</v>
      </c>
      <c r="E69" s="10" t="n">
        <v>45660.12236111111</v>
      </c>
      <c r="F69" s="10" t="n">
        <v>45660.12351851852</v>
      </c>
      <c r="G69" s="3" t="inlineStr">
        <is>
          <t>OBT030125061555-Other sidings south</t>
        </is>
      </c>
      <c r="H69" s="10" t="n">
        <v>45660.26105324074</v>
      </c>
      <c r="I69" s="10" t="n">
        <v>45660.28053240741</v>
      </c>
      <c r="J69" s="10" t="n">
        <v>45660.28123842592</v>
      </c>
      <c r="K69" s="11">
        <f>IF(AND(ISNUMBER(D69),ISNUMBER(E69)),(E69-D69),"")</f>
        <v/>
      </c>
      <c r="L69" s="11">
        <f>IF(AND(ISNUMBER(F69),ISNUMBER(I69)),(I69-F69),"")</f>
        <v/>
      </c>
    </row>
    <row r="70">
      <c r="A70" s="3" t="inlineStr">
        <is>
          <t>1001403</t>
        </is>
      </c>
      <c r="B70" s="3" t="inlineStr">
        <is>
          <t>10014</t>
        </is>
      </c>
      <c r="C70" s="10" t="n">
        <v>45660.11060185185</v>
      </c>
      <c r="D70" s="10" t="n">
        <v>45660.11252314815</v>
      </c>
      <c r="E70" s="10" t="n">
        <v>45660.12351851852</v>
      </c>
      <c r="F70" s="10" t="n">
        <v>45660.12527777778</v>
      </c>
      <c r="G70" s="3" t="inlineStr">
        <is>
          <t>OBT030125070748-Neunkirchen (loading tracks)</t>
        </is>
      </c>
      <c r="H70" s="10" t="n">
        <v>45660.29708333333</v>
      </c>
      <c r="I70" s="10" t="n">
        <v>45660.37137731481</v>
      </c>
      <c r="J70" s="10" t="n">
        <v>45660.37274305556</v>
      </c>
      <c r="K70" s="11">
        <f>IF(AND(ISNUMBER(D70),ISNUMBER(E70)),(E70-D70),"")</f>
        <v/>
      </c>
      <c r="L70" s="11">
        <f>IF(AND(ISNUMBER(F70),ISNUMBER(I70)),(I70-F70),"")</f>
        <v/>
      </c>
    </row>
    <row r="71">
      <c r="A71" s="3" t="inlineStr">
        <is>
          <t>1001404</t>
        </is>
      </c>
      <c r="B71" s="3" t="inlineStr">
        <is>
          <t>10014</t>
        </is>
      </c>
      <c r="C71" s="10" t="n">
        <v>45660.11060185185</v>
      </c>
      <c r="D71" s="10" t="n">
        <v>45660.11252314815</v>
      </c>
      <c r="E71" s="10" t="n">
        <v>45660.12527777778</v>
      </c>
      <c r="F71" s="10" t="n">
        <v>45660.12644675926</v>
      </c>
      <c r="G71" s="3" t="inlineStr">
        <is>
          <t>OBT030125061555-Other sidings south</t>
        </is>
      </c>
      <c r="H71" s="10" t="n">
        <v>45660.26105324074</v>
      </c>
      <c r="I71" s="10" t="n">
        <v>45660.28053240741</v>
      </c>
      <c r="J71" s="10" t="n">
        <v>45660.28123842592</v>
      </c>
      <c r="K71" s="11">
        <f>IF(AND(ISNUMBER(D71),ISNUMBER(E71)),(E71-D71),"")</f>
        <v/>
      </c>
      <c r="L71" s="11">
        <f>IF(AND(ISNUMBER(F71),ISNUMBER(I71)),(I71-F71),"")</f>
        <v/>
      </c>
    </row>
    <row r="72">
      <c r="A72" s="3" t="inlineStr">
        <is>
          <t>1001501</t>
        </is>
      </c>
      <c r="B72" s="3" t="inlineStr">
        <is>
          <t>10015</t>
        </is>
      </c>
      <c r="C72" s="10" t="n">
        <v>45660.19019675926</v>
      </c>
      <c r="D72" s="10" t="n">
        <v>45660.19293981481</v>
      </c>
      <c r="E72" s="10" t="n">
        <v>45660.20042824074</v>
      </c>
      <c r="F72" s="10" t="n">
        <v>45660.20282407408</v>
      </c>
      <c r="G72" s="3" t="inlineStr">
        <is>
          <t>OBT030125045529-Neudörfl (FunderMax)</t>
        </is>
      </c>
      <c r="H72" s="10" t="n">
        <v>45660.20519675926</v>
      </c>
      <c r="I72" s="10" t="n">
        <v>45660.29234953703</v>
      </c>
      <c r="J72" s="10" t="n">
        <v>45660.29392361111</v>
      </c>
      <c r="K72" s="11">
        <f>IF(AND(ISNUMBER(D72),ISNUMBER(E72)),(E72-D72),"")</f>
        <v/>
      </c>
      <c r="L72" s="11">
        <f>IF(AND(ISNUMBER(F72),ISNUMBER(I72)),(I72-F72),"")</f>
        <v/>
      </c>
    </row>
    <row r="73">
      <c r="A73" s="3" t="inlineStr">
        <is>
          <t>1001601</t>
        </is>
      </c>
      <c r="B73" s="3" t="inlineStr">
        <is>
          <t>10016</t>
        </is>
      </c>
      <c r="C73" s="10" t="n">
        <v>45660.23157407407</v>
      </c>
      <c r="D73" s="10" t="n">
        <v>45660.23412037037</v>
      </c>
      <c r="E73" s="10" t="n">
        <v>45660.25104166667</v>
      </c>
      <c r="F73" s="10" t="n">
        <v>45660.25265046296</v>
      </c>
      <c r="G73" s="3" t="inlineStr">
        <is>
          <t>OBT030125205107-Other sidings local</t>
        </is>
      </c>
      <c r="H73" s="10" t="n">
        <v>45660.86883101852</v>
      </c>
      <c r="I73" s="10" t="n">
        <v>45660.91472222222</v>
      </c>
      <c r="J73" s="10" t="n">
        <v>45660.91559027778</v>
      </c>
      <c r="K73" s="11">
        <f>IF(AND(ISNUMBER(D73),ISNUMBER(E73)),(E73-D73),"")</f>
        <v/>
      </c>
      <c r="L73" s="11">
        <f>IF(AND(ISNUMBER(F73),ISNUMBER(I73)),(I73-F73),"")</f>
        <v/>
      </c>
    </row>
    <row r="74">
      <c r="A74" s="3" t="inlineStr">
        <is>
          <t>1001602</t>
        </is>
      </c>
      <c r="B74" s="3" t="inlineStr">
        <is>
          <t>10016</t>
        </is>
      </c>
      <c r="C74" s="10" t="n">
        <v>45660.23157407407</v>
      </c>
      <c r="D74" s="10" t="n">
        <v>45660.23412037037</v>
      </c>
      <c r="E74" s="10" t="n">
        <v>45660.25265046296</v>
      </c>
      <c r="F74" s="10" t="n">
        <v>45660.25457175926</v>
      </c>
      <c r="G74" s="3" t="inlineStr">
        <is>
          <t>OBT030125063320-Ternitz (Schoeller-Bleckmann)</t>
        </is>
      </c>
      <c r="H74" s="10" t="n">
        <v>45660.27314814815</v>
      </c>
      <c r="I74" s="10" t="n">
        <v>45660.30732638889</v>
      </c>
      <c r="J74" s="10" t="n">
        <v>45660.30805555556</v>
      </c>
      <c r="K74" s="11">
        <f>IF(AND(ISNUMBER(D74),ISNUMBER(E74)),(E74-D74),"")</f>
        <v/>
      </c>
      <c r="L74" s="11">
        <f>IF(AND(ISNUMBER(F74),ISNUMBER(I74)),(I74-F74),"")</f>
        <v/>
      </c>
    </row>
    <row r="75">
      <c r="A75" s="3" t="inlineStr">
        <is>
          <t>1001603</t>
        </is>
      </c>
      <c r="B75" s="3" t="inlineStr">
        <is>
          <t>10016</t>
        </is>
      </c>
      <c r="C75" s="10" t="n">
        <v>45660.23157407407</v>
      </c>
      <c r="D75" s="10" t="n">
        <v>45660.23412037037</v>
      </c>
      <c r="E75" s="10" t="n">
        <v>45660.25457175926</v>
      </c>
      <c r="F75" s="10" t="n">
        <v>45660.25633101852</v>
      </c>
      <c r="G75" s="3" t="inlineStr">
        <is>
          <t>OBT030125070748-Neunkirchen (loading tracks)</t>
        </is>
      </c>
      <c r="H75" s="10" t="n">
        <v>45660.29708333333</v>
      </c>
      <c r="I75" s="10" t="n">
        <v>45660.37137731481</v>
      </c>
      <c r="J75" s="10" t="n">
        <v>45660.37274305556</v>
      </c>
      <c r="K75" s="11">
        <f>IF(AND(ISNUMBER(D75),ISNUMBER(E75)),(E75-D75),"")</f>
        <v/>
      </c>
      <c r="L75" s="11">
        <f>IF(AND(ISNUMBER(F75),ISNUMBER(I75)),(I75-F75),"")</f>
        <v/>
      </c>
    </row>
    <row r="76">
      <c r="A76" s="3" t="inlineStr">
        <is>
          <t>1001604</t>
        </is>
      </c>
      <c r="B76" s="3" t="inlineStr">
        <is>
          <t>10016</t>
        </is>
      </c>
      <c r="C76" s="10" t="n">
        <v>45660.23157407407</v>
      </c>
      <c r="D76" s="10" t="n">
        <v>45660.23412037037</v>
      </c>
      <c r="E76" s="10" t="n">
        <v>45660.25633101852</v>
      </c>
      <c r="F76" s="10" t="n">
        <v>45660.25751157408</v>
      </c>
      <c r="G76" s="3" t="inlineStr">
        <is>
          <t>OBT030125061555-Other sidings south</t>
        </is>
      </c>
      <c r="H76" s="10" t="n">
        <v>45660.26105324074</v>
      </c>
      <c r="I76" s="10" t="n">
        <v>45660.28053240741</v>
      </c>
      <c r="J76" s="10" t="n">
        <v>45660.28123842592</v>
      </c>
      <c r="K76" s="11">
        <f>IF(AND(ISNUMBER(D76),ISNUMBER(E76)),(E76-D76),"")</f>
        <v/>
      </c>
      <c r="L76" s="11">
        <f>IF(AND(ISNUMBER(F76),ISNUMBER(I76)),(I76-F76),"")</f>
        <v/>
      </c>
    </row>
    <row r="77">
      <c r="A77" s="3" t="inlineStr">
        <is>
          <t>1001605</t>
        </is>
      </c>
      <c r="B77" s="3" t="inlineStr">
        <is>
          <t>10016</t>
        </is>
      </c>
      <c r="C77" s="10" t="n">
        <v>45660.23157407407</v>
      </c>
      <c r="D77" s="10" t="n">
        <v>45660.23412037037</v>
      </c>
      <c r="E77" s="10" t="n">
        <v>45660.25751157408</v>
      </c>
      <c r="F77" s="10" t="n">
        <v>45660.25890046296</v>
      </c>
      <c r="G77" s="3" t="inlineStr">
        <is>
          <t>OBT030125220232-Neudörfl (FunderMax)</t>
        </is>
      </c>
      <c r="H77" s="10" t="n">
        <v>45660.91842592593</v>
      </c>
      <c r="I77" s="10" t="n">
        <v>45660.9384375</v>
      </c>
      <c r="J77" s="10" t="n">
        <v>45660.93917824074</v>
      </c>
      <c r="K77" s="11">
        <f>IF(AND(ISNUMBER(D77),ISNUMBER(E77)),(E77-D77),"")</f>
        <v/>
      </c>
      <c r="L77" s="11">
        <f>IF(AND(ISNUMBER(F77),ISNUMBER(I77)),(I77-F77),"")</f>
        <v/>
      </c>
    </row>
    <row r="78">
      <c r="A78" s="3" t="inlineStr">
        <is>
          <t>1001606</t>
        </is>
      </c>
      <c r="B78" s="3" t="inlineStr">
        <is>
          <t>10016</t>
        </is>
      </c>
      <c r="C78" s="10" t="n">
        <v>45660.23157407407</v>
      </c>
      <c r="D78" s="10" t="n">
        <v>45660.23412037037</v>
      </c>
      <c r="E78" s="10" t="n">
        <v>45660.25890046296</v>
      </c>
      <c r="F78" s="10" t="n">
        <v>45660.26087962963</v>
      </c>
      <c r="G78" s="3" t="inlineStr">
        <is>
          <t>OBT030125063655-Wr. Neustadt (Hödlmayr)</t>
        </is>
      </c>
      <c r="H78" s="10" t="n">
        <v>45660.27563657407</v>
      </c>
      <c r="I78" s="10" t="n">
        <v>45660.31753472222</v>
      </c>
      <c r="J78" s="10" t="n">
        <v>45660.31833333334</v>
      </c>
      <c r="K78" s="11">
        <f>IF(AND(ISNUMBER(D78),ISNUMBER(E78)),(E78-D78),"")</f>
        <v/>
      </c>
      <c r="L78" s="11">
        <f>IF(AND(ISNUMBER(F78),ISNUMBER(I78)),(I78-F78),"")</f>
        <v/>
      </c>
    </row>
    <row r="79">
      <c r="A79" s="3" t="inlineStr">
        <is>
          <t>1001607</t>
        </is>
      </c>
      <c r="B79" s="3" t="inlineStr">
        <is>
          <t>10016</t>
        </is>
      </c>
      <c r="C79" s="10" t="n">
        <v>45660.23157407407</v>
      </c>
      <c r="D79" s="10" t="n">
        <v>45660.23412037037</v>
      </c>
      <c r="E79" s="10" t="n">
        <v>45660.26087962963</v>
      </c>
      <c r="F79" s="10" t="n">
        <v>45660.26278935185</v>
      </c>
      <c r="G79" s="3" t="inlineStr">
        <is>
          <t>OBT030125203217-Other sidings north</t>
        </is>
      </c>
      <c r="H79" s="10" t="n">
        <v>45660.85575231481</v>
      </c>
      <c r="I79" s="10" t="n">
        <v>45660.87576388889</v>
      </c>
      <c r="J79" s="10" t="n">
        <v>45660.87640046296</v>
      </c>
      <c r="K79" s="11">
        <f>IF(AND(ISNUMBER(D79),ISNUMBER(E79)),(E79-D79),"")</f>
        <v/>
      </c>
      <c r="L79" s="11">
        <f>IF(AND(ISNUMBER(F79),ISNUMBER(I79)),(I79-F79),"")</f>
        <v/>
      </c>
    </row>
    <row r="80">
      <c r="A80" s="3" t="inlineStr">
        <is>
          <t>1001608</t>
        </is>
      </c>
      <c r="B80" s="3" t="inlineStr">
        <is>
          <t>10016</t>
        </is>
      </c>
      <c r="C80" s="10" t="n">
        <v>45660.23157407407</v>
      </c>
      <c r="D80" s="10" t="n">
        <v>45660.23412037037</v>
      </c>
      <c r="E80" s="10" t="n">
        <v>45660.26278935185</v>
      </c>
      <c r="F80" s="10" t="n">
        <v>45660.26469907408</v>
      </c>
      <c r="G80" s="3" t="inlineStr">
        <is>
          <t>OBT030125063320-Ternitz (Schoeller-Bleckmann)</t>
        </is>
      </c>
      <c r="H80" s="10" t="n">
        <v>45660.27314814815</v>
      </c>
      <c r="I80" s="10" t="n">
        <v>45660.30732638889</v>
      </c>
      <c r="J80" s="10" t="n">
        <v>45660.30805555556</v>
      </c>
      <c r="K80" s="11">
        <f>IF(AND(ISNUMBER(D80),ISNUMBER(E80)),(E80-D80),"")</f>
        <v/>
      </c>
      <c r="L80" s="11">
        <f>IF(AND(ISNUMBER(F80),ISNUMBER(I80)),(I80-F80),"")</f>
        <v/>
      </c>
    </row>
    <row r="81">
      <c r="A81" s="3" t="inlineStr">
        <is>
          <t>1001609</t>
        </is>
      </c>
      <c r="B81" s="3" t="inlineStr">
        <is>
          <t>10016</t>
        </is>
      </c>
      <c r="C81" s="10" t="n">
        <v>45660.23157407407</v>
      </c>
      <c r="D81" s="10" t="n">
        <v>45660.23412037037</v>
      </c>
      <c r="E81" s="10" t="n">
        <v>45660.26469907408</v>
      </c>
      <c r="F81" s="10" t="n">
        <v>45660.26697916666</v>
      </c>
      <c r="G81" s="3" t="inlineStr">
        <is>
          <t>OBT030125063005-Gloggnitz</t>
        </is>
      </c>
      <c r="H81" s="10" t="n">
        <v>45660.27089120371</v>
      </c>
      <c r="I81" s="10" t="n">
        <v>45660.31285879629</v>
      </c>
      <c r="J81" s="10" t="n">
        <v>45660.31383101852</v>
      </c>
      <c r="K81" s="11">
        <f>IF(AND(ISNUMBER(D81),ISNUMBER(E81)),(E81-D81),"")</f>
        <v/>
      </c>
      <c r="L81" s="11">
        <f>IF(AND(ISNUMBER(F81),ISNUMBER(I81)),(I81-F81),"")</f>
        <v/>
      </c>
    </row>
    <row r="82">
      <c r="A82" s="3" t="inlineStr">
        <is>
          <t>1001610</t>
        </is>
      </c>
      <c r="B82" s="3" t="inlineStr">
        <is>
          <t>10016</t>
        </is>
      </c>
      <c r="C82" s="10" t="n">
        <v>45660.23157407407</v>
      </c>
      <c r="D82" s="10" t="n">
        <v>45660.23412037037</v>
      </c>
      <c r="E82" s="10" t="n">
        <v>45660.26697916666</v>
      </c>
      <c r="F82" s="10" t="n">
        <v>45660.2691087963</v>
      </c>
      <c r="G82" s="3" t="inlineStr">
        <is>
          <t>OBT030125063320-Ternitz (Schoeller-Bleckmann)</t>
        </is>
      </c>
      <c r="H82" s="10" t="n">
        <v>45660.27314814815</v>
      </c>
      <c r="I82" s="10" t="n">
        <v>45660.30732638889</v>
      </c>
      <c r="J82" s="10" t="n">
        <v>45660.30805555556</v>
      </c>
      <c r="K82" s="11">
        <f>IF(AND(ISNUMBER(D82),ISNUMBER(E82)),(E82-D82),"")</f>
        <v/>
      </c>
      <c r="L82" s="11">
        <f>IF(AND(ISNUMBER(F82),ISNUMBER(I82)),(I82-F82),"")</f>
        <v/>
      </c>
    </row>
    <row r="83">
      <c r="A83" s="3" t="inlineStr">
        <is>
          <t>1001611</t>
        </is>
      </c>
      <c r="B83" s="3" t="inlineStr">
        <is>
          <t>10016</t>
        </is>
      </c>
      <c r="C83" s="10" t="n">
        <v>45660.23157407407</v>
      </c>
      <c r="D83" s="10" t="n">
        <v>45660.23412037037</v>
      </c>
      <c r="E83" s="10" t="n">
        <v>45660.2691087963</v>
      </c>
      <c r="F83" s="10" t="n">
        <v>45660.27108796296</v>
      </c>
      <c r="G83" s="3" t="inlineStr">
        <is>
          <t>OBT030125063655-Wr. Neustadt (Hödlmayr)</t>
        </is>
      </c>
      <c r="H83" s="10" t="n">
        <v>45660.27563657407</v>
      </c>
      <c r="I83" s="10" t="n">
        <v>45660.31753472222</v>
      </c>
      <c r="J83" s="10" t="n">
        <v>45660.31833333334</v>
      </c>
      <c r="K83" s="11">
        <f>IF(AND(ISNUMBER(D83),ISNUMBER(E83)),(E83-D83),"")</f>
        <v/>
      </c>
      <c r="L83" s="11">
        <f>IF(AND(ISNUMBER(F83),ISNUMBER(I83)),(I83-F83),"")</f>
        <v/>
      </c>
    </row>
    <row r="84">
      <c r="A84" s="3" t="inlineStr">
        <is>
          <t>1001701</t>
        </is>
      </c>
      <c r="B84" s="3" t="inlineStr">
        <is>
          <t>10017</t>
        </is>
      </c>
      <c r="C84" s="10" t="n">
        <v>45660.27189814814</v>
      </c>
      <c r="D84" s="10" t="n">
        <v>45660.27417824074</v>
      </c>
      <c r="E84" s="10" t="n">
        <v>45660.28012731481</v>
      </c>
      <c r="F84" s="10" t="n">
        <v>45660.28252314815</v>
      </c>
      <c r="G84" s="3" t="inlineStr">
        <is>
          <t>OBT030125070748-Neunkirchen (loading tracks)</t>
        </is>
      </c>
      <c r="H84" s="10" t="n">
        <v>45660.29708333333</v>
      </c>
      <c r="I84" s="10" t="n">
        <v>45660.37137731481</v>
      </c>
      <c r="J84" s="10" t="n">
        <v>45660.37274305556</v>
      </c>
      <c r="K84" s="11">
        <f>IF(AND(ISNUMBER(D84),ISNUMBER(E84)),(E84-D84),"")</f>
        <v/>
      </c>
      <c r="L84" s="11">
        <f>IF(AND(ISNUMBER(F84),ISNUMBER(I84)),(I84-F84),"")</f>
        <v/>
      </c>
    </row>
    <row r="85">
      <c r="A85" s="3" t="inlineStr">
        <is>
          <t>1001801</t>
        </is>
      </c>
      <c r="B85" s="3" t="inlineStr">
        <is>
          <t>10018</t>
        </is>
      </c>
      <c r="C85" s="10" t="n">
        <v>45660.3019212963</v>
      </c>
      <c r="D85" s="10" t="n">
        <v>45660.30422453704</v>
      </c>
      <c r="E85" s="10" t="n">
        <v>45660.31630787037</v>
      </c>
      <c r="F85" s="10" t="n">
        <v>45660.31821759259</v>
      </c>
      <c r="G85" s="3" t="inlineStr">
        <is>
          <t>OBT030125203217-Other sidings north</t>
        </is>
      </c>
      <c r="H85" s="10" t="n">
        <v>45660.85575231481</v>
      </c>
      <c r="I85" s="10" t="n">
        <v>45660.87576388889</v>
      </c>
      <c r="J85" s="10" t="n">
        <v>45660.87640046296</v>
      </c>
      <c r="K85" s="11">
        <f>IF(AND(ISNUMBER(D85),ISNUMBER(E85)),(E85-D85),"")</f>
        <v/>
      </c>
      <c r="L85" s="11">
        <f>IF(AND(ISNUMBER(F85),ISNUMBER(I85)),(I85-F85),"")</f>
        <v/>
      </c>
    </row>
    <row r="86">
      <c r="A86" s="3" t="inlineStr">
        <is>
          <t>1001802</t>
        </is>
      </c>
      <c r="B86" s="3" t="inlineStr">
        <is>
          <t>10018</t>
        </is>
      </c>
      <c r="C86" s="10" t="n">
        <v>45660.3019212963</v>
      </c>
      <c r="D86" s="10" t="n">
        <v>45660.30422453704</v>
      </c>
      <c r="E86" s="10" t="n">
        <v>45660.31821759259</v>
      </c>
      <c r="F86" s="10" t="n">
        <v>45660.31938657408</v>
      </c>
      <c r="G86" s="3" t="inlineStr">
        <is>
          <t>OBT030125220353-Other sidings south</t>
        </is>
      </c>
      <c r="H86" s="10" t="n">
        <v>45660.91936342593</v>
      </c>
      <c r="I86" s="10" t="n">
        <v>45660.94625</v>
      </c>
      <c r="J86" s="10" t="n">
        <v>45660.94706018519</v>
      </c>
      <c r="K86" s="11">
        <f>IF(AND(ISNUMBER(D86),ISNUMBER(E86)),(E86-D86),"")</f>
        <v/>
      </c>
      <c r="L86" s="11">
        <f>IF(AND(ISNUMBER(F86),ISNUMBER(I86)),(I86-F86),"")</f>
        <v/>
      </c>
    </row>
    <row r="87">
      <c r="A87" s="3" t="inlineStr">
        <is>
          <t>1001803</t>
        </is>
      </c>
      <c r="B87" s="3" t="inlineStr">
        <is>
          <t>10018</t>
        </is>
      </c>
      <c r="C87" s="10" t="n">
        <v>45660.3019212963</v>
      </c>
      <c r="D87" s="10" t="n">
        <v>45660.30422453704</v>
      </c>
      <c r="E87" s="10" t="n">
        <v>45660.31938657408</v>
      </c>
      <c r="F87" s="10" t="n">
        <v>45660.3212037037</v>
      </c>
      <c r="G87" s="3" t="inlineStr">
        <is>
          <t>OBT070125031735-Neunkirchen (loading tracks)</t>
        </is>
      </c>
      <c r="H87" s="10" t="n">
        <v>45664.13721064815</v>
      </c>
      <c r="I87" s="10" t="n">
        <v>45664.18449074074</v>
      </c>
      <c r="J87" s="10" t="n">
        <v>45664.18564814814</v>
      </c>
      <c r="K87" s="11">
        <f>IF(AND(ISNUMBER(D87),ISNUMBER(E87)),(E87-D87),"")</f>
        <v/>
      </c>
      <c r="L87" s="11">
        <f>IF(AND(ISNUMBER(F87),ISNUMBER(I87)),(I87-F87),"")</f>
        <v/>
      </c>
    </row>
    <row r="88">
      <c r="A88" s="3" t="inlineStr">
        <is>
          <t>1001804</t>
        </is>
      </c>
      <c r="B88" s="3" t="inlineStr">
        <is>
          <t>10018</t>
        </is>
      </c>
      <c r="C88" s="10" t="n">
        <v>45660.3019212963</v>
      </c>
      <c r="D88" s="10" t="n">
        <v>45660.30422453704</v>
      </c>
      <c r="E88" s="10" t="n">
        <v>45660.3212037037</v>
      </c>
      <c r="F88" s="10" t="n">
        <v>45660.3225</v>
      </c>
      <c r="G88" s="3" t="inlineStr">
        <is>
          <t>OBT030125203727-Wr. Neustadt (Hödlmayr)</t>
        </is>
      </c>
      <c r="H88" s="10" t="n">
        <v>45660.85934027778</v>
      </c>
      <c r="I88" s="10" t="n">
        <v>45660.89302083333</v>
      </c>
      <c r="J88" s="10" t="n">
        <v>45660.89388888889</v>
      </c>
      <c r="K88" s="11">
        <f>IF(AND(ISNUMBER(D88),ISNUMBER(E88)),(E88-D88),"")</f>
        <v/>
      </c>
      <c r="L88" s="11">
        <f>IF(AND(ISNUMBER(F88),ISNUMBER(I88)),(I88-F88),"")</f>
        <v/>
      </c>
    </row>
    <row r="89">
      <c r="A89" s="3" t="inlineStr">
        <is>
          <t>1001805</t>
        </is>
      </c>
      <c r="B89" s="3" t="inlineStr">
        <is>
          <t>10018</t>
        </is>
      </c>
      <c r="C89" s="10" t="n">
        <v>45660.3019212963</v>
      </c>
      <c r="D89" s="10" t="n">
        <v>45660.30422453704</v>
      </c>
      <c r="E89" s="10" t="n">
        <v>45660.3225</v>
      </c>
      <c r="F89" s="10" t="n">
        <v>45660.32471064815</v>
      </c>
      <c r="G89" s="3" t="inlineStr">
        <is>
          <t>OBT030125075311-Felixdorf/Sollenau (Bundesheer, Maba)</t>
        </is>
      </c>
      <c r="H89" s="10" t="n">
        <v>45660.32859953704</v>
      </c>
      <c r="I89" s="10" t="n">
        <v>45660.36226851852</v>
      </c>
      <c r="J89" s="10" t="n">
        <v>45660.36324074074</v>
      </c>
      <c r="K89" s="11">
        <f>IF(AND(ISNUMBER(D89),ISNUMBER(E89)),(E89-D89),"")</f>
        <v/>
      </c>
      <c r="L89" s="11">
        <f>IF(AND(ISNUMBER(F89),ISNUMBER(I89)),(I89-F89),"")</f>
        <v/>
      </c>
    </row>
    <row r="90">
      <c r="A90" s="3" t="inlineStr">
        <is>
          <t>1001806</t>
        </is>
      </c>
      <c r="B90" s="3" t="inlineStr">
        <is>
          <t>10018</t>
        </is>
      </c>
      <c r="C90" s="10" t="n">
        <v>45660.3019212963</v>
      </c>
      <c r="D90" s="10" t="n">
        <v>45660.30422453704</v>
      </c>
      <c r="E90" s="10" t="n">
        <v>45660.32471064815</v>
      </c>
      <c r="F90" s="10" t="n">
        <v>45660.32677083334</v>
      </c>
      <c r="G90" s="3" t="inlineStr">
        <is>
          <t>OBT030125090958-Ebenfurth (beet loading)</t>
        </is>
      </c>
      <c r="H90" s="10" t="n">
        <v>45660.3819212963</v>
      </c>
      <c r="I90" s="10" t="n">
        <v>45660.42012731481</v>
      </c>
      <c r="J90" s="10" t="n">
        <v>45660.42116898148</v>
      </c>
      <c r="K90" s="11">
        <f>IF(AND(ISNUMBER(D90),ISNUMBER(E90)),(E90-D90),"")</f>
        <v/>
      </c>
      <c r="L90" s="11">
        <f>IF(AND(ISNUMBER(F90),ISNUMBER(I90)),(I90-F90),"")</f>
        <v/>
      </c>
    </row>
    <row r="91">
      <c r="A91" s="3" t="inlineStr">
        <is>
          <t>1001807</t>
        </is>
      </c>
      <c r="B91" s="3" t="inlineStr">
        <is>
          <t>10018</t>
        </is>
      </c>
      <c r="C91" s="10" t="n">
        <v>45660.3019212963</v>
      </c>
      <c r="D91" s="10" t="n">
        <v>45660.30422453704</v>
      </c>
      <c r="E91" s="10" t="n">
        <v>45660.32677083334</v>
      </c>
      <c r="F91" s="10" t="n">
        <v>45660.32837962963</v>
      </c>
      <c r="G91" s="3" t="inlineStr">
        <is>
          <t>OBT030125205107-Other sidings local</t>
        </is>
      </c>
      <c r="H91" s="10" t="n">
        <v>45660.86883101852</v>
      </c>
      <c r="I91" s="10" t="n">
        <v>45660.91472222222</v>
      </c>
      <c r="J91" s="10" t="n">
        <v>45660.91559027778</v>
      </c>
      <c r="K91" s="11">
        <f>IF(AND(ISNUMBER(D91),ISNUMBER(E91)),(E91-D91),"")</f>
        <v/>
      </c>
      <c r="L91" s="11">
        <f>IF(AND(ISNUMBER(F91),ISNUMBER(I91)),(I91-F91),"")</f>
        <v/>
      </c>
    </row>
    <row r="92">
      <c r="A92" s="3" t="inlineStr">
        <is>
          <t>1001901</t>
        </is>
      </c>
      <c r="B92" s="3" t="inlineStr">
        <is>
          <t>10019</t>
        </is>
      </c>
      <c r="C92" s="10" t="n">
        <v>45660.31019675926</v>
      </c>
      <c r="D92" s="10" t="n">
        <v>45660.31194444445</v>
      </c>
      <c r="E92" s="10" t="n">
        <v>45660.32924768519</v>
      </c>
      <c r="F92" s="10" t="n">
        <v>45660.33168981481</v>
      </c>
      <c r="G92" s="3" t="inlineStr">
        <is>
          <t>OBT030125080046-Wien Kledering</t>
        </is>
      </c>
      <c r="H92" s="10" t="n">
        <v>45660.33386574074</v>
      </c>
      <c r="I92" s="10" t="n">
        <v>45660.38010416667</v>
      </c>
      <c r="J92" s="10" t="n">
        <v>45660.38109953704</v>
      </c>
      <c r="K92" s="11">
        <f>IF(AND(ISNUMBER(D92),ISNUMBER(E92)),(E92-D92),"")</f>
        <v/>
      </c>
      <c r="L92" s="11">
        <f>IF(AND(ISNUMBER(F92),ISNUMBER(I92)),(I92-F92),"")</f>
        <v/>
      </c>
    </row>
    <row r="93">
      <c r="A93" s="3" t="inlineStr">
        <is>
          <t>1002001</t>
        </is>
      </c>
      <c r="B93" s="3" t="inlineStr">
        <is>
          <t>10020</t>
        </is>
      </c>
      <c r="C93" s="10" t="n">
        <v>45660.33145833333</v>
      </c>
      <c r="D93" s="10" t="n">
        <v>45660.33396990741</v>
      </c>
      <c r="E93" s="10" t="n">
        <v>45660.34096064815</v>
      </c>
      <c r="F93" s="10" t="n">
        <v>45660.34387731482</v>
      </c>
      <c r="G93" s="3" t="inlineStr">
        <is>
          <t>OBT030125084617-Wien Kledering</t>
        </is>
      </c>
      <c r="H93" s="10" t="n">
        <v>45660.36547453704</v>
      </c>
      <c r="I93" s="10" t="n">
        <v>45660.43603009259</v>
      </c>
      <c r="J93" s="10" t="n">
        <v>45660.43744212963</v>
      </c>
      <c r="K93" s="11">
        <f>IF(AND(ISNUMBER(D93),ISNUMBER(E93)),(E93-D93),"")</f>
        <v/>
      </c>
      <c r="L93" s="11">
        <f>IF(AND(ISNUMBER(F93),ISNUMBER(I93)),(I93-F93),"")</f>
        <v/>
      </c>
    </row>
    <row r="94">
      <c r="A94" s="3" t="inlineStr">
        <is>
          <t>1002101</t>
        </is>
      </c>
      <c r="B94" s="3" t="inlineStr">
        <is>
          <t>10021</t>
        </is>
      </c>
      <c r="C94" s="10" t="n">
        <v>45660.36520833334</v>
      </c>
      <c r="D94" s="10" t="n">
        <v>45660.36744212963</v>
      </c>
      <c r="E94" s="10" t="n">
        <v>45660.37412037037</v>
      </c>
      <c r="F94" s="10" t="n">
        <v>45660.37611111111</v>
      </c>
      <c r="G94" s="3" t="inlineStr">
        <is>
          <t>OBT030125090715-St. Veit an der Glan</t>
        </is>
      </c>
      <c r="H94" s="10" t="n">
        <v>45660.38003472222</v>
      </c>
      <c r="I94" s="10" t="n">
        <v>45660.42116898148</v>
      </c>
      <c r="J94" s="10" t="n">
        <v>45660.42228009259</v>
      </c>
      <c r="K94" s="11">
        <f>IF(AND(ISNUMBER(D94),ISNUMBER(E94)),(E94-D94),"")</f>
        <v/>
      </c>
      <c r="L94" s="11">
        <f>IF(AND(ISNUMBER(F94),ISNUMBER(I94)),(I94-F94),"")</f>
        <v/>
      </c>
    </row>
    <row r="95">
      <c r="A95" s="3" t="inlineStr">
        <is>
          <t>1002102</t>
        </is>
      </c>
      <c r="B95" s="3" t="inlineStr">
        <is>
          <t>10021</t>
        </is>
      </c>
      <c r="C95" s="10" t="n">
        <v>45660.36520833334</v>
      </c>
      <c r="D95" s="10" t="n">
        <v>45660.36744212963</v>
      </c>
      <c r="E95" s="10" t="n">
        <v>45660.37611111111</v>
      </c>
      <c r="F95" s="10" t="n">
        <v>45660.37836805556</v>
      </c>
      <c r="G95" s="3" t="inlineStr">
        <is>
          <t>OBT030125090958-Ebenfurth (beet loading)</t>
        </is>
      </c>
      <c r="H95" s="10" t="n">
        <v>45660.3819212963</v>
      </c>
      <c r="I95" s="10" t="n">
        <v>45660.42012731481</v>
      </c>
      <c r="J95" s="10" t="n">
        <v>45660.42116898148</v>
      </c>
      <c r="K95" s="11">
        <f>IF(AND(ISNUMBER(D95),ISNUMBER(E95)),(E95-D95),"")</f>
        <v/>
      </c>
      <c r="L95" s="11">
        <f>IF(AND(ISNUMBER(F95),ISNUMBER(I95)),(I95-F95),"")</f>
        <v/>
      </c>
    </row>
    <row r="96">
      <c r="A96" s="3" t="inlineStr">
        <is>
          <t>1002201</t>
        </is>
      </c>
      <c r="B96" s="3" t="inlineStr">
        <is>
          <t>10022</t>
        </is>
      </c>
      <c r="C96" s="10" t="n">
        <v>45660.43730324074</v>
      </c>
      <c r="D96" s="10" t="n">
        <v>45660.43989583333</v>
      </c>
      <c r="E96" s="10" t="n">
        <v>45660.44951388889</v>
      </c>
      <c r="F96" s="10" t="n">
        <v>45660.45200231481</v>
      </c>
      <c r="G96" s="3" t="inlineStr">
        <is>
          <t>OBT030125105420-Wien Kledering</t>
        </is>
      </c>
      <c r="H96" s="10" t="n">
        <v>45660.45439814815</v>
      </c>
      <c r="I96" s="10" t="n">
        <v>45660.50149305556</v>
      </c>
      <c r="J96" s="10" t="n">
        <v>45660.50251157407</v>
      </c>
      <c r="K96" s="11">
        <f>IF(AND(ISNUMBER(D96),ISNUMBER(E96)),(E96-D96),"")</f>
        <v/>
      </c>
      <c r="L96" s="11">
        <f>IF(AND(ISNUMBER(F96),ISNUMBER(I96)),(I96-F96),"")</f>
        <v/>
      </c>
    </row>
    <row r="97">
      <c r="A97" s="3" t="inlineStr">
        <is>
          <t>1002202</t>
        </is>
      </c>
      <c r="B97" s="3" t="inlineStr">
        <is>
          <t>10022</t>
        </is>
      </c>
      <c r="C97" s="10" t="n">
        <v>45660.43730324074</v>
      </c>
      <c r="D97" s="10" t="n">
        <v>45660.43989583333</v>
      </c>
      <c r="E97" s="10" t="n">
        <v>45660.45200231481</v>
      </c>
      <c r="F97" s="10" t="n">
        <v>45660.45403935185</v>
      </c>
      <c r="G97" s="3" t="inlineStr">
        <is>
          <t>OBT070125084545-St. Veit an der Glan</t>
        </is>
      </c>
      <c r="H97" s="10" t="n">
        <v>45664.36510416667</v>
      </c>
      <c r="I97" s="10" t="n">
        <v>45664.43702546296</v>
      </c>
      <c r="J97" s="10" t="n">
        <v>45664.43795138889</v>
      </c>
      <c r="K97" s="11">
        <f>IF(AND(ISNUMBER(D97),ISNUMBER(E97)),(E97-D97),"")</f>
        <v/>
      </c>
      <c r="L97" s="11">
        <f>IF(AND(ISNUMBER(F97),ISNUMBER(I97)),(I97-F97),"")</f>
        <v/>
      </c>
    </row>
    <row r="98">
      <c r="A98" s="3" t="inlineStr">
        <is>
          <t>1002203</t>
        </is>
      </c>
      <c r="B98" s="3" t="inlineStr">
        <is>
          <t>10022</t>
        </is>
      </c>
      <c r="C98" s="10" t="n">
        <v>45660.43730324074</v>
      </c>
      <c r="D98" s="10" t="n">
        <v>45660.43989583333</v>
      </c>
      <c r="E98" s="10" t="n">
        <v>45660.45403935185</v>
      </c>
      <c r="F98" s="10" t="n">
        <v>45660.45607638889</v>
      </c>
      <c r="G98" s="3" t="inlineStr">
        <is>
          <t>OBT030125110012-Wien Kledering</t>
        </is>
      </c>
      <c r="H98" s="10" t="n">
        <v>45660.45847222222</v>
      </c>
      <c r="I98" s="10" t="n">
        <v>45660.48473379629</v>
      </c>
      <c r="J98" s="10" t="n">
        <v>45660.48567129629</v>
      </c>
      <c r="K98" s="11">
        <f>IF(AND(ISNUMBER(D98),ISNUMBER(E98)),(E98-D98),"")</f>
        <v/>
      </c>
      <c r="L98" s="11">
        <f>IF(AND(ISNUMBER(F98),ISNUMBER(I98)),(I98-F98),"")</f>
        <v/>
      </c>
    </row>
    <row r="99">
      <c r="A99" s="3" t="inlineStr">
        <is>
          <t>1002301</t>
        </is>
      </c>
      <c r="B99" s="3" t="inlineStr">
        <is>
          <t>10023</t>
        </is>
      </c>
      <c r="C99" s="10" t="n">
        <v>45660.54097222222</v>
      </c>
      <c r="D99" s="10" t="n">
        <v>45660.54320601852</v>
      </c>
      <c r="E99" s="10" t="n">
        <v>45660.54890046296</v>
      </c>
      <c r="F99" s="10" t="n">
        <v>45660.55142361111</v>
      </c>
      <c r="G99" s="3" t="inlineStr">
        <is>
          <t>OBT030125131727-Wien Kledering</t>
        </is>
      </c>
      <c r="H99" s="10" t="n">
        <v>45660.55378472222</v>
      </c>
      <c r="I99" s="10" t="n">
        <v>45660.60292824074</v>
      </c>
      <c r="J99" s="10" t="n">
        <v>45660.60395833333</v>
      </c>
      <c r="K99" s="11">
        <f>IF(AND(ISNUMBER(D99),ISNUMBER(E99)),(E99-D99),"")</f>
        <v/>
      </c>
      <c r="L99" s="11">
        <f>IF(AND(ISNUMBER(F99),ISNUMBER(I99)),(I99-F99),"")</f>
        <v/>
      </c>
    </row>
    <row r="100">
      <c r="A100" s="3" t="inlineStr">
        <is>
          <t>1002401</t>
        </is>
      </c>
      <c r="B100" s="3" t="inlineStr">
        <is>
          <t>10024</t>
        </is>
      </c>
      <c r="C100" s="10" t="n">
        <v>45660.59663194444</v>
      </c>
      <c r="D100" s="10" t="n">
        <v>45660.59799768519</v>
      </c>
      <c r="E100" s="10" t="n">
        <v>45660.60208333333</v>
      </c>
      <c r="F100" s="10" t="n">
        <v>45660.60427083333</v>
      </c>
      <c r="G100" s="3" t="inlineStr">
        <is>
          <t>OBT030125160747-Wien Kledering</t>
        </is>
      </c>
      <c r="H100" s="10" t="n">
        <v>45660.67207175926</v>
      </c>
      <c r="I100" s="10" t="n">
        <v>45660.69556712963</v>
      </c>
      <c r="J100" s="10" t="n">
        <v>45660.69645833333</v>
      </c>
      <c r="K100" s="11">
        <f>IF(AND(ISNUMBER(D100),ISNUMBER(E100)),(E100-D100),"")</f>
        <v/>
      </c>
      <c r="L100" s="11">
        <f>IF(AND(ISNUMBER(F100),ISNUMBER(I100)),(I100-F100),"")</f>
        <v/>
      </c>
    </row>
    <row r="101">
      <c r="A101" s="3" t="inlineStr">
        <is>
          <t>1002501</t>
        </is>
      </c>
      <c r="B101" s="3" t="inlineStr">
        <is>
          <t>10025</t>
        </is>
      </c>
      <c r="C101" s="10" t="n">
        <v>45660.62752314815</v>
      </c>
      <c r="D101" s="10" t="n">
        <v>45660.63003472222</v>
      </c>
      <c r="E101" s="10" t="n">
        <v>45660.64635416667</v>
      </c>
      <c r="F101" s="10" t="n">
        <v>45660.64829861111</v>
      </c>
      <c r="G101" s="3" t="inlineStr">
        <is>
          <t>OBT030125204417-Ebenfurth (beet loading)</t>
        </is>
      </c>
      <c r="H101" s="10" t="n">
        <v>45660.86408564815</v>
      </c>
      <c r="I101" s="10" t="n">
        <v>45660.90098379629</v>
      </c>
      <c r="J101" s="10" t="n">
        <v>45660.90193287037</v>
      </c>
      <c r="K101" s="11">
        <f>IF(AND(ISNUMBER(D101),ISNUMBER(E101)),(E101-D101),"")</f>
        <v/>
      </c>
      <c r="L101" s="11">
        <f>IF(AND(ISNUMBER(F101),ISNUMBER(I101)),(I101-F101),"")</f>
        <v/>
      </c>
    </row>
    <row r="102">
      <c r="A102" s="3" t="inlineStr">
        <is>
          <t>1002502</t>
        </is>
      </c>
      <c r="B102" s="3" t="inlineStr">
        <is>
          <t>10025</t>
        </is>
      </c>
      <c r="C102" s="10" t="n">
        <v>45660.62752314815</v>
      </c>
      <c r="D102" s="10" t="n">
        <v>45660.63003472222</v>
      </c>
      <c r="E102" s="10" t="n">
        <v>45660.64829861111</v>
      </c>
      <c r="F102" s="10" t="n">
        <v>45660.65055555556</v>
      </c>
      <c r="G102" s="3" t="inlineStr">
        <is>
          <t>OBT030125154014-Pitten (Hamburger)</t>
        </is>
      </c>
      <c r="H102" s="10" t="n">
        <v>45660.65293981481</v>
      </c>
      <c r="I102" s="10" t="n">
        <v>45660.68226851852</v>
      </c>
      <c r="J102" s="10" t="n">
        <v>45660.68304398148</v>
      </c>
      <c r="K102" s="11">
        <f>IF(AND(ISNUMBER(D102),ISNUMBER(E102)),(E102-D102),"")</f>
        <v/>
      </c>
      <c r="L102" s="11">
        <f>IF(AND(ISNUMBER(F102),ISNUMBER(I102)),(I102-F102),"")</f>
        <v/>
      </c>
    </row>
    <row r="103">
      <c r="A103" s="3" t="inlineStr">
        <is>
          <t>1002503</t>
        </is>
      </c>
      <c r="B103" s="3" t="inlineStr">
        <is>
          <t>10025</t>
        </is>
      </c>
      <c r="C103" s="10" t="n">
        <v>45660.62752314815</v>
      </c>
      <c r="D103" s="10" t="n">
        <v>45660.63003472222</v>
      </c>
      <c r="E103" s="10" t="n">
        <v>45660.65055555556</v>
      </c>
      <c r="F103" s="10" t="n">
        <v>45660.65186342593</v>
      </c>
      <c r="G103" s="3" t="inlineStr">
        <is>
          <t>OBT030125203727-Wr. Neustadt (Hödlmayr)</t>
        </is>
      </c>
      <c r="H103" s="10" t="n">
        <v>45660.85934027778</v>
      </c>
      <c r="I103" s="10" t="n">
        <v>45660.89302083333</v>
      </c>
      <c r="J103" s="10" t="n">
        <v>45660.89388888889</v>
      </c>
      <c r="K103" s="11">
        <f>IF(AND(ISNUMBER(D103),ISNUMBER(E103)),(E103-D103),"")</f>
        <v/>
      </c>
      <c r="L103" s="11">
        <f>IF(AND(ISNUMBER(F103),ISNUMBER(I103)),(I103-F103),"")</f>
        <v/>
      </c>
    </row>
    <row r="104">
      <c r="A104" s="3" t="inlineStr">
        <is>
          <t>1002504</t>
        </is>
      </c>
      <c r="B104" s="3" t="inlineStr">
        <is>
          <t>10025</t>
        </is>
      </c>
      <c r="C104" s="10" t="n">
        <v>45660.62752314815</v>
      </c>
      <c r="D104" s="10" t="n">
        <v>45660.63003472222</v>
      </c>
      <c r="E104" s="10" t="n">
        <v>45660.65186342593</v>
      </c>
      <c r="F104" s="10" t="n">
        <v>45660.65381944444</v>
      </c>
      <c r="G104" s="3" t="inlineStr">
        <is>
          <t>OBT030125204417-Ebenfurth (beet loading)</t>
        </is>
      </c>
      <c r="H104" s="10" t="n">
        <v>45660.86408564815</v>
      </c>
      <c r="I104" s="10" t="n">
        <v>45660.90098379629</v>
      </c>
      <c r="J104" s="10" t="n">
        <v>45660.90193287037</v>
      </c>
      <c r="K104" s="11">
        <f>IF(AND(ISNUMBER(D104),ISNUMBER(E104)),(E104-D104),"")</f>
        <v/>
      </c>
      <c r="L104" s="11">
        <f>IF(AND(ISNUMBER(F104),ISNUMBER(I104)),(I104-F104),"")</f>
        <v/>
      </c>
    </row>
    <row r="105">
      <c r="A105" s="3" t="inlineStr">
        <is>
          <t>1002505</t>
        </is>
      </c>
      <c r="B105" s="3" t="inlineStr">
        <is>
          <t>10025</t>
        </is>
      </c>
      <c r="C105" s="10" t="n">
        <v>45660.62752314815</v>
      </c>
      <c r="D105" s="10" t="n">
        <v>45660.63003472222</v>
      </c>
      <c r="E105" s="10" t="n">
        <v>45660.65381944444</v>
      </c>
      <c r="F105" s="10" t="n">
        <v>45660.65521990741</v>
      </c>
      <c r="G105" s="3" t="inlineStr">
        <is>
          <t>OBT030125220232-Neudörfl (FunderMax)</t>
        </is>
      </c>
      <c r="H105" s="10" t="n">
        <v>45660.91842592593</v>
      </c>
      <c r="I105" s="10" t="n">
        <v>45660.9384375</v>
      </c>
      <c r="J105" s="10" t="n">
        <v>45660.93917824074</v>
      </c>
      <c r="K105" s="11">
        <f>IF(AND(ISNUMBER(D105),ISNUMBER(E105)),(E105-D105),"")</f>
        <v/>
      </c>
      <c r="L105" s="11">
        <f>IF(AND(ISNUMBER(F105),ISNUMBER(I105)),(I105-F105),"")</f>
        <v/>
      </c>
    </row>
    <row r="106">
      <c r="A106" s="3" t="inlineStr">
        <is>
          <t>1002506</t>
        </is>
      </c>
      <c r="B106" s="3" t="inlineStr">
        <is>
          <t>10025</t>
        </is>
      </c>
      <c r="C106" s="10" t="n">
        <v>45660.62752314815</v>
      </c>
      <c r="D106" s="10" t="n">
        <v>45660.63003472222</v>
      </c>
      <c r="E106" s="10" t="n">
        <v>45660.65521990741</v>
      </c>
      <c r="F106" s="10" t="n">
        <v>45660.65717592592</v>
      </c>
      <c r="G106" s="3" t="inlineStr">
        <is>
          <t>OBT080125153109-Felixdorf/Sollenau (Bundesheer, Maba)</t>
        </is>
      </c>
      <c r="H106" s="10" t="n">
        <v>45665.64663194444</v>
      </c>
      <c r="I106" s="10" t="n">
        <v>45665.67254629629</v>
      </c>
      <c r="J106" s="10" t="n">
        <v>45665.67341435186</v>
      </c>
      <c r="K106" s="11">
        <f>IF(AND(ISNUMBER(D106),ISNUMBER(E106)),(E106-D106),"")</f>
        <v/>
      </c>
      <c r="L106" s="11">
        <f>IF(AND(ISNUMBER(F106),ISNUMBER(I106)),(I106-F106),"")</f>
        <v/>
      </c>
    </row>
    <row r="107">
      <c r="A107" s="3" t="inlineStr">
        <is>
          <t>1002507</t>
        </is>
      </c>
      <c r="B107" s="3" t="inlineStr">
        <is>
          <t>10025</t>
        </is>
      </c>
      <c r="C107" s="10" t="n">
        <v>45660.62752314815</v>
      </c>
      <c r="D107" s="10" t="n">
        <v>45660.63003472222</v>
      </c>
      <c r="E107" s="10" t="n">
        <v>45660.65717592592</v>
      </c>
      <c r="F107" s="10" t="n">
        <v>45660.65909722223</v>
      </c>
      <c r="G107" s="3" t="inlineStr">
        <is>
          <t>OBT030125203217-Other sidings north</t>
        </is>
      </c>
      <c r="H107" s="10" t="n">
        <v>45660.85575231481</v>
      </c>
      <c r="I107" s="10" t="n">
        <v>45660.87576388889</v>
      </c>
      <c r="J107" s="10" t="n">
        <v>45660.87640046296</v>
      </c>
      <c r="K107" s="11">
        <f>IF(AND(ISNUMBER(D107),ISNUMBER(E107)),(E107-D107),"")</f>
        <v/>
      </c>
      <c r="L107" s="11">
        <f>IF(AND(ISNUMBER(F107),ISNUMBER(I107)),(I107-F107),"")</f>
        <v/>
      </c>
    </row>
    <row r="108">
      <c r="A108" s="3" t="inlineStr">
        <is>
          <t>1002508</t>
        </is>
      </c>
      <c r="B108" s="3" t="inlineStr">
        <is>
          <t>10025</t>
        </is>
      </c>
      <c r="C108" s="10" t="n">
        <v>45660.62752314815</v>
      </c>
      <c r="D108" s="10" t="n">
        <v>45660.63003472222</v>
      </c>
      <c r="E108" s="10" t="n">
        <v>45660.65909722223</v>
      </c>
      <c r="F108" s="10" t="n">
        <v>45660.66039351852</v>
      </c>
      <c r="G108" s="3" t="inlineStr">
        <is>
          <t>OBT030125160132-Wr. Neustadt Ausfahrbf (Furtenbach)</t>
        </is>
      </c>
      <c r="H108" s="10" t="n">
        <v>45660.66773148148</v>
      </c>
      <c r="I108" s="10" t="n">
        <v>45660.6893287037</v>
      </c>
      <c r="J108" s="10" t="n">
        <v>45660.69015046296</v>
      </c>
      <c r="K108" s="11">
        <f>IF(AND(ISNUMBER(D108),ISNUMBER(E108)),(E108-D108),"")</f>
        <v/>
      </c>
      <c r="L108" s="11">
        <f>IF(AND(ISNUMBER(F108),ISNUMBER(I108)),(I108-F108),"")</f>
        <v/>
      </c>
    </row>
    <row r="109">
      <c r="A109" s="3" t="inlineStr">
        <is>
          <t>1002509</t>
        </is>
      </c>
      <c r="B109" s="3" t="inlineStr">
        <is>
          <t>10025</t>
        </is>
      </c>
      <c r="C109" s="10" t="n">
        <v>45660.62752314815</v>
      </c>
      <c r="D109" s="10" t="n">
        <v>45660.63003472222</v>
      </c>
      <c r="E109" s="10" t="n">
        <v>45660.66039351852</v>
      </c>
      <c r="F109" s="10" t="n">
        <v>45660.66241898148</v>
      </c>
      <c r="G109" s="3" t="inlineStr">
        <is>
          <t>OBT070125084545-St. Veit an der Glan</t>
        </is>
      </c>
      <c r="H109" s="10" t="n">
        <v>45664.36510416667</v>
      </c>
      <c r="I109" s="10" t="n">
        <v>45664.43702546296</v>
      </c>
      <c r="J109" s="10" t="n">
        <v>45664.43795138889</v>
      </c>
      <c r="K109" s="11">
        <f>IF(AND(ISNUMBER(D109),ISNUMBER(E109)),(E109-D109),"")</f>
        <v/>
      </c>
      <c r="L109" s="11">
        <f>IF(AND(ISNUMBER(F109),ISNUMBER(I109)),(I109-F109),"")</f>
        <v/>
      </c>
    </row>
    <row r="110">
      <c r="A110" s="3" t="inlineStr">
        <is>
          <t>1002510</t>
        </is>
      </c>
      <c r="B110" s="3" t="inlineStr">
        <is>
          <t>10025</t>
        </is>
      </c>
      <c r="C110" s="10" t="n">
        <v>45660.62752314815</v>
      </c>
      <c r="D110" s="10" t="n">
        <v>45660.63003472222</v>
      </c>
      <c r="E110" s="10" t="n">
        <v>45660.66241898148</v>
      </c>
      <c r="F110" s="10" t="n">
        <v>45660.66380787037</v>
      </c>
      <c r="G110" s="3" t="inlineStr">
        <is>
          <t>OBT030125160132-Wr. Neustadt Ausfahrbf (Furtenbach)</t>
        </is>
      </c>
      <c r="H110" s="10" t="n">
        <v>45660.66773148148</v>
      </c>
      <c r="I110" s="10" t="n">
        <v>45660.6893287037</v>
      </c>
      <c r="J110" s="10" t="n">
        <v>45660.69015046296</v>
      </c>
      <c r="K110" s="11">
        <f>IF(AND(ISNUMBER(D110),ISNUMBER(E110)),(E110-D110),"")</f>
        <v/>
      </c>
      <c r="L110" s="11">
        <f>IF(AND(ISNUMBER(F110),ISNUMBER(I110)),(I110-F110),"")</f>
        <v/>
      </c>
    </row>
    <row r="111">
      <c r="A111" s="3" t="inlineStr">
        <is>
          <t>1002511</t>
        </is>
      </c>
      <c r="B111" s="3" t="inlineStr">
        <is>
          <t>10025</t>
        </is>
      </c>
      <c r="C111" s="10" t="n">
        <v>45660.62752314815</v>
      </c>
      <c r="D111" s="10" t="n">
        <v>45660.63003472222</v>
      </c>
      <c r="E111" s="10" t="n">
        <v>45660.66380787037</v>
      </c>
      <c r="F111" s="10" t="n">
        <v>45660.66556712963</v>
      </c>
      <c r="G111" s="3" t="inlineStr">
        <is>
          <t>OBT070125031735-Neunkirchen (loading tracks)</t>
        </is>
      </c>
      <c r="H111" s="10" t="n">
        <v>45664.13721064815</v>
      </c>
      <c r="I111" s="10" t="n">
        <v>45664.18449074074</v>
      </c>
      <c r="J111" s="10" t="n">
        <v>45664.18564814814</v>
      </c>
      <c r="K111" s="11">
        <f>IF(AND(ISNUMBER(D111),ISNUMBER(E111)),(E111-D111),"")</f>
        <v/>
      </c>
      <c r="L111" s="11">
        <f>IF(AND(ISNUMBER(F111),ISNUMBER(I111)),(I111-F111),"")</f>
        <v/>
      </c>
    </row>
    <row r="112">
      <c r="A112" s="3" t="inlineStr">
        <is>
          <t>1002601</t>
        </is>
      </c>
      <c r="B112" s="3" t="inlineStr">
        <is>
          <t>10026</t>
        </is>
      </c>
      <c r="C112" s="10" t="n">
        <v>45660.64899305555</v>
      </c>
      <c r="D112" s="10" t="n">
        <v>45660.65035879629</v>
      </c>
      <c r="E112" s="10" t="n">
        <v>45660.66633101852</v>
      </c>
      <c r="F112" s="10" t="n">
        <v>45660.66851851852</v>
      </c>
      <c r="G112" s="3" t="inlineStr">
        <is>
          <t>OBT030125160747-Wien Kledering</t>
        </is>
      </c>
      <c r="H112" s="10" t="n">
        <v>45660.67207175926</v>
      </c>
      <c r="I112" s="10" t="n">
        <v>45660.69556712963</v>
      </c>
      <c r="J112" s="10" t="n">
        <v>45660.69645833333</v>
      </c>
      <c r="K112" s="11">
        <f>IF(AND(ISNUMBER(D112),ISNUMBER(E112)),(E112-D112),"")</f>
        <v/>
      </c>
      <c r="L112" s="11">
        <f>IF(AND(ISNUMBER(F112),ISNUMBER(I112)),(I112-F112),"")</f>
        <v/>
      </c>
    </row>
    <row r="113">
      <c r="A113" s="3" t="inlineStr">
        <is>
          <t>1002701</t>
        </is>
      </c>
      <c r="B113" s="3" t="inlineStr">
        <is>
          <t>10027</t>
        </is>
      </c>
      <c r="C113" s="10" t="n">
        <v>45660.71618055556</v>
      </c>
      <c r="D113" s="10" t="n">
        <v>45660.71841435185</v>
      </c>
      <c r="E113" s="10" t="n">
        <v>45660.72438657407</v>
      </c>
      <c r="F113" s="10" t="n">
        <v>45660.72690972222</v>
      </c>
      <c r="G113" s="3" t="inlineStr">
        <is>
          <t>OBT030125173012-Wien Kledering</t>
        </is>
      </c>
      <c r="H113" s="10" t="n">
        <v>45660.72930555556</v>
      </c>
      <c r="I113" s="10" t="n">
        <v>45660.77856481481</v>
      </c>
      <c r="J113" s="10" t="n">
        <v>45660.77960648148</v>
      </c>
      <c r="K113" s="11">
        <f>IF(AND(ISNUMBER(D113),ISNUMBER(E113)),(E113-D113),"")</f>
        <v/>
      </c>
      <c r="L113" s="11">
        <f>IF(AND(ISNUMBER(F113),ISNUMBER(I113)),(I113-F113),"")</f>
        <v/>
      </c>
    </row>
    <row r="114">
      <c r="A114" s="3" t="inlineStr">
        <is>
          <t>1002801</t>
        </is>
      </c>
      <c r="B114" s="3" t="inlineStr">
        <is>
          <t>10028</t>
        </is>
      </c>
      <c r="C114" s="10" t="n">
        <v>45660.83313657407</v>
      </c>
      <c r="D114" s="10" t="n">
        <v>45660.83549768518</v>
      </c>
      <c r="E114" s="10" t="n">
        <v>45660.85033564815</v>
      </c>
      <c r="F114" s="10" t="n">
        <v>45660.85221064815</v>
      </c>
      <c r="G114" s="3" t="inlineStr">
        <is>
          <t>OBT030125203217-Other sidings north</t>
        </is>
      </c>
      <c r="H114" s="10" t="n">
        <v>45660.85575231481</v>
      </c>
      <c r="I114" s="10" t="n">
        <v>45660.87576388889</v>
      </c>
      <c r="J114" s="10" t="n">
        <v>45660.87640046296</v>
      </c>
      <c r="K114" s="11">
        <f>IF(AND(ISNUMBER(D114),ISNUMBER(E114)),(E114-D114),"")</f>
        <v/>
      </c>
      <c r="L114" s="11">
        <f>IF(AND(ISNUMBER(F114),ISNUMBER(I114)),(I114-F114),"")</f>
        <v/>
      </c>
    </row>
    <row r="115">
      <c r="A115" s="3" t="inlineStr">
        <is>
          <t>1002802</t>
        </is>
      </c>
      <c r="B115" s="3" t="inlineStr">
        <is>
          <t>10028</t>
        </is>
      </c>
      <c r="C115" s="10" t="n">
        <v>45660.83313657407</v>
      </c>
      <c r="D115" s="10" t="n">
        <v>45660.83549768518</v>
      </c>
      <c r="E115" s="10" t="n">
        <v>45660.85221064815</v>
      </c>
      <c r="F115" s="10" t="n">
        <v>45660.85402777778</v>
      </c>
      <c r="G115" s="3" t="inlineStr">
        <is>
          <t>OBT080125153109-Felixdorf/Sollenau (Bundesheer, Maba)</t>
        </is>
      </c>
      <c r="H115" s="10" t="n">
        <v>45665.64663194444</v>
      </c>
      <c r="I115" s="10" t="n">
        <v>45665.67254629629</v>
      </c>
      <c r="J115" s="10" t="n">
        <v>45665.67341435186</v>
      </c>
      <c r="K115" s="11">
        <f>IF(AND(ISNUMBER(D115),ISNUMBER(E115)),(E115-D115),"")</f>
        <v/>
      </c>
      <c r="L115" s="11">
        <f>IF(AND(ISNUMBER(F115),ISNUMBER(I115)),(I115-F115),"")</f>
        <v/>
      </c>
    </row>
    <row r="116">
      <c r="A116" s="3" t="inlineStr">
        <is>
          <t>1002803</t>
        </is>
      </c>
      <c r="B116" s="3" t="inlineStr">
        <is>
          <t>10028</t>
        </is>
      </c>
      <c r="C116" s="10" t="n">
        <v>45660.83313657407</v>
      </c>
      <c r="D116" s="10" t="n">
        <v>45660.83549768518</v>
      </c>
      <c r="E116" s="10" t="n">
        <v>45660.85402777778</v>
      </c>
      <c r="F116" s="10" t="n">
        <v>45660.85543981481</v>
      </c>
      <c r="G116" s="3" t="inlineStr">
        <is>
          <t>OBT030125203727-Wr. Neustadt (Hödlmayr)</t>
        </is>
      </c>
      <c r="H116" s="10" t="n">
        <v>45660.85934027778</v>
      </c>
      <c r="I116" s="10" t="n">
        <v>45660.89302083333</v>
      </c>
      <c r="J116" s="10" t="n">
        <v>45660.89388888889</v>
      </c>
      <c r="K116" s="11">
        <f>IF(AND(ISNUMBER(D116),ISNUMBER(E116)),(E116-D116),"")</f>
        <v/>
      </c>
      <c r="L116" s="11">
        <f>IF(AND(ISNUMBER(F116),ISNUMBER(I116)),(I116-F116),"")</f>
        <v/>
      </c>
    </row>
    <row r="117">
      <c r="A117" s="3" t="inlineStr">
        <is>
          <t>1002804</t>
        </is>
      </c>
      <c r="B117" s="3" t="inlineStr">
        <is>
          <t>10028</t>
        </is>
      </c>
      <c r="C117" s="10" t="n">
        <v>45660.83313657407</v>
      </c>
      <c r="D117" s="10" t="n">
        <v>45660.83549768518</v>
      </c>
      <c r="E117" s="10" t="n">
        <v>45660.85543981481</v>
      </c>
      <c r="F117" s="10" t="n">
        <v>45660.85734953704</v>
      </c>
      <c r="G117" s="3" t="inlineStr">
        <is>
          <t>OBT030125204535-Pitten (Hamburger)</t>
        </is>
      </c>
      <c r="H117" s="10" t="n">
        <v>45660.86498842593</v>
      </c>
      <c r="I117" s="10" t="n">
        <v>45660.9099074074</v>
      </c>
      <c r="J117" s="10" t="n">
        <v>45660.91072916667</v>
      </c>
      <c r="K117" s="11">
        <f>IF(AND(ISNUMBER(D117),ISNUMBER(E117)),(E117-D117),"")</f>
        <v/>
      </c>
      <c r="L117" s="11">
        <f>IF(AND(ISNUMBER(F117),ISNUMBER(I117)),(I117-F117),"")</f>
        <v/>
      </c>
    </row>
    <row r="118">
      <c r="A118" s="3" t="inlineStr">
        <is>
          <t>1002805</t>
        </is>
      </c>
      <c r="B118" s="3" t="inlineStr">
        <is>
          <t>10028</t>
        </is>
      </c>
      <c r="C118" s="10" t="n">
        <v>45660.83313657407</v>
      </c>
      <c r="D118" s="10" t="n">
        <v>45660.83549768518</v>
      </c>
      <c r="E118" s="10" t="n">
        <v>45660.85734953704</v>
      </c>
      <c r="F118" s="10" t="n">
        <v>45660.85945601852</v>
      </c>
      <c r="G118" s="3" t="inlineStr">
        <is>
          <t>OBT030125204417-Ebenfurth (beet loading)</t>
        </is>
      </c>
      <c r="H118" s="10" t="n">
        <v>45660.86408564815</v>
      </c>
      <c r="I118" s="10" t="n">
        <v>45660.90098379629</v>
      </c>
      <c r="J118" s="10" t="n">
        <v>45660.90193287037</v>
      </c>
      <c r="K118" s="11">
        <f>IF(AND(ISNUMBER(D118),ISNUMBER(E118)),(E118-D118),"")</f>
        <v/>
      </c>
      <c r="L118" s="11">
        <f>IF(AND(ISNUMBER(F118),ISNUMBER(I118)),(I118-F118),"")</f>
        <v/>
      </c>
    </row>
    <row r="119">
      <c r="A119" s="3" t="inlineStr">
        <is>
          <t>1002806</t>
        </is>
      </c>
      <c r="B119" s="3" t="inlineStr">
        <is>
          <t>10028</t>
        </is>
      </c>
      <c r="C119" s="10" t="n">
        <v>45660.83313657407</v>
      </c>
      <c r="D119" s="10" t="n">
        <v>45660.83549768518</v>
      </c>
      <c r="E119" s="10" t="n">
        <v>45660.85945601852</v>
      </c>
      <c r="F119" s="10" t="n">
        <v>45660.86143518519</v>
      </c>
      <c r="G119" s="3" t="inlineStr">
        <is>
          <t>OBT030125204535-Pitten (Hamburger)</t>
        </is>
      </c>
      <c r="H119" s="10" t="n">
        <v>45660.86498842593</v>
      </c>
      <c r="I119" s="10" t="n">
        <v>45660.9099074074</v>
      </c>
      <c r="J119" s="10" t="n">
        <v>45660.91072916667</v>
      </c>
      <c r="K119" s="11">
        <f>IF(AND(ISNUMBER(D119),ISNUMBER(E119)),(E119-D119),"")</f>
        <v/>
      </c>
      <c r="L119" s="11">
        <f>IF(AND(ISNUMBER(F119),ISNUMBER(I119)),(I119-F119),"")</f>
        <v/>
      </c>
    </row>
    <row r="120">
      <c r="A120" s="3" t="inlineStr">
        <is>
          <t>1002807</t>
        </is>
      </c>
      <c r="B120" s="3" t="inlineStr">
        <is>
          <t>10028</t>
        </is>
      </c>
      <c r="C120" s="10" t="n">
        <v>45660.83313657407</v>
      </c>
      <c r="D120" s="10" t="n">
        <v>45660.83549768518</v>
      </c>
      <c r="E120" s="10" t="n">
        <v>45660.86143518519</v>
      </c>
      <c r="F120" s="10" t="n">
        <v>45660.86295138889</v>
      </c>
      <c r="G120" s="3" t="inlineStr">
        <is>
          <t>OBT030125205107-Other sidings local</t>
        </is>
      </c>
      <c r="H120" s="10" t="n">
        <v>45660.86883101852</v>
      </c>
      <c r="I120" s="10" t="n">
        <v>45660.91472222222</v>
      </c>
      <c r="J120" s="10" t="n">
        <v>45660.91559027778</v>
      </c>
      <c r="K120" s="11">
        <f>IF(AND(ISNUMBER(D120),ISNUMBER(E120)),(E120-D120),"")</f>
        <v/>
      </c>
      <c r="L120" s="11">
        <f>IF(AND(ISNUMBER(F120),ISNUMBER(I120)),(I120-F120),"")</f>
        <v/>
      </c>
    </row>
    <row r="121">
      <c r="A121" s="3" t="inlineStr">
        <is>
          <t>1002808</t>
        </is>
      </c>
      <c r="B121" s="3" t="inlineStr">
        <is>
          <t>10028</t>
        </is>
      </c>
      <c r="C121" s="10" t="n">
        <v>45660.83313657407</v>
      </c>
      <c r="D121" s="10" t="n">
        <v>45660.83549768518</v>
      </c>
      <c r="E121" s="10" t="n">
        <v>45660.86295138889</v>
      </c>
      <c r="F121" s="10" t="n">
        <v>45660.86420138889</v>
      </c>
      <c r="G121" s="3" t="inlineStr">
        <is>
          <t>OBT030125220232-Neudörfl (FunderMax)</t>
        </is>
      </c>
      <c r="H121" s="10" t="n">
        <v>45660.91842592593</v>
      </c>
      <c r="I121" s="10" t="n">
        <v>45660.9384375</v>
      </c>
      <c r="J121" s="10" t="n">
        <v>45660.93917824074</v>
      </c>
      <c r="K121" s="11">
        <f>IF(AND(ISNUMBER(D121),ISNUMBER(E121)),(E121-D121),"")</f>
        <v/>
      </c>
      <c r="L121" s="11">
        <f>IF(AND(ISNUMBER(F121),ISNUMBER(I121)),(I121-F121),"")</f>
        <v/>
      </c>
    </row>
    <row r="122">
      <c r="A122" s="3" t="inlineStr">
        <is>
          <t>1002901</t>
        </is>
      </c>
      <c r="B122" s="3" t="inlineStr">
        <is>
          <t>10029</t>
        </is>
      </c>
      <c r="C122" s="10" t="n">
        <v>45660.87109953703</v>
      </c>
      <c r="D122" s="10" t="n">
        <v>45660.87350694444</v>
      </c>
      <c r="E122" s="10" t="n">
        <v>45660.89387731482</v>
      </c>
      <c r="F122" s="10" t="n">
        <v>45660.89559027777</v>
      </c>
      <c r="G122" s="3" t="inlineStr">
        <is>
          <t>OBT070125180657-Wr. Neustadt Ausfahrbf (Furtenbach)</t>
        </is>
      </c>
      <c r="H122" s="10" t="n">
        <v>45664.75482638889</v>
      </c>
      <c r="I122" s="10" t="n">
        <v>45664.77986111111</v>
      </c>
      <c r="J122" s="10" t="n">
        <v>45664.78077546296</v>
      </c>
      <c r="K122" s="11">
        <f>IF(AND(ISNUMBER(D122),ISNUMBER(E122)),(E122-D122),"")</f>
        <v/>
      </c>
      <c r="L122" s="11">
        <f>IF(AND(ISNUMBER(F122),ISNUMBER(I122)),(I122-F122),"")</f>
        <v/>
      </c>
    </row>
    <row r="123">
      <c r="A123" s="3" t="inlineStr">
        <is>
          <t>1002902</t>
        </is>
      </c>
      <c r="B123" s="3" t="inlineStr">
        <is>
          <t>10029</t>
        </is>
      </c>
      <c r="C123" s="10" t="n">
        <v>45660.87109953703</v>
      </c>
      <c r="D123" s="10" t="n">
        <v>45660.87350694444</v>
      </c>
      <c r="E123" s="10" t="n">
        <v>45660.89559027777</v>
      </c>
      <c r="F123" s="10" t="n">
        <v>45660.89763888889</v>
      </c>
      <c r="G123" s="3" t="inlineStr">
        <is>
          <t>OBT050125180143-Pitten (Hamburger)</t>
        </is>
      </c>
      <c r="H123" s="10" t="n">
        <v>45662.75119212963</v>
      </c>
      <c r="I123" s="10" t="n">
        <v>45662.82103009259</v>
      </c>
      <c r="J123" s="10" t="n">
        <v>45662.8225</v>
      </c>
      <c r="K123" s="11">
        <f>IF(AND(ISNUMBER(D123),ISNUMBER(E123)),(E123-D123),"")</f>
        <v/>
      </c>
      <c r="L123" s="11">
        <f>IF(AND(ISNUMBER(F123),ISNUMBER(I123)),(I123-F123),"")</f>
        <v/>
      </c>
    </row>
    <row r="124">
      <c r="A124" s="3" t="inlineStr">
        <is>
          <t>1002903</t>
        </is>
      </c>
      <c r="B124" s="3" t="inlineStr">
        <is>
          <t>10029</t>
        </is>
      </c>
      <c r="C124" s="10" t="n">
        <v>45660.87109953703</v>
      </c>
      <c r="D124" s="10" t="n">
        <v>45660.87350694444</v>
      </c>
      <c r="E124" s="10" t="n">
        <v>45660.89763888889</v>
      </c>
      <c r="F124" s="10" t="n">
        <v>45660.89951388889</v>
      </c>
      <c r="G124" s="3" t="inlineStr">
        <is>
          <t>OBT070125075235-Neudörfl (FunderMax)</t>
        </is>
      </c>
      <c r="H124" s="10" t="n">
        <v>45664.32818287037</v>
      </c>
      <c r="I124" s="10" t="n">
        <v>45664.3603125</v>
      </c>
      <c r="J124" s="10" t="n">
        <v>45664.36096064815</v>
      </c>
      <c r="K124" s="11">
        <f>IF(AND(ISNUMBER(D124),ISNUMBER(E124)),(E124-D124),"")</f>
        <v/>
      </c>
      <c r="L124" s="11">
        <f>IF(AND(ISNUMBER(F124),ISNUMBER(I124)),(I124-F124),"")</f>
        <v/>
      </c>
    </row>
    <row r="125">
      <c r="A125" s="3" t="inlineStr">
        <is>
          <t>1002904</t>
        </is>
      </c>
      <c r="B125" s="3" t="inlineStr">
        <is>
          <t>10029</t>
        </is>
      </c>
      <c r="C125" s="10" t="n">
        <v>45660.87109953703</v>
      </c>
      <c r="D125" s="10" t="n">
        <v>45660.87350694444</v>
      </c>
      <c r="E125" s="10" t="n">
        <v>45660.89951388889</v>
      </c>
      <c r="F125" s="10" t="n">
        <v>45660.90158564815</v>
      </c>
      <c r="G125" s="3" t="inlineStr">
        <is>
          <t>OBT050125180143-Pitten (Hamburger)</t>
        </is>
      </c>
      <c r="H125" s="10" t="n">
        <v>45662.75119212963</v>
      </c>
      <c r="I125" s="10" t="n">
        <v>45662.82103009259</v>
      </c>
      <c r="J125" s="10" t="n">
        <v>45662.8225</v>
      </c>
      <c r="K125" s="11">
        <f>IF(AND(ISNUMBER(D125),ISNUMBER(E125)),(E125-D125),"")</f>
        <v/>
      </c>
      <c r="L125" s="11">
        <f>IF(AND(ISNUMBER(F125),ISNUMBER(I125)),(I125-F125),"")</f>
        <v/>
      </c>
    </row>
    <row r="126">
      <c r="A126" s="3" t="inlineStr">
        <is>
          <t>1002905</t>
        </is>
      </c>
      <c r="B126" s="3" t="inlineStr">
        <is>
          <t>10029</t>
        </is>
      </c>
      <c r="C126" s="10" t="n">
        <v>45660.87109953703</v>
      </c>
      <c r="D126" s="10" t="n">
        <v>45660.87350694444</v>
      </c>
      <c r="E126" s="10" t="n">
        <v>45660.90158564815</v>
      </c>
      <c r="F126" s="10" t="n">
        <v>45660.90283564815</v>
      </c>
      <c r="G126" s="3" t="inlineStr">
        <is>
          <t>OBT070125080206-Other sidings north</t>
        </is>
      </c>
      <c r="H126" s="10" t="n">
        <v>45664.33479166667</v>
      </c>
      <c r="I126" s="10" t="n">
        <v>45664.40400462963</v>
      </c>
      <c r="J126" s="10" t="n">
        <v>45664.4050462963</v>
      </c>
      <c r="K126" s="11">
        <f>IF(AND(ISNUMBER(D126),ISNUMBER(E126)),(E126-D126),"")</f>
        <v/>
      </c>
      <c r="L126" s="11">
        <f>IF(AND(ISNUMBER(F126),ISNUMBER(I126)),(I126-F126),"")</f>
        <v/>
      </c>
    </row>
    <row r="127">
      <c r="A127" s="3" t="inlineStr">
        <is>
          <t>1002906</t>
        </is>
      </c>
      <c r="B127" s="3" t="inlineStr">
        <is>
          <t>10029</t>
        </is>
      </c>
      <c r="C127" s="10" t="n">
        <v>45660.87109953703</v>
      </c>
      <c r="D127" s="10" t="n">
        <v>45660.87350694444</v>
      </c>
      <c r="E127" s="10" t="n">
        <v>45660.90283564815</v>
      </c>
      <c r="F127" s="10" t="n">
        <v>45660.90424768518</v>
      </c>
      <c r="G127" s="3" t="inlineStr">
        <is>
          <t>OBT070125080206-Other sidings north</t>
        </is>
      </c>
      <c r="H127" s="10" t="n">
        <v>45664.33479166667</v>
      </c>
      <c r="I127" s="10" t="n">
        <v>45664.40400462963</v>
      </c>
      <c r="J127" s="10" t="n">
        <v>45664.4050462963</v>
      </c>
      <c r="K127" s="11">
        <f>IF(AND(ISNUMBER(D127),ISNUMBER(E127)),(E127-D127),"")</f>
        <v/>
      </c>
      <c r="L127" s="11">
        <f>IF(AND(ISNUMBER(F127),ISNUMBER(I127)),(I127-F127),"")</f>
        <v/>
      </c>
    </row>
    <row r="128">
      <c r="A128" s="3" t="inlineStr">
        <is>
          <t>1002907</t>
        </is>
      </c>
      <c r="B128" s="3" t="inlineStr">
        <is>
          <t>10029</t>
        </is>
      </c>
      <c r="C128" s="10" t="n">
        <v>45660.87109953703</v>
      </c>
      <c r="D128" s="10" t="n">
        <v>45660.87350694444</v>
      </c>
      <c r="E128" s="10" t="n">
        <v>45660.90424768518</v>
      </c>
      <c r="F128" s="10" t="n">
        <v>45660.90560185185</v>
      </c>
      <c r="G128" s="3" t="inlineStr">
        <is>
          <t>OBT030125220232-Neudörfl (FunderMax)</t>
        </is>
      </c>
      <c r="H128" s="10" t="n">
        <v>45660.91842592593</v>
      </c>
      <c r="I128" s="10" t="n">
        <v>45660.9384375</v>
      </c>
      <c r="J128" s="10" t="n">
        <v>45660.93917824074</v>
      </c>
      <c r="K128" s="11">
        <f>IF(AND(ISNUMBER(D128),ISNUMBER(E128)),(E128-D128),"")</f>
        <v/>
      </c>
      <c r="L128" s="11">
        <f>IF(AND(ISNUMBER(F128),ISNUMBER(I128)),(I128-F128),"")</f>
        <v/>
      </c>
    </row>
    <row r="129">
      <c r="A129" s="3" t="inlineStr">
        <is>
          <t>1002908</t>
        </is>
      </c>
      <c r="B129" s="3" t="inlineStr">
        <is>
          <t>10029</t>
        </is>
      </c>
      <c r="C129" s="10" t="n">
        <v>45660.87109953703</v>
      </c>
      <c r="D129" s="10" t="n">
        <v>45660.87350694444</v>
      </c>
      <c r="E129" s="10" t="n">
        <v>45660.90560185185</v>
      </c>
      <c r="F129" s="10" t="n">
        <v>45660.90743055556</v>
      </c>
      <c r="G129" s="3" t="inlineStr">
        <is>
          <t>OBT070125031735-Neunkirchen (loading tracks)</t>
        </is>
      </c>
      <c r="H129" s="10" t="n">
        <v>45664.13721064815</v>
      </c>
      <c r="I129" s="10" t="n">
        <v>45664.18449074074</v>
      </c>
      <c r="J129" s="10" t="n">
        <v>45664.18564814814</v>
      </c>
      <c r="K129" s="11">
        <f>IF(AND(ISNUMBER(D129),ISNUMBER(E129)),(E129-D129),"")</f>
        <v/>
      </c>
      <c r="L129" s="11">
        <f>IF(AND(ISNUMBER(F129),ISNUMBER(I129)),(I129-F129),"")</f>
        <v/>
      </c>
    </row>
    <row r="130">
      <c r="A130" s="3" t="inlineStr">
        <is>
          <t>1002909</t>
        </is>
      </c>
      <c r="B130" s="3" t="inlineStr">
        <is>
          <t>10029</t>
        </is>
      </c>
      <c r="C130" s="10" t="n">
        <v>45660.87109953703</v>
      </c>
      <c r="D130" s="10" t="n">
        <v>45660.87350694444</v>
      </c>
      <c r="E130" s="10" t="n">
        <v>45660.90743055556</v>
      </c>
      <c r="F130" s="10" t="n">
        <v>45660.909375</v>
      </c>
      <c r="G130" s="3" t="inlineStr">
        <is>
          <t>OBT080125153109-Felixdorf/Sollenau (Bundesheer, Maba)</t>
        </is>
      </c>
      <c r="H130" s="10" t="n">
        <v>45665.64663194444</v>
      </c>
      <c r="I130" s="10" t="n">
        <v>45665.67254629629</v>
      </c>
      <c r="J130" s="10" t="n">
        <v>45665.67341435186</v>
      </c>
      <c r="K130" s="11">
        <f>IF(AND(ISNUMBER(D130),ISNUMBER(E130)),(E130-D130),"")</f>
        <v/>
      </c>
      <c r="L130" s="11">
        <f>IF(AND(ISNUMBER(F130),ISNUMBER(I130)),(I130-F130),"")</f>
        <v/>
      </c>
    </row>
    <row r="131">
      <c r="A131" s="3" t="inlineStr">
        <is>
          <t>1002910</t>
        </is>
      </c>
      <c r="B131" s="3" t="inlineStr">
        <is>
          <t>10029</t>
        </is>
      </c>
      <c r="C131" s="10" t="n">
        <v>45660.87109953703</v>
      </c>
      <c r="D131" s="10" t="n">
        <v>45660.87350694444</v>
      </c>
      <c r="E131" s="10" t="n">
        <v>45660.909375</v>
      </c>
      <c r="F131" s="10" t="n">
        <v>45660.91071759259</v>
      </c>
      <c r="G131" s="3" t="inlineStr">
        <is>
          <t>OBT030125220353-Other sidings south</t>
        </is>
      </c>
      <c r="H131" s="10" t="n">
        <v>45660.91936342593</v>
      </c>
      <c r="I131" s="10" t="n">
        <v>45660.94625</v>
      </c>
      <c r="J131" s="10" t="n">
        <v>45660.94706018519</v>
      </c>
      <c r="K131" s="11">
        <f>IF(AND(ISNUMBER(D131),ISNUMBER(E131)),(E131-D131),"")</f>
        <v/>
      </c>
      <c r="L131" s="11">
        <f>IF(AND(ISNUMBER(F131),ISNUMBER(I131)),(I131-F131),"")</f>
        <v/>
      </c>
    </row>
    <row r="132">
      <c r="A132" s="3" t="inlineStr">
        <is>
          <t>1002911</t>
        </is>
      </c>
      <c r="B132" s="3" t="inlineStr">
        <is>
          <t>10029</t>
        </is>
      </c>
      <c r="C132" s="10" t="n">
        <v>45660.87109953703</v>
      </c>
      <c r="D132" s="10" t="n">
        <v>45660.87350694444</v>
      </c>
      <c r="E132" s="10" t="n">
        <v>45660.91071759259</v>
      </c>
      <c r="F132" s="10" t="n">
        <v>45660.91212962963</v>
      </c>
      <c r="G132" s="3" t="inlineStr">
        <is>
          <t>OBT030125220232-Neudörfl (FunderMax)</t>
        </is>
      </c>
      <c r="H132" s="10" t="n">
        <v>45660.91842592593</v>
      </c>
      <c r="I132" s="10" t="n">
        <v>45660.9384375</v>
      </c>
      <c r="J132" s="10" t="n">
        <v>45660.93917824074</v>
      </c>
      <c r="K132" s="11">
        <f>IF(AND(ISNUMBER(D132),ISNUMBER(E132)),(E132-D132),"")</f>
        <v/>
      </c>
      <c r="L132" s="11">
        <f>IF(AND(ISNUMBER(F132),ISNUMBER(I132)),(I132-F132),"")</f>
        <v/>
      </c>
    </row>
    <row r="133">
      <c r="A133" s="3" t="inlineStr">
        <is>
          <t>1002912</t>
        </is>
      </c>
      <c r="B133" s="3" t="inlineStr">
        <is>
          <t>10029</t>
        </is>
      </c>
      <c r="C133" s="10" t="n">
        <v>45660.87109953703</v>
      </c>
      <c r="D133" s="10" t="n">
        <v>45660.87350694444</v>
      </c>
      <c r="E133" s="10" t="n">
        <v>45660.91212962963</v>
      </c>
      <c r="F133" s="10" t="n">
        <v>45660.91327546296</v>
      </c>
      <c r="G133" s="3" t="inlineStr">
        <is>
          <t>OBT030125220353-Other sidings south</t>
        </is>
      </c>
      <c r="H133" s="10" t="n">
        <v>45660.91936342593</v>
      </c>
      <c r="I133" s="10" t="n">
        <v>45660.94625</v>
      </c>
      <c r="J133" s="10" t="n">
        <v>45660.94706018519</v>
      </c>
      <c r="K133" s="11">
        <f>IF(AND(ISNUMBER(D133),ISNUMBER(E133)),(E133-D133),"")</f>
        <v/>
      </c>
      <c r="L133" s="11">
        <f>IF(AND(ISNUMBER(F133),ISNUMBER(I133)),(I133-F133),"")</f>
        <v/>
      </c>
    </row>
    <row r="134">
      <c r="A134" s="3" t="inlineStr">
        <is>
          <t>1003001</t>
        </is>
      </c>
      <c r="B134" s="3" t="inlineStr">
        <is>
          <t>10030</t>
        </is>
      </c>
      <c r="C134" s="10" t="n">
        <v>45661.23519675926</v>
      </c>
      <c r="D134" s="10" t="n">
        <v>45661.23746527778</v>
      </c>
      <c r="E134" s="10" t="n">
        <v>45661.24539351852</v>
      </c>
      <c r="F134" s="10" t="n">
        <v>45661.24702546297</v>
      </c>
      <c r="G134" s="3" t="inlineStr">
        <is>
          <t>OBT040125055908-Ebenfurth (beet loading)</t>
        </is>
      </c>
      <c r="H134" s="10" t="n">
        <v>45661.24939814815</v>
      </c>
      <c r="I134" s="10" t="n">
        <v>45661.28849537037</v>
      </c>
      <c r="J134" s="10" t="n">
        <v>45661.28946759259</v>
      </c>
      <c r="K134" s="11">
        <f>IF(AND(ISNUMBER(D134),ISNUMBER(E134)),(E134-D134),"")</f>
        <v/>
      </c>
      <c r="L134" s="11">
        <f>IF(AND(ISNUMBER(F134),ISNUMBER(I134)),(I134-F134),"")</f>
        <v/>
      </c>
    </row>
    <row r="135">
      <c r="A135" s="3" t="inlineStr">
        <is>
          <t>1003002</t>
        </is>
      </c>
      <c r="B135" s="3" t="inlineStr">
        <is>
          <t>10030</t>
        </is>
      </c>
      <c r="C135" s="10" t="n">
        <v>45661.23519675926</v>
      </c>
      <c r="D135" s="10" t="n">
        <v>45661.23746527778</v>
      </c>
      <c r="E135" s="10" t="n">
        <v>45661.24702546297</v>
      </c>
      <c r="F135" s="10" t="n">
        <v>45661.24831018518</v>
      </c>
      <c r="G135" s="3" t="inlineStr">
        <is>
          <t>OBT050125180350-Neudörfl (FunderMax)</t>
        </is>
      </c>
      <c r="H135" s="10" t="n">
        <v>45662.75266203703</v>
      </c>
      <c r="I135" s="10" t="n">
        <v>45662.7740162037</v>
      </c>
      <c r="J135" s="10" t="n">
        <v>45662.77472222222</v>
      </c>
      <c r="K135" s="11">
        <f>IF(AND(ISNUMBER(D135),ISNUMBER(E135)),(E135-D135),"")</f>
        <v/>
      </c>
      <c r="L135" s="11">
        <f>IF(AND(ISNUMBER(F135),ISNUMBER(I135)),(I135-F135),"")</f>
        <v/>
      </c>
    </row>
    <row r="136">
      <c r="A136" s="3" t="inlineStr">
        <is>
          <t>1003003</t>
        </is>
      </c>
      <c r="B136" s="3" t="inlineStr">
        <is>
          <t>10030</t>
        </is>
      </c>
      <c r="C136" s="10" t="n">
        <v>45661.23519675926</v>
      </c>
      <c r="D136" s="10" t="n">
        <v>45661.23746527778</v>
      </c>
      <c r="E136" s="10" t="n">
        <v>45661.24831018518</v>
      </c>
      <c r="F136" s="10" t="n">
        <v>45661.25035879629</v>
      </c>
      <c r="G136" s="3" t="inlineStr">
        <is>
          <t>OBT050125180143-Pitten (Hamburger)</t>
        </is>
      </c>
      <c r="H136" s="10" t="n">
        <v>45662.75119212963</v>
      </c>
      <c r="I136" s="10" t="n">
        <v>45662.82103009259</v>
      </c>
      <c r="J136" s="10" t="n">
        <v>45662.8225</v>
      </c>
      <c r="K136" s="11">
        <f>IF(AND(ISNUMBER(D136),ISNUMBER(E136)),(E136-D136),"")</f>
        <v/>
      </c>
      <c r="L136" s="11">
        <f>IF(AND(ISNUMBER(F136),ISNUMBER(I136)),(I136-F136),"")</f>
        <v/>
      </c>
    </row>
    <row r="137">
      <c r="A137" s="3" t="inlineStr">
        <is>
          <t>1003101</t>
        </is>
      </c>
      <c r="B137" s="3" t="inlineStr">
        <is>
          <t>10031</t>
        </is>
      </c>
      <c r="C137" s="10" t="n">
        <v>45662.7305787037</v>
      </c>
      <c r="D137" s="10" t="n">
        <v>45662.73297453704</v>
      </c>
      <c r="E137" s="10" t="n">
        <v>45662.74329861111</v>
      </c>
      <c r="F137" s="10" t="n">
        <v>45662.74461805556</v>
      </c>
      <c r="G137" s="3" t="inlineStr">
        <is>
          <t>OBT070125031850-Ebenfurth (beet loading)</t>
        </is>
      </c>
      <c r="H137" s="10" t="n">
        <v>45664.13807870371</v>
      </c>
      <c r="I137" s="10" t="n">
        <v>45664.16282407408</v>
      </c>
      <c r="J137" s="10" t="n">
        <v>45664.16361111111</v>
      </c>
      <c r="K137" s="11">
        <f>IF(AND(ISNUMBER(D137),ISNUMBER(E137)),(E137-D137),"")</f>
        <v/>
      </c>
      <c r="L137" s="11">
        <f>IF(AND(ISNUMBER(F137),ISNUMBER(I137)),(I137-F137),"")</f>
        <v/>
      </c>
    </row>
    <row r="138">
      <c r="A138" s="3" t="inlineStr">
        <is>
          <t>1003102</t>
        </is>
      </c>
      <c r="B138" s="3" t="inlineStr">
        <is>
          <t>10031</t>
        </is>
      </c>
      <c r="C138" s="10" t="n">
        <v>45662.7305787037</v>
      </c>
      <c r="D138" s="10" t="n">
        <v>45662.73297453704</v>
      </c>
      <c r="E138" s="10" t="n">
        <v>45662.74461805556</v>
      </c>
      <c r="F138" s="10" t="n">
        <v>45662.74729166667</v>
      </c>
      <c r="G138" s="3" t="inlineStr">
        <is>
          <t>OBT050125180143-Pitten (Hamburger)</t>
        </is>
      </c>
      <c r="H138" s="10" t="n">
        <v>45662.75119212963</v>
      </c>
      <c r="I138" s="10" t="n">
        <v>45662.82103009259</v>
      </c>
      <c r="J138" s="10" t="n">
        <v>45662.8225</v>
      </c>
      <c r="K138" s="11">
        <f>IF(AND(ISNUMBER(D138),ISNUMBER(E138)),(E138-D138),"")</f>
        <v/>
      </c>
      <c r="L138" s="11">
        <f>IF(AND(ISNUMBER(F138),ISNUMBER(I138)),(I138-F138),"")</f>
        <v/>
      </c>
    </row>
    <row r="139">
      <c r="A139" s="3" t="inlineStr">
        <is>
          <t>1003103</t>
        </is>
      </c>
      <c r="B139" s="3" t="inlineStr">
        <is>
          <t>10031</t>
        </is>
      </c>
      <c r="C139" s="10" t="n">
        <v>45662.7305787037</v>
      </c>
      <c r="D139" s="10" t="n">
        <v>45662.73297453704</v>
      </c>
      <c r="E139" s="10" t="n">
        <v>45662.74729166667</v>
      </c>
      <c r="F139" s="10" t="n">
        <v>45662.74873842593</v>
      </c>
      <c r="G139" s="3" t="inlineStr">
        <is>
          <t>OBT050125180350-Neudörfl (FunderMax)</t>
        </is>
      </c>
      <c r="H139" s="10" t="n">
        <v>45662.75266203703</v>
      </c>
      <c r="I139" s="10" t="n">
        <v>45662.7740162037</v>
      </c>
      <c r="J139" s="10" t="n">
        <v>45662.77472222222</v>
      </c>
      <c r="K139" s="11">
        <f>IF(AND(ISNUMBER(D139),ISNUMBER(E139)),(E139-D139),"")</f>
        <v/>
      </c>
      <c r="L139" s="11">
        <f>IF(AND(ISNUMBER(F139),ISNUMBER(I139)),(I139-F139),"")</f>
        <v/>
      </c>
    </row>
    <row r="140">
      <c r="A140" s="3" t="inlineStr">
        <is>
          <t>1003201</t>
        </is>
      </c>
      <c r="B140" s="3" t="inlineStr">
        <is>
          <t>10032</t>
        </is>
      </c>
      <c r="C140" s="10" t="n">
        <v>45662.83770833333</v>
      </c>
      <c r="D140" s="10" t="n">
        <v>45662.84023148148</v>
      </c>
      <c r="E140" s="10" t="n">
        <v>45662.85040509259</v>
      </c>
      <c r="F140" s="10" t="n">
        <v>45662.85261574074</v>
      </c>
      <c r="G140" s="3" t="inlineStr">
        <is>
          <t>OBT050125203113-Pitten (Hamburger)</t>
        </is>
      </c>
      <c r="H140" s="10" t="n">
        <v>45662.85501157407</v>
      </c>
      <c r="I140" s="10" t="n">
        <v>45662.93028935185</v>
      </c>
      <c r="J140" s="10" t="n">
        <v>45662.93170138889</v>
      </c>
      <c r="K140" s="11">
        <f>IF(AND(ISNUMBER(D140),ISNUMBER(E140)),(E140-D140),"")</f>
        <v/>
      </c>
      <c r="L140" s="11">
        <f>IF(AND(ISNUMBER(F140),ISNUMBER(I140)),(I140-F140),"")</f>
        <v/>
      </c>
    </row>
    <row r="141">
      <c r="A141" s="3" t="inlineStr">
        <is>
          <t>1003202</t>
        </is>
      </c>
      <c r="B141" s="3" t="inlineStr">
        <is>
          <t>10032</t>
        </is>
      </c>
      <c r="C141" s="10" t="n">
        <v>45662.83770833333</v>
      </c>
      <c r="D141" s="10" t="n">
        <v>45662.84023148148</v>
      </c>
      <c r="E141" s="10" t="n">
        <v>45662.85261574074</v>
      </c>
      <c r="F141" s="10" t="n">
        <v>45662.85459490741</v>
      </c>
      <c r="G141" s="3" t="inlineStr">
        <is>
          <t>OBT070125075235-Neudörfl (FunderMax)</t>
        </is>
      </c>
      <c r="H141" s="10" t="n">
        <v>45664.32818287037</v>
      </c>
      <c r="I141" s="10" t="n">
        <v>45664.3603125</v>
      </c>
      <c r="J141" s="10" t="n">
        <v>45664.36096064815</v>
      </c>
      <c r="K141" s="11">
        <f>IF(AND(ISNUMBER(D141),ISNUMBER(E141)),(E141-D141),"")</f>
        <v/>
      </c>
      <c r="L141" s="11">
        <f>IF(AND(ISNUMBER(F141),ISNUMBER(I141)),(I141-F141),"")</f>
        <v/>
      </c>
    </row>
    <row r="142">
      <c r="A142" s="3" t="inlineStr">
        <is>
          <t>1003203</t>
        </is>
      </c>
      <c r="B142" s="3" t="inlineStr">
        <is>
          <t>10032</t>
        </is>
      </c>
      <c r="C142" s="10" t="n">
        <v>45662.83770833333</v>
      </c>
      <c r="D142" s="10" t="n">
        <v>45662.84023148148</v>
      </c>
      <c r="E142" s="10" t="n">
        <v>45662.85459490741</v>
      </c>
      <c r="F142" s="10" t="n">
        <v>45662.85672453704</v>
      </c>
      <c r="G142" s="3" t="inlineStr">
        <is>
          <t>OBT050125203708-Pitten (Hamburger)</t>
        </is>
      </c>
      <c r="H142" s="10" t="n">
        <v>45662.85912037037</v>
      </c>
      <c r="I142" s="10" t="n">
        <v>45662.87755787037</v>
      </c>
      <c r="J142" s="10" t="n">
        <v>45662.87833333333</v>
      </c>
      <c r="K142" s="11">
        <f>IF(AND(ISNUMBER(D142),ISNUMBER(E142)),(E142-D142),"")</f>
        <v/>
      </c>
      <c r="L142" s="11">
        <f>IF(AND(ISNUMBER(F142),ISNUMBER(I142)),(I142-F142),"")</f>
        <v/>
      </c>
    </row>
    <row r="143">
      <c r="A143" s="3" t="inlineStr">
        <is>
          <t>1003301</t>
        </is>
      </c>
      <c r="B143" s="3" t="inlineStr">
        <is>
          <t>10033</t>
        </is>
      </c>
      <c r="C143" s="10" t="n">
        <v>45663.73539351852</v>
      </c>
      <c r="D143" s="10" t="n">
        <v>45663.7375462963</v>
      </c>
      <c r="E143" s="10" t="n">
        <v>45663.74319444445</v>
      </c>
      <c r="F143" s="10" t="n">
        <v>45663.745</v>
      </c>
      <c r="G143" s="3" t="inlineStr">
        <is>
          <t>OBT060125175612-Pitten (Hamburger)</t>
        </is>
      </c>
      <c r="H143" s="10" t="n">
        <v>45663.74736111111</v>
      </c>
      <c r="I143" s="10" t="n">
        <v>45663.79013888889</v>
      </c>
      <c r="J143" s="10" t="n">
        <v>45663.79112268519</v>
      </c>
      <c r="K143" s="11">
        <f>IF(AND(ISNUMBER(D143),ISNUMBER(E143)),(E143-D143),"")</f>
        <v/>
      </c>
      <c r="L143" s="11">
        <f>IF(AND(ISNUMBER(F143),ISNUMBER(I143)),(I143-F143),"")</f>
        <v/>
      </c>
    </row>
    <row r="144">
      <c r="A144" s="3" t="inlineStr">
        <is>
          <t>1003401</t>
        </is>
      </c>
      <c r="B144" s="3" t="inlineStr">
        <is>
          <t>10034</t>
        </is>
      </c>
      <c r="C144" s="10" t="n">
        <v>45664.1130787037</v>
      </c>
      <c r="D144" s="10" t="n">
        <v>45664.11534722222</v>
      </c>
      <c r="E144" s="10" t="n">
        <v>45664.12525462963</v>
      </c>
      <c r="F144" s="10" t="n">
        <v>45664.12717592593</v>
      </c>
      <c r="G144" s="3" t="inlineStr">
        <is>
          <t>OBT070125075235-Neudörfl (FunderMax)</t>
        </is>
      </c>
      <c r="H144" s="10" t="n">
        <v>45664.32818287037</v>
      </c>
      <c r="I144" s="10" t="n">
        <v>45664.3603125</v>
      </c>
      <c r="J144" s="10" t="n">
        <v>45664.36096064815</v>
      </c>
      <c r="K144" s="11">
        <f>IF(AND(ISNUMBER(D144),ISNUMBER(E144)),(E144-D144),"")</f>
        <v/>
      </c>
      <c r="L144" s="11">
        <f>IF(AND(ISNUMBER(F144),ISNUMBER(I144)),(I144-F144),"")</f>
        <v/>
      </c>
    </row>
    <row r="145">
      <c r="A145" s="3" t="inlineStr">
        <is>
          <t>1003402</t>
        </is>
      </c>
      <c r="B145" s="3" t="inlineStr">
        <is>
          <t>10034</t>
        </is>
      </c>
      <c r="C145" s="10" t="n">
        <v>45664.1130787037</v>
      </c>
      <c r="D145" s="10" t="n">
        <v>45664.11534722222</v>
      </c>
      <c r="E145" s="10" t="n">
        <v>45664.12717592593</v>
      </c>
      <c r="F145" s="10" t="n">
        <v>45664.12923611111</v>
      </c>
      <c r="G145" s="3" t="inlineStr">
        <is>
          <t>OBT070125084545-St. Veit an der Glan</t>
        </is>
      </c>
      <c r="H145" s="10" t="n">
        <v>45664.36510416667</v>
      </c>
      <c r="I145" s="10" t="n">
        <v>45664.43702546296</v>
      </c>
      <c r="J145" s="10" t="n">
        <v>45664.43795138889</v>
      </c>
      <c r="K145" s="11">
        <f>IF(AND(ISNUMBER(D145),ISNUMBER(E145)),(E145-D145),"")</f>
        <v/>
      </c>
      <c r="L145" s="11">
        <f>IF(AND(ISNUMBER(F145),ISNUMBER(I145)),(I145-F145),"")</f>
        <v/>
      </c>
    </row>
    <row r="146">
      <c r="A146" s="3" t="inlineStr">
        <is>
          <t>1003403</t>
        </is>
      </c>
      <c r="B146" s="3" t="inlineStr">
        <is>
          <t>10034</t>
        </is>
      </c>
      <c r="C146" s="10" t="n">
        <v>45664.1130787037</v>
      </c>
      <c r="D146" s="10" t="n">
        <v>45664.11534722222</v>
      </c>
      <c r="E146" s="10" t="n">
        <v>45664.12923611111</v>
      </c>
      <c r="F146" s="10" t="n">
        <v>45664.13114583334</v>
      </c>
      <c r="G146" s="3" t="inlineStr">
        <is>
          <t>OBT070125075235-Neudörfl (FunderMax)</t>
        </is>
      </c>
      <c r="H146" s="10" t="n">
        <v>45664.32818287037</v>
      </c>
      <c r="I146" s="10" t="n">
        <v>45664.3603125</v>
      </c>
      <c r="J146" s="10" t="n">
        <v>45664.36096064815</v>
      </c>
      <c r="K146" s="11">
        <f>IF(AND(ISNUMBER(D146),ISNUMBER(E146)),(E146-D146),"")</f>
        <v/>
      </c>
      <c r="L146" s="11">
        <f>IF(AND(ISNUMBER(F146),ISNUMBER(I146)),(I146-F146),"")</f>
        <v/>
      </c>
    </row>
    <row r="147">
      <c r="A147" s="3" t="inlineStr">
        <is>
          <t>1003404</t>
        </is>
      </c>
      <c r="B147" s="3" t="inlineStr">
        <is>
          <t>10034</t>
        </is>
      </c>
      <c r="C147" s="10" t="n">
        <v>45664.1130787037</v>
      </c>
      <c r="D147" s="10" t="n">
        <v>45664.11534722222</v>
      </c>
      <c r="E147" s="10" t="n">
        <v>45664.13114583334</v>
      </c>
      <c r="F147" s="10" t="n">
        <v>45664.13328703704</v>
      </c>
      <c r="G147" s="3" t="inlineStr">
        <is>
          <t>OBT070125031735-Neunkirchen (loading tracks)</t>
        </is>
      </c>
      <c r="H147" s="10" t="n">
        <v>45664.13721064815</v>
      </c>
      <c r="I147" s="10" t="n">
        <v>45664.18449074074</v>
      </c>
      <c r="J147" s="10" t="n">
        <v>45664.18564814814</v>
      </c>
      <c r="K147" s="11">
        <f>IF(AND(ISNUMBER(D147),ISNUMBER(E147)),(E147-D147),"")</f>
        <v/>
      </c>
      <c r="L147" s="11">
        <f>IF(AND(ISNUMBER(F147),ISNUMBER(I147)),(I147-F147),"")</f>
        <v/>
      </c>
    </row>
    <row r="148">
      <c r="A148" s="3" t="inlineStr">
        <is>
          <t>1003405</t>
        </is>
      </c>
      <c r="B148" s="3" t="inlineStr">
        <is>
          <t>10034</t>
        </is>
      </c>
      <c r="C148" s="10" t="n">
        <v>45664.1130787037</v>
      </c>
      <c r="D148" s="10" t="n">
        <v>45664.11534722222</v>
      </c>
      <c r="E148" s="10" t="n">
        <v>45664.13328703704</v>
      </c>
      <c r="F148" s="10" t="n">
        <v>45664.13451388889</v>
      </c>
      <c r="G148" s="3" t="inlineStr">
        <is>
          <t>OBT070125031850-Ebenfurth (beet loading)</t>
        </is>
      </c>
      <c r="H148" s="10" t="n">
        <v>45664.13807870371</v>
      </c>
      <c r="I148" s="10" t="n">
        <v>45664.16282407408</v>
      </c>
      <c r="J148" s="10" t="n">
        <v>45664.16361111111</v>
      </c>
      <c r="K148" s="11">
        <f>IF(AND(ISNUMBER(D148),ISNUMBER(E148)),(E148-D148),"")</f>
        <v/>
      </c>
      <c r="L148" s="11">
        <f>IF(AND(ISNUMBER(F148),ISNUMBER(I148)),(I148-F148),"")</f>
        <v/>
      </c>
    </row>
    <row r="149">
      <c r="A149" s="3" t="inlineStr">
        <is>
          <t>1003501</t>
        </is>
      </c>
      <c r="B149" s="3" t="inlineStr">
        <is>
          <t>10035</t>
        </is>
      </c>
      <c r="C149" s="10" t="n">
        <v>45664.2709837963</v>
      </c>
      <c r="D149" s="10" t="n">
        <v>45664.27326388889</v>
      </c>
      <c r="E149" s="10" t="n">
        <v>45664.27938657408</v>
      </c>
      <c r="F149" s="10" t="n">
        <v>45664.28119212963</v>
      </c>
      <c r="G149" s="3" t="inlineStr">
        <is>
          <t>OBT070125064820-Wien Kledering</t>
        </is>
      </c>
      <c r="H149" s="10" t="n">
        <v>45664.28356481482</v>
      </c>
      <c r="I149" s="10" t="n">
        <v>45664.33599537037</v>
      </c>
      <c r="J149" s="10" t="n">
        <v>45664.3371412037</v>
      </c>
      <c r="K149" s="11">
        <f>IF(AND(ISNUMBER(D149),ISNUMBER(E149)),(E149-D149),"")</f>
        <v/>
      </c>
      <c r="L149" s="11">
        <f>IF(AND(ISNUMBER(F149),ISNUMBER(I149)),(I149-F149),"")</f>
        <v/>
      </c>
    </row>
    <row r="150">
      <c r="A150" s="3" t="inlineStr">
        <is>
          <t>1003701</t>
        </is>
      </c>
      <c r="B150" s="3" t="inlineStr">
        <is>
          <t>10037</t>
        </is>
      </c>
      <c r="C150" s="10" t="n">
        <v>45664.30606481482</v>
      </c>
      <c r="D150" s="10" t="n">
        <v>45664.30813657407</v>
      </c>
      <c r="E150" s="10" t="n">
        <v>45664.31594907407</v>
      </c>
      <c r="F150" s="10" t="n">
        <v>45664.31876157408</v>
      </c>
      <c r="G150" s="3" t="inlineStr">
        <is>
          <t>OBT070125074225-Wien Kledering</t>
        </is>
      </c>
      <c r="H150" s="10" t="n">
        <v>45664.32112268519</v>
      </c>
      <c r="I150" s="10" t="n">
        <v>45664.39082175926</v>
      </c>
      <c r="J150" s="10" t="n">
        <v>45664.39228009259</v>
      </c>
      <c r="K150" s="11">
        <f>IF(AND(ISNUMBER(D150),ISNUMBER(E150)),(E150-D150),"")</f>
        <v/>
      </c>
      <c r="L150" s="11">
        <f>IF(AND(ISNUMBER(F150),ISNUMBER(I150)),(I150-F150),"")</f>
        <v/>
      </c>
    </row>
    <row r="151">
      <c r="A151" s="3" t="inlineStr">
        <is>
          <t>1003801</t>
        </is>
      </c>
      <c r="B151" s="3" t="inlineStr">
        <is>
          <t>10038</t>
        </is>
      </c>
      <c r="C151" s="10" t="n">
        <v>45664.30878472222</v>
      </c>
      <c r="D151" s="10" t="n">
        <v>45664.31020833334</v>
      </c>
      <c r="E151" s="10" t="n">
        <v>45664.31962962963</v>
      </c>
      <c r="F151" s="10" t="n">
        <v>45664.32150462963</v>
      </c>
      <c r="G151" s="3" t="inlineStr">
        <is>
          <t>OBT070125074625-Wien Kledering</t>
        </is>
      </c>
      <c r="H151" s="10" t="n">
        <v>45664.32390046296</v>
      </c>
      <c r="I151" s="10" t="n">
        <v>45664.37078703703</v>
      </c>
      <c r="J151" s="10" t="n">
        <v>45664.37181712963</v>
      </c>
      <c r="K151" s="11">
        <f>IF(AND(ISNUMBER(D151),ISNUMBER(E151)),(E151-D151),"")</f>
        <v/>
      </c>
      <c r="L151" s="11">
        <f>IF(AND(ISNUMBER(F151),ISNUMBER(I151)),(I151-F151),"")</f>
        <v/>
      </c>
    </row>
    <row r="152">
      <c r="A152" s="3" t="inlineStr">
        <is>
          <t>1003601</t>
        </is>
      </c>
      <c r="B152" s="3" t="inlineStr">
        <is>
          <t>10036</t>
        </is>
      </c>
      <c r="C152" s="10" t="n">
        <v>45664.30180555556</v>
      </c>
      <c r="D152" s="10" t="n">
        <v>45664.30401620371</v>
      </c>
      <c r="E152" s="10" t="n">
        <v>45664.32237268519</v>
      </c>
      <c r="F152" s="10" t="n">
        <v>45664.32429398148</v>
      </c>
      <c r="G152" s="3" t="inlineStr">
        <is>
          <t>OBT070125075235-Neudörfl (FunderMax)</t>
        </is>
      </c>
      <c r="H152" s="10" t="n">
        <v>45664.32818287037</v>
      </c>
      <c r="I152" s="10" t="n">
        <v>45664.3603125</v>
      </c>
      <c r="J152" s="10" t="n">
        <v>45664.36096064815</v>
      </c>
      <c r="K152" s="11">
        <f>IF(AND(ISNUMBER(D152),ISNUMBER(E152)),(E152-D152),"")</f>
        <v/>
      </c>
      <c r="L152" s="11">
        <f>IF(AND(ISNUMBER(F152),ISNUMBER(I152)),(I152-F152),"")</f>
        <v/>
      </c>
    </row>
    <row r="153">
      <c r="A153" s="3" t="inlineStr">
        <is>
          <t>1003602</t>
        </is>
      </c>
      <c r="B153" s="3" t="inlineStr">
        <is>
          <t>10036</t>
        </is>
      </c>
      <c r="C153" s="10" t="n">
        <v>45664.30180555556</v>
      </c>
      <c r="D153" s="10" t="n">
        <v>45664.30401620371</v>
      </c>
      <c r="E153" s="10" t="n">
        <v>45664.32429398148</v>
      </c>
      <c r="F153" s="10" t="n">
        <v>45664.32607638889</v>
      </c>
      <c r="G153" s="3" t="inlineStr">
        <is>
          <t>OBT070125180657-Wr. Neustadt Ausfahrbf (Furtenbach)</t>
        </is>
      </c>
      <c r="H153" s="10" t="n">
        <v>45664.75482638889</v>
      </c>
      <c r="I153" s="10" t="n">
        <v>45664.77986111111</v>
      </c>
      <c r="J153" s="10" t="n">
        <v>45664.78077546296</v>
      </c>
      <c r="K153" s="11">
        <f>IF(AND(ISNUMBER(D153),ISNUMBER(E153)),(E153-D153),"")</f>
        <v/>
      </c>
      <c r="L153" s="11">
        <f>IF(AND(ISNUMBER(F153),ISNUMBER(I153)),(I153-F153),"")</f>
        <v/>
      </c>
    </row>
    <row r="154">
      <c r="A154" s="3" t="inlineStr">
        <is>
          <t>1003603</t>
        </is>
      </c>
      <c r="B154" s="3" t="inlineStr">
        <is>
          <t>10036</t>
        </is>
      </c>
      <c r="C154" s="10" t="n">
        <v>45664.30180555556</v>
      </c>
      <c r="D154" s="10" t="n">
        <v>45664.30401620371</v>
      </c>
      <c r="E154" s="10" t="n">
        <v>45664.32607638889</v>
      </c>
      <c r="F154" s="10" t="n">
        <v>45664.32738425926</v>
      </c>
      <c r="G154" s="3" t="inlineStr">
        <is>
          <t>OBT070125080206-Other sidings north</t>
        </is>
      </c>
      <c r="H154" s="10" t="n">
        <v>45664.33479166667</v>
      </c>
      <c r="I154" s="10" t="n">
        <v>45664.40400462963</v>
      </c>
      <c r="J154" s="10" t="n">
        <v>45664.4050462963</v>
      </c>
      <c r="K154" s="11">
        <f>IF(AND(ISNUMBER(D154),ISNUMBER(E154)),(E154-D154),"")</f>
        <v/>
      </c>
      <c r="L154" s="11">
        <f>IF(AND(ISNUMBER(F154),ISNUMBER(I154)),(I154-F154),"")</f>
        <v/>
      </c>
    </row>
    <row r="155">
      <c r="A155" s="3" t="inlineStr">
        <is>
          <t>1003604</t>
        </is>
      </c>
      <c r="B155" s="3" t="inlineStr">
        <is>
          <t>10036</t>
        </is>
      </c>
      <c r="C155" s="10" t="n">
        <v>45664.30180555556</v>
      </c>
      <c r="D155" s="10" t="n">
        <v>45664.30401620371</v>
      </c>
      <c r="E155" s="10" t="n">
        <v>45664.32738425926</v>
      </c>
      <c r="F155" s="10" t="n">
        <v>45664.32884259259</v>
      </c>
      <c r="G155" s="3" t="inlineStr">
        <is>
          <t>OBT070125080206-Other sidings north</t>
        </is>
      </c>
      <c r="H155" s="10" t="n">
        <v>45664.33479166667</v>
      </c>
      <c r="I155" s="10" t="n">
        <v>45664.40400462963</v>
      </c>
      <c r="J155" s="10" t="n">
        <v>45664.4050462963</v>
      </c>
      <c r="K155" s="11">
        <f>IF(AND(ISNUMBER(D155),ISNUMBER(E155)),(E155-D155),"")</f>
        <v/>
      </c>
      <c r="L155" s="11">
        <f>IF(AND(ISNUMBER(F155),ISNUMBER(I155)),(I155-F155),"")</f>
        <v/>
      </c>
    </row>
    <row r="156">
      <c r="A156" s="3" t="inlineStr">
        <is>
          <t>1003605</t>
        </is>
      </c>
      <c r="B156" s="3" t="inlineStr">
        <is>
          <t>10036</t>
        </is>
      </c>
      <c r="C156" s="10" t="n">
        <v>45664.30180555556</v>
      </c>
      <c r="D156" s="10" t="n">
        <v>45664.30401620371</v>
      </c>
      <c r="E156" s="10" t="n">
        <v>45664.32884259259</v>
      </c>
      <c r="F156" s="10" t="n">
        <v>45664.33017361111</v>
      </c>
      <c r="G156" s="3" t="inlineStr">
        <is>
          <t>OBT070125155207-Pitten (Hamburger)</t>
        </is>
      </c>
      <c r="H156" s="10" t="n">
        <v>45664.66119212963</v>
      </c>
      <c r="I156" s="10" t="n">
        <v>45664.7046412037</v>
      </c>
      <c r="J156" s="10" t="n">
        <v>45664.70534722223</v>
      </c>
      <c r="K156" s="11">
        <f>IF(AND(ISNUMBER(D156),ISNUMBER(E156)),(E156-D156),"")</f>
        <v/>
      </c>
      <c r="L156" s="11">
        <f>IF(AND(ISNUMBER(F156),ISNUMBER(I156)),(I156-F156),"")</f>
        <v/>
      </c>
    </row>
    <row r="157">
      <c r="A157" s="3" t="inlineStr">
        <is>
          <t>1003606</t>
        </is>
      </c>
      <c r="B157" s="3" t="inlineStr">
        <is>
          <t>10036</t>
        </is>
      </c>
      <c r="C157" s="10" t="n">
        <v>45664.30180555556</v>
      </c>
      <c r="D157" s="10" t="n">
        <v>45664.30401620371</v>
      </c>
      <c r="E157" s="10" t="n">
        <v>45664.33017361111</v>
      </c>
      <c r="F157" s="10" t="n">
        <v>45664.33133101852</v>
      </c>
      <c r="G157" s="3" t="inlineStr">
        <is>
          <t>OBT070125084304-Wien Kledering</t>
        </is>
      </c>
      <c r="H157" s="10" t="n">
        <v>45664.36324074074</v>
      </c>
      <c r="I157" s="10" t="n">
        <v>45664.42137731481</v>
      </c>
      <c r="J157" s="10" t="n">
        <v>45664.42248842592</v>
      </c>
      <c r="K157" s="11">
        <f>IF(AND(ISNUMBER(D157),ISNUMBER(E157)),(E157-D157),"")</f>
        <v/>
      </c>
      <c r="L157" s="11">
        <f>IF(AND(ISNUMBER(F157),ISNUMBER(I157)),(I157-F157),"")</f>
        <v/>
      </c>
    </row>
    <row r="158">
      <c r="A158" s="3" t="inlineStr">
        <is>
          <t>1003607</t>
        </is>
      </c>
      <c r="B158" s="3" t="inlineStr">
        <is>
          <t>10036</t>
        </is>
      </c>
      <c r="C158" s="10" t="n">
        <v>45664.30180555556</v>
      </c>
      <c r="D158" s="10" t="n">
        <v>45664.30401620371</v>
      </c>
      <c r="E158" s="10" t="n">
        <v>45664.33133101852</v>
      </c>
      <c r="F158" s="10" t="n">
        <v>45664.33313657407</v>
      </c>
      <c r="G158" s="3" t="inlineStr">
        <is>
          <t>OBT080125032215-Other sidings south</t>
        </is>
      </c>
      <c r="H158" s="10" t="n">
        <v>45665.14045138889</v>
      </c>
      <c r="I158" s="10" t="n">
        <v>45665.17990740741</v>
      </c>
      <c r="J158" s="10" t="n">
        <v>45665.18077546296</v>
      </c>
      <c r="K158" s="11">
        <f>IF(AND(ISNUMBER(D158),ISNUMBER(E158)),(E158-D158),"")</f>
        <v/>
      </c>
      <c r="L158" s="11">
        <f>IF(AND(ISNUMBER(F158),ISNUMBER(I158)),(I158-F158),"")</f>
        <v/>
      </c>
    </row>
    <row r="159">
      <c r="A159" s="3" t="inlineStr">
        <is>
          <t>1003901</t>
        </is>
      </c>
      <c r="B159" s="3" t="inlineStr">
        <is>
          <t>10039</t>
        </is>
      </c>
      <c r="C159" s="10" t="n">
        <v>45664.34462962963</v>
      </c>
      <c r="D159" s="10" t="n">
        <v>45664.34712962963</v>
      </c>
      <c r="E159" s="10" t="n">
        <v>45664.35524305556</v>
      </c>
      <c r="F159" s="10" t="n">
        <v>45664.35701388889</v>
      </c>
      <c r="G159" s="3" t="inlineStr">
        <is>
          <t>OBT070125084304-Wien Kledering</t>
        </is>
      </c>
      <c r="H159" s="10" t="n">
        <v>45664.36324074074</v>
      </c>
      <c r="I159" s="10" t="n">
        <v>45664.42137731481</v>
      </c>
      <c r="J159" s="10" t="n">
        <v>45664.42248842592</v>
      </c>
      <c r="K159" s="11">
        <f>IF(AND(ISNUMBER(D159),ISNUMBER(E159)),(E159-D159),"")</f>
        <v/>
      </c>
      <c r="L159" s="11">
        <f>IF(AND(ISNUMBER(F159),ISNUMBER(I159)),(I159-F159),"")</f>
        <v/>
      </c>
    </row>
    <row r="160">
      <c r="A160" s="3" t="inlineStr">
        <is>
          <t>1003902</t>
        </is>
      </c>
      <c r="B160" s="3" t="inlineStr">
        <is>
          <t>10039</t>
        </is>
      </c>
      <c r="C160" s="10" t="n">
        <v>45664.34462962963</v>
      </c>
      <c r="D160" s="10" t="n">
        <v>45664.34712962963</v>
      </c>
      <c r="E160" s="10" t="n">
        <v>45664.35701388889</v>
      </c>
      <c r="F160" s="10" t="n">
        <v>45664.35927083333</v>
      </c>
      <c r="G160" s="3" t="inlineStr">
        <is>
          <t>OBT070125084545-St. Veit an der Glan</t>
        </is>
      </c>
      <c r="H160" s="10" t="n">
        <v>45664.36510416667</v>
      </c>
      <c r="I160" s="10" t="n">
        <v>45664.43702546296</v>
      </c>
      <c r="J160" s="10" t="n">
        <v>45664.43795138889</v>
      </c>
      <c r="K160" s="11">
        <f>IF(AND(ISNUMBER(D160),ISNUMBER(E160)),(E160-D160),"")</f>
        <v/>
      </c>
      <c r="L160" s="11">
        <f>IF(AND(ISNUMBER(F160),ISNUMBER(I160)),(I160-F160),"")</f>
        <v/>
      </c>
    </row>
    <row r="161">
      <c r="A161" s="3" t="inlineStr">
        <is>
          <t>1004001</t>
        </is>
      </c>
      <c r="B161" s="3" t="inlineStr">
        <is>
          <t>10040</t>
        </is>
      </c>
      <c r="C161" s="10" t="n">
        <v>45664.35887731481</v>
      </c>
      <c r="D161" s="10" t="n">
        <v>45664.36071759259</v>
      </c>
      <c r="E161" s="10" t="n">
        <v>45664.37334490741</v>
      </c>
      <c r="F161" s="10" t="n">
        <v>45664.37475694445</v>
      </c>
      <c r="G161" s="3" t="inlineStr">
        <is>
          <t>OBT080125041024-Neudörfl (FunderMax)</t>
        </is>
      </c>
      <c r="H161" s="10" t="n">
        <v>45665.17388888889</v>
      </c>
      <c r="I161" s="10" t="n">
        <v>45665.27763888889</v>
      </c>
      <c r="J161" s="10" t="n">
        <v>45665.27949074074</v>
      </c>
      <c r="K161" s="11">
        <f>IF(AND(ISNUMBER(D161),ISNUMBER(E161)),(E161-D161),"")</f>
        <v/>
      </c>
      <c r="L161" s="11">
        <f>IF(AND(ISNUMBER(F161),ISNUMBER(I161)),(I161-F161),"")</f>
        <v/>
      </c>
    </row>
    <row r="162">
      <c r="A162" s="3" t="inlineStr">
        <is>
          <t>1004002</t>
        </is>
      </c>
      <c r="B162" s="3" t="inlineStr">
        <is>
          <t>10040</t>
        </is>
      </c>
      <c r="C162" s="10" t="n">
        <v>45664.35887731481</v>
      </c>
      <c r="D162" s="10" t="n">
        <v>45664.36071759259</v>
      </c>
      <c r="E162" s="10" t="n">
        <v>45664.37475694445</v>
      </c>
      <c r="F162" s="10" t="n">
        <v>45664.37600694445</v>
      </c>
      <c r="G162" s="3" t="inlineStr">
        <is>
          <t>OBT070125155207-Pitten (Hamburger)</t>
        </is>
      </c>
      <c r="H162" s="10" t="n">
        <v>45664.66119212963</v>
      </c>
      <c r="I162" s="10" t="n">
        <v>45664.7046412037</v>
      </c>
      <c r="J162" s="10" t="n">
        <v>45664.70534722223</v>
      </c>
      <c r="K162" s="11">
        <f>IF(AND(ISNUMBER(D162),ISNUMBER(E162)),(E162-D162),"")</f>
        <v/>
      </c>
      <c r="L162" s="11">
        <f>IF(AND(ISNUMBER(F162),ISNUMBER(I162)),(I162-F162),"")</f>
        <v/>
      </c>
    </row>
    <row r="163">
      <c r="A163" s="3" t="inlineStr">
        <is>
          <t>1004003</t>
        </is>
      </c>
      <c r="B163" s="3" t="inlineStr">
        <is>
          <t>10040</t>
        </is>
      </c>
      <c r="C163" s="10" t="n">
        <v>45664.35887731481</v>
      </c>
      <c r="D163" s="10" t="n">
        <v>45664.36071759259</v>
      </c>
      <c r="E163" s="10" t="n">
        <v>45664.37600694445</v>
      </c>
      <c r="F163" s="10" t="n">
        <v>45664.37724537037</v>
      </c>
      <c r="G163" s="3" t="inlineStr">
        <is>
          <t>OBT070125105541-Wien Kledering</t>
        </is>
      </c>
      <c r="H163" s="10" t="n">
        <v>45664.45533564815</v>
      </c>
      <c r="I163" s="10" t="n">
        <v>45664.50702546296</v>
      </c>
      <c r="J163" s="10" t="n">
        <v>45664.50817129629</v>
      </c>
      <c r="K163" s="11">
        <f>IF(AND(ISNUMBER(D163),ISNUMBER(E163)),(E163-D163),"")</f>
        <v/>
      </c>
      <c r="L163" s="11">
        <f>IF(AND(ISNUMBER(F163),ISNUMBER(I163)),(I163-F163),"")</f>
        <v/>
      </c>
    </row>
    <row r="164">
      <c r="A164" s="3" t="inlineStr">
        <is>
          <t>1004004</t>
        </is>
      </c>
      <c r="B164" s="3" t="inlineStr">
        <is>
          <t>10040</t>
        </is>
      </c>
      <c r="C164" s="10" t="n">
        <v>45664.35887731481</v>
      </c>
      <c r="D164" s="10" t="n">
        <v>45664.36071759259</v>
      </c>
      <c r="E164" s="10" t="n">
        <v>45664.37724537037</v>
      </c>
      <c r="F164" s="10" t="n">
        <v>45664.3789699074</v>
      </c>
      <c r="G164" s="3" t="inlineStr">
        <is>
          <t>OBT080125032215-Other sidings south</t>
        </is>
      </c>
      <c r="H164" s="10" t="n">
        <v>45665.14045138889</v>
      </c>
      <c r="I164" s="10" t="n">
        <v>45665.17990740741</v>
      </c>
      <c r="J164" s="10" t="n">
        <v>45665.18077546296</v>
      </c>
      <c r="K164" s="11">
        <f>IF(AND(ISNUMBER(D164),ISNUMBER(E164)),(E164-D164),"")</f>
        <v/>
      </c>
      <c r="L164" s="11">
        <f>IF(AND(ISNUMBER(F164),ISNUMBER(I164)),(I164-F164),"")</f>
        <v/>
      </c>
    </row>
    <row r="165">
      <c r="A165" s="3" t="inlineStr">
        <is>
          <t>1004005</t>
        </is>
      </c>
      <c r="B165" s="3" t="inlineStr">
        <is>
          <t>10040</t>
        </is>
      </c>
      <c r="C165" s="10" t="n">
        <v>45664.35887731481</v>
      </c>
      <c r="D165" s="10" t="n">
        <v>45664.36071759259</v>
      </c>
      <c r="E165" s="10" t="n">
        <v>45664.3789699074</v>
      </c>
      <c r="F165" s="10" t="n">
        <v>45664.38068287037</v>
      </c>
      <c r="G165" s="3" t="inlineStr">
        <is>
          <t>OBT070125180657-Wr. Neustadt Ausfahrbf (Furtenbach)</t>
        </is>
      </c>
      <c r="H165" s="10" t="n">
        <v>45664.75482638889</v>
      </c>
      <c r="I165" s="10" t="n">
        <v>45664.77986111111</v>
      </c>
      <c r="J165" s="10" t="n">
        <v>45664.78077546296</v>
      </c>
      <c r="K165" s="11">
        <f>IF(AND(ISNUMBER(D165),ISNUMBER(E165)),(E165-D165),"")</f>
        <v/>
      </c>
      <c r="L165" s="11">
        <f>IF(AND(ISNUMBER(F165),ISNUMBER(I165)),(I165-F165),"")</f>
        <v/>
      </c>
    </row>
    <row r="166">
      <c r="A166" s="3" t="inlineStr">
        <is>
          <t>1004006</t>
        </is>
      </c>
      <c r="B166" s="3" t="inlineStr">
        <is>
          <t>10040</t>
        </is>
      </c>
      <c r="C166" s="10" t="n">
        <v>45664.35887731481</v>
      </c>
      <c r="D166" s="10" t="n">
        <v>45664.36071759259</v>
      </c>
      <c r="E166" s="10" t="n">
        <v>45664.38068287037</v>
      </c>
      <c r="F166" s="10" t="n">
        <v>45664.38199074074</v>
      </c>
      <c r="G166" s="3" t="inlineStr">
        <is>
          <t>OBT070125154601-Other sidings north</t>
        </is>
      </c>
      <c r="H166" s="10" t="n">
        <v>45664.65695601852</v>
      </c>
      <c r="I166" s="10" t="n">
        <v>45664.68622685185</v>
      </c>
      <c r="J166" s="10" t="n">
        <v>45664.68701388889</v>
      </c>
      <c r="K166" s="11">
        <f>IF(AND(ISNUMBER(D166),ISNUMBER(E166)),(E166-D166),"")</f>
        <v/>
      </c>
      <c r="L166" s="11">
        <f>IF(AND(ISNUMBER(F166),ISNUMBER(I166)),(I166-F166),"")</f>
        <v/>
      </c>
    </row>
    <row r="167">
      <c r="A167" s="3" t="inlineStr">
        <is>
          <t>1004007</t>
        </is>
      </c>
      <c r="B167" s="3" t="inlineStr">
        <is>
          <t>10040</t>
        </is>
      </c>
      <c r="C167" s="10" t="n">
        <v>45664.35887731481</v>
      </c>
      <c r="D167" s="10" t="n">
        <v>45664.36071759259</v>
      </c>
      <c r="E167" s="10" t="n">
        <v>45664.38199074074</v>
      </c>
      <c r="F167" s="10" t="n">
        <v>45664.38402777778</v>
      </c>
      <c r="G167" s="3" t="inlineStr">
        <is>
          <t>OBT070125154136-Wr. Neustadt (Hödlmayr)</t>
        </is>
      </c>
      <c r="H167" s="10" t="n">
        <v>45664.65388888889</v>
      </c>
      <c r="I167" s="10" t="n">
        <v>45664.68219907407</v>
      </c>
      <c r="J167" s="10" t="n">
        <v>45664.68289351852</v>
      </c>
      <c r="K167" s="11">
        <f>IF(AND(ISNUMBER(D167),ISNUMBER(E167)),(E167-D167),"")</f>
        <v/>
      </c>
      <c r="L167" s="11">
        <f>IF(AND(ISNUMBER(F167),ISNUMBER(I167)),(I167-F167),"")</f>
        <v/>
      </c>
    </row>
    <row r="168">
      <c r="A168" s="3" t="inlineStr">
        <is>
          <t>1004008</t>
        </is>
      </c>
      <c r="B168" s="3" t="inlineStr">
        <is>
          <t>10040</t>
        </is>
      </c>
      <c r="C168" s="10" t="n">
        <v>45664.35887731481</v>
      </c>
      <c r="D168" s="10" t="n">
        <v>45664.36071759259</v>
      </c>
      <c r="E168" s="10" t="n">
        <v>45664.38402777778</v>
      </c>
      <c r="F168" s="10" t="n">
        <v>45664.38528935185</v>
      </c>
      <c r="G168" s="3" t="inlineStr">
        <is>
          <t>OBT070125155207-Pitten (Hamburger)</t>
        </is>
      </c>
      <c r="H168" s="10" t="n">
        <v>45664.66119212963</v>
      </c>
      <c r="I168" s="10" t="n">
        <v>45664.7046412037</v>
      </c>
      <c r="J168" s="10" t="n">
        <v>45664.70534722223</v>
      </c>
      <c r="K168" s="11">
        <f>IF(AND(ISNUMBER(D168),ISNUMBER(E168)),(E168-D168),"")</f>
        <v/>
      </c>
      <c r="L168" s="11">
        <f>IF(AND(ISNUMBER(F168),ISNUMBER(I168)),(I168-F168),"")</f>
        <v/>
      </c>
    </row>
    <row r="169">
      <c r="A169" s="3" t="inlineStr">
        <is>
          <t>1004101</t>
        </is>
      </c>
      <c r="B169" s="3" t="inlineStr">
        <is>
          <t>10041</t>
        </is>
      </c>
      <c r="C169" s="10" t="n">
        <v>45664.43878472222</v>
      </c>
      <c r="D169" s="10" t="n">
        <v>45664.44141203703</v>
      </c>
      <c r="E169" s="10" t="n">
        <v>45664.45114583334</v>
      </c>
      <c r="F169" s="10" t="n">
        <v>45664.45293981482</v>
      </c>
      <c r="G169" s="3" t="inlineStr">
        <is>
          <t>OBT070125105541-Wien Kledering</t>
        </is>
      </c>
      <c r="H169" s="10" t="n">
        <v>45664.45533564815</v>
      </c>
      <c r="I169" s="10" t="n">
        <v>45664.50702546296</v>
      </c>
      <c r="J169" s="10" t="n">
        <v>45664.50817129629</v>
      </c>
      <c r="K169" s="11">
        <f>IF(AND(ISNUMBER(D169),ISNUMBER(E169)),(E169-D169),"")</f>
        <v/>
      </c>
      <c r="L169" s="11">
        <f>IF(AND(ISNUMBER(F169),ISNUMBER(I169)),(I169-F169),"")</f>
        <v/>
      </c>
    </row>
    <row r="170">
      <c r="A170" s="3" t="inlineStr">
        <is>
          <t>1004102</t>
        </is>
      </c>
      <c r="B170" s="3" t="inlineStr">
        <is>
          <t>10041</t>
        </is>
      </c>
      <c r="C170" s="10" t="n">
        <v>45664.43878472222</v>
      </c>
      <c r="D170" s="10" t="n">
        <v>45664.44141203703</v>
      </c>
      <c r="E170" s="10" t="n">
        <v>45664.45293981482</v>
      </c>
      <c r="F170" s="10" t="n">
        <v>45664.45501157407</v>
      </c>
      <c r="G170" s="3" t="inlineStr">
        <is>
          <t>OBT070125162217-St. Veit an der Glan</t>
        </is>
      </c>
      <c r="H170" s="10" t="n">
        <v>45664.6821412037</v>
      </c>
      <c r="I170" s="10" t="n">
        <v>45664.70540509259</v>
      </c>
      <c r="J170" s="10" t="n">
        <v>45664.7060300926</v>
      </c>
      <c r="K170" s="11">
        <f>IF(AND(ISNUMBER(D170),ISNUMBER(E170)),(E170-D170),"")</f>
        <v/>
      </c>
      <c r="L170" s="11">
        <f>IF(AND(ISNUMBER(F170),ISNUMBER(I170)),(I170-F170),"")</f>
        <v/>
      </c>
    </row>
    <row r="171">
      <c r="A171" s="3" t="inlineStr">
        <is>
          <t>1004103</t>
        </is>
      </c>
      <c r="B171" s="3" t="inlineStr">
        <is>
          <t>10041</t>
        </is>
      </c>
      <c r="C171" s="10" t="n">
        <v>45664.43878472222</v>
      </c>
      <c r="D171" s="10" t="n">
        <v>45664.44141203703</v>
      </c>
      <c r="E171" s="10" t="n">
        <v>45664.45501157407</v>
      </c>
      <c r="F171" s="10" t="n">
        <v>45664.45717592593</v>
      </c>
      <c r="G171" s="3" t="inlineStr">
        <is>
          <t>OBT070125131825-Wien Kledering</t>
        </is>
      </c>
      <c r="H171" s="10" t="n">
        <v>45664.55445601852</v>
      </c>
      <c r="I171" s="10" t="n">
        <v>45664.60120370371</v>
      </c>
      <c r="J171" s="10" t="n">
        <v>45664.60231481482</v>
      </c>
      <c r="K171" s="11">
        <f>IF(AND(ISNUMBER(D171),ISNUMBER(E171)),(E171-D171),"")</f>
        <v/>
      </c>
      <c r="L171" s="11">
        <f>IF(AND(ISNUMBER(F171),ISNUMBER(I171)),(I171-F171),"")</f>
        <v/>
      </c>
    </row>
    <row r="172">
      <c r="A172" s="3" t="inlineStr">
        <is>
          <t>1004201</t>
        </is>
      </c>
      <c r="B172" s="3" t="inlineStr">
        <is>
          <t>10042</t>
        </is>
      </c>
      <c r="C172" s="10" t="n">
        <v>45664.54135416666</v>
      </c>
      <c r="D172" s="10" t="n">
        <v>45664.5433912037</v>
      </c>
      <c r="E172" s="10" t="n">
        <v>45664.54844907407</v>
      </c>
      <c r="F172" s="10" t="n">
        <v>45664.55087962963</v>
      </c>
      <c r="G172" s="3" t="inlineStr">
        <is>
          <t>OBT070125131825-Wien Kledering</t>
        </is>
      </c>
      <c r="H172" s="10" t="n">
        <v>45664.55445601852</v>
      </c>
      <c r="I172" s="10" t="n">
        <v>45664.60120370371</v>
      </c>
      <c r="J172" s="10" t="n">
        <v>45664.60231481482</v>
      </c>
      <c r="K172" s="11">
        <f>IF(AND(ISNUMBER(D172),ISNUMBER(E172)),(E172-D172),"")</f>
        <v/>
      </c>
      <c r="L172" s="11">
        <f>IF(AND(ISNUMBER(F172),ISNUMBER(I172)),(I172-F172),"")</f>
        <v/>
      </c>
    </row>
    <row r="173">
      <c r="A173" s="3" t="inlineStr">
        <is>
          <t>1004301</t>
        </is>
      </c>
      <c r="B173" s="3" t="inlineStr">
        <is>
          <t>10043</t>
        </is>
      </c>
      <c r="C173" s="10" t="n">
        <v>45664.59305555555</v>
      </c>
      <c r="D173" s="10" t="n">
        <v>45664.59556712963</v>
      </c>
      <c r="E173" s="10" t="n">
        <v>45664.60255787037</v>
      </c>
      <c r="F173" s="10" t="n">
        <v>45664.60460648148</v>
      </c>
      <c r="G173" s="3" t="inlineStr">
        <is>
          <t>OBT070125143346-Wien Kledering</t>
        </is>
      </c>
      <c r="H173" s="10" t="n">
        <v>45664.60678240741</v>
      </c>
      <c r="I173" s="10" t="n">
        <v>45664.67672453704</v>
      </c>
      <c r="J173" s="10" t="n">
        <v>45664.67811342593</v>
      </c>
      <c r="K173" s="11">
        <f>IF(AND(ISNUMBER(D173),ISNUMBER(E173)),(E173-D173),"")</f>
        <v/>
      </c>
      <c r="L173" s="11">
        <f>IF(AND(ISNUMBER(F173),ISNUMBER(I173)),(I173-F173),"")</f>
        <v/>
      </c>
    </row>
    <row r="174">
      <c r="A174" s="3" t="inlineStr">
        <is>
          <t>1004401</t>
        </is>
      </c>
      <c r="B174" s="3" t="inlineStr">
        <is>
          <t>10044</t>
        </is>
      </c>
      <c r="C174" s="10" t="n">
        <v>45664.62402777778</v>
      </c>
      <c r="D174" s="10" t="n">
        <v>45664.62636574074</v>
      </c>
      <c r="E174" s="10" t="n">
        <v>45664.6433912037</v>
      </c>
      <c r="F174" s="10" t="n">
        <v>45664.64542824074</v>
      </c>
      <c r="G174" s="3" t="inlineStr">
        <is>
          <t>OBT080125031718-Other sidings local</t>
        </is>
      </c>
      <c r="H174" s="10" t="n">
        <v>45665.13701388889</v>
      </c>
      <c r="I174" s="10" t="n">
        <v>45665.15869212963</v>
      </c>
      <c r="J174" s="10" t="n">
        <v>45665.1594675926</v>
      </c>
      <c r="K174" s="11">
        <f>IF(AND(ISNUMBER(D174),ISNUMBER(E174)),(E174-D174),"")</f>
        <v/>
      </c>
      <c r="L174" s="11">
        <f>IF(AND(ISNUMBER(F174),ISNUMBER(I174)),(I174-F174),"")</f>
        <v/>
      </c>
    </row>
    <row r="175">
      <c r="A175" s="3" t="inlineStr">
        <is>
          <t>1004402</t>
        </is>
      </c>
      <c r="B175" s="3" t="inlineStr">
        <is>
          <t>10044</t>
        </is>
      </c>
      <c r="C175" s="10" t="n">
        <v>45664.62402777778</v>
      </c>
      <c r="D175" s="10" t="n">
        <v>45664.62636574074</v>
      </c>
      <c r="E175" s="10" t="n">
        <v>45664.64542824074</v>
      </c>
      <c r="F175" s="10" t="n">
        <v>45664.64715277778</v>
      </c>
      <c r="G175" s="3" t="inlineStr">
        <is>
          <t>OBT090125184210-Steinabrückl/Wöllersdorf</t>
        </is>
      </c>
      <c r="H175" s="10" t="n">
        <v>45666.77928240741</v>
      </c>
      <c r="I175" s="10" t="n">
        <v>45666.81667824074</v>
      </c>
      <c r="J175" s="10" t="n">
        <v>45666.8174537037</v>
      </c>
      <c r="K175" s="11">
        <f>IF(AND(ISNUMBER(D175),ISNUMBER(E175)),(E175-D175),"")</f>
        <v/>
      </c>
      <c r="L175" s="11">
        <f>IF(AND(ISNUMBER(F175),ISNUMBER(I175)),(I175-F175),"")</f>
        <v/>
      </c>
    </row>
    <row r="176">
      <c r="A176" s="3" t="inlineStr">
        <is>
          <t>1004403</t>
        </is>
      </c>
      <c r="B176" s="3" t="inlineStr">
        <is>
          <t>10044</t>
        </is>
      </c>
      <c r="C176" s="10" t="n">
        <v>45664.62402777778</v>
      </c>
      <c r="D176" s="10" t="n">
        <v>45664.62636574074</v>
      </c>
      <c r="E176" s="10" t="n">
        <v>45664.64715277778</v>
      </c>
      <c r="F176" s="10" t="n">
        <v>45664.64832175926</v>
      </c>
      <c r="G176" s="3" t="inlineStr">
        <is>
          <t>OBT080125081724-Other sidings north</t>
        </is>
      </c>
      <c r="H176" s="10" t="n">
        <v>45665.34541666666</v>
      </c>
      <c r="I176" s="10" t="n">
        <v>45665.36886574074</v>
      </c>
      <c r="J176" s="10" t="n">
        <v>45665.36962962963</v>
      </c>
      <c r="K176" s="11">
        <f>IF(AND(ISNUMBER(D176),ISNUMBER(E176)),(E176-D176),"")</f>
        <v/>
      </c>
      <c r="L176" s="11">
        <f>IF(AND(ISNUMBER(F176),ISNUMBER(I176)),(I176-F176),"")</f>
        <v/>
      </c>
    </row>
    <row r="177">
      <c r="A177" s="3" t="inlineStr">
        <is>
          <t>1004404</t>
        </is>
      </c>
      <c r="B177" s="3" t="inlineStr">
        <is>
          <t>10044</t>
        </is>
      </c>
      <c r="C177" s="10" t="n">
        <v>45664.62402777778</v>
      </c>
      <c r="D177" s="10" t="n">
        <v>45664.62636574074</v>
      </c>
      <c r="E177" s="10" t="n">
        <v>45664.64832175926</v>
      </c>
      <c r="F177" s="10" t="n">
        <v>45664.6503125</v>
      </c>
      <c r="G177" s="3" t="inlineStr">
        <is>
          <t>OBT070125154136-Wr. Neustadt (Hödlmayr)</t>
        </is>
      </c>
      <c r="H177" s="10" t="n">
        <v>45664.65388888889</v>
      </c>
      <c r="I177" s="10" t="n">
        <v>45664.68219907407</v>
      </c>
      <c r="J177" s="10" t="n">
        <v>45664.68289351852</v>
      </c>
      <c r="K177" s="11">
        <f>IF(AND(ISNUMBER(D177),ISNUMBER(E177)),(E177-D177),"")</f>
        <v/>
      </c>
      <c r="L177" s="11">
        <f>IF(AND(ISNUMBER(F177),ISNUMBER(I177)),(I177-F177),"")</f>
        <v/>
      </c>
    </row>
    <row r="178">
      <c r="A178" s="3" t="inlineStr">
        <is>
          <t>1004405</t>
        </is>
      </c>
      <c r="B178" s="3" t="inlineStr">
        <is>
          <t>10044</t>
        </is>
      </c>
      <c r="C178" s="10" t="n">
        <v>45664.62402777778</v>
      </c>
      <c r="D178" s="10" t="n">
        <v>45664.62636574074</v>
      </c>
      <c r="E178" s="10" t="n">
        <v>45664.6503125</v>
      </c>
      <c r="F178" s="10" t="n">
        <v>45664.6516087963</v>
      </c>
      <c r="G178" s="3" t="inlineStr">
        <is>
          <t>OBT070125155207-Pitten (Hamburger)</t>
        </is>
      </c>
      <c r="H178" s="10" t="n">
        <v>45664.66119212963</v>
      </c>
      <c r="I178" s="10" t="n">
        <v>45664.7046412037</v>
      </c>
      <c r="J178" s="10" t="n">
        <v>45664.70534722223</v>
      </c>
      <c r="K178" s="11">
        <f>IF(AND(ISNUMBER(D178),ISNUMBER(E178)),(E178-D178),"")</f>
        <v/>
      </c>
      <c r="L178" s="11">
        <f>IF(AND(ISNUMBER(F178),ISNUMBER(I178)),(I178-F178),"")</f>
        <v/>
      </c>
    </row>
    <row r="179">
      <c r="A179" s="3" t="inlineStr">
        <is>
          <t>1004406</t>
        </is>
      </c>
      <c r="B179" s="3" t="inlineStr">
        <is>
          <t>10044</t>
        </is>
      </c>
      <c r="C179" s="10" t="n">
        <v>45664.62402777778</v>
      </c>
      <c r="D179" s="10" t="n">
        <v>45664.62636574074</v>
      </c>
      <c r="E179" s="10" t="n">
        <v>45664.6516087963</v>
      </c>
      <c r="F179" s="10" t="n">
        <v>45664.65310185185</v>
      </c>
      <c r="G179" s="3" t="inlineStr">
        <is>
          <t>OBT090125074546-Wr. Neustadt (Brenntag)</t>
        </is>
      </c>
      <c r="H179" s="10" t="n">
        <v>45666.32344907407</v>
      </c>
      <c r="I179" s="10" t="n">
        <v>45666.39607638889</v>
      </c>
      <c r="J179" s="10" t="n">
        <v>45666.39756944445</v>
      </c>
      <c r="K179" s="11">
        <f>IF(AND(ISNUMBER(D179),ISNUMBER(E179)),(E179-D179),"")</f>
        <v/>
      </c>
      <c r="L179" s="11">
        <f>IF(AND(ISNUMBER(F179),ISNUMBER(I179)),(I179-F179),"")</f>
        <v/>
      </c>
    </row>
    <row r="180">
      <c r="A180" s="3" t="inlineStr">
        <is>
          <t>1004407</t>
        </is>
      </c>
      <c r="B180" s="3" t="inlineStr">
        <is>
          <t>10044</t>
        </is>
      </c>
      <c r="C180" s="10" t="n">
        <v>45664.62402777778</v>
      </c>
      <c r="D180" s="10" t="n">
        <v>45664.62636574074</v>
      </c>
      <c r="E180" s="10" t="n">
        <v>45664.65310185185</v>
      </c>
      <c r="F180" s="10" t="n">
        <v>45664.65458333334</v>
      </c>
      <c r="G180" s="3" t="inlineStr">
        <is>
          <t>OBT070125154601-Other sidings north</t>
        </is>
      </c>
      <c r="H180" s="10" t="n">
        <v>45664.65695601852</v>
      </c>
      <c r="I180" s="10" t="n">
        <v>45664.68622685185</v>
      </c>
      <c r="J180" s="10" t="n">
        <v>45664.68701388889</v>
      </c>
      <c r="K180" s="11">
        <f>IF(AND(ISNUMBER(D180),ISNUMBER(E180)),(E180-D180),"")</f>
        <v/>
      </c>
      <c r="L180" s="11">
        <f>IF(AND(ISNUMBER(F180),ISNUMBER(I180)),(I180-F180),"")</f>
        <v/>
      </c>
    </row>
    <row r="181">
      <c r="A181" s="3" t="inlineStr">
        <is>
          <t>1004408</t>
        </is>
      </c>
      <c r="B181" s="3" t="inlineStr">
        <is>
          <t>10044</t>
        </is>
      </c>
      <c r="C181" s="10" t="n">
        <v>45664.62402777778</v>
      </c>
      <c r="D181" s="10" t="n">
        <v>45664.62636574074</v>
      </c>
      <c r="E181" s="10" t="n">
        <v>45664.65458333334</v>
      </c>
      <c r="F181" s="10" t="n">
        <v>45664.6559837963</v>
      </c>
      <c r="G181" s="3" t="inlineStr">
        <is>
          <t>OBT080125041024-Neudörfl (FunderMax)</t>
        </is>
      </c>
      <c r="H181" s="10" t="n">
        <v>45665.17388888889</v>
      </c>
      <c r="I181" s="10" t="n">
        <v>45665.27763888889</v>
      </c>
      <c r="J181" s="10" t="n">
        <v>45665.27949074074</v>
      </c>
      <c r="K181" s="11">
        <f>IF(AND(ISNUMBER(D181),ISNUMBER(E181)),(E181-D181),"")</f>
        <v/>
      </c>
      <c r="L181" s="11">
        <f>IF(AND(ISNUMBER(F181),ISNUMBER(I181)),(I181-F181),"")</f>
        <v/>
      </c>
    </row>
    <row r="182">
      <c r="A182" s="3" t="inlineStr">
        <is>
          <t>1004409</t>
        </is>
      </c>
      <c r="B182" s="3" t="inlineStr">
        <is>
          <t>10044</t>
        </is>
      </c>
      <c r="C182" s="10" t="n">
        <v>45664.62402777778</v>
      </c>
      <c r="D182" s="10" t="n">
        <v>45664.62636574074</v>
      </c>
      <c r="E182" s="10" t="n">
        <v>45664.6559837963</v>
      </c>
      <c r="F182" s="10" t="n">
        <v>45664.65726851852</v>
      </c>
      <c r="G182" s="3" t="inlineStr">
        <is>
          <t>OBT070125155207-Pitten (Hamburger)</t>
        </is>
      </c>
      <c r="H182" s="10" t="n">
        <v>45664.66119212963</v>
      </c>
      <c r="I182" s="10" t="n">
        <v>45664.7046412037</v>
      </c>
      <c r="J182" s="10" t="n">
        <v>45664.70534722223</v>
      </c>
      <c r="K182" s="11">
        <f>IF(AND(ISNUMBER(D182),ISNUMBER(E182)),(E182-D182),"")</f>
        <v/>
      </c>
      <c r="L182" s="11">
        <f>IF(AND(ISNUMBER(F182),ISNUMBER(I182)),(I182-F182),"")</f>
        <v/>
      </c>
    </row>
    <row r="183">
      <c r="A183" s="3" t="inlineStr">
        <is>
          <t>1004410</t>
        </is>
      </c>
      <c r="B183" s="3" t="inlineStr">
        <is>
          <t>10044</t>
        </is>
      </c>
      <c r="C183" s="10" t="n">
        <v>45664.62402777778</v>
      </c>
      <c r="D183" s="10" t="n">
        <v>45664.62636574074</v>
      </c>
      <c r="E183" s="10" t="n">
        <v>45664.65726851852</v>
      </c>
      <c r="F183" s="10" t="n">
        <v>45664.65902777778</v>
      </c>
      <c r="G183" s="3" t="inlineStr">
        <is>
          <t>OBT080125032215-Other sidings south</t>
        </is>
      </c>
      <c r="H183" s="10" t="n">
        <v>45665.14045138889</v>
      </c>
      <c r="I183" s="10" t="n">
        <v>45665.17990740741</v>
      </c>
      <c r="J183" s="10" t="n">
        <v>45665.18077546296</v>
      </c>
      <c r="K183" s="11">
        <f>IF(AND(ISNUMBER(D183),ISNUMBER(E183)),(E183-D183),"")</f>
        <v/>
      </c>
      <c r="L183" s="11">
        <f>IF(AND(ISNUMBER(F183),ISNUMBER(I183)),(I183-F183),"")</f>
        <v/>
      </c>
    </row>
    <row r="184">
      <c r="A184" s="3" t="inlineStr">
        <is>
          <t>1004411</t>
        </is>
      </c>
      <c r="B184" s="3" t="inlineStr">
        <is>
          <t>10044</t>
        </is>
      </c>
      <c r="C184" s="10" t="n">
        <v>45664.62402777778</v>
      </c>
      <c r="D184" s="10" t="n">
        <v>45664.62636574074</v>
      </c>
      <c r="E184" s="10" t="n">
        <v>45664.65902777778</v>
      </c>
      <c r="F184" s="10" t="n">
        <v>45664.66076388889</v>
      </c>
      <c r="G184" s="3" t="inlineStr">
        <is>
          <t>OBT070125180657-Wr. Neustadt Ausfahrbf (Furtenbach)</t>
        </is>
      </c>
      <c r="H184" s="10" t="n">
        <v>45664.75482638889</v>
      </c>
      <c r="I184" s="10" t="n">
        <v>45664.77986111111</v>
      </c>
      <c r="J184" s="10" t="n">
        <v>45664.78077546296</v>
      </c>
      <c r="K184" s="11">
        <f>IF(AND(ISNUMBER(D184),ISNUMBER(E184)),(E184-D184),"")</f>
        <v/>
      </c>
      <c r="L184" s="11">
        <f>IF(AND(ISNUMBER(F184),ISNUMBER(I184)),(I184-F184),"")</f>
        <v/>
      </c>
    </row>
    <row r="185">
      <c r="A185" s="3" t="inlineStr">
        <is>
          <t>1004501</t>
        </is>
      </c>
      <c r="B185" s="3" t="inlineStr">
        <is>
          <t>10045</t>
        </is>
      </c>
      <c r="C185" s="10" t="n">
        <v>45664.63990740741</v>
      </c>
      <c r="D185" s="10" t="n">
        <v>45664.64196759259</v>
      </c>
      <c r="E185" s="10" t="n">
        <v>45664.66163194444</v>
      </c>
      <c r="F185" s="10" t="n">
        <v>45664.66443287037</v>
      </c>
      <c r="G185" s="3" t="inlineStr">
        <is>
          <t>OBT070125160018-Wien Kledering</t>
        </is>
      </c>
      <c r="H185" s="10" t="n">
        <v>45664.666875</v>
      </c>
      <c r="I185" s="10" t="n">
        <v>45664.75224537037</v>
      </c>
      <c r="J185" s="10" t="n">
        <v>45664.7537037037</v>
      </c>
      <c r="K185" s="11">
        <f>IF(AND(ISNUMBER(D185),ISNUMBER(E185)),(E185-D185),"")</f>
        <v/>
      </c>
      <c r="L185" s="11">
        <f>IF(AND(ISNUMBER(F185),ISNUMBER(I185)),(I185-F185),"")</f>
        <v/>
      </c>
    </row>
    <row r="186">
      <c r="A186" s="3" t="inlineStr">
        <is>
          <t>1004601</t>
        </is>
      </c>
      <c r="B186" s="3" t="inlineStr">
        <is>
          <t>10046</t>
        </is>
      </c>
      <c r="C186" s="10" t="n">
        <v>45664.66711805556</v>
      </c>
      <c r="D186" s="10" t="n">
        <v>45664.66895833334</v>
      </c>
      <c r="E186" s="10" t="n">
        <v>45664.67453703703</v>
      </c>
      <c r="F186" s="10" t="n">
        <v>45664.67633101852</v>
      </c>
      <c r="G186" s="3" t="inlineStr">
        <is>
          <t>OBT070125183432-Wien Kledering</t>
        </is>
      </c>
      <c r="H186" s="10" t="n">
        <v>45664.77398148148</v>
      </c>
      <c r="I186" s="10" t="n">
        <v>45664.82879629629</v>
      </c>
      <c r="J186" s="10" t="n">
        <v>45664.83010416666</v>
      </c>
      <c r="K186" s="11">
        <f>IF(AND(ISNUMBER(D186),ISNUMBER(E186)),(E186-D186),"")</f>
        <v/>
      </c>
      <c r="L186" s="11">
        <f>IF(AND(ISNUMBER(F186),ISNUMBER(I186)),(I186-F186),"")</f>
        <v/>
      </c>
    </row>
    <row r="187">
      <c r="A187" s="3" t="inlineStr">
        <is>
          <t>1004602</t>
        </is>
      </c>
      <c r="B187" s="3" t="inlineStr">
        <is>
          <t>10046</t>
        </is>
      </c>
      <c r="C187" s="10" t="n">
        <v>45664.66711805556</v>
      </c>
      <c r="D187" s="10" t="n">
        <v>45664.66895833334</v>
      </c>
      <c r="E187" s="10" t="n">
        <v>45664.67633101852</v>
      </c>
      <c r="F187" s="10" t="n">
        <v>45664.67825231481</v>
      </c>
      <c r="G187" s="3" t="inlineStr">
        <is>
          <t>OBT070125162217-St. Veit an der Glan</t>
        </is>
      </c>
      <c r="H187" s="10" t="n">
        <v>45664.6821412037</v>
      </c>
      <c r="I187" s="10" t="n">
        <v>45664.70540509259</v>
      </c>
      <c r="J187" s="10" t="n">
        <v>45664.7060300926</v>
      </c>
      <c r="K187" s="11">
        <f>IF(AND(ISNUMBER(D187),ISNUMBER(E187)),(E187-D187),"")</f>
        <v/>
      </c>
      <c r="L187" s="11">
        <f>IF(AND(ISNUMBER(F187),ISNUMBER(I187)),(I187-F187),"")</f>
        <v/>
      </c>
    </row>
    <row r="188">
      <c r="A188" s="3" t="inlineStr">
        <is>
          <t>1004701</t>
        </is>
      </c>
      <c r="B188" s="3" t="inlineStr">
        <is>
          <t>10047</t>
        </is>
      </c>
      <c r="C188" s="10" t="n">
        <v>45664.72255787037</v>
      </c>
      <c r="D188" s="10" t="n">
        <v>45664.72512731481</v>
      </c>
      <c r="E188" s="10" t="n">
        <v>45664.74309027778</v>
      </c>
      <c r="F188" s="10" t="n">
        <v>45664.74449074074</v>
      </c>
      <c r="G188" s="3" t="inlineStr">
        <is>
          <t>OBT080125041024-Neudörfl (FunderMax)</t>
        </is>
      </c>
      <c r="H188" s="10" t="n">
        <v>45665.17388888889</v>
      </c>
      <c r="I188" s="10" t="n">
        <v>45665.27763888889</v>
      </c>
      <c r="J188" s="10" t="n">
        <v>45665.27949074074</v>
      </c>
      <c r="K188" s="11">
        <f>IF(AND(ISNUMBER(D188),ISNUMBER(E188)),(E188-D188),"")</f>
        <v/>
      </c>
      <c r="L188" s="11">
        <f>IF(AND(ISNUMBER(F188),ISNUMBER(I188)),(I188-F188),"")</f>
        <v/>
      </c>
    </row>
    <row r="189">
      <c r="A189" s="3" t="inlineStr">
        <is>
          <t>1004702</t>
        </is>
      </c>
      <c r="B189" s="3" t="inlineStr">
        <is>
          <t>10047</t>
        </is>
      </c>
      <c r="C189" s="10" t="n">
        <v>45664.72255787037</v>
      </c>
      <c r="D189" s="10" t="n">
        <v>45664.72512731481</v>
      </c>
      <c r="E189" s="10" t="n">
        <v>45664.74449074074</v>
      </c>
      <c r="F189" s="10" t="n">
        <v>45664.7465162037</v>
      </c>
      <c r="G189" s="3" t="inlineStr">
        <is>
          <t>OBT080125031718-Other sidings local</t>
        </is>
      </c>
      <c r="H189" s="10" t="n">
        <v>45665.13701388889</v>
      </c>
      <c r="I189" s="10" t="n">
        <v>45665.15869212963</v>
      </c>
      <c r="J189" s="10" t="n">
        <v>45665.1594675926</v>
      </c>
      <c r="K189" s="11">
        <f>IF(AND(ISNUMBER(D189),ISNUMBER(E189)),(E189-D189),"")</f>
        <v/>
      </c>
      <c r="L189" s="11">
        <f>IF(AND(ISNUMBER(F189),ISNUMBER(I189)),(I189-F189),"")</f>
        <v/>
      </c>
    </row>
    <row r="190">
      <c r="A190" s="3" t="inlineStr">
        <is>
          <t>1004703</t>
        </is>
      </c>
      <c r="B190" s="3" t="inlineStr">
        <is>
          <t>10047</t>
        </is>
      </c>
      <c r="C190" s="10" t="n">
        <v>45664.72255787037</v>
      </c>
      <c r="D190" s="10" t="n">
        <v>45664.72512731481</v>
      </c>
      <c r="E190" s="10" t="n">
        <v>45664.7465162037</v>
      </c>
      <c r="F190" s="10" t="n">
        <v>45664.74828703704</v>
      </c>
      <c r="G190" s="3" t="inlineStr">
        <is>
          <t>OBT080125032215-Other sidings south</t>
        </is>
      </c>
      <c r="H190" s="10" t="n">
        <v>45665.14045138889</v>
      </c>
      <c r="I190" s="10" t="n">
        <v>45665.17990740741</v>
      </c>
      <c r="J190" s="10" t="n">
        <v>45665.18077546296</v>
      </c>
      <c r="K190" s="11">
        <f>IF(AND(ISNUMBER(D190),ISNUMBER(E190)),(E190-D190),"")</f>
        <v/>
      </c>
      <c r="L190" s="11">
        <f>IF(AND(ISNUMBER(F190),ISNUMBER(I190)),(I190-F190),"")</f>
        <v/>
      </c>
    </row>
    <row r="191">
      <c r="A191" s="3" t="inlineStr">
        <is>
          <t>1004704</t>
        </is>
      </c>
      <c r="B191" s="3" t="inlineStr">
        <is>
          <t>10047</t>
        </is>
      </c>
      <c r="C191" s="10" t="n">
        <v>45664.72255787037</v>
      </c>
      <c r="D191" s="10" t="n">
        <v>45664.72512731481</v>
      </c>
      <c r="E191" s="10" t="n">
        <v>45664.74828703704</v>
      </c>
      <c r="F191" s="10" t="n">
        <v>45664.74947916667</v>
      </c>
      <c r="G191" s="3" t="inlineStr">
        <is>
          <t>OBT080125081724-Other sidings north</t>
        </is>
      </c>
      <c r="H191" s="10" t="n">
        <v>45665.34541666666</v>
      </c>
      <c r="I191" s="10" t="n">
        <v>45665.36886574074</v>
      </c>
      <c r="J191" s="10" t="n">
        <v>45665.36962962963</v>
      </c>
      <c r="K191" s="11">
        <f>IF(AND(ISNUMBER(D191),ISNUMBER(E191)),(E191-D191),"")</f>
        <v/>
      </c>
      <c r="L191" s="11">
        <f>IF(AND(ISNUMBER(F191),ISNUMBER(I191)),(I191-F191),"")</f>
        <v/>
      </c>
    </row>
    <row r="192">
      <c r="A192" s="3" t="inlineStr">
        <is>
          <t>1004705</t>
        </is>
      </c>
      <c r="B192" s="3" t="inlineStr">
        <is>
          <t>10047</t>
        </is>
      </c>
      <c r="C192" s="10" t="n">
        <v>45664.72255787037</v>
      </c>
      <c r="D192" s="10" t="n">
        <v>45664.72512731481</v>
      </c>
      <c r="E192" s="10" t="n">
        <v>45664.74947916667</v>
      </c>
      <c r="F192" s="10" t="n">
        <v>45664.75126157407</v>
      </c>
      <c r="G192" s="3" t="inlineStr">
        <is>
          <t>OBT070125180657-Wr. Neustadt Ausfahrbf (Furtenbach)</t>
        </is>
      </c>
      <c r="H192" s="10" t="n">
        <v>45664.75482638889</v>
      </c>
      <c r="I192" s="10" t="n">
        <v>45664.77986111111</v>
      </c>
      <c r="J192" s="10" t="n">
        <v>45664.78077546296</v>
      </c>
      <c r="K192" s="11">
        <f>IF(AND(ISNUMBER(D192),ISNUMBER(E192)),(E192-D192),"")</f>
        <v/>
      </c>
      <c r="L192" s="11">
        <f>IF(AND(ISNUMBER(F192),ISNUMBER(I192)),(I192-F192),"")</f>
        <v/>
      </c>
    </row>
    <row r="193">
      <c r="A193" s="3" t="inlineStr">
        <is>
          <t>1004706</t>
        </is>
      </c>
      <c r="B193" s="3" t="inlineStr">
        <is>
          <t>10047</t>
        </is>
      </c>
      <c r="C193" s="10" t="n">
        <v>45664.72255787037</v>
      </c>
      <c r="D193" s="10" t="n">
        <v>45664.72512731481</v>
      </c>
      <c r="E193" s="10" t="n">
        <v>45664.75126157407</v>
      </c>
      <c r="F193" s="10" t="n">
        <v>45664.75275462963</v>
      </c>
      <c r="G193" s="3" t="inlineStr">
        <is>
          <t>OBT070125180725-Wr. Neustadt (Hödlmayr)</t>
        </is>
      </c>
      <c r="H193" s="10" t="n">
        <v>45664.75515046297</v>
      </c>
      <c r="I193" s="10" t="n">
        <v>45664.77516203704</v>
      </c>
      <c r="J193" s="10" t="n">
        <v>45664.77583333333</v>
      </c>
      <c r="K193" s="11">
        <f>IF(AND(ISNUMBER(D193),ISNUMBER(E193)),(E193-D193),"")</f>
        <v/>
      </c>
      <c r="L193" s="11">
        <f>IF(AND(ISNUMBER(F193),ISNUMBER(I193)),(I193-F193),"")</f>
        <v/>
      </c>
    </row>
    <row r="194">
      <c r="A194" s="3" t="inlineStr">
        <is>
          <t>1004707</t>
        </is>
      </c>
      <c r="B194" s="3" t="inlineStr">
        <is>
          <t>10047</t>
        </is>
      </c>
      <c r="C194" s="10" t="n">
        <v>45664.72255787037</v>
      </c>
      <c r="D194" s="10" t="n">
        <v>45664.72512731481</v>
      </c>
      <c r="E194" s="10" t="n">
        <v>45664.75275462963</v>
      </c>
      <c r="F194" s="10" t="n">
        <v>45664.75478009259</v>
      </c>
      <c r="G194" s="3" t="inlineStr">
        <is>
          <t>OBT080125031718-Other sidings local</t>
        </is>
      </c>
      <c r="H194" s="10" t="n">
        <v>45665.13701388889</v>
      </c>
      <c r="I194" s="10" t="n">
        <v>45665.15869212963</v>
      </c>
      <c r="J194" s="10" t="n">
        <v>45665.1594675926</v>
      </c>
      <c r="K194" s="11">
        <f>IF(AND(ISNUMBER(D194),ISNUMBER(E194)),(E194-D194),"")</f>
        <v/>
      </c>
      <c r="L194" s="11">
        <f>IF(AND(ISNUMBER(F194),ISNUMBER(I194)),(I194-F194),"")</f>
        <v/>
      </c>
    </row>
    <row r="195">
      <c r="A195" s="3" t="inlineStr">
        <is>
          <t>1004708</t>
        </is>
      </c>
      <c r="B195" s="3" t="inlineStr">
        <is>
          <t>10047</t>
        </is>
      </c>
      <c r="C195" s="10" t="n">
        <v>45664.72255787037</v>
      </c>
      <c r="D195" s="10" t="n">
        <v>45664.72512731481</v>
      </c>
      <c r="E195" s="10" t="n">
        <v>45664.75478009259</v>
      </c>
      <c r="F195" s="10" t="n">
        <v>45664.75674768518</v>
      </c>
      <c r="G195" s="3" t="inlineStr">
        <is>
          <t>OBT080125031418-Pitten (Hamburger)</t>
        </is>
      </c>
      <c r="H195" s="10" t="n">
        <v>45665.13493055556</v>
      </c>
      <c r="I195" s="10" t="n">
        <v>45665.15362268518</v>
      </c>
      <c r="J195" s="10" t="n">
        <v>45665.15424768518</v>
      </c>
      <c r="K195" s="11">
        <f>IF(AND(ISNUMBER(D195),ISNUMBER(E195)),(E195-D195),"")</f>
        <v/>
      </c>
      <c r="L195" s="11">
        <f>IF(AND(ISNUMBER(F195),ISNUMBER(I195)),(I195-F195),"")</f>
        <v/>
      </c>
    </row>
    <row r="196">
      <c r="A196" s="3" t="inlineStr">
        <is>
          <t>1004709</t>
        </is>
      </c>
      <c r="B196" s="3" t="inlineStr">
        <is>
          <t>10047</t>
        </is>
      </c>
      <c r="C196" s="10" t="n">
        <v>45664.72255787037</v>
      </c>
      <c r="D196" s="10" t="n">
        <v>45664.72512731481</v>
      </c>
      <c r="E196" s="10" t="n">
        <v>45664.75674768518</v>
      </c>
      <c r="F196" s="10" t="n">
        <v>45664.75871527778</v>
      </c>
      <c r="G196" s="3" t="inlineStr">
        <is>
          <t>OBT080125153109-Felixdorf/Sollenau (Bundesheer, Maba)</t>
        </is>
      </c>
      <c r="H196" s="10" t="n">
        <v>45665.64663194444</v>
      </c>
      <c r="I196" s="10" t="n">
        <v>45665.67254629629</v>
      </c>
      <c r="J196" s="10" t="n">
        <v>45665.67341435186</v>
      </c>
      <c r="K196" s="11">
        <f>IF(AND(ISNUMBER(D196),ISNUMBER(E196)),(E196-D196),"")</f>
        <v/>
      </c>
      <c r="L196" s="11">
        <f>IF(AND(ISNUMBER(F196),ISNUMBER(I196)),(I196-F196),"")</f>
        <v/>
      </c>
    </row>
    <row r="197">
      <c r="A197" s="3" t="inlineStr">
        <is>
          <t>1004710</t>
        </is>
      </c>
      <c r="B197" s="3" t="inlineStr">
        <is>
          <t>10047</t>
        </is>
      </c>
      <c r="C197" s="10" t="n">
        <v>45664.72255787037</v>
      </c>
      <c r="D197" s="10" t="n">
        <v>45664.72512731481</v>
      </c>
      <c r="E197" s="10" t="n">
        <v>45664.75871527778</v>
      </c>
      <c r="F197" s="10" t="n">
        <v>45664.76047453703</v>
      </c>
      <c r="G197" s="3" t="inlineStr">
        <is>
          <t>OBT090125184210-Steinabrückl/Wöllersdorf</t>
        </is>
      </c>
      <c r="H197" s="10" t="n">
        <v>45666.77928240741</v>
      </c>
      <c r="I197" s="10" t="n">
        <v>45666.81667824074</v>
      </c>
      <c r="J197" s="10" t="n">
        <v>45666.8174537037</v>
      </c>
      <c r="K197" s="11">
        <f>IF(AND(ISNUMBER(D197),ISNUMBER(E197)),(E197-D197),"")</f>
        <v/>
      </c>
      <c r="L197" s="11">
        <f>IF(AND(ISNUMBER(F197),ISNUMBER(I197)),(I197-F197),"")</f>
        <v/>
      </c>
    </row>
    <row r="198">
      <c r="A198" s="3" t="inlineStr">
        <is>
          <t>1004711</t>
        </is>
      </c>
      <c r="B198" s="3" t="inlineStr">
        <is>
          <t>10047</t>
        </is>
      </c>
      <c r="C198" s="10" t="n">
        <v>45664.72255787037</v>
      </c>
      <c r="D198" s="10" t="n">
        <v>45664.72512731481</v>
      </c>
      <c r="E198" s="10" t="n">
        <v>45664.76047453703</v>
      </c>
      <c r="F198" s="10" t="n">
        <v>45664.76241898148</v>
      </c>
      <c r="G198" s="3" t="inlineStr">
        <is>
          <t>OBT080125031418-Pitten (Hamburger)</t>
        </is>
      </c>
      <c r="H198" s="10" t="n">
        <v>45665.13493055556</v>
      </c>
      <c r="I198" s="10" t="n">
        <v>45665.15362268518</v>
      </c>
      <c r="J198" s="10" t="n">
        <v>45665.15424768518</v>
      </c>
      <c r="K198" s="11">
        <f>IF(AND(ISNUMBER(D198),ISNUMBER(E198)),(E198-D198),"")</f>
        <v/>
      </c>
      <c r="L198" s="11">
        <f>IF(AND(ISNUMBER(F198),ISNUMBER(I198)),(I198-F198),"")</f>
        <v/>
      </c>
    </row>
    <row r="199">
      <c r="A199" s="3" t="inlineStr">
        <is>
          <t>1004712</t>
        </is>
      </c>
      <c r="B199" s="3" t="inlineStr">
        <is>
          <t>10047</t>
        </is>
      </c>
      <c r="C199" s="10" t="n">
        <v>45664.72255787037</v>
      </c>
      <c r="D199" s="10" t="n">
        <v>45664.72512731481</v>
      </c>
      <c r="E199" s="10" t="n">
        <v>45664.76241898148</v>
      </c>
      <c r="F199" s="10" t="n">
        <v>45664.76357638889</v>
      </c>
      <c r="G199" s="3" t="inlineStr">
        <is>
          <t>OBT080125081724-Other sidings north</t>
        </is>
      </c>
      <c r="H199" s="10" t="n">
        <v>45665.34541666666</v>
      </c>
      <c r="I199" s="10" t="n">
        <v>45665.36886574074</v>
      </c>
      <c r="J199" s="10" t="n">
        <v>45665.36962962963</v>
      </c>
      <c r="K199" s="11">
        <f>IF(AND(ISNUMBER(D199),ISNUMBER(E199)),(E199-D199),"")</f>
        <v/>
      </c>
      <c r="L199" s="11">
        <f>IF(AND(ISNUMBER(F199),ISNUMBER(I199)),(I199-F199),"")</f>
        <v/>
      </c>
    </row>
    <row r="200">
      <c r="A200" s="3" t="inlineStr">
        <is>
          <t>1004713</t>
        </is>
      </c>
      <c r="B200" s="3" t="inlineStr">
        <is>
          <t>10047</t>
        </is>
      </c>
      <c r="C200" s="10" t="n">
        <v>45664.72255787037</v>
      </c>
      <c r="D200" s="10" t="n">
        <v>45664.72512731481</v>
      </c>
      <c r="E200" s="10" t="n">
        <v>45664.76357638889</v>
      </c>
      <c r="F200" s="10" t="n">
        <v>45664.76478009259</v>
      </c>
      <c r="G200" s="3" t="inlineStr">
        <is>
          <t>OBT080125081724-Other sidings north</t>
        </is>
      </c>
      <c r="H200" s="10" t="n">
        <v>45665.34541666666</v>
      </c>
      <c r="I200" s="10" t="n">
        <v>45665.36886574074</v>
      </c>
      <c r="J200" s="10" t="n">
        <v>45665.36962962963</v>
      </c>
      <c r="K200" s="11">
        <f>IF(AND(ISNUMBER(D200),ISNUMBER(E200)),(E200-D200),"")</f>
        <v/>
      </c>
      <c r="L200" s="11">
        <f>IF(AND(ISNUMBER(F200),ISNUMBER(I200)),(I200-F200),"")</f>
        <v/>
      </c>
    </row>
    <row r="201">
      <c r="A201" s="3" t="inlineStr">
        <is>
          <t>1004801</t>
        </is>
      </c>
      <c r="B201" s="3" t="inlineStr">
        <is>
          <t>10048</t>
        </is>
      </c>
      <c r="C201" s="10" t="n">
        <v>45664.75287037037</v>
      </c>
      <c r="D201" s="10" t="n">
        <v>45664.75451388889</v>
      </c>
      <c r="E201" s="10" t="n">
        <v>45664.76554398148</v>
      </c>
      <c r="F201" s="10" t="n">
        <v>45664.76758101852</v>
      </c>
      <c r="G201" s="3" t="inlineStr">
        <is>
          <t>OBT070125183432-Wien Kledering</t>
        </is>
      </c>
      <c r="H201" s="10" t="n">
        <v>45664.77398148148</v>
      </c>
      <c r="I201" s="10" t="n">
        <v>45664.82879629629</v>
      </c>
      <c r="J201" s="10" t="n">
        <v>45664.83010416666</v>
      </c>
      <c r="K201" s="11">
        <f>IF(AND(ISNUMBER(D201),ISNUMBER(E201)),(E201-D201),"")</f>
        <v/>
      </c>
      <c r="L201" s="11">
        <f>IF(AND(ISNUMBER(F201),ISNUMBER(I201)),(I201-F201),"")</f>
        <v/>
      </c>
    </row>
    <row r="202">
      <c r="A202" s="3" t="inlineStr">
        <is>
          <t>1004901</t>
        </is>
      </c>
      <c r="B202" s="3" t="inlineStr">
        <is>
          <t>10049</t>
        </is>
      </c>
      <c r="C202" s="10" t="n">
        <v>45664.87525462963</v>
      </c>
      <c r="D202" s="10" t="n">
        <v>45664.87774305556</v>
      </c>
      <c r="E202" s="10" t="n">
        <v>45664.88443287037</v>
      </c>
      <c r="F202" s="10" t="n">
        <v>45664.88657407407</v>
      </c>
      <c r="G202" s="3" t="inlineStr">
        <is>
          <t>OBT070125212007-Wien Kledering</t>
        </is>
      </c>
      <c r="H202" s="10" t="n">
        <v>45664.88896990741</v>
      </c>
      <c r="I202" s="10" t="n">
        <v>45664.95738425926</v>
      </c>
      <c r="J202" s="10" t="n">
        <v>45664.95870370371</v>
      </c>
      <c r="K202" s="11">
        <f>IF(AND(ISNUMBER(D202),ISNUMBER(E202)),(E202-D202),"")</f>
        <v/>
      </c>
      <c r="L202" s="11">
        <f>IF(AND(ISNUMBER(F202),ISNUMBER(I202)),(I202-F202),"")</f>
        <v/>
      </c>
    </row>
    <row r="203">
      <c r="A203" s="3" t="inlineStr">
        <is>
          <t>1005001</t>
        </is>
      </c>
      <c r="B203" s="3" t="inlineStr">
        <is>
          <t>10050</t>
        </is>
      </c>
      <c r="C203" s="10" t="n">
        <v>45665.11354166667</v>
      </c>
      <c r="D203" s="10" t="n">
        <v>45665.11587962963</v>
      </c>
      <c r="E203" s="10" t="n">
        <v>45665.12701388889</v>
      </c>
      <c r="F203" s="10" t="n">
        <v>45665.12907407407</v>
      </c>
      <c r="G203" s="3" t="inlineStr">
        <is>
          <t>OBT080125031718-Other sidings local</t>
        </is>
      </c>
      <c r="H203" s="10" t="n">
        <v>45665.13701388889</v>
      </c>
      <c r="I203" s="10" t="n">
        <v>45665.15869212963</v>
      </c>
      <c r="J203" s="10" t="n">
        <v>45665.1594675926</v>
      </c>
      <c r="K203" s="11">
        <f>IF(AND(ISNUMBER(D203),ISNUMBER(E203)),(E203-D203),"")</f>
        <v/>
      </c>
      <c r="L203" s="11">
        <f>IF(AND(ISNUMBER(F203),ISNUMBER(I203)),(I203-F203),"")</f>
        <v/>
      </c>
    </row>
    <row r="204">
      <c r="A204" s="3" t="inlineStr">
        <is>
          <t>1005002</t>
        </is>
      </c>
      <c r="B204" s="3" t="inlineStr">
        <is>
          <t>10050</t>
        </is>
      </c>
      <c r="C204" s="10" t="n">
        <v>45665.11354166667</v>
      </c>
      <c r="D204" s="10" t="n">
        <v>45665.11587962963</v>
      </c>
      <c r="E204" s="10" t="n">
        <v>45665.12907407407</v>
      </c>
      <c r="F204" s="10" t="n">
        <v>45665.13103009259</v>
      </c>
      <c r="G204" s="3" t="inlineStr">
        <is>
          <t>OBT080125031418-Pitten (Hamburger)</t>
        </is>
      </c>
      <c r="H204" s="10" t="n">
        <v>45665.13493055556</v>
      </c>
      <c r="I204" s="10" t="n">
        <v>45665.15362268518</v>
      </c>
      <c r="J204" s="10" t="n">
        <v>45665.15424768518</v>
      </c>
      <c r="K204" s="11">
        <f>IF(AND(ISNUMBER(D204),ISNUMBER(E204)),(E204-D204),"")</f>
        <v/>
      </c>
      <c r="L204" s="11">
        <f>IF(AND(ISNUMBER(F204),ISNUMBER(I204)),(I204-F204),"")</f>
        <v/>
      </c>
    </row>
    <row r="205">
      <c r="A205" s="3" t="inlineStr">
        <is>
          <t>1005003</t>
        </is>
      </c>
      <c r="B205" s="3" t="inlineStr">
        <is>
          <t>10050</t>
        </is>
      </c>
      <c r="C205" s="10" t="n">
        <v>45665.11354166667</v>
      </c>
      <c r="D205" s="10" t="n">
        <v>45665.11587962963</v>
      </c>
      <c r="E205" s="10" t="n">
        <v>45665.13103009259</v>
      </c>
      <c r="F205" s="10" t="n">
        <v>45665.13309027778</v>
      </c>
      <c r="G205" s="3" t="inlineStr">
        <is>
          <t>OBT080125031718-Other sidings local</t>
        </is>
      </c>
      <c r="H205" s="10" t="n">
        <v>45665.13701388889</v>
      </c>
      <c r="I205" s="10" t="n">
        <v>45665.15869212963</v>
      </c>
      <c r="J205" s="10" t="n">
        <v>45665.1594675926</v>
      </c>
      <c r="K205" s="11">
        <f>IF(AND(ISNUMBER(D205),ISNUMBER(E205)),(E205-D205),"")</f>
        <v/>
      </c>
      <c r="L205" s="11">
        <f>IF(AND(ISNUMBER(F205),ISNUMBER(I205)),(I205-F205),"")</f>
        <v/>
      </c>
    </row>
    <row r="206">
      <c r="A206" s="3" t="inlineStr">
        <is>
          <t>1005004</t>
        </is>
      </c>
      <c r="B206" s="3" t="inlineStr">
        <is>
          <t>10050</t>
        </is>
      </c>
      <c r="C206" s="10" t="n">
        <v>45665.11354166667</v>
      </c>
      <c r="D206" s="10" t="n">
        <v>45665.11587962963</v>
      </c>
      <c r="E206" s="10" t="n">
        <v>45665.13309027778</v>
      </c>
      <c r="F206" s="10" t="n">
        <v>45665.13471064815</v>
      </c>
      <c r="G206" s="3" t="inlineStr">
        <is>
          <t>OBT080125031726-Neunkirchen (loading tracks)</t>
        </is>
      </c>
      <c r="H206" s="10" t="n">
        <v>45665.13710648148</v>
      </c>
      <c r="I206" s="10" t="n">
        <v>45665.17112268518</v>
      </c>
      <c r="J206" s="10" t="n">
        <v>45665.17193287037</v>
      </c>
      <c r="K206" s="11">
        <f>IF(AND(ISNUMBER(D206),ISNUMBER(E206)),(E206-D206),"")</f>
        <v/>
      </c>
      <c r="L206" s="11">
        <f>IF(AND(ISNUMBER(F206),ISNUMBER(I206)),(I206-F206),"")</f>
        <v/>
      </c>
    </row>
    <row r="207">
      <c r="A207" s="3" t="inlineStr">
        <is>
          <t>1005005</t>
        </is>
      </c>
      <c r="B207" s="3" t="inlineStr">
        <is>
          <t>10050</t>
        </is>
      </c>
      <c r="C207" s="10" t="n">
        <v>45665.11354166667</v>
      </c>
      <c r="D207" s="10" t="n">
        <v>45665.11587962963</v>
      </c>
      <c r="E207" s="10" t="n">
        <v>45665.13471064815</v>
      </c>
      <c r="F207" s="10" t="n">
        <v>45665.13655092593</v>
      </c>
      <c r="G207" s="3" t="inlineStr">
        <is>
          <t>OBT080125032215-Other sidings south</t>
        </is>
      </c>
      <c r="H207" s="10" t="n">
        <v>45665.14045138889</v>
      </c>
      <c r="I207" s="10" t="n">
        <v>45665.17990740741</v>
      </c>
      <c r="J207" s="10" t="n">
        <v>45665.18077546296</v>
      </c>
      <c r="K207" s="11">
        <f>IF(AND(ISNUMBER(D207),ISNUMBER(E207)),(E207-D207),"")</f>
        <v/>
      </c>
      <c r="L207" s="11">
        <f>IF(AND(ISNUMBER(F207),ISNUMBER(I207)),(I207-F207),"")</f>
        <v/>
      </c>
    </row>
    <row r="208">
      <c r="A208" s="3" t="inlineStr">
        <is>
          <t>1005006</t>
        </is>
      </c>
      <c r="B208" s="3" t="inlineStr">
        <is>
          <t>10050</t>
        </is>
      </c>
      <c r="C208" s="10" t="n">
        <v>45665.11354166667</v>
      </c>
      <c r="D208" s="10" t="n">
        <v>45665.11587962963</v>
      </c>
      <c r="E208" s="10" t="n">
        <v>45665.13655092593</v>
      </c>
      <c r="F208" s="10" t="n">
        <v>45665.1378125</v>
      </c>
      <c r="G208" s="3" t="inlineStr">
        <is>
          <t>OBT080125061845-Wien Kledering</t>
        </is>
      </c>
      <c r="H208" s="10" t="n">
        <v>45665.26302083334</v>
      </c>
      <c r="I208" s="10" t="n">
        <v>45665.31545138889</v>
      </c>
      <c r="J208" s="10" t="n">
        <v>45665.31657407407</v>
      </c>
      <c r="K208" s="11">
        <f>IF(AND(ISNUMBER(D208),ISNUMBER(E208)),(E208-D208),"")</f>
        <v/>
      </c>
      <c r="L208" s="11">
        <f>IF(AND(ISNUMBER(F208),ISNUMBER(I208)),(I208-F208),"")</f>
        <v/>
      </c>
    </row>
    <row r="209">
      <c r="A209" s="3" t="inlineStr">
        <is>
          <t>1005101</t>
        </is>
      </c>
      <c r="B209" s="3" t="inlineStr">
        <is>
          <t>10051</t>
        </is>
      </c>
      <c r="C209" s="10" t="n">
        <v>45665.15678240741</v>
      </c>
      <c r="D209" s="10" t="n">
        <v>45665.15956018519</v>
      </c>
      <c r="E209" s="10" t="n">
        <v>45665.16743055556</v>
      </c>
      <c r="F209" s="10" t="n">
        <v>45665.16996527778</v>
      </c>
      <c r="G209" s="3" t="inlineStr">
        <is>
          <t>OBT080125041024-Neudörfl (FunderMax)</t>
        </is>
      </c>
      <c r="H209" s="10" t="n">
        <v>45665.17388888889</v>
      </c>
      <c r="I209" s="10" t="n">
        <v>45665.27763888889</v>
      </c>
      <c r="J209" s="10" t="n">
        <v>45665.27949074074</v>
      </c>
      <c r="K209" s="11">
        <f>IF(AND(ISNUMBER(D209),ISNUMBER(E209)),(E209-D209),"")</f>
        <v/>
      </c>
      <c r="L209" s="11">
        <f>IF(AND(ISNUMBER(F209),ISNUMBER(I209)),(I209-F209),"")</f>
        <v/>
      </c>
    </row>
    <row r="210">
      <c r="A210" s="3" t="inlineStr">
        <is>
          <t>1005201</t>
        </is>
      </c>
      <c r="B210" s="3" t="inlineStr">
        <is>
          <t>10052</t>
        </is>
      </c>
      <c r="C210" s="10" t="n">
        <v>45665.25085648148</v>
      </c>
      <c r="D210" s="10" t="n">
        <v>45665.25313657407</v>
      </c>
      <c r="E210" s="10" t="n">
        <v>45665.25892361111</v>
      </c>
      <c r="F210" s="10" t="n">
        <v>45665.26084490741</v>
      </c>
      <c r="G210" s="3" t="inlineStr">
        <is>
          <t>OBT080125061845-Wien Kledering</t>
        </is>
      </c>
      <c r="H210" s="10" t="n">
        <v>45665.26302083334</v>
      </c>
      <c r="I210" s="10" t="n">
        <v>45665.31545138889</v>
      </c>
      <c r="J210" s="10" t="n">
        <v>45665.31657407407</v>
      </c>
      <c r="K210" s="11">
        <f>IF(AND(ISNUMBER(D210),ISNUMBER(E210)),(E210-D210),"")</f>
        <v/>
      </c>
      <c r="L210" s="11">
        <f>IF(AND(ISNUMBER(F210),ISNUMBER(I210)),(I210-F210),"")</f>
        <v/>
      </c>
    </row>
    <row r="211">
      <c r="A211" s="3" t="inlineStr">
        <is>
          <t>1005401</t>
        </is>
      </c>
      <c r="B211" s="3" t="inlineStr">
        <is>
          <t>10054</t>
        </is>
      </c>
      <c r="C211" s="10" t="n">
        <v>45665.30568287037</v>
      </c>
      <c r="D211" s="10" t="n">
        <v>45665.30763888889</v>
      </c>
      <c r="E211" s="10" t="n">
        <v>45665.31240740741</v>
      </c>
      <c r="F211" s="10" t="n">
        <v>45665.31413194445</v>
      </c>
      <c r="G211" s="3" t="inlineStr">
        <is>
          <t>OBT080125073527-Wien Kledering</t>
        </is>
      </c>
      <c r="H211" s="10" t="n">
        <v>45665.31628472222</v>
      </c>
      <c r="I211" s="10" t="n">
        <v>45665.34434027778</v>
      </c>
      <c r="J211" s="10" t="n">
        <v>45665.34519675926</v>
      </c>
      <c r="K211" s="11">
        <f>IF(AND(ISNUMBER(D211),ISNUMBER(E211)),(E211-D211),"")</f>
        <v/>
      </c>
      <c r="L211" s="11">
        <f>IF(AND(ISNUMBER(F211),ISNUMBER(I211)),(I211-F211),"")</f>
        <v/>
      </c>
    </row>
    <row r="212">
      <c r="A212" s="3" t="inlineStr">
        <is>
          <t>1005301</t>
        </is>
      </c>
      <c r="B212" s="3" t="inlineStr">
        <is>
          <t>10053</t>
        </is>
      </c>
      <c r="C212" s="10" t="n">
        <v>45665.30302083334</v>
      </c>
      <c r="D212" s="10" t="n">
        <v>45665.30549768519</v>
      </c>
      <c r="E212" s="10" t="n">
        <v>45665.32950231482</v>
      </c>
      <c r="F212" s="10" t="n">
        <v>45665.33141203703</v>
      </c>
      <c r="G212" s="3" t="inlineStr">
        <is>
          <t>OBT080125083220-Pitten (Hamburger)</t>
        </is>
      </c>
      <c r="H212" s="10" t="n">
        <v>45665.35578703704</v>
      </c>
      <c r="I212" s="10" t="n">
        <v>45665.3874074074</v>
      </c>
      <c r="J212" s="10" t="n">
        <v>45665.38809027777</v>
      </c>
      <c r="K212" s="11">
        <f>IF(AND(ISNUMBER(D212),ISNUMBER(E212)),(E212-D212),"")</f>
        <v/>
      </c>
      <c r="L212" s="11">
        <f>IF(AND(ISNUMBER(F212),ISNUMBER(I212)),(I212-F212),"")</f>
        <v/>
      </c>
    </row>
    <row r="213">
      <c r="A213" s="3" t="inlineStr">
        <is>
          <t>1005302</t>
        </is>
      </c>
      <c r="B213" s="3" t="inlineStr">
        <is>
          <t>10053</t>
        </is>
      </c>
      <c r="C213" s="10" t="n">
        <v>45665.30302083334</v>
      </c>
      <c r="D213" s="10" t="n">
        <v>45665.30549768519</v>
      </c>
      <c r="E213" s="10" t="n">
        <v>45665.33141203703</v>
      </c>
      <c r="F213" s="10" t="n">
        <v>45665.33334490741</v>
      </c>
      <c r="G213" s="3" t="inlineStr">
        <is>
          <t>OBT080125153109-Felixdorf/Sollenau (Bundesheer, Maba)</t>
        </is>
      </c>
      <c r="H213" s="10" t="n">
        <v>45665.64663194444</v>
      </c>
      <c r="I213" s="10" t="n">
        <v>45665.67254629629</v>
      </c>
      <c r="J213" s="10" t="n">
        <v>45665.67341435186</v>
      </c>
      <c r="K213" s="11">
        <f>IF(AND(ISNUMBER(D213),ISNUMBER(E213)),(E213-D213),"")</f>
        <v/>
      </c>
      <c r="L213" s="11">
        <f>IF(AND(ISNUMBER(F213),ISNUMBER(I213)),(I213-F213),"")</f>
        <v/>
      </c>
    </row>
    <row r="214">
      <c r="A214" s="3" t="inlineStr">
        <is>
          <t>1005303</t>
        </is>
      </c>
      <c r="B214" s="3" t="inlineStr">
        <is>
          <t>10053</t>
        </is>
      </c>
      <c r="C214" s="10" t="n">
        <v>45665.30302083334</v>
      </c>
      <c r="D214" s="10" t="n">
        <v>45665.30549768519</v>
      </c>
      <c r="E214" s="10" t="n">
        <v>45665.33334490741</v>
      </c>
      <c r="F214" s="10" t="n">
        <v>45665.33521990741</v>
      </c>
      <c r="G214" s="3" t="inlineStr">
        <is>
          <t>OBT080125083220-Pitten (Hamburger)</t>
        </is>
      </c>
      <c r="H214" s="10" t="n">
        <v>45665.35578703704</v>
      </c>
      <c r="I214" s="10" t="n">
        <v>45665.3874074074</v>
      </c>
      <c r="J214" s="10" t="n">
        <v>45665.38809027777</v>
      </c>
      <c r="K214" s="11">
        <f>IF(AND(ISNUMBER(D214),ISNUMBER(E214)),(E214-D214),"")</f>
        <v/>
      </c>
      <c r="L214" s="11">
        <f>IF(AND(ISNUMBER(F214),ISNUMBER(I214)),(I214-F214),"")</f>
        <v/>
      </c>
    </row>
    <row r="215">
      <c r="A215" s="3" t="inlineStr">
        <is>
          <t>1005304</t>
        </is>
      </c>
      <c r="B215" s="3" t="inlineStr">
        <is>
          <t>10053</t>
        </is>
      </c>
      <c r="C215" s="10" t="n">
        <v>45665.30302083334</v>
      </c>
      <c r="D215" s="10" t="n">
        <v>45665.30549768519</v>
      </c>
      <c r="E215" s="10" t="n">
        <v>45665.33521990741</v>
      </c>
      <c r="F215" s="10" t="n">
        <v>45665.33732638889</v>
      </c>
      <c r="G215" s="3" t="inlineStr">
        <is>
          <t>OBT090125031241-Neunkirchen (loading tracks)</t>
        </is>
      </c>
      <c r="H215" s="10" t="n">
        <v>45666.13380787037</v>
      </c>
      <c r="I215" s="10" t="n">
        <v>45666.16887731481</v>
      </c>
      <c r="J215" s="10" t="n">
        <v>45666.16983796296</v>
      </c>
      <c r="K215" s="11">
        <f>IF(AND(ISNUMBER(D215),ISNUMBER(E215)),(E215-D215),"")</f>
        <v/>
      </c>
      <c r="L215" s="11">
        <f>IF(AND(ISNUMBER(F215),ISNUMBER(I215)),(I215-F215),"")</f>
        <v/>
      </c>
    </row>
    <row r="216">
      <c r="A216" s="3" t="inlineStr">
        <is>
          <t>1005305</t>
        </is>
      </c>
      <c r="B216" s="3" t="inlineStr">
        <is>
          <t>10053</t>
        </is>
      </c>
      <c r="C216" s="10" t="n">
        <v>45665.30302083334</v>
      </c>
      <c r="D216" s="10" t="n">
        <v>45665.30549768519</v>
      </c>
      <c r="E216" s="10" t="n">
        <v>45665.33732638889</v>
      </c>
      <c r="F216" s="10" t="n">
        <v>45665.33903935185</v>
      </c>
      <c r="G216" s="3" t="inlineStr">
        <is>
          <t>OBT090125075601-Wr. Neustadt Ausfahrbf (Furtenbach)</t>
        </is>
      </c>
      <c r="H216" s="10" t="n">
        <v>45666.33056712963</v>
      </c>
      <c r="I216" s="10" t="n">
        <v>45666.35303240741</v>
      </c>
      <c r="J216" s="10" t="n">
        <v>45666.35390046296</v>
      </c>
      <c r="K216" s="11">
        <f>IF(AND(ISNUMBER(D216),ISNUMBER(E216)),(E216-D216),"")</f>
        <v/>
      </c>
      <c r="L216" s="11">
        <f>IF(AND(ISNUMBER(F216),ISNUMBER(I216)),(I216-F216),"")</f>
        <v/>
      </c>
    </row>
    <row r="217">
      <c r="A217" s="3" t="inlineStr">
        <is>
          <t>1005306</t>
        </is>
      </c>
      <c r="B217" s="3" t="inlineStr">
        <is>
          <t>10053</t>
        </is>
      </c>
      <c r="C217" s="10" t="n">
        <v>45665.30302083334</v>
      </c>
      <c r="D217" s="10" t="n">
        <v>45665.30549768519</v>
      </c>
      <c r="E217" s="10" t="n">
        <v>45665.33903935185</v>
      </c>
      <c r="F217" s="10" t="n">
        <v>45665.34027777778</v>
      </c>
      <c r="G217" s="3" t="inlineStr">
        <is>
          <t>OBT080125084420-Ternitz (Schoeller-Bleckmann)</t>
        </is>
      </c>
      <c r="H217" s="10" t="n">
        <v>45665.36412037037</v>
      </c>
      <c r="I217" s="10" t="n">
        <v>45665.43884259259</v>
      </c>
      <c r="J217" s="10" t="n">
        <v>45665.44020833333</v>
      </c>
      <c r="K217" s="11">
        <f>IF(AND(ISNUMBER(D217),ISNUMBER(E217)),(E217-D217),"")</f>
        <v/>
      </c>
      <c r="L217" s="11">
        <f>IF(AND(ISNUMBER(F217),ISNUMBER(I217)),(I217-F217),"")</f>
        <v/>
      </c>
    </row>
    <row r="218">
      <c r="A218" s="3" t="inlineStr">
        <is>
          <t>1005307</t>
        </is>
      </c>
      <c r="B218" s="3" t="inlineStr">
        <is>
          <t>10053</t>
        </is>
      </c>
      <c r="C218" s="10" t="n">
        <v>45665.30302083334</v>
      </c>
      <c r="D218" s="10" t="n">
        <v>45665.30549768519</v>
      </c>
      <c r="E218" s="10" t="n">
        <v>45665.34027777778</v>
      </c>
      <c r="F218" s="10" t="n">
        <v>45665.34149305556</v>
      </c>
      <c r="G218" s="3" t="inlineStr">
        <is>
          <t>OBT080125081724-Other sidings north</t>
        </is>
      </c>
      <c r="H218" s="10" t="n">
        <v>45665.34541666666</v>
      </c>
      <c r="I218" s="10" t="n">
        <v>45665.36886574074</v>
      </c>
      <c r="J218" s="10" t="n">
        <v>45665.36962962963</v>
      </c>
      <c r="K218" s="11">
        <f>IF(AND(ISNUMBER(D218),ISNUMBER(E218)),(E218-D218),"")</f>
        <v/>
      </c>
      <c r="L218" s="11">
        <f>IF(AND(ISNUMBER(F218),ISNUMBER(I218)),(I218-F218),"")</f>
        <v/>
      </c>
    </row>
    <row r="219">
      <c r="A219" s="3" t="inlineStr">
        <is>
          <t>1005308</t>
        </is>
      </c>
      <c r="B219" s="3" t="inlineStr">
        <is>
          <t>10053</t>
        </is>
      </c>
      <c r="C219" s="10" t="n">
        <v>45665.30302083334</v>
      </c>
      <c r="D219" s="10" t="n">
        <v>45665.30549768519</v>
      </c>
      <c r="E219" s="10" t="n">
        <v>45665.34149305556</v>
      </c>
      <c r="F219" s="10" t="n">
        <v>45665.34321759259</v>
      </c>
      <c r="G219" s="3" t="inlineStr">
        <is>
          <t>OBT100125031522-Other sidings south</t>
        </is>
      </c>
      <c r="H219" s="10" t="n">
        <v>45667.1356712963</v>
      </c>
      <c r="I219" s="10" t="n">
        <v>45667.15913194444</v>
      </c>
      <c r="J219" s="10" t="n">
        <v>45667.15997685185</v>
      </c>
      <c r="K219" s="11">
        <f>IF(AND(ISNUMBER(D219),ISNUMBER(E219)),(E219-D219),"")</f>
        <v/>
      </c>
      <c r="L219" s="11">
        <f>IF(AND(ISNUMBER(F219),ISNUMBER(I219)),(I219-F219),"")</f>
        <v/>
      </c>
    </row>
    <row r="220">
      <c r="A220" s="3" t="inlineStr">
        <is>
          <t>1005309</t>
        </is>
      </c>
      <c r="B220" s="3" t="inlineStr">
        <is>
          <t>10053</t>
        </is>
      </c>
      <c r="C220" s="10" t="n">
        <v>45665.30302083334</v>
      </c>
      <c r="D220" s="10" t="n">
        <v>45665.30549768519</v>
      </c>
      <c r="E220" s="10" t="n">
        <v>45665.34321759259</v>
      </c>
      <c r="F220" s="10" t="n">
        <v>45665.34534722222</v>
      </c>
      <c r="G220" s="3" t="inlineStr">
        <is>
          <t>OBT080125082044-Wr. Neustadt (Hödlmayr)</t>
        </is>
      </c>
      <c r="H220" s="10" t="n">
        <v>45665.34773148148</v>
      </c>
      <c r="I220" s="10" t="n">
        <v>45665.36734953704</v>
      </c>
      <c r="J220" s="10" t="n">
        <v>45665.36813657408</v>
      </c>
      <c r="K220" s="11">
        <f>IF(AND(ISNUMBER(D220),ISNUMBER(E220)),(E220-D220),"")</f>
        <v/>
      </c>
      <c r="L220" s="11">
        <f>IF(AND(ISNUMBER(F220),ISNUMBER(I220)),(I220-F220),"")</f>
        <v/>
      </c>
    </row>
    <row r="221">
      <c r="A221" s="3" t="inlineStr">
        <is>
          <t>1005310</t>
        </is>
      </c>
      <c r="B221" s="3" t="inlineStr">
        <is>
          <t>10053</t>
        </is>
      </c>
      <c r="C221" s="10" t="n">
        <v>45665.30302083334</v>
      </c>
      <c r="D221" s="10" t="n">
        <v>45665.30549768519</v>
      </c>
      <c r="E221" s="10" t="n">
        <v>45665.34534722222</v>
      </c>
      <c r="F221" s="10" t="n">
        <v>45665.34734953703</v>
      </c>
      <c r="G221" s="3" t="inlineStr">
        <is>
          <t>OBT090125031241-Neunkirchen (loading tracks)</t>
        </is>
      </c>
      <c r="H221" s="10" t="n">
        <v>45666.13380787037</v>
      </c>
      <c r="I221" s="10" t="n">
        <v>45666.16887731481</v>
      </c>
      <c r="J221" s="10" t="n">
        <v>45666.16983796296</v>
      </c>
      <c r="K221" s="11">
        <f>IF(AND(ISNUMBER(D221),ISNUMBER(E221)),(E221-D221),"")</f>
        <v/>
      </c>
      <c r="L221" s="11">
        <f>IF(AND(ISNUMBER(F221),ISNUMBER(I221)),(I221-F221),"")</f>
        <v/>
      </c>
    </row>
    <row r="222">
      <c r="A222" s="3" t="inlineStr">
        <is>
          <t>1005311</t>
        </is>
      </c>
      <c r="B222" s="3" t="inlineStr">
        <is>
          <t>10053</t>
        </is>
      </c>
      <c r="C222" s="10" t="n">
        <v>45665.30302083334</v>
      </c>
      <c r="D222" s="10" t="n">
        <v>45665.30549768519</v>
      </c>
      <c r="E222" s="10" t="n">
        <v>45665.34734953703</v>
      </c>
      <c r="F222" s="10" t="n">
        <v>45665.34866898148</v>
      </c>
      <c r="G222" s="3" t="inlineStr">
        <is>
          <t>OBT080125091709-Wien Kledering</t>
        </is>
      </c>
      <c r="H222" s="10" t="n">
        <v>45665.38690972222</v>
      </c>
      <c r="I222" s="10" t="n">
        <v>45665.40903935185</v>
      </c>
      <c r="J222" s="10" t="n">
        <v>45665.40976851852</v>
      </c>
      <c r="K222" s="11">
        <f>IF(AND(ISNUMBER(D222),ISNUMBER(E222)),(E222-D222),"")</f>
        <v/>
      </c>
      <c r="L222" s="11">
        <f>IF(AND(ISNUMBER(F222),ISNUMBER(I222)),(I222-F222),"")</f>
        <v/>
      </c>
    </row>
    <row r="223">
      <c r="A223" s="3" t="inlineStr">
        <is>
          <t>1005312</t>
        </is>
      </c>
      <c r="B223" s="3" t="inlineStr">
        <is>
          <t>10053</t>
        </is>
      </c>
      <c r="C223" s="10" t="n">
        <v>45665.30302083334</v>
      </c>
      <c r="D223" s="10" t="n">
        <v>45665.30549768519</v>
      </c>
      <c r="E223" s="10" t="n">
        <v>45665.34866898148</v>
      </c>
      <c r="F223" s="10" t="n">
        <v>45665.35070601852</v>
      </c>
      <c r="G223" s="3" t="inlineStr">
        <is>
          <t>OBT080125083220-Pitten (Hamburger)</t>
        </is>
      </c>
      <c r="H223" s="10" t="n">
        <v>45665.35578703704</v>
      </c>
      <c r="I223" s="10" t="n">
        <v>45665.3874074074</v>
      </c>
      <c r="J223" s="10" t="n">
        <v>45665.38809027777</v>
      </c>
      <c r="K223" s="11">
        <f>IF(AND(ISNUMBER(D223),ISNUMBER(E223)),(E223-D223),"")</f>
        <v/>
      </c>
      <c r="L223" s="11">
        <f>IF(AND(ISNUMBER(F223),ISNUMBER(I223)),(I223-F223),"")</f>
        <v/>
      </c>
    </row>
    <row r="224">
      <c r="A224" s="3" t="inlineStr">
        <is>
          <t>1005313</t>
        </is>
      </c>
      <c r="B224" s="3" t="inlineStr">
        <is>
          <t>10053</t>
        </is>
      </c>
      <c r="C224" s="10" t="n">
        <v>45665.30302083334</v>
      </c>
      <c r="D224" s="10" t="n">
        <v>45665.30549768519</v>
      </c>
      <c r="E224" s="10" t="n">
        <v>45665.35070601852</v>
      </c>
      <c r="F224" s="10" t="n">
        <v>45665.35229166667</v>
      </c>
      <c r="G224" s="3" t="inlineStr">
        <is>
          <t>OBT090125184904-Obereggendorf (Hofer)</t>
        </is>
      </c>
      <c r="H224" s="10" t="n">
        <v>45666.78407407407</v>
      </c>
      <c r="I224" s="10" t="n">
        <v>45666.81584490741</v>
      </c>
      <c r="J224" s="10" t="n">
        <v>45666.81667824074</v>
      </c>
      <c r="K224" s="11">
        <f>IF(AND(ISNUMBER(D224),ISNUMBER(E224)),(E224-D224),"")</f>
        <v/>
      </c>
      <c r="L224" s="11">
        <f>IF(AND(ISNUMBER(F224),ISNUMBER(I224)),(I224-F224),"")</f>
        <v/>
      </c>
    </row>
    <row r="225">
      <c r="A225" s="3" t="inlineStr">
        <is>
          <t>1005314</t>
        </is>
      </c>
      <c r="B225" s="3" t="inlineStr">
        <is>
          <t>10053</t>
        </is>
      </c>
      <c r="C225" s="10" t="n">
        <v>45665.30302083334</v>
      </c>
      <c r="D225" s="10" t="n">
        <v>45665.30549768519</v>
      </c>
      <c r="E225" s="10" t="n">
        <v>45665.35229166667</v>
      </c>
      <c r="F225" s="10" t="n">
        <v>45665.35400462963</v>
      </c>
      <c r="G225" s="3" t="inlineStr">
        <is>
          <t>OBT090125075601-Wr. Neustadt Ausfahrbf (Furtenbach)</t>
        </is>
      </c>
      <c r="H225" s="10" t="n">
        <v>45666.33056712963</v>
      </c>
      <c r="I225" s="10" t="n">
        <v>45666.35303240741</v>
      </c>
      <c r="J225" s="10" t="n">
        <v>45666.35390046296</v>
      </c>
      <c r="K225" s="11">
        <f>IF(AND(ISNUMBER(D225),ISNUMBER(E225)),(E225-D225),"")</f>
        <v/>
      </c>
      <c r="L225" s="11">
        <f>IF(AND(ISNUMBER(F225),ISNUMBER(I225)),(I225-F225),"")</f>
        <v/>
      </c>
    </row>
    <row r="226">
      <c r="A226" s="3" t="inlineStr">
        <is>
          <t>1005315</t>
        </is>
      </c>
      <c r="B226" s="3" t="inlineStr">
        <is>
          <t>10053</t>
        </is>
      </c>
      <c r="C226" s="10" t="n">
        <v>45665.30302083334</v>
      </c>
      <c r="D226" s="10" t="n">
        <v>45665.30549768519</v>
      </c>
      <c r="E226" s="10" t="n">
        <v>45665.35400462963</v>
      </c>
      <c r="F226" s="10" t="n">
        <v>45665.35546296297</v>
      </c>
      <c r="G226" s="3" t="inlineStr">
        <is>
          <t>OBT090125074546-Wr. Neustadt (Brenntag)</t>
        </is>
      </c>
      <c r="H226" s="10" t="n">
        <v>45666.32344907407</v>
      </c>
      <c r="I226" s="10" t="n">
        <v>45666.39607638889</v>
      </c>
      <c r="J226" s="10" t="n">
        <v>45666.39756944445</v>
      </c>
      <c r="K226" s="11">
        <f>IF(AND(ISNUMBER(D226),ISNUMBER(E226)),(E226-D226),"")</f>
        <v/>
      </c>
      <c r="L226" s="11">
        <f>IF(AND(ISNUMBER(F226),ISNUMBER(I226)),(I226-F226),"")</f>
        <v/>
      </c>
    </row>
    <row r="227">
      <c r="A227" s="3" t="inlineStr">
        <is>
          <t>1005501</t>
        </is>
      </c>
      <c r="B227" s="3" t="inlineStr">
        <is>
          <t>10055</t>
        </is>
      </c>
      <c r="C227" s="10" t="n">
        <v>45665.33435185185</v>
      </c>
      <c r="D227" s="10" t="n">
        <v>45665.33684027778</v>
      </c>
      <c r="E227" s="10" t="n">
        <v>45665.35633101852</v>
      </c>
      <c r="F227" s="10" t="n">
        <v>45665.3584837963</v>
      </c>
      <c r="G227" s="3" t="inlineStr">
        <is>
          <t>OBT080125084420-Ternitz (Schoeller-Bleckmann)</t>
        </is>
      </c>
      <c r="H227" s="10" t="n">
        <v>45665.36412037037</v>
      </c>
      <c r="I227" s="10" t="n">
        <v>45665.43884259259</v>
      </c>
      <c r="J227" s="10" t="n">
        <v>45665.44020833333</v>
      </c>
      <c r="K227" s="11">
        <f>IF(AND(ISNUMBER(D227),ISNUMBER(E227)),(E227-D227),"")</f>
        <v/>
      </c>
      <c r="L227" s="11">
        <f>IF(AND(ISNUMBER(F227),ISNUMBER(I227)),(I227-F227),"")</f>
        <v/>
      </c>
    </row>
    <row r="228">
      <c r="A228" s="3" t="inlineStr">
        <is>
          <t>1005601</t>
        </is>
      </c>
      <c r="B228" s="3" t="inlineStr">
        <is>
          <t>10056</t>
        </is>
      </c>
      <c r="C228" s="10" t="n">
        <v>45665.37415509259</v>
      </c>
      <c r="D228" s="10" t="n">
        <v>45665.37628472222</v>
      </c>
      <c r="E228" s="10" t="n">
        <v>45665.383125</v>
      </c>
      <c r="F228" s="10" t="n">
        <v>45665.38451388889</v>
      </c>
      <c r="G228" s="3" t="inlineStr">
        <is>
          <t>OBT080125091709-Wien Kledering</t>
        </is>
      </c>
      <c r="H228" s="10" t="n">
        <v>45665.38690972222</v>
      </c>
      <c r="I228" s="10" t="n">
        <v>45665.40903935185</v>
      </c>
      <c r="J228" s="10" t="n">
        <v>45665.40976851852</v>
      </c>
      <c r="K228" s="11">
        <f>IF(AND(ISNUMBER(D228),ISNUMBER(E228)),(E228-D228),"")</f>
        <v/>
      </c>
      <c r="L228" s="11">
        <f>IF(AND(ISNUMBER(F228),ISNUMBER(I228)),(I228-F228),"")</f>
        <v/>
      </c>
    </row>
    <row r="229">
      <c r="A229" s="3" t="inlineStr">
        <is>
          <t>1005602</t>
        </is>
      </c>
      <c r="B229" s="3" t="inlineStr">
        <is>
          <t>10056</t>
        </is>
      </c>
      <c r="C229" s="10" t="n">
        <v>45665.37415509259</v>
      </c>
      <c r="D229" s="10" t="n">
        <v>45665.37628472222</v>
      </c>
      <c r="E229" s="10" t="n">
        <v>45665.38451388889</v>
      </c>
      <c r="F229" s="10" t="n">
        <v>45665.38671296297</v>
      </c>
      <c r="G229" s="3" t="inlineStr">
        <is>
          <t>OBT080125092000-St. Veit an der Glan</t>
        </is>
      </c>
      <c r="H229" s="10" t="n">
        <v>45665.38888888889</v>
      </c>
      <c r="I229" s="10" t="n">
        <v>45665.41142361111</v>
      </c>
      <c r="J229" s="10" t="n">
        <v>45665.41225694444</v>
      </c>
      <c r="K229" s="11">
        <f>IF(AND(ISNUMBER(D229),ISNUMBER(E229)),(E229-D229),"")</f>
        <v/>
      </c>
      <c r="L229" s="11">
        <f>IF(AND(ISNUMBER(F229),ISNUMBER(I229)),(I229-F229),"")</f>
        <v/>
      </c>
    </row>
    <row r="230">
      <c r="A230" s="3" t="inlineStr">
        <is>
          <t>1005701</t>
        </is>
      </c>
      <c r="B230" s="3" t="inlineStr">
        <is>
          <t>10057</t>
        </is>
      </c>
      <c r="C230" s="10" t="n">
        <v>45665.42600694444</v>
      </c>
      <c r="D230" s="10" t="n">
        <v>45665.42862268518</v>
      </c>
      <c r="E230" s="10" t="n">
        <v>45665.43785879629</v>
      </c>
      <c r="F230" s="10" t="n">
        <v>45665.43928240741</v>
      </c>
      <c r="G230" s="3" t="inlineStr">
        <is>
          <t>OBT080125103559-Wien Kledering</t>
        </is>
      </c>
      <c r="H230" s="10" t="n">
        <v>45665.4416550926</v>
      </c>
      <c r="I230" s="10" t="n">
        <v>45665.46420138889</v>
      </c>
      <c r="J230" s="10" t="n">
        <v>45665.4649537037</v>
      </c>
      <c r="K230" s="11">
        <f>IF(AND(ISNUMBER(D230),ISNUMBER(E230)),(E230-D230),"")</f>
        <v/>
      </c>
      <c r="L230" s="11">
        <f>IF(AND(ISNUMBER(F230),ISNUMBER(I230)),(I230-F230),"")</f>
        <v/>
      </c>
    </row>
    <row r="231">
      <c r="A231" s="3" t="inlineStr">
        <is>
          <t>1005702</t>
        </is>
      </c>
      <c r="B231" s="3" t="inlineStr">
        <is>
          <t>10057</t>
        </is>
      </c>
      <c r="C231" s="10" t="n">
        <v>45665.42600694444</v>
      </c>
      <c r="D231" s="10" t="n">
        <v>45665.42862268518</v>
      </c>
      <c r="E231" s="10" t="n">
        <v>45665.43928240741</v>
      </c>
      <c r="F231" s="10" t="n">
        <v>45665.4412037037</v>
      </c>
      <c r="G231" s="3" t="inlineStr">
        <is>
          <t>OBT090125091140-St. Veit an der Glan</t>
        </is>
      </c>
      <c r="H231" s="10" t="n">
        <v>45666.38310185185</v>
      </c>
      <c r="I231" s="10" t="n">
        <v>45666.44372685185</v>
      </c>
      <c r="J231" s="10" t="n">
        <v>45666.4447337963</v>
      </c>
      <c r="K231" s="11">
        <f>IF(AND(ISNUMBER(D231),ISNUMBER(E231)),(E231-D231),"")</f>
        <v/>
      </c>
      <c r="L231" s="11">
        <f>IF(AND(ISNUMBER(F231),ISNUMBER(I231)),(I231-F231),"")</f>
        <v/>
      </c>
    </row>
    <row r="232">
      <c r="A232" s="3" t="inlineStr">
        <is>
          <t>1005703</t>
        </is>
      </c>
      <c r="B232" s="3" t="inlineStr">
        <is>
          <t>10057</t>
        </is>
      </c>
      <c r="C232" s="10" t="n">
        <v>45665.42600694444</v>
      </c>
      <c r="D232" s="10" t="n">
        <v>45665.42862268518</v>
      </c>
      <c r="E232" s="10" t="n">
        <v>45665.4412037037</v>
      </c>
      <c r="F232" s="10" t="n">
        <v>45665.443125</v>
      </c>
      <c r="G232" s="3" t="inlineStr">
        <is>
          <t>OBT080125104132-Wien Kledering</t>
        </is>
      </c>
      <c r="H232" s="10" t="n">
        <v>45665.44550925926</v>
      </c>
      <c r="I232" s="10" t="n">
        <v>45665.49790509259</v>
      </c>
      <c r="J232" s="10" t="n">
        <v>45665.49901620371</v>
      </c>
      <c r="K232" s="11">
        <f>IF(AND(ISNUMBER(D232),ISNUMBER(E232)),(E232-D232),"")</f>
        <v/>
      </c>
      <c r="L232" s="11">
        <f>IF(AND(ISNUMBER(F232),ISNUMBER(I232)),(I232-F232),"")</f>
        <v/>
      </c>
    </row>
    <row r="233">
      <c r="A233" s="3" t="inlineStr">
        <is>
          <t>1005801</t>
        </is>
      </c>
      <c r="B233" s="3" t="inlineStr">
        <is>
          <t>10058</t>
        </is>
      </c>
      <c r="C233" s="10" t="n">
        <v>45665.5321875</v>
      </c>
      <c r="D233" s="10" t="n">
        <v>45665.5344675926</v>
      </c>
      <c r="E233" s="10" t="n">
        <v>45665.54068287037</v>
      </c>
      <c r="F233" s="10" t="n">
        <v>45665.5425</v>
      </c>
      <c r="G233" s="3" t="inlineStr">
        <is>
          <t>OBT080125130420-Wien Kledering</t>
        </is>
      </c>
      <c r="H233" s="10" t="n">
        <v>45665.54467592593</v>
      </c>
      <c r="I233" s="10" t="n">
        <v>45665.59707175926</v>
      </c>
      <c r="J233" s="10" t="n">
        <v>45665.59822916667</v>
      </c>
      <c r="K233" s="11">
        <f>IF(AND(ISNUMBER(D233),ISNUMBER(E233)),(E233-D233),"")</f>
        <v/>
      </c>
      <c r="L233" s="11">
        <f>IF(AND(ISNUMBER(F233),ISNUMBER(I233)),(I233-F233),"")</f>
        <v/>
      </c>
    </row>
    <row r="234">
      <c r="A234" s="3" t="inlineStr">
        <is>
          <t>1005901</t>
        </is>
      </c>
      <c r="B234" s="3" t="inlineStr">
        <is>
          <t>10059</t>
        </is>
      </c>
      <c r="C234" s="10" t="n">
        <v>45665.60168981482</v>
      </c>
      <c r="D234" s="10" t="n">
        <v>45665.60413194444</v>
      </c>
      <c r="E234" s="10" t="n">
        <v>45665.61067129629</v>
      </c>
      <c r="F234" s="10" t="n">
        <v>45665.61263888889</v>
      </c>
      <c r="G234" s="3" t="inlineStr">
        <is>
          <t>OBT080125144539-Wien Kledering</t>
        </is>
      </c>
      <c r="H234" s="10" t="n">
        <v>45665.61503472222</v>
      </c>
      <c r="I234" s="10" t="n">
        <v>45665.67934027778</v>
      </c>
      <c r="J234" s="10" t="n">
        <v>45665.68064814815</v>
      </c>
      <c r="K234" s="11">
        <f>IF(AND(ISNUMBER(D234),ISNUMBER(E234)),(E234-D234),"")</f>
        <v/>
      </c>
      <c r="L234" s="11">
        <f>IF(AND(ISNUMBER(F234),ISNUMBER(I234)),(I234-F234),"")</f>
        <v/>
      </c>
    </row>
    <row r="235">
      <c r="A235" s="3" t="inlineStr">
        <is>
          <t>1006001</t>
        </is>
      </c>
      <c r="B235" s="3" t="inlineStr">
        <is>
          <t>10060</t>
        </is>
      </c>
      <c r="C235" s="10" t="n">
        <v>45665.620625</v>
      </c>
      <c r="D235" s="10" t="n">
        <v>45665.62295138889</v>
      </c>
      <c r="E235" s="10" t="n">
        <v>45665.64069444445</v>
      </c>
      <c r="F235" s="10" t="n">
        <v>45665.64270833333</v>
      </c>
      <c r="G235" s="3" t="inlineStr">
        <is>
          <t>OBT080125153109-Felixdorf/Sollenau (Bundesheer, Maba)</t>
        </is>
      </c>
      <c r="H235" s="10" t="n">
        <v>45665.64663194444</v>
      </c>
      <c r="I235" s="10" t="n">
        <v>45665.67254629629</v>
      </c>
      <c r="J235" s="10" t="n">
        <v>45665.67341435186</v>
      </c>
      <c r="K235" s="11">
        <f>IF(AND(ISNUMBER(D235),ISNUMBER(E235)),(E235-D235),"")</f>
        <v/>
      </c>
      <c r="L235" s="11">
        <f>IF(AND(ISNUMBER(F235),ISNUMBER(I235)),(I235-F235),"")</f>
        <v/>
      </c>
    </row>
    <row r="236">
      <c r="A236" s="3" t="inlineStr">
        <is>
          <t>1006002</t>
        </is>
      </c>
      <c r="B236" s="3" t="inlineStr">
        <is>
          <t>10060</t>
        </is>
      </c>
      <c r="C236" s="10" t="n">
        <v>45665.620625</v>
      </c>
      <c r="D236" s="10" t="n">
        <v>45665.62295138889</v>
      </c>
      <c r="E236" s="10" t="n">
        <v>45665.64270833333</v>
      </c>
      <c r="F236" s="10" t="n">
        <v>45665.64431712963</v>
      </c>
      <c r="G236" s="3" t="inlineStr">
        <is>
          <t>OBT090125184904-Obereggendorf (Hofer)</t>
        </is>
      </c>
      <c r="H236" s="10" t="n">
        <v>45666.78407407407</v>
      </c>
      <c r="I236" s="10" t="n">
        <v>45666.81584490741</v>
      </c>
      <c r="J236" s="10" t="n">
        <v>45666.81667824074</v>
      </c>
      <c r="K236" s="11">
        <f>IF(AND(ISNUMBER(D236),ISNUMBER(E236)),(E236-D236),"")</f>
        <v/>
      </c>
      <c r="L236" s="11">
        <f>IF(AND(ISNUMBER(F236),ISNUMBER(I236)),(I236-F236),"")</f>
        <v/>
      </c>
    </row>
    <row r="237">
      <c r="A237" s="3" t="inlineStr">
        <is>
          <t>1006003</t>
        </is>
      </c>
      <c r="B237" s="3" t="inlineStr">
        <is>
          <t>10060</t>
        </is>
      </c>
      <c r="C237" s="10" t="n">
        <v>45665.620625</v>
      </c>
      <c r="D237" s="10" t="n">
        <v>45665.62295138889</v>
      </c>
      <c r="E237" s="10" t="n">
        <v>45665.64431712963</v>
      </c>
      <c r="F237" s="10" t="n">
        <v>45665.645625</v>
      </c>
      <c r="G237" s="3" t="inlineStr">
        <is>
          <t>OBT090125030658-Wr. Neustadt (Hödlmayr)</t>
        </is>
      </c>
      <c r="H237" s="10" t="n">
        <v>45666.12983796297</v>
      </c>
      <c r="I237" s="10" t="n">
        <v>45666.14973379629</v>
      </c>
      <c r="J237" s="10" t="n">
        <v>45666.15041666666</v>
      </c>
      <c r="K237" s="11">
        <f>IF(AND(ISNUMBER(D237),ISNUMBER(E237)),(E237-D237),"")</f>
        <v/>
      </c>
      <c r="L237" s="11">
        <f>IF(AND(ISNUMBER(F237),ISNUMBER(I237)),(I237-F237),"")</f>
        <v/>
      </c>
    </row>
    <row r="238">
      <c r="A238" s="3" t="inlineStr">
        <is>
          <t>1006004</t>
        </is>
      </c>
      <c r="B238" s="3" t="inlineStr">
        <is>
          <t>10060</t>
        </is>
      </c>
      <c r="C238" s="10" t="n">
        <v>45665.620625</v>
      </c>
      <c r="D238" s="10" t="n">
        <v>45665.62295138889</v>
      </c>
      <c r="E238" s="10" t="n">
        <v>45665.645625</v>
      </c>
      <c r="F238" s="10" t="n">
        <v>45665.64756944445</v>
      </c>
      <c r="G238" s="3" t="inlineStr">
        <is>
          <t>OBT090125064202-Other sidings north</t>
        </is>
      </c>
      <c r="H238" s="10" t="n">
        <v>45666.27918981481</v>
      </c>
      <c r="I238" s="10" t="n">
        <v>45666.31120370371</v>
      </c>
      <c r="J238" s="10" t="n">
        <v>45666.31216435185</v>
      </c>
      <c r="K238" s="11">
        <f>IF(AND(ISNUMBER(D238),ISNUMBER(E238)),(E238-D238),"")</f>
        <v/>
      </c>
      <c r="L238" s="11">
        <f>IF(AND(ISNUMBER(F238),ISNUMBER(I238)),(I238-F238),"")</f>
        <v/>
      </c>
    </row>
    <row r="239">
      <c r="A239" s="3" t="inlineStr">
        <is>
          <t>1006005</t>
        </is>
      </c>
      <c r="B239" s="3" t="inlineStr">
        <is>
          <t>10060</t>
        </is>
      </c>
      <c r="C239" s="10" t="n">
        <v>45665.620625</v>
      </c>
      <c r="D239" s="10" t="n">
        <v>45665.62295138889</v>
      </c>
      <c r="E239" s="10" t="n">
        <v>45665.64756944445</v>
      </c>
      <c r="F239" s="10" t="n">
        <v>45665.6493287037</v>
      </c>
      <c r="G239" s="3" t="inlineStr">
        <is>
          <t>OBT100125031522-Other sidings south</t>
        </is>
      </c>
      <c r="H239" s="10" t="n">
        <v>45667.1356712963</v>
      </c>
      <c r="I239" s="10" t="n">
        <v>45667.15913194444</v>
      </c>
      <c r="J239" s="10" t="n">
        <v>45667.15997685185</v>
      </c>
      <c r="K239" s="11">
        <f>IF(AND(ISNUMBER(D239),ISNUMBER(E239)),(E239-D239),"")</f>
        <v/>
      </c>
      <c r="L239" s="11">
        <f>IF(AND(ISNUMBER(F239),ISNUMBER(I239)),(I239-F239),"")</f>
        <v/>
      </c>
    </row>
    <row r="240">
      <c r="A240" s="3" t="inlineStr">
        <is>
          <t>1006006</t>
        </is>
      </c>
      <c r="B240" s="3" t="inlineStr">
        <is>
          <t>10060</t>
        </is>
      </c>
      <c r="C240" s="10" t="n">
        <v>45665.620625</v>
      </c>
      <c r="D240" s="10" t="n">
        <v>45665.62295138889</v>
      </c>
      <c r="E240" s="10" t="n">
        <v>45665.6493287037</v>
      </c>
      <c r="F240" s="10" t="n">
        <v>45665.65067129629</v>
      </c>
      <c r="G240" s="3" t="inlineStr">
        <is>
          <t>OBT080125173713-Wien Kledering</t>
        </is>
      </c>
      <c r="H240" s="10" t="n">
        <v>45665.73417824074</v>
      </c>
      <c r="I240" s="10" t="n">
        <v>45665.77131944444</v>
      </c>
      <c r="J240" s="10" t="n">
        <v>45665.77226851852</v>
      </c>
      <c r="K240" s="11">
        <f>IF(AND(ISNUMBER(D240),ISNUMBER(E240)),(E240-D240),"")</f>
        <v/>
      </c>
      <c r="L240" s="11">
        <f>IF(AND(ISNUMBER(F240),ISNUMBER(I240)),(I240-F240),"")</f>
        <v/>
      </c>
    </row>
    <row r="241">
      <c r="A241" s="3" t="inlineStr">
        <is>
          <t>1006007</t>
        </is>
      </c>
      <c r="B241" s="3" t="inlineStr">
        <is>
          <t>10060</t>
        </is>
      </c>
      <c r="C241" s="10" t="n">
        <v>45665.620625</v>
      </c>
      <c r="D241" s="10" t="n">
        <v>45665.62295138889</v>
      </c>
      <c r="E241" s="10" t="n">
        <v>45665.65067129629</v>
      </c>
      <c r="F241" s="10" t="n">
        <v>45665.65193287037</v>
      </c>
      <c r="G241" s="3" t="inlineStr">
        <is>
          <t>OBT090125030658-Wr. Neustadt (Hödlmayr)</t>
        </is>
      </c>
      <c r="H241" s="10" t="n">
        <v>45666.12983796297</v>
      </c>
      <c r="I241" s="10" t="n">
        <v>45666.14973379629</v>
      </c>
      <c r="J241" s="10" t="n">
        <v>45666.15041666666</v>
      </c>
      <c r="K241" s="11">
        <f>IF(AND(ISNUMBER(D241),ISNUMBER(E241)),(E241-D241),"")</f>
        <v/>
      </c>
      <c r="L241" s="11">
        <f>IF(AND(ISNUMBER(F241),ISNUMBER(I241)),(I241-F241),"")</f>
        <v/>
      </c>
    </row>
    <row r="242">
      <c r="A242" s="3" t="inlineStr">
        <is>
          <t>1006008</t>
        </is>
      </c>
      <c r="B242" s="3" t="inlineStr">
        <is>
          <t>10060</t>
        </is>
      </c>
      <c r="C242" s="10" t="n">
        <v>45665.620625</v>
      </c>
      <c r="D242" s="10" t="n">
        <v>45665.62295138889</v>
      </c>
      <c r="E242" s="10" t="n">
        <v>45665.65193287037</v>
      </c>
      <c r="F242" s="10" t="n">
        <v>45665.65366898148</v>
      </c>
      <c r="G242" s="3" t="inlineStr">
        <is>
          <t>OBT090125075601-Wr. Neustadt Ausfahrbf (Furtenbach)</t>
        </is>
      </c>
      <c r="H242" s="10" t="n">
        <v>45666.33056712963</v>
      </c>
      <c r="I242" s="10" t="n">
        <v>45666.35303240741</v>
      </c>
      <c r="J242" s="10" t="n">
        <v>45666.35390046296</v>
      </c>
      <c r="K242" s="11">
        <f>IF(AND(ISNUMBER(D242),ISNUMBER(E242)),(E242-D242),"")</f>
        <v/>
      </c>
      <c r="L242" s="11">
        <f>IF(AND(ISNUMBER(F242),ISNUMBER(I242)),(I242-F242),"")</f>
        <v/>
      </c>
    </row>
    <row r="243">
      <c r="A243" s="3" t="inlineStr">
        <is>
          <t>1006009</t>
        </is>
      </c>
      <c r="B243" s="3" t="inlineStr">
        <is>
          <t>10060</t>
        </is>
      </c>
      <c r="C243" s="10" t="n">
        <v>45665.620625</v>
      </c>
      <c r="D243" s="10" t="n">
        <v>45665.62295138889</v>
      </c>
      <c r="E243" s="10" t="n">
        <v>45665.65366898148</v>
      </c>
      <c r="F243" s="10" t="n">
        <v>45665.65511574074</v>
      </c>
      <c r="G243" s="3" t="inlineStr">
        <is>
          <t>OBT090125075111-Pitten (Hamburger)</t>
        </is>
      </c>
      <c r="H243" s="10" t="n">
        <v>45666.32721064815</v>
      </c>
      <c r="I243" s="10" t="n">
        <v>45666.35515046296</v>
      </c>
      <c r="J243" s="10" t="n">
        <v>45666.3559375</v>
      </c>
      <c r="K243" s="11">
        <f>IF(AND(ISNUMBER(D243),ISNUMBER(E243)),(E243-D243),"")</f>
        <v/>
      </c>
      <c r="L243" s="11">
        <f>IF(AND(ISNUMBER(F243),ISNUMBER(I243)),(I243-F243),"")</f>
        <v/>
      </c>
    </row>
    <row r="244">
      <c r="A244" s="3" t="inlineStr">
        <is>
          <t>1006010</t>
        </is>
      </c>
      <c r="B244" s="3" t="inlineStr">
        <is>
          <t>10060</t>
        </is>
      </c>
      <c r="C244" s="10" t="n">
        <v>45665.620625</v>
      </c>
      <c r="D244" s="10" t="n">
        <v>45665.62295138889</v>
      </c>
      <c r="E244" s="10" t="n">
        <v>45665.65511574074</v>
      </c>
      <c r="F244" s="10" t="n">
        <v>45665.65708333333</v>
      </c>
      <c r="G244" s="3" t="inlineStr">
        <is>
          <t>OBT090125064202-Other sidings north</t>
        </is>
      </c>
      <c r="H244" s="10" t="n">
        <v>45666.27918981481</v>
      </c>
      <c r="I244" s="10" t="n">
        <v>45666.31120370371</v>
      </c>
      <c r="J244" s="10" t="n">
        <v>45666.31216435185</v>
      </c>
      <c r="K244" s="11">
        <f>IF(AND(ISNUMBER(D244),ISNUMBER(E244)),(E244-D244),"")</f>
        <v/>
      </c>
      <c r="L244" s="11">
        <f>IF(AND(ISNUMBER(F244),ISNUMBER(I244)),(I244-F244),"")</f>
        <v/>
      </c>
    </row>
    <row r="245">
      <c r="A245" s="3" t="inlineStr">
        <is>
          <t>1006011</t>
        </is>
      </c>
      <c r="B245" s="3" t="inlineStr">
        <is>
          <t>10060</t>
        </is>
      </c>
      <c r="C245" s="10" t="n">
        <v>45665.620625</v>
      </c>
      <c r="D245" s="10" t="n">
        <v>45665.62295138889</v>
      </c>
      <c r="E245" s="10" t="n">
        <v>45665.65708333333</v>
      </c>
      <c r="F245" s="10" t="n">
        <v>45665.65857638889</v>
      </c>
      <c r="G245" s="3" t="inlineStr">
        <is>
          <t>OBT090125074546-Wr. Neustadt (Brenntag)</t>
        </is>
      </c>
      <c r="H245" s="10" t="n">
        <v>45666.32344907407</v>
      </c>
      <c r="I245" s="10" t="n">
        <v>45666.39607638889</v>
      </c>
      <c r="J245" s="10" t="n">
        <v>45666.39756944445</v>
      </c>
      <c r="K245" s="11">
        <f>IF(AND(ISNUMBER(D245),ISNUMBER(E245)),(E245-D245),"")</f>
        <v/>
      </c>
      <c r="L245" s="11">
        <f>IF(AND(ISNUMBER(F245),ISNUMBER(I245)),(I245-F245),"")</f>
        <v/>
      </c>
    </row>
    <row r="246">
      <c r="A246" s="3" t="inlineStr">
        <is>
          <t>1006101</t>
        </is>
      </c>
      <c r="B246" s="3" t="inlineStr">
        <is>
          <t>10061</t>
        </is>
      </c>
      <c r="C246" s="10" t="n">
        <v>45665.63310185185</v>
      </c>
      <c r="D246" s="10" t="n">
        <v>45665.63509259259</v>
      </c>
      <c r="E246" s="10" t="n">
        <v>45665.65944444444</v>
      </c>
      <c r="F246" s="10" t="n">
        <v>45665.66150462963</v>
      </c>
      <c r="G246" s="3" t="inlineStr">
        <is>
          <t>OBT080125160042-Wien Kledering</t>
        </is>
      </c>
      <c r="H246" s="10" t="n">
        <v>45665.66715277778</v>
      </c>
      <c r="I246" s="10" t="n">
        <v>45665.73170138889</v>
      </c>
      <c r="J246" s="10" t="n">
        <v>45665.73309027778</v>
      </c>
      <c r="K246" s="11">
        <f>IF(AND(ISNUMBER(D246),ISNUMBER(E246)),(E246-D246),"")</f>
        <v/>
      </c>
      <c r="L246" s="11">
        <f>IF(AND(ISNUMBER(F246),ISNUMBER(I246)),(I246-F246),"")</f>
        <v/>
      </c>
    </row>
    <row r="247">
      <c r="A247" s="3" t="inlineStr">
        <is>
          <t>1006201</t>
        </is>
      </c>
      <c r="B247" s="3" t="inlineStr">
        <is>
          <t>10062</t>
        </is>
      </c>
      <c r="C247" s="10" t="n">
        <v>45665.72311342593</v>
      </c>
      <c r="D247" s="10" t="n">
        <v>45665.72518518518</v>
      </c>
      <c r="E247" s="10" t="n">
        <v>45665.73038194444</v>
      </c>
      <c r="F247" s="10" t="n">
        <v>45665.73199074074</v>
      </c>
      <c r="G247" s="3" t="inlineStr">
        <is>
          <t>OBT080125173713-Wien Kledering</t>
        </is>
      </c>
      <c r="H247" s="10" t="n">
        <v>45665.73417824074</v>
      </c>
      <c r="I247" s="10" t="n">
        <v>45665.77131944444</v>
      </c>
      <c r="J247" s="10" t="n">
        <v>45665.77226851852</v>
      </c>
      <c r="K247" s="11">
        <f>IF(AND(ISNUMBER(D247),ISNUMBER(E247)),(E247-D247),"")</f>
        <v/>
      </c>
      <c r="L247" s="11">
        <f>IF(AND(ISNUMBER(F247),ISNUMBER(I247)),(I247-F247),"")</f>
        <v/>
      </c>
    </row>
    <row r="248">
      <c r="A248" s="3" t="inlineStr">
        <is>
          <t>1006301</t>
        </is>
      </c>
      <c r="B248" s="3" t="inlineStr">
        <is>
          <t>10063</t>
        </is>
      </c>
      <c r="C248" s="10" t="n">
        <v>45665.74987268518</v>
      </c>
      <c r="D248" s="10" t="n">
        <v>45665.75112268519</v>
      </c>
      <c r="E248" s="10" t="n">
        <v>45665.75488425926</v>
      </c>
      <c r="F248" s="10" t="n">
        <v>45665.75652777778</v>
      </c>
      <c r="G248" s="3" t="inlineStr">
        <is>
          <t>OBT080125203302-Wien Kledering</t>
        </is>
      </c>
      <c r="H248" s="10" t="n">
        <v>45665.85627314815</v>
      </c>
      <c r="I248" s="10" t="n">
        <v>45665.8771412037</v>
      </c>
      <c r="J248" s="10" t="n">
        <v>45665.87796296296</v>
      </c>
      <c r="K248" s="11">
        <f>IF(AND(ISNUMBER(D248),ISNUMBER(E248)),(E248-D248),"")</f>
        <v/>
      </c>
      <c r="L248" s="11">
        <f>IF(AND(ISNUMBER(F248),ISNUMBER(I248)),(I248-F248),"")</f>
        <v/>
      </c>
    </row>
    <row r="249">
      <c r="A249" s="3" t="inlineStr">
        <is>
          <t>1006401</t>
        </is>
      </c>
      <c r="B249" s="3" t="inlineStr">
        <is>
          <t>10064</t>
        </is>
      </c>
      <c r="C249" s="10" t="n">
        <v>45665.81972222222</v>
      </c>
      <c r="D249" s="10" t="n">
        <v>45665.821875</v>
      </c>
      <c r="E249" s="10" t="n">
        <v>45665.83568287037</v>
      </c>
      <c r="F249" s="10" t="n">
        <v>45665.83707175926</v>
      </c>
      <c r="G249" s="3" t="inlineStr">
        <is>
          <t>OBT090125075111-Pitten (Hamburger)</t>
        </is>
      </c>
      <c r="H249" s="10" t="n">
        <v>45666.32721064815</v>
      </c>
      <c r="I249" s="10" t="n">
        <v>45666.35515046296</v>
      </c>
      <c r="J249" s="10" t="n">
        <v>45666.3559375</v>
      </c>
      <c r="K249" s="11">
        <f>IF(AND(ISNUMBER(D249),ISNUMBER(E249)),(E249-D249),"")</f>
        <v/>
      </c>
      <c r="L249" s="11">
        <f>IF(AND(ISNUMBER(F249),ISNUMBER(I249)),(I249-F249),"")</f>
        <v/>
      </c>
    </row>
    <row r="250">
      <c r="A250" s="3" t="inlineStr">
        <is>
          <t>1006402</t>
        </is>
      </c>
      <c r="B250" s="3" t="inlineStr">
        <is>
          <t>10064</t>
        </is>
      </c>
      <c r="C250" s="10" t="n">
        <v>45665.81972222222</v>
      </c>
      <c r="D250" s="10" t="n">
        <v>45665.821875</v>
      </c>
      <c r="E250" s="10" t="n">
        <v>45665.83707175926</v>
      </c>
      <c r="F250" s="10" t="n">
        <v>45665.83869212963</v>
      </c>
      <c r="G250" s="3" t="inlineStr">
        <is>
          <t>OBT090125184904-Obereggendorf (Hofer)</t>
        </is>
      </c>
      <c r="H250" s="10" t="n">
        <v>45666.78407407407</v>
      </c>
      <c r="I250" s="10" t="n">
        <v>45666.81584490741</v>
      </c>
      <c r="J250" s="10" t="n">
        <v>45666.81667824074</v>
      </c>
      <c r="K250" s="11">
        <f>IF(AND(ISNUMBER(D250),ISNUMBER(E250)),(E250-D250),"")</f>
        <v/>
      </c>
      <c r="L250" s="11">
        <f>IF(AND(ISNUMBER(F250),ISNUMBER(I250)),(I250-F250),"")</f>
        <v/>
      </c>
    </row>
    <row r="251">
      <c r="A251" s="3" t="inlineStr">
        <is>
          <t>1006403</t>
        </is>
      </c>
      <c r="B251" s="3" t="inlineStr">
        <is>
          <t>10064</t>
        </is>
      </c>
      <c r="C251" s="10" t="n">
        <v>45665.81972222222</v>
      </c>
      <c r="D251" s="10" t="n">
        <v>45665.821875</v>
      </c>
      <c r="E251" s="10" t="n">
        <v>45665.83869212963</v>
      </c>
      <c r="F251" s="10" t="n">
        <v>45665.84040509259</v>
      </c>
      <c r="G251" s="3" t="inlineStr">
        <is>
          <t>OBT090125184210-Steinabrückl/Wöllersdorf</t>
        </is>
      </c>
      <c r="H251" s="10" t="n">
        <v>45666.77928240741</v>
      </c>
      <c r="I251" s="10" t="n">
        <v>45666.81667824074</v>
      </c>
      <c r="J251" s="10" t="n">
        <v>45666.8174537037</v>
      </c>
      <c r="K251" s="11">
        <f>IF(AND(ISNUMBER(D251),ISNUMBER(E251)),(E251-D251),"")</f>
        <v/>
      </c>
      <c r="L251" s="11">
        <f>IF(AND(ISNUMBER(F251),ISNUMBER(I251)),(I251-F251),"")</f>
        <v/>
      </c>
    </row>
    <row r="252">
      <c r="A252" s="3" t="inlineStr">
        <is>
          <t>1006404</t>
        </is>
      </c>
      <c r="B252" s="3" t="inlineStr">
        <is>
          <t>10064</t>
        </is>
      </c>
      <c r="C252" s="10" t="n">
        <v>45665.81972222222</v>
      </c>
      <c r="D252" s="10" t="n">
        <v>45665.821875</v>
      </c>
      <c r="E252" s="10" t="n">
        <v>45665.84040509259</v>
      </c>
      <c r="F252" s="10" t="n">
        <v>45665.84244212963</v>
      </c>
      <c r="G252" s="3" t="inlineStr">
        <is>
          <t>OBT090125031241-Neunkirchen (loading tracks)</t>
        </is>
      </c>
      <c r="H252" s="10" t="n">
        <v>45666.13380787037</v>
      </c>
      <c r="I252" s="10" t="n">
        <v>45666.16887731481</v>
      </c>
      <c r="J252" s="10" t="n">
        <v>45666.16983796296</v>
      </c>
      <c r="K252" s="11">
        <f>IF(AND(ISNUMBER(D252),ISNUMBER(E252)),(E252-D252),"")</f>
        <v/>
      </c>
      <c r="L252" s="11">
        <f>IF(AND(ISNUMBER(F252),ISNUMBER(I252)),(I252-F252),"")</f>
        <v/>
      </c>
    </row>
    <row r="253">
      <c r="A253" s="3" t="inlineStr">
        <is>
          <t>1006405</t>
        </is>
      </c>
      <c r="B253" s="3" t="inlineStr">
        <is>
          <t>10064</t>
        </is>
      </c>
      <c r="C253" s="10" t="n">
        <v>45665.81972222222</v>
      </c>
      <c r="D253" s="10" t="n">
        <v>45665.821875</v>
      </c>
      <c r="E253" s="10" t="n">
        <v>45665.84244212963</v>
      </c>
      <c r="F253" s="10" t="n">
        <v>45665.84375</v>
      </c>
      <c r="G253" s="3" t="inlineStr">
        <is>
          <t>OBT090125063820-Ebenfurth (beet loading)</t>
        </is>
      </c>
      <c r="H253" s="10" t="n">
        <v>45666.27662037037</v>
      </c>
      <c r="I253" s="10" t="n">
        <v>45666.30206018518</v>
      </c>
      <c r="J253" s="10" t="n">
        <v>45666.30284722222</v>
      </c>
      <c r="K253" s="11">
        <f>IF(AND(ISNUMBER(D253),ISNUMBER(E253)),(E253-D253),"")</f>
        <v/>
      </c>
      <c r="L253" s="11">
        <f>IF(AND(ISNUMBER(F253),ISNUMBER(I253)),(I253-F253),"")</f>
        <v/>
      </c>
    </row>
    <row r="254">
      <c r="A254" s="3" t="inlineStr">
        <is>
          <t>1006406</t>
        </is>
      </c>
      <c r="B254" s="3" t="inlineStr">
        <is>
          <t>10064</t>
        </is>
      </c>
      <c r="C254" s="10" t="n">
        <v>45665.81972222222</v>
      </c>
      <c r="D254" s="10" t="n">
        <v>45665.821875</v>
      </c>
      <c r="E254" s="10" t="n">
        <v>45665.84375</v>
      </c>
      <c r="F254" s="10" t="n">
        <v>45665.84505787037</v>
      </c>
      <c r="G254" s="3" t="inlineStr">
        <is>
          <t>OBT090125030658-Wr. Neustadt (Hödlmayr)</t>
        </is>
      </c>
      <c r="H254" s="10" t="n">
        <v>45666.12983796297</v>
      </c>
      <c r="I254" s="10" t="n">
        <v>45666.14973379629</v>
      </c>
      <c r="J254" s="10" t="n">
        <v>45666.15041666666</v>
      </c>
      <c r="K254" s="11">
        <f>IF(AND(ISNUMBER(D254),ISNUMBER(E254)),(E254-D254),"")</f>
        <v/>
      </c>
      <c r="L254" s="11">
        <f>IF(AND(ISNUMBER(F254),ISNUMBER(I254)),(I254-F254),"")</f>
        <v/>
      </c>
    </row>
    <row r="255">
      <c r="A255" s="3" t="inlineStr">
        <is>
          <t>1006407</t>
        </is>
      </c>
      <c r="B255" s="3" t="inlineStr">
        <is>
          <t>10064</t>
        </is>
      </c>
      <c r="C255" s="10" t="n">
        <v>45665.81972222222</v>
      </c>
      <c r="D255" s="10" t="n">
        <v>45665.821875</v>
      </c>
      <c r="E255" s="10" t="n">
        <v>45665.84505787037</v>
      </c>
      <c r="F255" s="10" t="n">
        <v>45665.84701388889</v>
      </c>
      <c r="G255" s="3" t="inlineStr">
        <is>
          <t>OBT090125064202-Other sidings north</t>
        </is>
      </c>
      <c r="H255" s="10" t="n">
        <v>45666.27918981481</v>
      </c>
      <c r="I255" s="10" t="n">
        <v>45666.31120370371</v>
      </c>
      <c r="J255" s="10" t="n">
        <v>45666.31216435185</v>
      </c>
      <c r="K255" s="11">
        <f>IF(AND(ISNUMBER(D255),ISNUMBER(E255)),(E255-D255),"")</f>
        <v/>
      </c>
      <c r="L255" s="11">
        <f>IF(AND(ISNUMBER(F255),ISNUMBER(I255)),(I255-F255),"")</f>
        <v/>
      </c>
    </row>
    <row r="256">
      <c r="A256" s="3" t="inlineStr">
        <is>
          <t>1006408</t>
        </is>
      </c>
      <c r="B256" s="3" t="inlineStr">
        <is>
          <t>10064</t>
        </is>
      </c>
      <c r="C256" s="10" t="n">
        <v>45665.81972222222</v>
      </c>
      <c r="D256" s="10" t="n">
        <v>45665.821875</v>
      </c>
      <c r="E256" s="10" t="n">
        <v>45665.84701388889</v>
      </c>
      <c r="F256" s="10" t="n">
        <v>45665.84878472222</v>
      </c>
      <c r="G256" s="3" t="inlineStr">
        <is>
          <t>OBT090125075601-Wr. Neustadt Ausfahrbf (Furtenbach)</t>
        </is>
      </c>
      <c r="H256" s="10" t="n">
        <v>45666.33056712963</v>
      </c>
      <c r="I256" s="10" t="n">
        <v>45666.35303240741</v>
      </c>
      <c r="J256" s="10" t="n">
        <v>45666.35390046296</v>
      </c>
      <c r="K256" s="11">
        <f>IF(AND(ISNUMBER(D256),ISNUMBER(E256)),(E256-D256),"")</f>
        <v/>
      </c>
      <c r="L256" s="11">
        <f>IF(AND(ISNUMBER(F256),ISNUMBER(I256)),(I256-F256),"")</f>
        <v/>
      </c>
    </row>
    <row r="257">
      <c r="A257" s="3" t="inlineStr">
        <is>
          <t>1006409</t>
        </is>
      </c>
      <c r="B257" s="3" t="inlineStr">
        <is>
          <t>10064</t>
        </is>
      </c>
      <c r="C257" s="10" t="n">
        <v>45665.81972222222</v>
      </c>
      <c r="D257" s="10" t="n">
        <v>45665.821875</v>
      </c>
      <c r="E257" s="10" t="n">
        <v>45665.84878472222</v>
      </c>
      <c r="F257" s="10" t="n">
        <v>45665.85040509259</v>
      </c>
      <c r="G257" s="3" t="inlineStr">
        <is>
          <t>OBT090125184904-Obereggendorf (Hofer)</t>
        </is>
      </c>
      <c r="H257" s="10" t="n">
        <v>45666.78407407407</v>
      </c>
      <c r="I257" s="10" t="n">
        <v>45666.81584490741</v>
      </c>
      <c r="J257" s="10" t="n">
        <v>45666.81667824074</v>
      </c>
      <c r="K257" s="11">
        <f>IF(AND(ISNUMBER(D257),ISNUMBER(E257)),(E257-D257),"")</f>
        <v/>
      </c>
      <c r="L257" s="11">
        <f>IF(AND(ISNUMBER(F257),ISNUMBER(I257)),(I257-F257),"")</f>
        <v/>
      </c>
    </row>
    <row r="258">
      <c r="A258" s="3" t="inlineStr">
        <is>
          <t>1006501</t>
        </is>
      </c>
      <c r="B258" s="3" t="inlineStr">
        <is>
          <t>10065</t>
        </is>
      </c>
      <c r="C258" s="10" t="n">
        <v>45665.83609953704</v>
      </c>
      <c r="D258" s="10" t="n">
        <v>45665.83748842592</v>
      </c>
      <c r="E258" s="10" t="n">
        <v>45665.85127314815</v>
      </c>
      <c r="F258" s="10" t="n">
        <v>45665.85271990741</v>
      </c>
      <c r="G258" s="3" t="inlineStr">
        <is>
          <t>OBT080125203302-Wien Kledering</t>
        </is>
      </c>
      <c r="H258" s="10" t="n">
        <v>45665.85627314815</v>
      </c>
      <c r="I258" s="10" t="n">
        <v>45665.8771412037</v>
      </c>
      <c r="J258" s="10" t="n">
        <v>45665.87796296296</v>
      </c>
      <c r="K258" s="11">
        <f>IF(AND(ISNUMBER(D258),ISNUMBER(E258)),(E258-D258),"")</f>
        <v/>
      </c>
      <c r="L258" s="11">
        <f>IF(AND(ISNUMBER(F258),ISNUMBER(I258)),(I258-F258),"")</f>
        <v/>
      </c>
    </row>
    <row r="259">
      <c r="A259" s="3" t="inlineStr">
        <is>
          <t>1006601</t>
        </is>
      </c>
      <c r="B259" s="3" t="inlineStr">
        <is>
          <t>10066</t>
        </is>
      </c>
      <c r="C259" s="10" t="n">
        <v>45666.11569444444</v>
      </c>
      <c r="D259" s="10" t="n">
        <v>45666.11766203704</v>
      </c>
      <c r="E259" s="10" t="n">
        <v>45666.12457175926</v>
      </c>
      <c r="F259" s="10" t="n">
        <v>45666.12591435185</v>
      </c>
      <c r="G259" s="3" t="inlineStr">
        <is>
          <t>OBT090125030658-Wr. Neustadt (Hödlmayr)</t>
        </is>
      </c>
      <c r="H259" s="10" t="n">
        <v>45666.12983796297</v>
      </c>
      <c r="I259" s="10" t="n">
        <v>45666.14973379629</v>
      </c>
      <c r="J259" s="10" t="n">
        <v>45666.15041666666</v>
      </c>
      <c r="K259" s="11">
        <f>IF(AND(ISNUMBER(D259),ISNUMBER(E259)),(E259-D259),"")</f>
        <v/>
      </c>
      <c r="L259" s="11">
        <f>IF(AND(ISNUMBER(F259),ISNUMBER(I259)),(I259-F259),"")</f>
        <v/>
      </c>
    </row>
    <row r="260">
      <c r="A260" s="3" t="inlineStr">
        <is>
          <t>1006602</t>
        </is>
      </c>
      <c r="B260" s="3" t="inlineStr">
        <is>
          <t>10066</t>
        </is>
      </c>
      <c r="C260" s="10" t="n">
        <v>45666.11569444444</v>
      </c>
      <c r="D260" s="10" t="n">
        <v>45666.11766203704</v>
      </c>
      <c r="E260" s="10" t="n">
        <v>45666.12591435185</v>
      </c>
      <c r="F260" s="10" t="n">
        <v>45666.12768518519</v>
      </c>
      <c r="G260" s="3" t="inlineStr">
        <is>
          <t>OBT100125031522-Other sidings south</t>
        </is>
      </c>
      <c r="H260" s="10" t="n">
        <v>45667.1356712963</v>
      </c>
      <c r="I260" s="10" t="n">
        <v>45667.15913194444</v>
      </c>
      <c r="J260" s="10" t="n">
        <v>45667.15997685185</v>
      </c>
      <c r="K260" s="11">
        <f>IF(AND(ISNUMBER(D260),ISNUMBER(E260)),(E260-D260),"")</f>
        <v/>
      </c>
      <c r="L260" s="11">
        <f>IF(AND(ISNUMBER(F260),ISNUMBER(I260)),(I260-F260),"")</f>
        <v/>
      </c>
    </row>
    <row r="261">
      <c r="A261" s="3" t="inlineStr">
        <is>
          <t>1006603</t>
        </is>
      </c>
      <c r="B261" s="3" t="inlineStr">
        <is>
          <t>10066</t>
        </is>
      </c>
      <c r="C261" s="10" t="n">
        <v>45666.11569444444</v>
      </c>
      <c r="D261" s="10" t="n">
        <v>45666.11766203704</v>
      </c>
      <c r="E261" s="10" t="n">
        <v>45666.12768518519</v>
      </c>
      <c r="F261" s="10" t="n">
        <v>45666.1299074074</v>
      </c>
      <c r="G261" s="3" t="inlineStr">
        <is>
          <t>OBT090125031241-Neunkirchen (loading tracks)</t>
        </is>
      </c>
      <c r="H261" s="10" t="n">
        <v>45666.13380787037</v>
      </c>
      <c r="I261" s="10" t="n">
        <v>45666.16887731481</v>
      </c>
      <c r="J261" s="10" t="n">
        <v>45666.16983796296</v>
      </c>
      <c r="K261" s="11">
        <f>IF(AND(ISNUMBER(D261),ISNUMBER(E261)),(E261-D261),"")</f>
        <v/>
      </c>
      <c r="L261" s="11">
        <f>IF(AND(ISNUMBER(F261),ISNUMBER(I261)),(I261-F261),"")</f>
        <v/>
      </c>
    </row>
    <row r="262">
      <c r="A262" s="3" t="inlineStr">
        <is>
          <t>1006701</t>
        </is>
      </c>
      <c r="B262" s="3" t="inlineStr">
        <is>
          <t>10067</t>
        </is>
      </c>
      <c r="C262" s="10" t="n">
        <v>45666.25451388889</v>
      </c>
      <c r="D262" s="10" t="n">
        <v>45666.25697916667</v>
      </c>
      <c r="E262" s="10" t="n">
        <v>45666.27179398148</v>
      </c>
      <c r="F262" s="10" t="n">
        <v>45666.27306712963</v>
      </c>
      <c r="G262" s="3" t="inlineStr">
        <is>
          <t>OBT090125063820-Ebenfurth (beet loading)</t>
        </is>
      </c>
      <c r="H262" s="10" t="n">
        <v>45666.27662037037</v>
      </c>
      <c r="I262" s="10" t="n">
        <v>45666.30206018518</v>
      </c>
      <c r="J262" s="10" t="n">
        <v>45666.30284722222</v>
      </c>
      <c r="K262" s="11">
        <f>IF(AND(ISNUMBER(D262),ISNUMBER(E262)),(E262-D262),"")</f>
        <v/>
      </c>
      <c r="L262" s="11">
        <f>IF(AND(ISNUMBER(F262),ISNUMBER(I262)),(I262-F262),"")</f>
        <v/>
      </c>
    </row>
    <row r="263">
      <c r="A263" s="3" t="inlineStr">
        <is>
          <t>1006702</t>
        </is>
      </c>
      <c r="B263" s="3" t="inlineStr">
        <is>
          <t>10067</t>
        </is>
      </c>
      <c r="C263" s="10" t="n">
        <v>45666.25451388889</v>
      </c>
      <c r="D263" s="10" t="n">
        <v>45666.25697916667</v>
      </c>
      <c r="E263" s="10" t="n">
        <v>45666.27306712963</v>
      </c>
      <c r="F263" s="10" t="n">
        <v>45666.2752662037</v>
      </c>
      <c r="G263" s="3" t="inlineStr">
        <is>
          <t>OBT090125064202-Other sidings north</t>
        </is>
      </c>
      <c r="H263" s="10" t="n">
        <v>45666.27918981481</v>
      </c>
      <c r="I263" s="10" t="n">
        <v>45666.31120370371</v>
      </c>
      <c r="J263" s="10" t="n">
        <v>45666.31216435185</v>
      </c>
      <c r="K263" s="11">
        <f>IF(AND(ISNUMBER(D263),ISNUMBER(E263)),(E263-D263),"")</f>
        <v/>
      </c>
      <c r="L263" s="11">
        <f>IF(AND(ISNUMBER(F263),ISNUMBER(I263)),(I263-F263),"")</f>
        <v/>
      </c>
    </row>
    <row r="264">
      <c r="A264" s="3" t="inlineStr">
        <is>
          <t>1006703</t>
        </is>
      </c>
      <c r="B264" s="3" t="inlineStr">
        <is>
          <t>10067</t>
        </is>
      </c>
      <c r="C264" s="10" t="n">
        <v>45666.25451388889</v>
      </c>
      <c r="D264" s="10" t="n">
        <v>45666.25697916667</v>
      </c>
      <c r="E264" s="10" t="n">
        <v>45666.2752662037</v>
      </c>
      <c r="F264" s="10" t="n">
        <v>45666.27655092593</v>
      </c>
      <c r="G264" s="3" t="inlineStr">
        <is>
          <t>OBT090125182822-Neunkirchen (loading tracks)</t>
        </is>
      </c>
      <c r="H264" s="10" t="n">
        <v>45666.76969907407</v>
      </c>
      <c r="I264" s="10" t="n">
        <v>45666.80951388889</v>
      </c>
      <c r="J264" s="10" t="n">
        <v>45666.81018518518</v>
      </c>
      <c r="K264" s="11">
        <f>IF(AND(ISNUMBER(D264),ISNUMBER(E264)),(E264-D264),"")</f>
        <v/>
      </c>
      <c r="L264" s="11">
        <f>IF(AND(ISNUMBER(F264),ISNUMBER(I264)),(I264-F264),"")</f>
        <v/>
      </c>
    </row>
    <row r="265">
      <c r="A265" s="3" t="inlineStr">
        <is>
          <t>1006704</t>
        </is>
      </c>
      <c r="B265" s="3" t="inlineStr">
        <is>
          <t>10067</t>
        </is>
      </c>
      <c r="C265" s="10" t="n">
        <v>45666.25451388889</v>
      </c>
      <c r="D265" s="10" t="n">
        <v>45666.25697916667</v>
      </c>
      <c r="E265" s="10" t="n">
        <v>45666.27655092593</v>
      </c>
      <c r="F265" s="10" t="n">
        <v>45666.27858796297</v>
      </c>
      <c r="G265" s="3" t="inlineStr">
        <is>
          <t>OBT090125204342-Felixdorf/Sollenau (Bundesheer, Maba)</t>
        </is>
      </c>
      <c r="H265" s="10" t="n">
        <v>45666.86368055556</v>
      </c>
      <c r="I265" s="10" t="n">
        <v>45666.88584490741</v>
      </c>
      <c r="J265" s="10" t="n">
        <v>45666.88663194444</v>
      </c>
      <c r="K265" s="11">
        <f>IF(AND(ISNUMBER(D265),ISNUMBER(E265)),(E265-D265),"")</f>
        <v/>
      </c>
      <c r="L265" s="11">
        <f>IF(AND(ISNUMBER(F265),ISNUMBER(I265)),(I265-F265),"")</f>
        <v/>
      </c>
    </row>
    <row r="266">
      <c r="A266" s="3" t="inlineStr">
        <is>
          <t>1006705</t>
        </is>
      </c>
      <c r="B266" s="3" t="inlineStr">
        <is>
          <t>10067</t>
        </is>
      </c>
      <c r="C266" s="10" t="n">
        <v>45666.25451388889</v>
      </c>
      <c r="D266" s="10" t="n">
        <v>45666.25697916667</v>
      </c>
      <c r="E266" s="10" t="n">
        <v>45666.27858796297</v>
      </c>
      <c r="F266" s="10" t="n">
        <v>45666.27988425926</v>
      </c>
      <c r="G266" s="3" t="inlineStr">
        <is>
          <t>OBT090125182822-Neunkirchen (loading tracks)</t>
        </is>
      </c>
      <c r="H266" s="10" t="n">
        <v>45666.76969907407</v>
      </c>
      <c r="I266" s="10" t="n">
        <v>45666.80951388889</v>
      </c>
      <c r="J266" s="10" t="n">
        <v>45666.81018518518</v>
      </c>
      <c r="K266" s="11">
        <f>IF(AND(ISNUMBER(D266),ISNUMBER(E266)),(E266-D266),"")</f>
        <v/>
      </c>
      <c r="L266" s="11">
        <f>IF(AND(ISNUMBER(F266),ISNUMBER(I266)),(I266-F266),"")</f>
        <v/>
      </c>
    </row>
    <row r="267">
      <c r="A267" s="3" t="inlineStr">
        <is>
          <t>1006706</t>
        </is>
      </c>
      <c r="B267" s="3" t="inlineStr">
        <is>
          <t>10067</t>
        </is>
      </c>
      <c r="C267" s="10" t="n">
        <v>45666.25451388889</v>
      </c>
      <c r="D267" s="10" t="n">
        <v>45666.25697916667</v>
      </c>
      <c r="E267" s="10" t="n">
        <v>45666.27988425926</v>
      </c>
      <c r="F267" s="10" t="n">
        <v>45666.28115740741</v>
      </c>
      <c r="G267" s="3" t="inlineStr">
        <is>
          <t>OBT130125092620-Ternitz (Schoeller-Bleckmann)</t>
        </is>
      </c>
      <c r="H267" s="10" t="n">
        <v>45670.39328703703</v>
      </c>
      <c r="I267" s="10" t="n">
        <v>45670.42590277778</v>
      </c>
      <c r="J267" s="10" t="n">
        <v>45670.426875</v>
      </c>
      <c r="K267" s="11">
        <f>IF(AND(ISNUMBER(D267),ISNUMBER(E267)),(E267-D267),"")</f>
        <v/>
      </c>
      <c r="L267" s="11">
        <f>IF(AND(ISNUMBER(F267),ISNUMBER(I267)),(I267-F267),"")</f>
        <v/>
      </c>
    </row>
    <row r="268">
      <c r="A268" s="3" t="inlineStr">
        <is>
          <t>1006707</t>
        </is>
      </c>
      <c r="B268" s="3" t="inlineStr">
        <is>
          <t>10067</t>
        </is>
      </c>
      <c r="C268" s="10" t="n">
        <v>45666.25451388889</v>
      </c>
      <c r="D268" s="10" t="n">
        <v>45666.25697916667</v>
      </c>
      <c r="E268" s="10" t="n">
        <v>45666.28115740741</v>
      </c>
      <c r="F268" s="10" t="n">
        <v>45666.28259259259</v>
      </c>
      <c r="G268" s="3" t="inlineStr">
        <is>
          <t>OBT090125075111-Pitten (Hamburger)</t>
        </is>
      </c>
      <c r="H268" s="10" t="n">
        <v>45666.32721064815</v>
      </c>
      <c r="I268" s="10" t="n">
        <v>45666.35515046296</v>
      </c>
      <c r="J268" s="10" t="n">
        <v>45666.3559375</v>
      </c>
      <c r="K268" s="11">
        <f>IF(AND(ISNUMBER(D268),ISNUMBER(E268)),(E268-D268),"")</f>
        <v/>
      </c>
      <c r="L268" s="11">
        <f>IF(AND(ISNUMBER(F268),ISNUMBER(I268)),(I268-F268),"")</f>
        <v/>
      </c>
    </row>
    <row r="269">
      <c r="A269" s="3" t="inlineStr">
        <is>
          <t>1006708</t>
        </is>
      </c>
      <c r="B269" s="3" t="inlineStr">
        <is>
          <t>10067</t>
        </is>
      </c>
      <c r="C269" s="10" t="n">
        <v>45666.25451388889</v>
      </c>
      <c r="D269" s="10" t="n">
        <v>45666.25697916667</v>
      </c>
      <c r="E269" s="10" t="n">
        <v>45666.28259259259</v>
      </c>
      <c r="F269" s="10" t="n">
        <v>45666.28459490741</v>
      </c>
      <c r="G269" s="3" t="inlineStr">
        <is>
          <t>OBT090125152828-Neudörfl (FunderMax)</t>
        </is>
      </c>
      <c r="H269" s="10" t="n">
        <v>45666.64476851852</v>
      </c>
      <c r="I269" s="10" t="n">
        <v>45666.66592592592</v>
      </c>
      <c r="J269" s="10" t="n">
        <v>45666.66673611111</v>
      </c>
      <c r="K269" s="11">
        <f>IF(AND(ISNUMBER(D269),ISNUMBER(E269)),(E269-D269),"")</f>
        <v/>
      </c>
      <c r="L269" s="11">
        <f>IF(AND(ISNUMBER(F269),ISNUMBER(I269)),(I269-F269),"")</f>
        <v/>
      </c>
    </row>
    <row r="270">
      <c r="A270" s="3" t="inlineStr">
        <is>
          <t>1006709</t>
        </is>
      </c>
      <c r="B270" s="3" t="inlineStr">
        <is>
          <t>10067</t>
        </is>
      </c>
      <c r="C270" s="10" t="n">
        <v>45666.25451388889</v>
      </c>
      <c r="D270" s="10" t="n">
        <v>45666.25697916667</v>
      </c>
      <c r="E270" s="10" t="n">
        <v>45666.28459490741</v>
      </c>
      <c r="F270" s="10" t="n">
        <v>45666.28641203704</v>
      </c>
      <c r="G270" s="3" t="inlineStr">
        <is>
          <t>OBT100125031522-Other sidings south</t>
        </is>
      </c>
      <c r="H270" s="10" t="n">
        <v>45667.1356712963</v>
      </c>
      <c r="I270" s="10" t="n">
        <v>45667.15913194444</v>
      </c>
      <c r="J270" s="10" t="n">
        <v>45667.15997685185</v>
      </c>
      <c r="K270" s="11">
        <f>IF(AND(ISNUMBER(D270),ISNUMBER(E270)),(E270-D270),"")</f>
        <v/>
      </c>
      <c r="L270" s="11">
        <f>IF(AND(ISNUMBER(F270),ISNUMBER(I270)),(I270-F270),"")</f>
        <v/>
      </c>
    </row>
    <row r="271">
      <c r="A271" s="3" t="inlineStr">
        <is>
          <t>1006801</t>
        </is>
      </c>
      <c r="B271" s="3" t="inlineStr">
        <is>
          <t>10068</t>
        </is>
      </c>
      <c r="C271" s="10" t="n">
        <v>45666.27219907408</v>
      </c>
      <c r="D271" s="10" t="n">
        <v>45666.27378472222</v>
      </c>
      <c r="E271" s="10" t="n">
        <v>45666.28728009259</v>
      </c>
      <c r="F271" s="10" t="n">
        <v>45666.28954861111</v>
      </c>
      <c r="G271" s="3" t="inlineStr">
        <is>
          <t>OBT090125070004-Wien Kledering</t>
        </is>
      </c>
      <c r="H271" s="10" t="n">
        <v>45666.29171296296</v>
      </c>
      <c r="I271" s="10" t="n">
        <v>45666.32604166667</v>
      </c>
      <c r="J271" s="10" t="n">
        <v>45666.32685185185</v>
      </c>
      <c r="K271" s="11">
        <f>IF(AND(ISNUMBER(D271),ISNUMBER(E271)),(E271-D271),"")</f>
        <v/>
      </c>
      <c r="L271" s="11">
        <f>IF(AND(ISNUMBER(F271),ISNUMBER(I271)),(I271-F271),"")</f>
        <v/>
      </c>
    </row>
    <row r="272">
      <c r="A272" s="3" t="inlineStr">
        <is>
          <t>1007001</t>
        </is>
      </c>
      <c r="B272" s="3" t="inlineStr">
        <is>
          <t>10070</t>
        </is>
      </c>
      <c r="C272" s="10" t="n">
        <v>45666.30615740741</v>
      </c>
      <c r="D272" s="10" t="n">
        <v>45666.30806712963</v>
      </c>
      <c r="E272" s="10" t="n">
        <v>45666.31414351852</v>
      </c>
      <c r="F272" s="10" t="n">
        <v>45666.31633101852</v>
      </c>
      <c r="G272" s="3" t="inlineStr">
        <is>
          <t>OBT090125074546-Wr. Neustadt (Brenntag)</t>
        </is>
      </c>
      <c r="H272" s="10" t="n">
        <v>45666.32344907407</v>
      </c>
      <c r="I272" s="10" t="n">
        <v>45666.39607638889</v>
      </c>
      <c r="J272" s="10" t="n">
        <v>45666.39756944445</v>
      </c>
      <c r="K272" s="11">
        <f>IF(AND(ISNUMBER(D272),ISNUMBER(E272)),(E272-D272),"")</f>
        <v/>
      </c>
      <c r="L272" s="11">
        <f>IF(AND(ISNUMBER(F272),ISNUMBER(I272)),(I272-F272),"")</f>
        <v/>
      </c>
    </row>
    <row r="273">
      <c r="A273" s="3" t="inlineStr">
        <is>
          <t>1006901</t>
        </is>
      </c>
      <c r="B273" s="3" t="inlineStr">
        <is>
          <t>10069</t>
        </is>
      </c>
      <c r="C273" s="10" t="n">
        <v>45666.3006712963</v>
      </c>
      <c r="D273" s="10" t="n">
        <v>45666.30290509259</v>
      </c>
      <c r="E273" s="10" t="n">
        <v>45666.31711805556</v>
      </c>
      <c r="F273" s="10" t="n">
        <v>45666.31839120371</v>
      </c>
      <c r="G273" s="3" t="inlineStr">
        <is>
          <t>OBT090125153646-Ebenfurth (beet loading)</t>
        </is>
      </c>
      <c r="H273" s="10" t="n">
        <v>45666.65053240741</v>
      </c>
      <c r="I273" s="10" t="n">
        <v>45666.69666666666</v>
      </c>
      <c r="J273" s="10" t="n">
        <v>45666.69753472223</v>
      </c>
      <c r="K273" s="11">
        <f>IF(AND(ISNUMBER(D273),ISNUMBER(E273)),(E273-D273),"")</f>
        <v/>
      </c>
      <c r="L273" s="11">
        <f>IF(AND(ISNUMBER(F273),ISNUMBER(I273)),(I273-F273),"")</f>
        <v/>
      </c>
    </row>
    <row r="274">
      <c r="A274" s="3" t="inlineStr">
        <is>
          <t>1006902</t>
        </is>
      </c>
      <c r="B274" s="3" t="inlineStr">
        <is>
          <t>10069</t>
        </is>
      </c>
      <c r="C274" s="10" t="n">
        <v>45666.3006712963</v>
      </c>
      <c r="D274" s="10" t="n">
        <v>45666.30290509259</v>
      </c>
      <c r="E274" s="10" t="n">
        <v>45666.31839120371</v>
      </c>
      <c r="F274" s="10" t="n">
        <v>45666.31988425926</v>
      </c>
      <c r="G274" s="3" t="inlineStr">
        <is>
          <t>OBT090125074546-Wr. Neustadt (Brenntag)</t>
        </is>
      </c>
      <c r="H274" s="10" t="n">
        <v>45666.32344907407</v>
      </c>
      <c r="I274" s="10" t="n">
        <v>45666.39607638889</v>
      </c>
      <c r="J274" s="10" t="n">
        <v>45666.39756944445</v>
      </c>
      <c r="K274" s="11">
        <f>IF(AND(ISNUMBER(D274),ISNUMBER(E274)),(E274-D274),"")</f>
        <v/>
      </c>
      <c r="L274" s="11">
        <f>IF(AND(ISNUMBER(F274),ISNUMBER(I274)),(I274-F274),"")</f>
        <v/>
      </c>
    </row>
    <row r="275">
      <c r="A275" s="3" t="inlineStr">
        <is>
          <t>1006903</t>
        </is>
      </c>
      <c r="B275" s="3" t="inlineStr">
        <is>
          <t>10069</t>
        </is>
      </c>
      <c r="C275" s="10" t="n">
        <v>45666.3006712963</v>
      </c>
      <c r="D275" s="10" t="n">
        <v>45666.30290509259</v>
      </c>
      <c r="E275" s="10" t="n">
        <v>45666.31988425926</v>
      </c>
      <c r="F275" s="10" t="n">
        <v>45666.32185185186</v>
      </c>
      <c r="G275" s="3" t="inlineStr">
        <is>
          <t>OBT090125152828-Neudörfl (FunderMax)</t>
        </is>
      </c>
      <c r="H275" s="10" t="n">
        <v>45666.64476851852</v>
      </c>
      <c r="I275" s="10" t="n">
        <v>45666.66592592592</v>
      </c>
      <c r="J275" s="10" t="n">
        <v>45666.66673611111</v>
      </c>
      <c r="K275" s="11">
        <f>IF(AND(ISNUMBER(D275),ISNUMBER(E275)),(E275-D275),"")</f>
        <v/>
      </c>
      <c r="L275" s="11">
        <f>IF(AND(ISNUMBER(F275),ISNUMBER(I275)),(I275-F275),"")</f>
        <v/>
      </c>
    </row>
    <row r="276">
      <c r="A276" s="3" t="inlineStr">
        <is>
          <t>1006904</t>
        </is>
      </c>
      <c r="B276" s="3" t="inlineStr">
        <is>
          <t>10069</t>
        </is>
      </c>
      <c r="C276" s="10" t="n">
        <v>45666.3006712963</v>
      </c>
      <c r="D276" s="10" t="n">
        <v>45666.30290509259</v>
      </c>
      <c r="E276" s="10" t="n">
        <v>45666.32185185186</v>
      </c>
      <c r="F276" s="10" t="n">
        <v>45666.32331018519</v>
      </c>
      <c r="G276" s="3" t="inlineStr">
        <is>
          <t>OBT090125075111-Pitten (Hamburger)</t>
        </is>
      </c>
      <c r="H276" s="10" t="n">
        <v>45666.32721064815</v>
      </c>
      <c r="I276" s="10" t="n">
        <v>45666.35515046296</v>
      </c>
      <c r="J276" s="10" t="n">
        <v>45666.3559375</v>
      </c>
      <c r="K276" s="11">
        <f>IF(AND(ISNUMBER(D276),ISNUMBER(E276)),(E276-D276),"")</f>
        <v/>
      </c>
      <c r="L276" s="11">
        <f>IF(AND(ISNUMBER(F276),ISNUMBER(I276)),(I276-F276),"")</f>
        <v/>
      </c>
    </row>
    <row r="277">
      <c r="A277" s="3" t="inlineStr">
        <is>
          <t>1006905</t>
        </is>
      </c>
      <c r="B277" s="3" t="inlineStr">
        <is>
          <t>10069</t>
        </is>
      </c>
      <c r="C277" s="10" t="n">
        <v>45666.3006712963</v>
      </c>
      <c r="D277" s="10" t="n">
        <v>45666.30290509259</v>
      </c>
      <c r="E277" s="10" t="n">
        <v>45666.32331018519</v>
      </c>
      <c r="F277" s="10" t="n">
        <v>45666.3250462963</v>
      </c>
      <c r="G277" s="3" t="inlineStr">
        <is>
          <t>OBT090125075601-Wr. Neustadt Ausfahrbf (Furtenbach)</t>
        </is>
      </c>
      <c r="H277" s="10" t="n">
        <v>45666.33056712963</v>
      </c>
      <c r="I277" s="10" t="n">
        <v>45666.35303240741</v>
      </c>
      <c r="J277" s="10" t="n">
        <v>45666.35390046296</v>
      </c>
      <c r="K277" s="11">
        <f>IF(AND(ISNUMBER(D277),ISNUMBER(E277)),(E277-D277),"")</f>
        <v/>
      </c>
      <c r="L277" s="11">
        <f>IF(AND(ISNUMBER(F277),ISNUMBER(I277)),(I277-F277),"")</f>
        <v/>
      </c>
    </row>
    <row r="278">
      <c r="A278" s="3" t="inlineStr">
        <is>
          <t>1006906</t>
        </is>
      </c>
      <c r="B278" s="3" t="inlineStr">
        <is>
          <t>10069</t>
        </is>
      </c>
      <c r="C278" s="10" t="n">
        <v>45666.3006712963</v>
      </c>
      <c r="D278" s="10" t="n">
        <v>45666.30290509259</v>
      </c>
      <c r="E278" s="10" t="n">
        <v>45666.3250462963</v>
      </c>
      <c r="F278" s="10" t="n">
        <v>45666.32633101852</v>
      </c>
      <c r="G278" s="3" t="inlineStr">
        <is>
          <t>OBT090125182822-Neunkirchen (loading tracks)</t>
        </is>
      </c>
      <c r="H278" s="10" t="n">
        <v>45666.76969907407</v>
      </c>
      <c r="I278" s="10" t="n">
        <v>45666.80951388889</v>
      </c>
      <c r="J278" s="10" t="n">
        <v>45666.81018518518</v>
      </c>
      <c r="K278" s="11">
        <f>IF(AND(ISNUMBER(D278),ISNUMBER(E278)),(E278-D278),"")</f>
        <v/>
      </c>
      <c r="L278" s="11">
        <f>IF(AND(ISNUMBER(F278),ISNUMBER(I278)),(I278-F278),"")</f>
        <v/>
      </c>
    </row>
    <row r="279">
      <c r="A279" s="3" t="inlineStr">
        <is>
          <t>1006907</t>
        </is>
      </c>
      <c r="B279" s="3" t="inlineStr">
        <is>
          <t>10069</t>
        </is>
      </c>
      <c r="C279" s="10" t="n">
        <v>45666.3006712963</v>
      </c>
      <c r="D279" s="10" t="n">
        <v>45666.30290509259</v>
      </c>
      <c r="E279" s="10" t="n">
        <v>45666.32633101852</v>
      </c>
      <c r="F279" s="10" t="n">
        <v>45666.32789351852</v>
      </c>
      <c r="G279" s="3" t="inlineStr">
        <is>
          <t>OBT090125153241-Pitten (Hamburger)</t>
        </is>
      </c>
      <c r="H279" s="10" t="n">
        <v>45666.64769675926</v>
      </c>
      <c r="I279" s="10" t="n">
        <v>45666.6765625</v>
      </c>
      <c r="J279" s="10" t="n">
        <v>45666.67734953704</v>
      </c>
      <c r="K279" s="11">
        <f>IF(AND(ISNUMBER(D279),ISNUMBER(E279)),(E279-D279),"")</f>
        <v/>
      </c>
      <c r="L279" s="11">
        <f>IF(AND(ISNUMBER(F279),ISNUMBER(I279)),(I279-F279),"")</f>
        <v/>
      </c>
    </row>
    <row r="280">
      <c r="A280" s="3" t="inlineStr">
        <is>
          <t>1007101</t>
        </is>
      </c>
      <c r="B280" s="3" t="inlineStr">
        <is>
          <t>10071</t>
        </is>
      </c>
      <c r="C280" s="10" t="n">
        <v>45666.32731481481</v>
      </c>
      <c r="D280" s="10" t="n">
        <v>45666.32935185185</v>
      </c>
      <c r="E280" s="10" t="n">
        <v>45666.33622685185</v>
      </c>
      <c r="F280" s="10" t="n">
        <v>45666.33900462963</v>
      </c>
      <c r="G280" s="3" t="inlineStr">
        <is>
          <t>OBT090125083304-Wien Kledering</t>
        </is>
      </c>
      <c r="H280" s="10" t="n">
        <v>45666.3562962963</v>
      </c>
      <c r="I280" s="10" t="n">
        <v>45666.42337962963</v>
      </c>
      <c r="J280" s="10" t="n">
        <v>45666.42481481482</v>
      </c>
      <c r="K280" s="11">
        <f>IF(AND(ISNUMBER(D280),ISNUMBER(E280)),(E280-D280),"")</f>
        <v/>
      </c>
      <c r="L280" s="11">
        <f>IF(AND(ISNUMBER(F280),ISNUMBER(I280)),(I280-F280),"")</f>
        <v/>
      </c>
    </row>
    <row r="281">
      <c r="A281" s="3" t="inlineStr">
        <is>
          <t>1007201</t>
        </is>
      </c>
      <c r="B281" s="3" t="inlineStr">
        <is>
          <t>10072</t>
        </is>
      </c>
      <c r="C281" s="10" t="n">
        <v>45666.36471064815</v>
      </c>
      <c r="D281" s="10" t="n">
        <v>45666.3671412037</v>
      </c>
      <c r="E281" s="10" t="n">
        <v>45666.37476851852</v>
      </c>
      <c r="F281" s="10" t="n">
        <v>45666.37673611111</v>
      </c>
      <c r="G281" s="3" t="inlineStr">
        <is>
          <t>OBT090125090557-Wien Kledering</t>
        </is>
      </c>
      <c r="H281" s="10" t="n">
        <v>45666.37913194444</v>
      </c>
      <c r="I281" s="10" t="n">
        <v>45666.4053587963</v>
      </c>
      <c r="J281" s="10" t="n">
        <v>45666.40622685185</v>
      </c>
      <c r="K281" s="11">
        <f>IF(AND(ISNUMBER(D281),ISNUMBER(E281)),(E281-D281),"")</f>
        <v/>
      </c>
      <c r="L281" s="11">
        <f>IF(AND(ISNUMBER(F281),ISNUMBER(I281)),(I281-F281),"")</f>
        <v/>
      </c>
    </row>
    <row r="282">
      <c r="A282" s="3" t="inlineStr">
        <is>
          <t>1007202</t>
        </is>
      </c>
      <c r="B282" s="3" t="inlineStr">
        <is>
          <t>10072</t>
        </is>
      </c>
      <c r="C282" s="10" t="n">
        <v>45666.36471064815</v>
      </c>
      <c r="D282" s="10" t="n">
        <v>45666.3671412037</v>
      </c>
      <c r="E282" s="10" t="n">
        <v>45666.37673611111</v>
      </c>
      <c r="F282" s="10" t="n">
        <v>45666.37917824074</v>
      </c>
      <c r="G282" s="3" t="inlineStr">
        <is>
          <t>OBT090125091140-St. Veit an der Glan</t>
        </is>
      </c>
      <c r="H282" s="10" t="n">
        <v>45666.38310185185</v>
      </c>
      <c r="I282" s="10" t="n">
        <v>45666.44372685185</v>
      </c>
      <c r="J282" s="10" t="n">
        <v>45666.4447337963</v>
      </c>
      <c r="K282" s="11">
        <f>IF(AND(ISNUMBER(D282),ISNUMBER(E282)),(E282-D282),"")</f>
        <v/>
      </c>
      <c r="L282" s="11">
        <f>IF(AND(ISNUMBER(F282),ISNUMBER(I282)),(I282-F282),"")</f>
        <v/>
      </c>
    </row>
    <row r="283">
      <c r="A283" s="3" t="inlineStr">
        <is>
          <t>1007301</t>
        </is>
      </c>
      <c r="B283" s="3" t="inlineStr">
        <is>
          <t>10073</t>
        </is>
      </c>
      <c r="C283" s="10" t="n">
        <v>45666.45163194444</v>
      </c>
      <c r="D283" s="10" t="n">
        <v>45666.45423611111</v>
      </c>
      <c r="E283" s="10" t="n">
        <v>45666.46251157407</v>
      </c>
      <c r="F283" s="10" t="n">
        <v>45666.46443287037</v>
      </c>
      <c r="G283" s="3" t="inlineStr">
        <is>
          <t>OBT100125092212-St. Veit an der Glan</t>
        </is>
      </c>
      <c r="H283" s="10" t="n">
        <v>45667.39041666667</v>
      </c>
      <c r="I283" s="10" t="n">
        <v>45667.41510416667</v>
      </c>
      <c r="J283" s="10" t="n">
        <v>45667.41582175926</v>
      </c>
      <c r="K283" s="11">
        <f>IF(AND(ISNUMBER(D283),ISNUMBER(E283)),(E283-D283),"")</f>
        <v/>
      </c>
      <c r="L283" s="11">
        <f>IF(AND(ISNUMBER(F283),ISNUMBER(I283)),(I283-F283),"")</f>
        <v/>
      </c>
    </row>
    <row r="284">
      <c r="A284" s="3" t="inlineStr">
        <is>
          <t>1007302</t>
        </is>
      </c>
      <c r="B284" s="3" t="inlineStr">
        <is>
          <t>10073</t>
        </is>
      </c>
      <c r="C284" s="10" t="n">
        <v>45666.45163194444</v>
      </c>
      <c r="D284" s="10" t="n">
        <v>45666.45423611111</v>
      </c>
      <c r="E284" s="10" t="n">
        <v>45666.46443287037</v>
      </c>
      <c r="F284" s="10" t="n">
        <v>45666.46708333334</v>
      </c>
      <c r="G284" s="3" t="inlineStr">
        <is>
          <t>OBT090125111603-Wien Kledering</t>
        </is>
      </c>
      <c r="H284" s="10" t="n">
        <v>45666.46947916667</v>
      </c>
      <c r="I284" s="10" t="n">
        <v>45666.54231481482</v>
      </c>
      <c r="J284" s="10" t="n">
        <v>45666.54386574074</v>
      </c>
      <c r="K284" s="11">
        <f>IF(AND(ISNUMBER(D284),ISNUMBER(E284)),(E284-D284),"")</f>
        <v/>
      </c>
      <c r="L284" s="11">
        <f>IF(AND(ISNUMBER(F284),ISNUMBER(I284)),(I284-F284),"")</f>
        <v/>
      </c>
    </row>
    <row r="285">
      <c r="A285" s="3" t="inlineStr">
        <is>
          <t>1007401</t>
        </is>
      </c>
      <c r="B285" s="3" t="inlineStr">
        <is>
          <t>10074</t>
        </is>
      </c>
      <c r="C285" s="10" t="n">
        <v>45666.60678240741</v>
      </c>
      <c r="D285" s="10" t="n">
        <v>45666.60893518518</v>
      </c>
      <c r="E285" s="10" t="n">
        <v>45666.61451388889</v>
      </c>
      <c r="F285" s="10" t="n">
        <v>45666.61677083333</v>
      </c>
      <c r="G285" s="3" t="inlineStr">
        <is>
          <t>OBT090125145115-Wien Kledering</t>
        </is>
      </c>
      <c r="H285" s="10" t="n">
        <v>45666.61892361111</v>
      </c>
      <c r="I285" s="10" t="n">
        <v>45666.66170138889</v>
      </c>
      <c r="J285" s="10" t="n">
        <v>45666.6628587963</v>
      </c>
      <c r="K285" s="11">
        <f>IF(AND(ISNUMBER(D285),ISNUMBER(E285)),(E285-D285),"")</f>
        <v/>
      </c>
      <c r="L285" s="11">
        <f>IF(AND(ISNUMBER(F285),ISNUMBER(I285)),(I285-F285),"")</f>
        <v/>
      </c>
    </row>
    <row r="286">
      <c r="A286" s="3" t="inlineStr">
        <is>
          <t>1007501</t>
        </is>
      </c>
      <c r="B286" s="3" t="inlineStr">
        <is>
          <t>10075</t>
        </is>
      </c>
      <c r="C286" s="10" t="n">
        <v>45666.62534722222</v>
      </c>
      <c r="D286" s="10" t="n">
        <v>45666.62788194444</v>
      </c>
      <c r="E286" s="10" t="n">
        <v>45666.63916666667</v>
      </c>
      <c r="F286" s="10" t="n">
        <v>45666.64121527778</v>
      </c>
      <c r="G286" s="3" t="inlineStr">
        <is>
          <t>OBT090125152828-Neudörfl (FunderMax)</t>
        </is>
      </c>
      <c r="H286" s="10" t="n">
        <v>45666.64476851852</v>
      </c>
      <c r="I286" s="10" t="n">
        <v>45666.66592592592</v>
      </c>
      <c r="J286" s="10" t="n">
        <v>45666.66673611111</v>
      </c>
      <c r="K286" s="11">
        <f>IF(AND(ISNUMBER(D286),ISNUMBER(E286)),(E286-D286),"")</f>
        <v/>
      </c>
      <c r="L286" s="11">
        <f>IF(AND(ISNUMBER(F286),ISNUMBER(I286)),(I286-F286),"")</f>
        <v/>
      </c>
    </row>
    <row r="287">
      <c r="A287" s="3" t="inlineStr">
        <is>
          <t>1007502</t>
        </is>
      </c>
      <c r="B287" s="3" t="inlineStr">
        <is>
          <t>10075</t>
        </is>
      </c>
      <c r="C287" s="10" t="n">
        <v>45666.62534722222</v>
      </c>
      <c r="D287" s="10" t="n">
        <v>45666.62788194444</v>
      </c>
      <c r="E287" s="10" t="n">
        <v>45666.64121527778</v>
      </c>
      <c r="F287" s="10" t="n">
        <v>45666.64334490741</v>
      </c>
      <c r="G287" s="3" t="inlineStr">
        <is>
          <t>OBT090125182601-Other sidings north</t>
        </is>
      </c>
      <c r="H287" s="10" t="n">
        <v>45666.76806712963</v>
      </c>
      <c r="I287" s="10" t="n">
        <v>45666.79645833333</v>
      </c>
      <c r="J287" s="10" t="n">
        <v>45666.79736111111</v>
      </c>
      <c r="K287" s="11">
        <f>IF(AND(ISNUMBER(D287),ISNUMBER(E287)),(E287-D287),"")</f>
        <v/>
      </c>
      <c r="L287" s="11">
        <f>IF(AND(ISNUMBER(F287),ISNUMBER(I287)),(I287-F287),"")</f>
        <v/>
      </c>
    </row>
    <row r="288">
      <c r="A288" s="3" t="inlineStr">
        <is>
          <t>1007503</t>
        </is>
      </c>
      <c r="B288" s="3" t="inlineStr">
        <is>
          <t>10075</t>
        </is>
      </c>
      <c r="C288" s="10" t="n">
        <v>45666.62534722222</v>
      </c>
      <c r="D288" s="10" t="n">
        <v>45666.62788194444</v>
      </c>
      <c r="E288" s="10" t="n">
        <v>45666.64334490741</v>
      </c>
      <c r="F288" s="10" t="n">
        <v>45666.645</v>
      </c>
      <c r="G288" s="3" t="inlineStr">
        <is>
          <t>OBT090125153241-Pitten (Hamburger)</t>
        </is>
      </c>
      <c r="H288" s="10" t="n">
        <v>45666.64769675926</v>
      </c>
      <c r="I288" s="10" t="n">
        <v>45666.6765625</v>
      </c>
      <c r="J288" s="10" t="n">
        <v>45666.67734953704</v>
      </c>
      <c r="K288" s="11">
        <f>IF(AND(ISNUMBER(D288),ISNUMBER(E288)),(E288-D288),"")</f>
        <v/>
      </c>
      <c r="L288" s="11">
        <f>IF(AND(ISNUMBER(F288),ISNUMBER(I288)),(I288-F288),"")</f>
        <v/>
      </c>
    </row>
    <row r="289">
      <c r="A289" s="3" t="inlineStr">
        <is>
          <t>1007504</t>
        </is>
      </c>
      <c r="B289" s="3" t="inlineStr">
        <is>
          <t>10075</t>
        </is>
      </c>
      <c r="C289" s="10" t="n">
        <v>45666.62534722222</v>
      </c>
      <c r="D289" s="10" t="n">
        <v>45666.62788194444</v>
      </c>
      <c r="E289" s="10" t="n">
        <v>45666.645</v>
      </c>
      <c r="F289" s="10" t="n">
        <v>45666.64637731481</v>
      </c>
      <c r="G289" s="3" t="inlineStr">
        <is>
          <t>OBT090125153646-Ebenfurth (beet loading)</t>
        </is>
      </c>
      <c r="H289" s="10" t="n">
        <v>45666.65053240741</v>
      </c>
      <c r="I289" s="10" t="n">
        <v>45666.69666666666</v>
      </c>
      <c r="J289" s="10" t="n">
        <v>45666.69753472223</v>
      </c>
      <c r="K289" s="11">
        <f>IF(AND(ISNUMBER(D289),ISNUMBER(E289)),(E289-D289),"")</f>
        <v/>
      </c>
      <c r="L289" s="11">
        <f>IF(AND(ISNUMBER(F289),ISNUMBER(I289)),(I289-F289),"")</f>
        <v/>
      </c>
    </row>
    <row r="290">
      <c r="A290" s="3" t="inlineStr">
        <is>
          <t>1007505</t>
        </is>
      </c>
      <c r="B290" s="3" t="inlineStr">
        <is>
          <t>10075</t>
        </is>
      </c>
      <c r="C290" s="10" t="n">
        <v>45666.62534722222</v>
      </c>
      <c r="D290" s="10" t="n">
        <v>45666.62788194444</v>
      </c>
      <c r="E290" s="10" t="n">
        <v>45666.64637731481</v>
      </c>
      <c r="F290" s="10" t="n">
        <v>45666.64798611111</v>
      </c>
      <c r="G290" s="3" t="inlineStr">
        <is>
          <t>OBT090125184904-Obereggendorf (Hofer)</t>
        </is>
      </c>
      <c r="H290" s="10" t="n">
        <v>45666.78407407407</v>
      </c>
      <c r="I290" s="10" t="n">
        <v>45666.81584490741</v>
      </c>
      <c r="J290" s="10" t="n">
        <v>45666.81667824074</v>
      </c>
      <c r="K290" s="11">
        <f>IF(AND(ISNUMBER(D290),ISNUMBER(E290)),(E290-D290),"")</f>
        <v/>
      </c>
      <c r="L290" s="11">
        <f>IF(AND(ISNUMBER(F290),ISNUMBER(I290)),(I290-F290),"")</f>
        <v/>
      </c>
    </row>
    <row r="291">
      <c r="A291" s="3" t="inlineStr">
        <is>
          <t>1007601</t>
        </is>
      </c>
      <c r="B291" s="3" t="inlineStr">
        <is>
          <t>10076</t>
        </is>
      </c>
      <c r="C291" s="10" t="n">
        <v>45666.64368055556</v>
      </c>
      <c r="D291" s="10" t="n">
        <v>45666.64556712963</v>
      </c>
      <c r="E291" s="10" t="n">
        <v>45666.65178240741</v>
      </c>
      <c r="F291" s="10" t="n">
        <v>45666.65394675926</v>
      </c>
      <c r="G291" s="3" t="inlineStr">
        <is>
          <t>OBT090125155728-Wien Kledering</t>
        </is>
      </c>
      <c r="H291" s="10" t="n">
        <v>45666.66490740741</v>
      </c>
      <c r="I291" s="10" t="n">
        <v>45666.72226851852</v>
      </c>
      <c r="J291" s="10" t="n">
        <v>45666.72354166667</v>
      </c>
      <c r="K291" s="11">
        <f>IF(AND(ISNUMBER(D291),ISNUMBER(E291)),(E291-D291),"")</f>
        <v/>
      </c>
      <c r="L291" s="11">
        <f>IF(AND(ISNUMBER(F291),ISNUMBER(I291)),(I291-F291),"")</f>
        <v/>
      </c>
    </row>
    <row r="292">
      <c r="A292" s="3" t="inlineStr">
        <is>
          <t>1007801</t>
        </is>
      </c>
      <c r="B292" s="3" t="inlineStr">
        <is>
          <t>10078</t>
        </is>
      </c>
      <c r="C292" s="10" t="n">
        <v>45666.74002314815</v>
      </c>
      <c r="D292" s="10" t="n">
        <v>45666.74135416667</v>
      </c>
      <c r="E292" s="10" t="n">
        <v>45666.74613425926</v>
      </c>
      <c r="F292" s="10" t="n">
        <v>45666.74795138889</v>
      </c>
      <c r="G292" s="3" t="inlineStr">
        <is>
          <t>OBT100125060642-Wien Kledering</t>
        </is>
      </c>
      <c r="H292" s="10" t="n">
        <v>45667.25465277778</v>
      </c>
      <c r="I292" s="10" t="n">
        <v>45667.31542824074</v>
      </c>
      <c r="J292" s="10" t="n">
        <v>45667.31671296297</v>
      </c>
      <c r="K292" s="11">
        <f>IF(AND(ISNUMBER(D292),ISNUMBER(E292)),(E292-D292),"")</f>
        <v/>
      </c>
      <c r="L292" s="11">
        <f>IF(AND(ISNUMBER(F292),ISNUMBER(I292)),(I292-F292),"")</f>
        <v/>
      </c>
    </row>
    <row r="293">
      <c r="A293" s="3" t="inlineStr">
        <is>
          <t>1007701</t>
        </is>
      </c>
      <c r="B293" s="3" t="inlineStr">
        <is>
          <t>10077</t>
        </is>
      </c>
      <c r="C293" s="10" t="n">
        <v>45666.7384375</v>
      </c>
      <c r="D293" s="10" t="n">
        <v>45666.74076388889</v>
      </c>
      <c r="E293" s="10" t="n">
        <v>45666.75599537037</v>
      </c>
      <c r="F293" s="10" t="n">
        <v>45666.75728009259</v>
      </c>
      <c r="G293" s="3" t="inlineStr">
        <is>
          <t>OBT090125182822-Neunkirchen (loading tracks)</t>
        </is>
      </c>
      <c r="H293" s="10" t="n">
        <v>45666.76969907407</v>
      </c>
      <c r="I293" s="10" t="n">
        <v>45666.80951388889</v>
      </c>
      <c r="J293" s="10" t="n">
        <v>45666.81018518518</v>
      </c>
      <c r="K293" s="11">
        <f>IF(AND(ISNUMBER(D293),ISNUMBER(E293)),(E293-D293),"")</f>
        <v/>
      </c>
      <c r="L293" s="11">
        <f>IF(AND(ISNUMBER(F293),ISNUMBER(I293)),(I293-F293),"")</f>
        <v/>
      </c>
    </row>
    <row r="294">
      <c r="A294" s="3" t="inlineStr">
        <is>
          <t>1007702</t>
        </is>
      </c>
      <c r="B294" s="3" t="inlineStr">
        <is>
          <t>10077</t>
        </is>
      </c>
      <c r="C294" s="10" t="n">
        <v>45666.7384375</v>
      </c>
      <c r="D294" s="10" t="n">
        <v>45666.74076388889</v>
      </c>
      <c r="E294" s="10" t="n">
        <v>45666.75728009259</v>
      </c>
      <c r="F294" s="10" t="n">
        <v>45666.75931712963</v>
      </c>
      <c r="G294" s="3" t="inlineStr">
        <is>
          <t>OBT090125204342-Felixdorf/Sollenau (Bundesheer, Maba)</t>
        </is>
      </c>
      <c r="H294" s="10" t="n">
        <v>45666.86368055556</v>
      </c>
      <c r="I294" s="10" t="n">
        <v>45666.88584490741</v>
      </c>
      <c r="J294" s="10" t="n">
        <v>45666.88663194444</v>
      </c>
      <c r="K294" s="11">
        <f>IF(AND(ISNUMBER(D294),ISNUMBER(E294)),(E294-D294),"")</f>
        <v/>
      </c>
      <c r="L294" s="11">
        <f>IF(AND(ISNUMBER(F294),ISNUMBER(I294)),(I294-F294),"")</f>
        <v/>
      </c>
    </row>
    <row r="295">
      <c r="A295" s="3" t="inlineStr">
        <is>
          <t>1007703</t>
        </is>
      </c>
      <c r="B295" s="3" t="inlineStr">
        <is>
          <t>10077</t>
        </is>
      </c>
      <c r="C295" s="10" t="n">
        <v>45666.7384375</v>
      </c>
      <c r="D295" s="10" t="n">
        <v>45666.74076388889</v>
      </c>
      <c r="E295" s="10" t="n">
        <v>45666.75931712963</v>
      </c>
      <c r="F295" s="10" t="n">
        <v>45666.76104166666</v>
      </c>
      <c r="G295" s="3" t="inlineStr">
        <is>
          <t>OBT090125184210-Steinabrückl/Wöllersdorf</t>
        </is>
      </c>
      <c r="H295" s="10" t="n">
        <v>45666.77928240741</v>
      </c>
      <c r="I295" s="10" t="n">
        <v>45666.81667824074</v>
      </c>
      <c r="J295" s="10" t="n">
        <v>45666.8174537037</v>
      </c>
      <c r="K295" s="11">
        <f>IF(AND(ISNUMBER(D295),ISNUMBER(E295)),(E295-D295),"")</f>
        <v/>
      </c>
      <c r="L295" s="11">
        <f>IF(AND(ISNUMBER(F295),ISNUMBER(I295)),(I295-F295),"")</f>
        <v/>
      </c>
    </row>
    <row r="296">
      <c r="A296" s="3" t="inlineStr">
        <is>
          <t>1007704</t>
        </is>
      </c>
      <c r="B296" s="3" t="inlineStr">
        <is>
          <t>10077</t>
        </is>
      </c>
      <c r="C296" s="10" t="n">
        <v>45666.7384375</v>
      </c>
      <c r="D296" s="10" t="n">
        <v>45666.74076388889</v>
      </c>
      <c r="E296" s="10" t="n">
        <v>45666.76104166666</v>
      </c>
      <c r="F296" s="10" t="n">
        <v>45666.76243055556</v>
      </c>
      <c r="G296" s="3" t="inlineStr">
        <is>
          <t>OBT090125182121-Pitten (Hamburger)</t>
        </is>
      </c>
      <c r="H296" s="10" t="n">
        <v>45666.76482638889</v>
      </c>
      <c r="I296" s="10" t="n">
        <v>45666.78597222222</v>
      </c>
      <c r="J296" s="10" t="n">
        <v>45666.78670138889</v>
      </c>
      <c r="K296" s="11">
        <f>IF(AND(ISNUMBER(D296),ISNUMBER(E296)),(E296-D296),"")</f>
        <v/>
      </c>
      <c r="L296" s="11">
        <f>IF(AND(ISNUMBER(F296),ISNUMBER(I296)),(I296-F296),"")</f>
        <v/>
      </c>
    </row>
    <row r="297">
      <c r="A297" s="3" t="inlineStr">
        <is>
          <t>1007705</t>
        </is>
      </c>
      <c r="B297" s="3" t="inlineStr">
        <is>
          <t>10077</t>
        </is>
      </c>
      <c r="C297" s="10" t="n">
        <v>45666.7384375</v>
      </c>
      <c r="D297" s="10" t="n">
        <v>45666.74076388889</v>
      </c>
      <c r="E297" s="10" t="n">
        <v>45666.76243055556</v>
      </c>
      <c r="F297" s="10" t="n">
        <v>45666.76449074074</v>
      </c>
      <c r="G297" s="3" t="inlineStr">
        <is>
          <t>OBT090125182601-Other sidings north</t>
        </is>
      </c>
      <c r="H297" s="10" t="n">
        <v>45666.76806712963</v>
      </c>
      <c r="I297" s="10" t="n">
        <v>45666.79645833333</v>
      </c>
      <c r="J297" s="10" t="n">
        <v>45666.79736111111</v>
      </c>
      <c r="K297" s="11">
        <f>IF(AND(ISNUMBER(D297),ISNUMBER(E297)),(E297-D297),"")</f>
        <v/>
      </c>
      <c r="L297" s="11">
        <f>IF(AND(ISNUMBER(F297),ISNUMBER(I297)),(I297-F297),"")</f>
        <v/>
      </c>
    </row>
    <row r="298">
      <c r="A298" s="3" t="inlineStr">
        <is>
          <t>1007706</t>
        </is>
      </c>
      <c r="B298" s="3" t="inlineStr">
        <is>
          <t>10077</t>
        </is>
      </c>
      <c r="C298" s="10" t="n">
        <v>45666.7384375</v>
      </c>
      <c r="D298" s="10" t="n">
        <v>45666.74076388889</v>
      </c>
      <c r="E298" s="10" t="n">
        <v>45666.76449074074</v>
      </c>
      <c r="F298" s="10" t="n">
        <v>45666.76577546296</v>
      </c>
      <c r="G298" s="3" t="inlineStr">
        <is>
          <t>OBT090125182822-Neunkirchen (loading tracks)</t>
        </is>
      </c>
      <c r="H298" s="10" t="n">
        <v>45666.76969907407</v>
      </c>
      <c r="I298" s="10" t="n">
        <v>45666.80951388889</v>
      </c>
      <c r="J298" s="10" t="n">
        <v>45666.81018518518</v>
      </c>
      <c r="K298" s="11">
        <f>IF(AND(ISNUMBER(D298),ISNUMBER(E298)),(E298-D298),"")</f>
        <v/>
      </c>
      <c r="L298" s="11">
        <f>IF(AND(ISNUMBER(F298),ISNUMBER(I298)),(I298-F298),"")</f>
        <v/>
      </c>
    </row>
    <row r="299">
      <c r="A299" s="3" t="inlineStr">
        <is>
          <t>1007707</t>
        </is>
      </c>
      <c r="B299" s="3" t="inlineStr">
        <is>
          <t>10077</t>
        </is>
      </c>
      <c r="C299" s="10" t="n">
        <v>45666.7384375</v>
      </c>
      <c r="D299" s="10" t="n">
        <v>45666.74076388889</v>
      </c>
      <c r="E299" s="10" t="n">
        <v>45666.76577546296</v>
      </c>
      <c r="F299" s="10" t="n">
        <v>45666.76730324074</v>
      </c>
      <c r="G299" s="3" t="inlineStr">
        <is>
          <t>OBT090125185836-Wr. Neustadt (Brenntag)</t>
        </is>
      </c>
      <c r="H299" s="10" t="n">
        <v>45666.79069444445</v>
      </c>
      <c r="I299" s="10" t="n">
        <v>45666.83219907407</v>
      </c>
      <c r="J299" s="10" t="n">
        <v>45666.83302083334</v>
      </c>
      <c r="K299" s="11">
        <f>IF(AND(ISNUMBER(D299),ISNUMBER(E299)),(E299-D299),"")</f>
        <v/>
      </c>
      <c r="L299" s="11">
        <f>IF(AND(ISNUMBER(F299),ISNUMBER(I299)),(I299-F299),"")</f>
        <v/>
      </c>
    </row>
    <row r="300">
      <c r="A300" s="3" t="inlineStr">
        <is>
          <t>1007708</t>
        </is>
      </c>
      <c r="B300" s="3" t="inlineStr">
        <is>
          <t>10077</t>
        </is>
      </c>
      <c r="C300" s="10" t="n">
        <v>45666.7384375</v>
      </c>
      <c r="D300" s="10" t="n">
        <v>45666.74076388889</v>
      </c>
      <c r="E300" s="10" t="n">
        <v>45666.76730324074</v>
      </c>
      <c r="F300" s="10" t="n">
        <v>45666.76903935185</v>
      </c>
      <c r="G300" s="3" t="inlineStr">
        <is>
          <t>OBT090125190525-Neudörfl (FunderMax)</t>
        </is>
      </c>
      <c r="H300" s="10" t="n">
        <v>45666.79542824074</v>
      </c>
      <c r="I300" s="10" t="n">
        <v>45666.84138888889</v>
      </c>
      <c r="J300" s="10" t="n">
        <v>45666.84230324074</v>
      </c>
      <c r="K300" s="11">
        <f>IF(AND(ISNUMBER(D300),ISNUMBER(E300)),(E300-D300),"")</f>
        <v/>
      </c>
      <c r="L300" s="11">
        <f>IF(AND(ISNUMBER(F300),ISNUMBER(I300)),(I300-F300),"")</f>
        <v/>
      </c>
    </row>
    <row r="301">
      <c r="A301" s="3" t="inlineStr">
        <is>
          <t>1007709</t>
        </is>
      </c>
      <c r="B301" s="3" t="inlineStr">
        <is>
          <t>10077</t>
        </is>
      </c>
      <c r="C301" s="10" t="n">
        <v>45666.7384375</v>
      </c>
      <c r="D301" s="10" t="n">
        <v>45666.74076388889</v>
      </c>
      <c r="E301" s="10" t="n">
        <v>45666.76903935185</v>
      </c>
      <c r="F301" s="10" t="n">
        <v>45666.77054398148</v>
      </c>
      <c r="G301" s="3" t="inlineStr">
        <is>
          <t>OBT090125185836-Wr. Neustadt (Brenntag)</t>
        </is>
      </c>
      <c r="H301" s="10" t="n">
        <v>45666.79069444445</v>
      </c>
      <c r="I301" s="10" t="n">
        <v>45666.83219907407</v>
      </c>
      <c r="J301" s="10" t="n">
        <v>45666.83302083334</v>
      </c>
      <c r="K301" s="11">
        <f>IF(AND(ISNUMBER(D301),ISNUMBER(E301)),(E301-D301),"")</f>
        <v/>
      </c>
      <c r="L301" s="11">
        <f>IF(AND(ISNUMBER(F301),ISNUMBER(I301)),(I301-F301),"")</f>
        <v/>
      </c>
    </row>
    <row r="302">
      <c r="A302" s="3" t="inlineStr">
        <is>
          <t>1007901</t>
        </is>
      </c>
      <c r="B302" s="3" t="inlineStr">
        <is>
          <t>10079</t>
        </is>
      </c>
      <c r="C302" s="10" t="n">
        <v>45666.74115740741</v>
      </c>
      <c r="D302" s="10" t="n">
        <v>45666.74327546296</v>
      </c>
      <c r="E302" s="10" t="n">
        <v>45666.77141203704</v>
      </c>
      <c r="F302" s="10" t="n">
        <v>45666.77334490741</v>
      </c>
      <c r="G302" s="3" t="inlineStr">
        <is>
          <t>OBT100125031244-Neunkirchen (loading tracks)</t>
        </is>
      </c>
      <c r="H302" s="10" t="n">
        <v>45667.13384259259</v>
      </c>
      <c r="I302" s="10" t="n">
        <v>45667.17326388889</v>
      </c>
      <c r="J302" s="10" t="n">
        <v>45667.17431712963</v>
      </c>
      <c r="K302" s="11">
        <f>IF(AND(ISNUMBER(D302),ISNUMBER(E302)),(E302-D302),"")</f>
        <v/>
      </c>
      <c r="L302" s="11">
        <f>IF(AND(ISNUMBER(F302),ISNUMBER(I302)),(I302-F302),"")</f>
        <v/>
      </c>
    </row>
    <row r="303">
      <c r="A303" s="3" t="inlineStr">
        <is>
          <t>1007902</t>
        </is>
      </c>
      <c r="B303" s="3" t="inlineStr">
        <is>
          <t>10079</t>
        </is>
      </c>
      <c r="C303" s="10" t="n">
        <v>45666.74115740741</v>
      </c>
      <c r="D303" s="10" t="n">
        <v>45666.74327546296</v>
      </c>
      <c r="E303" s="10" t="n">
        <v>45666.77334490741</v>
      </c>
      <c r="F303" s="10" t="n">
        <v>45666.77503472222</v>
      </c>
      <c r="G303" s="3" t="inlineStr">
        <is>
          <t>OBT090125184210-Steinabrückl/Wöllersdorf</t>
        </is>
      </c>
      <c r="H303" s="10" t="n">
        <v>45666.77928240741</v>
      </c>
      <c r="I303" s="10" t="n">
        <v>45666.81667824074</v>
      </c>
      <c r="J303" s="10" t="n">
        <v>45666.8174537037</v>
      </c>
      <c r="K303" s="11">
        <f>IF(AND(ISNUMBER(D303),ISNUMBER(E303)),(E303-D303),"")</f>
        <v/>
      </c>
      <c r="L303" s="11">
        <f>IF(AND(ISNUMBER(F303),ISNUMBER(I303)),(I303-F303),"")</f>
        <v/>
      </c>
    </row>
    <row r="304">
      <c r="A304" s="3" t="inlineStr">
        <is>
          <t>1007903</t>
        </is>
      </c>
      <c r="B304" s="3" t="inlineStr">
        <is>
          <t>10079</t>
        </is>
      </c>
      <c r="C304" s="10" t="n">
        <v>45666.74115740741</v>
      </c>
      <c r="D304" s="10" t="n">
        <v>45666.74327546296</v>
      </c>
      <c r="E304" s="10" t="n">
        <v>45666.77503472222</v>
      </c>
      <c r="F304" s="10" t="n">
        <v>45666.77706018519</v>
      </c>
      <c r="G304" s="3" t="inlineStr">
        <is>
          <t>OBT090125204925-Other sidings north</t>
        </is>
      </c>
      <c r="H304" s="10" t="n">
        <v>45666.86765046296</v>
      </c>
      <c r="I304" s="10" t="n">
        <v>45666.8903587963</v>
      </c>
      <c r="J304" s="10" t="n">
        <v>45666.89103009259</v>
      </c>
      <c r="K304" s="11">
        <f>IF(AND(ISNUMBER(D304),ISNUMBER(E304)),(E304-D304),"")</f>
        <v/>
      </c>
      <c r="L304" s="11">
        <f>IF(AND(ISNUMBER(F304),ISNUMBER(I304)),(I304-F304),"")</f>
        <v/>
      </c>
    </row>
    <row r="305">
      <c r="A305" s="3" t="inlineStr">
        <is>
          <t>1007904</t>
        </is>
      </c>
      <c r="B305" s="3" t="inlineStr">
        <is>
          <t>10079</t>
        </is>
      </c>
      <c r="C305" s="10" t="n">
        <v>45666.74115740741</v>
      </c>
      <c r="D305" s="10" t="n">
        <v>45666.74327546296</v>
      </c>
      <c r="E305" s="10" t="n">
        <v>45666.77706018519</v>
      </c>
      <c r="F305" s="10" t="n">
        <v>45666.77865740741</v>
      </c>
      <c r="G305" s="3" t="inlineStr">
        <is>
          <t>OBT090125184904-Obereggendorf (Hofer)</t>
        </is>
      </c>
      <c r="H305" s="10" t="n">
        <v>45666.78407407407</v>
      </c>
      <c r="I305" s="10" t="n">
        <v>45666.81584490741</v>
      </c>
      <c r="J305" s="10" t="n">
        <v>45666.81667824074</v>
      </c>
      <c r="K305" s="11">
        <f>IF(AND(ISNUMBER(D305),ISNUMBER(E305)),(E305-D305),"")</f>
        <v/>
      </c>
      <c r="L305" s="11">
        <f>IF(AND(ISNUMBER(F305),ISNUMBER(I305)),(I305-F305),"")</f>
        <v/>
      </c>
    </row>
    <row r="306">
      <c r="A306" s="3" t="inlineStr">
        <is>
          <t>1007905</t>
        </is>
      </c>
      <c r="B306" s="3" t="inlineStr">
        <is>
          <t>10079</t>
        </is>
      </c>
      <c r="C306" s="10" t="n">
        <v>45666.74115740741</v>
      </c>
      <c r="D306" s="10" t="n">
        <v>45666.74327546296</v>
      </c>
      <c r="E306" s="10" t="n">
        <v>45666.77865740741</v>
      </c>
      <c r="F306" s="10" t="n">
        <v>45666.78012731481</v>
      </c>
      <c r="G306" s="3" t="inlineStr">
        <is>
          <t>OBT090125185836-Wr. Neustadt (Brenntag)</t>
        </is>
      </c>
      <c r="H306" s="10" t="n">
        <v>45666.79069444445</v>
      </c>
      <c r="I306" s="10" t="n">
        <v>45666.83219907407</v>
      </c>
      <c r="J306" s="10" t="n">
        <v>45666.83302083334</v>
      </c>
      <c r="K306" s="11">
        <f>IF(AND(ISNUMBER(D306),ISNUMBER(E306)),(E306-D306),"")</f>
        <v/>
      </c>
      <c r="L306" s="11">
        <f>IF(AND(ISNUMBER(F306),ISNUMBER(I306)),(I306-F306),"")</f>
        <v/>
      </c>
    </row>
    <row r="307">
      <c r="A307" s="3" t="inlineStr">
        <is>
          <t>1007906</t>
        </is>
      </c>
      <c r="B307" s="3" t="inlineStr">
        <is>
          <t>10079</t>
        </is>
      </c>
      <c r="C307" s="10" t="n">
        <v>45666.74115740741</v>
      </c>
      <c r="D307" s="10" t="n">
        <v>45666.74327546296</v>
      </c>
      <c r="E307" s="10" t="n">
        <v>45666.78012731481</v>
      </c>
      <c r="F307" s="10" t="n">
        <v>45666.7818287037</v>
      </c>
      <c r="G307" s="3" t="inlineStr">
        <is>
          <t>OBT090125190525-Neudörfl (FunderMax)</t>
        </is>
      </c>
      <c r="H307" s="10" t="n">
        <v>45666.79542824074</v>
      </c>
      <c r="I307" s="10" t="n">
        <v>45666.84138888889</v>
      </c>
      <c r="J307" s="10" t="n">
        <v>45666.84230324074</v>
      </c>
      <c r="K307" s="11">
        <f>IF(AND(ISNUMBER(D307),ISNUMBER(E307)),(E307-D307),"")</f>
        <v/>
      </c>
      <c r="L307" s="11">
        <f>IF(AND(ISNUMBER(F307),ISNUMBER(I307)),(I307-F307),"")</f>
        <v/>
      </c>
    </row>
    <row r="308">
      <c r="A308" s="3" t="inlineStr">
        <is>
          <t>1007907</t>
        </is>
      </c>
      <c r="B308" s="3" t="inlineStr">
        <is>
          <t>10079</t>
        </is>
      </c>
      <c r="C308" s="10" t="n">
        <v>45666.74115740741</v>
      </c>
      <c r="D308" s="10" t="n">
        <v>45666.74327546296</v>
      </c>
      <c r="E308" s="10" t="n">
        <v>45666.7818287037</v>
      </c>
      <c r="F308" s="10" t="n">
        <v>45666.78376157407</v>
      </c>
      <c r="G308" s="3" t="inlineStr">
        <is>
          <t>OBT100125031244-Neunkirchen (loading tracks)</t>
        </is>
      </c>
      <c r="H308" s="10" t="n">
        <v>45667.13384259259</v>
      </c>
      <c r="I308" s="10" t="n">
        <v>45667.17326388889</v>
      </c>
      <c r="J308" s="10" t="n">
        <v>45667.17431712963</v>
      </c>
      <c r="K308" s="11">
        <f>IF(AND(ISNUMBER(D308),ISNUMBER(E308)),(E308-D308),"")</f>
        <v/>
      </c>
      <c r="L308" s="11">
        <f>IF(AND(ISNUMBER(F308),ISNUMBER(I308)),(I308-F308),"")</f>
        <v/>
      </c>
    </row>
    <row r="309">
      <c r="A309" s="3" t="inlineStr">
        <is>
          <t>1007908</t>
        </is>
      </c>
      <c r="B309" s="3" t="inlineStr">
        <is>
          <t>10079</t>
        </is>
      </c>
      <c r="C309" s="10" t="n">
        <v>45666.74115740741</v>
      </c>
      <c r="D309" s="10" t="n">
        <v>45666.74327546296</v>
      </c>
      <c r="E309" s="10" t="n">
        <v>45666.78376157407</v>
      </c>
      <c r="F309" s="10" t="n">
        <v>45666.7850925926</v>
      </c>
      <c r="G309" s="3" t="inlineStr">
        <is>
          <t>OBT100125071706-Wr. Neustadt (Hödlmayr)</t>
        </is>
      </c>
      <c r="H309" s="10" t="n">
        <v>45667.30354166667</v>
      </c>
      <c r="I309" s="10" t="n">
        <v>45667.33181712963</v>
      </c>
      <c r="J309" s="10" t="n">
        <v>45667.33260416667</v>
      </c>
      <c r="K309" s="11">
        <f>IF(AND(ISNUMBER(D309),ISNUMBER(E309)),(E309-D309),"")</f>
        <v/>
      </c>
      <c r="L309" s="11">
        <f>IF(AND(ISNUMBER(F309),ISNUMBER(I309)),(I309-F309),"")</f>
        <v/>
      </c>
    </row>
    <row r="310">
      <c r="A310" s="3" t="inlineStr">
        <is>
          <t>1007909</t>
        </is>
      </c>
      <c r="B310" s="3" t="inlineStr">
        <is>
          <t>10079</t>
        </is>
      </c>
      <c r="C310" s="10" t="n">
        <v>45666.74115740741</v>
      </c>
      <c r="D310" s="10" t="n">
        <v>45666.74327546296</v>
      </c>
      <c r="E310" s="10" t="n">
        <v>45666.7850925926</v>
      </c>
      <c r="F310" s="10" t="n">
        <v>45666.78667824074</v>
      </c>
      <c r="G310" s="3" t="inlineStr">
        <is>
          <t>OBT090125185836-Wr. Neustadt (Brenntag)</t>
        </is>
      </c>
      <c r="H310" s="10" t="n">
        <v>45666.79069444445</v>
      </c>
      <c r="I310" s="10" t="n">
        <v>45666.83219907407</v>
      </c>
      <c r="J310" s="10" t="n">
        <v>45666.83302083334</v>
      </c>
      <c r="K310" s="11">
        <f>IF(AND(ISNUMBER(D310),ISNUMBER(E310)),(E310-D310),"")</f>
        <v/>
      </c>
      <c r="L310" s="11">
        <f>IF(AND(ISNUMBER(F310),ISNUMBER(I310)),(I310-F310),"")</f>
        <v/>
      </c>
    </row>
    <row r="311">
      <c r="A311" s="3" t="inlineStr">
        <is>
          <t>1007910</t>
        </is>
      </c>
      <c r="B311" s="3" t="inlineStr">
        <is>
          <t>10079</t>
        </is>
      </c>
      <c r="C311" s="10" t="n">
        <v>45666.74115740741</v>
      </c>
      <c r="D311" s="10" t="n">
        <v>45666.74327546296</v>
      </c>
      <c r="E311" s="10" t="n">
        <v>45666.78667824074</v>
      </c>
      <c r="F311" s="10" t="n">
        <v>45666.78855324074</v>
      </c>
      <c r="G311" s="3" t="inlineStr">
        <is>
          <t>OBT100125092212-St. Veit an der Glan</t>
        </is>
      </c>
      <c r="H311" s="10" t="n">
        <v>45667.39041666667</v>
      </c>
      <c r="I311" s="10" t="n">
        <v>45667.41510416667</v>
      </c>
      <c r="J311" s="10" t="n">
        <v>45667.41582175926</v>
      </c>
      <c r="K311" s="11">
        <f>IF(AND(ISNUMBER(D311),ISNUMBER(E311)),(E311-D311),"")</f>
        <v/>
      </c>
      <c r="L311" s="11">
        <f>IF(AND(ISNUMBER(F311),ISNUMBER(I311)),(I311-F311),"")</f>
        <v/>
      </c>
    </row>
    <row r="312">
      <c r="A312" s="3" t="inlineStr">
        <is>
          <t>1007911</t>
        </is>
      </c>
      <c r="B312" s="3" t="inlineStr">
        <is>
          <t>10079</t>
        </is>
      </c>
      <c r="C312" s="10" t="n">
        <v>45666.74115740741</v>
      </c>
      <c r="D312" s="10" t="n">
        <v>45666.74327546296</v>
      </c>
      <c r="E312" s="10" t="n">
        <v>45666.78855324074</v>
      </c>
      <c r="F312" s="10" t="n">
        <v>45666.79045138889</v>
      </c>
      <c r="G312" s="3" t="inlineStr">
        <is>
          <t>OBT090125190525-Neudörfl (FunderMax)</t>
        </is>
      </c>
      <c r="H312" s="10" t="n">
        <v>45666.79542824074</v>
      </c>
      <c r="I312" s="10" t="n">
        <v>45666.84138888889</v>
      </c>
      <c r="J312" s="10" t="n">
        <v>45666.84230324074</v>
      </c>
      <c r="K312" s="11">
        <f>IF(AND(ISNUMBER(D312),ISNUMBER(E312)),(E312-D312),"")</f>
        <v/>
      </c>
      <c r="L312" s="11">
        <f>IF(AND(ISNUMBER(F312),ISNUMBER(I312)),(I312-F312),"")</f>
        <v/>
      </c>
    </row>
    <row r="313">
      <c r="A313" s="3" t="inlineStr">
        <is>
          <t>1008001</t>
        </is>
      </c>
      <c r="B313" s="3" t="inlineStr">
        <is>
          <t>10080</t>
        </is>
      </c>
      <c r="C313" s="10" t="n">
        <v>45666.83482638889</v>
      </c>
      <c r="D313" s="10" t="n">
        <v>45666.83709490741</v>
      </c>
      <c r="E313" s="10" t="n">
        <v>45666.85032407408</v>
      </c>
      <c r="F313" s="10" t="n">
        <v>45666.85162037037</v>
      </c>
      <c r="G313" s="3" t="inlineStr">
        <is>
          <t>OBT100125071706-Wr. Neustadt (Hödlmayr)</t>
        </is>
      </c>
      <c r="H313" s="10" t="n">
        <v>45667.30354166667</v>
      </c>
      <c r="I313" s="10" t="n">
        <v>45667.33181712963</v>
      </c>
      <c r="J313" s="10" t="n">
        <v>45667.33260416667</v>
      </c>
      <c r="K313" s="11">
        <f>IF(AND(ISNUMBER(D313),ISNUMBER(E313)),(E313-D313),"")</f>
        <v/>
      </c>
      <c r="L313" s="11">
        <f>IF(AND(ISNUMBER(F313),ISNUMBER(I313)),(I313-F313),"")</f>
        <v/>
      </c>
    </row>
    <row r="314">
      <c r="A314" s="3" t="inlineStr">
        <is>
          <t>1008002</t>
        </is>
      </c>
      <c r="B314" s="3" t="inlineStr">
        <is>
          <t>10080</t>
        </is>
      </c>
      <c r="C314" s="10" t="n">
        <v>45666.83482638889</v>
      </c>
      <c r="D314" s="10" t="n">
        <v>45666.83709490741</v>
      </c>
      <c r="E314" s="10" t="n">
        <v>45666.85162037037</v>
      </c>
      <c r="F314" s="10" t="n">
        <v>45666.85280092592</v>
      </c>
      <c r="G314" s="3" t="inlineStr">
        <is>
          <t>OBT100125045052-Neudörfl (FunderMax)</t>
        </is>
      </c>
      <c r="H314" s="10" t="n">
        <v>45667.20199074074</v>
      </c>
      <c r="I314" s="10" t="n">
        <v>45667.24460648148</v>
      </c>
      <c r="J314" s="10" t="n">
        <v>45667.245625</v>
      </c>
      <c r="K314" s="11">
        <f>IF(AND(ISNUMBER(D314),ISNUMBER(E314)),(E314-D314),"")</f>
        <v/>
      </c>
      <c r="L314" s="11">
        <f>IF(AND(ISNUMBER(F314),ISNUMBER(I314)),(I314-F314),"")</f>
        <v/>
      </c>
    </row>
    <row r="315">
      <c r="A315" s="3" t="inlineStr">
        <is>
          <t>1008003</t>
        </is>
      </c>
      <c r="B315" s="3" t="inlineStr">
        <is>
          <t>10080</t>
        </is>
      </c>
      <c r="C315" s="10" t="n">
        <v>45666.83482638889</v>
      </c>
      <c r="D315" s="10" t="n">
        <v>45666.83709490741</v>
      </c>
      <c r="E315" s="10" t="n">
        <v>45666.85280092592</v>
      </c>
      <c r="F315" s="10" t="n">
        <v>45666.85410879629</v>
      </c>
      <c r="G315" s="3" t="inlineStr">
        <is>
          <t>OBT100125071706-Wr. Neustadt (Hödlmayr)</t>
        </is>
      </c>
      <c r="H315" s="10" t="n">
        <v>45667.30354166667</v>
      </c>
      <c r="I315" s="10" t="n">
        <v>45667.33181712963</v>
      </c>
      <c r="J315" s="10" t="n">
        <v>45667.33260416667</v>
      </c>
      <c r="K315" s="11">
        <f>IF(AND(ISNUMBER(D315),ISNUMBER(E315)),(E315-D315),"")</f>
        <v/>
      </c>
      <c r="L315" s="11">
        <f>IF(AND(ISNUMBER(F315),ISNUMBER(I315)),(I315-F315),"")</f>
        <v/>
      </c>
    </row>
    <row r="316">
      <c r="A316" s="3" t="inlineStr">
        <is>
          <t>1008004</t>
        </is>
      </c>
      <c r="B316" s="3" t="inlineStr">
        <is>
          <t>10080</t>
        </is>
      </c>
      <c r="C316" s="10" t="n">
        <v>45666.83482638889</v>
      </c>
      <c r="D316" s="10" t="n">
        <v>45666.83709490741</v>
      </c>
      <c r="E316" s="10" t="n">
        <v>45666.85410879629</v>
      </c>
      <c r="F316" s="10" t="n">
        <v>45666.8559375</v>
      </c>
      <c r="G316" s="3" t="inlineStr">
        <is>
          <t>OBT100125071957-Pitten (Hamburger)</t>
        </is>
      </c>
      <c r="H316" s="10" t="n">
        <v>45667.30552083333</v>
      </c>
      <c r="I316" s="10" t="n">
        <v>45667.34769675926</v>
      </c>
      <c r="J316" s="10" t="n">
        <v>45667.34872685185</v>
      </c>
      <c r="K316" s="11">
        <f>IF(AND(ISNUMBER(D316),ISNUMBER(E316)),(E316-D316),"")</f>
        <v/>
      </c>
      <c r="L316" s="11">
        <f>IF(AND(ISNUMBER(F316),ISNUMBER(I316)),(I316-F316),"")</f>
        <v/>
      </c>
    </row>
    <row r="317">
      <c r="A317" s="3" t="inlineStr">
        <is>
          <t>1008005</t>
        </is>
      </c>
      <c r="B317" s="3" t="inlineStr">
        <is>
          <t>10080</t>
        </is>
      </c>
      <c r="C317" s="10" t="n">
        <v>45666.83482638889</v>
      </c>
      <c r="D317" s="10" t="n">
        <v>45666.83709490741</v>
      </c>
      <c r="E317" s="10" t="n">
        <v>45666.8559375</v>
      </c>
      <c r="F317" s="10" t="n">
        <v>45666.85797453704</v>
      </c>
      <c r="G317" s="3" t="inlineStr">
        <is>
          <t>OBT090125204342-Felixdorf/Sollenau (Bundesheer, Maba)</t>
        </is>
      </c>
      <c r="H317" s="10" t="n">
        <v>45666.86368055556</v>
      </c>
      <c r="I317" s="10" t="n">
        <v>45666.88584490741</v>
      </c>
      <c r="J317" s="10" t="n">
        <v>45666.88663194444</v>
      </c>
      <c r="K317" s="11">
        <f>IF(AND(ISNUMBER(D317),ISNUMBER(E317)),(E317-D317),"")</f>
        <v/>
      </c>
      <c r="L317" s="11">
        <f>IF(AND(ISNUMBER(F317),ISNUMBER(I317)),(I317-F317),"")</f>
        <v/>
      </c>
    </row>
    <row r="318">
      <c r="A318" s="3" t="inlineStr">
        <is>
          <t>1008006</t>
        </is>
      </c>
      <c r="B318" s="3" t="inlineStr">
        <is>
          <t>10080</t>
        </is>
      </c>
      <c r="C318" s="10" t="n">
        <v>45666.83482638889</v>
      </c>
      <c r="D318" s="10" t="n">
        <v>45666.83709490741</v>
      </c>
      <c r="E318" s="10" t="n">
        <v>45666.85797453704</v>
      </c>
      <c r="F318" s="10" t="n">
        <v>45666.86011574074</v>
      </c>
      <c r="G318" s="3" t="inlineStr">
        <is>
          <t>OBT090125204342-Felixdorf/Sollenau (Bundesheer, Maba)</t>
        </is>
      </c>
      <c r="H318" s="10" t="n">
        <v>45666.86368055556</v>
      </c>
      <c r="I318" s="10" t="n">
        <v>45666.88584490741</v>
      </c>
      <c r="J318" s="10" t="n">
        <v>45666.88663194444</v>
      </c>
      <c r="K318" s="11">
        <f>IF(AND(ISNUMBER(D318),ISNUMBER(E318)),(E318-D318),"")</f>
        <v/>
      </c>
      <c r="L318" s="11">
        <f>IF(AND(ISNUMBER(F318),ISNUMBER(I318)),(I318-F318),"")</f>
        <v/>
      </c>
    </row>
    <row r="319">
      <c r="A319" s="3" t="inlineStr">
        <is>
          <t>1008007</t>
        </is>
      </c>
      <c r="B319" s="3" t="inlineStr">
        <is>
          <t>10080</t>
        </is>
      </c>
      <c r="C319" s="10" t="n">
        <v>45666.83482638889</v>
      </c>
      <c r="D319" s="10" t="n">
        <v>45666.83709490741</v>
      </c>
      <c r="E319" s="10" t="n">
        <v>45666.86011574074</v>
      </c>
      <c r="F319" s="10" t="n">
        <v>45666.86172453704</v>
      </c>
      <c r="G319" s="3" t="inlineStr">
        <is>
          <t>OBT140125093209-Obereggendorf (Hofer)</t>
        </is>
      </c>
      <c r="H319" s="10" t="n">
        <v>45671.39732638889</v>
      </c>
      <c r="I319" s="10" t="n">
        <v>45671.45814814815</v>
      </c>
      <c r="J319" s="10" t="n">
        <v>45671.45953703704</v>
      </c>
      <c r="K319" s="11">
        <f>IF(AND(ISNUMBER(D319),ISNUMBER(E319)),(E319-D319),"")</f>
        <v/>
      </c>
      <c r="L319" s="11">
        <f>IF(AND(ISNUMBER(F319),ISNUMBER(I319)),(I319-F319),"")</f>
        <v/>
      </c>
    </row>
    <row r="320">
      <c r="A320" s="3" t="inlineStr">
        <is>
          <t>1008008</t>
        </is>
      </c>
      <c r="B320" s="3" t="inlineStr">
        <is>
          <t>10080</t>
        </is>
      </c>
      <c r="C320" s="10" t="n">
        <v>45666.83482638889</v>
      </c>
      <c r="D320" s="10" t="n">
        <v>45666.83709490741</v>
      </c>
      <c r="E320" s="10" t="n">
        <v>45666.86172453704</v>
      </c>
      <c r="F320" s="10" t="n">
        <v>45666.86372685185</v>
      </c>
      <c r="G320" s="3" t="inlineStr">
        <is>
          <t>OBT090125204925-Other sidings north</t>
        </is>
      </c>
      <c r="H320" s="10" t="n">
        <v>45666.86765046296</v>
      </c>
      <c r="I320" s="10" t="n">
        <v>45666.8903587963</v>
      </c>
      <c r="J320" s="10" t="n">
        <v>45666.89103009259</v>
      </c>
      <c r="K320" s="11">
        <f>IF(AND(ISNUMBER(D320),ISNUMBER(E320)),(E320-D320),"")</f>
        <v/>
      </c>
      <c r="L320" s="11">
        <f>IF(AND(ISNUMBER(F320),ISNUMBER(I320)),(I320-F320),"")</f>
        <v/>
      </c>
    </row>
    <row r="321">
      <c r="A321" s="3" t="inlineStr">
        <is>
          <t>1008101</t>
        </is>
      </c>
      <c r="B321" s="3" t="inlineStr">
        <is>
          <t>10081</t>
        </is>
      </c>
      <c r="C321" s="10" t="n">
        <v>45667.11229166666</v>
      </c>
      <c r="D321" s="10" t="n">
        <v>45667.11459490741</v>
      </c>
      <c r="E321" s="10" t="n">
        <v>45667.12427083333</v>
      </c>
      <c r="F321" s="10" t="n">
        <v>45667.125625</v>
      </c>
      <c r="G321" s="3" t="inlineStr">
        <is>
          <t>OBT130125092620-Ternitz (Schoeller-Bleckmann)</t>
        </is>
      </c>
      <c r="H321" s="10" t="n">
        <v>45670.39328703703</v>
      </c>
      <c r="I321" s="10" t="n">
        <v>45670.42590277778</v>
      </c>
      <c r="J321" s="10" t="n">
        <v>45670.426875</v>
      </c>
      <c r="K321" s="11">
        <f>IF(AND(ISNUMBER(D321),ISNUMBER(E321)),(E321-D321),"")</f>
        <v/>
      </c>
      <c r="L321" s="11">
        <f>IF(AND(ISNUMBER(F321),ISNUMBER(I321)),(I321-F321),"")</f>
        <v/>
      </c>
    </row>
    <row r="322">
      <c r="A322" s="3" t="inlineStr">
        <is>
          <t>1008102</t>
        </is>
      </c>
      <c r="B322" s="3" t="inlineStr">
        <is>
          <t>10081</t>
        </is>
      </c>
      <c r="C322" s="10" t="n">
        <v>45667.11229166666</v>
      </c>
      <c r="D322" s="10" t="n">
        <v>45667.11459490741</v>
      </c>
      <c r="E322" s="10" t="n">
        <v>45667.125625</v>
      </c>
      <c r="F322" s="10" t="n">
        <v>45667.12760416666</v>
      </c>
      <c r="G322" s="3" t="inlineStr">
        <is>
          <t>OBT100125092212-St. Veit an der Glan</t>
        </is>
      </c>
      <c r="H322" s="10" t="n">
        <v>45667.39041666667</v>
      </c>
      <c r="I322" s="10" t="n">
        <v>45667.41510416667</v>
      </c>
      <c r="J322" s="10" t="n">
        <v>45667.41582175926</v>
      </c>
      <c r="K322" s="11">
        <f>IF(AND(ISNUMBER(D322),ISNUMBER(E322)),(E322-D322),"")</f>
        <v/>
      </c>
      <c r="L322" s="11">
        <f>IF(AND(ISNUMBER(F322),ISNUMBER(I322)),(I322-F322),"")</f>
        <v/>
      </c>
    </row>
    <row r="323">
      <c r="A323" s="3" t="inlineStr">
        <is>
          <t>1008103</t>
        </is>
      </c>
      <c r="B323" s="3" t="inlineStr">
        <is>
          <t>10081</t>
        </is>
      </c>
      <c r="C323" s="10" t="n">
        <v>45667.11229166666</v>
      </c>
      <c r="D323" s="10" t="n">
        <v>45667.11459490741</v>
      </c>
      <c r="E323" s="10" t="n">
        <v>45667.12760416666</v>
      </c>
      <c r="F323" s="10" t="n">
        <v>45667.12994212963</v>
      </c>
      <c r="G323" s="3" t="inlineStr">
        <is>
          <t>OBT100125031244-Neunkirchen (loading tracks)</t>
        </is>
      </c>
      <c r="H323" s="10" t="n">
        <v>45667.13384259259</v>
      </c>
      <c r="I323" s="10" t="n">
        <v>45667.17326388889</v>
      </c>
      <c r="J323" s="10" t="n">
        <v>45667.17431712963</v>
      </c>
      <c r="K323" s="11">
        <f>IF(AND(ISNUMBER(D323),ISNUMBER(E323)),(E323-D323),"")</f>
        <v/>
      </c>
      <c r="L323" s="11">
        <f>IF(AND(ISNUMBER(F323),ISNUMBER(I323)),(I323-F323),"")</f>
        <v/>
      </c>
    </row>
    <row r="324">
      <c r="A324" s="3" t="inlineStr">
        <is>
          <t>1008104</t>
        </is>
      </c>
      <c r="B324" s="3" t="inlineStr">
        <is>
          <t>10081</t>
        </is>
      </c>
      <c r="C324" s="10" t="n">
        <v>45667.11229166666</v>
      </c>
      <c r="D324" s="10" t="n">
        <v>45667.11459490741</v>
      </c>
      <c r="E324" s="10" t="n">
        <v>45667.12994212963</v>
      </c>
      <c r="F324" s="10" t="n">
        <v>45667.13174768518</v>
      </c>
      <c r="G324" s="3" t="inlineStr">
        <is>
          <t>OBT100125031522-Other sidings south</t>
        </is>
      </c>
      <c r="H324" s="10" t="n">
        <v>45667.1356712963</v>
      </c>
      <c r="I324" s="10" t="n">
        <v>45667.15913194444</v>
      </c>
      <c r="J324" s="10" t="n">
        <v>45667.15997685185</v>
      </c>
      <c r="K324" s="11">
        <f>IF(AND(ISNUMBER(D324),ISNUMBER(E324)),(E324-D324),"")</f>
        <v/>
      </c>
      <c r="L324" s="11">
        <f>IF(AND(ISNUMBER(F324),ISNUMBER(I324)),(I324-F324),"")</f>
        <v/>
      </c>
    </row>
    <row r="325">
      <c r="A325" s="3" t="inlineStr">
        <is>
          <t>1008201</t>
        </is>
      </c>
      <c r="B325" s="3" t="inlineStr">
        <is>
          <t>10082</t>
        </is>
      </c>
      <c r="C325" s="10" t="n">
        <v>45667.18908564815</v>
      </c>
      <c r="D325" s="10" t="n">
        <v>45667.19118055556</v>
      </c>
      <c r="E325" s="10" t="n">
        <v>45667.19644675926</v>
      </c>
      <c r="F325" s="10" t="n">
        <v>45667.1980787037</v>
      </c>
      <c r="G325" s="3" t="inlineStr">
        <is>
          <t>OBT100125045052-Neudörfl (FunderMax)</t>
        </is>
      </c>
      <c r="H325" s="10" t="n">
        <v>45667.20199074074</v>
      </c>
      <c r="I325" s="10" t="n">
        <v>45667.24460648148</v>
      </c>
      <c r="J325" s="10" t="n">
        <v>45667.245625</v>
      </c>
      <c r="K325" s="11">
        <f>IF(AND(ISNUMBER(D325),ISNUMBER(E325)),(E325-D325),"")</f>
        <v/>
      </c>
      <c r="L325" s="11">
        <f>IF(AND(ISNUMBER(F325),ISNUMBER(I325)),(I325-F325),"")</f>
        <v/>
      </c>
    </row>
    <row r="326">
      <c r="A326" s="3" t="inlineStr">
        <is>
          <t>1008301</t>
        </is>
      </c>
      <c r="B326" s="3" t="inlineStr">
        <is>
          <t>10083</t>
        </is>
      </c>
      <c r="C326" s="10" t="n">
        <v>45667.24026620371</v>
      </c>
      <c r="D326" s="10" t="n">
        <v>45667.24254629629</v>
      </c>
      <c r="E326" s="10" t="n">
        <v>45667.24868055555</v>
      </c>
      <c r="F326" s="10" t="n">
        <v>45667.25072916667</v>
      </c>
      <c r="G326" s="3" t="inlineStr">
        <is>
          <t>OBT100125060642-Wien Kledering</t>
        </is>
      </c>
      <c r="H326" s="10" t="n">
        <v>45667.25465277778</v>
      </c>
      <c r="I326" s="10" t="n">
        <v>45667.31542824074</v>
      </c>
      <c r="J326" s="10" t="n">
        <v>45667.31671296297</v>
      </c>
      <c r="K326" s="11">
        <f>IF(AND(ISNUMBER(D326),ISNUMBER(E326)),(E326-D326),"")</f>
        <v/>
      </c>
      <c r="L326" s="11">
        <f>IF(AND(ISNUMBER(F326),ISNUMBER(I326)),(I326-F326),"")</f>
        <v/>
      </c>
    </row>
    <row r="327">
      <c r="A327" s="3" t="inlineStr">
        <is>
          <t>1008401</t>
        </is>
      </c>
      <c r="B327" s="3" t="inlineStr">
        <is>
          <t>10084</t>
        </is>
      </c>
      <c r="C327" s="10" t="n">
        <v>45667.2774537037</v>
      </c>
      <c r="D327" s="10" t="n">
        <v>45667.27994212963</v>
      </c>
      <c r="E327" s="10" t="n">
        <v>45667.29420138889</v>
      </c>
      <c r="F327" s="10" t="n">
        <v>45667.29623842592</v>
      </c>
      <c r="G327" s="3" t="inlineStr">
        <is>
          <t>OBT100125095359-Felixdorf/Sollenau (Bundesheer, Maba)</t>
        </is>
      </c>
      <c r="H327" s="10" t="n">
        <v>45667.41248842593</v>
      </c>
      <c r="I327" s="10" t="n">
        <v>45667.46283564815</v>
      </c>
      <c r="J327" s="10" t="n">
        <v>45667.46359953703</v>
      </c>
      <c r="K327" s="11">
        <f>IF(AND(ISNUMBER(D327),ISNUMBER(E327)),(E327-D327),"")</f>
        <v/>
      </c>
      <c r="L327" s="11">
        <f>IF(AND(ISNUMBER(F327),ISNUMBER(I327)),(I327-F327),"")</f>
        <v/>
      </c>
    </row>
    <row r="328">
      <c r="A328" s="3" t="inlineStr">
        <is>
          <t>1008402</t>
        </is>
      </c>
      <c r="B328" s="3" t="inlineStr">
        <is>
          <t>10084</t>
        </is>
      </c>
      <c r="C328" s="10" t="n">
        <v>45667.2774537037</v>
      </c>
      <c r="D328" s="10" t="n">
        <v>45667.27994212963</v>
      </c>
      <c r="E328" s="10" t="n">
        <v>45667.29623842592</v>
      </c>
      <c r="F328" s="10" t="n">
        <v>45667.29815972222</v>
      </c>
      <c r="G328" s="3" t="inlineStr">
        <is>
          <t>OBT100125092212-St. Veit an der Glan</t>
        </is>
      </c>
      <c r="H328" s="10" t="n">
        <v>45667.39041666667</v>
      </c>
      <c r="I328" s="10" t="n">
        <v>45667.41510416667</v>
      </c>
      <c r="J328" s="10" t="n">
        <v>45667.41582175926</v>
      </c>
      <c r="K328" s="11">
        <f>IF(AND(ISNUMBER(D328),ISNUMBER(E328)),(E328-D328),"")</f>
        <v/>
      </c>
      <c r="L328" s="11">
        <f>IF(AND(ISNUMBER(F328),ISNUMBER(I328)),(I328-F328),"")</f>
        <v/>
      </c>
    </row>
    <row r="329">
      <c r="A329" s="3" t="inlineStr">
        <is>
          <t>1008403</t>
        </is>
      </c>
      <c r="B329" s="3" t="inlineStr">
        <is>
          <t>10084</t>
        </is>
      </c>
      <c r="C329" s="10" t="n">
        <v>45667.2774537037</v>
      </c>
      <c r="D329" s="10" t="n">
        <v>45667.27994212963</v>
      </c>
      <c r="E329" s="10" t="n">
        <v>45667.29815972222</v>
      </c>
      <c r="F329" s="10" t="n">
        <v>45667.29961805556</v>
      </c>
      <c r="G329" s="3" t="inlineStr">
        <is>
          <t>OBT100125071706-Wr. Neustadt (Hödlmayr)</t>
        </is>
      </c>
      <c r="H329" s="10" t="n">
        <v>45667.30354166667</v>
      </c>
      <c r="I329" s="10" t="n">
        <v>45667.33181712963</v>
      </c>
      <c r="J329" s="10" t="n">
        <v>45667.33260416667</v>
      </c>
      <c r="K329" s="11">
        <f>IF(AND(ISNUMBER(D329),ISNUMBER(E329)),(E329-D329),"")</f>
        <v/>
      </c>
      <c r="L329" s="11">
        <f>IF(AND(ISNUMBER(F329),ISNUMBER(I329)),(I329-F329),"")</f>
        <v/>
      </c>
    </row>
    <row r="330">
      <c r="A330" s="3" t="inlineStr">
        <is>
          <t>1008404</t>
        </is>
      </c>
      <c r="B330" s="3" t="inlineStr">
        <is>
          <t>10084</t>
        </is>
      </c>
      <c r="C330" s="10" t="n">
        <v>45667.2774537037</v>
      </c>
      <c r="D330" s="10" t="n">
        <v>45667.27994212963</v>
      </c>
      <c r="E330" s="10" t="n">
        <v>45667.29961805556</v>
      </c>
      <c r="F330" s="10" t="n">
        <v>45667.30159722222</v>
      </c>
      <c r="G330" s="3" t="inlineStr">
        <is>
          <t>OBT100125071957-Pitten (Hamburger)</t>
        </is>
      </c>
      <c r="H330" s="10" t="n">
        <v>45667.30552083333</v>
      </c>
      <c r="I330" s="10" t="n">
        <v>45667.34769675926</v>
      </c>
      <c r="J330" s="10" t="n">
        <v>45667.34872685185</v>
      </c>
      <c r="K330" s="11">
        <f>IF(AND(ISNUMBER(D330),ISNUMBER(E330)),(E330-D330),"")</f>
        <v/>
      </c>
      <c r="L330" s="11">
        <f>IF(AND(ISNUMBER(F330),ISNUMBER(I330)),(I330-F330),"")</f>
        <v/>
      </c>
    </row>
    <row r="331">
      <c r="A331" s="3" t="inlineStr">
        <is>
          <t>1008405</t>
        </is>
      </c>
      <c r="B331" s="3" t="inlineStr">
        <is>
          <t>10084</t>
        </is>
      </c>
      <c r="C331" s="10" t="n">
        <v>45667.2774537037</v>
      </c>
      <c r="D331" s="10" t="n">
        <v>45667.27994212963</v>
      </c>
      <c r="E331" s="10" t="n">
        <v>45667.30159722222</v>
      </c>
      <c r="F331" s="10" t="n">
        <v>45667.30276620371</v>
      </c>
      <c r="G331" s="3" t="inlineStr">
        <is>
          <t>OBT130125093830-Other sidings local</t>
        </is>
      </c>
      <c r="H331" s="10" t="n">
        <v>45670.40173611111</v>
      </c>
      <c r="I331" s="10" t="n">
        <v>45670.43755787037</v>
      </c>
      <c r="J331" s="10" t="n">
        <v>45670.43825231482</v>
      </c>
      <c r="K331" s="11">
        <f>IF(AND(ISNUMBER(D331),ISNUMBER(E331)),(E331-D331),"")</f>
        <v/>
      </c>
      <c r="L331" s="11">
        <f>IF(AND(ISNUMBER(F331),ISNUMBER(I331)),(I331-F331),"")</f>
        <v/>
      </c>
    </row>
    <row r="332">
      <c r="A332" s="3" t="inlineStr">
        <is>
          <t>1008406</t>
        </is>
      </c>
      <c r="B332" s="3" t="inlineStr">
        <is>
          <t>10084</t>
        </is>
      </c>
      <c r="C332" s="10" t="n">
        <v>45667.2774537037</v>
      </c>
      <c r="D332" s="10" t="n">
        <v>45667.27994212963</v>
      </c>
      <c r="E332" s="10" t="n">
        <v>45667.30276620371</v>
      </c>
      <c r="F332" s="10" t="n">
        <v>45667.30483796296</v>
      </c>
      <c r="G332" s="3" t="inlineStr">
        <is>
          <t>OBT100125095359-Felixdorf/Sollenau (Bundesheer, Maba)</t>
        </is>
      </c>
      <c r="H332" s="10" t="n">
        <v>45667.41248842593</v>
      </c>
      <c r="I332" s="10" t="n">
        <v>45667.46283564815</v>
      </c>
      <c r="J332" s="10" t="n">
        <v>45667.46359953703</v>
      </c>
      <c r="K332" s="11">
        <f>IF(AND(ISNUMBER(D332),ISNUMBER(E332)),(E332-D332),"")</f>
        <v/>
      </c>
      <c r="L332" s="11">
        <f>IF(AND(ISNUMBER(F332),ISNUMBER(I332)),(I332-F332),"")</f>
        <v/>
      </c>
    </row>
    <row r="333">
      <c r="A333" s="3" t="inlineStr">
        <is>
          <t>1008407</t>
        </is>
      </c>
      <c r="B333" s="3" t="inlineStr">
        <is>
          <t>10084</t>
        </is>
      </c>
      <c r="C333" s="10" t="n">
        <v>45667.2774537037</v>
      </c>
      <c r="D333" s="10" t="n">
        <v>45667.27994212963</v>
      </c>
      <c r="E333" s="10" t="n">
        <v>45667.30483796296</v>
      </c>
      <c r="F333" s="10" t="n">
        <v>45667.30660879629</v>
      </c>
      <c r="G333" s="3" t="inlineStr">
        <is>
          <t>OBT100125094326-Other sidings north</t>
        </is>
      </c>
      <c r="H333" s="10" t="n">
        <v>45667.40516203704</v>
      </c>
      <c r="I333" s="10" t="n">
        <v>45667.4404050926</v>
      </c>
      <c r="J333" s="10" t="n">
        <v>45667.44130787037</v>
      </c>
      <c r="K333" s="11">
        <f>IF(AND(ISNUMBER(D333),ISNUMBER(E333)),(E333-D333),"")</f>
        <v/>
      </c>
      <c r="L333" s="11">
        <f>IF(AND(ISNUMBER(F333),ISNUMBER(I333)),(I333-F333),"")</f>
        <v/>
      </c>
    </row>
    <row r="334">
      <c r="A334" s="3" t="inlineStr">
        <is>
          <t>1008408</t>
        </is>
      </c>
      <c r="B334" s="3" t="inlineStr">
        <is>
          <t>10084</t>
        </is>
      </c>
      <c r="C334" s="10" t="n">
        <v>45667.2774537037</v>
      </c>
      <c r="D334" s="10" t="n">
        <v>45667.27994212963</v>
      </c>
      <c r="E334" s="10" t="n">
        <v>45667.30660879629</v>
      </c>
      <c r="F334" s="10" t="n">
        <v>45667.30836805556</v>
      </c>
      <c r="G334" s="3" t="inlineStr">
        <is>
          <t>OBT100125205342-Other sidings south</t>
        </is>
      </c>
      <c r="H334" s="10" t="n">
        <v>45667.870625</v>
      </c>
      <c r="I334" s="10" t="n">
        <v>45667.89222222222</v>
      </c>
      <c r="J334" s="10" t="n">
        <v>45667.89303240741</v>
      </c>
      <c r="K334" s="11">
        <f>IF(AND(ISNUMBER(D334),ISNUMBER(E334)),(E334-D334),"")</f>
        <v/>
      </c>
      <c r="L334" s="11">
        <f>IF(AND(ISNUMBER(F334),ISNUMBER(I334)),(I334-F334),"")</f>
        <v/>
      </c>
    </row>
    <row r="335">
      <c r="A335" s="3" t="inlineStr">
        <is>
          <t>1008409</t>
        </is>
      </c>
      <c r="B335" s="3" t="inlineStr">
        <is>
          <t>10084</t>
        </is>
      </c>
      <c r="C335" s="10" t="n">
        <v>45667.2774537037</v>
      </c>
      <c r="D335" s="10" t="n">
        <v>45667.27994212963</v>
      </c>
      <c r="E335" s="10" t="n">
        <v>45667.30836805556</v>
      </c>
      <c r="F335" s="10" t="n">
        <v>45667.31010416667</v>
      </c>
      <c r="G335" s="3" t="inlineStr">
        <is>
          <t>OBT100125094326-Other sidings north</t>
        </is>
      </c>
      <c r="H335" s="10" t="n">
        <v>45667.40516203704</v>
      </c>
      <c r="I335" s="10" t="n">
        <v>45667.4404050926</v>
      </c>
      <c r="J335" s="10" t="n">
        <v>45667.44130787037</v>
      </c>
      <c r="K335" s="11">
        <f>IF(AND(ISNUMBER(D335),ISNUMBER(E335)),(E335-D335),"")</f>
        <v/>
      </c>
      <c r="L335" s="11">
        <f>IF(AND(ISNUMBER(F335),ISNUMBER(I335)),(I335-F335),"")</f>
        <v/>
      </c>
    </row>
    <row r="336">
      <c r="A336" s="3" t="inlineStr">
        <is>
          <t>1008501</t>
        </is>
      </c>
      <c r="B336" s="3" t="inlineStr">
        <is>
          <t>10085</t>
        </is>
      </c>
      <c r="C336" s="10" t="n">
        <v>45667.31016203704</v>
      </c>
      <c r="D336" s="10" t="n">
        <v>45667.31219907408</v>
      </c>
      <c r="E336" s="10" t="n">
        <v>45667.3174537037</v>
      </c>
      <c r="F336" s="10" t="n">
        <v>45667.31981481481</v>
      </c>
      <c r="G336" s="3" t="inlineStr">
        <is>
          <t>OBT100125074357-Wien Kledering</t>
        </is>
      </c>
      <c r="H336" s="10" t="n">
        <v>45667.3221875</v>
      </c>
      <c r="I336" s="10" t="n">
        <v>45667.35741898148</v>
      </c>
      <c r="J336" s="10" t="n">
        <v>45667.35841435185</v>
      </c>
      <c r="K336" s="11">
        <f>IF(AND(ISNUMBER(D336),ISNUMBER(E336)),(E336-D336),"")</f>
        <v/>
      </c>
      <c r="L336" s="11">
        <f>IF(AND(ISNUMBER(F336),ISNUMBER(I336)),(I336-F336),"")</f>
        <v/>
      </c>
    </row>
    <row r="337">
      <c r="A337" s="3" t="inlineStr">
        <is>
          <t>1008601</t>
        </is>
      </c>
      <c r="B337" s="3" t="inlineStr">
        <is>
          <t>10086</t>
        </is>
      </c>
      <c r="C337" s="10" t="n">
        <v>45667.33010416666</v>
      </c>
      <c r="D337" s="10" t="n">
        <v>45667.33258101852</v>
      </c>
      <c r="E337" s="10" t="n">
        <v>45667.33914351852</v>
      </c>
      <c r="F337" s="10" t="n">
        <v>45667.34171296296</v>
      </c>
      <c r="G337" s="3" t="inlineStr">
        <is>
          <t>OBT100125081531-Wien Kledering</t>
        </is>
      </c>
      <c r="H337" s="10" t="n">
        <v>45667.34410879629</v>
      </c>
      <c r="I337" s="10" t="n">
        <v>45667.41195601852</v>
      </c>
      <c r="J337" s="10" t="n">
        <v>45667.41334490741</v>
      </c>
      <c r="K337" s="11">
        <f>IF(AND(ISNUMBER(D337),ISNUMBER(E337)),(E337-D337),"")</f>
        <v/>
      </c>
      <c r="L337" s="11">
        <f>IF(AND(ISNUMBER(F337),ISNUMBER(I337)),(I337-F337),"")</f>
        <v/>
      </c>
    </row>
    <row r="338">
      <c r="A338" s="3" t="inlineStr">
        <is>
          <t>1008801</t>
        </is>
      </c>
      <c r="B338" s="3" t="inlineStr">
        <is>
          <t>10088</t>
        </is>
      </c>
      <c r="C338" s="10" t="n">
        <v>45667.3740625</v>
      </c>
      <c r="D338" s="10" t="n">
        <v>45667.37613425926</v>
      </c>
      <c r="E338" s="10" t="n">
        <v>45667.38336805555</v>
      </c>
      <c r="F338" s="10" t="n">
        <v>45667.38488425926</v>
      </c>
      <c r="G338" s="3" t="inlineStr">
        <is>
          <t>OBT100125092457-Wien Kledering</t>
        </is>
      </c>
      <c r="H338" s="10" t="n">
        <v>45667.39232638889</v>
      </c>
      <c r="I338" s="10" t="n">
        <v>45667.44299768518</v>
      </c>
      <c r="J338" s="10" t="n">
        <v>45667.44386574074</v>
      </c>
      <c r="K338" s="11">
        <f>IF(AND(ISNUMBER(D338),ISNUMBER(E338)),(E338-D338),"")</f>
        <v/>
      </c>
      <c r="L338" s="11">
        <f>IF(AND(ISNUMBER(F338),ISNUMBER(I338)),(I338-F338),"")</f>
        <v/>
      </c>
    </row>
    <row r="339">
      <c r="A339" s="3" t="inlineStr">
        <is>
          <t>1008802</t>
        </is>
      </c>
      <c r="B339" s="3" t="inlineStr">
        <is>
          <t>10088</t>
        </is>
      </c>
      <c r="C339" s="10" t="n">
        <v>45667.3740625</v>
      </c>
      <c r="D339" s="10" t="n">
        <v>45667.37613425926</v>
      </c>
      <c r="E339" s="10" t="n">
        <v>45667.38488425926</v>
      </c>
      <c r="F339" s="10" t="n">
        <v>45667.38685185185</v>
      </c>
      <c r="G339" s="3" t="inlineStr">
        <is>
          <t>OBT100125092212-St. Veit an der Glan</t>
        </is>
      </c>
      <c r="H339" s="10" t="n">
        <v>45667.39041666667</v>
      </c>
      <c r="I339" s="10" t="n">
        <v>45667.41510416667</v>
      </c>
      <c r="J339" s="10" t="n">
        <v>45667.41582175926</v>
      </c>
      <c r="K339" s="11">
        <f>IF(AND(ISNUMBER(D339),ISNUMBER(E339)),(E339-D339),"")</f>
        <v/>
      </c>
      <c r="L339" s="11">
        <f>IF(AND(ISNUMBER(F339),ISNUMBER(I339)),(I339-F339),"")</f>
        <v/>
      </c>
    </row>
    <row r="340">
      <c r="A340" s="3" t="inlineStr">
        <is>
          <t>1008803</t>
        </is>
      </c>
      <c r="B340" s="3" t="inlineStr">
        <is>
          <t>10088</t>
        </is>
      </c>
      <c r="C340" s="10" t="n">
        <v>45667.3740625</v>
      </c>
      <c r="D340" s="10" t="n">
        <v>45667.37613425926</v>
      </c>
      <c r="E340" s="10" t="n">
        <v>45667.38685185185</v>
      </c>
      <c r="F340" s="10" t="n">
        <v>45667.38842592593</v>
      </c>
      <c r="G340" s="3" t="inlineStr">
        <is>
          <t>OBT100125092457-Wien Kledering</t>
        </is>
      </c>
      <c r="H340" s="10" t="n">
        <v>45667.39232638889</v>
      </c>
      <c r="I340" s="10" t="n">
        <v>45667.44299768518</v>
      </c>
      <c r="J340" s="10" t="n">
        <v>45667.44386574074</v>
      </c>
      <c r="K340" s="11">
        <f>IF(AND(ISNUMBER(D340),ISNUMBER(E340)),(E340-D340),"")</f>
        <v/>
      </c>
      <c r="L340" s="11">
        <f>IF(AND(ISNUMBER(F340),ISNUMBER(I340)),(I340-F340),"")</f>
        <v/>
      </c>
    </row>
    <row r="341">
      <c r="A341" s="3" t="inlineStr">
        <is>
          <t>1008701</t>
        </is>
      </c>
      <c r="B341" s="3" t="inlineStr">
        <is>
          <t>10087</t>
        </is>
      </c>
      <c r="C341" s="10" t="n">
        <v>45667.36486111111</v>
      </c>
      <c r="D341" s="10" t="n">
        <v>45667.36737268518</v>
      </c>
      <c r="E341" s="10" t="n">
        <v>45667.38930555555</v>
      </c>
      <c r="F341" s="10" t="n">
        <v>45667.39100694445</v>
      </c>
      <c r="G341" s="3" t="inlineStr">
        <is>
          <t>OBT100125094326-Other sidings north</t>
        </is>
      </c>
      <c r="H341" s="10" t="n">
        <v>45667.40516203704</v>
      </c>
      <c r="I341" s="10" t="n">
        <v>45667.4404050926</v>
      </c>
      <c r="J341" s="10" t="n">
        <v>45667.44130787037</v>
      </c>
      <c r="K341" s="11">
        <f>IF(AND(ISNUMBER(D341),ISNUMBER(E341)),(E341-D341),"")</f>
        <v/>
      </c>
      <c r="L341" s="11">
        <f>IF(AND(ISNUMBER(F341),ISNUMBER(I341)),(I341-F341),"")</f>
        <v/>
      </c>
    </row>
    <row r="342">
      <c r="A342" s="3" t="inlineStr">
        <is>
          <t>1008702</t>
        </is>
      </c>
      <c r="B342" s="3" t="inlineStr">
        <is>
          <t>10087</t>
        </is>
      </c>
      <c r="C342" s="10" t="n">
        <v>45667.36486111111</v>
      </c>
      <c r="D342" s="10" t="n">
        <v>45667.36737268518</v>
      </c>
      <c r="E342" s="10" t="n">
        <v>45667.39100694445</v>
      </c>
      <c r="F342" s="10" t="n">
        <v>45667.39254629629</v>
      </c>
      <c r="G342" s="3" t="inlineStr">
        <is>
          <t>OBT100125092935-Ebenfurth (beet loading)</t>
        </is>
      </c>
      <c r="H342" s="10" t="n">
        <v>45667.39554398148</v>
      </c>
      <c r="I342" s="10" t="n">
        <v>45667.44130787037</v>
      </c>
      <c r="J342" s="10" t="n">
        <v>45667.44206018518</v>
      </c>
      <c r="K342" s="11">
        <f>IF(AND(ISNUMBER(D342),ISNUMBER(E342)),(E342-D342),"")</f>
        <v/>
      </c>
      <c r="L342" s="11">
        <f>IF(AND(ISNUMBER(F342),ISNUMBER(I342)),(I342-F342),"")</f>
        <v/>
      </c>
    </row>
    <row r="343">
      <c r="A343" s="3" t="inlineStr">
        <is>
          <t>1008703</t>
        </is>
      </c>
      <c r="B343" s="3" t="inlineStr">
        <is>
          <t>10087</t>
        </is>
      </c>
      <c r="C343" s="10" t="n">
        <v>45667.36486111111</v>
      </c>
      <c r="D343" s="10" t="n">
        <v>45667.36737268518</v>
      </c>
      <c r="E343" s="10" t="n">
        <v>45667.39254629629</v>
      </c>
      <c r="F343" s="10" t="n">
        <v>45667.39427083333</v>
      </c>
      <c r="G343" s="3" t="inlineStr">
        <is>
          <t>OBT100125205342-Other sidings south</t>
        </is>
      </c>
      <c r="H343" s="10" t="n">
        <v>45667.870625</v>
      </c>
      <c r="I343" s="10" t="n">
        <v>45667.89222222222</v>
      </c>
      <c r="J343" s="10" t="n">
        <v>45667.89303240741</v>
      </c>
      <c r="K343" s="11">
        <f>IF(AND(ISNUMBER(D343),ISNUMBER(E343)),(E343-D343),"")</f>
        <v/>
      </c>
      <c r="L343" s="11">
        <f>IF(AND(ISNUMBER(F343),ISNUMBER(I343)),(I343-F343),"")</f>
        <v/>
      </c>
    </row>
    <row r="344">
      <c r="A344" s="3" t="inlineStr">
        <is>
          <t>1008704</t>
        </is>
      </c>
      <c r="B344" s="3" t="inlineStr">
        <is>
          <t>10087</t>
        </is>
      </c>
      <c r="C344" s="10" t="n">
        <v>45667.36486111111</v>
      </c>
      <c r="D344" s="10" t="n">
        <v>45667.36737268518</v>
      </c>
      <c r="E344" s="10" t="n">
        <v>45667.39427083333</v>
      </c>
      <c r="F344" s="10" t="n">
        <v>45667.39552083334</v>
      </c>
      <c r="G344" s="3" t="inlineStr">
        <is>
          <t>OBT130125092620-Ternitz (Schoeller-Bleckmann)</t>
        </is>
      </c>
      <c r="H344" s="10" t="n">
        <v>45670.39328703703</v>
      </c>
      <c r="I344" s="10" t="n">
        <v>45670.42590277778</v>
      </c>
      <c r="J344" s="10" t="n">
        <v>45670.426875</v>
      </c>
      <c r="K344" s="11">
        <f>IF(AND(ISNUMBER(D344),ISNUMBER(E344)),(E344-D344),"")</f>
        <v/>
      </c>
      <c r="L344" s="11">
        <f>IF(AND(ISNUMBER(F344),ISNUMBER(I344)),(I344-F344),"")</f>
        <v/>
      </c>
    </row>
    <row r="345">
      <c r="A345" s="3" t="inlineStr">
        <is>
          <t>1008705</t>
        </is>
      </c>
      <c r="B345" s="3" t="inlineStr">
        <is>
          <t>10087</t>
        </is>
      </c>
      <c r="C345" s="10" t="n">
        <v>45667.36486111111</v>
      </c>
      <c r="D345" s="10" t="n">
        <v>45667.36737268518</v>
      </c>
      <c r="E345" s="10" t="n">
        <v>45667.39552083334</v>
      </c>
      <c r="F345" s="10" t="n">
        <v>45667.39685185185</v>
      </c>
      <c r="G345" s="3" t="inlineStr">
        <is>
          <t>OBT100125142646-Wien Kledering</t>
        </is>
      </c>
      <c r="H345" s="10" t="n">
        <v>45667.60192129629</v>
      </c>
      <c r="I345" s="10" t="n">
        <v>45667.62337962963</v>
      </c>
      <c r="J345" s="10" t="n">
        <v>45667.62408564815</v>
      </c>
      <c r="K345" s="11">
        <f>IF(AND(ISNUMBER(D345),ISNUMBER(E345)),(E345-D345),"")</f>
        <v/>
      </c>
      <c r="L345" s="11">
        <f>IF(AND(ISNUMBER(F345),ISNUMBER(I345)),(I345-F345),"")</f>
        <v/>
      </c>
    </row>
    <row r="346">
      <c r="A346" s="3" t="inlineStr">
        <is>
          <t>1008706</t>
        </is>
      </c>
      <c r="B346" s="3" t="inlineStr">
        <is>
          <t>10087</t>
        </is>
      </c>
      <c r="C346" s="10" t="n">
        <v>45667.36486111111</v>
      </c>
      <c r="D346" s="10" t="n">
        <v>45667.36737268518</v>
      </c>
      <c r="E346" s="10" t="n">
        <v>45667.39685185185</v>
      </c>
      <c r="F346" s="10" t="n">
        <v>45667.39873842592</v>
      </c>
      <c r="G346" s="3" t="inlineStr">
        <is>
          <t>OBT100125103849-Wien Kledering</t>
        </is>
      </c>
      <c r="H346" s="10" t="n">
        <v>45667.44362268518</v>
      </c>
      <c r="I346" s="10" t="n">
        <v>45667.48974537037</v>
      </c>
      <c r="J346" s="10" t="n">
        <v>45667.49074074074</v>
      </c>
      <c r="K346" s="11">
        <f>IF(AND(ISNUMBER(D346),ISNUMBER(E346)),(E346-D346),"")</f>
        <v/>
      </c>
      <c r="L346" s="11">
        <f>IF(AND(ISNUMBER(F346),ISNUMBER(I346)),(I346-F346),"")</f>
        <v/>
      </c>
    </row>
    <row r="347">
      <c r="A347" s="3" t="inlineStr">
        <is>
          <t>1008707</t>
        </is>
      </c>
      <c r="B347" s="3" t="inlineStr">
        <is>
          <t>10087</t>
        </is>
      </c>
      <c r="C347" s="10" t="n">
        <v>45667.36486111111</v>
      </c>
      <c r="D347" s="10" t="n">
        <v>45667.36737268518</v>
      </c>
      <c r="E347" s="10" t="n">
        <v>45667.39873842592</v>
      </c>
      <c r="F347" s="10" t="n">
        <v>45667.40064814815</v>
      </c>
      <c r="G347" s="3" t="inlineStr">
        <is>
          <t>OBT100125094326-Other sidings north</t>
        </is>
      </c>
      <c r="H347" s="10" t="n">
        <v>45667.40516203704</v>
      </c>
      <c r="I347" s="10" t="n">
        <v>45667.4404050926</v>
      </c>
      <c r="J347" s="10" t="n">
        <v>45667.44130787037</v>
      </c>
      <c r="K347" s="11">
        <f>IF(AND(ISNUMBER(D347),ISNUMBER(E347)),(E347-D347),"")</f>
        <v/>
      </c>
      <c r="L347" s="11">
        <f>IF(AND(ISNUMBER(F347),ISNUMBER(I347)),(I347-F347),"")</f>
        <v/>
      </c>
    </row>
    <row r="348">
      <c r="A348" s="3" t="inlineStr">
        <is>
          <t>1008708</t>
        </is>
      </c>
      <c r="B348" s="3" t="inlineStr">
        <is>
          <t>10087</t>
        </is>
      </c>
      <c r="C348" s="10" t="n">
        <v>45667.36486111111</v>
      </c>
      <c r="D348" s="10" t="n">
        <v>45667.36737268518</v>
      </c>
      <c r="E348" s="10" t="n">
        <v>45667.40064814815</v>
      </c>
      <c r="F348" s="10" t="n">
        <v>45667.40179398148</v>
      </c>
      <c r="G348" s="3" t="inlineStr">
        <is>
          <t>OBT130125093830-Other sidings local</t>
        </is>
      </c>
      <c r="H348" s="10" t="n">
        <v>45670.40173611111</v>
      </c>
      <c r="I348" s="10" t="n">
        <v>45670.43755787037</v>
      </c>
      <c r="J348" s="10" t="n">
        <v>45670.43825231482</v>
      </c>
      <c r="K348" s="11">
        <f>IF(AND(ISNUMBER(D348),ISNUMBER(E348)),(E348-D348),"")</f>
        <v/>
      </c>
      <c r="L348" s="11">
        <f>IF(AND(ISNUMBER(F348),ISNUMBER(I348)),(I348-F348),"")</f>
        <v/>
      </c>
    </row>
    <row r="349">
      <c r="A349" s="3" t="inlineStr">
        <is>
          <t>1008709</t>
        </is>
      </c>
      <c r="B349" s="3" t="inlineStr">
        <is>
          <t>10087</t>
        </is>
      </c>
      <c r="C349" s="10" t="n">
        <v>45667.36486111111</v>
      </c>
      <c r="D349" s="10" t="n">
        <v>45667.36737268518</v>
      </c>
      <c r="E349" s="10" t="n">
        <v>45667.40179398148</v>
      </c>
      <c r="F349" s="10" t="n">
        <v>45667.40381944444</v>
      </c>
      <c r="G349" s="3" t="inlineStr">
        <is>
          <t>OBT100125185219-Neunkirchen (loading tracks)</t>
        </is>
      </c>
      <c r="H349" s="10" t="n">
        <v>45667.78633101852</v>
      </c>
      <c r="I349" s="10" t="n">
        <v>45667.83038194444</v>
      </c>
      <c r="J349" s="10" t="n">
        <v>45667.83126157407</v>
      </c>
      <c r="K349" s="11">
        <f>IF(AND(ISNUMBER(D349),ISNUMBER(E349)),(E349-D349),"")</f>
        <v/>
      </c>
      <c r="L349" s="11">
        <f>IF(AND(ISNUMBER(F349),ISNUMBER(I349)),(I349-F349),"")</f>
        <v/>
      </c>
    </row>
    <row r="350">
      <c r="A350" s="3" t="inlineStr">
        <is>
          <t>1008710</t>
        </is>
      </c>
      <c r="B350" s="3" t="inlineStr">
        <is>
          <t>10087</t>
        </is>
      </c>
      <c r="C350" s="10" t="n">
        <v>45667.36486111111</v>
      </c>
      <c r="D350" s="10" t="n">
        <v>45667.36737268518</v>
      </c>
      <c r="E350" s="10" t="n">
        <v>45667.40381944444</v>
      </c>
      <c r="F350" s="10" t="n">
        <v>45667.40592592592</v>
      </c>
      <c r="G350" s="3" t="inlineStr">
        <is>
          <t>OBT100125095359-Felixdorf/Sollenau (Bundesheer, Maba)</t>
        </is>
      </c>
      <c r="H350" s="10" t="n">
        <v>45667.41248842593</v>
      </c>
      <c r="I350" s="10" t="n">
        <v>45667.46283564815</v>
      </c>
      <c r="J350" s="10" t="n">
        <v>45667.46359953703</v>
      </c>
      <c r="K350" s="11">
        <f>IF(AND(ISNUMBER(D350),ISNUMBER(E350)),(E350-D350),"")</f>
        <v/>
      </c>
      <c r="L350" s="11">
        <f>IF(AND(ISNUMBER(F350),ISNUMBER(I350)),(I350-F350),"")</f>
        <v/>
      </c>
    </row>
    <row r="351">
      <c r="A351" s="3" t="inlineStr">
        <is>
          <t>1008711</t>
        </is>
      </c>
      <c r="B351" s="3" t="inlineStr">
        <is>
          <t>10087</t>
        </is>
      </c>
      <c r="C351" s="10" t="n">
        <v>45667.36486111111</v>
      </c>
      <c r="D351" s="10" t="n">
        <v>45667.36737268518</v>
      </c>
      <c r="E351" s="10" t="n">
        <v>45667.40592592592</v>
      </c>
      <c r="F351" s="10" t="n">
        <v>45667.4075</v>
      </c>
      <c r="G351" s="3" t="inlineStr">
        <is>
          <t>OBT100125183853-Wr. Neustadt Ausfahrbf (Furtenbach)</t>
        </is>
      </c>
      <c r="H351" s="10" t="n">
        <v>45667.77700231481</v>
      </c>
      <c r="I351" s="10" t="n">
        <v>45667.81925925926</v>
      </c>
      <c r="J351" s="10" t="n">
        <v>45667.82010416667</v>
      </c>
      <c r="K351" s="11">
        <f>IF(AND(ISNUMBER(D351),ISNUMBER(E351)),(E351-D351),"")</f>
        <v/>
      </c>
      <c r="L351" s="11">
        <f>IF(AND(ISNUMBER(F351),ISNUMBER(I351)),(I351-F351),"")</f>
        <v/>
      </c>
    </row>
    <row r="352">
      <c r="A352" s="3" t="inlineStr">
        <is>
          <t>1008712</t>
        </is>
      </c>
      <c r="B352" s="3" t="inlineStr">
        <is>
          <t>10087</t>
        </is>
      </c>
      <c r="C352" s="10" t="n">
        <v>45667.36486111111</v>
      </c>
      <c r="D352" s="10" t="n">
        <v>45667.36737268518</v>
      </c>
      <c r="E352" s="10" t="n">
        <v>45667.4075</v>
      </c>
      <c r="F352" s="10" t="n">
        <v>45667.40922453703</v>
      </c>
      <c r="G352" s="3" t="inlineStr">
        <is>
          <t>OBT100125205342-Other sidings south</t>
        </is>
      </c>
      <c r="H352" s="10" t="n">
        <v>45667.870625</v>
      </c>
      <c r="I352" s="10" t="n">
        <v>45667.89222222222</v>
      </c>
      <c r="J352" s="10" t="n">
        <v>45667.89303240741</v>
      </c>
      <c r="K352" s="11">
        <f>IF(AND(ISNUMBER(D352),ISNUMBER(E352)),(E352-D352),"")</f>
        <v/>
      </c>
      <c r="L352" s="11">
        <f>IF(AND(ISNUMBER(F352),ISNUMBER(I352)),(I352-F352),"")</f>
        <v/>
      </c>
    </row>
    <row r="353">
      <c r="A353" s="3" t="inlineStr">
        <is>
          <t>1008901</t>
        </is>
      </c>
      <c r="B353" s="3" t="inlineStr">
        <is>
          <t>10089</t>
        </is>
      </c>
      <c r="C353" s="10" t="n">
        <v>45667.42962962963</v>
      </c>
      <c r="D353" s="10" t="n">
        <v>45667.43181712963</v>
      </c>
      <c r="E353" s="10" t="n">
        <v>45667.43765046296</v>
      </c>
      <c r="F353" s="10" t="n">
        <v>45667.44012731482</v>
      </c>
      <c r="G353" s="3" t="inlineStr">
        <is>
          <t>OBT100125103849-Wien Kledering</t>
        </is>
      </c>
      <c r="H353" s="10" t="n">
        <v>45667.44362268518</v>
      </c>
      <c r="I353" s="10" t="n">
        <v>45667.48974537037</v>
      </c>
      <c r="J353" s="10" t="n">
        <v>45667.49074074074</v>
      </c>
      <c r="K353" s="11">
        <f>IF(AND(ISNUMBER(D353),ISNUMBER(E353)),(E353-D353),"")</f>
        <v/>
      </c>
      <c r="L353" s="11">
        <f>IF(AND(ISNUMBER(F353),ISNUMBER(I353)),(I353-F353),"")</f>
        <v/>
      </c>
    </row>
    <row r="354">
      <c r="A354" s="3" t="inlineStr">
        <is>
          <t>1009001</t>
        </is>
      </c>
      <c r="B354" s="3" t="inlineStr">
        <is>
          <t>10090</t>
        </is>
      </c>
      <c r="C354" s="10" t="n">
        <v>45667.54498842593</v>
      </c>
      <c r="D354" s="10" t="n">
        <v>45667.54679398148</v>
      </c>
      <c r="E354" s="10" t="n">
        <v>45667.55116898148</v>
      </c>
      <c r="F354" s="10" t="n">
        <v>45667.55262731481</v>
      </c>
      <c r="G354" s="3" t="inlineStr">
        <is>
          <t>OBT100125142646-Wien Kledering</t>
        </is>
      </c>
      <c r="H354" s="10" t="n">
        <v>45667.60192129629</v>
      </c>
      <c r="I354" s="10" t="n">
        <v>45667.62337962963</v>
      </c>
      <c r="J354" s="10" t="n">
        <v>45667.62408564815</v>
      </c>
      <c r="K354" s="11">
        <f>IF(AND(ISNUMBER(D354),ISNUMBER(E354)),(E354-D354),"")</f>
        <v/>
      </c>
      <c r="L354" s="11">
        <f>IF(AND(ISNUMBER(F354),ISNUMBER(I354)),(I354-F354),"")</f>
        <v/>
      </c>
    </row>
    <row r="355">
      <c r="A355" s="3" t="inlineStr">
        <is>
          <t>1009101</t>
        </is>
      </c>
      <c r="B355" s="3" t="inlineStr">
        <is>
          <t>10091</t>
        </is>
      </c>
      <c r="C355" s="10" t="n">
        <v>45667.59134259259</v>
      </c>
      <c r="D355" s="10" t="n">
        <v>45667.59261574074</v>
      </c>
      <c r="E355" s="10" t="n">
        <v>45667.59638888889</v>
      </c>
      <c r="F355" s="10" t="n">
        <v>45667.5980324074</v>
      </c>
      <c r="G355" s="3" t="inlineStr">
        <is>
          <t>OBT100125142646-Wien Kledering</t>
        </is>
      </c>
      <c r="H355" s="10" t="n">
        <v>45667.60192129629</v>
      </c>
      <c r="I355" s="10" t="n">
        <v>45667.62337962963</v>
      </c>
      <c r="J355" s="10" t="n">
        <v>45667.62408564815</v>
      </c>
      <c r="K355" s="11">
        <f>IF(AND(ISNUMBER(D355),ISNUMBER(E355)),(E355-D355),"")</f>
        <v/>
      </c>
      <c r="L355" s="11">
        <f>IF(AND(ISNUMBER(F355),ISNUMBER(I355)),(I355-F355),"")</f>
        <v/>
      </c>
    </row>
    <row r="356">
      <c r="A356" s="3" t="inlineStr">
        <is>
          <t>1009201</t>
        </is>
      </c>
      <c r="B356" s="3" t="inlineStr">
        <is>
          <t>10092</t>
        </is>
      </c>
      <c r="C356" s="10" t="n">
        <v>45667.61743055555</v>
      </c>
      <c r="D356" s="10" t="n">
        <v>45667.61993055556</v>
      </c>
      <c r="E356" s="10" t="n">
        <v>45667.62652777778</v>
      </c>
      <c r="F356" s="10" t="n">
        <v>45667.62931712963</v>
      </c>
      <c r="G356" s="3" t="inlineStr">
        <is>
          <t>OBT100125150940-Wien Kledering</t>
        </is>
      </c>
      <c r="H356" s="10" t="n">
        <v>45667.63171296296</v>
      </c>
      <c r="I356" s="10" t="n">
        <v>45667.70086805556</v>
      </c>
      <c r="J356" s="10" t="n">
        <v>45667.70216435185</v>
      </c>
      <c r="K356" s="11">
        <f>IF(AND(ISNUMBER(D356),ISNUMBER(E356)),(E356-D356),"")</f>
        <v/>
      </c>
      <c r="L356" s="11">
        <f>IF(AND(ISNUMBER(F356),ISNUMBER(I356)),(I356-F356),"")</f>
        <v/>
      </c>
    </row>
    <row r="357">
      <c r="A357" s="3" t="inlineStr">
        <is>
          <t>1009301</t>
        </is>
      </c>
      <c r="B357" s="3" t="inlineStr">
        <is>
          <t>10093</t>
        </is>
      </c>
      <c r="C357" s="10" t="n">
        <v>45667.72825231482</v>
      </c>
      <c r="D357" s="10" t="n">
        <v>45667.73054398148</v>
      </c>
      <c r="E357" s="10" t="n">
        <v>45667.73674768519</v>
      </c>
      <c r="F357" s="10" t="n">
        <v>45667.73868055556</v>
      </c>
      <c r="G357" s="3" t="inlineStr">
        <is>
          <t>OBT100125174706-Wien Kledering</t>
        </is>
      </c>
      <c r="H357" s="10" t="n">
        <v>45667.74104166667</v>
      </c>
      <c r="I357" s="10" t="n">
        <v>45667.79436342593</v>
      </c>
      <c r="J357" s="10" t="n">
        <v>45667.79549768518</v>
      </c>
      <c r="K357" s="11">
        <f>IF(AND(ISNUMBER(D357),ISNUMBER(E357)),(E357-D357),"")</f>
        <v/>
      </c>
      <c r="L357" s="11">
        <f>IF(AND(ISNUMBER(F357),ISNUMBER(I357)),(I357-F357),"")</f>
        <v/>
      </c>
    </row>
    <row r="358">
      <c r="A358" s="3" t="inlineStr">
        <is>
          <t>1009401</t>
        </is>
      </c>
      <c r="B358" s="3" t="inlineStr">
        <is>
          <t>10094</t>
        </is>
      </c>
      <c r="C358" s="10" t="n">
        <v>45667.73519675926</v>
      </c>
      <c r="D358" s="10" t="n">
        <v>45667.73768518519</v>
      </c>
      <c r="E358" s="10" t="n">
        <v>45667.75888888889</v>
      </c>
      <c r="F358" s="10" t="n">
        <v>45667.76041666666</v>
      </c>
      <c r="G358" s="3" t="inlineStr">
        <is>
          <t>OBT100125183853-Wr. Neustadt Ausfahrbf (Furtenbach)</t>
        </is>
      </c>
      <c r="H358" s="10" t="n">
        <v>45667.77700231481</v>
      </c>
      <c r="I358" s="10" t="n">
        <v>45667.81925925926</v>
      </c>
      <c r="J358" s="10" t="n">
        <v>45667.82010416667</v>
      </c>
      <c r="K358" s="11">
        <f>IF(AND(ISNUMBER(D358),ISNUMBER(E358)),(E358-D358),"")</f>
        <v/>
      </c>
      <c r="L358" s="11">
        <f>IF(AND(ISNUMBER(F358),ISNUMBER(I358)),(I358-F358),"")</f>
        <v/>
      </c>
    </row>
    <row r="359">
      <c r="A359" s="3" t="inlineStr">
        <is>
          <t>1009402</t>
        </is>
      </c>
      <c r="B359" s="3" t="inlineStr">
        <is>
          <t>10094</t>
        </is>
      </c>
      <c r="C359" s="10" t="n">
        <v>45667.73519675926</v>
      </c>
      <c r="D359" s="10" t="n">
        <v>45667.73768518519</v>
      </c>
      <c r="E359" s="10" t="n">
        <v>45667.76041666666</v>
      </c>
      <c r="F359" s="10" t="n">
        <v>45667.7627662037</v>
      </c>
      <c r="G359" s="3" t="inlineStr">
        <is>
          <t>OBT100125182130-Pitten (Hamburger)</t>
        </is>
      </c>
      <c r="H359" s="10" t="n">
        <v>45667.76493055555</v>
      </c>
      <c r="I359" s="10" t="n">
        <v>45667.80388888889</v>
      </c>
      <c r="J359" s="10" t="n">
        <v>45667.80478009259</v>
      </c>
      <c r="K359" s="11">
        <f>IF(AND(ISNUMBER(D359),ISNUMBER(E359)),(E359-D359),"")</f>
        <v/>
      </c>
      <c r="L359" s="11">
        <f>IF(AND(ISNUMBER(F359),ISNUMBER(I359)),(I359-F359),"")</f>
        <v/>
      </c>
    </row>
    <row r="360">
      <c r="A360" s="3" t="inlineStr">
        <is>
          <t>1009403</t>
        </is>
      </c>
      <c r="B360" s="3" t="inlineStr">
        <is>
          <t>10094</t>
        </is>
      </c>
      <c r="C360" s="10" t="n">
        <v>45667.73519675926</v>
      </c>
      <c r="D360" s="10" t="n">
        <v>45667.73768518519</v>
      </c>
      <c r="E360" s="10" t="n">
        <v>45667.7627662037</v>
      </c>
      <c r="F360" s="10" t="n">
        <v>45667.76446759259</v>
      </c>
      <c r="G360" s="3" t="inlineStr">
        <is>
          <t>OBT100125183202-Other sidings north</t>
        </is>
      </c>
      <c r="H360" s="10" t="n">
        <v>45667.77224537037</v>
      </c>
      <c r="I360" s="10" t="n">
        <v>45667.80707175926</v>
      </c>
      <c r="J360" s="10" t="n">
        <v>45667.80792824074</v>
      </c>
      <c r="K360" s="11">
        <f>IF(AND(ISNUMBER(D360),ISNUMBER(E360)),(E360-D360),"")</f>
        <v/>
      </c>
      <c r="L360" s="11">
        <f>IF(AND(ISNUMBER(F360),ISNUMBER(I360)),(I360-F360),"")</f>
        <v/>
      </c>
    </row>
    <row r="361">
      <c r="A361" s="3" t="inlineStr">
        <is>
          <t>1009404</t>
        </is>
      </c>
      <c r="B361" s="3" t="inlineStr">
        <is>
          <t>10094</t>
        </is>
      </c>
      <c r="C361" s="10" t="n">
        <v>45667.73519675926</v>
      </c>
      <c r="D361" s="10" t="n">
        <v>45667.73768518519</v>
      </c>
      <c r="E361" s="10" t="n">
        <v>45667.76446759259</v>
      </c>
      <c r="F361" s="10" t="n">
        <v>45667.76646990741</v>
      </c>
      <c r="G361" s="3" t="inlineStr">
        <is>
          <t>OBT120125180841-Neudörfl (FunderMax)</t>
        </is>
      </c>
      <c r="H361" s="10" t="n">
        <v>45669.75603009259</v>
      </c>
      <c r="I361" s="10" t="n">
        <v>45669.80346064815</v>
      </c>
      <c r="J361" s="10" t="n">
        <v>45669.80458333333</v>
      </c>
      <c r="K361" s="11">
        <f>IF(AND(ISNUMBER(D361),ISNUMBER(E361)),(E361-D361),"")</f>
        <v/>
      </c>
      <c r="L361" s="11">
        <f>IF(AND(ISNUMBER(F361),ISNUMBER(I361)),(I361-F361),"")</f>
        <v/>
      </c>
    </row>
    <row r="362">
      <c r="A362" s="3" t="inlineStr">
        <is>
          <t>1009405</t>
        </is>
      </c>
      <c r="B362" s="3" t="inlineStr">
        <is>
          <t>10094</t>
        </is>
      </c>
      <c r="C362" s="10" t="n">
        <v>45667.73519675926</v>
      </c>
      <c r="D362" s="10" t="n">
        <v>45667.73768518519</v>
      </c>
      <c r="E362" s="10" t="n">
        <v>45667.76646990741</v>
      </c>
      <c r="F362" s="10" t="n">
        <v>45667.76834490741</v>
      </c>
      <c r="G362" s="3" t="inlineStr">
        <is>
          <t>OBT100125183202-Other sidings north</t>
        </is>
      </c>
      <c r="H362" s="10" t="n">
        <v>45667.77224537037</v>
      </c>
      <c r="I362" s="10" t="n">
        <v>45667.80707175926</v>
      </c>
      <c r="J362" s="10" t="n">
        <v>45667.80792824074</v>
      </c>
      <c r="K362" s="11">
        <f>IF(AND(ISNUMBER(D362),ISNUMBER(E362)),(E362-D362),"")</f>
        <v/>
      </c>
      <c r="L362" s="11">
        <f>IF(AND(ISNUMBER(F362),ISNUMBER(I362)),(I362-F362),"")</f>
        <v/>
      </c>
    </row>
    <row r="363">
      <c r="A363" s="3" t="inlineStr">
        <is>
          <t>1009406</t>
        </is>
      </c>
      <c r="B363" s="3" t="inlineStr">
        <is>
          <t>10094</t>
        </is>
      </c>
      <c r="C363" s="10" t="n">
        <v>45667.73519675926</v>
      </c>
      <c r="D363" s="10" t="n">
        <v>45667.73768518519</v>
      </c>
      <c r="E363" s="10" t="n">
        <v>45667.76834490741</v>
      </c>
      <c r="F363" s="10" t="n">
        <v>45667.76981481481</v>
      </c>
      <c r="G363" s="3" t="inlineStr">
        <is>
          <t>OBT100125183853-Wr. Neustadt Ausfahrbf (Furtenbach)</t>
        </is>
      </c>
      <c r="H363" s="10" t="n">
        <v>45667.77700231481</v>
      </c>
      <c r="I363" s="10" t="n">
        <v>45667.81925925926</v>
      </c>
      <c r="J363" s="10" t="n">
        <v>45667.82010416667</v>
      </c>
      <c r="K363" s="11">
        <f>IF(AND(ISNUMBER(D363),ISNUMBER(E363)),(E363-D363),"")</f>
        <v/>
      </c>
      <c r="L363" s="11">
        <f>IF(AND(ISNUMBER(F363),ISNUMBER(I363)),(I363-F363),"")</f>
        <v/>
      </c>
    </row>
    <row r="364">
      <c r="A364" s="3" t="inlineStr">
        <is>
          <t>1009407</t>
        </is>
      </c>
      <c r="B364" s="3" t="inlineStr">
        <is>
          <t>10094</t>
        </is>
      </c>
      <c r="C364" s="10" t="n">
        <v>45667.73519675926</v>
      </c>
      <c r="D364" s="10" t="n">
        <v>45667.73768518519</v>
      </c>
      <c r="E364" s="10" t="n">
        <v>45667.76981481481</v>
      </c>
      <c r="F364" s="10" t="n">
        <v>45667.7712962963</v>
      </c>
      <c r="G364" s="3" t="inlineStr">
        <is>
          <t>OBT100125183853-Wr. Neustadt Ausfahrbf (Furtenbach)</t>
        </is>
      </c>
      <c r="H364" s="10" t="n">
        <v>45667.77700231481</v>
      </c>
      <c r="I364" s="10" t="n">
        <v>45667.81925925926</v>
      </c>
      <c r="J364" s="10" t="n">
        <v>45667.82010416667</v>
      </c>
      <c r="K364" s="11">
        <f>IF(AND(ISNUMBER(D364),ISNUMBER(E364)),(E364-D364),"")</f>
        <v/>
      </c>
      <c r="L364" s="11">
        <f>IF(AND(ISNUMBER(F364),ISNUMBER(I364)),(I364-F364),"")</f>
        <v/>
      </c>
    </row>
    <row r="365">
      <c r="A365" s="3" t="inlineStr">
        <is>
          <t>1009408</t>
        </is>
      </c>
      <c r="B365" s="3" t="inlineStr">
        <is>
          <t>10094</t>
        </is>
      </c>
      <c r="C365" s="10" t="n">
        <v>45667.73519675926</v>
      </c>
      <c r="D365" s="10" t="n">
        <v>45667.73768518519</v>
      </c>
      <c r="E365" s="10" t="n">
        <v>45667.7712962963</v>
      </c>
      <c r="F365" s="10" t="n">
        <v>45667.77243055555</v>
      </c>
      <c r="G365" s="3" t="inlineStr">
        <is>
          <t>OBT130125093830-Other sidings local</t>
        </is>
      </c>
      <c r="H365" s="10" t="n">
        <v>45670.40173611111</v>
      </c>
      <c r="I365" s="10" t="n">
        <v>45670.43755787037</v>
      </c>
      <c r="J365" s="10" t="n">
        <v>45670.43825231482</v>
      </c>
      <c r="K365" s="11">
        <f>IF(AND(ISNUMBER(D365),ISNUMBER(E365)),(E365-D365),"")</f>
        <v/>
      </c>
      <c r="L365" s="11">
        <f>IF(AND(ISNUMBER(F365),ISNUMBER(I365)),(I365-F365),"")</f>
        <v/>
      </c>
    </row>
    <row r="366">
      <c r="A366" s="3" t="inlineStr">
        <is>
          <t>1009409</t>
        </is>
      </c>
      <c r="B366" s="3" t="inlineStr">
        <is>
          <t>10094</t>
        </is>
      </c>
      <c r="C366" s="10" t="n">
        <v>45667.73519675926</v>
      </c>
      <c r="D366" s="10" t="n">
        <v>45667.73768518519</v>
      </c>
      <c r="E366" s="10" t="n">
        <v>45667.77243055555</v>
      </c>
      <c r="F366" s="10" t="n">
        <v>45667.77431712963</v>
      </c>
      <c r="G366" s="3" t="inlineStr">
        <is>
          <t>OBT140125102839-Wr. Neustadt (Brenntag)</t>
        </is>
      </c>
      <c r="H366" s="10" t="n">
        <v>45671.4365625</v>
      </c>
      <c r="I366" s="10" t="n">
        <v>45671.47991898148</v>
      </c>
      <c r="J366" s="10" t="n">
        <v>45671.4805787037</v>
      </c>
      <c r="K366" s="11">
        <f>IF(AND(ISNUMBER(D366),ISNUMBER(E366)),(E366-D366),"")</f>
        <v/>
      </c>
      <c r="L366" s="11">
        <f>IF(AND(ISNUMBER(F366),ISNUMBER(I366)),(I366-F366),"")</f>
        <v/>
      </c>
    </row>
    <row r="367">
      <c r="A367" s="3" t="inlineStr">
        <is>
          <t>1009410</t>
        </is>
      </c>
      <c r="B367" s="3" t="inlineStr">
        <is>
          <t>10094</t>
        </is>
      </c>
      <c r="C367" s="10" t="n">
        <v>45667.73519675926</v>
      </c>
      <c r="D367" s="10" t="n">
        <v>45667.73768518519</v>
      </c>
      <c r="E367" s="10" t="n">
        <v>45667.77431712963</v>
      </c>
      <c r="F367" s="10" t="n">
        <v>45667.77604166666</v>
      </c>
      <c r="G367" s="3" t="inlineStr">
        <is>
          <t>OBT100125205342-Other sidings south</t>
        </is>
      </c>
      <c r="H367" s="10" t="n">
        <v>45667.870625</v>
      </c>
      <c r="I367" s="10" t="n">
        <v>45667.89222222222</v>
      </c>
      <c r="J367" s="10" t="n">
        <v>45667.89303240741</v>
      </c>
      <c r="K367" s="11">
        <f>IF(AND(ISNUMBER(D367),ISNUMBER(E367)),(E367-D367),"")</f>
        <v/>
      </c>
      <c r="L367" s="11">
        <f>IF(AND(ISNUMBER(F367),ISNUMBER(I367)),(I367-F367),"")</f>
        <v/>
      </c>
    </row>
    <row r="368">
      <c r="A368" s="3" t="inlineStr">
        <is>
          <t>1009411</t>
        </is>
      </c>
      <c r="B368" s="3" t="inlineStr">
        <is>
          <t>10094</t>
        </is>
      </c>
      <c r="C368" s="10" t="n">
        <v>45667.73519675926</v>
      </c>
      <c r="D368" s="10" t="n">
        <v>45667.73768518519</v>
      </c>
      <c r="E368" s="10" t="n">
        <v>45667.77604166666</v>
      </c>
      <c r="F368" s="10" t="n">
        <v>45667.77731481481</v>
      </c>
      <c r="G368" s="3" t="inlineStr">
        <is>
          <t>OBT100125205103-Pitten (Hamburger)</t>
        </is>
      </c>
      <c r="H368" s="10" t="n">
        <v>45667.86878472222</v>
      </c>
      <c r="I368" s="10" t="n">
        <v>45667.88917824074</v>
      </c>
      <c r="J368" s="10" t="n">
        <v>45667.88987268518</v>
      </c>
      <c r="K368" s="11">
        <f>IF(AND(ISNUMBER(D368),ISNUMBER(E368)),(E368-D368),"")</f>
        <v/>
      </c>
      <c r="L368" s="11">
        <f>IF(AND(ISNUMBER(F368),ISNUMBER(I368)),(I368-F368),"")</f>
        <v/>
      </c>
    </row>
    <row r="369">
      <c r="A369" s="3" t="inlineStr">
        <is>
          <t>1009412</t>
        </is>
      </c>
      <c r="B369" s="3" t="inlineStr">
        <is>
          <t>10094</t>
        </is>
      </c>
      <c r="C369" s="10" t="n">
        <v>45667.73519675926</v>
      </c>
      <c r="D369" s="10" t="n">
        <v>45667.73768518519</v>
      </c>
      <c r="E369" s="10" t="n">
        <v>45667.77731481481</v>
      </c>
      <c r="F369" s="10" t="n">
        <v>45667.77939814814</v>
      </c>
      <c r="G369" s="3" t="inlineStr">
        <is>
          <t>OBT100125185219-Neunkirchen (loading tracks)</t>
        </is>
      </c>
      <c r="H369" s="10" t="n">
        <v>45667.78633101852</v>
      </c>
      <c r="I369" s="10" t="n">
        <v>45667.83038194444</v>
      </c>
      <c r="J369" s="10" t="n">
        <v>45667.83126157407</v>
      </c>
      <c r="K369" s="11">
        <f>IF(AND(ISNUMBER(D369),ISNUMBER(E369)),(E369-D369),"")</f>
        <v/>
      </c>
      <c r="L369" s="11">
        <f>IF(AND(ISNUMBER(F369),ISNUMBER(I369)),(I369-F369),"")</f>
        <v/>
      </c>
    </row>
    <row r="370">
      <c r="A370" s="3" t="inlineStr">
        <is>
          <t>1009501</t>
        </is>
      </c>
      <c r="B370" s="3" t="inlineStr">
        <is>
          <t>10095</t>
        </is>
      </c>
      <c r="C370" s="10" t="n">
        <v>45667.84109953704</v>
      </c>
      <c r="D370" s="10" t="n">
        <v>45667.84339120371</v>
      </c>
      <c r="E370" s="10" t="n">
        <v>45667.85699074074</v>
      </c>
      <c r="F370" s="10" t="n">
        <v>45667.85842592592</v>
      </c>
      <c r="G370" s="3" t="inlineStr">
        <is>
          <t>OBT100125205103-Pitten (Hamburger)</t>
        </is>
      </c>
      <c r="H370" s="10" t="n">
        <v>45667.86878472222</v>
      </c>
      <c r="I370" s="10" t="n">
        <v>45667.88917824074</v>
      </c>
      <c r="J370" s="10" t="n">
        <v>45667.88987268518</v>
      </c>
      <c r="K370" s="11">
        <f>IF(AND(ISNUMBER(D370),ISNUMBER(E370)),(E370-D370),"")</f>
        <v/>
      </c>
      <c r="L370" s="11">
        <f>IF(AND(ISNUMBER(F370),ISNUMBER(I370)),(I370-F370),"")</f>
        <v/>
      </c>
    </row>
    <row r="371">
      <c r="A371" s="3" t="inlineStr">
        <is>
          <t>1009502</t>
        </is>
      </c>
      <c r="B371" s="3" t="inlineStr">
        <is>
          <t>10095</t>
        </is>
      </c>
      <c r="C371" s="10" t="n">
        <v>45667.84109953704</v>
      </c>
      <c r="D371" s="10" t="n">
        <v>45667.84339120371</v>
      </c>
      <c r="E371" s="10" t="n">
        <v>45667.85842592592</v>
      </c>
      <c r="F371" s="10" t="n">
        <v>45667.86033564815</v>
      </c>
      <c r="G371" s="3" t="inlineStr">
        <is>
          <t>OBT140125102839-Wr. Neustadt (Brenntag)</t>
        </is>
      </c>
      <c r="H371" s="10" t="n">
        <v>45671.4365625</v>
      </c>
      <c r="I371" s="10" t="n">
        <v>45671.47991898148</v>
      </c>
      <c r="J371" s="10" t="n">
        <v>45671.4805787037</v>
      </c>
      <c r="K371" s="11">
        <f>IF(AND(ISNUMBER(D371),ISNUMBER(E371)),(E371-D371),"")</f>
        <v/>
      </c>
      <c r="L371" s="11">
        <f>IF(AND(ISNUMBER(F371),ISNUMBER(I371)),(I371-F371),"")</f>
        <v/>
      </c>
    </row>
    <row r="372">
      <c r="A372" s="3" t="inlineStr">
        <is>
          <t>1009503</t>
        </is>
      </c>
      <c r="B372" s="3" t="inlineStr">
        <is>
          <t>10095</t>
        </is>
      </c>
      <c r="C372" s="10" t="n">
        <v>45667.84109953704</v>
      </c>
      <c r="D372" s="10" t="n">
        <v>45667.84339120371</v>
      </c>
      <c r="E372" s="10" t="n">
        <v>45667.86033564815</v>
      </c>
      <c r="F372" s="10" t="n">
        <v>45667.86185185185</v>
      </c>
      <c r="G372" s="3" t="inlineStr">
        <is>
          <t>OBT130125155039-Wr. Neustadt Ausfahrbf (Furtenbach)</t>
        </is>
      </c>
      <c r="H372" s="10" t="n">
        <v>45670.66017361111</v>
      </c>
      <c r="I372" s="10" t="n">
        <v>45670.6827662037</v>
      </c>
      <c r="J372" s="10" t="n">
        <v>45670.68358796297</v>
      </c>
      <c r="K372" s="11">
        <f>IF(AND(ISNUMBER(D372),ISNUMBER(E372)),(E372-D372),"")</f>
        <v/>
      </c>
      <c r="L372" s="11">
        <f>IF(AND(ISNUMBER(F372),ISNUMBER(I372)),(I372-F372),"")</f>
        <v/>
      </c>
    </row>
    <row r="373">
      <c r="A373" s="3" t="inlineStr">
        <is>
          <t>1009504</t>
        </is>
      </c>
      <c r="B373" s="3" t="inlineStr">
        <is>
          <t>10095</t>
        </is>
      </c>
      <c r="C373" s="10" t="n">
        <v>45667.84109953704</v>
      </c>
      <c r="D373" s="10" t="n">
        <v>45667.84339120371</v>
      </c>
      <c r="E373" s="10" t="n">
        <v>45667.86185185185</v>
      </c>
      <c r="F373" s="10" t="n">
        <v>45667.86358796297</v>
      </c>
      <c r="G373" s="3" t="inlineStr">
        <is>
          <t>OBT130125024918-Neunkirchen (loading tracks)</t>
        </is>
      </c>
      <c r="H373" s="10" t="n">
        <v>45670.11756944445</v>
      </c>
      <c r="I373" s="10" t="n">
        <v>45670.15086805556</v>
      </c>
      <c r="J373" s="10" t="n">
        <v>45670.15189814815</v>
      </c>
      <c r="K373" s="11">
        <f>IF(AND(ISNUMBER(D373),ISNUMBER(E373)),(E373-D373),"")</f>
        <v/>
      </c>
      <c r="L373" s="11">
        <f>IF(AND(ISNUMBER(F373),ISNUMBER(I373)),(I373-F373),"")</f>
        <v/>
      </c>
    </row>
    <row r="374">
      <c r="A374" s="3" t="inlineStr">
        <is>
          <t>1009505</t>
        </is>
      </c>
      <c r="B374" s="3" t="inlineStr">
        <is>
          <t>10095</t>
        </is>
      </c>
      <c r="C374" s="10" t="n">
        <v>45667.84109953704</v>
      </c>
      <c r="D374" s="10" t="n">
        <v>45667.84339120371</v>
      </c>
      <c r="E374" s="10" t="n">
        <v>45667.86358796297</v>
      </c>
      <c r="F374" s="10" t="n">
        <v>45667.86488425926</v>
      </c>
      <c r="G374" s="3" t="inlineStr">
        <is>
          <t>OBT100125205103-Pitten (Hamburger)</t>
        </is>
      </c>
      <c r="H374" s="10" t="n">
        <v>45667.86878472222</v>
      </c>
      <c r="I374" s="10" t="n">
        <v>45667.88917824074</v>
      </c>
      <c r="J374" s="10" t="n">
        <v>45667.88987268518</v>
      </c>
      <c r="K374" s="11">
        <f>IF(AND(ISNUMBER(D374),ISNUMBER(E374)),(E374-D374),"")</f>
        <v/>
      </c>
      <c r="L374" s="11">
        <f>IF(AND(ISNUMBER(F374),ISNUMBER(I374)),(I374-F374),"")</f>
        <v/>
      </c>
    </row>
    <row r="375">
      <c r="A375" s="3" t="inlineStr">
        <is>
          <t>1009506</t>
        </is>
      </c>
      <c r="B375" s="3" t="inlineStr">
        <is>
          <t>10095</t>
        </is>
      </c>
      <c r="C375" s="10" t="n">
        <v>45667.84109953704</v>
      </c>
      <c r="D375" s="10" t="n">
        <v>45667.84339120371</v>
      </c>
      <c r="E375" s="10" t="n">
        <v>45667.86488425926</v>
      </c>
      <c r="F375" s="10" t="n">
        <v>45667.86670138889</v>
      </c>
      <c r="G375" s="3" t="inlineStr">
        <is>
          <t>OBT100125205342-Other sidings south</t>
        </is>
      </c>
      <c r="H375" s="10" t="n">
        <v>45667.870625</v>
      </c>
      <c r="I375" s="10" t="n">
        <v>45667.89222222222</v>
      </c>
      <c r="J375" s="10" t="n">
        <v>45667.89303240741</v>
      </c>
      <c r="K375" s="11">
        <f>IF(AND(ISNUMBER(D375),ISNUMBER(E375)),(E375-D375),"")</f>
        <v/>
      </c>
      <c r="L375" s="11">
        <f>IF(AND(ISNUMBER(F375),ISNUMBER(I375)),(I375-F375),"")</f>
        <v/>
      </c>
    </row>
    <row r="376">
      <c r="A376" s="3" t="inlineStr">
        <is>
          <t>1009507</t>
        </is>
      </c>
      <c r="B376" s="3" t="inlineStr">
        <is>
          <t>10095</t>
        </is>
      </c>
      <c r="C376" s="10" t="n">
        <v>45667.84109953704</v>
      </c>
      <c r="D376" s="10" t="n">
        <v>45667.84339120371</v>
      </c>
      <c r="E376" s="10" t="n">
        <v>45667.86670138889</v>
      </c>
      <c r="F376" s="10" t="n">
        <v>45667.86844907407</v>
      </c>
      <c r="G376" s="3" t="inlineStr">
        <is>
          <t>OBT130125082326-Wr. Neustadt (Hödlmayr)</t>
        </is>
      </c>
      <c r="H376" s="10" t="n">
        <v>45670.34960648148</v>
      </c>
      <c r="I376" s="10" t="n">
        <v>45670.38145833334</v>
      </c>
      <c r="J376" s="10" t="n">
        <v>45670.38234953704</v>
      </c>
      <c r="K376" s="11">
        <f>IF(AND(ISNUMBER(D376),ISNUMBER(E376)),(E376-D376),"")</f>
        <v/>
      </c>
      <c r="L376" s="11">
        <f>IF(AND(ISNUMBER(F376),ISNUMBER(I376)),(I376-F376),"")</f>
        <v/>
      </c>
    </row>
    <row r="377">
      <c r="A377" s="3" t="inlineStr">
        <is>
          <t>1009508</t>
        </is>
      </c>
      <c r="B377" s="3" t="inlineStr">
        <is>
          <t>10095</t>
        </is>
      </c>
      <c r="C377" s="10" t="n">
        <v>45667.84109953704</v>
      </c>
      <c r="D377" s="10" t="n">
        <v>45667.84339120371</v>
      </c>
      <c r="E377" s="10" t="n">
        <v>45667.86844907407</v>
      </c>
      <c r="F377" s="10" t="n">
        <v>45667.87052083333</v>
      </c>
      <c r="G377" s="3" t="inlineStr">
        <is>
          <t>OBT110125052224-Ebenfurth (beet loading)</t>
        </is>
      </c>
      <c r="H377" s="10" t="n">
        <v>45668.22388888889</v>
      </c>
      <c r="I377" s="10" t="n">
        <v>45668.24385416666</v>
      </c>
      <c r="J377" s="10" t="n">
        <v>45668.24466435185</v>
      </c>
      <c r="K377" s="11">
        <f>IF(AND(ISNUMBER(D377),ISNUMBER(E377)),(E377-D377),"")</f>
        <v/>
      </c>
      <c r="L377" s="11">
        <f>IF(AND(ISNUMBER(F377),ISNUMBER(I377)),(I377-F377),"")</f>
        <v/>
      </c>
    </row>
    <row r="378">
      <c r="A378" s="3" t="inlineStr">
        <is>
          <t>1009601</t>
        </is>
      </c>
      <c r="B378" s="3" t="inlineStr">
        <is>
          <t>10096</t>
        </is>
      </c>
      <c r="C378" s="10" t="n">
        <v>45668.20681712963</v>
      </c>
      <c r="D378" s="10" t="n">
        <v>45668.20925925926</v>
      </c>
      <c r="E378" s="10" t="n">
        <v>45668.21792824074</v>
      </c>
      <c r="F378" s="10" t="n">
        <v>45668.21996527778</v>
      </c>
      <c r="G378" s="3" t="inlineStr">
        <is>
          <t>OBT110125052224-Ebenfurth (beet loading)</t>
        </is>
      </c>
      <c r="H378" s="10" t="n">
        <v>45668.22388888889</v>
      </c>
      <c r="I378" s="10" t="n">
        <v>45668.24385416666</v>
      </c>
      <c r="J378" s="10" t="n">
        <v>45668.24466435185</v>
      </c>
      <c r="K378" s="11">
        <f>IF(AND(ISNUMBER(D378),ISNUMBER(E378)),(E378-D378),"")</f>
        <v/>
      </c>
      <c r="L378" s="11">
        <f>IF(AND(ISNUMBER(F378),ISNUMBER(I378)),(I378-F378),"")</f>
        <v/>
      </c>
    </row>
    <row r="379">
      <c r="A379" s="3" t="inlineStr">
        <is>
          <t>1009602</t>
        </is>
      </c>
      <c r="B379" s="3" t="inlineStr">
        <is>
          <t>10096</t>
        </is>
      </c>
      <c r="C379" s="10" t="n">
        <v>45668.20681712963</v>
      </c>
      <c r="D379" s="10" t="n">
        <v>45668.20925925926</v>
      </c>
      <c r="E379" s="10" t="n">
        <v>45668.21996527778</v>
      </c>
      <c r="F379" s="10" t="n">
        <v>45668.22199074074</v>
      </c>
      <c r="G379" s="3" t="inlineStr">
        <is>
          <t>OBT120125180841-Neudörfl (FunderMax)</t>
        </is>
      </c>
      <c r="H379" s="10" t="n">
        <v>45669.75603009259</v>
      </c>
      <c r="I379" s="10" t="n">
        <v>45669.80346064815</v>
      </c>
      <c r="J379" s="10" t="n">
        <v>45669.80458333333</v>
      </c>
      <c r="K379" s="11">
        <f>IF(AND(ISNUMBER(D379),ISNUMBER(E379)),(E379-D379),"")</f>
        <v/>
      </c>
      <c r="L379" s="11">
        <f>IF(AND(ISNUMBER(F379),ISNUMBER(I379)),(I379-F379),"")</f>
        <v/>
      </c>
    </row>
    <row r="380">
      <c r="A380" s="3" t="inlineStr">
        <is>
          <t>1009603</t>
        </is>
      </c>
      <c r="B380" s="3" t="inlineStr">
        <is>
          <t>10096</t>
        </is>
      </c>
      <c r="C380" s="10" t="n">
        <v>45668.20681712963</v>
      </c>
      <c r="D380" s="10" t="n">
        <v>45668.20925925926</v>
      </c>
      <c r="E380" s="10" t="n">
        <v>45668.22199074074</v>
      </c>
      <c r="F380" s="10" t="n">
        <v>45668.22392361111</v>
      </c>
      <c r="G380" s="3" t="inlineStr">
        <is>
          <t>OBT110125052552-Pitten (Hamburger)</t>
        </is>
      </c>
      <c r="H380" s="10" t="n">
        <v>45668.2262962963</v>
      </c>
      <c r="I380" s="10" t="n">
        <v>45668.27974537037</v>
      </c>
      <c r="J380" s="10" t="n">
        <v>45668.28086805555</v>
      </c>
      <c r="K380" s="11">
        <f>IF(AND(ISNUMBER(D380),ISNUMBER(E380)),(E380-D380),"")</f>
        <v/>
      </c>
      <c r="L380" s="11">
        <f>IF(AND(ISNUMBER(F380),ISNUMBER(I380)),(I380-F380),"")</f>
        <v/>
      </c>
    </row>
    <row r="381">
      <c r="A381" s="3" t="inlineStr">
        <is>
          <t>1009701</t>
        </is>
      </c>
      <c r="B381" s="3" t="inlineStr">
        <is>
          <t>10097</t>
        </is>
      </c>
      <c r="C381" s="10" t="n">
        <v>45668.22872685185</v>
      </c>
      <c r="D381" s="10" t="n">
        <v>45668.2312037037</v>
      </c>
      <c r="E381" s="10" t="n">
        <v>45668.24116898148</v>
      </c>
      <c r="F381" s="10" t="n">
        <v>45668.24325231482</v>
      </c>
      <c r="G381" s="3" t="inlineStr">
        <is>
          <t>OBT120125180841-Neudörfl (FunderMax)</t>
        </is>
      </c>
      <c r="H381" s="10" t="n">
        <v>45669.75603009259</v>
      </c>
      <c r="I381" s="10" t="n">
        <v>45669.80346064815</v>
      </c>
      <c r="J381" s="10" t="n">
        <v>45669.80458333333</v>
      </c>
      <c r="K381" s="11">
        <f>IF(AND(ISNUMBER(D381),ISNUMBER(E381)),(E381-D381),"")</f>
        <v/>
      </c>
      <c r="L381" s="11">
        <f>IF(AND(ISNUMBER(F381),ISNUMBER(I381)),(I381-F381),"")</f>
        <v/>
      </c>
    </row>
    <row r="382">
      <c r="A382" s="3" t="inlineStr">
        <is>
          <t>1009702</t>
        </is>
      </c>
      <c r="B382" s="3" t="inlineStr">
        <is>
          <t>10097</t>
        </is>
      </c>
      <c r="C382" s="10" t="n">
        <v>45668.22872685185</v>
      </c>
      <c r="D382" s="10" t="n">
        <v>45668.2312037037</v>
      </c>
      <c r="E382" s="10" t="n">
        <v>45668.24325231482</v>
      </c>
      <c r="F382" s="10" t="n">
        <v>45668.24523148148</v>
      </c>
      <c r="G382" s="3" t="inlineStr">
        <is>
          <t>OBT110125055616-Ebenfurth (beet loading)</t>
        </is>
      </c>
      <c r="H382" s="10" t="n">
        <v>45668.24740740741</v>
      </c>
      <c r="I382" s="10" t="n">
        <v>45668.26795138889</v>
      </c>
      <c r="J382" s="10" t="n">
        <v>45668.26873842593</v>
      </c>
      <c r="K382" s="11">
        <f>IF(AND(ISNUMBER(D382),ISNUMBER(E382)),(E382-D382),"")</f>
        <v/>
      </c>
      <c r="L382" s="11">
        <f>IF(AND(ISNUMBER(F382),ISNUMBER(I382)),(I382-F382),"")</f>
        <v/>
      </c>
    </row>
    <row r="383">
      <c r="A383" s="3" t="inlineStr">
        <is>
          <t>1009703</t>
        </is>
      </c>
      <c r="B383" s="3" t="inlineStr">
        <is>
          <t>10097</t>
        </is>
      </c>
      <c r="C383" s="10" t="n">
        <v>45668.22872685185</v>
      </c>
      <c r="D383" s="10" t="n">
        <v>45668.2312037037</v>
      </c>
      <c r="E383" s="10" t="n">
        <v>45668.24523148148</v>
      </c>
      <c r="F383" s="10" t="n">
        <v>45668.24706018518</v>
      </c>
      <c r="G383" s="3" t="inlineStr">
        <is>
          <t>OBT110125055912-Pitten (Hamburger)</t>
        </is>
      </c>
      <c r="H383" s="10" t="n">
        <v>45668.24944444445</v>
      </c>
      <c r="I383" s="10" t="n">
        <v>45668.29087962963</v>
      </c>
      <c r="J383" s="10" t="n">
        <v>45668.29185185185</v>
      </c>
      <c r="K383" s="11">
        <f>IF(AND(ISNUMBER(D383),ISNUMBER(E383)),(E383-D383),"")</f>
        <v/>
      </c>
      <c r="L383" s="11">
        <f>IF(AND(ISNUMBER(F383),ISNUMBER(I383)),(I383-F383),"")</f>
        <v/>
      </c>
    </row>
    <row r="384">
      <c r="A384" s="3" t="inlineStr">
        <is>
          <t>1009704</t>
        </is>
      </c>
      <c r="B384" s="3" t="inlineStr">
        <is>
          <t>10097</t>
        </is>
      </c>
      <c r="C384" s="10" t="n">
        <v>45668.22872685185</v>
      </c>
      <c r="D384" s="10" t="n">
        <v>45668.2312037037</v>
      </c>
      <c r="E384" s="10" t="n">
        <v>45668.24706018518</v>
      </c>
      <c r="F384" s="10" t="n">
        <v>45668.2491087963</v>
      </c>
      <c r="G384" s="3" t="inlineStr">
        <is>
          <t>OBT120125180841-Neudörfl (FunderMax)</t>
        </is>
      </c>
      <c r="H384" s="10" t="n">
        <v>45669.75603009259</v>
      </c>
      <c r="I384" s="10" t="n">
        <v>45669.80346064815</v>
      </c>
      <c r="J384" s="10" t="n">
        <v>45669.80458333333</v>
      </c>
      <c r="K384" s="11">
        <f>IF(AND(ISNUMBER(D384),ISNUMBER(E384)),(E384-D384),"")</f>
        <v/>
      </c>
      <c r="L384" s="11">
        <f>IF(AND(ISNUMBER(F384),ISNUMBER(I384)),(I384-F384),"")</f>
        <v/>
      </c>
    </row>
    <row r="385">
      <c r="A385" s="3" t="inlineStr">
        <is>
          <t>1009801</t>
        </is>
      </c>
      <c r="B385" s="3" t="inlineStr">
        <is>
          <t>10098</t>
        </is>
      </c>
      <c r="C385" s="10" t="n">
        <v>45669.73712962963</v>
      </c>
      <c r="D385" s="10" t="n">
        <v>45669.73956018518</v>
      </c>
      <c r="E385" s="10" t="n">
        <v>45669.74974537037</v>
      </c>
      <c r="F385" s="10" t="n">
        <v>45669.75210648148</v>
      </c>
      <c r="G385" s="3" t="inlineStr">
        <is>
          <t>OBT120125180841-Neudörfl (FunderMax)</t>
        </is>
      </c>
      <c r="H385" s="10" t="n">
        <v>45669.75603009259</v>
      </c>
      <c r="I385" s="10" t="n">
        <v>45669.80346064815</v>
      </c>
      <c r="J385" s="10" t="n">
        <v>45669.80458333333</v>
      </c>
      <c r="K385" s="11">
        <f>IF(AND(ISNUMBER(D385),ISNUMBER(E385)),(E385-D385),"")</f>
        <v/>
      </c>
      <c r="L385" s="11">
        <f>IF(AND(ISNUMBER(F385),ISNUMBER(I385)),(I385-F385),"")</f>
        <v/>
      </c>
    </row>
    <row r="386">
      <c r="A386" s="3" t="inlineStr">
        <is>
          <t>1009802</t>
        </is>
      </c>
      <c r="B386" s="3" t="inlineStr">
        <is>
          <t>10098</t>
        </is>
      </c>
      <c r="C386" s="10" t="n">
        <v>45669.73712962963</v>
      </c>
      <c r="D386" s="10" t="n">
        <v>45669.73956018518</v>
      </c>
      <c r="E386" s="10" t="n">
        <v>45669.75210648148</v>
      </c>
      <c r="F386" s="10" t="n">
        <v>45669.75413194444</v>
      </c>
      <c r="G386" s="3" t="inlineStr">
        <is>
          <t>OBT120125180921-Pitten (Hamburger)</t>
        </is>
      </c>
      <c r="H386" s="10" t="n">
        <v>45669.75649305555</v>
      </c>
      <c r="I386" s="10" t="n">
        <v>45669.81841435185</v>
      </c>
      <c r="J386" s="10" t="n">
        <v>45669.81965277778</v>
      </c>
      <c r="K386" s="11">
        <f>IF(AND(ISNUMBER(D386),ISNUMBER(E386)),(E386-D386),"")</f>
        <v/>
      </c>
      <c r="L386" s="11">
        <f>IF(AND(ISNUMBER(F386),ISNUMBER(I386)),(I386-F386),"")</f>
        <v/>
      </c>
    </row>
    <row r="387">
      <c r="A387" s="3" t="inlineStr">
        <is>
          <t>1009803</t>
        </is>
      </c>
      <c r="B387" s="3" t="inlineStr">
        <is>
          <t>10098</t>
        </is>
      </c>
      <c r="C387" s="10" t="n">
        <v>45669.73712962963</v>
      </c>
      <c r="D387" s="10" t="n">
        <v>45669.73956018518</v>
      </c>
      <c r="E387" s="10" t="n">
        <v>45669.75413194444</v>
      </c>
      <c r="F387" s="10" t="n">
        <v>45669.75589120371</v>
      </c>
      <c r="G387" s="3" t="inlineStr">
        <is>
          <t>OBT140125153639-Ebenfurth (beet loading)</t>
        </is>
      </c>
      <c r="H387" s="10" t="n">
        <v>45671.65045138889</v>
      </c>
      <c r="I387" s="10" t="n">
        <v>45671.67769675926</v>
      </c>
      <c r="J387" s="10" t="n">
        <v>45671.67856481481</v>
      </c>
      <c r="K387" s="11">
        <f>IF(AND(ISNUMBER(D387),ISNUMBER(E387)),(E387-D387),"")</f>
        <v/>
      </c>
      <c r="L387" s="11">
        <f>IF(AND(ISNUMBER(F387),ISNUMBER(I387)),(I387-F387),"")</f>
        <v/>
      </c>
    </row>
    <row r="388">
      <c r="A388" s="3" t="inlineStr">
        <is>
          <t>1009901</t>
        </is>
      </c>
      <c r="B388" s="3" t="inlineStr">
        <is>
          <t>10099</t>
        </is>
      </c>
      <c r="C388" s="10" t="n">
        <v>45669.83498842592</v>
      </c>
      <c r="D388" s="10" t="n">
        <v>45669.83706018519</v>
      </c>
      <c r="E388" s="10" t="n">
        <v>45669.84346064815</v>
      </c>
      <c r="F388" s="10" t="n">
        <v>45669.8449537037</v>
      </c>
      <c r="G388" s="3" t="inlineStr">
        <is>
          <t>OBT120125201952-Neudörfl (FunderMax)</t>
        </is>
      </c>
      <c r="H388" s="10" t="n">
        <v>45669.84712962963</v>
      </c>
      <c r="I388" s="10" t="n">
        <v>45669.86655092592</v>
      </c>
      <c r="J388" s="10" t="n">
        <v>45669.8672337963</v>
      </c>
      <c r="K388" s="11">
        <f>IF(AND(ISNUMBER(D388),ISNUMBER(E388)),(E388-D388),"")</f>
        <v/>
      </c>
      <c r="L388" s="11">
        <f>IF(AND(ISNUMBER(F388),ISNUMBER(I388)),(I388-F388),"")</f>
        <v/>
      </c>
    </row>
    <row r="389">
      <c r="A389" s="3" t="inlineStr">
        <is>
          <t>1009902</t>
        </is>
      </c>
      <c r="B389" s="3" t="inlineStr">
        <is>
          <t>10099</t>
        </is>
      </c>
      <c r="C389" s="10" t="n">
        <v>45669.83498842592</v>
      </c>
      <c r="D389" s="10" t="n">
        <v>45669.83706018519</v>
      </c>
      <c r="E389" s="10" t="n">
        <v>45669.8449537037</v>
      </c>
      <c r="F389" s="10" t="n">
        <v>45669.84717592593</v>
      </c>
      <c r="G389" s="3" t="inlineStr">
        <is>
          <t>OBT120125202320-Pitten (Hamburger)</t>
        </is>
      </c>
      <c r="H389" s="10" t="n">
        <v>45669.84953703704</v>
      </c>
      <c r="I389" s="10" t="n">
        <v>45669.86789351852</v>
      </c>
      <c r="J389" s="10" t="n">
        <v>45669.86863425926</v>
      </c>
      <c r="K389" s="11">
        <f>IF(AND(ISNUMBER(D389),ISNUMBER(E389)),(E389-D389),"")</f>
        <v/>
      </c>
      <c r="L389" s="11">
        <f>IF(AND(ISNUMBER(F389),ISNUMBER(I389)),(I389-F389),"")</f>
        <v/>
      </c>
    </row>
    <row r="390">
      <c r="A390" s="3" t="inlineStr">
        <is>
          <t>1010001</t>
        </is>
      </c>
      <c r="B390" s="3" t="inlineStr">
        <is>
          <t>10100</t>
        </is>
      </c>
      <c r="C390" s="10" t="n">
        <v>45670.10342592592</v>
      </c>
      <c r="D390" s="10" t="n">
        <v>45670.10543981481</v>
      </c>
      <c r="E390" s="10" t="n">
        <v>45670.11158564815</v>
      </c>
      <c r="F390" s="10" t="n">
        <v>45670.1136574074</v>
      </c>
      <c r="G390" s="3" t="inlineStr">
        <is>
          <t>OBT130125024918-Neunkirchen (loading tracks)</t>
        </is>
      </c>
      <c r="H390" s="10" t="n">
        <v>45670.11756944445</v>
      </c>
      <c r="I390" s="10" t="n">
        <v>45670.15086805556</v>
      </c>
      <c r="J390" s="10" t="n">
        <v>45670.15189814815</v>
      </c>
      <c r="K390" s="11">
        <f>IF(AND(ISNUMBER(D390),ISNUMBER(E390)),(E390-D390),"")</f>
        <v/>
      </c>
      <c r="L390" s="11">
        <f>IF(AND(ISNUMBER(F390),ISNUMBER(I390)),(I390-F390),"")</f>
        <v/>
      </c>
    </row>
    <row r="391">
      <c r="A391" s="3" t="inlineStr">
        <is>
          <t>1010002</t>
        </is>
      </c>
      <c r="B391" s="3" t="inlineStr">
        <is>
          <t>10100</t>
        </is>
      </c>
      <c r="C391" s="10" t="n">
        <v>45670.10342592592</v>
      </c>
      <c r="D391" s="10" t="n">
        <v>45670.10543981481</v>
      </c>
      <c r="E391" s="10" t="n">
        <v>45670.1136574074</v>
      </c>
      <c r="F391" s="10" t="n">
        <v>45670.11494212963</v>
      </c>
      <c r="G391" s="3" t="inlineStr">
        <is>
          <t>OBT130125094410-Other sidings south</t>
        </is>
      </c>
      <c r="H391" s="10" t="n">
        <v>45670.4056712963</v>
      </c>
      <c r="I391" s="10" t="n">
        <v>45670.44938657407</v>
      </c>
      <c r="J391" s="10" t="n">
        <v>45670.45010416667</v>
      </c>
      <c r="K391" s="11">
        <f>IF(AND(ISNUMBER(D391),ISNUMBER(E391)),(E391-D391),"")</f>
        <v/>
      </c>
      <c r="L391" s="11">
        <f>IF(AND(ISNUMBER(F391),ISNUMBER(I391)),(I391-F391),"")</f>
        <v/>
      </c>
    </row>
    <row r="392">
      <c r="A392" s="3" t="inlineStr">
        <is>
          <t>1010101</t>
        </is>
      </c>
      <c r="B392" s="3" t="inlineStr">
        <is>
          <t>10101</t>
        </is>
      </c>
      <c r="C392" s="10" t="n">
        <v>45670.18650462963</v>
      </c>
      <c r="D392" s="10" t="n">
        <v>45670.18879629629</v>
      </c>
      <c r="E392" s="10" t="n">
        <v>45670.19487268518</v>
      </c>
      <c r="F392" s="10" t="n">
        <v>45670.19755787037</v>
      </c>
      <c r="G392" s="3" t="inlineStr">
        <is>
          <t>OBT130125044756-Neudörfl (FunderMax)</t>
        </is>
      </c>
      <c r="H392" s="10" t="n">
        <v>45670.1999537037</v>
      </c>
      <c r="I392" s="10" t="n">
        <v>45670.25309027778</v>
      </c>
      <c r="J392" s="10" t="n">
        <v>45670.25429398148</v>
      </c>
      <c r="K392" s="11">
        <f>IF(AND(ISNUMBER(D392),ISNUMBER(E392)),(E392-D392),"")</f>
        <v/>
      </c>
      <c r="L392" s="11">
        <f>IF(AND(ISNUMBER(F392),ISNUMBER(I392)),(I392-F392),"")</f>
        <v/>
      </c>
    </row>
    <row r="393">
      <c r="A393" s="3" t="inlineStr">
        <is>
          <t>1010201</t>
        </is>
      </c>
      <c r="B393" s="3" t="inlineStr">
        <is>
          <t>10102</t>
        </is>
      </c>
      <c r="C393" s="10" t="n">
        <v>45670.25335648148</v>
      </c>
      <c r="D393" s="10" t="n">
        <v>45670.25563657407</v>
      </c>
      <c r="E393" s="10" t="n">
        <v>45670.26167824074</v>
      </c>
      <c r="F393" s="10" t="n">
        <v>45670.26436342593</v>
      </c>
      <c r="G393" s="3" t="inlineStr">
        <is>
          <t>OBT130125062348-Wien Kledering</t>
        </is>
      </c>
      <c r="H393" s="10" t="n">
        <v>45670.26652777778</v>
      </c>
      <c r="I393" s="10" t="n">
        <v>45670.31913194444</v>
      </c>
      <c r="J393" s="10" t="n">
        <v>45670.3203125</v>
      </c>
      <c r="K393" s="11">
        <f>IF(AND(ISNUMBER(D393),ISNUMBER(E393)),(E393-D393),"")</f>
        <v/>
      </c>
      <c r="L393" s="11">
        <f>IF(AND(ISNUMBER(F393),ISNUMBER(I393)),(I393-F393),"")</f>
        <v/>
      </c>
    </row>
    <row r="394">
      <c r="A394" s="3" t="inlineStr">
        <is>
          <t>1010301</t>
        </is>
      </c>
      <c r="B394" s="3" t="inlineStr">
        <is>
          <t>10103</t>
        </is>
      </c>
      <c r="C394" s="10" t="n">
        <v>45670.29318287037</v>
      </c>
      <c r="D394" s="10" t="n">
        <v>45670.29525462963</v>
      </c>
      <c r="E394" s="10" t="n">
        <v>45670.30055555556</v>
      </c>
      <c r="F394" s="10" t="n">
        <v>45670.30271990741</v>
      </c>
      <c r="G394" s="3" t="inlineStr">
        <is>
          <t>OBT130125071902-Wien Kledering</t>
        </is>
      </c>
      <c r="H394" s="10" t="n">
        <v>45670.30488425926</v>
      </c>
      <c r="I394" s="10" t="n">
        <v>45670.34140046296</v>
      </c>
      <c r="J394" s="10" t="n">
        <v>45670.34246527778</v>
      </c>
      <c r="K394" s="11">
        <f>IF(AND(ISNUMBER(D394),ISNUMBER(E394)),(E394-D394),"")</f>
        <v/>
      </c>
      <c r="L394" s="11">
        <f>IF(AND(ISNUMBER(F394),ISNUMBER(I394)),(I394-F394),"")</f>
        <v/>
      </c>
    </row>
    <row r="395">
      <c r="A395" s="3" t="inlineStr">
        <is>
          <t>1010401</t>
        </is>
      </c>
      <c r="B395" s="3" t="inlineStr">
        <is>
          <t>10104</t>
        </is>
      </c>
      <c r="C395" s="10" t="n">
        <v>45670.30211805556</v>
      </c>
      <c r="D395" s="10" t="n">
        <v>45670.30418981481</v>
      </c>
      <c r="E395" s="10" t="n">
        <v>45670.31101851852</v>
      </c>
      <c r="F395" s="10" t="n">
        <v>45670.31383101852</v>
      </c>
      <c r="G395" s="3" t="inlineStr">
        <is>
          <t>OBT130125073501-Wien Kledering</t>
        </is>
      </c>
      <c r="H395" s="10" t="n">
        <v>45670.3159837963</v>
      </c>
      <c r="I395" s="10" t="n">
        <v>45670.3866087963</v>
      </c>
      <c r="J395" s="10" t="n">
        <v>45670.38806712963</v>
      </c>
      <c r="K395" s="11">
        <f>IF(AND(ISNUMBER(D395),ISNUMBER(E395)),(E395-D395),"")</f>
        <v/>
      </c>
      <c r="L395" s="11">
        <f>IF(AND(ISNUMBER(F395),ISNUMBER(I395)),(I395-F395),"")</f>
        <v/>
      </c>
    </row>
    <row r="396">
      <c r="A396" s="3" t="inlineStr">
        <is>
          <t>1010501</t>
        </is>
      </c>
      <c r="B396" s="3" t="inlineStr">
        <is>
          <t>10105</t>
        </is>
      </c>
      <c r="C396" s="10" t="n">
        <v>45670.30451388889</v>
      </c>
      <c r="D396" s="10" t="n">
        <v>45670.30725694444</v>
      </c>
      <c r="E396" s="10" t="n">
        <v>45670.32891203704</v>
      </c>
      <c r="F396" s="10" t="n">
        <v>45670.33052083333</v>
      </c>
      <c r="G396" s="3" t="inlineStr">
        <is>
          <t>OBT140125093209-Obereggendorf (Hofer)</t>
        </is>
      </c>
      <c r="H396" s="10" t="n">
        <v>45671.39732638889</v>
      </c>
      <c r="I396" s="10" t="n">
        <v>45671.45814814815</v>
      </c>
      <c r="J396" s="10" t="n">
        <v>45671.45953703704</v>
      </c>
      <c r="K396" s="11">
        <f>IF(AND(ISNUMBER(D396),ISNUMBER(E396)),(E396-D396),"")</f>
        <v/>
      </c>
      <c r="L396" s="11">
        <f>IF(AND(ISNUMBER(F396),ISNUMBER(I396)),(I396-F396),"")</f>
        <v/>
      </c>
    </row>
    <row r="397">
      <c r="A397" s="3" t="inlineStr">
        <is>
          <t>1010502</t>
        </is>
      </c>
      <c r="B397" s="3" t="inlineStr">
        <is>
          <t>10105</t>
        </is>
      </c>
      <c r="C397" s="10" t="n">
        <v>45670.30451388889</v>
      </c>
      <c r="D397" s="10" t="n">
        <v>45670.30725694444</v>
      </c>
      <c r="E397" s="10" t="n">
        <v>45670.33052083333</v>
      </c>
      <c r="F397" s="10" t="n">
        <v>45670.33203703703</v>
      </c>
      <c r="G397" s="3" t="inlineStr">
        <is>
          <t>OBT130125095539-Pitten (Hamburger)</t>
        </is>
      </c>
      <c r="H397" s="10" t="n">
        <v>45670.41364583333</v>
      </c>
      <c r="I397" s="10" t="n">
        <v>45670.48196759259</v>
      </c>
      <c r="J397" s="10" t="n">
        <v>45670.48296296296</v>
      </c>
      <c r="K397" s="11">
        <f>IF(AND(ISNUMBER(D397),ISNUMBER(E397)),(E397-D397),"")</f>
        <v/>
      </c>
      <c r="L397" s="11">
        <f>IF(AND(ISNUMBER(F397),ISNUMBER(I397)),(I397-F397),"")</f>
        <v/>
      </c>
    </row>
    <row r="398">
      <c r="A398" s="3" t="inlineStr">
        <is>
          <t>1010503</t>
        </is>
      </c>
      <c r="B398" s="3" t="inlineStr">
        <is>
          <t>10105</t>
        </is>
      </c>
      <c r="C398" s="10" t="n">
        <v>45670.30451388889</v>
      </c>
      <c r="D398" s="10" t="n">
        <v>45670.30725694444</v>
      </c>
      <c r="E398" s="10" t="n">
        <v>45670.33203703703</v>
      </c>
      <c r="F398" s="10" t="n">
        <v>45670.33333333334</v>
      </c>
      <c r="G398" s="3" t="inlineStr">
        <is>
          <t>OBT130125094410-Other sidings south</t>
        </is>
      </c>
      <c r="H398" s="10" t="n">
        <v>45670.4056712963</v>
      </c>
      <c r="I398" s="10" t="n">
        <v>45670.44938657407</v>
      </c>
      <c r="J398" s="10" t="n">
        <v>45670.45010416667</v>
      </c>
      <c r="K398" s="11">
        <f>IF(AND(ISNUMBER(D398),ISNUMBER(E398)),(E398-D398),"")</f>
        <v/>
      </c>
      <c r="L398" s="11">
        <f>IF(AND(ISNUMBER(F398),ISNUMBER(I398)),(I398-F398),"")</f>
        <v/>
      </c>
    </row>
    <row r="399">
      <c r="A399" s="3" t="inlineStr">
        <is>
          <t>1010504</t>
        </is>
      </c>
      <c r="B399" s="3" t="inlineStr">
        <is>
          <t>10105</t>
        </is>
      </c>
      <c r="C399" s="10" t="n">
        <v>45670.30451388889</v>
      </c>
      <c r="D399" s="10" t="n">
        <v>45670.30725694444</v>
      </c>
      <c r="E399" s="10" t="n">
        <v>45670.33333333334</v>
      </c>
      <c r="F399" s="10" t="n">
        <v>45670.33497685185</v>
      </c>
      <c r="G399" s="3" t="inlineStr">
        <is>
          <t>OBT130125155039-Wr. Neustadt Ausfahrbf (Furtenbach)</t>
        </is>
      </c>
      <c r="H399" s="10" t="n">
        <v>45670.66017361111</v>
      </c>
      <c r="I399" s="10" t="n">
        <v>45670.6827662037</v>
      </c>
      <c r="J399" s="10" t="n">
        <v>45670.68358796297</v>
      </c>
      <c r="K399" s="11">
        <f>IF(AND(ISNUMBER(D399),ISNUMBER(E399)),(E399-D399),"")</f>
        <v/>
      </c>
      <c r="L399" s="11">
        <f>IF(AND(ISNUMBER(F399),ISNUMBER(I399)),(I399-F399),"")</f>
        <v/>
      </c>
    </row>
    <row r="400">
      <c r="A400" s="3" t="inlineStr">
        <is>
          <t>1010505</t>
        </is>
      </c>
      <c r="B400" s="3" t="inlineStr">
        <is>
          <t>10105</t>
        </is>
      </c>
      <c r="C400" s="10" t="n">
        <v>45670.30451388889</v>
      </c>
      <c r="D400" s="10" t="n">
        <v>45670.30725694444</v>
      </c>
      <c r="E400" s="10" t="n">
        <v>45670.33497685185</v>
      </c>
      <c r="F400" s="10" t="n">
        <v>45670.33696759259</v>
      </c>
      <c r="G400" s="3" t="inlineStr">
        <is>
          <t>OBT140125181252-Steinabrückl/Wöllersdorf</t>
        </is>
      </c>
      <c r="H400" s="10" t="n">
        <v>45671.75893518519</v>
      </c>
      <c r="I400" s="10" t="n">
        <v>45671.79834490741</v>
      </c>
      <c r="J400" s="10" t="n">
        <v>45671.79916666666</v>
      </c>
      <c r="K400" s="11">
        <f>IF(AND(ISNUMBER(D400),ISNUMBER(E400)),(E400-D400),"")</f>
        <v/>
      </c>
      <c r="L400" s="11">
        <f>IF(AND(ISNUMBER(F400),ISNUMBER(I400)),(I400-F400),"")</f>
        <v/>
      </c>
    </row>
    <row r="401">
      <c r="A401" s="3" t="inlineStr">
        <is>
          <t>1010506</t>
        </is>
      </c>
      <c r="B401" s="3" t="inlineStr">
        <is>
          <t>10105</t>
        </is>
      </c>
      <c r="C401" s="10" t="n">
        <v>45670.30451388889</v>
      </c>
      <c r="D401" s="10" t="n">
        <v>45670.30725694444</v>
      </c>
      <c r="E401" s="10" t="n">
        <v>45670.33696759259</v>
      </c>
      <c r="F401" s="10" t="n">
        <v>45670.3387037037</v>
      </c>
      <c r="G401" s="3" t="inlineStr">
        <is>
          <t>OBT130125095519-Other sidings north</t>
        </is>
      </c>
      <c r="H401" s="10" t="n">
        <v>45670.41341435185</v>
      </c>
      <c r="I401" s="10" t="n">
        <v>45670.46769675926</v>
      </c>
      <c r="J401" s="10" t="n">
        <v>45670.46863425926</v>
      </c>
      <c r="K401" s="11">
        <f>IF(AND(ISNUMBER(D401),ISNUMBER(E401)),(E401-D401),"")</f>
        <v/>
      </c>
      <c r="L401" s="11">
        <f>IF(AND(ISNUMBER(F401),ISNUMBER(I401)),(I401-F401),"")</f>
        <v/>
      </c>
    </row>
    <row r="402">
      <c r="A402" s="3" t="inlineStr">
        <is>
          <t>1010507</t>
        </is>
      </c>
      <c r="B402" s="3" t="inlineStr">
        <is>
          <t>10105</t>
        </is>
      </c>
      <c r="C402" s="10" t="n">
        <v>45670.30451388889</v>
      </c>
      <c r="D402" s="10" t="n">
        <v>45670.30725694444</v>
      </c>
      <c r="E402" s="10" t="n">
        <v>45670.3387037037</v>
      </c>
      <c r="F402" s="10" t="n">
        <v>45670.34045138889</v>
      </c>
      <c r="G402" s="3" t="inlineStr">
        <is>
          <t>OBT130125082326-Wr. Neustadt (Hödlmayr)</t>
        </is>
      </c>
      <c r="H402" s="10" t="n">
        <v>45670.34960648148</v>
      </c>
      <c r="I402" s="10" t="n">
        <v>45670.38145833334</v>
      </c>
      <c r="J402" s="10" t="n">
        <v>45670.38234953704</v>
      </c>
      <c r="K402" s="11">
        <f>IF(AND(ISNUMBER(D402),ISNUMBER(E402)),(E402-D402),"")</f>
        <v/>
      </c>
      <c r="L402" s="11">
        <f>IF(AND(ISNUMBER(F402),ISNUMBER(I402)),(I402-F402),"")</f>
        <v/>
      </c>
    </row>
    <row r="403">
      <c r="A403" s="3" t="inlineStr">
        <is>
          <t>1010508</t>
        </is>
      </c>
      <c r="B403" s="3" t="inlineStr">
        <is>
          <t>10105</t>
        </is>
      </c>
      <c r="C403" s="10" t="n">
        <v>45670.30451388889</v>
      </c>
      <c r="D403" s="10" t="n">
        <v>45670.30725694444</v>
      </c>
      <c r="E403" s="10" t="n">
        <v>45670.34045138889</v>
      </c>
      <c r="F403" s="10" t="n">
        <v>45670.34236111111</v>
      </c>
      <c r="G403" s="3" t="inlineStr">
        <is>
          <t>OBT140125070727-Neudörfl (FunderMax)</t>
        </is>
      </c>
      <c r="H403" s="10" t="n">
        <v>45671.29684027778</v>
      </c>
      <c r="I403" s="10" t="n">
        <v>45671.33109953703</v>
      </c>
      <c r="J403" s="10" t="n">
        <v>45671.3319212963</v>
      </c>
      <c r="K403" s="11">
        <f>IF(AND(ISNUMBER(D403),ISNUMBER(E403)),(E403-D403),"")</f>
        <v/>
      </c>
      <c r="L403" s="11">
        <f>IF(AND(ISNUMBER(F403),ISNUMBER(I403)),(I403-F403),"")</f>
        <v/>
      </c>
    </row>
    <row r="404">
      <c r="A404" s="3" t="inlineStr">
        <is>
          <t>1010509</t>
        </is>
      </c>
      <c r="B404" s="3" t="inlineStr">
        <is>
          <t>10105</t>
        </is>
      </c>
      <c r="C404" s="10" t="n">
        <v>45670.30451388889</v>
      </c>
      <c r="D404" s="10" t="n">
        <v>45670.30725694444</v>
      </c>
      <c r="E404" s="10" t="n">
        <v>45670.34236111111</v>
      </c>
      <c r="F404" s="10" t="n">
        <v>45670.34377314815</v>
      </c>
      <c r="G404" s="3" t="inlineStr">
        <is>
          <t>OBT130125095539-Pitten (Hamburger)</t>
        </is>
      </c>
      <c r="H404" s="10" t="n">
        <v>45670.41364583333</v>
      </c>
      <c r="I404" s="10" t="n">
        <v>45670.48196759259</v>
      </c>
      <c r="J404" s="10" t="n">
        <v>45670.48296296296</v>
      </c>
      <c r="K404" s="11">
        <f>IF(AND(ISNUMBER(D404),ISNUMBER(E404)),(E404-D404),"")</f>
        <v/>
      </c>
      <c r="L404" s="11">
        <f>IF(AND(ISNUMBER(F404),ISNUMBER(I404)),(I404-F404),"")</f>
        <v/>
      </c>
    </row>
    <row r="405">
      <c r="A405" s="3" t="inlineStr">
        <is>
          <t>1010510</t>
        </is>
      </c>
      <c r="B405" s="3" t="inlineStr">
        <is>
          <t>10105</t>
        </is>
      </c>
      <c r="C405" s="10" t="n">
        <v>45670.30451388889</v>
      </c>
      <c r="D405" s="10" t="n">
        <v>45670.30725694444</v>
      </c>
      <c r="E405" s="10" t="n">
        <v>45670.34377314815</v>
      </c>
      <c r="F405" s="10" t="n">
        <v>45670.34570601852</v>
      </c>
      <c r="G405" s="3" t="inlineStr">
        <is>
          <t>OBT130125082326-Wr. Neustadt (Hödlmayr)</t>
        </is>
      </c>
      <c r="H405" s="10" t="n">
        <v>45670.34960648148</v>
      </c>
      <c r="I405" s="10" t="n">
        <v>45670.38145833334</v>
      </c>
      <c r="J405" s="10" t="n">
        <v>45670.38234953704</v>
      </c>
      <c r="K405" s="11">
        <f>IF(AND(ISNUMBER(D405),ISNUMBER(E405)),(E405-D405),"")</f>
        <v/>
      </c>
      <c r="L405" s="11">
        <f>IF(AND(ISNUMBER(F405),ISNUMBER(I405)),(I405-F405),"")</f>
        <v/>
      </c>
    </row>
    <row r="406">
      <c r="A406" s="3" t="inlineStr">
        <is>
          <t>1010511</t>
        </is>
      </c>
      <c r="B406" s="3" t="inlineStr">
        <is>
          <t>10105</t>
        </is>
      </c>
      <c r="C406" s="10" t="n">
        <v>45670.30451388889</v>
      </c>
      <c r="D406" s="10" t="n">
        <v>45670.30725694444</v>
      </c>
      <c r="E406" s="10" t="n">
        <v>45670.34570601852</v>
      </c>
      <c r="F406" s="10" t="n">
        <v>45670.34746527778</v>
      </c>
      <c r="G406" s="3" t="inlineStr">
        <is>
          <t>OBT140125153639-Ebenfurth (beet loading)</t>
        </is>
      </c>
      <c r="H406" s="10" t="n">
        <v>45671.65045138889</v>
      </c>
      <c r="I406" s="10" t="n">
        <v>45671.67769675926</v>
      </c>
      <c r="J406" s="10" t="n">
        <v>45671.67856481481</v>
      </c>
      <c r="K406" s="11">
        <f>IF(AND(ISNUMBER(D406),ISNUMBER(E406)),(E406-D406),"")</f>
        <v/>
      </c>
      <c r="L406" s="11">
        <f>IF(AND(ISNUMBER(F406),ISNUMBER(I406)),(I406-F406),"")</f>
        <v/>
      </c>
    </row>
    <row r="407">
      <c r="A407" s="3" t="inlineStr">
        <is>
          <t>1010512</t>
        </is>
      </c>
      <c r="B407" s="3" t="inlineStr">
        <is>
          <t>10105</t>
        </is>
      </c>
      <c r="C407" s="10" t="n">
        <v>45670.30451388889</v>
      </c>
      <c r="D407" s="10" t="n">
        <v>45670.30725694444</v>
      </c>
      <c r="E407" s="10" t="n">
        <v>45670.34746527778</v>
      </c>
      <c r="F407" s="10" t="n">
        <v>45670.34920138889</v>
      </c>
      <c r="G407" s="3" t="inlineStr">
        <is>
          <t>OBT130125095519-Other sidings north</t>
        </is>
      </c>
      <c r="H407" s="10" t="n">
        <v>45670.41341435185</v>
      </c>
      <c r="I407" s="10" t="n">
        <v>45670.46769675926</v>
      </c>
      <c r="J407" s="10" t="n">
        <v>45670.46863425926</v>
      </c>
      <c r="K407" s="11">
        <f>IF(AND(ISNUMBER(D407),ISNUMBER(E407)),(E407-D407),"")</f>
        <v/>
      </c>
      <c r="L407" s="11">
        <f>IF(AND(ISNUMBER(F407),ISNUMBER(I407)),(I407-F407),"")</f>
        <v/>
      </c>
    </row>
    <row r="408">
      <c r="A408" s="3" t="inlineStr">
        <is>
          <t>1010513</t>
        </is>
      </c>
      <c r="B408" s="3" t="inlineStr">
        <is>
          <t>10105</t>
        </is>
      </c>
      <c r="C408" s="10" t="n">
        <v>45670.30451388889</v>
      </c>
      <c r="D408" s="10" t="n">
        <v>45670.30725694444</v>
      </c>
      <c r="E408" s="10" t="n">
        <v>45670.34920138889</v>
      </c>
      <c r="F408" s="10" t="n">
        <v>45670.35038194444</v>
      </c>
      <c r="G408" s="3" t="inlineStr">
        <is>
          <t>OBT130125093830-Other sidings local</t>
        </is>
      </c>
      <c r="H408" s="10" t="n">
        <v>45670.40173611111</v>
      </c>
      <c r="I408" s="10" t="n">
        <v>45670.43755787037</v>
      </c>
      <c r="J408" s="10" t="n">
        <v>45670.43825231482</v>
      </c>
      <c r="K408" s="11">
        <f>IF(AND(ISNUMBER(D408),ISNUMBER(E408)),(E408-D408),"")</f>
        <v/>
      </c>
      <c r="L408" s="11">
        <f>IF(AND(ISNUMBER(F408),ISNUMBER(I408)),(I408-F408),"")</f>
        <v/>
      </c>
    </row>
    <row r="409">
      <c r="A409" s="3" t="inlineStr">
        <is>
          <t>1010514</t>
        </is>
      </c>
      <c r="B409" s="3" t="inlineStr">
        <is>
          <t>10105</t>
        </is>
      </c>
      <c r="C409" s="10" t="n">
        <v>45670.30451388889</v>
      </c>
      <c r="D409" s="10" t="n">
        <v>45670.30725694444</v>
      </c>
      <c r="E409" s="10" t="n">
        <v>45670.35038194444</v>
      </c>
      <c r="F409" s="10" t="n">
        <v>45670.35166666667</v>
      </c>
      <c r="G409" s="3" t="inlineStr">
        <is>
          <t>OBT130125094410-Other sidings south</t>
        </is>
      </c>
      <c r="H409" s="10" t="n">
        <v>45670.4056712963</v>
      </c>
      <c r="I409" s="10" t="n">
        <v>45670.44938657407</v>
      </c>
      <c r="J409" s="10" t="n">
        <v>45670.45010416667</v>
      </c>
      <c r="K409" s="11">
        <f>IF(AND(ISNUMBER(D409),ISNUMBER(E409)),(E409-D409),"")</f>
        <v/>
      </c>
      <c r="L409" s="11">
        <f>IF(AND(ISNUMBER(F409),ISNUMBER(I409)),(I409-F409),"")</f>
        <v/>
      </c>
    </row>
    <row r="410">
      <c r="A410" s="3" t="inlineStr">
        <is>
          <t>1010601</t>
        </is>
      </c>
      <c r="B410" s="3" t="inlineStr">
        <is>
          <t>10106</t>
        </is>
      </c>
      <c r="C410" s="10" t="n">
        <v>45670.37506944445</v>
      </c>
      <c r="D410" s="10" t="n">
        <v>45670.37756944444</v>
      </c>
      <c r="E410" s="10" t="n">
        <v>45670.38524305556</v>
      </c>
      <c r="F410" s="10" t="n">
        <v>45670.38788194444</v>
      </c>
      <c r="G410" s="3" t="inlineStr">
        <is>
          <t>OBT130125092157-Wien Kledering</t>
        </is>
      </c>
      <c r="H410" s="10" t="n">
        <v>45670.39024305555</v>
      </c>
      <c r="I410" s="10" t="n">
        <v>45670.43954861111</v>
      </c>
      <c r="J410" s="10" t="n">
        <v>45670.44069444444</v>
      </c>
      <c r="K410" s="11">
        <f>IF(AND(ISNUMBER(D410),ISNUMBER(E410)),(E410-D410),"")</f>
        <v/>
      </c>
      <c r="L410" s="11">
        <f>IF(AND(ISNUMBER(F410),ISNUMBER(I410)),(I410-F410),"")</f>
        <v/>
      </c>
    </row>
    <row r="411">
      <c r="A411" s="3" t="inlineStr">
        <is>
          <t>1010602</t>
        </is>
      </c>
      <c r="B411" s="3" t="inlineStr">
        <is>
          <t>10106</t>
        </is>
      </c>
      <c r="C411" s="10" t="n">
        <v>45670.37506944445</v>
      </c>
      <c r="D411" s="10" t="n">
        <v>45670.37756944444</v>
      </c>
      <c r="E411" s="10" t="n">
        <v>45670.38788194444</v>
      </c>
      <c r="F411" s="10" t="n">
        <v>45670.38938657408</v>
      </c>
      <c r="G411" s="3" t="inlineStr">
        <is>
          <t>OBT130125092620-Ternitz (Schoeller-Bleckmann)</t>
        </is>
      </c>
      <c r="H411" s="10" t="n">
        <v>45670.39328703703</v>
      </c>
      <c r="I411" s="10" t="n">
        <v>45670.42590277778</v>
      </c>
      <c r="J411" s="10" t="n">
        <v>45670.426875</v>
      </c>
      <c r="K411" s="11">
        <f>IF(AND(ISNUMBER(D411),ISNUMBER(E411)),(E411-D411),"")</f>
        <v/>
      </c>
      <c r="L411" s="11">
        <f>IF(AND(ISNUMBER(F411),ISNUMBER(I411)),(I411-F411),"")</f>
        <v/>
      </c>
    </row>
    <row r="412">
      <c r="A412" s="3" t="inlineStr">
        <is>
          <t>1010701</t>
        </is>
      </c>
      <c r="B412" s="3" t="inlineStr">
        <is>
          <t>10107</t>
        </is>
      </c>
      <c r="C412" s="10" t="n">
        <v>45670.37604166667</v>
      </c>
      <c r="D412" s="10" t="n">
        <v>45670.37822916666</v>
      </c>
      <c r="E412" s="10" t="n">
        <v>45670.39513888889</v>
      </c>
      <c r="F412" s="10" t="n">
        <v>45670.39702546296</v>
      </c>
      <c r="G412" s="3" t="inlineStr">
        <is>
          <t>OBT140125102839-Wr. Neustadt (Brenntag)</t>
        </is>
      </c>
      <c r="H412" s="10" t="n">
        <v>45671.4365625</v>
      </c>
      <c r="I412" s="10" t="n">
        <v>45671.47991898148</v>
      </c>
      <c r="J412" s="10" t="n">
        <v>45671.4805787037</v>
      </c>
      <c r="K412" s="11">
        <f>IF(AND(ISNUMBER(D412),ISNUMBER(E412)),(E412-D412),"")</f>
        <v/>
      </c>
      <c r="L412" s="11">
        <f>IF(AND(ISNUMBER(F412),ISNUMBER(I412)),(I412-F412),"")</f>
        <v/>
      </c>
    </row>
    <row r="413">
      <c r="A413" s="3" t="inlineStr">
        <is>
          <t>1010702</t>
        </is>
      </c>
      <c r="B413" s="3" t="inlineStr">
        <is>
          <t>10107</t>
        </is>
      </c>
      <c r="C413" s="10" t="n">
        <v>45670.37604166667</v>
      </c>
      <c r="D413" s="10" t="n">
        <v>45670.37822916666</v>
      </c>
      <c r="E413" s="10" t="n">
        <v>45670.39702546296</v>
      </c>
      <c r="F413" s="10" t="n">
        <v>45670.3981712963</v>
      </c>
      <c r="G413" s="3" t="inlineStr">
        <is>
          <t>OBT130125093830-Other sidings local</t>
        </is>
      </c>
      <c r="H413" s="10" t="n">
        <v>45670.40173611111</v>
      </c>
      <c r="I413" s="10" t="n">
        <v>45670.43755787037</v>
      </c>
      <c r="J413" s="10" t="n">
        <v>45670.43825231482</v>
      </c>
      <c r="K413" s="11">
        <f>IF(AND(ISNUMBER(D413),ISNUMBER(E413)),(E413-D413),"")</f>
        <v/>
      </c>
      <c r="L413" s="11">
        <f>IF(AND(ISNUMBER(F413),ISNUMBER(I413)),(I413-F413),"")</f>
        <v/>
      </c>
    </row>
    <row r="414">
      <c r="A414" s="3" t="inlineStr">
        <is>
          <t>1010703</t>
        </is>
      </c>
      <c r="B414" s="3" t="inlineStr">
        <is>
          <t>10107</t>
        </is>
      </c>
      <c r="C414" s="10" t="n">
        <v>45670.37604166667</v>
      </c>
      <c r="D414" s="10" t="n">
        <v>45670.37822916666</v>
      </c>
      <c r="E414" s="10" t="n">
        <v>45670.3981712963</v>
      </c>
      <c r="F414" s="10" t="n">
        <v>45670.39952546296</v>
      </c>
      <c r="G414" s="3" t="inlineStr">
        <is>
          <t>OBT130125094410-Other sidings south</t>
        </is>
      </c>
      <c r="H414" s="10" t="n">
        <v>45670.4056712963</v>
      </c>
      <c r="I414" s="10" t="n">
        <v>45670.44938657407</v>
      </c>
      <c r="J414" s="10" t="n">
        <v>45670.45010416667</v>
      </c>
      <c r="K414" s="11">
        <f>IF(AND(ISNUMBER(D414),ISNUMBER(E414)),(E414-D414),"")</f>
        <v/>
      </c>
      <c r="L414" s="11">
        <f>IF(AND(ISNUMBER(F414),ISNUMBER(I414)),(I414-F414),"")</f>
        <v/>
      </c>
    </row>
    <row r="415">
      <c r="A415" s="3" t="inlineStr">
        <is>
          <t>1010704</t>
        </is>
      </c>
      <c r="B415" s="3" t="inlineStr">
        <is>
          <t>10107</t>
        </is>
      </c>
      <c r="C415" s="10" t="n">
        <v>45670.37604166667</v>
      </c>
      <c r="D415" s="10" t="n">
        <v>45670.37822916666</v>
      </c>
      <c r="E415" s="10" t="n">
        <v>45670.39952546296</v>
      </c>
      <c r="F415" s="10" t="n">
        <v>45670.40121527778</v>
      </c>
      <c r="G415" s="3" t="inlineStr">
        <is>
          <t>OBT130125095519-Other sidings north</t>
        </is>
      </c>
      <c r="H415" s="10" t="n">
        <v>45670.41341435185</v>
      </c>
      <c r="I415" s="10" t="n">
        <v>45670.46769675926</v>
      </c>
      <c r="J415" s="10" t="n">
        <v>45670.46863425926</v>
      </c>
      <c r="K415" s="11">
        <f>IF(AND(ISNUMBER(D415),ISNUMBER(E415)),(E415-D415),"")</f>
        <v/>
      </c>
      <c r="L415" s="11">
        <f>IF(AND(ISNUMBER(F415),ISNUMBER(I415)),(I415-F415),"")</f>
        <v/>
      </c>
    </row>
    <row r="416">
      <c r="A416" s="3" t="inlineStr">
        <is>
          <t>1010705</t>
        </is>
      </c>
      <c r="B416" s="3" t="inlineStr">
        <is>
          <t>10107</t>
        </is>
      </c>
      <c r="C416" s="10" t="n">
        <v>45670.37604166667</v>
      </c>
      <c r="D416" s="10" t="n">
        <v>45670.37822916666</v>
      </c>
      <c r="E416" s="10" t="n">
        <v>45670.40121527778</v>
      </c>
      <c r="F416" s="10" t="n">
        <v>45670.40236111111</v>
      </c>
      <c r="G416" s="3" t="inlineStr">
        <is>
          <t>OBT130125144644-Wien Kledering</t>
        </is>
      </c>
      <c r="H416" s="10" t="n">
        <v>45670.61578703704</v>
      </c>
      <c r="I416" s="10" t="n">
        <v>45670.68407407407</v>
      </c>
      <c r="J416" s="10" t="n">
        <v>45670.68543981481</v>
      </c>
      <c r="K416" s="11">
        <f>IF(AND(ISNUMBER(D416),ISNUMBER(E416)),(E416-D416),"")</f>
        <v/>
      </c>
      <c r="L416" s="11">
        <f>IF(AND(ISNUMBER(F416),ISNUMBER(I416)),(I416-F416),"")</f>
        <v/>
      </c>
    </row>
    <row r="417">
      <c r="A417" s="3" t="inlineStr">
        <is>
          <t>1010706</t>
        </is>
      </c>
      <c r="B417" s="3" t="inlineStr">
        <is>
          <t>10107</t>
        </is>
      </c>
      <c r="C417" s="10" t="n">
        <v>45670.37604166667</v>
      </c>
      <c r="D417" s="10" t="n">
        <v>45670.37822916666</v>
      </c>
      <c r="E417" s="10" t="n">
        <v>45670.40236111111</v>
      </c>
      <c r="F417" s="10" t="n">
        <v>45670.40361111111</v>
      </c>
      <c r="G417" s="3" t="inlineStr">
        <is>
          <t>OBT130125123545-Wien Kledering</t>
        </is>
      </c>
      <c r="H417" s="10" t="n">
        <v>45670.52482638889</v>
      </c>
      <c r="I417" s="10" t="n">
        <v>45670.58372685185</v>
      </c>
      <c r="J417" s="10" t="n">
        <v>45670.5850462963</v>
      </c>
      <c r="K417" s="11">
        <f>IF(AND(ISNUMBER(D417),ISNUMBER(E417)),(E417-D417),"")</f>
        <v/>
      </c>
      <c r="L417" s="11">
        <f>IF(AND(ISNUMBER(F417),ISNUMBER(I417)),(I417-F417),"")</f>
        <v/>
      </c>
    </row>
    <row r="418">
      <c r="A418" s="3" t="inlineStr">
        <is>
          <t>1010707</t>
        </is>
      </c>
      <c r="B418" s="3" t="inlineStr">
        <is>
          <t>10107</t>
        </is>
      </c>
      <c r="C418" s="10" t="n">
        <v>45670.37604166667</v>
      </c>
      <c r="D418" s="10" t="n">
        <v>45670.37822916666</v>
      </c>
      <c r="E418" s="10" t="n">
        <v>45670.40361111111</v>
      </c>
      <c r="F418" s="10" t="n">
        <v>45670.40521990741</v>
      </c>
      <c r="G418" s="3" t="inlineStr">
        <is>
          <t>OBT130125095539-Pitten (Hamburger)</t>
        </is>
      </c>
      <c r="H418" s="10" t="n">
        <v>45670.41364583333</v>
      </c>
      <c r="I418" s="10" t="n">
        <v>45670.48196759259</v>
      </c>
      <c r="J418" s="10" t="n">
        <v>45670.48296296296</v>
      </c>
      <c r="K418" s="11">
        <f>IF(AND(ISNUMBER(D418),ISNUMBER(E418)),(E418-D418),"")</f>
        <v/>
      </c>
      <c r="L418" s="11">
        <f>IF(AND(ISNUMBER(F418),ISNUMBER(I418)),(I418-F418),"")</f>
        <v/>
      </c>
    </row>
    <row r="419">
      <c r="A419" s="3" t="inlineStr">
        <is>
          <t>1010708</t>
        </is>
      </c>
      <c r="B419" s="3" t="inlineStr">
        <is>
          <t>10107</t>
        </is>
      </c>
      <c r="C419" s="10" t="n">
        <v>45670.37604166667</v>
      </c>
      <c r="D419" s="10" t="n">
        <v>45670.37822916666</v>
      </c>
      <c r="E419" s="10" t="n">
        <v>45670.40521990741</v>
      </c>
      <c r="F419" s="10" t="n">
        <v>45670.40712962963</v>
      </c>
      <c r="G419" s="3" t="inlineStr">
        <is>
          <t>OBT130125095519-Other sidings north</t>
        </is>
      </c>
      <c r="H419" s="10" t="n">
        <v>45670.41341435185</v>
      </c>
      <c r="I419" s="10" t="n">
        <v>45670.46769675926</v>
      </c>
      <c r="J419" s="10" t="n">
        <v>45670.46863425926</v>
      </c>
      <c r="K419" s="11">
        <f>IF(AND(ISNUMBER(D419),ISNUMBER(E419)),(E419-D419),"")</f>
        <v/>
      </c>
      <c r="L419" s="11">
        <f>IF(AND(ISNUMBER(F419),ISNUMBER(I419)),(I419-F419),"")</f>
        <v/>
      </c>
    </row>
    <row r="420">
      <c r="A420" s="3" t="inlineStr">
        <is>
          <t>1010709</t>
        </is>
      </c>
      <c r="B420" s="3" t="inlineStr">
        <is>
          <t>10107</t>
        </is>
      </c>
      <c r="C420" s="10" t="n">
        <v>45670.37604166667</v>
      </c>
      <c r="D420" s="10" t="n">
        <v>45670.37822916666</v>
      </c>
      <c r="E420" s="10" t="n">
        <v>45670.40712962963</v>
      </c>
      <c r="F420" s="10" t="n">
        <v>45670.40902777778</v>
      </c>
      <c r="G420" s="3" t="inlineStr">
        <is>
          <t>OBT140125070727-Neudörfl (FunderMax)</t>
        </is>
      </c>
      <c r="H420" s="10" t="n">
        <v>45671.29684027778</v>
      </c>
      <c r="I420" s="10" t="n">
        <v>45671.33109953703</v>
      </c>
      <c r="J420" s="10" t="n">
        <v>45671.3319212963</v>
      </c>
      <c r="K420" s="11">
        <f>IF(AND(ISNUMBER(D420),ISNUMBER(E420)),(E420-D420),"")</f>
        <v/>
      </c>
      <c r="L420" s="11">
        <f>IF(AND(ISNUMBER(F420),ISNUMBER(I420)),(I420-F420),"")</f>
        <v/>
      </c>
    </row>
    <row r="421">
      <c r="A421" s="3" t="inlineStr">
        <is>
          <t>1010710</t>
        </is>
      </c>
      <c r="B421" s="3" t="inlineStr">
        <is>
          <t>10107</t>
        </is>
      </c>
      <c r="C421" s="10" t="n">
        <v>45670.37604166667</v>
      </c>
      <c r="D421" s="10" t="n">
        <v>45670.37822916666</v>
      </c>
      <c r="E421" s="10" t="n">
        <v>45670.40902777778</v>
      </c>
      <c r="F421" s="10" t="n">
        <v>45670.41101851852</v>
      </c>
      <c r="G421" s="3" t="inlineStr">
        <is>
          <t>OBT140125181252-Steinabrückl/Wöllersdorf</t>
        </is>
      </c>
      <c r="H421" s="10" t="n">
        <v>45671.75893518519</v>
      </c>
      <c r="I421" s="10" t="n">
        <v>45671.79834490741</v>
      </c>
      <c r="J421" s="10" t="n">
        <v>45671.79916666666</v>
      </c>
      <c r="K421" s="11">
        <f>IF(AND(ISNUMBER(D421),ISNUMBER(E421)),(E421-D421),"")</f>
        <v/>
      </c>
      <c r="L421" s="11">
        <f>IF(AND(ISNUMBER(F421),ISNUMBER(I421)),(I421-F421),"")</f>
        <v/>
      </c>
    </row>
    <row r="422">
      <c r="A422" s="3" t="inlineStr">
        <is>
          <t>1010801</t>
        </is>
      </c>
      <c r="B422" s="3" t="inlineStr">
        <is>
          <t>10108</t>
        </is>
      </c>
      <c r="C422" s="10" t="n">
        <v>45670.41900462963</v>
      </c>
      <c r="D422" s="10" t="n">
        <v>45670.42153935185</v>
      </c>
      <c r="E422" s="10" t="n">
        <v>45670.43083333333</v>
      </c>
      <c r="F422" s="10" t="n">
        <v>45670.43336805556</v>
      </c>
      <c r="G422" s="3" t="inlineStr">
        <is>
          <t>OBT130125103421-Wien Kledering</t>
        </is>
      </c>
      <c r="H422" s="10" t="n">
        <v>45670.44052083333</v>
      </c>
      <c r="I422" s="10" t="n">
        <v>45670.49756944444</v>
      </c>
      <c r="J422" s="10" t="n">
        <v>45670.49873842593</v>
      </c>
      <c r="K422" s="11">
        <f>IF(AND(ISNUMBER(D422),ISNUMBER(E422)),(E422-D422),"")</f>
        <v/>
      </c>
      <c r="L422" s="11">
        <f>IF(AND(ISNUMBER(F422),ISNUMBER(I422)),(I422-F422),"")</f>
        <v/>
      </c>
    </row>
    <row r="423">
      <c r="A423" s="3" t="inlineStr">
        <is>
          <t>1010802</t>
        </is>
      </c>
      <c r="B423" s="3" t="inlineStr">
        <is>
          <t>10108</t>
        </is>
      </c>
      <c r="C423" s="10" t="n">
        <v>45670.41900462963</v>
      </c>
      <c r="D423" s="10" t="n">
        <v>45670.42153935185</v>
      </c>
      <c r="E423" s="10" t="n">
        <v>45670.43336805556</v>
      </c>
      <c r="F423" s="10" t="n">
        <v>45670.43515046296</v>
      </c>
      <c r="G423" s="3" t="inlineStr">
        <is>
          <t>OBT130125163000-St. Veit an der Glan</t>
        </is>
      </c>
      <c r="H423" s="10" t="n">
        <v>45670.6875</v>
      </c>
      <c r="I423" s="10" t="n">
        <v>45670.72371527777</v>
      </c>
      <c r="J423" s="10" t="n">
        <v>45670.7246875</v>
      </c>
      <c r="K423" s="11">
        <f>IF(AND(ISNUMBER(D423),ISNUMBER(E423)),(E423-D423),"")</f>
        <v/>
      </c>
      <c r="L423" s="11">
        <f>IF(AND(ISNUMBER(F423),ISNUMBER(I423)),(I423-F423),"")</f>
        <v/>
      </c>
    </row>
    <row r="424">
      <c r="A424" s="3" t="inlineStr">
        <is>
          <t>1010803</t>
        </is>
      </c>
      <c r="B424" s="3" t="inlineStr">
        <is>
          <t>10108</t>
        </is>
      </c>
      <c r="C424" s="10" t="n">
        <v>45670.41900462963</v>
      </c>
      <c r="D424" s="10" t="n">
        <v>45670.42153935185</v>
      </c>
      <c r="E424" s="10" t="n">
        <v>45670.43515046296</v>
      </c>
      <c r="F424" s="10" t="n">
        <v>45670.43663194445</v>
      </c>
      <c r="G424" s="3" t="inlineStr">
        <is>
          <t>OBT130125123545-Wien Kledering</t>
        </is>
      </c>
      <c r="H424" s="10" t="n">
        <v>45670.52482638889</v>
      </c>
      <c r="I424" s="10" t="n">
        <v>45670.58372685185</v>
      </c>
      <c r="J424" s="10" t="n">
        <v>45670.5850462963</v>
      </c>
      <c r="K424" s="11">
        <f>IF(AND(ISNUMBER(D424),ISNUMBER(E424)),(E424-D424),"")</f>
        <v/>
      </c>
      <c r="L424" s="11">
        <f>IF(AND(ISNUMBER(F424),ISNUMBER(I424)),(I424-F424),"")</f>
        <v/>
      </c>
    </row>
    <row r="425">
      <c r="A425" s="3" t="inlineStr">
        <is>
          <t>1010901</t>
        </is>
      </c>
      <c r="B425" s="3" t="inlineStr">
        <is>
          <t>10109</t>
        </is>
      </c>
      <c r="C425" s="10" t="n">
        <v>45670.51152777778</v>
      </c>
      <c r="D425" s="10" t="n">
        <v>45670.51365740741</v>
      </c>
      <c r="E425" s="10" t="n">
        <v>45670.5191087963</v>
      </c>
      <c r="F425" s="10" t="n">
        <v>45670.52090277777</v>
      </c>
      <c r="G425" s="3" t="inlineStr">
        <is>
          <t>OBT130125123545-Wien Kledering</t>
        </is>
      </c>
      <c r="H425" s="10" t="n">
        <v>45670.52482638889</v>
      </c>
      <c r="I425" s="10" t="n">
        <v>45670.58372685185</v>
      </c>
      <c r="J425" s="10" t="n">
        <v>45670.5850462963</v>
      </c>
      <c r="K425" s="11">
        <f>IF(AND(ISNUMBER(D425),ISNUMBER(E425)),(E425-D425),"")</f>
        <v/>
      </c>
      <c r="L425" s="11">
        <f>IF(AND(ISNUMBER(F425),ISNUMBER(I425)),(I425-F425),"")</f>
        <v/>
      </c>
    </row>
    <row r="426">
      <c r="A426" s="3" t="inlineStr">
        <is>
          <t>1011001</t>
        </is>
      </c>
      <c r="B426" s="3" t="inlineStr">
        <is>
          <t>10110</t>
        </is>
      </c>
      <c r="C426" s="10" t="n">
        <v>45670.60200231482</v>
      </c>
      <c r="D426" s="10" t="n">
        <v>45670.60449074074</v>
      </c>
      <c r="E426" s="10" t="n">
        <v>45670.61140046296</v>
      </c>
      <c r="F426" s="10" t="n">
        <v>45670.61342592593</v>
      </c>
      <c r="G426" s="3" t="inlineStr">
        <is>
          <t>OBT130125144644-Wien Kledering</t>
        </is>
      </c>
      <c r="H426" s="10" t="n">
        <v>45670.61578703704</v>
      </c>
      <c r="I426" s="10" t="n">
        <v>45670.68407407407</v>
      </c>
      <c r="J426" s="10" t="n">
        <v>45670.68543981481</v>
      </c>
      <c r="K426" s="11">
        <f>IF(AND(ISNUMBER(D426),ISNUMBER(E426)),(E426-D426),"")</f>
        <v/>
      </c>
      <c r="L426" s="11">
        <f>IF(AND(ISNUMBER(F426),ISNUMBER(I426)),(I426-F426),"")</f>
        <v/>
      </c>
    </row>
    <row r="427">
      <c r="A427" s="3" t="inlineStr">
        <is>
          <t>1011101</t>
        </is>
      </c>
      <c r="B427" s="3" t="inlineStr">
        <is>
          <t>10111</t>
        </is>
      </c>
      <c r="C427" s="10" t="n">
        <v>45670.61545138889</v>
      </c>
      <c r="D427" s="10" t="n">
        <v>45670.61789351852</v>
      </c>
      <c r="E427" s="10" t="n">
        <v>45670.63443287037</v>
      </c>
      <c r="F427" s="10" t="n">
        <v>45670.63574074074</v>
      </c>
      <c r="G427" s="3" t="inlineStr">
        <is>
          <t>OBT140125070928-Pitten (Hamburger)</t>
        </is>
      </c>
      <c r="H427" s="10" t="n">
        <v>45671.29824074074</v>
      </c>
      <c r="I427" s="10" t="n">
        <v>45671.32670138889</v>
      </c>
      <c r="J427" s="10" t="n">
        <v>45671.32736111111</v>
      </c>
      <c r="K427" s="11">
        <f>IF(AND(ISNUMBER(D427),ISNUMBER(E427)),(E427-D427),"")</f>
        <v/>
      </c>
      <c r="L427" s="11">
        <f>IF(AND(ISNUMBER(F427),ISNUMBER(I427)),(I427-F427),"")</f>
        <v/>
      </c>
    </row>
    <row r="428">
      <c r="A428" s="3" t="inlineStr">
        <is>
          <t>1011102</t>
        </is>
      </c>
      <c r="B428" s="3" t="inlineStr">
        <is>
          <t>10111</t>
        </is>
      </c>
      <c r="C428" s="10" t="n">
        <v>45670.61545138889</v>
      </c>
      <c r="D428" s="10" t="n">
        <v>45670.61789351852</v>
      </c>
      <c r="E428" s="10" t="n">
        <v>45670.63574074074</v>
      </c>
      <c r="F428" s="10" t="n">
        <v>45670.63792824074</v>
      </c>
      <c r="G428" s="3" t="inlineStr">
        <is>
          <t>OBT130125152935-Wr. Neustadt (Hödlmayr)</t>
        </is>
      </c>
      <c r="H428" s="10" t="n">
        <v>45670.64554398148</v>
      </c>
      <c r="I428" s="10" t="n">
        <v>45670.66475694445</v>
      </c>
      <c r="J428" s="10" t="n">
        <v>45670.66549768519</v>
      </c>
      <c r="K428" s="11">
        <f>IF(AND(ISNUMBER(D428),ISNUMBER(E428)),(E428-D428),"")</f>
        <v/>
      </c>
      <c r="L428" s="11">
        <f>IF(AND(ISNUMBER(F428),ISNUMBER(I428)),(I428-F428),"")</f>
        <v/>
      </c>
    </row>
    <row r="429">
      <c r="A429" s="3" t="inlineStr">
        <is>
          <t>1011103</t>
        </is>
      </c>
      <c r="B429" s="3" t="inlineStr">
        <is>
          <t>10111</t>
        </is>
      </c>
      <c r="C429" s="10" t="n">
        <v>45670.61545138889</v>
      </c>
      <c r="D429" s="10" t="n">
        <v>45670.61789351852</v>
      </c>
      <c r="E429" s="10" t="n">
        <v>45670.63792824074</v>
      </c>
      <c r="F429" s="10" t="n">
        <v>45670.63960648148</v>
      </c>
      <c r="G429" s="3" t="inlineStr">
        <is>
          <t>OBT140125093209-Obereggendorf (Hofer)</t>
        </is>
      </c>
      <c r="H429" s="10" t="n">
        <v>45671.39732638889</v>
      </c>
      <c r="I429" s="10" t="n">
        <v>45671.45814814815</v>
      </c>
      <c r="J429" s="10" t="n">
        <v>45671.45953703704</v>
      </c>
      <c r="K429" s="11">
        <f>IF(AND(ISNUMBER(D429),ISNUMBER(E429)),(E429-D429),"")</f>
        <v/>
      </c>
      <c r="L429" s="11">
        <f>IF(AND(ISNUMBER(F429),ISNUMBER(I429)),(I429-F429),"")</f>
        <v/>
      </c>
    </row>
    <row r="430">
      <c r="A430" s="3" t="inlineStr">
        <is>
          <t>1011104</t>
        </is>
      </c>
      <c r="B430" s="3" t="inlineStr">
        <is>
          <t>10111</t>
        </is>
      </c>
      <c r="C430" s="10" t="n">
        <v>45670.61545138889</v>
      </c>
      <c r="D430" s="10" t="n">
        <v>45670.61789351852</v>
      </c>
      <c r="E430" s="10" t="n">
        <v>45670.63960648148</v>
      </c>
      <c r="F430" s="10" t="n">
        <v>45670.64164351852</v>
      </c>
      <c r="G430" s="3" t="inlineStr">
        <is>
          <t>OBT130125152935-Wr. Neustadt (Hödlmayr)</t>
        </is>
      </c>
      <c r="H430" s="10" t="n">
        <v>45670.64554398148</v>
      </c>
      <c r="I430" s="10" t="n">
        <v>45670.66475694445</v>
      </c>
      <c r="J430" s="10" t="n">
        <v>45670.66549768519</v>
      </c>
      <c r="K430" s="11">
        <f>IF(AND(ISNUMBER(D430),ISNUMBER(E430)),(E430-D430),"")</f>
        <v/>
      </c>
      <c r="L430" s="11">
        <f>IF(AND(ISNUMBER(F430),ISNUMBER(I430)),(I430-F430),"")</f>
        <v/>
      </c>
    </row>
    <row r="431">
      <c r="A431" s="3" t="inlineStr">
        <is>
          <t>1011105</t>
        </is>
      </c>
      <c r="B431" s="3" t="inlineStr">
        <is>
          <t>10111</t>
        </is>
      </c>
      <c r="C431" s="10" t="n">
        <v>45670.61545138889</v>
      </c>
      <c r="D431" s="10" t="n">
        <v>45670.61789351852</v>
      </c>
      <c r="E431" s="10" t="n">
        <v>45670.64164351852</v>
      </c>
      <c r="F431" s="10" t="n">
        <v>45670.64340277778</v>
      </c>
      <c r="G431" s="3" t="inlineStr">
        <is>
          <t>OBT140125153639-Ebenfurth (beet loading)</t>
        </is>
      </c>
      <c r="H431" s="10" t="n">
        <v>45671.65045138889</v>
      </c>
      <c r="I431" s="10" t="n">
        <v>45671.67769675926</v>
      </c>
      <c r="J431" s="10" t="n">
        <v>45671.67856481481</v>
      </c>
      <c r="K431" s="11">
        <f>IF(AND(ISNUMBER(D431),ISNUMBER(E431)),(E431-D431),"")</f>
        <v/>
      </c>
      <c r="L431" s="11">
        <f>IF(AND(ISNUMBER(F431),ISNUMBER(I431)),(I431-F431),"")</f>
        <v/>
      </c>
    </row>
    <row r="432">
      <c r="A432" s="3" t="inlineStr">
        <is>
          <t>1011106</t>
        </is>
      </c>
      <c r="B432" s="3" t="inlineStr">
        <is>
          <t>10111</t>
        </is>
      </c>
      <c r="C432" s="10" t="n">
        <v>45670.61545138889</v>
      </c>
      <c r="D432" s="10" t="n">
        <v>45670.61789351852</v>
      </c>
      <c r="E432" s="10" t="n">
        <v>45670.64340277778</v>
      </c>
      <c r="F432" s="10" t="n">
        <v>45670.6453125</v>
      </c>
      <c r="G432" s="3" t="inlineStr">
        <is>
          <t>OBT140125102839-Wr. Neustadt (Brenntag)</t>
        </is>
      </c>
      <c r="H432" s="10" t="n">
        <v>45671.4365625</v>
      </c>
      <c r="I432" s="10" t="n">
        <v>45671.47991898148</v>
      </c>
      <c r="J432" s="10" t="n">
        <v>45671.4805787037</v>
      </c>
      <c r="K432" s="11">
        <f>IF(AND(ISNUMBER(D432),ISNUMBER(E432)),(E432-D432),"")</f>
        <v/>
      </c>
      <c r="L432" s="11">
        <f>IF(AND(ISNUMBER(F432),ISNUMBER(I432)),(I432-F432),"")</f>
        <v/>
      </c>
    </row>
    <row r="433">
      <c r="A433" s="3" t="inlineStr">
        <is>
          <t>1011107</t>
        </is>
      </c>
      <c r="B433" s="3" t="inlineStr">
        <is>
          <t>10111</t>
        </is>
      </c>
      <c r="C433" s="10" t="n">
        <v>45670.61545138889</v>
      </c>
      <c r="D433" s="10" t="n">
        <v>45670.61789351852</v>
      </c>
      <c r="E433" s="10" t="n">
        <v>45670.6453125</v>
      </c>
      <c r="F433" s="10" t="n">
        <v>45670.64704861111</v>
      </c>
      <c r="G433" s="3" t="inlineStr">
        <is>
          <t>OBT140125024930-Neunkirchen (loading tracks)</t>
        </is>
      </c>
      <c r="H433" s="10" t="n">
        <v>45671.11770833333</v>
      </c>
      <c r="I433" s="10" t="n">
        <v>45671.14023148148</v>
      </c>
      <c r="J433" s="10" t="n">
        <v>45671.14112268519</v>
      </c>
      <c r="K433" s="11">
        <f>IF(AND(ISNUMBER(D433),ISNUMBER(E433)),(E433-D433),"")</f>
        <v/>
      </c>
      <c r="L433" s="11">
        <f>IF(AND(ISNUMBER(F433),ISNUMBER(I433)),(I433-F433),"")</f>
        <v/>
      </c>
    </row>
    <row r="434">
      <c r="A434" s="3" t="inlineStr">
        <is>
          <t>1011108</t>
        </is>
      </c>
      <c r="B434" s="3" t="inlineStr">
        <is>
          <t>10111</t>
        </is>
      </c>
      <c r="C434" s="10" t="n">
        <v>45670.61545138889</v>
      </c>
      <c r="D434" s="10" t="n">
        <v>45670.61789351852</v>
      </c>
      <c r="E434" s="10" t="n">
        <v>45670.64704861111</v>
      </c>
      <c r="F434" s="10" t="n">
        <v>45670.64909722222</v>
      </c>
      <c r="G434" s="3" t="inlineStr">
        <is>
          <t>OBT150125025656-Other sidings south</t>
        </is>
      </c>
      <c r="H434" s="10" t="n">
        <v>45672.12287037037</v>
      </c>
      <c r="I434" s="10" t="n">
        <v>45672.15517361111</v>
      </c>
      <c r="J434" s="10" t="n">
        <v>45672.15613425926</v>
      </c>
      <c r="K434" s="11">
        <f>IF(AND(ISNUMBER(D434),ISNUMBER(E434)),(E434-D434),"")</f>
        <v/>
      </c>
      <c r="L434" s="11">
        <f>IF(AND(ISNUMBER(F434),ISNUMBER(I434)),(I434-F434),"")</f>
        <v/>
      </c>
    </row>
    <row r="435">
      <c r="A435" s="3" t="inlineStr">
        <is>
          <t>1011109</t>
        </is>
      </c>
      <c r="B435" s="3" t="inlineStr">
        <is>
          <t>10111</t>
        </is>
      </c>
      <c r="C435" s="10" t="n">
        <v>45670.61545138889</v>
      </c>
      <c r="D435" s="10" t="n">
        <v>45670.61789351852</v>
      </c>
      <c r="E435" s="10" t="n">
        <v>45670.64909722222</v>
      </c>
      <c r="F435" s="10" t="n">
        <v>45670.65105324074</v>
      </c>
      <c r="G435" s="3" t="inlineStr">
        <is>
          <t>OBT140125181252-Steinabrückl/Wöllersdorf</t>
        </is>
      </c>
      <c r="H435" s="10" t="n">
        <v>45671.75893518519</v>
      </c>
      <c r="I435" s="10" t="n">
        <v>45671.79834490741</v>
      </c>
      <c r="J435" s="10" t="n">
        <v>45671.79916666666</v>
      </c>
      <c r="K435" s="11">
        <f>IF(AND(ISNUMBER(D435),ISNUMBER(E435)),(E435-D435),"")</f>
        <v/>
      </c>
      <c r="L435" s="11">
        <f>IF(AND(ISNUMBER(F435),ISNUMBER(I435)),(I435-F435),"")</f>
        <v/>
      </c>
    </row>
    <row r="436">
      <c r="A436" s="3" t="inlineStr">
        <is>
          <t>1011110</t>
        </is>
      </c>
      <c r="B436" s="3" t="inlineStr">
        <is>
          <t>10111</t>
        </is>
      </c>
      <c r="C436" s="10" t="n">
        <v>45670.61545138889</v>
      </c>
      <c r="D436" s="10" t="n">
        <v>45670.61789351852</v>
      </c>
      <c r="E436" s="10" t="n">
        <v>45670.65105324074</v>
      </c>
      <c r="F436" s="10" t="n">
        <v>45670.6530324074</v>
      </c>
      <c r="G436" s="3" t="inlineStr">
        <is>
          <t>OBT140125070727-Neudörfl (FunderMax)</t>
        </is>
      </c>
      <c r="H436" s="10" t="n">
        <v>45671.29684027778</v>
      </c>
      <c r="I436" s="10" t="n">
        <v>45671.33109953703</v>
      </c>
      <c r="J436" s="10" t="n">
        <v>45671.3319212963</v>
      </c>
      <c r="K436" s="11">
        <f>IF(AND(ISNUMBER(D436),ISNUMBER(E436)),(E436-D436),"")</f>
        <v/>
      </c>
      <c r="L436" s="11">
        <f>IF(AND(ISNUMBER(F436),ISNUMBER(I436)),(I436-F436),"")</f>
        <v/>
      </c>
    </row>
    <row r="437">
      <c r="A437" s="3" t="inlineStr">
        <is>
          <t>1011111</t>
        </is>
      </c>
      <c r="B437" s="3" t="inlineStr">
        <is>
          <t>10111</t>
        </is>
      </c>
      <c r="C437" s="10" t="n">
        <v>45670.61545138889</v>
      </c>
      <c r="D437" s="10" t="n">
        <v>45670.61789351852</v>
      </c>
      <c r="E437" s="10" t="n">
        <v>45670.6530324074</v>
      </c>
      <c r="F437" s="10" t="n">
        <v>45670.65453703704</v>
      </c>
      <c r="G437" s="3" t="inlineStr">
        <is>
          <t>OBT130125155039-Wr. Neustadt Ausfahrbf (Furtenbach)</t>
        </is>
      </c>
      <c r="H437" s="10" t="n">
        <v>45670.66017361111</v>
      </c>
      <c r="I437" s="10" t="n">
        <v>45670.6827662037</v>
      </c>
      <c r="J437" s="10" t="n">
        <v>45670.68358796297</v>
      </c>
      <c r="K437" s="11">
        <f>IF(AND(ISNUMBER(D437),ISNUMBER(E437)),(E437-D437),"")</f>
        <v/>
      </c>
      <c r="L437" s="11">
        <f>IF(AND(ISNUMBER(F437),ISNUMBER(I437)),(I437-F437),"")</f>
        <v/>
      </c>
    </row>
    <row r="438">
      <c r="A438" s="3" t="inlineStr">
        <is>
          <t>1011201</t>
        </is>
      </c>
      <c r="B438" s="3" t="inlineStr">
        <is>
          <t>10112</t>
        </is>
      </c>
      <c r="C438" s="10" t="n">
        <v>45670.6394212963</v>
      </c>
      <c r="D438" s="10" t="n">
        <v>45670.64148148148</v>
      </c>
      <c r="E438" s="10" t="n">
        <v>45670.65540509259</v>
      </c>
      <c r="F438" s="10" t="n">
        <v>45670.65763888889</v>
      </c>
      <c r="G438" s="3" t="inlineStr">
        <is>
          <t>OBT130125155053-Wien Kledering</t>
        </is>
      </c>
      <c r="H438" s="10" t="n">
        <v>45670.66033564815</v>
      </c>
      <c r="I438" s="10" t="n">
        <v>45670.73476851852</v>
      </c>
      <c r="J438" s="10" t="n">
        <v>45670.73616898148</v>
      </c>
      <c r="K438" s="11">
        <f>IF(AND(ISNUMBER(D438),ISNUMBER(E438)),(E438-D438),"")</f>
        <v/>
      </c>
      <c r="L438" s="11">
        <f>IF(AND(ISNUMBER(F438),ISNUMBER(I438)),(I438-F438),"")</f>
        <v/>
      </c>
    </row>
    <row r="439">
      <c r="A439" s="3" t="inlineStr">
        <is>
          <t>1011301</t>
        </is>
      </c>
      <c r="B439" s="3" t="inlineStr">
        <is>
          <t>10113</t>
        </is>
      </c>
      <c r="C439" s="10" t="n">
        <v>45670.66716435185</v>
      </c>
      <c r="D439" s="10" t="n">
        <v>45670.66965277777</v>
      </c>
      <c r="E439" s="10" t="n">
        <v>45670.67766203704</v>
      </c>
      <c r="F439" s="10" t="n">
        <v>45670.67972222222</v>
      </c>
      <c r="G439" s="3" t="inlineStr">
        <is>
          <t>OBT130125163000-St. Veit an der Glan</t>
        </is>
      </c>
      <c r="H439" s="10" t="n">
        <v>45670.6875</v>
      </c>
      <c r="I439" s="10" t="n">
        <v>45670.72371527777</v>
      </c>
      <c r="J439" s="10" t="n">
        <v>45670.7246875</v>
      </c>
      <c r="K439" s="11">
        <f>IF(AND(ISNUMBER(D439),ISNUMBER(E439)),(E439-D439),"")</f>
        <v/>
      </c>
      <c r="L439" s="11">
        <f>IF(AND(ISNUMBER(F439),ISNUMBER(I439)),(I439-F439),"")</f>
        <v/>
      </c>
    </row>
    <row r="440">
      <c r="A440" s="3" t="inlineStr">
        <is>
          <t>1011302</t>
        </is>
      </c>
      <c r="B440" s="3" t="inlineStr">
        <is>
          <t>10113</t>
        </is>
      </c>
      <c r="C440" s="10" t="n">
        <v>45670.66716435185</v>
      </c>
      <c r="D440" s="10" t="n">
        <v>45670.66965277777</v>
      </c>
      <c r="E440" s="10" t="n">
        <v>45670.67972222222</v>
      </c>
      <c r="F440" s="10" t="n">
        <v>45670.68224537037</v>
      </c>
      <c r="G440" s="3" t="inlineStr">
        <is>
          <t>OBT130125162753-Wien Kledering</t>
        </is>
      </c>
      <c r="H440" s="10" t="n">
        <v>45670.68603009259</v>
      </c>
      <c r="I440" s="10" t="n">
        <v>45670.72678240741</v>
      </c>
      <c r="J440" s="10" t="n">
        <v>45670.7278125</v>
      </c>
      <c r="K440" s="11">
        <f>IF(AND(ISNUMBER(D440),ISNUMBER(E440)),(E440-D440),"")</f>
        <v/>
      </c>
      <c r="L440" s="11">
        <f>IF(AND(ISNUMBER(F440),ISNUMBER(I440)),(I440-F440),"")</f>
        <v/>
      </c>
    </row>
    <row r="441">
      <c r="A441" s="3" t="inlineStr">
        <is>
          <t>1011401</t>
        </is>
      </c>
      <c r="B441" s="3" t="inlineStr">
        <is>
          <t>10114</t>
        </is>
      </c>
      <c r="C441" s="10" t="n">
        <v>45670.72684027778</v>
      </c>
      <c r="D441" s="10" t="n">
        <v>45670.72886574074</v>
      </c>
      <c r="E441" s="10" t="n">
        <v>45670.73393518518</v>
      </c>
      <c r="F441" s="10" t="n">
        <v>45670.73548611111</v>
      </c>
      <c r="G441" s="3" t="inlineStr">
        <is>
          <t>OBT130125174233-Wien Kledering</t>
        </is>
      </c>
      <c r="H441" s="10" t="n">
        <v>45670.73788194444</v>
      </c>
      <c r="I441" s="10" t="n">
        <v>45670.77103009259</v>
      </c>
      <c r="J441" s="10" t="n">
        <v>45670.77193287037</v>
      </c>
      <c r="K441" s="11">
        <f>IF(AND(ISNUMBER(D441),ISNUMBER(E441)),(E441-D441),"")</f>
        <v/>
      </c>
      <c r="L441" s="11">
        <f>IF(AND(ISNUMBER(F441),ISNUMBER(I441)),(I441-F441),"")</f>
        <v/>
      </c>
    </row>
    <row r="442">
      <c r="A442" s="3" t="inlineStr">
        <is>
          <t>1011501</t>
        </is>
      </c>
      <c r="B442" s="3" t="inlineStr">
        <is>
          <t>10115</t>
        </is>
      </c>
      <c r="C442" s="10" t="n">
        <v>45670.8777662037</v>
      </c>
      <c r="D442" s="10" t="n">
        <v>45670.88025462963</v>
      </c>
      <c r="E442" s="10" t="n">
        <v>45670.88717592593</v>
      </c>
      <c r="F442" s="10" t="n">
        <v>45670.88920138889</v>
      </c>
      <c r="G442" s="3" t="inlineStr">
        <is>
          <t>OBT130125212354-Wien Kledering</t>
        </is>
      </c>
      <c r="H442" s="10" t="n">
        <v>45670.89159722222</v>
      </c>
      <c r="I442" s="10" t="n">
        <v>45670.96001157408</v>
      </c>
      <c r="J442" s="10" t="n">
        <v>45670.96137731482</v>
      </c>
      <c r="K442" s="11">
        <f>IF(AND(ISNUMBER(D442),ISNUMBER(E442)),(E442-D442),"")</f>
        <v/>
      </c>
      <c r="L442" s="11">
        <f>IF(AND(ISNUMBER(F442),ISNUMBER(I442)),(I442-F442),"")</f>
        <v/>
      </c>
    </row>
    <row r="443">
      <c r="A443" s="3" t="inlineStr">
        <is>
          <t>1011601</t>
        </is>
      </c>
      <c r="B443" s="3" t="inlineStr">
        <is>
          <t>10116</t>
        </is>
      </c>
      <c r="C443" s="10" t="n">
        <v>45671.10247685185</v>
      </c>
      <c r="D443" s="10" t="n">
        <v>45671.10440972223</v>
      </c>
      <c r="E443" s="10" t="n">
        <v>45671.11221064815</v>
      </c>
      <c r="F443" s="10" t="n">
        <v>45671.11414351852</v>
      </c>
      <c r="G443" s="3" t="inlineStr">
        <is>
          <t>OBT140125024930-Neunkirchen (loading tracks)</t>
        </is>
      </c>
      <c r="H443" s="10" t="n">
        <v>45671.11770833333</v>
      </c>
      <c r="I443" s="10" t="n">
        <v>45671.14023148148</v>
      </c>
      <c r="J443" s="10" t="n">
        <v>45671.14112268519</v>
      </c>
      <c r="K443" s="11">
        <f>IF(AND(ISNUMBER(D443),ISNUMBER(E443)),(E443-D443),"")</f>
        <v/>
      </c>
      <c r="L443" s="11">
        <f>IF(AND(ISNUMBER(F443),ISNUMBER(I443)),(I443-F443),"")</f>
        <v/>
      </c>
    </row>
    <row r="444">
      <c r="A444" s="3" t="inlineStr">
        <is>
          <t>1011602</t>
        </is>
      </c>
      <c r="B444" s="3" t="inlineStr">
        <is>
          <t>10116</t>
        </is>
      </c>
      <c r="C444" s="10" t="n">
        <v>45671.10247685185</v>
      </c>
      <c r="D444" s="10" t="n">
        <v>45671.10440972223</v>
      </c>
      <c r="E444" s="10" t="n">
        <v>45671.11414351852</v>
      </c>
      <c r="F444" s="10" t="n">
        <v>45671.11541666667</v>
      </c>
      <c r="G444" s="3" t="inlineStr">
        <is>
          <t>OBT140125181642-Ternitz (Schoeller-Bleckmann)</t>
        </is>
      </c>
      <c r="H444" s="10" t="n">
        <v>45671.76159722222</v>
      </c>
      <c r="I444" s="10" t="n">
        <v>45671.79472222222</v>
      </c>
      <c r="J444" s="10" t="n">
        <v>45671.79550925926</v>
      </c>
      <c r="K444" s="11">
        <f>IF(AND(ISNUMBER(D444),ISNUMBER(E444)),(E444-D444),"")</f>
        <v/>
      </c>
      <c r="L444" s="11">
        <f>IF(AND(ISNUMBER(F444),ISNUMBER(I444)),(I444-F444),"")</f>
        <v/>
      </c>
    </row>
    <row r="445">
      <c r="A445" s="3" t="inlineStr">
        <is>
          <t>1011603</t>
        </is>
      </c>
      <c r="B445" s="3" t="inlineStr">
        <is>
          <t>10116</t>
        </is>
      </c>
      <c r="C445" s="10" t="n">
        <v>45671.10247685185</v>
      </c>
      <c r="D445" s="10" t="n">
        <v>45671.10440972223</v>
      </c>
      <c r="E445" s="10" t="n">
        <v>45671.11541666667</v>
      </c>
      <c r="F445" s="10" t="n">
        <v>45671.11736111111</v>
      </c>
      <c r="G445" s="3" t="inlineStr">
        <is>
          <t>OBT150125025656-Other sidings south</t>
        </is>
      </c>
      <c r="H445" s="10" t="n">
        <v>45672.12287037037</v>
      </c>
      <c r="I445" s="10" t="n">
        <v>45672.15517361111</v>
      </c>
      <c r="J445" s="10" t="n">
        <v>45672.15613425926</v>
      </c>
      <c r="K445" s="11">
        <f>IF(AND(ISNUMBER(D445),ISNUMBER(E445)),(E445-D445),"")</f>
        <v/>
      </c>
      <c r="L445" s="11">
        <f>IF(AND(ISNUMBER(F445),ISNUMBER(I445)),(I445-F445),"")</f>
        <v/>
      </c>
    </row>
    <row r="446">
      <c r="A446" s="3" t="inlineStr">
        <is>
          <t>1011604</t>
        </is>
      </c>
      <c r="B446" s="3" t="inlineStr">
        <is>
          <t>10116</t>
        </is>
      </c>
      <c r="C446" s="10" t="n">
        <v>45671.10247685185</v>
      </c>
      <c r="D446" s="10" t="n">
        <v>45671.10440972223</v>
      </c>
      <c r="E446" s="10" t="n">
        <v>45671.11736111111</v>
      </c>
      <c r="F446" s="10" t="n">
        <v>45671.11928240741</v>
      </c>
      <c r="G446" s="3" t="inlineStr">
        <is>
          <t>OBT140125102839-Wr. Neustadt (Brenntag)</t>
        </is>
      </c>
      <c r="H446" s="10" t="n">
        <v>45671.4365625</v>
      </c>
      <c r="I446" s="10" t="n">
        <v>45671.47991898148</v>
      </c>
      <c r="J446" s="10" t="n">
        <v>45671.4805787037</v>
      </c>
      <c r="K446" s="11">
        <f>IF(AND(ISNUMBER(D446),ISNUMBER(E446)),(E446-D446),"")</f>
        <v/>
      </c>
      <c r="L446" s="11">
        <f>IF(AND(ISNUMBER(F446),ISNUMBER(I446)),(I446-F446),"")</f>
        <v/>
      </c>
    </row>
    <row r="447">
      <c r="A447" s="3" t="inlineStr">
        <is>
          <t>1011701</t>
        </is>
      </c>
      <c r="B447" s="3" t="inlineStr">
        <is>
          <t>10117</t>
        </is>
      </c>
      <c r="C447" s="10" t="n">
        <v>45671.27049768518</v>
      </c>
      <c r="D447" s="10" t="n">
        <v>45671.27277777778</v>
      </c>
      <c r="E447" s="10" t="n">
        <v>45671.27891203704</v>
      </c>
      <c r="F447" s="10" t="n">
        <v>45671.28072916667</v>
      </c>
      <c r="G447" s="3" t="inlineStr">
        <is>
          <t>OBT140125064740-Wien Kledering</t>
        </is>
      </c>
      <c r="H447" s="10" t="n">
        <v>45671.28310185186</v>
      </c>
      <c r="I447" s="10" t="n">
        <v>45671.33553240741</v>
      </c>
      <c r="J447" s="10" t="n">
        <v>45671.33668981482</v>
      </c>
      <c r="K447" s="11">
        <f>IF(AND(ISNUMBER(D447),ISNUMBER(E447)),(E447-D447),"")</f>
        <v/>
      </c>
      <c r="L447" s="11">
        <f>IF(AND(ISNUMBER(F447),ISNUMBER(I447)),(I447-F447),"")</f>
        <v/>
      </c>
    </row>
    <row r="448">
      <c r="A448" s="3" t="inlineStr">
        <is>
          <t>1011801</t>
        </is>
      </c>
      <c r="B448" s="3" t="inlineStr">
        <is>
          <t>10118</t>
        </is>
      </c>
      <c r="C448" s="10" t="n">
        <v>45671.27636574074</v>
      </c>
      <c r="D448" s="10" t="n">
        <v>45671.27835648148</v>
      </c>
      <c r="E448" s="10" t="n">
        <v>45671.29083333333</v>
      </c>
      <c r="F448" s="10" t="n">
        <v>45671.29293981481</v>
      </c>
      <c r="G448" s="3" t="inlineStr">
        <is>
          <t>OBT140125070727-Neudörfl (FunderMax)</t>
        </is>
      </c>
      <c r="H448" s="10" t="n">
        <v>45671.29684027778</v>
      </c>
      <c r="I448" s="10" t="n">
        <v>45671.33109953703</v>
      </c>
      <c r="J448" s="10" t="n">
        <v>45671.3319212963</v>
      </c>
      <c r="K448" s="11">
        <f>IF(AND(ISNUMBER(D448),ISNUMBER(E448)),(E448-D448),"")</f>
        <v/>
      </c>
      <c r="L448" s="11">
        <f>IF(AND(ISNUMBER(F448),ISNUMBER(I448)),(I448-F448),"")</f>
        <v/>
      </c>
    </row>
    <row r="449">
      <c r="A449" s="3" t="inlineStr">
        <is>
          <t>1011802</t>
        </is>
      </c>
      <c r="B449" s="3" t="inlineStr">
        <is>
          <t>10118</t>
        </is>
      </c>
      <c r="C449" s="10" t="n">
        <v>45671.27636574074</v>
      </c>
      <c r="D449" s="10" t="n">
        <v>45671.27835648148</v>
      </c>
      <c r="E449" s="10" t="n">
        <v>45671.29293981481</v>
      </c>
      <c r="F449" s="10" t="n">
        <v>45671.29431712963</v>
      </c>
      <c r="G449" s="3" t="inlineStr">
        <is>
          <t>OBT140125070928-Pitten (Hamburger)</t>
        </is>
      </c>
      <c r="H449" s="10" t="n">
        <v>45671.29824074074</v>
      </c>
      <c r="I449" s="10" t="n">
        <v>45671.32670138889</v>
      </c>
      <c r="J449" s="10" t="n">
        <v>45671.32736111111</v>
      </c>
      <c r="K449" s="11">
        <f>IF(AND(ISNUMBER(D449),ISNUMBER(E449)),(E449-D449),"")</f>
        <v/>
      </c>
      <c r="L449" s="11">
        <f>IF(AND(ISNUMBER(F449),ISNUMBER(I449)),(I449-F449),"")</f>
        <v/>
      </c>
    </row>
    <row r="450">
      <c r="A450" s="3" t="inlineStr">
        <is>
          <t>1011803</t>
        </is>
      </c>
      <c r="B450" s="3" t="inlineStr">
        <is>
          <t>10118</t>
        </is>
      </c>
      <c r="C450" s="10" t="n">
        <v>45671.27636574074</v>
      </c>
      <c r="D450" s="10" t="n">
        <v>45671.27835648148</v>
      </c>
      <c r="E450" s="10" t="n">
        <v>45671.29431712963</v>
      </c>
      <c r="F450" s="10" t="n">
        <v>45671.29640046296</v>
      </c>
      <c r="G450" s="3" t="inlineStr">
        <is>
          <t>OBT140125101210-Wr. Neustadt (Hödlmayr)</t>
        </is>
      </c>
      <c r="H450" s="10" t="n">
        <v>45671.42511574074</v>
      </c>
      <c r="I450" s="10" t="n">
        <v>45671.46920138889</v>
      </c>
      <c r="J450" s="10" t="n">
        <v>45671.47013888889</v>
      </c>
      <c r="K450" s="11">
        <f>IF(AND(ISNUMBER(D450),ISNUMBER(E450)),(E450-D450),"")</f>
        <v/>
      </c>
      <c r="L450" s="11">
        <f>IF(AND(ISNUMBER(F450),ISNUMBER(I450)),(I450-F450),"")</f>
        <v/>
      </c>
    </row>
    <row r="451">
      <c r="A451" s="3" t="inlineStr">
        <is>
          <t>1011804</t>
        </is>
      </c>
      <c r="B451" s="3" t="inlineStr">
        <is>
          <t>10118</t>
        </is>
      </c>
      <c r="C451" s="10" t="n">
        <v>45671.27636574074</v>
      </c>
      <c r="D451" s="10" t="n">
        <v>45671.27835648148</v>
      </c>
      <c r="E451" s="10" t="n">
        <v>45671.29640046296</v>
      </c>
      <c r="F451" s="10" t="n">
        <v>45671.29811342592</v>
      </c>
      <c r="G451" s="3" t="inlineStr">
        <is>
          <t>OBT140125101947-Other sidings north</t>
        </is>
      </c>
      <c r="H451" s="10" t="n">
        <v>45671.43040509259</v>
      </c>
      <c r="I451" s="10" t="n">
        <v>45671.45730324074</v>
      </c>
      <c r="J451" s="10" t="n">
        <v>45671.45814814815</v>
      </c>
      <c r="K451" s="11">
        <f>IF(AND(ISNUMBER(D451),ISNUMBER(E451)),(E451-D451),"")</f>
        <v/>
      </c>
      <c r="L451" s="11">
        <f>IF(AND(ISNUMBER(F451),ISNUMBER(I451)),(I451-F451),"")</f>
        <v/>
      </c>
    </row>
    <row r="452">
      <c r="A452" s="3" t="inlineStr">
        <is>
          <t>1011805</t>
        </is>
      </c>
      <c r="B452" s="3" t="inlineStr">
        <is>
          <t>10118</t>
        </is>
      </c>
      <c r="C452" s="10" t="n">
        <v>45671.27636574074</v>
      </c>
      <c r="D452" s="10" t="n">
        <v>45671.27835648148</v>
      </c>
      <c r="E452" s="10" t="n">
        <v>45671.29811342592</v>
      </c>
      <c r="F452" s="10" t="n">
        <v>45671.29942129629</v>
      </c>
      <c r="G452" s="3" t="inlineStr">
        <is>
          <t>OBT140125181642-Ternitz (Schoeller-Bleckmann)</t>
        </is>
      </c>
      <c r="H452" s="10" t="n">
        <v>45671.76159722222</v>
      </c>
      <c r="I452" s="10" t="n">
        <v>45671.79472222222</v>
      </c>
      <c r="J452" s="10" t="n">
        <v>45671.79550925926</v>
      </c>
      <c r="K452" s="11">
        <f>IF(AND(ISNUMBER(D452),ISNUMBER(E452)),(E452-D452),"")</f>
        <v/>
      </c>
      <c r="L452" s="11">
        <f>IF(AND(ISNUMBER(F452),ISNUMBER(I452)),(I452-F452),"")</f>
        <v/>
      </c>
    </row>
    <row r="453">
      <c r="A453" s="3" t="inlineStr">
        <is>
          <t>1011806</t>
        </is>
      </c>
      <c r="B453" s="3" t="inlineStr">
        <is>
          <t>10118</t>
        </is>
      </c>
      <c r="C453" s="10" t="n">
        <v>45671.27636574074</v>
      </c>
      <c r="D453" s="10" t="n">
        <v>45671.27835648148</v>
      </c>
      <c r="E453" s="10" t="n">
        <v>45671.29942129629</v>
      </c>
      <c r="F453" s="10" t="n">
        <v>45671.30144675926</v>
      </c>
      <c r="G453" s="3" t="inlineStr">
        <is>
          <t>OBT140125101210-Wr. Neustadt (Hödlmayr)</t>
        </is>
      </c>
      <c r="H453" s="10" t="n">
        <v>45671.42511574074</v>
      </c>
      <c r="I453" s="10" t="n">
        <v>45671.46920138889</v>
      </c>
      <c r="J453" s="10" t="n">
        <v>45671.47013888889</v>
      </c>
      <c r="K453" s="11">
        <f>IF(AND(ISNUMBER(D453),ISNUMBER(E453)),(E453-D453),"")</f>
        <v/>
      </c>
      <c r="L453" s="11">
        <f>IF(AND(ISNUMBER(F453),ISNUMBER(I453)),(I453-F453),"")</f>
        <v/>
      </c>
    </row>
    <row r="454">
      <c r="A454" s="3" t="inlineStr">
        <is>
          <t>1011807</t>
        </is>
      </c>
      <c r="B454" s="3" t="inlineStr">
        <is>
          <t>10118</t>
        </is>
      </c>
      <c r="C454" s="10" t="n">
        <v>45671.27636574074</v>
      </c>
      <c r="D454" s="10" t="n">
        <v>45671.27835648148</v>
      </c>
      <c r="E454" s="10" t="n">
        <v>45671.30144675926</v>
      </c>
      <c r="F454" s="10" t="n">
        <v>45671.30319444444</v>
      </c>
      <c r="G454" s="3" t="inlineStr">
        <is>
          <t>OBT140125101947-Other sidings north</t>
        </is>
      </c>
      <c r="H454" s="10" t="n">
        <v>45671.43040509259</v>
      </c>
      <c r="I454" s="10" t="n">
        <v>45671.45730324074</v>
      </c>
      <c r="J454" s="10" t="n">
        <v>45671.45814814815</v>
      </c>
      <c r="K454" s="11">
        <f>IF(AND(ISNUMBER(D454),ISNUMBER(E454)),(E454-D454),"")</f>
        <v/>
      </c>
      <c r="L454" s="11">
        <f>IF(AND(ISNUMBER(F454),ISNUMBER(I454)),(I454-F454),"")</f>
        <v/>
      </c>
    </row>
    <row r="455">
      <c r="A455" s="3" t="inlineStr">
        <is>
          <t>1011901</t>
        </is>
      </c>
      <c r="B455" s="3" t="inlineStr">
        <is>
          <t>10119</t>
        </is>
      </c>
      <c r="C455" s="10" t="n">
        <v>45671.30534722222</v>
      </c>
      <c r="D455" s="10" t="n">
        <v>45671.30743055556</v>
      </c>
      <c r="E455" s="10" t="n">
        <v>45671.31271990741</v>
      </c>
      <c r="F455" s="10" t="n">
        <v>45671.31490740741</v>
      </c>
      <c r="G455" s="3" t="inlineStr">
        <is>
          <t>OBT140125075443-Wien Kledering</t>
        </is>
      </c>
      <c r="H455" s="10" t="n">
        <v>45671.32966435186</v>
      </c>
      <c r="I455" s="10" t="n">
        <v>45671.36844907407</v>
      </c>
      <c r="J455" s="10" t="n">
        <v>45671.36945601852</v>
      </c>
      <c r="K455" s="11">
        <f>IF(AND(ISNUMBER(D455),ISNUMBER(E455)),(E455-D455),"")</f>
        <v/>
      </c>
      <c r="L455" s="11">
        <f>IF(AND(ISNUMBER(F455),ISNUMBER(I455)),(I455-F455),"")</f>
        <v/>
      </c>
    </row>
    <row r="456">
      <c r="A456" s="3" t="inlineStr">
        <is>
          <t>1012001</t>
        </is>
      </c>
      <c r="B456" s="3" t="inlineStr">
        <is>
          <t>10120</t>
        </is>
      </c>
      <c r="C456" s="10" t="n">
        <v>45671.33368055556</v>
      </c>
      <c r="D456" s="10" t="n">
        <v>45671.33616898148</v>
      </c>
      <c r="E456" s="10" t="n">
        <v>45671.34260416667</v>
      </c>
      <c r="F456" s="10" t="n">
        <v>45671.34474537037</v>
      </c>
      <c r="G456" s="3" t="inlineStr">
        <is>
          <t>OBT140125081951-Wien Kledering</t>
        </is>
      </c>
      <c r="H456" s="10" t="n">
        <v>45671.34711805556</v>
      </c>
      <c r="I456" s="10" t="n">
        <v>45671.41565972222</v>
      </c>
      <c r="J456" s="10" t="n">
        <v>45671.41699074074</v>
      </c>
      <c r="K456" s="11">
        <f>IF(AND(ISNUMBER(D456),ISNUMBER(E456)),(E456-D456),"")</f>
        <v/>
      </c>
      <c r="L456" s="11">
        <f>IF(AND(ISNUMBER(F456),ISNUMBER(I456)),(I456-F456),"")</f>
        <v/>
      </c>
    </row>
    <row r="457">
      <c r="A457" s="3" t="inlineStr">
        <is>
          <t>1012201</t>
        </is>
      </c>
      <c r="B457" s="3" t="inlineStr">
        <is>
          <t>10122</t>
        </is>
      </c>
      <c r="C457" s="10" t="n">
        <v>45671.3781712963</v>
      </c>
      <c r="D457" s="10" t="n">
        <v>45671.3806712963</v>
      </c>
      <c r="E457" s="10" t="n">
        <v>45671.38922453704</v>
      </c>
      <c r="F457" s="10" t="n">
        <v>45671.39123842592</v>
      </c>
      <c r="G457" s="3" t="inlineStr">
        <is>
          <t>OBT140125093437-St. Veit an der Glan</t>
        </is>
      </c>
      <c r="H457" s="10" t="n">
        <v>45671.39903935185</v>
      </c>
      <c r="I457" s="10" t="n">
        <v>45671.42309027778</v>
      </c>
      <c r="J457" s="10" t="n">
        <v>45671.42376157407</v>
      </c>
      <c r="K457" s="11">
        <f>IF(AND(ISNUMBER(D457),ISNUMBER(E457)),(E457-D457),"")</f>
        <v/>
      </c>
      <c r="L457" s="11">
        <f>IF(AND(ISNUMBER(F457),ISNUMBER(I457)),(I457-F457),"")</f>
        <v/>
      </c>
    </row>
    <row r="458">
      <c r="A458" s="3" t="inlineStr">
        <is>
          <t>1012202</t>
        </is>
      </c>
      <c r="B458" s="3" t="inlineStr">
        <is>
          <t>10122</t>
        </is>
      </c>
      <c r="C458" s="10" t="n">
        <v>45671.3781712963</v>
      </c>
      <c r="D458" s="10" t="n">
        <v>45671.3806712963</v>
      </c>
      <c r="E458" s="10" t="n">
        <v>45671.39123842592</v>
      </c>
      <c r="F458" s="10" t="n">
        <v>45671.39342592593</v>
      </c>
      <c r="G458" s="3" t="inlineStr">
        <is>
          <t>OBT140125093209-Obereggendorf (Hofer)</t>
        </is>
      </c>
      <c r="H458" s="10" t="n">
        <v>45671.39732638889</v>
      </c>
      <c r="I458" s="10" t="n">
        <v>45671.45814814815</v>
      </c>
      <c r="J458" s="10" t="n">
        <v>45671.45953703704</v>
      </c>
      <c r="K458" s="11">
        <f>IF(AND(ISNUMBER(D458),ISNUMBER(E458)),(E458-D458),"")</f>
        <v/>
      </c>
      <c r="L458" s="11">
        <f>IF(AND(ISNUMBER(F458),ISNUMBER(I458)),(I458-F458),"")</f>
        <v/>
      </c>
    </row>
    <row r="459">
      <c r="A459" s="3" t="inlineStr">
        <is>
          <t>1012203</t>
        </is>
      </c>
      <c r="B459" s="3" t="inlineStr">
        <is>
          <t>10122</t>
        </is>
      </c>
      <c r="C459" s="10" t="n">
        <v>45671.3781712963</v>
      </c>
      <c r="D459" s="10" t="n">
        <v>45671.3806712963</v>
      </c>
      <c r="E459" s="10" t="n">
        <v>45671.39342592593</v>
      </c>
      <c r="F459" s="10" t="n">
        <v>45671.39546296297</v>
      </c>
      <c r="G459" s="3" t="inlineStr">
        <is>
          <t>OBT140125093437-St. Veit an der Glan</t>
        </is>
      </c>
      <c r="H459" s="10" t="n">
        <v>45671.39903935185</v>
      </c>
      <c r="I459" s="10" t="n">
        <v>45671.42309027778</v>
      </c>
      <c r="J459" s="10" t="n">
        <v>45671.42376157407</v>
      </c>
      <c r="K459" s="11">
        <f>IF(AND(ISNUMBER(D459),ISNUMBER(E459)),(E459-D459),"")</f>
        <v/>
      </c>
      <c r="L459" s="11">
        <f>IF(AND(ISNUMBER(F459),ISNUMBER(I459)),(I459-F459),"")</f>
        <v/>
      </c>
    </row>
    <row r="460">
      <c r="A460" s="3" t="inlineStr">
        <is>
          <t>1012101</t>
        </is>
      </c>
      <c r="B460" s="3" t="inlineStr">
        <is>
          <t>10121</t>
        </is>
      </c>
      <c r="C460" s="10" t="n">
        <v>45671.37503472222</v>
      </c>
      <c r="D460" s="10" t="n">
        <v>45671.37755787037</v>
      </c>
      <c r="E460" s="10" t="n">
        <v>45671.39833333333</v>
      </c>
      <c r="F460" s="10" t="n">
        <v>45671.40003472222</v>
      </c>
      <c r="G460" s="3" t="inlineStr">
        <is>
          <t>OBT140125101947-Other sidings north</t>
        </is>
      </c>
      <c r="H460" s="10" t="n">
        <v>45671.43040509259</v>
      </c>
      <c r="I460" s="10" t="n">
        <v>45671.45730324074</v>
      </c>
      <c r="J460" s="10" t="n">
        <v>45671.45814814815</v>
      </c>
      <c r="K460" s="11">
        <f>IF(AND(ISNUMBER(D460),ISNUMBER(E460)),(E460-D460),"")</f>
        <v/>
      </c>
      <c r="L460" s="11">
        <f>IF(AND(ISNUMBER(F460),ISNUMBER(I460)),(I460-F460),"")</f>
        <v/>
      </c>
    </row>
    <row r="461">
      <c r="A461" s="3" t="inlineStr">
        <is>
          <t>1012102</t>
        </is>
      </c>
      <c r="B461" s="3" t="inlineStr">
        <is>
          <t>10121</t>
        </is>
      </c>
      <c r="C461" s="10" t="n">
        <v>45671.37503472222</v>
      </c>
      <c r="D461" s="10" t="n">
        <v>45671.37755787037</v>
      </c>
      <c r="E461" s="10" t="n">
        <v>45671.40003472222</v>
      </c>
      <c r="F461" s="10" t="n">
        <v>45671.40118055556</v>
      </c>
      <c r="G461" s="3" t="inlineStr">
        <is>
          <t>OBT140125153802-Neudörfl (FunderMax)</t>
        </is>
      </c>
      <c r="H461" s="10" t="n">
        <v>45671.65141203703</v>
      </c>
      <c r="I461" s="10" t="n">
        <v>45671.69248842593</v>
      </c>
      <c r="J461" s="10" t="n">
        <v>45671.69326388889</v>
      </c>
      <c r="K461" s="11">
        <f>IF(AND(ISNUMBER(D461),ISNUMBER(E461)),(E461-D461),"")</f>
        <v/>
      </c>
      <c r="L461" s="11">
        <f>IF(AND(ISNUMBER(F461),ISNUMBER(I461)),(I461-F461),"")</f>
        <v/>
      </c>
    </row>
    <row r="462">
      <c r="A462" s="3" t="inlineStr">
        <is>
          <t>1012103</t>
        </is>
      </c>
      <c r="B462" s="3" t="inlineStr">
        <is>
          <t>10121</t>
        </is>
      </c>
      <c r="C462" s="10" t="n">
        <v>45671.37503472222</v>
      </c>
      <c r="D462" s="10" t="n">
        <v>45671.37755787037</v>
      </c>
      <c r="E462" s="10" t="n">
        <v>45671.40118055556</v>
      </c>
      <c r="F462" s="10" t="n">
        <v>45671.40309027778</v>
      </c>
      <c r="G462" s="3" t="inlineStr">
        <is>
          <t>OBT140125102839-Wr. Neustadt (Brenntag)</t>
        </is>
      </c>
      <c r="H462" s="10" t="n">
        <v>45671.4365625</v>
      </c>
      <c r="I462" s="10" t="n">
        <v>45671.47991898148</v>
      </c>
      <c r="J462" s="10" t="n">
        <v>45671.4805787037</v>
      </c>
      <c r="K462" s="11">
        <f>IF(AND(ISNUMBER(D462),ISNUMBER(E462)),(E462-D462),"")</f>
        <v/>
      </c>
      <c r="L462" s="11">
        <f>IF(AND(ISNUMBER(F462),ISNUMBER(I462)),(I462-F462),"")</f>
        <v/>
      </c>
    </row>
    <row r="463">
      <c r="A463" s="3" t="inlineStr">
        <is>
          <t>1012104</t>
        </is>
      </c>
      <c r="B463" s="3" t="inlineStr">
        <is>
          <t>10121</t>
        </is>
      </c>
      <c r="C463" s="10" t="n">
        <v>45671.37503472222</v>
      </c>
      <c r="D463" s="10" t="n">
        <v>45671.37755787037</v>
      </c>
      <c r="E463" s="10" t="n">
        <v>45671.40309027778</v>
      </c>
      <c r="F463" s="10" t="n">
        <v>45671.40530092592</v>
      </c>
      <c r="G463" s="3" t="inlineStr">
        <is>
          <t>OBT140125101210-Wr. Neustadt (Hödlmayr)</t>
        </is>
      </c>
      <c r="H463" s="10" t="n">
        <v>45671.42511574074</v>
      </c>
      <c r="I463" s="10" t="n">
        <v>45671.46920138889</v>
      </c>
      <c r="J463" s="10" t="n">
        <v>45671.47013888889</v>
      </c>
      <c r="K463" s="11">
        <f>IF(AND(ISNUMBER(D463),ISNUMBER(E463)),(E463-D463),"")</f>
        <v/>
      </c>
      <c r="L463" s="11">
        <f>IF(AND(ISNUMBER(F463),ISNUMBER(I463)),(I463-F463),"")</f>
        <v/>
      </c>
    </row>
    <row r="464">
      <c r="A464" s="3" t="inlineStr">
        <is>
          <t>1012105</t>
        </is>
      </c>
      <c r="B464" s="3" t="inlineStr">
        <is>
          <t>10121</t>
        </is>
      </c>
      <c r="C464" s="10" t="n">
        <v>45671.37503472222</v>
      </c>
      <c r="D464" s="10" t="n">
        <v>45671.37755787037</v>
      </c>
      <c r="E464" s="10" t="n">
        <v>45671.40530092592</v>
      </c>
      <c r="F464" s="10" t="n">
        <v>45671.40706018519</v>
      </c>
      <c r="G464" s="3" t="inlineStr">
        <is>
          <t>OBT150125024833-Neunkirchen (loading tracks)</t>
        </is>
      </c>
      <c r="H464" s="10" t="n">
        <v>45672.11704861111</v>
      </c>
      <c r="I464" s="10" t="n">
        <v>45672.15417824074</v>
      </c>
      <c r="J464" s="10" t="n">
        <v>45672.15517361111</v>
      </c>
      <c r="K464" s="11">
        <f>IF(AND(ISNUMBER(D464),ISNUMBER(E464)),(E464-D464),"")</f>
        <v/>
      </c>
      <c r="L464" s="11">
        <f>IF(AND(ISNUMBER(F464),ISNUMBER(I464)),(I464-F464),"")</f>
        <v/>
      </c>
    </row>
    <row r="465">
      <c r="A465" s="3" t="inlineStr">
        <is>
          <t>1012106</t>
        </is>
      </c>
      <c r="B465" s="3" t="inlineStr">
        <is>
          <t>10121</t>
        </is>
      </c>
      <c r="C465" s="10" t="n">
        <v>45671.37503472222</v>
      </c>
      <c r="D465" s="10" t="n">
        <v>45671.37755787037</v>
      </c>
      <c r="E465" s="10" t="n">
        <v>45671.40706018519</v>
      </c>
      <c r="F465" s="10" t="n">
        <v>45671.40898148148</v>
      </c>
      <c r="G465" s="3" t="inlineStr">
        <is>
          <t>OBT150125025656-Other sidings south</t>
        </is>
      </c>
      <c r="H465" s="10" t="n">
        <v>45672.12287037037</v>
      </c>
      <c r="I465" s="10" t="n">
        <v>45672.15517361111</v>
      </c>
      <c r="J465" s="10" t="n">
        <v>45672.15613425926</v>
      </c>
      <c r="K465" s="11">
        <f>IF(AND(ISNUMBER(D465),ISNUMBER(E465)),(E465-D465),"")</f>
        <v/>
      </c>
      <c r="L465" s="11">
        <f>IF(AND(ISNUMBER(F465),ISNUMBER(I465)),(I465-F465),"")</f>
        <v/>
      </c>
    </row>
    <row r="466">
      <c r="A466" s="3" t="inlineStr">
        <is>
          <t>1012107</t>
        </is>
      </c>
      <c r="B466" s="3" t="inlineStr">
        <is>
          <t>10121</t>
        </is>
      </c>
      <c r="C466" s="10" t="n">
        <v>45671.37503472222</v>
      </c>
      <c r="D466" s="10" t="n">
        <v>45671.37755787037</v>
      </c>
      <c r="E466" s="10" t="n">
        <v>45671.40898148148</v>
      </c>
      <c r="F466" s="10" t="n">
        <v>45671.41046296297</v>
      </c>
      <c r="G466" s="3" t="inlineStr">
        <is>
          <t>OBT140125153402-Felixdorf/Sollenau (Bundesheer, Maba)</t>
        </is>
      </c>
      <c r="H466" s="10" t="n">
        <v>45671.64863425926</v>
      </c>
      <c r="I466" s="10" t="n">
        <v>45671.6678125</v>
      </c>
      <c r="J466" s="10" t="n">
        <v>45671.66858796297</v>
      </c>
      <c r="K466" s="11">
        <f>IF(AND(ISNUMBER(D466),ISNUMBER(E466)),(E466-D466),"")</f>
        <v/>
      </c>
      <c r="L466" s="11">
        <f>IF(AND(ISNUMBER(F466),ISNUMBER(I466)),(I466-F466),"")</f>
        <v/>
      </c>
    </row>
    <row r="467">
      <c r="A467" s="3" t="inlineStr">
        <is>
          <t>1012108</t>
        </is>
      </c>
      <c r="B467" s="3" t="inlineStr">
        <is>
          <t>10121</t>
        </is>
      </c>
      <c r="C467" s="10" t="n">
        <v>45671.37503472222</v>
      </c>
      <c r="D467" s="10" t="n">
        <v>45671.37755787037</v>
      </c>
      <c r="E467" s="10" t="n">
        <v>45671.41046296297</v>
      </c>
      <c r="F467" s="10" t="n">
        <v>45671.41159722222</v>
      </c>
      <c r="G467" s="3" t="inlineStr">
        <is>
          <t>OBT140125153802-Neudörfl (FunderMax)</t>
        </is>
      </c>
      <c r="H467" s="10" t="n">
        <v>45671.65141203703</v>
      </c>
      <c r="I467" s="10" t="n">
        <v>45671.69248842593</v>
      </c>
      <c r="J467" s="10" t="n">
        <v>45671.69326388889</v>
      </c>
      <c r="K467" s="11">
        <f>IF(AND(ISNUMBER(D467),ISNUMBER(E467)),(E467-D467),"")</f>
        <v/>
      </c>
      <c r="L467" s="11">
        <f>IF(AND(ISNUMBER(F467),ISNUMBER(I467)),(I467-F467),"")</f>
        <v/>
      </c>
    </row>
    <row r="468">
      <c r="A468" s="3" t="inlineStr">
        <is>
          <t>1012109</t>
        </is>
      </c>
      <c r="B468" s="3" t="inlineStr">
        <is>
          <t>10121</t>
        </is>
      </c>
      <c r="C468" s="10" t="n">
        <v>45671.37503472222</v>
      </c>
      <c r="D468" s="10" t="n">
        <v>45671.37755787037</v>
      </c>
      <c r="E468" s="10" t="n">
        <v>45671.41159722222</v>
      </c>
      <c r="F468" s="10" t="n">
        <v>45671.41347222222</v>
      </c>
      <c r="G468" s="3" t="inlineStr">
        <is>
          <t>OBT140125102839-Wr. Neustadt (Brenntag)</t>
        </is>
      </c>
      <c r="H468" s="10" t="n">
        <v>45671.4365625</v>
      </c>
      <c r="I468" s="10" t="n">
        <v>45671.47991898148</v>
      </c>
      <c r="J468" s="10" t="n">
        <v>45671.4805787037</v>
      </c>
      <c r="K468" s="11">
        <f>IF(AND(ISNUMBER(D468),ISNUMBER(E468)),(E468-D468),"")</f>
        <v/>
      </c>
      <c r="L468" s="11">
        <f>IF(AND(ISNUMBER(F468),ISNUMBER(I468)),(I468-F468),"")</f>
        <v/>
      </c>
    </row>
    <row r="469">
      <c r="A469" s="3" t="inlineStr">
        <is>
          <t>1012110</t>
        </is>
      </c>
      <c r="B469" s="3" t="inlineStr">
        <is>
          <t>10121</t>
        </is>
      </c>
      <c r="C469" s="10" t="n">
        <v>45671.37503472222</v>
      </c>
      <c r="D469" s="10" t="n">
        <v>45671.37755787037</v>
      </c>
      <c r="E469" s="10" t="n">
        <v>45671.41347222222</v>
      </c>
      <c r="F469" s="10" t="n">
        <v>45671.41520833333</v>
      </c>
      <c r="G469" s="3" t="inlineStr">
        <is>
          <t>OBT140125101947-Other sidings north</t>
        </is>
      </c>
      <c r="H469" s="10" t="n">
        <v>45671.43040509259</v>
      </c>
      <c r="I469" s="10" t="n">
        <v>45671.45730324074</v>
      </c>
      <c r="J469" s="10" t="n">
        <v>45671.45814814815</v>
      </c>
      <c r="K469" s="11">
        <f>IF(AND(ISNUMBER(D469),ISNUMBER(E469)),(E469-D469),"")</f>
        <v/>
      </c>
      <c r="L469" s="11">
        <f>IF(AND(ISNUMBER(F469),ISNUMBER(I469)),(I469-F469),"")</f>
        <v/>
      </c>
    </row>
    <row r="470">
      <c r="A470" s="3" t="inlineStr">
        <is>
          <t>1012111</t>
        </is>
      </c>
      <c r="B470" s="3" t="inlineStr">
        <is>
          <t>10121</t>
        </is>
      </c>
      <c r="C470" s="10" t="n">
        <v>45671.37503472222</v>
      </c>
      <c r="D470" s="10" t="n">
        <v>45671.37755787037</v>
      </c>
      <c r="E470" s="10" t="n">
        <v>45671.41520833333</v>
      </c>
      <c r="F470" s="10" t="n">
        <v>45671.4169675926</v>
      </c>
      <c r="G470" s="3" t="inlineStr">
        <is>
          <t>OBT140125153639-Ebenfurth (beet loading)</t>
        </is>
      </c>
      <c r="H470" s="10" t="n">
        <v>45671.65045138889</v>
      </c>
      <c r="I470" s="10" t="n">
        <v>45671.67769675926</v>
      </c>
      <c r="J470" s="10" t="n">
        <v>45671.67856481481</v>
      </c>
      <c r="K470" s="11">
        <f>IF(AND(ISNUMBER(D470),ISNUMBER(E470)),(E470-D470),"")</f>
        <v/>
      </c>
      <c r="L470" s="11">
        <f>IF(AND(ISNUMBER(F470),ISNUMBER(I470)),(I470-F470),"")</f>
        <v/>
      </c>
    </row>
    <row r="471">
      <c r="A471" s="3" t="inlineStr">
        <is>
          <t>1012112</t>
        </is>
      </c>
      <c r="B471" s="3" t="inlineStr">
        <is>
          <t>10121</t>
        </is>
      </c>
      <c r="C471" s="10" t="n">
        <v>45671.37503472222</v>
      </c>
      <c r="D471" s="10" t="n">
        <v>45671.37755787037</v>
      </c>
      <c r="E471" s="10" t="n">
        <v>45671.4169675926</v>
      </c>
      <c r="F471" s="10" t="n">
        <v>45671.41883101852</v>
      </c>
      <c r="G471" s="3" t="inlineStr">
        <is>
          <t>OBT140125102734-Pitten (Hamburger)</t>
        </is>
      </c>
      <c r="H471" s="10" t="n">
        <v>45671.43581018518</v>
      </c>
      <c r="I471" s="10" t="n">
        <v>45671.57219907407</v>
      </c>
      <c r="J471" s="10" t="n">
        <v>45671.57418981481</v>
      </c>
      <c r="K471" s="11">
        <f>IF(AND(ISNUMBER(D471),ISNUMBER(E471)),(E471-D471),"")</f>
        <v/>
      </c>
      <c r="L471" s="11">
        <f>IF(AND(ISNUMBER(F471),ISNUMBER(I471)),(I471-F471),"")</f>
        <v/>
      </c>
    </row>
    <row r="472">
      <c r="A472" s="3" t="inlineStr">
        <is>
          <t>1012113</t>
        </is>
      </c>
      <c r="B472" s="3" t="inlineStr">
        <is>
          <t>10121</t>
        </is>
      </c>
      <c r="C472" s="10" t="n">
        <v>45671.37503472222</v>
      </c>
      <c r="D472" s="10" t="n">
        <v>45671.37755787037</v>
      </c>
      <c r="E472" s="10" t="n">
        <v>45671.41883101852</v>
      </c>
      <c r="F472" s="10" t="n">
        <v>45671.42071759259</v>
      </c>
      <c r="G472" s="3" t="inlineStr">
        <is>
          <t>OBT140125102839-Wr. Neustadt (Brenntag)</t>
        </is>
      </c>
      <c r="H472" s="10" t="n">
        <v>45671.4365625</v>
      </c>
      <c r="I472" s="10" t="n">
        <v>45671.47991898148</v>
      </c>
      <c r="J472" s="10" t="n">
        <v>45671.4805787037</v>
      </c>
      <c r="K472" s="11">
        <f>IF(AND(ISNUMBER(D472),ISNUMBER(E472)),(E472-D472),"")</f>
        <v/>
      </c>
      <c r="L472" s="11">
        <f>IF(AND(ISNUMBER(F472),ISNUMBER(I472)),(I472-F472),"")</f>
        <v/>
      </c>
    </row>
    <row r="473">
      <c r="A473" s="3" t="inlineStr">
        <is>
          <t>1012301</t>
        </is>
      </c>
      <c r="B473" s="3" t="inlineStr">
        <is>
          <t>10123</t>
        </is>
      </c>
      <c r="C473" s="10" t="n">
        <v>45671.40924768519</v>
      </c>
      <c r="D473" s="10" t="n">
        <v>45671.41185185185</v>
      </c>
      <c r="E473" s="10" t="n">
        <v>45671.42158564815</v>
      </c>
      <c r="F473" s="10" t="n">
        <v>45671.42310185185</v>
      </c>
      <c r="G473" s="3" t="inlineStr">
        <is>
          <t>OBT140125153402-Felixdorf/Sollenau (Bundesheer, Maba)</t>
        </is>
      </c>
      <c r="H473" s="10" t="n">
        <v>45671.64863425926</v>
      </c>
      <c r="I473" s="10" t="n">
        <v>45671.6678125</v>
      </c>
      <c r="J473" s="10" t="n">
        <v>45671.66858796297</v>
      </c>
      <c r="K473" s="11">
        <f>IF(AND(ISNUMBER(D473),ISNUMBER(E473)),(E473-D473),"")</f>
        <v/>
      </c>
      <c r="L473" s="11">
        <f>IF(AND(ISNUMBER(F473),ISNUMBER(I473)),(I473-F473),"")</f>
        <v/>
      </c>
    </row>
    <row r="474">
      <c r="A474" s="3" t="inlineStr">
        <is>
          <t>1012302</t>
        </is>
      </c>
      <c r="B474" s="3" t="inlineStr">
        <is>
          <t>10123</t>
        </is>
      </c>
      <c r="C474" s="10" t="n">
        <v>45671.40924768519</v>
      </c>
      <c r="D474" s="10" t="n">
        <v>45671.41185185185</v>
      </c>
      <c r="E474" s="10" t="n">
        <v>45671.42310185185</v>
      </c>
      <c r="F474" s="10" t="n">
        <v>45671.42541666667</v>
      </c>
      <c r="G474" s="3" t="inlineStr">
        <is>
          <t>OBT140125102734-Pitten (Hamburger)</t>
        </is>
      </c>
      <c r="H474" s="10" t="n">
        <v>45671.43581018518</v>
      </c>
      <c r="I474" s="10" t="n">
        <v>45671.57219907407</v>
      </c>
      <c r="J474" s="10" t="n">
        <v>45671.57418981481</v>
      </c>
      <c r="K474" s="11">
        <f>IF(AND(ISNUMBER(D474),ISNUMBER(E474)),(E474-D474),"")</f>
        <v/>
      </c>
      <c r="L474" s="11">
        <f>IF(AND(ISNUMBER(F474),ISNUMBER(I474)),(I474-F474),"")</f>
        <v/>
      </c>
    </row>
    <row r="475">
      <c r="A475" s="3" t="inlineStr">
        <is>
          <t>1012401</t>
        </is>
      </c>
      <c r="B475" s="3" t="inlineStr">
        <is>
          <t>10124</t>
        </is>
      </c>
      <c r="C475" s="10" t="n">
        <v>45671.5354050926</v>
      </c>
      <c r="D475" s="10" t="n">
        <v>45671.53768518518</v>
      </c>
      <c r="E475" s="10" t="n">
        <v>45671.54380787037</v>
      </c>
      <c r="F475" s="10" t="n">
        <v>45671.54584490741</v>
      </c>
      <c r="G475" s="3" t="inlineStr">
        <is>
          <t>OBT140125130928-Wien Kledering</t>
        </is>
      </c>
      <c r="H475" s="10" t="n">
        <v>45671.54824074074</v>
      </c>
      <c r="I475" s="10" t="n">
        <v>45671.60077546296</v>
      </c>
      <c r="J475" s="10" t="n">
        <v>45671.60194444445</v>
      </c>
      <c r="K475" s="11">
        <f>IF(AND(ISNUMBER(D475),ISNUMBER(E475)),(E475-D475),"")</f>
        <v/>
      </c>
      <c r="L475" s="11">
        <f>IF(AND(ISNUMBER(F475),ISNUMBER(I475)),(I475-F475),"")</f>
        <v/>
      </c>
    </row>
    <row r="476">
      <c r="A476" s="3" t="inlineStr">
        <is>
          <t>1012501</t>
        </is>
      </c>
      <c r="B476" s="3" t="inlineStr">
        <is>
          <t>10125</t>
        </is>
      </c>
      <c r="C476" s="10" t="n">
        <v>45671.59960648148</v>
      </c>
      <c r="D476" s="10" t="n">
        <v>45671.60172453704</v>
      </c>
      <c r="E476" s="10" t="n">
        <v>45671.60715277777</v>
      </c>
      <c r="F476" s="10" t="n">
        <v>45671.60902777778</v>
      </c>
      <c r="G476" s="3" t="inlineStr">
        <is>
          <t>OBT140125144027-Wien Kledering</t>
        </is>
      </c>
      <c r="H476" s="10" t="n">
        <v>45671.61142361111</v>
      </c>
      <c r="I476" s="10" t="n">
        <v>45671.65143518519</v>
      </c>
      <c r="J476" s="10" t="n">
        <v>45671.65244212963</v>
      </c>
      <c r="K476" s="11">
        <f>IF(AND(ISNUMBER(D476),ISNUMBER(E476)),(E476-D476),"")</f>
        <v/>
      </c>
      <c r="L476" s="11">
        <f>IF(AND(ISNUMBER(F476),ISNUMBER(I476)),(I476-F476),"")</f>
        <v/>
      </c>
    </row>
    <row r="477">
      <c r="A477" s="3" t="inlineStr">
        <is>
          <t>1012601</t>
        </is>
      </c>
      <c r="B477" s="3" t="inlineStr">
        <is>
          <t>10126</t>
        </is>
      </c>
      <c r="C477" s="10" t="n">
        <v>45671.61978009259</v>
      </c>
      <c r="D477" s="10" t="n">
        <v>45671.62229166667</v>
      </c>
      <c r="E477" s="10" t="n">
        <v>45671.64189814815</v>
      </c>
      <c r="F477" s="10" t="n">
        <v>45671.64315972223</v>
      </c>
      <c r="G477" s="3" t="inlineStr">
        <is>
          <t>OBT140125181642-Ternitz (Schoeller-Bleckmann)</t>
        </is>
      </c>
      <c r="H477" s="10" t="n">
        <v>45671.76159722222</v>
      </c>
      <c r="I477" s="10" t="n">
        <v>45671.79472222222</v>
      </c>
      <c r="J477" s="10" t="n">
        <v>45671.79550925926</v>
      </c>
      <c r="K477" s="11">
        <f>IF(AND(ISNUMBER(D477),ISNUMBER(E477)),(E477-D477),"")</f>
        <v/>
      </c>
      <c r="L477" s="11">
        <f>IF(AND(ISNUMBER(F477),ISNUMBER(I477)),(I477-F477),"")</f>
        <v/>
      </c>
    </row>
    <row r="478">
      <c r="A478" s="3" t="inlineStr">
        <is>
          <t>1012602</t>
        </is>
      </c>
      <c r="B478" s="3" t="inlineStr">
        <is>
          <t>10126</t>
        </is>
      </c>
      <c r="C478" s="10" t="n">
        <v>45671.61978009259</v>
      </c>
      <c r="D478" s="10" t="n">
        <v>45671.62229166667</v>
      </c>
      <c r="E478" s="10" t="n">
        <v>45671.64315972223</v>
      </c>
      <c r="F478" s="10" t="n">
        <v>45671.6447337963</v>
      </c>
      <c r="G478" s="3" t="inlineStr">
        <is>
          <t>OBT140125153402-Felixdorf/Sollenau (Bundesheer, Maba)</t>
        </is>
      </c>
      <c r="H478" s="10" t="n">
        <v>45671.64863425926</v>
      </c>
      <c r="I478" s="10" t="n">
        <v>45671.6678125</v>
      </c>
      <c r="J478" s="10" t="n">
        <v>45671.66858796297</v>
      </c>
      <c r="K478" s="11">
        <f>IF(AND(ISNUMBER(D478),ISNUMBER(E478)),(E478-D478),"")</f>
        <v/>
      </c>
      <c r="L478" s="11">
        <f>IF(AND(ISNUMBER(F478),ISNUMBER(I478)),(I478-F478),"")</f>
        <v/>
      </c>
    </row>
    <row r="479">
      <c r="A479" s="3" t="inlineStr">
        <is>
          <t>1012603</t>
        </is>
      </c>
      <c r="B479" s="3" t="inlineStr">
        <is>
          <t>10126</t>
        </is>
      </c>
      <c r="C479" s="10" t="n">
        <v>45671.61978009259</v>
      </c>
      <c r="D479" s="10" t="n">
        <v>45671.62229166667</v>
      </c>
      <c r="E479" s="10" t="n">
        <v>45671.6447337963</v>
      </c>
      <c r="F479" s="10" t="n">
        <v>45671.64652777778</v>
      </c>
      <c r="G479" s="3" t="inlineStr">
        <is>
          <t>OBT140125153639-Ebenfurth (beet loading)</t>
        </is>
      </c>
      <c r="H479" s="10" t="n">
        <v>45671.65045138889</v>
      </c>
      <c r="I479" s="10" t="n">
        <v>45671.67769675926</v>
      </c>
      <c r="J479" s="10" t="n">
        <v>45671.67856481481</v>
      </c>
      <c r="K479" s="11">
        <f>IF(AND(ISNUMBER(D479),ISNUMBER(E479)),(E479-D479),"")</f>
        <v/>
      </c>
      <c r="L479" s="11">
        <f>IF(AND(ISNUMBER(F479),ISNUMBER(I479)),(I479-F479),"")</f>
        <v/>
      </c>
    </row>
    <row r="480">
      <c r="A480" s="3" t="inlineStr">
        <is>
          <t>1012604</t>
        </is>
      </c>
      <c r="B480" s="3" t="inlineStr">
        <is>
          <t>10126</t>
        </is>
      </c>
      <c r="C480" s="10" t="n">
        <v>45671.61978009259</v>
      </c>
      <c r="D480" s="10" t="n">
        <v>45671.62229166667</v>
      </c>
      <c r="E480" s="10" t="n">
        <v>45671.64652777778</v>
      </c>
      <c r="F480" s="10" t="n">
        <v>45671.64784722222</v>
      </c>
      <c r="G480" s="3" t="inlineStr">
        <is>
          <t>OBT140125153802-Neudörfl (FunderMax)</t>
        </is>
      </c>
      <c r="H480" s="10" t="n">
        <v>45671.65141203703</v>
      </c>
      <c r="I480" s="10" t="n">
        <v>45671.69248842593</v>
      </c>
      <c r="J480" s="10" t="n">
        <v>45671.69326388889</v>
      </c>
      <c r="K480" s="11">
        <f>IF(AND(ISNUMBER(D480),ISNUMBER(E480)),(E480-D480),"")</f>
        <v/>
      </c>
      <c r="L480" s="11">
        <f>IF(AND(ISNUMBER(F480),ISNUMBER(I480)),(I480-F480),"")</f>
        <v/>
      </c>
    </row>
    <row r="481">
      <c r="A481" s="3" t="inlineStr">
        <is>
          <t>1012605</t>
        </is>
      </c>
      <c r="B481" s="3" t="inlineStr">
        <is>
          <t>10126</t>
        </is>
      </c>
      <c r="C481" s="10" t="n">
        <v>45671.61978009259</v>
      </c>
      <c r="D481" s="10" t="n">
        <v>45671.62229166667</v>
      </c>
      <c r="E481" s="10" t="n">
        <v>45671.64784722222</v>
      </c>
      <c r="F481" s="10" t="n">
        <v>45671.64973379629</v>
      </c>
      <c r="G481" s="3" t="inlineStr">
        <is>
          <t>OBT140125155553-Gloggnitz</t>
        </is>
      </c>
      <c r="H481" s="10" t="n">
        <v>45671.66380787037</v>
      </c>
      <c r="I481" s="10" t="n">
        <v>45671.70358796296</v>
      </c>
      <c r="J481" s="10" t="n">
        <v>45671.70430555556</v>
      </c>
      <c r="K481" s="11">
        <f>IF(AND(ISNUMBER(D481),ISNUMBER(E481)),(E481-D481),"")</f>
        <v/>
      </c>
      <c r="L481" s="11">
        <f>IF(AND(ISNUMBER(F481),ISNUMBER(I481)),(I481-F481),"")</f>
        <v/>
      </c>
    </row>
    <row r="482">
      <c r="A482" s="3" t="inlineStr">
        <is>
          <t>1012606</t>
        </is>
      </c>
      <c r="B482" s="3" t="inlineStr">
        <is>
          <t>10126</t>
        </is>
      </c>
      <c r="C482" s="10" t="n">
        <v>45671.61978009259</v>
      </c>
      <c r="D482" s="10" t="n">
        <v>45671.62229166667</v>
      </c>
      <c r="E482" s="10" t="n">
        <v>45671.64973379629</v>
      </c>
      <c r="F482" s="10" t="n">
        <v>45671.65131944444</v>
      </c>
      <c r="G482" s="3" t="inlineStr">
        <is>
          <t>OBT140125154219-Pitten (Hamburger)</t>
        </is>
      </c>
      <c r="H482" s="10" t="n">
        <v>45671.65438657408</v>
      </c>
      <c r="I482" s="10" t="n">
        <v>45671.69993055556</v>
      </c>
      <c r="J482" s="10" t="n">
        <v>45671.70074074074</v>
      </c>
      <c r="K482" s="11">
        <f>IF(AND(ISNUMBER(D482),ISNUMBER(E482)),(E482-D482),"")</f>
        <v/>
      </c>
      <c r="L482" s="11">
        <f>IF(AND(ISNUMBER(F482),ISNUMBER(I482)),(I482-F482),"")</f>
        <v/>
      </c>
    </row>
    <row r="483">
      <c r="A483" s="3" t="inlineStr">
        <is>
          <t>1012607</t>
        </is>
      </c>
      <c r="B483" s="3" t="inlineStr">
        <is>
          <t>10126</t>
        </is>
      </c>
      <c r="C483" s="10" t="n">
        <v>45671.61978009259</v>
      </c>
      <c r="D483" s="10" t="n">
        <v>45671.62229166667</v>
      </c>
      <c r="E483" s="10" t="n">
        <v>45671.65131944444</v>
      </c>
      <c r="F483" s="10" t="n">
        <v>45671.65322916667</v>
      </c>
      <c r="G483" s="3" t="inlineStr">
        <is>
          <t>OBT140125155553-Gloggnitz</t>
        </is>
      </c>
      <c r="H483" s="10" t="n">
        <v>45671.66380787037</v>
      </c>
      <c r="I483" s="10" t="n">
        <v>45671.70358796296</v>
      </c>
      <c r="J483" s="10" t="n">
        <v>45671.70430555556</v>
      </c>
      <c r="K483" s="11">
        <f>IF(AND(ISNUMBER(D483),ISNUMBER(E483)),(E483-D483),"")</f>
        <v/>
      </c>
      <c r="L483" s="11">
        <f>IF(AND(ISNUMBER(F483),ISNUMBER(I483)),(I483-F483),"")</f>
        <v/>
      </c>
    </row>
    <row r="484">
      <c r="A484" s="3" t="inlineStr">
        <is>
          <t>1012608</t>
        </is>
      </c>
      <c r="B484" s="3" t="inlineStr">
        <is>
          <t>10126</t>
        </is>
      </c>
      <c r="C484" s="10" t="n">
        <v>45671.61978009259</v>
      </c>
      <c r="D484" s="10" t="n">
        <v>45671.62229166667</v>
      </c>
      <c r="E484" s="10" t="n">
        <v>45671.65322916667</v>
      </c>
      <c r="F484" s="10" t="n">
        <v>45671.65449074074</v>
      </c>
      <c r="G484" s="3" t="inlineStr">
        <is>
          <t>OBT140125181642-Ternitz (Schoeller-Bleckmann)</t>
        </is>
      </c>
      <c r="H484" s="10" t="n">
        <v>45671.76159722222</v>
      </c>
      <c r="I484" s="10" t="n">
        <v>45671.79472222222</v>
      </c>
      <c r="J484" s="10" t="n">
        <v>45671.79550925926</v>
      </c>
      <c r="K484" s="11">
        <f>IF(AND(ISNUMBER(D484),ISNUMBER(E484)),(E484-D484),"")</f>
        <v/>
      </c>
      <c r="L484" s="11">
        <f>IF(AND(ISNUMBER(F484),ISNUMBER(I484)),(I484-F484),"")</f>
        <v/>
      </c>
    </row>
    <row r="485">
      <c r="A485" s="3" t="inlineStr">
        <is>
          <t>1012609</t>
        </is>
      </c>
      <c r="B485" s="3" t="inlineStr">
        <is>
          <t>10126</t>
        </is>
      </c>
      <c r="C485" s="10" t="n">
        <v>45671.61978009259</v>
      </c>
      <c r="D485" s="10" t="n">
        <v>45671.62229166667</v>
      </c>
      <c r="E485" s="10" t="n">
        <v>45671.65449074074</v>
      </c>
      <c r="F485" s="10" t="n">
        <v>45671.65637731482</v>
      </c>
      <c r="G485" s="3" t="inlineStr">
        <is>
          <t>OBT140125155553-Gloggnitz</t>
        </is>
      </c>
      <c r="H485" s="10" t="n">
        <v>45671.66380787037</v>
      </c>
      <c r="I485" s="10" t="n">
        <v>45671.70358796296</v>
      </c>
      <c r="J485" s="10" t="n">
        <v>45671.70430555556</v>
      </c>
      <c r="K485" s="11">
        <f>IF(AND(ISNUMBER(D485),ISNUMBER(E485)),(E485-D485),"")</f>
        <v/>
      </c>
      <c r="L485" s="11">
        <f>IF(AND(ISNUMBER(F485),ISNUMBER(I485)),(I485-F485),"")</f>
        <v/>
      </c>
    </row>
    <row r="486">
      <c r="A486" s="3" t="inlineStr">
        <is>
          <t>1012610</t>
        </is>
      </c>
      <c r="B486" s="3" t="inlineStr">
        <is>
          <t>10126</t>
        </is>
      </c>
      <c r="C486" s="10" t="n">
        <v>45671.61978009259</v>
      </c>
      <c r="D486" s="10" t="n">
        <v>45671.62229166667</v>
      </c>
      <c r="E486" s="10" t="n">
        <v>45671.65637731482</v>
      </c>
      <c r="F486" s="10" t="n">
        <v>45671.65841435185</v>
      </c>
      <c r="G486" s="3" t="inlineStr">
        <is>
          <t>OBT140125155553-Gloggnitz</t>
        </is>
      </c>
      <c r="H486" s="10" t="n">
        <v>45671.66380787037</v>
      </c>
      <c r="I486" s="10" t="n">
        <v>45671.70358796296</v>
      </c>
      <c r="J486" s="10" t="n">
        <v>45671.70430555556</v>
      </c>
      <c r="K486" s="11">
        <f>IF(AND(ISNUMBER(D486),ISNUMBER(E486)),(E486-D486),"")</f>
        <v/>
      </c>
      <c r="L486" s="11">
        <f>IF(AND(ISNUMBER(F486),ISNUMBER(I486)),(I486-F486),"")</f>
        <v/>
      </c>
    </row>
    <row r="487">
      <c r="A487" s="3" t="inlineStr">
        <is>
          <t>1012611</t>
        </is>
      </c>
      <c r="B487" s="3" t="inlineStr">
        <is>
          <t>10126</t>
        </is>
      </c>
      <c r="C487" s="10" t="n">
        <v>45671.61978009259</v>
      </c>
      <c r="D487" s="10" t="n">
        <v>45671.62229166667</v>
      </c>
      <c r="E487" s="10" t="n">
        <v>45671.65841435185</v>
      </c>
      <c r="F487" s="10" t="n">
        <v>45671.66046296297</v>
      </c>
      <c r="G487" s="3" t="inlineStr">
        <is>
          <t>OBT150125075736-Other sidings north</t>
        </is>
      </c>
      <c r="H487" s="10" t="n">
        <v>45672.33166666667</v>
      </c>
      <c r="I487" s="10" t="n">
        <v>45672.3644212963</v>
      </c>
      <c r="J487" s="10" t="n">
        <v>45672.36525462963</v>
      </c>
      <c r="K487" s="11">
        <f>IF(AND(ISNUMBER(D487),ISNUMBER(E487)),(E487-D487),"")</f>
        <v/>
      </c>
      <c r="L487" s="11">
        <f>IF(AND(ISNUMBER(F487),ISNUMBER(I487)),(I487-F487),"")</f>
        <v/>
      </c>
    </row>
    <row r="488">
      <c r="A488" s="3" t="inlineStr">
        <is>
          <t>1012701</t>
        </is>
      </c>
      <c r="B488" s="3" t="inlineStr">
        <is>
          <t>10127</t>
        </is>
      </c>
      <c r="C488" s="10" t="n">
        <v>45671.6440162037</v>
      </c>
      <c r="D488" s="10" t="n">
        <v>45671.64600694444</v>
      </c>
      <c r="E488" s="10" t="n">
        <v>45671.66133101852</v>
      </c>
      <c r="F488" s="10" t="n">
        <v>45671.66342592592</v>
      </c>
      <c r="G488" s="3" t="inlineStr">
        <is>
          <t>OBT140125160010-Wien Kledering</t>
        </is>
      </c>
      <c r="H488" s="10" t="n">
        <v>45671.66678240741</v>
      </c>
      <c r="I488" s="10" t="n">
        <v>45671.72424768518</v>
      </c>
      <c r="J488" s="10" t="n">
        <v>45671.72524305555</v>
      </c>
      <c r="K488" s="11">
        <f>IF(AND(ISNUMBER(D488),ISNUMBER(E488)),(E488-D488),"")</f>
        <v/>
      </c>
      <c r="L488" s="11">
        <f>IF(AND(ISNUMBER(F488),ISNUMBER(I488)),(I488-F488),"")</f>
        <v/>
      </c>
    </row>
    <row r="489">
      <c r="A489" s="3" t="inlineStr">
        <is>
          <t>1012801</t>
        </is>
      </c>
      <c r="B489" s="3" t="inlineStr">
        <is>
          <t>10128</t>
        </is>
      </c>
      <c r="C489" s="10" t="n">
        <v>45671.65216435185</v>
      </c>
      <c r="D489" s="10" t="n">
        <v>45671.65347222222</v>
      </c>
      <c r="E489" s="10" t="n">
        <v>45671.66429398148</v>
      </c>
      <c r="F489" s="10" t="n">
        <v>45671.66631944444</v>
      </c>
      <c r="G489" s="3" t="inlineStr">
        <is>
          <t>OBT140125180846-Wien Kledering</t>
        </is>
      </c>
      <c r="H489" s="10" t="n">
        <v>45671.75608796296</v>
      </c>
      <c r="I489" s="10" t="n">
        <v>45671.77498842592</v>
      </c>
      <c r="J489" s="10" t="n">
        <v>45671.77582175926</v>
      </c>
      <c r="K489" s="11">
        <f>IF(AND(ISNUMBER(D489),ISNUMBER(E489)),(E489-D489),"")</f>
        <v/>
      </c>
      <c r="L489" s="11">
        <f>IF(AND(ISNUMBER(F489),ISNUMBER(I489)),(I489-F489),"")</f>
        <v/>
      </c>
    </row>
    <row r="490">
      <c r="A490" s="3" t="inlineStr">
        <is>
          <t>1013001</t>
        </is>
      </c>
      <c r="B490" s="3" t="inlineStr">
        <is>
          <t>10130</t>
        </is>
      </c>
      <c r="C490" s="10" t="n">
        <v>45671.74459490741</v>
      </c>
      <c r="D490" s="10" t="n">
        <v>45671.74596064815</v>
      </c>
      <c r="E490" s="10" t="n">
        <v>45671.75010416667</v>
      </c>
      <c r="F490" s="10" t="n">
        <v>45671.7521875</v>
      </c>
      <c r="G490" s="3" t="inlineStr">
        <is>
          <t>OBT140125180846-Wien Kledering</t>
        </is>
      </c>
      <c r="H490" s="10" t="n">
        <v>45671.75608796296</v>
      </c>
      <c r="I490" s="10" t="n">
        <v>45671.77498842592</v>
      </c>
      <c r="J490" s="10" t="n">
        <v>45671.77582175926</v>
      </c>
      <c r="K490" s="11">
        <f>IF(AND(ISNUMBER(D490),ISNUMBER(E490)),(E490-D490),"")</f>
        <v/>
      </c>
      <c r="L490" s="11">
        <f>IF(AND(ISNUMBER(F490),ISNUMBER(I490)),(I490-F490),"")</f>
        <v/>
      </c>
    </row>
    <row r="491">
      <c r="A491" s="3" t="inlineStr">
        <is>
          <t>1012901</t>
        </is>
      </c>
      <c r="B491" s="3" t="inlineStr">
        <is>
          <t>10129</t>
        </is>
      </c>
      <c r="C491" s="10" t="n">
        <v>45671.73002314815</v>
      </c>
      <c r="D491" s="10" t="n">
        <v>45671.73274305555</v>
      </c>
      <c r="E491" s="10" t="n">
        <v>45671.75305555556</v>
      </c>
      <c r="F491" s="10" t="n">
        <v>45671.7550462963</v>
      </c>
      <c r="G491" s="3" t="inlineStr">
        <is>
          <t>OBT140125181252-Steinabrückl/Wöllersdorf</t>
        </is>
      </c>
      <c r="H491" s="10" t="n">
        <v>45671.75893518519</v>
      </c>
      <c r="I491" s="10" t="n">
        <v>45671.79834490741</v>
      </c>
      <c r="J491" s="10" t="n">
        <v>45671.79916666666</v>
      </c>
      <c r="K491" s="11">
        <f>IF(AND(ISNUMBER(D491),ISNUMBER(E491)),(E491-D491),"")</f>
        <v/>
      </c>
      <c r="L491" s="11">
        <f>IF(AND(ISNUMBER(F491),ISNUMBER(I491)),(I491-F491),"")</f>
        <v/>
      </c>
    </row>
    <row r="492">
      <c r="A492" s="3" t="inlineStr">
        <is>
          <t>1012902</t>
        </is>
      </c>
      <c r="B492" s="3" t="inlineStr">
        <is>
          <t>10129</t>
        </is>
      </c>
      <c r="C492" s="10" t="n">
        <v>45671.73002314815</v>
      </c>
      <c r="D492" s="10" t="n">
        <v>45671.73274305555</v>
      </c>
      <c r="E492" s="10" t="n">
        <v>45671.7550462963</v>
      </c>
      <c r="F492" s="10" t="n">
        <v>45671.75641203704</v>
      </c>
      <c r="G492" s="3" t="inlineStr">
        <is>
          <t>OBT140125181221-Wr. Neustadt (Hödlmayr)</t>
        </is>
      </c>
      <c r="H492" s="10" t="n">
        <v>45671.75857638889</v>
      </c>
      <c r="I492" s="10" t="n">
        <v>45671.77896990741</v>
      </c>
      <c r="J492" s="10" t="n">
        <v>45671.7796875</v>
      </c>
      <c r="K492" s="11">
        <f>IF(AND(ISNUMBER(D492),ISNUMBER(E492)),(E492-D492),"")</f>
        <v/>
      </c>
      <c r="L492" s="11">
        <f>IF(AND(ISNUMBER(F492),ISNUMBER(I492)),(I492-F492),"")</f>
        <v/>
      </c>
    </row>
    <row r="493">
      <c r="A493" s="3" t="inlineStr">
        <is>
          <t>1012903</t>
        </is>
      </c>
      <c r="B493" s="3" t="inlineStr">
        <is>
          <t>10129</t>
        </is>
      </c>
      <c r="C493" s="10" t="n">
        <v>45671.73002314815</v>
      </c>
      <c r="D493" s="10" t="n">
        <v>45671.73274305555</v>
      </c>
      <c r="E493" s="10" t="n">
        <v>45671.75641203704</v>
      </c>
      <c r="F493" s="10" t="n">
        <v>45671.75768518518</v>
      </c>
      <c r="G493" s="3" t="inlineStr">
        <is>
          <t>OBT140125181642-Ternitz (Schoeller-Bleckmann)</t>
        </is>
      </c>
      <c r="H493" s="10" t="n">
        <v>45671.76159722222</v>
      </c>
      <c r="I493" s="10" t="n">
        <v>45671.79472222222</v>
      </c>
      <c r="J493" s="10" t="n">
        <v>45671.79550925926</v>
      </c>
      <c r="K493" s="11">
        <f>IF(AND(ISNUMBER(D493),ISNUMBER(E493)),(E493-D493),"")</f>
        <v/>
      </c>
      <c r="L493" s="11">
        <f>IF(AND(ISNUMBER(F493),ISNUMBER(I493)),(I493-F493),"")</f>
        <v/>
      </c>
    </row>
    <row r="494">
      <c r="A494" s="3" t="inlineStr">
        <is>
          <t>1012904</t>
        </is>
      </c>
      <c r="B494" s="3" t="inlineStr">
        <is>
          <t>10129</t>
        </is>
      </c>
      <c r="C494" s="10" t="n">
        <v>45671.73002314815</v>
      </c>
      <c r="D494" s="10" t="n">
        <v>45671.73274305555</v>
      </c>
      <c r="E494" s="10" t="n">
        <v>45671.75768518518</v>
      </c>
      <c r="F494" s="10" t="n">
        <v>45671.75976851852</v>
      </c>
      <c r="G494" s="3" t="inlineStr">
        <is>
          <t>OBT150125075736-Other sidings north</t>
        </is>
      </c>
      <c r="H494" s="10" t="n">
        <v>45672.33166666667</v>
      </c>
      <c r="I494" s="10" t="n">
        <v>45672.3644212963</v>
      </c>
      <c r="J494" s="10" t="n">
        <v>45672.36525462963</v>
      </c>
      <c r="K494" s="11">
        <f>IF(AND(ISNUMBER(D494),ISNUMBER(E494)),(E494-D494),"")</f>
        <v/>
      </c>
      <c r="L494" s="11">
        <f>IF(AND(ISNUMBER(F494),ISNUMBER(I494)),(I494-F494),"")</f>
        <v/>
      </c>
    </row>
    <row r="495">
      <c r="A495" s="3" t="inlineStr">
        <is>
          <t>1012905</t>
        </is>
      </c>
      <c r="B495" s="3" t="inlineStr">
        <is>
          <t>10129</t>
        </is>
      </c>
      <c r="C495" s="10" t="n">
        <v>45671.73002314815</v>
      </c>
      <c r="D495" s="10" t="n">
        <v>45671.73274305555</v>
      </c>
      <c r="E495" s="10" t="n">
        <v>45671.75976851852</v>
      </c>
      <c r="F495" s="10" t="n">
        <v>45671.76105324074</v>
      </c>
      <c r="G495" s="3" t="inlineStr">
        <is>
          <t>OBT160125102340-Wr. Neustadt Ausfahrbf (Furtenbach)</t>
        </is>
      </c>
      <c r="H495" s="10" t="n">
        <v>45673.43310185185</v>
      </c>
      <c r="I495" s="10" t="n">
        <v>45673.59827546297</v>
      </c>
      <c r="J495" s="10" t="n">
        <v>45673.59943287037</v>
      </c>
      <c r="K495" s="11">
        <f>IF(AND(ISNUMBER(D495),ISNUMBER(E495)),(E495-D495),"")</f>
        <v/>
      </c>
      <c r="L495" s="11">
        <f>IF(AND(ISNUMBER(F495),ISNUMBER(I495)),(I495-F495),"")</f>
        <v/>
      </c>
    </row>
    <row r="496">
      <c r="A496" s="3" t="inlineStr">
        <is>
          <t>1012906</t>
        </is>
      </c>
      <c r="B496" s="3" t="inlineStr">
        <is>
          <t>10129</t>
        </is>
      </c>
      <c r="C496" s="10" t="n">
        <v>45671.73002314815</v>
      </c>
      <c r="D496" s="10" t="n">
        <v>45671.73274305555</v>
      </c>
      <c r="E496" s="10" t="n">
        <v>45671.76105324074</v>
      </c>
      <c r="F496" s="10" t="n">
        <v>45671.76297453704</v>
      </c>
      <c r="G496" s="3" t="inlineStr">
        <is>
          <t>OBT150125074216-Ebenfurth (beet loading)</t>
        </is>
      </c>
      <c r="H496" s="10" t="n">
        <v>45672.32101851852</v>
      </c>
      <c r="I496" s="10" t="n">
        <v>45672.34101851852</v>
      </c>
      <c r="J496" s="10" t="n">
        <v>45672.34166666667</v>
      </c>
      <c r="K496" s="11">
        <f>IF(AND(ISNUMBER(D496),ISNUMBER(E496)),(E496-D496),"")</f>
        <v/>
      </c>
      <c r="L496" s="11">
        <f>IF(AND(ISNUMBER(F496),ISNUMBER(I496)),(I496-F496),"")</f>
        <v/>
      </c>
    </row>
    <row r="497">
      <c r="A497" s="3" t="inlineStr">
        <is>
          <t>1012907</t>
        </is>
      </c>
      <c r="B497" s="3" t="inlineStr">
        <is>
          <t>10129</t>
        </is>
      </c>
      <c r="C497" s="10" t="n">
        <v>45671.73002314815</v>
      </c>
      <c r="D497" s="10" t="n">
        <v>45671.73274305555</v>
      </c>
      <c r="E497" s="10" t="n">
        <v>45671.76297453704</v>
      </c>
      <c r="F497" s="10" t="n">
        <v>45671.76478009259</v>
      </c>
      <c r="G497" s="3" t="inlineStr">
        <is>
          <t>OBT140125183542-Pitten (Hamburger)</t>
        </is>
      </c>
      <c r="H497" s="10" t="n">
        <v>45671.77479166666</v>
      </c>
      <c r="I497" s="10" t="n">
        <v>45671.81949074074</v>
      </c>
      <c r="J497" s="10" t="n">
        <v>45671.82039351852</v>
      </c>
      <c r="K497" s="11">
        <f>IF(AND(ISNUMBER(D497),ISNUMBER(E497)),(E497-D497),"")</f>
        <v/>
      </c>
      <c r="L497" s="11">
        <f>IF(AND(ISNUMBER(F497),ISNUMBER(I497)),(I497-F497),"")</f>
        <v/>
      </c>
    </row>
    <row r="498">
      <c r="A498" s="3" t="inlineStr">
        <is>
          <t>1012908</t>
        </is>
      </c>
      <c r="B498" s="3" t="inlineStr">
        <is>
          <t>10129</t>
        </is>
      </c>
      <c r="C498" s="10" t="n">
        <v>45671.73002314815</v>
      </c>
      <c r="D498" s="10" t="n">
        <v>45671.73274305555</v>
      </c>
      <c r="E498" s="10" t="n">
        <v>45671.76478009259</v>
      </c>
      <c r="F498" s="10" t="n">
        <v>45671.76675925926</v>
      </c>
      <c r="G498" s="3" t="inlineStr">
        <is>
          <t>OBT140125182854-Neudörfl (FunderMax)</t>
        </is>
      </c>
      <c r="H498" s="10" t="n">
        <v>45671.77006944444</v>
      </c>
      <c r="I498" s="10" t="n">
        <v>45671.8000462963</v>
      </c>
      <c r="J498" s="10" t="n">
        <v>45671.8008449074</v>
      </c>
      <c r="K498" s="11">
        <f>IF(AND(ISNUMBER(D498),ISNUMBER(E498)),(E498-D498),"")</f>
        <v/>
      </c>
      <c r="L498" s="11">
        <f>IF(AND(ISNUMBER(F498),ISNUMBER(I498)),(I498-F498),"")</f>
        <v/>
      </c>
    </row>
    <row r="499">
      <c r="A499" s="3" t="inlineStr">
        <is>
          <t>1012909</t>
        </is>
      </c>
      <c r="B499" s="3" t="inlineStr">
        <is>
          <t>10129</t>
        </is>
      </c>
      <c r="C499" s="10" t="n">
        <v>45671.73002314815</v>
      </c>
      <c r="D499" s="10" t="n">
        <v>45671.73274305555</v>
      </c>
      <c r="E499" s="10" t="n">
        <v>45671.76675925926</v>
      </c>
      <c r="F499" s="10" t="n">
        <v>45671.76826388889</v>
      </c>
      <c r="G499" s="3" t="inlineStr">
        <is>
          <t>OBT150125101800-Felixdorf/Sollenau (Bundesheer, Maba)</t>
        </is>
      </c>
      <c r="H499" s="10" t="n">
        <v>45672.42916666667</v>
      </c>
      <c r="I499" s="10" t="n">
        <v>45672.45079861111</v>
      </c>
      <c r="J499" s="10" t="n">
        <v>45672.45159722222</v>
      </c>
      <c r="K499" s="11">
        <f>IF(AND(ISNUMBER(D499),ISNUMBER(E499)),(E499-D499),"")</f>
        <v/>
      </c>
      <c r="L499" s="11">
        <f>IF(AND(ISNUMBER(F499),ISNUMBER(I499)),(I499-F499),"")</f>
        <v/>
      </c>
    </row>
    <row r="500">
      <c r="A500" s="3" t="inlineStr">
        <is>
          <t>1012910</t>
        </is>
      </c>
      <c r="B500" s="3" t="inlineStr">
        <is>
          <t>10129</t>
        </is>
      </c>
      <c r="C500" s="10" t="n">
        <v>45671.73002314815</v>
      </c>
      <c r="D500" s="10" t="n">
        <v>45671.73274305555</v>
      </c>
      <c r="E500" s="10" t="n">
        <v>45671.76826388889</v>
      </c>
      <c r="F500" s="10" t="n">
        <v>45671.77013888889</v>
      </c>
      <c r="G500" s="3" t="inlineStr">
        <is>
          <t>OBT140125183542-Pitten (Hamburger)</t>
        </is>
      </c>
      <c r="H500" s="10" t="n">
        <v>45671.77479166666</v>
      </c>
      <c r="I500" s="10" t="n">
        <v>45671.81949074074</v>
      </c>
      <c r="J500" s="10" t="n">
        <v>45671.82039351852</v>
      </c>
      <c r="K500" s="11">
        <f>IF(AND(ISNUMBER(D500),ISNUMBER(E500)),(E500-D500),"")</f>
        <v/>
      </c>
      <c r="L500" s="11">
        <f>IF(AND(ISNUMBER(F500),ISNUMBER(I500)),(I500-F500),"")</f>
        <v/>
      </c>
    </row>
    <row r="501">
      <c r="A501" s="3" t="inlineStr">
        <is>
          <t>1013101</t>
        </is>
      </c>
      <c r="B501" s="3" t="inlineStr">
        <is>
          <t>10131</t>
        </is>
      </c>
      <c r="C501" s="10" t="n">
        <v>45671.82476851852</v>
      </c>
      <c r="D501" s="10" t="n">
        <v>45671.82601851852</v>
      </c>
      <c r="E501" s="10" t="n">
        <v>45671.82981481482</v>
      </c>
      <c r="F501" s="10" t="n">
        <v>45671.83133101852</v>
      </c>
      <c r="G501" s="3" t="inlineStr">
        <is>
          <t>OBT150125064840-Wien Kledering</t>
        </is>
      </c>
      <c r="H501" s="10" t="n">
        <v>45672.28379629629</v>
      </c>
      <c r="I501" s="10" t="n">
        <v>45672.33913194444</v>
      </c>
      <c r="J501" s="10" t="n">
        <v>45672.34032407407</v>
      </c>
      <c r="K501" s="11">
        <f>IF(AND(ISNUMBER(D501),ISNUMBER(E501)),(E501-D501),"")</f>
        <v/>
      </c>
      <c r="L501" s="11">
        <f>IF(AND(ISNUMBER(F501),ISNUMBER(I501)),(I501-F501),"")</f>
        <v/>
      </c>
    </row>
    <row r="502">
      <c r="A502" s="3" t="inlineStr">
        <is>
          <t>1013201</t>
        </is>
      </c>
      <c r="B502" s="3" t="inlineStr">
        <is>
          <t>10132</t>
        </is>
      </c>
      <c r="C502" s="10" t="n">
        <v>45672.09983796296</v>
      </c>
      <c r="D502" s="10" t="n">
        <v>45672.10215277778</v>
      </c>
      <c r="E502" s="10" t="n">
        <v>45672.11107638889</v>
      </c>
      <c r="F502" s="10" t="n">
        <v>45672.11314814815</v>
      </c>
      <c r="G502" s="3" t="inlineStr">
        <is>
          <t>OBT150125024833-Neunkirchen (loading tracks)</t>
        </is>
      </c>
      <c r="H502" s="10" t="n">
        <v>45672.11704861111</v>
      </c>
      <c r="I502" s="10" t="n">
        <v>45672.15417824074</v>
      </c>
      <c r="J502" s="10" t="n">
        <v>45672.15517361111</v>
      </c>
      <c r="K502" s="11">
        <f>IF(AND(ISNUMBER(D502),ISNUMBER(E502)),(E502-D502),"")</f>
        <v/>
      </c>
      <c r="L502" s="11">
        <f>IF(AND(ISNUMBER(F502),ISNUMBER(I502)),(I502-F502),"")</f>
        <v/>
      </c>
    </row>
    <row r="503">
      <c r="A503" s="3" t="inlineStr">
        <is>
          <t>1013202</t>
        </is>
      </c>
      <c r="B503" s="3" t="inlineStr">
        <is>
          <t>10132</t>
        </is>
      </c>
      <c r="C503" s="10" t="n">
        <v>45672.09983796296</v>
      </c>
      <c r="D503" s="10" t="n">
        <v>45672.10215277778</v>
      </c>
      <c r="E503" s="10" t="n">
        <v>45672.11314814815</v>
      </c>
      <c r="F503" s="10" t="n">
        <v>45672.11512731481</v>
      </c>
      <c r="G503" s="3" t="inlineStr">
        <is>
          <t>OBT150125074216-Ebenfurth (beet loading)</t>
        </is>
      </c>
      <c r="H503" s="10" t="n">
        <v>45672.32101851852</v>
      </c>
      <c r="I503" s="10" t="n">
        <v>45672.34101851852</v>
      </c>
      <c r="J503" s="10" t="n">
        <v>45672.34166666667</v>
      </c>
      <c r="K503" s="11">
        <f>IF(AND(ISNUMBER(D503),ISNUMBER(E503)),(E503-D503),"")</f>
        <v/>
      </c>
      <c r="L503" s="11">
        <f>IF(AND(ISNUMBER(F503),ISNUMBER(I503)),(I503-F503),"")</f>
        <v/>
      </c>
    </row>
    <row r="504">
      <c r="A504" s="3" t="inlineStr">
        <is>
          <t>1013203</t>
        </is>
      </c>
      <c r="B504" s="3" t="inlineStr">
        <is>
          <t>10132</t>
        </is>
      </c>
      <c r="C504" s="10" t="n">
        <v>45672.09983796296</v>
      </c>
      <c r="D504" s="10" t="n">
        <v>45672.10215277778</v>
      </c>
      <c r="E504" s="10" t="n">
        <v>45672.11512731481</v>
      </c>
      <c r="F504" s="10" t="n">
        <v>45672.11685185185</v>
      </c>
      <c r="G504" s="3" t="inlineStr">
        <is>
          <t>OBT160125081022-Ternitz (Schoeller-Bleckmann)</t>
        </is>
      </c>
      <c r="H504" s="10" t="n">
        <v>45673.3405324074</v>
      </c>
      <c r="I504" s="10" t="n">
        <v>45673.36009259259</v>
      </c>
      <c r="J504" s="10" t="n">
        <v>45673.3609375</v>
      </c>
      <c r="K504" s="11">
        <f>IF(AND(ISNUMBER(D504),ISNUMBER(E504)),(E504-D504),"")</f>
        <v/>
      </c>
      <c r="L504" s="11">
        <f>IF(AND(ISNUMBER(F504),ISNUMBER(I504)),(I504-F504),"")</f>
        <v/>
      </c>
    </row>
    <row r="505">
      <c r="A505" s="3" t="inlineStr">
        <is>
          <t>1013204</t>
        </is>
      </c>
      <c r="B505" s="3" t="inlineStr">
        <is>
          <t>10132</t>
        </is>
      </c>
      <c r="C505" s="10" t="n">
        <v>45672.09983796296</v>
      </c>
      <c r="D505" s="10" t="n">
        <v>45672.10215277778</v>
      </c>
      <c r="E505" s="10" t="n">
        <v>45672.11685185185</v>
      </c>
      <c r="F505" s="10" t="n">
        <v>45672.11896990741</v>
      </c>
      <c r="G505" s="3" t="inlineStr">
        <is>
          <t>OBT150125025656-Other sidings south</t>
        </is>
      </c>
      <c r="H505" s="10" t="n">
        <v>45672.12287037037</v>
      </c>
      <c r="I505" s="10" t="n">
        <v>45672.15517361111</v>
      </c>
      <c r="J505" s="10" t="n">
        <v>45672.15613425926</v>
      </c>
      <c r="K505" s="11">
        <f>IF(AND(ISNUMBER(D505),ISNUMBER(E505)),(E505-D505),"")</f>
        <v/>
      </c>
      <c r="L505" s="11">
        <f>IF(AND(ISNUMBER(F505),ISNUMBER(I505)),(I505-F505),"")</f>
        <v/>
      </c>
    </row>
    <row r="506">
      <c r="A506" s="3" t="inlineStr">
        <is>
          <t>1013301</t>
        </is>
      </c>
      <c r="B506" s="3" t="inlineStr">
        <is>
          <t>10133</t>
        </is>
      </c>
      <c r="C506" s="10" t="n">
        <v>45672.19112268519</v>
      </c>
      <c r="D506" s="10" t="n">
        <v>45672.19392361111</v>
      </c>
      <c r="E506" s="10" t="n">
        <v>45672.20196759259</v>
      </c>
      <c r="F506" s="10" t="n">
        <v>45672.20488425926</v>
      </c>
      <c r="G506" s="3" t="inlineStr">
        <is>
          <t>OBT150125045827-Neudörfl (FunderMax)</t>
        </is>
      </c>
      <c r="H506" s="10" t="n">
        <v>45672.20725694444</v>
      </c>
      <c r="I506" s="10" t="n">
        <v>45672.2987037037</v>
      </c>
      <c r="J506" s="10" t="n">
        <v>45672.30045138889</v>
      </c>
      <c r="K506" s="11">
        <f>IF(AND(ISNUMBER(D506),ISNUMBER(E506)),(E506-D506),"")</f>
        <v/>
      </c>
      <c r="L506" s="11">
        <f>IF(AND(ISNUMBER(F506),ISNUMBER(I506)),(I506-F506),"")</f>
        <v/>
      </c>
    </row>
    <row r="507">
      <c r="A507" s="3" t="inlineStr">
        <is>
          <t>1013401</t>
        </is>
      </c>
      <c r="B507" s="3" t="inlineStr">
        <is>
          <t>10134</t>
        </is>
      </c>
      <c r="C507" s="10" t="n">
        <v>45672.26991898148</v>
      </c>
      <c r="D507" s="10" t="n">
        <v>45672.27219907408</v>
      </c>
      <c r="E507" s="10" t="n">
        <v>45672.27809027778</v>
      </c>
      <c r="F507" s="10" t="n">
        <v>45672.27989583334</v>
      </c>
      <c r="G507" s="3" t="inlineStr">
        <is>
          <t>OBT150125064840-Wien Kledering</t>
        </is>
      </c>
      <c r="H507" s="10" t="n">
        <v>45672.28379629629</v>
      </c>
      <c r="I507" s="10" t="n">
        <v>45672.33913194444</v>
      </c>
      <c r="J507" s="10" t="n">
        <v>45672.34032407407</v>
      </c>
      <c r="K507" s="11">
        <f>IF(AND(ISNUMBER(D507),ISNUMBER(E507)),(E507-D507),"")</f>
        <v/>
      </c>
      <c r="L507" s="11">
        <f>IF(AND(ISNUMBER(F507),ISNUMBER(I507)),(I507-F507),"")</f>
        <v/>
      </c>
    </row>
    <row r="508">
      <c r="A508" s="3" t="inlineStr">
        <is>
          <t>1013501</t>
        </is>
      </c>
      <c r="B508" s="3" t="inlineStr">
        <is>
          <t>10135</t>
        </is>
      </c>
      <c r="C508" s="10" t="n">
        <v>45672.29699074074</v>
      </c>
      <c r="D508" s="10" t="n">
        <v>45672.29952546296</v>
      </c>
      <c r="E508" s="10" t="n">
        <v>45672.31547453703</v>
      </c>
      <c r="F508" s="10" t="n">
        <v>45672.3174537037</v>
      </c>
      <c r="G508" s="3" t="inlineStr">
        <is>
          <t>OBT150125074216-Ebenfurth (beet loading)</t>
        </is>
      </c>
      <c r="H508" s="10" t="n">
        <v>45672.32101851852</v>
      </c>
      <c r="I508" s="10" t="n">
        <v>45672.34101851852</v>
      </c>
      <c r="J508" s="10" t="n">
        <v>45672.34166666667</v>
      </c>
      <c r="K508" s="11">
        <f>IF(AND(ISNUMBER(D508),ISNUMBER(E508)),(E508-D508),"")</f>
        <v/>
      </c>
      <c r="L508" s="11">
        <f>IF(AND(ISNUMBER(F508),ISNUMBER(I508)),(I508-F508),"")</f>
        <v/>
      </c>
    </row>
    <row r="509">
      <c r="A509" s="3" t="inlineStr">
        <is>
          <t>1013502</t>
        </is>
      </c>
      <c r="B509" s="3" t="inlineStr">
        <is>
          <t>10135</t>
        </is>
      </c>
      <c r="C509" s="10" t="n">
        <v>45672.29699074074</v>
      </c>
      <c r="D509" s="10" t="n">
        <v>45672.29952546296</v>
      </c>
      <c r="E509" s="10" t="n">
        <v>45672.3174537037</v>
      </c>
      <c r="F509" s="10" t="n">
        <v>45672.3194212963</v>
      </c>
      <c r="G509" s="3" t="inlineStr">
        <is>
          <t>OBT150125092356-Pitten (Hamburger)</t>
        </is>
      </c>
      <c r="H509" s="10" t="n">
        <v>45672.39162037037</v>
      </c>
      <c r="I509" s="10" t="n">
        <v>45672.41353009259</v>
      </c>
      <c r="J509" s="10" t="n">
        <v>45672.4143287037</v>
      </c>
      <c r="K509" s="11">
        <f>IF(AND(ISNUMBER(D509),ISNUMBER(E509)),(E509-D509),"")</f>
        <v/>
      </c>
      <c r="L509" s="11">
        <f>IF(AND(ISNUMBER(F509),ISNUMBER(I509)),(I509-F509),"")</f>
        <v/>
      </c>
    </row>
    <row r="510">
      <c r="A510" s="3" t="inlineStr">
        <is>
          <t>1013503</t>
        </is>
      </c>
      <c r="B510" s="3" t="inlineStr">
        <is>
          <t>10135</t>
        </is>
      </c>
      <c r="C510" s="10" t="n">
        <v>45672.29699074074</v>
      </c>
      <c r="D510" s="10" t="n">
        <v>45672.29952546296</v>
      </c>
      <c r="E510" s="10" t="n">
        <v>45672.3194212963</v>
      </c>
      <c r="F510" s="10" t="n">
        <v>45672.3212037037</v>
      </c>
      <c r="G510" s="3" t="inlineStr">
        <is>
          <t>OBT150125160356-Neudörfl (FunderMax)</t>
        </is>
      </c>
      <c r="H510" s="10" t="n">
        <v>45672.66939814815</v>
      </c>
      <c r="I510" s="10" t="n">
        <v>45672.71085648148</v>
      </c>
      <c r="J510" s="10" t="n">
        <v>45672.71188657408</v>
      </c>
      <c r="K510" s="11">
        <f>IF(AND(ISNUMBER(D510),ISNUMBER(E510)),(E510-D510),"")</f>
        <v/>
      </c>
      <c r="L510" s="11">
        <f>IF(AND(ISNUMBER(F510),ISNUMBER(I510)),(I510-F510),"")</f>
        <v/>
      </c>
    </row>
    <row r="511">
      <c r="A511" s="3" t="inlineStr">
        <is>
          <t>1013504</t>
        </is>
      </c>
      <c r="B511" s="3" t="inlineStr">
        <is>
          <t>10135</t>
        </is>
      </c>
      <c r="C511" s="10" t="n">
        <v>45672.29699074074</v>
      </c>
      <c r="D511" s="10" t="n">
        <v>45672.29952546296</v>
      </c>
      <c r="E511" s="10" t="n">
        <v>45672.3212037037</v>
      </c>
      <c r="F511" s="10" t="n">
        <v>45672.32291666666</v>
      </c>
      <c r="G511" s="3" t="inlineStr">
        <is>
          <t>OBT160125081022-Ternitz (Schoeller-Bleckmann)</t>
        </is>
      </c>
      <c r="H511" s="10" t="n">
        <v>45673.3405324074</v>
      </c>
      <c r="I511" s="10" t="n">
        <v>45673.36009259259</v>
      </c>
      <c r="J511" s="10" t="n">
        <v>45673.3609375</v>
      </c>
      <c r="K511" s="11">
        <f>IF(AND(ISNUMBER(D511),ISNUMBER(E511)),(E511-D511),"")</f>
        <v/>
      </c>
      <c r="L511" s="11">
        <f>IF(AND(ISNUMBER(F511),ISNUMBER(I511)),(I511-F511),"")</f>
        <v/>
      </c>
    </row>
    <row r="512">
      <c r="A512" s="3" t="inlineStr">
        <is>
          <t>1013505</t>
        </is>
      </c>
      <c r="B512" s="3" t="inlineStr">
        <is>
          <t>10135</t>
        </is>
      </c>
      <c r="C512" s="10" t="n">
        <v>45672.29699074074</v>
      </c>
      <c r="D512" s="10" t="n">
        <v>45672.29952546296</v>
      </c>
      <c r="E512" s="10" t="n">
        <v>45672.32291666666</v>
      </c>
      <c r="F512" s="10" t="n">
        <v>45672.32454861111</v>
      </c>
      <c r="G512" s="3" t="inlineStr">
        <is>
          <t>OBT150125182201-Neunkirchen (loading tracks)</t>
        </is>
      </c>
      <c r="H512" s="10" t="n">
        <v>45672.76528935185</v>
      </c>
      <c r="I512" s="10" t="n">
        <v>45672.79892361111</v>
      </c>
      <c r="J512" s="10" t="n">
        <v>45672.79980324074</v>
      </c>
      <c r="K512" s="11">
        <f>IF(AND(ISNUMBER(D512),ISNUMBER(E512)),(E512-D512),"")</f>
        <v/>
      </c>
      <c r="L512" s="11">
        <f>IF(AND(ISNUMBER(F512),ISNUMBER(I512)),(I512-F512),"")</f>
        <v/>
      </c>
    </row>
    <row r="513">
      <c r="A513" s="3" t="inlineStr">
        <is>
          <t>1013506</t>
        </is>
      </c>
      <c r="B513" s="3" t="inlineStr">
        <is>
          <t>10135</t>
        </is>
      </c>
      <c r="C513" s="10" t="n">
        <v>45672.29699074074</v>
      </c>
      <c r="D513" s="10" t="n">
        <v>45672.29952546296</v>
      </c>
      <c r="E513" s="10" t="n">
        <v>45672.32454861111</v>
      </c>
      <c r="F513" s="10" t="n">
        <v>45672.32596064815</v>
      </c>
      <c r="G513" s="3" t="inlineStr">
        <is>
          <t>OBT200125083327-Wr. Neustadt (Brenntag)</t>
        </is>
      </c>
      <c r="H513" s="10" t="n">
        <v>45677.3565625</v>
      </c>
      <c r="I513" s="10" t="n">
        <v>45677.74182870371</v>
      </c>
      <c r="J513" s="10" t="n">
        <v>45677.74260416667</v>
      </c>
      <c r="K513" s="11">
        <f>IF(AND(ISNUMBER(D513),ISNUMBER(E513)),(E513-D513),"")</f>
        <v/>
      </c>
      <c r="L513" s="11">
        <f>IF(AND(ISNUMBER(F513),ISNUMBER(I513)),(I513-F513),"")</f>
        <v/>
      </c>
    </row>
    <row r="514">
      <c r="A514" s="3" t="inlineStr">
        <is>
          <t>1013507</t>
        </is>
      </c>
      <c r="B514" s="3" t="inlineStr">
        <is>
          <t>10135</t>
        </is>
      </c>
      <c r="C514" s="10" t="n">
        <v>45672.29699074074</v>
      </c>
      <c r="D514" s="10" t="n">
        <v>45672.29952546296</v>
      </c>
      <c r="E514" s="10" t="n">
        <v>45672.32596064815</v>
      </c>
      <c r="F514" s="10" t="n">
        <v>45672.32810185185</v>
      </c>
      <c r="G514" s="3" t="inlineStr">
        <is>
          <t>OBT150125075736-Other sidings north</t>
        </is>
      </c>
      <c r="H514" s="10" t="n">
        <v>45672.33166666667</v>
      </c>
      <c r="I514" s="10" t="n">
        <v>45672.3644212963</v>
      </c>
      <c r="J514" s="10" t="n">
        <v>45672.36525462963</v>
      </c>
      <c r="K514" s="11">
        <f>IF(AND(ISNUMBER(D514),ISNUMBER(E514)),(E514-D514),"")</f>
        <v/>
      </c>
      <c r="L514" s="11">
        <f>IF(AND(ISNUMBER(F514),ISNUMBER(I514)),(I514-F514),"")</f>
        <v/>
      </c>
    </row>
    <row r="515">
      <c r="A515" s="3" t="inlineStr">
        <is>
          <t>1013508</t>
        </is>
      </c>
      <c r="B515" s="3" t="inlineStr">
        <is>
          <t>10135</t>
        </is>
      </c>
      <c r="C515" s="10" t="n">
        <v>45672.29699074074</v>
      </c>
      <c r="D515" s="10" t="n">
        <v>45672.29952546296</v>
      </c>
      <c r="E515" s="10" t="n">
        <v>45672.32810185185</v>
      </c>
      <c r="F515" s="10" t="n">
        <v>45672.33016203704</v>
      </c>
      <c r="G515" s="3" t="inlineStr">
        <is>
          <t>OBT150125092356-Pitten (Hamburger)</t>
        </is>
      </c>
      <c r="H515" s="10" t="n">
        <v>45672.39162037037</v>
      </c>
      <c r="I515" s="10" t="n">
        <v>45672.41353009259</v>
      </c>
      <c r="J515" s="10" t="n">
        <v>45672.4143287037</v>
      </c>
      <c r="K515" s="11">
        <f>IF(AND(ISNUMBER(D515),ISNUMBER(E515)),(E515-D515),"")</f>
        <v/>
      </c>
      <c r="L515" s="11">
        <f>IF(AND(ISNUMBER(F515),ISNUMBER(I515)),(I515-F515),"")</f>
        <v/>
      </c>
    </row>
    <row r="516">
      <c r="A516" s="3" t="inlineStr">
        <is>
          <t>1013509</t>
        </is>
      </c>
      <c r="B516" s="3" t="inlineStr">
        <is>
          <t>10135</t>
        </is>
      </c>
      <c r="C516" s="10" t="n">
        <v>45672.29699074074</v>
      </c>
      <c r="D516" s="10" t="n">
        <v>45672.29952546296</v>
      </c>
      <c r="E516" s="10" t="n">
        <v>45672.33016203704</v>
      </c>
      <c r="F516" s="10" t="n">
        <v>45672.33166666667</v>
      </c>
      <c r="G516" s="3" t="inlineStr">
        <is>
          <t>OBT150125080153-Wr. Neustadt (Hödlmayr)</t>
        </is>
      </c>
      <c r="H516" s="10" t="n">
        <v>45672.33464120371</v>
      </c>
      <c r="I516" s="10" t="n">
        <v>45672.35961805555</v>
      </c>
      <c r="J516" s="10" t="n">
        <v>45672.36041666667</v>
      </c>
      <c r="K516" s="11">
        <f>IF(AND(ISNUMBER(D516),ISNUMBER(E516)),(E516-D516),"")</f>
        <v/>
      </c>
      <c r="L516" s="11">
        <f>IF(AND(ISNUMBER(F516),ISNUMBER(I516)),(I516-F516),"")</f>
        <v/>
      </c>
    </row>
    <row r="517">
      <c r="A517" s="3" t="inlineStr">
        <is>
          <t>1013601</t>
        </is>
      </c>
      <c r="B517" s="3" t="inlineStr">
        <is>
          <t>10136</t>
        </is>
      </c>
      <c r="C517" s="10" t="n">
        <v>45672.31155092592</v>
      </c>
      <c r="D517" s="10" t="n">
        <v>45672.31329861111</v>
      </c>
      <c r="E517" s="10" t="n">
        <v>45672.3325462963</v>
      </c>
      <c r="F517" s="10" t="n">
        <v>45672.33482638889</v>
      </c>
      <c r="G517" s="3" t="inlineStr">
        <is>
          <t>OBT150125080609-Wien Kledering</t>
        </is>
      </c>
      <c r="H517" s="10" t="n">
        <v>45672.33760416666</v>
      </c>
      <c r="I517" s="10" t="n">
        <v>45672.38737268518</v>
      </c>
      <c r="J517" s="10" t="n">
        <v>45672.38850694444</v>
      </c>
      <c r="K517" s="11">
        <f>IF(AND(ISNUMBER(D517),ISNUMBER(E517)),(E517-D517),"")</f>
        <v/>
      </c>
      <c r="L517" s="11">
        <f>IF(AND(ISNUMBER(F517),ISNUMBER(I517)),(I517-F517),"")</f>
        <v/>
      </c>
    </row>
    <row r="518">
      <c r="A518" s="3" t="inlineStr">
        <is>
          <t>1013701</t>
        </is>
      </c>
      <c r="B518" s="3" t="inlineStr">
        <is>
          <t>10137</t>
        </is>
      </c>
      <c r="C518" s="10" t="n">
        <v>45672.33540509259</v>
      </c>
      <c r="D518" s="10" t="n">
        <v>45672.33785879629</v>
      </c>
      <c r="E518" s="10" t="n">
        <v>45672.34431712963</v>
      </c>
      <c r="F518" s="10" t="n">
        <v>45672.34710648148</v>
      </c>
      <c r="G518" s="3" t="inlineStr">
        <is>
          <t>OBT150125084204-Wien Kledering</t>
        </is>
      </c>
      <c r="H518" s="10" t="n">
        <v>45672.3625462963</v>
      </c>
      <c r="I518" s="10" t="n">
        <v>45672.42913194445</v>
      </c>
      <c r="J518" s="10" t="n">
        <v>45672.43053240741</v>
      </c>
      <c r="K518" s="11">
        <f>IF(AND(ISNUMBER(D518),ISNUMBER(E518)),(E518-D518),"")</f>
        <v/>
      </c>
      <c r="L518" s="11">
        <f>IF(AND(ISNUMBER(F518),ISNUMBER(I518)),(I518-F518),"")</f>
        <v/>
      </c>
    </row>
    <row r="519">
      <c r="A519" s="3" t="inlineStr">
        <is>
          <t>1013801</t>
        </is>
      </c>
      <c r="B519" s="3" t="inlineStr">
        <is>
          <t>10138</t>
        </is>
      </c>
      <c r="C519" s="10" t="n">
        <v>45672.37032407407</v>
      </c>
      <c r="D519" s="10" t="n">
        <v>45672.37258101852</v>
      </c>
      <c r="E519" s="10" t="n">
        <v>45672.38576388889</v>
      </c>
      <c r="F519" s="10" t="n">
        <v>45672.38773148148</v>
      </c>
      <c r="G519" s="3" t="inlineStr">
        <is>
          <t>OBT150125092356-Pitten (Hamburger)</t>
        </is>
      </c>
      <c r="H519" s="10" t="n">
        <v>45672.39162037037</v>
      </c>
      <c r="I519" s="10" t="n">
        <v>45672.41353009259</v>
      </c>
      <c r="J519" s="10" t="n">
        <v>45672.4143287037</v>
      </c>
      <c r="K519" s="11">
        <f>IF(AND(ISNUMBER(D519),ISNUMBER(E519)),(E519-D519),"")</f>
        <v/>
      </c>
      <c r="L519" s="11">
        <f>IF(AND(ISNUMBER(F519),ISNUMBER(I519)),(I519-F519),"")</f>
        <v/>
      </c>
    </row>
    <row r="520">
      <c r="A520" s="3" t="inlineStr">
        <is>
          <t>1013802</t>
        </is>
      </c>
      <c r="B520" s="3" t="inlineStr">
        <is>
          <t>10138</t>
        </is>
      </c>
      <c r="C520" s="10" t="n">
        <v>45672.37032407407</v>
      </c>
      <c r="D520" s="10" t="n">
        <v>45672.37258101852</v>
      </c>
      <c r="E520" s="10" t="n">
        <v>45672.38773148148</v>
      </c>
      <c r="F520" s="10" t="n">
        <v>45672.38935185185</v>
      </c>
      <c r="G520" s="3" t="inlineStr">
        <is>
          <t>OBT150125182201-Neunkirchen (loading tracks)</t>
        </is>
      </c>
      <c r="H520" s="10" t="n">
        <v>45672.76528935185</v>
      </c>
      <c r="I520" s="10" t="n">
        <v>45672.79892361111</v>
      </c>
      <c r="J520" s="10" t="n">
        <v>45672.79980324074</v>
      </c>
      <c r="K520" s="11">
        <f>IF(AND(ISNUMBER(D520),ISNUMBER(E520)),(E520-D520),"")</f>
        <v/>
      </c>
      <c r="L520" s="11">
        <f>IF(AND(ISNUMBER(F520),ISNUMBER(I520)),(I520-F520),"")</f>
        <v/>
      </c>
    </row>
    <row r="521">
      <c r="A521" s="3" t="inlineStr">
        <is>
          <t>1013803</t>
        </is>
      </c>
      <c r="B521" s="3" t="inlineStr">
        <is>
          <t>10138</t>
        </is>
      </c>
      <c r="C521" s="10" t="n">
        <v>45672.37032407407</v>
      </c>
      <c r="D521" s="10" t="n">
        <v>45672.37258101852</v>
      </c>
      <c r="E521" s="10" t="n">
        <v>45672.38935185185</v>
      </c>
      <c r="F521" s="10" t="n">
        <v>45672.39052083333</v>
      </c>
      <c r="G521" s="3" t="inlineStr">
        <is>
          <t>OBT150125155826-Other sidings north</t>
        </is>
      </c>
      <c r="H521" s="10" t="n">
        <v>45672.6655787037</v>
      </c>
      <c r="I521" s="10" t="n">
        <v>45672.68505787037</v>
      </c>
      <c r="J521" s="10" t="n">
        <v>45672.68575231481</v>
      </c>
      <c r="K521" s="11">
        <f>IF(AND(ISNUMBER(D521),ISNUMBER(E521)),(E521-D521),"")</f>
        <v/>
      </c>
      <c r="L521" s="11">
        <f>IF(AND(ISNUMBER(F521),ISNUMBER(I521)),(I521-F521),"")</f>
        <v/>
      </c>
    </row>
    <row r="522">
      <c r="A522" s="3" t="inlineStr">
        <is>
          <t>1013804</t>
        </is>
      </c>
      <c r="B522" s="3" t="inlineStr">
        <is>
          <t>10138</t>
        </is>
      </c>
      <c r="C522" s="10" t="n">
        <v>45672.37032407407</v>
      </c>
      <c r="D522" s="10" t="n">
        <v>45672.37258101852</v>
      </c>
      <c r="E522" s="10" t="n">
        <v>45672.39052083333</v>
      </c>
      <c r="F522" s="10" t="n">
        <v>45672.39234953704</v>
      </c>
      <c r="G522" s="3" t="inlineStr">
        <is>
          <t>OBT150125160356-Neudörfl (FunderMax)</t>
        </is>
      </c>
      <c r="H522" s="10" t="n">
        <v>45672.66939814815</v>
      </c>
      <c r="I522" s="10" t="n">
        <v>45672.71085648148</v>
      </c>
      <c r="J522" s="10" t="n">
        <v>45672.71188657408</v>
      </c>
      <c r="K522" s="11">
        <f>IF(AND(ISNUMBER(D522),ISNUMBER(E522)),(E522-D522),"")</f>
        <v/>
      </c>
      <c r="L522" s="11">
        <f>IF(AND(ISNUMBER(F522),ISNUMBER(I522)),(I522-F522),"")</f>
        <v/>
      </c>
    </row>
    <row r="523">
      <c r="A523" s="3" t="inlineStr">
        <is>
          <t>1013805</t>
        </is>
      </c>
      <c r="B523" s="3" t="inlineStr">
        <is>
          <t>10138</t>
        </is>
      </c>
      <c r="C523" s="10" t="n">
        <v>45672.37032407407</v>
      </c>
      <c r="D523" s="10" t="n">
        <v>45672.37258101852</v>
      </c>
      <c r="E523" s="10" t="n">
        <v>45672.39234953704</v>
      </c>
      <c r="F523" s="10" t="n">
        <v>45672.39354166666</v>
      </c>
      <c r="G523" s="3" t="inlineStr">
        <is>
          <t>OBT150125155826-Other sidings north</t>
        </is>
      </c>
      <c r="H523" s="10" t="n">
        <v>45672.6655787037</v>
      </c>
      <c r="I523" s="10" t="n">
        <v>45672.68505787037</v>
      </c>
      <c r="J523" s="10" t="n">
        <v>45672.68575231481</v>
      </c>
      <c r="K523" s="11">
        <f>IF(AND(ISNUMBER(D523),ISNUMBER(E523)),(E523-D523),"")</f>
        <v/>
      </c>
      <c r="L523" s="11">
        <f>IF(AND(ISNUMBER(F523),ISNUMBER(I523)),(I523-F523),"")</f>
        <v/>
      </c>
    </row>
    <row r="524">
      <c r="A524" s="3" t="inlineStr">
        <is>
          <t>1013806</t>
        </is>
      </c>
      <c r="B524" s="3" t="inlineStr">
        <is>
          <t>10138</t>
        </is>
      </c>
      <c r="C524" s="10" t="n">
        <v>45672.37032407407</v>
      </c>
      <c r="D524" s="10" t="n">
        <v>45672.37258101852</v>
      </c>
      <c r="E524" s="10" t="n">
        <v>45672.39354166666</v>
      </c>
      <c r="F524" s="10" t="n">
        <v>45672.39556712963</v>
      </c>
      <c r="G524" s="3" t="inlineStr">
        <is>
          <t>OBT150125183815-Ebenfurth (beet loading)</t>
        </is>
      </c>
      <c r="H524" s="10" t="n">
        <v>45672.7765625</v>
      </c>
      <c r="I524" s="10" t="n">
        <v>45672.80800925926</v>
      </c>
      <c r="J524" s="10" t="n">
        <v>45672.80869212963</v>
      </c>
      <c r="K524" s="11">
        <f>IF(AND(ISNUMBER(D524),ISNUMBER(E524)),(E524-D524),"")</f>
        <v/>
      </c>
      <c r="L524" s="11">
        <f>IF(AND(ISNUMBER(F524),ISNUMBER(I524)),(I524-F524),"")</f>
        <v/>
      </c>
    </row>
    <row r="525">
      <c r="A525" s="3" t="inlineStr">
        <is>
          <t>1013807</t>
        </is>
      </c>
      <c r="B525" s="3" t="inlineStr">
        <is>
          <t>10138</t>
        </is>
      </c>
      <c r="C525" s="10" t="n">
        <v>45672.37032407407</v>
      </c>
      <c r="D525" s="10" t="n">
        <v>45672.37258101852</v>
      </c>
      <c r="E525" s="10" t="n">
        <v>45672.39556712963</v>
      </c>
      <c r="F525" s="10" t="n">
        <v>45672.39768518518</v>
      </c>
      <c r="G525" s="3" t="inlineStr">
        <is>
          <t>OBT150125154642-Wr. Neustadt (Hödlmayr)</t>
        </is>
      </c>
      <c r="H525" s="10" t="n">
        <v>45672.65743055556</v>
      </c>
      <c r="I525" s="10" t="n">
        <v>45672.69111111111</v>
      </c>
      <c r="J525" s="10" t="n">
        <v>45672.69204861111</v>
      </c>
      <c r="K525" s="11">
        <f>IF(AND(ISNUMBER(D525),ISNUMBER(E525)),(E525-D525),"")</f>
        <v/>
      </c>
      <c r="L525" s="11">
        <f>IF(AND(ISNUMBER(F525),ISNUMBER(I525)),(I525-F525),"")</f>
        <v/>
      </c>
    </row>
    <row r="526">
      <c r="A526" s="3" t="inlineStr">
        <is>
          <t>1013808</t>
        </is>
      </c>
      <c r="B526" s="3" t="inlineStr">
        <is>
          <t>10138</t>
        </is>
      </c>
      <c r="C526" s="10" t="n">
        <v>45672.37032407407</v>
      </c>
      <c r="D526" s="10" t="n">
        <v>45672.37258101852</v>
      </c>
      <c r="E526" s="10" t="n">
        <v>45672.39768518518</v>
      </c>
      <c r="F526" s="10" t="n">
        <v>45672.39929398148</v>
      </c>
      <c r="G526" s="3" t="inlineStr">
        <is>
          <t>OBT150125182201-Neunkirchen (loading tracks)</t>
        </is>
      </c>
      <c r="H526" s="10" t="n">
        <v>45672.76528935185</v>
      </c>
      <c r="I526" s="10" t="n">
        <v>45672.79892361111</v>
      </c>
      <c r="J526" s="10" t="n">
        <v>45672.79980324074</v>
      </c>
      <c r="K526" s="11">
        <f>IF(AND(ISNUMBER(D526),ISNUMBER(E526)),(E526-D526),"")</f>
        <v/>
      </c>
      <c r="L526" s="11">
        <f>IF(AND(ISNUMBER(F526),ISNUMBER(I526)),(I526-F526),"")</f>
        <v/>
      </c>
    </row>
    <row r="527">
      <c r="A527" s="3" t="inlineStr">
        <is>
          <t>1013901</t>
        </is>
      </c>
      <c r="B527" s="3" t="inlineStr">
        <is>
          <t>10139</t>
        </is>
      </c>
      <c r="C527" s="10" t="n">
        <v>45672.37873842593</v>
      </c>
      <c r="D527" s="10" t="n">
        <v>45672.38071759259</v>
      </c>
      <c r="E527" s="10" t="n">
        <v>45672.40016203704</v>
      </c>
      <c r="F527" s="10" t="n">
        <v>45672.40203703703</v>
      </c>
      <c r="G527" s="3" t="inlineStr">
        <is>
          <t>OBT150125094220-Wien Kledering</t>
        </is>
      </c>
      <c r="H527" s="10" t="n">
        <v>45672.40439814814</v>
      </c>
      <c r="I527" s="10" t="n">
        <v>45672.45951388889</v>
      </c>
      <c r="J527" s="10" t="n">
        <v>45672.46071759259</v>
      </c>
      <c r="K527" s="11">
        <f>IF(AND(ISNUMBER(D527),ISNUMBER(E527)),(E527-D527),"")</f>
        <v/>
      </c>
      <c r="L527" s="11">
        <f>IF(AND(ISNUMBER(F527),ISNUMBER(I527)),(I527-F527),"")</f>
        <v/>
      </c>
    </row>
    <row r="528">
      <c r="A528" s="3" t="inlineStr">
        <is>
          <t>1013902</t>
        </is>
      </c>
      <c r="B528" s="3" t="inlineStr">
        <is>
          <t>10139</t>
        </is>
      </c>
      <c r="C528" s="10" t="n">
        <v>45672.37873842593</v>
      </c>
      <c r="D528" s="10" t="n">
        <v>45672.38071759259</v>
      </c>
      <c r="E528" s="10" t="n">
        <v>45672.40203703703</v>
      </c>
      <c r="F528" s="10" t="n">
        <v>45672.40363425926</v>
      </c>
      <c r="G528" s="3" t="inlineStr">
        <is>
          <t>OBT150125101800-Felixdorf/Sollenau (Bundesheer, Maba)</t>
        </is>
      </c>
      <c r="H528" s="10" t="n">
        <v>45672.42916666667</v>
      </c>
      <c r="I528" s="10" t="n">
        <v>45672.45079861111</v>
      </c>
      <c r="J528" s="10" t="n">
        <v>45672.45159722222</v>
      </c>
      <c r="K528" s="11">
        <f>IF(AND(ISNUMBER(D528),ISNUMBER(E528)),(E528-D528),"")</f>
        <v/>
      </c>
      <c r="L528" s="11">
        <f>IF(AND(ISNUMBER(F528),ISNUMBER(I528)),(I528-F528),"")</f>
        <v/>
      </c>
    </row>
    <row r="529">
      <c r="A529" s="3" t="inlineStr">
        <is>
          <t>1014001</t>
        </is>
      </c>
      <c r="B529" s="3" t="inlineStr">
        <is>
          <t>10140</t>
        </is>
      </c>
      <c r="C529" s="10" t="n">
        <v>45672.41457175926</v>
      </c>
      <c r="D529" s="10" t="n">
        <v>45672.41679398148</v>
      </c>
      <c r="E529" s="10" t="n">
        <v>45672.42372685186</v>
      </c>
      <c r="F529" s="10" t="n">
        <v>45672.42524305556</v>
      </c>
      <c r="G529" s="3" t="inlineStr">
        <is>
          <t>OBT150125101800-Felixdorf/Sollenau (Bundesheer, Maba)</t>
        </is>
      </c>
      <c r="H529" s="10" t="n">
        <v>45672.42916666667</v>
      </c>
      <c r="I529" s="10" t="n">
        <v>45672.45079861111</v>
      </c>
      <c r="J529" s="10" t="n">
        <v>45672.45159722222</v>
      </c>
      <c r="K529" s="11">
        <f>IF(AND(ISNUMBER(D529),ISNUMBER(E529)),(E529-D529),"")</f>
        <v/>
      </c>
      <c r="L529" s="11">
        <f>IF(AND(ISNUMBER(F529),ISNUMBER(I529)),(I529-F529),"")</f>
        <v/>
      </c>
    </row>
    <row r="530">
      <c r="A530" s="3" t="inlineStr">
        <is>
          <t>1014002</t>
        </is>
      </c>
      <c r="B530" s="3" t="inlineStr">
        <is>
          <t>10140</t>
        </is>
      </c>
      <c r="C530" s="10" t="n">
        <v>45672.41457175926</v>
      </c>
      <c r="D530" s="10" t="n">
        <v>45672.41679398148</v>
      </c>
      <c r="E530" s="10" t="n">
        <v>45672.42524305556</v>
      </c>
      <c r="F530" s="10" t="n">
        <v>45672.42753472222</v>
      </c>
      <c r="G530" s="3" t="inlineStr">
        <is>
          <t>OBT150125101848-Wien Kledering</t>
        </is>
      </c>
      <c r="H530" s="10" t="n">
        <v>45672.42972222222</v>
      </c>
      <c r="I530" s="10" t="n">
        <v>45672.47523148148</v>
      </c>
      <c r="J530" s="10" t="n">
        <v>45672.47635416667</v>
      </c>
      <c r="K530" s="11">
        <f>IF(AND(ISNUMBER(D530),ISNUMBER(E530)),(E530-D530),"")</f>
        <v/>
      </c>
      <c r="L530" s="11">
        <f>IF(AND(ISNUMBER(F530),ISNUMBER(I530)),(I530-F530),"")</f>
        <v/>
      </c>
    </row>
    <row r="531">
      <c r="A531" s="3" t="inlineStr">
        <is>
          <t>1014101</t>
        </is>
      </c>
      <c r="B531" s="3" t="inlineStr">
        <is>
          <t>10141</t>
        </is>
      </c>
      <c r="C531" s="10" t="n">
        <v>45672.54091435186</v>
      </c>
      <c r="D531" s="10" t="n">
        <v>45672.54278935185</v>
      </c>
      <c r="E531" s="10" t="n">
        <v>45672.54737268519</v>
      </c>
      <c r="F531" s="10" t="n">
        <v>45672.54936342593</v>
      </c>
      <c r="G531" s="3" t="inlineStr">
        <is>
          <t>OBT150125131431-Wien Kledering</t>
        </is>
      </c>
      <c r="H531" s="10" t="n">
        <v>45672.55174768518</v>
      </c>
      <c r="I531" s="10" t="n">
        <v>45672.57359953703</v>
      </c>
      <c r="J531" s="10" t="n">
        <v>45672.5744212963</v>
      </c>
      <c r="K531" s="11">
        <f>IF(AND(ISNUMBER(D531),ISNUMBER(E531)),(E531-D531),"")</f>
        <v/>
      </c>
      <c r="L531" s="11">
        <f>IF(AND(ISNUMBER(F531),ISNUMBER(I531)),(I531-F531),"")</f>
        <v/>
      </c>
    </row>
    <row r="532">
      <c r="A532" s="3" t="inlineStr">
        <is>
          <t>1014201</t>
        </is>
      </c>
      <c r="B532" s="3" t="inlineStr">
        <is>
          <t>10142</t>
        </is>
      </c>
      <c r="C532" s="10" t="n">
        <v>45672.62741898148</v>
      </c>
      <c r="D532" s="10" t="n">
        <v>45672.63020833334</v>
      </c>
      <c r="E532" s="10" t="n">
        <v>45672.64769675926</v>
      </c>
      <c r="F532" s="10" t="n">
        <v>45672.6493287037</v>
      </c>
      <c r="G532" s="3" t="inlineStr">
        <is>
          <t>OBT150125182201-Neunkirchen (loading tracks)</t>
        </is>
      </c>
      <c r="H532" s="10" t="n">
        <v>45672.76528935185</v>
      </c>
      <c r="I532" s="10" t="n">
        <v>45672.79892361111</v>
      </c>
      <c r="J532" s="10" t="n">
        <v>45672.79980324074</v>
      </c>
      <c r="K532" s="11">
        <f>IF(AND(ISNUMBER(D532),ISNUMBER(E532)),(E532-D532),"")</f>
        <v/>
      </c>
      <c r="L532" s="11">
        <f>IF(AND(ISNUMBER(F532),ISNUMBER(I532)),(I532-F532),"")</f>
        <v/>
      </c>
    </row>
    <row r="533">
      <c r="A533" s="3" t="inlineStr">
        <is>
          <t>1014202</t>
        </is>
      </c>
      <c r="B533" s="3" t="inlineStr">
        <is>
          <t>10142</t>
        </is>
      </c>
      <c r="C533" s="10" t="n">
        <v>45672.62741898148</v>
      </c>
      <c r="D533" s="10" t="n">
        <v>45672.63020833334</v>
      </c>
      <c r="E533" s="10" t="n">
        <v>45672.6493287037</v>
      </c>
      <c r="F533" s="10" t="n">
        <v>45672.65123842593</v>
      </c>
      <c r="G533" s="3" t="inlineStr">
        <is>
          <t>OBT150125183815-Ebenfurth (beet loading)</t>
        </is>
      </c>
      <c r="H533" s="10" t="n">
        <v>45672.7765625</v>
      </c>
      <c r="I533" s="10" t="n">
        <v>45672.80800925926</v>
      </c>
      <c r="J533" s="10" t="n">
        <v>45672.80869212963</v>
      </c>
      <c r="K533" s="11">
        <f>IF(AND(ISNUMBER(D533),ISNUMBER(E533)),(E533-D533),"")</f>
        <v/>
      </c>
      <c r="L533" s="11">
        <f>IF(AND(ISNUMBER(F533),ISNUMBER(I533)),(I533-F533),"")</f>
        <v/>
      </c>
    </row>
    <row r="534">
      <c r="A534" s="3" t="inlineStr">
        <is>
          <t>1014203</t>
        </is>
      </c>
      <c r="B534" s="3" t="inlineStr">
        <is>
          <t>10142</t>
        </is>
      </c>
      <c r="C534" s="10" t="n">
        <v>45672.62741898148</v>
      </c>
      <c r="D534" s="10" t="n">
        <v>45672.63020833334</v>
      </c>
      <c r="E534" s="10" t="n">
        <v>45672.65123842593</v>
      </c>
      <c r="F534" s="10" t="n">
        <v>45672.65354166667</v>
      </c>
      <c r="G534" s="3" t="inlineStr">
        <is>
          <t>OBT150125154642-Wr. Neustadt (Hödlmayr)</t>
        </is>
      </c>
      <c r="H534" s="10" t="n">
        <v>45672.65743055556</v>
      </c>
      <c r="I534" s="10" t="n">
        <v>45672.69111111111</v>
      </c>
      <c r="J534" s="10" t="n">
        <v>45672.69204861111</v>
      </c>
      <c r="K534" s="11">
        <f>IF(AND(ISNUMBER(D534),ISNUMBER(E534)),(E534-D534),"")</f>
        <v/>
      </c>
      <c r="L534" s="11">
        <f>IF(AND(ISNUMBER(F534),ISNUMBER(I534)),(I534-F534),"")</f>
        <v/>
      </c>
    </row>
    <row r="535">
      <c r="A535" s="3" t="inlineStr">
        <is>
          <t>1014204</t>
        </is>
      </c>
      <c r="B535" s="3" t="inlineStr">
        <is>
          <t>10142</t>
        </is>
      </c>
      <c r="C535" s="10" t="n">
        <v>45672.62741898148</v>
      </c>
      <c r="D535" s="10" t="n">
        <v>45672.63020833334</v>
      </c>
      <c r="E535" s="10" t="n">
        <v>45672.65354166667</v>
      </c>
      <c r="F535" s="10" t="n">
        <v>45672.65528935185</v>
      </c>
      <c r="G535" s="3" t="inlineStr">
        <is>
          <t>OBT170125081922-Steinabrückl/Wöllersdorf</t>
        </is>
      </c>
      <c r="H535" s="10" t="n">
        <v>45674.34678240741</v>
      </c>
      <c r="I535" s="10" t="n">
        <v>45674.92876157408</v>
      </c>
      <c r="J535" s="10" t="n">
        <v>45674.93011574074</v>
      </c>
      <c r="K535" s="11">
        <f>IF(AND(ISNUMBER(D535),ISNUMBER(E535)),(E535-D535),"")</f>
        <v/>
      </c>
      <c r="L535" s="11">
        <f>IF(AND(ISNUMBER(F535),ISNUMBER(I535)),(I535-F535),"")</f>
        <v/>
      </c>
    </row>
    <row r="536">
      <c r="A536" s="3" t="inlineStr">
        <is>
          <t>1014205</t>
        </is>
      </c>
      <c r="B536" s="3" t="inlineStr">
        <is>
          <t>10142</t>
        </is>
      </c>
      <c r="C536" s="10" t="n">
        <v>45672.62741898148</v>
      </c>
      <c r="D536" s="10" t="n">
        <v>45672.63020833334</v>
      </c>
      <c r="E536" s="10" t="n">
        <v>45672.65528935185</v>
      </c>
      <c r="F536" s="10" t="n">
        <v>45672.65743055556</v>
      </c>
      <c r="G536" s="3" t="inlineStr">
        <is>
          <t>OBT150125181910-Pitten (Hamburger)</t>
        </is>
      </c>
      <c r="H536" s="10" t="n">
        <v>45672.76331018518</v>
      </c>
      <c r="I536" s="10" t="n">
        <v>45672.78445601852</v>
      </c>
      <c r="J536" s="10" t="n">
        <v>45672.78527777778</v>
      </c>
      <c r="K536" s="11">
        <f>IF(AND(ISNUMBER(D536),ISNUMBER(E536)),(E536-D536),"")</f>
        <v/>
      </c>
      <c r="L536" s="11">
        <f>IF(AND(ISNUMBER(F536),ISNUMBER(I536)),(I536-F536),"")</f>
        <v/>
      </c>
    </row>
    <row r="537">
      <c r="A537" s="3" t="inlineStr">
        <is>
          <t>1014206</t>
        </is>
      </c>
      <c r="B537" s="3" t="inlineStr">
        <is>
          <t>10142</t>
        </is>
      </c>
      <c r="C537" s="10" t="n">
        <v>45672.62741898148</v>
      </c>
      <c r="D537" s="10" t="n">
        <v>45672.63020833334</v>
      </c>
      <c r="E537" s="10" t="n">
        <v>45672.65743055556</v>
      </c>
      <c r="F537" s="10" t="n">
        <v>45672.65905092593</v>
      </c>
      <c r="G537" s="3" t="inlineStr">
        <is>
          <t>OBT150125182201-Neunkirchen (loading tracks)</t>
        </is>
      </c>
      <c r="H537" s="10" t="n">
        <v>45672.76528935185</v>
      </c>
      <c r="I537" s="10" t="n">
        <v>45672.79892361111</v>
      </c>
      <c r="J537" s="10" t="n">
        <v>45672.79980324074</v>
      </c>
      <c r="K537" s="11">
        <f>IF(AND(ISNUMBER(D537),ISNUMBER(E537)),(E537-D537),"")</f>
        <v/>
      </c>
      <c r="L537" s="11">
        <f>IF(AND(ISNUMBER(F537),ISNUMBER(I537)),(I537-F537),"")</f>
        <v/>
      </c>
    </row>
    <row r="538">
      <c r="A538" s="3" t="inlineStr">
        <is>
          <t>1014207</t>
        </is>
      </c>
      <c r="B538" s="3" t="inlineStr">
        <is>
          <t>10142</t>
        </is>
      </c>
      <c r="C538" s="10" t="n">
        <v>45672.62741898148</v>
      </c>
      <c r="D538" s="10" t="n">
        <v>45672.63020833334</v>
      </c>
      <c r="E538" s="10" t="n">
        <v>45672.65905092593</v>
      </c>
      <c r="F538" s="10" t="n">
        <v>45672.66076388889</v>
      </c>
      <c r="G538" s="3" t="inlineStr">
        <is>
          <t>OBT160125081022-Ternitz (Schoeller-Bleckmann)</t>
        </is>
      </c>
      <c r="H538" s="10" t="n">
        <v>45673.3405324074</v>
      </c>
      <c r="I538" s="10" t="n">
        <v>45673.36009259259</v>
      </c>
      <c r="J538" s="10" t="n">
        <v>45673.3609375</v>
      </c>
      <c r="K538" s="11">
        <f>IF(AND(ISNUMBER(D538),ISNUMBER(E538)),(E538-D538),"")</f>
        <v/>
      </c>
      <c r="L538" s="11">
        <f>IF(AND(ISNUMBER(F538),ISNUMBER(I538)),(I538-F538),"")</f>
        <v/>
      </c>
    </row>
    <row r="539">
      <c r="A539" s="3" t="inlineStr">
        <is>
          <t>1014208</t>
        </is>
      </c>
      <c r="B539" s="3" t="inlineStr">
        <is>
          <t>10142</t>
        </is>
      </c>
      <c r="C539" s="10" t="n">
        <v>45672.62741898148</v>
      </c>
      <c r="D539" s="10" t="n">
        <v>45672.63020833334</v>
      </c>
      <c r="E539" s="10" t="n">
        <v>45672.66076388889</v>
      </c>
      <c r="F539" s="10" t="n">
        <v>45672.66201388889</v>
      </c>
      <c r="G539" s="3" t="inlineStr">
        <is>
          <t>OBT150125155826-Other sidings north</t>
        </is>
      </c>
      <c r="H539" s="10" t="n">
        <v>45672.6655787037</v>
      </c>
      <c r="I539" s="10" t="n">
        <v>45672.68505787037</v>
      </c>
      <c r="J539" s="10" t="n">
        <v>45672.68575231481</v>
      </c>
      <c r="K539" s="11">
        <f>IF(AND(ISNUMBER(D539),ISNUMBER(E539)),(E539-D539),"")</f>
        <v/>
      </c>
      <c r="L539" s="11">
        <f>IF(AND(ISNUMBER(F539),ISNUMBER(I539)),(I539-F539),"")</f>
        <v/>
      </c>
    </row>
    <row r="540">
      <c r="A540" s="3" t="inlineStr">
        <is>
          <t>1014209</t>
        </is>
      </c>
      <c r="B540" s="3" t="inlineStr">
        <is>
          <t>10142</t>
        </is>
      </c>
      <c r="C540" s="10" t="n">
        <v>45672.62741898148</v>
      </c>
      <c r="D540" s="10" t="n">
        <v>45672.63020833334</v>
      </c>
      <c r="E540" s="10" t="n">
        <v>45672.66201388889</v>
      </c>
      <c r="F540" s="10" t="n">
        <v>45672.66353009259</v>
      </c>
      <c r="G540" s="3" t="inlineStr">
        <is>
          <t>OBT170125031540-Other sidings south</t>
        </is>
      </c>
      <c r="H540" s="10" t="n">
        <v>45674.13587962963</v>
      </c>
      <c r="I540" s="10" t="n">
        <v>45674.37018518519</v>
      </c>
      <c r="J540" s="10" t="n">
        <v>45674.37104166667</v>
      </c>
      <c r="K540" s="11">
        <f>IF(AND(ISNUMBER(D540),ISNUMBER(E540)),(E540-D540),"")</f>
        <v/>
      </c>
      <c r="L540" s="11">
        <f>IF(AND(ISNUMBER(F540),ISNUMBER(I540)),(I540-F540),"")</f>
        <v/>
      </c>
    </row>
    <row r="541">
      <c r="A541" s="3" t="inlineStr">
        <is>
          <t>1014210</t>
        </is>
      </c>
      <c r="B541" s="3" t="inlineStr">
        <is>
          <t>10142</t>
        </is>
      </c>
      <c r="C541" s="10" t="n">
        <v>45672.62741898148</v>
      </c>
      <c r="D541" s="10" t="n">
        <v>45672.63020833334</v>
      </c>
      <c r="E541" s="10" t="n">
        <v>45672.66353009259</v>
      </c>
      <c r="F541" s="10" t="n">
        <v>45672.66550925926</v>
      </c>
      <c r="G541" s="3" t="inlineStr">
        <is>
          <t>OBT150125160356-Neudörfl (FunderMax)</t>
        </is>
      </c>
      <c r="H541" s="10" t="n">
        <v>45672.66939814815</v>
      </c>
      <c r="I541" s="10" t="n">
        <v>45672.71085648148</v>
      </c>
      <c r="J541" s="10" t="n">
        <v>45672.71188657408</v>
      </c>
      <c r="K541" s="11">
        <f>IF(AND(ISNUMBER(D541),ISNUMBER(E541)),(E541-D541),"")</f>
        <v/>
      </c>
      <c r="L541" s="11">
        <f>IF(AND(ISNUMBER(F541),ISNUMBER(I541)),(I541-F541),"")</f>
        <v/>
      </c>
    </row>
    <row r="542">
      <c r="A542" s="3" t="inlineStr">
        <is>
          <t>1014301</t>
        </is>
      </c>
      <c r="B542" s="3" t="inlineStr">
        <is>
          <t>10143</t>
        </is>
      </c>
      <c r="C542" s="10" t="n">
        <v>45672.64776620371</v>
      </c>
      <c r="D542" s="10" t="n">
        <v>45672.64917824074</v>
      </c>
      <c r="E542" s="10" t="n">
        <v>45672.66637731482</v>
      </c>
      <c r="F542" s="10" t="n">
        <v>45672.66784722222</v>
      </c>
      <c r="G542" s="3" t="inlineStr">
        <is>
          <t>OBT150125160509-Wien Kledering</t>
        </is>
      </c>
      <c r="H542" s="10" t="n">
        <v>45672.67024305555</v>
      </c>
      <c r="I542" s="10" t="n">
        <v>45672.70587962963</v>
      </c>
      <c r="J542" s="10" t="n">
        <v>45672.70667824074</v>
      </c>
      <c r="K542" s="11">
        <f>IF(AND(ISNUMBER(D542),ISNUMBER(E542)),(E542-D542),"")</f>
        <v/>
      </c>
      <c r="L542" s="11">
        <f>IF(AND(ISNUMBER(F542),ISNUMBER(I542)),(I542-F542),"")</f>
        <v/>
      </c>
    </row>
    <row r="543">
      <c r="A543" s="3" t="inlineStr">
        <is>
          <t>1014401</t>
        </is>
      </c>
      <c r="B543" s="3" t="inlineStr">
        <is>
          <t>10144</t>
        </is>
      </c>
      <c r="C543" s="10" t="n">
        <v>45672.71831018518</v>
      </c>
      <c r="D543" s="10" t="n">
        <v>45672.72064814815</v>
      </c>
      <c r="E543" s="10" t="n">
        <v>45672.7268287037</v>
      </c>
      <c r="F543" s="10" t="n">
        <v>45672.7287037037</v>
      </c>
      <c r="G543" s="3" t="inlineStr">
        <is>
          <t>OBT150125173247-Wien Kledering</t>
        </is>
      </c>
      <c r="H543" s="10" t="n">
        <v>45672.73109953704</v>
      </c>
      <c r="I543" s="10" t="n">
        <v>45672.78846064815</v>
      </c>
      <c r="J543" s="10" t="n">
        <v>45672.78967592592</v>
      </c>
      <c r="K543" s="11">
        <f>IF(AND(ISNUMBER(D543),ISNUMBER(E543)),(E543-D543),"")</f>
        <v/>
      </c>
      <c r="L543" s="11">
        <f>IF(AND(ISNUMBER(F543),ISNUMBER(I543)),(I543-F543),"")</f>
        <v/>
      </c>
    </row>
    <row r="544">
      <c r="A544" s="3" t="inlineStr">
        <is>
          <t>1014501</t>
        </is>
      </c>
      <c r="B544" s="3" t="inlineStr">
        <is>
          <t>10145</t>
        </is>
      </c>
      <c r="C544" s="10" t="n">
        <v>45672.73539351852</v>
      </c>
      <c r="D544" s="10" t="n">
        <v>45672.73767361111</v>
      </c>
      <c r="E544" s="10" t="n">
        <v>45672.75447916667</v>
      </c>
      <c r="F544" s="10" t="n">
        <v>45672.75638888889</v>
      </c>
      <c r="G544" s="3" t="inlineStr">
        <is>
          <t>OBT150125183815-Ebenfurth (beet loading)</t>
        </is>
      </c>
      <c r="H544" s="10" t="n">
        <v>45672.7765625</v>
      </c>
      <c r="I544" s="10" t="n">
        <v>45672.80800925926</v>
      </c>
      <c r="J544" s="10" t="n">
        <v>45672.80869212963</v>
      </c>
      <c r="K544" s="11">
        <f>IF(AND(ISNUMBER(D544),ISNUMBER(E544)),(E544-D544),"")</f>
        <v/>
      </c>
      <c r="L544" s="11">
        <f>IF(AND(ISNUMBER(F544),ISNUMBER(I544)),(I544-F544),"")</f>
        <v/>
      </c>
    </row>
    <row r="545">
      <c r="A545" s="3" t="inlineStr">
        <is>
          <t>1014502</t>
        </is>
      </c>
      <c r="B545" s="3" t="inlineStr">
        <is>
          <t>10145</t>
        </is>
      </c>
      <c r="C545" s="10" t="n">
        <v>45672.73539351852</v>
      </c>
      <c r="D545" s="10" t="n">
        <v>45672.73767361111</v>
      </c>
      <c r="E545" s="10" t="n">
        <v>45672.75638888889</v>
      </c>
      <c r="F545" s="10" t="n">
        <v>45672.75777777778</v>
      </c>
      <c r="G545" s="3" t="inlineStr">
        <is>
          <t>OBT200125083327-Wr. Neustadt (Brenntag)</t>
        </is>
      </c>
      <c r="H545" s="10" t="n">
        <v>45677.3565625</v>
      </c>
      <c r="I545" s="10" t="n">
        <v>45677.74182870371</v>
      </c>
      <c r="J545" s="10" t="n">
        <v>45677.74260416667</v>
      </c>
      <c r="K545" s="11">
        <f>IF(AND(ISNUMBER(D545),ISNUMBER(E545)),(E545-D545),"")</f>
        <v/>
      </c>
      <c r="L545" s="11">
        <f>IF(AND(ISNUMBER(F545),ISNUMBER(I545)),(I545-F545),"")</f>
        <v/>
      </c>
    </row>
    <row r="546">
      <c r="A546" s="3" t="inlineStr">
        <is>
          <t>1014503</t>
        </is>
      </c>
      <c r="B546" s="3" t="inlineStr">
        <is>
          <t>10145</t>
        </is>
      </c>
      <c r="C546" s="10" t="n">
        <v>45672.73539351852</v>
      </c>
      <c r="D546" s="10" t="n">
        <v>45672.73767361111</v>
      </c>
      <c r="E546" s="10" t="n">
        <v>45672.75777777778</v>
      </c>
      <c r="F546" s="10" t="n">
        <v>45672.75974537037</v>
      </c>
      <c r="G546" s="3" t="inlineStr">
        <is>
          <t>OBT150125181910-Pitten (Hamburger)</t>
        </is>
      </c>
      <c r="H546" s="10" t="n">
        <v>45672.76331018518</v>
      </c>
      <c r="I546" s="10" t="n">
        <v>45672.78445601852</v>
      </c>
      <c r="J546" s="10" t="n">
        <v>45672.78527777778</v>
      </c>
      <c r="K546" s="11">
        <f>IF(AND(ISNUMBER(D546),ISNUMBER(E546)),(E546-D546),"")</f>
        <v/>
      </c>
      <c r="L546" s="11">
        <f>IF(AND(ISNUMBER(F546),ISNUMBER(I546)),(I546-F546),"")</f>
        <v/>
      </c>
    </row>
    <row r="547">
      <c r="A547" s="3" t="inlineStr">
        <is>
          <t>1014504</t>
        </is>
      </c>
      <c r="B547" s="3" t="inlineStr">
        <is>
          <t>10145</t>
        </is>
      </c>
      <c r="C547" s="10" t="n">
        <v>45672.73539351852</v>
      </c>
      <c r="D547" s="10" t="n">
        <v>45672.73767361111</v>
      </c>
      <c r="E547" s="10" t="n">
        <v>45672.75974537037</v>
      </c>
      <c r="F547" s="10" t="n">
        <v>45672.76136574074</v>
      </c>
      <c r="G547" s="3" t="inlineStr">
        <is>
          <t>OBT150125182201-Neunkirchen (loading tracks)</t>
        </is>
      </c>
      <c r="H547" s="10" t="n">
        <v>45672.76528935185</v>
      </c>
      <c r="I547" s="10" t="n">
        <v>45672.79892361111</v>
      </c>
      <c r="J547" s="10" t="n">
        <v>45672.79980324074</v>
      </c>
      <c r="K547" s="11">
        <f>IF(AND(ISNUMBER(D547),ISNUMBER(E547)),(E547-D547),"")</f>
        <v/>
      </c>
      <c r="L547" s="11">
        <f>IF(AND(ISNUMBER(F547),ISNUMBER(I547)),(I547-F547),"")</f>
        <v/>
      </c>
    </row>
    <row r="548">
      <c r="A548" s="3" t="inlineStr">
        <is>
          <t>1014505</t>
        </is>
      </c>
      <c r="B548" s="3" t="inlineStr">
        <is>
          <t>10145</t>
        </is>
      </c>
      <c r="C548" s="10" t="n">
        <v>45672.73539351852</v>
      </c>
      <c r="D548" s="10" t="n">
        <v>45672.73767361111</v>
      </c>
      <c r="E548" s="10" t="n">
        <v>45672.76136574074</v>
      </c>
      <c r="F548" s="10" t="n">
        <v>45672.76342592593</v>
      </c>
      <c r="G548" s="3" t="inlineStr">
        <is>
          <t>OBT160125101737-Wr. Neustadt (Hödlmayr)</t>
        </is>
      </c>
      <c r="H548" s="10" t="n">
        <v>45673.42890046296</v>
      </c>
      <c r="I548" s="10" t="n">
        <v>45673.44938657407</v>
      </c>
      <c r="J548" s="10" t="n">
        <v>45673.45012731481</v>
      </c>
      <c r="K548" s="11">
        <f>IF(AND(ISNUMBER(D548),ISNUMBER(E548)),(E548-D548),"")</f>
        <v/>
      </c>
      <c r="L548" s="11">
        <f>IF(AND(ISNUMBER(F548),ISNUMBER(I548)),(I548-F548),"")</f>
        <v/>
      </c>
    </row>
    <row r="549">
      <c r="A549" s="3" t="inlineStr">
        <is>
          <t>1014506</t>
        </is>
      </c>
      <c r="B549" s="3" t="inlineStr">
        <is>
          <t>10145</t>
        </is>
      </c>
      <c r="C549" s="10" t="n">
        <v>45672.73539351852</v>
      </c>
      <c r="D549" s="10" t="n">
        <v>45672.73767361111</v>
      </c>
      <c r="E549" s="10" t="n">
        <v>45672.76342592593</v>
      </c>
      <c r="F549" s="10" t="n">
        <v>45672.76539351852</v>
      </c>
      <c r="G549" s="3" t="inlineStr">
        <is>
          <t>OBT160125075109-Pitten (Hamburger)</t>
        </is>
      </c>
      <c r="H549" s="10" t="n">
        <v>45673.3271875</v>
      </c>
      <c r="I549" s="10" t="n">
        <v>45673.35712962963</v>
      </c>
      <c r="J549" s="10" t="n">
        <v>45673.35795138889</v>
      </c>
      <c r="K549" s="11">
        <f>IF(AND(ISNUMBER(D549),ISNUMBER(E549)),(E549-D549),"")</f>
        <v/>
      </c>
      <c r="L549" s="11">
        <f>IF(AND(ISNUMBER(F549),ISNUMBER(I549)),(I549-F549),"")</f>
        <v/>
      </c>
    </row>
    <row r="550">
      <c r="A550" s="3" t="inlineStr">
        <is>
          <t>1014507</t>
        </is>
      </c>
      <c r="B550" s="3" t="inlineStr">
        <is>
          <t>10145</t>
        </is>
      </c>
      <c r="C550" s="10" t="n">
        <v>45672.73539351852</v>
      </c>
      <c r="D550" s="10" t="n">
        <v>45672.73767361111</v>
      </c>
      <c r="E550" s="10" t="n">
        <v>45672.76539351852</v>
      </c>
      <c r="F550" s="10" t="n">
        <v>45672.76658564815</v>
      </c>
      <c r="G550" s="3" t="inlineStr">
        <is>
          <t>OBT160125025835-Neunkirchen (loading tracks)</t>
        </is>
      </c>
      <c r="H550" s="10" t="n">
        <v>45673.12401620371</v>
      </c>
      <c r="I550" s="10" t="n">
        <v>45673.14994212963</v>
      </c>
      <c r="J550" s="10" t="n">
        <v>45673.15074074074</v>
      </c>
      <c r="K550" s="11">
        <f>IF(AND(ISNUMBER(D550),ISNUMBER(E550)),(E550-D550),"")</f>
        <v/>
      </c>
      <c r="L550" s="11">
        <f>IF(AND(ISNUMBER(F550),ISNUMBER(I550)),(I550-F550),"")</f>
        <v/>
      </c>
    </row>
    <row r="551">
      <c r="A551" s="3" t="inlineStr">
        <is>
          <t>1014508</t>
        </is>
      </c>
      <c r="B551" s="3" t="inlineStr">
        <is>
          <t>10145</t>
        </is>
      </c>
      <c r="C551" s="10" t="n">
        <v>45672.73539351852</v>
      </c>
      <c r="D551" s="10" t="n">
        <v>45672.73767361111</v>
      </c>
      <c r="E551" s="10" t="n">
        <v>45672.76658564815</v>
      </c>
      <c r="F551" s="10" t="n">
        <v>45672.7680787037</v>
      </c>
      <c r="G551" s="3" t="inlineStr">
        <is>
          <t>OBT170125031540-Other sidings south</t>
        </is>
      </c>
      <c r="H551" s="10" t="n">
        <v>45674.13587962963</v>
      </c>
      <c r="I551" s="10" t="n">
        <v>45674.37018518519</v>
      </c>
      <c r="J551" s="10" t="n">
        <v>45674.37104166667</v>
      </c>
      <c r="K551" s="11">
        <f>IF(AND(ISNUMBER(D551),ISNUMBER(E551)),(E551-D551),"")</f>
        <v/>
      </c>
      <c r="L551" s="11">
        <f>IF(AND(ISNUMBER(F551),ISNUMBER(I551)),(I551-F551),"")</f>
        <v/>
      </c>
    </row>
    <row r="552">
      <c r="A552" s="3" t="inlineStr">
        <is>
          <t>1014509</t>
        </is>
      </c>
      <c r="B552" s="3" t="inlineStr">
        <is>
          <t>10145</t>
        </is>
      </c>
      <c r="C552" s="10" t="n">
        <v>45672.73539351852</v>
      </c>
      <c r="D552" s="10" t="n">
        <v>45672.73767361111</v>
      </c>
      <c r="E552" s="10" t="n">
        <v>45672.7680787037</v>
      </c>
      <c r="F552" s="10" t="n">
        <v>45672.7699074074</v>
      </c>
      <c r="G552" s="3" t="inlineStr">
        <is>
          <t>OBT170125073030-Other sidings north</t>
        </is>
      </c>
      <c r="H552" s="10" t="n">
        <v>45674.31284722222</v>
      </c>
      <c r="I552" s="10" t="n">
        <v>45674.46262731482</v>
      </c>
      <c r="J552" s="10" t="n">
        <v>45674.46344907407</v>
      </c>
      <c r="K552" s="11">
        <f>IF(AND(ISNUMBER(D552),ISNUMBER(E552)),(E552-D552),"")</f>
        <v/>
      </c>
      <c r="L552" s="11">
        <f>IF(AND(ISNUMBER(F552),ISNUMBER(I552)),(I552-F552),"")</f>
        <v/>
      </c>
    </row>
    <row r="553">
      <c r="A553" s="3" t="inlineStr">
        <is>
          <t>1014510</t>
        </is>
      </c>
      <c r="B553" s="3" t="inlineStr">
        <is>
          <t>10145</t>
        </is>
      </c>
      <c r="C553" s="10" t="n">
        <v>45672.73539351852</v>
      </c>
      <c r="D553" s="10" t="n">
        <v>45672.73767361111</v>
      </c>
      <c r="E553" s="10" t="n">
        <v>45672.7699074074</v>
      </c>
      <c r="F553" s="10" t="n">
        <v>45672.77185185185</v>
      </c>
      <c r="G553" s="3" t="inlineStr">
        <is>
          <t>OBT150125183815-Ebenfurth (beet loading)</t>
        </is>
      </c>
      <c r="H553" s="10" t="n">
        <v>45672.7765625</v>
      </c>
      <c r="I553" s="10" t="n">
        <v>45672.80800925926</v>
      </c>
      <c r="J553" s="10" t="n">
        <v>45672.80869212963</v>
      </c>
      <c r="K553" s="11">
        <f>IF(AND(ISNUMBER(D553),ISNUMBER(E553)),(E553-D553),"")</f>
        <v/>
      </c>
      <c r="L553" s="11">
        <f>IF(AND(ISNUMBER(F553),ISNUMBER(I553)),(I553-F553),"")</f>
        <v/>
      </c>
    </row>
    <row r="554">
      <c r="A554" s="3" t="inlineStr">
        <is>
          <t>1014511</t>
        </is>
      </c>
      <c r="B554" s="3" t="inlineStr">
        <is>
          <t>10145</t>
        </is>
      </c>
      <c r="C554" s="10" t="n">
        <v>45672.73539351852</v>
      </c>
      <c r="D554" s="10" t="n">
        <v>45672.73767361111</v>
      </c>
      <c r="E554" s="10" t="n">
        <v>45672.77185185185</v>
      </c>
      <c r="F554" s="10" t="n">
        <v>45672.77318287037</v>
      </c>
      <c r="G554" s="3" t="inlineStr">
        <is>
          <t>OBT160125101737-Neudörfl (FunderMax)</t>
        </is>
      </c>
      <c r="H554" s="10" t="n">
        <v>45673.42890046296</v>
      </c>
      <c r="I554" s="10" t="n">
        <v>45673.47396990741</v>
      </c>
      <c r="J554" s="10" t="n">
        <v>45673.47474537037</v>
      </c>
      <c r="K554" s="11">
        <f>IF(AND(ISNUMBER(D554),ISNUMBER(E554)),(E554-D554),"")</f>
        <v/>
      </c>
      <c r="L554" s="11">
        <f>IF(AND(ISNUMBER(F554),ISNUMBER(I554)),(I554-F554),"")</f>
        <v/>
      </c>
    </row>
    <row r="555">
      <c r="A555" s="3" t="inlineStr">
        <is>
          <t>1014601</t>
        </is>
      </c>
      <c r="B555" s="3" t="inlineStr">
        <is>
          <t>10146</t>
        </is>
      </c>
      <c r="C555" s="10" t="n">
        <v>45673.11050925926</v>
      </c>
      <c r="D555" s="10" t="n">
        <v>45673.11255787037</v>
      </c>
      <c r="E555" s="10" t="n">
        <v>45673.12016203703</v>
      </c>
      <c r="F555" s="10" t="n">
        <v>45673.12162037037</v>
      </c>
      <c r="G555" s="3" t="inlineStr">
        <is>
          <t>OBT160125025835-Neunkirchen (loading tracks)</t>
        </is>
      </c>
      <c r="H555" s="10" t="n">
        <v>45673.12401620371</v>
      </c>
      <c r="I555" s="10" t="n">
        <v>45673.14994212963</v>
      </c>
      <c r="J555" s="10" t="n">
        <v>45673.15074074074</v>
      </c>
      <c r="K555" s="11">
        <f>IF(AND(ISNUMBER(D555),ISNUMBER(E555)),(E555-D555),"")</f>
        <v/>
      </c>
      <c r="L555" s="11">
        <f>IF(AND(ISNUMBER(F555),ISNUMBER(I555)),(I555-F555),"")</f>
        <v/>
      </c>
    </row>
    <row r="556">
      <c r="A556" s="3" t="inlineStr">
        <is>
          <t>1014602</t>
        </is>
      </c>
      <c r="B556" s="3" t="inlineStr">
        <is>
          <t>10146</t>
        </is>
      </c>
      <c r="C556" s="10" t="n">
        <v>45673.11050925926</v>
      </c>
      <c r="D556" s="10" t="n">
        <v>45673.11255787037</v>
      </c>
      <c r="E556" s="10" t="n">
        <v>45673.12162037037</v>
      </c>
      <c r="F556" s="10" t="n">
        <v>45673.12340277778</v>
      </c>
      <c r="G556" s="3" t="inlineStr">
        <is>
          <t>OBT160125081022-Ternitz (Schoeller-Bleckmann)</t>
        </is>
      </c>
      <c r="H556" s="10" t="n">
        <v>45673.3405324074</v>
      </c>
      <c r="I556" s="10" t="n">
        <v>45673.36009259259</v>
      </c>
      <c r="J556" s="10" t="n">
        <v>45673.3609375</v>
      </c>
      <c r="K556" s="11">
        <f>IF(AND(ISNUMBER(D556),ISNUMBER(E556)),(E556-D556),"")</f>
        <v/>
      </c>
      <c r="L556" s="11">
        <f>IF(AND(ISNUMBER(F556),ISNUMBER(I556)),(I556-F556),"")</f>
        <v/>
      </c>
    </row>
    <row r="557">
      <c r="A557" s="3" t="inlineStr">
        <is>
          <t>1014603</t>
        </is>
      </c>
      <c r="B557" s="3" t="inlineStr">
        <is>
          <t>10146</t>
        </is>
      </c>
      <c r="C557" s="10" t="n">
        <v>45673.11050925926</v>
      </c>
      <c r="D557" s="10" t="n">
        <v>45673.11255787037</v>
      </c>
      <c r="E557" s="10" t="n">
        <v>45673.12340277778</v>
      </c>
      <c r="F557" s="10" t="n">
        <v>45673.1253125</v>
      </c>
      <c r="G557" s="3" t="inlineStr">
        <is>
          <t>OBT170125093600-Gloggnitz</t>
        </is>
      </c>
      <c r="H557" s="10" t="n">
        <v>45674.4</v>
      </c>
      <c r="I557" s="10" t="n">
        <v>45675.32832175926</v>
      </c>
      <c r="J557" s="10" t="n">
        <v>45675.32907407408</v>
      </c>
      <c r="K557" s="11">
        <f>IF(AND(ISNUMBER(D557),ISNUMBER(E557)),(E557-D557),"")</f>
        <v/>
      </c>
      <c r="L557" s="11">
        <f>IF(AND(ISNUMBER(F557),ISNUMBER(I557)),(I557-F557),"")</f>
        <v/>
      </c>
    </row>
    <row r="558">
      <c r="A558" s="3" t="inlineStr">
        <is>
          <t>1014701</t>
        </is>
      </c>
      <c r="B558" s="3" t="inlineStr">
        <is>
          <t>10147</t>
        </is>
      </c>
      <c r="C558" s="10" t="n">
        <v>45673.26471064815</v>
      </c>
      <c r="D558" s="10" t="n">
        <v>45673.26699074074</v>
      </c>
      <c r="E558" s="10" t="n">
        <v>45673.27280092592</v>
      </c>
      <c r="F558" s="10" t="n">
        <v>45673.27460648148</v>
      </c>
      <c r="G558" s="3" t="inlineStr">
        <is>
          <t>OBT160125063851-Wien Kledering</t>
        </is>
      </c>
      <c r="H558" s="10" t="n">
        <v>45673.27697916667</v>
      </c>
      <c r="I558" s="10" t="n">
        <v>45673.32940972222</v>
      </c>
      <c r="J558" s="10" t="n">
        <v>45673.33056712963</v>
      </c>
      <c r="K558" s="11">
        <f>IF(AND(ISNUMBER(D558),ISNUMBER(E558)),(E558-D558),"")</f>
        <v/>
      </c>
      <c r="L558" s="11">
        <f>IF(AND(ISNUMBER(F558),ISNUMBER(I558)),(I558-F558),"")</f>
        <v/>
      </c>
    </row>
    <row r="559">
      <c r="A559" s="3" t="inlineStr">
        <is>
          <t>1014901</t>
        </is>
      </c>
      <c r="B559" s="3" t="inlineStr">
        <is>
          <t>10149</t>
        </is>
      </c>
      <c r="C559" s="10" t="n">
        <v>45673.30131944444</v>
      </c>
      <c r="D559" s="10" t="n">
        <v>45673.30276620371</v>
      </c>
      <c r="E559" s="10" t="n">
        <v>45673.30751157407</v>
      </c>
      <c r="F559" s="10" t="n">
        <v>45673.30969907407</v>
      </c>
      <c r="G559" s="3" t="inlineStr">
        <is>
          <t>OBT160125072923-Wien Kledering</t>
        </is>
      </c>
      <c r="H559" s="10" t="n">
        <v>45673.31207175926</v>
      </c>
      <c r="I559" s="10" t="n">
        <v>45673.33478009259</v>
      </c>
      <c r="J559" s="10" t="n">
        <v>45673.335625</v>
      </c>
      <c r="K559" s="11">
        <f>IF(AND(ISNUMBER(D559),ISNUMBER(E559)),(E559-D559),"")</f>
        <v/>
      </c>
      <c r="L559" s="11">
        <f>IF(AND(ISNUMBER(F559),ISNUMBER(I559)),(I559-F559),"")</f>
        <v/>
      </c>
    </row>
    <row r="560">
      <c r="A560" s="3" t="inlineStr">
        <is>
          <t>1014801</t>
        </is>
      </c>
      <c r="B560" s="3" t="inlineStr">
        <is>
          <t>10148</t>
        </is>
      </c>
      <c r="C560" s="10" t="n">
        <v>45673.30105324074</v>
      </c>
      <c r="D560" s="10" t="n">
        <v>45673.30355324074</v>
      </c>
      <c r="E560" s="10" t="n">
        <v>45673.3194212963</v>
      </c>
      <c r="F560" s="10" t="n">
        <v>45673.32111111111</v>
      </c>
      <c r="G560" s="3" t="inlineStr">
        <is>
          <t>OBT160125204054-Ebenfurth (beet loading)</t>
        </is>
      </c>
      <c r="H560" s="10" t="n">
        <v>45673.86173611111</v>
      </c>
      <c r="I560" s="10" t="n">
        <v>45674.34520833333</v>
      </c>
      <c r="J560" s="10" t="n">
        <v>45674.34606481482</v>
      </c>
      <c r="K560" s="11">
        <f>IF(AND(ISNUMBER(D560),ISNUMBER(E560)),(E560-D560),"")</f>
        <v/>
      </c>
      <c r="L560" s="11">
        <f>IF(AND(ISNUMBER(F560),ISNUMBER(I560)),(I560-F560),"")</f>
        <v/>
      </c>
    </row>
    <row r="561">
      <c r="A561" s="3" t="inlineStr">
        <is>
          <t>1014802</t>
        </is>
      </c>
      <c r="B561" s="3" t="inlineStr">
        <is>
          <t>10148</t>
        </is>
      </c>
      <c r="C561" s="10" t="n">
        <v>45673.30105324074</v>
      </c>
      <c r="D561" s="10" t="n">
        <v>45673.30355324074</v>
      </c>
      <c r="E561" s="10" t="n">
        <v>45673.32111111111</v>
      </c>
      <c r="F561" s="10" t="n">
        <v>45673.32326388889</v>
      </c>
      <c r="G561" s="3" t="inlineStr">
        <is>
          <t>OBT160125075109-Pitten (Hamburger)</t>
        </is>
      </c>
      <c r="H561" s="10" t="n">
        <v>45673.3271875</v>
      </c>
      <c r="I561" s="10" t="n">
        <v>45673.35712962963</v>
      </c>
      <c r="J561" s="10" t="n">
        <v>45673.35795138889</v>
      </c>
      <c r="K561" s="11">
        <f>IF(AND(ISNUMBER(D561),ISNUMBER(E561)),(E561-D561),"")</f>
        <v/>
      </c>
      <c r="L561" s="11">
        <f>IF(AND(ISNUMBER(F561),ISNUMBER(I561)),(I561-F561),"")</f>
        <v/>
      </c>
    </row>
    <row r="562">
      <c r="A562" s="3" t="inlineStr">
        <is>
          <t>1014803</t>
        </is>
      </c>
      <c r="B562" s="3" t="inlineStr">
        <is>
          <t>10148</t>
        </is>
      </c>
      <c r="C562" s="10" t="n">
        <v>45673.30105324074</v>
      </c>
      <c r="D562" s="10" t="n">
        <v>45673.30355324074</v>
      </c>
      <c r="E562" s="10" t="n">
        <v>45673.32326388889</v>
      </c>
      <c r="F562" s="10" t="n">
        <v>45673.32517361111</v>
      </c>
      <c r="G562" s="3" t="inlineStr">
        <is>
          <t>OBT170125093600-Gloggnitz</t>
        </is>
      </c>
      <c r="H562" s="10" t="n">
        <v>45674.4</v>
      </c>
      <c r="I562" s="10" t="n">
        <v>45675.32832175926</v>
      </c>
      <c r="J562" s="10" t="n">
        <v>45675.32907407408</v>
      </c>
      <c r="K562" s="11">
        <f>IF(AND(ISNUMBER(D562),ISNUMBER(E562)),(E562-D562),"")</f>
        <v/>
      </c>
      <c r="L562" s="11">
        <f>IF(AND(ISNUMBER(F562),ISNUMBER(I562)),(I562-F562),"")</f>
        <v/>
      </c>
    </row>
    <row r="563">
      <c r="A563" s="3" t="inlineStr">
        <is>
          <t>1014804</t>
        </is>
      </c>
      <c r="B563" s="3" t="inlineStr">
        <is>
          <t>10148</t>
        </is>
      </c>
      <c r="C563" s="10" t="n">
        <v>45673.30105324074</v>
      </c>
      <c r="D563" s="10" t="n">
        <v>45673.30355324074</v>
      </c>
      <c r="E563" s="10" t="n">
        <v>45673.32517361111</v>
      </c>
      <c r="F563" s="10" t="n">
        <v>45673.32645833334</v>
      </c>
      <c r="G563" s="3" t="inlineStr">
        <is>
          <t>OBT160125102340-Wr. Neustadt Ausfahrbf (Furtenbach)</t>
        </is>
      </c>
      <c r="H563" s="10" t="n">
        <v>45673.43310185185</v>
      </c>
      <c r="I563" s="10" t="n">
        <v>45673.59827546297</v>
      </c>
      <c r="J563" s="10" t="n">
        <v>45673.59943287037</v>
      </c>
      <c r="K563" s="11">
        <f>IF(AND(ISNUMBER(D563),ISNUMBER(E563)),(E563-D563),"")</f>
        <v/>
      </c>
      <c r="L563" s="11">
        <f>IF(AND(ISNUMBER(F563),ISNUMBER(I563)),(I563-F563),"")</f>
        <v/>
      </c>
    </row>
    <row r="564">
      <c r="A564" s="3" t="inlineStr">
        <is>
          <t>1014805</t>
        </is>
      </c>
      <c r="B564" s="3" t="inlineStr">
        <is>
          <t>10148</t>
        </is>
      </c>
      <c r="C564" s="10" t="n">
        <v>45673.30105324074</v>
      </c>
      <c r="D564" s="10" t="n">
        <v>45673.30355324074</v>
      </c>
      <c r="E564" s="10" t="n">
        <v>45673.32645833334</v>
      </c>
      <c r="F564" s="10" t="n">
        <v>45673.32775462963</v>
      </c>
      <c r="G564" s="3" t="inlineStr">
        <is>
          <t>OBT160125101737-Neudörfl (FunderMax)</t>
        </is>
      </c>
      <c r="H564" s="10" t="n">
        <v>45673.42890046296</v>
      </c>
      <c r="I564" s="10" t="n">
        <v>45673.47396990741</v>
      </c>
      <c r="J564" s="10" t="n">
        <v>45673.47474537037</v>
      </c>
      <c r="K564" s="11">
        <f>IF(AND(ISNUMBER(D564),ISNUMBER(E564)),(E564-D564),"")</f>
        <v/>
      </c>
      <c r="L564" s="11">
        <f>IF(AND(ISNUMBER(F564),ISNUMBER(I564)),(I564-F564),"")</f>
        <v/>
      </c>
    </row>
    <row r="565">
      <c r="A565" s="3" t="inlineStr">
        <is>
          <t>1014806</t>
        </is>
      </c>
      <c r="B565" s="3" t="inlineStr">
        <is>
          <t>10148</t>
        </is>
      </c>
      <c r="C565" s="10" t="n">
        <v>45673.30105324074</v>
      </c>
      <c r="D565" s="10" t="n">
        <v>45673.30355324074</v>
      </c>
      <c r="E565" s="10" t="n">
        <v>45673.32775462963</v>
      </c>
      <c r="F565" s="10" t="n">
        <v>45673.32910879629</v>
      </c>
      <c r="G565" s="3" t="inlineStr">
        <is>
          <t>OBT160125102340-Wr. Neustadt Ausfahrbf (Furtenbach)</t>
        </is>
      </c>
      <c r="H565" s="10" t="n">
        <v>45673.43310185185</v>
      </c>
      <c r="I565" s="10" t="n">
        <v>45673.59827546297</v>
      </c>
      <c r="J565" s="10" t="n">
        <v>45673.59943287037</v>
      </c>
      <c r="K565" s="11">
        <f>IF(AND(ISNUMBER(D565),ISNUMBER(E565)),(E565-D565),"")</f>
        <v/>
      </c>
      <c r="L565" s="11">
        <f>IF(AND(ISNUMBER(F565),ISNUMBER(I565)),(I565-F565),"")</f>
        <v/>
      </c>
    </row>
    <row r="566">
      <c r="A566" s="3" t="inlineStr">
        <is>
          <t>1014807</t>
        </is>
      </c>
      <c r="B566" s="3" t="inlineStr">
        <is>
          <t>10148</t>
        </is>
      </c>
      <c r="C566" s="10" t="n">
        <v>45673.30105324074</v>
      </c>
      <c r="D566" s="10" t="n">
        <v>45673.30355324074</v>
      </c>
      <c r="E566" s="10" t="n">
        <v>45673.32910879629</v>
      </c>
      <c r="F566" s="10" t="n">
        <v>45673.33115740741</v>
      </c>
      <c r="G566" s="3" t="inlineStr">
        <is>
          <t>OBT160125101737-Wr. Neustadt (Hödlmayr)</t>
        </is>
      </c>
      <c r="H566" s="10" t="n">
        <v>45673.42890046296</v>
      </c>
      <c r="I566" s="10" t="n">
        <v>45673.44938657407</v>
      </c>
      <c r="J566" s="10" t="n">
        <v>45673.45012731481</v>
      </c>
      <c r="K566" s="11">
        <f>IF(AND(ISNUMBER(D566),ISNUMBER(E566)),(E566-D566),"")</f>
        <v/>
      </c>
      <c r="L566" s="11">
        <f>IF(AND(ISNUMBER(F566),ISNUMBER(I566)),(I566-F566),"")</f>
        <v/>
      </c>
    </row>
    <row r="567">
      <c r="A567" s="3" t="inlineStr">
        <is>
          <t>1014808</t>
        </is>
      </c>
      <c r="B567" s="3" t="inlineStr">
        <is>
          <t>10148</t>
        </is>
      </c>
      <c r="C567" s="10" t="n">
        <v>45673.30105324074</v>
      </c>
      <c r="D567" s="10" t="n">
        <v>45673.30355324074</v>
      </c>
      <c r="E567" s="10" t="n">
        <v>45673.33115740741</v>
      </c>
      <c r="F567" s="10" t="n">
        <v>45673.33291666667</v>
      </c>
      <c r="G567" s="3" t="inlineStr">
        <is>
          <t>OBT170125073030-Other sidings north</t>
        </is>
      </c>
      <c r="H567" s="10" t="n">
        <v>45674.31284722222</v>
      </c>
      <c r="I567" s="10" t="n">
        <v>45674.46262731482</v>
      </c>
      <c r="J567" s="10" t="n">
        <v>45674.46344907407</v>
      </c>
      <c r="K567" s="11">
        <f>IF(AND(ISNUMBER(D567),ISNUMBER(E567)),(E567-D567),"")</f>
        <v/>
      </c>
      <c r="L567" s="11">
        <f>IF(AND(ISNUMBER(F567),ISNUMBER(I567)),(I567-F567),"")</f>
        <v/>
      </c>
    </row>
    <row r="568">
      <c r="A568" s="3" t="inlineStr">
        <is>
          <t>1014809</t>
        </is>
      </c>
      <c r="B568" s="3" t="inlineStr">
        <is>
          <t>10148</t>
        </is>
      </c>
      <c r="C568" s="10" t="n">
        <v>45673.30105324074</v>
      </c>
      <c r="D568" s="10" t="n">
        <v>45673.30355324074</v>
      </c>
      <c r="E568" s="10" t="n">
        <v>45673.33291666667</v>
      </c>
      <c r="F568" s="10" t="n">
        <v>45673.33483796296</v>
      </c>
      <c r="G568" s="3" t="inlineStr">
        <is>
          <t>OBT160125175803-Neunkirchen (loading tracks)</t>
        </is>
      </c>
      <c r="H568" s="10" t="n">
        <v>45673.74864583334</v>
      </c>
      <c r="I568" s="10" t="n">
        <v>45673.88354166667</v>
      </c>
      <c r="J568" s="10" t="n">
        <v>45673.88421296296</v>
      </c>
      <c r="K568" s="11">
        <f>IF(AND(ISNUMBER(D568),ISNUMBER(E568)),(E568-D568),"")</f>
        <v/>
      </c>
      <c r="L568" s="11">
        <f>IF(AND(ISNUMBER(F568),ISNUMBER(I568)),(I568-F568),"")</f>
        <v/>
      </c>
    </row>
    <row r="569">
      <c r="A569" s="3" t="inlineStr">
        <is>
          <t>1014810</t>
        </is>
      </c>
      <c r="B569" s="3" t="inlineStr">
        <is>
          <t>10148</t>
        </is>
      </c>
      <c r="C569" s="10" t="n">
        <v>45673.30105324074</v>
      </c>
      <c r="D569" s="10" t="n">
        <v>45673.30355324074</v>
      </c>
      <c r="E569" s="10" t="n">
        <v>45673.33483796296</v>
      </c>
      <c r="F569" s="10" t="n">
        <v>45673.33660879629</v>
      </c>
      <c r="G569" s="3" t="inlineStr">
        <is>
          <t>OBT160125081022-Ternitz (Schoeller-Bleckmann)</t>
        </is>
      </c>
      <c r="H569" s="10" t="n">
        <v>45673.3405324074</v>
      </c>
      <c r="I569" s="10" t="n">
        <v>45673.36009259259</v>
      </c>
      <c r="J569" s="10" t="n">
        <v>45673.3609375</v>
      </c>
      <c r="K569" s="11">
        <f>IF(AND(ISNUMBER(D569),ISNUMBER(E569)),(E569-D569),"")</f>
        <v/>
      </c>
      <c r="L569" s="11">
        <f>IF(AND(ISNUMBER(F569),ISNUMBER(I569)),(I569-F569),"")</f>
        <v/>
      </c>
    </row>
    <row r="570">
      <c r="A570" s="3" t="inlineStr">
        <is>
          <t>1014811</t>
        </is>
      </c>
      <c r="B570" s="3" t="inlineStr">
        <is>
          <t>10148</t>
        </is>
      </c>
      <c r="C570" s="10" t="n">
        <v>45673.30105324074</v>
      </c>
      <c r="D570" s="10" t="n">
        <v>45673.30355324074</v>
      </c>
      <c r="E570" s="10" t="n">
        <v>45673.33660879629</v>
      </c>
      <c r="F570" s="10" t="n">
        <v>45673.33865740741</v>
      </c>
      <c r="G570" s="3" t="inlineStr">
        <is>
          <t>OBT160125101737-Wr. Neustadt (Hödlmayr)</t>
        </is>
      </c>
      <c r="H570" s="10" t="n">
        <v>45673.42890046296</v>
      </c>
      <c r="I570" s="10" t="n">
        <v>45673.44938657407</v>
      </c>
      <c r="J570" s="10" t="n">
        <v>45673.45012731481</v>
      </c>
      <c r="K570" s="11">
        <f>IF(AND(ISNUMBER(D570),ISNUMBER(E570)),(E570-D570),"")</f>
        <v/>
      </c>
      <c r="L570" s="11">
        <f>IF(AND(ISNUMBER(F570),ISNUMBER(I570)),(I570-F570),"")</f>
        <v/>
      </c>
    </row>
    <row r="571">
      <c r="A571" s="3" t="inlineStr">
        <is>
          <t>1015001</t>
        </is>
      </c>
      <c r="B571" s="3" t="inlineStr">
        <is>
          <t>10150</t>
        </is>
      </c>
      <c r="C571" s="10" t="n">
        <v>45673.33083333333</v>
      </c>
      <c r="D571" s="10" t="n">
        <v>45673.33290509259</v>
      </c>
      <c r="E571" s="10" t="n">
        <v>45673.33952546296</v>
      </c>
      <c r="F571" s="10" t="n">
        <v>45673.34153935185</v>
      </c>
      <c r="G571" s="3" t="inlineStr">
        <is>
          <t>OBT160125081516-Wien Kledering</t>
        </is>
      </c>
      <c r="H571" s="10" t="n">
        <v>45673.34393518518</v>
      </c>
      <c r="I571" s="10" t="n">
        <v>45673.41452546296</v>
      </c>
      <c r="J571" s="10" t="n">
        <v>45673.41590277778</v>
      </c>
      <c r="K571" s="11">
        <f>IF(AND(ISNUMBER(D571),ISNUMBER(E571)),(E571-D571),"")</f>
        <v/>
      </c>
      <c r="L571" s="11">
        <f>IF(AND(ISNUMBER(F571),ISNUMBER(I571)),(I571-F571),"")</f>
        <v/>
      </c>
    </row>
    <row r="572">
      <c r="A572" s="3" t="inlineStr">
        <is>
          <t>1015201</t>
        </is>
      </c>
      <c r="B572" s="3" t="inlineStr">
        <is>
          <t>10152</t>
        </is>
      </c>
      <c r="C572" s="10" t="n">
        <v>45673.37616898148</v>
      </c>
      <c r="D572" s="10" t="n">
        <v>45673.3782175926</v>
      </c>
      <c r="E572" s="10" t="n">
        <v>45673.38605324074</v>
      </c>
      <c r="F572" s="10" t="n">
        <v>45673.38819444444</v>
      </c>
      <c r="G572" s="3" t="inlineStr">
        <is>
          <t>OBT160125092224-St. Veit an der Glan</t>
        </is>
      </c>
      <c r="H572" s="10" t="n">
        <v>45673.39055555555</v>
      </c>
      <c r="I572" s="10" t="n">
        <v>45673.42761574074</v>
      </c>
      <c r="J572" s="10" t="n">
        <v>45673.42869212963</v>
      </c>
      <c r="K572" s="11">
        <f>IF(AND(ISNUMBER(D572),ISNUMBER(E572)),(E572-D572),"")</f>
        <v/>
      </c>
      <c r="L572" s="11">
        <f>IF(AND(ISNUMBER(F572),ISNUMBER(I572)),(I572-F572),"")</f>
        <v/>
      </c>
    </row>
    <row r="573">
      <c r="A573" s="3" t="inlineStr">
        <is>
          <t>1015202</t>
        </is>
      </c>
      <c r="B573" s="3" t="inlineStr">
        <is>
          <t>10152</t>
        </is>
      </c>
      <c r="C573" s="10" t="n">
        <v>45673.37616898148</v>
      </c>
      <c r="D573" s="10" t="n">
        <v>45673.3782175926</v>
      </c>
      <c r="E573" s="10" t="n">
        <v>45673.38819444444</v>
      </c>
      <c r="F573" s="10" t="n">
        <v>45673.39049768518</v>
      </c>
      <c r="G573" s="3" t="inlineStr">
        <is>
          <t>OBT160125092526-Wien Kledering</t>
        </is>
      </c>
      <c r="H573" s="10" t="n">
        <v>45673.39266203704</v>
      </c>
      <c r="I573" s="10" t="n">
        <v>45673.42565972222</v>
      </c>
      <c r="J573" s="10" t="n">
        <v>45673.42662037037</v>
      </c>
      <c r="K573" s="11">
        <f>IF(AND(ISNUMBER(D573),ISNUMBER(E573)),(E573-D573),"")</f>
        <v/>
      </c>
      <c r="L573" s="11">
        <f>IF(AND(ISNUMBER(F573),ISNUMBER(I573)),(I573-F573),"")</f>
        <v/>
      </c>
    </row>
    <row r="574">
      <c r="A574" s="3" t="inlineStr">
        <is>
          <t>1015101</t>
        </is>
      </c>
      <c r="B574" s="3" t="inlineStr">
        <is>
          <t>10151</t>
        </is>
      </c>
      <c r="C574" s="10" t="n">
        <v>45673.37540509259</v>
      </c>
      <c r="D574" s="10" t="n">
        <v>45673.37796296296</v>
      </c>
      <c r="E574" s="10" t="n">
        <v>45673.39501157407</v>
      </c>
      <c r="F574" s="10" t="n">
        <v>45673.39665509259</v>
      </c>
      <c r="G574" s="3" t="inlineStr">
        <is>
          <t>OBT160125204054-Ebenfurth (beet loading)</t>
        </is>
      </c>
      <c r="H574" s="10" t="n">
        <v>45673.86173611111</v>
      </c>
      <c r="I574" s="10" t="n">
        <v>45674.34520833333</v>
      </c>
      <c r="J574" s="10" t="n">
        <v>45674.34606481482</v>
      </c>
      <c r="K574" s="11">
        <f>IF(AND(ISNUMBER(D574),ISNUMBER(E574)),(E574-D574),"")</f>
        <v/>
      </c>
      <c r="L574" s="11">
        <f>IF(AND(ISNUMBER(F574),ISNUMBER(I574)),(I574-F574),"")</f>
        <v/>
      </c>
    </row>
    <row r="575">
      <c r="A575" s="3" t="inlineStr">
        <is>
          <t>1015102</t>
        </is>
      </c>
      <c r="B575" s="3" t="inlineStr">
        <is>
          <t>10151</t>
        </is>
      </c>
      <c r="C575" s="10" t="n">
        <v>45673.37540509259</v>
      </c>
      <c r="D575" s="10" t="n">
        <v>45673.37796296296</v>
      </c>
      <c r="E575" s="10" t="n">
        <v>45673.39665509259</v>
      </c>
      <c r="F575" s="10" t="n">
        <v>45673.39804398148</v>
      </c>
      <c r="G575" s="3" t="inlineStr">
        <is>
          <t>OBT200125083327-Wr. Neustadt (Brenntag)</t>
        </is>
      </c>
      <c r="H575" s="10" t="n">
        <v>45677.3565625</v>
      </c>
      <c r="I575" s="10" t="n">
        <v>45677.74182870371</v>
      </c>
      <c r="J575" s="10" t="n">
        <v>45677.74260416667</v>
      </c>
      <c r="K575" s="11">
        <f>IF(AND(ISNUMBER(D575),ISNUMBER(E575)),(E575-D575),"")</f>
        <v/>
      </c>
      <c r="L575" s="11">
        <f>IF(AND(ISNUMBER(F575),ISNUMBER(I575)),(I575-F575),"")</f>
        <v/>
      </c>
    </row>
    <row r="576">
      <c r="A576" s="3" t="inlineStr">
        <is>
          <t>1015103</t>
        </is>
      </c>
      <c r="B576" s="3" t="inlineStr">
        <is>
          <t>10151</t>
        </is>
      </c>
      <c r="C576" s="10" t="n">
        <v>45673.37540509259</v>
      </c>
      <c r="D576" s="10" t="n">
        <v>45673.37796296296</v>
      </c>
      <c r="E576" s="10" t="n">
        <v>45673.39804398148</v>
      </c>
      <c r="F576" s="10" t="n">
        <v>45673.39979166666</v>
      </c>
      <c r="G576" s="3" t="inlineStr">
        <is>
          <t>OBT170125081922-Steinabrückl/Wöllersdorf</t>
        </is>
      </c>
      <c r="H576" s="10" t="n">
        <v>45674.34678240741</v>
      </c>
      <c r="I576" s="10" t="n">
        <v>45674.92876157408</v>
      </c>
      <c r="J576" s="10" t="n">
        <v>45674.93011574074</v>
      </c>
      <c r="K576" s="11">
        <f>IF(AND(ISNUMBER(D576),ISNUMBER(E576)),(E576-D576),"")</f>
        <v/>
      </c>
      <c r="L576" s="11">
        <f>IF(AND(ISNUMBER(F576),ISNUMBER(I576)),(I576-F576),"")</f>
        <v/>
      </c>
    </row>
    <row r="577">
      <c r="A577" s="3" t="inlineStr">
        <is>
          <t>1015104</t>
        </is>
      </c>
      <c r="B577" s="3" t="inlineStr">
        <is>
          <t>10151</t>
        </is>
      </c>
      <c r="C577" s="10" t="n">
        <v>45673.37540509259</v>
      </c>
      <c r="D577" s="10" t="n">
        <v>45673.37796296296</v>
      </c>
      <c r="E577" s="10" t="n">
        <v>45673.39979166666</v>
      </c>
      <c r="F577" s="10" t="n">
        <v>45673.40172453703</v>
      </c>
      <c r="G577" s="3" t="inlineStr">
        <is>
          <t>OBT160125175803-Neunkirchen (loading tracks)</t>
        </is>
      </c>
      <c r="H577" s="10" t="n">
        <v>45673.74864583334</v>
      </c>
      <c r="I577" s="10" t="n">
        <v>45673.88354166667</v>
      </c>
      <c r="J577" s="10" t="n">
        <v>45673.88421296296</v>
      </c>
      <c r="K577" s="11">
        <f>IF(AND(ISNUMBER(D577),ISNUMBER(E577)),(E577-D577),"")</f>
        <v/>
      </c>
      <c r="L577" s="11">
        <f>IF(AND(ISNUMBER(F577),ISNUMBER(I577)),(I577-F577),"")</f>
        <v/>
      </c>
    </row>
    <row r="578">
      <c r="A578" s="3" t="inlineStr">
        <is>
          <t>1015105</t>
        </is>
      </c>
      <c r="B578" s="3" t="inlineStr">
        <is>
          <t>10151</t>
        </is>
      </c>
      <c r="C578" s="10" t="n">
        <v>45673.37540509259</v>
      </c>
      <c r="D578" s="10" t="n">
        <v>45673.37796296296</v>
      </c>
      <c r="E578" s="10" t="n">
        <v>45673.40172453703</v>
      </c>
      <c r="F578" s="10" t="n">
        <v>45673.40377314815</v>
      </c>
      <c r="G578" s="3" t="inlineStr">
        <is>
          <t>OBT160125101737-Wr. Neustadt (Hödlmayr)</t>
        </is>
      </c>
      <c r="H578" s="10" t="n">
        <v>45673.42890046296</v>
      </c>
      <c r="I578" s="10" t="n">
        <v>45673.44938657407</v>
      </c>
      <c r="J578" s="10" t="n">
        <v>45673.45012731481</v>
      </c>
      <c r="K578" s="11">
        <f>IF(AND(ISNUMBER(D578),ISNUMBER(E578)),(E578-D578),"")</f>
        <v/>
      </c>
      <c r="L578" s="11">
        <f>IF(AND(ISNUMBER(F578),ISNUMBER(I578)),(I578-F578),"")</f>
        <v/>
      </c>
    </row>
    <row r="579">
      <c r="A579" s="3" t="inlineStr">
        <is>
          <t>1015106</t>
        </is>
      </c>
      <c r="B579" s="3" t="inlineStr">
        <is>
          <t>10151</t>
        </is>
      </c>
      <c r="C579" s="10" t="n">
        <v>45673.37540509259</v>
      </c>
      <c r="D579" s="10" t="n">
        <v>45673.37796296296</v>
      </c>
      <c r="E579" s="10" t="n">
        <v>45673.40377314815</v>
      </c>
      <c r="F579" s="10" t="n">
        <v>45673.40511574074</v>
      </c>
      <c r="G579" s="3" t="inlineStr">
        <is>
          <t>OBT160125101737-Neudörfl (FunderMax)</t>
        </is>
      </c>
      <c r="H579" s="10" t="n">
        <v>45673.42890046296</v>
      </c>
      <c r="I579" s="10" t="n">
        <v>45673.47396990741</v>
      </c>
      <c r="J579" s="10" t="n">
        <v>45673.47474537037</v>
      </c>
      <c r="K579" s="11">
        <f>IF(AND(ISNUMBER(D579),ISNUMBER(E579)),(E579-D579),"")</f>
        <v/>
      </c>
      <c r="L579" s="11">
        <f>IF(AND(ISNUMBER(F579),ISNUMBER(I579)),(I579-F579),"")</f>
        <v/>
      </c>
    </row>
    <row r="580">
      <c r="A580" s="3" t="inlineStr">
        <is>
          <t>1015107</t>
        </is>
      </c>
      <c r="B580" s="3" t="inlineStr">
        <is>
          <t>10151</t>
        </is>
      </c>
      <c r="C580" s="10" t="n">
        <v>45673.37540509259</v>
      </c>
      <c r="D580" s="10" t="n">
        <v>45673.37796296296</v>
      </c>
      <c r="E580" s="10" t="n">
        <v>45673.40511574074</v>
      </c>
      <c r="F580" s="10" t="n">
        <v>45673.40702546296</v>
      </c>
      <c r="G580" s="3" t="inlineStr">
        <is>
          <t>OBT170125093600-Gloggnitz</t>
        </is>
      </c>
      <c r="H580" s="10" t="n">
        <v>45674.4</v>
      </c>
      <c r="I580" s="10" t="n">
        <v>45675.32832175926</v>
      </c>
      <c r="J580" s="10" t="n">
        <v>45675.32907407408</v>
      </c>
      <c r="K580" s="11">
        <f>IF(AND(ISNUMBER(D580),ISNUMBER(E580)),(E580-D580),"")</f>
        <v/>
      </c>
      <c r="L580" s="11">
        <f>IF(AND(ISNUMBER(F580),ISNUMBER(I580)),(I580-F580),"")</f>
        <v/>
      </c>
    </row>
    <row r="581">
      <c r="A581" s="3" t="inlineStr">
        <is>
          <t>1015108</t>
        </is>
      </c>
      <c r="B581" s="3" t="inlineStr">
        <is>
          <t>10151</t>
        </is>
      </c>
      <c r="C581" s="10" t="n">
        <v>45673.37540509259</v>
      </c>
      <c r="D581" s="10" t="n">
        <v>45673.37796296296</v>
      </c>
      <c r="E581" s="10" t="n">
        <v>45673.40702546296</v>
      </c>
      <c r="F581" s="10" t="n">
        <v>45673.40854166666</v>
      </c>
      <c r="G581" s="3" t="inlineStr">
        <is>
          <t>OBT170125031540-Other sidings south</t>
        </is>
      </c>
      <c r="H581" s="10" t="n">
        <v>45674.13587962963</v>
      </c>
      <c r="I581" s="10" t="n">
        <v>45674.37018518519</v>
      </c>
      <c r="J581" s="10" t="n">
        <v>45674.37104166667</v>
      </c>
      <c r="K581" s="11">
        <f>IF(AND(ISNUMBER(D581),ISNUMBER(E581)),(E581-D581),"")</f>
        <v/>
      </c>
      <c r="L581" s="11">
        <f>IF(AND(ISNUMBER(F581),ISNUMBER(I581)),(I581-F581),"")</f>
        <v/>
      </c>
    </row>
    <row r="582">
      <c r="A582" s="3" t="inlineStr">
        <is>
          <t>1015109</t>
        </is>
      </c>
      <c r="B582" s="3" t="inlineStr">
        <is>
          <t>10151</t>
        </is>
      </c>
      <c r="C582" s="10" t="n">
        <v>45673.37540509259</v>
      </c>
      <c r="D582" s="10" t="n">
        <v>45673.37796296296</v>
      </c>
      <c r="E582" s="10" t="n">
        <v>45673.40854166666</v>
      </c>
      <c r="F582" s="10" t="n">
        <v>45673.40991898148</v>
      </c>
      <c r="G582" s="3" t="inlineStr">
        <is>
          <t>OBT160125102340-Wr. Neustadt Ausfahrbf (Furtenbach)</t>
        </is>
      </c>
      <c r="H582" s="10" t="n">
        <v>45673.43310185185</v>
      </c>
      <c r="I582" s="10" t="n">
        <v>45673.59827546297</v>
      </c>
      <c r="J582" s="10" t="n">
        <v>45673.59943287037</v>
      </c>
      <c r="K582" s="11">
        <f>IF(AND(ISNUMBER(D582),ISNUMBER(E582)),(E582-D582),"")</f>
        <v/>
      </c>
      <c r="L582" s="11">
        <f>IF(AND(ISNUMBER(F582),ISNUMBER(I582)),(I582-F582),"")</f>
        <v/>
      </c>
    </row>
    <row r="583">
      <c r="A583" s="3" t="inlineStr">
        <is>
          <t>1015110</t>
        </is>
      </c>
      <c r="B583" s="3" t="inlineStr">
        <is>
          <t>10151</t>
        </is>
      </c>
      <c r="C583" s="10" t="n">
        <v>45673.37540509259</v>
      </c>
      <c r="D583" s="10" t="n">
        <v>45673.37796296296</v>
      </c>
      <c r="E583" s="10" t="n">
        <v>45673.40991898148</v>
      </c>
      <c r="F583" s="10" t="n">
        <v>45673.41155092593</v>
      </c>
      <c r="G583" s="3" t="inlineStr">
        <is>
          <t>OBT160125102340-Wr. Neustadt Ausfahrbf (Furtenbach)</t>
        </is>
      </c>
      <c r="H583" s="10" t="n">
        <v>45673.43310185185</v>
      </c>
      <c r="I583" s="10" t="n">
        <v>45673.59827546297</v>
      </c>
      <c r="J583" s="10" t="n">
        <v>45673.59943287037</v>
      </c>
      <c r="K583" s="11">
        <f>IF(AND(ISNUMBER(D583),ISNUMBER(E583)),(E583-D583),"")</f>
        <v/>
      </c>
      <c r="L583" s="11">
        <f>IF(AND(ISNUMBER(F583),ISNUMBER(I583)),(I583-F583),"")</f>
        <v/>
      </c>
    </row>
    <row r="584">
      <c r="A584" s="3" t="inlineStr">
        <is>
          <t>1015301</t>
        </is>
      </c>
      <c r="B584" s="3" t="inlineStr">
        <is>
          <t>10153</t>
        </is>
      </c>
      <c r="C584" s="10" t="n">
        <v>45673.4411574074</v>
      </c>
      <c r="D584" s="10" t="n">
        <v>45673.44357638889</v>
      </c>
      <c r="E584" s="10" t="n">
        <v>45673.45113425926</v>
      </c>
      <c r="F584" s="10" t="n">
        <v>45673.45231481481</v>
      </c>
      <c r="G584" s="3" t="inlineStr">
        <is>
          <t>OBT170125073842-St. Veit an der Glan</t>
        </is>
      </c>
      <c r="H584" s="10" t="n">
        <v>45674.31854166667</v>
      </c>
      <c r="I584" s="10" t="n">
        <v>45674.68287037037</v>
      </c>
      <c r="J584" s="10" t="n">
        <v>45674.68364583333</v>
      </c>
      <c r="K584" s="11">
        <f>IF(AND(ISNUMBER(D584),ISNUMBER(E584)),(E584-D584),"")</f>
        <v/>
      </c>
      <c r="L584" s="11">
        <f>IF(AND(ISNUMBER(F584),ISNUMBER(I584)),(I584-F584),"")</f>
        <v/>
      </c>
    </row>
    <row r="585">
      <c r="A585" s="3" t="inlineStr">
        <is>
          <t>1015302</t>
        </is>
      </c>
      <c r="B585" s="3" t="inlineStr">
        <is>
          <t>10153</t>
        </is>
      </c>
      <c r="C585" s="10" t="n">
        <v>45673.4411574074</v>
      </c>
      <c r="D585" s="10" t="n">
        <v>45673.44357638889</v>
      </c>
      <c r="E585" s="10" t="n">
        <v>45673.45231481481</v>
      </c>
      <c r="F585" s="10" t="n">
        <v>45673.45478009259</v>
      </c>
      <c r="G585" s="3" t="inlineStr">
        <is>
          <t>OBT160125105820-Wien Kledering</t>
        </is>
      </c>
      <c r="H585" s="10" t="n">
        <v>45673.45717592593</v>
      </c>
      <c r="I585" s="10" t="n">
        <v>45673.6747337963</v>
      </c>
      <c r="J585" s="10" t="n">
        <v>45673.67611111111</v>
      </c>
      <c r="K585" s="11">
        <f>IF(AND(ISNUMBER(D585),ISNUMBER(E585)),(E585-D585),"")</f>
        <v/>
      </c>
      <c r="L585" s="11">
        <f>IF(AND(ISNUMBER(F585),ISNUMBER(I585)),(I585-F585),"")</f>
        <v/>
      </c>
    </row>
    <row r="586">
      <c r="A586" s="3" t="inlineStr">
        <is>
          <t>1015401</t>
        </is>
      </c>
      <c r="B586" s="3" t="inlineStr">
        <is>
          <t>10154</t>
        </is>
      </c>
      <c r="C586" s="10" t="n">
        <v>45673.53206018519</v>
      </c>
      <c r="D586" s="10" t="n">
        <v>45673.53405092593</v>
      </c>
      <c r="E586" s="10" t="n">
        <v>45673.53900462963</v>
      </c>
      <c r="F586" s="10" t="n">
        <v>45673.54138888889</v>
      </c>
      <c r="G586" s="3" t="inlineStr">
        <is>
          <t>OBT160125130303-Wien Kledering</t>
        </is>
      </c>
      <c r="H586" s="10" t="n">
        <v>45673.54378472222</v>
      </c>
      <c r="I586" s="10" t="n">
        <v>45673.67310185185</v>
      </c>
      <c r="J586" s="10" t="n">
        <v>45673.67400462963</v>
      </c>
      <c r="K586" s="11">
        <f>IF(AND(ISNUMBER(D586),ISNUMBER(E586)),(E586-D586),"")</f>
        <v/>
      </c>
      <c r="L586" s="11">
        <f>IF(AND(ISNUMBER(F586),ISNUMBER(I586)),(I586-F586),"")</f>
        <v/>
      </c>
    </row>
    <row r="587">
      <c r="A587" s="3" t="inlineStr">
        <is>
          <t>1015501</t>
        </is>
      </c>
      <c r="B587" s="3" t="inlineStr">
        <is>
          <t>10155</t>
        </is>
      </c>
      <c r="C587" s="10" t="n">
        <v>45673.60488425926</v>
      </c>
      <c r="D587" s="10" t="n">
        <v>45673.60701388889</v>
      </c>
      <c r="E587" s="10" t="n">
        <v>45673.61247685185</v>
      </c>
      <c r="F587" s="10" t="n">
        <v>45673.61425925926</v>
      </c>
      <c r="G587" s="3" t="inlineStr">
        <is>
          <t>OBT160125144759-Wien Kledering</t>
        </is>
      </c>
      <c r="H587" s="10" t="n">
        <v>45673.61665509259</v>
      </c>
      <c r="I587" s="10" t="n">
        <v>45673.69584490741</v>
      </c>
      <c r="J587" s="10" t="n">
        <v>45673.69680555556</v>
      </c>
      <c r="K587" s="11">
        <f>IF(AND(ISNUMBER(D587),ISNUMBER(E587)),(E587-D587),"")</f>
        <v/>
      </c>
      <c r="L587" s="11">
        <f>IF(AND(ISNUMBER(F587),ISNUMBER(I587)),(I587-F587),"")</f>
        <v/>
      </c>
    </row>
    <row r="588">
      <c r="A588" s="3" t="inlineStr">
        <is>
          <t>1015601</t>
        </is>
      </c>
      <c r="B588" s="3" t="inlineStr">
        <is>
          <t>10156</t>
        </is>
      </c>
      <c r="C588" s="10" t="n">
        <v>45673.614375</v>
      </c>
      <c r="D588" s="10" t="n">
        <v>45673.61674768518</v>
      </c>
      <c r="E588" s="10" t="n">
        <v>45673.62877314815</v>
      </c>
      <c r="F588" s="10" t="n">
        <v>45673.63074074074</v>
      </c>
      <c r="G588" s="3" t="inlineStr">
        <is>
          <t>OBT160125175803-Neunkirchen (loading tracks)</t>
        </is>
      </c>
      <c r="H588" s="10" t="n">
        <v>45673.74864583334</v>
      </c>
      <c r="I588" s="10" t="n">
        <v>45673.88354166667</v>
      </c>
      <c r="J588" s="10" t="n">
        <v>45673.88421296296</v>
      </c>
      <c r="K588" s="11">
        <f>IF(AND(ISNUMBER(D588),ISNUMBER(E588)),(E588-D588),"")</f>
        <v/>
      </c>
      <c r="L588" s="11">
        <f>IF(AND(ISNUMBER(F588),ISNUMBER(I588)),(I588-F588),"")</f>
        <v/>
      </c>
    </row>
    <row r="589">
      <c r="A589" s="3" t="inlineStr">
        <is>
          <t>1015602</t>
        </is>
      </c>
      <c r="B589" s="3" t="inlineStr">
        <is>
          <t>10156</t>
        </is>
      </c>
      <c r="C589" s="10" t="n">
        <v>45673.614375</v>
      </c>
      <c r="D589" s="10" t="n">
        <v>45673.61674768518</v>
      </c>
      <c r="E589" s="10" t="n">
        <v>45673.63074074074</v>
      </c>
      <c r="F589" s="10" t="n">
        <v>45673.63238425926</v>
      </c>
      <c r="G589" s="3" t="inlineStr">
        <is>
          <t>OBT160125151346-Pitten (Hamburger)</t>
        </is>
      </c>
      <c r="H589" s="10" t="n">
        <v>45673.63456018519</v>
      </c>
      <c r="I589" s="10" t="n">
        <v>45673.71283564815</v>
      </c>
      <c r="J589" s="10" t="n">
        <v>45673.71365740741</v>
      </c>
      <c r="K589" s="11">
        <f>IF(AND(ISNUMBER(D589),ISNUMBER(E589)),(E589-D589),"")</f>
        <v/>
      </c>
      <c r="L589" s="11">
        <f>IF(AND(ISNUMBER(F589),ISNUMBER(I589)),(I589-F589),"")</f>
        <v/>
      </c>
    </row>
    <row r="590">
      <c r="A590" s="3" t="inlineStr">
        <is>
          <t>1015603</t>
        </is>
      </c>
      <c r="B590" s="3" t="inlineStr">
        <is>
          <t>10156</t>
        </is>
      </c>
      <c r="C590" s="10" t="n">
        <v>45673.614375</v>
      </c>
      <c r="D590" s="10" t="n">
        <v>45673.61674768518</v>
      </c>
      <c r="E590" s="10" t="n">
        <v>45673.63238425926</v>
      </c>
      <c r="F590" s="10" t="n">
        <v>45673.63399305556</v>
      </c>
      <c r="G590" s="3" t="inlineStr">
        <is>
          <t>OBT160125204054-Ebenfurth (beet loading)</t>
        </is>
      </c>
      <c r="H590" s="10" t="n">
        <v>45673.86173611111</v>
      </c>
      <c r="I590" s="10" t="n">
        <v>45674.34520833333</v>
      </c>
      <c r="J590" s="10" t="n">
        <v>45674.34606481482</v>
      </c>
      <c r="K590" s="11">
        <f>IF(AND(ISNUMBER(D590),ISNUMBER(E590)),(E590-D590),"")</f>
        <v/>
      </c>
      <c r="L590" s="11">
        <f>IF(AND(ISNUMBER(F590),ISNUMBER(I590)),(I590-F590),"")</f>
        <v/>
      </c>
    </row>
    <row r="591">
      <c r="A591" s="3" t="inlineStr">
        <is>
          <t>1015604</t>
        </is>
      </c>
      <c r="B591" s="3" t="inlineStr">
        <is>
          <t>10156</t>
        </is>
      </c>
      <c r="C591" s="10" t="n">
        <v>45673.614375</v>
      </c>
      <c r="D591" s="10" t="n">
        <v>45673.61674768518</v>
      </c>
      <c r="E591" s="10" t="n">
        <v>45673.63399305556</v>
      </c>
      <c r="F591" s="10" t="n">
        <v>45673.63549768519</v>
      </c>
      <c r="G591" s="3" t="inlineStr">
        <is>
          <t>OBT170125031540-Other sidings south</t>
        </is>
      </c>
      <c r="H591" s="10" t="n">
        <v>45674.13587962963</v>
      </c>
      <c r="I591" s="10" t="n">
        <v>45674.37018518519</v>
      </c>
      <c r="J591" s="10" t="n">
        <v>45674.37104166667</v>
      </c>
      <c r="K591" s="11">
        <f>IF(AND(ISNUMBER(D591),ISNUMBER(E591)),(E591-D591),"")</f>
        <v/>
      </c>
      <c r="L591" s="11">
        <f>IF(AND(ISNUMBER(F591),ISNUMBER(I591)),(I591-F591),"")</f>
        <v/>
      </c>
    </row>
    <row r="592">
      <c r="A592" s="3" t="inlineStr">
        <is>
          <t>1015605</t>
        </is>
      </c>
      <c r="B592" s="3" t="inlineStr">
        <is>
          <t>10156</t>
        </is>
      </c>
      <c r="C592" s="10" t="n">
        <v>45673.614375</v>
      </c>
      <c r="D592" s="10" t="n">
        <v>45673.61674768518</v>
      </c>
      <c r="E592" s="10" t="n">
        <v>45673.63549768519</v>
      </c>
      <c r="F592" s="10" t="n">
        <v>45673.63741898148</v>
      </c>
      <c r="G592" s="3" t="inlineStr">
        <is>
          <t>OBT170125093600-Gloggnitz</t>
        </is>
      </c>
      <c r="H592" s="10" t="n">
        <v>45674.4</v>
      </c>
      <c r="I592" s="10" t="n">
        <v>45675.32832175926</v>
      </c>
      <c r="J592" s="10" t="n">
        <v>45675.32907407408</v>
      </c>
      <c r="K592" s="11">
        <f>IF(AND(ISNUMBER(D592),ISNUMBER(E592)),(E592-D592),"")</f>
        <v/>
      </c>
      <c r="L592" s="11">
        <f>IF(AND(ISNUMBER(F592),ISNUMBER(I592)),(I592-F592),"")</f>
        <v/>
      </c>
    </row>
    <row r="593">
      <c r="A593" s="3" t="inlineStr">
        <is>
          <t>1015606</t>
        </is>
      </c>
      <c r="B593" s="3" t="inlineStr">
        <is>
          <t>10156</t>
        </is>
      </c>
      <c r="C593" s="10" t="n">
        <v>45673.614375</v>
      </c>
      <c r="D593" s="10" t="n">
        <v>45673.61674768518</v>
      </c>
      <c r="E593" s="10" t="n">
        <v>45673.63741898148</v>
      </c>
      <c r="F593" s="10" t="n">
        <v>45673.639375</v>
      </c>
      <c r="G593" s="3" t="inlineStr">
        <is>
          <t>OBT170125044950-Neudörfl (FunderMax)</t>
        </is>
      </c>
      <c r="H593" s="10" t="n">
        <v>45674.20127314814</v>
      </c>
      <c r="I593" s="10" t="n">
        <v>45674.47880787037</v>
      </c>
      <c r="J593" s="10" t="n">
        <v>45674.48069444444</v>
      </c>
      <c r="K593" s="11">
        <f>IF(AND(ISNUMBER(D593),ISNUMBER(E593)),(E593-D593),"")</f>
        <v/>
      </c>
      <c r="L593" s="11">
        <f>IF(AND(ISNUMBER(F593),ISNUMBER(I593)),(I593-F593),"")</f>
        <v/>
      </c>
    </row>
    <row r="594">
      <c r="A594" s="3" t="inlineStr">
        <is>
          <t>1015607</t>
        </is>
      </c>
      <c r="B594" s="3" t="inlineStr">
        <is>
          <t>10156</t>
        </is>
      </c>
      <c r="C594" s="10" t="n">
        <v>45673.614375</v>
      </c>
      <c r="D594" s="10" t="n">
        <v>45673.61674768518</v>
      </c>
      <c r="E594" s="10" t="n">
        <v>45673.639375</v>
      </c>
      <c r="F594" s="10" t="n">
        <v>45673.64075231482</v>
      </c>
      <c r="G594" s="3" t="inlineStr">
        <is>
          <t>OBT160125203907-Wr. Neustadt (Hödlmayr)</t>
        </is>
      </c>
      <c r="H594" s="10" t="n">
        <v>45673.86049768519</v>
      </c>
      <c r="I594" s="10" t="n">
        <v>45674.3002662037</v>
      </c>
      <c r="J594" s="10" t="n">
        <v>45674.30106481481</v>
      </c>
      <c r="K594" s="11">
        <f>IF(AND(ISNUMBER(D594),ISNUMBER(E594)),(E594-D594),"")</f>
        <v/>
      </c>
      <c r="L594" s="11">
        <f>IF(AND(ISNUMBER(F594),ISNUMBER(I594)),(I594-F594),"")</f>
        <v/>
      </c>
    </row>
    <row r="595">
      <c r="A595" s="3" t="inlineStr">
        <is>
          <t>1015701</t>
        </is>
      </c>
      <c r="B595" s="3" t="inlineStr">
        <is>
          <t>10157</t>
        </is>
      </c>
      <c r="C595" s="10" t="n">
        <v>45673.64357638889</v>
      </c>
      <c r="D595" s="10" t="n">
        <v>45673.64494212963</v>
      </c>
      <c r="E595" s="10" t="n">
        <v>45673.6490162037</v>
      </c>
      <c r="F595" s="10" t="n">
        <v>45673.65143518519</v>
      </c>
      <c r="G595" s="3" t="inlineStr">
        <is>
          <t>OBT160125162643-Wien Kledering</t>
        </is>
      </c>
      <c r="H595" s="10" t="n">
        <v>45673.68521990741</v>
      </c>
      <c r="I595" s="10" t="n">
        <v>45673.77275462963</v>
      </c>
      <c r="J595" s="10" t="n">
        <v>45673.77357638889</v>
      </c>
      <c r="K595" s="11">
        <f>IF(AND(ISNUMBER(D595),ISNUMBER(E595)),(E595-D595),"")</f>
        <v/>
      </c>
      <c r="L595" s="11">
        <f>IF(AND(ISNUMBER(F595),ISNUMBER(I595)),(I595-F595),"")</f>
        <v/>
      </c>
    </row>
    <row r="596">
      <c r="A596" s="3" t="inlineStr">
        <is>
          <t>1015801</t>
        </is>
      </c>
      <c r="B596" s="3" t="inlineStr">
        <is>
          <t>10158</t>
        </is>
      </c>
      <c r="C596" s="10" t="n">
        <v>45673.67059027778</v>
      </c>
      <c r="D596" s="10" t="n">
        <v>45673.6724537037</v>
      </c>
      <c r="E596" s="10" t="n">
        <v>45673.67797453704</v>
      </c>
      <c r="F596" s="10" t="n">
        <v>45673.67924768518</v>
      </c>
      <c r="G596" s="3" t="inlineStr">
        <is>
          <t>OBT170125073842-St. Veit an der Glan</t>
        </is>
      </c>
      <c r="H596" s="10" t="n">
        <v>45674.31854166667</v>
      </c>
      <c r="I596" s="10" t="n">
        <v>45674.68287037037</v>
      </c>
      <c r="J596" s="10" t="n">
        <v>45674.68364583333</v>
      </c>
      <c r="K596" s="11">
        <f>IF(AND(ISNUMBER(D596),ISNUMBER(E596)),(E596-D596),"")</f>
        <v/>
      </c>
      <c r="L596" s="11">
        <f>IF(AND(ISNUMBER(F596),ISNUMBER(I596)),(I596-F596),"")</f>
        <v/>
      </c>
    </row>
    <row r="597">
      <c r="A597" s="3" t="inlineStr">
        <is>
          <t>1015802</t>
        </is>
      </c>
      <c r="B597" s="3" t="inlineStr">
        <is>
          <t>10158</t>
        </is>
      </c>
      <c r="C597" s="10" t="n">
        <v>45673.67059027778</v>
      </c>
      <c r="D597" s="10" t="n">
        <v>45673.6724537037</v>
      </c>
      <c r="E597" s="10" t="n">
        <v>45673.67924768518</v>
      </c>
      <c r="F597" s="10" t="n">
        <v>45673.68129629629</v>
      </c>
      <c r="G597" s="3" t="inlineStr">
        <is>
          <t>OBT160125162643-Wien Kledering</t>
        </is>
      </c>
      <c r="H597" s="10" t="n">
        <v>45673.68521990741</v>
      </c>
      <c r="I597" s="10" t="n">
        <v>45673.77275462963</v>
      </c>
      <c r="J597" s="10" t="n">
        <v>45673.77357638889</v>
      </c>
      <c r="K597" s="11">
        <f>IF(AND(ISNUMBER(D597),ISNUMBER(E597)),(E597-D597),"")</f>
        <v/>
      </c>
      <c r="L597" s="11">
        <f>IF(AND(ISNUMBER(F597),ISNUMBER(I597)),(I597-F597),"")</f>
        <v/>
      </c>
    </row>
    <row r="598">
      <c r="A598" s="3" t="inlineStr">
        <is>
          <t>1015901</t>
        </is>
      </c>
      <c r="B598" s="3" t="inlineStr">
        <is>
          <t>10159</t>
        </is>
      </c>
      <c r="C598" s="10" t="n">
        <v>45673.72673611111</v>
      </c>
      <c r="D598" s="10" t="n">
        <v>45673.72949074074</v>
      </c>
      <c r="E598" s="10" t="n">
        <v>45673.74144675926</v>
      </c>
      <c r="F598" s="10" t="n">
        <v>45673.74275462963</v>
      </c>
      <c r="G598" s="3" t="inlineStr">
        <is>
          <t>OBT160125203907-Wr. Neustadt (Hödlmayr)</t>
        </is>
      </c>
      <c r="H598" s="10" t="n">
        <v>45673.86049768519</v>
      </c>
      <c r="I598" s="10" t="n">
        <v>45674.3002662037</v>
      </c>
      <c r="J598" s="10" t="n">
        <v>45674.30106481481</v>
      </c>
      <c r="K598" s="11">
        <f>IF(AND(ISNUMBER(D598),ISNUMBER(E598)),(E598-D598),"")</f>
        <v/>
      </c>
      <c r="L598" s="11">
        <f>IF(AND(ISNUMBER(F598),ISNUMBER(I598)),(I598-F598),"")</f>
        <v/>
      </c>
    </row>
    <row r="599">
      <c r="A599" s="3" t="inlineStr">
        <is>
          <t>1015902</t>
        </is>
      </c>
      <c r="B599" s="3" t="inlineStr">
        <is>
          <t>10159</t>
        </is>
      </c>
      <c r="C599" s="10" t="n">
        <v>45673.72673611111</v>
      </c>
      <c r="D599" s="10" t="n">
        <v>45673.72949074074</v>
      </c>
      <c r="E599" s="10" t="n">
        <v>45673.74275462963</v>
      </c>
      <c r="F599" s="10" t="n">
        <v>45673.74472222223</v>
      </c>
      <c r="G599" s="3" t="inlineStr">
        <is>
          <t>OBT160125175803-Neunkirchen (loading tracks)</t>
        </is>
      </c>
      <c r="H599" s="10" t="n">
        <v>45673.74864583334</v>
      </c>
      <c r="I599" s="10" t="n">
        <v>45673.88354166667</v>
      </c>
      <c r="J599" s="10" t="n">
        <v>45673.88421296296</v>
      </c>
      <c r="K599" s="11">
        <f>IF(AND(ISNUMBER(D599),ISNUMBER(E599)),(E599-D599),"")</f>
        <v/>
      </c>
      <c r="L599" s="11">
        <f>IF(AND(ISNUMBER(F599),ISNUMBER(I599)),(I599-F599),"")</f>
        <v/>
      </c>
    </row>
    <row r="600">
      <c r="A600" s="3" t="inlineStr">
        <is>
          <t>1015903</t>
        </is>
      </c>
      <c r="B600" s="3" t="inlineStr">
        <is>
          <t>10159</t>
        </is>
      </c>
      <c r="C600" s="10" t="n">
        <v>45673.72673611111</v>
      </c>
      <c r="D600" s="10" t="n">
        <v>45673.72949074074</v>
      </c>
      <c r="E600" s="10" t="n">
        <v>45673.74472222223</v>
      </c>
      <c r="F600" s="10" t="n">
        <v>45673.7468287037</v>
      </c>
      <c r="G600" s="3" t="inlineStr">
        <is>
          <t>OBT160125175833-Pitten (Hamburger)</t>
        </is>
      </c>
      <c r="H600" s="10" t="n">
        <v>45673.74899305555</v>
      </c>
      <c r="I600" s="10" t="n">
        <v>45674.19850694444</v>
      </c>
      <c r="J600" s="10" t="n">
        <v>45674.19979166667</v>
      </c>
      <c r="K600" s="11">
        <f>IF(AND(ISNUMBER(D600),ISNUMBER(E600)),(E600-D600),"")</f>
        <v/>
      </c>
      <c r="L600" s="11">
        <f>IF(AND(ISNUMBER(F600),ISNUMBER(I600)),(I600-F600),"")</f>
        <v/>
      </c>
    </row>
    <row r="601">
      <c r="A601" s="3" t="inlineStr">
        <is>
          <t>1015904</t>
        </is>
      </c>
      <c r="B601" s="3" t="inlineStr">
        <is>
          <t>10159</t>
        </is>
      </c>
      <c r="C601" s="10" t="n">
        <v>45673.72673611111</v>
      </c>
      <c r="D601" s="10" t="n">
        <v>45673.72949074074</v>
      </c>
      <c r="E601" s="10" t="n">
        <v>45673.7468287037</v>
      </c>
      <c r="F601" s="10" t="n">
        <v>45673.74884259259</v>
      </c>
      <c r="G601" s="3" t="inlineStr">
        <is>
          <t>OBT170125044950-Neudörfl (FunderMax)</t>
        </is>
      </c>
      <c r="H601" s="10" t="n">
        <v>45674.20127314814</v>
      </c>
      <c r="I601" s="10" t="n">
        <v>45674.47880787037</v>
      </c>
      <c r="J601" s="10" t="n">
        <v>45674.48069444444</v>
      </c>
      <c r="K601" s="11">
        <f>IF(AND(ISNUMBER(D601),ISNUMBER(E601)),(E601-D601),"")</f>
        <v/>
      </c>
      <c r="L601" s="11">
        <f>IF(AND(ISNUMBER(F601),ISNUMBER(I601)),(I601-F601),"")</f>
        <v/>
      </c>
    </row>
    <row r="602">
      <c r="A602" s="3" t="inlineStr">
        <is>
          <t>1015905</t>
        </is>
      </c>
      <c r="B602" s="3" t="inlineStr">
        <is>
          <t>10159</t>
        </is>
      </c>
      <c r="C602" s="10" t="n">
        <v>45673.72673611111</v>
      </c>
      <c r="D602" s="10" t="n">
        <v>45673.72949074074</v>
      </c>
      <c r="E602" s="10" t="n">
        <v>45673.74884259259</v>
      </c>
      <c r="F602" s="10" t="n">
        <v>45673.75012731482</v>
      </c>
      <c r="G602" s="3" t="inlineStr">
        <is>
          <t>OBT170125064600-Wien Kledering</t>
        </is>
      </c>
      <c r="H602" s="10" t="n">
        <v>45674.28194444445</v>
      </c>
      <c r="I602" s="10" t="n">
        <v>45674.45126157408</v>
      </c>
      <c r="J602" s="10" t="n">
        <v>45674.45237268518</v>
      </c>
      <c r="K602" s="11">
        <f>IF(AND(ISNUMBER(D602),ISNUMBER(E602)),(E602-D602),"")</f>
        <v/>
      </c>
      <c r="L602" s="11">
        <f>IF(AND(ISNUMBER(F602),ISNUMBER(I602)),(I602-F602),"")</f>
        <v/>
      </c>
    </row>
    <row r="603">
      <c r="A603" s="3" t="inlineStr">
        <is>
          <t>1016001</t>
        </is>
      </c>
      <c r="B603" s="3" t="inlineStr">
        <is>
          <t>10160</t>
        </is>
      </c>
      <c r="C603" s="10" t="n">
        <v>45673.83513888889</v>
      </c>
      <c r="D603" s="10" t="n">
        <v>45673.83724537037</v>
      </c>
      <c r="E603" s="10" t="n">
        <v>45673.84837962963</v>
      </c>
      <c r="F603" s="10" t="n">
        <v>45673.84976851852</v>
      </c>
      <c r="G603" s="3" t="inlineStr">
        <is>
          <t>OBT200125083327-Wr. Neustadt (Brenntag)</t>
        </is>
      </c>
      <c r="H603" s="10" t="n">
        <v>45677.3565625</v>
      </c>
      <c r="I603" s="10" t="n">
        <v>45677.74182870371</v>
      </c>
      <c r="J603" s="10" t="n">
        <v>45677.74260416667</v>
      </c>
      <c r="K603" s="11">
        <f>IF(AND(ISNUMBER(D603),ISNUMBER(E603)),(E603-D603),"")</f>
        <v/>
      </c>
      <c r="L603" s="11">
        <f>IF(AND(ISNUMBER(F603),ISNUMBER(I603)),(I603-F603),"")</f>
        <v/>
      </c>
    </row>
    <row r="604">
      <c r="A604" s="3" t="inlineStr">
        <is>
          <t>1016002</t>
        </is>
      </c>
      <c r="B604" s="3" t="inlineStr">
        <is>
          <t>10160</t>
        </is>
      </c>
      <c r="C604" s="10" t="n">
        <v>45673.83513888889</v>
      </c>
      <c r="D604" s="10" t="n">
        <v>45673.83724537037</v>
      </c>
      <c r="E604" s="10" t="n">
        <v>45673.84976851852</v>
      </c>
      <c r="F604" s="10" t="n">
        <v>45673.85200231482</v>
      </c>
      <c r="G604" s="3" t="inlineStr">
        <is>
          <t>OBT160125203020-Pitten (Hamburger)</t>
        </is>
      </c>
      <c r="H604" s="10" t="n">
        <v>45673.85439814815</v>
      </c>
      <c r="I604" s="10" t="n">
        <v>45674.21833333333</v>
      </c>
      <c r="J604" s="10" t="n">
        <v>45674.21908564815</v>
      </c>
      <c r="K604" s="11">
        <f>IF(AND(ISNUMBER(D604),ISNUMBER(E604)),(E604-D604),"")</f>
        <v/>
      </c>
      <c r="L604" s="11">
        <f>IF(AND(ISNUMBER(F604),ISNUMBER(I604)),(I604-F604),"")</f>
        <v/>
      </c>
    </row>
    <row r="605">
      <c r="A605" s="3" t="inlineStr">
        <is>
          <t>1016003</t>
        </is>
      </c>
      <c r="B605" s="3" t="inlineStr">
        <is>
          <t>10160</t>
        </is>
      </c>
      <c r="C605" s="10" t="n">
        <v>45673.83513888889</v>
      </c>
      <c r="D605" s="10" t="n">
        <v>45673.83724537037</v>
      </c>
      <c r="E605" s="10" t="n">
        <v>45673.85200231482</v>
      </c>
      <c r="F605" s="10" t="n">
        <v>45673.85351851852</v>
      </c>
      <c r="G605" s="3" t="inlineStr">
        <is>
          <t>OBT170125031540-Other sidings south</t>
        </is>
      </c>
      <c r="H605" s="10" t="n">
        <v>45674.13587962963</v>
      </c>
      <c r="I605" s="10" t="n">
        <v>45674.37018518519</v>
      </c>
      <c r="J605" s="10" t="n">
        <v>45674.37104166667</v>
      </c>
      <c r="K605" s="11">
        <f>IF(AND(ISNUMBER(D605),ISNUMBER(E605)),(E605-D605),"")</f>
        <v/>
      </c>
      <c r="L605" s="11">
        <f>IF(AND(ISNUMBER(F605),ISNUMBER(I605)),(I605-F605),"")</f>
        <v/>
      </c>
    </row>
    <row r="606">
      <c r="A606" s="3" t="inlineStr">
        <is>
          <t>1016004</t>
        </is>
      </c>
      <c r="B606" s="3" t="inlineStr">
        <is>
          <t>10160</t>
        </is>
      </c>
      <c r="C606" s="10" t="n">
        <v>45673.83513888889</v>
      </c>
      <c r="D606" s="10" t="n">
        <v>45673.83724537037</v>
      </c>
      <c r="E606" s="10" t="n">
        <v>45673.85351851852</v>
      </c>
      <c r="F606" s="10" t="n">
        <v>45673.8552662037</v>
      </c>
      <c r="G606" s="3" t="inlineStr">
        <is>
          <t>OBT170125081922-Steinabrückl/Wöllersdorf</t>
        </is>
      </c>
      <c r="H606" s="10" t="n">
        <v>45674.34678240741</v>
      </c>
      <c r="I606" s="10" t="n">
        <v>45674.92876157408</v>
      </c>
      <c r="J606" s="10" t="n">
        <v>45674.93011574074</v>
      </c>
      <c r="K606" s="11">
        <f>IF(AND(ISNUMBER(D606),ISNUMBER(E606)),(E606-D606),"")</f>
        <v/>
      </c>
      <c r="L606" s="11">
        <f>IF(AND(ISNUMBER(F606),ISNUMBER(I606)),(I606-F606),"")</f>
        <v/>
      </c>
    </row>
    <row r="607">
      <c r="A607" s="3" t="inlineStr">
        <is>
          <t>1016005</t>
        </is>
      </c>
      <c r="B607" s="3" t="inlineStr">
        <is>
          <t>10160</t>
        </is>
      </c>
      <c r="C607" s="10" t="n">
        <v>45673.83513888889</v>
      </c>
      <c r="D607" s="10" t="n">
        <v>45673.83724537037</v>
      </c>
      <c r="E607" s="10" t="n">
        <v>45673.8552662037</v>
      </c>
      <c r="F607" s="10" t="n">
        <v>45673.85657407407</v>
      </c>
      <c r="G607" s="3" t="inlineStr">
        <is>
          <t>OBT160125203907-Wr. Neustadt (Hödlmayr)</t>
        </is>
      </c>
      <c r="H607" s="10" t="n">
        <v>45673.86049768519</v>
      </c>
      <c r="I607" s="10" t="n">
        <v>45674.3002662037</v>
      </c>
      <c r="J607" s="10" t="n">
        <v>45674.30106481481</v>
      </c>
      <c r="K607" s="11">
        <f>IF(AND(ISNUMBER(D607),ISNUMBER(E607)),(E607-D607),"")</f>
        <v/>
      </c>
      <c r="L607" s="11">
        <f>IF(AND(ISNUMBER(F607),ISNUMBER(I607)),(I607-F607),"")</f>
        <v/>
      </c>
    </row>
    <row r="608">
      <c r="A608" s="3" t="inlineStr">
        <is>
          <t>1016006</t>
        </is>
      </c>
      <c r="B608" s="3" t="inlineStr">
        <is>
          <t>10160</t>
        </is>
      </c>
      <c r="C608" s="10" t="n">
        <v>45673.83513888889</v>
      </c>
      <c r="D608" s="10" t="n">
        <v>45673.83724537037</v>
      </c>
      <c r="E608" s="10" t="n">
        <v>45673.85657407407</v>
      </c>
      <c r="F608" s="10" t="n">
        <v>45673.85819444444</v>
      </c>
      <c r="G608" s="3" t="inlineStr">
        <is>
          <t>OBT160125204054-Ebenfurth (beet loading)</t>
        </is>
      </c>
      <c r="H608" s="10" t="n">
        <v>45673.86173611111</v>
      </c>
      <c r="I608" s="10" t="n">
        <v>45674.34520833333</v>
      </c>
      <c r="J608" s="10" t="n">
        <v>45674.34606481482</v>
      </c>
      <c r="K608" s="11">
        <f>IF(AND(ISNUMBER(D608),ISNUMBER(E608)),(E608-D608),"")</f>
        <v/>
      </c>
      <c r="L608" s="11">
        <f>IF(AND(ISNUMBER(F608),ISNUMBER(I608)),(I608-F608),"")</f>
        <v/>
      </c>
    </row>
    <row r="609">
      <c r="A609" s="3" t="inlineStr">
        <is>
          <t>1016007</t>
        </is>
      </c>
      <c r="B609" s="3" t="inlineStr">
        <is>
          <t>10160</t>
        </is>
      </c>
      <c r="C609" s="10" t="n">
        <v>45673.83513888889</v>
      </c>
      <c r="D609" s="10" t="n">
        <v>45673.83724537037</v>
      </c>
      <c r="E609" s="10" t="n">
        <v>45673.85819444444</v>
      </c>
      <c r="F609" s="10" t="n">
        <v>45673.85993055555</v>
      </c>
      <c r="G609" s="3" t="inlineStr">
        <is>
          <t>OBT170125030753-Neunkirchen (loading tracks)</t>
        </is>
      </c>
      <c r="H609" s="10" t="n">
        <v>45674.13047453704</v>
      </c>
      <c r="I609" s="10" t="n">
        <v>45674.35768518518</v>
      </c>
      <c r="J609" s="10" t="n">
        <v>45674.35865740741</v>
      </c>
      <c r="K609" s="11">
        <f>IF(AND(ISNUMBER(D609),ISNUMBER(E609)),(E609-D609),"")</f>
        <v/>
      </c>
      <c r="L609" s="11">
        <f>IF(AND(ISNUMBER(F609),ISNUMBER(I609)),(I609-F609),"")</f>
        <v/>
      </c>
    </row>
    <row r="610">
      <c r="A610" s="3" t="inlineStr">
        <is>
          <t>1016101</t>
        </is>
      </c>
      <c r="B610" s="3" t="inlineStr">
        <is>
          <t>10161</t>
        </is>
      </c>
      <c r="C610" s="10" t="n">
        <v>45674.11395833334</v>
      </c>
      <c r="D610" s="10" t="n">
        <v>45674.11603009259</v>
      </c>
      <c r="E610" s="10" t="n">
        <v>45674.12452546296</v>
      </c>
      <c r="F610" s="10" t="n">
        <v>45674.12655092592</v>
      </c>
      <c r="G610" s="3" t="inlineStr">
        <is>
          <t>OBT170125030753-Neunkirchen (loading tracks)</t>
        </is>
      </c>
      <c r="H610" s="10" t="n">
        <v>45674.13047453704</v>
      </c>
      <c r="I610" s="10" t="n">
        <v>45674.35768518518</v>
      </c>
      <c r="J610" s="10" t="n">
        <v>45674.35865740741</v>
      </c>
      <c r="K610" s="11">
        <f>IF(AND(ISNUMBER(D610),ISNUMBER(E610)),(E610-D610),"")</f>
        <v/>
      </c>
      <c r="L610" s="11">
        <f>IF(AND(ISNUMBER(F610),ISNUMBER(I610)),(I610-F610),"")</f>
        <v/>
      </c>
    </row>
    <row r="611">
      <c r="A611" s="3" t="inlineStr">
        <is>
          <t>1016102</t>
        </is>
      </c>
      <c r="B611" s="3" t="inlineStr">
        <is>
          <t>10161</t>
        </is>
      </c>
      <c r="C611" s="10" t="n">
        <v>45674.11395833334</v>
      </c>
      <c r="D611" s="10" t="n">
        <v>45674.11603009259</v>
      </c>
      <c r="E611" s="10" t="n">
        <v>45674.12655092592</v>
      </c>
      <c r="F611" s="10" t="n">
        <v>45674.12847222222</v>
      </c>
      <c r="G611" s="3" t="inlineStr">
        <is>
          <t>OBT170125093600-Gloggnitz</t>
        </is>
      </c>
      <c r="H611" s="10" t="n">
        <v>45674.4</v>
      </c>
      <c r="I611" s="10" t="n">
        <v>45675.32832175926</v>
      </c>
      <c r="J611" s="10" t="n">
        <v>45675.32907407408</v>
      </c>
      <c r="K611" s="11">
        <f>IF(AND(ISNUMBER(D611),ISNUMBER(E611)),(E611-D611),"")</f>
        <v/>
      </c>
      <c r="L611" s="11">
        <f>IF(AND(ISNUMBER(F611),ISNUMBER(I611)),(I611-F611),"")</f>
        <v/>
      </c>
    </row>
    <row r="612">
      <c r="A612" s="3" t="inlineStr">
        <is>
          <t>1016103</t>
        </is>
      </c>
      <c r="B612" s="3" t="inlineStr">
        <is>
          <t>10161</t>
        </is>
      </c>
      <c r="C612" s="10" t="n">
        <v>45674.11395833334</v>
      </c>
      <c r="D612" s="10" t="n">
        <v>45674.11603009259</v>
      </c>
      <c r="E612" s="10" t="n">
        <v>45674.12847222222</v>
      </c>
      <c r="F612" s="10" t="n">
        <v>45674.13040509259</v>
      </c>
      <c r="G612" s="3" t="inlineStr">
        <is>
          <t>OBT170125075244-Ternitz (Schoeller-Bleckmann)</t>
        </is>
      </c>
      <c r="H612" s="10" t="n">
        <v>45674.32828703704</v>
      </c>
      <c r="I612" s="10" t="n">
        <v>45674.76534722222</v>
      </c>
      <c r="J612" s="10" t="n">
        <v>45674.76621527778</v>
      </c>
      <c r="K612" s="11">
        <f>IF(AND(ISNUMBER(D612),ISNUMBER(E612)),(E612-D612),"")</f>
        <v/>
      </c>
      <c r="L612" s="11">
        <f>IF(AND(ISNUMBER(F612),ISNUMBER(I612)),(I612-F612),"")</f>
        <v/>
      </c>
    </row>
    <row r="613">
      <c r="A613" s="3" t="inlineStr">
        <is>
          <t>1016104</t>
        </is>
      </c>
      <c r="B613" s="3" t="inlineStr">
        <is>
          <t>10161</t>
        </is>
      </c>
      <c r="C613" s="10" t="n">
        <v>45674.11395833334</v>
      </c>
      <c r="D613" s="10" t="n">
        <v>45674.11603009259</v>
      </c>
      <c r="E613" s="10" t="n">
        <v>45674.13040509259</v>
      </c>
      <c r="F613" s="10" t="n">
        <v>45674.13195601852</v>
      </c>
      <c r="G613" s="3" t="inlineStr">
        <is>
          <t>OBT170125031540-Other sidings south</t>
        </is>
      </c>
      <c r="H613" s="10" t="n">
        <v>45674.13587962963</v>
      </c>
      <c r="I613" s="10" t="n">
        <v>45674.37018518519</v>
      </c>
      <c r="J613" s="10" t="n">
        <v>45674.37104166667</v>
      </c>
      <c r="K613" s="11">
        <f>IF(AND(ISNUMBER(D613),ISNUMBER(E613)),(E613-D613),"")</f>
        <v/>
      </c>
      <c r="L613" s="11">
        <f>IF(AND(ISNUMBER(F613),ISNUMBER(I613)),(I613-F613),"")</f>
        <v/>
      </c>
    </row>
    <row r="614">
      <c r="A614" s="3" t="inlineStr">
        <is>
          <t>1016201</t>
        </is>
      </c>
      <c r="B614" s="3" t="inlineStr">
        <is>
          <t>10162</t>
        </is>
      </c>
      <c r="C614" s="10" t="n">
        <v>45674.18435185185</v>
      </c>
      <c r="D614" s="10" t="n">
        <v>45674.18712962963</v>
      </c>
      <c r="E614" s="10" t="n">
        <v>45674.19461805555</v>
      </c>
      <c r="F614" s="10" t="n">
        <v>45674.19771990741</v>
      </c>
      <c r="G614" s="3" t="inlineStr">
        <is>
          <t>OBT170125044950-Neudörfl (FunderMax)</t>
        </is>
      </c>
      <c r="H614" s="10" t="n">
        <v>45674.20127314814</v>
      </c>
      <c r="I614" s="10" t="n">
        <v>45674.47880787037</v>
      </c>
      <c r="J614" s="10" t="n">
        <v>45674.48069444444</v>
      </c>
      <c r="K614" s="11">
        <f>IF(AND(ISNUMBER(D614),ISNUMBER(E614)),(E614-D614),"")</f>
        <v/>
      </c>
      <c r="L614" s="11">
        <f>IF(AND(ISNUMBER(F614),ISNUMBER(I614)),(I614-F614),"")</f>
        <v/>
      </c>
    </row>
    <row r="615">
      <c r="A615" s="3" t="inlineStr">
        <is>
          <t>1016301</t>
        </is>
      </c>
      <c r="B615" s="3" t="inlineStr">
        <is>
          <t>10163</t>
        </is>
      </c>
      <c r="C615" s="10" t="n">
        <v>45674.26960648148</v>
      </c>
      <c r="D615" s="10" t="n">
        <v>45674.27188657408</v>
      </c>
      <c r="E615" s="10" t="n">
        <v>45674.2778587963</v>
      </c>
      <c r="F615" s="10" t="n">
        <v>45674.27978009259</v>
      </c>
      <c r="G615" s="3" t="inlineStr">
        <is>
          <t>OBT170125064600-Wien Kledering</t>
        </is>
      </c>
      <c r="H615" s="10" t="n">
        <v>45674.28194444445</v>
      </c>
      <c r="I615" s="10" t="n">
        <v>45674.45126157408</v>
      </c>
      <c r="J615" s="10" t="n">
        <v>45674.45237268518</v>
      </c>
      <c r="K615" s="11">
        <f>IF(AND(ISNUMBER(D615),ISNUMBER(E615)),(E615-D615),"")</f>
        <v/>
      </c>
      <c r="L615" s="11">
        <f>IF(AND(ISNUMBER(F615),ISNUMBER(I615)),(I615-F615),"")</f>
        <v/>
      </c>
    </row>
    <row r="616">
      <c r="A616" s="3" t="inlineStr">
        <is>
          <t>1016401</t>
        </is>
      </c>
      <c r="B616" s="3" t="inlineStr">
        <is>
          <t>10164</t>
        </is>
      </c>
      <c r="C616" s="10" t="n">
        <v>45674.28966435185</v>
      </c>
      <c r="D616" s="10" t="n">
        <v>45674.29239583333</v>
      </c>
      <c r="E616" s="10" t="n">
        <v>45674.3075</v>
      </c>
      <c r="F616" s="10" t="n">
        <v>45674.30929398148</v>
      </c>
      <c r="G616" s="3" t="inlineStr">
        <is>
          <t>OBT170125073030-Other sidings north</t>
        </is>
      </c>
      <c r="H616" s="10" t="n">
        <v>45674.31284722222</v>
      </c>
      <c r="I616" s="10" t="n">
        <v>45674.46262731482</v>
      </c>
      <c r="J616" s="10" t="n">
        <v>45674.46344907407</v>
      </c>
      <c r="K616" s="11">
        <f>IF(AND(ISNUMBER(D616),ISNUMBER(E616)),(E616-D616),"")</f>
        <v/>
      </c>
      <c r="L616" s="11">
        <f>IF(AND(ISNUMBER(F616),ISNUMBER(I616)),(I616-F616),"")</f>
        <v/>
      </c>
    </row>
    <row r="617">
      <c r="A617" s="3" t="inlineStr">
        <is>
          <t>1016402</t>
        </is>
      </c>
      <c r="B617" s="3" t="inlineStr">
        <is>
          <t>10164</t>
        </is>
      </c>
      <c r="C617" s="10" t="n">
        <v>45674.28966435185</v>
      </c>
      <c r="D617" s="10" t="n">
        <v>45674.29239583333</v>
      </c>
      <c r="E617" s="10" t="n">
        <v>45674.30929398148</v>
      </c>
      <c r="F617" s="10" t="n">
        <v>45674.31162037037</v>
      </c>
      <c r="G617" s="3" t="inlineStr">
        <is>
          <t>OBT170125073211-Pitten (Hamburger)</t>
        </is>
      </c>
      <c r="H617" s="10" t="n">
        <v>45674.3140162037</v>
      </c>
      <c r="I617" s="10" t="n">
        <v>45674.57109953704</v>
      </c>
      <c r="J617" s="10" t="n">
        <v>45674.57193287037</v>
      </c>
      <c r="K617" s="11">
        <f>IF(AND(ISNUMBER(D617),ISNUMBER(E617)),(E617-D617),"")</f>
        <v/>
      </c>
      <c r="L617" s="11">
        <f>IF(AND(ISNUMBER(F617),ISNUMBER(I617)),(I617-F617),"")</f>
        <v/>
      </c>
    </row>
    <row r="618">
      <c r="A618" s="3" t="inlineStr">
        <is>
          <t>1016403</t>
        </is>
      </c>
      <c r="B618" s="3" t="inlineStr">
        <is>
          <t>10164</t>
        </is>
      </c>
      <c r="C618" s="10" t="n">
        <v>45674.28966435185</v>
      </c>
      <c r="D618" s="10" t="n">
        <v>45674.29239583333</v>
      </c>
      <c r="E618" s="10" t="n">
        <v>45674.31162037037</v>
      </c>
      <c r="F618" s="10" t="n">
        <v>45674.31337962963</v>
      </c>
      <c r="G618" s="3" t="inlineStr">
        <is>
          <t>OBT170125081922-Steinabrückl/Wöllersdorf</t>
        </is>
      </c>
      <c r="H618" s="10" t="n">
        <v>45674.34678240741</v>
      </c>
      <c r="I618" s="10" t="n">
        <v>45674.92876157408</v>
      </c>
      <c r="J618" s="10" t="n">
        <v>45674.93011574074</v>
      </c>
      <c r="K618" s="11">
        <f>IF(AND(ISNUMBER(D618),ISNUMBER(E618)),(E618-D618),"")</f>
        <v/>
      </c>
      <c r="L618" s="11">
        <f>IF(AND(ISNUMBER(F618),ISNUMBER(I618)),(I618-F618),"")</f>
        <v/>
      </c>
    </row>
    <row r="619">
      <c r="A619" s="3" t="inlineStr">
        <is>
          <t>1016404</t>
        </is>
      </c>
      <c r="B619" s="3" t="inlineStr">
        <is>
          <t>10164</t>
        </is>
      </c>
      <c r="C619" s="10" t="n">
        <v>45674.28966435185</v>
      </c>
      <c r="D619" s="10" t="n">
        <v>45674.29239583333</v>
      </c>
      <c r="E619" s="10" t="n">
        <v>45674.31337962963</v>
      </c>
      <c r="F619" s="10" t="n">
        <v>45674.31461805556</v>
      </c>
      <c r="G619" s="3" t="inlineStr">
        <is>
          <t>OBT170125073842-St. Veit an der Glan</t>
        </is>
      </c>
      <c r="H619" s="10" t="n">
        <v>45674.31854166667</v>
      </c>
      <c r="I619" s="10" t="n">
        <v>45674.68287037037</v>
      </c>
      <c r="J619" s="10" t="n">
        <v>45674.68364583333</v>
      </c>
      <c r="K619" s="11">
        <f>IF(AND(ISNUMBER(D619),ISNUMBER(E619)),(E619-D619),"")</f>
        <v/>
      </c>
      <c r="L619" s="11">
        <f>IF(AND(ISNUMBER(F619),ISNUMBER(I619)),(I619-F619),"")</f>
        <v/>
      </c>
    </row>
    <row r="620">
      <c r="A620" s="3" t="inlineStr">
        <is>
          <t>1016405</t>
        </is>
      </c>
      <c r="B620" s="3" t="inlineStr">
        <is>
          <t>10164</t>
        </is>
      </c>
      <c r="C620" s="10" t="n">
        <v>45674.28966435185</v>
      </c>
      <c r="D620" s="10" t="n">
        <v>45674.29239583333</v>
      </c>
      <c r="E620" s="10" t="n">
        <v>45674.31461805556</v>
      </c>
      <c r="F620" s="10" t="n">
        <v>45674.31623842593</v>
      </c>
      <c r="G620" s="3" t="inlineStr">
        <is>
          <t>OBT170125091546-Pitten (Hamburger)</t>
        </is>
      </c>
      <c r="H620" s="10" t="n">
        <v>45674.38594907407</v>
      </c>
      <c r="I620" s="10" t="n">
        <v>45675.29618055555</v>
      </c>
      <c r="J620" s="10" t="n">
        <v>45675.29733796296</v>
      </c>
      <c r="K620" s="11">
        <f>IF(AND(ISNUMBER(D620),ISNUMBER(E620)),(E620-D620),"")</f>
        <v/>
      </c>
      <c r="L620" s="11">
        <f>IF(AND(ISNUMBER(F620),ISNUMBER(I620)),(I620-F620),"")</f>
        <v/>
      </c>
    </row>
    <row r="621">
      <c r="A621" s="3" t="inlineStr">
        <is>
          <t>1016406</t>
        </is>
      </c>
      <c r="B621" s="3" t="inlineStr">
        <is>
          <t>10164</t>
        </is>
      </c>
      <c r="C621" s="10" t="n">
        <v>45674.28966435185</v>
      </c>
      <c r="D621" s="10" t="n">
        <v>45674.29239583333</v>
      </c>
      <c r="E621" s="10" t="n">
        <v>45674.31623842593</v>
      </c>
      <c r="F621" s="10" t="n">
        <v>45674.31828703704</v>
      </c>
      <c r="G621" s="3" t="inlineStr">
        <is>
          <t>OBT170125093812-Neudörfl (FunderMax)</t>
        </is>
      </c>
      <c r="H621" s="10" t="n">
        <v>45674.40152777778</v>
      </c>
      <c r="I621" s="10" t="n">
        <v>45676.77996527778</v>
      </c>
      <c r="J621" s="10" t="n">
        <v>45676.78076388889</v>
      </c>
      <c r="K621" s="11">
        <f>IF(AND(ISNUMBER(D621),ISNUMBER(E621)),(E621-D621),"")</f>
        <v/>
      </c>
      <c r="L621" s="11">
        <f>IF(AND(ISNUMBER(F621),ISNUMBER(I621)),(I621-F621),"")</f>
        <v/>
      </c>
    </row>
    <row r="622">
      <c r="A622" s="3" t="inlineStr">
        <is>
          <t>1016407</t>
        </is>
      </c>
      <c r="B622" s="3" t="inlineStr">
        <is>
          <t>10164</t>
        </is>
      </c>
      <c r="C622" s="10" t="n">
        <v>45674.28966435185</v>
      </c>
      <c r="D622" s="10" t="n">
        <v>45674.29239583333</v>
      </c>
      <c r="E622" s="10" t="n">
        <v>45674.31828703704</v>
      </c>
      <c r="F622" s="10" t="n">
        <v>45674.32023148148</v>
      </c>
      <c r="G622" s="3" t="inlineStr">
        <is>
          <t>OBT170125181531-Wien Kledering</t>
        </is>
      </c>
      <c r="H622" s="10" t="n">
        <v>45674.76077546296</v>
      </c>
      <c r="I622" s="10" t="n">
        <v>45677.27619212963</v>
      </c>
      <c r="J622" s="10" t="n">
        <v>45677.27700231481</v>
      </c>
      <c r="K622" s="11">
        <f>IF(AND(ISNUMBER(D622),ISNUMBER(E622)),(E622-D622),"")</f>
        <v/>
      </c>
      <c r="L622" s="11">
        <f>IF(AND(ISNUMBER(F622),ISNUMBER(I622)),(I622-F622),"")</f>
        <v/>
      </c>
    </row>
    <row r="623">
      <c r="A623" s="3" t="inlineStr">
        <is>
          <t>1016408</t>
        </is>
      </c>
      <c r="B623" s="3" t="inlineStr">
        <is>
          <t>10164</t>
        </is>
      </c>
      <c r="C623" s="10" t="n">
        <v>45674.28966435185</v>
      </c>
      <c r="D623" s="10" t="n">
        <v>45674.29239583333</v>
      </c>
      <c r="E623" s="10" t="n">
        <v>45674.32023148148</v>
      </c>
      <c r="F623" s="10" t="n">
        <v>45674.32241898148</v>
      </c>
      <c r="G623" s="3" t="inlineStr">
        <is>
          <t>OBT170125075244-Ternitz (Schoeller-Bleckmann)</t>
        </is>
      </c>
      <c r="H623" s="10" t="n">
        <v>45674.32828703704</v>
      </c>
      <c r="I623" s="10" t="n">
        <v>45674.76534722222</v>
      </c>
      <c r="J623" s="10" t="n">
        <v>45674.76621527778</v>
      </c>
      <c r="K623" s="11">
        <f>IF(AND(ISNUMBER(D623),ISNUMBER(E623)),(E623-D623),"")</f>
        <v/>
      </c>
      <c r="L623" s="11">
        <f>IF(AND(ISNUMBER(F623),ISNUMBER(I623)),(I623-F623),"")</f>
        <v/>
      </c>
    </row>
    <row r="624">
      <c r="A624" s="3" t="inlineStr">
        <is>
          <t>1016409</t>
        </is>
      </c>
      <c r="B624" s="3" t="inlineStr">
        <is>
          <t>10164</t>
        </is>
      </c>
      <c r="C624" s="10" t="n">
        <v>45674.28966435185</v>
      </c>
      <c r="D624" s="10" t="n">
        <v>45674.29239583333</v>
      </c>
      <c r="E624" s="10" t="n">
        <v>45674.32241898148</v>
      </c>
      <c r="F624" s="10" t="n">
        <v>45674.32436342593</v>
      </c>
      <c r="G624" s="3" t="inlineStr">
        <is>
          <t>OBT170125075244-Ternitz (Schoeller-Bleckmann)</t>
        </is>
      </c>
      <c r="H624" s="10" t="n">
        <v>45674.32828703704</v>
      </c>
      <c r="I624" s="10" t="n">
        <v>45674.76534722222</v>
      </c>
      <c r="J624" s="10" t="n">
        <v>45674.76621527778</v>
      </c>
      <c r="K624" s="11">
        <f>IF(AND(ISNUMBER(D624),ISNUMBER(E624)),(E624-D624),"")</f>
        <v/>
      </c>
      <c r="L624" s="11">
        <f>IF(AND(ISNUMBER(F624),ISNUMBER(I624)),(I624-F624),"")</f>
        <v/>
      </c>
    </row>
    <row r="625">
      <c r="A625" s="3" t="inlineStr">
        <is>
          <t>1016501</t>
        </is>
      </c>
      <c r="B625" s="3" t="inlineStr">
        <is>
          <t>10165</t>
        </is>
      </c>
      <c r="C625" s="10" t="n">
        <v>45674.31145833333</v>
      </c>
      <c r="D625" s="10" t="n">
        <v>45674.31340277778</v>
      </c>
      <c r="E625" s="10" t="n">
        <v>45674.32516203704</v>
      </c>
      <c r="F625" s="10" t="n">
        <v>45674.32716435185</v>
      </c>
      <c r="G625" s="3" t="inlineStr">
        <is>
          <t>OBT170125075431-Wien Kledering</t>
        </is>
      </c>
      <c r="H625" s="10" t="n">
        <v>45674.32952546296</v>
      </c>
      <c r="I625" s="10" t="n">
        <v>45674.81912037037</v>
      </c>
      <c r="J625" s="10" t="n">
        <v>45674.82045138889</v>
      </c>
      <c r="K625" s="11">
        <f>IF(AND(ISNUMBER(D625),ISNUMBER(E625)),(E625-D625),"")</f>
        <v/>
      </c>
      <c r="L625" s="11">
        <f>IF(AND(ISNUMBER(F625),ISNUMBER(I625)),(I625-F625),"")</f>
        <v/>
      </c>
    </row>
    <row r="626">
      <c r="A626" s="3" t="inlineStr">
        <is>
          <t>1016601</t>
        </is>
      </c>
      <c r="B626" s="3" t="inlineStr">
        <is>
          <t>10166</t>
        </is>
      </c>
      <c r="C626" s="10" t="n">
        <v>45674.3322800926</v>
      </c>
      <c r="D626" s="10" t="n">
        <v>45674.33453703704</v>
      </c>
      <c r="E626" s="10" t="n">
        <v>45674.34050925926</v>
      </c>
      <c r="F626" s="10" t="n">
        <v>45674.34289351852</v>
      </c>
      <c r="G626" s="3" t="inlineStr">
        <is>
          <t>OBT170125081922-Steinabrückl/Wöllersdorf</t>
        </is>
      </c>
      <c r="H626" s="10" t="n">
        <v>45674.34678240741</v>
      </c>
      <c r="I626" s="10" t="n">
        <v>45674.92876157408</v>
      </c>
      <c r="J626" s="10" t="n">
        <v>45674.93011574074</v>
      </c>
      <c r="K626" s="11">
        <f>IF(AND(ISNUMBER(D626),ISNUMBER(E626)),(E626-D626),"")</f>
        <v/>
      </c>
      <c r="L626" s="11">
        <f>IF(AND(ISNUMBER(F626),ISNUMBER(I626)),(I626-F626),"")</f>
        <v/>
      </c>
    </row>
    <row r="627">
      <c r="A627" s="3" t="inlineStr">
        <is>
          <t>1016802</t>
        </is>
      </c>
      <c r="B627" s="3" t="inlineStr">
        <is>
          <t>10168</t>
        </is>
      </c>
      <c r="C627" s="10" t="n">
        <v>45674.36641203704</v>
      </c>
      <c r="D627" s="10" t="n">
        <v>45674.36878472222</v>
      </c>
      <c r="E627" s="10" t="n">
        <v>45674.37591435185</v>
      </c>
      <c r="F627" s="10" t="n">
        <v>45674.37744212963</v>
      </c>
      <c r="G627" s="3" t="inlineStr">
        <is>
          <t>OBT170125090658-St. Veit an der Glan</t>
        </is>
      </c>
      <c r="H627" s="10" t="n">
        <v>45674.37983796297</v>
      </c>
      <c r="I627" s="10" t="n">
        <v>45675.0665162037</v>
      </c>
      <c r="J627" s="10" t="n">
        <v>45675.06738425926</v>
      </c>
      <c r="K627" s="11">
        <f>IF(AND(ISNUMBER(D627),ISNUMBER(E627)),(E627-D627),"")</f>
        <v/>
      </c>
      <c r="L627" s="11">
        <f>IF(AND(ISNUMBER(F627),ISNUMBER(I627)),(I627-F627),"")</f>
        <v/>
      </c>
    </row>
    <row r="628">
      <c r="A628" s="3" t="inlineStr">
        <is>
          <t>1016701</t>
        </is>
      </c>
      <c r="B628" s="3" t="inlineStr">
        <is>
          <t>10167</t>
        </is>
      </c>
      <c r="C628" s="10" t="n">
        <v>45674.3594212963</v>
      </c>
      <c r="D628" s="10" t="n">
        <v>45674.361875</v>
      </c>
      <c r="E628" s="10" t="n">
        <v>45674.37974537037</v>
      </c>
      <c r="F628" s="10" t="n">
        <v>45674.38144675926</v>
      </c>
      <c r="G628" s="3" t="inlineStr">
        <is>
          <t>OBT220125073335-Other sidings local</t>
        </is>
      </c>
      <c r="H628" s="10" t="n">
        <v>45679.31498842593</v>
      </c>
      <c r="I628" s="10" t="n">
        <v>45680.32570601852</v>
      </c>
      <c r="J628" s="10" t="n">
        <v>45680.32655092593</v>
      </c>
      <c r="K628" s="11">
        <f>IF(AND(ISNUMBER(D628),ISNUMBER(E628)),(E628-D628),"")</f>
        <v/>
      </c>
      <c r="L628" s="11">
        <f>IF(AND(ISNUMBER(F628),ISNUMBER(I628)),(I628-F628),"")</f>
        <v/>
      </c>
    </row>
    <row r="629">
      <c r="A629" s="3" t="inlineStr">
        <is>
          <t>1016702</t>
        </is>
      </c>
      <c r="B629" s="3" t="inlineStr">
        <is>
          <t>10167</t>
        </is>
      </c>
      <c r="C629" s="10" t="n">
        <v>45674.3594212963</v>
      </c>
      <c r="D629" s="10" t="n">
        <v>45674.361875</v>
      </c>
      <c r="E629" s="10" t="n">
        <v>45674.38144675926</v>
      </c>
      <c r="F629" s="10" t="n">
        <v>45674.38355324074</v>
      </c>
      <c r="G629" s="3" t="inlineStr">
        <is>
          <t>OBT170125091546-Pitten (Hamburger)</t>
        </is>
      </c>
      <c r="H629" s="10" t="n">
        <v>45674.38594907407</v>
      </c>
      <c r="I629" s="10" t="n">
        <v>45675.29618055555</v>
      </c>
      <c r="J629" s="10" t="n">
        <v>45675.29733796296</v>
      </c>
      <c r="K629" s="11">
        <f>IF(AND(ISNUMBER(D629),ISNUMBER(E629)),(E629-D629),"")</f>
        <v/>
      </c>
      <c r="L629" s="11">
        <f>IF(AND(ISNUMBER(F629),ISNUMBER(I629)),(I629-F629),"")</f>
        <v/>
      </c>
    </row>
    <row r="630">
      <c r="A630" s="3" t="inlineStr">
        <is>
          <t>1016703</t>
        </is>
      </c>
      <c r="B630" s="3" t="inlineStr">
        <is>
          <t>10167</t>
        </is>
      </c>
      <c r="C630" s="10" t="n">
        <v>45674.3594212963</v>
      </c>
      <c r="D630" s="10" t="n">
        <v>45674.361875</v>
      </c>
      <c r="E630" s="10" t="n">
        <v>45674.38355324074</v>
      </c>
      <c r="F630" s="10" t="n">
        <v>45674.38503472223</v>
      </c>
      <c r="G630" s="3" t="inlineStr">
        <is>
          <t>OBT220125180146-Felixdorf/Sollenau (Bundesheer, Maba)</t>
        </is>
      </c>
      <c r="H630" s="10" t="n">
        <v>45679.75122685185</v>
      </c>
      <c r="I630" s="10" t="n">
        <v>45680.67150462963</v>
      </c>
      <c r="J630" s="10" t="n">
        <v>45680.67232638889</v>
      </c>
      <c r="K630" s="11">
        <f>IF(AND(ISNUMBER(D630),ISNUMBER(E630)),(E630-D630),"")</f>
        <v/>
      </c>
      <c r="L630" s="11">
        <f>IF(AND(ISNUMBER(F630),ISNUMBER(I630)),(I630-F630),"")</f>
        <v/>
      </c>
    </row>
    <row r="631">
      <c r="A631" s="3" t="inlineStr">
        <is>
          <t>1016704</t>
        </is>
      </c>
      <c r="B631" s="3" t="inlineStr">
        <is>
          <t>10167</t>
        </is>
      </c>
      <c r="C631" s="10" t="n">
        <v>45674.3594212963</v>
      </c>
      <c r="D631" s="10" t="n">
        <v>45674.361875</v>
      </c>
      <c r="E631" s="10" t="n">
        <v>45674.38503472223</v>
      </c>
      <c r="F631" s="10" t="n">
        <v>45674.38695601852</v>
      </c>
      <c r="G631" s="3" t="inlineStr">
        <is>
          <t>OBT170125181531-Wien Kledering</t>
        </is>
      </c>
      <c r="H631" s="10" t="n">
        <v>45674.76077546296</v>
      </c>
      <c r="I631" s="10" t="n">
        <v>45677.27619212963</v>
      </c>
      <c r="J631" s="10" t="n">
        <v>45677.27700231481</v>
      </c>
      <c r="K631" s="11">
        <f>IF(AND(ISNUMBER(D631),ISNUMBER(E631)),(E631-D631),"")</f>
        <v/>
      </c>
      <c r="L631" s="11">
        <f>IF(AND(ISNUMBER(F631),ISNUMBER(I631)),(I631-F631),"")</f>
        <v/>
      </c>
    </row>
    <row r="632">
      <c r="A632" s="3" t="inlineStr">
        <is>
          <t>1016705</t>
        </is>
      </c>
      <c r="B632" s="3" t="inlineStr">
        <is>
          <t>10167</t>
        </is>
      </c>
      <c r="C632" s="10" t="n">
        <v>45674.3594212963</v>
      </c>
      <c r="D632" s="10" t="n">
        <v>45674.361875</v>
      </c>
      <c r="E632" s="10" t="n">
        <v>45674.38695601852</v>
      </c>
      <c r="F632" s="10" t="n">
        <v>45674.38902777778</v>
      </c>
      <c r="G632" s="3" t="inlineStr">
        <is>
          <t>OBT170125155040-Wien Kledering</t>
        </is>
      </c>
      <c r="H632" s="10" t="n">
        <v>45674.66018518519</v>
      </c>
      <c r="I632" s="10" t="n">
        <v>45677.1609837963</v>
      </c>
      <c r="J632" s="10" t="n">
        <v>45677.16200231481</v>
      </c>
      <c r="K632" s="11">
        <f>IF(AND(ISNUMBER(D632),ISNUMBER(E632)),(E632-D632),"")</f>
        <v/>
      </c>
      <c r="L632" s="11">
        <f>IF(AND(ISNUMBER(F632),ISNUMBER(I632)),(I632-F632),"")</f>
        <v/>
      </c>
    </row>
    <row r="633">
      <c r="A633" s="3" t="inlineStr">
        <is>
          <t>1016706</t>
        </is>
      </c>
      <c r="B633" s="3" t="inlineStr">
        <is>
          <t>10167</t>
        </is>
      </c>
      <c r="C633" s="10" t="n">
        <v>45674.3594212963</v>
      </c>
      <c r="D633" s="10" t="n">
        <v>45674.361875</v>
      </c>
      <c r="E633" s="10" t="n">
        <v>45674.38902777778</v>
      </c>
      <c r="F633" s="10" t="n">
        <v>45674.39038194445</v>
      </c>
      <c r="G633" s="3" t="inlineStr">
        <is>
          <t>OBT200125083327-Wr. Neustadt (Brenntag)</t>
        </is>
      </c>
      <c r="H633" s="10" t="n">
        <v>45677.3565625</v>
      </c>
      <c r="I633" s="10" t="n">
        <v>45677.74182870371</v>
      </c>
      <c r="J633" s="10" t="n">
        <v>45677.74260416667</v>
      </c>
      <c r="K633" s="11">
        <f>IF(AND(ISNUMBER(D633),ISNUMBER(E633)),(E633-D633),"")</f>
        <v/>
      </c>
      <c r="L633" s="11">
        <f>IF(AND(ISNUMBER(F633),ISNUMBER(I633)),(I633-F633),"")</f>
        <v/>
      </c>
    </row>
    <row r="634">
      <c r="A634" s="3" t="inlineStr">
        <is>
          <t>1016707</t>
        </is>
      </c>
      <c r="B634" s="3" t="inlineStr">
        <is>
          <t>10167</t>
        </is>
      </c>
      <c r="C634" s="10" t="n">
        <v>45674.3594212963</v>
      </c>
      <c r="D634" s="10" t="n">
        <v>45674.361875</v>
      </c>
      <c r="E634" s="10" t="n">
        <v>45674.39038194445</v>
      </c>
      <c r="F634" s="10" t="n">
        <v>45674.39196759259</v>
      </c>
      <c r="G634" s="3" t="inlineStr">
        <is>
          <t>OBT190125203519-Neudörfl (FunderMax)</t>
        </is>
      </c>
      <c r="H634" s="10" t="n">
        <v>45676.8578587963</v>
      </c>
      <c r="I634" s="10" t="n">
        <v>45677.55966435185</v>
      </c>
      <c r="J634" s="10" t="n">
        <v>45677.56050925926</v>
      </c>
      <c r="K634" s="11">
        <f>IF(AND(ISNUMBER(D634),ISNUMBER(E634)),(E634-D634),"")</f>
        <v/>
      </c>
      <c r="L634" s="11">
        <f>IF(AND(ISNUMBER(F634),ISNUMBER(I634)),(I634-F634),"")</f>
        <v/>
      </c>
    </row>
    <row r="635">
      <c r="A635" s="3" t="inlineStr">
        <is>
          <t>1016708</t>
        </is>
      </c>
      <c r="B635" s="3" t="inlineStr">
        <is>
          <t>10167</t>
        </is>
      </c>
      <c r="C635" s="10" t="n">
        <v>45674.3594212963</v>
      </c>
      <c r="D635" s="10" t="n">
        <v>45674.361875</v>
      </c>
      <c r="E635" s="10" t="n">
        <v>45674.39196759259</v>
      </c>
      <c r="F635" s="10" t="n">
        <v>45674.39403935185</v>
      </c>
      <c r="G635" s="3" t="inlineStr">
        <is>
          <t>OBT170125093812-Neudörfl (FunderMax)</t>
        </is>
      </c>
      <c r="H635" s="10" t="n">
        <v>45674.40152777778</v>
      </c>
      <c r="I635" s="10" t="n">
        <v>45676.77996527778</v>
      </c>
      <c r="J635" s="10" t="n">
        <v>45676.78076388889</v>
      </c>
      <c r="K635" s="11">
        <f>IF(AND(ISNUMBER(D635),ISNUMBER(E635)),(E635-D635),"")</f>
        <v/>
      </c>
      <c r="L635" s="11">
        <f>IF(AND(ISNUMBER(F635),ISNUMBER(I635)),(I635-F635),"")</f>
        <v/>
      </c>
    </row>
    <row r="636">
      <c r="A636" s="3" t="inlineStr">
        <is>
          <t>1016709</t>
        </is>
      </c>
      <c r="B636" s="3" t="inlineStr">
        <is>
          <t>10167</t>
        </is>
      </c>
      <c r="C636" s="10" t="n">
        <v>45674.3594212963</v>
      </c>
      <c r="D636" s="10" t="n">
        <v>45674.361875</v>
      </c>
      <c r="E636" s="10" t="n">
        <v>45674.39403935185</v>
      </c>
      <c r="F636" s="10" t="n">
        <v>45674.39607638889</v>
      </c>
      <c r="G636" s="3" t="inlineStr">
        <is>
          <t>OBT170125093600-Gloggnitz</t>
        </is>
      </c>
      <c r="H636" s="10" t="n">
        <v>45674.4</v>
      </c>
      <c r="I636" s="10" t="n">
        <v>45675.32832175926</v>
      </c>
      <c r="J636" s="10" t="n">
        <v>45675.32907407408</v>
      </c>
      <c r="K636" s="11">
        <f>IF(AND(ISNUMBER(D636),ISNUMBER(E636)),(E636-D636),"")</f>
        <v/>
      </c>
      <c r="L636" s="11">
        <f>IF(AND(ISNUMBER(F636),ISNUMBER(I636)),(I636-F636),"")</f>
        <v/>
      </c>
    </row>
    <row r="637">
      <c r="A637" s="3" t="inlineStr">
        <is>
          <t>1016710</t>
        </is>
      </c>
      <c r="B637" s="3" t="inlineStr">
        <is>
          <t>10167</t>
        </is>
      </c>
      <c r="C637" s="10" t="n">
        <v>45674.3594212963</v>
      </c>
      <c r="D637" s="10" t="n">
        <v>45674.361875</v>
      </c>
      <c r="E637" s="10" t="n">
        <v>45674.39607638889</v>
      </c>
      <c r="F637" s="10" t="n">
        <v>45674.39795138889</v>
      </c>
      <c r="G637" s="3" t="inlineStr">
        <is>
          <t>OBT170125093812-Neudörfl (FunderMax)</t>
        </is>
      </c>
      <c r="H637" s="10" t="n">
        <v>45674.40152777778</v>
      </c>
      <c r="I637" s="10" t="n">
        <v>45676.77996527778</v>
      </c>
      <c r="J637" s="10" t="n">
        <v>45676.78076388889</v>
      </c>
      <c r="K637" s="11">
        <f>IF(AND(ISNUMBER(D637),ISNUMBER(E637)),(E637-D637),"")</f>
        <v/>
      </c>
      <c r="L637" s="11">
        <f>IF(AND(ISNUMBER(F637),ISNUMBER(I637)),(I637-F637),"")</f>
        <v/>
      </c>
    </row>
    <row r="638">
      <c r="A638" s="3" t="inlineStr">
        <is>
          <t>1016901</t>
        </is>
      </c>
      <c r="B638" s="3" t="inlineStr">
        <is>
          <t>10169</t>
        </is>
      </c>
      <c r="C638" s="10" t="n">
        <v>45674.42303240741</v>
      </c>
      <c r="D638" s="10" t="n">
        <v>45674.42564814815</v>
      </c>
      <c r="E638" s="10" t="n">
        <v>45674.43430555556</v>
      </c>
      <c r="F638" s="10" t="n">
        <v>45674.43547453704</v>
      </c>
      <c r="G638" s="3" t="inlineStr">
        <is>
          <t>OBT170125174751-Wien Kledering</t>
        </is>
      </c>
      <c r="H638" s="10" t="n">
        <v>45674.7415625</v>
      </c>
      <c r="I638" s="10" t="n">
        <v>45677.25378472222</v>
      </c>
      <c r="J638" s="10" t="n">
        <v>45677.25494212963</v>
      </c>
      <c r="K638" s="11">
        <f>IF(AND(ISNUMBER(D638),ISNUMBER(E638)),(E638-D638),"")</f>
        <v/>
      </c>
      <c r="L638" s="11">
        <f>IF(AND(ISNUMBER(F638),ISNUMBER(I638)),(I638-F638),"")</f>
        <v/>
      </c>
    </row>
    <row r="639">
      <c r="A639" s="3" t="inlineStr">
        <is>
          <t>1017001</t>
        </is>
      </c>
      <c r="B639" s="3" t="inlineStr">
        <is>
          <t>10170</t>
        </is>
      </c>
      <c r="C639" s="10" t="n">
        <v>45674.53434027778</v>
      </c>
      <c r="D639" s="10" t="n">
        <v>45674.53648148148</v>
      </c>
      <c r="E639" s="10" t="n">
        <v>45674.54195601852</v>
      </c>
      <c r="F639" s="10" t="n">
        <v>45674.54375</v>
      </c>
      <c r="G639" s="3" t="inlineStr">
        <is>
          <t>OBT170125130627-Wien Kledering</t>
        </is>
      </c>
      <c r="H639" s="10" t="n">
        <v>45674.54614583333</v>
      </c>
      <c r="I639" s="10" t="n">
        <v>45676.89707175926</v>
      </c>
      <c r="J639" s="10" t="n">
        <v>45676.89804398148</v>
      </c>
      <c r="K639" s="11">
        <f>IF(AND(ISNUMBER(D639),ISNUMBER(E639)),(E639-D639),"")</f>
        <v/>
      </c>
      <c r="L639" s="11">
        <f>IF(AND(ISNUMBER(F639),ISNUMBER(I639)),(I639-F639),"")</f>
        <v/>
      </c>
    </row>
    <row r="640">
      <c r="A640" s="3" t="inlineStr">
        <is>
          <t>1017101</t>
        </is>
      </c>
      <c r="B640" s="3" t="inlineStr">
        <is>
          <t>10171</t>
        </is>
      </c>
      <c r="C640" s="10" t="n">
        <v>45674.64765046296</v>
      </c>
      <c r="D640" s="10" t="n">
        <v>45674.64974537037</v>
      </c>
      <c r="E640" s="10" t="n">
        <v>45674.6553125</v>
      </c>
      <c r="F640" s="10" t="n">
        <v>45674.65782407407</v>
      </c>
      <c r="G640" s="3" t="inlineStr">
        <is>
          <t>OBT170125155040-Wien Kledering</t>
        </is>
      </c>
      <c r="H640" s="10" t="n">
        <v>45674.66018518519</v>
      </c>
      <c r="I640" s="10" t="n">
        <v>45677.1609837963</v>
      </c>
      <c r="J640" s="10" t="n">
        <v>45677.16200231481</v>
      </c>
      <c r="K640" s="11">
        <f>IF(AND(ISNUMBER(D640),ISNUMBER(E640)),(E640-D640),"")</f>
        <v/>
      </c>
      <c r="L640" s="11">
        <f>IF(AND(ISNUMBER(F640),ISNUMBER(I640)),(I640-F640),"")</f>
        <v/>
      </c>
    </row>
    <row r="641">
      <c r="A641" s="3" t="inlineStr">
        <is>
          <t>1017201</t>
        </is>
      </c>
      <c r="B641" s="3" t="inlineStr">
        <is>
          <t>10172</t>
        </is>
      </c>
      <c r="C641" s="10" t="n">
        <v>45674.72908564815</v>
      </c>
      <c r="D641" s="10" t="n">
        <v>45674.73137731481</v>
      </c>
      <c r="E641" s="10" t="n">
        <v>45674.73733796296</v>
      </c>
      <c r="F641" s="10" t="n">
        <v>45674.73916666667</v>
      </c>
      <c r="G641" s="3" t="inlineStr">
        <is>
          <t>OBT170125174751-Wien Kledering</t>
        </is>
      </c>
      <c r="H641" s="10" t="n">
        <v>45674.7415625</v>
      </c>
      <c r="I641" s="10" t="n">
        <v>45677.25378472222</v>
      </c>
      <c r="J641" s="10" t="n">
        <v>45677.25494212963</v>
      </c>
      <c r="K641" s="11">
        <f>IF(AND(ISNUMBER(D641),ISNUMBER(E641)),(E641-D641),"")</f>
        <v/>
      </c>
      <c r="L641" s="11">
        <f>IF(AND(ISNUMBER(F641),ISNUMBER(I641)),(I641-F641),"")</f>
        <v/>
      </c>
    </row>
    <row r="642">
      <c r="A642" s="3" t="inlineStr">
        <is>
          <t>1017301</t>
        </is>
      </c>
      <c r="B642" s="3" t="inlineStr">
        <is>
          <t>10173</t>
        </is>
      </c>
      <c r="C642" s="10" t="n">
        <v>45674.74975694445</v>
      </c>
      <c r="D642" s="10" t="n">
        <v>45674.75159722222</v>
      </c>
      <c r="E642" s="10" t="n">
        <v>45674.75620370371</v>
      </c>
      <c r="F642" s="10" t="n">
        <v>45674.75837962963</v>
      </c>
      <c r="G642" s="3" t="inlineStr">
        <is>
          <t>OBT170125181531-Wien Kledering</t>
        </is>
      </c>
      <c r="H642" s="10" t="n">
        <v>45674.76077546296</v>
      </c>
      <c r="I642" s="10" t="n">
        <v>45677.27619212963</v>
      </c>
      <c r="J642" s="10" t="n">
        <v>45677.27700231481</v>
      </c>
      <c r="K642" s="11">
        <f>IF(AND(ISNUMBER(D642),ISNUMBER(E642)),(E642-D642),"")</f>
        <v/>
      </c>
      <c r="L642" s="11">
        <f>IF(AND(ISNUMBER(F642),ISNUMBER(I642)),(I642-F642),"")</f>
        <v/>
      </c>
    </row>
    <row r="643">
      <c r="A643" s="3" t="inlineStr">
        <is>
          <t>1017401</t>
        </is>
      </c>
      <c r="B643" s="3" t="inlineStr">
        <is>
          <t>10174</t>
        </is>
      </c>
      <c r="C643" s="10" t="n">
        <v>45674.83754629629</v>
      </c>
      <c r="D643" s="10" t="n">
        <v>45674.83993055556</v>
      </c>
      <c r="E643" s="10" t="n">
        <v>45674.85327546296</v>
      </c>
      <c r="F643" s="10" t="n">
        <v>45674.85530092593</v>
      </c>
      <c r="G643" s="3" t="inlineStr">
        <is>
          <t>OBT200125045059-Neudörfl (FunderMax)</t>
        </is>
      </c>
      <c r="H643" s="10" t="n">
        <v>45677.20207175926</v>
      </c>
      <c r="I643" s="10" t="n">
        <v>45677.72326388889</v>
      </c>
      <c r="J643" s="10" t="n">
        <v>45677.72453703704</v>
      </c>
      <c r="K643" s="11">
        <f>IF(AND(ISNUMBER(D643),ISNUMBER(E643)),(E643-D643),"")</f>
        <v/>
      </c>
      <c r="L643" s="11">
        <f>IF(AND(ISNUMBER(F643),ISNUMBER(I643)),(I643-F643),"")</f>
        <v/>
      </c>
    </row>
    <row r="644">
      <c r="A644" s="3" t="inlineStr">
        <is>
          <t>1017402</t>
        </is>
      </c>
      <c r="B644" s="3" t="inlineStr">
        <is>
          <t>10174</t>
        </is>
      </c>
      <c r="C644" s="10" t="n">
        <v>45674.83754629629</v>
      </c>
      <c r="D644" s="10" t="n">
        <v>45674.83993055556</v>
      </c>
      <c r="E644" s="10" t="n">
        <v>45674.85530092593</v>
      </c>
      <c r="F644" s="10" t="n">
        <v>45674.85707175926</v>
      </c>
      <c r="G644" s="3" t="inlineStr">
        <is>
          <t>OBT180125005504-Neudörfl (FunderMax)</t>
        </is>
      </c>
      <c r="H644" s="10" t="n">
        <v>45675.03824074074</v>
      </c>
      <c r="I644" s="10" t="n">
        <v>45677.38005787037</v>
      </c>
      <c r="J644" s="10" t="n">
        <v>45677.38089120371</v>
      </c>
      <c r="K644" s="11">
        <f>IF(AND(ISNUMBER(D644),ISNUMBER(E644)),(E644-D644),"")</f>
        <v/>
      </c>
      <c r="L644" s="11">
        <f>IF(AND(ISNUMBER(F644),ISNUMBER(I644)),(I644-F644),"")</f>
        <v/>
      </c>
    </row>
    <row r="645">
      <c r="A645" s="3" t="inlineStr">
        <is>
          <t>1017403</t>
        </is>
      </c>
      <c r="B645" s="3" t="inlineStr">
        <is>
          <t>10174</t>
        </is>
      </c>
      <c r="C645" s="10" t="n">
        <v>45674.83754629629</v>
      </c>
      <c r="D645" s="10" t="n">
        <v>45674.83993055556</v>
      </c>
      <c r="E645" s="10" t="n">
        <v>45674.85707175926</v>
      </c>
      <c r="F645" s="10" t="n">
        <v>45674.85903935185</v>
      </c>
      <c r="G645" s="3" t="inlineStr">
        <is>
          <t>OBT170125205009-Ternitz (Schoeller-Bleckmann)</t>
        </is>
      </c>
      <c r="H645" s="10" t="n">
        <v>45674.86815972222</v>
      </c>
      <c r="I645" s="10" t="n">
        <v>45677.35177083333</v>
      </c>
      <c r="J645" s="10" t="n">
        <v>45677.35271990741</v>
      </c>
      <c r="K645" s="11">
        <f>IF(AND(ISNUMBER(D645),ISNUMBER(E645)),(E645-D645),"")</f>
        <v/>
      </c>
      <c r="L645" s="11">
        <f>IF(AND(ISNUMBER(F645),ISNUMBER(I645)),(I645-F645),"")</f>
        <v/>
      </c>
    </row>
    <row r="646">
      <c r="A646" s="3" t="inlineStr">
        <is>
          <t>1017404</t>
        </is>
      </c>
      <c r="B646" s="3" t="inlineStr">
        <is>
          <t>10174</t>
        </is>
      </c>
      <c r="C646" s="10" t="n">
        <v>45674.83754629629</v>
      </c>
      <c r="D646" s="10" t="n">
        <v>45674.83993055556</v>
      </c>
      <c r="E646" s="10" t="n">
        <v>45674.85903935185</v>
      </c>
      <c r="F646" s="10" t="n">
        <v>45674.86040509259</v>
      </c>
      <c r="G646" s="3" t="inlineStr">
        <is>
          <t>OBT200125080717-Wr. Neustadt (Hödlmayr)</t>
        </is>
      </c>
      <c r="H646" s="10" t="n">
        <v>45677.3383912037</v>
      </c>
      <c r="I646" s="10" t="n">
        <v>45677.69567129629</v>
      </c>
      <c r="J646" s="10" t="n">
        <v>45677.69652777778</v>
      </c>
      <c r="K646" s="11">
        <f>IF(AND(ISNUMBER(D646),ISNUMBER(E646)),(E646-D646),"")</f>
        <v/>
      </c>
      <c r="L646" s="11">
        <f>IF(AND(ISNUMBER(F646),ISNUMBER(I646)),(I646-F646),"")</f>
        <v/>
      </c>
    </row>
    <row r="647">
      <c r="A647" s="3" t="inlineStr">
        <is>
          <t>1017405</t>
        </is>
      </c>
      <c r="B647" s="3" t="inlineStr">
        <is>
          <t>10174</t>
        </is>
      </c>
      <c r="C647" s="10" t="n">
        <v>45674.83754629629</v>
      </c>
      <c r="D647" s="10" t="n">
        <v>45674.83993055556</v>
      </c>
      <c r="E647" s="10" t="n">
        <v>45674.86040509259</v>
      </c>
      <c r="F647" s="10" t="n">
        <v>45674.86233796296</v>
      </c>
      <c r="G647" s="3" t="inlineStr">
        <is>
          <t>OBT190125203024-Pitten (Hamburger)</t>
        </is>
      </c>
      <c r="H647" s="10" t="n">
        <v>45676.85444444444</v>
      </c>
      <c r="I647" s="10" t="n">
        <v>45677.47986111111</v>
      </c>
      <c r="J647" s="10" t="n">
        <v>45677.48055555556</v>
      </c>
      <c r="K647" s="11">
        <f>IF(AND(ISNUMBER(D647),ISNUMBER(E647)),(E647-D647),"")</f>
        <v/>
      </c>
      <c r="L647" s="11">
        <f>IF(AND(ISNUMBER(F647),ISNUMBER(I647)),(I647-F647),"")</f>
        <v/>
      </c>
    </row>
    <row r="648">
      <c r="A648" s="3" t="inlineStr">
        <is>
          <t>1017406</t>
        </is>
      </c>
      <c r="B648" s="3" t="inlineStr">
        <is>
          <t>10174</t>
        </is>
      </c>
      <c r="C648" s="10" t="n">
        <v>45674.83754629629</v>
      </c>
      <c r="D648" s="10" t="n">
        <v>45674.83993055556</v>
      </c>
      <c r="E648" s="10" t="n">
        <v>45674.86233796296</v>
      </c>
      <c r="F648" s="10" t="n">
        <v>45674.86461805556</v>
      </c>
      <c r="G648" s="3" t="inlineStr">
        <is>
          <t>OBT170125205009-Ternitz (Schoeller-Bleckmann)</t>
        </is>
      </c>
      <c r="H648" s="10" t="n">
        <v>45674.86815972222</v>
      </c>
      <c r="I648" s="10" t="n">
        <v>45677.35177083333</v>
      </c>
      <c r="J648" s="10" t="n">
        <v>45677.35271990741</v>
      </c>
      <c r="K648" s="11">
        <f>IF(AND(ISNUMBER(D648),ISNUMBER(E648)),(E648-D648),"")</f>
        <v/>
      </c>
      <c r="L648" s="11">
        <f>IF(AND(ISNUMBER(F648),ISNUMBER(I648)),(I648-F648),"")</f>
        <v/>
      </c>
    </row>
    <row r="649">
      <c r="A649" s="3" t="inlineStr">
        <is>
          <t>1017407</t>
        </is>
      </c>
      <c r="B649" s="3" t="inlineStr">
        <is>
          <t>10174</t>
        </is>
      </c>
      <c r="C649" s="10" t="n">
        <v>45674.83754629629</v>
      </c>
      <c r="D649" s="10" t="n">
        <v>45674.83993055556</v>
      </c>
      <c r="E649" s="10" t="n">
        <v>45674.86461805556</v>
      </c>
      <c r="F649" s="10" t="n">
        <v>45674.86612268518</v>
      </c>
      <c r="G649" s="3" t="inlineStr">
        <is>
          <t>OBT220125180146-Felixdorf/Sollenau (Bundesheer, Maba)</t>
        </is>
      </c>
      <c r="H649" s="10" t="n">
        <v>45679.75122685185</v>
      </c>
      <c r="I649" s="10" t="n">
        <v>45680.67150462963</v>
      </c>
      <c r="J649" s="10" t="n">
        <v>45680.67232638889</v>
      </c>
      <c r="K649" s="11">
        <f>IF(AND(ISNUMBER(D649),ISNUMBER(E649)),(E649-D649),"")</f>
        <v/>
      </c>
      <c r="L649" s="11">
        <f>IF(AND(ISNUMBER(F649),ISNUMBER(I649)),(I649-F649),"")</f>
        <v/>
      </c>
    </row>
    <row r="650">
      <c r="A650" s="3" t="inlineStr">
        <is>
          <t>1017501</t>
        </is>
      </c>
      <c r="B650" s="3" t="inlineStr">
        <is>
          <t>10175</t>
        </is>
      </c>
      <c r="C650" s="10" t="n">
        <v>45675.01616898148</v>
      </c>
      <c r="D650" s="10" t="n">
        <v>45675.01862268519</v>
      </c>
      <c r="E650" s="10" t="n">
        <v>45675.02894675926</v>
      </c>
      <c r="F650" s="10" t="n">
        <v>45675.03107638889</v>
      </c>
      <c r="G650" s="3" t="inlineStr">
        <is>
          <t>OBT180125004751-Pitten (Hamburger)</t>
        </is>
      </c>
      <c r="H650" s="10" t="n">
        <v>45675.03322916666</v>
      </c>
      <c r="I650" s="10" t="n">
        <v>45677.35392361111</v>
      </c>
      <c r="J650" s="10" t="n">
        <v>45677.35487268519</v>
      </c>
      <c r="K650" s="11">
        <f>IF(AND(ISNUMBER(D650),ISNUMBER(E650)),(E650-D650),"")</f>
        <v/>
      </c>
      <c r="L650" s="11">
        <f>IF(AND(ISNUMBER(F650),ISNUMBER(I650)),(I650-F650),"")</f>
        <v/>
      </c>
    </row>
    <row r="651">
      <c r="A651" s="3" t="inlineStr">
        <is>
          <t>1017502</t>
        </is>
      </c>
      <c r="B651" s="3" t="inlineStr">
        <is>
          <t>10175</t>
        </is>
      </c>
      <c r="C651" s="10" t="n">
        <v>45675.01616898148</v>
      </c>
      <c r="D651" s="10" t="n">
        <v>45675.01862268519</v>
      </c>
      <c r="E651" s="10" t="n">
        <v>45675.03107638889</v>
      </c>
      <c r="F651" s="10" t="n">
        <v>45675.03288194445</v>
      </c>
      <c r="G651" s="3" t="inlineStr">
        <is>
          <t>OBT180125005504-Neudörfl (FunderMax)</t>
        </is>
      </c>
      <c r="H651" s="10" t="n">
        <v>45675.03824074074</v>
      </c>
      <c r="I651" s="10" t="n">
        <v>45677.38005787037</v>
      </c>
      <c r="J651" s="10" t="n">
        <v>45677.38089120371</v>
      </c>
      <c r="K651" s="11">
        <f>IF(AND(ISNUMBER(D651),ISNUMBER(E651)),(E651-D651),"")</f>
        <v/>
      </c>
      <c r="L651" s="11">
        <f>IF(AND(ISNUMBER(F651),ISNUMBER(I651)),(I651-F651),"")</f>
        <v/>
      </c>
    </row>
    <row r="652">
      <c r="A652" s="3" t="inlineStr">
        <is>
          <t>1017504</t>
        </is>
      </c>
      <c r="B652" s="3" t="inlineStr">
        <is>
          <t>10175</t>
        </is>
      </c>
      <c r="C652" s="10" t="n">
        <v>45675.01616898148</v>
      </c>
      <c r="D652" s="10" t="n">
        <v>45675.01862268519</v>
      </c>
      <c r="E652" s="10" t="n">
        <v>45675.03288194445</v>
      </c>
      <c r="F652" s="10" t="n">
        <v>45675.03469907407</v>
      </c>
      <c r="G652" s="3" t="inlineStr">
        <is>
          <t>OBT180125005504-Neudörfl (FunderMax)</t>
        </is>
      </c>
      <c r="H652" s="10" t="n">
        <v>45675.03824074074</v>
      </c>
      <c r="I652" s="10" t="n">
        <v>45677.38005787037</v>
      </c>
      <c r="J652" s="10" t="n">
        <v>45677.38089120371</v>
      </c>
      <c r="K652" s="11">
        <f>IF(AND(ISNUMBER(D652),ISNUMBER(E652)),(E652-D652),"")</f>
        <v/>
      </c>
      <c r="L652" s="11">
        <f>IF(AND(ISNUMBER(F652),ISNUMBER(I652)),(I652-F652),"")</f>
        <v/>
      </c>
    </row>
    <row r="653">
      <c r="A653" s="3" t="inlineStr">
        <is>
          <t>1017601</t>
        </is>
      </c>
      <c r="B653" s="3" t="inlineStr">
        <is>
          <t>10176</t>
        </is>
      </c>
      <c r="C653" s="10" t="n">
        <v>45675.23789351852</v>
      </c>
      <c r="D653" s="10" t="n">
        <v>45675.24043981481</v>
      </c>
      <c r="E653" s="10" t="n">
        <v>45675.24925925926</v>
      </c>
      <c r="F653" s="10" t="n">
        <v>45675.25133101852</v>
      </c>
      <c r="G653" s="3" t="inlineStr">
        <is>
          <t>OBT200125045059-Neudörfl (FunderMax)</t>
        </is>
      </c>
      <c r="H653" s="10" t="n">
        <v>45677.20207175926</v>
      </c>
      <c r="I653" s="10" t="n">
        <v>45677.72326388889</v>
      </c>
      <c r="J653" s="10" t="n">
        <v>45677.72453703704</v>
      </c>
      <c r="K653" s="11">
        <f>IF(AND(ISNUMBER(D653),ISNUMBER(E653)),(E653-D653),"")</f>
        <v/>
      </c>
      <c r="L653" s="11">
        <f>IF(AND(ISNUMBER(F653),ISNUMBER(I653)),(I653-F653),"")</f>
        <v/>
      </c>
    </row>
    <row r="654">
      <c r="A654" s="3" t="inlineStr">
        <is>
          <t>1017602</t>
        </is>
      </c>
      <c r="B654" s="3" t="inlineStr">
        <is>
          <t>10176</t>
        </is>
      </c>
      <c r="C654" s="10" t="n">
        <v>45675.23789351852</v>
      </c>
      <c r="D654" s="10" t="n">
        <v>45675.24043981481</v>
      </c>
      <c r="E654" s="10" t="n">
        <v>45675.25133101852</v>
      </c>
      <c r="F654" s="10" t="n">
        <v>45675.25267361111</v>
      </c>
      <c r="G654" s="3" t="inlineStr">
        <is>
          <t>OBT180125071607-Neudörfl (FunderMax)</t>
        </is>
      </c>
      <c r="H654" s="10" t="n">
        <v>45675.3028587963</v>
      </c>
      <c r="I654" s="10" t="n">
        <v>45677.40641203704</v>
      </c>
      <c r="J654" s="10" t="n">
        <v>45677.4071412037</v>
      </c>
      <c r="K654" s="11">
        <f>IF(AND(ISNUMBER(D654),ISNUMBER(E654)),(E654-D654),"")</f>
        <v/>
      </c>
      <c r="L654" s="11">
        <f>IF(AND(ISNUMBER(F654),ISNUMBER(I654)),(I654-F654),"")</f>
        <v/>
      </c>
    </row>
    <row r="655">
      <c r="A655" s="3" t="inlineStr">
        <is>
          <t>1017701</t>
        </is>
      </c>
      <c r="B655" s="3" t="inlineStr">
        <is>
          <t>10177</t>
        </is>
      </c>
      <c r="C655" s="10" t="n">
        <v>45675.26814814815</v>
      </c>
      <c r="D655" s="10" t="n">
        <v>45675.27033564815</v>
      </c>
      <c r="E655" s="10" t="n">
        <v>45675.28652777777</v>
      </c>
      <c r="F655" s="10" t="n">
        <v>45675.28863425926</v>
      </c>
      <c r="G655" s="3" t="inlineStr">
        <is>
          <t>OBT200125045059-Neudörfl (FunderMax)</t>
        </is>
      </c>
      <c r="H655" s="10" t="n">
        <v>45677.20207175926</v>
      </c>
      <c r="I655" s="10" t="n">
        <v>45677.72326388889</v>
      </c>
      <c r="J655" s="10" t="n">
        <v>45677.72453703704</v>
      </c>
      <c r="K655" s="11">
        <f>IF(AND(ISNUMBER(D655),ISNUMBER(E655)),(E655-D655),"")</f>
        <v/>
      </c>
      <c r="L655" s="11">
        <f>IF(AND(ISNUMBER(F655),ISNUMBER(I655)),(I655-F655),"")</f>
        <v/>
      </c>
    </row>
    <row r="656">
      <c r="A656" s="3" t="inlineStr">
        <is>
          <t>1017703</t>
        </is>
      </c>
      <c r="B656" s="3" t="inlineStr">
        <is>
          <t>10177</t>
        </is>
      </c>
      <c r="C656" s="10" t="n">
        <v>45675.26814814815</v>
      </c>
      <c r="D656" s="10" t="n">
        <v>45675.27033564815</v>
      </c>
      <c r="E656" s="10" t="n">
        <v>45675.28863425926</v>
      </c>
      <c r="F656" s="10" t="n">
        <v>45675.2905787037</v>
      </c>
      <c r="G656" s="3" t="inlineStr">
        <is>
          <t>OBT190125175511-Pitten (Hamburger)</t>
        </is>
      </c>
      <c r="H656" s="10" t="n">
        <v>45676.74665509259</v>
      </c>
      <c r="I656" s="10" t="n">
        <v>45677.49989583333</v>
      </c>
      <c r="J656" s="10" t="n">
        <v>45677.50149305556</v>
      </c>
      <c r="K656" s="11">
        <f>IF(AND(ISNUMBER(D656),ISNUMBER(E656)),(E656-D656),"")</f>
        <v/>
      </c>
      <c r="L656" s="11">
        <f>IF(AND(ISNUMBER(F656),ISNUMBER(I656)),(I656-F656),"")</f>
        <v/>
      </c>
    </row>
    <row r="657">
      <c r="A657" s="3" t="inlineStr">
        <is>
          <t>1017704</t>
        </is>
      </c>
      <c r="B657" s="3" t="inlineStr">
        <is>
          <t>10177</t>
        </is>
      </c>
      <c r="C657" s="10" t="n">
        <v>45675.26814814815</v>
      </c>
      <c r="D657" s="10" t="n">
        <v>45675.27033564815</v>
      </c>
      <c r="E657" s="10" t="n">
        <v>45675.2905787037</v>
      </c>
      <c r="F657" s="10" t="n">
        <v>45675.29253472222</v>
      </c>
      <c r="G657" s="3" t="inlineStr">
        <is>
          <t>OBT200125094944-Neudörfl (FunderMax)</t>
        </is>
      </c>
      <c r="H657" s="10" t="n">
        <v>45677.40953703703</v>
      </c>
      <c r="I657" s="10" t="n">
        <v>45678.30972222222</v>
      </c>
      <c r="J657" s="10" t="n">
        <v>45678.31057870371</v>
      </c>
      <c r="K657" s="11">
        <f>IF(AND(ISNUMBER(D657),ISNUMBER(E657)),(E657-D657),"")</f>
        <v/>
      </c>
      <c r="L657" s="11">
        <f>IF(AND(ISNUMBER(F657),ISNUMBER(I657)),(I657-F657),"")</f>
        <v/>
      </c>
    </row>
    <row r="658">
      <c r="A658" s="3" t="inlineStr">
        <is>
          <t>1017705</t>
        </is>
      </c>
      <c r="B658" s="3" t="inlineStr">
        <is>
          <t>10177</t>
        </is>
      </c>
      <c r="C658" s="10" t="n">
        <v>45675.26814814815</v>
      </c>
      <c r="D658" s="10" t="n">
        <v>45675.27033564815</v>
      </c>
      <c r="E658" s="10" t="n">
        <v>45675.29253472222</v>
      </c>
      <c r="F658" s="10" t="n">
        <v>45675.29449074074</v>
      </c>
      <c r="G658" s="3" t="inlineStr">
        <is>
          <t>OBT200125093149-Wr. Neustadt (Hödlmayr)</t>
        </is>
      </c>
      <c r="H658" s="10" t="n">
        <v>45677.39709490741</v>
      </c>
      <c r="I658" s="10" t="n">
        <v>45678.1641087963</v>
      </c>
      <c r="J658" s="10" t="n">
        <v>45678.16496527778</v>
      </c>
      <c r="K658" s="11">
        <f>IF(AND(ISNUMBER(D658),ISNUMBER(E658)),(E658-D658),"")</f>
        <v/>
      </c>
      <c r="L658" s="11">
        <f>IF(AND(ISNUMBER(F658),ISNUMBER(I658)),(I658-F658),"")</f>
        <v/>
      </c>
    </row>
    <row r="659">
      <c r="A659" s="3" t="inlineStr">
        <is>
          <t>1017706</t>
        </is>
      </c>
      <c r="B659" s="3" t="inlineStr">
        <is>
          <t>10177</t>
        </is>
      </c>
      <c r="C659" s="10" t="n">
        <v>45675.26814814815</v>
      </c>
      <c r="D659" s="10" t="n">
        <v>45675.27033564815</v>
      </c>
      <c r="E659" s="10" t="n">
        <v>45675.29449074074</v>
      </c>
      <c r="F659" s="10" t="n">
        <v>45675.29579861111</v>
      </c>
      <c r="G659" s="3" t="inlineStr">
        <is>
          <t>OBT200125080717-Wr. Neustadt (Hödlmayr)</t>
        </is>
      </c>
      <c r="H659" s="10" t="n">
        <v>45677.3383912037</v>
      </c>
      <c r="I659" s="10" t="n">
        <v>45677.69567129629</v>
      </c>
      <c r="J659" s="10" t="n">
        <v>45677.69652777778</v>
      </c>
      <c r="K659" s="11">
        <f>IF(AND(ISNUMBER(D659),ISNUMBER(E659)),(E659-D659),"")</f>
        <v/>
      </c>
      <c r="L659" s="11">
        <f>IF(AND(ISNUMBER(F659),ISNUMBER(I659)),(I659-F659),"")</f>
        <v/>
      </c>
    </row>
    <row r="660">
      <c r="A660" s="3" t="inlineStr">
        <is>
          <t>1017707</t>
        </is>
      </c>
      <c r="B660" s="3" t="inlineStr">
        <is>
          <t>10177</t>
        </is>
      </c>
      <c r="C660" s="10" t="n">
        <v>45675.26814814815</v>
      </c>
      <c r="D660" s="10" t="n">
        <v>45675.27033564815</v>
      </c>
      <c r="E660" s="10" t="n">
        <v>45675.29579861111</v>
      </c>
      <c r="F660" s="10" t="n">
        <v>45675.2977662037</v>
      </c>
      <c r="G660" s="3" t="inlineStr">
        <is>
          <t>OBT190125203024-Pitten (Hamburger)</t>
        </is>
      </c>
      <c r="H660" s="10" t="n">
        <v>45676.85444444444</v>
      </c>
      <c r="I660" s="10" t="n">
        <v>45677.47986111111</v>
      </c>
      <c r="J660" s="10" t="n">
        <v>45677.48055555556</v>
      </c>
      <c r="K660" s="11">
        <f>IF(AND(ISNUMBER(D660),ISNUMBER(E660)),(E660-D660),"")</f>
        <v/>
      </c>
      <c r="L660" s="11">
        <f>IF(AND(ISNUMBER(F660),ISNUMBER(I660)),(I660-F660),"")</f>
        <v/>
      </c>
    </row>
    <row r="661">
      <c r="A661" s="3" t="inlineStr">
        <is>
          <t>1017709</t>
        </is>
      </c>
      <c r="B661" s="3" t="inlineStr">
        <is>
          <t>10177</t>
        </is>
      </c>
      <c r="C661" s="10" t="n">
        <v>45675.26814814815</v>
      </c>
      <c r="D661" s="10" t="n">
        <v>45675.27033564815</v>
      </c>
      <c r="E661" s="10" t="n">
        <v>45675.2977662037</v>
      </c>
      <c r="F661" s="10" t="n">
        <v>45675.29893518519</v>
      </c>
      <c r="G661" s="3" t="inlineStr">
        <is>
          <t>OBT180125071607-Neudörfl (FunderMax)</t>
        </is>
      </c>
      <c r="H661" s="10" t="n">
        <v>45675.3028587963</v>
      </c>
      <c r="I661" s="10" t="n">
        <v>45677.40641203704</v>
      </c>
      <c r="J661" s="10" t="n">
        <v>45677.4071412037</v>
      </c>
      <c r="K661" s="11">
        <f>IF(AND(ISNUMBER(D661),ISNUMBER(E661)),(E661-D661),"")</f>
        <v/>
      </c>
      <c r="L661" s="11">
        <f>IF(AND(ISNUMBER(F661),ISNUMBER(I661)),(I661-F661),"")</f>
        <v/>
      </c>
    </row>
    <row r="662">
      <c r="A662" s="3" t="inlineStr">
        <is>
          <t>1017801</t>
        </is>
      </c>
      <c r="B662" s="3" t="inlineStr">
        <is>
          <t>10178</t>
        </is>
      </c>
      <c r="C662" s="10" t="n">
        <v>45676.72971064815</v>
      </c>
      <c r="D662" s="10" t="n">
        <v>45676.7322337963</v>
      </c>
      <c r="E662" s="10" t="n">
        <v>45676.74142361111</v>
      </c>
      <c r="F662" s="10" t="n">
        <v>45676.74447916666</v>
      </c>
      <c r="G662" s="3" t="inlineStr">
        <is>
          <t>OBT190125175511-Pitten (Hamburger)</t>
        </is>
      </c>
      <c r="H662" s="10" t="n">
        <v>45676.74665509259</v>
      </c>
      <c r="I662" s="10" t="n">
        <v>45677.49989583333</v>
      </c>
      <c r="J662" s="10" t="n">
        <v>45677.50149305556</v>
      </c>
      <c r="K662" s="11">
        <f>IF(AND(ISNUMBER(D662),ISNUMBER(E662)),(E662-D662),"")</f>
        <v/>
      </c>
      <c r="L662" s="11">
        <f>IF(AND(ISNUMBER(F662),ISNUMBER(I662)),(I662-F662),"")</f>
        <v/>
      </c>
    </row>
    <row r="663">
      <c r="A663" s="3" t="inlineStr">
        <is>
          <t>1017802</t>
        </is>
      </c>
      <c r="B663" s="3" t="inlineStr">
        <is>
          <t>10178</t>
        </is>
      </c>
      <c r="C663" s="10" t="n">
        <v>45676.72971064815</v>
      </c>
      <c r="D663" s="10" t="n">
        <v>45676.7322337963</v>
      </c>
      <c r="E663" s="10" t="n">
        <v>45676.74447916666</v>
      </c>
      <c r="F663" s="10" t="n">
        <v>45676.74618055556</v>
      </c>
      <c r="G663" s="3" t="inlineStr">
        <is>
          <t>OBT190125203519-Neudörfl (FunderMax)</t>
        </is>
      </c>
      <c r="H663" s="10" t="n">
        <v>45676.8578587963</v>
      </c>
      <c r="I663" s="10" t="n">
        <v>45677.55966435185</v>
      </c>
      <c r="J663" s="10" t="n">
        <v>45677.56050925926</v>
      </c>
      <c r="K663" s="11">
        <f>IF(AND(ISNUMBER(D663),ISNUMBER(E663)),(E663-D663),"")</f>
        <v/>
      </c>
      <c r="L663" s="11">
        <f>IF(AND(ISNUMBER(F663),ISNUMBER(I663)),(I663-F663),"")</f>
        <v/>
      </c>
    </row>
    <row r="664">
      <c r="A664" s="3" t="inlineStr">
        <is>
          <t>1017901</t>
        </is>
      </c>
      <c r="B664" s="3" t="inlineStr">
        <is>
          <t>10179</t>
        </is>
      </c>
      <c r="C664" s="10" t="n">
        <v>45676.84182870371</v>
      </c>
      <c r="D664" s="10" t="n">
        <v>45676.84380787037</v>
      </c>
      <c r="E664" s="10" t="n">
        <v>45676.85009259259</v>
      </c>
      <c r="F664" s="10" t="n">
        <v>45676.85226851852</v>
      </c>
      <c r="G664" s="3" t="inlineStr">
        <is>
          <t>OBT190125203024-Pitten (Hamburger)</t>
        </is>
      </c>
      <c r="H664" s="10" t="n">
        <v>45676.85444444444</v>
      </c>
      <c r="I664" s="10" t="n">
        <v>45677.47986111111</v>
      </c>
      <c r="J664" s="10" t="n">
        <v>45677.48055555556</v>
      </c>
      <c r="K664" s="11">
        <f>IF(AND(ISNUMBER(D664),ISNUMBER(E664)),(E664-D664),"")</f>
        <v/>
      </c>
      <c r="L664" s="11">
        <f>IF(AND(ISNUMBER(F664),ISNUMBER(I664)),(I664-F664),"")</f>
        <v/>
      </c>
    </row>
    <row r="665">
      <c r="A665" s="3" t="inlineStr">
        <is>
          <t>1017902</t>
        </is>
      </c>
      <c r="B665" s="3" t="inlineStr">
        <is>
          <t>10179</t>
        </is>
      </c>
      <c r="C665" s="10" t="n">
        <v>45676.84182870371</v>
      </c>
      <c r="D665" s="10" t="n">
        <v>45676.84380787037</v>
      </c>
      <c r="E665" s="10" t="n">
        <v>45676.85226851852</v>
      </c>
      <c r="F665" s="10" t="n">
        <v>45676.85393518519</v>
      </c>
      <c r="G665" s="3" t="inlineStr">
        <is>
          <t>OBT190125203519-Neudörfl (FunderMax)</t>
        </is>
      </c>
      <c r="H665" s="10" t="n">
        <v>45676.8578587963</v>
      </c>
      <c r="I665" s="10" t="n">
        <v>45677.55966435185</v>
      </c>
      <c r="J665" s="10" t="n">
        <v>45677.56050925926</v>
      </c>
      <c r="K665" s="11">
        <f>IF(AND(ISNUMBER(D665),ISNUMBER(E665)),(E665-D665),"")</f>
        <v/>
      </c>
      <c r="L665" s="11">
        <f>IF(AND(ISNUMBER(F665),ISNUMBER(I665)),(I665-F665),"")</f>
        <v/>
      </c>
    </row>
    <row r="666">
      <c r="A666" s="3" t="inlineStr">
        <is>
          <t>1018001</t>
        </is>
      </c>
      <c r="B666" s="3" t="inlineStr">
        <is>
          <t>10180</t>
        </is>
      </c>
      <c r="C666" s="10" t="n">
        <v>45677.10258101852</v>
      </c>
      <c r="D666" s="10" t="n">
        <v>45677.1047800926</v>
      </c>
      <c r="E666" s="10" t="n">
        <v>45677.1134375</v>
      </c>
      <c r="F666" s="10" t="n">
        <v>45677.11538194444</v>
      </c>
      <c r="G666" s="3" t="inlineStr">
        <is>
          <t>OBT200125093149-Wr. Neustadt (Hödlmayr)</t>
        </is>
      </c>
      <c r="H666" s="10" t="n">
        <v>45677.39709490741</v>
      </c>
      <c r="I666" s="10" t="n">
        <v>45678.1641087963</v>
      </c>
      <c r="J666" s="10" t="n">
        <v>45678.16496527778</v>
      </c>
      <c r="K666" s="11">
        <f>IF(AND(ISNUMBER(D666),ISNUMBER(E666)),(E666-D666),"")</f>
        <v/>
      </c>
      <c r="L666" s="11">
        <f>IF(AND(ISNUMBER(F666),ISNUMBER(I666)),(I666-F666),"")</f>
        <v/>
      </c>
    </row>
    <row r="667">
      <c r="A667" s="3" t="inlineStr">
        <is>
          <t>1018002</t>
        </is>
      </c>
      <c r="B667" s="3" t="inlineStr">
        <is>
          <t>10180</t>
        </is>
      </c>
      <c r="C667" s="10" t="n">
        <v>45677.10258101852</v>
      </c>
      <c r="D667" s="10" t="n">
        <v>45677.1047800926</v>
      </c>
      <c r="E667" s="10" t="n">
        <v>45677.11538194444</v>
      </c>
      <c r="F667" s="10" t="n">
        <v>45677.11701388889</v>
      </c>
      <c r="G667" s="3" t="inlineStr">
        <is>
          <t>OBT200125025157-Neunkirchen (loading tracks)</t>
        </is>
      </c>
      <c r="H667" s="10" t="n">
        <v>45677.11940972223</v>
      </c>
      <c r="I667" s="10" t="n">
        <v>45677.64144675926</v>
      </c>
      <c r="J667" s="10" t="n">
        <v>45677.64225694445</v>
      </c>
      <c r="K667" s="11">
        <f>IF(AND(ISNUMBER(D667),ISNUMBER(E667)),(E667-D667),"")</f>
        <v/>
      </c>
      <c r="L667" s="11">
        <f>IF(AND(ISNUMBER(F667),ISNUMBER(I667)),(I667-F667),"")</f>
        <v/>
      </c>
    </row>
    <row r="668">
      <c r="A668" s="3" t="inlineStr">
        <is>
          <t>1018003</t>
        </is>
      </c>
      <c r="B668" s="3" t="inlineStr">
        <is>
          <t>10180</t>
        </is>
      </c>
      <c r="C668" s="10" t="n">
        <v>45677.10258101852</v>
      </c>
      <c r="D668" s="10" t="n">
        <v>45677.1047800926</v>
      </c>
      <c r="E668" s="10" t="n">
        <v>45677.11701388889</v>
      </c>
      <c r="F668" s="10" t="n">
        <v>45677.11900462963</v>
      </c>
      <c r="G668" s="3" t="inlineStr">
        <is>
          <t>OBT200125094944-Neudörfl (FunderMax)</t>
        </is>
      </c>
      <c r="H668" s="10" t="n">
        <v>45677.40953703703</v>
      </c>
      <c r="I668" s="10" t="n">
        <v>45678.30972222222</v>
      </c>
      <c r="J668" s="10" t="n">
        <v>45678.31057870371</v>
      </c>
      <c r="K668" s="11">
        <f>IF(AND(ISNUMBER(D668),ISNUMBER(E668)),(E668-D668),"")</f>
        <v/>
      </c>
      <c r="L668" s="11">
        <f>IF(AND(ISNUMBER(F668),ISNUMBER(I668)),(I668-F668),"")</f>
        <v/>
      </c>
    </row>
    <row r="669">
      <c r="A669" s="3" t="inlineStr">
        <is>
          <t>1018004</t>
        </is>
      </c>
      <c r="B669" s="3" t="inlineStr">
        <is>
          <t>10180</t>
        </is>
      </c>
      <c r="C669" s="10" t="n">
        <v>45677.10258101852</v>
      </c>
      <c r="D669" s="10" t="n">
        <v>45677.1047800926</v>
      </c>
      <c r="E669" s="10" t="n">
        <v>45677.11900462963</v>
      </c>
      <c r="F669" s="10" t="n">
        <v>45677.12099537037</v>
      </c>
      <c r="G669" s="3" t="inlineStr">
        <is>
          <t>OBT200125125954-Wien Kledering</t>
        </is>
      </c>
      <c r="H669" s="10" t="n">
        <v>45677.54159722223</v>
      </c>
      <c r="I669" s="10" t="n">
        <v>45678.35875</v>
      </c>
      <c r="J669" s="10" t="n">
        <v>45678.35938657408</v>
      </c>
      <c r="K669" s="11">
        <f>IF(AND(ISNUMBER(D669),ISNUMBER(E669)),(E669-D669),"")</f>
        <v/>
      </c>
      <c r="L669" s="11">
        <f>IF(AND(ISNUMBER(F669),ISNUMBER(I669)),(I669-F669),"")</f>
        <v/>
      </c>
    </row>
    <row r="670">
      <c r="A670" s="3" t="inlineStr">
        <is>
          <t>1018101</t>
        </is>
      </c>
      <c r="B670" s="3" t="inlineStr">
        <is>
          <t>10181</t>
        </is>
      </c>
      <c r="C670" s="10" t="n">
        <v>45677.18804398148</v>
      </c>
      <c r="D670" s="10" t="n">
        <v>45677.19039351852</v>
      </c>
      <c r="E670" s="10" t="n">
        <v>45677.19692129629</v>
      </c>
      <c r="F670" s="10" t="n">
        <v>45677.19967592593</v>
      </c>
      <c r="G670" s="3" t="inlineStr">
        <is>
          <t>OBT200125045059-Neudörfl (FunderMax)</t>
        </is>
      </c>
      <c r="H670" s="10" t="n">
        <v>45677.20207175926</v>
      </c>
      <c r="I670" s="10" t="n">
        <v>45677.72326388889</v>
      </c>
      <c r="J670" s="10" t="n">
        <v>45677.72453703704</v>
      </c>
      <c r="K670" s="11">
        <f>IF(AND(ISNUMBER(D670),ISNUMBER(E670)),(E670-D670),"")</f>
        <v/>
      </c>
      <c r="L670" s="11">
        <f>IF(AND(ISNUMBER(F670),ISNUMBER(I670)),(I670-F670),"")</f>
        <v/>
      </c>
    </row>
    <row r="671">
      <c r="A671" s="3" t="inlineStr">
        <is>
          <t>1018301</t>
        </is>
      </c>
      <c r="B671" s="3" t="inlineStr">
        <is>
          <t>10183</t>
        </is>
      </c>
      <c r="C671" s="10" t="n">
        <v>45677.30219907407</v>
      </c>
      <c r="D671" s="10" t="n">
        <v>45677.30456018518</v>
      </c>
      <c r="E671" s="10" t="n">
        <v>45677.3305787037</v>
      </c>
      <c r="F671" s="10" t="n">
        <v>45677.33179398148</v>
      </c>
      <c r="G671" s="3" t="inlineStr">
        <is>
          <t>OBT200125080054-Neunkirchen (loading tracks)</t>
        </is>
      </c>
      <c r="H671" s="10" t="n">
        <v>45677.33395833334</v>
      </c>
      <c r="I671" s="10" t="n">
        <v>45677.68541666667</v>
      </c>
      <c r="J671" s="10" t="n">
        <v>45677.68611111111</v>
      </c>
      <c r="K671" s="11">
        <f>IF(AND(ISNUMBER(D671),ISNUMBER(E671)),(E671-D671),"")</f>
        <v/>
      </c>
      <c r="L671" s="11">
        <f>IF(AND(ISNUMBER(F671),ISNUMBER(I671)),(I671-F671),"")</f>
        <v/>
      </c>
    </row>
    <row r="672">
      <c r="A672" s="3" t="inlineStr">
        <is>
          <t>1018302</t>
        </is>
      </c>
      <c r="B672" s="3" t="inlineStr">
        <is>
          <t>10183</t>
        </is>
      </c>
      <c r="C672" s="10" t="n">
        <v>45677.30219907407</v>
      </c>
      <c r="D672" s="10" t="n">
        <v>45677.30456018518</v>
      </c>
      <c r="E672" s="10" t="n">
        <v>45677.33179398148</v>
      </c>
      <c r="F672" s="10" t="n">
        <v>45677.33361111111</v>
      </c>
      <c r="G672" s="3" t="inlineStr">
        <is>
          <t>OBT200125094944-Neudörfl (FunderMax)</t>
        </is>
      </c>
      <c r="H672" s="10" t="n">
        <v>45677.40953703703</v>
      </c>
      <c r="I672" s="10" t="n">
        <v>45678.30972222222</v>
      </c>
      <c r="J672" s="10" t="n">
        <v>45678.31057870371</v>
      </c>
      <c r="K672" s="11">
        <f>IF(AND(ISNUMBER(D672),ISNUMBER(E672)),(E672-D672),"")</f>
        <v/>
      </c>
      <c r="L672" s="11">
        <f>IF(AND(ISNUMBER(F672),ISNUMBER(I672)),(I672-F672),"")</f>
        <v/>
      </c>
    </row>
    <row r="673">
      <c r="A673" s="3" t="inlineStr">
        <is>
          <t>1018303</t>
        </is>
      </c>
      <c r="B673" s="3" t="inlineStr">
        <is>
          <t>10183</t>
        </is>
      </c>
      <c r="C673" s="10" t="n">
        <v>45677.30219907407</v>
      </c>
      <c r="D673" s="10" t="n">
        <v>45677.30456018518</v>
      </c>
      <c r="E673" s="10" t="n">
        <v>45677.33361111111</v>
      </c>
      <c r="F673" s="10" t="n">
        <v>45677.33484953704</v>
      </c>
      <c r="G673" s="3" t="inlineStr">
        <is>
          <t>OBT200125080717-Wr. Neustadt (Hödlmayr)</t>
        </is>
      </c>
      <c r="H673" s="10" t="n">
        <v>45677.3383912037</v>
      </c>
      <c r="I673" s="10" t="n">
        <v>45677.69567129629</v>
      </c>
      <c r="J673" s="10" t="n">
        <v>45677.69652777778</v>
      </c>
      <c r="K673" s="11">
        <f>IF(AND(ISNUMBER(D673),ISNUMBER(E673)),(E673-D673),"")</f>
        <v/>
      </c>
      <c r="L673" s="11">
        <f>IF(AND(ISNUMBER(F673),ISNUMBER(I673)),(I673-F673),"")</f>
        <v/>
      </c>
    </row>
    <row r="674">
      <c r="A674" s="3" t="inlineStr">
        <is>
          <t>1018304</t>
        </is>
      </c>
      <c r="B674" s="3" t="inlineStr">
        <is>
          <t>10183</t>
        </is>
      </c>
      <c r="C674" s="10" t="n">
        <v>45677.30219907407</v>
      </c>
      <c r="D674" s="10" t="n">
        <v>45677.30456018518</v>
      </c>
      <c r="E674" s="10" t="n">
        <v>45677.33484953704</v>
      </c>
      <c r="F674" s="10" t="n">
        <v>45677.33642361111</v>
      </c>
      <c r="G674" s="3" t="inlineStr">
        <is>
          <t>OBT220125073335-Other sidings local</t>
        </is>
      </c>
      <c r="H674" s="10" t="n">
        <v>45679.31498842593</v>
      </c>
      <c r="I674" s="10" t="n">
        <v>45680.32570601852</v>
      </c>
      <c r="J674" s="10" t="n">
        <v>45680.32655092593</v>
      </c>
      <c r="K674" s="11">
        <f>IF(AND(ISNUMBER(D674),ISNUMBER(E674)),(E674-D674),"")</f>
        <v/>
      </c>
      <c r="L674" s="11">
        <f>IF(AND(ISNUMBER(F674),ISNUMBER(I674)),(I674-F674),"")</f>
        <v/>
      </c>
    </row>
    <row r="675">
      <c r="A675" s="3" t="inlineStr">
        <is>
          <t>1018305</t>
        </is>
      </c>
      <c r="B675" s="3" t="inlineStr">
        <is>
          <t>10183</t>
        </is>
      </c>
      <c r="C675" s="10" t="n">
        <v>45677.30219907407</v>
      </c>
      <c r="D675" s="10" t="n">
        <v>45677.30456018518</v>
      </c>
      <c r="E675" s="10" t="n">
        <v>45677.33642361111</v>
      </c>
      <c r="F675" s="10" t="n">
        <v>45677.33834490741</v>
      </c>
      <c r="G675" s="3" t="inlineStr">
        <is>
          <t>OBT200125212137-Wien Kledering</t>
        </is>
      </c>
      <c r="H675" s="10" t="n">
        <v>45677.89001157408</v>
      </c>
      <c r="I675" s="10" t="n">
        <v>45678.7109837963</v>
      </c>
      <c r="J675" s="10" t="n">
        <v>45678.71240740741</v>
      </c>
      <c r="K675" s="11">
        <f>IF(AND(ISNUMBER(D675),ISNUMBER(E675)),(E675-D675),"")</f>
        <v/>
      </c>
      <c r="L675" s="11">
        <f>IF(AND(ISNUMBER(F675),ISNUMBER(I675)),(I675-F675),"")</f>
        <v/>
      </c>
    </row>
    <row r="676">
      <c r="A676" s="3" t="inlineStr">
        <is>
          <t>1018306</t>
        </is>
      </c>
      <c r="B676" s="3" t="inlineStr">
        <is>
          <t>10183</t>
        </is>
      </c>
      <c r="C676" s="10" t="n">
        <v>45677.30219907407</v>
      </c>
      <c r="D676" s="10" t="n">
        <v>45677.30456018518</v>
      </c>
      <c r="E676" s="10" t="n">
        <v>45677.33834490741</v>
      </c>
      <c r="F676" s="10" t="n">
        <v>45677.34015046297</v>
      </c>
      <c r="G676" s="3" t="inlineStr">
        <is>
          <t>OBT210125032545-Neunkirchen (loading tracks)</t>
        </is>
      </c>
      <c r="H676" s="10" t="n">
        <v>45678.14288194444</v>
      </c>
      <c r="I676" s="10" t="n">
        <v>45678.6987037037</v>
      </c>
      <c r="J676" s="10" t="n">
        <v>45678.69976851852</v>
      </c>
      <c r="K676" s="11">
        <f>IF(AND(ISNUMBER(D676),ISNUMBER(E676)),(E676-D676),"")</f>
        <v/>
      </c>
      <c r="L676" s="11">
        <f>IF(AND(ISNUMBER(F676),ISNUMBER(I676)),(I676-F676),"")</f>
        <v/>
      </c>
    </row>
    <row r="677">
      <c r="A677" s="3" t="inlineStr">
        <is>
          <t>1018308</t>
        </is>
      </c>
      <c r="B677" s="3" t="inlineStr">
        <is>
          <t>10183</t>
        </is>
      </c>
      <c r="C677" s="10" t="n">
        <v>45677.30219907407</v>
      </c>
      <c r="D677" s="10" t="n">
        <v>45677.30456018518</v>
      </c>
      <c r="E677" s="10" t="n">
        <v>45677.34015046297</v>
      </c>
      <c r="F677" s="10" t="n">
        <v>45677.3419212963</v>
      </c>
      <c r="G677" s="3" t="inlineStr">
        <is>
          <t>OBT200125125954-Wien Kledering</t>
        </is>
      </c>
      <c r="H677" s="10" t="n">
        <v>45677.54159722223</v>
      </c>
      <c r="I677" s="10" t="n">
        <v>45678.35875</v>
      </c>
      <c r="J677" s="10" t="n">
        <v>45678.35938657408</v>
      </c>
      <c r="K677" s="11">
        <f>IF(AND(ISNUMBER(D677),ISNUMBER(E677)),(E677-D677),"")</f>
        <v/>
      </c>
      <c r="L677" s="11">
        <f>IF(AND(ISNUMBER(F677),ISNUMBER(I677)),(I677-F677),"")</f>
        <v/>
      </c>
    </row>
    <row r="678">
      <c r="A678" s="3" t="inlineStr">
        <is>
          <t>1018310</t>
        </is>
      </c>
      <c r="B678" s="3" t="inlineStr">
        <is>
          <t>10183</t>
        </is>
      </c>
      <c r="C678" s="10" t="n">
        <v>45677.30219907407</v>
      </c>
      <c r="D678" s="10" t="n">
        <v>45677.30456018518</v>
      </c>
      <c r="E678" s="10" t="n">
        <v>45677.3419212963</v>
      </c>
      <c r="F678" s="10" t="n">
        <v>45677.34375</v>
      </c>
      <c r="G678" s="3" t="inlineStr">
        <is>
          <t>OBT200125094944-Neudörfl (FunderMax)</t>
        </is>
      </c>
      <c r="H678" s="10" t="n">
        <v>45677.40953703703</v>
      </c>
      <c r="I678" s="10" t="n">
        <v>45678.30972222222</v>
      </c>
      <c r="J678" s="10" t="n">
        <v>45678.31057870371</v>
      </c>
      <c r="K678" s="11">
        <f>IF(AND(ISNUMBER(D678),ISNUMBER(E678)),(E678-D678),"")</f>
        <v/>
      </c>
      <c r="L678" s="11">
        <f>IF(AND(ISNUMBER(F678),ISNUMBER(I678)),(I678-F678),"")</f>
        <v/>
      </c>
    </row>
    <row r="679">
      <c r="A679" s="3" t="inlineStr">
        <is>
          <t>1018311</t>
        </is>
      </c>
      <c r="B679" s="3" t="inlineStr">
        <is>
          <t>10183</t>
        </is>
      </c>
      <c r="C679" s="10" t="n">
        <v>45677.30219907407</v>
      </c>
      <c r="D679" s="10" t="n">
        <v>45677.30456018518</v>
      </c>
      <c r="E679" s="10" t="n">
        <v>45677.34375</v>
      </c>
      <c r="F679" s="10" t="n">
        <v>45677.34539351852</v>
      </c>
      <c r="G679" s="3" t="inlineStr">
        <is>
          <t>OBT200125155402-Pitten (Hamburger)</t>
        </is>
      </c>
      <c r="H679" s="10" t="n">
        <v>45677.66252314814</v>
      </c>
      <c r="I679" s="10" t="n">
        <v>45678.42626157407</v>
      </c>
      <c r="J679" s="10" t="n">
        <v>45678.42711805556</v>
      </c>
      <c r="K679" s="11">
        <f>IF(AND(ISNUMBER(D679),ISNUMBER(E679)),(E679-D679),"")</f>
        <v/>
      </c>
      <c r="L679" s="11">
        <f>IF(AND(ISNUMBER(F679),ISNUMBER(I679)),(I679-F679),"")</f>
        <v/>
      </c>
    </row>
    <row r="680">
      <c r="A680" s="3" t="inlineStr">
        <is>
          <t>1018313</t>
        </is>
      </c>
      <c r="B680" s="3" t="inlineStr">
        <is>
          <t>10183</t>
        </is>
      </c>
      <c r="C680" s="10" t="n">
        <v>45677.30219907407</v>
      </c>
      <c r="D680" s="10" t="n">
        <v>45677.30456018518</v>
      </c>
      <c r="E680" s="10" t="n">
        <v>45677.34539351852</v>
      </c>
      <c r="F680" s="10" t="n">
        <v>45677.34686342593</v>
      </c>
      <c r="G680" s="3" t="inlineStr">
        <is>
          <t>OBT200125144313-Wien Kledering</t>
        </is>
      </c>
      <c r="H680" s="10" t="n">
        <v>45677.6133449074</v>
      </c>
      <c r="I680" s="10" t="n">
        <v>45678.45554398148</v>
      </c>
      <c r="J680" s="10" t="n">
        <v>45678.45703703703</v>
      </c>
      <c r="K680" s="11">
        <f>IF(AND(ISNUMBER(D680),ISNUMBER(E680)),(E680-D680),"")</f>
        <v/>
      </c>
      <c r="L680" s="11">
        <f>IF(AND(ISNUMBER(F680),ISNUMBER(I680)),(I680-F680),"")</f>
        <v/>
      </c>
    </row>
    <row r="681">
      <c r="A681" s="3" t="inlineStr">
        <is>
          <t>1018314</t>
        </is>
      </c>
      <c r="B681" s="3" t="inlineStr">
        <is>
          <t>10183</t>
        </is>
      </c>
      <c r="C681" s="10" t="n">
        <v>45677.30219907407</v>
      </c>
      <c r="D681" s="10" t="n">
        <v>45677.30456018518</v>
      </c>
      <c r="E681" s="10" t="n">
        <v>45677.34686342593</v>
      </c>
      <c r="F681" s="10" t="n">
        <v>45677.34875</v>
      </c>
      <c r="G681" s="3" t="inlineStr">
        <is>
          <t>OBT200125212137-Wien Kledering</t>
        </is>
      </c>
      <c r="H681" s="10" t="n">
        <v>45677.89001157408</v>
      </c>
      <c r="I681" s="10" t="n">
        <v>45678.7109837963</v>
      </c>
      <c r="J681" s="10" t="n">
        <v>45678.71240740741</v>
      </c>
      <c r="K681" s="11">
        <f>IF(AND(ISNUMBER(D681),ISNUMBER(E681)),(E681-D681),"")</f>
        <v/>
      </c>
      <c r="L681" s="11">
        <f>IF(AND(ISNUMBER(F681),ISNUMBER(I681)),(I681-F681),"")</f>
        <v/>
      </c>
    </row>
    <row r="682">
      <c r="A682" s="3" t="inlineStr">
        <is>
          <t>1018315</t>
        </is>
      </c>
      <c r="B682" s="3" t="inlineStr">
        <is>
          <t>10183</t>
        </is>
      </c>
      <c r="C682" s="10" t="n">
        <v>45677.30219907407</v>
      </c>
      <c r="D682" s="10" t="n">
        <v>45677.30456018518</v>
      </c>
      <c r="E682" s="10" t="n">
        <v>45677.34875</v>
      </c>
      <c r="F682" s="10" t="n">
        <v>45677.35055555555</v>
      </c>
      <c r="G682" s="3" t="inlineStr">
        <is>
          <t>OBT200125094944-Neudörfl (FunderMax)</t>
        </is>
      </c>
      <c r="H682" s="10" t="n">
        <v>45677.40953703703</v>
      </c>
      <c r="I682" s="10" t="n">
        <v>45678.30972222222</v>
      </c>
      <c r="J682" s="10" t="n">
        <v>45678.31057870371</v>
      </c>
      <c r="K682" s="11">
        <f>IF(AND(ISNUMBER(D682),ISNUMBER(E682)),(E682-D682),"")</f>
        <v/>
      </c>
      <c r="L682" s="11">
        <f>IF(AND(ISNUMBER(F682),ISNUMBER(I682)),(I682-F682),"")</f>
        <v/>
      </c>
    </row>
    <row r="683">
      <c r="A683" s="3" t="inlineStr">
        <is>
          <t>1018316</t>
        </is>
      </c>
      <c r="B683" s="3" t="inlineStr">
        <is>
          <t>10183</t>
        </is>
      </c>
      <c r="C683" s="10" t="n">
        <v>45677.30219907407</v>
      </c>
      <c r="D683" s="10" t="n">
        <v>45677.30456018518</v>
      </c>
      <c r="E683" s="10" t="n">
        <v>45677.35055555555</v>
      </c>
      <c r="F683" s="10" t="n">
        <v>45677.35186342592</v>
      </c>
      <c r="G683" s="3" t="inlineStr">
        <is>
          <t>OBT200125083327-Wr. Neustadt (Brenntag)</t>
        </is>
      </c>
      <c r="H683" s="10" t="n">
        <v>45677.3565625</v>
      </c>
      <c r="I683" s="10" t="n">
        <v>45677.74182870371</v>
      </c>
      <c r="J683" s="10" t="n">
        <v>45677.74260416667</v>
      </c>
      <c r="K683" s="11">
        <f>IF(AND(ISNUMBER(D683),ISNUMBER(E683)),(E683-D683),"")</f>
        <v/>
      </c>
      <c r="L683" s="11">
        <f>IF(AND(ISNUMBER(F683),ISNUMBER(I683)),(I683-F683),"")</f>
        <v/>
      </c>
    </row>
    <row r="684">
      <c r="A684" s="3" t="inlineStr">
        <is>
          <t>1018702</t>
        </is>
      </c>
      <c r="B684" s="3" t="inlineStr">
        <is>
          <t>10187</t>
        </is>
      </c>
      <c r="C684" s="10" t="n">
        <v>45677.374375</v>
      </c>
      <c r="D684" s="10" t="n">
        <v>45677.37642361111</v>
      </c>
      <c r="E684" s="10" t="n">
        <v>45677.38413194445</v>
      </c>
      <c r="F684" s="10" t="n">
        <v>45677.38555555556</v>
      </c>
      <c r="G684" s="3" t="inlineStr">
        <is>
          <t>OBT200125091839-St. Veit an der Glan</t>
        </is>
      </c>
      <c r="H684" s="10" t="n">
        <v>45677.38795138889</v>
      </c>
      <c r="I684" s="10" t="n">
        <v>45677.91462962963</v>
      </c>
      <c r="J684" s="10" t="n">
        <v>45677.91542824074</v>
      </c>
      <c r="K684" s="11">
        <f>IF(AND(ISNUMBER(D684),ISNUMBER(E684)),(E684-D684),"")</f>
        <v/>
      </c>
      <c r="L684" s="11">
        <f>IF(AND(ISNUMBER(F684),ISNUMBER(I684)),(I684-F684),"")</f>
        <v/>
      </c>
    </row>
    <row r="685">
      <c r="A685" s="3" t="inlineStr">
        <is>
          <t>1018601</t>
        </is>
      </c>
      <c r="B685" s="3" t="inlineStr">
        <is>
          <t>10186</t>
        </is>
      </c>
      <c r="C685" s="10" t="n">
        <v>45677.36388888889</v>
      </c>
      <c r="D685" s="10" t="n">
        <v>45677.36668981481</v>
      </c>
      <c r="E685" s="10" t="n">
        <v>45677.38854166667</v>
      </c>
      <c r="F685" s="10" t="n">
        <v>45677.39037037037</v>
      </c>
      <c r="G685" s="3" t="inlineStr">
        <is>
          <t>OBT200125155402-Pitten (Hamburger)</t>
        </is>
      </c>
      <c r="H685" s="10" t="n">
        <v>45677.66252314814</v>
      </c>
      <c r="I685" s="10" t="n">
        <v>45678.42626157407</v>
      </c>
      <c r="J685" s="10" t="n">
        <v>45678.42711805556</v>
      </c>
      <c r="K685" s="11">
        <f>IF(AND(ISNUMBER(D685),ISNUMBER(E685)),(E685-D685),"")</f>
        <v/>
      </c>
      <c r="L685" s="11">
        <f>IF(AND(ISNUMBER(F685),ISNUMBER(I685)),(I685-F685),"")</f>
        <v/>
      </c>
    </row>
    <row r="686">
      <c r="A686" s="3" t="inlineStr">
        <is>
          <t>1018602</t>
        </is>
      </c>
      <c r="B686" s="3" t="inlineStr">
        <is>
          <t>10186</t>
        </is>
      </c>
      <c r="C686" s="10" t="n">
        <v>45677.36388888889</v>
      </c>
      <c r="D686" s="10" t="n">
        <v>45677.36668981481</v>
      </c>
      <c r="E686" s="10" t="n">
        <v>45677.39037037037</v>
      </c>
      <c r="F686" s="10" t="n">
        <v>45677.39246527778</v>
      </c>
      <c r="G686" s="3" t="inlineStr">
        <is>
          <t>OBT200125212137-Wien Kledering</t>
        </is>
      </c>
      <c r="H686" s="10" t="n">
        <v>45677.89001157408</v>
      </c>
      <c r="I686" s="10" t="n">
        <v>45678.7109837963</v>
      </c>
      <c r="J686" s="10" t="n">
        <v>45678.71240740741</v>
      </c>
      <c r="K686" s="11">
        <f>IF(AND(ISNUMBER(D686),ISNUMBER(E686)),(E686-D686),"")</f>
        <v/>
      </c>
      <c r="L686" s="11">
        <f>IF(AND(ISNUMBER(F686),ISNUMBER(I686)),(I686-F686),"")</f>
        <v/>
      </c>
    </row>
    <row r="687">
      <c r="A687" s="3" t="inlineStr">
        <is>
          <t>1018603</t>
        </is>
      </c>
      <c r="B687" s="3" t="inlineStr">
        <is>
          <t>10186</t>
        </is>
      </c>
      <c r="C687" s="10" t="n">
        <v>45677.36388888889</v>
      </c>
      <c r="D687" s="10" t="n">
        <v>45677.36668981481</v>
      </c>
      <c r="E687" s="10" t="n">
        <v>45677.39246527778</v>
      </c>
      <c r="F687" s="10" t="n">
        <v>45677.39469907407</v>
      </c>
      <c r="G687" s="3" t="inlineStr">
        <is>
          <t>OBT200125093149-Wr. Neustadt (Hödlmayr)</t>
        </is>
      </c>
      <c r="H687" s="10" t="n">
        <v>45677.39709490741</v>
      </c>
      <c r="I687" s="10" t="n">
        <v>45678.1641087963</v>
      </c>
      <c r="J687" s="10" t="n">
        <v>45678.16496527778</v>
      </c>
      <c r="K687" s="11">
        <f>IF(AND(ISNUMBER(D687),ISNUMBER(E687)),(E687-D687),"")</f>
        <v/>
      </c>
      <c r="L687" s="11">
        <f>IF(AND(ISNUMBER(F687),ISNUMBER(I687)),(I687-F687),"")</f>
        <v/>
      </c>
    </row>
    <row r="688">
      <c r="A688" s="3" t="inlineStr">
        <is>
          <t>1018604</t>
        </is>
      </c>
      <c r="B688" s="3" t="inlineStr">
        <is>
          <t>10186</t>
        </is>
      </c>
      <c r="C688" s="10" t="n">
        <v>45677.36388888889</v>
      </c>
      <c r="D688" s="10" t="n">
        <v>45677.36668981481</v>
      </c>
      <c r="E688" s="10" t="n">
        <v>45677.39469907407</v>
      </c>
      <c r="F688" s="10" t="n">
        <v>45677.3966087963</v>
      </c>
      <c r="G688" s="3" t="inlineStr">
        <is>
          <t>OBT200125125954-Wien Kledering</t>
        </is>
      </c>
      <c r="H688" s="10" t="n">
        <v>45677.54159722223</v>
      </c>
      <c r="I688" s="10" t="n">
        <v>45678.35875</v>
      </c>
      <c r="J688" s="10" t="n">
        <v>45678.35938657408</v>
      </c>
      <c r="K688" s="11">
        <f>IF(AND(ISNUMBER(D688),ISNUMBER(E688)),(E688-D688),"")</f>
        <v/>
      </c>
      <c r="L688" s="11">
        <f>IF(AND(ISNUMBER(F688),ISNUMBER(I688)),(I688-F688),"")</f>
        <v/>
      </c>
    </row>
    <row r="689">
      <c r="A689" s="3" t="inlineStr">
        <is>
          <t>1018605</t>
        </is>
      </c>
      <c r="B689" s="3" t="inlineStr">
        <is>
          <t>10186</t>
        </is>
      </c>
      <c r="C689" s="10" t="n">
        <v>45677.36388888889</v>
      </c>
      <c r="D689" s="10" t="n">
        <v>45677.36668981481</v>
      </c>
      <c r="E689" s="10" t="n">
        <v>45677.3966087963</v>
      </c>
      <c r="F689" s="10" t="n">
        <v>45677.39861111111</v>
      </c>
      <c r="G689" s="3" t="inlineStr">
        <is>
          <t>OBT200125094944-Neudörfl (FunderMax)</t>
        </is>
      </c>
      <c r="H689" s="10" t="n">
        <v>45677.40953703703</v>
      </c>
      <c r="I689" s="10" t="n">
        <v>45678.30972222222</v>
      </c>
      <c r="J689" s="10" t="n">
        <v>45678.31057870371</v>
      </c>
      <c r="K689" s="11">
        <f>IF(AND(ISNUMBER(D689),ISNUMBER(E689)),(E689-D689),"")</f>
        <v/>
      </c>
      <c r="L689" s="11">
        <f>IF(AND(ISNUMBER(F689),ISNUMBER(I689)),(I689-F689),"")</f>
        <v/>
      </c>
    </row>
    <row r="690">
      <c r="A690" s="3" t="inlineStr">
        <is>
          <t>1018607</t>
        </is>
      </c>
      <c r="B690" s="3" t="inlineStr">
        <is>
          <t>10186</t>
        </is>
      </c>
      <c r="C690" s="10" t="n">
        <v>45677.36388888889</v>
      </c>
      <c r="D690" s="10" t="n">
        <v>45677.36668981481</v>
      </c>
      <c r="E690" s="10" t="n">
        <v>45677.39861111111</v>
      </c>
      <c r="F690" s="10" t="n">
        <v>45677.40055555556</v>
      </c>
      <c r="G690" s="3" t="inlineStr">
        <is>
          <t>OBT210125032545-Neunkirchen (loading tracks)</t>
        </is>
      </c>
      <c r="H690" s="10" t="n">
        <v>45678.14288194444</v>
      </c>
      <c r="I690" s="10" t="n">
        <v>45678.6987037037</v>
      </c>
      <c r="J690" s="10" t="n">
        <v>45678.69976851852</v>
      </c>
      <c r="K690" s="11">
        <f>IF(AND(ISNUMBER(D690),ISNUMBER(E690)),(E690-D690),"")</f>
        <v/>
      </c>
      <c r="L690" s="11">
        <f>IF(AND(ISNUMBER(F690),ISNUMBER(I690)),(I690-F690),"")</f>
        <v/>
      </c>
    </row>
    <row r="691">
      <c r="A691" s="3" t="inlineStr">
        <is>
          <t>1018608</t>
        </is>
      </c>
      <c r="B691" s="3" t="inlineStr">
        <is>
          <t>10186</t>
        </is>
      </c>
      <c r="C691" s="10" t="n">
        <v>45677.36388888889</v>
      </c>
      <c r="D691" s="10" t="n">
        <v>45677.36668981481</v>
      </c>
      <c r="E691" s="10" t="n">
        <v>45677.40055555556</v>
      </c>
      <c r="F691" s="10" t="n">
        <v>45677.40184027778</v>
      </c>
      <c r="G691" s="3" t="inlineStr">
        <is>
          <t>OBT220125180607-Wr. Neustadt Ausfahrbf (Furtenbach)</t>
        </is>
      </c>
      <c r="H691" s="10" t="n">
        <v>45679.75424768519</v>
      </c>
      <c r="I691" s="10" t="n">
        <v>45680.70087962963</v>
      </c>
      <c r="J691" s="10" t="n">
        <v>45680.70167824074</v>
      </c>
      <c r="K691" s="11">
        <f>IF(AND(ISNUMBER(D691),ISNUMBER(E691)),(E691-D691),"")</f>
        <v/>
      </c>
      <c r="L691" s="11">
        <f>IF(AND(ISNUMBER(F691),ISNUMBER(I691)),(I691-F691),"")</f>
        <v/>
      </c>
    </row>
    <row r="692">
      <c r="A692" s="3" t="inlineStr">
        <is>
          <t>1018610</t>
        </is>
      </c>
      <c r="B692" s="3" t="inlineStr">
        <is>
          <t>10186</t>
        </is>
      </c>
      <c r="C692" s="10" t="n">
        <v>45677.36388888889</v>
      </c>
      <c r="D692" s="10" t="n">
        <v>45677.36668981481</v>
      </c>
      <c r="E692" s="10" t="n">
        <v>45677.40184027778</v>
      </c>
      <c r="F692" s="10" t="n">
        <v>45677.40359953704</v>
      </c>
      <c r="G692" s="3" t="inlineStr">
        <is>
          <t>OBT200125155402-Pitten (Hamburger)</t>
        </is>
      </c>
      <c r="H692" s="10" t="n">
        <v>45677.66252314814</v>
      </c>
      <c r="I692" s="10" t="n">
        <v>45678.42626157407</v>
      </c>
      <c r="J692" s="10" t="n">
        <v>45678.42711805556</v>
      </c>
      <c r="K692" s="11">
        <f>IF(AND(ISNUMBER(D692),ISNUMBER(E692)),(E692-D692),"")</f>
        <v/>
      </c>
      <c r="L692" s="11">
        <f>IF(AND(ISNUMBER(F692),ISNUMBER(I692)),(I692-F692),"")</f>
        <v/>
      </c>
    </row>
    <row r="693">
      <c r="A693" s="3" t="inlineStr">
        <is>
          <t>1018611</t>
        </is>
      </c>
      <c r="B693" s="3" t="inlineStr">
        <is>
          <t>10186</t>
        </is>
      </c>
      <c r="C693" s="10" t="n">
        <v>45677.36388888889</v>
      </c>
      <c r="D693" s="10" t="n">
        <v>45677.36668981481</v>
      </c>
      <c r="E693" s="10" t="n">
        <v>45677.40359953704</v>
      </c>
      <c r="F693" s="10" t="n">
        <v>45677.40561342592</v>
      </c>
      <c r="G693" s="3" t="inlineStr">
        <is>
          <t>OBT200125094944-Neudörfl (FunderMax)</t>
        </is>
      </c>
      <c r="H693" s="10" t="n">
        <v>45677.40953703703</v>
      </c>
      <c r="I693" s="10" t="n">
        <v>45678.30972222222</v>
      </c>
      <c r="J693" s="10" t="n">
        <v>45678.31057870371</v>
      </c>
      <c r="K693" s="11">
        <f>IF(AND(ISNUMBER(D693),ISNUMBER(E693)),(E693-D693),"")</f>
        <v/>
      </c>
      <c r="L693" s="11">
        <f>IF(AND(ISNUMBER(F693),ISNUMBER(I693)),(I693-F693),"")</f>
        <v/>
      </c>
    </row>
    <row r="694">
      <c r="A694" s="3" t="inlineStr">
        <is>
          <t>1018612</t>
        </is>
      </c>
      <c r="B694" s="3" t="inlineStr">
        <is>
          <t>10186</t>
        </is>
      </c>
      <c r="C694" s="10" t="n">
        <v>45677.36388888889</v>
      </c>
      <c r="D694" s="10" t="n">
        <v>45677.36668981481</v>
      </c>
      <c r="E694" s="10" t="n">
        <v>45677.40561342592</v>
      </c>
      <c r="F694" s="10" t="n">
        <v>45677.40758101852</v>
      </c>
      <c r="G694" s="3" t="inlineStr">
        <is>
          <t>OBT210125075153-Pitten (Hamburger)</t>
        </is>
      </c>
      <c r="H694" s="10" t="n">
        <v>45678.32769675926</v>
      </c>
      <c r="I694" s="10" t="n">
        <v>45679.14331018519</v>
      </c>
      <c r="J694" s="10" t="n">
        <v>45679.14412037037</v>
      </c>
      <c r="K694" s="11">
        <f>IF(AND(ISNUMBER(D694),ISNUMBER(E694)),(E694-D694),"")</f>
        <v/>
      </c>
      <c r="L694" s="11">
        <f>IF(AND(ISNUMBER(F694),ISNUMBER(I694)),(I694-F694),"")</f>
        <v/>
      </c>
    </row>
    <row r="695">
      <c r="A695" s="3" t="inlineStr">
        <is>
          <t>1018801</t>
        </is>
      </c>
      <c r="B695" s="3" t="inlineStr">
        <is>
          <t>10188</t>
        </is>
      </c>
      <c r="C695" s="10" t="n">
        <v>45677.43983796296</v>
      </c>
      <c r="D695" s="10" t="n">
        <v>45677.44216435185</v>
      </c>
      <c r="E695" s="10" t="n">
        <v>45677.45043981481</v>
      </c>
      <c r="F695" s="10" t="n">
        <v>45677.45189814815</v>
      </c>
      <c r="G695" s="3" t="inlineStr">
        <is>
          <t>OBT200125105804-Wien Kledering</t>
        </is>
      </c>
      <c r="H695" s="10" t="n">
        <v>45677.45699074074</v>
      </c>
      <c r="I695" s="10" t="n">
        <v>45678.34516203704</v>
      </c>
      <c r="J695" s="10" t="n">
        <v>45678.34601851852</v>
      </c>
      <c r="K695" s="11">
        <f>IF(AND(ISNUMBER(D695),ISNUMBER(E695)),(E695-D695),"")</f>
        <v/>
      </c>
      <c r="L695" s="11">
        <f>IF(AND(ISNUMBER(F695),ISNUMBER(I695)),(I695-F695),"")</f>
        <v/>
      </c>
    </row>
    <row r="696">
      <c r="A696" s="3" t="inlineStr">
        <is>
          <t>1018802</t>
        </is>
      </c>
      <c r="B696" s="3" t="inlineStr">
        <is>
          <t>10188</t>
        </is>
      </c>
      <c r="C696" s="10" t="n">
        <v>45677.43983796296</v>
      </c>
      <c r="D696" s="10" t="n">
        <v>45677.44216435185</v>
      </c>
      <c r="E696" s="10" t="n">
        <v>45677.45189814815</v>
      </c>
      <c r="F696" s="10" t="n">
        <v>45677.45306712963</v>
      </c>
      <c r="G696" s="3" t="inlineStr">
        <is>
          <t>OBT200125105804-Wien Kledering</t>
        </is>
      </c>
      <c r="H696" s="10" t="n">
        <v>45677.45699074074</v>
      </c>
      <c r="I696" s="10" t="n">
        <v>45678.34516203704</v>
      </c>
      <c r="J696" s="10" t="n">
        <v>45678.34601851852</v>
      </c>
      <c r="K696" s="11">
        <f>IF(AND(ISNUMBER(D696),ISNUMBER(E696)),(E696-D696),"")</f>
        <v/>
      </c>
      <c r="L696" s="11">
        <f>IF(AND(ISNUMBER(F696),ISNUMBER(I696)),(I696-F696),"")</f>
        <v/>
      </c>
    </row>
    <row r="697">
      <c r="A697" s="3" t="inlineStr">
        <is>
          <t>1018803</t>
        </is>
      </c>
      <c r="B697" s="3" t="inlineStr">
        <is>
          <t>10188</t>
        </is>
      </c>
      <c r="C697" s="10" t="n">
        <v>45677.43983796296</v>
      </c>
      <c r="D697" s="10" t="n">
        <v>45677.44216435185</v>
      </c>
      <c r="E697" s="10" t="n">
        <v>45677.45306712963</v>
      </c>
      <c r="F697" s="10" t="n">
        <v>45677.45511574074</v>
      </c>
      <c r="G697" s="3" t="inlineStr">
        <is>
          <t>OBT200125105846-Wien Kledering</t>
        </is>
      </c>
      <c r="H697" s="10" t="n">
        <v>45677.45747685185</v>
      </c>
      <c r="I697" s="10" t="n">
        <v>45678.36142361111</v>
      </c>
      <c r="J697" s="10" t="n">
        <v>45678.36229166666</v>
      </c>
      <c r="K697" s="11">
        <f>IF(AND(ISNUMBER(D697),ISNUMBER(E697)),(E697-D697),"")</f>
        <v/>
      </c>
      <c r="L697" s="11">
        <f>IF(AND(ISNUMBER(F697),ISNUMBER(I697)),(I697-F697),"")</f>
        <v/>
      </c>
    </row>
    <row r="698">
      <c r="A698" s="3" t="inlineStr">
        <is>
          <t>1018901</t>
        </is>
      </c>
      <c r="B698" s="3" t="inlineStr">
        <is>
          <t>10189</t>
        </is>
      </c>
      <c r="C698" s="10" t="n">
        <v>45677.53071759259</v>
      </c>
      <c r="D698" s="10" t="n">
        <v>45677.53254629629</v>
      </c>
      <c r="E698" s="10" t="n">
        <v>45677.53708333334</v>
      </c>
      <c r="F698" s="10" t="n">
        <v>45677.53920138889</v>
      </c>
      <c r="G698" s="3" t="inlineStr">
        <is>
          <t>OBT200125125954-Wien Kledering</t>
        </is>
      </c>
      <c r="H698" s="10" t="n">
        <v>45677.54159722223</v>
      </c>
      <c r="I698" s="10" t="n">
        <v>45678.35875</v>
      </c>
      <c r="J698" s="10" t="n">
        <v>45678.35938657408</v>
      </c>
      <c r="K698" s="11">
        <f>IF(AND(ISNUMBER(D698),ISNUMBER(E698)),(E698-D698),"")</f>
        <v/>
      </c>
      <c r="L698" s="11">
        <f>IF(AND(ISNUMBER(F698),ISNUMBER(I698)),(I698-F698),"")</f>
        <v/>
      </c>
    </row>
    <row r="699">
      <c r="A699" s="3" t="inlineStr">
        <is>
          <t>1019001</t>
        </is>
      </c>
      <c r="B699" s="3" t="inlineStr">
        <is>
          <t>10190</t>
        </is>
      </c>
      <c r="C699" s="10" t="n">
        <v>45677.59935185185</v>
      </c>
      <c r="D699" s="10" t="n">
        <v>45677.60184027778</v>
      </c>
      <c r="E699" s="10" t="n">
        <v>45677.60847222222</v>
      </c>
      <c r="F699" s="10" t="n">
        <v>45677.61094907407</v>
      </c>
      <c r="G699" s="3" t="inlineStr">
        <is>
          <t>OBT200125144313-Wien Kledering</t>
        </is>
      </c>
      <c r="H699" s="10" t="n">
        <v>45677.6133449074</v>
      </c>
      <c r="I699" s="10" t="n">
        <v>45678.45554398148</v>
      </c>
      <c r="J699" s="10" t="n">
        <v>45678.45703703703</v>
      </c>
      <c r="K699" s="11">
        <f>IF(AND(ISNUMBER(D699),ISNUMBER(E699)),(E699-D699),"")</f>
        <v/>
      </c>
      <c r="L699" s="11">
        <f>IF(AND(ISNUMBER(F699),ISNUMBER(I699)),(I699-F699),"")</f>
        <v/>
      </c>
    </row>
    <row r="700">
      <c r="A700" s="3" t="inlineStr">
        <is>
          <t>1019101</t>
        </is>
      </c>
      <c r="B700" s="3" t="inlineStr">
        <is>
          <t>10191</t>
        </is>
      </c>
      <c r="C700" s="10" t="n">
        <v>45677.62982638889</v>
      </c>
      <c r="D700" s="10" t="n">
        <v>45677.63211805555</v>
      </c>
      <c r="E700" s="10" t="n">
        <v>45677.64829861111</v>
      </c>
      <c r="F700" s="10" t="n">
        <v>45677.64981481482</v>
      </c>
      <c r="G700" s="3" t="inlineStr">
        <is>
          <t>OBT220125180146-Felixdorf/Sollenau (Bundesheer, Maba)</t>
        </is>
      </c>
      <c r="H700" s="10" t="n">
        <v>45679.75122685185</v>
      </c>
      <c r="I700" s="10" t="n">
        <v>45680.67150462963</v>
      </c>
      <c r="J700" s="10" t="n">
        <v>45680.67232638889</v>
      </c>
      <c r="K700" s="11">
        <f>IF(AND(ISNUMBER(D700),ISNUMBER(E700)),(E700-D700),"")</f>
        <v/>
      </c>
      <c r="L700" s="11">
        <f>IF(AND(ISNUMBER(F700),ISNUMBER(I700)),(I700-F700),"")</f>
        <v/>
      </c>
    </row>
    <row r="701">
      <c r="A701" s="3" t="inlineStr">
        <is>
          <t>1019102</t>
        </is>
      </c>
      <c r="B701" s="3" t="inlineStr">
        <is>
          <t>10191</t>
        </is>
      </c>
      <c r="C701" s="10" t="n">
        <v>45677.62982638889</v>
      </c>
      <c r="D701" s="10" t="n">
        <v>45677.63211805555</v>
      </c>
      <c r="E701" s="10" t="n">
        <v>45677.64981481482</v>
      </c>
      <c r="F701" s="10" t="n">
        <v>45677.65177083333</v>
      </c>
      <c r="G701" s="3" t="inlineStr">
        <is>
          <t>OBT210125080256-Neudörfl (FunderMax)</t>
        </is>
      </c>
      <c r="H701" s="10" t="n">
        <v>45678.33537037037</v>
      </c>
      <c r="I701" s="10" t="n">
        <v>45679.22378472222</v>
      </c>
      <c r="J701" s="10" t="n">
        <v>45679.22459490741</v>
      </c>
      <c r="K701" s="11">
        <f>IF(AND(ISNUMBER(D701),ISNUMBER(E701)),(E701-D701),"")</f>
        <v/>
      </c>
      <c r="L701" s="11">
        <f>IF(AND(ISNUMBER(F701),ISNUMBER(I701)),(I701-F701),"")</f>
        <v/>
      </c>
    </row>
    <row r="702">
      <c r="A702" s="3" t="inlineStr">
        <is>
          <t>1019103</t>
        </is>
      </c>
      <c r="B702" s="3" t="inlineStr">
        <is>
          <t>10191</t>
        </is>
      </c>
      <c r="C702" s="10" t="n">
        <v>45677.62982638889</v>
      </c>
      <c r="D702" s="10" t="n">
        <v>45677.63211805555</v>
      </c>
      <c r="E702" s="10" t="n">
        <v>45677.65177083333</v>
      </c>
      <c r="F702" s="10" t="n">
        <v>45677.65369212963</v>
      </c>
      <c r="G702" s="3" t="inlineStr">
        <is>
          <t>OBT210125032545-Neunkirchen (loading tracks)</t>
        </is>
      </c>
      <c r="H702" s="10" t="n">
        <v>45678.14288194444</v>
      </c>
      <c r="I702" s="10" t="n">
        <v>45678.6987037037</v>
      </c>
      <c r="J702" s="10" t="n">
        <v>45678.69976851852</v>
      </c>
      <c r="K702" s="11">
        <f>IF(AND(ISNUMBER(D702),ISNUMBER(E702)),(E702-D702),"")</f>
        <v/>
      </c>
      <c r="L702" s="11">
        <f>IF(AND(ISNUMBER(F702),ISNUMBER(I702)),(I702-F702),"")</f>
        <v/>
      </c>
    </row>
    <row r="703">
      <c r="A703" s="3" t="inlineStr">
        <is>
          <t>1019105</t>
        </is>
      </c>
      <c r="B703" s="3" t="inlineStr">
        <is>
          <t>10191</t>
        </is>
      </c>
      <c r="C703" s="10" t="n">
        <v>45677.62982638889</v>
      </c>
      <c r="D703" s="10" t="n">
        <v>45677.63211805555</v>
      </c>
      <c r="E703" s="10" t="n">
        <v>45677.65369212963</v>
      </c>
      <c r="F703" s="10" t="n">
        <v>45677.65497685185</v>
      </c>
      <c r="G703" s="3" t="inlineStr">
        <is>
          <t>OBT220125180607-Wr. Neustadt Ausfahrbf (Furtenbach)</t>
        </is>
      </c>
      <c r="H703" s="10" t="n">
        <v>45679.75424768519</v>
      </c>
      <c r="I703" s="10" t="n">
        <v>45680.70087962963</v>
      </c>
      <c r="J703" s="10" t="n">
        <v>45680.70167824074</v>
      </c>
      <c r="K703" s="11">
        <f>IF(AND(ISNUMBER(D703),ISNUMBER(E703)),(E703-D703),"")</f>
        <v/>
      </c>
      <c r="L703" s="11">
        <f>IF(AND(ISNUMBER(F703),ISNUMBER(I703)),(I703-F703),"")</f>
        <v/>
      </c>
    </row>
    <row r="704">
      <c r="A704" s="3" t="inlineStr">
        <is>
          <t>1019106</t>
        </is>
      </c>
      <c r="B704" s="3" t="inlineStr">
        <is>
          <t>10191</t>
        </is>
      </c>
      <c r="C704" s="10" t="n">
        <v>45677.62982638889</v>
      </c>
      <c r="D704" s="10" t="n">
        <v>45677.63211805555</v>
      </c>
      <c r="E704" s="10" t="n">
        <v>45677.65497685185</v>
      </c>
      <c r="F704" s="10" t="n">
        <v>45677.65673611111</v>
      </c>
      <c r="G704" s="3" t="inlineStr">
        <is>
          <t>OBT200125155402-Pitten (Hamburger)</t>
        </is>
      </c>
      <c r="H704" s="10" t="n">
        <v>45677.66252314814</v>
      </c>
      <c r="I704" s="10" t="n">
        <v>45678.42626157407</v>
      </c>
      <c r="J704" s="10" t="n">
        <v>45678.42711805556</v>
      </c>
      <c r="K704" s="11">
        <f>IF(AND(ISNUMBER(D704),ISNUMBER(E704)),(E704-D704),"")</f>
        <v/>
      </c>
      <c r="L704" s="11">
        <f>IF(AND(ISNUMBER(F704),ISNUMBER(I704)),(I704-F704),"")</f>
        <v/>
      </c>
    </row>
    <row r="705">
      <c r="A705" s="3" t="inlineStr">
        <is>
          <t>1019107</t>
        </is>
      </c>
      <c r="B705" s="3" t="inlineStr">
        <is>
          <t>10191</t>
        </is>
      </c>
      <c r="C705" s="10" t="n">
        <v>45677.62982638889</v>
      </c>
      <c r="D705" s="10" t="n">
        <v>45677.63211805555</v>
      </c>
      <c r="E705" s="10" t="n">
        <v>45677.65673611111</v>
      </c>
      <c r="F705" s="10" t="n">
        <v>45677.65859953704</v>
      </c>
      <c r="G705" s="3" t="inlineStr">
        <is>
          <t>OBT200125155402-Pitten (Hamburger)</t>
        </is>
      </c>
      <c r="H705" s="10" t="n">
        <v>45677.66252314814</v>
      </c>
      <c r="I705" s="10" t="n">
        <v>45678.42626157407</v>
      </c>
      <c r="J705" s="10" t="n">
        <v>45678.42711805556</v>
      </c>
      <c r="K705" s="11">
        <f>IF(AND(ISNUMBER(D705),ISNUMBER(E705)),(E705-D705),"")</f>
        <v/>
      </c>
      <c r="L705" s="11">
        <f>IF(AND(ISNUMBER(F705),ISNUMBER(I705)),(I705-F705),"")</f>
        <v/>
      </c>
    </row>
    <row r="706">
      <c r="A706" s="3" t="inlineStr">
        <is>
          <t>1019108</t>
        </is>
      </c>
      <c r="B706" s="3" t="inlineStr">
        <is>
          <t>10191</t>
        </is>
      </c>
      <c r="C706" s="10" t="n">
        <v>45677.62982638889</v>
      </c>
      <c r="D706" s="10" t="n">
        <v>45677.63211805555</v>
      </c>
      <c r="E706" s="10" t="n">
        <v>45677.65859953704</v>
      </c>
      <c r="F706" s="10" t="n">
        <v>45677.66050925926</v>
      </c>
      <c r="G706" s="3" t="inlineStr">
        <is>
          <t>OBT210125093910-Neudörfl (FunderMax)</t>
        </is>
      </c>
      <c r="H706" s="10" t="n">
        <v>45678.40219907407</v>
      </c>
      <c r="I706" s="10" t="n">
        <v>45679.36085648148</v>
      </c>
      <c r="J706" s="10" t="n">
        <v>45679.36150462963</v>
      </c>
      <c r="K706" s="11">
        <f>IF(AND(ISNUMBER(D706),ISNUMBER(E706)),(E706-D706),"")</f>
        <v/>
      </c>
      <c r="L706" s="11">
        <f>IF(AND(ISNUMBER(F706),ISNUMBER(I706)),(I706-F706),"")</f>
        <v/>
      </c>
    </row>
    <row r="707">
      <c r="A707" s="3" t="inlineStr">
        <is>
          <t>1019109</t>
        </is>
      </c>
      <c r="B707" s="3" t="inlineStr">
        <is>
          <t>10191</t>
        </is>
      </c>
      <c r="C707" s="10" t="n">
        <v>45677.62982638889</v>
      </c>
      <c r="D707" s="10" t="n">
        <v>45677.63211805555</v>
      </c>
      <c r="E707" s="10" t="n">
        <v>45677.66050925926</v>
      </c>
      <c r="F707" s="10" t="n">
        <v>45677.66245370371</v>
      </c>
      <c r="G707" s="3" t="inlineStr">
        <is>
          <t>OBT210125032545-Neunkirchen (loading tracks)</t>
        </is>
      </c>
      <c r="H707" s="10" t="n">
        <v>45678.14288194444</v>
      </c>
      <c r="I707" s="10" t="n">
        <v>45678.6987037037</v>
      </c>
      <c r="J707" s="10" t="n">
        <v>45678.69976851852</v>
      </c>
      <c r="K707" s="11">
        <f>IF(AND(ISNUMBER(D707),ISNUMBER(E707)),(E707-D707),"")</f>
        <v/>
      </c>
      <c r="L707" s="11">
        <f>IF(AND(ISNUMBER(F707),ISNUMBER(I707)),(I707-F707),"")</f>
        <v/>
      </c>
    </row>
    <row r="708">
      <c r="A708" s="3" t="inlineStr">
        <is>
          <t>1019110</t>
        </is>
      </c>
      <c r="B708" s="3" t="inlineStr">
        <is>
          <t>10191</t>
        </is>
      </c>
      <c r="C708" s="10" t="n">
        <v>45677.62982638889</v>
      </c>
      <c r="D708" s="10" t="n">
        <v>45677.63211805555</v>
      </c>
      <c r="E708" s="10" t="n">
        <v>45677.66245370371</v>
      </c>
      <c r="F708" s="10" t="n">
        <v>45677.664375</v>
      </c>
      <c r="G708" s="3" t="inlineStr">
        <is>
          <t>OBT210125093910-Neudörfl (FunderMax)</t>
        </is>
      </c>
      <c r="H708" s="10" t="n">
        <v>45678.40219907407</v>
      </c>
      <c r="I708" s="10" t="n">
        <v>45679.36085648148</v>
      </c>
      <c r="J708" s="10" t="n">
        <v>45679.36150462963</v>
      </c>
      <c r="K708" s="11">
        <f>IF(AND(ISNUMBER(D708),ISNUMBER(E708)),(E708-D708),"")</f>
        <v/>
      </c>
      <c r="L708" s="11">
        <f>IF(AND(ISNUMBER(F708),ISNUMBER(I708)),(I708-F708),"")</f>
        <v/>
      </c>
    </row>
    <row r="709">
      <c r="A709" s="3" t="inlineStr">
        <is>
          <t>1019201</t>
        </is>
      </c>
      <c r="B709" s="3" t="inlineStr">
        <is>
          <t>10192</t>
        </is>
      </c>
      <c r="C709" s="10" t="n">
        <v>45677.65744212963</v>
      </c>
      <c r="D709" s="10" t="n">
        <v>45677.65913194444</v>
      </c>
      <c r="E709" s="10" t="n">
        <v>45677.66670138889</v>
      </c>
      <c r="F709" s="10" t="n">
        <v>45677.66814814815</v>
      </c>
      <c r="G709" s="3" t="inlineStr">
        <is>
          <t>OBT200125160533-St. Veit an der Glan</t>
        </is>
      </c>
      <c r="H709" s="10" t="n">
        <v>45677.67052083334</v>
      </c>
      <c r="I709" s="10" t="n">
        <v>45678.46484953703</v>
      </c>
      <c r="J709" s="10" t="n">
        <v>45678.4656712963</v>
      </c>
      <c r="K709" s="11">
        <f>IF(AND(ISNUMBER(D709),ISNUMBER(E709)),(E709-D709),"")</f>
        <v/>
      </c>
      <c r="L709" s="11">
        <f>IF(AND(ISNUMBER(F709),ISNUMBER(I709)),(I709-F709),"")</f>
        <v/>
      </c>
    </row>
    <row r="710">
      <c r="A710" s="3" t="inlineStr">
        <is>
          <t>1019401</t>
        </is>
      </c>
      <c r="B710" s="3" t="inlineStr">
        <is>
          <t>10194</t>
        </is>
      </c>
      <c r="C710" s="10" t="n">
        <v>45677.70783564815</v>
      </c>
      <c r="D710" s="10" t="n">
        <v>45677.71017361111</v>
      </c>
      <c r="E710" s="10" t="n">
        <v>45677.71633101852</v>
      </c>
      <c r="F710" s="10" t="n">
        <v>45677.71821759259</v>
      </c>
      <c r="G710" s="3" t="inlineStr">
        <is>
          <t>OBT200125171741-Wien Kledering</t>
        </is>
      </c>
      <c r="H710" s="10" t="n">
        <v>45677.72061342592</v>
      </c>
      <c r="I710" s="10" t="n">
        <v>45678.67241898148</v>
      </c>
      <c r="J710" s="10" t="n">
        <v>45678.67363425926</v>
      </c>
      <c r="K710" s="11">
        <f>IF(AND(ISNUMBER(D710),ISNUMBER(E710)),(E710-D710),"")</f>
        <v/>
      </c>
      <c r="L710" s="11">
        <f>IF(AND(ISNUMBER(F710),ISNUMBER(I710)),(I710-F710),"")</f>
        <v/>
      </c>
    </row>
    <row r="711">
      <c r="A711" s="3" t="inlineStr">
        <is>
          <t>1019501</t>
        </is>
      </c>
      <c r="B711" s="3" t="inlineStr">
        <is>
          <t>10195</t>
        </is>
      </c>
      <c r="C711" s="10" t="n">
        <v>45677.87538194445</v>
      </c>
      <c r="D711" s="10" t="n">
        <v>45677.87789351852</v>
      </c>
      <c r="E711" s="10" t="n">
        <v>45677.88469907407</v>
      </c>
      <c r="F711" s="10" t="n">
        <v>45677.88761574074</v>
      </c>
      <c r="G711" s="3" t="inlineStr">
        <is>
          <t>OBT200125212137-Wien Kledering</t>
        </is>
      </c>
      <c r="H711" s="10" t="n">
        <v>45677.89001157408</v>
      </c>
      <c r="I711" s="10" t="n">
        <v>45678.7109837963</v>
      </c>
      <c r="J711" s="10" t="n">
        <v>45678.71240740741</v>
      </c>
      <c r="K711" s="11">
        <f>IF(AND(ISNUMBER(D711),ISNUMBER(E711)),(E711-D711),"")</f>
        <v/>
      </c>
      <c r="L711" s="11">
        <f>IF(AND(ISNUMBER(F711),ISNUMBER(I711)),(I711-F711),"")</f>
        <v/>
      </c>
    </row>
    <row r="712">
      <c r="A712" s="3" t="inlineStr">
        <is>
          <t>1019601</t>
        </is>
      </c>
      <c r="B712" s="3" t="inlineStr">
        <is>
          <t>10196</t>
        </is>
      </c>
      <c r="C712" s="10" t="n">
        <v>45678.11712962963</v>
      </c>
      <c r="D712" s="10" t="n">
        <v>45678.11945601852</v>
      </c>
      <c r="E712" s="10" t="n">
        <v>45678.12956018518</v>
      </c>
      <c r="F712" s="10" t="n">
        <v>45678.13146990741</v>
      </c>
      <c r="G712" s="3" t="inlineStr">
        <is>
          <t>OBT210125093910-Neudörfl (FunderMax)</t>
        </is>
      </c>
      <c r="H712" s="10" t="n">
        <v>45678.40219907407</v>
      </c>
      <c r="I712" s="10" t="n">
        <v>45679.36085648148</v>
      </c>
      <c r="J712" s="10" t="n">
        <v>45679.36150462963</v>
      </c>
      <c r="K712" s="11">
        <f>IF(AND(ISNUMBER(D712),ISNUMBER(E712)),(E712-D712),"")</f>
        <v/>
      </c>
      <c r="L712" s="11">
        <f>IF(AND(ISNUMBER(F712),ISNUMBER(I712)),(I712-F712),"")</f>
        <v/>
      </c>
    </row>
    <row r="713">
      <c r="A713" s="3" t="inlineStr">
        <is>
          <t>1019602</t>
        </is>
      </c>
      <c r="B713" s="3" t="inlineStr">
        <is>
          <t>10196</t>
        </is>
      </c>
      <c r="C713" s="10" t="n">
        <v>45678.11712962963</v>
      </c>
      <c r="D713" s="10" t="n">
        <v>45678.11945601852</v>
      </c>
      <c r="E713" s="10" t="n">
        <v>45678.13146990741</v>
      </c>
      <c r="F713" s="10" t="n">
        <v>45678.13344907408</v>
      </c>
      <c r="G713" s="3" t="inlineStr">
        <is>
          <t>OBT210125032545-Neunkirchen (loading tracks)</t>
        </is>
      </c>
      <c r="H713" s="10" t="n">
        <v>45678.14288194444</v>
      </c>
      <c r="I713" s="10" t="n">
        <v>45678.6987037037</v>
      </c>
      <c r="J713" s="10" t="n">
        <v>45678.69976851852</v>
      </c>
      <c r="K713" s="11">
        <f>IF(AND(ISNUMBER(D713),ISNUMBER(E713)),(E713-D713),"")</f>
        <v/>
      </c>
      <c r="L713" s="11">
        <f>IF(AND(ISNUMBER(F713),ISNUMBER(I713)),(I713-F713),"")</f>
        <v/>
      </c>
    </row>
    <row r="714">
      <c r="A714" s="3" t="inlineStr">
        <is>
          <t>1019603</t>
        </is>
      </c>
      <c r="B714" s="3" t="inlineStr">
        <is>
          <t>10196</t>
        </is>
      </c>
      <c r="C714" s="10" t="n">
        <v>45678.11712962963</v>
      </c>
      <c r="D714" s="10" t="n">
        <v>45678.11945601852</v>
      </c>
      <c r="E714" s="10" t="n">
        <v>45678.13344907408</v>
      </c>
      <c r="F714" s="10" t="n">
        <v>45678.13465277778</v>
      </c>
      <c r="G714" s="3" t="inlineStr">
        <is>
          <t>OBT210125092833-St. Veit an der Glan</t>
        </is>
      </c>
      <c r="H714" s="10" t="n">
        <v>45678.39482638889</v>
      </c>
      <c r="I714" s="10" t="n">
        <v>45679.34758101852</v>
      </c>
      <c r="J714" s="10" t="n">
        <v>45679.34836805556</v>
      </c>
      <c r="K714" s="11">
        <f>IF(AND(ISNUMBER(D714),ISNUMBER(E714)),(E714-D714),"")</f>
        <v/>
      </c>
      <c r="L714" s="11">
        <f>IF(AND(ISNUMBER(F714),ISNUMBER(I714)),(I714-F714),"")</f>
        <v/>
      </c>
    </row>
    <row r="715">
      <c r="A715" s="3" t="inlineStr">
        <is>
          <t>1019604</t>
        </is>
      </c>
      <c r="B715" s="3" t="inlineStr">
        <is>
          <t>10196</t>
        </is>
      </c>
      <c r="C715" s="10" t="n">
        <v>45678.11712962963</v>
      </c>
      <c r="D715" s="10" t="n">
        <v>45678.11945601852</v>
      </c>
      <c r="E715" s="10" t="n">
        <v>45678.13465277778</v>
      </c>
      <c r="F715" s="10" t="n">
        <v>45678.1366087963</v>
      </c>
      <c r="G715" s="3" t="inlineStr">
        <is>
          <t>OBT210125075153-Pitten (Hamburger)</t>
        </is>
      </c>
      <c r="H715" s="10" t="n">
        <v>45678.32769675926</v>
      </c>
      <c r="I715" s="10" t="n">
        <v>45679.14331018519</v>
      </c>
      <c r="J715" s="10" t="n">
        <v>45679.14412037037</v>
      </c>
      <c r="K715" s="11">
        <f>IF(AND(ISNUMBER(D715),ISNUMBER(E715)),(E715-D715),"")</f>
        <v/>
      </c>
      <c r="L715" s="11">
        <f>IF(AND(ISNUMBER(F715),ISNUMBER(I715)),(I715-F715),"")</f>
        <v/>
      </c>
    </row>
    <row r="716">
      <c r="A716" s="3" t="inlineStr">
        <is>
          <t>1019605</t>
        </is>
      </c>
      <c r="B716" s="3" t="inlineStr">
        <is>
          <t>10196</t>
        </is>
      </c>
      <c r="C716" s="10" t="n">
        <v>45678.11712962963</v>
      </c>
      <c r="D716" s="10" t="n">
        <v>45678.11945601852</v>
      </c>
      <c r="E716" s="10" t="n">
        <v>45678.1366087963</v>
      </c>
      <c r="F716" s="10" t="n">
        <v>45678.13895833334</v>
      </c>
      <c r="G716" s="3" t="inlineStr">
        <is>
          <t>OBT210125032545-Neunkirchen (loading tracks)</t>
        </is>
      </c>
      <c r="H716" s="10" t="n">
        <v>45678.14288194444</v>
      </c>
      <c r="I716" s="10" t="n">
        <v>45678.6987037037</v>
      </c>
      <c r="J716" s="10" t="n">
        <v>45678.69976851852</v>
      </c>
      <c r="K716" s="11">
        <f>IF(AND(ISNUMBER(D716),ISNUMBER(E716)),(E716-D716),"")</f>
        <v/>
      </c>
      <c r="L716" s="11">
        <f>IF(AND(ISNUMBER(F716),ISNUMBER(I716)),(I716-F716),"")</f>
        <v/>
      </c>
    </row>
    <row r="717">
      <c r="A717" s="3" t="inlineStr">
        <is>
          <t>1019701</t>
        </is>
      </c>
      <c r="B717" s="3" t="inlineStr">
        <is>
          <t>10197</t>
        </is>
      </c>
      <c r="C717" s="10" t="n">
        <v>45678.27481481482</v>
      </c>
      <c r="D717" s="10" t="n">
        <v>45678.27694444444</v>
      </c>
      <c r="E717" s="10" t="n">
        <v>45678.2824537037</v>
      </c>
      <c r="F717" s="10" t="n">
        <v>45678.28434027778</v>
      </c>
      <c r="G717" s="3" t="inlineStr">
        <is>
          <t>OBT210125065252-Wien Kledering</t>
        </is>
      </c>
      <c r="H717" s="10" t="n">
        <v>45678.28671296296</v>
      </c>
      <c r="I717" s="10" t="n">
        <v>45678.91990740741</v>
      </c>
      <c r="J717" s="10" t="n">
        <v>45678.92092592592</v>
      </c>
      <c r="K717" s="11">
        <f>IF(AND(ISNUMBER(D717),ISNUMBER(E717)),(E717-D717),"")</f>
        <v/>
      </c>
      <c r="L717" s="11">
        <f>IF(AND(ISNUMBER(F717),ISNUMBER(I717)),(I717-F717),"")</f>
        <v/>
      </c>
    </row>
    <row r="718">
      <c r="A718" s="3" t="inlineStr">
        <is>
          <t>1019801</t>
        </is>
      </c>
      <c r="B718" s="3" t="inlineStr">
        <is>
          <t>10198</t>
        </is>
      </c>
      <c r="C718" s="10" t="n">
        <v>45678.3003587963</v>
      </c>
      <c r="D718" s="10" t="n">
        <v>45678.3028587963</v>
      </c>
      <c r="E718" s="10" t="n">
        <v>45678.31862268518</v>
      </c>
      <c r="F718" s="10" t="n">
        <v>45678.31990740741</v>
      </c>
      <c r="G718" s="3" t="inlineStr">
        <is>
          <t>OBT210125150922-Neunkirchen (loading tracks)</t>
        </is>
      </c>
      <c r="H718" s="10" t="n">
        <v>45678.63150462963</v>
      </c>
      <c r="I718" s="10" t="n">
        <v>45679.46344907407</v>
      </c>
      <c r="J718" s="10" t="n">
        <v>45679.46422453703</v>
      </c>
      <c r="K718" s="11">
        <f>IF(AND(ISNUMBER(D718),ISNUMBER(E718)),(E718-D718),"")</f>
        <v/>
      </c>
      <c r="L718" s="11">
        <f>IF(AND(ISNUMBER(F718),ISNUMBER(I718)),(I718-F718),"")</f>
        <v/>
      </c>
    </row>
    <row r="719">
      <c r="A719" s="3" t="inlineStr">
        <is>
          <t>1019802</t>
        </is>
      </c>
      <c r="B719" s="3" t="inlineStr">
        <is>
          <t>10198</t>
        </is>
      </c>
      <c r="C719" s="10" t="n">
        <v>45678.3003587963</v>
      </c>
      <c r="D719" s="10" t="n">
        <v>45678.3028587963</v>
      </c>
      <c r="E719" s="10" t="n">
        <v>45678.31990740741</v>
      </c>
      <c r="F719" s="10" t="n">
        <v>45678.32119212963</v>
      </c>
      <c r="G719" s="3" t="inlineStr">
        <is>
          <t>OBT220125180607-Wr. Neustadt Ausfahrbf (Furtenbach)</t>
        </is>
      </c>
      <c r="H719" s="10" t="n">
        <v>45679.75424768519</v>
      </c>
      <c r="I719" s="10" t="n">
        <v>45680.70087962963</v>
      </c>
      <c r="J719" s="10" t="n">
        <v>45680.70167824074</v>
      </c>
      <c r="K719" s="11">
        <f>IF(AND(ISNUMBER(D719),ISNUMBER(E719)),(E719-D719),"")</f>
        <v/>
      </c>
      <c r="L719" s="11">
        <f>IF(AND(ISNUMBER(F719),ISNUMBER(I719)),(I719-F719),"")</f>
        <v/>
      </c>
    </row>
    <row r="720">
      <c r="A720" s="3" t="inlineStr">
        <is>
          <t>1019803</t>
        </is>
      </c>
      <c r="B720" s="3" t="inlineStr">
        <is>
          <t>10198</t>
        </is>
      </c>
      <c r="C720" s="10" t="n">
        <v>45678.3003587963</v>
      </c>
      <c r="D720" s="10" t="n">
        <v>45678.3028587963</v>
      </c>
      <c r="E720" s="10" t="n">
        <v>45678.32119212963</v>
      </c>
      <c r="F720" s="10" t="n">
        <v>45678.32311342593</v>
      </c>
      <c r="G720" s="3" t="inlineStr">
        <is>
          <t>OBT220125100316-Neudörfl (FunderMax)</t>
        </is>
      </c>
      <c r="H720" s="10" t="n">
        <v>45679.41893518518</v>
      </c>
      <c r="I720" s="10" t="n">
        <v>45680.47625</v>
      </c>
      <c r="J720" s="10" t="n">
        <v>45680.47693287037</v>
      </c>
      <c r="K720" s="11">
        <f>IF(AND(ISNUMBER(D720),ISNUMBER(E720)),(E720-D720),"")</f>
        <v/>
      </c>
      <c r="L720" s="11">
        <f>IF(AND(ISNUMBER(F720),ISNUMBER(I720)),(I720-F720),"")</f>
        <v/>
      </c>
    </row>
    <row r="721">
      <c r="A721" s="3" t="inlineStr">
        <is>
          <t>1019804</t>
        </is>
      </c>
      <c r="B721" s="3" t="inlineStr">
        <is>
          <t>10198</t>
        </is>
      </c>
      <c r="C721" s="10" t="n">
        <v>45678.3003587963</v>
      </c>
      <c r="D721" s="10" t="n">
        <v>45678.3028587963</v>
      </c>
      <c r="E721" s="10" t="n">
        <v>45678.32311342593</v>
      </c>
      <c r="F721" s="10" t="n">
        <v>45678.32530092593</v>
      </c>
      <c r="G721" s="3" t="inlineStr">
        <is>
          <t>OBT210125075153-Pitten (Hamburger)</t>
        </is>
      </c>
      <c r="H721" s="10" t="n">
        <v>45678.32769675926</v>
      </c>
      <c r="I721" s="10" t="n">
        <v>45679.14331018519</v>
      </c>
      <c r="J721" s="10" t="n">
        <v>45679.14412037037</v>
      </c>
      <c r="K721" s="11">
        <f>IF(AND(ISNUMBER(D721),ISNUMBER(E721)),(E721-D721),"")</f>
        <v/>
      </c>
      <c r="L721" s="11">
        <f>IF(AND(ISNUMBER(F721),ISNUMBER(I721)),(I721-F721),"")</f>
        <v/>
      </c>
    </row>
    <row r="722">
      <c r="A722" s="3" t="inlineStr">
        <is>
          <t>1019805</t>
        </is>
      </c>
      <c r="B722" s="3" t="inlineStr">
        <is>
          <t>10198</t>
        </is>
      </c>
      <c r="C722" s="10" t="n">
        <v>45678.3003587963</v>
      </c>
      <c r="D722" s="10" t="n">
        <v>45678.3028587963</v>
      </c>
      <c r="E722" s="10" t="n">
        <v>45678.32530092593</v>
      </c>
      <c r="F722" s="10" t="n">
        <v>45678.32702546296</v>
      </c>
      <c r="G722" s="3" t="inlineStr">
        <is>
          <t>OBT220125073335-Other sidings local</t>
        </is>
      </c>
      <c r="H722" s="10" t="n">
        <v>45679.31498842593</v>
      </c>
      <c r="I722" s="10" t="n">
        <v>45680.32570601852</v>
      </c>
      <c r="J722" s="10" t="n">
        <v>45680.32655092593</v>
      </c>
      <c r="K722" s="11">
        <f>IF(AND(ISNUMBER(D722),ISNUMBER(E722)),(E722-D722),"")</f>
        <v/>
      </c>
      <c r="L722" s="11">
        <f>IF(AND(ISNUMBER(F722),ISNUMBER(I722)),(I722-F722),"")</f>
        <v/>
      </c>
    </row>
    <row r="723">
      <c r="A723" s="3" t="inlineStr">
        <is>
          <t>1019807</t>
        </is>
      </c>
      <c r="B723" s="3" t="inlineStr">
        <is>
          <t>10198</t>
        </is>
      </c>
      <c r="C723" s="10" t="n">
        <v>45678.3003587963</v>
      </c>
      <c r="D723" s="10" t="n">
        <v>45678.3028587963</v>
      </c>
      <c r="E723" s="10" t="n">
        <v>45678.32702546296</v>
      </c>
      <c r="F723" s="10" t="n">
        <v>45678.32905092592</v>
      </c>
      <c r="G723" s="3" t="inlineStr">
        <is>
          <t>OBT220125045357-Neudörfl (FunderMax)</t>
        </is>
      </c>
      <c r="H723" s="10" t="n">
        <v>45679.20413194445</v>
      </c>
      <c r="I723" s="10" t="n">
        <v>45680.19556712963</v>
      </c>
      <c r="J723" s="10" t="n">
        <v>45680.19690972222</v>
      </c>
      <c r="K723" s="11">
        <f>IF(AND(ISNUMBER(D723),ISNUMBER(E723)),(E723-D723),"")</f>
        <v/>
      </c>
      <c r="L723" s="11">
        <f>IF(AND(ISNUMBER(F723),ISNUMBER(I723)),(I723-F723),"")</f>
        <v/>
      </c>
    </row>
    <row r="724">
      <c r="A724" s="3" t="inlineStr">
        <is>
          <t>1019808</t>
        </is>
      </c>
      <c r="B724" s="3" t="inlineStr">
        <is>
          <t>10198</t>
        </is>
      </c>
      <c r="C724" s="10" t="n">
        <v>45678.3003587963</v>
      </c>
      <c r="D724" s="10" t="n">
        <v>45678.3028587963</v>
      </c>
      <c r="E724" s="10" t="n">
        <v>45678.32905092592</v>
      </c>
      <c r="F724" s="10" t="n">
        <v>45678.33078703703</v>
      </c>
      <c r="G724" s="3" t="inlineStr">
        <is>
          <t>OBT220125073335-Other sidings local</t>
        </is>
      </c>
      <c r="H724" s="10" t="n">
        <v>45679.31498842593</v>
      </c>
      <c r="I724" s="10" t="n">
        <v>45680.32570601852</v>
      </c>
      <c r="J724" s="10" t="n">
        <v>45680.32655092593</v>
      </c>
      <c r="K724" s="11">
        <f>IF(AND(ISNUMBER(D724),ISNUMBER(E724)),(E724-D724),"")</f>
        <v/>
      </c>
      <c r="L724" s="11">
        <f>IF(AND(ISNUMBER(F724),ISNUMBER(I724)),(I724-F724),"")</f>
        <v/>
      </c>
    </row>
    <row r="725">
      <c r="A725" s="3" t="inlineStr">
        <is>
          <t>1019809</t>
        </is>
      </c>
      <c r="B725" s="3" t="inlineStr">
        <is>
          <t>10198</t>
        </is>
      </c>
      <c r="C725" s="10" t="n">
        <v>45678.3003587963</v>
      </c>
      <c r="D725" s="10" t="n">
        <v>45678.3028587963</v>
      </c>
      <c r="E725" s="10" t="n">
        <v>45678.33078703703</v>
      </c>
      <c r="F725" s="10" t="n">
        <v>45678.33297453704</v>
      </c>
      <c r="G725" s="3" t="inlineStr">
        <is>
          <t>OBT210125080256-Neudörfl (FunderMax)</t>
        </is>
      </c>
      <c r="H725" s="10" t="n">
        <v>45678.33537037037</v>
      </c>
      <c r="I725" s="10" t="n">
        <v>45679.22378472222</v>
      </c>
      <c r="J725" s="10" t="n">
        <v>45679.22459490741</v>
      </c>
      <c r="K725" s="11">
        <f>IF(AND(ISNUMBER(D725),ISNUMBER(E725)),(E725-D725),"")</f>
        <v/>
      </c>
      <c r="L725" s="11">
        <f>IF(AND(ISNUMBER(F725),ISNUMBER(I725)),(I725-F725),"")</f>
        <v/>
      </c>
    </row>
    <row r="726">
      <c r="A726" s="3" t="inlineStr">
        <is>
          <t>1020001</t>
        </is>
      </c>
      <c r="B726" s="3" t="inlineStr">
        <is>
          <t>10200</t>
        </is>
      </c>
      <c r="C726" s="10" t="n">
        <v>45678.31408564815</v>
      </c>
      <c r="D726" s="10" t="n">
        <v>45678.31585648148</v>
      </c>
      <c r="E726" s="10" t="n">
        <v>45678.33384259259</v>
      </c>
      <c r="F726" s="10" t="n">
        <v>45678.33640046296</v>
      </c>
      <c r="G726" s="3" t="inlineStr">
        <is>
          <t>OBT210125080752-Wien Kledering</t>
        </is>
      </c>
      <c r="H726" s="10" t="n">
        <v>45678.3387962963</v>
      </c>
      <c r="I726" s="10" t="n">
        <v>45679.33583333333</v>
      </c>
      <c r="J726" s="10" t="n">
        <v>45679.33716435185</v>
      </c>
      <c r="K726" s="11">
        <f>IF(AND(ISNUMBER(D726),ISNUMBER(E726)),(E726-D726),"")</f>
        <v/>
      </c>
      <c r="L726" s="11">
        <f>IF(AND(ISNUMBER(F726),ISNUMBER(I726)),(I726-F726),"")</f>
        <v/>
      </c>
    </row>
    <row r="727">
      <c r="A727" s="3" t="inlineStr">
        <is>
          <t>1020201</t>
        </is>
      </c>
      <c r="B727" s="3" t="inlineStr">
        <is>
          <t>10202</t>
        </is>
      </c>
      <c r="C727" s="10" t="n">
        <v>45678.37600694445</v>
      </c>
      <c r="D727" s="10" t="n">
        <v>45678.37743055556</v>
      </c>
      <c r="E727" s="10" t="n">
        <v>45678.38303240741</v>
      </c>
      <c r="F727" s="10" t="n">
        <v>45678.38510416666</v>
      </c>
      <c r="G727" s="3" t="inlineStr">
        <is>
          <t>OBT210125103404-Wien Kledering</t>
        </is>
      </c>
      <c r="H727" s="10" t="n">
        <v>45678.44032407407</v>
      </c>
      <c r="I727" s="10" t="n">
        <v>45679.44189814815</v>
      </c>
      <c r="J727" s="10" t="n">
        <v>45679.44350694444</v>
      </c>
      <c r="K727" s="11">
        <f>IF(AND(ISNUMBER(D727),ISNUMBER(E727)),(E727-D727),"")</f>
        <v/>
      </c>
      <c r="L727" s="11">
        <f>IF(AND(ISNUMBER(F727),ISNUMBER(I727)),(I727-F727),"")</f>
        <v/>
      </c>
    </row>
    <row r="728">
      <c r="A728" s="3" t="inlineStr">
        <is>
          <t>1020202</t>
        </is>
      </c>
      <c r="B728" s="3" t="inlineStr">
        <is>
          <t>10202</t>
        </is>
      </c>
      <c r="C728" s="10" t="n">
        <v>45678.37600694445</v>
      </c>
      <c r="D728" s="10" t="n">
        <v>45678.37743055556</v>
      </c>
      <c r="E728" s="10" t="n">
        <v>45678.38510416666</v>
      </c>
      <c r="F728" s="10" t="n">
        <v>45678.38628472222</v>
      </c>
      <c r="G728" s="3" t="inlineStr">
        <is>
          <t>OBT210125092833-St. Veit an der Glan</t>
        </is>
      </c>
      <c r="H728" s="10" t="n">
        <v>45678.39482638889</v>
      </c>
      <c r="I728" s="10" t="n">
        <v>45679.34758101852</v>
      </c>
      <c r="J728" s="10" t="n">
        <v>45679.34836805556</v>
      </c>
      <c r="K728" s="11">
        <f>IF(AND(ISNUMBER(D728),ISNUMBER(E728)),(E728-D728),"")</f>
        <v/>
      </c>
      <c r="L728" s="11">
        <f>IF(AND(ISNUMBER(F728),ISNUMBER(I728)),(I728-F728),"")</f>
        <v/>
      </c>
    </row>
    <row r="729">
      <c r="A729" s="3" t="inlineStr">
        <is>
          <t>1020101</t>
        </is>
      </c>
      <c r="B729" s="3" t="inlineStr">
        <is>
          <t>10201</t>
        </is>
      </c>
      <c r="C729" s="10" t="n">
        <v>45678.365625</v>
      </c>
      <c r="D729" s="10" t="n">
        <v>45678.36829861111</v>
      </c>
      <c r="E729" s="10" t="n">
        <v>45678.38715277778</v>
      </c>
      <c r="F729" s="10" t="n">
        <v>45678.3884375</v>
      </c>
      <c r="G729" s="3" t="inlineStr">
        <is>
          <t>OBT220125180607-Wr. Neustadt Ausfahrbf (Furtenbach)</t>
        </is>
      </c>
      <c r="H729" s="10" t="n">
        <v>45679.75424768519</v>
      </c>
      <c r="I729" s="10" t="n">
        <v>45680.70087962963</v>
      </c>
      <c r="J729" s="10" t="n">
        <v>45680.70167824074</v>
      </c>
      <c r="K729" s="11">
        <f>IF(AND(ISNUMBER(D729),ISNUMBER(E729)),(E729-D729),"")</f>
        <v/>
      </c>
      <c r="L729" s="11">
        <f>IF(AND(ISNUMBER(F729),ISNUMBER(I729)),(I729-F729),"")</f>
        <v/>
      </c>
    </row>
    <row r="730">
      <c r="A730" s="3" t="inlineStr">
        <is>
          <t>1020102</t>
        </is>
      </c>
      <c r="B730" s="3" t="inlineStr">
        <is>
          <t>10201</t>
        </is>
      </c>
      <c r="C730" s="10" t="n">
        <v>45678.365625</v>
      </c>
      <c r="D730" s="10" t="n">
        <v>45678.36829861111</v>
      </c>
      <c r="E730" s="10" t="n">
        <v>45678.3884375</v>
      </c>
      <c r="F730" s="10" t="n">
        <v>45678.38972222222</v>
      </c>
      <c r="G730" s="3" t="inlineStr">
        <is>
          <t>OBT210125092833-St. Veit an der Glan</t>
        </is>
      </c>
      <c r="H730" s="10" t="n">
        <v>45678.39482638889</v>
      </c>
      <c r="I730" s="10" t="n">
        <v>45679.34758101852</v>
      </c>
      <c r="J730" s="10" t="n">
        <v>45679.34836805556</v>
      </c>
      <c r="K730" s="11">
        <f>IF(AND(ISNUMBER(D730),ISNUMBER(E730)),(E730-D730),"")</f>
        <v/>
      </c>
      <c r="L730" s="11">
        <f>IF(AND(ISNUMBER(F730),ISNUMBER(I730)),(I730-F730),"")</f>
        <v/>
      </c>
    </row>
    <row r="731">
      <c r="A731" s="3" t="inlineStr">
        <is>
          <t>1020103</t>
        </is>
      </c>
      <c r="B731" s="3" t="inlineStr">
        <is>
          <t>10201</t>
        </is>
      </c>
      <c r="C731" s="10" t="n">
        <v>45678.365625</v>
      </c>
      <c r="D731" s="10" t="n">
        <v>45678.36829861111</v>
      </c>
      <c r="E731" s="10" t="n">
        <v>45678.38972222222</v>
      </c>
      <c r="F731" s="10" t="n">
        <v>45678.3909375</v>
      </c>
      <c r="G731" s="3" t="inlineStr">
        <is>
          <t>OBT210125092833-St. Veit an der Glan</t>
        </is>
      </c>
      <c r="H731" s="10" t="n">
        <v>45678.39482638889</v>
      </c>
      <c r="I731" s="10" t="n">
        <v>45679.34758101852</v>
      </c>
      <c r="J731" s="10" t="n">
        <v>45679.34836805556</v>
      </c>
      <c r="K731" s="11">
        <f>IF(AND(ISNUMBER(D731),ISNUMBER(E731)),(E731-D731),"")</f>
        <v/>
      </c>
      <c r="L731" s="11">
        <f>IF(AND(ISNUMBER(F731),ISNUMBER(I731)),(I731-F731),"")</f>
        <v/>
      </c>
    </row>
    <row r="732">
      <c r="A732" s="3" t="inlineStr">
        <is>
          <t>1020104</t>
        </is>
      </c>
      <c r="B732" s="3" t="inlineStr">
        <is>
          <t>10201</t>
        </is>
      </c>
      <c r="C732" s="10" t="n">
        <v>45678.365625</v>
      </c>
      <c r="D732" s="10" t="n">
        <v>45678.36829861111</v>
      </c>
      <c r="E732" s="10" t="n">
        <v>45678.3909375</v>
      </c>
      <c r="F732" s="10" t="n">
        <v>45678.39302083333</v>
      </c>
      <c r="G732" s="3" t="inlineStr">
        <is>
          <t>OBT210125093910-Neudörfl (FunderMax)</t>
        </is>
      </c>
      <c r="H732" s="10" t="n">
        <v>45678.40219907407</v>
      </c>
      <c r="I732" s="10" t="n">
        <v>45679.36085648148</v>
      </c>
      <c r="J732" s="10" t="n">
        <v>45679.36150462963</v>
      </c>
      <c r="K732" s="11">
        <f>IF(AND(ISNUMBER(D732),ISNUMBER(E732)),(E732-D732),"")</f>
        <v/>
      </c>
      <c r="L732" s="11">
        <f>IF(AND(ISNUMBER(F732),ISNUMBER(I732)),(I732-F732),"")</f>
        <v/>
      </c>
    </row>
    <row r="733">
      <c r="A733" s="3" t="inlineStr">
        <is>
          <t>1020106</t>
        </is>
      </c>
      <c r="B733" s="3" t="inlineStr">
        <is>
          <t>10201</t>
        </is>
      </c>
      <c r="C733" s="10" t="n">
        <v>45678.365625</v>
      </c>
      <c r="D733" s="10" t="n">
        <v>45678.36829861111</v>
      </c>
      <c r="E733" s="10" t="n">
        <v>45678.39302083333</v>
      </c>
      <c r="F733" s="10" t="n">
        <v>45678.3949537037</v>
      </c>
      <c r="G733" s="3" t="inlineStr">
        <is>
          <t>OBT210125093211-Wr. Neustadt (Hödlmayr)</t>
        </is>
      </c>
      <c r="H733" s="10" t="n">
        <v>45678.39734953704</v>
      </c>
      <c r="I733" s="10" t="n">
        <v>45679.34364583333</v>
      </c>
      <c r="J733" s="10" t="n">
        <v>45679.34440972222</v>
      </c>
      <c r="K733" s="11">
        <f>IF(AND(ISNUMBER(D733),ISNUMBER(E733)),(E733-D733),"")</f>
        <v/>
      </c>
      <c r="L733" s="11">
        <f>IF(AND(ISNUMBER(F733),ISNUMBER(I733)),(I733-F733),"")</f>
        <v/>
      </c>
    </row>
    <row r="734">
      <c r="A734" s="3" t="inlineStr">
        <is>
          <t>1020107</t>
        </is>
      </c>
      <c r="B734" s="3" t="inlineStr">
        <is>
          <t>10201</t>
        </is>
      </c>
      <c r="C734" s="10" t="n">
        <v>45678.365625</v>
      </c>
      <c r="D734" s="10" t="n">
        <v>45678.36829861111</v>
      </c>
      <c r="E734" s="10" t="n">
        <v>45678.3949537037</v>
      </c>
      <c r="F734" s="10" t="n">
        <v>45678.39634259259</v>
      </c>
      <c r="G734" s="3" t="inlineStr">
        <is>
          <t>OBT210125150922-Neunkirchen (loading tracks)</t>
        </is>
      </c>
      <c r="H734" s="10" t="n">
        <v>45678.63150462963</v>
      </c>
      <c r="I734" s="10" t="n">
        <v>45679.46344907407</v>
      </c>
      <c r="J734" s="10" t="n">
        <v>45679.46422453703</v>
      </c>
      <c r="K734" s="11">
        <f>IF(AND(ISNUMBER(D734),ISNUMBER(E734)),(E734-D734),"")</f>
        <v/>
      </c>
      <c r="L734" s="11">
        <f>IF(AND(ISNUMBER(F734),ISNUMBER(I734)),(I734-F734),"")</f>
        <v/>
      </c>
    </row>
    <row r="735">
      <c r="A735" s="3" t="inlineStr">
        <is>
          <t>1020108</t>
        </is>
      </c>
      <c r="B735" s="3" t="inlineStr">
        <is>
          <t>10201</t>
        </is>
      </c>
      <c r="C735" s="10" t="n">
        <v>45678.365625</v>
      </c>
      <c r="D735" s="10" t="n">
        <v>45678.36829861111</v>
      </c>
      <c r="E735" s="10" t="n">
        <v>45678.39634259259</v>
      </c>
      <c r="F735" s="10" t="n">
        <v>45678.39827546296</v>
      </c>
      <c r="G735" s="3" t="inlineStr">
        <is>
          <t>OBT210125093910-Neudörfl (FunderMax)</t>
        </is>
      </c>
      <c r="H735" s="10" t="n">
        <v>45678.40219907407</v>
      </c>
      <c r="I735" s="10" t="n">
        <v>45679.36085648148</v>
      </c>
      <c r="J735" s="10" t="n">
        <v>45679.36150462963</v>
      </c>
      <c r="K735" s="11">
        <f>IF(AND(ISNUMBER(D735),ISNUMBER(E735)),(E735-D735),"")</f>
        <v/>
      </c>
      <c r="L735" s="11">
        <f>IF(AND(ISNUMBER(F735),ISNUMBER(I735)),(I735-F735),"")</f>
        <v/>
      </c>
    </row>
    <row r="736">
      <c r="A736" s="3" t="inlineStr">
        <is>
          <t>1020109</t>
        </is>
      </c>
      <c r="B736" s="3" t="inlineStr">
        <is>
          <t>10201</t>
        </is>
      </c>
      <c r="C736" s="10" t="n">
        <v>45678.365625</v>
      </c>
      <c r="D736" s="10" t="n">
        <v>45678.36829861111</v>
      </c>
      <c r="E736" s="10" t="n">
        <v>45678.39827546296</v>
      </c>
      <c r="F736" s="10" t="n">
        <v>45678.40018518519</v>
      </c>
      <c r="G736" s="3" t="inlineStr">
        <is>
          <t>OBT220125100316-Neudörfl (FunderMax)</t>
        </is>
      </c>
      <c r="H736" s="10" t="n">
        <v>45679.41893518518</v>
      </c>
      <c r="I736" s="10" t="n">
        <v>45680.47625</v>
      </c>
      <c r="J736" s="10" t="n">
        <v>45680.47693287037</v>
      </c>
      <c r="K736" s="11">
        <f>IF(AND(ISNUMBER(D736),ISNUMBER(E736)),(E736-D736),"")</f>
        <v/>
      </c>
      <c r="L736" s="11">
        <f>IF(AND(ISNUMBER(F736),ISNUMBER(I736)),(I736-F736),"")</f>
        <v/>
      </c>
    </row>
    <row r="737">
      <c r="A737" s="3" t="inlineStr">
        <is>
          <t>1020301</t>
        </is>
      </c>
      <c r="B737" s="3" t="inlineStr">
        <is>
          <t>10203</t>
        </is>
      </c>
      <c r="C737" s="10" t="n">
        <v>45678.41872685185</v>
      </c>
      <c r="D737" s="10" t="n">
        <v>45678.42128472222</v>
      </c>
      <c r="E737" s="10" t="n">
        <v>45678.43047453704</v>
      </c>
      <c r="F737" s="10" t="n">
        <v>45678.43305555556</v>
      </c>
      <c r="G737" s="3" t="inlineStr">
        <is>
          <t>OBT210125103404-Wien Kledering</t>
        </is>
      </c>
      <c r="H737" s="10" t="n">
        <v>45678.44032407407</v>
      </c>
      <c r="I737" s="10" t="n">
        <v>45679.44189814815</v>
      </c>
      <c r="J737" s="10" t="n">
        <v>45679.44350694444</v>
      </c>
      <c r="K737" s="11">
        <f>IF(AND(ISNUMBER(D737),ISNUMBER(E737)),(E737-D737),"")</f>
        <v/>
      </c>
      <c r="L737" s="11">
        <f>IF(AND(ISNUMBER(F737),ISNUMBER(I737)),(I737-F737),"")</f>
        <v/>
      </c>
    </row>
    <row r="738">
      <c r="A738" s="3" t="inlineStr">
        <is>
          <t>1020302</t>
        </is>
      </c>
      <c r="B738" s="3" t="inlineStr">
        <is>
          <t>10203</t>
        </is>
      </c>
      <c r="C738" s="10" t="n">
        <v>45678.41872685185</v>
      </c>
      <c r="D738" s="10" t="n">
        <v>45678.42128472222</v>
      </c>
      <c r="E738" s="10" t="n">
        <v>45678.43305555556</v>
      </c>
      <c r="F738" s="10" t="n">
        <v>45678.43427083334</v>
      </c>
      <c r="G738" s="3" t="inlineStr">
        <is>
          <t>OBT210125151409-Neudörfl (FunderMax)</t>
        </is>
      </c>
      <c r="H738" s="10" t="n">
        <v>45678.63482638889</v>
      </c>
      <c r="I738" s="10" t="n">
        <v>45679.58002314815</v>
      </c>
      <c r="J738" s="10" t="n">
        <v>45679.5808912037</v>
      </c>
      <c r="K738" s="11">
        <f>IF(AND(ISNUMBER(D738),ISNUMBER(E738)),(E738-D738),"")</f>
        <v/>
      </c>
      <c r="L738" s="11">
        <f>IF(AND(ISNUMBER(F738),ISNUMBER(I738)),(I738-F738),"")</f>
        <v/>
      </c>
    </row>
    <row r="739">
      <c r="A739" s="3" t="inlineStr">
        <is>
          <t>1020303</t>
        </is>
      </c>
      <c r="B739" s="3" t="inlineStr">
        <is>
          <t>10203</t>
        </is>
      </c>
      <c r="C739" s="10" t="n">
        <v>45678.41872685185</v>
      </c>
      <c r="D739" s="10" t="n">
        <v>45678.42128472222</v>
      </c>
      <c r="E739" s="10" t="n">
        <v>45678.43427083334</v>
      </c>
      <c r="F739" s="10" t="n">
        <v>45678.43640046296</v>
      </c>
      <c r="G739" s="3" t="inlineStr">
        <is>
          <t>OBT210125103404-Wien Kledering</t>
        </is>
      </c>
      <c r="H739" s="10" t="n">
        <v>45678.44032407407</v>
      </c>
      <c r="I739" s="10" t="n">
        <v>45679.44189814815</v>
      </c>
      <c r="J739" s="10" t="n">
        <v>45679.44350694444</v>
      </c>
      <c r="K739" s="11">
        <f>IF(AND(ISNUMBER(D739),ISNUMBER(E739)),(E739-D739),"")</f>
        <v/>
      </c>
      <c r="L739" s="11">
        <f>IF(AND(ISNUMBER(F739),ISNUMBER(I739)),(I739-F739),"")</f>
        <v/>
      </c>
    </row>
    <row r="740">
      <c r="A740" s="3" t="inlineStr">
        <is>
          <t>1020401</t>
        </is>
      </c>
      <c r="B740" s="3" t="inlineStr">
        <is>
          <t>10204</t>
        </is>
      </c>
      <c r="C740" s="10" t="n">
        <v>45678.60212962963</v>
      </c>
      <c r="D740" s="10" t="n">
        <v>45678.6046412037</v>
      </c>
      <c r="E740" s="10" t="n">
        <v>45678.61135416666</v>
      </c>
      <c r="F740" s="10" t="n">
        <v>45678.61420138889</v>
      </c>
      <c r="G740" s="3" t="inlineStr">
        <is>
          <t>OBT210125144735-Wien Kledering</t>
        </is>
      </c>
      <c r="H740" s="10" t="n">
        <v>45678.61637731481</v>
      </c>
      <c r="I740" s="10" t="n">
        <v>45679.48974537037</v>
      </c>
      <c r="J740" s="10" t="n">
        <v>45679.49121527778</v>
      </c>
      <c r="K740" s="11">
        <f>IF(AND(ISNUMBER(D740),ISNUMBER(E740)),(E740-D740),"")</f>
        <v/>
      </c>
      <c r="L740" s="11">
        <f>IF(AND(ISNUMBER(F740),ISNUMBER(I740)),(I740-F740),"")</f>
        <v/>
      </c>
    </row>
    <row r="741">
      <c r="A741" s="3" t="inlineStr">
        <is>
          <t>1020501</t>
        </is>
      </c>
      <c r="B741" s="3" t="inlineStr">
        <is>
          <t>10205</t>
        </is>
      </c>
      <c r="C741" s="10" t="n">
        <v>45678.60863425926</v>
      </c>
      <c r="D741" s="10" t="n">
        <v>45678.61113425926</v>
      </c>
      <c r="E741" s="10" t="n">
        <v>45678.62670138889</v>
      </c>
      <c r="F741" s="10" t="n">
        <v>45678.62796296296</v>
      </c>
      <c r="G741" s="3" t="inlineStr">
        <is>
          <t>OBT210125150922-Neunkirchen (loading tracks)</t>
        </is>
      </c>
      <c r="H741" s="10" t="n">
        <v>45678.63150462963</v>
      </c>
      <c r="I741" s="10" t="n">
        <v>45679.46344907407</v>
      </c>
      <c r="J741" s="10" t="n">
        <v>45679.46422453703</v>
      </c>
      <c r="K741" s="11">
        <f>IF(AND(ISNUMBER(D741),ISNUMBER(E741)),(E741-D741),"")</f>
        <v/>
      </c>
      <c r="L741" s="11">
        <f>IF(AND(ISNUMBER(F741),ISNUMBER(I741)),(I741-F741),"")</f>
        <v/>
      </c>
    </row>
    <row r="742">
      <c r="A742" s="3" t="inlineStr">
        <is>
          <t>1020502</t>
        </is>
      </c>
      <c r="B742" s="3" t="inlineStr">
        <is>
          <t>10205</t>
        </is>
      </c>
      <c r="C742" s="10" t="n">
        <v>45678.60863425926</v>
      </c>
      <c r="D742" s="10" t="n">
        <v>45678.61113425926</v>
      </c>
      <c r="E742" s="10" t="n">
        <v>45678.62796296296</v>
      </c>
      <c r="F742" s="10" t="n">
        <v>45678.62944444444</v>
      </c>
      <c r="G742" s="3" t="inlineStr">
        <is>
          <t>OBT220125180146-Felixdorf/Sollenau (Bundesheer, Maba)</t>
        </is>
      </c>
      <c r="H742" s="10" t="n">
        <v>45679.75122685185</v>
      </c>
      <c r="I742" s="10" t="n">
        <v>45680.67150462963</v>
      </c>
      <c r="J742" s="10" t="n">
        <v>45680.67232638889</v>
      </c>
      <c r="K742" s="11">
        <f>IF(AND(ISNUMBER(D742),ISNUMBER(E742)),(E742-D742),"")</f>
        <v/>
      </c>
      <c r="L742" s="11">
        <f>IF(AND(ISNUMBER(F742),ISNUMBER(I742)),(I742-F742),"")</f>
        <v/>
      </c>
    </row>
    <row r="743">
      <c r="A743" s="3" t="inlineStr">
        <is>
          <t>1020503</t>
        </is>
      </c>
      <c r="B743" s="3" t="inlineStr">
        <is>
          <t>10205</t>
        </is>
      </c>
      <c r="C743" s="10" t="n">
        <v>45678.60863425926</v>
      </c>
      <c r="D743" s="10" t="n">
        <v>45678.61113425926</v>
      </c>
      <c r="E743" s="10" t="n">
        <v>45678.62944444444</v>
      </c>
      <c r="F743" s="10" t="n">
        <v>45678.63116898148</v>
      </c>
      <c r="G743" s="3" t="inlineStr">
        <is>
          <t>OBT210125151926-Steinabrückl/Wöllersdorf</t>
        </is>
      </c>
      <c r="H743" s="10" t="n">
        <v>45678.63849537037</v>
      </c>
      <c r="I743" s="10" t="n">
        <v>45679.66361111111</v>
      </c>
      <c r="J743" s="10" t="n">
        <v>45679.66444444445</v>
      </c>
      <c r="K743" s="11">
        <f>IF(AND(ISNUMBER(D743),ISNUMBER(E743)),(E743-D743),"")</f>
        <v/>
      </c>
      <c r="L743" s="11">
        <f>IF(AND(ISNUMBER(F743),ISNUMBER(I743)),(I743-F743),"")</f>
        <v/>
      </c>
    </row>
    <row r="744">
      <c r="A744" s="3" t="inlineStr">
        <is>
          <t>1020504</t>
        </is>
      </c>
      <c r="B744" s="3" t="inlineStr">
        <is>
          <t>10205</t>
        </is>
      </c>
      <c r="C744" s="10" t="n">
        <v>45678.60863425926</v>
      </c>
      <c r="D744" s="10" t="n">
        <v>45678.61113425926</v>
      </c>
      <c r="E744" s="10" t="n">
        <v>45678.63116898148</v>
      </c>
      <c r="F744" s="10" t="n">
        <v>45678.63266203704</v>
      </c>
      <c r="G744" s="3" t="inlineStr">
        <is>
          <t>OBT210125151409-Neudörfl (FunderMax)</t>
        </is>
      </c>
      <c r="H744" s="10" t="n">
        <v>45678.63482638889</v>
      </c>
      <c r="I744" s="10" t="n">
        <v>45679.58002314815</v>
      </c>
      <c r="J744" s="10" t="n">
        <v>45679.5808912037</v>
      </c>
      <c r="K744" s="11">
        <f>IF(AND(ISNUMBER(D744),ISNUMBER(E744)),(E744-D744),"")</f>
        <v/>
      </c>
      <c r="L744" s="11">
        <f>IF(AND(ISNUMBER(F744),ISNUMBER(I744)),(I744-F744),"")</f>
        <v/>
      </c>
    </row>
    <row r="745">
      <c r="A745" s="3" t="inlineStr">
        <is>
          <t>1020505</t>
        </is>
      </c>
      <c r="B745" s="3" t="inlineStr">
        <is>
          <t>10205</t>
        </is>
      </c>
      <c r="C745" s="10" t="n">
        <v>45678.60863425926</v>
      </c>
      <c r="D745" s="10" t="n">
        <v>45678.61113425926</v>
      </c>
      <c r="E745" s="10" t="n">
        <v>45678.63266203704</v>
      </c>
      <c r="F745" s="10" t="n">
        <v>45678.63460648148</v>
      </c>
      <c r="G745" s="3" t="inlineStr">
        <is>
          <t>OBT210125151926-Steinabrückl/Wöllersdorf</t>
        </is>
      </c>
      <c r="H745" s="10" t="n">
        <v>45678.63849537037</v>
      </c>
      <c r="I745" s="10" t="n">
        <v>45679.66361111111</v>
      </c>
      <c r="J745" s="10" t="n">
        <v>45679.66444444445</v>
      </c>
      <c r="K745" s="11">
        <f>IF(AND(ISNUMBER(D745),ISNUMBER(E745)),(E745-D745),"")</f>
        <v/>
      </c>
      <c r="L745" s="11">
        <f>IF(AND(ISNUMBER(F745),ISNUMBER(I745)),(I745-F745),"")</f>
        <v/>
      </c>
    </row>
    <row r="746">
      <c r="A746" s="3" t="inlineStr">
        <is>
          <t>1020506</t>
        </is>
      </c>
      <c r="B746" s="3" t="inlineStr">
        <is>
          <t>10205</t>
        </is>
      </c>
      <c r="C746" s="10" t="n">
        <v>45678.60863425926</v>
      </c>
      <c r="D746" s="10" t="n">
        <v>45678.61113425926</v>
      </c>
      <c r="E746" s="10" t="n">
        <v>45678.63460648148</v>
      </c>
      <c r="F746" s="10" t="n">
        <v>45678.63648148148</v>
      </c>
      <c r="G746" s="3" t="inlineStr">
        <is>
          <t>OBT220125100316-Neudörfl (FunderMax)</t>
        </is>
      </c>
      <c r="H746" s="10" t="n">
        <v>45679.41893518518</v>
      </c>
      <c r="I746" s="10" t="n">
        <v>45680.47625</v>
      </c>
      <c r="J746" s="10" t="n">
        <v>45680.47693287037</v>
      </c>
      <c r="K746" s="11">
        <f>IF(AND(ISNUMBER(D746),ISNUMBER(E746)),(E746-D746),"")</f>
        <v/>
      </c>
      <c r="L746" s="11">
        <f>IF(AND(ISNUMBER(F746),ISNUMBER(I746)),(I746-F746),"")</f>
        <v/>
      </c>
    </row>
    <row r="747">
      <c r="A747" s="3" t="inlineStr">
        <is>
          <t>1020507</t>
        </is>
      </c>
      <c r="B747" s="3" t="inlineStr">
        <is>
          <t>10205</t>
        </is>
      </c>
      <c r="C747" s="10" t="n">
        <v>45678.60863425926</v>
      </c>
      <c r="D747" s="10" t="n">
        <v>45678.61113425926</v>
      </c>
      <c r="E747" s="10" t="n">
        <v>45678.63648148148</v>
      </c>
      <c r="F747" s="10" t="n">
        <v>45678.63851851852</v>
      </c>
      <c r="G747" s="3" t="inlineStr">
        <is>
          <t>OBT210125152253-Pitten (Hamburger)</t>
        </is>
      </c>
      <c r="H747" s="10" t="n">
        <v>45678.6408912037</v>
      </c>
      <c r="I747" s="10" t="n">
        <v>45679.77953703704</v>
      </c>
      <c r="J747" s="10" t="n">
        <v>45679.78061342592</v>
      </c>
      <c r="K747" s="11">
        <f>IF(AND(ISNUMBER(D747),ISNUMBER(E747)),(E747-D747),"")</f>
        <v/>
      </c>
      <c r="L747" s="11">
        <f>IF(AND(ISNUMBER(F747),ISNUMBER(I747)),(I747-F747),"")</f>
        <v/>
      </c>
    </row>
    <row r="748">
      <c r="A748" s="3" t="inlineStr">
        <is>
          <t>1020508</t>
        </is>
      </c>
      <c r="B748" s="3" t="inlineStr">
        <is>
          <t>10205</t>
        </is>
      </c>
      <c r="C748" s="10" t="n">
        <v>45678.60863425926</v>
      </c>
      <c r="D748" s="10" t="n">
        <v>45678.61113425926</v>
      </c>
      <c r="E748" s="10" t="n">
        <v>45678.63851851852</v>
      </c>
      <c r="F748" s="10" t="n">
        <v>45678.64023148148</v>
      </c>
      <c r="G748" s="3" t="inlineStr">
        <is>
          <t>OBT220125073335-Other sidings local</t>
        </is>
      </c>
      <c r="H748" s="10" t="n">
        <v>45679.31498842593</v>
      </c>
      <c r="I748" s="10" t="n">
        <v>45680.32570601852</v>
      </c>
      <c r="J748" s="10" t="n">
        <v>45680.32655092593</v>
      </c>
      <c r="K748" s="11">
        <f>IF(AND(ISNUMBER(D748),ISNUMBER(E748)),(E748-D748),"")</f>
        <v/>
      </c>
      <c r="L748" s="11">
        <f>IF(AND(ISNUMBER(F748),ISNUMBER(I748)),(I748-F748),"")</f>
        <v/>
      </c>
    </row>
    <row r="749">
      <c r="A749" s="3" t="inlineStr">
        <is>
          <t>1020601</t>
        </is>
      </c>
      <c r="B749" s="3" t="inlineStr">
        <is>
          <t>10206</t>
        </is>
      </c>
      <c r="C749" s="10" t="n">
        <v>45678.62542824074</v>
      </c>
      <c r="D749" s="10" t="n">
        <v>45678.62731481482</v>
      </c>
      <c r="E749" s="10" t="n">
        <v>45678.64109953704</v>
      </c>
      <c r="F749" s="10" t="n">
        <v>45678.64329861111</v>
      </c>
      <c r="G749" s="3" t="inlineStr">
        <is>
          <t>OBT210125152947-Wien Kledering</t>
        </is>
      </c>
      <c r="H749" s="10" t="n">
        <v>45678.64568287037</v>
      </c>
      <c r="I749" s="10" t="n">
        <v>45679.78480324074</v>
      </c>
      <c r="J749" s="10" t="n">
        <v>45679.78564814815</v>
      </c>
      <c r="K749" s="11">
        <f>IF(AND(ISNUMBER(D749),ISNUMBER(E749)),(E749-D749),"")</f>
        <v/>
      </c>
      <c r="L749" s="11">
        <f>IF(AND(ISNUMBER(F749),ISNUMBER(I749)),(I749-F749),"")</f>
        <v/>
      </c>
    </row>
    <row r="750">
      <c r="A750" s="3" t="inlineStr">
        <is>
          <t>1020701</t>
        </is>
      </c>
      <c r="B750" s="3" t="inlineStr">
        <is>
          <t>10207</t>
        </is>
      </c>
      <c r="C750" s="10" t="n">
        <v>45678.86826388889</v>
      </c>
      <c r="D750" s="10" t="n">
        <v>45678.87028935185</v>
      </c>
      <c r="E750" s="10" t="n">
        <v>45678.87542824074</v>
      </c>
      <c r="F750" s="10" t="n">
        <v>45678.87777777778</v>
      </c>
      <c r="G750" s="3" t="inlineStr">
        <is>
          <t>OBT210125210727-Wien Kledering</t>
        </is>
      </c>
      <c r="H750" s="10" t="n">
        <v>45678.88017361111</v>
      </c>
      <c r="I750" s="10" t="n">
        <v>45679.79788194445</v>
      </c>
      <c r="J750" s="10" t="n">
        <v>45679.79885416666</v>
      </c>
      <c r="K750" s="11">
        <f>IF(AND(ISNUMBER(D750),ISNUMBER(E750)),(E750-D750),"")</f>
        <v/>
      </c>
      <c r="L750" s="11">
        <f>IF(AND(ISNUMBER(F750),ISNUMBER(I750)),(I750-F750),"")</f>
        <v/>
      </c>
    </row>
    <row r="751">
      <c r="A751" s="3" t="inlineStr">
        <is>
          <t>1020801</t>
        </is>
      </c>
      <c r="B751" s="3" t="inlineStr">
        <is>
          <t>10208</t>
        </is>
      </c>
      <c r="C751" s="10" t="n">
        <v>45679.10296296296</v>
      </c>
      <c r="D751" s="10" t="n">
        <v>45679.10524305556</v>
      </c>
      <c r="E751" s="10" t="n">
        <v>45679.11453703704</v>
      </c>
      <c r="F751" s="10" t="n">
        <v>45679.11583333334</v>
      </c>
      <c r="G751" s="3" t="inlineStr">
        <is>
          <t>OBT220125025432-Other sidings south</t>
        </is>
      </c>
      <c r="H751" s="10" t="n">
        <v>45679.1212037037</v>
      </c>
      <c r="I751" s="10" t="n">
        <v>45679.9040625</v>
      </c>
      <c r="J751" s="10" t="n">
        <v>45679.90503472222</v>
      </c>
      <c r="K751" s="11">
        <f>IF(AND(ISNUMBER(D751),ISNUMBER(E751)),(E751-D751),"")</f>
        <v/>
      </c>
      <c r="L751" s="11">
        <f>IF(AND(ISNUMBER(F751),ISNUMBER(I751)),(I751-F751),"")</f>
        <v/>
      </c>
    </row>
    <row r="752">
      <c r="A752" s="3" t="inlineStr">
        <is>
          <t>1020802</t>
        </is>
      </c>
      <c r="B752" s="3" t="inlineStr">
        <is>
          <t>10208</t>
        </is>
      </c>
      <c r="C752" s="10" t="n">
        <v>45679.10296296296</v>
      </c>
      <c r="D752" s="10" t="n">
        <v>45679.10524305556</v>
      </c>
      <c r="E752" s="10" t="n">
        <v>45679.11583333334</v>
      </c>
      <c r="F752" s="10" t="n">
        <v>45679.11729166667</v>
      </c>
      <c r="G752" s="3" t="inlineStr">
        <is>
          <t>OBT220125025432-Other sidings south</t>
        </is>
      </c>
      <c r="H752" s="10" t="n">
        <v>45679.1212037037</v>
      </c>
      <c r="I752" s="10" t="n">
        <v>45679.9040625</v>
      </c>
      <c r="J752" s="10" t="n">
        <v>45679.90503472222</v>
      </c>
      <c r="K752" s="11">
        <f>IF(AND(ISNUMBER(D752),ISNUMBER(E752)),(E752-D752),"")</f>
        <v/>
      </c>
      <c r="L752" s="11">
        <f>IF(AND(ISNUMBER(F752),ISNUMBER(I752)),(I752-F752),"")</f>
        <v/>
      </c>
    </row>
    <row r="753">
      <c r="A753" s="3" t="inlineStr">
        <is>
          <t>1020803</t>
        </is>
      </c>
      <c r="B753" s="3" t="inlineStr">
        <is>
          <t>10208</t>
        </is>
      </c>
      <c r="C753" s="10" t="n">
        <v>45679.10296296296</v>
      </c>
      <c r="D753" s="10" t="n">
        <v>45679.10524305556</v>
      </c>
      <c r="E753" s="10" t="n">
        <v>45679.11729166667</v>
      </c>
      <c r="F753" s="10" t="n">
        <v>45679.11928240741</v>
      </c>
      <c r="G753" s="3" t="inlineStr">
        <is>
          <t>OBT220125094552-Pitten (Hamburger)</t>
        </is>
      </c>
      <c r="H753" s="10" t="n">
        <v>45679.40685185185</v>
      </c>
      <c r="I753" s="10" t="n">
        <v>45680.36111111111</v>
      </c>
      <c r="J753" s="10" t="n">
        <v>45680.36192129629</v>
      </c>
      <c r="K753" s="11">
        <f>IF(AND(ISNUMBER(D753),ISNUMBER(E753)),(E753-D753),"")</f>
        <v/>
      </c>
      <c r="L753" s="11">
        <f>IF(AND(ISNUMBER(F753),ISNUMBER(I753)),(I753-F753),"")</f>
        <v/>
      </c>
    </row>
    <row r="754">
      <c r="A754" s="3" t="inlineStr">
        <is>
          <t>1020804</t>
        </is>
      </c>
      <c r="B754" s="3" t="inlineStr">
        <is>
          <t>10208</t>
        </is>
      </c>
      <c r="C754" s="10" t="n">
        <v>45679.10296296296</v>
      </c>
      <c r="D754" s="10" t="n">
        <v>45679.10524305556</v>
      </c>
      <c r="E754" s="10" t="n">
        <v>45679.11928240741</v>
      </c>
      <c r="F754" s="10" t="n">
        <v>45679.12127314815</v>
      </c>
      <c r="G754" s="3" t="inlineStr">
        <is>
          <t>OBT220125095350-Neunkirchen (loading tracks)</t>
        </is>
      </c>
      <c r="H754" s="10" t="n">
        <v>45679.41238425926</v>
      </c>
      <c r="I754" s="10" t="n">
        <v>45680.39731481481</v>
      </c>
      <c r="J754" s="10" t="n">
        <v>45680.398125</v>
      </c>
      <c r="K754" s="11">
        <f>IF(AND(ISNUMBER(D754),ISNUMBER(E754)),(E754-D754),"")</f>
        <v/>
      </c>
      <c r="L754" s="11">
        <f>IF(AND(ISNUMBER(F754),ISNUMBER(I754)),(I754-F754),"")</f>
        <v/>
      </c>
    </row>
    <row r="755">
      <c r="A755" s="3" t="inlineStr">
        <is>
          <t>1020901</t>
        </is>
      </c>
      <c r="B755" s="3" t="inlineStr">
        <is>
          <t>10209</t>
        </is>
      </c>
      <c r="C755" s="10" t="n">
        <v>45679.18989583333</v>
      </c>
      <c r="D755" s="10" t="n">
        <v>45679.19233796297</v>
      </c>
      <c r="E755" s="10" t="n">
        <v>45679.19890046296</v>
      </c>
      <c r="F755" s="10" t="n">
        <v>45679.20173611111</v>
      </c>
      <c r="G755" s="3" t="inlineStr">
        <is>
          <t>OBT220125045357-Neudörfl (FunderMax)</t>
        </is>
      </c>
      <c r="H755" s="10" t="n">
        <v>45679.20413194445</v>
      </c>
      <c r="I755" s="10" t="n">
        <v>45680.19556712963</v>
      </c>
      <c r="J755" s="10" t="n">
        <v>45680.19690972222</v>
      </c>
      <c r="K755" s="11">
        <f>IF(AND(ISNUMBER(D755),ISNUMBER(E755)),(E755-D755),"")</f>
        <v/>
      </c>
      <c r="L755" s="11">
        <f>IF(AND(ISNUMBER(F755),ISNUMBER(I755)),(I755-F755),"")</f>
        <v/>
      </c>
    </row>
    <row r="756">
      <c r="A756" s="3" t="inlineStr">
        <is>
          <t>1021001</t>
        </is>
      </c>
      <c r="B756" s="3" t="inlineStr">
        <is>
          <t>10210</t>
        </is>
      </c>
      <c r="C756" s="10" t="n">
        <v>45679.264375</v>
      </c>
      <c r="D756" s="10" t="n">
        <v>45679.26664351852</v>
      </c>
      <c r="E756" s="10" t="n">
        <v>45679.27265046296</v>
      </c>
      <c r="F756" s="10" t="n">
        <v>45679.27524305556</v>
      </c>
      <c r="G756" s="3" t="inlineStr">
        <is>
          <t>OBT220125063948-Wien Kledering</t>
        </is>
      </c>
      <c r="H756" s="10" t="n">
        <v>45679.27763888889</v>
      </c>
      <c r="I756" s="10" t="n">
        <v>45680.32447916667</v>
      </c>
      <c r="J756" s="10" t="n">
        <v>45680.32570601852</v>
      </c>
      <c r="K756" s="11">
        <f>IF(AND(ISNUMBER(D756),ISNUMBER(E756)),(E756-D756),"")</f>
        <v/>
      </c>
      <c r="L756" s="11">
        <f>IF(AND(ISNUMBER(F756),ISNUMBER(I756)),(I756-F756),"")</f>
        <v/>
      </c>
    </row>
    <row r="757">
      <c r="A757" s="3" t="inlineStr">
        <is>
          <t>1021101</t>
        </is>
      </c>
      <c r="B757" s="3" t="inlineStr">
        <is>
          <t>10211</t>
        </is>
      </c>
      <c r="C757" s="10" t="n">
        <v>45679.28184027778</v>
      </c>
      <c r="D757" s="10" t="n">
        <v>45679.28451388889</v>
      </c>
      <c r="E757" s="10" t="n">
        <v>45679.30229166667</v>
      </c>
      <c r="F757" s="10" t="n">
        <v>45679.30383101852</v>
      </c>
      <c r="G757" s="3" t="inlineStr">
        <is>
          <t>OBT220125095549-Wr. Neustadt (Hödlmayr)</t>
        </is>
      </c>
      <c r="H757" s="10" t="n">
        <v>45679.41376157408</v>
      </c>
      <c r="I757" s="10" t="n">
        <v>45680.43768518518</v>
      </c>
      <c r="J757" s="10" t="n">
        <v>45680.43841435185</v>
      </c>
      <c r="K757" s="11">
        <f>IF(AND(ISNUMBER(D757),ISNUMBER(E757)),(E757-D757),"")</f>
        <v/>
      </c>
      <c r="L757" s="11">
        <f>IF(AND(ISNUMBER(F757),ISNUMBER(I757)),(I757-F757),"")</f>
        <v/>
      </c>
    </row>
    <row r="758">
      <c r="A758" s="3" t="inlineStr">
        <is>
          <t>1021102</t>
        </is>
      </c>
      <c r="B758" s="3" t="inlineStr">
        <is>
          <t>10211</t>
        </is>
      </c>
      <c r="C758" s="10" t="n">
        <v>45679.28184027778</v>
      </c>
      <c r="D758" s="10" t="n">
        <v>45679.28451388889</v>
      </c>
      <c r="E758" s="10" t="n">
        <v>45679.30383101852</v>
      </c>
      <c r="F758" s="10" t="n">
        <v>45679.30578703704</v>
      </c>
      <c r="G758" s="3" t="inlineStr">
        <is>
          <t>OBT220125095350-Neunkirchen (loading tracks)</t>
        </is>
      </c>
      <c r="H758" s="10" t="n">
        <v>45679.41238425926</v>
      </c>
      <c r="I758" s="10" t="n">
        <v>45680.39731481481</v>
      </c>
      <c r="J758" s="10" t="n">
        <v>45680.398125</v>
      </c>
      <c r="K758" s="11">
        <f>IF(AND(ISNUMBER(D758),ISNUMBER(E758)),(E758-D758),"")</f>
        <v/>
      </c>
      <c r="L758" s="11">
        <f>IF(AND(ISNUMBER(F758),ISNUMBER(I758)),(I758-F758),"")</f>
        <v/>
      </c>
    </row>
    <row r="759">
      <c r="A759" s="3" t="inlineStr">
        <is>
          <t>1021103</t>
        </is>
      </c>
      <c r="B759" s="3" t="inlineStr">
        <is>
          <t>10211</t>
        </is>
      </c>
      <c r="C759" s="10" t="n">
        <v>45679.28184027778</v>
      </c>
      <c r="D759" s="10" t="n">
        <v>45679.28451388889</v>
      </c>
      <c r="E759" s="10" t="n">
        <v>45679.30578703704</v>
      </c>
      <c r="F759" s="10" t="n">
        <v>45679.30740740741</v>
      </c>
      <c r="G759" s="3" t="inlineStr">
        <is>
          <t>OBT230125175458-Wr. Neustadt Ausfahrbf (Furtenbach)</t>
        </is>
      </c>
      <c r="H759" s="10" t="n">
        <v>45680.74650462963</v>
      </c>
      <c r="I759" s="10" t="n">
        <v>45681.7572337963</v>
      </c>
      <c r="J759" s="10" t="n">
        <v>45681.7580787037</v>
      </c>
      <c r="K759" s="11">
        <f>IF(AND(ISNUMBER(D759),ISNUMBER(E759)),(E759-D759),"")</f>
        <v/>
      </c>
      <c r="L759" s="11">
        <f>IF(AND(ISNUMBER(F759),ISNUMBER(I759)),(I759-F759),"")</f>
        <v/>
      </c>
    </row>
    <row r="760">
      <c r="A760" s="3" t="inlineStr">
        <is>
          <t>1021104</t>
        </is>
      </c>
      <c r="B760" s="3" t="inlineStr">
        <is>
          <t>10211</t>
        </is>
      </c>
      <c r="C760" s="10" t="n">
        <v>45679.28184027778</v>
      </c>
      <c r="D760" s="10" t="n">
        <v>45679.28451388889</v>
      </c>
      <c r="E760" s="10" t="n">
        <v>45679.30740740741</v>
      </c>
      <c r="F760" s="10" t="n">
        <v>45679.3093287037</v>
      </c>
      <c r="G760" s="3" t="inlineStr">
        <is>
          <t>OBT220125100316-Neudörfl (FunderMax)</t>
        </is>
      </c>
      <c r="H760" s="10" t="n">
        <v>45679.41893518518</v>
      </c>
      <c r="I760" s="10" t="n">
        <v>45680.47625</v>
      </c>
      <c r="J760" s="10" t="n">
        <v>45680.47693287037</v>
      </c>
      <c r="K760" s="11">
        <f>IF(AND(ISNUMBER(D760),ISNUMBER(E760)),(E760-D760),"")</f>
        <v/>
      </c>
      <c r="L760" s="11">
        <f>IF(AND(ISNUMBER(F760),ISNUMBER(I760)),(I760-F760),"")</f>
        <v/>
      </c>
    </row>
    <row r="761">
      <c r="A761" s="3" t="inlineStr">
        <is>
          <t>1021105</t>
        </is>
      </c>
      <c r="B761" s="3" t="inlineStr">
        <is>
          <t>10211</t>
        </is>
      </c>
      <c r="C761" s="10" t="n">
        <v>45679.28184027778</v>
      </c>
      <c r="D761" s="10" t="n">
        <v>45679.28451388889</v>
      </c>
      <c r="E761" s="10" t="n">
        <v>45679.3093287037</v>
      </c>
      <c r="F761" s="10" t="n">
        <v>45679.31106481481</v>
      </c>
      <c r="G761" s="3" t="inlineStr">
        <is>
          <t>OBT220125073335-Other sidings local</t>
        </is>
      </c>
      <c r="H761" s="10" t="n">
        <v>45679.31498842593</v>
      </c>
      <c r="I761" s="10" t="n">
        <v>45680.32570601852</v>
      </c>
      <c r="J761" s="10" t="n">
        <v>45680.32655092593</v>
      </c>
      <c r="K761" s="11">
        <f>IF(AND(ISNUMBER(D761),ISNUMBER(E761)),(E761-D761),"")</f>
        <v/>
      </c>
      <c r="L761" s="11">
        <f>IF(AND(ISNUMBER(F761),ISNUMBER(I761)),(I761-F761),"")</f>
        <v/>
      </c>
    </row>
    <row r="762">
      <c r="A762" s="3" t="inlineStr">
        <is>
          <t>1021106</t>
        </is>
      </c>
      <c r="B762" s="3" t="inlineStr">
        <is>
          <t>10211</t>
        </is>
      </c>
      <c r="C762" s="10" t="n">
        <v>45679.28184027778</v>
      </c>
      <c r="D762" s="10" t="n">
        <v>45679.28451388889</v>
      </c>
      <c r="E762" s="10" t="n">
        <v>45679.31106481481</v>
      </c>
      <c r="F762" s="10" t="n">
        <v>45679.31303240741</v>
      </c>
      <c r="G762" s="3" t="inlineStr">
        <is>
          <t>OBT220125095350-Neunkirchen (loading tracks)</t>
        </is>
      </c>
      <c r="H762" s="10" t="n">
        <v>45679.41238425926</v>
      </c>
      <c r="I762" s="10" t="n">
        <v>45680.39731481481</v>
      </c>
      <c r="J762" s="10" t="n">
        <v>45680.398125</v>
      </c>
      <c r="K762" s="11">
        <f>IF(AND(ISNUMBER(D762),ISNUMBER(E762)),(E762-D762),"")</f>
        <v/>
      </c>
      <c r="L762" s="11">
        <f>IF(AND(ISNUMBER(F762),ISNUMBER(I762)),(I762-F762),"")</f>
        <v/>
      </c>
    </row>
    <row r="763">
      <c r="A763" s="3" t="inlineStr">
        <is>
          <t>1021107</t>
        </is>
      </c>
      <c r="B763" s="3" t="inlineStr">
        <is>
          <t>10211</t>
        </is>
      </c>
      <c r="C763" s="10" t="n">
        <v>45679.28184027778</v>
      </c>
      <c r="D763" s="10" t="n">
        <v>45679.28451388889</v>
      </c>
      <c r="E763" s="10" t="n">
        <v>45679.31303240741</v>
      </c>
      <c r="F763" s="10" t="n">
        <v>45679.31505787037</v>
      </c>
      <c r="G763" s="3" t="inlineStr">
        <is>
          <t>OBT230125063522-Wien Kledering</t>
        </is>
      </c>
      <c r="H763" s="10" t="n">
        <v>45680.27456018519</v>
      </c>
      <c r="I763" s="10" t="n">
        <v>45681.32601851852</v>
      </c>
      <c r="J763" s="10" t="n">
        <v>45681.32685185185</v>
      </c>
      <c r="K763" s="11">
        <f>IF(AND(ISNUMBER(D763),ISNUMBER(E763)),(E763-D763),"")</f>
        <v/>
      </c>
      <c r="L763" s="11">
        <f>IF(AND(ISNUMBER(F763),ISNUMBER(I763)),(I763-F763),"")</f>
        <v/>
      </c>
    </row>
    <row r="764">
      <c r="A764" s="3" t="inlineStr">
        <is>
          <t>1021109</t>
        </is>
      </c>
      <c r="B764" s="3" t="inlineStr">
        <is>
          <t>10211</t>
        </is>
      </c>
      <c r="C764" s="10" t="n">
        <v>45679.28184027778</v>
      </c>
      <c r="D764" s="10" t="n">
        <v>45679.28451388889</v>
      </c>
      <c r="E764" s="10" t="n">
        <v>45679.31505787037</v>
      </c>
      <c r="F764" s="10" t="n">
        <v>45679.31699074074</v>
      </c>
      <c r="G764" s="3" t="inlineStr">
        <is>
          <t>OBT220125100316-Neudörfl (FunderMax)</t>
        </is>
      </c>
      <c r="H764" s="10" t="n">
        <v>45679.41893518518</v>
      </c>
      <c r="I764" s="10" t="n">
        <v>45680.47625</v>
      </c>
      <c r="J764" s="10" t="n">
        <v>45680.47693287037</v>
      </c>
      <c r="K764" s="11">
        <f>IF(AND(ISNUMBER(D764),ISNUMBER(E764)),(E764-D764),"")</f>
        <v/>
      </c>
      <c r="L764" s="11">
        <f>IF(AND(ISNUMBER(F764),ISNUMBER(I764)),(I764-F764),"")</f>
        <v/>
      </c>
    </row>
    <row r="765">
      <c r="A765" s="3" t="inlineStr">
        <is>
          <t>1021110</t>
        </is>
      </c>
      <c r="B765" s="3" t="inlineStr">
        <is>
          <t>10211</t>
        </is>
      </c>
      <c r="C765" s="10" t="n">
        <v>45679.28184027778</v>
      </c>
      <c r="D765" s="10" t="n">
        <v>45679.28451388889</v>
      </c>
      <c r="E765" s="10" t="n">
        <v>45679.31699074074</v>
      </c>
      <c r="F765" s="10" t="n">
        <v>45679.31901620371</v>
      </c>
      <c r="G765" s="3" t="inlineStr">
        <is>
          <t>OBT230125063522-Wien Kledering</t>
        </is>
      </c>
      <c r="H765" s="10" t="n">
        <v>45680.27456018519</v>
      </c>
      <c r="I765" s="10" t="n">
        <v>45681.32601851852</v>
      </c>
      <c r="J765" s="10" t="n">
        <v>45681.32685185185</v>
      </c>
      <c r="K765" s="11">
        <f>IF(AND(ISNUMBER(D765),ISNUMBER(E765)),(E765-D765),"")</f>
        <v/>
      </c>
      <c r="L765" s="11">
        <f>IF(AND(ISNUMBER(F765),ISNUMBER(I765)),(I765-F765),"")</f>
        <v/>
      </c>
    </row>
    <row r="766">
      <c r="A766" s="3" t="inlineStr">
        <is>
          <t>1021111</t>
        </is>
      </c>
      <c r="B766" s="3" t="inlineStr">
        <is>
          <t>10211</t>
        </is>
      </c>
      <c r="C766" s="10" t="n">
        <v>45679.28184027778</v>
      </c>
      <c r="D766" s="10" t="n">
        <v>45679.28451388889</v>
      </c>
      <c r="E766" s="10" t="n">
        <v>45679.31901620371</v>
      </c>
      <c r="F766" s="10" t="n">
        <v>45679.32076388889</v>
      </c>
      <c r="G766" s="3" t="inlineStr">
        <is>
          <t>OBT220125204226-Neunkirchen (loading tracks)</t>
        </is>
      </c>
      <c r="H766" s="10" t="n">
        <v>45679.86280092593</v>
      </c>
      <c r="I766" s="10" t="n">
        <v>45680.90070601852</v>
      </c>
      <c r="J766" s="10" t="n">
        <v>45680.90148148148</v>
      </c>
      <c r="K766" s="11">
        <f>IF(AND(ISNUMBER(D766),ISNUMBER(E766)),(E766-D766),"")</f>
        <v/>
      </c>
      <c r="L766" s="11">
        <f>IF(AND(ISNUMBER(F766),ISNUMBER(I766)),(I766-F766),"")</f>
        <v/>
      </c>
    </row>
    <row r="767">
      <c r="A767" s="3" t="inlineStr">
        <is>
          <t>1021401</t>
        </is>
      </c>
      <c r="B767" s="3" t="inlineStr">
        <is>
          <t>10214</t>
        </is>
      </c>
      <c r="C767" s="10" t="n">
        <v>45679.34877314815</v>
      </c>
      <c r="D767" s="10" t="n">
        <v>45679.35113425926</v>
      </c>
      <c r="E767" s="10" t="n">
        <v>45679.35821759259</v>
      </c>
      <c r="F767" s="10" t="n">
        <v>45679.35960648148</v>
      </c>
      <c r="G767" s="3" t="inlineStr">
        <is>
          <t>OBT220125084547-St. Veit an der Glan</t>
        </is>
      </c>
      <c r="H767" s="10" t="n">
        <v>45679.36512731481</v>
      </c>
      <c r="I767" s="10" t="n">
        <v>45680.36795138889</v>
      </c>
      <c r="J767" s="10" t="n">
        <v>45680.36918981482</v>
      </c>
      <c r="K767" s="11">
        <f>IF(AND(ISNUMBER(D767),ISNUMBER(E767)),(E767-D767),"")</f>
        <v/>
      </c>
      <c r="L767" s="11">
        <f>IF(AND(ISNUMBER(F767),ISNUMBER(I767)),(I767-F767),"")</f>
        <v/>
      </c>
    </row>
    <row r="768">
      <c r="A768" s="3" t="inlineStr">
        <is>
          <t>1021402</t>
        </is>
      </c>
      <c r="B768" s="3" t="inlineStr">
        <is>
          <t>10214</t>
        </is>
      </c>
      <c r="C768" s="10" t="n">
        <v>45679.34877314815</v>
      </c>
      <c r="D768" s="10" t="n">
        <v>45679.35113425926</v>
      </c>
      <c r="E768" s="10" t="n">
        <v>45679.35960648148</v>
      </c>
      <c r="F768" s="10" t="n">
        <v>45679.36122685186</v>
      </c>
      <c r="G768" s="3" t="inlineStr">
        <is>
          <t>OBT220125084547-St. Veit an der Glan</t>
        </is>
      </c>
      <c r="H768" s="10" t="n">
        <v>45679.36512731481</v>
      </c>
      <c r="I768" s="10" t="n">
        <v>45680.36795138889</v>
      </c>
      <c r="J768" s="10" t="n">
        <v>45680.36918981482</v>
      </c>
      <c r="K768" s="11">
        <f>IF(AND(ISNUMBER(D768),ISNUMBER(E768)),(E768-D768),"")</f>
        <v/>
      </c>
      <c r="L768" s="11">
        <f>IF(AND(ISNUMBER(F768),ISNUMBER(I768)),(I768-F768),"")</f>
        <v/>
      </c>
    </row>
    <row r="769">
      <c r="A769" s="3" t="inlineStr">
        <is>
          <t>1021501</t>
        </is>
      </c>
      <c r="B769" s="3" t="inlineStr">
        <is>
          <t>10215</t>
        </is>
      </c>
      <c r="C769" s="10" t="n">
        <v>45679.37909722222</v>
      </c>
      <c r="D769" s="10" t="n">
        <v>45679.381875</v>
      </c>
      <c r="E769" s="10" t="n">
        <v>45679.40025462963</v>
      </c>
      <c r="F769" s="10" t="n">
        <v>45679.40216435185</v>
      </c>
      <c r="G769" s="3" t="inlineStr">
        <is>
          <t>OBT220125100316-Neudörfl (FunderMax)</t>
        </is>
      </c>
      <c r="H769" s="10" t="n">
        <v>45679.41893518518</v>
      </c>
      <c r="I769" s="10" t="n">
        <v>45680.47625</v>
      </c>
      <c r="J769" s="10" t="n">
        <v>45680.47693287037</v>
      </c>
      <c r="K769" s="11">
        <f>IF(AND(ISNUMBER(D769),ISNUMBER(E769)),(E769-D769),"")</f>
        <v/>
      </c>
      <c r="L769" s="11">
        <f>IF(AND(ISNUMBER(F769),ISNUMBER(I769)),(I769-F769),"")</f>
        <v/>
      </c>
    </row>
    <row r="770">
      <c r="A770" s="3" t="inlineStr">
        <is>
          <t>1021502</t>
        </is>
      </c>
      <c r="B770" s="3" t="inlineStr">
        <is>
          <t>10215</t>
        </is>
      </c>
      <c r="C770" s="10" t="n">
        <v>45679.37909722222</v>
      </c>
      <c r="D770" s="10" t="n">
        <v>45679.381875</v>
      </c>
      <c r="E770" s="10" t="n">
        <v>45679.40216435185</v>
      </c>
      <c r="F770" s="10" t="n">
        <v>45679.40445601852</v>
      </c>
      <c r="G770" s="3" t="inlineStr">
        <is>
          <t>OBT220125094552-Pitten (Hamburger)</t>
        </is>
      </c>
      <c r="H770" s="10" t="n">
        <v>45679.40685185185</v>
      </c>
      <c r="I770" s="10" t="n">
        <v>45680.36111111111</v>
      </c>
      <c r="J770" s="10" t="n">
        <v>45680.36192129629</v>
      </c>
      <c r="K770" s="11">
        <f>IF(AND(ISNUMBER(D770),ISNUMBER(E770)),(E770-D770),"")</f>
        <v/>
      </c>
      <c r="L770" s="11">
        <f>IF(AND(ISNUMBER(F770),ISNUMBER(I770)),(I770-F770),"")</f>
        <v/>
      </c>
    </row>
    <row r="771">
      <c r="A771" s="3" t="inlineStr">
        <is>
          <t>1021503</t>
        </is>
      </c>
      <c r="B771" s="3" t="inlineStr">
        <is>
          <t>10215</t>
        </is>
      </c>
      <c r="C771" s="10" t="n">
        <v>45679.37909722222</v>
      </c>
      <c r="D771" s="10" t="n">
        <v>45679.381875</v>
      </c>
      <c r="E771" s="10" t="n">
        <v>45679.40445601852</v>
      </c>
      <c r="F771" s="10" t="n">
        <v>45679.4065162037</v>
      </c>
      <c r="G771" s="3" t="inlineStr">
        <is>
          <t>OBT220125095350-Neunkirchen (loading tracks)</t>
        </is>
      </c>
      <c r="H771" s="10" t="n">
        <v>45679.41238425926</v>
      </c>
      <c r="I771" s="10" t="n">
        <v>45680.39731481481</v>
      </c>
      <c r="J771" s="10" t="n">
        <v>45680.398125</v>
      </c>
      <c r="K771" s="11">
        <f>IF(AND(ISNUMBER(D771),ISNUMBER(E771)),(E771-D771),"")</f>
        <v/>
      </c>
      <c r="L771" s="11">
        <f>IF(AND(ISNUMBER(F771),ISNUMBER(I771)),(I771-F771),"")</f>
        <v/>
      </c>
    </row>
    <row r="772">
      <c r="A772" s="3" t="inlineStr">
        <is>
          <t>1021504</t>
        </is>
      </c>
      <c r="B772" s="3" t="inlineStr">
        <is>
          <t>10215</t>
        </is>
      </c>
      <c r="C772" s="10" t="n">
        <v>45679.37909722222</v>
      </c>
      <c r="D772" s="10" t="n">
        <v>45679.381875</v>
      </c>
      <c r="E772" s="10" t="n">
        <v>45679.4065162037</v>
      </c>
      <c r="F772" s="10" t="n">
        <v>45679.40846064815</v>
      </c>
      <c r="G772" s="3" t="inlineStr">
        <is>
          <t>OBT220125095350-Neunkirchen (loading tracks)</t>
        </is>
      </c>
      <c r="H772" s="10" t="n">
        <v>45679.41238425926</v>
      </c>
      <c r="I772" s="10" t="n">
        <v>45680.39731481481</v>
      </c>
      <c r="J772" s="10" t="n">
        <v>45680.398125</v>
      </c>
      <c r="K772" s="11">
        <f>IF(AND(ISNUMBER(D772),ISNUMBER(E772)),(E772-D772),"")</f>
        <v/>
      </c>
      <c r="L772" s="11">
        <f>IF(AND(ISNUMBER(F772),ISNUMBER(I772)),(I772-F772),"")</f>
        <v/>
      </c>
    </row>
    <row r="773">
      <c r="A773" s="3" t="inlineStr">
        <is>
          <t>1021505</t>
        </is>
      </c>
      <c r="B773" s="3" t="inlineStr">
        <is>
          <t>10215</t>
        </is>
      </c>
      <c r="C773" s="10" t="n">
        <v>45679.37909722222</v>
      </c>
      <c r="D773" s="10" t="n">
        <v>45679.381875</v>
      </c>
      <c r="E773" s="10" t="n">
        <v>45679.40846064815</v>
      </c>
      <c r="F773" s="10" t="n">
        <v>45679.40987268519</v>
      </c>
      <c r="G773" s="3" t="inlineStr">
        <is>
          <t>OBT220125095549-Wr. Neustadt (Hödlmayr)</t>
        </is>
      </c>
      <c r="H773" s="10" t="n">
        <v>45679.41376157408</v>
      </c>
      <c r="I773" s="10" t="n">
        <v>45680.43768518518</v>
      </c>
      <c r="J773" s="10" t="n">
        <v>45680.43841435185</v>
      </c>
      <c r="K773" s="11">
        <f>IF(AND(ISNUMBER(D773),ISNUMBER(E773)),(E773-D773),"")</f>
        <v/>
      </c>
      <c r="L773" s="11">
        <f>IF(AND(ISNUMBER(F773),ISNUMBER(I773)),(I773-F773),"")</f>
        <v/>
      </c>
    </row>
    <row r="774">
      <c r="A774" s="3" t="inlineStr">
        <is>
          <t>1021506</t>
        </is>
      </c>
      <c r="B774" s="3" t="inlineStr">
        <is>
          <t>10215</t>
        </is>
      </c>
      <c r="C774" s="10" t="n">
        <v>45679.37909722222</v>
      </c>
      <c r="D774" s="10" t="n">
        <v>45679.381875</v>
      </c>
      <c r="E774" s="10" t="n">
        <v>45679.40987268519</v>
      </c>
      <c r="F774" s="10" t="n">
        <v>45679.41148148148</v>
      </c>
      <c r="G774" s="3" t="inlineStr">
        <is>
          <t>OBT230125175458-Wr. Neustadt Ausfahrbf (Furtenbach)</t>
        </is>
      </c>
      <c r="H774" s="10" t="n">
        <v>45680.74650462963</v>
      </c>
      <c r="I774" s="10" t="n">
        <v>45681.7572337963</v>
      </c>
      <c r="J774" s="10" t="n">
        <v>45681.7580787037</v>
      </c>
      <c r="K774" s="11">
        <f>IF(AND(ISNUMBER(D774),ISNUMBER(E774)),(E774-D774),"")</f>
        <v/>
      </c>
      <c r="L774" s="11">
        <f>IF(AND(ISNUMBER(F774),ISNUMBER(I774)),(I774-F774),"")</f>
        <v/>
      </c>
    </row>
    <row r="775">
      <c r="A775" s="3" t="inlineStr">
        <is>
          <t>1021507</t>
        </is>
      </c>
      <c r="B775" s="3" t="inlineStr">
        <is>
          <t>10215</t>
        </is>
      </c>
      <c r="C775" s="10" t="n">
        <v>45679.37909722222</v>
      </c>
      <c r="D775" s="10" t="n">
        <v>45679.381875</v>
      </c>
      <c r="E775" s="10" t="n">
        <v>45679.41148148148</v>
      </c>
      <c r="F775" s="10" t="n">
        <v>45679.41299768518</v>
      </c>
      <c r="G775" s="3" t="inlineStr">
        <is>
          <t>OBT220125180146-Felixdorf/Sollenau (Bundesheer, Maba)</t>
        </is>
      </c>
      <c r="H775" s="10" t="n">
        <v>45679.75122685185</v>
      </c>
      <c r="I775" s="10" t="n">
        <v>45680.67150462963</v>
      </c>
      <c r="J775" s="10" t="n">
        <v>45680.67232638889</v>
      </c>
      <c r="K775" s="11">
        <f>IF(AND(ISNUMBER(D775),ISNUMBER(E775)),(E775-D775),"")</f>
        <v/>
      </c>
      <c r="L775" s="11">
        <f>IF(AND(ISNUMBER(F775),ISNUMBER(I775)),(I775-F775),"")</f>
        <v/>
      </c>
    </row>
    <row r="776">
      <c r="A776" s="3" t="inlineStr">
        <is>
          <t>1021508</t>
        </is>
      </c>
      <c r="B776" s="3" t="inlineStr">
        <is>
          <t>10215</t>
        </is>
      </c>
      <c r="C776" s="10" t="n">
        <v>45679.37909722222</v>
      </c>
      <c r="D776" s="10" t="n">
        <v>45679.381875</v>
      </c>
      <c r="E776" s="10" t="n">
        <v>45679.41299768518</v>
      </c>
      <c r="F776" s="10" t="n">
        <v>45679.41504629629</v>
      </c>
      <c r="G776" s="3" t="inlineStr">
        <is>
          <t>OBT220125100316-Neudörfl (FunderMax)</t>
        </is>
      </c>
      <c r="H776" s="10" t="n">
        <v>45679.41893518518</v>
      </c>
      <c r="I776" s="10" t="n">
        <v>45680.47625</v>
      </c>
      <c r="J776" s="10" t="n">
        <v>45680.47693287037</v>
      </c>
      <c r="K776" s="11">
        <f>IF(AND(ISNUMBER(D776),ISNUMBER(E776)),(E776-D776),"")</f>
        <v/>
      </c>
      <c r="L776" s="11">
        <f>IF(AND(ISNUMBER(F776),ISNUMBER(I776)),(I776-F776),"")</f>
        <v/>
      </c>
    </row>
    <row r="777">
      <c r="A777" s="3" t="inlineStr">
        <is>
          <t>1021509</t>
        </is>
      </c>
      <c r="B777" s="3" t="inlineStr">
        <is>
          <t>10215</t>
        </is>
      </c>
      <c r="C777" s="10" t="n">
        <v>45679.37909722222</v>
      </c>
      <c r="D777" s="10" t="n">
        <v>45679.381875</v>
      </c>
      <c r="E777" s="10" t="n">
        <v>45679.41504629629</v>
      </c>
      <c r="F777" s="10" t="n">
        <v>45679.41708333333</v>
      </c>
      <c r="G777" s="3" t="inlineStr">
        <is>
          <t>OBT220125181516-Pitten (Hamburger)</t>
        </is>
      </c>
      <c r="H777" s="10" t="n">
        <v>45679.76060185185</v>
      </c>
      <c r="I777" s="10" t="n">
        <v>45680.80133101852</v>
      </c>
      <c r="J777" s="10" t="n">
        <v>45680.80255787037</v>
      </c>
      <c r="K777" s="11">
        <f>IF(AND(ISNUMBER(D777),ISNUMBER(E777)),(E777-D777),"")</f>
        <v/>
      </c>
      <c r="L777" s="11">
        <f>IF(AND(ISNUMBER(F777),ISNUMBER(I777)),(I777-F777),"")</f>
        <v/>
      </c>
    </row>
    <row r="778">
      <c r="A778" s="3" t="inlineStr">
        <is>
          <t>1021510</t>
        </is>
      </c>
      <c r="B778" s="3" t="inlineStr">
        <is>
          <t>10215</t>
        </is>
      </c>
      <c r="C778" s="10" t="n">
        <v>45679.37909722222</v>
      </c>
      <c r="D778" s="10" t="n">
        <v>45679.381875</v>
      </c>
      <c r="E778" s="10" t="n">
        <v>45679.41708333333</v>
      </c>
      <c r="F778" s="10" t="n">
        <v>45679.41890046297</v>
      </c>
      <c r="G778" s="3" t="inlineStr">
        <is>
          <t>OBT220125205009-Other sidings local</t>
        </is>
      </c>
      <c r="H778" s="10" t="n">
        <v>45679.86815972222</v>
      </c>
      <c r="I778" s="10" t="n">
        <v>45681.15251157407</v>
      </c>
      <c r="J778" s="10" t="n">
        <v>45681.15327546297</v>
      </c>
      <c r="K778" s="11">
        <f>IF(AND(ISNUMBER(D778),ISNUMBER(E778)),(E778-D778),"")</f>
        <v/>
      </c>
      <c r="L778" s="11">
        <f>IF(AND(ISNUMBER(F778),ISNUMBER(I778)),(I778-F778),"")</f>
        <v/>
      </c>
    </row>
    <row r="779">
      <c r="A779" s="3" t="inlineStr">
        <is>
          <t>1021601</t>
        </is>
      </c>
      <c r="B779" s="3" t="inlineStr">
        <is>
          <t>10216</t>
        </is>
      </c>
      <c r="C779" s="10" t="n">
        <v>45679.43238425926</v>
      </c>
      <c r="D779" s="10" t="n">
        <v>45679.43501157407</v>
      </c>
      <c r="E779" s="10" t="n">
        <v>45679.44196759259</v>
      </c>
      <c r="F779" s="10" t="n">
        <v>45679.44413194444</v>
      </c>
      <c r="G779" s="3" t="inlineStr">
        <is>
          <t>OBT220125104258-Wien Kledering</t>
        </is>
      </c>
      <c r="H779" s="10" t="n">
        <v>45679.44650462963</v>
      </c>
      <c r="I779" s="10" t="n">
        <v>45680.69244212963</v>
      </c>
      <c r="J779" s="10" t="n">
        <v>45680.69394675926</v>
      </c>
      <c r="K779" s="11">
        <f>IF(AND(ISNUMBER(D779),ISNUMBER(E779)),(E779-D779),"")</f>
        <v/>
      </c>
      <c r="L779" s="11">
        <f>IF(AND(ISNUMBER(F779),ISNUMBER(I779)),(I779-F779),"")</f>
        <v/>
      </c>
    </row>
    <row r="780">
      <c r="A780" s="3" t="inlineStr">
        <is>
          <t>1021701</t>
        </is>
      </c>
      <c r="B780" s="3" t="inlineStr">
        <is>
          <t>10217</t>
        </is>
      </c>
      <c r="C780" s="10" t="n">
        <v>45679.54150462963</v>
      </c>
      <c r="D780" s="10" t="n">
        <v>45679.54280092593</v>
      </c>
      <c r="E780" s="10" t="n">
        <v>45679.54666666667</v>
      </c>
      <c r="F780" s="10" t="n">
        <v>45679.54821759259</v>
      </c>
      <c r="G780" s="3" t="inlineStr">
        <is>
          <t>OBT220125175314-Wien Kledering</t>
        </is>
      </c>
      <c r="H780" s="10" t="n">
        <v>45679.74530092593</v>
      </c>
      <c r="I780" s="10" t="n">
        <v>45680.70748842593</v>
      </c>
      <c r="J780" s="10" t="n">
        <v>45680.70885416667</v>
      </c>
      <c r="K780" s="11">
        <f>IF(AND(ISNUMBER(D780),ISNUMBER(E780)),(E780-D780),"")</f>
        <v/>
      </c>
      <c r="L780" s="11">
        <f>IF(AND(ISNUMBER(F780),ISNUMBER(I780)),(I780-F780),"")</f>
        <v/>
      </c>
    </row>
    <row r="781">
      <c r="A781" s="3" t="inlineStr">
        <is>
          <t>1021801</t>
        </is>
      </c>
      <c r="B781" s="3" t="inlineStr">
        <is>
          <t>10218</t>
        </is>
      </c>
      <c r="C781" s="10" t="n">
        <v>45679.63328703704</v>
      </c>
      <c r="D781" s="10" t="n">
        <v>45679.63465277778</v>
      </c>
      <c r="E781" s="10" t="n">
        <v>45679.63877314814</v>
      </c>
      <c r="F781" s="10" t="n">
        <v>45679.64039351852</v>
      </c>
      <c r="G781" s="3" t="inlineStr">
        <is>
          <t>OBT220125175314-Wien Kledering</t>
        </is>
      </c>
      <c r="H781" s="10" t="n">
        <v>45679.74530092593</v>
      </c>
      <c r="I781" s="10" t="n">
        <v>45680.70748842593</v>
      </c>
      <c r="J781" s="10" t="n">
        <v>45680.70885416667</v>
      </c>
      <c r="K781" s="11">
        <f>IF(AND(ISNUMBER(D781),ISNUMBER(E781)),(E781-D781),"")</f>
        <v/>
      </c>
      <c r="L781" s="11">
        <f>IF(AND(ISNUMBER(F781),ISNUMBER(I781)),(I781-F781),"")</f>
        <v/>
      </c>
    </row>
    <row r="782">
      <c r="A782" s="3" t="inlineStr">
        <is>
          <t>1022001</t>
        </is>
      </c>
      <c r="B782" s="3" t="inlineStr">
        <is>
          <t>10220</t>
        </is>
      </c>
      <c r="C782" s="10" t="n">
        <v>45679.73109953704</v>
      </c>
      <c r="D782" s="10" t="n">
        <v>45679.7334375</v>
      </c>
      <c r="E782" s="10" t="n">
        <v>45679.73950231481</v>
      </c>
      <c r="F782" s="10" t="n">
        <v>45679.74137731481</v>
      </c>
      <c r="G782" s="3" t="inlineStr">
        <is>
          <t>OBT220125175314-Wien Kledering</t>
        </is>
      </c>
      <c r="H782" s="10" t="n">
        <v>45679.74530092593</v>
      </c>
      <c r="I782" s="10" t="n">
        <v>45680.70748842593</v>
      </c>
      <c r="J782" s="10" t="n">
        <v>45680.70885416667</v>
      </c>
      <c r="K782" s="11">
        <f>IF(AND(ISNUMBER(D782),ISNUMBER(E782)),(E782-D782),"")</f>
        <v/>
      </c>
      <c r="L782" s="11">
        <f>IF(AND(ISNUMBER(F782),ISNUMBER(I782)),(I782-F782),"")</f>
        <v/>
      </c>
    </row>
    <row r="783">
      <c r="A783" s="3" t="inlineStr">
        <is>
          <t>1021901</t>
        </is>
      </c>
      <c r="B783" s="3" t="inlineStr">
        <is>
          <t>10219</t>
        </is>
      </c>
      <c r="C783" s="10" t="n">
        <v>45679.7228125</v>
      </c>
      <c r="D783" s="10" t="n">
        <v>45679.72533564815</v>
      </c>
      <c r="E783" s="10" t="n">
        <v>45679.74444444444</v>
      </c>
      <c r="F783" s="10" t="n">
        <v>45679.74618055556</v>
      </c>
      <c r="G783" s="3" t="inlineStr">
        <is>
          <t>OBT220125205009-Other sidings local</t>
        </is>
      </c>
      <c r="H783" s="10" t="n">
        <v>45679.86815972222</v>
      </c>
      <c r="I783" s="10" t="n">
        <v>45681.15251157407</v>
      </c>
      <c r="J783" s="10" t="n">
        <v>45681.15327546297</v>
      </c>
      <c r="K783" s="11">
        <f>IF(AND(ISNUMBER(D783),ISNUMBER(E783)),(E783-D783),"")</f>
        <v/>
      </c>
      <c r="L783" s="11">
        <f>IF(AND(ISNUMBER(F783),ISNUMBER(I783)),(I783-F783),"")</f>
        <v/>
      </c>
    </row>
    <row r="784">
      <c r="A784" s="3" t="inlineStr">
        <is>
          <t>1021902</t>
        </is>
      </c>
      <c r="B784" s="3" t="inlineStr">
        <is>
          <t>10219</t>
        </is>
      </c>
      <c r="C784" s="10" t="n">
        <v>45679.7228125</v>
      </c>
      <c r="D784" s="10" t="n">
        <v>45679.72533564815</v>
      </c>
      <c r="E784" s="10" t="n">
        <v>45679.74618055556</v>
      </c>
      <c r="F784" s="10" t="n">
        <v>45679.74766203704</v>
      </c>
      <c r="G784" s="3" t="inlineStr">
        <is>
          <t>OBT220125180146-Felixdorf/Sollenau (Bundesheer, Maba)</t>
        </is>
      </c>
      <c r="H784" s="10" t="n">
        <v>45679.75122685185</v>
      </c>
      <c r="I784" s="10" t="n">
        <v>45680.67150462963</v>
      </c>
      <c r="J784" s="10" t="n">
        <v>45680.67232638889</v>
      </c>
      <c r="K784" s="11">
        <f>IF(AND(ISNUMBER(D784),ISNUMBER(E784)),(E784-D784),"")</f>
        <v/>
      </c>
      <c r="L784" s="11">
        <f>IF(AND(ISNUMBER(F784),ISNUMBER(I784)),(I784-F784),"")</f>
        <v/>
      </c>
    </row>
    <row r="785">
      <c r="A785" s="3" t="inlineStr">
        <is>
          <t>1021903</t>
        </is>
      </c>
      <c r="B785" s="3" t="inlineStr">
        <is>
          <t>10219</t>
        </is>
      </c>
      <c r="C785" s="10" t="n">
        <v>45679.7228125</v>
      </c>
      <c r="D785" s="10" t="n">
        <v>45679.72533564815</v>
      </c>
      <c r="E785" s="10" t="n">
        <v>45679.74766203704</v>
      </c>
      <c r="F785" s="10" t="n">
        <v>45679.74887731481</v>
      </c>
      <c r="G785" s="3" t="inlineStr">
        <is>
          <t>OBT230125030314-Neunkirchen (loading tracks)</t>
        </is>
      </c>
      <c r="H785" s="10" t="n">
        <v>45680.12724537037</v>
      </c>
      <c r="I785" s="10" t="n">
        <v>45681.22040509259</v>
      </c>
      <c r="J785" s="10" t="n">
        <v>45681.22115740741</v>
      </c>
      <c r="K785" s="11">
        <f>IF(AND(ISNUMBER(D785),ISNUMBER(E785)),(E785-D785),"")</f>
        <v/>
      </c>
      <c r="L785" s="11">
        <f>IF(AND(ISNUMBER(F785),ISNUMBER(I785)),(I785-F785),"")</f>
        <v/>
      </c>
    </row>
    <row r="786">
      <c r="A786" s="3" t="inlineStr">
        <is>
          <t>1021904</t>
        </is>
      </c>
      <c r="B786" s="3" t="inlineStr">
        <is>
          <t>10219</t>
        </is>
      </c>
      <c r="C786" s="10" t="n">
        <v>45679.7228125</v>
      </c>
      <c r="D786" s="10" t="n">
        <v>45679.72533564815</v>
      </c>
      <c r="E786" s="10" t="n">
        <v>45679.74887731481</v>
      </c>
      <c r="F786" s="10" t="n">
        <v>45679.75032407408</v>
      </c>
      <c r="G786" s="3" t="inlineStr">
        <is>
          <t>OBT220125180607-Wr. Neustadt Ausfahrbf (Furtenbach)</t>
        </is>
      </c>
      <c r="H786" s="10" t="n">
        <v>45679.75424768519</v>
      </c>
      <c r="I786" s="10" t="n">
        <v>45680.70087962963</v>
      </c>
      <c r="J786" s="10" t="n">
        <v>45680.70167824074</v>
      </c>
      <c r="K786" s="11">
        <f>IF(AND(ISNUMBER(D786),ISNUMBER(E786)),(E786-D786),"")</f>
        <v/>
      </c>
      <c r="L786" s="11">
        <f>IF(AND(ISNUMBER(F786),ISNUMBER(I786)),(I786-F786),"")</f>
        <v/>
      </c>
    </row>
    <row r="787">
      <c r="A787" s="3" t="inlineStr">
        <is>
          <t>1021905</t>
        </is>
      </c>
      <c r="B787" s="3" t="inlineStr">
        <is>
          <t>10219</t>
        </is>
      </c>
      <c r="C787" s="10" t="n">
        <v>45679.7228125</v>
      </c>
      <c r="D787" s="10" t="n">
        <v>45679.72533564815</v>
      </c>
      <c r="E787" s="10" t="n">
        <v>45679.75032407408</v>
      </c>
      <c r="F787" s="10" t="n">
        <v>45679.75231481482</v>
      </c>
      <c r="G787" s="3" t="inlineStr">
        <is>
          <t>OBT230125063522-Wien Kledering</t>
        </is>
      </c>
      <c r="H787" s="10" t="n">
        <v>45680.27456018519</v>
      </c>
      <c r="I787" s="10" t="n">
        <v>45681.32601851852</v>
      </c>
      <c r="J787" s="10" t="n">
        <v>45681.32685185185</v>
      </c>
      <c r="K787" s="11">
        <f>IF(AND(ISNUMBER(D787),ISNUMBER(E787)),(E787-D787),"")</f>
        <v/>
      </c>
      <c r="L787" s="11">
        <f>IF(AND(ISNUMBER(F787),ISNUMBER(I787)),(I787-F787),"")</f>
        <v/>
      </c>
    </row>
    <row r="788">
      <c r="A788" s="3" t="inlineStr">
        <is>
          <t>1021906</t>
        </is>
      </c>
      <c r="B788" s="3" t="inlineStr">
        <is>
          <t>10219</t>
        </is>
      </c>
      <c r="C788" s="10" t="n">
        <v>45679.7228125</v>
      </c>
      <c r="D788" s="10" t="n">
        <v>45679.72533564815</v>
      </c>
      <c r="E788" s="10" t="n">
        <v>45679.75231481482</v>
      </c>
      <c r="F788" s="10" t="n">
        <v>45679.75405092593</v>
      </c>
      <c r="G788" s="3" t="inlineStr">
        <is>
          <t>OBT220125204226-Neunkirchen (loading tracks)</t>
        </is>
      </c>
      <c r="H788" s="10" t="n">
        <v>45679.86280092593</v>
      </c>
      <c r="I788" s="10" t="n">
        <v>45680.90070601852</v>
      </c>
      <c r="J788" s="10" t="n">
        <v>45680.90148148148</v>
      </c>
      <c r="K788" s="11">
        <f>IF(AND(ISNUMBER(D788),ISNUMBER(E788)),(E788-D788),"")</f>
        <v/>
      </c>
      <c r="L788" s="11">
        <f>IF(AND(ISNUMBER(F788),ISNUMBER(I788)),(I788-F788),"")</f>
        <v/>
      </c>
    </row>
    <row r="789">
      <c r="A789" s="3" t="inlineStr">
        <is>
          <t>1021907</t>
        </is>
      </c>
      <c r="B789" s="3" t="inlineStr">
        <is>
          <t>10219</t>
        </is>
      </c>
      <c r="C789" s="10" t="n">
        <v>45679.7228125</v>
      </c>
      <c r="D789" s="10" t="n">
        <v>45679.72533564815</v>
      </c>
      <c r="E789" s="10" t="n">
        <v>45679.75405092593</v>
      </c>
      <c r="F789" s="10" t="n">
        <v>45679.75563657407</v>
      </c>
      <c r="G789" s="3" t="inlineStr">
        <is>
          <t>OBT230125175458-Wr. Neustadt Ausfahrbf (Furtenbach)</t>
        </is>
      </c>
      <c r="H789" s="10" t="n">
        <v>45680.74650462963</v>
      </c>
      <c r="I789" s="10" t="n">
        <v>45681.7572337963</v>
      </c>
      <c r="J789" s="10" t="n">
        <v>45681.7580787037</v>
      </c>
      <c r="K789" s="11">
        <f>IF(AND(ISNUMBER(D789),ISNUMBER(E789)),(E789-D789),"")</f>
        <v/>
      </c>
      <c r="L789" s="11">
        <f>IF(AND(ISNUMBER(F789),ISNUMBER(I789)),(I789-F789),"")</f>
        <v/>
      </c>
    </row>
    <row r="790">
      <c r="A790" s="3" t="inlineStr">
        <is>
          <t>1021908</t>
        </is>
      </c>
      <c r="B790" s="3" t="inlineStr">
        <is>
          <t>10219</t>
        </is>
      </c>
      <c r="C790" s="10" t="n">
        <v>45679.7228125</v>
      </c>
      <c r="D790" s="10" t="n">
        <v>45679.72533564815</v>
      </c>
      <c r="E790" s="10" t="n">
        <v>45679.75563657407</v>
      </c>
      <c r="F790" s="10" t="n">
        <v>45679.75820601852</v>
      </c>
      <c r="G790" s="3" t="inlineStr">
        <is>
          <t>OBT220125181516-Pitten (Hamburger)</t>
        </is>
      </c>
      <c r="H790" s="10" t="n">
        <v>45679.76060185185</v>
      </c>
      <c r="I790" s="10" t="n">
        <v>45680.80133101852</v>
      </c>
      <c r="J790" s="10" t="n">
        <v>45680.80255787037</v>
      </c>
      <c r="K790" s="11">
        <f>IF(AND(ISNUMBER(D790),ISNUMBER(E790)),(E790-D790),"")</f>
        <v/>
      </c>
      <c r="L790" s="11">
        <f>IF(AND(ISNUMBER(F790),ISNUMBER(I790)),(I790-F790),"")</f>
        <v/>
      </c>
    </row>
    <row r="791">
      <c r="A791" s="3" t="inlineStr">
        <is>
          <t>1021909</t>
        </is>
      </c>
      <c r="B791" s="3" t="inlineStr">
        <is>
          <t>10219</t>
        </is>
      </c>
      <c r="C791" s="10" t="n">
        <v>45679.7228125</v>
      </c>
      <c r="D791" s="10" t="n">
        <v>45679.72533564815</v>
      </c>
      <c r="E791" s="10" t="n">
        <v>45679.75820601852</v>
      </c>
      <c r="F791" s="10" t="n">
        <v>45679.75994212963</v>
      </c>
      <c r="G791" s="3" t="inlineStr">
        <is>
          <t>OBT220125204226-Neunkirchen (loading tracks)</t>
        </is>
      </c>
      <c r="H791" s="10" t="n">
        <v>45679.86280092593</v>
      </c>
      <c r="I791" s="10" t="n">
        <v>45680.90070601852</v>
      </c>
      <c r="J791" s="10" t="n">
        <v>45680.90148148148</v>
      </c>
      <c r="K791" s="11">
        <f>IF(AND(ISNUMBER(D791),ISNUMBER(E791)),(E791-D791),"")</f>
        <v/>
      </c>
      <c r="L791" s="11">
        <f>IF(AND(ISNUMBER(F791),ISNUMBER(I791)),(I791-F791),"")</f>
        <v/>
      </c>
    </row>
    <row r="792">
      <c r="A792" s="3" t="inlineStr">
        <is>
          <t>1021910</t>
        </is>
      </c>
      <c r="B792" s="3" t="inlineStr">
        <is>
          <t>10219</t>
        </is>
      </c>
      <c r="C792" s="10" t="n">
        <v>45679.7228125</v>
      </c>
      <c r="D792" s="10" t="n">
        <v>45679.72533564815</v>
      </c>
      <c r="E792" s="10" t="n">
        <v>45679.75994212963</v>
      </c>
      <c r="F792" s="10" t="n">
        <v>45679.76121527778</v>
      </c>
      <c r="G792" s="3" t="inlineStr">
        <is>
          <t>OBT230125095448-Neudörfl (FunderMax)</t>
        </is>
      </c>
      <c r="H792" s="10" t="n">
        <v>45680.41305555555</v>
      </c>
      <c r="I792" s="10" t="n">
        <v>45681.42721064815</v>
      </c>
      <c r="J792" s="10" t="n">
        <v>45681.42811342593</v>
      </c>
      <c r="K792" s="11">
        <f>IF(AND(ISNUMBER(D792),ISNUMBER(E792)),(E792-D792),"")</f>
        <v/>
      </c>
      <c r="L792" s="11">
        <f>IF(AND(ISNUMBER(F792),ISNUMBER(I792)),(I792-F792),"")</f>
        <v/>
      </c>
    </row>
    <row r="793">
      <c r="A793" s="3" t="inlineStr">
        <is>
          <t>1022201</t>
        </is>
      </c>
      <c r="B793" s="3" t="inlineStr">
        <is>
          <t>10222</t>
        </is>
      </c>
      <c r="C793" s="10" t="n">
        <v>45679.83502314815</v>
      </c>
      <c r="D793" s="10" t="n">
        <v>45679.83730324074</v>
      </c>
      <c r="E793" s="10" t="n">
        <v>45679.84998842593</v>
      </c>
      <c r="F793" s="10" t="n">
        <v>45679.85211805555</v>
      </c>
      <c r="G793" s="3" t="inlineStr">
        <is>
          <t>OBT220125203751-Pitten (Hamburger)</t>
        </is>
      </c>
      <c r="H793" s="10" t="n">
        <v>45679.85961805555</v>
      </c>
      <c r="I793" s="10" t="n">
        <v>45680.77143518518</v>
      </c>
      <c r="J793" s="10" t="n">
        <v>45680.7722337963</v>
      </c>
      <c r="K793" s="11">
        <f>IF(AND(ISNUMBER(D793),ISNUMBER(E793)),(E793-D793),"")</f>
        <v/>
      </c>
      <c r="L793" s="11">
        <f>IF(AND(ISNUMBER(F793),ISNUMBER(I793)),(I793-F793),"")</f>
        <v/>
      </c>
    </row>
    <row r="794">
      <c r="A794" s="3" t="inlineStr">
        <is>
          <t>1022202</t>
        </is>
      </c>
      <c r="B794" s="3" t="inlineStr">
        <is>
          <t>10222</t>
        </is>
      </c>
      <c r="C794" s="10" t="n">
        <v>45679.83502314815</v>
      </c>
      <c r="D794" s="10" t="n">
        <v>45679.83730324074</v>
      </c>
      <c r="E794" s="10" t="n">
        <v>45679.85211805555</v>
      </c>
      <c r="F794" s="10" t="n">
        <v>45679.85373842593</v>
      </c>
      <c r="G794" s="3" t="inlineStr">
        <is>
          <t>OBT230125175458-Wr. Neustadt Ausfahrbf (Furtenbach)</t>
        </is>
      </c>
      <c r="H794" s="10" t="n">
        <v>45680.74650462963</v>
      </c>
      <c r="I794" s="10" t="n">
        <v>45681.7572337963</v>
      </c>
      <c r="J794" s="10" t="n">
        <v>45681.7580787037</v>
      </c>
      <c r="K794" s="11">
        <f>IF(AND(ISNUMBER(D794),ISNUMBER(E794)),(E794-D794),"")</f>
        <v/>
      </c>
      <c r="L794" s="11">
        <f>IF(AND(ISNUMBER(F794),ISNUMBER(I794)),(I794-F794),"")</f>
        <v/>
      </c>
    </row>
    <row r="795">
      <c r="A795" s="3" t="inlineStr">
        <is>
          <t>1022203</t>
        </is>
      </c>
      <c r="B795" s="3" t="inlineStr">
        <is>
          <t>10222</t>
        </is>
      </c>
      <c r="C795" s="10" t="n">
        <v>45679.83502314815</v>
      </c>
      <c r="D795" s="10" t="n">
        <v>45679.83730324074</v>
      </c>
      <c r="E795" s="10" t="n">
        <v>45679.85373842593</v>
      </c>
      <c r="F795" s="10" t="n">
        <v>45679.85569444444</v>
      </c>
      <c r="G795" s="3" t="inlineStr">
        <is>
          <t>OBT220125203751-Pitten (Hamburger)</t>
        </is>
      </c>
      <c r="H795" s="10" t="n">
        <v>45679.85961805555</v>
      </c>
      <c r="I795" s="10" t="n">
        <v>45680.77143518518</v>
      </c>
      <c r="J795" s="10" t="n">
        <v>45680.7722337963</v>
      </c>
      <c r="K795" s="11">
        <f>IF(AND(ISNUMBER(D795),ISNUMBER(E795)),(E795-D795),"")</f>
        <v/>
      </c>
      <c r="L795" s="11">
        <f>IF(AND(ISNUMBER(F795),ISNUMBER(I795)),(I795-F795),"")</f>
        <v/>
      </c>
    </row>
    <row r="796">
      <c r="A796" s="3" t="inlineStr">
        <is>
          <t>1022204</t>
        </is>
      </c>
      <c r="B796" s="3" t="inlineStr">
        <is>
          <t>10222</t>
        </is>
      </c>
      <c r="C796" s="10" t="n">
        <v>45679.83502314815</v>
      </c>
      <c r="D796" s="10" t="n">
        <v>45679.83730324074</v>
      </c>
      <c r="E796" s="10" t="n">
        <v>45679.85569444444</v>
      </c>
      <c r="F796" s="10" t="n">
        <v>45679.85701388889</v>
      </c>
      <c r="G796" s="3" t="inlineStr">
        <is>
          <t>OBT230125095448-Neudörfl (FunderMax)</t>
        </is>
      </c>
      <c r="H796" s="10" t="n">
        <v>45680.41305555555</v>
      </c>
      <c r="I796" s="10" t="n">
        <v>45681.42721064815</v>
      </c>
      <c r="J796" s="10" t="n">
        <v>45681.42811342593</v>
      </c>
      <c r="K796" s="11">
        <f>IF(AND(ISNUMBER(D796),ISNUMBER(E796)),(E796-D796),"")</f>
        <v/>
      </c>
      <c r="L796" s="11">
        <f>IF(AND(ISNUMBER(F796),ISNUMBER(I796)),(I796-F796),"")</f>
        <v/>
      </c>
    </row>
    <row r="797">
      <c r="A797" s="3" t="inlineStr">
        <is>
          <t>1022205</t>
        </is>
      </c>
      <c r="B797" s="3" t="inlineStr">
        <is>
          <t>10222</t>
        </is>
      </c>
      <c r="C797" s="10" t="n">
        <v>45679.83502314815</v>
      </c>
      <c r="D797" s="10" t="n">
        <v>45679.83730324074</v>
      </c>
      <c r="E797" s="10" t="n">
        <v>45679.85701388889</v>
      </c>
      <c r="F797" s="10" t="n">
        <v>45679.85887731481</v>
      </c>
      <c r="G797" s="3" t="inlineStr">
        <is>
          <t>OBT220125204226-Neunkirchen (loading tracks)</t>
        </is>
      </c>
      <c r="H797" s="10" t="n">
        <v>45679.86280092593</v>
      </c>
      <c r="I797" s="10" t="n">
        <v>45680.90070601852</v>
      </c>
      <c r="J797" s="10" t="n">
        <v>45680.90148148148</v>
      </c>
      <c r="K797" s="11">
        <f>IF(AND(ISNUMBER(D797),ISNUMBER(E797)),(E797-D797),"")</f>
        <v/>
      </c>
      <c r="L797" s="11">
        <f>IF(AND(ISNUMBER(F797),ISNUMBER(I797)),(I797-F797),"")</f>
        <v/>
      </c>
    </row>
    <row r="798">
      <c r="A798" s="3" t="inlineStr">
        <is>
          <t>1022206</t>
        </is>
      </c>
      <c r="B798" s="3" t="inlineStr">
        <is>
          <t>10222</t>
        </is>
      </c>
      <c r="C798" s="10" t="n">
        <v>45679.83502314815</v>
      </c>
      <c r="D798" s="10" t="n">
        <v>45679.83730324074</v>
      </c>
      <c r="E798" s="10" t="n">
        <v>45679.85887731481</v>
      </c>
      <c r="F798" s="10" t="n">
        <v>45679.86086805556</v>
      </c>
      <c r="G798" s="3" t="inlineStr">
        <is>
          <t>OBT230125100554-Pitten (Hamburger)</t>
        </is>
      </c>
      <c r="H798" s="10" t="n">
        <v>45680.42076388889</v>
      </c>
      <c r="I798" s="10" t="n">
        <v>45681.58391203704</v>
      </c>
      <c r="J798" s="10" t="n">
        <v>45681.58487268518</v>
      </c>
      <c r="K798" s="11">
        <f>IF(AND(ISNUMBER(D798),ISNUMBER(E798)),(E798-D798),"")</f>
        <v/>
      </c>
      <c r="L798" s="11">
        <f>IF(AND(ISNUMBER(F798),ISNUMBER(I798)),(I798-F798),"")</f>
        <v/>
      </c>
    </row>
    <row r="799">
      <c r="A799" s="3" t="inlineStr">
        <is>
          <t>1022207</t>
        </is>
      </c>
      <c r="B799" s="3" t="inlineStr">
        <is>
          <t>10222</t>
        </is>
      </c>
      <c r="C799" s="10" t="n">
        <v>45679.83502314815</v>
      </c>
      <c r="D799" s="10" t="n">
        <v>45679.83730324074</v>
      </c>
      <c r="E799" s="10" t="n">
        <v>45679.86086805556</v>
      </c>
      <c r="F799" s="10" t="n">
        <v>45679.86247685185</v>
      </c>
      <c r="G799" s="3" t="inlineStr">
        <is>
          <t>OBT230125175458-Wr. Neustadt Ausfahrbf (Furtenbach)</t>
        </is>
      </c>
      <c r="H799" s="10" t="n">
        <v>45680.74650462963</v>
      </c>
      <c r="I799" s="10" t="n">
        <v>45681.7572337963</v>
      </c>
      <c r="J799" s="10" t="n">
        <v>45681.7580787037</v>
      </c>
      <c r="K799" s="11">
        <f>IF(AND(ISNUMBER(D799),ISNUMBER(E799)),(E799-D799),"")</f>
        <v/>
      </c>
      <c r="L799" s="11">
        <f>IF(AND(ISNUMBER(F799),ISNUMBER(I799)),(I799-F799),"")</f>
        <v/>
      </c>
    </row>
    <row r="800">
      <c r="A800" s="3" t="inlineStr">
        <is>
          <t>1022208</t>
        </is>
      </c>
      <c r="B800" s="3" t="inlineStr">
        <is>
          <t>10222</t>
        </is>
      </c>
      <c r="C800" s="10" t="n">
        <v>45679.83502314815</v>
      </c>
      <c r="D800" s="10" t="n">
        <v>45679.83730324074</v>
      </c>
      <c r="E800" s="10" t="n">
        <v>45679.86247685185</v>
      </c>
      <c r="F800" s="10" t="n">
        <v>45679.86423611111</v>
      </c>
      <c r="G800" s="3" t="inlineStr">
        <is>
          <t>OBT220125205009-Other sidings local</t>
        </is>
      </c>
      <c r="H800" s="10" t="n">
        <v>45679.86815972222</v>
      </c>
      <c r="I800" s="10" t="n">
        <v>45681.15251157407</v>
      </c>
      <c r="J800" s="10" t="n">
        <v>45681.15327546297</v>
      </c>
      <c r="K800" s="11">
        <f>IF(AND(ISNUMBER(D800),ISNUMBER(E800)),(E800-D800),"")</f>
        <v/>
      </c>
      <c r="L800" s="11">
        <f>IF(AND(ISNUMBER(F800),ISNUMBER(I800)),(I800-F800),"")</f>
        <v/>
      </c>
    </row>
    <row r="801">
      <c r="A801" s="3" t="inlineStr">
        <is>
          <t>1022301</t>
        </is>
      </c>
      <c r="B801" s="3" t="inlineStr">
        <is>
          <t>10223</t>
        </is>
      </c>
      <c r="C801" s="10" t="n">
        <v>45680.11217592593</v>
      </c>
      <c r="D801" s="10" t="n">
        <v>45680.11449074074</v>
      </c>
      <c r="E801" s="10" t="n">
        <v>45680.1234375</v>
      </c>
      <c r="F801" s="10" t="n">
        <v>45680.12484953704</v>
      </c>
      <c r="G801" s="3" t="inlineStr">
        <is>
          <t>OBT230125030314-Neunkirchen (loading tracks)</t>
        </is>
      </c>
      <c r="H801" s="10" t="n">
        <v>45680.12724537037</v>
      </c>
      <c r="I801" s="10" t="n">
        <v>45681.22040509259</v>
      </c>
      <c r="J801" s="10" t="n">
        <v>45681.22115740741</v>
      </c>
      <c r="K801" s="11">
        <f>IF(AND(ISNUMBER(D801),ISNUMBER(E801)),(E801-D801),"")</f>
        <v/>
      </c>
      <c r="L801" s="11">
        <f>IF(AND(ISNUMBER(F801),ISNUMBER(I801)),(I801-F801),"")</f>
        <v/>
      </c>
    </row>
    <row r="802">
      <c r="A802" s="3" t="inlineStr">
        <is>
          <t>1022302</t>
        </is>
      </c>
      <c r="B802" s="3" t="inlineStr">
        <is>
          <t>10223</t>
        </is>
      </c>
      <c r="C802" s="10" t="n">
        <v>45680.11217592593</v>
      </c>
      <c r="D802" s="10" t="n">
        <v>45680.11449074074</v>
      </c>
      <c r="E802" s="10" t="n">
        <v>45680.12484953704</v>
      </c>
      <c r="F802" s="10" t="n">
        <v>45680.12701388889</v>
      </c>
      <c r="G802" s="3" t="inlineStr">
        <is>
          <t>OBT230125030603-Ternitz (Schoeller-Bleckmann)</t>
        </is>
      </c>
      <c r="H802" s="10" t="n">
        <v>45680.12920138889</v>
      </c>
      <c r="I802" s="10" t="n">
        <v>45681.28805555555</v>
      </c>
      <c r="J802" s="10" t="n">
        <v>45681.28884259259</v>
      </c>
      <c r="K802" s="11">
        <f>IF(AND(ISNUMBER(D802),ISNUMBER(E802)),(E802-D802),"")</f>
        <v/>
      </c>
      <c r="L802" s="11">
        <f>IF(AND(ISNUMBER(F802),ISNUMBER(I802)),(I802-F802),"")</f>
        <v/>
      </c>
    </row>
    <row r="803">
      <c r="A803" s="3" t="inlineStr">
        <is>
          <t>1022303</t>
        </is>
      </c>
      <c r="B803" s="3" t="inlineStr">
        <is>
          <t>10223</t>
        </is>
      </c>
      <c r="C803" s="10" t="n">
        <v>45680.11217592593</v>
      </c>
      <c r="D803" s="10" t="n">
        <v>45680.11449074074</v>
      </c>
      <c r="E803" s="10" t="n">
        <v>45680.12701388889</v>
      </c>
      <c r="F803" s="10" t="n">
        <v>45680.12893518519</v>
      </c>
      <c r="G803" s="3" t="inlineStr">
        <is>
          <t>OBT230125090110-Wien Kledering</t>
        </is>
      </c>
      <c r="H803" s="10" t="n">
        <v>45680.37581018519</v>
      </c>
      <c r="I803" s="10" t="n">
        <v>45681.36351851852</v>
      </c>
      <c r="J803" s="10" t="n">
        <v>45681.3643287037</v>
      </c>
      <c r="K803" s="11">
        <f>IF(AND(ISNUMBER(D803),ISNUMBER(E803)),(E803-D803),"")</f>
        <v/>
      </c>
      <c r="L803" s="11">
        <f>IF(AND(ISNUMBER(F803),ISNUMBER(I803)),(I803-F803),"")</f>
        <v/>
      </c>
    </row>
    <row r="804">
      <c r="A804" s="3" t="inlineStr">
        <is>
          <t>1022304</t>
        </is>
      </c>
      <c r="B804" s="3" t="inlineStr">
        <is>
          <t>10223</t>
        </is>
      </c>
      <c r="C804" s="10" t="n">
        <v>45680.11217592593</v>
      </c>
      <c r="D804" s="10" t="n">
        <v>45680.11449074074</v>
      </c>
      <c r="E804" s="10" t="n">
        <v>45680.12893518519</v>
      </c>
      <c r="F804" s="10" t="n">
        <v>45680.13020833334</v>
      </c>
      <c r="G804" s="3" t="inlineStr">
        <is>
          <t>OBT230125071649-Other sidings south</t>
        </is>
      </c>
      <c r="H804" s="10" t="n">
        <v>45680.30334490741</v>
      </c>
      <c r="I804" s="10" t="n">
        <v>45681.335</v>
      </c>
      <c r="J804" s="10" t="n">
        <v>45681.33572916667</v>
      </c>
      <c r="K804" s="11">
        <f>IF(AND(ISNUMBER(D804),ISNUMBER(E804)),(E804-D804),"")</f>
        <v/>
      </c>
      <c r="L804" s="11">
        <f>IF(AND(ISNUMBER(F804),ISNUMBER(I804)),(I804-F804),"")</f>
        <v/>
      </c>
    </row>
    <row r="805">
      <c r="A805" s="3" t="inlineStr">
        <is>
          <t>1022401</t>
        </is>
      </c>
      <c r="B805" s="3" t="inlineStr">
        <is>
          <t>10224</t>
        </is>
      </c>
      <c r="C805" s="10" t="n">
        <v>45680.26320601852</v>
      </c>
      <c r="D805" s="10" t="n">
        <v>45680.26512731481</v>
      </c>
      <c r="E805" s="10" t="n">
        <v>45680.26986111111</v>
      </c>
      <c r="F805" s="10" t="n">
        <v>45680.27217592593</v>
      </c>
      <c r="G805" s="3" t="inlineStr">
        <is>
          <t>OBT230125063522-Wien Kledering</t>
        </is>
      </c>
      <c r="H805" s="10" t="n">
        <v>45680.27456018519</v>
      </c>
      <c r="I805" s="10" t="n">
        <v>45681.32601851852</v>
      </c>
      <c r="J805" s="10" t="n">
        <v>45681.32685185185</v>
      </c>
      <c r="K805" s="11">
        <f>IF(AND(ISNUMBER(D805),ISNUMBER(E805)),(E805-D805),"")</f>
        <v/>
      </c>
      <c r="L805" s="11">
        <f>IF(AND(ISNUMBER(F805),ISNUMBER(I805)),(I805-F805),"")</f>
        <v/>
      </c>
    </row>
    <row r="806">
      <c r="A806" s="3" t="inlineStr">
        <is>
          <t>1022502</t>
        </is>
      </c>
      <c r="B806" s="3" t="inlineStr">
        <is>
          <t>10225</t>
        </is>
      </c>
      <c r="C806" s="10" t="n">
        <v>45680.28145833333</v>
      </c>
      <c r="D806" s="10" t="n">
        <v>45680.28364583333</v>
      </c>
      <c r="E806" s="10" t="n">
        <v>45680.29622685185</v>
      </c>
      <c r="F806" s="10" t="n">
        <v>45680.29817129629</v>
      </c>
      <c r="G806" s="3" t="inlineStr">
        <is>
          <t>OBT230125105334-Wien Kledering</t>
        </is>
      </c>
      <c r="H806" s="10" t="n">
        <v>45680.45386574074</v>
      </c>
      <c r="I806" s="10" t="n">
        <v>45681.68616898148</v>
      </c>
      <c r="J806" s="10" t="n">
        <v>45681.68765046296</v>
      </c>
      <c r="K806" s="11">
        <f>IF(AND(ISNUMBER(D806),ISNUMBER(E806)),(E806-D806),"")</f>
        <v/>
      </c>
      <c r="L806" s="11">
        <f>IF(AND(ISNUMBER(F806),ISNUMBER(I806)),(I806-F806),"")</f>
        <v/>
      </c>
    </row>
    <row r="807">
      <c r="A807" s="3" t="inlineStr">
        <is>
          <t>1022503</t>
        </is>
      </c>
      <c r="B807" s="3" t="inlineStr">
        <is>
          <t>10225</t>
        </is>
      </c>
      <c r="C807" s="10" t="n">
        <v>45680.28145833333</v>
      </c>
      <c r="D807" s="10" t="n">
        <v>45680.28364583333</v>
      </c>
      <c r="E807" s="10" t="n">
        <v>45680.29817129629</v>
      </c>
      <c r="F807" s="10" t="n">
        <v>45680.29942129629</v>
      </c>
      <c r="G807" s="3" t="inlineStr">
        <is>
          <t>OBT230125071649-Other sidings south</t>
        </is>
      </c>
      <c r="H807" s="10" t="n">
        <v>45680.30334490741</v>
      </c>
      <c r="I807" s="10" t="n">
        <v>45681.335</v>
      </c>
      <c r="J807" s="10" t="n">
        <v>45681.33572916667</v>
      </c>
      <c r="K807" s="11">
        <f>IF(AND(ISNUMBER(D807),ISNUMBER(E807)),(E807-D807),"")</f>
        <v/>
      </c>
      <c r="L807" s="11">
        <f>IF(AND(ISNUMBER(F807),ISNUMBER(I807)),(I807-F807),"")</f>
        <v/>
      </c>
    </row>
    <row r="808">
      <c r="A808" s="3" t="inlineStr">
        <is>
          <t>1022504</t>
        </is>
      </c>
      <c r="B808" s="3" t="inlineStr">
        <is>
          <t>10225</t>
        </is>
      </c>
      <c r="C808" s="10" t="n">
        <v>45680.28145833333</v>
      </c>
      <c r="D808" s="10" t="n">
        <v>45680.28364583333</v>
      </c>
      <c r="E808" s="10" t="n">
        <v>45680.29942129629</v>
      </c>
      <c r="F808" s="10" t="n">
        <v>45680.30144675926</v>
      </c>
      <c r="G808" s="3" t="inlineStr">
        <is>
          <t>OBT230125095729-Other sidings north</t>
        </is>
      </c>
      <c r="H808" s="10" t="n">
        <v>45680.41491898148</v>
      </c>
      <c r="I808" s="10" t="n">
        <v>45681.4534375</v>
      </c>
      <c r="J808" s="10" t="n">
        <v>45681.45420138889</v>
      </c>
      <c r="K808" s="11">
        <f>IF(AND(ISNUMBER(D808),ISNUMBER(E808)),(E808-D808),"")</f>
        <v/>
      </c>
      <c r="L808" s="11">
        <f>IF(AND(ISNUMBER(F808),ISNUMBER(I808)),(I808-F808),"")</f>
        <v/>
      </c>
    </row>
    <row r="809">
      <c r="A809" s="3" t="inlineStr">
        <is>
          <t>1022505</t>
        </is>
      </c>
      <c r="B809" s="3" t="inlineStr">
        <is>
          <t>10225</t>
        </is>
      </c>
      <c r="C809" s="10" t="n">
        <v>45680.28145833333</v>
      </c>
      <c r="D809" s="10" t="n">
        <v>45680.28364583333</v>
      </c>
      <c r="E809" s="10" t="n">
        <v>45680.30144675926</v>
      </c>
      <c r="F809" s="10" t="n">
        <v>45680.30278935185</v>
      </c>
      <c r="G809" s="3" t="inlineStr">
        <is>
          <t>OBT230125095448-Neudörfl (FunderMax)</t>
        </is>
      </c>
      <c r="H809" s="10" t="n">
        <v>45680.41305555555</v>
      </c>
      <c r="I809" s="10" t="n">
        <v>45681.42721064815</v>
      </c>
      <c r="J809" s="10" t="n">
        <v>45681.42811342593</v>
      </c>
      <c r="K809" s="11">
        <f>IF(AND(ISNUMBER(D809),ISNUMBER(E809)),(E809-D809),"")</f>
        <v/>
      </c>
      <c r="L809" s="11">
        <f>IF(AND(ISNUMBER(F809),ISNUMBER(I809)),(I809-F809),"")</f>
        <v/>
      </c>
    </row>
    <row r="810">
      <c r="A810" s="3" t="inlineStr">
        <is>
          <t>1022506</t>
        </is>
      </c>
      <c r="B810" s="3" t="inlineStr">
        <is>
          <t>10225</t>
        </is>
      </c>
      <c r="C810" s="10" t="n">
        <v>45680.28145833333</v>
      </c>
      <c r="D810" s="10" t="n">
        <v>45680.28364583333</v>
      </c>
      <c r="E810" s="10" t="n">
        <v>45680.30278935185</v>
      </c>
      <c r="F810" s="10" t="n">
        <v>45680.30479166667</v>
      </c>
      <c r="G810" s="3" t="inlineStr">
        <is>
          <t>OBT230125100554-Pitten (Hamburger)</t>
        </is>
      </c>
      <c r="H810" s="10" t="n">
        <v>45680.42076388889</v>
      </c>
      <c r="I810" s="10" t="n">
        <v>45681.58391203704</v>
      </c>
      <c r="J810" s="10" t="n">
        <v>45681.58487268518</v>
      </c>
      <c r="K810" s="11">
        <f>IF(AND(ISNUMBER(D810),ISNUMBER(E810)),(E810-D810),"")</f>
        <v/>
      </c>
      <c r="L810" s="11">
        <f>IF(AND(ISNUMBER(F810),ISNUMBER(I810)),(I810-F810),"")</f>
        <v/>
      </c>
    </row>
    <row r="811">
      <c r="A811" s="3" t="inlineStr">
        <is>
          <t>1022508</t>
        </is>
      </c>
      <c r="B811" s="3" t="inlineStr">
        <is>
          <t>10225</t>
        </is>
      </c>
      <c r="C811" s="10" t="n">
        <v>45680.28145833333</v>
      </c>
      <c r="D811" s="10" t="n">
        <v>45680.28364583333</v>
      </c>
      <c r="E811" s="10" t="n">
        <v>45680.30278935185</v>
      </c>
      <c r="F811" s="10" t="n">
        <v>45680.30479166667</v>
      </c>
      <c r="G811" s="3" t="inlineStr">
        <is>
          <t>OBT230125100554-Pitten (Hamburger)</t>
        </is>
      </c>
      <c r="H811" s="10" t="n">
        <v>45680.42076388889</v>
      </c>
      <c r="I811" s="10" t="n">
        <v>45681.58391203704</v>
      </c>
      <c r="J811" s="10" t="n">
        <v>45681.58487268518</v>
      </c>
      <c r="K811" s="11">
        <f>IF(AND(ISNUMBER(D811),ISNUMBER(E811)),(E811-D811),"")</f>
        <v/>
      </c>
      <c r="L811" s="11">
        <f>IF(AND(ISNUMBER(F811),ISNUMBER(I811)),(I811-F811),"")</f>
        <v/>
      </c>
    </row>
    <row r="812">
      <c r="A812" s="3" t="inlineStr">
        <is>
          <t>1022801</t>
        </is>
      </c>
      <c r="B812" s="3" t="inlineStr">
        <is>
          <t>10228</t>
        </is>
      </c>
      <c r="C812" s="10" t="n">
        <v>45680.36128472222</v>
      </c>
      <c r="D812" s="10" t="n">
        <v>45680.3637962963</v>
      </c>
      <c r="E812" s="10" t="n">
        <v>45680.3711574074</v>
      </c>
      <c r="F812" s="10" t="n">
        <v>45680.37344907408</v>
      </c>
      <c r="G812" s="3" t="inlineStr">
        <is>
          <t>OBT230125090110-Wien Kledering</t>
        </is>
      </c>
      <c r="H812" s="10" t="n">
        <v>45680.37581018519</v>
      </c>
      <c r="I812" s="10" t="n">
        <v>45681.36351851852</v>
      </c>
      <c r="J812" s="10" t="n">
        <v>45681.3643287037</v>
      </c>
      <c r="K812" s="11">
        <f>IF(AND(ISNUMBER(D812),ISNUMBER(E812)),(E812-D812),"")</f>
        <v/>
      </c>
      <c r="L812" s="11">
        <f>IF(AND(ISNUMBER(F812),ISNUMBER(I812)),(I812-F812),"")</f>
        <v/>
      </c>
    </row>
    <row r="813">
      <c r="A813" s="3" t="inlineStr">
        <is>
          <t>1022802</t>
        </is>
      </c>
      <c r="B813" s="3" t="inlineStr">
        <is>
          <t>10228</t>
        </is>
      </c>
      <c r="C813" s="10" t="n">
        <v>45680.36128472222</v>
      </c>
      <c r="D813" s="10" t="n">
        <v>45680.3637962963</v>
      </c>
      <c r="E813" s="10" t="n">
        <v>45680.37344907408</v>
      </c>
      <c r="F813" s="10" t="n">
        <v>45680.37564814815</v>
      </c>
      <c r="G813" s="3" t="inlineStr">
        <is>
          <t>OBT230125090423-St. Veit an der Glan</t>
        </is>
      </c>
      <c r="H813" s="10" t="n">
        <v>45680.37804398148</v>
      </c>
      <c r="I813" s="10" t="n">
        <v>45681.41594907407</v>
      </c>
      <c r="J813" s="10" t="n">
        <v>45681.41704861111</v>
      </c>
      <c r="K813" s="11">
        <f>IF(AND(ISNUMBER(D813),ISNUMBER(E813)),(E813-D813),"")</f>
        <v/>
      </c>
      <c r="L813" s="11">
        <f>IF(AND(ISNUMBER(F813),ISNUMBER(I813)),(I813-F813),"")</f>
        <v/>
      </c>
    </row>
    <row r="814">
      <c r="A814" s="3" t="inlineStr">
        <is>
          <t>1022901</t>
        </is>
      </c>
      <c r="B814" s="3" t="inlineStr">
        <is>
          <t>10229</t>
        </is>
      </c>
      <c r="C814" s="10" t="n">
        <v>45680.37637731482</v>
      </c>
      <c r="D814" s="10" t="n">
        <v>45680.37878472222</v>
      </c>
      <c r="E814" s="10" t="n">
        <v>45680.39851851852</v>
      </c>
      <c r="F814" s="10" t="n">
        <v>45680.39967592592</v>
      </c>
      <c r="G814" s="3" t="inlineStr">
        <is>
          <t>OBT240125031427-Wr. Neustadt (Hödlmayr)</t>
        </is>
      </c>
      <c r="H814" s="10" t="n">
        <v>45681.13503472223</v>
      </c>
      <c r="I814" s="10" t="n">
        <v>45684.1534375</v>
      </c>
      <c r="J814" s="10" t="n">
        <v>45684.15423611111</v>
      </c>
      <c r="K814" s="11">
        <f>IF(AND(ISNUMBER(D814),ISNUMBER(E814)),(E814-D814),"")</f>
        <v/>
      </c>
      <c r="L814" s="11">
        <f>IF(AND(ISNUMBER(F814),ISNUMBER(I814)),(I814-F814),"")</f>
        <v/>
      </c>
    </row>
    <row r="815">
      <c r="A815" s="3" t="inlineStr">
        <is>
          <t>1022902</t>
        </is>
      </c>
      <c r="B815" s="3" t="inlineStr">
        <is>
          <t>10229</t>
        </is>
      </c>
      <c r="C815" s="10" t="n">
        <v>45680.37637731482</v>
      </c>
      <c r="D815" s="10" t="n">
        <v>45680.37878472222</v>
      </c>
      <c r="E815" s="10" t="n">
        <v>45680.39967592592</v>
      </c>
      <c r="F815" s="10" t="n">
        <v>45680.40140046296</v>
      </c>
      <c r="G815" s="3" t="inlineStr">
        <is>
          <t>OBT240125044723-Neudörfl (FunderMax)</t>
        </is>
      </c>
      <c r="H815" s="10" t="n">
        <v>45681.19957175926</v>
      </c>
      <c r="I815" s="10" t="n">
        <v>45684.2208912037</v>
      </c>
      <c r="J815" s="10" t="n">
        <v>45684.22171296296</v>
      </c>
      <c r="K815" s="11">
        <f>IF(AND(ISNUMBER(D815),ISNUMBER(E815)),(E815-D815),"")</f>
        <v/>
      </c>
      <c r="L815" s="11">
        <f>IF(AND(ISNUMBER(F815),ISNUMBER(I815)),(I815-F815),"")</f>
        <v/>
      </c>
    </row>
    <row r="816">
      <c r="A816" s="3" t="inlineStr">
        <is>
          <t>1022903</t>
        </is>
      </c>
      <c r="B816" s="3" t="inlineStr">
        <is>
          <t>10229</t>
        </is>
      </c>
      <c r="C816" s="10" t="n">
        <v>45680.37637731482</v>
      </c>
      <c r="D816" s="10" t="n">
        <v>45680.37878472222</v>
      </c>
      <c r="E816" s="10" t="n">
        <v>45680.40140046296</v>
      </c>
      <c r="F816" s="10" t="n">
        <v>45680.40256944444</v>
      </c>
      <c r="G816" s="3" t="inlineStr">
        <is>
          <t>OBT240125031427-Wr. Neustadt (Hödlmayr)</t>
        </is>
      </c>
      <c r="H816" s="10" t="n">
        <v>45681.13503472223</v>
      </c>
      <c r="I816" s="10" t="n">
        <v>45684.1534375</v>
      </c>
      <c r="J816" s="10" t="n">
        <v>45684.15423611111</v>
      </c>
      <c r="K816" s="11">
        <f>IF(AND(ISNUMBER(D816),ISNUMBER(E816)),(E816-D816),"")</f>
        <v/>
      </c>
      <c r="L816" s="11">
        <f>IF(AND(ISNUMBER(F816),ISNUMBER(I816)),(I816-F816),"")</f>
        <v/>
      </c>
    </row>
    <row r="817">
      <c r="A817" s="3" t="inlineStr">
        <is>
          <t>1022904</t>
        </is>
      </c>
      <c r="B817" s="3" t="inlineStr">
        <is>
          <t>10229</t>
        </is>
      </c>
      <c r="C817" s="10" t="n">
        <v>45680.37637731482</v>
      </c>
      <c r="D817" s="10" t="n">
        <v>45680.37878472222</v>
      </c>
      <c r="E817" s="10" t="n">
        <v>45680.40256944444</v>
      </c>
      <c r="F817" s="10" t="n">
        <v>45680.40416666667</v>
      </c>
      <c r="G817" s="3" t="inlineStr">
        <is>
          <t>OBT230125175458-Wr. Neustadt Ausfahrbf (Furtenbach)</t>
        </is>
      </c>
      <c r="H817" s="10" t="n">
        <v>45680.74650462963</v>
      </c>
      <c r="I817" s="10" t="n">
        <v>45681.7572337963</v>
      </c>
      <c r="J817" s="10" t="n">
        <v>45681.7580787037</v>
      </c>
      <c r="K817" s="11">
        <f>IF(AND(ISNUMBER(D817),ISNUMBER(E817)),(E817-D817),"")</f>
        <v/>
      </c>
      <c r="L817" s="11">
        <f>IF(AND(ISNUMBER(F817),ISNUMBER(I817)),(I817-F817),"")</f>
        <v/>
      </c>
    </row>
    <row r="818">
      <c r="A818" s="3" t="inlineStr">
        <is>
          <t>1022905</t>
        </is>
      </c>
      <c r="B818" s="3" t="inlineStr">
        <is>
          <t>10229</t>
        </is>
      </c>
      <c r="C818" s="10" t="n">
        <v>45680.37637731482</v>
      </c>
      <c r="D818" s="10" t="n">
        <v>45680.37878472222</v>
      </c>
      <c r="E818" s="10" t="n">
        <v>45680.40416666667</v>
      </c>
      <c r="F818" s="10" t="n">
        <v>45680.40575231481</v>
      </c>
      <c r="G818" s="3" t="inlineStr">
        <is>
          <t>OBT230125175458-Wr. Neustadt Ausfahrbf (Furtenbach)</t>
        </is>
      </c>
      <c r="H818" s="10" t="n">
        <v>45680.74650462963</v>
      </c>
      <c r="I818" s="10" t="n">
        <v>45681.7572337963</v>
      </c>
      <c r="J818" s="10" t="n">
        <v>45681.7580787037</v>
      </c>
      <c r="K818" s="11">
        <f>IF(AND(ISNUMBER(D818),ISNUMBER(E818)),(E818-D818),"")</f>
        <v/>
      </c>
      <c r="L818" s="11">
        <f>IF(AND(ISNUMBER(F818),ISNUMBER(I818)),(I818-F818),"")</f>
        <v/>
      </c>
    </row>
    <row r="819">
      <c r="A819" s="3" t="inlineStr">
        <is>
          <t>1022906</t>
        </is>
      </c>
      <c r="B819" s="3" t="inlineStr">
        <is>
          <t>10229</t>
        </is>
      </c>
      <c r="C819" s="10" t="n">
        <v>45680.37637731482</v>
      </c>
      <c r="D819" s="10" t="n">
        <v>45680.37878472222</v>
      </c>
      <c r="E819" s="10" t="n">
        <v>45680.40575231481</v>
      </c>
      <c r="F819" s="10" t="n">
        <v>45680.40778935186</v>
      </c>
      <c r="G819" s="3" t="inlineStr">
        <is>
          <t>OBT230125095729-Other sidings north</t>
        </is>
      </c>
      <c r="H819" s="10" t="n">
        <v>45680.41491898148</v>
      </c>
      <c r="I819" s="10" t="n">
        <v>45681.4534375</v>
      </c>
      <c r="J819" s="10" t="n">
        <v>45681.45420138889</v>
      </c>
      <c r="K819" s="11">
        <f>IF(AND(ISNUMBER(D819),ISNUMBER(E819)),(E819-D819),"")</f>
        <v/>
      </c>
      <c r="L819" s="11">
        <f>IF(AND(ISNUMBER(F819),ISNUMBER(I819)),(I819-F819),"")</f>
        <v/>
      </c>
    </row>
    <row r="820">
      <c r="A820" s="3" t="inlineStr">
        <is>
          <t>1022907</t>
        </is>
      </c>
      <c r="B820" s="3" t="inlineStr">
        <is>
          <t>10229</t>
        </is>
      </c>
      <c r="C820" s="10" t="n">
        <v>45680.37637731482</v>
      </c>
      <c r="D820" s="10" t="n">
        <v>45680.37878472222</v>
      </c>
      <c r="E820" s="10" t="n">
        <v>45680.40778935186</v>
      </c>
      <c r="F820" s="10" t="n">
        <v>45680.40913194444</v>
      </c>
      <c r="G820" s="3" t="inlineStr">
        <is>
          <t>OBT230125095448-Neudörfl (FunderMax)</t>
        </is>
      </c>
      <c r="H820" s="10" t="n">
        <v>45680.41305555555</v>
      </c>
      <c r="I820" s="10" t="n">
        <v>45681.42721064815</v>
      </c>
      <c r="J820" s="10" t="n">
        <v>45681.42811342593</v>
      </c>
      <c r="K820" s="11">
        <f>IF(AND(ISNUMBER(D820),ISNUMBER(E820)),(E820-D820),"")</f>
        <v/>
      </c>
      <c r="L820" s="11">
        <f>IF(AND(ISNUMBER(F820),ISNUMBER(I820)),(I820-F820),"")</f>
        <v/>
      </c>
    </row>
    <row r="821">
      <c r="A821" s="3" t="inlineStr">
        <is>
          <t>1022908</t>
        </is>
      </c>
      <c r="B821" s="3" t="inlineStr">
        <is>
          <t>10229</t>
        </is>
      </c>
      <c r="C821" s="10" t="n">
        <v>45680.37637731482</v>
      </c>
      <c r="D821" s="10" t="n">
        <v>45680.37878472222</v>
      </c>
      <c r="E821" s="10" t="n">
        <v>45680.40913194444</v>
      </c>
      <c r="F821" s="10" t="n">
        <v>45680.41103009259</v>
      </c>
      <c r="G821" s="3" t="inlineStr">
        <is>
          <t>OBT230125095729-Other sidings north</t>
        </is>
      </c>
      <c r="H821" s="10" t="n">
        <v>45680.41491898148</v>
      </c>
      <c r="I821" s="10" t="n">
        <v>45681.4534375</v>
      </c>
      <c r="J821" s="10" t="n">
        <v>45681.45420138889</v>
      </c>
      <c r="K821" s="11">
        <f>IF(AND(ISNUMBER(D821),ISNUMBER(E821)),(E821-D821),"")</f>
        <v/>
      </c>
      <c r="L821" s="11">
        <f>IF(AND(ISNUMBER(F821),ISNUMBER(I821)),(I821-F821),"")</f>
        <v/>
      </c>
    </row>
    <row r="822">
      <c r="A822" s="3" t="inlineStr">
        <is>
          <t>1022909</t>
        </is>
      </c>
      <c r="B822" s="3" t="inlineStr">
        <is>
          <t>10229</t>
        </is>
      </c>
      <c r="C822" s="10" t="n">
        <v>45680.37637731482</v>
      </c>
      <c r="D822" s="10" t="n">
        <v>45680.37878472222</v>
      </c>
      <c r="E822" s="10" t="n">
        <v>45680.41103009259</v>
      </c>
      <c r="F822" s="10" t="n">
        <v>45680.41303240741</v>
      </c>
      <c r="G822" s="3" t="inlineStr">
        <is>
          <t>OBT240125093343-Pitten (Hamburger)</t>
        </is>
      </c>
      <c r="H822" s="10" t="n">
        <v>45681.39841435185</v>
      </c>
      <c r="I822" s="10" t="n">
        <v>45684.370625</v>
      </c>
      <c r="J822" s="10" t="n">
        <v>45684.37153935185</v>
      </c>
      <c r="K822" s="11">
        <f>IF(AND(ISNUMBER(D822),ISNUMBER(E822)),(E822-D822),"")</f>
        <v/>
      </c>
      <c r="L822" s="11">
        <f>IF(AND(ISNUMBER(F822),ISNUMBER(I822)),(I822-F822),"")</f>
        <v/>
      </c>
    </row>
    <row r="823">
      <c r="A823" s="3" t="inlineStr">
        <is>
          <t>1022910</t>
        </is>
      </c>
      <c r="B823" s="3" t="inlineStr">
        <is>
          <t>10229</t>
        </is>
      </c>
      <c r="C823" s="10" t="n">
        <v>45680.37637731482</v>
      </c>
      <c r="D823" s="10" t="n">
        <v>45680.37878472222</v>
      </c>
      <c r="E823" s="10" t="n">
        <v>45680.41303240741</v>
      </c>
      <c r="F823" s="10" t="n">
        <v>45680.41527777778</v>
      </c>
      <c r="G823" s="3" t="inlineStr">
        <is>
          <t>OBT230125100554-Pitten (Hamburger)</t>
        </is>
      </c>
      <c r="H823" s="10" t="n">
        <v>45680.42076388889</v>
      </c>
      <c r="I823" s="10" t="n">
        <v>45681.58391203704</v>
      </c>
      <c r="J823" s="10" t="n">
        <v>45681.58487268518</v>
      </c>
      <c r="K823" s="11">
        <f>IF(AND(ISNUMBER(D823),ISNUMBER(E823)),(E823-D823),"")</f>
        <v/>
      </c>
      <c r="L823" s="11">
        <f>IF(AND(ISNUMBER(F823),ISNUMBER(I823)),(I823-F823),"")</f>
        <v/>
      </c>
    </row>
    <row r="824">
      <c r="A824" s="3" t="inlineStr">
        <is>
          <t>1022911</t>
        </is>
      </c>
      <c r="B824" s="3" t="inlineStr">
        <is>
          <t>10229</t>
        </is>
      </c>
      <c r="C824" s="10" t="n">
        <v>45680.37637731482</v>
      </c>
      <c r="D824" s="10" t="n">
        <v>45680.37878472222</v>
      </c>
      <c r="E824" s="10" t="n">
        <v>45680.41527777778</v>
      </c>
      <c r="F824" s="10" t="n">
        <v>45680.41721064815</v>
      </c>
      <c r="G824" s="3" t="inlineStr">
        <is>
          <t>OBT230125100554-Pitten (Hamburger)</t>
        </is>
      </c>
      <c r="H824" s="10" t="n">
        <v>45680.42076388889</v>
      </c>
      <c r="I824" s="10" t="n">
        <v>45681.58391203704</v>
      </c>
      <c r="J824" s="10" t="n">
        <v>45681.58487268518</v>
      </c>
      <c r="K824" s="11">
        <f>IF(AND(ISNUMBER(D824),ISNUMBER(E824)),(E824-D824),"")</f>
        <v/>
      </c>
      <c r="L824" s="11">
        <f>IF(AND(ISNUMBER(F824),ISNUMBER(I824)),(I824-F824),"")</f>
        <v/>
      </c>
    </row>
    <row r="825">
      <c r="A825" s="3" t="inlineStr">
        <is>
          <t>1023001</t>
        </is>
      </c>
      <c r="B825" s="3" t="inlineStr">
        <is>
          <t>10230</t>
        </is>
      </c>
      <c r="C825" s="10" t="n">
        <v>45680.43478009259</v>
      </c>
      <c r="D825" s="10" t="n">
        <v>45680.43740740741</v>
      </c>
      <c r="E825" s="10" t="n">
        <v>45680.44863425926</v>
      </c>
      <c r="F825" s="10" t="n">
        <v>45680.45149305555</v>
      </c>
      <c r="G825" s="3" t="inlineStr">
        <is>
          <t>OBT230125105334-Wien Kledering</t>
        </is>
      </c>
      <c r="H825" s="10" t="n">
        <v>45680.45386574074</v>
      </c>
      <c r="I825" s="10" t="n">
        <v>45681.68616898148</v>
      </c>
      <c r="J825" s="10" t="n">
        <v>45681.68765046296</v>
      </c>
      <c r="K825" s="11">
        <f>IF(AND(ISNUMBER(D825),ISNUMBER(E825)),(E825-D825),"")</f>
        <v/>
      </c>
      <c r="L825" s="11">
        <f>IF(AND(ISNUMBER(F825),ISNUMBER(I825)),(I825-F825),"")</f>
        <v/>
      </c>
    </row>
    <row r="826">
      <c r="A826" s="3" t="inlineStr">
        <is>
          <t>1023003</t>
        </is>
      </c>
      <c r="B826" s="3" t="inlineStr">
        <is>
          <t>10230</t>
        </is>
      </c>
      <c r="C826" s="10" t="n">
        <v>45680.43478009259</v>
      </c>
      <c r="D826" s="10" t="n">
        <v>45680.43740740741</v>
      </c>
      <c r="E826" s="10" t="n">
        <v>45680.44863425926</v>
      </c>
      <c r="F826" s="10" t="n">
        <v>45680.45149305555</v>
      </c>
      <c r="G826" s="3" t="inlineStr">
        <is>
          <t>OBT230125105334-Wien Kledering</t>
        </is>
      </c>
      <c r="H826" s="10" t="n">
        <v>45680.45386574074</v>
      </c>
      <c r="I826" s="10" t="n">
        <v>45681.68616898148</v>
      </c>
      <c r="J826" s="10" t="n">
        <v>45681.68765046296</v>
      </c>
      <c r="K826" s="11">
        <f>IF(AND(ISNUMBER(D826),ISNUMBER(E826)),(E826-D826),"")</f>
        <v/>
      </c>
      <c r="L826" s="11">
        <f>IF(AND(ISNUMBER(F826),ISNUMBER(I826)),(I826-F826),"")</f>
        <v/>
      </c>
    </row>
    <row r="827">
      <c r="A827" s="3" t="inlineStr">
        <is>
          <t>1023005</t>
        </is>
      </c>
      <c r="B827" s="3" t="inlineStr">
        <is>
          <t>10230</t>
        </is>
      </c>
      <c r="C827" s="10" t="n">
        <v>45680.43478009259</v>
      </c>
      <c r="D827" s="10" t="n">
        <v>45680.43740740741</v>
      </c>
      <c r="E827" s="10" t="n">
        <v>45680.44863425926</v>
      </c>
      <c r="F827" s="10" t="n">
        <v>45680.45149305555</v>
      </c>
      <c r="G827" s="3" t="inlineStr">
        <is>
          <t>OBT230125105334-Wien Kledering</t>
        </is>
      </c>
      <c r="H827" s="10" t="n">
        <v>45680.45386574074</v>
      </c>
      <c r="I827" s="10" t="n">
        <v>45681.68616898148</v>
      </c>
      <c r="J827" s="10" t="n">
        <v>45681.68765046296</v>
      </c>
      <c r="K827" s="11">
        <f>IF(AND(ISNUMBER(D827),ISNUMBER(E827)),(E827-D827),"")</f>
        <v/>
      </c>
      <c r="L827" s="11">
        <f>IF(AND(ISNUMBER(F827),ISNUMBER(I827)),(I827-F827),"")</f>
        <v/>
      </c>
    </row>
    <row r="828">
      <c r="A828" s="3" t="inlineStr">
        <is>
          <t>1023101</t>
        </is>
      </c>
      <c r="B828" s="3" t="inlineStr">
        <is>
          <t>10231</t>
        </is>
      </c>
      <c r="C828" s="10" t="n">
        <v>45680.60194444445</v>
      </c>
      <c r="D828" s="10" t="n">
        <v>45680.60445601852</v>
      </c>
      <c r="E828" s="10" t="n">
        <v>45680.61098379629</v>
      </c>
      <c r="F828" s="10" t="n">
        <v>45680.61325231481</v>
      </c>
      <c r="G828" s="3" t="inlineStr">
        <is>
          <t>OBT230125144630-Wien Kledering</t>
        </is>
      </c>
      <c r="H828" s="10" t="n">
        <v>45680.615625</v>
      </c>
      <c r="I828" s="10" t="n">
        <v>45681.71954861111</v>
      </c>
      <c r="J828" s="10" t="n">
        <v>45681.72094907407</v>
      </c>
      <c r="K828" s="11">
        <f>IF(AND(ISNUMBER(D828),ISNUMBER(E828)),(E828-D828),"")</f>
        <v/>
      </c>
      <c r="L828" s="11">
        <f>IF(AND(ISNUMBER(F828),ISNUMBER(I828)),(I828-F828),"")</f>
        <v/>
      </c>
    </row>
    <row r="829">
      <c r="A829" s="3" t="inlineStr">
        <is>
          <t>1023201</t>
        </is>
      </c>
      <c r="B829" s="3" t="inlineStr">
        <is>
          <t>10232</t>
        </is>
      </c>
      <c r="C829" s="10" t="n">
        <v>45680.61155092593</v>
      </c>
      <c r="D829" s="10" t="n">
        <v>45680.6134375</v>
      </c>
      <c r="E829" s="10" t="n">
        <v>45680.62690972222</v>
      </c>
      <c r="F829" s="10" t="n">
        <v>45680.6288425926</v>
      </c>
      <c r="G829" s="3" t="inlineStr">
        <is>
          <t>OBT230125174306-Other sidings north</t>
        </is>
      </c>
      <c r="H829" s="10" t="n">
        <v>45680.73826388889</v>
      </c>
      <c r="I829" s="10" t="n">
        <v>45681.67707175926</v>
      </c>
      <c r="J829" s="10" t="n">
        <v>45681.67775462963</v>
      </c>
      <c r="K829" s="11">
        <f>IF(AND(ISNUMBER(D829),ISNUMBER(E829)),(E829-D829),"")</f>
        <v/>
      </c>
      <c r="L829" s="11">
        <f>IF(AND(ISNUMBER(F829),ISNUMBER(I829)),(I829-F829),"")</f>
        <v/>
      </c>
    </row>
    <row r="830">
      <c r="A830" s="3" t="inlineStr">
        <is>
          <t>1023202</t>
        </is>
      </c>
      <c r="B830" s="3" t="inlineStr">
        <is>
          <t>10232</t>
        </is>
      </c>
      <c r="C830" s="10" t="n">
        <v>45680.61155092593</v>
      </c>
      <c r="D830" s="10" t="n">
        <v>45680.6134375</v>
      </c>
      <c r="E830" s="10" t="n">
        <v>45680.6288425926</v>
      </c>
      <c r="F830" s="10" t="n">
        <v>45680.63079861111</v>
      </c>
      <c r="G830" s="3" t="inlineStr">
        <is>
          <t>OBT240125174924-Wien Kledering</t>
        </is>
      </c>
      <c r="H830" s="10" t="n">
        <v>45681.74263888889</v>
      </c>
      <c r="I830" s="10" t="n">
        <v>45684.69225694444</v>
      </c>
      <c r="J830" s="10" t="n">
        <v>45684.69333333334</v>
      </c>
      <c r="K830" s="11">
        <f>IF(AND(ISNUMBER(D830),ISNUMBER(E830)),(E830-D830),"")</f>
        <v/>
      </c>
      <c r="L830" s="11">
        <f>IF(AND(ISNUMBER(F830),ISNUMBER(I830)),(I830-F830),"")</f>
        <v/>
      </c>
    </row>
    <row r="831">
      <c r="A831" s="3" t="inlineStr">
        <is>
          <t>1023203</t>
        </is>
      </c>
      <c r="B831" s="3" t="inlineStr">
        <is>
          <t>10232</t>
        </is>
      </c>
      <c r="C831" s="10" t="n">
        <v>45680.61155092593</v>
      </c>
      <c r="D831" s="10" t="n">
        <v>45680.6134375</v>
      </c>
      <c r="E831" s="10" t="n">
        <v>45680.63079861111</v>
      </c>
      <c r="F831" s="10" t="n">
        <v>45680.63268518518</v>
      </c>
      <c r="G831" s="3" t="inlineStr">
        <is>
          <t>OBT230125174306-Other sidings north</t>
        </is>
      </c>
      <c r="H831" s="10" t="n">
        <v>45680.73826388889</v>
      </c>
      <c r="I831" s="10" t="n">
        <v>45681.67707175926</v>
      </c>
      <c r="J831" s="10" t="n">
        <v>45681.67775462963</v>
      </c>
      <c r="K831" s="11">
        <f>IF(AND(ISNUMBER(D831),ISNUMBER(E831)),(E831-D831),"")</f>
        <v/>
      </c>
      <c r="L831" s="11">
        <f>IF(AND(ISNUMBER(F831),ISNUMBER(I831)),(I831-F831),"")</f>
        <v/>
      </c>
    </row>
    <row r="832">
      <c r="A832" s="3" t="inlineStr">
        <is>
          <t>1023204</t>
        </is>
      </c>
      <c r="B832" s="3" t="inlineStr">
        <is>
          <t>10232</t>
        </is>
      </c>
      <c r="C832" s="10" t="n">
        <v>45680.61155092593</v>
      </c>
      <c r="D832" s="10" t="n">
        <v>45680.6134375</v>
      </c>
      <c r="E832" s="10" t="n">
        <v>45680.63268518518</v>
      </c>
      <c r="F832" s="10" t="n">
        <v>45680.63440972222</v>
      </c>
      <c r="G832" s="3" t="inlineStr">
        <is>
          <t>OBT240125044723-Neudörfl (FunderMax)</t>
        </is>
      </c>
      <c r="H832" s="10" t="n">
        <v>45681.19957175926</v>
      </c>
      <c r="I832" s="10" t="n">
        <v>45684.2208912037</v>
      </c>
      <c r="J832" s="10" t="n">
        <v>45684.22171296296</v>
      </c>
      <c r="K832" s="11">
        <f>IF(AND(ISNUMBER(D832),ISNUMBER(E832)),(E832-D832),"")</f>
        <v/>
      </c>
      <c r="L832" s="11">
        <f>IF(AND(ISNUMBER(F832),ISNUMBER(I832)),(I832-F832),"")</f>
        <v/>
      </c>
    </row>
    <row r="833">
      <c r="A833" s="3" t="inlineStr">
        <is>
          <t>1023205</t>
        </is>
      </c>
      <c r="B833" s="3" t="inlineStr">
        <is>
          <t>10232</t>
        </is>
      </c>
      <c r="C833" s="10" t="n">
        <v>45680.61155092593</v>
      </c>
      <c r="D833" s="10" t="n">
        <v>45680.6134375</v>
      </c>
      <c r="E833" s="10" t="n">
        <v>45680.63440972222</v>
      </c>
      <c r="F833" s="10" t="n">
        <v>45680.63635416667</v>
      </c>
      <c r="G833" s="3" t="inlineStr">
        <is>
          <t>OBT230125174306-Other sidings north</t>
        </is>
      </c>
      <c r="H833" s="10" t="n">
        <v>45680.73826388889</v>
      </c>
      <c r="I833" s="10" t="n">
        <v>45681.67707175926</v>
      </c>
      <c r="J833" s="10" t="n">
        <v>45681.67775462963</v>
      </c>
      <c r="K833" s="11">
        <f>IF(AND(ISNUMBER(D833),ISNUMBER(E833)),(E833-D833),"")</f>
        <v/>
      </c>
      <c r="L833" s="11">
        <f>IF(AND(ISNUMBER(F833),ISNUMBER(I833)),(I833-F833),"")</f>
        <v/>
      </c>
    </row>
    <row r="834">
      <c r="A834" s="3" t="inlineStr">
        <is>
          <t>1023206</t>
        </is>
      </c>
      <c r="B834" s="3" t="inlineStr">
        <is>
          <t>10232</t>
        </is>
      </c>
      <c r="C834" s="10" t="n">
        <v>45680.61155092593</v>
      </c>
      <c r="D834" s="10" t="n">
        <v>45680.6134375</v>
      </c>
      <c r="E834" s="10" t="n">
        <v>45680.63635416667</v>
      </c>
      <c r="F834" s="10" t="n">
        <v>45680.63822916667</v>
      </c>
      <c r="G834" s="3" t="inlineStr">
        <is>
          <t>OBT240125090519-Wien Kledering</t>
        </is>
      </c>
      <c r="H834" s="10" t="n">
        <v>45681.37869212963</v>
      </c>
      <c r="I834" s="10" t="n">
        <v>45684.34484953704</v>
      </c>
      <c r="J834" s="10" t="n">
        <v>45684.34549768519</v>
      </c>
      <c r="K834" s="11">
        <f>IF(AND(ISNUMBER(D834),ISNUMBER(E834)),(E834-D834),"")</f>
        <v/>
      </c>
      <c r="L834" s="11">
        <f>IF(AND(ISNUMBER(F834),ISNUMBER(I834)),(I834-F834),"")</f>
        <v/>
      </c>
    </row>
    <row r="835">
      <c r="A835" s="3" t="inlineStr">
        <is>
          <t>1023501</t>
        </is>
      </c>
      <c r="B835" s="3" t="inlineStr">
        <is>
          <t>10235</t>
        </is>
      </c>
      <c r="C835" s="10" t="n">
        <v>45680.70855324074</v>
      </c>
      <c r="D835" s="10" t="n">
        <v>45680.71091435185</v>
      </c>
      <c r="E835" s="10" t="n">
        <v>45680.72853009259</v>
      </c>
      <c r="F835" s="10" t="n">
        <v>45680.73049768519</v>
      </c>
      <c r="G835" s="3" t="inlineStr">
        <is>
          <t>OBT240125030555-Neunkirchen (loading tracks)</t>
        </is>
      </c>
      <c r="H835" s="10" t="n">
        <v>45681.1291087963</v>
      </c>
      <c r="I835" s="10" t="n">
        <v>45683.78920138889</v>
      </c>
      <c r="J835" s="10" t="n">
        <v>45683.79012731482</v>
      </c>
      <c r="K835" s="11">
        <f>IF(AND(ISNUMBER(D835),ISNUMBER(E835)),(E835-D835),"")</f>
        <v/>
      </c>
      <c r="L835" s="11">
        <f>IF(AND(ISNUMBER(F835),ISNUMBER(I835)),(I835-F835),"")</f>
        <v/>
      </c>
    </row>
    <row r="836">
      <c r="A836" s="3" t="inlineStr">
        <is>
          <t>1023502</t>
        </is>
      </c>
      <c r="B836" s="3" t="inlineStr">
        <is>
          <t>10235</t>
        </is>
      </c>
      <c r="C836" s="10" t="n">
        <v>45680.70855324074</v>
      </c>
      <c r="D836" s="10" t="n">
        <v>45680.71091435185</v>
      </c>
      <c r="E836" s="10" t="n">
        <v>45680.73049768519</v>
      </c>
      <c r="F836" s="10" t="n">
        <v>45680.73240740741</v>
      </c>
      <c r="G836" s="3" t="inlineStr">
        <is>
          <t>OBT240125090519-Wien Kledering</t>
        </is>
      </c>
      <c r="H836" s="10" t="n">
        <v>45681.37869212963</v>
      </c>
      <c r="I836" s="10" t="n">
        <v>45684.34484953704</v>
      </c>
      <c r="J836" s="10" t="n">
        <v>45684.34549768519</v>
      </c>
      <c r="K836" s="11">
        <f>IF(AND(ISNUMBER(D836),ISNUMBER(E836)),(E836-D836),"")</f>
        <v/>
      </c>
      <c r="L836" s="11">
        <f>IF(AND(ISNUMBER(F836),ISNUMBER(I836)),(I836-F836),"")</f>
        <v/>
      </c>
    </row>
    <row r="837">
      <c r="A837" s="3" t="inlineStr">
        <is>
          <t>1023503</t>
        </is>
      </c>
      <c r="B837" s="3" t="inlineStr">
        <is>
          <t>10235</t>
        </is>
      </c>
      <c r="C837" s="10" t="n">
        <v>45680.70855324074</v>
      </c>
      <c r="D837" s="10" t="n">
        <v>45680.71091435185</v>
      </c>
      <c r="E837" s="10" t="n">
        <v>45680.73240740741</v>
      </c>
      <c r="F837" s="10" t="n">
        <v>45680.734375</v>
      </c>
      <c r="G837" s="3" t="inlineStr">
        <is>
          <t>OBT230125174306-Other sidings north</t>
        </is>
      </c>
      <c r="H837" s="10" t="n">
        <v>45680.73826388889</v>
      </c>
      <c r="I837" s="10" t="n">
        <v>45681.67707175926</v>
      </c>
      <c r="J837" s="10" t="n">
        <v>45681.67775462963</v>
      </c>
      <c r="K837" s="11">
        <f>IF(AND(ISNUMBER(D837),ISNUMBER(E837)),(E837-D837),"")</f>
        <v/>
      </c>
      <c r="L837" s="11">
        <f>IF(AND(ISNUMBER(F837),ISNUMBER(I837)),(I837-F837),"")</f>
        <v/>
      </c>
    </row>
    <row r="838">
      <c r="A838" s="3" t="inlineStr">
        <is>
          <t>1023504</t>
        </is>
      </c>
      <c r="B838" s="3" t="inlineStr">
        <is>
          <t>10235</t>
        </is>
      </c>
      <c r="C838" s="10" t="n">
        <v>45680.70855324074</v>
      </c>
      <c r="D838" s="10" t="n">
        <v>45680.71091435185</v>
      </c>
      <c r="E838" s="10" t="n">
        <v>45680.734375</v>
      </c>
      <c r="F838" s="10" t="n">
        <v>45680.73556712963</v>
      </c>
      <c r="G838" s="3" t="inlineStr">
        <is>
          <t>OBT240125031427-Wr. Neustadt (Hödlmayr)</t>
        </is>
      </c>
      <c r="H838" s="10" t="n">
        <v>45681.13503472223</v>
      </c>
      <c r="I838" s="10" t="n">
        <v>45684.1534375</v>
      </c>
      <c r="J838" s="10" t="n">
        <v>45684.15423611111</v>
      </c>
      <c r="K838" s="11">
        <f>IF(AND(ISNUMBER(D838),ISNUMBER(E838)),(E838-D838),"")</f>
        <v/>
      </c>
      <c r="L838" s="11">
        <f>IF(AND(ISNUMBER(F838),ISNUMBER(I838)),(I838-F838),"")</f>
        <v/>
      </c>
    </row>
    <row r="839">
      <c r="A839" s="3" t="inlineStr">
        <is>
          <t>1023505</t>
        </is>
      </c>
      <c r="B839" s="3" t="inlineStr">
        <is>
          <t>10235</t>
        </is>
      </c>
      <c r="C839" s="10" t="n">
        <v>45680.70855324074</v>
      </c>
      <c r="D839" s="10" t="n">
        <v>45680.71091435185</v>
      </c>
      <c r="E839" s="10" t="n">
        <v>45680.73556712963</v>
      </c>
      <c r="F839" s="10" t="n">
        <v>45680.7371875</v>
      </c>
      <c r="G839" s="3" t="inlineStr">
        <is>
          <t>OBT230125175458-Wr. Neustadt Ausfahrbf (Furtenbach)</t>
        </is>
      </c>
      <c r="H839" s="10" t="n">
        <v>45680.74650462963</v>
      </c>
      <c r="I839" s="10" t="n">
        <v>45681.7572337963</v>
      </c>
      <c r="J839" s="10" t="n">
        <v>45681.7580787037</v>
      </c>
      <c r="K839" s="11">
        <f>IF(AND(ISNUMBER(D839),ISNUMBER(E839)),(E839-D839),"")</f>
        <v/>
      </c>
      <c r="L839" s="11">
        <f>IF(AND(ISNUMBER(F839),ISNUMBER(I839)),(I839-F839),"")</f>
        <v/>
      </c>
    </row>
    <row r="840">
      <c r="A840" s="3" t="inlineStr">
        <is>
          <t>1023506</t>
        </is>
      </c>
      <c r="B840" s="3" t="inlineStr">
        <is>
          <t>10235</t>
        </is>
      </c>
      <c r="C840" s="10" t="n">
        <v>45680.70855324074</v>
      </c>
      <c r="D840" s="10" t="n">
        <v>45680.71091435185</v>
      </c>
      <c r="E840" s="10" t="n">
        <v>45680.7371875</v>
      </c>
      <c r="F840" s="10" t="n">
        <v>45680.73893518518</v>
      </c>
      <c r="G840" s="3" t="inlineStr">
        <is>
          <t>OBT240125044723-Neudörfl (FunderMax)</t>
        </is>
      </c>
      <c r="H840" s="10" t="n">
        <v>45681.19957175926</v>
      </c>
      <c r="I840" s="10" t="n">
        <v>45684.2208912037</v>
      </c>
      <c r="J840" s="10" t="n">
        <v>45684.22171296296</v>
      </c>
      <c r="K840" s="11">
        <f>IF(AND(ISNUMBER(D840),ISNUMBER(E840)),(E840-D840),"")</f>
        <v/>
      </c>
      <c r="L840" s="11">
        <f>IF(AND(ISNUMBER(F840),ISNUMBER(I840)),(I840-F840),"")</f>
        <v/>
      </c>
    </row>
    <row r="841">
      <c r="A841" s="3" t="inlineStr">
        <is>
          <t>1023507</t>
        </is>
      </c>
      <c r="B841" s="3" t="inlineStr">
        <is>
          <t>10235</t>
        </is>
      </c>
      <c r="C841" s="10" t="n">
        <v>45680.70855324074</v>
      </c>
      <c r="D841" s="10" t="n">
        <v>45680.71091435185</v>
      </c>
      <c r="E841" s="10" t="n">
        <v>45680.73893518518</v>
      </c>
      <c r="F841" s="10" t="n">
        <v>45680.74096064815</v>
      </c>
      <c r="G841" s="3" t="inlineStr">
        <is>
          <t>OBT240125093343-Pitten (Hamburger)</t>
        </is>
      </c>
      <c r="H841" s="10" t="n">
        <v>45681.39841435185</v>
      </c>
      <c r="I841" s="10" t="n">
        <v>45684.370625</v>
      </c>
      <c r="J841" s="10" t="n">
        <v>45684.37153935185</v>
      </c>
      <c r="K841" s="11">
        <f>IF(AND(ISNUMBER(D841),ISNUMBER(E841)),(E841-D841),"")</f>
        <v/>
      </c>
      <c r="L841" s="11">
        <f>IF(AND(ISNUMBER(F841),ISNUMBER(I841)),(I841-F841),"")</f>
        <v/>
      </c>
    </row>
    <row r="842">
      <c r="A842" s="3" t="inlineStr">
        <is>
          <t>1023508</t>
        </is>
      </c>
      <c r="B842" s="3" t="inlineStr">
        <is>
          <t>10235</t>
        </is>
      </c>
      <c r="C842" s="10" t="n">
        <v>45680.70855324074</v>
      </c>
      <c r="D842" s="10" t="n">
        <v>45680.71091435185</v>
      </c>
      <c r="E842" s="10" t="n">
        <v>45680.74096064815</v>
      </c>
      <c r="F842" s="10" t="n">
        <v>45680.74258101852</v>
      </c>
      <c r="G842" s="3" t="inlineStr">
        <is>
          <t>OBT230125175458-Wr. Neustadt Ausfahrbf (Furtenbach)</t>
        </is>
      </c>
      <c r="H842" s="10" t="n">
        <v>45680.74650462963</v>
      </c>
      <c r="I842" s="10" t="n">
        <v>45681.7572337963</v>
      </c>
      <c r="J842" s="10" t="n">
        <v>45681.7580787037</v>
      </c>
      <c r="K842" s="11">
        <f>IF(AND(ISNUMBER(D842),ISNUMBER(E842)),(E842-D842),"")</f>
        <v/>
      </c>
      <c r="L842" s="11">
        <f>IF(AND(ISNUMBER(F842),ISNUMBER(I842)),(I842-F842),"")</f>
        <v/>
      </c>
    </row>
    <row r="843">
      <c r="A843" s="3" t="inlineStr">
        <is>
          <t>1023509</t>
        </is>
      </c>
      <c r="B843" s="3" t="inlineStr">
        <is>
          <t>10235</t>
        </is>
      </c>
      <c r="C843" s="10" t="n">
        <v>45680.70855324074</v>
      </c>
      <c r="D843" s="10" t="n">
        <v>45680.71091435185</v>
      </c>
      <c r="E843" s="10" t="n">
        <v>45680.74258101852</v>
      </c>
      <c r="F843" s="10" t="n">
        <v>45680.74373842592</v>
      </c>
      <c r="G843" s="3" t="inlineStr">
        <is>
          <t>OBT240125031427-Wr. Neustadt (Hödlmayr)</t>
        </is>
      </c>
      <c r="H843" s="10" t="n">
        <v>45681.13503472223</v>
      </c>
      <c r="I843" s="10" t="n">
        <v>45684.1534375</v>
      </c>
      <c r="J843" s="10" t="n">
        <v>45684.15423611111</v>
      </c>
      <c r="K843" s="11">
        <f>IF(AND(ISNUMBER(D843),ISNUMBER(E843)),(E843-D843),"")</f>
        <v/>
      </c>
      <c r="L843" s="11">
        <f>IF(AND(ISNUMBER(F843),ISNUMBER(I843)),(I843-F843),"")</f>
        <v/>
      </c>
    </row>
    <row r="844">
      <c r="A844" s="3" t="inlineStr">
        <is>
          <t>1023510</t>
        </is>
      </c>
      <c r="B844" s="3" t="inlineStr">
        <is>
          <t>10235</t>
        </is>
      </c>
      <c r="C844" s="10" t="n">
        <v>45680.70855324074</v>
      </c>
      <c r="D844" s="10" t="n">
        <v>45680.71091435185</v>
      </c>
      <c r="E844" s="10" t="n">
        <v>45680.74373842592</v>
      </c>
      <c r="F844" s="10" t="n">
        <v>45680.74564814815</v>
      </c>
      <c r="G844" s="3" t="inlineStr">
        <is>
          <t>OBT240125152920-Pitten (Hamburger)</t>
        </is>
      </c>
      <c r="H844" s="10" t="n">
        <v>45681.64537037037</v>
      </c>
      <c r="I844" s="10" t="n">
        <v>45684.5575925926</v>
      </c>
      <c r="J844" s="10" t="n">
        <v>45684.5582175926</v>
      </c>
      <c r="K844" s="11">
        <f>IF(AND(ISNUMBER(D844),ISNUMBER(E844)),(E844-D844),"")</f>
        <v/>
      </c>
      <c r="L844" s="11">
        <f>IF(AND(ISNUMBER(F844),ISNUMBER(I844)),(I844-F844),"")</f>
        <v/>
      </c>
    </row>
    <row r="845">
      <c r="A845" s="3" t="inlineStr">
        <is>
          <t>1023511</t>
        </is>
      </c>
      <c r="B845" s="3" t="inlineStr">
        <is>
          <t>10235</t>
        </is>
      </c>
      <c r="C845" s="10" t="n">
        <v>45680.70855324074</v>
      </c>
      <c r="D845" s="10" t="n">
        <v>45680.71091435185</v>
      </c>
      <c r="E845" s="10" t="n">
        <v>45680.74564814815</v>
      </c>
      <c r="F845" s="10" t="n">
        <v>45680.74716435185</v>
      </c>
      <c r="G845" s="3" t="inlineStr">
        <is>
          <t>OBT230125175919-Pitten (Hamburger)</t>
        </is>
      </c>
      <c r="H845" s="10" t="n">
        <v>45680.74952546296</v>
      </c>
      <c r="I845" s="10" t="n">
        <v>45681.7624074074</v>
      </c>
      <c r="J845" s="10" t="n">
        <v>45681.76310185185</v>
      </c>
      <c r="K845" s="11">
        <f>IF(AND(ISNUMBER(D845),ISNUMBER(E845)),(E845-D845),"")</f>
        <v/>
      </c>
      <c r="L845" s="11">
        <f>IF(AND(ISNUMBER(F845),ISNUMBER(I845)),(I845-F845),"")</f>
        <v/>
      </c>
    </row>
    <row r="846">
      <c r="A846" s="3" t="inlineStr">
        <is>
          <t>1023512</t>
        </is>
      </c>
      <c r="B846" s="3" t="inlineStr">
        <is>
          <t>10235</t>
        </is>
      </c>
      <c r="C846" s="10" t="n">
        <v>45680.70855324074</v>
      </c>
      <c r="D846" s="10" t="n">
        <v>45680.71091435185</v>
      </c>
      <c r="E846" s="10" t="n">
        <v>45680.74716435185</v>
      </c>
      <c r="F846" s="10" t="n">
        <v>45680.74832175926</v>
      </c>
      <c r="G846" s="3" t="inlineStr">
        <is>
          <t>OBT240125031427-Wr. Neustadt (Hödlmayr)</t>
        </is>
      </c>
      <c r="H846" s="10" t="n">
        <v>45681.13503472223</v>
      </c>
      <c r="I846" s="10" t="n">
        <v>45684.1534375</v>
      </c>
      <c r="J846" s="10" t="n">
        <v>45684.15423611111</v>
      </c>
      <c r="K846" s="11">
        <f>IF(AND(ISNUMBER(D846),ISNUMBER(E846)),(E846-D846),"")</f>
        <v/>
      </c>
      <c r="L846" s="11">
        <f>IF(AND(ISNUMBER(F846),ISNUMBER(I846)),(I846-F846),"")</f>
        <v/>
      </c>
    </row>
    <row r="847">
      <c r="A847" s="3" t="inlineStr">
        <is>
          <t>1023601</t>
        </is>
      </c>
      <c r="B847" s="3" t="inlineStr">
        <is>
          <t>10236</t>
        </is>
      </c>
      <c r="C847" s="10" t="n">
        <v>45680.73325231481</v>
      </c>
      <c r="D847" s="10" t="n">
        <v>45680.73459490741</v>
      </c>
      <c r="E847" s="10" t="n">
        <v>45680.74918981481</v>
      </c>
      <c r="F847" s="10" t="n">
        <v>45680.75112268519</v>
      </c>
      <c r="G847" s="3" t="inlineStr">
        <is>
          <t>OBT230125211356-Wien Kledering</t>
        </is>
      </c>
      <c r="H847" s="10" t="n">
        <v>45680.88467592592</v>
      </c>
      <c r="I847" s="10" t="n">
        <v>45682.11478009259</v>
      </c>
      <c r="J847" s="10" t="n">
        <v>45682.11563657408</v>
      </c>
      <c r="K847" s="11">
        <f>IF(AND(ISNUMBER(D847),ISNUMBER(E847)),(E847-D847),"")</f>
        <v/>
      </c>
      <c r="L847" s="11">
        <f>IF(AND(ISNUMBER(F847),ISNUMBER(I847)),(I847-F847),"")</f>
        <v/>
      </c>
    </row>
    <row r="848">
      <c r="A848" s="3" t="inlineStr">
        <is>
          <t>1023701</t>
        </is>
      </c>
      <c r="B848" s="3" t="inlineStr">
        <is>
          <t>10237</t>
        </is>
      </c>
      <c r="C848" s="10" t="n">
        <v>45680.87337962963</v>
      </c>
      <c r="D848" s="10" t="n">
        <v>45680.87517361111</v>
      </c>
      <c r="E848" s="10" t="n">
        <v>45680.87946759259</v>
      </c>
      <c r="F848" s="10" t="n">
        <v>45680.88112268518</v>
      </c>
      <c r="G848" s="3" t="inlineStr">
        <is>
          <t>OBT230125211356-Wien Kledering</t>
        </is>
      </c>
      <c r="H848" s="10" t="n">
        <v>45680.88467592592</v>
      </c>
      <c r="I848" s="10" t="n">
        <v>45682.11478009259</v>
      </c>
      <c r="J848" s="10" t="n">
        <v>45682.11563657408</v>
      </c>
      <c r="K848" s="11">
        <f>IF(AND(ISNUMBER(D848),ISNUMBER(E848)),(E848-D848),"")</f>
        <v/>
      </c>
      <c r="L848" s="11">
        <f>IF(AND(ISNUMBER(F848),ISNUMBER(I848)),(I848-F848),"")</f>
        <v/>
      </c>
    </row>
    <row r="849">
      <c r="A849" s="3" t="inlineStr">
        <is>
          <t>1023801</t>
        </is>
      </c>
      <c r="B849" s="3" t="inlineStr">
        <is>
          <t>10238</t>
        </is>
      </c>
      <c r="C849" s="10" t="n">
        <v>45681.11052083333</v>
      </c>
      <c r="D849" s="10" t="n">
        <v>45681.11278935185</v>
      </c>
      <c r="E849" s="10" t="n">
        <v>45681.12246527777</v>
      </c>
      <c r="F849" s="10" t="n">
        <v>45681.12440972222</v>
      </c>
      <c r="G849" s="3" t="inlineStr">
        <is>
          <t>OBT240125090519-Wien Kledering</t>
        </is>
      </c>
      <c r="H849" s="10" t="n">
        <v>45681.37869212963</v>
      </c>
      <c r="I849" s="10" t="n">
        <v>45684.34484953704</v>
      </c>
      <c r="J849" s="10" t="n">
        <v>45684.34549768519</v>
      </c>
      <c r="K849" s="11">
        <f>IF(AND(ISNUMBER(D849),ISNUMBER(E849)),(E849-D849),"")</f>
        <v/>
      </c>
      <c r="L849" s="11">
        <f>IF(AND(ISNUMBER(F849),ISNUMBER(I849)),(I849-F849),"")</f>
        <v/>
      </c>
    </row>
    <row r="850">
      <c r="A850" s="3" t="inlineStr">
        <is>
          <t>1023802</t>
        </is>
      </c>
      <c r="B850" s="3" t="inlineStr">
        <is>
          <t>10238</t>
        </is>
      </c>
      <c r="C850" s="10" t="n">
        <v>45681.11052083333</v>
      </c>
      <c r="D850" s="10" t="n">
        <v>45681.11278935185</v>
      </c>
      <c r="E850" s="10" t="n">
        <v>45681.12440972222</v>
      </c>
      <c r="F850" s="10" t="n">
        <v>45681.12671296296</v>
      </c>
      <c r="G850" s="3" t="inlineStr">
        <is>
          <t>OBT240125030555-Neunkirchen (loading tracks)</t>
        </is>
      </c>
      <c r="H850" s="10" t="n">
        <v>45681.1291087963</v>
      </c>
      <c r="I850" s="10" t="n">
        <v>45683.78920138889</v>
      </c>
      <c r="J850" s="10" t="n">
        <v>45683.79012731482</v>
      </c>
      <c r="K850" s="11">
        <f>IF(AND(ISNUMBER(D850),ISNUMBER(E850)),(E850-D850),"")</f>
        <v/>
      </c>
      <c r="L850" s="11">
        <f>IF(AND(ISNUMBER(F850),ISNUMBER(I850)),(I850-F850),"")</f>
        <v/>
      </c>
    </row>
    <row r="851">
      <c r="A851" s="3" t="inlineStr">
        <is>
          <t>1023803</t>
        </is>
      </c>
      <c r="B851" s="3" t="inlineStr">
        <is>
          <t>10238</t>
        </is>
      </c>
      <c r="C851" s="10" t="n">
        <v>45681.11052083333</v>
      </c>
      <c r="D851" s="10" t="n">
        <v>45681.11278935185</v>
      </c>
      <c r="E851" s="10" t="n">
        <v>45681.12671296296</v>
      </c>
      <c r="F851" s="10" t="n">
        <v>45681.12791666666</v>
      </c>
      <c r="G851" s="3" t="inlineStr">
        <is>
          <t>OBT240125031427-Wr. Neustadt (Hödlmayr)</t>
        </is>
      </c>
      <c r="H851" s="10" t="n">
        <v>45681.13503472223</v>
      </c>
      <c r="I851" s="10" t="n">
        <v>45684.1534375</v>
      </c>
      <c r="J851" s="10" t="n">
        <v>45684.15423611111</v>
      </c>
      <c r="K851" s="11">
        <f>IF(AND(ISNUMBER(D851),ISNUMBER(E851)),(E851-D851),"")</f>
        <v/>
      </c>
      <c r="L851" s="11">
        <f>IF(AND(ISNUMBER(F851),ISNUMBER(I851)),(I851-F851),"")</f>
        <v/>
      </c>
    </row>
    <row r="852">
      <c r="A852" s="3" t="inlineStr">
        <is>
          <t>1023804</t>
        </is>
      </c>
      <c r="B852" s="3" t="inlineStr">
        <is>
          <t>10238</t>
        </is>
      </c>
      <c r="C852" s="10" t="n">
        <v>45681.11052083333</v>
      </c>
      <c r="D852" s="10" t="n">
        <v>45681.11278935185</v>
      </c>
      <c r="E852" s="10" t="n">
        <v>45681.12791666666</v>
      </c>
      <c r="F852" s="10" t="n">
        <v>45681.12986111111</v>
      </c>
      <c r="G852" s="3" t="inlineStr">
        <is>
          <t>OBT240125174924-Wien Kledering</t>
        </is>
      </c>
      <c r="H852" s="10" t="n">
        <v>45681.74263888889</v>
      </c>
      <c r="I852" s="10" t="n">
        <v>45684.69225694444</v>
      </c>
      <c r="J852" s="10" t="n">
        <v>45684.69333333334</v>
      </c>
      <c r="K852" s="11">
        <f>IF(AND(ISNUMBER(D852),ISNUMBER(E852)),(E852-D852),"")</f>
        <v/>
      </c>
      <c r="L852" s="11">
        <f>IF(AND(ISNUMBER(F852),ISNUMBER(I852)),(I852-F852),"")</f>
        <v/>
      </c>
    </row>
    <row r="853">
      <c r="A853" s="3" t="inlineStr">
        <is>
          <t>1023805</t>
        </is>
      </c>
      <c r="B853" s="3" t="inlineStr">
        <is>
          <t>10238</t>
        </is>
      </c>
      <c r="C853" s="10" t="n">
        <v>45681.11052083333</v>
      </c>
      <c r="D853" s="10" t="n">
        <v>45681.11278935185</v>
      </c>
      <c r="E853" s="10" t="n">
        <v>45681.12986111111</v>
      </c>
      <c r="F853" s="10" t="n">
        <v>45681.13111111111</v>
      </c>
      <c r="G853" s="3" t="inlineStr">
        <is>
          <t>OBT240125031427-Wr. Neustadt (Hödlmayr)</t>
        </is>
      </c>
      <c r="H853" s="10" t="n">
        <v>45681.13503472223</v>
      </c>
      <c r="I853" s="10" t="n">
        <v>45684.1534375</v>
      </c>
      <c r="J853" s="10" t="n">
        <v>45684.15423611111</v>
      </c>
      <c r="K853" s="11">
        <f>IF(AND(ISNUMBER(D853),ISNUMBER(E853)),(E853-D853),"")</f>
        <v/>
      </c>
      <c r="L853" s="11">
        <f>IF(AND(ISNUMBER(F853),ISNUMBER(I853)),(I853-F853),"")</f>
        <v/>
      </c>
    </row>
    <row r="854">
      <c r="A854" s="3" t="inlineStr">
        <is>
          <t>1023901</t>
        </is>
      </c>
      <c r="B854" s="3" t="inlineStr">
        <is>
          <t>10239</t>
        </is>
      </c>
      <c r="C854" s="10" t="n">
        <v>45681.18877314815</v>
      </c>
      <c r="D854" s="10" t="n">
        <v>45681.19063657407</v>
      </c>
      <c r="E854" s="10" t="n">
        <v>45681.19518518518</v>
      </c>
      <c r="F854" s="10" t="n">
        <v>45681.19717592592</v>
      </c>
      <c r="G854" s="3" t="inlineStr">
        <is>
          <t>OBT240125044723-Neudörfl (FunderMax)</t>
        </is>
      </c>
      <c r="H854" s="10" t="n">
        <v>45681.19957175926</v>
      </c>
      <c r="I854" s="10" t="n">
        <v>45684.2208912037</v>
      </c>
      <c r="J854" s="10" t="n">
        <v>45684.22171296296</v>
      </c>
      <c r="K854" s="11">
        <f>IF(AND(ISNUMBER(D854),ISNUMBER(E854)),(E854-D854),"")</f>
        <v/>
      </c>
      <c r="L854" s="11">
        <f>IF(AND(ISNUMBER(F854),ISNUMBER(I854)),(I854-F854),"")</f>
        <v/>
      </c>
    </row>
    <row r="855">
      <c r="A855" s="3" t="inlineStr">
        <is>
          <t>1024001</t>
        </is>
      </c>
      <c r="B855" s="3" t="inlineStr">
        <is>
          <t>10240</t>
        </is>
      </c>
      <c r="C855" s="10" t="n">
        <v>45681.25770833333</v>
      </c>
      <c r="D855" s="10" t="n">
        <v>45681.25998842593</v>
      </c>
      <c r="E855" s="10" t="n">
        <v>45681.26577546296</v>
      </c>
      <c r="F855" s="10" t="n">
        <v>45681.26759259259</v>
      </c>
      <c r="G855" s="3" t="inlineStr">
        <is>
          <t>OBT240125062847-Wien Kledering</t>
        </is>
      </c>
      <c r="H855" s="10" t="n">
        <v>45681.26998842593</v>
      </c>
      <c r="I855" s="10" t="n">
        <v>45684.33775462963</v>
      </c>
      <c r="J855" s="10" t="n">
        <v>45684.33891203703</v>
      </c>
      <c r="K855" s="11">
        <f>IF(AND(ISNUMBER(D855),ISNUMBER(E855)),(E855-D855),"")</f>
        <v/>
      </c>
      <c r="L855" s="11">
        <f>IF(AND(ISNUMBER(F855),ISNUMBER(I855)),(I855-F855),"")</f>
        <v/>
      </c>
    </row>
    <row r="856">
      <c r="A856" s="3" t="inlineStr">
        <is>
          <t>1024101</t>
        </is>
      </c>
      <c r="B856" s="3" t="inlineStr">
        <is>
          <t>10241</t>
        </is>
      </c>
      <c r="C856" s="10" t="n">
        <v>45681.28934027778</v>
      </c>
      <c r="D856" s="10" t="n">
        <v>45681.29149305556</v>
      </c>
      <c r="E856" s="10" t="n">
        <v>45681.29695601852</v>
      </c>
      <c r="F856" s="10" t="n">
        <v>45681.29920138889</v>
      </c>
      <c r="G856" s="3" t="inlineStr">
        <is>
          <t>OBT240125071418-Wien Kledering</t>
        </is>
      </c>
      <c r="H856" s="10" t="n">
        <v>45681.30159722222</v>
      </c>
      <c r="I856" s="10" t="n">
        <v>45684.36508101852</v>
      </c>
      <c r="J856" s="10" t="n">
        <v>45684.36614583333</v>
      </c>
      <c r="K856" s="11">
        <f>IF(AND(ISNUMBER(D856),ISNUMBER(E856)),(E856-D856),"")</f>
        <v/>
      </c>
      <c r="L856" s="11">
        <f>IF(AND(ISNUMBER(F856),ISNUMBER(I856)),(I856-F856),"")</f>
        <v/>
      </c>
    </row>
    <row r="857">
      <c r="A857" s="3" t="inlineStr">
        <is>
          <t>1024201</t>
        </is>
      </c>
      <c r="B857" s="3" t="inlineStr">
        <is>
          <t>10242</t>
        </is>
      </c>
      <c r="C857" s="10" t="n">
        <v>45681.29988425926</v>
      </c>
      <c r="D857" s="10" t="n">
        <v>45681.30241898148</v>
      </c>
      <c r="E857" s="10" t="n">
        <v>45681.32078703704</v>
      </c>
      <c r="F857" s="10" t="n">
        <v>45681.32200231482</v>
      </c>
      <c r="G857" s="3" t="inlineStr">
        <is>
          <t>OBT240125101450-St. Veit an der Glan</t>
        </is>
      </c>
      <c r="H857" s="10" t="n">
        <v>45681.42696759259</v>
      </c>
      <c r="I857" s="10" t="n">
        <v>45684.38939814815</v>
      </c>
      <c r="J857" s="10" t="n">
        <v>45684.39018518518</v>
      </c>
      <c r="K857" s="11">
        <f>IF(AND(ISNUMBER(D857),ISNUMBER(E857)),(E857-D857),"")</f>
        <v/>
      </c>
      <c r="L857" s="11">
        <f>IF(AND(ISNUMBER(F857),ISNUMBER(I857)),(I857-F857),"")</f>
        <v/>
      </c>
    </row>
    <row r="858">
      <c r="A858" s="3" t="inlineStr">
        <is>
          <t>1024202</t>
        </is>
      </c>
      <c r="B858" s="3" t="inlineStr">
        <is>
          <t>10242</t>
        </is>
      </c>
      <c r="C858" s="10" t="n">
        <v>45681.29988425926</v>
      </c>
      <c r="D858" s="10" t="n">
        <v>45681.30241898148</v>
      </c>
      <c r="E858" s="10" t="n">
        <v>45681.32200231482</v>
      </c>
      <c r="F858" s="10" t="n">
        <v>45681.32395833333</v>
      </c>
      <c r="G858" s="3" t="inlineStr">
        <is>
          <t>OBT240125174924-Wien Kledering</t>
        </is>
      </c>
      <c r="H858" s="10" t="n">
        <v>45681.74263888889</v>
      </c>
      <c r="I858" s="10" t="n">
        <v>45684.69225694444</v>
      </c>
      <c r="J858" s="10" t="n">
        <v>45684.69333333334</v>
      </c>
      <c r="K858" s="11">
        <f>IF(AND(ISNUMBER(D858),ISNUMBER(E858)),(E858-D858),"")</f>
        <v/>
      </c>
      <c r="L858" s="11">
        <f>IF(AND(ISNUMBER(F858),ISNUMBER(I858)),(I858-F858),"")</f>
        <v/>
      </c>
    </row>
    <row r="859">
      <c r="A859" s="3" t="inlineStr">
        <is>
          <t>1024206</t>
        </is>
      </c>
      <c r="B859" s="3" t="inlineStr">
        <is>
          <t>10242</t>
        </is>
      </c>
      <c r="C859" s="10" t="n">
        <v>45681.29988425926</v>
      </c>
      <c r="D859" s="10" t="n">
        <v>45681.30241898148</v>
      </c>
      <c r="E859" s="10" t="n">
        <v>45681.32395833333</v>
      </c>
      <c r="F859" s="10" t="n">
        <v>45681.32513888889</v>
      </c>
      <c r="G859" s="3" t="inlineStr">
        <is>
          <t>OBT240125101450-St. Veit an der Glan</t>
        </is>
      </c>
      <c r="H859" s="10" t="n">
        <v>45681.42696759259</v>
      </c>
      <c r="I859" s="10" t="n">
        <v>45684.38939814815</v>
      </c>
      <c r="J859" s="10" t="n">
        <v>45684.39018518518</v>
      </c>
      <c r="K859" s="11">
        <f>IF(AND(ISNUMBER(D859),ISNUMBER(E859)),(E859-D859),"")</f>
        <v/>
      </c>
      <c r="L859" s="11">
        <f>IF(AND(ISNUMBER(F859),ISNUMBER(I859)),(I859-F859),"")</f>
        <v/>
      </c>
    </row>
    <row r="860">
      <c r="A860" s="3" t="inlineStr">
        <is>
          <t>1024208</t>
        </is>
      </c>
      <c r="B860" s="3" t="inlineStr">
        <is>
          <t>10242</t>
        </is>
      </c>
      <c r="C860" s="10" t="n">
        <v>45681.29988425926</v>
      </c>
      <c r="D860" s="10" t="n">
        <v>45681.30241898148</v>
      </c>
      <c r="E860" s="10" t="n">
        <v>45681.32513888889</v>
      </c>
      <c r="F860" s="10" t="n">
        <v>45681.32708333333</v>
      </c>
      <c r="G860" s="3" t="inlineStr">
        <is>
          <t>OBT240125174924-Wien Kledering</t>
        </is>
      </c>
      <c r="H860" s="10" t="n">
        <v>45681.74263888889</v>
      </c>
      <c r="I860" s="10" t="n">
        <v>45684.69225694444</v>
      </c>
      <c r="J860" s="10" t="n">
        <v>45684.69333333334</v>
      </c>
      <c r="K860" s="11">
        <f>IF(AND(ISNUMBER(D860),ISNUMBER(E860)),(E860-D860),"")</f>
        <v/>
      </c>
      <c r="L860" s="11">
        <f>IF(AND(ISNUMBER(F860),ISNUMBER(I860)),(I860-F860),"")</f>
        <v/>
      </c>
    </row>
    <row r="861">
      <c r="A861" s="3" t="inlineStr">
        <is>
          <t>1024210</t>
        </is>
      </c>
      <c r="B861" s="3" t="inlineStr">
        <is>
          <t>10242</t>
        </is>
      </c>
      <c r="C861" s="10" t="n">
        <v>45681.29988425926</v>
      </c>
      <c r="D861" s="10" t="n">
        <v>45681.30241898148</v>
      </c>
      <c r="E861" s="10" t="n">
        <v>45681.32708333333</v>
      </c>
      <c r="F861" s="10" t="n">
        <v>45681.32884259259</v>
      </c>
      <c r="G861" s="3" t="inlineStr">
        <is>
          <t>OBT270125065248-Wien Kledering</t>
        </is>
      </c>
      <c r="H861" s="10" t="n">
        <v>45684.28666666667</v>
      </c>
      <c r="I861" s="10" t="n">
        <v>45685.37513888889</v>
      </c>
      <c r="J861" s="10" t="n">
        <v>45685.37634259259</v>
      </c>
      <c r="K861" s="11">
        <f>IF(AND(ISNUMBER(D861),ISNUMBER(E861)),(E861-D861),"")</f>
        <v/>
      </c>
      <c r="L861" s="11">
        <f>IF(AND(ISNUMBER(F861),ISNUMBER(I861)),(I861-F861),"")</f>
        <v/>
      </c>
    </row>
    <row r="862">
      <c r="A862" s="3" t="inlineStr">
        <is>
          <t>1024213</t>
        </is>
      </c>
      <c r="B862" s="3" t="inlineStr">
        <is>
          <t>10242</t>
        </is>
      </c>
      <c r="C862" s="10" t="n">
        <v>45681.29988425926</v>
      </c>
      <c r="D862" s="10" t="n">
        <v>45681.30241898148</v>
      </c>
      <c r="E862" s="10" t="n">
        <v>45681.32884259259</v>
      </c>
      <c r="F862" s="10" t="n">
        <v>45681.33050925926</v>
      </c>
      <c r="G862" s="3" t="inlineStr">
        <is>
          <t>OBT260125181754-Neudörfl (FunderMax)</t>
        </is>
      </c>
      <c r="H862" s="10" t="n">
        <v>45683.76243055556</v>
      </c>
      <c r="I862" s="10" t="n">
        <v>45684.9111574074</v>
      </c>
      <c r="J862" s="10" t="n">
        <v>45684.91208333334</v>
      </c>
      <c r="K862" s="11">
        <f>IF(AND(ISNUMBER(D862),ISNUMBER(E862)),(E862-D862),"")</f>
        <v/>
      </c>
      <c r="L862" s="11">
        <f>IF(AND(ISNUMBER(F862),ISNUMBER(I862)),(I862-F862),"")</f>
        <v/>
      </c>
    </row>
    <row r="863">
      <c r="A863" s="3" t="inlineStr">
        <is>
          <t>1024401</t>
        </is>
      </c>
      <c r="B863" s="3" t="inlineStr">
        <is>
          <t>10244</t>
        </is>
      </c>
      <c r="C863" s="10" t="n">
        <v>45681.36511574074</v>
      </c>
      <c r="D863" s="10" t="n">
        <v>45681.36704861111</v>
      </c>
      <c r="E863" s="10" t="n">
        <v>45681.37297453704</v>
      </c>
      <c r="F863" s="10" t="n">
        <v>45681.37418981481</v>
      </c>
      <c r="G863" s="3" t="inlineStr">
        <is>
          <t>OBT240125101450-St. Veit an der Glan</t>
        </is>
      </c>
      <c r="H863" s="10" t="n">
        <v>45681.42696759259</v>
      </c>
      <c r="I863" s="10" t="n">
        <v>45684.38939814815</v>
      </c>
      <c r="J863" s="10" t="n">
        <v>45684.39018518518</v>
      </c>
      <c r="K863" s="11">
        <f>IF(AND(ISNUMBER(D863),ISNUMBER(E863)),(E863-D863),"")</f>
        <v/>
      </c>
      <c r="L863" s="11">
        <f>IF(AND(ISNUMBER(F863),ISNUMBER(I863)),(I863-F863),"")</f>
        <v/>
      </c>
    </row>
    <row r="864">
      <c r="A864" s="3" t="inlineStr">
        <is>
          <t>1024402</t>
        </is>
      </c>
      <c r="B864" s="3" t="inlineStr">
        <is>
          <t>10244</t>
        </is>
      </c>
      <c r="C864" s="10" t="n">
        <v>45681.36511574074</v>
      </c>
      <c r="D864" s="10" t="n">
        <v>45681.36704861111</v>
      </c>
      <c r="E864" s="10" t="n">
        <v>45681.37418981481</v>
      </c>
      <c r="F864" s="10" t="n">
        <v>45681.37631944445</v>
      </c>
      <c r="G864" s="3" t="inlineStr">
        <is>
          <t>OBT240125090519-Wien Kledering</t>
        </is>
      </c>
      <c r="H864" s="10" t="n">
        <v>45681.37869212963</v>
      </c>
      <c r="I864" s="10" t="n">
        <v>45684.34484953704</v>
      </c>
      <c r="J864" s="10" t="n">
        <v>45684.34549768519</v>
      </c>
      <c r="K864" s="11">
        <f>IF(AND(ISNUMBER(D864),ISNUMBER(E864)),(E864-D864),"")</f>
        <v/>
      </c>
      <c r="L864" s="11">
        <f>IF(AND(ISNUMBER(F864),ISNUMBER(I864)),(I864-F864),"")</f>
        <v/>
      </c>
    </row>
    <row r="865">
      <c r="A865" s="3" t="inlineStr">
        <is>
          <t>1024501</t>
        </is>
      </c>
      <c r="B865" s="3" t="inlineStr">
        <is>
          <t>10245</t>
        </is>
      </c>
      <c r="C865" s="10" t="n">
        <v>45681.37537037037</v>
      </c>
      <c r="D865" s="10" t="n">
        <v>45681.37725694444</v>
      </c>
      <c r="E865" s="10" t="n">
        <v>45681.39076388889</v>
      </c>
      <c r="F865" s="10" t="n">
        <v>45681.39192129629</v>
      </c>
      <c r="G865" s="3" t="inlineStr">
        <is>
          <t>OBT240125101450-St. Veit an der Glan</t>
        </is>
      </c>
      <c r="H865" s="10" t="n">
        <v>45681.42696759259</v>
      </c>
      <c r="I865" s="10" t="n">
        <v>45684.38939814815</v>
      </c>
      <c r="J865" s="10" t="n">
        <v>45684.39018518518</v>
      </c>
      <c r="K865" s="11">
        <f>IF(AND(ISNUMBER(D865),ISNUMBER(E865)),(E865-D865),"")</f>
        <v/>
      </c>
      <c r="L865" s="11">
        <f>IF(AND(ISNUMBER(F865),ISNUMBER(I865)),(I865-F865),"")</f>
        <v/>
      </c>
    </row>
    <row r="866">
      <c r="A866" s="3" t="inlineStr">
        <is>
          <t>1024502</t>
        </is>
      </c>
      <c r="B866" s="3" t="inlineStr">
        <is>
          <t>10245</t>
        </is>
      </c>
      <c r="C866" s="10" t="n">
        <v>45681.37537037037</v>
      </c>
      <c r="D866" s="10" t="n">
        <v>45681.37725694444</v>
      </c>
      <c r="E866" s="10" t="n">
        <v>45681.39192129629</v>
      </c>
      <c r="F866" s="10" t="n">
        <v>45681.39364583333</v>
      </c>
      <c r="G866" s="3" t="inlineStr">
        <is>
          <t>OBT270125065248-Wien Kledering</t>
        </is>
      </c>
      <c r="H866" s="10" t="n">
        <v>45684.28666666667</v>
      </c>
      <c r="I866" s="10" t="n">
        <v>45685.37513888889</v>
      </c>
      <c r="J866" s="10" t="n">
        <v>45685.37634259259</v>
      </c>
      <c r="K866" s="11">
        <f>IF(AND(ISNUMBER(D866),ISNUMBER(E866)),(E866-D866),"")</f>
        <v/>
      </c>
      <c r="L866" s="11">
        <f>IF(AND(ISNUMBER(F866),ISNUMBER(I866)),(I866-F866),"")</f>
        <v/>
      </c>
    </row>
    <row r="867">
      <c r="A867" s="3" t="inlineStr">
        <is>
          <t>1024503</t>
        </is>
      </c>
      <c r="B867" s="3" t="inlineStr">
        <is>
          <t>10245</t>
        </is>
      </c>
      <c r="C867" s="10" t="n">
        <v>45681.37537037037</v>
      </c>
      <c r="D867" s="10" t="n">
        <v>45681.37725694444</v>
      </c>
      <c r="E867" s="10" t="n">
        <v>45681.39364583333</v>
      </c>
      <c r="F867" s="10" t="n">
        <v>45681.39601851852</v>
      </c>
      <c r="G867" s="3" t="inlineStr">
        <is>
          <t>OBT240125093343-Pitten (Hamburger)</t>
        </is>
      </c>
      <c r="H867" s="10" t="n">
        <v>45681.39841435185</v>
      </c>
      <c r="I867" s="10" t="n">
        <v>45684.370625</v>
      </c>
      <c r="J867" s="10" t="n">
        <v>45684.37153935185</v>
      </c>
      <c r="K867" s="11">
        <f>IF(AND(ISNUMBER(D867),ISNUMBER(E867)),(E867-D867),"")</f>
        <v/>
      </c>
      <c r="L867" s="11">
        <f>IF(AND(ISNUMBER(F867),ISNUMBER(I867)),(I867-F867),"")</f>
        <v/>
      </c>
    </row>
    <row r="868">
      <c r="A868" s="3" t="inlineStr">
        <is>
          <t>1024505</t>
        </is>
      </c>
      <c r="B868" s="3" t="inlineStr">
        <is>
          <t>10245</t>
        </is>
      </c>
      <c r="C868" s="10" t="n">
        <v>45681.37537037037</v>
      </c>
      <c r="D868" s="10" t="n">
        <v>45681.37725694444</v>
      </c>
      <c r="E868" s="10" t="n">
        <v>45681.39601851852</v>
      </c>
      <c r="F868" s="10" t="n">
        <v>45681.39715277778</v>
      </c>
      <c r="G868" s="3" t="inlineStr">
        <is>
          <t>OBT240125101450-St. Veit an der Glan</t>
        </is>
      </c>
      <c r="H868" s="10" t="n">
        <v>45681.42696759259</v>
      </c>
      <c r="I868" s="10" t="n">
        <v>45684.38939814815</v>
      </c>
      <c r="J868" s="10" t="n">
        <v>45684.39018518518</v>
      </c>
      <c r="K868" s="11">
        <f>IF(AND(ISNUMBER(D868),ISNUMBER(E868)),(E868-D868),"")</f>
        <v/>
      </c>
      <c r="L868" s="11">
        <f>IF(AND(ISNUMBER(F868),ISNUMBER(I868)),(I868-F868),"")</f>
        <v/>
      </c>
    </row>
    <row r="869">
      <c r="A869" s="3" t="inlineStr">
        <is>
          <t>1024507</t>
        </is>
      </c>
      <c r="B869" s="3" t="inlineStr">
        <is>
          <t>10245</t>
        </is>
      </c>
      <c r="C869" s="10" t="n">
        <v>45681.37537037037</v>
      </c>
      <c r="D869" s="10" t="n">
        <v>45681.37725694444</v>
      </c>
      <c r="E869" s="10" t="n">
        <v>45681.39715277778</v>
      </c>
      <c r="F869" s="10" t="n">
        <v>45681.39903935185</v>
      </c>
      <c r="G869" s="3" t="inlineStr">
        <is>
          <t>OBT270125092111-Pitten (Hamburger)</t>
        </is>
      </c>
      <c r="H869" s="10" t="n">
        <v>45684.38971064815</v>
      </c>
      <c r="I869" s="10" t="n">
        <v>45685.36983796296</v>
      </c>
      <c r="J869" s="10" t="n">
        <v>45685.3706712963</v>
      </c>
      <c r="K869" s="11">
        <f>IF(AND(ISNUMBER(D869),ISNUMBER(E869)),(E869-D869),"")</f>
        <v/>
      </c>
      <c r="L869" s="11">
        <f>IF(AND(ISNUMBER(F869),ISNUMBER(I869)),(I869-F869),"")</f>
        <v/>
      </c>
    </row>
    <row r="870">
      <c r="A870" s="3" t="inlineStr">
        <is>
          <t>1024601</t>
        </is>
      </c>
      <c r="B870" s="3" t="inlineStr">
        <is>
          <t>10246</t>
        </is>
      </c>
      <c r="C870" s="10" t="n">
        <v>45681.4109375</v>
      </c>
      <c r="D870" s="10" t="n">
        <v>45681.41354166667</v>
      </c>
      <c r="E870" s="10" t="n">
        <v>45681.42180555555</v>
      </c>
      <c r="F870" s="10" t="n">
        <v>45681.4230787037</v>
      </c>
      <c r="G870" s="3" t="inlineStr">
        <is>
          <t>OBT240125101450-St. Veit an der Glan</t>
        </is>
      </c>
      <c r="H870" s="10" t="n">
        <v>45681.42696759259</v>
      </c>
      <c r="I870" s="10" t="n">
        <v>45684.38939814815</v>
      </c>
      <c r="J870" s="10" t="n">
        <v>45684.39018518518</v>
      </c>
      <c r="K870" s="11">
        <f>IF(AND(ISNUMBER(D870),ISNUMBER(E870)),(E870-D870),"")</f>
        <v/>
      </c>
      <c r="L870" s="11">
        <f>IF(AND(ISNUMBER(F870),ISNUMBER(I870)),(I870-F870),"")</f>
        <v/>
      </c>
    </row>
    <row r="871">
      <c r="A871" s="3" t="inlineStr">
        <is>
          <t>1024701</t>
        </is>
      </c>
      <c r="B871" s="3" t="inlineStr">
        <is>
          <t>10247</t>
        </is>
      </c>
      <c r="C871" s="10" t="n">
        <v>45681.54230324074</v>
      </c>
      <c r="D871" s="10" t="n">
        <v>45681.54430555556</v>
      </c>
      <c r="E871" s="10" t="n">
        <v>45681.54938657407</v>
      </c>
      <c r="F871" s="10" t="n">
        <v>45681.55148148148</v>
      </c>
      <c r="G871" s="3" t="inlineStr">
        <is>
          <t>OBT240125131735-Wien Kledering</t>
        </is>
      </c>
      <c r="H871" s="10" t="n">
        <v>45681.55387731481</v>
      </c>
      <c r="I871" s="10" t="n">
        <v>45684.42341435186</v>
      </c>
      <c r="J871" s="10" t="n">
        <v>45684.42442129629</v>
      </c>
      <c r="K871" s="11">
        <f>IF(AND(ISNUMBER(D871),ISNUMBER(E871)),(E871-D871),"")</f>
        <v/>
      </c>
      <c r="L871" s="11">
        <f>IF(AND(ISNUMBER(F871),ISNUMBER(I871)),(I871-F871),"")</f>
        <v/>
      </c>
    </row>
    <row r="872">
      <c r="A872" s="3" t="inlineStr">
        <is>
          <t>1024801</t>
        </is>
      </c>
      <c r="B872" s="3" t="inlineStr">
        <is>
          <t>10248</t>
        </is>
      </c>
      <c r="C872" s="10" t="n">
        <v>45681.60270833333</v>
      </c>
      <c r="D872" s="10" t="n">
        <v>45681.60498842593</v>
      </c>
      <c r="E872" s="10" t="n">
        <v>45681.61103009259</v>
      </c>
      <c r="F872" s="10" t="n">
        <v>45681.61363425926</v>
      </c>
      <c r="G872" s="3" t="inlineStr">
        <is>
          <t>OBT240125144703-Wien Kledering</t>
        </is>
      </c>
      <c r="H872" s="10" t="n">
        <v>45681.61600694444</v>
      </c>
      <c r="I872" s="10" t="n">
        <v>45684.50509259259</v>
      </c>
      <c r="J872" s="10" t="n">
        <v>45684.50633101852</v>
      </c>
      <c r="K872" s="11">
        <f>IF(AND(ISNUMBER(D872),ISNUMBER(E872)),(E872-D872),"")</f>
        <v/>
      </c>
      <c r="L872" s="11">
        <f>IF(AND(ISNUMBER(F872),ISNUMBER(I872)),(I872-F872),"")</f>
        <v/>
      </c>
    </row>
    <row r="873">
      <c r="A873" s="3" t="inlineStr">
        <is>
          <t>1024901</t>
        </is>
      </c>
      <c r="B873" s="3" t="inlineStr">
        <is>
          <t>10249</t>
        </is>
      </c>
      <c r="C873" s="10" t="n">
        <v>45681.61980324074</v>
      </c>
      <c r="D873" s="10" t="n">
        <v>45681.62211805556</v>
      </c>
      <c r="E873" s="10" t="n">
        <v>45681.63652777778</v>
      </c>
      <c r="F873" s="10" t="n">
        <v>45681.63787037037</v>
      </c>
      <c r="G873" s="3" t="inlineStr">
        <is>
          <t>OBT270125030450-Neunkirchen (loading tracks)</t>
        </is>
      </c>
      <c r="H873" s="10" t="n">
        <v>45684.12835648148</v>
      </c>
      <c r="I873" s="10" t="n">
        <v>45685.17467592593</v>
      </c>
      <c r="J873" s="10" t="n">
        <v>45685.17574074074</v>
      </c>
      <c r="K873" s="11">
        <f>IF(AND(ISNUMBER(D873),ISNUMBER(E873)),(E873-D873),"")</f>
        <v/>
      </c>
      <c r="L873" s="11">
        <f>IF(AND(ISNUMBER(F873),ISNUMBER(I873)),(I873-F873),"")</f>
        <v/>
      </c>
    </row>
    <row r="874">
      <c r="A874" s="3" t="inlineStr">
        <is>
          <t>1024902</t>
        </is>
      </c>
      <c r="B874" s="3" t="inlineStr">
        <is>
          <t>10249</t>
        </is>
      </c>
      <c r="C874" s="10" t="n">
        <v>45681.61980324074</v>
      </c>
      <c r="D874" s="10" t="n">
        <v>45681.62211805556</v>
      </c>
      <c r="E874" s="10" t="n">
        <v>45681.63787037037</v>
      </c>
      <c r="F874" s="10" t="n">
        <v>45681.63912037037</v>
      </c>
      <c r="G874" s="3" t="inlineStr">
        <is>
          <t>OBT270125044934-Neudörfl (FunderMax)</t>
        </is>
      </c>
      <c r="H874" s="10" t="n">
        <v>45684.20108796296</v>
      </c>
      <c r="I874" s="10" t="n">
        <v>45685.33425925926</v>
      </c>
      <c r="J874" s="10" t="n">
        <v>45685.33541666667</v>
      </c>
      <c r="K874" s="11">
        <f>IF(AND(ISNUMBER(D874),ISNUMBER(E874)),(E874-D874),"")</f>
        <v/>
      </c>
      <c r="L874" s="11">
        <f>IF(AND(ISNUMBER(F874),ISNUMBER(I874)),(I874-F874),"")</f>
        <v/>
      </c>
    </row>
    <row r="875">
      <c r="A875" s="3" t="inlineStr">
        <is>
          <t>1024903</t>
        </is>
      </c>
      <c r="B875" s="3" t="inlineStr">
        <is>
          <t>10249</t>
        </is>
      </c>
      <c r="C875" s="10" t="n">
        <v>45681.61980324074</v>
      </c>
      <c r="D875" s="10" t="n">
        <v>45681.62211805556</v>
      </c>
      <c r="E875" s="10" t="n">
        <v>45681.63912037037</v>
      </c>
      <c r="F875" s="10" t="n">
        <v>45681.64108796296</v>
      </c>
      <c r="G875" s="3" t="inlineStr">
        <is>
          <t>OBT240125174924-Wien Kledering</t>
        </is>
      </c>
      <c r="H875" s="10" t="n">
        <v>45681.74263888889</v>
      </c>
      <c r="I875" s="10" t="n">
        <v>45684.69225694444</v>
      </c>
      <c r="J875" s="10" t="n">
        <v>45684.69333333334</v>
      </c>
      <c r="K875" s="11">
        <f>IF(AND(ISNUMBER(D875),ISNUMBER(E875)),(E875-D875),"")</f>
        <v/>
      </c>
      <c r="L875" s="11">
        <f>IF(AND(ISNUMBER(F875),ISNUMBER(I875)),(I875-F875),"")</f>
        <v/>
      </c>
    </row>
    <row r="876">
      <c r="A876" s="3" t="inlineStr">
        <is>
          <t>1024904</t>
        </is>
      </c>
      <c r="B876" s="3" t="inlineStr">
        <is>
          <t>10249</t>
        </is>
      </c>
      <c r="C876" s="10" t="n">
        <v>45681.61980324074</v>
      </c>
      <c r="D876" s="10" t="n">
        <v>45681.62211805556</v>
      </c>
      <c r="E876" s="10" t="n">
        <v>45681.64108796296</v>
      </c>
      <c r="F876" s="10" t="n">
        <v>45681.64319444444</v>
      </c>
      <c r="G876" s="3" t="inlineStr">
        <is>
          <t>OBT240125152920-Pitten (Hamburger)</t>
        </is>
      </c>
      <c r="H876" s="10" t="n">
        <v>45681.64537037037</v>
      </c>
      <c r="I876" s="10" t="n">
        <v>45684.5575925926</v>
      </c>
      <c r="J876" s="10" t="n">
        <v>45684.5582175926</v>
      </c>
      <c r="K876" s="11">
        <f>IF(AND(ISNUMBER(D876),ISNUMBER(E876)),(E876-D876),"")</f>
        <v/>
      </c>
      <c r="L876" s="11">
        <f>IF(AND(ISNUMBER(F876),ISNUMBER(I876)),(I876-F876),"")</f>
        <v/>
      </c>
    </row>
    <row r="877">
      <c r="A877" s="3" t="inlineStr">
        <is>
          <t>1024905</t>
        </is>
      </c>
      <c r="B877" s="3" t="inlineStr">
        <is>
          <t>10249</t>
        </is>
      </c>
      <c r="C877" s="10" t="n">
        <v>45681.61980324074</v>
      </c>
      <c r="D877" s="10" t="n">
        <v>45681.62211805556</v>
      </c>
      <c r="E877" s="10" t="n">
        <v>45681.64319444444</v>
      </c>
      <c r="F877" s="10" t="n">
        <v>45681.64510416667</v>
      </c>
      <c r="G877" s="3" t="inlineStr">
        <is>
          <t>OBT270125092111-Pitten (Hamburger)</t>
        </is>
      </c>
      <c r="H877" s="10" t="n">
        <v>45684.38971064815</v>
      </c>
      <c r="I877" s="10" t="n">
        <v>45685.36983796296</v>
      </c>
      <c r="J877" s="10" t="n">
        <v>45685.3706712963</v>
      </c>
      <c r="K877" s="11">
        <f>IF(AND(ISNUMBER(D877),ISNUMBER(E877)),(E877-D877),"")</f>
        <v/>
      </c>
      <c r="L877" s="11">
        <f>IF(AND(ISNUMBER(F877),ISNUMBER(I877)),(I877-F877),"")</f>
        <v/>
      </c>
    </row>
    <row r="878">
      <c r="A878" s="3" t="inlineStr">
        <is>
          <t>1024906</t>
        </is>
      </c>
      <c r="B878" s="3" t="inlineStr">
        <is>
          <t>10249</t>
        </is>
      </c>
      <c r="C878" s="10" t="n">
        <v>45681.61980324074</v>
      </c>
      <c r="D878" s="10" t="n">
        <v>45681.62211805556</v>
      </c>
      <c r="E878" s="10" t="n">
        <v>45681.64510416667</v>
      </c>
      <c r="F878" s="10" t="n">
        <v>45681.64706018518</v>
      </c>
      <c r="G878" s="3" t="inlineStr">
        <is>
          <t>OBT240125174924-Wien Kledering</t>
        </is>
      </c>
      <c r="H878" s="10" t="n">
        <v>45681.74263888889</v>
      </c>
      <c r="I878" s="10" t="n">
        <v>45684.69225694444</v>
      </c>
      <c r="J878" s="10" t="n">
        <v>45684.69333333334</v>
      </c>
      <c r="K878" s="11">
        <f>IF(AND(ISNUMBER(D878),ISNUMBER(E878)),(E878-D878),"")</f>
        <v/>
      </c>
      <c r="L878" s="11">
        <f>IF(AND(ISNUMBER(F878),ISNUMBER(I878)),(I878-F878),"")</f>
        <v/>
      </c>
    </row>
    <row r="879">
      <c r="A879" s="3" t="inlineStr">
        <is>
          <t>1024908</t>
        </is>
      </c>
      <c r="B879" s="3" t="inlineStr">
        <is>
          <t>10249</t>
        </is>
      </c>
      <c r="C879" s="10" t="n">
        <v>45681.61980324074</v>
      </c>
      <c r="D879" s="10" t="n">
        <v>45681.62211805556</v>
      </c>
      <c r="E879" s="10" t="n">
        <v>45681.64706018518</v>
      </c>
      <c r="F879" s="10" t="n">
        <v>45681.64881944445</v>
      </c>
      <c r="G879" s="3" t="inlineStr">
        <is>
          <t>OBT270125065248-Wien Kledering</t>
        </is>
      </c>
      <c r="H879" s="10" t="n">
        <v>45684.28666666667</v>
      </c>
      <c r="I879" s="10" t="n">
        <v>45685.37513888889</v>
      </c>
      <c r="J879" s="10" t="n">
        <v>45685.37634259259</v>
      </c>
      <c r="K879" s="11">
        <f>IF(AND(ISNUMBER(D879),ISNUMBER(E879)),(E879-D879),"")</f>
        <v/>
      </c>
      <c r="L879" s="11">
        <f>IF(AND(ISNUMBER(F879),ISNUMBER(I879)),(I879-F879),"")</f>
        <v/>
      </c>
    </row>
    <row r="880">
      <c r="A880" s="3" t="inlineStr">
        <is>
          <t>1025201</t>
        </is>
      </c>
      <c r="B880" s="3" t="inlineStr">
        <is>
          <t>10252</t>
        </is>
      </c>
      <c r="C880" s="10" t="n">
        <v>45681.72916666666</v>
      </c>
      <c r="D880" s="10" t="n">
        <v>45681.73063657407</v>
      </c>
      <c r="E880" s="10" t="n">
        <v>45681.73530092592</v>
      </c>
      <c r="F880" s="10" t="n">
        <v>45681.73693287037</v>
      </c>
      <c r="G880" s="3" t="inlineStr">
        <is>
          <t>OBT240125174436-Wien Kledering</t>
        </is>
      </c>
      <c r="H880" s="10" t="n">
        <v>45681.73930555556</v>
      </c>
      <c r="I880" s="10" t="n">
        <v>45684.63461805556</v>
      </c>
      <c r="J880" s="10" t="n">
        <v>45684.63541666666</v>
      </c>
      <c r="K880" s="11">
        <f>IF(AND(ISNUMBER(D880),ISNUMBER(E880)),(E880-D880),"")</f>
        <v/>
      </c>
      <c r="L880" s="11">
        <f>IF(AND(ISNUMBER(F880),ISNUMBER(I880)),(I880-F880),"")</f>
        <v/>
      </c>
    </row>
    <row r="881">
      <c r="A881" s="3" t="inlineStr">
        <is>
          <t>1025101</t>
        </is>
      </c>
      <c r="B881" s="3" t="inlineStr">
        <is>
          <t>10251</t>
        </is>
      </c>
      <c r="C881" s="10" t="n">
        <v>45681.72847222222</v>
      </c>
      <c r="D881" s="10" t="n">
        <v>45681.73060185185</v>
      </c>
      <c r="E881" s="10" t="n">
        <v>45681.7378125</v>
      </c>
      <c r="F881" s="10" t="n">
        <v>45681.74026620371</v>
      </c>
      <c r="G881" s="3" t="inlineStr">
        <is>
          <t>OBT240125174924-Wien Kledering</t>
        </is>
      </c>
      <c r="H881" s="10" t="n">
        <v>45681.74263888889</v>
      </c>
      <c r="I881" s="10" t="n">
        <v>45684.69225694444</v>
      </c>
      <c r="J881" s="10" t="n">
        <v>45684.69333333334</v>
      </c>
      <c r="K881" s="11">
        <f>IF(AND(ISNUMBER(D881),ISNUMBER(E881)),(E881-D881),"")</f>
        <v/>
      </c>
      <c r="L881" s="11">
        <f>IF(AND(ISNUMBER(F881),ISNUMBER(I881)),(I881-F881),"")</f>
        <v/>
      </c>
    </row>
    <row r="882">
      <c r="A882" s="3" t="inlineStr">
        <is>
          <t>1025301</t>
        </is>
      </c>
      <c r="B882" s="3" t="inlineStr">
        <is>
          <t>10253</t>
        </is>
      </c>
      <c r="C882" s="10" t="n">
        <v>45682.06975694445</v>
      </c>
      <c r="D882" s="10" t="n">
        <v>45682.07225694445</v>
      </c>
      <c r="E882" s="10" t="n">
        <v>45682.08277777778</v>
      </c>
      <c r="F882" s="10" t="n">
        <v>45682.08489583333</v>
      </c>
      <c r="G882" s="3" t="inlineStr">
        <is>
          <t>OBT250125020542-Pitten (Hamburger)</t>
        </is>
      </c>
      <c r="H882" s="10" t="n">
        <v>45682.08729166666</v>
      </c>
      <c r="I882" s="10" t="n">
        <v>45684.74693287037</v>
      </c>
      <c r="J882" s="10" t="n">
        <v>45684.74825231481</v>
      </c>
      <c r="K882" s="11">
        <f>IF(AND(ISNUMBER(D882),ISNUMBER(E882)),(E882-D882),"")</f>
        <v/>
      </c>
      <c r="L882" s="11">
        <f>IF(AND(ISNUMBER(F882),ISNUMBER(I882)),(I882-F882),"")</f>
        <v/>
      </c>
    </row>
    <row r="883">
      <c r="A883" s="3" t="inlineStr">
        <is>
          <t>1025302</t>
        </is>
      </c>
      <c r="B883" s="3" t="inlineStr">
        <is>
          <t>10253</t>
        </is>
      </c>
      <c r="C883" s="10" t="n">
        <v>45682.06975694445</v>
      </c>
      <c r="D883" s="10" t="n">
        <v>45682.07225694445</v>
      </c>
      <c r="E883" s="10" t="n">
        <v>45682.08489583333</v>
      </c>
      <c r="F883" s="10" t="n">
        <v>45682.08652777778</v>
      </c>
      <c r="G883" s="3" t="inlineStr">
        <is>
          <t>OBT260125181754-Neudörfl (FunderMax)</t>
        </is>
      </c>
      <c r="H883" s="10" t="n">
        <v>45683.76243055556</v>
      </c>
      <c r="I883" s="10" t="n">
        <v>45684.9111574074</v>
      </c>
      <c r="J883" s="10" t="n">
        <v>45684.91208333334</v>
      </c>
      <c r="K883" s="11">
        <f>IF(AND(ISNUMBER(D883),ISNUMBER(E883)),(E883-D883),"")</f>
        <v/>
      </c>
      <c r="L883" s="11">
        <f>IF(AND(ISNUMBER(F883),ISNUMBER(I883)),(I883-F883),"")</f>
        <v/>
      </c>
    </row>
    <row r="884">
      <c r="A884" s="3" t="inlineStr">
        <is>
          <t>1025303</t>
        </is>
      </c>
      <c r="B884" s="3" t="inlineStr">
        <is>
          <t>10253</t>
        </is>
      </c>
      <c r="C884" s="10" t="n">
        <v>45682.06975694445</v>
      </c>
      <c r="D884" s="10" t="n">
        <v>45682.07225694445</v>
      </c>
      <c r="E884" s="10" t="n">
        <v>45682.08652777778</v>
      </c>
      <c r="F884" s="10" t="n">
        <v>45682.08873842593</v>
      </c>
      <c r="G884" s="3" t="inlineStr">
        <is>
          <t>OBT250125021114-Pitten (Hamburger)</t>
        </is>
      </c>
      <c r="H884" s="10" t="n">
        <v>45682.09113425926</v>
      </c>
      <c r="I884" s="10" t="n">
        <v>45684.76851851852</v>
      </c>
      <c r="J884" s="10" t="n">
        <v>45684.76925925926</v>
      </c>
      <c r="K884" s="11">
        <f>IF(AND(ISNUMBER(D884),ISNUMBER(E884)),(E884-D884),"")</f>
        <v/>
      </c>
      <c r="L884" s="11">
        <f>IF(AND(ISNUMBER(F884),ISNUMBER(I884)),(I884-F884),"")</f>
        <v/>
      </c>
    </row>
    <row r="885">
      <c r="A885" s="3" t="inlineStr">
        <is>
          <t>1025401</t>
        </is>
      </c>
      <c r="B885" s="3" t="inlineStr">
        <is>
          <t>10254</t>
        </is>
      </c>
      <c r="C885" s="10" t="n">
        <v>45683.7403587963</v>
      </c>
      <c r="D885" s="10" t="n">
        <v>45683.7428125</v>
      </c>
      <c r="E885" s="10" t="n">
        <v>45683.75304398148</v>
      </c>
      <c r="F885" s="10" t="n">
        <v>45683.75472222222</v>
      </c>
      <c r="G885" s="3" t="inlineStr">
        <is>
          <t>OBT260125181754-Neudörfl (FunderMax)</t>
        </is>
      </c>
      <c r="H885" s="10" t="n">
        <v>45683.76243055556</v>
      </c>
      <c r="I885" s="10" t="n">
        <v>45684.9111574074</v>
      </c>
      <c r="J885" s="10" t="n">
        <v>45684.91208333334</v>
      </c>
      <c r="K885" s="11">
        <f>IF(AND(ISNUMBER(D885),ISNUMBER(E885)),(E885-D885),"")</f>
        <v/>
      </c>
      <c r="L885" s="11">
        <f>IF(AND(ISNUMBER(F885),ISNUMBER(I885)),(I885-F885),"")</f>
        <v/>
      </c>
    </row>
    <row r="886">
      <c r="A886" s="3" t="inlineStr">
        <is>
          <t>1025402</t>
        </is>
      </c>
      <c r="B886" s="3" t="inlineStr">
        <is>
          <t>10254</t>
        </is>
      </c>
      <c r="C886" s="10" t="n">
        <v>45683.7403587963</v>
      </c>
      <c r="D886" s="10" t="n">
        <v>45683.7428125</v>
      </c>
      <c r="E886" s="10" t="n">
        <v>45683.75472222222</v>
      </c>
      <c r="F886" s="10" t="n">
        <v>45683.75722222222</v>
      </c>
      <c r="G886" s="3" t="inlineStr">
        <is>
          <t>OBT260125181348-Pitten (Hamburger)</t>
        </is>
      </c>
      <c r="H886" s="10" t="n">
        <v>45683.75958333333</v>
      </c>
      <c r="I886" s="10" t="n">
        <v>45684.83533564815</v>
      </c>
      <c r="J886" s="10" t="n">
        <v>45684.83693287037</v>
      </c>
      <c r="K886" s="11">
        <f>IF(AND(ISNUMBER(D886),ISNUMBER(E886)),(E886-D886),"")</f>
        <v/>
      </c>
      <c r="L886" s="11">
        <f>IF(AND(ISNUMBER(F886),ISNUMBER(I886)),(I886-F886),"")</f>
        <v/>
      </c>
    </row>
    <row r="887">
      <c r="A887" s="3" t="inlineStr">
        <is>
          <t>1025403</t>
        </is>
      </c>
      <c r="B887" s="3" t="inlineStr">
        <is>
          <t>10254</t>
        </is>
      </c>
      <c r="C887" s="10" t="n">
        <v>45683.7403587963</v>
      </c>
      <c r="D887" s="10" t="n">
        <v>45683.7428125</v>
      </c>
      <c r="E887" s="10" t="n">
        <v>45683.75722222222</v>
      </c>
      <c r="F887" s="10" t="n">
        <v>45683.75886574074</v>
      </c>
      <c r="G887" s="3" t="inlineStr">
        <is>
          <t>OBT260125181754-Neudörfl (FunderMax)</t>
        </is>
      </c>
      <c r="H887" s="10" t="n">
        <v>45683.76243055556</v>
      </c>
      <c r="I887" s="10" t="n">
        <v>45684.9111574074</v>
      </c>
      <c r="J887" s="10" t="n">
        <v>45684.91208333334</v>
      </c>
      <c r="K887" s="11">
        <f>IF(AND(ISNUMBER(D887),ISNUMBER(E887)),(E887-D887),"")</f>
        <v/>
      </c>
      <c r="L887" s="11">
        <f>IF(AND(ISNUMBER(F887),ISNUMBER(I887)),(I887-F887),"")</f>
        <v/>
      </c>
    </row>
    <row r="888">
      <c r="A888" s="3" t="inlineStr">
        <is>
          <t>1025501</t>
        </is>
      </c>
      <c r="B888" s="3" t="inlineStr">
        <is>
          <t>10255</t>
        </is>
      </c>
      <c r="C888" s="10" t="n">
        <v>45684.10805555555</v>
      </c>
      <c r="D888" s="10" t="n">
        <v>45684.11024305555</v>
      </c>
      <c r="E888" s="10" t="n">
        <v>45684.11922453704</v>
      </c>
      <c r="F888" s="10" t="n">
        <v>45684.12116898148</v>
      </c>
      <c r="G888" s="3" t="inlineStr">
        <is>
          <t>OBT270125092111-Pitten (Hamburger)</t>
        </is>
      </c>
      <c r="H888" s="10" t="n">
        <v>45684.38971064815</v>
      </c>
      <c r="I888" s="10" t="n">
        <v>45685.36983796296</v>
      </c>
      <c r="J888" s="10" t="n">
        <v>45685.3706712963</v>
      </c>
      <c r="K888" s="11">
        <f>IF(AND(ISNUMBER(D888),ISNUMBER(E888)),(E888-D888),"")</f>
        <v/>
      </c>
      <c r="L888" s="11">
        <f>IF(AND(ISNUMBER(F888),ISNUMBER(I888)),(I888-F888),"")</f>
        <v/>
      </c>
    </row>
    <row r="889">
      <c r="A889" s="3" t="inlineStr">
        <is>
          <t>1025502</t>
        </is>
      </c>
      <c r="B889" s="3" t="inlineStr">
        <is>
          <t>10255</t>
        </is>
      </c>
      <c r="C889" s="10" t="n">
        <v>45684.10805555555</v>
      </c>
      <c r="D889" s="10" t="n">
        <v>45684.11024305555</v>
      </c>
      <c r="E889" s="10" t="n">
        <v>45684.12116898148</v>
      </c>
      <c r="F889" s="10" t="n">
        <v>45684.12313657408</v>
      </c>
      <c r="G889" s="3" t="inlineStr">
        <is>
          <t>OBT270125144049-Wien Kledering</t>
        </is>
      </c>
      <c r="H889" s="10" t="n">
        <v>45684.61167824074</v>
      </c>
      <c r="I889" s="10" t="n">
        <v>45685.52165509259</v>
      </c>
      <c r="J889" s="10" t="n">
        <v>45685.52307870371</v>
      </c>
      <c r="K889" s="11">
        <f>IF(AND(ISNUMBER(D889),ISNUMBER(E889)),(E889-D889),"")</f>
        <v/>
      </c>
      <c r="L889" s="11">
        <f>IF(AND(ISNUMBER(F889),ISNUMBER(I889)),(I889-F889),"")</f>
        <v/>
      </c>
    </row>
    <row r="890">
      <c r="A890" s="3" t="inlineStr">
        <is>
          <t>1025503</t>
        </is>
      </c>
      <c r="B890" s="3" t="inlineStr">
        <is>
          <t>10255</t>
        </is>
      </c>
      <c r="C890" s="10" t="n">
        <v>45684.10805555555</v>
      </c>
      <c r="D890" s="10" t="n">
        <v>45684.11024305555</v>
      </c>
      <c r="E890" s="10" t="n">
        <v>45684.12313657408</v>
      </c>
      <c r="F890" s="10" t="n">
        <v>45684.12480324074</v>
      </c>
      <c r="G890" s="3" t="inlineStr">
        <is>
          <t>OBT270125030450-Neunkirchen (loading tracks)</t>
        </is>
      </c>
      <c r="H890" s="10" t="n">
        <v>45684.12835648148</v>
      </c>
      <c r="I890" s="10" t="n">
        <v>45685.17467592593</v>
      </c>
      <c r="J890" s="10" t="n">
        <v>45685.17574074074</v>
      </c>
      <c r="K890" s="11">
        <f>IF(AND(ISNUMBER(D890),ISNUMBER(E890)),(E890-D890),"")</f>
        <v/>
      </c>
      <c r="L890" s="11">
        <f>IF(AND(ISNUMBER(F890),ISNUMBER(I890)),(I890-F890),"")</f>
        <v/>
      </c>
    </row>
    <row r="891">
      <c r="A891" s="3" t="inlineStr">
        <is>
          <t>1025504</t>
        </is>
      </c>
      <c r="B891" s="3" t="inlineStr">
        <is>
          <t>10255</t>
        </is>
      </c>
      <c r="C891" s="10" t="n">
        <v>45684.10805555555</v>
      </c>
      <c r="D891" s="10" t="n">
        <v>45684.11024305555</v>
      </c>
      <c r="E891" s="10" t="n">
        <v>45684.12480324074</v>
      </c>
      <c r="F891" s="10" t="n">
        <v>45684.12677083333</v>
      </c>
      <c r="G891" s="3" t="inlineStr">
        <is>
          <t>OBT280125031334-St. Veit an der Glan</t>
        </is>
      </c>
      <c r="H891" s="10" t="n">
        <v>45685.13442129629</v>
      </c>
      <c r="I891" s="10" t="n">
        <v>45686.15229166667</v>
      </c>
      <c r="J891" s="10" t="n">
        <v>45686.1530787037</v>
      </c>
      <c r="K891" s="11">
        <f>IF(AND(ISNUMBER(D891),ISNUMBER(E891)),(E891-D891),"")</f>
        <v/>
      </c>
      <c r="L891" s="11">
        <f>IF(AND(ISNUMBER(F891),ISNUMBER(I891)),(I891-F891),"")</f>
        <v/>
      </c>
    </row>
    <row r="892">
      <c r="A892" s="3" t="inlineStr">
        <is>
          <t>1025601</t>
        </is>
      </c>
      <c r="B892" s="3" t="inlineStr">
        <is>
          <t>10256</t>
        </is>
      </c>
      <c r="C892" s="10" t="n">
        <v>45684.18857638889</v>
      </c>
      <c r="D892" s="10" t="n">
        <v>45684.19085648148</v>
      </c>
      <c r="E892" s="10" t="n">
        <v>45684.19689814815</v>
      </c>
      <c r="F892" s="10" t="n">
        <v>45684.19871527778</v>
      </c>
      <c r="G892" s="3" t="inlineStr">
        <is>
          <t>OBT270125044934-Neudörfl (FunderMax)</t>
        </is>
      </c>
      <c r="H892" s="10" t="n">
        <v>45684.20108796296</v>
      </c>
      <c r="I892" s="10" t="n">
        <v>45685.33425925926</v>
      </c>
      <c r="J892" s="10" t="n">
        <v>45685.33541666667</v>
      </c>
      <c r="K892" s="11">
        <f>IF(AND(ISNUMBER(D892),ISNUMBER(E892)),(E892-D892),"")</f>
        <v/>
      </c>
      <c r="L892" s="11">
        <f>IF(AND(ISNUMBER(F892),ISNUMBER(I892)),(I892-F892),"")</f>
        <v/>
      </c>
    </row>
    <row r="893">
      <c r="A893" s="3" t="inlineStr">
        <is>
          <t>1025701</t>
        </is>
      </c>
      <c r="B893" s="3" t="inlineStr">
        <is>
          <t>10257</t>
        </is>
      </c>
      <c r="C893" s="10" t="n">
        <v>45684.27391203704</v>
      </c>
      <c r="D893" s="10" t="n">
        <v>45684.27615740741</v>
      </c>
      <c r="E893" s="10" t="n">
        <v>45684.28211805555</v>
      </c>
      <c r="F893" s="10" t="n">
        <v>45684.28449074074</v>
      </c>
      <c r="G893" s="3" t="inlineStr">
        <is>
          <t>OBT270125065248-Wien Kledering</t>
        </is>
      </c>
      <c r="H893" s="10" t="n">
        <v>45684.28666666667</v>
      </c>
      <c r="I893" s="10" t="n">
        <v>45685.37513888889</v>
      </c>
      <c r="J893" s="10" t="n">
        <v>45685.37634259259</v>
      </c>
      <c r="K893" s="11">
        <f>IF(AND(ISNUMBER(D893),ISNUMBER(E893)),(E893-D893),"")</f>
        <v/>
      </c>
      <c r="L893" s="11">
        <f>IF(AND(ISNUMBER(F893),ISNUMBER(I893)),(I893-F893),"")</f>
        <v/>
      </c>
    </row>
    <row r="894">
      <c r="A894" s="3" t="inlineStr">
        <is>
          <t>1025801</t>
        </is>
      </c>
      <c r="B894" s="3" t="inlineStr">
        <is>
          <t>10258</t>
        </is>
      </c>
      <c r="C894" s="10" t="n">
        <v>45684.29644675926</v>
      </c>
      <c r="D894" s="10" t="n">
        <v>45684.29895833333</v>
      </c>
      <c r="E894" s="10" t="n">
        <v>45684.31454861111</v>
      </c>
      <c r="F894" s="10" t="n">
        <v>45684.31570601852</v>
      </c>
      <c r="G894" s="3" t="inlineStr">
        <is>
          <t>OBT270125105122-Wien Kledering</t>
        </is>
      </c>
      <c r="H894" s="10" t="n">
        <v>45684.45233796296</v>
      </c>
      <c r="I894" s="10" t="n">
        <v>45685.46195601852</v>
      </c>
      <c r="J894" s="10" t="n">
        <v>45685.46333333333</v>
      </c>
      <c r="K894" s="11">
        <f>IF(AND(ISNUMBER(D894),ISNUMBER(E894)),(E894-D894),"")</f>
        <v/>
      </c>
      <c r="L894" s="11">
        <f>IF(AND(ISNUMBER(F894),ISNUMBER(I894)),(I894-F894),"")</f>
        <v/>
      </c>
    </row>
    <row r="895">
      <c r="A895" s="3" t="inlineStr">
        <is>
          <t>1025802</t>
        </is>
      </c>
      <c r="B895" s="3" t="inlineStr">
        <is>
          <t>10258</t>
        </is>
      </c>
      <c r="C895" s="10" t="n">
        <v>45684.29644675926</v>
      </c>
      <c r="D895" s="10" t="n">
        <v>45684.29895833333</v>
      </c>
      <c r="E895" s="10" t="n">
        <v>45684.31570601852</v>
      </c>
      <c r="F895" s="10" t="n">
        <v>45684.31768518518</v>
      </c>
      <c r="G895" s="3" t="inlineStr">
        <is>
          <t>OBT270125144049-Wien Kledering</t>
        </is>
      </c>
      <c r="H895" s="10" t="n">
        <v>45684.61167824074</v>
      </c>
      <c r="I895" s="10" t="n">
        <v>45685.52165509259</v>
      </c>
      <c r="J895" s="10" t="n">
        <v>45685.52307870371</v>
      </c>
      <c r="K895" s="11">
        <f>IF(AND(ISNUMBER(D895),ISNUMBER(E895)),(E895-D895),"")</f>
        <v/>
      </c>
      <c r="L895" s="11">
        <f>IF(AND(ISNUMBER(F895),ISNUMBER(I895)),(I895-F895),"")</f>
        <v/>
      </c>
    </row>
    <row r="896">
      <c r="A896" s="3" t="inlineStr">
        <is>
          <t>1025805</t>
        </is>
      </c>
      <c r="B896" s="3" t="inlineStr">
        <is>
          <t>10258</t>
        </is>
      </c>
      <c r="C896" s="10" t="n">
        <v>45684.29644675926</v>
      </c>
      <c r="D896" s="10" t="n">
        <v>45684.29895833333</v>
      </c>
      <c r="E896" s="10" t="n">
        <v>45684.31768518518</v>
      </c>
      <c r="F896" s="10" t="n">
        <v>45684.31978009259</v>
      </c>
      <c r="G896" s="3" t="inlineStr">
        <is>
          <t>OBT270125074356-Other sidings local</t>
        </is>
      </c>
      <c r="H896" s="10" t="n">
        <v>45684.32217592592</v>
      </c>
      <c r="I896" s="10" t="n">
        <v>45685.3481712963</v>
      </c>
      <c r="J896" s="10" t="n">
        <v>45685.3487962963</v>
      </c>
      <c r="K896" s="11">
        <f>IF(AND(ISNUMBER(D896),ISNUMBER(E896)),(E896-D896),"")</f>
        <v/>
      </c>
      <c r="L896" s="11">
        <f>IF(AND(ISNUMBER(F896),ISNUMBER(I896)),(I896-F896),"")</f>
        <v/>
      </c>
    </row>
    <row r="897">
      <c r="A897" s="3" t="inlineStr">
        <is>
          <t>1025806</t>
        </is>
      </c>
      <c r="B897" s="3" t="inlineStr">
        <is>
          <t>10258</t>
        </is>
      </c>
      <c r="C897" s="10" t="n">
        <v>45684.29644675926</v>
      </c>
      <c r="D897" s="10" t="n">
        <v>45684.29895833333</v>
      </c>
      <c r="E897" s="10" t="n">
        <v>45684.31978009259</v>
      </c>
      <c r="F897" s="10" t="n">
        <v>45684.32141203704</v>
      </c>
      <c r="G897" s="3" t="inlineStr">
        <is>
          <t>OBT280125064741-Wien Kledering</t>
        </is>
      </c>
      <c r="H897" s="10" t="n">
        <v>45685.28311342592</v>
      </c>
      <c r="I897" s="10" t="n">
        <v>45686.2406712963</v>
      </c>
      <c r="J897" s="10" t="n">
        <v>45686.24194444445</v>
      </c>
      <c r="K897" s="11">
        <f>IF(AND(ISNUMBER(D897),ISNUMBER(E897)),(E897-D897),"")</f>
        <v/>
      </c>
      <c r="L897" s="11">
        <f>IF(AND(ISNUMBER(F897),ISNUMBER(I897)),(I897-F897),"")</f>
        <v/>
      </c>
    </row>
    <row r="898">
      <c r="A898" s="3" t="inlineStr">
        <is>
          <t>1026101</t>
        </is>
      </c>
      <c r="B898" s="3" t="inlineStr">
        <is>
          <t>10261</t>
        </is>
      </c>
      <c r="C898" s="10" t="n">
        <v>45684.35304398148</v>
      </c>
      <c r="D898" s="10" t="n">
        <v>45684.35555555556</v>
      </c>
      <c r="E898" s="10" t="n">
        <v>45684.37579861111</v>
      </c>
      <c r="F898" s="10" t="n">
        <v>45684.37699074074</v>
      </c>
      <c r="G898" s="3" t="inlineStr">
        <is>
          <t>OBT270125105122-Wien Kledering</t>
        </is>
      </c>
      <c r="H898" s="10" t="n">
        <v>45684.45233796296</v>
      </c>
      <c r="I898" s="10" t="n">
        <v>45685.46195601852</v>
      </c>
      <c r="J898" s="10" t="n">
        <v>45685.46333333333</v>
      </c>
      <c r="K898" s="11">
        <f>IF(AND(ISNUMBER(D898),ISNUMBER(E898)),(E898-D898),"")</f>
        <v/>
      </c>
      <c r="L898" s="11">
        <f>IF(AND(ISNUMBER(F898),ISNUMBER(I898)),(I898-F898),"")</f>
        <v/>
      </c>
    </row>
    <row r="899">
      <c r="A899" s="3" t="inlineStr">
        <is>
          <t>1026102</t>
        </is>
      </c>
      <c r="B899" s="3" t="inlineStr">
        <is>
          <t>10261</t>
        </is>
      </c>
      <c r="C899" s="10" t="n">
        <v>45684.35304398148</v>
      </c>
      <c r="D899" s="10" t="n">
        <v>45684.35555555556</v>
      </c>
      <c r="E899" s="10" t="n">
        <v>45684.37699074074</v>
      </c>
      <c r="F899" s="10" t="n">
        <v>45684.37891203703</v>
      </c>
      <c r="G899" s="3" t="inlineStr">
        <is>
          <t>OBT270125180405-Wien Kledering</t>
        </is>
      </c>
      <c r="H899" s="10" t="n">
        <v>45684.75283564815</v>
      </c>
      <c r="I899" s="10" t="n">
        <v>45685.70726851852</v>
      </c>
      <c r="J899" s="10" t="n">
        <v>45685.70836805556</v>
      </c>
      <c r="K899" s="11">
        <f>IF(AND(ISNUMBER(D899),ISNUMBER(E899)),(E899-D899),"")</f>
        <v/>
      </c>
      <c r="L899" s="11">
        <f>IF(AND(ISNUMBER(F899),ISNUMBER(I899)),(I899-F899),"")</f>
        <v/>
      </c>
    </row>
    <row r="900">
      <c r="A900" s="3" t="inlineStr">
        <is>
          <t>1026103</t>
        </is>
      </c>
      <c r="B900" s="3" t="inlineStr">
        <is>
          <t>10261</t>
        </is>
      </c>
      <c r="C900" s="10" t="n">
        <v>45684.35304398148</v>
      </c>
      <c r="D900" s="10" t="n">
        <v>45684.35555555556</v>
      </c>
      <c r="E900" s="10" t="n">
        <v>45684.37891203703</v>
      </c>
      <c r="F900" s="10" t="n">
        <v>45684.38006944444</v>
      </c>
      <c r="G900" s="3" t="inlineStr">
        <is>
          <t>OBT270125105122-Wien Kledering</t>
        </is>
      </c>
      <c r="H900" s="10" t="n">
        <v>45684.45233796296</v>
      </c>
      <c r="I900" s="10" t="n">
        <v>45685.46195601852</v>
      </c>
      <c r="J900" s="10" t="n">
        <v>45685.46333333333</v>
      </c>
      <c r="K900" s="11">
        <f>IF(AND(ISNUMBER(D900),ISNUMBER(E900)),(E900-D900),"")</f>
        <v/>
      </c>
      <c r="L900" s="11">
        <f>IF(AND(ISNUMBER(F900),ISNUMBER(I900)),(I900-F900),"")</f>
        <v/>
      </c>
    </row>
    <row r="901">
      <c r="A901" s="3" t="inlineStr">
        <is>
          <t>1026104</t>
        </is>
      </c>
      <c r="B901" s="3" t="inlineStr">
        <is>
          <t>10261</t>
        </is>
      </c>
      <c r="C901" s="10" t="n">
        <v>45684.35304398148</v>
      </c>
      <c r="D901" s="10" t="n">
        <v>45684.35555555556</v>
      </c>
      <c r="E901" s="10" t="n">
        <v>45684.38006944444</v>
      </c>
      <c r="F901" s="10" t="n">
        <v>45684.38200231481</v>
      </c>
      <c r="G901" s="3" t="inlineStr">
        <is>
          <t>OBT270125144049-Wien Kledering</t>
        </is>
      </c>
      <c r="H901" s="10" t="n">
        <v>45684.61167824074</v>
      </c>
      <c r="I901" s="10" t="n">
        <v>45685.52165509259</v>
      </c>
      <c r="J901" s="10" t="n">
        <v>45685.52307870371</v>
      </c>
      <c r="K901" s="11">
        <f>IF(AND(ISNUMBER(D901),ISNUMBER(E901)),(E901-D901),"")</f>
        <v/>
      </c>
      <c r="L901" s="11">
        <f>IF(AND(ISNUMBER(F901),ISNUMBER(I901)),(I901-F901),"")</f>
        <v/>
      </c>
    </row>
    <row r="902">
      <c r="A902" s="3" t="inlineStr">
        <is>
          <t>1026105</t>
        </is>
      </c>
      <c r="B902" s="3" t="inlineStr">
        <is>
          <t>10261</t>
        </is>
      </c>
      <c r="C902" s="10" t="n">
        <v>45684.35304398148</v>
      </c>
      <c r="D902" s="10" t="n">
        <v>45684.35555555556</v>
      </c>
      <c r="E902" s="10" t="n">
        <v>45684.38200231481</v>
      </c>
      <c r="F902" s="10" t="n">
        <v>45684.38425925926</v>
      </c>
      <c r="G902" s="3" t="inlineStr">
        <is>
          <t>OBT270125092111-Pitten (Hamburger)</t>
        </is>
      </c>
      <c r="H902" s="10" t="n">
        <v>45684.38971064815</v>
      </c>
      <c r="I902" s="10" t="n">
        <v>45685.36983796296</v>
      </c>
      <c r="J902" s="10" t="n">
        <v>45685.3706712963</v>
      </c>
      <c r="K902" s="11">
        <f>IF(AND(ISNUMBER(D902),ISNUMBER(E902)),(E902-D902),"")</f>
        <v/>
      </c>
      <c r="L902" s="11">
        <f>IF(AND(ISNUMBER(F902),ISNUMBER(I902)),(I902-F902),"")</f>
        <v/>
      </c>
    </row>
    <row r="903">
      <c r="A903" s="3" t="inlineStr">
        <is>
          <t>1026108</t>
        </is>
      </c>
      <c r="B903" s="3" t="inlineStr">
        <is>
          <t>10261</t>
        </is>
      </c>
      <c r="C903" s="10" t="n">
        <v>45684.35304398148</v>
      </c>
      <c r="D903" s="10" t="n">
        <v>45684.35555555556</v>
      </c>
      <c r="E903" s="10" t="n">
        <v>45684.38425925926</v>
      </c>
      <c r="F903" s="10" t="n">
        <v>45684.38614583333</v>
      </c>
      <c r="G903" s="3" t="inlineStr">
        <is>
          <t>OBT270125092111-Pitten (Hamburger)</t>
        </is>
      </c>
      <c r="H903" s="10" t="n">
        <v>45684.38971064815</v>
      </c>
      <c r="I903" s="10" t="n">
        <v>45685.36983796296</v>
      </c>
      <c r="J903" s="10" t="n">
        <v>45685.3706712963</v>
      </c>
      <c r="K903" s="11">
        <f>IF(AND(ISNUMBER(D903),ISNUMBER(E903)),(E903-D903),"")</f>
        <v/>
      </c>
      <c r="L903" s="11">
        <f>IF(AND(ISNUMBER(F903),ISNUMBER(I903)),(I903-F903),"")</f>
        <v/>
      </c>
    </row>
    <row r="904">
      <c r="A904" s="3" t="inlineStr">
        <is>
          <t>1026109</t>
        </is>
      </c>
      <c r="B904" s="3" t="inlineStr">
        <is>
          <t>10261</t>
        </is>
      </c>
      <c r="C904" s="10" t="n">
        <v>45684.35304398148</v>
      </c>
      <c r="D904" s="10" t="n">
        <v>45684.35555555556</v>
      </c>
      <c r="E904" s="10" t="n">
        <v>45684.38614583333</v>
      </c>
      <c r="F904" s="10" t="n">
        <v>45684.38774305556</v>
      </c>
      <c r="G904" s="3" t="inlineStr">
        <is>
          <t>OBT280125064741-Wien Kledering</t>
        </is>
      </c>
      <c r="H904" s="10" t="n">
        <v>45685.28311342592</v>
      </c>
      <c r="I904" s="10" t="n">
        <v>45686.2406712963</v>
      </c>
      <c r="J904" s="10" t="n">
        <v>45686.24194444445</v>
      </c>
      <c r="K904" s="11">
        <f>IF(AND(ISNUMBER(D904),ISNUMBER(E904)),(E904-D904),"")</f>
        <v/>
      </c>
      <c r="L904" s="11">
        <f>IF(AND(ISNUMBER(F904),ISNUMBER(I904)),(I904-F904),"")</f>
        <v/>
      </c>
    </row>
    <row r="905">
      <c r="A905" s="3" t="inlineStr">
        <is>
          <t>1026110</t>
        </is>
      </c>
      <c r="B905" s="3" t="inlineStr">
        <is>
          <t>10261</t>
        </is>
      </c>
      <c r="C905" s="10" t="n">
        <v>45684.35304398148</v>
      </c>
      <c r="D905" s="10" t="n">
        <v>45684.35555555556</v>
      </c>
      <c r="E905" s="10" t="n">
        <v>45684.38774305556</v>
      </c>
      <c r="F905" s="10" t="n">
        <v>45684.38893518518</v>
      </c>
      <c r="G905" s="3" t="inlineStr">
        <is>
          <t>OBT270125105122-Wien Kledering</t>
        </is>
      </c>
      <c r="H905" s="10" t="n">
        <v>45684.45233796296</v>
      </c>
      <c r="I905" s="10" t="n">
        <v>45685.46195601852</v>
      </c>
      <c r="J905" s="10" t="n">
        <v>45685.46333333333</v>
      </c>
      <c r="K905" s="11">
        <f>IF(AND(ISNUMBER(D905),ISNUMBER(E905)),(E905-D905),"")</f>
        <v/>
      </c>
      <c r="L905" s="11">
        <f>IF(AND(ISNUMBER(F905),ISNUMBER(I905)),(I905-F905),"")</f>
        <v/>
      </c>
    </row>
    <row r="906">
      <c r="A906" s="3" t="inlineStr">
        <is>
          <t>1026112</t>
        </is>
      </c>
      <c r="B906" s="3" t="inlineStr">
        <is>
          <t>10261</t>
        </is>
      </c>
      <c r="C906" s="10" t="n">
        <v>45684.35304398148</v>
      </c>
      <c r="D906" s="10" t="n">
        <v>45684.35555555556</v>
      </c>
      <c r="E906" s="10" t="n">
        <v>45684.38893518518</v>
      </c>
      <c r="F906" s="10" t="n">
        <v>45684.39085648148</v>
      </c>
      <c r="G906" s="3" t="inlineStr">
        <is>
          <t>OBT280125031334-St. Veit an der Glan</t>
        </is>
      </c>
      <c r="H906" s="10" t="n">
        <v>45685.13442129629</v>
      </c>
      <c r="I906" s="10" t="n">
        <v>45686.15229166667</v>
      </c>
      <c r="J906" s="10" t="n">
        <v>45686.1530787037</v>
      </c>
      <c r="K906" s="11">
        <f>IF(AND(ISNUMBER(D906),ISNUMBER(E906)),(E906-D906),"")</f>
        <v/>
      </c>
      <c r="L906" s="11">
        <f>IF(AND(ISNUMBER(F906),ISNUMBER(I906)),(I906-F906),"")</f>
        <v/>
      </c>
    </row>
    <row r="907">
      <c r="A907" s="3" t="inlineStr">
        <is>
          <t>1026301</t>
        </is>
      </c>
      <c r="B907" s="3" t="inlineStr">
        <is>
          <t>10263</t>
        </is>
      </c>
      <c r="C907" s="10" t="n">
        <v>45684.43711805555</v>
      </c>
      <c r="D907" s="10" t="n">
        <v>45684.43972222223</v>
      </c>
      <c r="E907" s="10" t="n">
        <v>45684.44790509259</v>
      </c>
      <c r="F907" s="10" t="n">
        <v>45684.44994212963</v>
      </c>
      <c r="G907" s="3" t="inlineStr">
        <is>
          <t>OBT270125105122-Wien Kledering</t>
        </is>
      </c>
      <c r="H907" s="10" t="n">
        <v>45684.45233796296</v>
      </c>
      <c r="I907" s="10" t="n">
        <v>45685.46195601852</v>
      </c>
      <c r="J907" s="10" t="n">
        <v>45685.46333333333</v>
      </c>
      <c r="K907" s="11">
        <f>IF(AND(ISNUMBER(D907),ISNUMBER(E907)),(E907-D907),"")</f>
        <v/>
      </c>
      <c r="L907" s="11">
        <f>IF(AND(ISNUMBER(F907),ISNUMBER(I907)),(I907-F907),"")</f>
        <v/>
      </c>
    </row>
    <row r="908">
      <c r="A908" s="3" t="inlineStr">
        <is>
          <t>1026302</t>
        </is>
      </c>
      <c r="B908" s="3" t="inlineStr">
        <is>
          <t>10263</t>
        </is>
      </c>
      <c r="C908" s="10" t="n">
        <v>45684.43711805555</v>
      </c>
      <c r="D908" s="10" t="n">
        <v>45684.43972222223</v>
      </c>
      <c r="E908" s="10" t="n">
        <v>45684.44994212963</v>
      </c>
      <c r="F908" s="10" t="n">
        <v>45684.45202546296</v>
      </c>
      <c r="G908" s="3" t="inlineStr">
        <is>
          <t>OBT270125161730-St. Veit an der Glan</t>
        </is>
      </c>
      <c r="H908" s="10" t="n">
        <v>45684.67881944445</v>
      </c>
      <c r="I908" s="10" t="n">
        <v>45685.57075231482</v>
      </c>
      <c r="J908" s="10" t="n">
        <v>45685.57152777778</v>
      </c>
      <c r="K908" s="11">
        <f>IF(AND(ISNUMBER(D908),ISNUMBER(E908)),(E908-D908),"")</f>
        <v/>
      </c>
      <c r="L908" s="11">
        <f>IF(AND(ISNUMBER(F908),ISNUMBER(I908)),(I908-F908),"")</f>
        <v/>
      </c>
    </row>
    <row r="909">
      <c r="A909" s="3" t="inlineStr">
        <is>
          <t>1026401</t>
        </is>
      </c>
      <c r="B909" s="3" t="inlineStr">
        <is>
          <t>10264</t>
        </is>
      </c>
      <c r="C909" s="10" t="n">
        <v>45684.52861111111</v>
      </c>
      <c r="D909" s="10" t="n">
        <v>45684.53069444445</v>
      </c>
      <c r="E909" s="10" t="n">
        <v>45684.53606481481</v>
      </c>
      <c r="F909" s="10" t="n">
        <v>45684.53824074074</v>
      </c>
      <c r="G909" s="3" t="inlineStr">
        <is>
          <t>OBT270125125831-Wien Kledering</t>
        </is>
      </c>
      <c r="H909" s="10" t="n">
        <v>45684.54063657407</v>
      </c>
      <c r="I909" s="10" t="n">
        <v>45685.45054398148</v>
      </c>
      <c r="J909" s="10" t="n">
        <v>45685.45163194444</v>
      </c>
      <c r="K909" s="11">
        <f>IF(AND(ISNUMBER(D909),ISNUMBER(E909)),(E909-D909),"")</f>
        <v/>
      </c>
      <c r="L909" s="11">
        <f>IF(AND(ISNUMBER(F909),ISNUMBER(I909)),(I909-F909),"")</f>
        <v/>
      </c>
    </row>
    <row r="910">
      <c r="A910" s="3" t="inlineStr">
        <is>
          <t>1026501</t>
        </is>
      </c>
      <c r="B910" s="3" t="inlineStr">
        <is>
          <t>10265</t>
        </is>
      </c>
      <c r="C910" s="10" t="n">
        <v>45684.59751157407</v>
      </c>
      <c r="D910" s="10" t="n">
        <v>45684.59998842593</v>
      </c>
      <c r="E910" s="10" t="n">
        <v>45684.60670138889</v>
      </c>
      <c r="F910" s="10" t="n">
        <v>45684.60950231482</v>
      </c>
      <c r="G910" s="3" t="inlineStr">
        <is>
          <t>OBT270125144049-Wien Kledering</t>
        </is>
      </c>
      <c r="H910" s="10" t="n">
        <v>45684.61167824074</v>
      </c>
      <c r="I910" s="10" t="n">
        <v>45685.52165509259</v>
      </c>
      <c r="J910" s="10" t="n">
        <v>45685.52307870371</v>
      </c>
      <c r="K910" s="11">
        <f>IF(AND(ISNUMBER(D910),ISNUMBER(E910)),(E910-D910),"")</f>
        <v/>
      </c>
      <c r="L910" s="11">
        <f>IF(AND(ISNUMBER(F910),ISNUMBER(I910)),(I910-F910),"")</f>
        <v/>
      </c>
    </row>
    <row r="911">
      <c r="A911" s="3" t="inlineStr">
        <is>
          <t>1026601</t>
        </is>
      </c>
      <c r="B911" s="3" t="inlineStr">
        <is>
          <t>10266</t>
        </is>
      </c>
      <c r="C911" s="10" t="n">
        <v>45684.64305555556</v>
      </c>
      <c r="D911" s="10" t="n">
        <v>45684.64430555556</v>
      </c>
      <c r="E911" s="10" t="n">
        <v>45684.64809027778</v>
      </c>
      <c r="F911" s="10" t="n">
        <v>45684.65017361111</v>
      </c>
      <c r="G911" s="3" t="inlineStr">
        <is>
          <t>OBT270125162126-Wien Kledering</t>
        </is>
      </c>
      <c r="H911" s="10" t="n">
        <v>45684.68155092592</v>
      </c>
      <c r="I911" s="10" t="n">
        <v>45685.66355324074</v>
      </c>
      <c r="J911" s="10" t="n">
        <v>45685.66481481482</v>
      </c>
      <c r="K911" s="11">
        <f>IF(AND(ISNUMBER(D911),ISNUMBER(E911)),(E911-D911),"")</f>
        <v/>
      </c>
      <c r="L911" s="11">
        <f>IF(AND(ISNUMBER(F911),ISNUMBER(I911)),(I911-F911),"")</f>
        <v/>
      </c>
    </row>
    <row r="912">
      <c r="A912" s="3" t="inlineStr">
        <is>
          <t>1026701</t>
        </is>
      </c>
      <c r="B912" s="3" t="inlineStr">
        <is>
          <t>10267</t>
        </is>
      </c>
      <c r="C912" s="10" t="n">
        <v>45684.66283564815</v>
      </c>
      <c r="D912" s="10" t="n">
        <v>45684.6653125</v>
      </c>
      <c r="E912" s="10" t="n">
        <v>45684.6730787037</v>
      </c>
      <c r="F912" s="10" t="n">
        <v>45684.67525462963</v>
      </c>
      <c r="G912" s="3" t="inlineStr">
        <is>
          <t>OBT270125161730-St. Veit an der Glan</t>
        </is>
      </c>
      <c r="H912" s="10" t="n">
        <v>45684.67881944445</v>
      </c>
      <c r="I912" s="10" t="n">
        <v>45685.57075231482</v>
      </c>
      <c r="J912" s="10" t="n">
        <v>45685.57152777778</v>
      </c>
      <c r="K912" s="11">
        <f>IF(AND(ISNUMBER(D912),ISNUMBER(E912)),(E912-D912),"")</f>
        <v/>
      </c>
      <c r="L912" s="11">
        <f>IF(AND(ISNUMBER(F912),ISNUMBER(I912)),(I912-F912),"")</f>
        <v/>
      </c>
    </row>
    <row r="913">
      <c r="A913" s="3" t="inlineStr">
        <is>
          <t>1026702</t>
        </is>
      </c>
      <c r="B913" s="3" t="inlineStr">
        <is>
          <t>10267</t>
        </is>
      </c>
      <c r="C913" s="10" t="n">
        <v>45684.66283564815</v>
      </c>
      <c r="D913" s="10" t="n">
        <v>45684.6653125</v>
      </c>
      <c r="E913" s="10" t="n">
        <v>45684.67525462963</v>
      </c>
      <c r="F913" s="10" t="n">
        <v>45684.67765046296</v>
      </c>
      <c r="G913" s="3" t="inlineStr">
        <is>
          <t>OBT270125162126-Wien Kledering</t>
        </is>
      </c>
      <c r="H913" s="10" t="n">
        <v>45684.68155092592</v>
      </c>
      <c r="I913" s="10" t="n">
        <v>45685.66355324074</v>
      </c>
      <c r="J913" s="10" t="n">
        <v>45685.66481481482</v>
      </c>
      <c r="K913" s="11">
        <f>IF(AND(ISNUMBER(D913),ISNUMBER(E913)),(E913-D913),"")</f>
        <v/>
      </c>
      <c r="L913" s="11">
        <f>IF(AND(ISNUMBER(F913),ISNUMBER(I913)),(I913-F913),"")</f>
        <v/>
      </c>
    </row>
    <row r="914">
      <c r="A914" s="3" t="inlineStr">
        <is>
          <t>1026801</t>
        </is>
      </c>
      <c r="B914" s="3" t="inlineStr">
        <is>
          <t>10268</t>
        </is>
      </c>
      <c r="C914" s="10" t="n">
        <v>45684.73018518519</v>
      </c>
      <c r="D914" s="10" t="n">
        <v>45684.73231481481</v>
      </c>
      <c r="E914" s="10" t="n">
        <v>45684.73784722222</v>
      </c>
      <c r="F914" s="10" t="n">
        <v>45684.7397337963</v>
      </c>
      <c r="G914" s="3" t="inlineStr">
        <is>
          <t>OBT270125174840-Wien Kledering</t>
        </is>
      </c>
      <c r="H914" s="10" t="n">
        <v>45684.74212962963</v>
      </c>
      <c r="I914" s="10" t="n">
        <v>45685.67431712963</v>
      </c>
      <c r="J914" s="10" t="n">
        <v>45685.67533564815</v>
      </c>
      <c r="K914" s="11">
        <f>IF(AND(ISNUMBER(D914),ISNUMBER(E914)),(E914-D914),"")</f>
        <v/>
      </c>
      <c r="L914" s="11">
        <f>IF(AND(ISNUMBER(F914),ISNUMBER(I914)),(I914-F914),"")</f>
        <v/>
      </c>
    </row>
    <row r="915">
      <c r="A915" s="3" t="inlineStr">
        <is>
          <t>1026901</t>
        </is>
      </c>
      <c r="B915" s="3" t="inlineStr">
        <is>
          <t>10269</t>
        </is>
      </c>
      <c r="C915" s="10" t="n">
        <v>45684.73627314815</v>
      </c>
      <c r="D915" s="10" t="n">
        <v>45684.73846064815</v>
      </c>
      <c r="E915" s="10" t="n">
        <v>45684.74787037037</v>
      </c>
      <c r="F915" s="10" t="n">
        <v>45684.75043981482</v>
      </c>
      <c r="G915" s="3" t="inlineStr">
        <is>
          <t>OBT270125180405-Wien Kledering</t>
        </is>
      </c>
      <c r="H915" s="10" t="n">
        <v>45684.75283564815</v>
      </c>
      <c r="I915" s="10" t="n">
        <v>45685.70726851852</v>
      </c>
      <c r="J915" s="10" t="n">
        <v>45685.70836805556</v>
      </c>
      <c r="K915" s="11">
        <f>IF(AND(ISNUMBER(D915),ISNUMBER(E915)),(E915-D915),"")</f>
        <v/>
      </c>
      <c r="L915" s="11">
        <f>IF(AND(ISNUMBER(F915),ISNUMBER(I915)),(I915-F915),"")</f>
        <v/>
      </c>
    </row>
    <row r="916">
      <c r="A916" s="3" t="inlineStr">
        <is>
          <t>1026902</t>
        </is>
      </c>
      <c r="B916" s="3" t="inlineStr">
        <is>
          <t>10269</t>
        </is>
      </c>
      <c r="C916" s="10" t="n">
        <v>45684.73627314815</v>
      </c>
      <c r="D916" s="10" t="n">
        <v>45684.73846064815</v>
      </c>
      <c r="E916" s="10" t="n">
        <v>45684.75043981482</v>
      </c>
      <c r="F916" s="10" t="n">
        <v>45684.75252314815</v>
      </c>
      <c r="G916" s="3" t="inlineStr">
        <is>
          <t>OBT280125031334-St. Veit an der Glan</t>
        </is>
      </c>
      <c r="H916" s="10" t="n">
        <v>45685.13442129629</v>
      </c>
      <c r="I916" s="10" t="n">
        <v>45686.15229166667</v>
      </c>
      <c r="J916" s="10" t="n">
        <v>45686.1530787037</v>
      </c>
      <c r="K916" s="11">
        <f>IF(AND(ISNUMBER(D916),ISNUMBER(E916)),(E916-D916),"")</f>
        <v/>
      </c>
      <c r="L916" s="11">
        <f>IF(AND(ISNUMBER(F916),ISNUMBER(I916)),(I916-F916),"")</f>
        <v/>
      </c>
    </row>
    <row r="917">
      <c r="A917" s="3" t="inlineStr">
        <is>
          <t>1026903</t>
        </is>
      </c>
      <c r="B917" s="3" t="inlineStr">
        <is>
          <t>10269</t>
        </is>
      </c>
      <c r="C917" s="10" t="n">
        <v>45684.73627314815</v>
      </c>
      <c r="D917" s="10" t="n">
        <v>45684.73846064815</v>
      </c>
      <c r="E917" s="10" t="n">
        <v>45684.75252314815</v>
      </c>
      <c r="F917" s="10" t="n">
        <v>45684.75385416667</v>
      </c>
      <c r="G917" s="3" t="inlineStr">
        <is>
          <t>OBT270125212041-Wien Kledering</t>
        </is>
      </c>
      <c r="H917" s="10" t="n">
        <v>45684.88936342593</v>
      </c>
      <c r="I917" s="10" t="n">
        <v>45685.90101851852</v>
      </c>
      <c r="J917" s="10" t="n">
        <v>45685.90248842593</v>
      </c>
      <c r="K917" s="11">
        <f>IF(AND(ISNUMBER(D917),ISNUMBER(E917)),(E917-D917),"")</f>
        <v/>
      </c>
      <c r="L917" s="11">
        <f>IF(AND(ISNUMBER(F917),ISNUMBER(I917)),(I917-F917),"")</f>
        <v/>
      </c>
    </row>
    <row r="918">
      <c r="A918" s="3" t="inlineStr">
        <is>
          <t>1027001</t>
        </is>
      </c>
      <c r="B918" s="3" t="inlineStr">
        <is>
          <t>10270</t>
        </is>
      </c>
      <c r="C918" s="10" t="n">
        <v>45684.87395833333</v>
      </c>
      <c r="D918" s="10" t="n">
        <v>45684.87646990741</v>
      </c>
      <c r="E918" s="10" t="n">
        <v>45684.88331018519</v>
      </c>
      <c r="F918" s="10" t="n">
        <v>45684.88546296296</v>
      </c>
      <c r="G918" s="3" t="inlineStr">
        <is>
          <t>OBT270125212041-Wien Kledering</t>
        </is>
      </c>
      <c r="H918" s="10" t="n">
        <v>45684.88936342593</v>
      </c>
      <c r="I918" s="10" t="n">
        <v>45685.90101851852</v>
      </c>
      <c r="J918" s="10" t="n">
        <v>45685.90248842593</v>
      </c>
      <c r="K918" s="11">
        <f>IF(AND(ISNUMBER(D918),ISNUMBER(E918)),(E918-D918),"")</f>
        <v/>
      </c>
      <c r="L918" s="11">
        <f>IF(AND(ISNUMBER(F918),ISNUMBER(I918)),(I918-F918),"")</f>
        <v/>
      </c>
    </row>
    <row r="919">
      <c r="A919" s="3" t="inlineStr">
        <is>
          <t>1027101</t>
        </is>
      </c>
      <c r="B919" s="3" t="inlineStr">
        <is>
          <t>10271</t>
        </is>
      </c>
      <c r="C919" s="10" t="n">
        <v>45685.11961805556</v>
      </c>
      <c r="D919" s="10" t="n">
        <v>45685.12155092593</v>
      </c>
      <c r="E919" s="10" t="n">
        <v>45685.1285300926</v>
      </c>
      <c r="F919" s="10" t="n">
        <v>45685.13049768518</v>
      </c>
      <c r="G919" s="3" t="inlineStr">
        <is>
          <t>OBT280125031334-St. Veit an der Glan</t>
        </is>
      </c>
      <c r="H919" s="10" t="n">
        <v>45685.13442129629</v>
      </c>
      <c r="I919" s="10" t="n">
        <v>45686.15229166667</v>
      </c>
      <c r="J919" s="10" t="n">
        <v>45686.1530787037</v>
      </c>
      <c r="K919" s="11">
        <f>IF(AND(ISNUMBER(D919),ISNUMBER(E919)),(E919-D919),"")</f>
        <v/>
      </c>
      <c r="L919" s="11">
        <f>IF(AND(ISNUMBER(F919),ISNUMBER(I919)),(I919-F919),"")</f>
        <v/>
      </c>
    </row>
    <row r="920">
      <c r="A920" s="3" t="inlineStr">
        <is>
          <t>1027102</t>
        </is>
      </c>
      <c r="B920" s="3" t="inlineStr">
        <is>
          <t>10271</t>
        </is>
      </c>
      <c r="C920" s="10" t="n">
        <v>45685.11961805556</v>
      </c>
      <c r="D920" s="10" t="n">
        <v>45685.12155092593</v>
      </c>
      <c r="E920" s="10" t="n">
        <v>45685.13049768518</v>
      </c>
      <c r="F920" s="10" t="n">
        <v>45685.13186342592</v>
      </c>
      <c r="G920" s="3" t="inlineStr">
        <is>
          <t>OBT280125031301-Neunkirchen (loading tracks)</t>
        </is>
      </c>
      <c r="H920" s="10" t="n">
        <v>45685.13403935185</v>
      </c>
      <c r="I920" s="10" t="n">
        <v>45685.905</v>
      </c>
      <c r="J920" s="10" t="n">
        <v>45685.90570601852</v>
      </c>
      <c r="K920" s="11">
        <f>IF(AND(ISNUMBER(D920),ISNUMBER(E920)),(E920-D920),"")</f>
        <v/>
      </c>
      <c r="L920" s="11">
        <f>IF(AND(ISNUMBER(F920),ISNUMBER(I920)),(I920-F920),"")</f>
        <v/>
      </c>
    </row>
    <row r="921">
      <c r="A921" s="3" t="inlineStr">
        <is>
          <t>1027103</t>
        </is>
      </c>
      <c r="B921" s="3" t="inlineStr">
        <is>
          <t>10271</t>
        </is>
      </c>
      <c r="C921" s="10" t="n">
        <v>45685.11961805556</v>
      </c>
      <c r="D921" s="10" t="n">
        <v>45685.12155092593</v>
      </c>
      <c r="E921" s="10" t="n">
        <v>45685.13186342592</v>
      </c>
      <c r="F921" s="10" t="n">
        <v>45685.13381944445</v>
      </c>
      <c r="G921" s="3" t="inlineStr">
        <is>
          <t>OBT290125093729-Other sidings south</t>
        </is>
      </c>
      <c r="H921" s="10" t="n">
        <v>45686.40103009259</v>
      </c>
      <c r="I921" s="10" t="n">
        <v>45687.36755787037</v>
      </c>
      <c r="J921" s="10" t="n">
        <v>45687.36836805556</v>
      </c>
      <c r="K921" s="11">
        <f>IF(AND(ISNUMBER(D921),ISNUMBER(E921)),(E921-D921),"")</f>
        <v/>
      </c>
      <c r="L921" s="11">
        <f>IF(AND(ISNUMBER(F921),ISNUMBER(I921)),(I921-F921),"")</f>
        <v/>
      </c>
    </row>
    <row r="922">
      <c r="A922" s="3" t="inlineStr">
        <is>
          <t>1027201</t>
        </is>
      </c>
      <c r="B922" s="3" t="inlineStr">
        <is>
          <t>10272</t>
        </is>
      </c>
      <c r="C922" s="10" t="n">
        <v>45685.27017361111</v>
      </c>
      <c r="D922" s="10" t="n">
        <v>45685.27245370371</v>
      </c>
      <c r="E922" s="10" t="n">
        <v>45685.2784837963</v>
      </c>
      <c r="F922" s="10" t="n">
        <v>45685.28075231481</v>
      </c>
      <c r="G922" s="3" t="inlineStr">
        <is>
          <t>OBT280125064741-Wien Kledering</t>
        </is>
      </c>
      <c r="H922" s="10" t="n">
        <v>45685.28311342592</v>
      </c>
      <c r="I922" s="10" t="n">
        <v>45686.2406712963</v>
      </c>
      <c r="J922" s="10" t="n">
        <v>45686.24194444445</v>
      </c>
      <c r="K922" s="11">
        <f>IF(AND(ISNUMBER(D922),ISNUMBER(E922)),(E922-D922),"")</f>
        <v/>
      </c>
      <c r="L922" s="11">
        <f>IF(AND(ISNUMBER(F922),ISNUMBER(I922)),(I922-F922),"")</f>
        <v/>
      </c>
    </row>
    <row r="923">
      <c r="A923" s="3" t="inlineStr">
        <is>
          <t>1027301</t>
        </is>
      </c>
      <c r="B923" s="3" t="inlineStr">
        <is>
          <t>10273</t>
        </is>
      </c>
      <c r="C923" s="10" t="n">
        <v>45685.29991898148</v>
      </c>
      <c r="D923" s="10" t="n">
        <v>45685.30219907407</v>
      </c>
      <c r="E923" s="10" t="n">
        <v>45685.31473379629</v>
      </c>
      <c r="F923" s="10" t="n">
        <v>45685.31591435185</v>
      </c>
      <c r="G923" s="3" t="inlineStr">
        <is>
          <t>OBT280125095318-Wr. Neustadt (Hödlmayr)</t>
        </is>
      </c>
      <c r="H923" s="10" t="n">
        <v>45685.41201388889</v>
      </c>
      <c r="I923" s="10" t="n">
        <v>45686.34131944444</v>
      </c>
      <c r="J923" s="10" t="n">
        <v>45686.34203703704</v>
      </c>
      <c r="K923" s="11">
        <f>IF(AND(ISNUMBER(D923),ISNUMBER(E923)),(E923-D923),"")</f>
        <v/>
      </c>
      <c r="L923" s="11">
        <f>IF(AND(ISNUMBER(F923),ISNUMBER(I923)),(I923-F923),"")</f>
        <v/>
      </c>
    </row>
    <row r="924">
      <c r="A924" s="3" t="inlineStr">
        <is>
          <t>1027302</t>
        </is>
      </c>
      <c r="B924" s="3" t="inlineStr">
        <is>
          <t>10273</t>
        </is>
      </c>
      <c r="C924" s="10" t="n">
        <v>45685.29991898148</v>
      </c>
      <c r="D924" s="10" t="n">
        <v>45685.30219907407</v>
      </c>
      <c r="E924" s="10" t="n">
        <v>45685.31591435185</v>
      </c>
      <c r="F924" s="10" t="n">
        <v>45685.3170949074</v>
      </c>
      <c r="G924" s="3" t="inlineStr">
        <is>
          <t>OBT280125095318-Wr. Neustadt (Hödlmayr)</t>
        </is>
      </c>
      <c r="H924" s="10" t="n">
        <v>45685.41201388889</v>
      </c>
      <c r="I924" s="10" t="n">
        <v>45686.34131944444</v>
      </c>
      <c r="J924" s="10" t="n">
        <v>45686.34203703704</v>
      </c>
      <c r="K924" s="11">
        <f>IF(AND(ISNUMBER(D924),ISNUMBER(E924)),(E924-D924),"")</f>
        <v/>
      </c>
      <c r="L924" s="11">
        <f>IF(AND(ISNUMBER(F924),ISNUMBER(I924)),(I924-F924),"")</f>
        <v/>
      </c>
    </row>
    <row r="925">
      <c r="A925" s="3" t="inlineStr">
        <is>
          <t>1027303</t>
        </is>
      </c>
      <c r="B925" s="3" t="inlineStr">
        <is>
          <t>10273</t>
        </is>
      </c>
      <c r="C925" s="10" t="n">
        <v>45685.29991898148</v>
      </c>
      <c r="D925" s="10" t="n">
        <v>45685.30219907407</v>
      </c>
      <c r="E925" s="10" t="n">
        <v>45685.3170949074</v>
      </c>
      <c r="F925" s="10" t="n">
        <v>45685.31869212963</v>
      </c>
      <c r="G925" s="3" t="inlineStr">
        <is>
          <t>OBT280125095752-Neudörfl (FunderMax)</t>
        </is>
      </c>
      <c r="H925" s="10" t="n">
        <v>45685.41518518519</v>
      </c>
      <c r="I925" s="10" t="n">
        <v>45686.3789699074</v>
      </c>
      <c r="J925" s="10" t="n">
        <v>45686.37979166667</v>
      </c>
      <c r="K925" s="11">
        <f>IF(AND(ISNUMBER(D925),ISNUMBER(E925)),(E925-D925),"")</f>
        <v/>
      </c>
      <c r="L925" s="11">
        <f>IF(AND(ISNUMBER(F925),ISNUMBER(I925)),(I925-F925),"")</f>
        <v/>
      </c>
    </row>
    <row r="926">
      <c r="A926" s="3" t="inlineStr">
        <is>
          <t>1027304</t>
        </is>
      </c>
      <c r="B926" s="3" t="inlineStr">
        <is>
          <t>10273</t>
        </is>
      </c>
      <c r="C926" s="10" t="n">
        <v>45685.29991898148</v>
      </c>
      <c r="D926" s="10" t="n">
        <v>45685.30219907407</v>
      </c>
      <c r="E926" s="10" t="n">
        <v>45685.31869212963</v>
      </c>
      <c r="F926" s="10" t="n">
        <v>45685.31996527778</v>
      </c>
      <c r="G926" s="3" t="inlineStr">
        <is>
          <t>OBT300125081010-Wr. Neustadt (Brenntag)</t>
        </is>
      </c>
      <c r="H926" s="10" t="n">
        <v>45687.34039351852</v>
      </c>
      <c r="I926" s="10" t="n">
        <v>45688.32527777777</v>
      </c>
      <c r="J926" s="10" t="n">
        <v>45688.32615740741</v>
      </c>
      <c r="K926" s="11">
        <f>IF(AND(ISNUMBER(D926),ISNUMBER(E926)),(E926-D926),"")</f>
        <v/>
      </c>
      <c r="L926" s="11">
        <f>IF(AND(ISNUMBER(F926),ISNUMBER(I926)),(I926-F926),"")</f>
        <v/>
      </c>
    </row>
    <row r="927">
      <c r="A927" s="3" t="inlineStr">
        <is>
          <t>1027305</t>
        </is>
      </c>
      <c r="B927" s="3" t="inlineStr">
        <is>
          <t>10273</t>
        </is>
      </c>
      <c r="C927" s="10" t="n">
        <v>45685.29991898148</v>
      </c>
      <c r="D927" s="10" t="n">
        <v>45685.30219907407</v>
      </c>
      <c r="E927" s="10" t="n">
        <v>45685.31996527778</v>
      </c>
      <c r="F927" s="10" t="n">
        <v>45685.32208333333</v>
      </c>
      <c r="G927" s="3" t="inlineStr">
        <is>
          <t>OBT280125075210-Pitten (Hamburger)</t>
        </is>
      </c>
      <c r="H927" s="10" t="n">
        <v>45685.32789351852</v>
      </c>
      <c r="I927" s="10" t="n">
        <v>45686.29232638889</v>
      </c>
      <c r="J927" s="10" t="n">
        <v>45686.29297453703</v>
      </c>
      <c r="K927" s="11">
        <f>IF(AND(ISNUMBER(D927),ISNUMBER(E927)),(E927-D927),"")</f>
        <v/>
      </c>
      <c r="L927" s="11">
        <f>IF(AND(ISNUMBER(F927),ISNUMBER(I927)),(I927-F927),"")</f>
        <v/>
      </c>
    </row>
    <row r="928">
      <c r="A928" s="3" t="inlineStr">
        <is>
          <t>1027307</t>
        </is>
      </c>
      <c r="B928" s="3" t="inlineStr">
        <is>
          <t>10273</t>
        </is>
      </c>
      <c r="C928" s="10" t="n">
        <v>45685.29991898148</v>
      </c>
      <c r="D928" s="10" t="n">
        <v>45685.30219907407</v>
      </c>
      <c r="E928" s="10" t="n">
        <v>45685.32208333333</v>
      </c>
      <c r="F928" s="10" t="n">
        <v>45685.32399305556</v>
      </c>
      <c r="G928" s="3" t="inlineStr">
        <is>
          <t>OBT280125075210-Pitten (Hamburger)</t>
        </is>
      </c>
      <c r="H928" s="10" t="n">
        <v>45685.32789351852</v>
      </c>
      <c r="I928" s="10" t="n">
        <v>45686.29232638889</v>
      </c>
      <c r="J928" s="10" t="n">
        <v>45686.29297453703</v>
      </c>
      <c r="K928" s="11">
        <f>IF(AND(ISNUMBER(D928),ISNUMBER(E928)),(E928-D928),"")</f>
        <v/>
      </c>
      <c r="L928" s="11">
        <f>IF(AND(ISNUMBER(F928),ISNUMBER(I928)),(I928-F928),"")</f>
        <v/>
      </c>
    </row>
    <row r="929">
      <c r="A929" s="3" t="inlineStr">
        <is>
          <t>1027701</t>
        </is>
      </c>
      <c r="B929" s="3" t="inlineStr">
        <is>
          <t>10277</t>
        </is>
      </c>
      <c r="C929" s="10" t="n">
        <v>45685.37877314815</v>
      </c>
      <c r="D929" s="10" t="n">
        <v>45685.38087962963</v>
      </c>
      <c r="E929" s="10" t="n">
        <v>45685.38739583334</v>
      </c>
      <c r="F929" s="10" t="n">
        <v>45685.38944444444</v>
      </c>
      <c r="G929" s="3" t="inlineStr">
        <is>
          <t>OBT280125105241-Wien Kledering</t>
        </is>
      </c>
      <c r="H929" s="10" t="n">
        <v>45685.45325231482</v>
      </c>
      <c r="I929" s="10" t="n">
        <v>45686.44287037037</v>
      </c>
      <c r="J929" s="10" t="n">
        <v>45686.44371527778</v>
      </c>
      <c r="K929" s="11">
        <f>IF(AND(ISNUMBER(D929),ISNUMBER(E929)),(E929-D929),"")</f>
        <v/>
      </c>
      <c r="L929" s="11">
        <f>IF(AND(ISNUMBER(F929),ISNUMBER(I929)),(I929-F929),"")</f>
        <v/>
      </c>
    </row>
    <row r="930">
      <c r="A930" s="3" t="inlineStr">
        <is>
          <t>1027702</t>
        </is>
      </c>
      <c r="B930" s="3" t="inlineStr">
        <is>
          <t>10277</t>
        </is>
      </c>
      <c r="C930" s="10" t="n">
        <v>45685.37877314815</v>
      </c>
      <c r="D930" s="10" t="n">
        <v>45685.38087962963</v>
      </c>
      <c r="E930" s="10" t="n">
        <v>45685.38944444444</v>
      </c>
      <c r="F930" s="10" t="n">
        <v>45685.39171296296</v>
      </c>
      <c r="G930" s="3" t="inlineStr">
        <is>
          <t>OBT280125092731-St. Veit an der Glan</t>
        </is>
      </c>
      <c r="H930" s="10" t="n">
        <v>45685.3941087963</v>
      </c>
      <c r="I930" s="10" t="n">
        <v>45686.34268518518</v>
      </c>
      <c r="J930" s="10" t="n">
        <v>45686.34357638889</v>
      </c>
      <c r="K930" s="11">
        <f>IF(AND(ISNUMBER(D930),ISNUMBER(E930)),(E930-D930),"")</f>
        <v/>
      </c>
      <c r="L930" s="11">
        <f>IF(AND(ISNUMBER(F930),ISNUMBER(I930)),(I930-F930),"")</f>
        <v/>
      </c>
    </row>
    <row r="931">
      <c r="A931" s="3" t="inlineStr">
        <is>
          <t>1027601</t>
        </is>
      </c>
      <c r="B931" s="3" t="inlineStr">
        <is>
          <t>10276</t>
        </is>
      </c>
      <c r="C931" s="10" t="n">
        <v>45685.36489583334</v>
      </c>
      <c r="D931" s="10" t="n">
        <v>45685.36739583333</v>
      </c>
      <c r="E931" s="10" t="n">
        <v>45685.39259259259</v>
      </c>
      <c r="F931" s="10" t="n">
        <v>45685.39380787037</v>
      </c>
      <c r="G931" s="3" t="inlineStr">
        <is>
          <t>OBT280125095318-Wr. Neustadt (Hödlmayr)</t>
        </is>
      </c>
      <c r="H931" s="10" t="n">
        <v>45685.41201388889</v>
      </c>
      <c r="I931" s="10" t="n">
        <v>45686.34131944444</v>
      </c>
      <c r="J931" s="10" t="n">
        <v>45686.34203703704</v>
      </c>
      <c r="K931" s="11">
        <f>IF(AND(ISNUMBER(D931),ISNUMBER(E931)),(E931-D931),"")</f>
        <v/>
      </c>
      <c r="L931" s="11">
        <f>IF(AND(ISNUMBER(F931),ISNUMBER(I931)),(I931-F931),"")</f>
        <v/>
      </c>
    </row>
    <row r="932">
      <c r="A932" s="3" t="inlineStr">
        <is>
          <t>1027602</t>
        </is>
      </c>
      <c r="B932" s="3" t="inlineStr">
        <is>
          <t>10276</t>
        </is>
      </c>
      <c r="C932" s="10" t="n">
        <v>45685.36489583334</v>
      </c>
      <c r="D932" s="10" t="n">
        <v>45685.36739583333</v>
      </c>
      <c r="E932" s="10" t="n">
        <v>45685.39380787037</v>
      </c>
      <c r="F932" s="10" t="n">
        <v>45685.39569444444</v>
      </c>
      <c r="G932" s="3" t="inlineStr">
        <is>
          <t>OBT280125105241-Wien Kledering</t>
        </is>
      </c>
      <c r="H932" s="10" t="n">
        <v>45685.45325231482</v>
      </c>
      <c r="I932" s="10" t="n">
        <v>45686.44287037037</v>
      </c>
      <c r="J932" s="10" t="n">
        <v>45686.44371527778</v>
      </c>
      <c r="K932" s="11">
        <f>IF(AND(ISNUMBER(D932),ISNUMBER(E932)),(E932-D932),"")</f>
        <v/>
      </c>
      <c r="L932" s="11">
        <f>IF(AND(ISNUMBER(F932),ISNUMBER(I932)),(I932-F932),"")</f>
        <v/>
      </c>
    </row>
    <row r="933">
      <c r="A933" s="3" t="inlineStr">
        <is>
          <t>1027603</t>
        </is>
      </c>
      <c r="B933" s="3" t="inlineStr">
        <is>
          <t>10276</t>
        </is>
      </c>
      <c r="C933" s="10" t="n">
        <v>45685.36489583334</v>
      </c>
      <c r="D933" s="10" t="n">
        <v>45685.36739583333</v>
      </c>
      <c r="E933" s="10" t="n">
        <v>45685.39569444444</v>
      </c>
      <c r="F933" s="10" t="n">
        <v>45685.39682870371</v>
      </c>
      <c r="G933" s="3" t="inlineStr">
        <is>
          <t>OBT280125095318-Wr. Neustadt (Hödlmayr)</t>
        </is>
      </c>
      <c r="H933" s="10" t="n">
        <v>45685.41201388889</v>
      </c>
      <c r="I933" s="10" t="n">
        <v>45686.34131944444</v>
      </c>
      <c r="J933" s="10" t="n">
        <v>45686.34203703704</v>
      </c>
      <c r="K933" s="11">
        <f>IF(AND(ISNUMBER(D933),ISNUMBER(E933)),(E933-D933),"")</f>
        <v/>
      </c>
      <c r="L933" s="11">
        <f>IF(AND(ISNUMBER(F933),ISNUMBER(I933)),(I933-F933),"")</f>
        <v/>
      </c>
    </row>
    <row r="934">
      <c r="A934" s="3" t="inlineStr">
        <is>
          <t>1027604</t>
        </is>
      </c>
      <c r="B934" s="3" t="inlineStr">
        <is>
          <t>10276</t>
        </is>
      </c>
      <c r="C934" s="10" t="n">
        <v>45685.36489583334</v>
      </c>
      <c r="D934" s="10" t="n">
        <v>45685.36739583333</v>
      </c>
      <c r="E934" s="10" t="n">
        <v>45685.39682870371</v>
      </c>
      <c r="F934" s="10" t="n">
        <v>45685.39875</v>
      </c>
      <c r="G934" s="3" t="inlineStr">
        <is>
          <t>OBT290125073710-Wien Kledering</t>
        </is>
      </c>
      <c r="H934" s="10" t="n">
        <v>45686.31747685185</v>
      </c>
      <c r="I934" s="10" t="n">
        <v>45687.36836805556</v>
      </c>
      <c r="J934" s="10" t="n">
        <v>45687.36982638889</v>
      </c>
      <c r="K934" s="11">
        <f>IF(AND(ISNUMBER(D934),ISNUMBER(E934)),(E934-D934),"")</f>
        <v/>
      </c>
      <c r="L934" s="11">
        <f>IF(AND(ISNUMBER(F934),ISNUMBER(I934)),(I934-F934),"")</f>
        <v/>
      </c>
    </row>
    <row r="935">
      <c r="A935" s="3" t="inlineStr">
        <is>
          <t>1027605</t>
        </is>
      </c>
      <c r="B935" s="3" t="inlineStr">
        <is>
          <t>10276</t>
        </is>
      </c>
      <c r="C935" s="10" t="n">
        <v>45685.36489583334</v>
      </c>
      <c r="D935" s="10" t="n">
        <v>45685.36739583333</v>
      </c>
      <c r="E935" s="10" t="n">
        <v>45685.39875</v>
      </c>
      <c r="F935" s="10" t="n">
        <v>45685.40003472222</v>
      </c>
      <c r="G935" s="3" t="inlineStr">
        <is>
          <t>OBT300125081010-Wr. Neustadt (Brenntag)</t>
        </is>
      </c>
      <c r="H935" s="10" t="n">
        <v>45687.34039351852</v>
      </c>
      <c r="I935" s="10" t="n">
        <v>45688.32527777777</v>
      </c>
      <c r="J935" s="10" t="n">
        <v>45688.32615740741</v>
      </c>
      <c r="K935" s="11">
        <f>IF(AND(ISNUMBER(D935),ISNUMBER(E935)),(E935-D935),"")</f>
        <v/>
      </c>
      <c r="L935" s="11">
        <f>IF(AND(ISNUMBER(F935),ISNUMBER(I935)),(I935-F935),"")</f>
        <v/>
      </c>
    </row>
    <row r="936">
      <c r="A936" s="3" t="inlineStr">
        <is>
          <t>1027606</t>
        </is>
      </c>
      <c r="B936" s="3" t="inlineStr">
        <is>
          <t>10276</t>
        </is>
      </c>
      <c r="C936" s="10" t="n">
        <v>45685.36489583334</v>
      </c>
      <c r="D936" s="10" t="n">
        <v>45685.36739583333</v>
      </c>
      <c r="E936" s="10" t="n">
        <v>45685.40003472222</v>
      </c>
      <c r="F936" s="10" t="n">
        <v>45685.4019675926</v>
      </c>
      <c r="G936" s="3" t="inlineStr">
        <is>
          <t>OBT290125093729-Other sidings south</t>
        </is>
      </c>
      <c r="H936" s="10" t="n">
        <v>45686.40103009259</v>
      </c>
      <c r="I936" s="10" t="n">
        <v>45687.36755787037</v>
      </c>
      <c r="J936" s="10" t="n">
        <v>45687.36836805556</v>
      </c>
      <c r="K936" s="11">
        <f>IF(AND(ISNUMBER(D936),ISNUMBER(E936)),(E936-D936),"")</f>
        <v/>
      </c>
      <c r="L936" s="11">
        <f>IF(AND(ISNUMBER(F936),ISNUMBER(I936)),(I936-F936),"")</f>
        <v/>
      </c>
    </row>
    <row r="937">
      <c r="A937" s="3" t="inlineStr">
        <is>
          <t>1027607</t>
        </is>
      </c>
      <c r="B937" s="3" t="inlineStr">
        <is>
          <t>10276</t>
        </is>
      </c>
      <c r="C937" s="10" t="n">
        <v>45685.36489583334</v>
      </c>
      <c r="D937" s="10" t="n">
        <v>45685.36739583333</v>
      </c>
      <c r="E937" s="10" t="n">
        <v>45685.4019675926</v>
      </c>
      <c r="F937" s="10" t="n">
        <v>45685.40395833334</v>
      </c>
      <c r="G937" s="3" t="inlineStr">
        <is>
          <t>OBT280125151006-Other sidings local</t>
        </is>
      </c>
      <c r="H937" s="10" t="n">
        <v>45685.63201388889</v>
      </c>
      <c r="I937" s="10" t="n">
        <v>45686.67820601852</v>
      </c>
      <c r="J937" s="10" t="n">
        <v>45686.67886574074</v>
      </c>
      <c r="K937" s="11">
        <f>IF(AND(ISNUMBER(D937),ISNUMBER(E937)),(E937-D937),"")</f>
        <v/>
      </c>
      <c r="L937" s="11">
        <f>IF(AND(ISNUMBER(F937),ISNUMBER(I937)),(I937-F937),"")</f>
        <v/>
      </c>
    </row>
    <row r="938">
      <c r="A938" s="3" t="inlineStr">
        <is>
          <t>1027608</t>
        </is>
      </c>
      <c r="B938" s="3" t="inlineStr">
        <is>
          <t>10276</t>
        </is>
      </c>
      <c r="C938" s="10" t="n">
        <v>45685.36489583334</v>
      </c>
      <c r="D938" s="10" t="n">
        <v>45685.36739583333</v>
      </c>
      <c r="E938" s="10" t="n">
        <v>45685.40395833334</v>
      </c>
      <c r="F938" s="10" t="n">
        <v>45685.40510416667</v>
      </c>
      <c r="G938" s="3" t="inlineStr">
        <is>
          <t>OBT280125095318-Wr. Neustadt (Hödlmayr)</t>
        </is>
      </c>
      <c r="H938" s="10" t="n">
        <v>45685.41201388889</v>
      </c>
      <c r="I938" s="10" t="n">
        <v>45686.34131944444</v>
      </c>
      <c r="J938" s="10" t="n">
        <v>45686.34203703704</v>
      </c>
      <c r="K938" s="11">
        <f>IF(AND(ISNUMBER(D938),ISNUMBER(E938)),(E938-D938),"")</f>
        <v/>
      </c>
      <c r="L938" s="11">
        <f>IF(AND(ISNUMBER(F938),ISNUMBER(I938)),(I938-F938),"")</f>
        <v/>
      </c>
    </row>
    <row r="939">
      <c r="A939" s="3" t="inlineStr">
        <is>
          <t>1027609</t>
        </is>
      </c>
      <c r="B939" s="3" t="inlineStr">
        <is>
          <t>10276</t>
        </is>
      </c>
      <c r="C939" s="10" t="n">
        <v>45685.36489583334</v>
      </c>
      <c r="D939" s="10" t="n">
        <v>45685.36739583333</v>
      </c>
      <c r="E939" s="10" t="n">
        <v>45685.40510416667</v>
      </c>
      <c r="F939" s="10" t="n">
        <v>45685.40697916667</v>
      </c>
      <c r="G939" s="3" t="inlineStr">
        <is>
          <t>OBT280125151006-Other sidings local</t>
        </is>
      </c>
      <c r="H939" s="10" t="n">
        <v>45685.63201388889</v>
      </c>
      <c r="I939" s="10" t="n">
        <v>45686.67820601852</v>
      </c>
      <c r="J939" s="10" t="n">
        <v>45686.67886574074</v>
      </c>
      <c r="K939" s="11">
        <f>IF(AND(ISNUMBER(D939),ISNUMBER(E939)),(E939-D939),"")</f>
        <v/>
      </c>
      <c r="L939" s="11">
        <f>IF(AND(ISNUMBER(F939),ISNUMBER(I939)),(I939-F939),"")</f>
        <v/>
      </c>
    </row>
    <row r="940">
      <c r="A940" s="3" t="inlineStr">
        <is>
          <t>1027611</t>
        </is>
      </c>
      <c r="B940" s="3" t="inlineStr">
        <is>
          <t>10276</t>
        </is>
      </c>
      <c r="C940" s="10" t="n">
        <v>45685.36489583334</v>
      </c>
      <c r="D940" s="10" t="n">
        <v>45685.36739583333</v>
      </c>
      <c r="E940" s="10" t="n">
        <v>45685.40697916667</v>
      </c>
      <c r="F940" s="10" t="n">
        <v>45685.408125</v>
      </c>
      <c r="G940" s="3" t="inlineStr">
        <is>
          <t>OBT280125095318-Wr. Neustadt (Hödlmayr)</t>
        </is>
      </c>
      <c r="H940" s="10" t="n">
        <v>45685.41201388889</v>
      </c>
      <c r="I940" s="10" t="n">
        <v>45686.34131944444</v>
      </c>
      <c r="J940" s="10" t="n">
        <v>45686.34203703704</v>
      </c>
      <c r="K940" s="11">
        <f>IF(AND(ISNUMBER(D940),ISNUMBER(E940)),(E940-D940),"")</f>
        <v/>
      </c>
      <c r="L940" s="11">
        <f>IF(AND(ISNUMBER(F940),ISNUMBER(I940)),(I940-F940),"")</f>
        <v/>
      </c>
    </row>
    <row r="941">
      <c r="A941" s="3" t="inlineStr">
        <is>
          <t>1027612</t>
        </is>
      </c>
      <c r="B941" s="3" t="inlineStr">
        <is>
          <t>10276</t>
        </is>
      </c>
      <c r="C941" s="10" t="n">
        <v>45685.36489583334</v>
      </c>
      <c r="D941" s="10" t="n">
        <v>45685.36739583333</v>
      </c>
      <c r="E941" s="10" t="n">
        <v>45685.408125</v>
      </c>
      <c r="F941" s="10" t="n">
        <v>45685.41005787037</v>
      </c>
      <c r="G941" s="3" t="inlineStr">
        <is>
          <t>OBT290125093729-Other sidings south</t>
        </is>
      </c>
      <c r="H941" s="10" t="n">
        <v>45686.40103009259</v>
      </c>
      <c r="I941" s="10" t="n">
        <v>45687.36755787037</v>
      </c>
      <c r="J941" s="10" t="n">
        <v>45687.36836805556</v>
      </c>
      <c r="K941" s="11">
        <f>IF(AND(ISNUMBER(D941),ISNUMBER(E941)),(E941-D941),"")</f>
        <v/>
      </c>
      <c r="L941" s="11">
        <f>IF(AND(ISNUMBER(F941),ISNUMBER(I941)),(I941-F941),"")</f>
        <v/>
      </c>
    </row>
    <row r="942">
      <c r="A942" s="3" t="inlineStr">
        <is>
          <t>1027614</t>
        </is>
      </c>
      <c r="B942" s="3" t="inlineStr">
        <is>
          <t>10276</t>
        </is>
      </c>
      <c r="C942" s="10" t="n">
        <v>45685.36489583334</v>
      </c>
      <c r="D942" s="10" t="n">
        <v>45685.36739583333</v>
      </c>
      <c r="E942" s="10" t="n">
        <v>45685.41005787037</v>
      </c>
      <c r="F942" s="10" t="n">
        <v>45685.41163194444</v>
      </c>
      <c r="G942" s="3" t="inlineStr">
        <is>
          <t>OBT280125095752-Neudörfl (FunderMax)</t>
        </is>
      </c>
      <c r="H942" s="10" t="n">
        <v>45685.41518518519</v>
      </c>
      <c r="I942" s="10" t="n">
        <v>45686.3789699074</v>
      </c>
      <c r="J942" s="10" t="n">
        <v>45686.37979166667</v>
      </c>
      <c r="K942" s="11">
        <f>IF(AND(ISNUMBER(D942),ISNUMBER(E942)),(E942-D942),"")</f>
        <v/>
      </c>
      <c r="L942" s="11">
        <f>IF(AND(ISNUMBER(F942),ISNUMBER(I942)),(I942-F942),"")</f>
        <v/>
      </c>
    </row>
    <row r="943">
      <c r="A943" s="3" t="inlineStr">
        <is>
          <t>1027801</t>
        </is>
      </c>
      <c r="B943" s="3" t="inlineStr">
        <is>
          <t>10278</t>
        </is>
      </c>
      <c r="C943" s="10" t="n">
        <v>45685.43729166667</v>
      </c>
      <c r="D943" s="10" t="n">
        <v>45685.43951388889</v>
      </c>
      <c r="E943" s="10" t="n">
        <v>45685.44758101852</v>
      </c>
      <c r="F943" s="10" t="n">
        <v>45685.44969907407</v>
      </c>
      <c r="G943" s="3" t="inlineStr">
        <is>
          <t>OBT280125105241-Wien Kledering</t>
        </is>
      </c>
      <c r="H943" s="10" t="n">
        <v>45685.45325231482</v>
      </c>
      <c r="I943" s="10" t="n">
        <v>45686.44287037037</v>
      </c>
      <c r="J943" s="10" t="n">
        <v>45686.44371527778</v>
      </c>
      <c r="K943" s="11">
        <f>IF(AND(ISNUMBER(D943),ISNUMBER(E943)),(E943-D943),"")</f>
        <v/>
      </c>
      <c r="L943" s="11">
        <f>IF(AND(ISNUMBER(F943),ISNUMBER(I943)),(I943-F943),"")</f>
        <v/>
      </c>
    </row>
    <row r="944">
      <c r="A944" s="3" t="inlineStr">
        <is>
          <t>1027802</t>
        </is>
      </c>
      <c r="B944" s="3" t="inlineStr">
        <is>
          <t>10278</t>
        </is>
      </c>
      <c r="C944" s="10" t="n">
        <v>45685.43729166667</v>
      </c>
      <c r="D944" s="10" t="n">
        <v>45685.43951388889</v>
      </c>
      <c r="E944" s="10" t="n">
        <v>45685.44969907407</v>
      </c>
      <c r="F944" s="10" t="n">
        <v>45685.45166666667</v>
      </c>
      <c r="G944" s="3" t="inlineStr">
        <is>
          <t>OBT290125073710-Wien Kledering</t>
        </is>
      </c>
      <c r="H944" s="10" t="n">
        <v>45686.31747685185</v>
      </c>
      <c r="I944" s="10" t="n">
        <v>45687.36836805556</v>
      </c>
      <c r="J944" s="10" t="n">
        <v>45687.36982638889</v>
      </c>
      <c r="K944" s="11">
        <f>IF(AND(ISNUMBER(D944),ISNUMBER(E944)),(E944-D944),"")</f>
        <v/>
      </c>
      <c r="L944" s="11">
        <f>IF(AND(ISNUMBER(F944),ISNUMBER(I944)),(I944-F944),"")</f>
        <v/>
      </c>
    </row>
    <row r="945">
      <c r="A945" s="3" t="inlineStr">
        <is>
          <t>1027803</t>
        </is>
      </c>
      <c r="B945" s="3" t="inlineStr">
        <is>
          <t>10278</t>
        </is>
      </c>
      <c r="C945" s="10" t="n">
        <v>45685.43729166667</v>
      </c>
      <c r="D945" s="10" t="n">
        <v>45685.43951388889</v>
      </c>
      <c r="E945" s="10" t="n">
        <v>45685.45166666667</v>
      </c>
      <c r="F945" s="10" t="n">
        <v>45685.45369212963</v>
      </c>
      <c r="G945" s="3" t="inlineStr">
        <is>
          <t>OBT280125105646-Wien Kledering</t>
        </is>
      </c>
      <c r="H945" s="10" t="n">
        <v>45685.45608796296</v>
      </c>
      <c r="I945" s="10" t="n">
        <v>45686.47688657408</v>
      </c>
      <c r="J945" s="10" t="n">
        <v>45686.47782407407</v>
      </c>
      <c r="K945" s="11">
        <f>IF(AND(ISNUMBER(D945),ISNUMBER(E945)),(E945-D945),"")</f>
        <v/>
      </c>
      <c r="L945" s="11">
        <f>IF(AND(ISNUMBER(F945),ISNUMBER(I945)),(I945-F945),"")</f>
        <v/>
      </c>
    </row>
    <row r="946">
      <c r="A946" s="3" t="inlineStr">
        <is>
          <t>1027901</t>
        </is>
      </c>
      <c r="B946" s="3" t="inlineStr">
        <is>
          <t>10279</t>
        </is>
      </c>
      <c r="C946" s="10" t="n">
        <v>45685.53866898148</v>
      </c>
      <c r="D946" s="10" t="n">
        <v>45685.5409375</v>
      </c>
      <c r="E946" s="10" t="n">
        <v>45685.54671296296</v>
      </c>
      <c r="F946" s="10" t="n">
        <v>45685.54851851852</v>
      </c>
      <c r="G946" s="3" t="inlineStr">
        <is>
          <t>OBT280125131319-Wien Kledering</t>
        </is>
      </c>
      <c r="H946" s="10" t="n">
        <v>45685.55091435185</v>
      </c>
      <c r="I946" s="10" t="n">
        <v>45686.60668981481</v>
      </c>
      <c r="J946" s="10" t="n">
        <v>45686.60783564814</v>
      </c>
      <c r="K946" s="11">
        <f>IF(AND(ISNUMBER(D946),ISNUMBER(E946)),(E946-D946),"")</f>
        <v/>
      </c>
      <c r="L946" s="11">
        <f>IF(AND(ISNUMBER(F946),ISNUMBER(I946)),(I946-F946),"")</f>
        <v/>
      </c>
    </row>
    <row r="947">
      <c r="A947" s="3" t="inlineStr">
        <is>
          <t>1028001</t>
        </is>
      </c>
      <c r="B947" s="3" t="inlineStr">
        <is>
          <t>10280</t>
        </is>
      </c>
      <c r="C947" s="10" t="n">
        <v>45685.59378472222</v>
      </c>
      <c r="D947" s="10" t="n">
        <v>45685.59627314815</v>
      </c>
      <c r="E947" s="10" t="n">
        <v>45685.60310185186</v>
      </c>
      <c r="F947" s="10" t="n">
        <v>45685.60599537037</v>
      </c>
      <c r="G947" s="3" t="inlineStr">
        <is>
          <t>OBT280125143604-Wien Kledering</t>
        </is>
      </c>
      <c r="H947" s="10" t="n">
        <v>45685.60837962963</v>
      </c>
      <c r="I947" s="10" t="n">
        <v>45686.68403935185</v>
      </c>
      <c r="J947" s="10" t="n">
        <v>45686.68543981481</v>
      </c>
      <c r="K947" s="11">
        <f>IF(AND(ISNUMBER(D947),ISNUMBER(E947)),(E947-D947),"")</f>
        <v/>
      </c>
      <c r="L947" s="11">
        <f>IF(AND(ISNUMBER(F947),ISNUMBER(I947)),(I947-F947),"")</f>
        <v/>
      </c>
    </row>
    <row r="948">
      <c r="A948" s="3" t="inlineStr">
        <is>
          <t>1028101</t>
        </is>
      </c>
      <c r="B948" s="3" t="inlineStr">
        <is>
          <t>10281</t>
        </is>
      </c>
      <c r="C948" s="10" t="n">
        <v>45685.60090277778</v>
      </c>
      <c r="D948" s="10" t="n">
        <v>45685.60334490741</v>
      </c>
      <c r="E948" s="10" t="n">
        <v>45685.62048611111</v>
      </c>
      <c r="F948" s="10" t="n">
        <v>45685.62226851852</v>
      </c>
      <c r="G948" s="3" t="inlineStr">
        <is>
          <t>OBT290125152804-Other sidings north</t>
        </is>
      </c>
      <c r="H948" s="10" t="n">
        <v>45686.64449074074</v>
      </c>
      <c r="I948" s="10" t="n">
        <v>45687.63377314815</v>
      </c>
      <c r="J948" s="10" t="n">
        <v>45687.63457175926</v>
      </c>
      <c r="K948" s="11">
        <f>IF(AND(ISNUMBER(D948),ISNUMBER(E948)),(E948-D948),"")</f>
        <v/>
      </c>
      <c r="L948" s="11">
        <f>IF(AND(ISNUMBER(F948),ISNUMBER(I948)),(I948-F948),"")</f>
        <v/>
      </c>
    </row>
    <row r="949">
      <c r="A949" s="3" t="inlineStr">
        <is>
          <t>1028102</t>
        </is>
      </c>
      <c r="B949" s="3" t="inlineStr">
        <is>
          <t>10281</t>
        </is>
      </c>
      <c r="C949" s="10" t="n">
        <v>45685.60090277778</v>
      </c>
      <c r="D949" s="10" t="n">
        <v>45685.60334490741</v>
      </c>
      <c r="E949" s="10" t="n">
        <v>45685.62226851852</v>
      </c>
      <c r="F949" s="10" t="n">
        <v>45685.62418981481</v>
      </c>
      <c r="G949" s="3" t="inlineStr">
        <is>
          <t>OBT290125093729-Other sidings south</t>
        </is>
      </c>
      <c r="H949" s="10" t="n">
        <v>45686.40103009259</v>
      </c>
      <c r="I949" s="10" t="n">
        <v>45687.36755787037</v>
      </c>
      <c r="J949" s="10" t="n">
        <v>45687.36836805556</v>
      </c>
      <c r="K949" s="11">
        <f>IF(AND(ISNUMBER(D949),ISNUMBER(E949)),(E949-D949),"")</f>
        <v/>
      </c>
      <c r="L949" s="11">
        <f>IF(AND(ISNUMBER(F949),ISNUMBER(I949)),(I949-F949),"")</f>
        <v/>
      </c>
    </row>
    <row r="950">
      <c r="A950" s="3" t="inlineStr">
        <is>
          <t>1028103</t>
        </is>
      </c>
      <c r="B950" s="3" t="inlineStr">
        <is>
          <t>10281</t>
        </is>
      </c>
      <c r="C950" s="10" t="n">
        <v>45685.60090277778</v>
      </c>
      <c r="D950" s="10" t="n">
        <v>45685.60334490741</v>
      </c>
      <c r="E950" s="10" t="n">
        <v>45685.62418981481</v>
      </c>
      <c r="F950" s="10" t="n">
        <v>45685.62612268519</v>
      </c>
      <c r="G950" s="3" t="inlineStr">
        <is>
          <t>OBT290125093729-Other sidings south</t>
        </is>
      </c>
      <c r="H950" s="10" t="n">
        <v>45686.40103009259</v>
      </c>
      <c r="I950" s="10" t="n">
        <v>45687.36755787037</v>
      </c>
      <c r="J950" s="10" t="n">
        <v>45687.36836805556</v>
      </c>
      <c r="K950" s="11">
        <f>IF(AND(ISNUMBER(D950),ISNUMBER(E950)),(E950-D950),"")</f>
        <v/>
      </c>
      <c r="L950" s="11">
        <f>IF(AND(ISNUMBER(F950),ISNUMBER(I950)),(I950-F950),"")</f>
        <v/>
      </c>
    </row>
    <row r="951">
      <c r="A951" s="3" t="inlineStr">
        <is>
          <t>1028104</t>
        </is>
      </c>
      <c r="B951" s="3" t="inlineStr">
        <is>
          <t>10281</t>
        </is>
      </c>
      <c r="C951" s="10" t="n">
        <v>45685.60090277778</v>
      </c>
      <c r="D951" s="10" t="n">
        <v>45685.60334490741</v>
      </c>
      <c r="E951" s="10" t="n">
        <v>45685.62612268519</v>
      </c>
      <c r="F951" s="10" t="n">
        <v>45685.62809027778</v>
      </c>
      <c r="G951" s="3" t="inlineStr">
        <is>
          <t>OBT280125151006-Other sidings local</t>
        </is>
      </c>
      <c r="H951" s="10" t="n">
        <v>45685.63201388889</v>
      </c>
      <c r="I951" s="10" t="n">
        <v>45686.67820601852</v>
      </c>
      <c r="J951" s="10" t="n">
        <v>45686.67886574074</v>
      </c>
      <c r="K951" s="11">
        <f>IF(AND(ISNUMBER(D951),ISNUMBER(E951)),(E951-D951),"")</f>
        <v/>
      </c>
      <c r="L951" s="11">
        <f>IF(AND(ISNUMBER(F951),ISNUMBER(I951)),(I951-F951),"")</f>
        <v/>
      </c>
    </row>
    <row r="952">
      <c r="A952" s="3" t="inlineStr">
        <is>
          <t>1028106</t>
        </is>
      </c>
      <c r="B952" s="3" t="inlineStr">
        <is>
          <t>10281</t>
        </is>
      </c>
      <c r="C952" s="10" t="n">
        <v>45685.60090277778</v>
      </c>
      <c r="D952" s="10" t="n">
        <v>45685.60334490741</v>
      </c>
      <c r="E952" s="10" t="n">
        <v>45685.62809027778</v>
      </c>
      <c r="F952" s="10" t="n">
        <v>45685.62967592593</v>
      </c>
      <c r="G952" s="3" t="inlineStr">
        <is>
          <t>OBT290125063308-Wien Kledering</t>
        </is>
      </c>
      <c r="H952" s="10" t="n">
        <v>45686.27300925926</v>
      </c>
      <c r="I952" s="10" t="n">
        <v>45687.32557870371</v>
      </c>
      <c r="J952" s="10" t="n">
        <v>45687.32686342593</v>
      </c>
      <c r="K952" s="11">
        <f>IF(AND(ISNUMBER(D952),ISNUMBER(E952)),(E952-D952),"")</f>
        <v/>
      </c>
      <c r="L952" s="11">
        <f>IF(AND(ISNUMBER(F952),ISNUMBER(I952)),(I952-F952),"")</f>
        <v/>
      </c>
    </row>
    <row r="953">
      <c r="A953" s="3" t="inlineStr">
        <is>
          <t>1028107</t>
        </is>
      </c>
      <c r="B953" s="3" t="inlineStr">
        <is>
          <t>10281</t>
        </is>
      </c>
      <c r="C953" s="10" t="n">
        <v>45685.60090277778</v>
      </c>
      <c r="D953" s="10" t="n">
        <v>45685.60334490741</v>
      </c>
      <c r="E953" s="10" t="n">
        <v>45685.62967592593</v>
      </c>
      <c r="F953" s="10" t="n">
        <v>45685.63082175926</v>
      </c>
      <c r="G953" s="3" t="inlineStr">
        <is>
          <t>OBT280125151602-Neunkirchen (loading tracks)</t>
        </is>
      </c>
      <c r="H953" s="10" t="n">
        <v>45685.63613425926</v>
      </c>
      <c r="I953" s="10" t="n">
        <v>45686.69226851852</v>
      </c>
      <c r="J953" s="10" t="n">
        <v>45686.69310185185</v>
      </c>
      <c r="K953" s="11">
        <f>IF(AND(ISNUMBER(D953),ISNUMBER(E953)),(E953-D953),"")</f>
        <v/>
      </c>
      <c r="L953" s="11">
        <f>IF(AND(ISNUMBER(F953),ISNUMBER(I953)),(I953-F953),"")</f>
        <v/>
      </c>
    </row>
    <row r="954">
      <c r="A954" s="3" t="inlineStr">
        <is>
          <t>1028108</t>
        </is>
      </c>
      <c r="B954" s="3" t="inlineStr">
        <is>
          <t>10281</t>
        </is>
      </c>
      <c r="C954" s="10" t="n">
        <v>45685.60090277778</v>
      </c>
      <c r="D954" s="10" t="n">
        <v>45685.60334490741</v>
      </c>
      <c r="E954" s="10" t="n">
        <v>45685.63082175926</v>
      </c>
      <c r="F954" s="10" t="n">
        <v>45685.6322337963</v>
      </c>
      <c r="G954" s="3" t="inlineStr">
        <is>
          <t>OBT280125151602-Neunkirchen (loading tracks)</t>
        </is>
      </c>
      <c r="H954" s="10" t="n">
        <v>45685.63613425926</v>
      </c>
      <c r="I954" s="10" t="n">
        <v>45686.69226851852</v>
      </c>
      <c r="J954" s="10" t="n">
        <v>45686.69310185185</v>
      </c>
      <c r="K954" s="11">
        <f>IF(AND(ISNUMBER(D954),ISNUMBER(E954)),(E954-D954),"")</f>
        <v/>
      </c>
      <c r="L954" s="11">
        <f>IF(AND(ISNUMBER(F954),ISNUMBER(I954)),(I954-F954),"")</f>
        <v/>
      </c>
    </row>
    <row r="955">
      <c r="A955" s="3" t="inlineStr">
        <is>
          <t>1028301</t>
        </is>
      </c>
      <c r="B955" s="3" t="inlineStr">
        <is>
          <t>10283</t>
        </is>
      </c>
      <c r="C955" s="10" t="n">
        <v>45685.81157407408</v>
      </c>
      <c r="D955" s="10" t="n">
        <v>45685.8137037037</v>
      </c>
      <c r="E955" s="10" t="n">
        <v>45685.81916666667</v>
      </c>
      <c r="F955" s="10" t="n">
        <v>45685.82138888889</v>
      </c>
      <c r="G955" s="3" t="inlineStr">
        <is>
          <t>OBT280125194613-Wien Kledering</t>
        </is>
      </c>
      <c r="H955" s="10" t="n">
        <v>45685.82376157407</v>
      </c>
      <c r="I955" s="10" t="n">
        <v>45686.780625</v>
      </c>
      <c r="J955" s="10" t="n">
        <v>45686.78166666667</v>
      </c>
      <c r="K955" s="11">
        <f>IF(AND(ISNUMBER(D955),ISNUMBER(E955)),(E955-D955),"")</f>
        <v/>
      </c>
      <c r="L955" s="11">
        <f>IF(AND(ISNUMBER(F955),ISNUMBER(I955)),(I955-F955),"")</f>
        <v/>
      </c>
    </row>
    <row r="956">
      <c r="A956" s="3" t="inlineStr">
        <is>
          <t>1028401</t>
        </is>
      </c>
      <c r="B956" s="3" t="inlineStr">
        <is>
          <t>10284</t>
        </is>
      </c>
      <c r="C956" s="10" t="n">
        <v>45685.8740625</v>
      </c>
      <c r="D956" s="10" t="n">
        <v>45685.87657407407</v>
      </c>
      <c r="E956" s="10" t="n">
        <v>45685.88334490741</v>
      </c>
      <c r="F956" s="10" t="n">
        <v>45685.88561342593</v>
      </c>
      <c r="G956" s="3" t="inlineStr">
        <is>
          <t>OBT280125211842-Wien Kledering</t>
        </is>
      </c>
      <c r="H956" s="10" t="n">
        <v>45685.88798611111</v>
      </c>
      <c r="I956" s="10" t="n">
        <v>45686.84210648148</v>
      </c>
      <c r="J956" s="10" t="n">
        <v>45686.84350694445</v>
      </c>
      <c r="K956" s="11">
        <f>IF(AND(ISNUMBER(D956),ISNUMBER(E956)),(E956-D956),"")</f>
        <v/>
      </c>
      <c r="L956" s="11">
        <f>IF(AND(ISNUMBER(F956),ISNUMBER(I956)),(I956-F956),"")</f>
        <v/>
      </c>
    </row>
    <row r="957">
      <c r="A957" s="3" t="inlineStr">
        <is>
          <t>1028501</t>
        </is>
      </c>
      <c r="B957" s="3" t="inlineStr">
        <is>
          <t>10285</t>
        </is>
      </c>
      <c r="C957" s="10" t="n">
        <v>45686.1135300926</v>
      </c>
      <c r="D957" s="10" t="n">
        <v>45686.11571759259</v>
      </c>
      <c r="E957" s="10" t="n">
        <v>45686.1244212963</v>
      </c>
      <c r="F957" s="10" t="n">
        <v>45686.12634259259</v>
      </c>
      <c r="G957" s="3" t="inlineStr">
        <is>
          <t>OBT290125074446-Wien Kledering</t>
        </is>
      </c>
      <c r="H957" s="10" t="n">
        <v>45686.32275462963</v>
      </c>
      <c r="I957" s="10" t="n">
        <v>45687.36445601852</v>
      </c>
      <c r="J957" s="10" t="n">
        <v>45687.36512731481</v>
      </c>
      <c r="K957" s="11">
        <f>IF(AND(ISNUMBER(D957),ISNUMBER(E957)),(E957-D957),"")</f>
        <v/>
      </c>
      <c r="L957" s="11">
        <f>IF(AND(ISNUMBER(F957),ISNUMBER(I957)),(I957-F957),"")</f>
        <v/>
      </c>
    </row>
    <row r="958">
      <c r="A958" s="3" t="inlineStr">
        <is>
          <t>1028502</t>
        </is>
      </c>
      <c r="B958" s="3" t="inlineStr">
        <is>
          <t>10285</t>
        </is>
      </c>
      <c r="C958" s="10" t="n">
        <v>45686.1135300926</v>
      </c>
      <c r="D958" s="10" t="n">
        <v>45686.11571759259</v>
      </c>
      <c r="E958" s="10" t="n">
        <v>45686.12634259259</v>
      </c>
      <c r="F958" s="10" t="n">
        <v>45686.12784722223</v>
      </c>
      <c r="G958" s="3" t="inlineStr">
        <is>
          <t>OBT290125030733-Neunkirchen (loading tracks)</t>
        </is>
      </c>
      <c r="H958" s="10" t="n">
        <v>45686.13024305556</v>
      </c>
      <c r="I958" s="10" t="n">
        <v>45686.90760416666</v>
      </c>
      <c r="J958" s="10" t="n">
        <v>45686.90846064815</v>
      </c>
      <c r="K958" s="11">
        <f>IF(AND(ISNUMBER(D958),ISNUMBER(E958)),(E958-D958),"")</f>
        <v/>
      </c>
      <c r="L958" s="11">
        <f>IF(AND(ISNUMBER(F958),ISNUMBER(I958)),(I958-F958),"")</f>
        <v/>
      </c>
    </row>
    <row r="959">
      <c r="A959" s="3" t="inlineStr">
        <is>
          <t>1028503</t>
        </is>
      </c>
      <c r="B959" s="3" t="inlineStr">
        <is>
          <t>10285</t>
        </is>
      </c>
      <c r="C959" s="10" t="n">
        <v>45686.1135300926</v>
      </c>
      <c r="D959" s="10" t="n">
        <v>45686.11571759259</v>
      </c>
      <c r="E959" s="10" t="n">
        <v>45686.12784722223</v>
      </c>
      <c r="F959" s="10" t="n">
        <v>45686.12989583334</v>
      </c>
      <c r="G959" s="3" t="inlineStr">
        <is>
          <t>OBT290125093729-Other sidings south</t>
        </is>
      </c>
      <c r="H959" s="10" t="n">
        <v>45686.40103009259</v>
      </c>
      <c r="I959" s="10" t="n">
        <v>45687.36755787037</v>
      </c>
      <c r="J959" s="10" t="n">
        <v>45687.36836805556</v>
      </c>
      <c r="K959" s="11">
        <f>IF(AND(ISNUMBER(D959),ISNUMBER(E959)),(E959-D959),"")</f>
        <v/>
      </c>
      <c r="L959" s="11">
        <f>IF(AND(ISNUMBER(F959),ISNUMBER(I959)),(I959-F959),"")</f>
        <v/>
      </c>
    </row>
    <row r="960">
      <c r="A960" s="3" t="inlineStr">
        <is>
          <t>1028504</t>
        </is>
      </c>
      <c r="B960" s="3" t="inlineStr">
        <is>
          <t>10285</t>
        </is>
      </c>
      <c r="C960" s="10" t="n">
        <v>45686.1135300926</v>
      </c>
      <c r="D960" s="10" t="n">
        <v>45686.11571759259</v>
      </c>
      <c r="E960" s="10" t="n">
        <v>45686.12989583334</v>
      </c>
      <c r="F960" s="10" t="n">
        <v>45686.13181712963</v>
      </c>
      <c r="G960" s="3" t="inlineStr">
        <is>
          <t>OBT290125074446-Wien Kledering</t>
        </is>
      </c>
      <c r="H960" s="10" t="n">
        <v>45686.32275462963</v>
      </c>
      <c r="I960" s="10" t="n">
        <v>45687.36445601852</v>
      </c>
      <c r="J960" s="10" t="n">
        <v>45687.36512731481</v>
      </c>
      <c r="K960" s="11">
        <f>IF(AND(ISNUMBER(D960),ISNUMBER(E960)),(E960-D960),"")</f>
        <v/>
      </c>
      <c r="L960" s="11">
        <f>IF(AND(ISNUMBER(F960),ISNUMBER(I960)),(I960-F960),"")</f>
        <v/>
      </c>
    </row>
    <row r="961">
      <c r="A961" s="3" t="inlineStr">
        <is>
          <t>1028601</t>
        </is>
      </c>
      <c r="B961" s="3" t="inlineStr">
        <is>
          <t>10286</t>
        </is>
      </c>
      <c r="C961" s="10" t="n">
        <v>45686.17954861111</v>
      </c>
      <c r="D961" s="10" t="n">
        <v>45686.18138888889</v>
      </c>
      <c r="E961" s="10" t="n">
        <v>45686.18587962963</v>
      </c>
      <c r="F961" s="10" t="n">
        <v>45686.18737268518</v>
      </c>
      <c r="G961" s="3" t="inlineStr">
        <is>
          <t>OBT290125043313-Neudörfl (FunderMax)</t>
        </is>
      </c>
      <c r="H961" s="10" t="n">
        <v>45686.18973379629</v>
      </c>
      <c r="I961" s="10" t="n">
        <v>45687.15170138889</v>
      </c>
      <c r="J961" s="10" t="n">
        <v>45687.15237268519</v>
      </c>
      <c r="K961" s="11">
        <f>IF(AND(ISNUMBER(D961),ISNUMBER(E961)),(E961-D961),"")</f>
        <v/>
      </c>
      <c r="L961" s="11">
        <f>IF(AND(ISNUMBER(F961),ISNUMBER(I961)),(I961-F961),"")</f>
        <v/>
      </c>
    </row>
    <row r="962">
      <c r="A962" s="3" t="inlineStr">
        <is>
          <t>1028701</t>
        </is>
      </c>
      <c r="B962" s="3" t="inlineStr">
        <is>
          <t>10287</t>
        </is>
      </c>
      <c r="C962" s="10" t="n">
        <v>45686.26010416666</v>
      </c>
      <c r="D962" s="10" t="n">
        <v>45686.26238425926</v>
      </c>
      <c r="E962" s="10" t="n">
        <v>45686.26834490741</v>
      </c>
      <c r="F962" s="10" t="n">
        <v>45686.27061342593</v>
      </c>
      <c r="G962" s="3" t="inlineStr">
        <is>
          <t>OBT290125063308-Wien Kledering</t>
        </is>
      </c>
      <c r="H962" s="10" t="n">
        <v>45686.27300925926</v>
      </c>
      <c r="I962" s="10" t="n">
        <v>45687.32557870371</v>
      </c>
      <c r="J962" s="10" t="n">
        <v>45687.32686342593</v>
      </c>
      <c r="K962" s="11">
        <f>IF(AND(ISNUMBER(D962),ISNUMBER(E962)),(E962-D962),"")</f>
        <v/>
      </c>
      <c r="L962" s="11">
        <f>IF(AND(ISNUMBER(F962),ISNUMBER(I962)),(I962-F962),"")</f>
        <v/>
      </c>
    </row>
    <row r="963">
      <c r="A963" s="3" t="inlineStr">
        <is>
          <t>1028801</t>
        </is>
      </c>
      <c r="B963" s="3" t="inlineStr">
        <is>
          <t>10288</t>
        </is>
      </c>
      <c r="C963" s="10" t="n">
        <v>45686.30298611111</v>
      </c>
      <c r="D963" s="10" t="n">
        <v>45686.30549768519</v>
      </c>
      <c r="E963" s="10" t="n">
        <v>45686.31226851852</v>
      </c>
      <c r="F963" s="10" t="n">
        <v>45686.31510416666</v>
      </c>
      <c r="G963" s="3" t="inlineStr">
        <is>
          <t>OBT290125073710-Wien Kledering</t>
        </is>
      </c>
      <c r="H963" s="10" t="n">
        <v>45686.31747685185</v>
      </c>
      <c r="I963" s="10" t="n">
        <v>45687.36836805556</v>
      </c>
      <c r="J963" s="10" t="n">
        <v>45687.36982638889</v>
      </c>
      <c r="K963" s="11">
        <f>IF(AND(ISNUMBER(D963),ISNUMBER(E963)),(E963-D963),"")</f>
        <v/>
      </c>
      <c r="L963" s="11">
        <f>IF(AND(ISNUMBER(F963),ISNUMBER(I963)),(I963-F963),"")</f>
        <v/>
      </c>
    </row>
    <row r="964">
      <c r="A964" s="3" t="inlineStr">
        <is>
          <t>1028901</t>
        </is>
      </c>
      <c r="B964" s="3" t="inlineStr">
        <is>
          <t>10289</t>
        </is>
      </c>
      <c r="C964" s="10" t="n">
        <v>45686.31210648148</v>
      </c>
      <c r="D964" s="10" t="n">
        <v>45686.31355324074</v>
      </c>
      <c r="E964" s="10" t="n">
        <v>45686.31822916667</v>
      </c>
      <c r="F964" s="10" t="n">
        <v>45686.32038194445</v>
      </c>
      <c r="G964" s="3" t="inlineStr">
        <is>
          <t>OBT290125074446-Wien Kledering</t>
        </is>
      </c>
      <c r="H964" s="10" t="n">
        <v>45686.32275462963</v>
      </c>
      <c r="I964" s="10" t="n">
        <v>45687.36445601852</v>
      </c>
      <c r="J964" s="10" t="n">
        <v>45687.36512731481</v>
      </c>
      <c r="K964" s="11">
        <f>IF(AND(ISNUMBER(D964),ISNUMBER(E964)),(E964-D964),"")</f>
        <v/>
      </c>
      <c r="L964" s="11">
        <f>IF(AND(ISNUMBER(F964),ISNUMBER(I964)),(I964-F964),"")</f>
        <v/>
      </c>
    </row>
    <row r="965">
      <c r="A965" s="3" t="inlineStr">
        <is>
          <t>1029001</t>
        </is>
      </c>
      <c r="B965" s="3" t="inlineStr">
        <is>
          <t>10290</t>
        </is>
      </c>
      <c r="C965" s="10" t="n">
        <v>45686.34625</v>
      </c>
      <c r="D965" s="10" t="n">
        <v>45686.34802083333</v>
      </c>
      <c r="E965" s="10" t="n">
        <v>45686.35329861111</v>
      </c>
      <c r="F965" s="10" t="n">
        <v>45686.35525462963</v>
      </c>
      <c r="G965" s="3" t="inlineStr">
        <is>
          <t>OBT300125085102-St. Veit an der Glan</t>
        </is>
      </c>
      <c r="H965" s="10" t="n">
        <v>45687.36877314815</v>
      </c>
      <c r="I965" s="10" t="n">
        <v>45688.36916666666</v>
      </c>
      <c r="J965" s="10" t="n">
        <v>45688.36998842593</v>
      </c>
      <c r="K965" s="11">
        <f>IF(AND(ISNUMBER(D965),ISNUMBER(E965)),(E965-D965),"")</f>
        <v/>
      </c>
      <c r="L965" s="11">
        <f>IF(AND(ISNUMBER(F965),ISNUMBER(I965)),(I965-F965),"")</f>
        <v/>
      </c>
    </row>
    <row r="966">
      <c r="A966" s="3" t="inlineStr">
        <is>
          <t>1029002</t>
        </is>
      </c>
      <c r="B966" s="3" t="inlineStr">
        <is>
          <t>10290</t>
        </is>
      </c>
      <c r="C966" s="10" t="n">
        <v>45686.34625</v>
      </c>
      <c r="D966" s="10" t="n">
        <v>45686.34802083333</v>
      </c>
      <c r="E966" s="10" t="n">
        <v>45686.35525462963</v>
      </c>
      <c r="F966" s="10" t="n">
        <v>45686.35652777777</v>
      </c>
      <c r="G966" s="3" t="inlineStr">
        <is>
          <t>OBT290125094134-Wien Kledering</t>
        </is>
      </c>
      <c r="H966" s="10" t="n">
        <v>45686.40386574074</v>
      </c>
      <c r="I966" s="10" t="n">
        <v>45687.41293981481</v>
      </c>
      <c r="J966" s="10" t="n">
        <v>45687.41398148148</v>
      </c>
      <c r="K966" s="11">
        <f>IF(AND(ISNUMBER(D966),ISNUMBER(E966)),(E966-D966),"")</f>
        <v/>
      </c>
      <c r="L966" s="11">
        <f>IF(AND(ISNUMBER(F966),ISNUMBER(I966)),(I966-F966),"")</f>
        <v/>
      </c>
    </row>
    <row r="967">
      <c r="A967" s="3" t="inlineStr">
        <is>
          <t>1029101</t>
        </is>
      </c>
      <c r="B967" s="3" t="inlineStr">
        <is>
          <t>10291</t>
        </is>
      </c>
      <c r="C967" s="10" t="n">
        <v>45686.37605324074</v>
      </c>
      <c r="D967" s="10" t="n">
        <v>45686.3786574074</v>
      </c>
      <c r="E967" s="10" t="n">
        <v>45686.39513888889</v>
      </c>
      <c r="F967" s="10" t="n">
        <v>45686.39710648148</v>
      </c>
      <c r="G967" s="3" t="inlineStr">
        <is>
          <t>OBT290125093729-Other sidings south</t>
        </is>
      </c>
      <c r="H967" s="10" t="n">
        <v>45686.40103009259</v>
      </c>
      <c r="I967" s="10" t="n">
        <v>45687.36755787037</v>
      </c>
      <c r="J967" s="10" t="n">
        <v>45687.36836805556</v>
      </c>
      <c r="K967" s="11">
        <f>IF(AND(ISNUMBER(D967),ISNUMBER(E967)),(E967-D967),"")</f>
        <v/>
      </c>
      <c r="L967" s="11">
        <f>IF(AND(ISNUMBER(F967),ISNUMBER(I967)),(I967-F967),"")</f>
        <v/>
      </c>
    </row>
    <row r="968">
      <c r="A968" s="3" t="inlineStr">
        <is>
          <t>1029102</t>
        </is>
      </c>
      <c r="B968" s="3" t="inlineStr">
        <is>
          <t>10291</t>
        </is>
      </c>
      <c r="C968" s="10" t="n">
        <v>45686.37605324074</v>
      </c>
      <c r="D968" s="10" t="n">
        <v>45686.3786574074</v>
      </c>
      <c r="E968" s="10" t="n">
        <v>45686.39710648148</v>
      </c>
      <c r="F968" s="10" t="n">
        <v>45686.39837962963</v>
      </c>
      <c r="G968" s="3" t="inlineStr">
        <is>
          <t>OBT300125081010-Wr. Neustadt (Brenntag)</t>
        </is>
      </c>
      <c r="H968" s="10" t="n">
        <v>45687.34039351852</v>
      </c>
      <c r="I968" s="10" t="n">
        <v>45688.32527777777</v>
      </c>
      <c r="J968" s="10" t="n">
        <v>45688.32615740741</v>
      </c>
      <c r="K968" s="11">
        <f>IF(AND(ISNUMBER(D968),ISNUMBER(E968)),(E968-D968),"")</f>
        <v/>
      </c>
      <c r="L968" s="11">
        <f>IF(AND(ISNUMBER(F968),ISNUMBER(I968)),(I968-F968),"")</f>
        <v/>
      </c>
    </row>
    <row r="969">
      <c r="A969" s="3" t="inlineStr">
        <is>
          <t>1029104</t>
        </is>
      </c>
      <c r="B969" s="3" t="inlineStr">
        <is>
          <t>10291</t>
        </is>
      </c>
      <c r="C969" s="10" t="n">
        <v>45686.37605324074</v>
      </c>
      <c r="D969" s="10" t="n">
        <v>45686.3786574074</v>
      </c>
      <c r="E969" s="10" t="n">
        <v>45686.39837962963</v>
      </c>
      <c r="F969" s="10" t="n">
        <v>45686.39994212963</v>
      </c>
      <c r="G969" s="3" t="inlineStr">
        <is>
          <t>OBT290125094134-Wien Kledering</t>
        </is>
      </c>
      <c r="H969" s="10" t="n">
        <v>45686.40386574074</v>
      </c>
      <c r="I969" s="10" t="n">
        <v>45687.41293981481</v>
      </c>
      <c r="J969" s="10" t="n">
        <v>45687.41398148148</v>
      </c>
      <c r="K969" s="11">
        <f>IF(AND(ISNUMBER(D969),ISNUMBER(E969)),(E969-D969),"")</f>
        <v/>
      </c>
      <c r="L969" s="11">
        <f>IF(AND(ISNUMBER(F969),ISNUMBER(I969)),(I969-F969),"")</f>
        <v/>
      </c>
    </row>
    <row r="970">
      <c r="A970" s="3" t="inlineStr">
        <is>
          <t>1029106</t>
        </is>
      </c>
      <c r="B970" s="3" t="inlineStr">
        <is>
          <t>10291</t>
        </is>
      </c>
      <c r="C970" s="10" t="n">
        <v>45686.37605324074</v>
      </c>
      <c r="D970" s="10" t="n">
        <v>45686.3786574074</v>
      </c>
      <c r="E970" s="10" t="n">
        <v>45686.39994212963</v>
      </c>
      <c r="F970" s="10" t="n">
        <v>45686.4016550926</v>
      </c>
      <c r="G970" s="3" t="inlineStr">
        <is>
          <t>OBT300125081913-Wr. Neustadt Ausfahrbf (Furtenbach)</t>
        </is>
      </c>
      <c r="H970" s="10" t="n">
        <v>45687.34667824074</v>
      </c>
      <c r="I970" s="10" t="n">
        <v>45688.40537037037</v>
      </c>
      <c r="J970" s="10" t="n">
        <v>45688.40694444445</v>
      </c>
      <c r="K970" s="11">
        <f>IF(AND(ISNUMBER(D970),ISNUMBER(E970)),(E970-D970),"")</f>
        <v/>
      </c>
      <c r="L970" s="11">
        <f>IF(AND(ISNUMBER(F970),ISNUMBER(I970)),(I970-F970),"")</f>
        <v/>
      </c>
    </row>
    <row r="971">
      <c r="A971" s="3" t="inlineStr">
        <is>
          <t>1029107</t>
        </is>
      </c>
      <c r="B971" s="3" t="inlineStr">
        <is>
          <t>10291</t>
        </is>
      </c>
      <c r="C971" s="10" t="n">
        <v>45686.37605324074</v>
      </c>
      <c r="D971" s="10" t="n">
        <v>45686.3786574074</v>
      </c>
      <c r="E971" s="10" t="n">
        <v>45686.4016550926</v>
      </c>
      <c r="F971" s="10" t="n">
        <v>45686.40361111111</v>
      </c>
      <c r="G971" s="3" t="inlineStr">
        <is>
          <t>OBT300125085102-St. Veit an der Glan</t>
        </is>
      </c>
      <c r="H971" s="10" t="n">
        <v>45687.36877314815</v>
      </c>
      <c r="I971" s="10" t="n">
        <v>45688.36916666666</v>
      </c>
      <c r="J971" s="10" t="n">
        <v>45688.36998842593</v>
      </c>
      <c r="K971" s="11">
        <f>IF(AND(ISNUMBER(D971),ISNUMBER(E971)),(E971-D971),"")</f>
        <v/>
      </c>
      <c r="L971" s="11">
        <f>IF(AND(ISNUMBER(F971),ISNUMBER(I971)),(I971-F971),"")</f>
        <v/>
      </c>
    </row>
    <row r="972">
      <c r="A972" s="3" t="inlineStr">
        <is>
          <t>1029109</t>
        </is>
      </c>
      <c r="B972" s="3" t="inlineStr">
        <is>
          <t>10291</t>
        </is>
      </c>
      <c r="C972" s="10" t="n">
        <v>45686.37605324074</v>
      </c>
      <c r="D972" s="10" t="n">
        <v>45686.3786574074</v>
      </c>
      <c r="E972" s="10" t="n">
        <v>45686.40361111111</v>
      </c>
      <c r="F972" s="10" t="n">
        <v>45686.40557870371</v>
      </c>
      <c r="G972" s="3" t="inlineStr">
        <is>
          <t>OBT310125080145-Wr. Neustadt (Brenntag)</t>
        </is>
      </c>
      <c r="H972" s="10" t="n">
        <v>45688.33454861111</v>
      </c>
      <c r="I972" s="10" t="n">
        <v>45688.88429398148</v>
      </c>
      <c r="J972" s="10" t="n">
        <v>45688.88511574074</v>
      </c>
      <c r="K972" s="11">
        <f>IF(AND(ISNUMBER(D972),ISNUMBER(E972)),(E972-D972),"")</f>
        <v/>
      </c>
      <c r="L972" s="11">
        <f>IF(AND(ISNUMBER(F972),ISNUMBER(I972)),(I972-F972),"")</f>
        <v/>
      </c>
    </row>
    <row r="973">
      <c r="A973" s="3" t="inlineStr">
        <is>
          <t>1029110</t>
        </is>
      </c>
      <c r="B973" s="3" t="inlineStr">
        <is>
          <t>10291</t>
        </is>
      </c>
      <c r="C973" s="10" t="n">
        <v>45686.37605324074</v>
      </c>
      <c r="D973" s="10" t="n">
        <v>45686.3786574074</v>
      </c>
      <c r="E973" s="10" t="n">
        <v>45686.40557870371</v>
      </c>
      <c r="F973" s="10" t="n">
        <v>45686.40734953704</v>
      </c>
      <c r="G973" s="3" t="inlineStr">
        <is>
          <t>OBT290125152804-Other sidings north</t>
        </is>
      </c>
      <c r="H973" s="10" t="n">
        <v>45686.64449074074</v>
      </c>
      <c r="I973" s="10" t="n">
        <v>45687.63377314815</v>
      </c>
      <c r="J973" s="10" t="n">
        <v>45687.63457175926</v>
      </c>
      <c r="K973" s="11">
        <f>IF(AND(ISNUMBER(D973),ISNUMBER(E973)),(E973-D973),"")</f>
        <v/>
      </c>
      <c r="L973" s="11">
        <f>IF(AND(ISNUMBER(F973),ISNUMBER(I973)),(I973-F973),"")</f>
        <v/>
      </c>
    </row>
    <row r="974">
      <c r="A974" s="3" t="inlineStr">
        <is>
          <t>1029201</t>
        </is>
      </c>
      <c r="B974" s="3" t="inlineStr">
        <is>
          <t>10292</t>
        </is>
      </c>
      <c r="C974" s="10" t="n">
        <v>45686.43738425926</v>
      </c>
      <c r="D974" s="10" t="n">
        <v>45686.43953703704</v>
      </c>
      <c r="E974" s="10" t="n">
        <v>45686.44605324074</v>
      </c>
      <c r="F974" s="10" t="n">
        <v>45686.44802083333</v>
      </c>
      <c r="G974" s="3" t="inlineStr">
        <is>
          <t>OBT300125085102-St. Veit an der Glan</t>
        </is>
      </c>
      <c r="H974" s="10" t="n">
        <v>45687.36877314815</v>
      </c>
      <c r="I974" s="10" t="n">
        <v>45688.36916666666</v>
      </c>
      <c r="J974" s="10" t="n">
        <v>45688.36998842593</v>
      </c>
      <c r="K974" s="11">
        <f>IF(AND(ISNUMBER(D974),ISNUMBER(E974)),(E974-D974),"")</f>
        <v/>
      </c>
      <c r="L974" s="11">
        <f>IF(AND(ISNUMBER(F974),ISNUMBER(I974)),(I974-F974),"")</f>
        <v/>
      </c>
    </row>
    <row r="975">
      <c r="A975" s="3" t="inlineStr">
        <is>
          <t>1029202</t>
        </is>
      </c>
      <c r="B975" s="3" t="inlineStr">
        <is>
          <t>10292</t>
        </is>
      </c>
      <c r="C975" s="10" t="n">
        <v>45686.43738425926</v>
      </c>
      <c r="D975" s="10" t="n">
        <v>45686.43953703704</v>
      </c>
      <c r="E975" s="10" t="n">
        <v>45686.44802083333</v>
      </c>
      <c r="F975" s="10" t="n">
        <v>45686.44965277778</v>
      </c>
      <c r="G975" s="3" t="inlineStr">
        <is>
          <t>OBT290125105057-Wien Kledering</t>
        </is>
      </c>
      <c r="H975" s="10" t="n">
        <v>45686.45204861111</v>
      </c>
      <c r="I975" s="10" t="n">
        <v>45687.44457175926</v>
      </c>
      <c r="J975" s="10" t="n">
        <v>45687.44554398148</v>
      </c>
      <c r="K975" s="11">
        <f>IF(AND(ISNUMBER(D975),ISNUMBER(E975)),(E975-D975),"")</f>
        <v/>
      </c>
      <c r="L975" s="11">
        <f>IF(AND(ISNUMBER(F975),ISNUMBER(I975)),(I975-F975),"")</f>
        <v/>
      </c>
    </row>
    <row r="976">
      <c r="A976" s="3" t="inlineStr">
        <is>
          <t>1029301</t>
        </is>
      </c>
      <c r="B976" s="3" t="inlineStr">
        <is>
          <t>10293</t>
        </is>
      </c>
      <c r="C976" s="10" t="n">
        <v>45686.54465277777</v>
      </c>
      <c r="D976" s="10" t="n">
        <v>45686.54684027778</v>
      </c>
      <c r="E976" s="10" t="n">
        <v>45686.55255787037</v>
      </c>
      <c r="F976" s="10" t="n">
        <v>45686.55428240741</v>
      </c>
      <c r="G976" s="3" t="inlineStr">
        <is>
          <t>OBT290125132135-Wien Kledering</t>
        </is>
      </c>
      <c r="H976" s="10" t="n">
        <v>45686.55665509259</v>
      </c>
      <c r="I976" s="10" t="n">
        <v>45687.47028935186</v>
      </c>
      <c r="J976" s="10" t="n">
        <v>45687.47135416666</v>
      </c>
      <c r="K976" s="11">
        <f>IF(AND(ISNUMBER(D976),ISNUMBER(E976)),(E976-D976),"")</f>
        <v/>
      </c>
      <c r="L976" s="11">
        <f>IF(AND(ISNUMBER(F976),ISNUMBER(I976)),(I976-F976),"")</f>
        <v/>
      </c>
    </row>
    <row r="977">
      <c r="A977" s="3" t="inlineStr">
        <is>
          <t>1029401</t>
        </is>
      </c>
      <c r="B977" s="3" t="inlineStr">
        <is>
          <t>10294</t>
        </is>
      </c>
      <c r="C977" s="10" t="n">
        <v>45686.60335648148</v>
      </c>
      <c r="D977" s="10" t="n">
        <v>45686.60586805556</v>
      </c>
      <c r="E977" s="10" t="n">
        <v>45686.61258101852</v>
      </c>
      <c r="F977" s="10" t="n">
        <v>45686.61462962963</v>
      </c>
      <c r="G977" s="3" t="inlineStr">
        <is>
          <t>OBT290125144829-Wien Kledering</t>
        </is>
      </c>
      <c r="H977" s="10" t="n">
        <v>45686.61700231482</v>
      </c>
      <c r="I977" s="10" t="n">
        <v>45687.62008101852</v>
      </c>
      <c r="J977" s="10" t="n">
        <v>45687.6214699074</v>
      </c>
      <c r="K977" s="11">
        <f>IF(AND(ISNUMBER(D977),ISNUMBER(E977)),(E977-D977),"")</f>
        <v/>
      </c>
      <c r="L977" s="11">
        <f>IF(AND(ISNUMBER(F977),ISNUMBER(I977)),(I977-F977),"")</f>
        <v/>
      </c>
    </row>
    <row r="978">
      <c r="A978" s="3" t="inlineStr">
        <is>
          <t>1029501</t>
        </is>
      </c>
      <c r="B978" s="3" t="inlineStr">
        <is>
          <t>10295</t>
        </is>
      </c>
      <c r="C978" s="10" t="n">
        <v>45686.61792824074</v>
      </c>
      <c r="D978" s="10" t="n">
        <v>45686.62068287037</v>
      </c>
      <c r="E978" s="10" t="n">
        <v>45686.63876157408</v>
      </c>
      <c r="F978" s="10" t="n">
        <v>45686.6405787037</v>
      </c>
      <c r="G978" s="3" t="inlineStr">
        <is>
          <t>OBT290125152804-Other sidings north</t>
        </is>
      </c>
      <c r="H978" s="10" t="n">
        <v>45686.64449074074</v>
      </c>
      <c r="I978" s="10" t="n">
        <v>45687.63377314815</v>
      </c>
      <c r="J978" s="10" t="n">
        <v>45687.63457175926</v>
      </c>
      <c r="K978" s="11">
        <f>IF(AND(ISNUMBER(D978),ISNUMBER(E978)),(E978-D978),"")</f>
        <v/>
      </c>
      <c r="L978" s="11">
        <f>IF(AND(ISNUMBER(F978),ISNUMBER(I978)),(I978-F978),"")</f>
        <v/>
      </c>
    </row>
    <row r="979">
      <c r="A979" s="3" t="inlineStr">
        <is>
          <t>1029502</t>
        </is>
      </c>
      <c r="B979" s="3" t="inlineStr">
        <is>
          <t>10295</t>
        </is>
      </c>
      <c r="C979" s="10" t="n">
        <v>45686.61792824074</v>
      </c>
      <c r="D979" s="10" t="n">
        <v>45686.62068287037</v>
      </c>
      <c r="E979" s="10" t="n">
        <v>45686.6405787037</v>
      </c>
      <c r="F979" s="10" t="n">
        <v>45686.64265046296</v>
      </c>
      <c r="G979" s="3" t="inlineStr">
        <is>
          <t>OBT290125154754-Wr. Neustadt (Hödlmayr)</t>
        </is>
      </c>
      <c r="H979" s="10" t="n">
        <v>45686.65826388889</v>
      </c>
      <c r="I979" s="10" t="n">
        <v>45687.66893518518</v>
      </c>
      <c r="J979" s="10" t="n">
        <v>45687.66959490741</v>
      </c>
      <c r="K979" s="11">
        <f>IF(AND(ISNUMBER(D979),ISNUMBER(E979)),(E979-D979),"")</f>
        <v/>
      </c>
      <c r="L979" s="11">
        <f>IF(AND(ISNUMBER(F979),ISNUMBER(I979)),(I979-F979),"")</f>
        <v/>
      </c>
    </row>
    <row r="980">
      <c r="A980" s="3" t="inlineStr">
        <is>
          <t>1029503</t>
        </is>
      </c>
      <c r="B980" s="3" t="inlineStr">
        <is>
          <t>10295</t>
        </is>
      </c>
      <c r="C980" s="10" t="n">
        <v>45686.61792824074</v>
      </c>
      <c r="D980" s="10" t="n">
        <v>45686.62068287037</v>
      </c>
      <c r="E980" s="10" t="n">
        <v>45686.64265046296</v>
      </c>
      <c r="F980" s="10" t="n">
        <v>45686.64392361111</v>
      </c>
      <c r="G980" s="3" t="inlineStr">
        <is>
          <t>OBT300125081010-Wr. Neustadt (Brenntag)</t>
        </is>
      </c>
      <c r="H980" s="10" t="n">
        <v>45687.34039351852</v>
      </c>
      <c r="I980" s="10" t="n">
        <v>45688.32527777777</v>
      </c>
      <c r="J980" s="10" t="n">
        <v>45688.32615740741</v>
      </c>
      <c r="K980" s="11">
        <f>IF(AND(ISNUMBER(D980),ISNUMBER(E980)),(E980-D980),"")</f>
        <v/>
      </c>
      <c r="L980" s="11">
        <f>IF(AND(ISNUMBER(F980),ISNUMBER(I980)),(I980-F980),"")</f>
        <v/>
      </c>
    </row>
    <row r="981">
      <c r="A981" s="3" t="inlineStr">
        <is>
          <t>1029504</t>
        </is>
      </c>
      <c r="B981" s="3" t="inlineStr">
        <is>
          <t>10295</t>
        </is>
      </c>
      <c r="C981" s="10" t="n">
        <v>45686.61792824074</v>
      </c>
      <c r="D981" s="10" t="n">
        <v>45686.62068287037</v>
      </c>
      <c r="E981" s="10" t="n">
        <v>45686.64392361111</v>
      </c>
      <c r="F981" s="10" t="n">
        <v>45686.64564814815</v>
      </c>
      <c r="G981" s="3" t="inlineStr">
        <is>
          <t>OBT300125153454-Other sidings south</t>
        </is>
      </c>
      <c r="H981" s="10" t="n">
        <v>45687.64923611111</v>
      </c>
      <c r="I981" s="10" t="n">
        <v>45688.55475694445</v>
      </c>
      <c r="J981" s="10" t="n">
        <v>45688.55568287037</v>
      </c>
      <c r="K981" s="11">
        <f>IF(AND(ISNUMBER(D981),ISNUMBER(E981)),(E981-D981),"")</f>
        <v/>
      </c>
      <c r="L981" s="11">
        <f>IF(AND(ISNUMBER(F981),ISNUMBER(I981)),(I981-F981),"")</f>
        <v/>
      </c>
    </row>
    <row r="982">
      <c r="A982" s="3" t="inlineStr">
        <is>
          <t>1029505</t>
        </is>
      </c>
      <c r="B982" s="3" t="inlineStr">
        <is>
          <t>10295</t>
        </is>
      </c>
      <c r="C982" s="10" t="n">
        <v>45686.61792824074</v>
      </c>
      <c r="D982" s="10" t="n">
        <v>45686.62068287037</v>
      </c>
      <c r="E982" s="10" t="n">
        <v>45686.64564814815</v>
      </c>
      <c r="F982" s="10" t="n">
        <v>45686.64756944445</v>
      </c>
      <c r="G982" s="3" t="inlineStr">
        <is>
          <t>OBT300125030547-Neunkirchen (loading tracks)</t>
        </is>
      </c>
      <c r="H982" s="10" t="n">
        <v>45687.1290162037</v>
      </c>
      <c r="I982" s="10" t="n">
        <v>45687.88241898148</v>
      </c>
      <c r="J982" s="10" t="n">
        <v>45687.88303240741</v>
      </c>
      <c r="K982" s="11">
        <f>IF(AND(ISNUMBER(D982),ISNUMBER(E982)),(E982-D982),"")</f>
        <v/>
      </c>
      <c r="L982" s="11">
        <f>IF(AND(ISNUMBER(F982),ISNUMBER(I982)),(I982-F982),"")</f>
        <v/>
      </c>
    </row>
    <row r="983">
      <c r="A983" s="3" t="inlineStr">
        <is>
          <t>1029506</t>
        </is>
      </c>
      <c r="B983" s="3" t="inlineStr">
        <is>
          <t>10295</t>
        </is>
      </c>
      <c r="C983" s="10" t="n">
        <v>45686.61792824074</v>
      </c>
      <c r="D983" s="10" t="n">
        <v>45686.62068287037</v>
      </c>
      <c r="E983" s="10" t="n">
        <v>45686.64756944445</v>
      </c>
      <c r="F983" s="10" t="n">
        <v>45686.64921296296</v>
      </c>
      <c r="G983" s="3" t="inlineStr">
        <is>
          <t>OBT290125182252-Pitten (Hamburger)</t>
        </is>
      </c>
      <c r="H983" s="10" t="n">
        <v>45686.76587962963</v>
      </c>
      <c r="I983" s="10" t="n">
        <v>45687.76489583333</v>
      </c>
      <c r="J983" s="10" t="n">
        <v>45687.76586805555</v>
      </c>
      <c r="K983" s="11">
        <f>IF(AND(ISNUMBER(D983),ISNUMBER(E983)),(E983-D983),"")</f>
        <v/>
      </c>
      <c r="L983" s="11">
        <f>IF(AND(ISNUMBER(F983),ISNUMBER(I983)),(I983-F983),"")</f>
        <v/>
      </c>
    </row>
    <row r="984">
      <c r="A984" s="3" t="inlineStr">
        <is>
          <t>1029507</t>
        </is>
      </c>
      <c r="B984" s="3" t="inlineStr">
        <is>
          <t>10295</t>
        </is>
      </c>
      <c r="C984" s="10" t="n">
        <v>45686.61792824074</v>
      </c>
      <c r="D984" s="10" t="n">
        <v>45686.62068287037</v>
      </c>
      <c r="E984" s="10" t="n">
        <v>45686.64921296296</v>
      </c>
      <c r="F984" s="10" t="n">
        <v>45686.65127314815</v>
      </c>
      <c r="G984" s="3" t="inlineStr">
        <is>
          <t>OBT310125080145-Wr. Neustadt (Brenntag)</t>
        </is>
      </c>
      <c r="H984" s="10" t="n">
        <v>45688.33454861111</v>
      </c>
      <c r="I984" s="10" t="n">
        <v>45688.88429398148</v>
      </c>
      <c r="J984" s="10" t="n">
        <v>45688.88511574074</v>
      </c>
      <c r="K984" s="11">
        <f>IF(AND(ISNUMBER(D984),ISNUMBER(E984)),(E984-D984),"")</f>
        <v/>
      </c>
      <c r="L984" s="11">
        <f>IF(AND(ISNUMBER(F984),ISNUMBER(I984)),(I984-F984),"")</f>
        <v/>
      </c>
    </row>
    <row r="985">
      <c r="A985" s="3" t="inlineStr">
        <is>
          <t>1029508</t>
        </is>
      </c>
      <c r="B985" s="3" t="inlineStr">
        <is>
          <t>10295</t>
        </is>
      </c>
      <c r="C985" s="10" t="n">
        <v>45686.61792824074</v>
      </c>
      <c r="D985" s="10" t="n">
        <v>45686.62068287037</v>
      </c>
      <c r="E985" s="10" t="n">
        <v>45686.65127314815</v>
      </c>
      <c r="F985" s="10" t="n">
        <v>45686.6527662037</v>
      </c>
      <c r="G985" s="3" t="inlineStr">
        <is>
          <t>OBT290125182252-Pitten (Hamburger)</t>
        </is>
      </c>
      <c r="H985" s="10" t="n">
        <v>45686.76587962963</v>
      </c>
      <c r="I985" s="10" t="n">
        <v>45687.76489583333</v>
      </c>
      <c r="J985" s="10" t="n">
        <v>45687.76586805555</v>
      </c>
      <c r="K985" s="11">
        <f>IF(AND(ISNUMBER(D985),ISNUMBER(E985)),(E985-D985),"")</f>
        <v/>
      </c>
      <c r="L985" s="11">
        <f>IF(AND(ISNUMBER(F985),ISNUMBER(I985)),(I985-F985),"")</f>
        <v/>
      </c>
    </row>
    <row r="986">
      <c r="A986" s="3" t="inlineStr">
        <is>
          <t>1029511</t>
        </is>
      </c>
      <c r="B986" s="3" t="inlineStr">
        <is>
          <t>10295</t>
        </is>
      </c>
      <c r="C986" s="10" t="n">
        <v>45686.61792824074</v>
      </c>
      <c r="D986" s="10" t="n">
        <v>45686.62068287037</v>
      </c>
      <c r="E986" s="10" t="n">
        <v>45686.6527662037</v>
      </c>
      <c r="F986" s="10" t="n">
        <v>45686.65472222222</v>
      </c>
      <c r="G986" s="3" t="inlineStr">
        <is>
          <t>OBT290125154754-Wr. Neustadt (Hödlmayr)</t>
        </is>
      </c>
      <c r="H986" s="10" t="n">
        <v>45686.65826388889</v>
      </c>
      <c r="I986" s="10" t="n">
        <v>45687.66893518518</v>
      </c>
      <c r="J986" s="10" t="n">
        <v>45687.66959490741</v>
      </c>
      <c r="K986" s="11">
        <f>IF(AND(ISNUMBER(D986),ISNUMBER(E986)),(E986-D986),"")</f>
        <v/>
      </c>
      <c r="L986" s="11">
        <f>IF(AND(ISNUMBER(F986),ISNUMBER(I986)),(I986-F986),"")</f>
        <v/>
      </c>
    </row>
    <row r="987">
      <c r="A987" s="3" t="inlineStr">
        <is>
          <t>1029701</t>
        </is>
      </c>
      <c r="B987" s="3" t="inlineStr">
        <is>
          <t>10297</t>
        </is>
      </c>
      <c r="C987" s="10" t="n">
        <v>45686.72850694445</v>
      </c>
      <c r="D987" s="10" t="n">
        <v>45686.73079861111</v>
      </c>
      <c r="E987" s="10" t="n">
        <v>45686.73666666666</v>
      </c>
      <c r="F987" s="10" t="n">
        <v>45686.73849537037</v>
      </c>
      <c r="G987" s="3" t="inlineStr">
        <is>
          <t>OBT290125174650-Wien Kledering</t>
        </is>
      </c>
      <c r="H987" s="10" t="n">
        <v>45686.74085648148</v>
      </c>
      <c r="I987" s="10" t="n">
        <v>45687.70849537037</v>
      </c>
      <c r="J987" s="10" t="n">
        <v>45687.70966435185</v>
      </c>
      <c r="K987" s="11">
        <f>IF(AND(ISNUMBER(D987),ISNUMBER(E987)),(E987-D987),"")</f>
        <v/>
      </c>
      <c r="L987" s="11">
        <f>IF(AND(ISNUMBER(F987),ISNUMBER(I987)),(I987-F987),"")</f>
        <v/>
      </c>
    </row>
    <row r="988">
      <c r="A988" s="3" t="inlineStr">
        <is>
          <t>1029801</t>
        </is>
      </c>
      <c r="B988" s="3" t="inlineStr">
        <is>
          <t>10298</t>
        </is>
      </c>
      <c r="C988" s="10" t="n">
        <v>45686.73331018518</v>
      </c>
      <c r="D988" s="10" t="n">
        <v>45686.73533564815</v>
      </c>
      <c r="E988" s="10" t="n">
        <v>45686.75324074074</v>
      </c>
      <c r="F988" s="10" t="n">
        <v>45686.75524305556</v>
      </c>
      <c r="G988" s="3" t="n"/>
      <c r="H988" s="10" t="n"/>
      <c r="I988" s="10" t="n"/>
      <c r="J988" s="10" t="n"/>
      <c r="K988" s="11">
        <f>IF(AND(ISNUMBER(D988),ISNUMBER(E988)),(E988-D988),"")</f>
        <v/>
      </c>
      <c r="L988" s="11">
        <f>IF(AND(ISNUMBER(F988),ISNUMBER(I988)),(I988-F988),"")</f>
        <v/>
      </c>
    </row>
    <row r="989">
      <c r="A989" s="3" t="inlineStr">
        <is>
          <t>1029802</t>
        </is>
      </c>
      <c r="B989" s="3" t="inlineStr">
        <is>
          <t>10298</t>
        </is>
      </c>
      <c r="C989" s="10" t="n">
        <v>45686.73331018518</v>
      </c>
      <c r="D989" s="10" t="n">
        <v>45686.73533564815</v>
      </c>
      <c r="E989" s="10" t="n">
        <v>45686.75524305556</v>
      </c>
      <c r="F989" s="10" t="n">
        <v>45686.75649305555</v>
      </c>
      <c r="G989" s="3" t="inlineStr">
        <is>
          <t>OBT300125081010-Wr. Neustadt (Brenntag)</t>
        </is>
      </c>
      <c r="H989" s="10" t="n">
        <v>45687.34039351852</v>
      </c>
      <c r="I989" s="10" t="n">
        <v>45688.32527777777</v>
      </c>
      <c r="J989" s="10" t="n">
        <v>45688.32615740741</v>
      </c>
      <c r="K989" s="11">
        <f>IF(AND(ISNUMBER(D989),ISNUMBER(E989)),(E989-D989),"")</f>
        <v/>
      </c>
      <c r="L989" s="11">
        <f>IF(AND(ISNUMBER(F989),ISNUMBER(I989)),(I989-F989),"")</f>
        <v/>
      </c>
    </row>
    <row r="990">
      <c r="A990" s="3" t="inlineStr">
        <is>
          <t>1029803</t>
        </is>
      </c>
      <c r="B990" s="3" t="inlineStr">
        <is>
          <t>10298</t>
        </is>
      </c>
      <c r="C990" s="10" t="n">
        <v>45686.73331018518</v>
      </c>
      <c r="D990" s="10" t="n">
        <v>45686.73533564815</v>
      </c>
      <c r="E990" s="10" t="n">
        <v>45686.75649305555</v>
      </c>
      <c r="F990" s="10" t="n">
        <v>45686.75840277778</v>
      </c>
      <c r="G990" s="3" t="inlineStr">
        <is>
          <t>OBT300125075751-Wr. Neustadt (Hödlmayr)</t>
        </is>
      </c>
      <c r="H990" s="10" t="n">
        <v>45687.33184027778</v>
      </c>
      <c r="I990" s="10" t="n">
        <v>45688.24591435185</v>
      </c>
      <c r="J990" s="10" t="n">
        <v>45688.24699074074</v>
      </c>
      <c r="K990" s="11">
        <f>IF(AND(ISNUMBER(D990),ISNUMBER(E990)),(E990-D990),"")</f>
        <v/>
      </c>
      <c r="L990" s="11">
        <f>IF(AND(ISNUMBER(F990),ISNUMBER(I990)),(I990-F990),"")</f>
        <v/>
      </c>
    </row>
    <row r="991">
      <c r="A991" s="3" t="inlineStr">
        <is>
          <t>1029804</t>
        </is>
      </c>
      <c r="B991" s="3" t="inlineStr">
        <is>
          <t>10298</t>
        </is>
      </c>
      <c r="C991" s="10" t="n">
        <v>45686.73331018518</v>
      </c>
      <c r="D991" s="10" t="n">
        <v>45686.73533564815</v>
      </c>
      <c r="E991" s="10" t="n">
        <v>45686.75840277778</v>
      </c>
      <c r="F991" s="10" t="n">
        <v>45686.76032407407</v>
      </c>
      <c r="G991" s="3" t="inlineStr">
        <is>
          <t>OBT300125085102-St. Veit an der Glan</t>
        </is>
      </c>
      <c r="H991" s="10" t="n">
        <v>45687.36877314815</v>
      </c>
      <c r="I991" s="10" t="n">
        <v>45688.36916666666</v>
      </c>
      <c r="J991" s="10" t="n">
        <v>45688.36998842593</v>
      </c>
      <c r="K991" s="11">
        <f>IF(AND(ISNUMBER(D991),ISNUMBER(E991)),(E991-D991),"")</f>
        <v/>
      </c>
      <c r="L991" s="11">
        <f>IF(AND(ISNUMBER(F991),ISNUMBER(I991)),(I991-F991),"")</f>
        <v/>
      </c>
    </row>
    <row r="992">
      <c r="A992" s="3" t="inlineStr">
        <is>
          <t>1029805</t>
        </is>
      </c>
      <c r="B992" s="3" t="inlineStr">
        <is>
          <t>10298</t>
        </is>
      </c>
      <c r="C992" s="10" t="n">
        <v>45686.73331018518</v>
      </c>
      <c r="D992" s="10" t="n">
        <v>45686.73533564815</v>
      </c>
      <c r="E992" s="10" t="n">
        <v>45686.76032407407</v>
      </c>
      <c r="F992" s="10" t="n">
        <v>45686.7619675926</v>
      </c>
      <c r="G992" s="3" t="inlineStr">
        <is>
          <t>OBT290125182252-Pitten (Hamburger)</t>
        </is>
      </c>
      <c r="H992" s="10" t="n">
        <v>45686.76587962963</v>
      </c>
      <c r="I992" s="10" t="n">
        <v>45687.76489583333</v>
      </c>
      <c r="J992" s="10" t="n">
        <v>45687.76586805555</v>
      </c>
      <c r="K992" s="11">
        <f>IF(AND(ISNUMBER(D992),ISNUMBER(E992)),(E992-D992),"")</f>
        <v/>
      </c>
      <c r="L992" s="11">
        <f>IF(AND(ISNUMBER(F992),ISNUMBER(I992)),(I992-F992),"")</f>
        <v/>
      </c>
    </row>
    <row r="993">
      <c r="A993" s="3" t="inlineStr">
        <is>
          <t>1029806</t>
        </is>
      </c>
      <c r="B993" s="3" t="inlineStr">
        <is>
          <t>10298</t>
        </is>
      </c>
      <c r="C993" s="10" t="n">
        <v>45686.73331018518</v>
      </c>
      <c r="D993" s="10" t="n">
        <v>45686.73533564815</v>
      </c>
      <c r="E993" s="10" t="n">
        <v>45686.7619675926</v>
      </c>
      <c r="F993" s="10" t="n">
        <v>45686.76394675926</v>
      </c>
      <c r="G993" s="3" t="inlineStr">
        <is>
          <t>OBT300125075751-Wr. Neustadt (Hödlmayr)</t>
        </is>
      </c>
      <c r="H993" s="10" t="n">
        <v>45687.33184027778</v>
      </c>
      <c r="I993" s="10" t="n">
        <v>45688.24591435185</v>
      </c>
      <c r="J993" s="10" t="n">
        <v>45688.24699074074</v>
      </c>
      <c r="K993" s="11">
        <f>IF(AND(ISNUMBER(D993),ISNUMBER(E993)),(E993-D993),"")</f>
        <v/>
      </c>
      <c r="L993" s="11">
        <f>IF(AND(ISNUMBER(F993),ISNUMBER(I993)),(I993-F993),"")</f>
        <v/>
      </c>
    </row>
    <row r="994">
      <c r="A994" s="3" t="inlineStr">
        <is>
          <t>1029807</t>
        </is>
      </c>
      <c r="B994" s="3" t="inlineStr">
        <is>
          <t>10298</t>
        </is>
      </c>
      <c r="C994" s="10" t="n">
        <v>45686.73331018518</v>
      </c>
      <c r="D994" s="10" t="n">
        <v>45686.73533564815</v>
      </c>
      <c r="E994" s="10" t="n">
        <v>45686.76394675926</v>
      </c>
      <c r="F994" s="10" t="n">
        <v>45686.7658912037</v>
      </c>
      <c r="G994" s="3" t="inlineStr">
        <is>
          <t>OBT300125030547-Neunkirchen (loading tracks)</t>
        </is>
      </c>
      <c r="H994" s="10" t="n">
        <v>45687.1290162037</v>
      </c>
      <c r="I994" s="10" t="n">
        <v>45687.88241898148</v>
      </c>
      <c r="J994" s="10" t="n">
        <v>45687.88303240741</v>
      </c>
      <c r="K994" s="11">
        <f>IF(AND(ISNUMBER(D994),ISNUMBER(E994)),(E994-D994),"")</f>
        <v/>
      </c>
      <c r="L994" s="11">
        <f>IF(AND(ISNUMBER(F994),ISNUMBER(I994)),(I994-F994),"")</f>
        <v/>
      </c>
    </row>
    <row r="995">
      <c r="A995" s="3" t="inlineStr">
        <is>
          <t>1029808</t>
        </is>
      </c>
      <c r="B995" s="3" t="inlineStr">
        <is>
          <t>10298</t>
        </is>
      </c>
      <c r="C995" s="10" t="n">
        <v>45686.73331018518</v>
      </c>
      <c r="D995" s="10" t="n">
        <v>45686.73533564815</v>
      </c>
      <c r="E995" s="10" t="n">
        <v>45686.7658912037</v>
      </c>
      <c r="F995" s="10" t="n">
        <v>45686.76753472222</v>
      </c>
      <c r="G995" s="3" t="inlineStr">
        <is>
          <t>OBT300125081913-Wr. Neustadt Ausfahrbf (Furtenbach)</t>
        </is>
      </c>
      <c r="H995" s="10" t="n">
        <v>45687.34667824074</v>
      </c>
      <c r="I995" s="10" t="n">
        <v>45688.40537037037</v>
      </c>
      <c r="J995" s="10" t="n">
        <v>45688.40694444445</v>
      </c>
      <c r="K995" s="11">
        <f>IF(AND(ISNUMBER(D995),ISNUMBER(E995)),(E995-D995),"")</f>
        <v/>
      </c>
      <c r="L995" s="11">
        <f>IF(AND(ISNUMBER(F995),ISNUMBER(I995)),(I995-F995),"")</f>
        <v/>
      </c>
    </row>
    <row r="996">
      <c r="A996" s="3" t="inlineStr">
        <is>
          <t>1029809</t>
        </is>
      </c>
      <c r="B996" s="3" t="inlineStr">
        <is>
          <t>10298</t>
        </is>
      </c>
      <c r="C996" s="10" t="n">
        <v>45686.73331018518</v>
      </c>
      <c r="D996" s="10" t="n">
        <v>45686.73533564815</v>
      </c>
      <c r="E996" s="10" t="n">
        <v>45686.76753472222</v>
      </c>
      <c r="F996" s="10" t="n">
        <v>45686.7694675926</v>
      </c>
      <c r="G996" s="3" t="inlineStr">
        <is>
          <t>OBT300125030547-Neunkirchen (loading tracks)</t>
        </is>
      </c>
      <c r="H996" s="10" t="n">
        <v>45687.1290162037</v>
      </c>
      <c r="I996" s="10" t="n">
        <v>45687.88241898148</v>
      </c>
      <c r="J996" s="10" t="n">
        <v>45687.88303240741</v>
      </c>
      <c r="K996" s="11">
        <f>IF(AND(ISNUMBER(D996),ISNUMBER(E996)),(E996-D996),"")</f>
        <v/>
      </c>
      <c r="L996" s="11">
        <f>IF(AND(ISNUMBER(F996),ISNUMBER(I996)),(I996-F996),"")</f>
        <v/>
      </c>
    </row>
    <row r="997">
      <c r="A997" s="3" t="inlineStr">
        <is>
          <t>1029810</t>
        </is>
      </c>
      <c r="B997" s="3" t="inlineStr">
        <is>
          <t>10298</t>
        </is>
      </c>
      <c r="C997" s="10" t="n">
        <v>45686.73331018518</v>
      </c>
      <c r="D997" s="10" t="n">
        <v>45686.73533564815</v>
      </c>
      <c r="E997" s="10" t="n">
        <v>45686.7694675926</v>
      </c>
      <c r="F997" s="10" t="n">
        <v>45686.77116898148</v>
      </c>
      <c r="G997" s="3" t="inlineStr">
        <is>
          <t>OBT300125153454-Other sidings south</t>
        </is>
      </c>
      <c r="H997" s="10" t="n">
        <v>45687.64923611111</v>
      </c>
      <c r="I997" s="10" t="n">
        <v>45688.55475694445</v>
      </c>
      <c r="J997" s="10" t="n">
        <v>45688.55568287037</v>
      </c>
      <c r="K997" s="11">
        <f>IF(AND(ISNUMBER(D997),ISNUMBER(E997)),(E997-D997),"")</f>
        <v/>
      </c>
      <c r="L997" s="11">
        <f>IF(AND(ISNUMBER(F997),ISNUMBER(I997)),(I997-F997),"")</f>
        <v/>
      </c>
    </row>
    <row r="998">
      <c r="A998" s="3" t="inlineStr">
        <is>
          <t>1029901</t>
        </is>
      </c>
      <c r="B998" s="3" t="inlineStr">
        <is>
          <t>10299</t>
        </is>
      </c>
      <c r="C998" s="10" t="n">
        <v>45686.86508101852</v>
      </c>
      <c r="D998" s="10" t="n">
        <v>45686.86755787037</v>
      </c>
      <c r="E998" s="10" t="n">
        <v>45686.87451388889</v>
      </c>
      <c r="F998" s="10" t="n">
        <v>45686.87708333333</v>
      </c>
      <c r="G998" s="3" t="inlineStr">
        <is>
          <t>OBT290125210626-Wien Kledering</t>
        </is>
      </c>
      <c r="H998" s="10" t="n">
        <v>45686.87946759259</v>
      </c>
      <c r="I998" s="10" t="n">
        <v>45687.89732638889</v>
      </c>
      <c r="J998" s="10" t="n">
        <v>45687.89871527778</v>
      </c>
      <c r="K998" s="11">
        <f>IF(AND(ISNUMBER(D998),ISNUMBER(E998)),(E998-D998),"")</f>
        <v/>
      </c>
      <c r="L998" s="11">
        <f>IF(AND(ISNUMBER(F998),ISNUMBER(I998)),(I998-F998),"")</f>
        <v/>
      </c>
    </row>
    <row r="999">
      <c r="A999" s="3" t="inlineStr">
        <is>
          <t>1030001</t>
        </is>
      </c>
      <c r="B999" s="3" t="inlineStr">
        <is>
          <t>10300</t>
        </is>
      </c>
      <c r="C999" s="10" t="n">
        <v>45687.11238425926</v>
      </c>
      <c r="D999" s="10" t="n">
        <v>45687.11429398148</v>
      </c>
      <c r="E999" s="10" t="n">
        <v>45687.1231712963</v>
      </c>
      <c r="F999" s="10" t="n">
        <v>45687.12509259259</v>
      </c>
      <c r="G999" s="3" t="inlineStr">
        <is>
          <t>OBT300125030547-Neunkirchen (loading tracks)</t>
        </is>
      </c>
      <c r="H999" s="10" t="n">
        <v>45687.1290162037</v>
      </c>
      <c r="I999" s="10" t="n">
        <v>45687.88241898148</v>
      </c>
      <c r="J999" s="10" t="n">
        <v>45687.88303240741</v>
      </c>
      <c r="K999" s="11">
        <f>IF(AND(ISNUMBER(D999),ISNUMBER(E999)),(E999-D999),"")</f>
        <v/>
      </c>
      <c r="L999" s="11">
        <f>IF(AND(ISNUMBER(F999),ISNUMBER(I999)),(I999-F999),"")</f>
        <v/>
      </c>
    </row>
    <row r="1000">
      <c r="A1000" s="3" t="inlineStr">
        <is>
          <t>1030002</t>
        </is>
      </c>
      <c r="B1000" s="3" t="inlineStr">
        <is>
          <t>10300</t>
        </is>
      </c>
      <c r="C1000" s="10" t="n">
        <v>45687.11238425926</v>
      </c>
      <c r="D1000" s="10" t="n">
        <v>45687.11429398148</v>
      </c>
      <c r="E1000" s="10" t="n">
        <v>45687.12509259259</v>
      </c>
      <c r="F1000" s="10" t="n">
        <v>45687.12689814815</v>
      </c>
      <c r="G1000" s="3" t="inlineStr">
        <is>
          <t>OBT300125153454-Other sidings south</t>
        </is>
      </c>
      <c r="H1000" s="10" t="n">
        <v>45687.64923611111</v>
      </c>
      <c r="I1000" s="10" t="n">
        <v>45688.55475694445</v>
      </c>
      <c r="J1000" s="10" t="n">
        <v>45688.55568287037</v>
      </c>
      <c r="K1000" s="11">
        <f>IF(AND(ISNUMBER(D1000),ISNUMBER(E1000)),(E1000-D1000),"")</f>
        <v/>
      </c>
      <c r="L1000" s="11">
        <f>IF(AND(ISNUMBER(F1000),ISNUMBER(I1000)),(I1000-F1000),"")</f>
        <v/>
      </c>
    </row>
    <row r="1001">
      <c r="A1001" s="3" t="inlineStr">
        <is>
          <t>1030003</t>
        </is>
      </c>
      <c r="B1001" s="3" t="inlineStr">
        <is>
          <t>10300</t>
        </is>
      </c>
      <c r="C1001" s="10" t="n">
        <v>45687.11238425926</v>
      </c>
      <c r="D1001" s="10" t="n">
        <v>45687.11429398148</v>
      </c>
      <c r="E1001" s="10" t="n">
        <v>45687.12689814815</v>
      </c>
      <c r="F1001" s="10" t="n">
        <v>45687.12810185185</v>
      </c>
      <c r="G1001" s="3" t="inlineStr">
        <is>
          <t>OBT300125131403-Wien Kledering</t>
        </is>
      </c>
      <c r="H1001" s="10" t="n">
        <v>45687.55142361111</v>
      </c>
      <c r="I1001" s="10" t="n">
        <v>45688.45766203704</v>
      </c>
      <c r="J1001" s="10" t="n">
        <v>45688.4587962963</v>
      </c>
      <c r="K1001" s="11">
        <f>IF(AND(ISNUMBER(D1001),ISNUMBER(E1001)),(E1001-D1001),"")</f>
        <v/>
      </c>
      <c r="L1001" s="11">
        <f>IF(AND(ISNUMBER(F1001),ISNUMBER(I1001)),(I1001-F1001),"")</f>
        <v/>
      </c>
    </row>
    <row r="1002">
      <c r="A1002" s="3" t="inlineStr">
        <is>
          <t>1030004</t>
        </is>
      </c>
      <c r="B1002" s="3" t="inlineStr">
        <is>
          <t>10300</t>
        </is>
      </c>
      <c r="C1002" s="10" t="n">
        <v>45687.11238425926</v>
      </c>
      <c r="D1002" s="10" t="n">
        <v>45687.11429398148</v>
      </c>
      <c r="E1002" s="10" t="n">
        <v>45687.12810185185</v>
      </c>
      <c r="F1002" s="10" t="n">
        <v>45687.13</v>
      </c>
      <c r="G1002" s="3" t="inlineStr">
        <is>
          <t>OBT310125075821-Ternitz (Schoeller-Bleckmann)</t>
        </is>
      </c>
      <c r="H1002" s="10" t="n">
        <v>45688.3321875</v>
      </c>
      <c r="I1002" s="10" t="n">
        <v>45688.77137731481</v>
      </c>
      <c r="J1002" s="10" t="n">
        <v>45688.77202546296</v>
      </c>
      <c r="K1002" s="11">
        <f>IF(AND(ISNUMBER(D1002),ISNUMBER(E1002)),(E1002-D1002),"")</f>
        <v/>
      </c>
      <c r="L1002" s="11">
        <f>IF(AND(ISNUMBER(F1002),ISNUMBER(I1002)),(I1002-F1002),"")</f>
        <v/>
      </c>
    </row>
    <row r="1003">
      <c r="A1003" s="3" t="inlineStr">
        <is>
          <t>1030005</t>
        </is>
      </c>
      <c r="B1003" s="3" t="inlineStr">
        <is>
          <t>10300</t>
        </is>
      </c>
      <c r="C1003" s="10" t="n">
        <v>45687.11238425926</v>
      </c>
      <c r="D1003" s="10" t="n">
        <v>45687.11429398148</v>
      </c>
      <c r="E1003" s="10" t="n">
        <v>45687.13</v>
      </c>
      <c r="F1003" s="10" t="n">
        <v>45687.13140046296</v>
      </c>
      <c r="G1003" s="3" t="inlineStr">
        <is>
          <t>OBT300125080541-Neunkirchen (loading tracks)</t>
        </is>
      </c>
      <c r="H1003" s="10" t="n">
        <v>45687.33728009259</v>
      </c>
      <c r="I1003" s="10" t="n">
        <v>45688.27736111111</v>
      </c>
      <c r="J1003" s="10" t="n">
        <v>45688.27809027778</v>
      </c>
      <c r="K1003" s="11">
        <f>IF(AND(ISNUMBER(D1003),ISNUMBER(E1003)),(E1003-D1003),"")</f>
        <v/>
      </c>
      <c r="L1003" s="11">
        <f>IF(AND(ISNUMBER(F1003),ISNUMBER(I1003)),(I1003-F1003),"")</f>
        <v/>
      </c>
    </row>
    <row r="1004">
      <c r="A1004" s="3" t="inlineStr">
        <is>
          <t>1030101</t>
        </is>
      </c>
      <c r="B1004" s="3" t="inlineStr">
        <is>
          <t>10301</t>
        </is>
      </c>
      <c r="C1004" s="10" t="n">
        <v>45687.26184027778</v>
      </c>
      <c r="D1004" s="10" t="n">
        <v>45687.26412037037</v>
      </c>
      <c r="E1004" s="10" t="n">
        <v>45687.2703587963</v>
      </c>
      <c r="F1004" s="10" t="n">
        <v>45687.27228009259</v>
      </c>
      <c r="G1004" s="3" t="inlineStr">
        <is>
          <t>OBT300125063532-Wien Kledering</t>
        </is>
      </c>
      <c r="H1004" s="10" t="n">
        <v>45687.27467592592</v>
      </c>
      <c r="I1004" s="10" t="n">
        <v>45688.1887037037</v>
      </c>
      <c r="J1004" s="10" t="n">
        <v>45688.18981481482</v>
      </c>
      <c r="K1004" s="11">
        <f>IF(AND(ISNUMBER(D1004),ISNUMBER(E1004)),(E1004-D1004),"")</f>
        <v/>
      </c>
      <c r="L1004" s="11">
        <f>IF(AND(ISNUMBER(F1004),ISNUMBER(I1004)),(I1004-F1004),"")</f>
        <v/>
      </c>
    </row>
    <row r="1005">
      <c r="A1005" s="3" t="inlineStr">
        <is>
          <t>1030301</t>
        </is>
      </c>
      <c r="B1005" s="3" t="inlineStr">
        <is>
          <t>10303</t>
        </is>
      </c>
      <c r="C1005" s="10" t="n">
        <v>45687.3000462963</v>
      </c>
      <c r="D1005" s="10" t="n">
        <v>45687.30241898148</v>
      </c>
      <c r="E1005" s="10" t="n">
        <v>45687.32388888889</v>
      </c>
      <c r="F1005" s="10" t="n">
        <v>45687.32568287037</v>
      </c>
      <c r="G1005" s="3" t="inlineStr">
        <is>
          <t>OBT310125075821-Ternitz (Schoeller-Bleckmann)</t>
        </is>
      </c>
      <c r="H1005" s="10" t="n">
        <v>45688.3321875</v>
      </c>
      <c r="I1005" s="10" t="n">
        <v>45688.77137731481</v>
      </c>
      <c r="J1005" s="10" t="n">
        <v>45688.77202546296</v>
      </c>
      <c r="K1005" s="11">
        <f>IF(AND(ISNUMBER(D1005),ISNUMBER(E1005)),(E1005-D1005),"")</f>
        <v/>
      </c>
      <c r="L1005" s="11">
        <f>IF(AND(ISNUMBER(F1005),ISNUMBER(I1005)),(I1005-F1005),"")</f>
        <v/>
      </c>
    </row>
    <row r="1006">
      <c r="A1006" s="3" t="inlineStr">
        <is>
          <t>1030302</t>
        </is>
      </c>
      <c r="B1006" s="3" t="inlineStr">
        <is>
          <t>10303</t>
        </is>
      </c>
      <c r="C1006" s="10" t="n">
        <v>45687.3000462963</v>
      </c>
      <c r="D1006" s="10" t="n">
        <v>45687.30241898148</v>
      </c>
      <c r="E1006" s="10" t="n">
        <v>45687.32568287037</v>
      </c>
      <c r="F1006" s="10" t="n">
        <v>45687.32791666667</v>
      </c>
      <c r="G1006" s="3" t="inlineStr">
        <is>
          <t>OBT300125075751-Wr. Neustadt (Hödlmayr)</t>
        </is>
      </c>
      <c r="H1006" s="10" t="n">
        <v>45687.33184027778</v>
      </c>
      <c r="I1006" s="10" t="n">
        <v>45688.24591435185</v>
      </c>
      <c r="J1006" s="10" t="n">
        <v>45688.24699074074</v>
      </c>
      <c r="K1006" s="11">
        <f>IF(AND(ISNUMBER(D1006),ISNUMBER(E1006)),(E1006-D1006),"")</f>
        <v/>
      </c>
      <c r="L1006" s="11">
        <f>IF(AND(ISNUMBER(F1006),ISNUMBER(I1006)),(I1006-F1006),"")</f>
        <v/>
      </c>
    </row>
    <row r="1007">
      <c r="A1007" s="3" t="inlineStr">
        <is>
          <t>1030303</t>
        </is>
      </c>
      <c r="B1007" s="3" t="inlineStr">
        <is>
          <t>10303</t>
        </is>
      </c>
      <c r="C1007" s="10" t="n">
        <v>45687.3000462963</v>
      </c>
      <c r="D1007" s="10" t="n">
        <v>45687.30241898148</v>
      </c>
      <c r="E1007" s="10" t="n">
        <v>45687.32791666667</v>
      </c>
      <c r="F1007" s="10" t="n">
        <v>45687.32916666667</v>
      </c>
      <c r="G1007" s="3" t="inlineStr">
        <is>
          <t>OBT300125080541-Neunkirchen (loading tracks)</t>
        </is>
      </c>
      <c r="H1007" s="10" t="n">
        <v>45687.33728009259</v>
      </c>
      <c r="I1007" s="10" t="n">
        <v>45688.27736111111</v>
      </c>
      <c r="J1007" s="10" t="n">
        <v>45688.27809027778</v>
      </c>
      <c r="K1007" s="11">
        <f>IF(AND(ISNUMBER(D1007),ISNUMBER(E1007)),(E1007-D1007),"")</f>
        <v/>
      </c>
      <c r="L1007" s="11">
        <f>IF(AND(ISNUMBER(F1007),ISNUMBER(I1007)),(I1007-F1007),"")</f>
        <v/>
      </c>
    </row>
    <row r="1008">
      <c r="A1008" s="3" t="inlineStr">
        <is>
          <t>1030305</t>
        </is>
      </c>
      <c r="B1008" s="3" t="inlineStr">
        <is>
          <t>10303</t>
        </is>
      </c>
      <c r="C1008" s="10" t="n">
        <v>45687.3000462963</v>
      </c>
      <c r="D1008" s="10" t="n">
        <v>45687.30241898148</v>
      </c>
      <c r="E1008" s="10" t="n">
        <v>45687.32916666667</v>
      </c>
      <c r="F1008" s="10" t="n">
        <v>45687.33077546296</v>
      </c>
      <c r="G1008" s="3" t="inlineStr">
        <is>
          <t>OBT310125161451-Steinabrückl/Wöllersdorf</t>
        </is>
      </c>
      <c r="H1008" s="10" t="n">
        <v>45688.67697916667</v>
      </c>
      <c r="I1008" s="10" t="n"/>
      <c r="J1008" s="10" t="n"/>
      <c r="K1008" s="11">
        <f>IF(AND(ISNUMBER(D1008),ISNUMBER(E1008)),(E1008-D1008),"")</f>
        <v/>
      </c>
      <c r="L1008" s="11">
        <f>IF(AND(ISNUMBER(F1008),ISNUMBER(I1008)),(I1008-F1008),"")</f>
        <v/>
      </c>
    </row>
    <row r="1009">
      <c r="A1009" s="3" t="inlineStr">
        <is>
          <t>1030306</t>
        </is>
      </c>
      <c r="B1009" s="3" t="inlineStr">
        <is>
          <t>10303</t>
        </is>
      </c>
      <c r="C1009" s="10" t="n">
        <v>45687.3000462963</v>
      </c>
      <c r="D1009" s="10" t="n">
        <v>45687.30241898148</v>
      </c>
      <c r="E1009" s="10" t="n">
        <v>45687.33077546296</v>
      </c>
      <c r="F1009" s="10" t="n">
        <v>45687.33236111111</v>
      </c>
      <c r="G1009" s="3" t="inlineStr">
        <is>
          <t>OBT300125153454-Other sidings south</t>
        </is>
      </c>
      <c r="H1009" s="10" t="n">
        <v>45687.64923611111</v>
      </c>
      <c r="I1009" s="10" t="n">
        <v>45688.55475694445</v>
      </c>
      <c r="J1009" s="10" t="n">
        <v>45688.55568287037</v>
      </c>
      <c r="K1009" s="11">
        <f>IF(AND(ISNUMBER(D1009),ISNUMBER(E1009)),(E1009-D1009),"")</f>
        <v/>
      </c>
      <c r="L1009" s="11">
        <f>IF(AND(ISNUMBER(F1009),ISNUMBER(I1009)),(I1009-F1009),"")</f>
        <v/>
      </c>
    </row>
    <row r="1010">
      <c r="A1010" s="3" t="inlineStr">
        <is>
          <t>1030307</t>
        </is>
      </c>
      <c r="B1010" s="3" t="inlineStr">
        <is>
          <t>10303</t>
        </is>
      </c>
      <c r="C1010" s="10" t="n">
        <v>45687.3000462963</v>
      </c>
      <c r="D1010" s="10" t="n">
        <v>45687.30241898148</v>
      </c>
      <c r="E1010" s="10" t="n">
        <v>45687.33236111111</v>
      </c>
      <c r="F1010" s="10" t="n">
        <v>45687.33371527777</v>
      </c>
      <c r="G1010" s="3" t="inlineStr">
        <is>
          <t>OBT300125080541-Neunkirchen (loading tracks)</t>
        </is>
      </c>
      <c r="H1010" s="10" t="n">
        <v>45687.33728009259</v>
      </c>
      <c r="I1010" s="10" t="n">
        <v>45688.27736111111</v>
      </c>
      <c r="J1010" s="10" t="n">
        <v>45688.27809027778</v>
      </c>
      <c r="K1010" s="11">
        <f>IF(AND(ISNUMBER(D1010),ISNUMBER(E1010)),(E1010-D1010),"")</f>
        <v/>
      </c>
      <c r="L1010" s="11">
        <f>IF(AND(ISNUMBER(F1010),ISNUMBER(I1010)),(I1010-F1010),"")</f>
        <v/>
      </c>
    </row>
    <row r="1011">
      <c r="A1011" s="3" t="inlineStr">
        <is>
          <t>1030309</t>
        </is>
      </c>
      <c r="B1011" s="3" t="inlineStr">
        <is>
          <t>10303</t>
        </is>
      </c>
      <c r="C1011" s="10" t="n">
        <v>45687.3000462963</v>
      </c>
      <c r="D1011" s="10" t="n">
        <v>45687.30241898148</v>
      </c>
      <c r="E1011" s="10" t="n">
        <v>45687.33371527777</v>
      </c>
      <c r="F1011" s="10" t="n">
        <v>45687.33560185185</v>
      </c>
      <c r="G1011" s="3" t="n"/>
      <c r="H1011" s="10" t="n"/>
      <c r="I1011" s="10" t="n"/>
      <c r="J1011" s="10" t="n"/>
      <c r="K1011" s="11">
        <f>IF(AND(ISNUMBER(D1011),ISNUMBER(E1011)),(E1011-D1011),"")</f>
        <v/>
      </c>
      <c r="L1011" s="11">
        <f>IF(AND(ISNUMBER(F1011),ISNUMBER(I1011)),(I1011-F1011),"")</f>
        <v/>
      </c>
    </row>
    <row r="1012">
      <c r="A1012" s="3" t="inlineStr">
        <is>
          <t>1030310</t>
        </is>
      </c>
      <c r="B1012" s="3" t="inlineStr">
        <is>
          <t>10303</t>
        </is>
      </c>
      <c r="C1012" s="10" t="n">
        <v>45687.3000462963</v>
      </c>
      <c r="D1012" s="10" t="n">
        <v>45687.30241898148</v>
      </c>
      <c r="E1012" s="10" t="n">
        <v>45687.33560185185</v>
      </c>
      <c r="F1012" s="10" t="n">
        <v>45687.33684027778</v>
      </c>
      <c r="G1012" s="3" t="inlineStr">
        <is>
          <t>OBT300125081010-Wr. Neustadt (Brenntag)</t>
        </is>
      </c>
      <c r="H1012" s="10" t="n">
        <v>45687.34039351852</v>
      </c>
      <c r="I1012" s="10" t="n">
        <v>45688.32527777777</v>
      </c>
      <c r="J1012" s="10" t="n">
        <v>45688.32615740741</v>
      </c>
      <c r="K1012" s="11">
        <f>IF(AND(ISNUMBER(D1012),ISNUMBER(E1012)),(E1012-D1012),"")</f>
        <v/>
      </c>
      <c r="L1012" s="11">
        <f>IF(AND(ISNUMBER(F1012),ISNUMBER(I1012)),(I1012-F1012),"")</f>
        <v/>
      </c>
    </row>
    <row r="1013">
      <c r="A1013" s="3" t="inlineStr">
        <is>
          <t>1030311</t>
        </is>
      </c>
      <c r="B1013" s="3" t="inlineStr">
        <is>
          <t>10303</t>
        </is>
      </c>
      <c r="C1013" s="10" t="n">
        <v>45687.3000462963</v>
      </c>
      <c r="D1013" s="10" t="n">
        <v>45687.30241898148</v>
      </c>
      <c r="E1013" s="10" t="n">
        <v>45687.33684027778</v>
      </c>
      <c r="F1013" s="10" t="n">
        <v>45687.33789351852</v>
      </c>
      <c r="G1013" s="3" t="inlineStr">
        <is>
          <t>OBT300125131403-Wien Kledering</t>
        </is>
      </c>
      <c r="H1013" s="10" t="n">
        <v>45687.55142361111</v>
      </c>
      <c r="I1013" s="10" t="n">
        <v>45688.45766203704</v>
      </c>
      <c r="J1013" s="10" t="n">
        <v>45688.4587962963</v>
      </c>
      <c r="K1013" s="11">
        <f>IF(AND(ISNUMBER(D1013),ISNUMBER(E1013)),(E1013-D1013),"")</f>
        <v/>
      </c>
      <c r="L1013" s="11">
        <f>IF(AND(ISNUMBER(F1013),ISNUMBER(I1013)),(I1013-F1013),"")</f>
        <v/>
      </c>
    </row>
    <row r="1014">
      <c r="A1014" s="3" t="inlineStr">
        <is>
          <t>1030312</t>
        </is>
      </c>
      <c r="B1014" s="3" t="inlineStr">
        <is>
          <t>10303</t>
        </is>
      </c>
      <c r="C1014" s="10" t="n">
        <v>45687.3000462963</v>
      </c>
      <c r="D1014" s="10" t="n">
        <v>45687.30241898148</v>
      </c>
      <c r="E1014" s="10" t="n">
        <v>45687.33789351852</v>
      </c>
      <c r="F1014" s="10" t="n">
        <v>45687.3394212963</v>
      </c>
      <c r="G1014" s="3" t="inlineStr">
        <is>
          <t>OBT300125081913-Wr. Neustadt Ausfahrbf (Furtenbach)</t>
        </is>
      </c>
      <c r="H1014" s="10" t="n">
        <v>45687.34667824074</v>
      </c>
      <c r="I1014" s="10" t="n">
        <v>45688.40537037037</v>
      </c>
      <c r="J1014" s="10" t="n">
        <v>45688.40694444445</v>
      </c>
      <c r="K1014" s="11">
        <f>IF(AND(ISNUMBER(D1014),ISNUMBER(E1014)),(E1014-D1014),"")</f>
        <v/>
      </c>
      <c r="L1014" s="11">
        <f>IF(AND(ISNUMBER(F1014),ISNUMBER(I1014)),(I1014-F1014),"")</f>
        <v/>
      </c>
    </row>
    <row r="1015">
      <c r="A1015" s="3" t="inlineStr">
        <is>
          <t>1030401</t>
        </is>
      </c>
      <c r="B1015" s="3" t="inlineStr">
        <is>
          <t>10304</t>
        </is>
      </c>
      <c r="C1015" s="10" t="n">
        <v>45687.32748842592</v>
      </c>
      <c r="D1015" s="10" t="n">
        <v>45687.32996527778</v>
      </c>
      <c r="E1015" s="10" t="n">
        <v>45687.34030092593</v>
      </c>
      <c r="F1015" s="10" t="n">
        <v>45687.34275462963</v>
      </c>
      <c r="G1015" s="3" t="inlineStr">
        <is>
          <t>OBT300125081913-Wr. Neustadt Ausfahrbf (Furtenbach)</t>
        </is>
      </c>
      <c r="H1015" s="10" t="n">
        <v>45687.34667824074</v>
      </c>
      <c r="I1015" s="10" t="n">
        <v>45688.40537037037</v>
      </c>
      <c r="J1015" s="10" t="n">
        <v>45688.40694444445</v>
      </c>
      <c r="K1015" s="11">
        <f>IF(AND(ISNUMBER(D1015),ISNUMBER(E1015)),(E1015-D1015),"")</f>
        <v/>
      </c>
      <c r="L1015" s="11">
        <f>IF(AND(ISNUMBER(F1015),ISNUMBER(I1015)),(I1015-F1015),"")</f>
        <v/>
      </c>
    </row>
    <row r="1016">
      <c r="A1016" s="3" t="inlineStr">
        <is>
          <t>1030501</t>
        </is>
      </c>
      <c r="B1016" s="3" t="inlineStr">
        <is>
          <t>10305</t>
        </is>
      </c>
      <c r="C1016" s="10" t="n">
        <v>45687.3483912037</v>
      </c>
      <c r="D1016" s="10" t="n">
        <v>45687.35047453704</v>
      </c>
      <c r="E1016" s="10" t="n">
        <v>45687.35827546296</v>
      </c>
      <c r="F1016" s="10" t="n">
        <v>45687.36032407408</v>
      </c>
      <c r="G1016" s="3" t="inlineStr">
        <is>
          <t>OBT300125085102-St. Veit an der Glan</t>
        </is>
      </c>
      <c r="H1016" s="10" t="n">
        <v>45687.36877314815</v>
      </c>
      <c r="I1016" s="10" t="n">
        <v>45688.36916666666</v>
      </c>
      <c r="J1016" s="10" t="n">
        <v>45688.36998842593</v>
      </c>
      <c r="K1016" s="11">
        <f>IF(AND(ISNUMBER(D1016),ISNUMBER(E1016)),(E1016-D1016),"")</f>
        <v/>
      </c>
      <c r="L1016" s="11">
        <f>IF(AND(ISNUMBER(F1016),ISNUMBER(I1016)),(I1016-F1016),"")</f>
        <v/>
      </c>
    </row>
    <row r="1017">
      <c r="A1017" s="3" t="inlineStr">
        <is>
          <t>1030503</t>
        </is>
      </c>
      <c r="B1017" s="3" t="inlineStr">
        <is>
          <t>10305</t>
        </is>
      </c>
      <c r="C1017" s="10" t="n">
        <v>45687.3483912037</v>
      </c>
      <c r="D1017" s="10" t="n">
        <v>45687.35047453704</v>
      </c>
      <c r="E1017" s="10" t="n">
        <v>45687.35827546296</v>
      </c>
      <c r="F1017" s="10" t="n">
        <v>45687.36032407408</v>
      </c>
      <c r="G1017" s="3" t="inlineStr">
        <is>
          <t>OBT300125085102-St. Veit an der Glan</t>
        </is>
      </c>
      <c r="H1017" s="10" t="n">
        <v>45687.36877314815</v>
      </c>
      <c r="I1017" s="10" t="n">
        <v>45688.36916666666</v>
      </c>
      <c r="J1017" s="10" t="n">
        <v>45688.36998842593</v>
      </c>
      <c r="K1017" s="11">
        <f>IF(AND(ISNUMBER(D1017),ISNUMBER(E1017)),(E1017-D1017),"")</f>
        <v/>
      </c>
      <c r="L1017" s="11">
        <f>IF(AND(ISNUMBER(F1017),ISNUMBER(I1017)),(I1017-F1017),"")</f>
        <v/>
      </c>
    </row>
    <row r="1018">
      <c r="A1018" s="3" t="inlineStr">
        <is>
          <t>1030601</t>
        </is>
      </c>
      <c r="B1018" s="3" t="inlineStr">
        <is>
          <t>10306</t>
        </is>
      </c>
      <c r="C1018" s="10" t="n">
        <v>45687.38030092593</v>
      </c>
      <c r="D1018" s="10" t="n">
        <v>45687.38271990741</v>
      </c>
      <c r="E1018" s="10" t="n">
        <v>45687.39434027778</v>
      </c>
      <c r="F1018" s="10" t="n">
        <v>45687.39652777778</v>
      </c>
      <c r="G1018" s="3" t="inlineStr">
        <is>
          <t>OBT300125093406-Wr. Neustadt (Hödlmayr)</t>
        </is>
      </c>
      <c r="H1018" s="10" t="n">
        <v>45687.39868055555</v>
      </c>
      <c r="I1018" s="10" t="n">
        <v>45688.40694444445</v>
      </c>
      <c r="J1018" s="10" t="n">
        <v>45688.40765046296</v>
      </c>
      <c r="K1018" s="11">
        <f>IF(AND(ISNUMBER(D1018),ISNUMBER(E1018)),(E1018-D1018),"")</f>
        <v/>
      </c>
      <c r="L1018" s="11">
        <f>IF(AND(ISNUMBER(F1018),ISNUMBER(I1018)),(I1018-F1018),"")</f>
        <v/>
      </c>
    </row>
    <row r="1019">
      <c r="A1019" s="3" t="inlineStr">
        <is>
          <t>1030602</t>
        </is>
      </c>
      <c r="B1019" s="3" t="inlineStr">
        <is>
          <t>10306</t>
        </is>
      </c>
      <c r="C1019" s="10" t="n">
        <v>45687.38030092593</v>
      </c>
      <c r="D1019" s="10" t="n">
        <v>45687.38271990741</v>
      </c>
      <c r="E1019" s="10" t="n">
        <v>45687.39652777778</v>
      </c>
      <c r="F1019" s="10" t="n">
        <v>45687.39850694445</v>
      </c>
      <c r="G1019" s="3" t="inlineStr">
        <is>
          <t>OBT310125080145-Wr. Neustadt (Brenntag)</t>
        </is>
      </c>
      <c r="H1019" s="10" t="n">
        <v>45688.33454861111</v>
      </c>
      <c r="I1019" s="10" t="n">
        <v>45688.88429398148</v>
      </c>
      <c r="J1019" s="10" t="n">
        <v>45688.88511574074</v>
      </c>
      <c r="K1019" s="11">
        <f>IF(AND(ISNUMBER(D1019),ISNUMBER(E1019)),(E1019-D1019),"")</f>
        <v/>
      </c>
      <c r="L1019" s="11">
        <f>IF(AND(ISNUMBER(F1019),ISNUMBER(I1019)),(I1019-F1019),"")</f>
        <v/>
      </c>
    </row>
    <row r="1020">
      <c r="A1020" s="3" t="inlineStr">
        <is>
          <t>1030603</t>
        </is>
      </c>
      <c r="B1020" s="3" t="inlineStr">
        <is>
          <t>10306</t>
        </is>
      </c>
      <c r="C1020" s="10" t="n">
        <v>45687.38030092593</v>
      </c>
      <c r="D1020" s="10" t="n">
        <v>45687.38271990741</v>
      </c>
      <c r="E1020" s="10" t="n">
        <v>45687.39850694445</v>
      </c>
      <c r="F1020" s="10" t="n">
        <v>45687.40053240741</v>
      </c>
      <c r="G1020" s="3" t="n"/>
      <c r="H1020" s="10" t="n"/>
      <c r="I1020" s="10" t="n"/>
      <c r="J1020" s="10" t="n"/>
      <c r="K1020" s="11">
        <f>IF(AND(ISNUMBER(D1020),ISNUMBER(E1020)),(E1020-D1020),"")</f>
        <v/>
      </c>
      <c r="L1020" s="11">
        <f>IF(AND(ISNUMBER(F1020),ISNUMBER(I1020)),(I1020-F1020),"")</f>
        <v/>
      </c>
    </row>
    <row r="1021">
      <c r="A1021" s="3" t="inlineStr">
        <is>
          <t>1030604</t>
        </is>
      </c>
      <c r="B1021" s="3" t="inlineStr">
        <is>
          <t>10306</t>
        </is>
      </c>
      <c r="C1021" s="10" t="n">
        <v>45687.38030092593</v>
      </c>
      <c r="D1021" s="10" t="n">
        <v>45687.38271990741</v>
      </c>
      <c r="E1021" s="10" t="n">
        <v>45687.40053240741</v>
      </c>
      <c r="F1021" s="10" t="n">
        <v>45687.40262731481</v>
      </c>
      <c r="G1021" s="3" t="inlineStr">
        <is>
          <t>OBT300125153249-Neudörfl (FunderMax)</t>
        </is>
      </c>
      <c r="H1021" s="10" t="n">
        <v>45687.64778935185</v>
      </c>
      <c r="I1021" s="10" t="n">
        <v>45688.48446759259</v>
      </c>
      <c r="J1021" s="10" t="n">
        <v>45688.48535879629</v>
      </c>
      <c r="K1021" s="11">
        <f>IF(AND(ISNUMBER(D1021),ISNUMBER(E1021)),(E1021-D1021),"")</f>
        <v/>
      </c>
      <c r="L1021" s="11">
        <f>IF(AND(ISNUMBER(F1021),ISNUMBER(I1021)),(I1021-F1021),"")</f>
        <v/>
      </c>
    </row>
    <row r="1022">
      <c r="A1022" s="3" t="inlineStr">
        <is>
          <t>1030605</t>
        </is>
      </c>
      <c r="B1022" s="3" t="inlineStr">
        <is>
          <t>10306</t>
        </is>
      </c>
      <c r="C1022" s="10" t="n">
        <v>45687.38030092593</v>
      </c>
      <c r="D1022" s="10" t="n">
        <v>45687.38271990741</v>
      </c>
      <c r="E1022" s="10" t="n">
        <v>45687.40262731481</v>
      </c>
      <c r="F1022" s="10" t="n">
        <v>45687.40459490741</v>
      </c>
      <c r="G1022" s="3" t="inlineStr">
        <is>
          <t>OBT310125075821-Ternitz (Schoeller-Bleckmann)</t>
        </is>
      </c>
      <c r="H1022" s="10" t="n">
        <v>45688.3321875</v>
      </c>
      <c r="I1022" s="10" t="n">
        <v>45688.77137731481</v>
      </c>
      <c r="J1022" s="10" t="n">
        <v>45688.77202546296</v>
      </c>
      <c r="K1022" s="11">
        <f>IF(AND(ISNUMBER(D1022),ISNUMBER(E1022)),(E1022-D1022),"")</f>
        <v/>
      </c>
      <c r="L1022" s="11">
        <f>IF(AND(ISNUMBER(F1022),ISNUMBER(I1022)),(I1022-F1022),"")</f>
        <v/>
      </c>
    </row>
    <row r="1023">
      <c r="A1023" s="3" t="inlineStr">
        <is>
          <t>1030801</t>
        </is>
      </c>
      <c r="B1023" s="3" t="inlineStr">
        <is>
          <t>10308</t>
        </is>
      </c>
      <c r="C1023" s="10" t="n">
        <v>45687.53928240741</v>
      </c>
      <c r="D1023" s="10" t="n">
        <v>45687.54155092593</v>
      </c>
      <c r="E1023" s="10" t="n">
        <v>45687.54746527778</v>
      </c>
      <c r="F1023" s="10" t="n">
        <v>45687.54925925926</v>
      </c>
      <c r="G1023" s="3" t="inlineStr">
        <is>
          <t>OBT300125131403-Wien Kledering</t>
        </is>
      </c>
      <c r="H1023" s="10" t="n">
        <v>45687.55142361111</v>
      </c>
      <c r="I1023" s="10" t="n">
        <v>45688.45766203704</v>
      </c>
      <c r="J1023" s="10" t="n">
        <v>45688.4587962963</v>
      </c>
      <c r="K1023" s="11">
        <f>IF(AND(ISNUMBER(D1023),ISNUMBER(E1023)),(E1023-D1023),"")</f>
        <v/>
      </c>
      <c r="L1023" s="11">
        <f>IF(AND(ISNUMBER(F1023),ISNUMBER(I1023)),(I1023-F1023),"")</f>
        <v/>
      </c>
    </row>
    <row r="1024">
      <c r="A1024" s="3" t="inlineStr">
        <is>
          <t>1031001</t>
        </is>
      </c>
      <c r="B1024" s="3" t="inlineStr">
        <is>
          <t>10310</t>
        </is>
      </c>
      <c r="C1024" s="10" t="n">
        <v>45687.61896990741</v>
      </c>
      <c r="D1024" s="10" t="n">
        <v>45687.62118055556</v>
      </c>
      <c r="E1024" s="10" t="n">
        <v>45687.63420138889</v>
      </c>
      <c r="F1024" s="10" t="n">
        <v>45687.63614583333</v>
      </c>
      <c r="G1024" s="3" t="inlineStr">
        <is>
          <t>OBT310125075821-Ternitz (Schoeller-Bleckmann)</t>
        </is>
      </c>
      <c r="H1024" s="10" t="n">
        <v>45688.3321875</v>
      </c>
      <c r="I1024" s="10" t="n">
        <v>45688.77137731481</v>
      </c>
      <c r="J1024" s="10" t="n">
        <v>45688.77202546296</v>
      </c>
      <c r="K1024" s="11">
        <f>IF(AND(ISNUMBER(D1024),ISNUMBER(E1024)),(E1024-D1024),"")</f>
        <v/>
      </c>
      <c r="L1024" s="11">
        <f>IF(AND(ISNUMBER(F1024),ISNUMBER(I1024)),(I1024-F1024),"")</f>
        <v/>
      </c>
    </row>
    <row r="1025">
      <c r="A1025" s="3" t="inlineStr">
        <is>
          <t>1031002</t>
        </is>
      </c>
      <c r="B1025" s="3" t="inlineStr">
        <is>
          <t>10310</t>
        </is>
      </c>
      <c r="C1025" s="10" t="n">
        <v>45687.61896990741</v>
      </c>
      <c r="D1025" s="10" t="n">
        <v>45687.62118055556</v>
      </c>
      <c r="E1025" s="10" t="n">
        <v>45687.63614583333</v>
      </c>
      <c r="F1025" s="10" t="n">
        <v>45687.63793981481</v>
      </c>
      <c r="G1025" s="3" t="inlineStr">
        <is>
          <t>OBT310125161451-Steinabrückl/Wöllersdorf</t>
        </is>
      </c>
      <c r="H1025" s="10" t="n">
        <v>45688.67697916667</v>
      </c>
      <c r="I1025" s="10" t="n"/>
      <c r="J1025" s="10" t="n"/>
      <c r="K1025" s="11">
        <f>IF(AND(ISNUMBER(D1025),ISNUMBER(E1025)),(E1025-D1025),"")</f>
        <v/>
      </c>
      <c r="L1025" s="11">
        <f>IF(AND(ISNUMBER(F1025),ISNUMBER(I1025)),(I1025-F1025),"")</f>
        <v/>
      </c>
    </row>
    <row r="1026">
      <c r="A1026" s="3" t="inlineStr">
        <is>
          <t>1031003</t>
        </is>
      </c>
      <c r="B1026" s="3" t="inlineStr">
        <is>
          <t>10310</t>
        </is>
      </c>
      <c r="C1026" s="10" t="n">
        <v>45687.61896990741</v>
      </c>
      <c r="D1026" s="10" t="n">
        <v>45687.62118055556</v>
      </c>
      <c r="E1026" s="10" t="n">
        <v>45687.63793981481</v>
      </c>
      <c r="F1026" s="10" t="n">
        <v>45687.63988425926</v>
      </c>
      <c r="G1026" s="3" t="inlineStr">
        <is>
          <t>OBT310125080145-Wr. Neustadt (Brenntag)</t>
        </is>
      </c>
      <c r="H1026" s="10" t="n">
        <v>45688.33454861111</v>
      </c>
      <c r="I1026" s="10" t="n">
        <v>45688.88429398148</v>
      </c>
      <c r="J1026" s="10" t="n">
        <v>45688.88511574074</v>
      </c>
      <c r="K1026" s="11">
        <f>IF(AND(ISNUMBER(D1026),ISNUMBER(E1026)),(E1026-D1026),"")</f>
        <v/>
      </c>
      <c r="L1026" s="11">
        <f>IF(AND(ISNUMBER(F1026),ISNUMBER(I1026)),(I1026-F1026),"")</f>
        <v/>
      </c>
    </row>
    <row r="1027">
      <c r="A1027" s="3" t="inlineStr">
        <is>
          <t>1031004</t>
        </is>
      </c>
      <c r="B1027" s="3" t="inlineStr">
        <is>
          <t>10310</t>
        </is>
      </c>
      <c r="C1027" s="10" t="n">
        <v>45687.61896990741</v>
      </c>
      <c r="D1027" s="10" t="n">
        <v>45687.62118055556</v>
      </c>
      <c r="E1027" s="10" t="n">
        <v>45687.63988425926</v>
      </c>
      <c r="F1027" s="10" t="n">
        <v>45687.64184027778</v>
      </c>
      <c r="G1027" s="3" t="inlineStr">
        <is>
          <t>OBT300125153249-Neudörfl (FunderMax)</t>
        </is>
      </c>
      <c r="H1027" s="10" t="n">
        <v>45687.64778935185</v>
      </c>
      <c r="I1027" s="10" t="n">
        <v>45688.48446759259</v>
      </c>
      <c r="J1027" s="10" t="n">
        <v>45688.48535879629</v>
      </c>
      <c r="K1027" s="11">
        <f>IF(AND(ISNUMBER(D1027),ISNUMBER(E1027)),(E1027-D1027),"")</f>
        <v/>
      </c>
      <c r="L1027" s="11">
        <f>IF(AND(ISNUMBER(F1027),ISNUMBER(I1027)),(I1027-F1027),"")</f>
        <v/>
      </c>
    </row>
    <row r="1028">
      <c r="A1028" s="3" t="inlineStr">
        <is>
          <t>1031005</t>
        </is>
      </c>
      <c r="B1028" s="3" t="inlineStr">
        <is>
          <t>10310</t>
        </is>
      </c>
      <c r="C1028" s="10" t="n">
        <v>45687.61896990741</v>
      </c>
      <c r="D1028" s="10" t="n">
        <v>45687.62118055556</v>
      </c>
      <c r="E1028" s="10" t="n">
        <v>45687.64184027778</v>
      </c>
      <c r="F1028" s="10" t="n">
        <v>45687.64388888889</v>
      </c>
      <c r="G1028" s="3" t="inlineStr">
        <is>
          <t>OBT300125153249-Neudörfl (FunderMax)</t>
        </is>
      </c>
      <c r="H1028" s="10" t="n">
        <v>45687.64778935185</v>
      </c>
      <c r="I1028" s="10" t="n">
        <v>45688.48446759259</v>
      </c>
      <c r="J1028" s="10" t="n">
        <v>45688.48535879629</v>
      </c>
      <c r="K1028" s="11">
        <f>IF(AND(ISNUMBER(D1028),ISNUMBER(E1028)),(E1028-D1028),"")</f>
        <v/>
      </c>
      <c r="L1028" s="11">
        <f>IF(AND(ISNUMBER(F1028),ISNUMBER(I1028)),(I1028-F1028),"")</f>
        <v/>
      </c>
    </row>
    <row r="1029">
      <c r="A1029" s="3" t="inlineStr">
        <is>
          <t>1031007</t>
        </is>
      </c>
      <c r="B1029" s="3" t="inlineStr">
        <is>
          <t>10310</t>
        </is>
      </c>
      <c r="C1029" s="10" t="n">
        <v>45687.61896990741</v>
      </c>
      <c r="D1029" s="10" t="n">
        <v>45687.62118055556</v>
      </c>
      <c r="E1029" s="10" t="n">
        <v>45687.64388888889</v>
      </c>
      <c r="F1029" s="10" t="n">
        <v>45687.6456712963</v>
      </c>
      <c r="G1029" s="3" t="inlineStr">
        <is>
          <t>OBT300125153454-Other sidings south</t>
        </is>
      </c>
      <c r="H1029" s="10" t="n">
        <v>45687.64923611111</v>
      </c>
      <c r="I1029" s="10" t="n">
        <v>45688.55475694445</v>
      </c>
      <c r="J1029" s="10" t="n">
        <v>45688.55568287037</v>
      </c>
      <c r="K1029" s="11">
        <f>IF(AND(ISNUMBER(D1029),ISNUMBER(E1029)),(E1029-D1029),"")</f>
        <v/>
      </c>
      <c r="L1029" s="11">
        <f>IF(AND(ISNUMBER(F1029),ISNUMBER(I1029)),(I1029-F1029),"")</f>
        <v/>
      </c>
    </row>
    <row r="1030">
      <c r="A1030" s="3" t="inlineStr">
        <is>
          <t>1031008</t>
        </is>
      </c>
      <c r="B1030" s="3" t="inlineStr">
        <is>
          <t>10310</t>
        </is>
      </c>
      <c r="C1030" s="10" t="n">
        <v>45687.61896990741</v>
      </c>
      <c r="D1030" s="10" t="n">
        <v>45687.62118055556</v>
      </c>
      <c r="E1030" s="10" t="n">
        <v>45687.6456712963</v>
      </c>
      <c r="F1030" s="10" t="n">
        <v>45687.64767361111</v>
      </c>
      <c r="G1030" s="3" t="inlineStr">
        <is>
          <t>OBT300125204557-Wien Kledering</t>
        </is>
      </c>
      <c r="H1030" s="10" t="n">
        <v>45687.86524305555</v>
      </c>
      <c r="I1030" s="10" t="n">
        <v>45688.7233912037</v>
      </c>
      <c r="J1030" s="10" t="n">
        <v>45688.7246875</v>
      </c>
      <c r="K1030" s="11">
        <f>IF(AND(ISNUMBER(D1030),ISNUMBER(E1030)),(E1030-D1030),"")</f>
        <v/>
      </c>
      <c r="L1030" s="11">
        <f>IF(AND(ISNUMBER(F1030),ISNUMBER(I1030)),(I1030-F1030),"")</f>
        <v/>
      </c>
    </row>
    <row r="1031">
      <c r="A1031" s="3" t="inlineStr">
        <is>
          <t>1031101</t>
        </is>
      </c>
      <c r="B1031" s="3" t="inlineStr">
        <is>
          <t>10311</t>
        </is>
      </c>
      <c r="C1031" s="10" t="n">
        <v>45687.64775462963</v>
      </c>
      <c r="D1031" s="10" t="n">
        <v>45687.64900462963</v>
      </c>
      <c r="E1031" s="10" t="n">
        <v>45687.65278935185</v>
      </c>
      <c r="F1031" s="10" t="n">
        <v>45687.65430555555</v>
      </c>
      <c r="G1031" s="3" t="inlineStr">
        <is>
          <t>OBT300125200005-Wien Kledering</t>
        </is>
      </c>
      <c r="H1031" s="10" t="n">
        <v>45687.83339120371</v>
      </c>
      <c r="I1031" s="10" t="n">
        <v>45688.63364583333</v>
      </c>
      <c r="J1031" s="10" t="n">
        <v>45688.63453703704</v>
      </c>
      <c r="K1031" s="11">
        <f>IF(AND(ISNUMBER(D1031),ISNUMBER(E1031)),(E1031-D1031),"")</f>
        <v/>
      </c>
      <c r="L1031" s="11">
        <f>IF(AND(ISNUMBER(F1031),ISNUMBER(I1031)),(I1031-F1031),"")</f>
        <v/>
      </c>
    </row>
    <row r="1032">
      <c r="A1032" s="3" t="inlineStr">
        <is>
          <t>1031201</t>
        </is>
      </c>
      <c r="B1032" s="3" t="inlineStr">
        <is>
          <t>10312</t>
        </is>
      </c>
      <c r="C1032" s="10" t="n">
        <v>45687.72369212963</v>
      </c>
      <c r="D1032" s="10" t="n">
        <v>45687.72502314814</v>
      </c>
      <c r="E1032" s="10" t="n">
        <v>45687.72903935185</v>
      </c>
      <c r="F1032" s="10" t="n">
        <v>45687.730625</v>
      </c>
      <c r="G1032" s="3" t="inlineStr">
        <is>
          <t>OBT300125200005-Wien Kledering</t>
        </is>
      </c>
      <c r="H1032" s="10" t="n">
        <v>45687.83339120371</v>
      </c>
      <c r="I1032" s="10" t="n">
        <v>45688.63364583333</v>
      </c>
      <c r="J1032" s="10" t="n">
        <v>45688.63453703704</v>
      </c>
      <c r="K1032" s="11">
        <f>IF(AND(ISNUMBER(D1032),ISNUMBER(E1032)),(E1032-D1032),"")</f>
        <v/>
      </c>
      <c r="L1032" s="11">
        <f>IF(AND(ISNUMBER(F1032),ISNUMBER(I1032)),(I1032-F1032),"")</f>
        <v/>
      </c>
    </row>
    <row r="1033">
      <c r="A1033" s="3" t="inlineStr">
        <is>
          <t>1031301</t>
        </is>
      </c>
      <c r="B1033" s="3" t="inlineStr">
        <is>
          <t>10313</t>
        </is>
      </c>
      <c r="C1033" s="10" t="n">
        <v>45687.82130787037</v>
      </c>
      <c r="D1033" s="10" t="n">
        <v>45687.82320601852</v>
      </c>
      <c r="E1033" s="10" t="n">
        <v>45687.82803240741</v>
      </c>
      <c r="F1033" s="10" t="n">
        <v>45687.82946759259</v>
      </c>
      <c r="G1033" s="3" t="inlineStr">
        <is>
          <t>OBT300125200005-Wien Kledering</t>
        </is>
      </c>
      <c r="H1033" s="10" t="n">
        <v>45687.83339120371</v>
      </c>
      <c r="I1033" s="10" t="n">
        <v>45688.63364583333</v>
      </c>
      <c r="J1033" s="10" t="n">
        <v>45688.63453703704</v>
      </c>
      <c r="K1033" s="11">
        <f>IF(AND(ISNUMBER(D1033),ISNUMBER(E1033)),(E1033-D1033),"")</f>
        <v/>
      </c>
      <c r="L1033" s="11">
        <f>IF(AND(ISNUMBER(F1033),ISNUMBER(I1033)),(I1033-F1033),"")</f>
        <v/>
      </c>
    </row>
    <row r="1034">
      <c r="A1034" s="3" t="inlineStr">
        <is>
          <t>1031401</t>
        </is>
      </c>
      <c r="B1034" s="3" t="inlineStr">
        <is>
          <t>10314</t>
        </is>
      </c>
      <c r="C1034" s="10" t="n">
        <v>45687.85091435185</v>
      </c>
      <c r="D1034" s="10" t="n">
        <v>45687.85340277778</v>
      </c>
      <c r="E1034" s="10" t="n">
        <v>45687.86008101852</v>
      </c>
      <c r="F1034" s="10" t="n">
        <v>45687.86284722222</v>
      </c>
      <c r="G1034" s="3" t="inlineStr">
        <is>
          <t>OBT300125204557-Wien Kledering</t>
        </is>
      </c>
      <c r="H1034" s="10" t="n">
        <v>45687.86524305555</v>
      </c>
      <c r="I1034" s="10" t="n">
        <v>45688.7233912037</v>
      </c>
      <c r="J1034" s="10" t="n">
        <v>45688.7246875</v>
      </c>
      <c r="K1034" s="11">
        <f>IF(AND(ISNUMBER(D1034),ISNUMBER(E1034)),(E1034-D1034),"")</f>
        <v/>
      </c>
      <c r="L1034" s="11">
        <f>IF(AND(ISNUMBER(F1034),ISNUMBER(I1034)),(I1034-F1034),"")</f>
        <v/>
      </c>
    </row>
    <row r="1035">
      <c r="A1035" s="3" t="inlineStr">
        <is>
          <t>1031501</t>
        </is>
      </c>
      <c r="B1035" s="3" t="inlineStr">
        <is>
          <t>10315</t>
        </is>
      </c>
      <c r="C1035" s="10" t="n">
        <v>45688.11563657408</v>
      </c>
      <c r="D1035" s="10" t="n">
        <v>45688.11768518519</v>
      </c>
      <c r="E1035" s="10" t="n">
        <v>45688.12766203703</v>
      </c>
      <c r="F1035" s="10" t="n">
        <v>45688.12881944444</v>
      </c>
      <c r="G1035" s="3" t="inlineStr">
        <is>
          <t>OBT310125142730-Wien Kledering</t>
        </is>
      </c>
      <c r="H1035" s="10" t="n">
        <v>45688.60243055555</v>
      </c>
      <c r="I1035" s="10" t="n"/>
      <c r="J1035" s="10" t="n"/>
      <c r="K1035" s="11">
        <f>IF(AND(ISNUMBER(D1035),ISNUMBER(E1035)),(E1035-D1035),"")</f>
        <v/>
      </c>
      <c r="L1035" s="11">
        <f>IF(AND(ISNUMBER(F1035),ISNUMBER(I1035)),(I1035-F1035),"")</f>
        <v/>
      </c>
    </row>
    <row r="1036">
      <c r="A1036" s="3" t="inlineStr">
        <is>
          <t>1031502</t>
        </is>
      </c>
      <c r="B1036" s="3" t="inlineStr">
        <is>
          <t>10315</t>
        </is>
      </c>
      <c r="C1036" s="10" t="n">
        <v>45688.11563657408</v>
      </c>
      <c r="D1036" s="10" t="n">
        <v>45688.11768518519</v>
      </c>
      <c r="E1036" s="10" t="n">
        <v>45688.12881944444</v>
      </c>
      <c r="F1036" s="10" t="n">
        <v>45688.13069444444</v>
      </c>
      <c r="G1036" s="3" t="inlineStr">
        <is>
          <t>OBT310125075536-Neunkirchen (loading tracks)</t>
        </is>
      </c>
      <c r="H1036" s="10" t="n">
        <v>45688.33027777778</v>
      </c>
      <c r="I1036" s="10" t="n">
        <v>45688.78085648148</v>
      </c>
      <c r="J1036" s="10" t="n">
        <v>45688.78188657408</v>
      </c>
      <c r="K1036" s="11">
        <f>IF(AND(ISNUMBER(D1036),ISNUMBER(E1036)),(E1036-D1036),"")</f>
        <v/>
      </c>
      <c r="L1036" s="11">
        <f>IF(AND(ISNUMBER(F1036),ISNUMBER(I1036)),(I1036-F1036),"")</f>
        <v/>
      </c>
    </row>
    <row r="1037">
      <c r="A1037" s="3" t="inlineStr">
        <is>
          <t>1031503</t>
        </is>
      </c>
      <c r="B1037" s="3" t="inlineStr">
        <is>
          <t>10315</t>
        </is>
      </c>
      <c r="C1037" s="10" t="n">
        <v>45688.11563657408</v>
      </c>
      <c r="D1037" s="10" t="n">
        <v>45688.11768518519</v>
      </c>
      <c r="E1037" s="10" t="n">
        <v>45688.13069444444</v>
      </c>
      <c r="F1037" s="10" t="n">
        <v>45688.13229166667</v>
      </c>
      <c r="G1037" s="3" t="inlineStr">
        <is>
          <t>OBT310125162356-Other sidings south</t>
        </is>
      </c>
      <c r="H1037" s="10" t="n">
        <v>45688.68328703703</v>
      </c>
      <c r="I1037" s="10" t="n"/>
      <c r="J1037" s="10" t="n"/>
      <c r="K1037" s="11">
        <f>IF(AND(ISNUMBER(D1037),ISNUMBER(E1037)),(E1037-D1037),"")</f>
        <v/>
      </c>
      <c r="L1037" s="11">
        <f>IF(AND(ISNUMBER(F1037),ISNUMBER(I1037)),(I1037-F1037),"")</f>
        <v/>
      </c>
    </row>
    <row r="1038">
      <c r="A1038" s="3" t="inlineStr">
        <is>
          <t>1031504</t>
        </is>
      </c>
      <c r="B1038" s="3" t="inlineStr">
        <is>
          <t>10315</t>
        </is>
      </c>
      <c r="C1038" s="10" t="n">
        <v>45688.11563657408</v>
      </c>
      <c r="D1038" s="10" t="n">
        <v>45688.11768518519</v>
      </c>
      <c r="E1038" s="10" t="n">
        <v>45688.13229166667</v>
      </c>
      <c r="F1038" s="10" t="n">
        <v>45688.13344907408</v>
      </c>
      <c r="G1038" s="3" t="inlineStr">
        <is>
          <t>OBT310125142730-Wien Kledering</t>
        </is>
      </c>
      <c r="H1038" s="10" t="n">
        <v>45688.60243055555</v>
      </c>
      <c r="I1038" s="10" t="n"/>
      <c r="J1038" s="10" t="n"/>
      <c r="K1038" s="11">
        <f>IF(AND(ISNUMBER(D1038),ISNUMBER(E1038)),(E1038-D1038),"")</f>
        <v/>
      </c>
      <c r="L1038" s="11">
        <f>IF(AND(ISNUMBER(F1038),ISNUMBER(I1038)),(I1038-F1038),"")</f>
        <v/>
      </c>
    </row>
    <row r="1039">
      <c r="A1039" s="3" t="inlineStr">
        <is>
          <t>1031505</t>
        </is>
      </c>
      <c r="B1039" s="3" t="inlineStr">
        <is>
          <t>10315</t>
        </is>
      </c>
      <c r="C1039" s="10" t="n">
        <v>45688.11563657408</v>
      </c>
      <c r="D1039" s="10" t="n">
        <v>45688.11768518519</v>
      </c>
      <c r="E1039" s="10" t="n">
        <v>45688.13344907408</v>
      </c>
      <c r="F1039" s="10" t="n">
        <v>45688.13540509259</v>
      </c>
      <c r="G1039" s="3" t="inlineStr">
        <is>
          <t>OBT310125075821-Ternitz (Schoeller-Bleckmann)</t>
        </is>
      </c>
      <c r="H1039" s="10" t="n">
        <v>45688.3321875</v>
      </c>
      <c r="I1039" s="10" t="n">
        <v>45688.77137731481</v>
      </c>
      <c r="J1039" s="10" t="n">
        <v>45688.77202546296</v>
      </c>
      <c r="K1039" s="11">
        <f>IF(AND(ISNUMBER(D1039),ISNUMBER(E1039)),(E1039-D1039),"")</f>
        <v/>
      </c>
      <c r="L1039" s="11">
        <f>IF(AND(ISNUMBER(F1039),ISNUMBER(I1039)),(I1039-F1039),"")</f>
        <v/>
      </c>
    </row>
    <row r="1040">
      <c r="A1040" s="3" t="inlineStr">
        <is>
          <t>1031701</t>
        </is>
      </c>
      <c r="B1040" s="3" t="inlineStr">
        <is>
          <t>10317</t>
        </is>
      </c>
      <c r="C1040" s="10" t="n">
        <v>45688.24753472222</v>
      </c>
      <c r="D1040" s="10" t="n">
        <v>45688.24981481482</v>
      </c>
      <c r="E1040" s="10" t="n">
        <v>45688.25605324074</v>
      </c>
      <c r="F1040" s="10" t="n">
        <v>45688.25797453704</v>
      </c>
      <c r="G1040" s="3" t="inlineStr">
        <is>
          <t>OBT310125061436-Wien Kledering</t>
        </is>
      </c>
      <c r="H1040" s="10" t="n">
        <v>45688.26013888889</v>
      </c>
      <c r="I1040" s="10" t="n">
        <v>45688.70824074074</v>
      </c>
      <c r="J1040" s="10" t="n">
        <v>45688.70936342593</v>
      </c>
      <c r="K1040" s="11">
        <f>IF(AND(ISNUMBER(D1040),ISNUMBER(E1040)),(E1040-D1040),"")</f>
        <v/>
      </c>
      <c r="L1040" s="11">
        <f>IF(AND(ISNUMBER(F1040),ISNUMBER(I1040)),(I1040-F1040),"")</f>
        <v/>
      </c>
    </row>
    <row r="1041">
      <c r="A1041" s="3" t="inlineStr">
        <is>
          <t>1031801</t>
        </is>
      </c>
      <c r="B1041" s="3" t="inlineStr">
        <is>
          <t>10318</t>
        </is>
      </c>
      <c r="C1041" s="10" t="n">
        <v>45688.29119212963</v>
      </c>
      <c r="D1041" s="10" t="n">
        <v>45688.29295138889</v>
      </c>
      <c r="E1041" s="10" t="n">
        <v>45688.2971875</v>
      </c>
      <c r="F1041" s="10" t="n">
        <v>45688.29923611111</v>
      </c>
      <c r="G1041" s="3" t="inlineStr">
        <is>
          <t>OBT310125074214-Wien Kledering</t>
        </is>
      </c>
      <c r="H1041" s="10" t="n">
        <v>45688.32099537037</v>
      </c>
      <c r="I1041" s="10" t="n">
        <v>45688.71672453704</v>
      </c>
      <c r="J1041" s="10" t="n">
        <v>45688.7175462963</v>
      </c>
      <c r="K1041" s="11">
        <f>IF(AND(ISNUMBER(D1041),ISNUMBER(E1041)),(E1041-D1041),"")</f>
        <v/>
      </c>
      <c r="L1041" s="11">
        <f>IF(AND(ISNUMBER(F1041),ISNUMBER(I1041)),(I1041-F1041),"")</f>
        <v/>
      </c>
    </row>
    <row r="1042">
      <c r="A1042" s="3" t="inlineStr">
        <is>
          <t>1031901</t>
        </is>
      </c>
      <c r="B1042" s="3" t="inlineStr">
        <is>
          <t>10319</t>
        </is>
      </c>
      <c r="C1042" s="10" t="n">
        <v>45688.29407407407</v>
      </c>
      <c r="D1042" s="10" t="n">
        <v>45688.29658564815</v>
      </c>
      <c r="E1042" s="10" t="n">
        <v>45688.31392361111</v>
      </c>
      <c r="F1042" s="10" t="n">
        <v>45688.31533564815</v>
      </c>
      <c r="G1042" s="3" t="inlineStr">
        <is>
          <t>OBT310125155832-Neudörfl (FunderMax)</t>
        </is>
      </c>
      <c r="H1042" s="10" t="n">
        <v>45688.66564814815</v>
      </c>
      <c r="I1042" s="10" t="n"/>
      <c r="J1042" s="10" t="n"/>
      <c r="K1042" s="11">
        <f>IF(AND(ISNUMBER(D1042),ISNUMBER(E1042)),(E1042-D1042),"")</f>
        <v/>
      </c>
      <c r="L1042" s="11">
        <f>IF(AND(ISNUMBER(F1042),ISNUMBER(I1042)),(I1042-F1042),"")</f>
        <v/>
      </c>
    </row>
    <row r="1043">
      <c r="A1043" s="3" t="inlineStr">
        <is>
          <t>1031902</t>
        </is>
      </c>
      <c r="B1043" s="3" t="inlineStr">
        <is>
          <t>10319</t>
        </is>
      </c>
      <c r="C1043" s="10" t="n">
        <v>45688.29407407407</v>
      </c>
      <c r="D1043" s="10" t="n">
        <v>45688.29658564815</v>
      </c>
      <c r="E1043" s="10" t="n">
        <v>45688.31533564815</v>
      </c>
      <c r="F1043" s="10" t="n">
        <v>45688.31743055556</v>
      </c>
      <c r="G1043" s="3" t="inlineStr">
        <is>
          <t>OBT310125074214-Wien Kledering</t>
        </is>
      </c>
      <c r="H1043" s="10" t="n">
        <v>45688.32099537037</v>
      </c>
      <c r="I1043" s="10" t="n">
        <v>45688.71672453704</v>
      </c>
      <c r="J1043" s="10" t="n">
        <v>45688.7175462963</v>
      </c>
      <c r="K1043" s="11">
        <f>IF(AND(ISNUMBER(D1043),ISNUMBER(E1043)),(E1043-D1043),"")</f>
        <v/>
      </c>
      <c r="L1043" s="11">
        <f>IF(AND(ISNUMBER(F1043),ISNUMBER(I1043)),(I1043-F1043),"")</f>
        <v/>
      </c>
    </row>
    <row r="1044">
      <c r="A1044" s="3" t="inlineStr">
        <is>
          <t>1031903</t>
        </is>
      </c>
      <c r="B1044" s="3" t="inlineStr">
        <is>
          <t>10319</t>
        </is>
      </c>
      <c r="C1044" s="10" t="n">
        <v>45688.29407407407</v>
      </c>
      <c r="D1044" s="10" t="n">
        <v>45688.29658564815</v>
      </c>
      <c r="E1044" s="10" t="n">
        <v>45688.31743055556</v>
      </c>
      <c r="F1044" s="10" t="n">
        <v>45688.31888888889</v>
      </c>
      <c r="G1044" s="3" t="inlineStr">
        <is>
          <t>OBT310125155832-Neudörfl (FunderMax)</t>
        </is>
      </c>
      <c r="H1044" s="10" t="n">
        <v>45688.66564814815</v>
      </c>
      <c r="I1044" s="10" t="n"/>
      <c r="J1044" s="10" t="n"/>
      <c r="K1044" s="11">
        <f>IF(AND(ISNUMBER(D1044),ISNUMBER(E1044)),(E1044-D1044),"")</f>
        <v/>
      </c>
      <c r="L1044" s="11">
        <f>IF(AND(ISNUMBER(F1044),ISNUMBER(I1044)),(I1044-F1044),"")</f>
        <v/>
      </c>
    </row>
    <row r="1045">
      <c r="A1045" s="3" t="inlineStr">
        <is>
          <t>1031904</t>
        </is>
      </c>
      <c r="B1045" s="3" t="inlineStr">
        <is>
          <t>10319</t>
        </is>
      </c>
      <c r="C1045" s="10" t="n">
        <v>45688.29407407407</v>
      </c>
      <c r="D1045" s="10" t="n">
        <v>45688.29658564815</v>
      </c>
      <c r="E1045" s="10" t="n">
        <v>45688.31888888889</v>
      </c>
      <c r="F1045" s="10" t="n">
        <v>45688.3208912037</v>
      </c>
      <c r="G1045" s="3" t="inlineStr">
        <is>
          <t>OBT310125075821-Ternitz (Schoeller-Bleckmann)</t>
        </is>
      </c>
      <c r="H1045" s="10" t="n">
        <v>45688.3321875</v>
      </c>
      <c r="I1045" s="10" t="n">
        <v>45688.77137731481</v>
      </c>
      <c r="J1045" s="10" t="n">
        <v>45688.77202546296</v>
      </c>
      <c r="K1045" s="11">
        <f>IF(AND(ISNUMBER(D1045),ISNUMBER(E1045)),(E1045-D1045),"")</f>
        <v/>
      </c>
      <c r="L1045" s="11">
        <f>IF(AND(ISNUMBER(F1045),ISNUMBER(I1045)),(I1045-F1045),"")</f>
        <v/>
      </c>
    </row>
    <row r="1046">
      <c r="A1046" s="3" t="inlineStr">
        <is>
          <t>1031905</t>
        </is>
      </c>
      <c r="B1046" s="3" t="inlineStr">
        <is>
          <t>10319</t>
        </is>
      </c>
      <c r="C1046" s="10" t="n">
        <v>45688.29407407407</v>
      </c>
      <c r="D1046" s="10" t="n">
        <v>45688.29658564815</v>
      </c>
      <c r="E1046" s="10" t="n">
        <v>45688.3208912037</v>
      </c>
      <c r="F1046" s="10" t="n">
        <v>45688.3228125</v>
      </c>
      <c r="G1046" s="3" t="inlineStr">
        <is>
          <t>OBT310125155632-Pitten (Hamburger)</t>
        </is>
      </c>
      <c r="H1046" s="10" t="n">
        <v>45688.66425925926</v>
      </c>
      <c r="I1046" s="10" t="n"/>
      <c r="J1046" s="10" t="n"/>
      <c r="K1046" s="11">
        <f>IF(AND(ISNUMBER(D1046),ISNUMBER(E1046)),(E1046-D1046),"")</f>
        <v/>
      </c>
      <c r="L1046" s="11">
        <f>IF(AND(ISNUMBER(F1046),ISNUMBER(I1046)),(I1046-F1046),"")</f>
        <v/>
      </c>
    </row>
    <row r="1047">
      <c r="A1047" s="3" t="inlineStr">
        <is>
          <t>1031907</t>
        </is>
      </c>
      <c r="B1047" s="3" t="inlineStr">
        <is>
          <t>10319</t>
        </is>
      </c>
      <c r="C1047" s="10" t="n">
        <v>45688.29407407407</v>
      </c>
      <c r="D1047" s="10" t="n">
        <v>45688.29658564815</v>
      </c>
      <c r="E1047" s="10" t="n">
        <v>45688.3228125</v>
      </c>
      <c r="F1047" s="10" t="n">
        <v>45688.3247337963</v>
      </c>
      <c r="G1047" s="3" t="inlineStr">
        <is>
          <t>OBT310125080145-Wr. Neustadt (Brenntag)</t>
        </is>
      </c>
      <c r="H1047" s="10" t="n">
        <v>45688.33454861111</v>
      </c>
      <c r="I1047" s="10" t="n">
        <v>45688.88429398148</v>
      </c>
      <c r="J1047" s="10" t="n">
        <v>45688.88511574074</v>
      </c>
      <c r="K1047" s="11">
        <f>IF(AND(ISNUMBER(D1047),ISNUMBER(E1047)),(E1047-D1047),"")</f>
        <v/>
      </c>
      <c r="L1047" s="11">
        <f>IF(AND(ISNUMBER(F1047),ISNUMBER(I1047)),(I1047-F1047),"")</f>
        <v/>
      </c>
    </row>
    <row r="1048">
      <c r="A1048" s="3" t="inlineStr">
        <is>
          <t>1031908</t>
        </is>
      </c>
      <c r="B1048" s="3" t="inlineStr">
        <is>
          <t>10319</t>
        </is>
      </c>
      <c r="C1048" s="10" t="n">
        <v>45688.29407407407</v>
      </c>
      <c r="D1048" s="10" t="n">
        <v>45688.29658564815</v>
      </c>
      <c r="E1048" s="10" t="n">
        <v>45688.3247337963</v>
      </c>
      <c r="F1048" s="10" t="n">
        <v>45688.32672453704</v>
      </c>
      <c r="G1048" s="3" t="inlineStr">
        <is>
          <t>OBT310125075536-Neunkirchen (loading tracks)</t>
        </is>
      </c>
      <c r="H1048" s="10" t="n">
        <v>45688.33027777778</v>
      </c>
      <c r="I1048" s="10" t="n">
        <v>45688.78085648148</v>
      </c>
      <c r="J1048" s="10" t="n">
        <v>45688.78188657408</v>
      </c>
      <c r="K1048" s="11">
        <f>IF(AND(ISNUMBER(D1048),ISNUMBER(E1048)),(E1048-D1048),"")</f>
        <v/>
      </c>
      <c r="L1048" s="11">
        <f>IF(AND(ISNUMBER(F1048),ISNUMBER(I1048)),(I1048-F1048),"")</f>
        <v/>
      </c>
    </row>
    <row r="1049">
      <c r="A1049" s="3" t="inlineStr">
        <is>
          <t>1031910</t>
        </is>
      </c>
      <c r="B1049" s="3" t="inlineStr">
        <is>
          <t>10319</t>
        </is>
      </c>
      <c r="C1049" s="10" t="n">
        <v>45688.29407407407</v>
      </c>
      <c r="D1049" s="10" t="n">
        <v>45688.29658564815</v>
      </c>
      <c r="E1049" s="10" t="n">
        <v>45688.32672453704</v>
      </c>
      <c r="F1049" s="10" t="n">
        <v>45688.32862268519</v>
      </c>
      <c r="G1049" s="3" t="inlineStr">
        <is>
          <t>OBT310125075821-Ternitz (Schoeller-Bleckmann)</t>
        </is>
      </c>
      <c r="H1049" s="10" t="n">
        <v>45688.3321875</v>
      </c>
      <c r="I1049" s="10" t="n">
        <v>45688.77137731481</v>
      </c>
      <c r="J1049" s="10" t="n">
        <v>45688.77202546296</v>
      </c>
      <c r="K1049" s="11">
        <f>IF(AND(ISNUMBER(D1049),ISNUMBER(E1049)),(E1049-D1049),"")</f>
        <v/>
      </c>
      <c r="L1049" s="11">
        <f>IF(AND(ISNUMBER(F1049),ISNUMBER(I1049)),(I1049-F1049),"")</f>
        <v/>
      </c>
    </row>
    <row r="1050">
      <c r="A1050" s="3" t="inlineStr">
        <is>
          <t>1031911</t>
        </is>
      </c>
      <c r="B1050" s="3" t="inlineStr">
        <is>
          <t>10319</t>
        </is>
      </c>
      <c r="C1050" s="10" t="n">
        <v>45688.29407407407</v>
      </c>
      <c r="D1050" s="10" t="n">
        <v>45688.29658564815</v>
      </c>
      <c r="E1050" s="10" t="n">
        <v>45688.32862268519</v>
      </c>
      <c r="F1050" s="10" t="n">
        <v>45688.33064814815</v>
      </c>
      <c r="G1050" s="3" t="inlineStr">
        <is>
          <t>OBT310125080145-Wr. Neustadt (Brenntag)</t>
        </is>
      </c>
      <c r="H1050" s="10" t="n">
        <v>45688.33454861111</v>
      </c>
      <c r="I1050" s="10" t="n">
        <v>45688.88429398148</v>
      </c>
      <c r="J1050" s="10" t="n">
        <v>45688.88511574074</v>
      </c>
      <c r="K1050" s="11">
        <f>IF(AND(ISNUMBER(D1050),ISNUMBER(E1050)),(E1050-D1050),"")</f>
        <v/>
      </c>
      <c r="L1050" s="11">
        <f>IF(AND(ISNUMBER(F1050),ISNUMBER(I1050)),(I1050-F1050),"")</f>
        <v/>
      </c>
    </row>
    <row r="1051">
      <c r="A1051" s="3" t="inlineStr">
        <is>
          <t>1032001</t>
        </is>
      </c>
      <c r="B1051" s="3" t="inlineStr">
        <is>
          <t>10320</t>
        </is>
      </c>
      <c r="C1051" s="10" t="n">
        <v>45688.33378472222</v>
      </c>
      <c r="D1051" s="10" t="n">
        <v>45688.33626157408</v>
      </c>
      <c r="E1051" s="10" t="n">
        <v>45688.34271990741</v>
      </c>
      <c r="F1051" s="10" t="n">
        <v>45688.34548611111</v>
      </c>
      <c r="G1051" s="3" t="inlineStr">
        <is>
          <t>OBT310125082055-Wien Kledering</t>
        </is>
      </c>
      <c r="H1051" s="10" t="n">
        <v>45688.3478587963</v>
      </c>
      <c r="I1051" s="10" t="n"/>
      <c r="J1051" s="10" t="n"/>
      <c r="K1051" s="11">
        <f>IF(AND(ISNUMBER(D1051),ISNUMBER(E1051)),(E1051-D1051),"")</f>
        <v/>
      </c>
      <c r="L1051" s="11">
        <f>IF(AND(ISNUMBER(F1051),ISNUMBER(I1051)),(I1051-F1051),"")</f>
        <v/>
      </c>
    </row>
    <row r="1052">
      <c r="A1052" s="3" t="inlineStr">
        <is>
          <t>1032101</t>
        </is>
      </c>
      <c r="B1052" s="3" t="inlineStr">
        <is>
          <t>10321</t>
        </is>
      </c>
      <c r="C1052" s="10" t="n">
        <v>45688.36934027778</v>
      </c>
      <c r="D1052" s="10" t="n">
        <v>45688.37148148148</v>
      </c>
      <c r="E1052" s="10" t="n">
        <v>45688.37804398148</v>
      </c>
      <c r="F1052" s="10" t="n">
        <v>45688.38030092593</v>
      </c>
      <c r="G1052" s="3" t="inlineStr">
        <is>
          <t>OBT310125091105-Wien Kledering</t>
        </is>
      </c>
      <c r="H1052" s="10" t="n">
        <v>45688.38269675926</v>
      </c>
      <c r="I1052" s="10" t="n"/>
      <c r="J1052" s="10" t="n"/>
      <c r="K1052" s="11">
        <f>IF(AND(ISNUMBER(D1052),ISNUMBER(E1052)),(E1052-D1052),"")</f>
        <v/>
      </c>
      <c r="L1052" s="11">
        <f>IF(AND(ISNUMBER(F1052),ISNUMBER(I1052)),(I1052-F1052),"")</f>
        <v/>
      </c>
    </row>
    <row r="1053">
      <c r="A1053" s="3" t="inlineStr">
        <is>
          <t>1032102</t>
        </is>
      </c>
      <c r="B1053" s="3" t="inlineStr">
        <is>
          <t>10321</t>
        </is>
      </c>
      <c r="C1053" s="10" t="n">
        <v>45688.36934027778</v>
      </c>
      <c r="D1053" s="10" t="n">
        <v>45688.37148148148</v>
      </c>
      <c r="E1053" s="10" t="n">
        <v>45688.38030092593</v>
      </c>
      <c r="F1053" s="10" t="n">
        <v>45688.38171296296</v>
      </c>
      <c r="G1053" s="3" t="inlineStr">
        <is>
          <t>OBT310125110109-St. Veit an der Glan</t>
        </is>
      </c>
      <c r="H1053" s="10" t="n">
        <v>45688.45913194444</v>
      </c>
      <c r="I1053" s="10" t="n"/>
      <c r="J1053" s="10" t="n"/>
      <c r="K1053" s="11">
        <f>IF(AND(ISNUMBER(D1053),ISNUMBER(E1053)),(E1053-D1053),"")</f>
        <v/>
      </c>
      <c r="L1053" s="11">
        <f>IF(AND(ISNUMBER(F1053),ISNUMBER(I1053)),(I1053-F1053),"")</f>
        <v/>
      </c>
    </row>
    <row r="1054">
      <c r="A1054" s="3" t="inlineStr">
        <is>
          <t>1032201</t>
        </is>
      </c>
      <c r="B1054" s="3" t="inlineStr">
        <is>
          <t>10322</t>
        </is>
      </c>
      <c r="C1054" s="10" t="n">
        <v>45688.37464120371</v>
      </c>
      <c r="D1054" s="10" t="n">
        <v>45688.37666666666</v>
      </c>
      <c r="E1054" s="10" t="n">
        <v>45688.39063657408</v>
      </c>
      <c r="F1054" s="10" t="n">
        <v>45688.39262731482</v>
      </c>
      <c r="G1054" s="3" t="inlineStr">
        <is>
          <t>OBT310125155632-Pitten (Hamburger)</t>
        </is>
      </c>
      <c r="H1054" s="10" t="n">
        <v>45688.66425925926</v>
      </c>
      <c r="I1054" s="10" t="n"/>
      <c r="J1054" s="10" t="n"/>
      <c r="K1054" s="11">
        <f>IF(AND(ISNUMBER(D1054),ISNUMBER(E1054)),(E1054-D1054),"")</f>
        <v/>
      </c>
      <c r="L1054" s="11">
        <f>IF(AND(ISNUMBER(F1054),ISNUMBER(I1054)),(I1054-F1054),"")</f>
        <v/>
      </c>
    </row>
    <row r="1055">
      <c r="A1055" s="3" t="inlineStr">
        <is>
          <t>1032203</t>
        </is>
      </c>
      <c r="B1055" s="3" t="inlineStr">
        <is>
          <t>10322</t>
        </is>
      </c>
      <c r="C1055" s="10" t="n">
        <v>45688.37464120371</v>
      </c>
      <c r="D1055" s="10" t="n">
        <v>45688.37666666666</v>
      </c>
      <c r="E1055" s="10" t="n">
        <v>45688.39262731482</v>
      </c>
      <c r="F1055" s="10" t="n">
        <v>45688.39438657407</v>
      </c>
      <c r="G1055" s="3" t="inlineStr">
        <is>
          <t>OBT310125161451-Steinabrückl/Wöllersdorf</t>
        </is>
      </c>
      <c r="H1055" s="10" t="n">
        <v>45688.67697916667</v>
      </c>
      <c r="I1055" s="10" t="n"/>
      <c r="J1055" s="10" t="n"/>
      <c r="K1055" s="11">
        <f>IF(AND(ISNUMBER(D1055),ISNUMBER(E1055)),(E1055-D1055),"")</f>
        <v/>
      </c>
      <c r="L1055" s="11">
        <f>IF(AND(ISNUMBER(F1055),ISNUMBER(I1055)),(I1055-F1055),"")</f>
        <v/>
      </c>
    </row>
    <row r="1056">
      <c r="A1056" s="3" t="inlineStr">
        <is>
          <t>1032204</t>
        </is>
      </c>
      <c r="B1056" s="3" t="inlineStr">
        <is>
          <t>10322</t>
        </is>
      </c>
      <c r="C1056" s="10" t="n">
        <v>45688.37464120371</v>
      </c>
      <c r="D1056" s="10" t="n">
        <v>45688.37666666666</v>
      </c>
      <c r="E1056" s="10" t="n">
        <v>45688.39438657407</v>
      </c>
      <c r="F1056" s="10" t="n">
        <v>45688.39643518518</v>
      </c>
      <c r="G1056" s="3" t="n"/>
      <c r="H1056" s="10" t="n"/>
      <c r="I1056" s="10" t="n"/>
      <c r="J1056" s="10" t="n"/>
      <c r="K1056" s="11">
        <f>IF(AND(ISNUMBER(D1056),ISNUMBER(E1056)),(E1056-D1056),"")</f>
        <v/>
      </c>
      <c r="L1056" s="11">
        <f>IF(AND(ISNUMBER(F1056),ISNUMBER(I1056)),(I1056-F1056),"")</f>
        <v/>
      </c>
    </row>
    <row r="1057">
      <c r="A1057" s="3" t="inlineStr">
        <is>
          <t>1032205</t>
        </is>
      </c>
      <c r="B1057" s="3" t="inlineStr">
        <is>
          <t>10322</t>
        </is>
      </c>
      <c r="C1057" s="10" t="n">
        <v>45688.37464120371</v>
      </c>
      <c r="D1057" s="10" t="n">
        <v>45688.37666666666</v>
      </c>
      <c r="E1057" s="10" t="n">
        <v>45688.39643518518</v>
      </c>
      <c r="F1057" s="10" t="n">
        <v>45688.39815972222</v>
      </c>
      <c r="G1057" s="3" t="inlineStr">
        <is>
          <t>OBT310125161451-Steinabrückl/Wöllersdorf</t>
        </is>
      </c>
      <c r="H1057" s="10" t="n">
        <v>45688.67697916667</v>
      </c>
      <c r="I1057" s="10" t="n"/>
      <c r="J1057" s="10" t="n"/>
      <c r="K1057" s="11">
        <f>IF(AND(ISNUMBER(D1057),ISNUMBER(E1057)),(E1057-D1057),"")</f>
        <v/>
      </c>
      <c r="L1057" s="11">
        <f>IF(AND(ISNUMBER(F1057),ISNUMBER(I1057)),(I1057-F1057),"")</f>
        <v/>
      </c>
    </row>
    <row r="1058">
      <c r="A1058" s="3" t="inlineStr">
        <is>
          <t>1032206</t>
        </is>
      </c>
      <c r="B1058" s="3" t="inlineStr">
        <is>
          <t>10322</t>
        </is>
      </c>
      <c r="C1058" s="10" t="n">
        <v>45688.37464120371</v>
      </c>
      <c r="D1058" s="10" t="n">
        <v>45688.37666666666</v>
      </c>
      <c r="E1058" s="10" t="n">
        <v>45688.39815972222</v>
      </c>
      <c r="F1058" s="10" t="n">
        <v>45688.39962962963</v>
      </c>
      <c r="G1058" s="3" t="inlineStr">
        <is>
          <t>OBT310125162356-Other sidings south</t>
        </is>
      </c>
      <c r="H1058" s="10" t="n">
        <v>45688.68328703703</v>
      </c>
      <c r="I1058" s="10" t="n"/>
      <c r="J1058" s="10" t="n"/>
      <c r="K1058" s="11">
        <f>IF(AND(ISNUMBER(D1058),ISNUMBER(E1058)),(E1058-D1058),"")</f>
        <v/>
      </c>
      <c r="L1058" s="11">
        <f>IF(AND(ISNUMBER(F1058),ISNUMBER(I1058)),(I1058-F1058),"")</f>
        <v/>
      </c>
    </row>
    <row r="1059">
      <c r="A1059" s="3" t="inlineStr">
        <is>
          <t>1032208</t>
        </is>
      </c>
      <c r="B1059" s="3" t="inlineStr">
        <is>
          <t>10322</t>
        </is>
      </c>
      <c r="C1059" s="10" t="n">
        <v>45688.37464120371</v>
      </c>
      <c r="D1059" s="10" t="n">
        <v>45688.37666666666</v>
      </c>
      <c r="E1059" s="10" t="n">
        <v>45688.39962962963</v>
      </c>
      <c r="F1059" s="10" t="n">
        <v>45688.40158564815</v>
      </c>
      <c r="G1059" s="3" t="inlineStr">
        <is>
          <t>OBT310125155632-Pitten (Hamburger)</t>
        </is>
      </c>
      <c r="H1059" s="10" t="n">
        <v>45688.66425925926</v>
      </c>
      <c r="I1059" s="10" t="n"/>
      <c r="J1059" s="10" t="n"/>
      <c r="K1059" s="11">
        <f>IF(AND(ISNUMBER(D1059),ISNUMBER(E1059)),(E1059-D1059),"")</f>
        <v/>
      </c>
      <c r="L1059" s="11">
        <f>IF(AND(ISNUMBER(F1059),ISNUMBER(I1059)),(I1059-F1059),"")</f>
        <v/>
      </c>
    </row>
    <row r="1060">
      <c r="A1060" s="3" t="inlineStr">
        <is>
          <t>1032301</t>
        </is>
      </c>
      <c r="B1060" s="3" t="inlineStr">
        <is>
          <t>10323</t>
        </is>
      </c>
      <c r="C1060" s="10" t="n">
        <v>45688.43908564815</v>
      </c>
      <c r="D1060" s="10" t="n">
        <v>45688.44170138889</v>
      </c>
      <c r="E1060" s="10" t="n">
        <v>45688.45128472222</v>
      </c>
      <c r="F1060" s="10" t="n">
        <v>45688.45378472222</v>
      </c>
      <c r="G1060" s="3" t="inlineStr">
        <is>
          <t>OBT310125105654-Wien Kledering</t>
        </is>
      </c>
      <c r="H1060" s="10" t="n">
        <v>45688.45618055556</v>
      </c>
      <c r="I1060" s="10" t="n"/>
      <c r="J1060" s="10" t="n"/>
      <c r="K1060" s="11">
        <f>IF(AND(ISNUMBER(D1060),ISNUMBER(E1060)),(E1060-D1060),"")</f>
        <v/>
      </c>
      <c r="L1060" s="11">
        <f>IF(AND(ISNUMBER(F1060),ISNUMBER(I1060)),(I1060-F1060),"")</f>
        <v/>
      </c>
    </row>
    <row r="1061">
      <c r="A1061" s="3" t="inlineStr">
        <is>
          <t>1032302</t>
        </is>
      </c>
      <c r="B1061" s="3" t="inlineStr">
        <is>
          <t>10323</t>
        </is>
      </c>
      <c r="C1061" s="10" t="n">
        <v>45688.43908564815</v>
      </c>
      <c r="D1061" s="10" t="n">
        <v>45688.44170138889</v>
      </c>
      <c r="E1061" s="10" t="n">
        <v>45688.45378472222</v>
      </c>
      <c r="F1061" s="10" t="n">
        <v>45688.45523148148</v>
      </c>
      <c r="G1061" s="3" t="inlineStr">
        <is>
          <t>OBT310125110109-St. Veit an der Glan</t>
        </is>
      </c>
      <c r="H1061" s="10" t="n">
        <v>45688.45913194444</v>
      </c>
      <c r="I1061" s="10" t="n"/>
      <c r="J1061" s="10" t="n"/>
      <c r="K1061" s="11">
        <f>IF(AND(ISNUMBER(D1061),ISNUMBER(E1061)),(E1061-D1061),"")</f>
        <v/>
      </c>
      <c r="L1061" s="11">
        <f>IF(AND(ISNUMBER(F1061),ISNUMBER(I1061)),(I1061-F1061),"")</f>
        <v/>
      </c>
    </row>
    <row r="1062">
      <c r="A1062" s="3" t="inlineStr">
        <is>
          <t>1032303</t>
        </is>
      </c>
      <c r="B1062" s="3" t="inlineStr">
        <is>
          <t>10323</t>
        </is>
      </c>
      <c r="C1062" s="10" t="n">
        <v>45688.43908564815</v>
      </c>
      <c r="D1062" s="10" t="n">
        <v>45688.44170138889</v>
      </c>
      <c r="E1062" s="10" t="n">
        <v>45688.45523148148</v>
      </c>
      <c r="F1062" s="10" t="n">
        <v>45688.45701388889</v>
      </c>
      <c r="G1062" s="3" t="inlineStr">
        <is>
          <t>OBT310125124603-Wien Kledering</t>
        </is>
      </c>
      <c r="H1062" s="10" t="n">
        <v>45688.53197916667</v>
      </c>
      <c r="I1062" s="10" t="n"/>
      <c r="J1062" s="10" t="n"/>
      <c r="K1062" s="11">
        <f>IF(AND(ISNUMBER(D1062),ISNUMBER(E1062)),(E1062-D1062),"")</f>
        <v/>
      </c>
      <c r="L1062" s="11">
        <f>IF(AND(ISNUMBER(F1062),ISNUMBER(I1062)),(I1062-F1062),"")</f>
        <v/>
      </c>
    </row>
    <row r="1063">
      <c r="A1063" s="3" t="inlineStr">
        <is>
          <t>1032401</t>
        </is>
      </c>
      <c r="B1063" s="3" t="inlineStr">
        <is>
          <t>10324</t>
        </is>
      </c>
      <c r="C1063" s="10" t="n">
        <v>45688.51858796296</v>
      </c>
      <c r="D1063" s="10" t="n">
        <v>45688.52075231481</v>
      </c>
      <c r="E1063" s="10" t="n">
        <v>45688.52626157407</v>
      </c>
      <c r="F1063" s="10" t="n">
        <v>45688.52841435185</v>
      </c>
      <c r="G1063" s="3" t="inlineStr">
        <is>
          <t>OBT310125124603-Wien Kledering</t>
        </is>
      </c>
      <c r="H1063" s="10" t="n">
        <v>45688.53197916667</v>
      </c>
      <c r="I1063" s="10" t="n"/>
      <c r="J1063" s="10" t="n"/>
      <c r="K1063" s="11">
        <f>IF(AND(ISNUMBER(D1063),ISNUMBER(E1063)),(E1063-D1063),"")</f>
        <v/>
      </c>
      <c r="L1063" s="11">
        <f>IF(AND(ISNUMBER(F1063),ISNUMBER(I1063)),(I1063-F1063),"")</f>
        <v/>
      </c>
    </row>
    <row r="1064">
      <c r="A1064" s="3" t="inlineStr">
        <is>
          <t>1032501</t>
        </is>
      </c>
      <c r="B1064" s="3" t="inlineStr">
        <is>
          <t>10325</t>
        </is>
      </c>
      <c r="C1064" s="10" t="n">
        <v>45688.59146990741</v>
      </c>
      <c r="D1064" s="10" t="n">
        <v>45688.59349537037</v>
      </c>
      <c r="E1064" s="10" t="n">
        <v>45688.59869212963</v>
      </c>
      <c r="F1064" s="10" t="n">
        <v>45688.60025462963</v>
      </c>
      <c r="G1064" s="3" t="inlineStr">
        <is>
          <t>OBT310125142730-Wien Kledering</t>
        </is>
      </c>
      <c r="H1064" s="10" t="n">
        <v>45688.60243055555</v>
      </c>
      <c r="I1064" s="10" t="n"/>
      <c r="J1064" s="10" t="n"/>
      <c r="K1064" s="11">
        <f>IF(AND(ISNUMBER(D1064),ISNUMBER(E1064)),(E1064-D1064),"")</f>
        <v/>
      </c>
      <c r="L1064" s="11">
        <f>IF(AND(ISNUMBER(F1064),ISNUMBER(I1064)),(I1064-F1064),"")</f>
        <v/>
      </c>
    </row>
    <row r="1065">
      <c r="A1065" s="3" t="inlineStr">
        <is>
          <t>1032601</t>
        </is>
      </c>
      <c r="B1065" s="3" t="inlineStr">
        <is>
          <t>10326</t>
        </is>
      </c>
      <c r="C1065" s="10" t="n">
        <v>45688.62574074074</v>
      </c>
      <c r="D1065" s="10" t="n">
        <v>45688.62810185185</v>
      </c>
      <c r="E1065" s="10" t="n">
        <v>45688.64104166667</v>
      </c>
      <c r="F1065" s="10" t="n">
        <v>45688.64299768519</v>
      </c>
      <c r="G1065" s="3" t="inlineStr">
        <is>
          <t>OBT310125160801-Other sidings north</t>
        </is>
      </c>
      <c r="H1065" s="10" t="n">
        <v>45688.67223379629</v>
      </c>
      <c r="I1065" s="10" t="n"/>
      <c r="J1065" s="10" t="n"/>
      <c r="K1065" s="11">
        <f>IF(AND(ISNUMBER(D1065),ISNUMBER(E1065)),(E1065-D1065),"")</f>
        <v/>
      </c>
      <c r="L1065" s="11">
        <f>IF(AND(ISNUMBER(F1065),ISNUMBER(I1065)),(I1065-F1065),"")</f>
        <v/>
      </c>
    </row>
    <row r="1066">
      <c r="A1066" s="3" t="inlineStr">
        <is>
          <t>1032602</t>
        </is>
      </c>
      <c r="B1066" s="3" t="inlineStr">
        <is>
          <t>10326</t>
        </is>
      </c>
      <c r="C1066" s="10" t="n">
        <v>45688.62574074074</v>
      </c>
      <c r="D1066" s="10" t="n">
        <v>45688.62810185185</v>
      </c>
      <c r="E1066" s="10" t="n">
        <v>45688.64299768519</v>
      </c>
      <c r="F1066" s="10" t="n">
        <v>45688.64494212963</v>
      </c>
      <c r="G1066" s="3" t="n"/>
      <c r="H1066" s="10" t="n"/>
      <c r="I1066" s="10" t="n"/>
      <c r="J1066" s="10" t="n"/>
      <c r="K1066" s="11">
        <f>IF(AND(ISNUMBER(D1066),ISNUMBER(E1066)),(E1066-D1066),"")</f>
        <v/>
      </c>
      <c r="L1066" s="11">
        <f>IF(AND(ISNUMBER(F1066),ISNUMBER(I1066)),(I1066-F1066),"")</f>
        <v/>
      </c>
    </row>
    <row r="1067">
      <c r="A1067" s="3" t="inlineStr">
        <is>
          <t>1032603</t>
        </is>
      </c>
      <c r="B1067" s="3" t="inlineStr">
        <is>
          <t>10326</t>
        </is>
      </c>
      <c r="C1067" s="10" t="n">
        <v>45688.62574074074</v>
      </c>
      <c r="D1067" s="10" t="n">
        <v>45688.62810185185</v>
      </c>
      <c r="E1067" s="10" t="n">
        <v>45688.64494212963</v>
      </c>
      <c r="F1067" s="10" t="n">
        <v>45688.64689814814</v>
      </c>
      <c r="G1067" s="3" t="inlineStr">
        <is>
          <t>OBT310125155632-Pitten (Hamburger)</t>
        </is>
      </c>
      <c r="H1067" s="10" t="n">
        <v>45688.66425925926</v>
      </c>
      <c r="I1067" s="10" t="n"/>
      <c r="J1067" s="10" t="n"/>
      <c r="K1067" s="11">
        <f>IF(AND(ISNUMBER(D1067),ISNUMBER(E1067)),(E1067-D1067),"")</f>
        <v/>
      </c>
      <c r="L1067" s="11">
        <f>IF(AND(ISNUMBER(F1067),ISNUMBER(I1067)),(I1067-F1067),"")</f>
        <v/>
      </c>
    </row>
    <row r="1068">
      <c r="A1068" s="3" t="inlineStr">
        <is>
          <t>1032604</t>
        </is>
      </c>
      <c r="B1068" s="3" t="inlineStr">
        <is>
          <t>10326</t>
        </is>
      </c>
      <c r="C1068" s="10" t="n">
        <v>45688.62574074074</v>
      </c>
      <c r="D1068" s="10" t="n">
        <v>45688.62810185185</v>
      </c>
      <c r="E1068" s="10" t="n">
        <v>45688.64689814814</v>
      </c>
      <c r="F1068" s="10" t="n">
        <v>45688.64864583333</v>
      </c>
      <c r="G1068" s="3" t="inlineStr">
        <is>
          <t>OBT310125161451-Steinabrückl/Wöllersdorf</t>
        </is>
      </c>
      <c r="H1068" s="10" t="n">
        <v>45688.67697916667</v>
      </c>
      <c r="I1068" s="10" t="n"/>
      <c r="J1068" s="10" t="n"/>
      <c r="K1068" s="11">
        <f>IF(AND(ISNUMBER(D1068),ISNUMBER(E1068)),(E1068-D1068),"")</f>
        <v/>
      </c>
      <c r="L1068" s="11">
        <f>IF(AND(ISNUMBER(F1068),ISNUMBER(I1068)),(I1068-F1068),"")</f>
        <v/>
      </c>
    </row>
    <row r="1069">
      <c r="A1069" s="3" t="inlineStr">
        <is>
          <t>1032605</t>
        </is>
      </c>
      <c r="B1069" s="3" t="inlineStr">
        <is>
          <t>10326</t>
        </is>
      </c>
      <c r="C1069" s="10" t="n">
        <v>45688.62574074074</v>
      </c>
      <c r="D1069" s="10" t="n">
        <v>45688.62810185185</v>
      </c>
      <c r="E1069" s="10" t="n">
        <v>45688.64864583333</v>
      </c>
      <c r="F1069" s="10" t="n">
        <v>45688.6502662037</v>
      </c>
      <c r="G1069" s="3" t="n"/>
      <c r="H1069" s="10" t="n"/>
      <c r="I1069" s="10" t="n"/>
      <c r="J1069" s="10" t="n"/>
      <c r="K1069" s="11">
        <f>IF(AND(ISNUMBER(D1069),ISNUMBER(E1069)),(E1069-D1069),"")</f>
        <v/>
      </c>
      <c r="L1069" s="11">
        <f>IF(AND(ISNUMBER(F1069),ISNUMBER(I1069)),(I1069-F1069),"")</f>
        <v/>
      </c>
    </row>
    <row r="1070">
      <c r="A1070" s="3" t="inlineStr">
        <is>
          <t>1032606</t>
        </is>
      </c>
      <c r="B1070" s="3" t="inlineStr">
        <is>
          <t>10326</t>
        </is>
      </c>
      <c r="C1070" s="10" t="n">
        <v>45688.62574074074</v>
      </c>
      <c r="D1070" s="10" t="n">
        <v>45688.62810185185</v>
      </c>
      <c r="E1070" s="10" t="n">
        <v>45688.6502662037</v>
      </c>
      <c r="F1070" s="10" t="n">
        <v>45688.65200231481</v>
      </c>
      <c r="G1070" s="3" t="n"/>
      <c r="H1070" s="10" t="n"/>
      <c r="I1070" s="10" t="n"/>
      <c r="J1070" s="10" t="n"/>
      <c r="K1070" s="11">
        <f>IF(AND(ISNUMBER(D1070),ISNUMBER(E1070)),(E1070-D1070),"")</f>
        <v/>
      </c>
      <c r="L1070" s="11">
        <f>IF(AND(ISNUMBER(F1070),ISNUMBER(I1070)),(I1070-F1070),"")</f>
        <v/>
      </c>
    </row>
    <row r="1071">
      <c r="A1071" s="3" t="inlineStr">
        <is>
          <t>1032607</t>
        </is>
      </c>
      <c r="B1071" s="3" t="inlineStr">
        <is>
          <t>10326</t>
        </is>
      </c>
      <c r="C1071" s="10" t="n">
        <v>45688.62574074074</v>
      </c>
      <c r="D1071" s="10" t="n">
        <v>45688.62810185185</v>
      </c>
      <c r="E1071" s="10" t="n">
        <v>45688.65200231481</v>
      </c>
      <c r="F1071" s="10" t="n">
        <v>45688.6541087963</v>
      </c>
      <c r="G1071" s="3" t="inlineStr">
        <is>
          <t>OBT310125155632-Pitten (Hamburger)</t>
        </is>
      </c>
      <c r="H1071" s="10" t="n">
        <v>45688.66425925926</v>
      </c>
      <c r="I1071" s="10" t="n"/>
      <c r="J1071" s="10" t="n"/>
      <c r="K1071" s="11">
        <f>IF(AND(ISNUMBER(D1071),ISNUMBER(E1071)),(E1071-D1071),"")</f>
        <v/>
      </c>
      <c r="L1071" s="11">
        <f>IF(AND(ISNUMBER(F1071),ISNUMBER(I1071)),(I1071-F1071),"")</f>
        <v/>
      </c>
    </row>
    <row r="1072">
      <c r="A1072" s="3" t="inlineStr">
        <is>
          <t>1032701</t>
        </is>
      </c>
      <c r="B1072" s="3" t="inlineStr">
        <is>
          <t>10327</t>
        </is>
      </c>
      <c r="C1072" s="10" t="n">
        <v>45688.63793981481</v>
      </c>
      <c r="D1072" s="10" t="n">
        <v>45688.64006944445</v>
      </c>
      <c r="E1072" s="10" t="n">
        <v>45688.65833333333</v>
      </c>
      <c r="F1072" s="10" t="n">
        <v>45688.6603587963</v>
      </c>
      <c r="G1072" s="3" t="inlineStr">
        <is>
          <t>OBT310125155632-Pitten (Hamburger)</t>
        </is>
      </c>
      <c r="H1072" s="10" t="n">
        <v>45688.66425925926</v>
      </c>
      <c r="I1072" s="10" t="n"/>
      <c r="J1072" s="10" t="n"/>
      <c r="K1072" s="11">
        <f>IF(AND(ISNUMBER(D1072),ISNUMBER(E1072)),(E1072-D1072),"")</f>
        <v/>
      </c>
      <c r="L1072" s="11">
        <f>IF(AND(ISNUMBER(F1072),ISNUMBER(I1072)),(I1072-F1072),"")</f>
        <v/>
      </c>
    </row>
    <row r="1073">
      <c r="A1073" s="3" t="inlineStr">
        <is>
          <t>1032702</t>
        </is>
      </c>
      <c r="B1073" s="3" t="inlineStr">
        <is>
          <t>10327</t>
        </is>
      </c>
      <c r="C1073" s="10" t="n">
        <v>45688.63793981481</v>
      </c>
      <c r="D1073" s="10" t="n">
        <v>45688.64006944445</v>
      </c>
      <c r="E1073" s="10" t="n">
        <v>45688.6603587963</v>
      </c>
      <c r="F1073" s="10" t="n">
        <v>45688.66172453704</v>
      </c>
      <c r="G1073" s="3" t="inlineStr">
        <is>
          <t>OBT310125155832-Neudörfl (FunderMax)</t>
        </is>
      </c>
      <c r="H1073" s="10" t="n">
        <v>45688.66564814815</v>
      </c>
      <c r="I1073" s="10" t="n"/>
      <c r="J1073" s="10" t="n"/>
      <c r="K1073" s="11">
        <f>IF(AND(ISNUMBER(D1073),ISNUMBER(E1073)),(E1073-D1073),"")</f>
        <v/>
      </c>
      <c r="L1073" s="11">
        <f>IF(AND(ISNUMBER(F1073),ISNUMBER(I1073)),(I1073-F1073),"")</f>
        <v/>
      </c>
    </row>
    <row r="1074">
      <c r="A1074" s="3" t="inlineStr">
        <is>
          <t>1032703</t>
        </is>
      </c>
      <c r="B1074" s="3" t="inlineStr">
        <is>
          <t>10327</t>
        </is>
      </c>
      <c r="C1074" s="10" t="n">
        <v>45688.63793981481</v>
      </c>
      <c r="D1074" s="10" t="n">
        <v>45688.64006944445</v>
      </c>
      <c r="E1074" s="10" t="n">
        <v>45688.66172453704</v>
      </c>
      <c r="F1074" s="10" t="n">
        <v>45688.66284722222</v>
      </c>
      <c r="G1074" s="3" t="n"/>
      <c r="H1074" s="10" t="n"/>
      <c r="I1074" s="10" t="n"/>
      <c r="J1074" s="10" t="n"/>
      <c r="K1074" s="11">
        <f>IF(AND(ISNUMBER(D1074),ISNUMBER(E1074)),(E1074-D1074),"")</f>
        <v/>
      </c>
      <c r="L1074" s="11">
        <f>IF(AND(ISNUMBER(F1074),ISNUMBER(I1074)),(I1074-F1074),"")</f>
        <v/>
      </c>
    </row>
    <row r="1075">
      <c r="A1075" s="3" t="inlineStr">
        <is>
          <t>1032704</t>
        </is>
      </c>
      <c r="B1075" s="3" t="inlineStr">
        <is>
          <t>10327</t>
        </is>
      </c>
      <c r="C1075" s="10" t="n">
        <v>45688.63793981481</v>
      </c>
      <c r="D1075" s="10" t="n">
        <v>45688.64006944445</v>
      </c>
      <c r="E1075" s="10" t="n">
        <v>45688.66284722222</v>
      </c>
      <c r="F1075" s="10" t="n">
        <v>45688.66444444445</v>
      </c>
      <c r="G1075" s="3" t="n"/>
      <c r="H1075" s="10" t="n"/>
      <c r="I1075" s="10" t="n"/>
      <c r="J1075" s="10" t="n"/>
      <c r="K1075" s="11">
        <f>IF(AND(ISNUMBER(D1075),ISNUMBER(E1075)),(E1075-D1075),"")</f>
        <v/>
      </c>
      <c r="L1075" s="11">
        <f>IF(AND(ISNUMBER(F1075),ISNUMBER(I1075)),(I1075-F1075),"")</f>
        <v/>
      </c>
    </row>
    <row r="1076">
      <c r="A1076" s="3" t="inlineStr">
        <is>
          <t>1032705</t>
        </is>
      </c>
      <c r="B1076" s="3" t="inlineStr">
        <is>
          <t>10327</t>
        </is>
      </c>
      <c r="C1076" s="10" t="n">
        <v>45688.63793981481</v>
      </c>
      <c r="D1076" s="10" t="n">
        <v>45688.64006944445</v>
      </c>
      <c r="E1076" s="10" t="n">
        <v>45688.66444444445</v>
      </c>
      <c r="F1076" s="10" t="n">
        <v>45688.66657407407</v>
      </c>
      <c r="G1076" s="3" t="inlineStr">
        <is>
          <t>OBT310125160801-Other sidings north</t>
        </is>
      </c>
      <c r="H1076" s="10" t="n">
        <v>45688.67223379629</v>
      </c>
      <c r="I1076" s="10" t="n"/>
      <c r="J1076" s="10" t="n"/>
      <c r="K1076" s="11">
        <f>IF(AND(ISNUMBER(D1076),ISNUMBER(E1076)),(E1076-D1076),"")</f>
        <v/>
      </c>
      <c r="L1076" s="11">
        <f>IF(AND(ISNUMBER(F1076),ISNUMBER(I1076)),(I1076-F1076),"")</f>
        <v/>
      </c>
    </row>
    <row r="1077">
      <c r="A1077" s="3" t="inlineStr">
        <is>
          <t>1032706</t>
        </is>
      </c>
      <c r="B1077" s="3" t="inlineStr">
        <is>
          <t>10327</t>
        </is>
      </c>
      <c r="C1077" s="10" t="n">
        <v>45688.63793981481</v>
      </c>
      <c r="D1077" s="10" t="n">
        <v>45688.64006944445</v>
      </c>
      <c r="E1077" s="10" t="n">
        <v>45688.66657407407</v>
      </c>
      <c r="F1077" s="10" t="n">
        <v>45688.66856481481</v>
      </c>
      <c r="G1077" s="3" t="inlineStr">
        <is>
          <t>OBT310125203626-Pitten (Hamburger)</t>
        </is>
      </c>
      <c r="H1077" s="10" t="n">
        <v>45688.85863425926</v>
      </c>
      <c r="I1077" s="10" t="n"/>
      <c r="J1077" s="10" t="n"/>
      <c r="K1077" s="11">
        <f>IF(AND(ISNUMBER(D1077),ISNUMBER(E1077)),(E1077-D1077),"")</f>
        <v/>
      </c>
      <c r="L1077" s="11">
        <f>IF(AND(ISNUMBER(F1077),ISNUMBER(I1077)),(I1077-F1077),"")</f>
        <v/>
      </c>
    </row>
    <row r="1078">
      <c r="A1078" s="3" t="inlineStr">
        <is>
          <t>1032707</t>
        </is>
      </c>
      <c r="B1078" s="3" t="inlineStr">
        <is>
          <t>10327</t>
        </is>
      </c>
      <c r="C1078" s="10" t="n">
        <v>45688.63793981481</v>
      </c>
      <c r="D1078" s="10" t="n">
        <v>45688.64006944445</v>
      </c>
      <c r="E1078" s="10" t="n">
        <v>45688.66856481481</v>
      </c>
      <c r="F1078" s="10" t="n">
        <v>45688.67028935185</v>
      </c>
      <c r="G1078" s="3" t="inlineStr">
        <is>
          <t>OBT310125161451-Steinabrückl/Wöllersdorf</t>
        </is>
      </c>
      <c r="H1078" s="10" t="n">
        <v>45688.67697916667</v>
      </c>
      <c r="I1078" s="10" t="n"/>
      <c r="J1078" s="10" t="n"/>
      <c r="K1078" s="11">
        <f>IF(AND(ISNUMBER(D1078),ISNUMBER(E1078)),(E1078-D1078),"")</f>
        <v/>
      </c>
      <c r="L1078" s="11">
        <f>IF(AND(ISNUMBER(F1078),ISNUMBER(I1078)),(I1078-F1078),"")</f>
        <v/>
      </c>
    </row>
    <row r="1079">
      <c r="A1079" s="3" t="inlineStr">
        <is>
          <t>1032709</t>
        </is>
      </c>
      <c r="B1079" s="3" t="inlineStr">
        <is>
          <t>10327</t>
        </is>
      </c>
      <c r="C1079" s="10" t="n">
        <v>45688.63793981481</v>
      </c>
      <c r="D1079" s="10" t="n">
        <v>45688.64006944445</v>
      </c>
      <c r="E1079" s="10" t="n">
        <v>45688.67028935185</v>
      </c>
      <c r="F1079" s="10" t="n">
        <v>45688.67229166667</v>
      </c>
      <c r="G1079" s="3" t="inlineStr">
        <is>
          <t>OBT310125203626-Pitten (Hamburger)</t>
        </is>
      </c>
      <c r="H1079" s="10" t="n">
        <v>45688.85863425926</v>
      </c>
      <c r="I1079" s="10" t="n"/>
      <c r="J1079" s="10" t="n"/>
      <c r="K1079" s="11">
        <f>IF(AND(ISNUMBER(D1079),ISNUMBER(E1079)),(E1079-D1079),"")</f>
        <v/>
      </c>
      <c r="L1079" s="11">
        <f>IF(AND(ISNUMBER(F1079),ISNUMBER(I1079)),(I1079-F1079),"")</f>
        <v/>
      </c>
    </row>
    <row r="1080">
      <c r="A1080" s="3" t="inlineStr">
        <is>
          <t>1032710</t>
        </is>
      </c>
      <c r="B1080" s="3" t="inlineStr">
        <is>
          <t>10327</t>
        </is>
      </c>
      <c r="C1080" s="10" t="n">
        <v>45688.63793981481</v>
      </c>
      <c r="D1080" s="10" t="n">
        <v>45688.64006944445</v>
      </c>
      <c r="E1080" s="10" t="n">
        <v>45688.67229166667</v>
      </c>
      <c r="F1080" s="10" t="n">
        <v>45688.67428240741</v>
      </c>
      <c r="G1080" s="3" t="n"/>
      <c r="H1080" s="10" t="n"/>
      <c r="I1080" s="10" t="n"/>
      <c r="J1080" s="10" t="n"/>
      <c r="K1080" s="11">
        <f>IF(AND(ISNUMBER(D1080),ISNUMBER(E1080)),(E1080-D1080),"")</f>
        <v/>
      </c>
      <c r="L1080" s="11">
        <f>IF(AND(ISNUMBER(F1080),ISNUMBER(I1080)),(I1080-F1080),"")</f>
        <v/>
      </c>
    </row>
    <row r="1081">
      <c r="A1081" s="3" t="inlineStr">
        <is>
          <t>1032711</t>
        </is>
      </c>
      <c r="B1081" s="3" t="inlineStr">
        <is>
          <t>10327</t>
        </is>
      </c>
      <c r="C1081" s="10" t="n">
        <v>45688.63793981481</v>
      </c>
      <c r="D1081" s="10" t="n">
        <v>45688.64006944445</v>
      </c>
      <c r="E1081" s="10" t="n">
        <v>45688.67428240741</v>
      </c>
      <c r="F1081" s="10" t="n">
        <v>45688.67579861111</v>
      </c>
      <c r="G1081" s="3" t="inlineStr">
        <is>
          <t>OBT310125162356-Other sidings south</t>
        </is>
      </c>
      <c r="H1081" s="10" t="n">
        <v>45688.68328703703</v>
      </c>
      <c r="I1081" s="10" t="n"/>
      <c r="J1081" s="10" t="n"/>
      <c r="K1081" s="11">
        <f>IF(AND(ISNUMBER(D1081),ISNUMBER(E1081)),(E1081-D1081),"")</f>
        <v/>
      </c>
      <c r="L1081" s="11">
        <f>IF(AND(ISNUMBER(F1081),ISNUMBER(I1081)),(I1081-F1081),"")</f>
        <v/>
      </c>
    </row>
    <row r="1082">
      <c r="A1082" s="3" t="inlineStr">
        <is>
          <t>1032901</t>
        </is>
      </c>
      <c r="B1082" s="3" t="inlineStr">
        <is>
          <t>10329</t>
        </is>
      </c>
      <c r="C1082" s="10" t="n">
        <v>45688.72976851852</v>
      </c>
      <c r="D1082" s="10" t="n">
        <v>45688.73206018518</v>
      </c>
      <c r="E1082" s="10" t="n">
        <v>45688.7382175926</v>
      </c>
      <c r="F1082" s="10" t="n">
        <v>45688.74016203704</v>
      </c>
      <c r="G1082" s="3" t="inlineStr">
        <is>
          <t>OBT310125174917-Wien Kledering</t>
        </is>
      </c>
      <c r="H1082" s="10" t="n">
        <v>45688.74255787037</v>
      </c>
      <c r="I1082" s="10" t="n"/>
      <c r="J1082" s="10" t="n"/>
      <c r="K1082" s="11">
        <f>IF(AND(ISNUMBER(D1082),ISNUMBER(E1082)),(E1082-D1082),"")</f>
        <v/>
      </c>
      <c r="L1082" s="11">
        <f>IF(AND(ISNUMBER(F1082),ISNUMBER(I1082)),(I1082-F1082),"")</f>
        <v/>
      </c>
    </row>
    <row r="1083">
      <c r="A1083" s="3" t="inlineStr">
        <is>
          <t>1033001</t>
        </is>
      </c>
      <c r="B1083" s="3" t="inlineStr">
        <is>
          <t>10330</t>
        </is>
      </c>
      <c r="C1083" s="10" t="n">
        <v>45688.73995370371</v>
      </c>
      <c r="D1083" s="10" t="n">
        <v>45688.74155092592</v>
      </c>
      <c r="E1083" s="10" t="n">
        <v>45688.74671296297</v>
      </c>
      <c r="F1083" s="10" t="n">
        <v>45688.74900462963</v>
      </c>
      <c r="G1083" s="3" t="inlineStr">
        <is>
          <t>OBT310125180201-Wien Kledering</t>
        </is>
      </c>
      <c r="H1083" s="10" t="n">
        <v>45688.75140046296</v>
      </c>
      <c r="I1083" s="10" t="n"/>
      <c r="J1083" s="10" t="n"/>
      <c r="K1083" s="11">
        <f>IF(AND(ISNUMBER(D1083),ISNUMBER(E1083)),(E1083-D1083),"")</f>
        <v/>
      </c>
      <c r="L1083" s="11">
        <f>IF(AND(ISNUMBER(F1083),ISNUMBER(I1083)),(I1083-F1083),"")</f>
        <v/>
      </c>
    </row>
    <row r="1084">
      <c r="A1084" s="3" t="inlineStr">
        <is>
          <t>1033101</t>
        </is>
      </c>
      <c r="B1084" s="3" t="inlineStr">
        <is>
          <t>10331</t>
        </is>
      </c>
      <c r="C1084" s="10" t="n">
        <v>45688.83652777778</v>
      </c>
      <c r="D1084" s="10" t="n">
        <v>45688.83893518519</v>
      </c>
      <c r="E1084" s="10" t="n">
        <v>45688.85105324074</v>
      </c>
      <c r="F1084" s="10" t="n">
        <v>45688.853125</v>
      </c>
      <c r="G1084" s="3" t="inlineStr">
        <is>
          <t>OBT310125203154-Wr. Neustadt (Hödlmayr)</t>
        </is>
      </c>
      <c r="H1084" s="10" t="n">
        <v>45688.85548611111</v>
      </c>
      <c r="I1084" s="10" t="n"/>
      <c r="J1084" s="10" t="n"/>
      <c r="K1084" s="11">
        <f>IF(AND(ISNUMBER(D1084),ISNUMBER(E1084)),(E1084-D1084),"")</f>
        <v/>
      </c>
      <c r="L1084" s="11">
        <f>IF(AND(ISNUMBER(F1084),ISNUMBER(I1084)),(I1084-F1084),"")</f>
        <v/>
      </c>
    </row>
    <row r="1085">
      <c r="A1085" s="3" t="inlineStr">
        <is>
          <t>1033102</t>
        </is>
      </c>
      <c r="B1085" s="3" t="inlineStr">
        <is>
          <t>10331</t>
        </is>
      </c>
      <c r="C1085" s="10" t="n">
        <v>45688.83652777778</v>
      </c>
      <c r="D1085" s="10" t="n">
        <v>45688.83893518519</v>
      </c>
      <c r="E1085" s="10" t="n">
        <v>45688.853125</v>
      </c>
      <c r="F1085" s="10" t="n">
        <v>45688.8550925926</v>
      </c>
      <c r="G1085" s="3" t="inlineStr">
        <is>
          <t>OBT310125203626-Pitten (Hamburger)</t>
        </is>
      </c>
      <c r="H1085" s="10" t="n">
        <v>45688.85863425926</v>
      </c>
      <c r="I1085" s="10" t="n"/>
      <c r="J1085" s="10" t="n"/>
      <c r="K1085" s="11">
        <f>IF(AND(ISNUMBER(D1085),ISNUMBER(E1085)),(E1085-D1085),"")</f>
        <v/>
      </c>
      <c r="L1085" s="11">
        <f>IF(AND(ISNUMBER(F1085),ISNUMBER(I1085)),(I1085-F1085),"")</f>
        <v/>
      </c>
    </row>
    <row r="1086">
      <c r="A1086" s="3" t="inlineStr">
        <is>
          <t>1033103</t>
        </is>
      </c>
      <c r="B1086" s="3" t="inlineStr">
        <is>
          <t>10331</t>
        </is>
      </c>
      <c r="C1086" s="10" t="n">
        <v>45688.83652777778</v>
      </c>
      <c r="D1086" s="10" t="n">
        <v>45688.83893518519</v>
      </c>
      <c r="E1086" s="10" t="n">
        <v>45688.8550925926</v>
      </c>
      <c r="F1086" s="10" t="n">
        <v>45688.85671296297</v>
      </c>
      <c r="G1086" s="3" t="n"/>
      <c r="H1086" s="10" t="n"/>
      <c r="I1086" s="10" t="n"/>
      <c r="J1086" s="10" t="n"/>
      <c r="K1086" s="11">
        <f>IF(AND(ISNUMBER(D1086),ISNUMBER(E1086)),(E1086-D1086),"")</f>
        <v/>
      </c>
      <c r="L1086" s="11">
        <f>IF(AND(ISNUMBER(F1086),ISNUMBER(I1086)),(I1086-F1086),"")</f>
        <v/>
      </c>
    </row>
    <row r="1087">
      <c r="A1087" s="3" t="inlineStr">
        <is>
          <t>1033104</t>
        </is>
      </c>
      <c r="B1087" s="3" t="inlineStr">
        <is>
          <t>10331</t>
        </is>
      </c>
      <c r="C1087" s="10" t="n">
        <v>45688.83652777778</v>
      </c>
      <c r="D1087" s="10" t="n">
        <v>45688.83893518519</v>
      </c>
      <c r="E1087" s="10" t="n">
        <v>45688.85671296297</v>
      </c>
      <c r="F1087" s="10" t="n">
        <v>45688.85862268518</v>
      </c>
      <c r="G1087" s="3" t="inlineStr">
        <is>
          <t>OBT310125204436-Other sidings south</t>
        </is>
      </c>
      <c r="H1087" s="10" t="n">
        <v>45688.86430555556</v>
      </c>
      <c r="I1087" s="10" t="n"/>
      <c r="J1087" s="10" t="n"/>
      <c r="K1087" s="11">
        <f>IF(AND(ISNUMBER(D1087),ISNUMBER(E1087)),(E1087-D1087),"")</f>
        <v/>
      </c>
      <c r="L1087" s="11">
        <f>IF(AND(ISNUMBER(F1087),ISNUMBER(I1087)),(I1087-F1087),"")</f>
        <v/>
      </c>
    </row>
    <row r="1088">
      <c r="A1088" s="3" t="inlineStr">
        <is>
          <t>1033105</t>
        </is>
      </c>
      <c r="B1088" s="3" t="inlineStr">
        <is>
          <t>10331</t>
        </is>
      </c>
      <c r="C1088" s="10" t="n">
        <v>45688.83652777778</v>
      </c>
      <c r="D1088" s="10" t="n">
        <v>45688.83893518519</v>
      </c>
      <c r="E1088" s="10" t="n">
        <v>45688.85862268518</v>
      </c>
      <c r="F1088" s="10" t="n">
        <v>45688.86075231482</v>
      </c>
      <c r="G1088" s="3" t="inlineStr">
        <is>
          <t>OBT310125204436-Other sidings south</t>
        </is>
      </c>
      <c r="H1088" s="10" t="n">
        <v>45688.86430555556</v>
      </c>
      <c r="I1088" s="10" t="n"/>
      <c r="J1088" s="10" t="n"/>
      <c r="K1088" s="11">
        <f>IF(AND(ISNUMBER(D1088),ISNUMBER(E1088)),(E1088-D1088),"")</f>
        <v/>
      </c>
      <c r="L1088" s="11">
        <f>IF(AND(ISNUMBER(F1088),ISNUMBER(I1088)),(I1088-F1088),"")</f>
        <v/>
      </c>
    </row>
    <row r="1089">
      <c r="A1089" s="3" t="inlineStr">
        <is>
          <t>1033106</t>
        </is>
      </c>
      <c r="B1089" s="3" t="inlineStr">
        <is>
          <t>10331</t>
        </is>
      </c>
      <c r="C1089" s="10" t="n">
        <v>45688.83652777778</v>
      </c>
      <c r="D1089" s="10" t="n">
        <v>45688.83893518519</v>
      </c>
      <c r="E1089" s="10" t="n">
        <v>45688.86075231482</v>
      </c>
      <c r="F1089" s="10" t="n">
        <v>45688.86248842593</v>
      </c>
      <c r="G1089" s="3" t="n"/>
      <c r="H1089" s="10" t="n"/>
      <c r="I1089" s="10" t="n"/>
      <c r="J1089" s="10" t="n"/>
      <c r="K1089" s="11">
        <f>IF(AND(ISNUMBER(D1089),ISNUMBER(E1089)),(E1089-D1089),"")</f>
        <v/>
      </c>
      <c r="L1089" s="11">
        <f>IF(AND(ISNUMBER(F1089),ISNUMBER(I1089)),(I1089-F1089),"")</f>
        <v/>
      </c>
    </row>
  </sheetData>
  <autoFilter ref="A1:L10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19" customWidth="1" min="8" max="8"/>
    <col width="19" customWidth="1" min="9" max="9"/>
    <col width="19" customWidth="1" min="10" max="10"/>
    <col width="8.199999999999999" customWidth="1" min="11" max="11"/>
    <col width="8.199999999999999" customWidth="1" min="12" max="12"/>
  </cols>
  <sheetData>
    <row r="1" ht="45" customHeight="1">
      <c r="A1" s="1" t="inlineStr">
        <is>
          <t>ActivityType</t>
        </is>
      </c>
      <c r="B1" s="1" t="inlineStr">
        <is>
          <t>ActivityId</t>
        </is>
      </c>
      <c r="C1" s="1" t="inlineStr">
        <is>
          <t>Entity</t>
        </is>
      </c>
      <c r="D1" s="1" t="inlineStr">
        <is>
          <t>Length (m)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Drive length (m)</t>
        </is>
      </c>
      <c r="H1" s="1" t="inlineStr">
        <is>
          <t>InitializedAt</t>
        </is>
      </c>
      <c r="I1" s="1" t="inlineStr">
        <is>
          <t>StartedAt</t>
        </is>
      </c>
      <c r="J1" s="1" t="inlineStr">
        <is>
          <t>CompletedAt</t>
        </is>
      </c>
      <c r="K1" s="1" t="inlineStr">
        <is>
          <t>Duration (hh:mm:ss)</t>
        </is>
      </c>
      <c r="L1" s="1" t="inlineStr">
        <is>
          <t>Number of separation joints</t>
        </is>
      </c>
    </row>
    <row r="2">
      <c r="A2" s="3" t="inlineStr">
        <is>
          <t>ArrivalDrive</t>
        </is>
      </c>
      <c r="B2" s="3" t="inlineStr">
        <is>
          <t>Act_ARRD_10001_023944_703</t>
        </is>
      </c>
      <c r="C2" s="3" t="inlineStr">
        <is>
          <t>10001</t>
        </is>
      </c>
      <c r="D2" s="9" t="n">
        <v>227</v>
      </c>
      <c r="E2" s="3" t="inlineStr">
        <is>
          <t>Entry gate</t>
        </is>
      </c>
      <c r="F2" s="3" t="inlineStr">
        <is>
          <t>703</t>
        </is>
      </c>
      <c r="G2" s="9" t="n">
        <v>766.25</v>
      </c>
      <c r="H2" s="10" t="n">
        <v>45659.11092592592</v>
      </c>
      <c r="I2" s="10" t="n">
        <v>45659.11092592592</v>
      </c>
      <c r="J2" s="10" t="n">
        <v>45659.11304398148</v>
      </c>
      <c r="K2" s="11" t="n">
        <v>0.002118055555555556</v>
      </c>
      <c r="L2" s="13" t="n"/>
    </row>
    <row r="3">
      <c r="A3" s="3" t="inlineStr">
        <is>
          <t>ArrivalDrive</t>
        </is>
      </c>
      <c r="B3" s="3" t="inlineStr">
        <is>
          <t>Act_ARRD_10002_062740_703</t>
        </is>
      </c>
      <c r="C3" s="3" t="inlineStr">
        <is>
          <t>10002</t>
        </is>
      </c>
      <c r="D3" s="9" t="n">
        <v>182.7</v>
      </c>
      <c r="E3" s="3" t="inlineStr">
        <is>
          <t>Entry gate</t>
        </is>
      </c>
      <c r="F3" s="3" t="inlineStr">
        <is>
          <t>703</t>
        </is>
      </c>
      <c r="G3" s="9" t="n">
        <v>766.25</v>
      </c>
      <c r="H3" s="10" t="n">
        <v>45659.26921296296</v>
      </c>
      <c r="I3" s="10" t="n">
        <v>45659.26921296296</v>
      </c>
      <c r="J3" s="10" t="n">
        <v>45659.27122685185</v>
      </c>
      <c r="K3" s="11" t="n">
        <v>0.002013888888888889</v>
      </c>
      <c r="L3" s="13" t="n"/>
    </row>
    <row r="4">
      <c r="A4" s="3" t="inlineStr">
        <is>
          <t>ArrivalDrive</t>
        </is>
      </c>
      <c r="B4" s="3" t="inlineStr">
        <is>
          <t>Act_ARRD_10003_070901_727</t>
        </is>
      </c>
      <c r="C4" s="3" t="inlineStr">
        <is>
          <t>10003</t>
        </is>
      </c>
      <c r="D4" s="9" t="n">
        <v>578.2</v>
      </c>
      <c r="E4" s="3" t="inlineStr">
        <is>
          <t>Entry gate</t>
        </is>
      </c>
      <c r="F4" s="3" t="inlineStr">
        <is>
          <t>727</t>
        </is>
      </c>
      <c r="G4" s="9" t="n">
        <v>556.2</v>
      </c>
      <c r="H4" s="10" t="n">
        <v>45659.29792824074</v>
      </c>
      <c r="I4" s="10" t="n">
        <v>45659.29792824074</v>
      </c>
      <c r="J4" s="10" t="n">
        <v>45659.30041666667</v>
      </c>
      <c r="K4" s="11" t="n">
        <v>0.002488425925925926</v>
      </c>
      <c r="L4" s="13" t="n"/>
    </row>
    <row r="5">
      <c r="A5" s="3" t="inlineStr">
        <is>
          <t>ArrivalDrive</t>
        </is>
      </c>
      <c r="B5" s="3" t="inlineStr">
        <is>
          <t>Act_ARRD_10004_072151_703</t>
        </is>
      </c>
      <c r="C5" s="3" t="inlineStr">
        <is>
          <t>10004</t>
        </is>
      </c>
      <c r="D5" s="9" t="n">
        <v>189</v>
      </c>
      <c r="E5" s="3" t="inlineStr">
        <is>
          <t>Entry gate</t>
        </is>
      </c>
      <c r="F5" s="3" t="inlineStr">
        <is>
          <t>703</t>
        </is>
      </c>
      <c r="G5" s="9" t="n">
        <v>766.25</v>
      </c>
      <c r="H5" s="10" t="n">
        <v>45659.30684027778</v>
      </c>
      <c r="I5" s="10" t="n">
        <v>45659.30684027778</v>
      </c>
      <c r="J5" s="10" t="n">
        <v>45659.30886574074</v>
      </c>
      <c r="K5" s="11" t="n">
        <v>0.002025462962962963</v>
      </c>
      <c r="L5" s="13" t="n"/>
    </row>
    <row r="6">
      <c r="A6" s="3" t="inlineStr">
        <is>
          <t>ArrivalDrive</t>
        </is>
      </c>
      <c r="B6" s="3" t="inlineStr">
        <is>
          <t>Act_ARRD_10005_080044_703</t>
        </is>
      </c>
      <c r="C6" s="3" t="inlineStr">
        <is>
          <t>10005</t>
        </is>
      </c>
      <c r="D6" s="9" t="n">
        <v>396.6</v>
      </c>
      <c r="E6" s="3" t="inlineStr">
        <is>
          <t>Entry gate</t>
        </is>
      </c>
      <c r="F6" s="3" t="inlineStr">
        <is>
          <t>703</t>
        </is>
      </c>
      <c r="G6" s="9" t="n">
        <v>766.25</v>
      </c>
      <c r="H6" s="10" t="n">
        <v>45659.33384259259</v>
      </c>
      <c r="I6" s="10" t="n">
        <v>45659.33384259259</v>
      </c>
      <c r="J6" s="10" t="n">
        <v>45659.33635416667</v>
      </c>
      <c r="K6" s="11" t="n">
        <v>0.002511574074074074</v>
      </c>
      <c r="L6" s="13" t="n"/>
    </row>
    <row r="7">
      <c r="A7" s="3" t="inlineStr">
        <is>
          <t>ArrivalDrive</t>
        </is>
      </c>
      <c r="B7" s="3" t="inlineStr">
        <is>
          <t>Act_ARRD_10006_084833_703</t>
        </is>
      </c>
      <c r="C7" s="3" t="inlineStr">
        <is>
          <t>10006</t>
        </is>
      </c>
      <c r="D7" s="9" t="n">
        <v>440.3</v>
      </c>
      <c r="E7" s="3" t="inlineStr">
        <is>
          <t>Entry gate</t>
        </is>
      </c>
      <c r="F7" s="3" t="inlineStr">
        <is>
          <t>703</t>
        </is>
      </c>
      <c r="G7" s="9" t="n">
        <v>766.25</v>
      </c>
      <c r="H7" s="10" t="n">
        <v>45659.36704861111</v>
      </c>
      <c r="I7" s="10" t="n">
        <v>45659.36704861111</v>
      </c>
      <c r="J7" s="10" t="n">
        <v>45659.36965277778</v>
      </c>
      <c r="K7" s="11" t="n">
        <v>0.002604166666666667</v>
      </c>
      <c r="L7" s="13" t="n"/>
    </row>
    <row r="8">
      <c r="A8" s="3" t="inlineStr">
        <is>
          <t>ArrivalDrive</t>
        </is>
      </c>
      <c r="B8" s="3" t="inlineStr">
        <is>
          <t>Act_ARRD_10007_090010_727</t>
        </is>
      </c>
      <c r="C8" s="3" t="inlineStr">
        <is>
          <t>10007</t>
        </is>
      </c>
      <c r="D8" s="9" t="n">
        <v>212.7</v>
      </c>
      <c r="E8" s="3" t="inlineStr">
        <is>
          <t>Entry gate</t>
        </is>
      </c>
      <c r="F8" s="3" t="inlineStr">
        <is>
          <t>727</t>
        </is>
      </c>
      <c r="G8" s="9" t="n">
        <v>556.2</v>
      </c>
      <c r="H8" s="10" t="n">
        <v>45659.37511574074</v>
      </c>
      <c r="I8" s="10" t="n">
        <v>45659.37511574074</v>
      </c>
      <c r="J8" s="10" t="n">
        <v>45659.37675925926</v>
      </c>
      <c r="K8" s="11" t="n">
        <v>0.001643518518518519</v>
      </c>
      <c r="L8" s="13" t="n"/>
    </row>
    <row r="9">
      <c r="A9" s="3" t="inlineStr">
        <is>
          <t>ArrivalDrive</t>
        </is>
      </c>
      <c r="B9" s="3" t="inlineStr">
        <is>
          <t>Act_ARRD_10008_102903_703</t>
        </is>
      </c>
      <c r="C9" s="3" t="inlineStr">
        <is>
          <t>10008</t>
        </is>
      </c>
      <c r="D9" s="9" t="n">
        <v>387.1</v>
      </c>
      <c r="E9" s="3" t="inlineStr">
        <is>
          <t>Entry gate</t>
        </is>
      </c>
      <c r="F9" s="3" t="inlineStr">
        <is>
          <t>703</t>
        </is>
      </c>
      <c r="G9" s="9" t="n">
        <v>766.25</v>
      </c>
      <c r="H9" s="10" t="n">
        <v>45659.43684027778</v>
      </c>
      <c r="I9" s="10" t="n">
        <v>45659.43684027778</v>
      </c>
      <c r="J9" s="10" t="n">
        <v>45659.4393287037</v>
      </c>
      <c r="K9" s="11" t="n">
        <v>0.002488425925925926</v>
      </c>
      <c r="L9" s="13" t="n"/>
    </row>
    <row r="10">
      <c r="A10" s="3" t="inlineStr">
        <is>
          <t>ArrivalDrive</t>
        </is>
      </c>
      <c r="B10" s="3" t="inlineStr">
        <is>
          <t>Act_ARRD_10009_143420_703</t>
        </is>
      </c>
      <c r="C10" s="3" t="inlineStr">
        <is>
          <t>10009</t>
        </is>
      </c>
      <c r="D10" s="9" t="n">
        <v>287.1</v>
      </c>
      <c r="E10" s="3" t="inlineStr">
        <is>
          <t>Entry gate</t>
        </is>
      </c>
      <c r="F10" s="3" t="inlineStr">
        <is>
          <t>703</t>
        </is>
      </c>
      <c r="G10" s="9" t="n">
        <v>766.25</v>
      </c>
      <c r="H10" s="10" t="n">
        <v>45659.60717592593</v>
      </c>
      <c r="I10" s="10" t="n">
        <v>45659.60717592593</v>
      </c>
      <c r="J10" s="10" t="n">
        <v>45659.60943287037</v>
      </c>
      <c r="K10" s="11" t="n">
        <v>0.002256944444444444</v>
      </c>
      <c r="L10" s="13" t="n"/>
    </row>
    <row r="11">
      <c r="A11" s="3" t="inlineStr">
        <is>
          <t>ArrivalDrive</t>
        </is>
      </c>
      <c r="B11" s="3" t="inlineStr">
        <is>
          <t>Act_ARRD_10010_145932_727</t>
        </is>
      </c>
      <c r="C11" s="3" t="inlineStr">
        <is>
          <t>10010</t>
        </is>
      </c>
      <c r="D11" s="9" t="n">
        <v>571.9</v>
      </c>
      <c r="E11" s="3" t="inlineStr">
        <is>
          <t>Entry gate</t>
        </is>
      </c>
      <c r="F11" s="3" t="inlineStr">
        <is>
          <t>727</t>
        </is>
      </c>
      <c r="G11" s="9" t="n">
        <v>556.2</v>
      </c>
      <c r="H11" s="10" t="n">
        <v>45659.62467592592</v>
      </c>
      <c r="I11" s="10" t="n">
        <v>45659.62467592592</v>
      </c>
      <c r="J11" s="10" t="n">
        <v>45659.62715277778</v>
      </c>
      <c r="K11" s="11" t="n">
        <v>0.002476851851851852</v>
      </c>
      <c r="L11" s="13" t="n"/>
    </row>
    <row r="12">
      <c r="A12" s="3" t="inlineStr">
        <is>
          <t>ArrivalDrive</t>
        </is>
      </c>
      <c r="B12" s="3" t="inlineStr">
        <is>
          <t>Act_ARRD_10011_150203_703</t>
        </is>
      </c>
      <c r="C12" s="3" t="inlineStr">
        <is>
          <t>10011</t>
        </is>
      </c>
      <c r="D12" s="9" t="n">
        <v>267.6</v>
      </c>
      <c r="E12" s="3" t="inlineStr">
        <is>
          <t>Entry gate</t>
        </is>
      </c>
      <c r="F12" s="3" t="inlineStr">
        <is>
          <t>703</t>
        </is>
      </c>
      <c r="G12" s="9" t="n">
        <v>766.25</v>
      </c>
      <c r="H12" s="10" t="n">
        <v>45659.62642361111</v>
      </c>
      <c r="I12" s="10" t="n">
        <v>45659.62642361111</v>
      </c>
      <c r="J12" s="10" t="n">
        <v>45659.62863425926</v>
      </c>
      <c r="K12" s="11" t="n">
        <v>0.002210648148148148</v>
      </c>
      <c r="L12" s="13" t="n"/>
    </row>
    <row r="13">
      <c r="A13" s="3" t="inlineStr">
        <is>
          <t>ArrivalDrive</t>
        </is>
      </c>
      <c r="B13" s="3" t="inlineStr">
        <is>
          <t>Act_ARRD_10012_174135_727</t>
        </is>
      </c>
      <c r="C13" s="3" t="inlineStr">
        <is>
          <t>10012</t>
        </is>
      </c>
      <c r="D13" s="9" t="n">
        <v>581</v>
      </c>
      <c r="E13" s="3" t="inlineStr">
        <is>
          <t>Entry gate</t>
        </is>
      </c>
      <c r="F13" s="3" t="inlineStr">
        <is>
          <t>727</t>
        </is>
      </c>
      <c r="G13" s="9" t="n">
        <v>556.2</v>
      </c>
      <c r="H13" s="10" t="n">
        <v>45659.73721064815</v>
      </c>
      <c r="I13" s="10" t="n">
        <v>45659.73721064815</v>
      </c>
      <c r="J13" s="10" t="n">
        <v>45659.73971064815</v>
      </c>
      <c r="K13" s="11" t="n">
        <v>0.0025</v>
      </c>
      <c r="L13" s="13" t="n"/>
    </row>
    <row r="14">
      <c r="A14" s="3" t="inlineStr">
        <is>
          <t>ArrivalDrive</t>
        </is>
      </c>
      <c r="B14" s="3" t="inlineStr">
        <is>
          <t>Act_ARRD_10013_200722_703</t>
        </is>
      </c>
      <c r="C14" s="3" t="inlineStr">
        <is>
          <t>10013</t>
        </is>
      </c>
      <c r="D14" s="9" t="n">
        <v>350.4</v>
      </c>
      <c r="E14" s="3" t="inlineStr">
        <is>
          <t>Entry gate</t>
        </is>
      </c>
      <c r="F14" s="3" t="inlineStr">
        <is>
          <t>703</t>
        </is>
      </c>
      <c r="G14" s="9" t="n">
        <v>766.25</v>
      </c>
      <c r="H14" s="10" t="n">
        <v>45659.83844907407</v>
      </c>
      <c r="I14" s="10" t="n">
        <v>45659.83844907407</v>
      </c>
      <c r="J14" s="10" t="n">
        <v>45659.84085648148</v>
      </c>
      <c r="K14" s="11" t="n">
        <v>0.002407407407407408</v>
      </c>
      <c r="L14" s="13" t="n"/>
    </row>
    <row r="15">
      <c r="A15" s="3" t="inlineStr">
        <is>
          <t>ArrivalDrive</t>
        </is>
      </c>
      <c r="B15" s="3" t="inlineStr">
        <is>
          <t>Act_ARRD_10014_023916_703</t>
        </is>
      </c>
      <c r="C15" s="3" t="inlineStr">
        <is>
          <t>10014</t>
        </is>
      </c>
      <c r="D15" s="9" t="n">
        <v>140.4</v>
      </c>
      <c r="E15" s="3" t="inlineStr">
        <is>
          <t>Entry gate</t>
        </is>
      </c>
      <c r="F15" s="3" t="inlineStr">
        <is>
          <t>703</t>
        </is>
      </c>
      <c r="G15" s="9" t="n">
        <v>766.25</v>
      </c>
      <c r="H15" s="10" t="n">
        <v>45660.11060185185</v>
      </c>
      <c r="I15" s="10" t="n">
        <v>45660.11060185185</v>
      </c>
      <c r="J15" s="10" t="n">
        <v>45660.11252314815</v>
      </c>
      <c r="K15" s="11" t="n">
        <v>0.001921296296296296</v>
      </c>
      <c r="L15" s="13" t="n"/>
    </row>
    <row r="16">
      <c r="A16" s="3" t="inlineStr">
        <is>
          <t>ArrivalDrive</t>
        </is>
      </c>
      <c r="B16" s="3" t="inlineStr">
        <is>
          <t>Act_ARRD_10015_043353_703</t>
        </is>
      </c>
      <c r="C16" s="3" t="inlineStr">
        <is>
          <t>10015</t>
        </is>
      </c>
      <c r="D16" s="9" t="n">
        <v>497</v>
      </c>
      <c r="E16" s="3" t="inlineStr">
        <is>
          <t>Entry gate</t>
        </is>
      </c>
      <c r="F16" s="3" t="inlineStr">
        <is>
          <t>703</t>
        </is>
      </c>
      <c r="G16" s="9" t="n">
        <v>766.25</v>
      </c>
      <c r="H16" s="10" t="n">
        <v>45660.19019675926</v>
      </c>
      <c r="I16" s="10" t="n">
        <v>45660.19019675926</v>
      </c>
      <c r="J16" s="10" t="n">
        <v>45660.19293981481</v>
      </c>
      <c r="K16" s="11" t="n">
        <v>0.002743055555555555</v>
      </c>
      <c r="L16" s="13" t="n"/>
    </row>
    <row r="17">
      <c r="A17" s="3" t="inlineStr">
        <is>
          <t>ArrivalDrive</t>
        </is>
      </c>
      <c r="B17" s="3" t="inlineStr">
        <is>
          <t>Act_ARRD_10016_053328_703</t>
        </is>
      </c>
      <c r="C17" s="3" t="inlineStr">
        <is>
          <t>10016</t>
        </is>
      </c>
      <c r="D17" s="9" t="n">
        <v>412</v>
      </c>
      <c r="E17" s="3" t="inlineStr">
        <is>
          <t>Entry gate</t>
        </is>
      </c>
      <c r="F17" s="3" t="inlineStr">
        <is>
          <t>703</t>
        </is>
      </c>
      <c r="G17" s="9" t="n">
        <v>766.25</v>
      </c>
      <c r="H17" s="10" t="n">
        <v>45660.23157407407</v>
      </c>
      <c r="I17" s="10" t="n">
        <v>45660.23157407407</v>
      </c>
      <c r="J17" s="10" t="n">
        <v>45660.23412037037</v>
      </c>
      <c r="K17" s="11" t="n">
        <v>0.002546296296296297</v>
      </c>
      <c r="L17" s="13" t="n"/>
    </row>
    <row r="18">
      <c r="A18" s="3" t="inlineStr">
        <is>
          <t>ArrivalDrive</t>
        </is>
      </c>
      <c r="B18" s="3" t="inlineStr">
        <is>
          <t>Act_ARRD_10017_063132_703</t>
        </is>
      </c>
      <c r="C18" s="3" t="inlineStr">
        <is>
          <t>10017</t>
        </is>
      </c>
      <c r="D18" s="9" t="n">
        <v>297</v>
      </c>
      <c r="E18" s="3" t="inlineStr">
        <is>
          <t>Entry gate</t>
        </is>
      </c>
      <c r="F18" s="3" t="inlineStr">
        <is>
          <t>703</t>
        </is>
      </c>
      <c r="G18" s="9" t="n">
        <v>766.25</v>
      </c>
      <c r="H18" s="10" t="n">
        <v>45660.27189814814</v>
      </c>
      <c r="I18" s="10" t="n">
        <v>45660.27189814814</v>
      </c>
      <c r="J18" s="10" t="n">
        <v>45660.27417824074</v>
      </c>
      <c r="K18" s="11" t="n">
        <v>0.002280092592592593</v>
      </c>
      <c r="L18" s="13" t="n"/>
    </row>
    <row r="19">
      <c r="A19" s="3" t="inlineStr">
        <is>
          <t>ArrivalDrive</t>
        </is>
      </c>
      <c r="B19" s="3" t="inlineStr">
        <is>
          <t>Act_ARRD_10018_071446_703</t>
        </is>
      </c>
      <c r="C19" s="3" t="inlineStr">
        <is>
          <t>10018</t>
        </is>
      </c>
      <c r="D19" s="9" t="n">
        <v>306.7</v>
      </c>
      <c r="E19" s="3" t="inlineStr">
        <is>
          <t>Entry gate</t>
        </is>
      </c>
      <c r="F19" s="3" t="inlineStr">
        <is>
          <t>703</t>
        </is>
      </c>
      <c r="G19" s="9" t="n">
        <v>766.25</v>
      </c>
      <c r="H19" s="10" t="n">
        <v>45660.3019212963</v>
      </c>
      <c r="I19" s="10" t="n">
        <v>45660.3019212963</v>
      </c>
      <c r="J19" s="10" t="n">
        <v>45660.30422453704</v>
      </c>
      <c r="K19" s="11" t="n">
        <v>0.002303240740740741</v>
      </c>
      <c r="L19" s="13" t="n"/>
    </row>
    <row r="20">
      <c r="A20" s="3" t="inlineStr">
        <is>
          <t>ArrivalDrive</t>
        </is>
      </c>
      <c r="B20" s="3" t="inlineStr">
        <is>
          <t>Act_ARRD_10019_072641_727</t>
        </is>
      </c>
      <c r="C20" s="3" t="inlineStr">
        <is>
          <t>10019</t>
        </is>
      </c>
      <c r="D20" s="9" t="n">
        <v>256.9</v>
      </c>
      <c r="E20" s="3" t="inlineStr">
        <is>
          <t>Entry gate</t>
        </is>
      </c>
      <c r="F20" s="3" t="inlineStr">
        <is>
          <t>727</t>
        </is>
      </c>
      <c r="G20" s="9" t="n">
        <v>556.2</v>
      </c>
      <c r="H20" s="10" t="n">
        <v>45660.31019675926</v>
      </c>
      <c r="I20" s="10" t="n">
        <v>45660.31019675926</v>
      </c>
      <c r="J20" s="10" t="n">
        <v>45660.31194444445</v>
      </c>
      <c r="K20" s="11" t="n">
        <v>0.001747685185185185</v>
      </c>
      <c r="L20" s="13" t="n"/>
    </row>
    <row r="21">
      <c r="A21" s="3" t="inlineStr">
        <is>
          <t>ArrivalDrive</t>
        </is>
      </c>
      <c r="B21" s="3" t="inlineStr">
        <is>
          <t>Act_ARRD_10020_075718_703</t>
        </is>
      </c>
      <c r="C21" s="3" t="inlineStr">
        <is>
          <t>10020</t>
        </is>
      </c>
      <c r="D21" s="9" t="n">
        <v>396.6</v>
      </c>
      <c r="E21" s="3" t="inlineStr">
        <is>
          <t>Entry gate</t>
        </is>
      </c>
      <c r="F21" s="3" t="inlineStr">
        <is>
          <t>703</t>
        </is>
      </c>
      <c r="G21" s="9" t="n">
        <v>766.25</v>
      </c>
      <c r="H21" s="10" t="n">
        <v>45660.33145833333</v>
      </c>
      <c r="I21" s="10" t="n">
        <v>45660.33145833333</v>
      </c>
      <c r="J21" s="10" t="n">
        <v>45660.33396990741</v>
      </c>
      <c r="K21" s="11" t="n">
        <v>0.002511574074074074</v>
      </c>
      <c r="L21" s="13" t="n"/>
    </row>
    <row r="22">
      <c r="A22" s="3" t="inlineStr">
        <is>
          <t>ArrivalDrive</t>
        </is>
      </c>
      <c r="B22" s="3" t="inlineStr">
        <is>
          <t>Act_ARRD_10021_084554_703</t>
        </is>
      </c>
      <c r="C22" s="3" t="inlineStr">
        <is>
          <t>10021</t>
        </is>
      </c>
      <c r="D22" s="9" t="n">
        <v>279.1</v>
      </c>
      <c r="E22" s="3" t="inlineStr">
        <is>
          <t>Entry gate</t>
        </is>
      </c>
      <c r="F22" s="3" t="inlineStr">
        <is>
          <t>703</t>
        </is>
      </c>
      <c r="G22" s="9" t="n">
        <v>766.25</v>
      </c>
      <c r="H22" s="10" t="n">
        <v>45660.36520833334</v>
      </c>
      <c r="I22" s="10" t="n">
        <v>45660.36520833334</v>
      </c>
      <c r="J22" s="10" t="n">
        <v>45660.36744212963</v>
      </c>
      <c r="K22" s="11" t="n">
        <v>0.002233796296296296</v>
      </c>
      <c r="L22" s="13" t="n"/>
    </row>
    <row r="23">
      <c r="A23" s="3" t="inlineStr">
        <is>
          <t>ArrivalDrive</t>
        </is>
      </c>
      <c r="B23" s="3" t="inlineStr">
        <is>
          <t>Act_ARRD_10022_102943_703</t>
        </is>
      </c>
      <c r="C23" s="3" t="inlineStr">
        <is>
          <t>10022</t>
        </is>
      </c>
      <c r="D23" s="9" t="n">
        <v>433.7</v>
      </c>
      <c r="E23" s="3" t="inlineStr">
        <is>
          <t>Entry gate</t>
        </is>
      </c>
      <c r="F23" s="3" t="inlineStr">
        <is>
          <t>703</t>
        </is>
      </c>
      <c r="G23" s="9" t="n">
        <v>766.25</v>
      </c>
      <c r="H23" s="10" t="n">
        <v>45660.43730324074</v>
      </c>
      <c r="I23" s="10" t="n">
        <v>45660.43730324074</v>
      </c>
      <c r="J23" s="10" t="n">
        <v>45660.43989583333</v>
      </c>
      <c r="K23" s="11" t="n">
        <v>0.002592592592592593</v>
      </c>
      <c r="L23" s="13" t="n"/>
    </row>
    <row r="24">
      <c r="A24" s="3" t="inlineStr">
        <is>
          <t>ArrivalDrive</t>
        </is>
      </c>
      <c r="B24" s="3" t="inlineStr">
        <is>
          <t>Act_ARRD_10023_125900_703</t>
        </is>
      </c>
      <c r="C24" s="3" t="inlineStr">
        <is>
          <t>10023</t>
        </is>
      </c>
      <c r="D24" s="9" t="n">
        <v>278</v>
      </c>
      <c r="E24" s="3" t="inlineStr">
        <is>
          <t>Entry gate</t>
        </is>
      </c>
      <c r="F24" s="3" t="inlineStr">
        <is>
          <t>703</t>
        </is>
      </c>
      <c r="G24" s="9" t="n">
        <v>766.25</v>
      </c>
      <c r="H24" s="10" t="n">
        <v>45660.54097222222</v>
      </c>
      <c r="I24" s="10" t="n">
        <v>45660.54097222222</v>
      </c>
      <c r="J24" s="10" t="n">
        <v>45660.54320601852</v>
      </c>
      <c r="K24" s="11" t="n">
        <v>0.002233796296296296</v>
      </c>
      <c r="L24" s="13" t="n"/>
    </row>
    <row r="25">
      <c r="A25" s="3" t="inlineStr">
        <is>
          <t>ArrivalDrive</t>
        </is>
      </c>
      <c r="B25" s="3" t="inlineStr">
        <is>
          <t>Act_ARRD_10024_141909_731</t>
        </is>
      </c>
      <c r="C25" s="3" t="inlineStr">
        <is>
          <t>10024</t>
        </is>
      </c>
      <c r="D25" s="9" t="n">
        <v>63</v>
      </c>
      <c r="E25" s="3" t="inlineStr">
        <is>
          <t>Entry gate</t>
        </is>
      </c>
      <c r="F25" s="3" t="inlineStr">
        <is>
          <t>731</t>
        </is>
      </c>
      <c r="G25" s="9" t="n">
        <v>587.14</v>
      </c>
      <c r="H25" s="10" t="n">
        <v>45660.59663194444</v>
      </c>
      <c r="I25" s="10" t="n">
        <v>45660.59663194444</v>
      </c>
      <c r="J25" s="10" t="n">
        <v>45660.59799768519</v>
      </c>
      <c r="K25" s="11" t="n">
        <v>0.001365740740740741</v>
      </c>
      <c r="L25" s="13" t="n"/>
    </row>
    <row r="26">
      <c r="A26" s="3" t="inlineStr">
        <is>
          <t>ArrivalDrive</t>
        </is>
      </c>
      <c r="B26" s="3" t="inlineStr">
        <is>
          <t>Act_ARRD_10025_150338_703</t>
        </is>
      </c>
      <c r="C26" s="3" t="inlineStr">
        <is>
          <t>10025</t>
        </is>
      </c>
      <c r="D26" s="9" t="n">
        <v>399.8</v>
      </c>
      <c r="E26" s="3" t="inlineStr">
        <is>
          <t>Entry gate</t>
        </is>
      </c>
      <c r="F26" s="3" t="inlineStr">
        <is>
          <t>703</t>
        </is>
      </c>
      <c r="G26" s="9" t="n">
        <v>766.25</v>
      </c>
      <c r="H26" s="10" t="n">
        <v>45660.62752314815</v>
      </c>
      <c r="I26" s="10" t="n">
        <v>45660.62752314815</v>
      </c>
      <c r="J26" s="10" t="n">
        <v>45660.63003472222</v>
      </c>
      <c r="K26" s="11" t="n">
        <v>0.002511574074074074</v>
      </c>
      <c r="L26" s="13" t="n"/>
    </row>
    <row r="27">
      <c r="A27" s="3" t="inlineStr">
        <is>
          <t>ArrivalDrive</t>
        </is>
      </c>
      <c r="B27" s="3" t="inlineStr">
        <is>
          <t>Act_ARRD_10026_153433_731</t>
        </is>
      </c>
      <c r="C27" s="3" t="inlineStr">
        <is>
          <t>10026</t>
        </is>
      </c>
      <c r="D27" s="9" t="n">
        <v>63</v>
      </c>
      <c r="E27" s="3" t="inlineStr">
        <is>
          <t>Entry gate</t>
        </is>
      </c>
      <c r="F27" s="3" t="inlineStr">
        <is>
          <t>731</t>
        </is>
      </c>
      <c r="G27" s="9" t="n">
        <v>587.14</v>
      </c>
      <c r="H27" s="10" t="n">
        <v>45660.64899305555</v>
      </c>
      <c r="I27" s="10" t="n">
        <v>45660.64899305555</v>
      </c>
      <c r="J27" s="10" t="n">
        <v>45660.65035879629</v>
      </c>
      <c r="K27" s="11" t="n">
        <v>0.001365740740740741</v>
      </c>
      <c r="L27" s="13" t="n"/>
    </row>
    <row r="28">
      <c r="A28" s="3" t="inlineStr">
        <is>
          <t>ArrivalDrive</t>
        </is>
      </c>
      <c r="B28" s="3" t="inlineStr">
        <is>
          <t>Act_ARRD_10027_171118_703</t>
        </is>
      </c>
      <c r="C28" s="3" t="inlineStr">
        <is>
          <t>10027</t>
        </is>
      </c>
      <c r="D28" s="9" t="n">
        <v>278.9</v>
      </c>
      <c r="E28" s="3" t="inlineStr">
        <is>
          <t>Entry gate</t>
        </is>
      </c>
      <c r="F28" s="3" t="inlineStr">
        <is>
          <t>703</t>
        </is>
      </c>
      <c r="G28" s="9" t="n">
        <v>766.25</v>
      </c>
      <c r="H28" s="10" t="n">
        <v>45660.71618055556</v>
      </c>
      <c r="I28" s="10" t="n">
        <v>45660.71618055556</v>
      </c>
      <c r="J28" s="10" t="n">
        <v>45660.71841435185</v>
      </c>
      <c r="K28" s="11" t="n">
        <v>0.002233796296296296</v>
      </c>
      <c r="L28" s="13" t="n"/>
    </row>
    <row r="29">
      <c r="A29" s="3" t="inlineStr">
        <is>
          <t>ArrivalDrive</t>
        </is>
      </c>
      <c r="B29" s="3" t="inlineStr">
        <is>
          <t>Act_ARRD_10028_195943_725</t>
        </is>
      </c>
      <c r="C29" s="3" t="inlineStr">
        <is>
          <t>10028</t>
        </is>
      </c>
      <c r="D29" s="9" t="n">
        <v>595.9</v>
      </c>
      <c r="E29" s="3" t="inlineStr">
        <is>
          <t>Entry gate</t>
        </is>
      </c>
      <c r="F29" s="3" t="inlineStr">
        <is>
          <t>725</t>
        </is>
      </c>
      <c r="G29" s="9" t="n">
        <v>476.05</v>
      </c>
      <c r="H29" s="10" t="n">
        <v>45660.83313657407</v>
      </c>
      <c r="I29" s="10" t="n">
        <v>45660.83313657407</v>
      </c>
      <c r="J29" s="10" t="n">
        <v>45660.83549768518</v>
      </c>
      <c r="K29" s="11" t="n">
        <v>0.002361111111111111</v>
      </c>
      <c r="L29" s="13" t="n"/>
    </row>
    <row r="30">
      <c r="A30" s="3" t="inlineStr">
        <is>
          <t>ArrivalDrive</t>
        </is>
      </c>
      <c r="B30" s="3" t="inlineStr">
        <is>
          <t>Act_ARRD_10029_205423_727</t>
        </is>
      </c>
      <c r="C30" s="3" t="inlineStr">
        <is>
          <t>10029</t>
        </is>
      </c>
      <c r="D30" s="9" t="n">
        <v>541.1</v>
      </c>
      <c r="E30" s="3" t="inlineStr">
        <is>
          <t>Entry gate</t>
        </is>
      </c>
      <c r="F30" s="3" t="inlineStr">
        <is>
          <t>727</t>
        </is>
      </c>
      <c r="G30" s="9" t="n">
        <v>556.2</v>
      </c>
      <c r="H30" s="10" t="n">
        <v>45660.87109953703</v>
      </c>
      <c r="I30" s="10" t="n">
        <v>45660.87109953703</v>
      </c>
      <c r="J30" s="10" t="n">
        <v>45660.87350694444</v>
      </c>
      <c r="K30" s="11" t="n">
        <v>0.002407407407407408</v>
      </c>
      <c r="L30" s="13" t="n"/>
    </row>
    <row r="31">
      <c r="A31" s="3" t="inlineStr">
        <is>
          <t>ArrivalDrive</t>
        </is>
      </c>
      <c r="B31" s="3" t="inlineStr">
        <is>
          <t>Act_ARRD_10030_053841_703</t>
        </is>
      </c>
      <c r="C31" s="3" t="inlineStr">
        <is>
          <t>10030</t>
        </is>
      </c>
      <c r="D31" s="9" t="n">
        <v>295</v>
      </c>
      <c r="E31" s="3" t="inlineStr">
        <is>
          <t>Entry gate</t>
        </is>
      </c>
      <c r="F31" s="3" t="inlineStr">
        <is>
          <t>703</t>
        </is>
      </c>
      <c r="G31" s="9" t="n">
        <v>766.25</v>
      </c>
      <c r="H31" s="10" t="n">
        <v>45661.23519675926</v>
      </c>
      <c r="I31" s="10" t="n">
        <v>45661.23519675926</v>
      </c>
      <c r="J31" s="10" t="n">
        <v>45661.23746527778</v>
      </c>
      <c r="K31" s="11" t="n">
        <v>0.002268518518518519</v>
      </c>
      <c r="L31" s="13" t="n"/>
    </row>
    <row r="32">
      <c r="A32" s="3" t="inlineStr">
        <is>
          <t>ArrivalDrive</t>
        </is>
      </c>
      <c r="B32" s="3" t="inlineStr">
        <is>
          <t>Act_ARRD_10031_173202_727</t>
        </is>
      </c>
      <c r="C32" s="3" t="inlineStr">
        <is>
          <t>10031</t>
        </is>
      </c>
      <c r="D32" s="9" t="n">
        <v>535.3</v>
      </c>
      <c r="E32" s="3" t="inlineStr">
        <is>
          <t>Entry gate</t>
        </is>
      </c>
      <c r="F32" s="3" t="inlineStr">
        <is>
          <t>727</t>
        </is>
      </c>
      <c r="G32" s="9" t="n">
        <v>556.2</v>
      </c>
      <c r="H32" s="10" t="n">
        <v>45662.7305787037</v>
      </c>
      <c r="I32" s="10" t="n">
        <v>45662.7305787037</v>
      </c>
      <c r="J32" s="10" t="n">
        <v>45662.73297453704</v>
      </c>
      <c r="K32" s="11" t="n">
        <v>0.002395833333333333</v>
      </c>
      <c r="L32" s="13" t="n"/>
    </row>
    <row r="33">
      <c r="A33" s="3" t="inlineStr">
        <is>
          <t>ArrivalDrive</t>
        </is>
      </c>
      <c r="B33" s="3" t="inlineStr">
        <is>
          <t>Act_ARRD_10032_200618_727</t>
        </is>
      </c>
      <c r="C33" s="3" t="inlineStr">
        <is>
          <t>10032</t>
        </is>
      </c>
      <c r="D33" s="9" t="n">
        <v>590.8</v>
      </c>
      <c r="E33" s="3" t="inlineStr">
        <is>
          <t>Entry gate</t>
        </is>
      </c>
      <c r="F33" s="3" t="inlineStr">
        <is>
          <t>727</t>
        </is>
      </c>
      <c r="G33" s="9" t="n">
        <v>556.2</v>
      </c>
      <c r="H33" s="10" t="n">
        <v>45662.83770833333</v>
      </c>
      <c r="I33" s="10" t="n">
        <v>45662.83770833333</v>
      </c>
      <c r="J33" s="10" t="n">
        <v>45662.84023148148</v>
      </c>
      <c r="K33" s="11" t="n">
        <v>0.002523148148148148</v>
      </c>
      <c r="L33" s="13" t="n"/>
    </row>
    <row r="34">
      <c r="A34" s="3" t="inlineStr">
        <is>
          <t>ArrivalDrive</t>
        </is>
      </c>
      <c r="B34" s="3" t="inlineStr">
        <is>
          <t>Act_ARRD_10033_173858_703</t>
        </is>
      </c>
      <c r="C34" s="3" t="inlineStr">
        <is>
          <t>10033</t>
        </is>
      </c>
      <c r="D34" s="9" t="n">
        <v>241.4</v>
      </c>
      <c r="E34" s="3" t="inlineStr">
        <is>
          <t>Entry gate</t>
        </is>
      </c>
      <c r="F34" s="3" t="inlineStr">
        <is>
          <t>703</t>
        </is>
      </c>
      <c r="G34" s="9" t="n">
        <v>766.25</v>
      </c>
      <c r="H34" s="10" t="n">
        <v>45663.73539351852</v>
      </c>
      <c r="I34" s="10" t="n">
        <v>45663.73539351852</v>
      </c>
      <c r="J34" s="10" t="n">
        <v>45663.7375462963</v>
      </c>
      <c r="K34" s="11" t="n">
        <v>0.002152777777777778</v>
      </c>
      <c r="L34" s="13" t="n"/>
    </row>
    <row r="35">
      <c r="A35" s="3" t="inlineStr">
        <is>
          <t>ArrivalDrive</t>
        </is>
      </c>
      <c r="B35" s="3" t="inlineStr">
        <is>
          <t>Act_ARRD_10034_024250_703</t>
        </is>
      </c>
      <c r="C35" s="3" t="inlineStr">
        <is>
          <t>10034</t>
        </is>
      </c>
      <c r="D35" s="9" t="n">
        <v>291.2</v>
      </c>
      <c r="E35" s="3" t="inlineStr">
        <is>
          <t>Entry gate</t>
        </is>
      </c>
      <c r="F35" s="3" t="inlineStr">
        <is>
          <t>703</t>
        </is>
      </c>
      <c r="G35" s="9" t="n">
        <v>766.25</v>
      </c>
      <c r="H35" s="10" t="n">
        <v>45664.1130787037</v>
      </c>
      <c r="I35" s="10" t="n">
        <v>45664.1130787037</v>
      </c>
      <c r="J35" s="10" t="n">
        <v>45664.11534722222</v>
      </c>
      <c r="K35" s="11" t="n">
        <v>0.002268518518518519</v>
      </c>
      <c r="L35" s="13" t="n"/>
    </row>
    <row r="36">
      <c r="A36" s="3" t="inlineStr">
        <is>
          <t>ArrivalDrive</t>
        </is>
      </c>
      <c r="B36" s="3" t="inlineStr">
        <is>
          <t>Act_ARRD_10035_063013_703</t>
        </is>
      </c>
      <c r="C36" s="3" t="inlineStr">
        <is>
          <t>10035</t>
        </is>
      </c>
      <c r="D36" s="9" t="n">
        <v>297</v>
      </c>
      <c r="E36" s="3" t="inlineStr">
        <is>
          <t>Entry gate</t>
        </is>
      </c>
      <c r="F36" s="3" t="inlineStr">
        <is>
          <t>703</t>
        </is>
      </c>
      <c r="G36" s="9" t="n">
        <v>766.25</v>
      </c>
      <c r="H36" s="10" t="n">
        <v>45664.2709837963</v>
      </c>
      <c r="I36" s="10" t="n">
        <v>45664.2709837963</v>
      </c>
      <c r="J36" s="10" t="n">
        <v>45664.27326388889</v>
      </c>
      <c r="K36" s="11" t="n">
        <v>0.002280092592592593</v>
      </c>
      <c r="L36" s="13" t="n"/>
    </row>
    <row r="37">
      <c r="A37" s="3" t="inlineStr">
        <is>
          <t>ArrivalDrive</t>
        </is>
      </c>
      <c r="B37" s="3" t="inlineStr">
        <is>
          <t>Act_ARRD_10036_071436_703</t>
        </is>
      </c>
      <c r="C37" s="3" t="inlineStr">
        <is>
          <t>10036</t>
        </is>
      </c>
      <c r="D37" s="9" t="n">
        <v>268.5</v>
      </c>
      <c r="E37" s="3" t="inlineStr">
        <is>
          <t>Entry gate</t>
        </is>
      </c>
      <c r="F37" s="3" t="inlineStr">
        <is>
          <t>703</t>
        </is>
      </c>
      <c r="G37" s="9" t="n">
        <v>766.25</v>
      </c>
      <c r="H37" s="10" t="n">
        <v>45664.30180555556</v>
      </c>
      <c r="I37" s="10" t="n">
        <v>45664.30180555556</v>
      </c>
      <c r="J37" s="10" t="n">
        <v>45664.30401620371</v>
      </c>
      <c r="K37" s="11" t="n">
        <v>0.002210648148148148</v>
      </c>
      <c r="L37" s="13" t="n"/>
    </row>
    <row r="38">
      <c r="A38" s="3" t="inlineStr">
        <is>
          <t>ArrivalDrive</t>
        </is>
      </c>
      <c r="B38" s="3" t="inlineStr">
        <is>
          <t>Act_ARRD_10037_072044_727</t>
        </is>
      </c>
      <c r="C38" s="3" t="inlineStr">
        <is>
          <t>10037</t>
        </is>
      </c>
      <c r="D38" s="9" t="n">
        <v>396.6</v>
      </c>
      <c r="E38" s="3" t="inlineStr">
        <is>
          <t>Entry gate</t>
        </is>
      </c>
      <c r="F38" s="3" t="inlineStr">
        <is>
          <t>727</t>
        </is>
      </c>
      <c r="G38" s="9" t="n">
        <v>556.2</v>
      </c>
      <c r="H38" s="10" t="n">
        <v>45664.30606481482</v>
      </c>
      <c r="I38" s="10" t="n">
        <v>45664.30606481482</v>
      </c>
      <c r="J38" s="10" t="n">
        <v>45664.30813657407</v>
      </c>
      <c r="K38" s="11" t="n">
        <v>0.002071759259259259</v>
      </c>
      <c r="L38" s="13" t="n"/>
    </row>
    <row r="39">
      <c r="A39" s="3" t="inlineStr">
        <is>
          <t>ArrivalDrive</t>
        </is>
      </c>
      <c r="B39" s="3" t="inlineStr">
        <is>
          <t>Act_ARRD_10038_072439_725</t>
        </is>
      </c>
      <c r="C39" s="3" t="inlineStr">
        <is>
          <t>10038</t>
        </is>
      </c>
      <c r="D39" s="9" t="n">
        <v>189.9</v>
      </c>
      <c r="E39" s="3" t="inlineStr">
        <is>
          <t>Entry gate</t>
        </is>
      </c>
      <c r="F39" s="3" t="inlineStr">
        <is>
          <t>725</t>
        </is>
      </c>
      <c r="G39" s="9" t="n">
        <v>476.05</v>
      </c>
      <c r="H39" s="10" t="n">
        <v>45664.30878472222</v>
      </c>
      <c r="I39" s="10" t="n">
        <v>45664.30878472222</v>
      </c>
      <c r="J39" s="10" t="n">
        <v>45664.31020833334</v>
      </c>
      <c r="K39" s="11" t="n">
        <v>0.001423611111111111</v>
      </c>
      <c r="L39" s="13" t="n"/>
    </row>
    <row r="40">
      <c r="A40" s="3" t="inlineStr">
        <is>
          <t>ArrivalDrive</t>
        </is>
      </c>
      <c r="B40" s="3" t="inlineStr">
        <is>
          <t>Act_ARRD_10039_081616_703</t>
        </is>
      </c>
      <c r="C40" s="3" t="inlineStr">
        <is>
          <t>10039</t>
        </is>
      </c>
      <c r="D40" s="9" t="n">
        <v>393.9</v>
      </c>
      <c r="E40" s="3" t="inlineStr">
        <is>
          <t>Entry gate</t>
        </is>
      </c>
      <c r="F40" s="3" t="inlineStr">
        <is>
          <t>703</t>
        </is>
      </c>
      <c r="G40" s="9" t="n">
        <v>766.25</v>
      </c>
      <c r="H40" s="10" t="n">
        <v>45664.34462962963</v>
      </c>
      <c r="I40" s="10" t="n">
        <v>45664.34462962963</v>
      </c>
      <c r="J40" s="10" t="n">
        <v>45664.34712962963</v>
      </c>
      <c r="K40" s="11" t="n">
        <v>0.0025</v>
      </c>
      <c r="L40" s="13" t="n"/>
    </row>
    <row r="41">
      <c r="A41" s="3" t="inlineStr">
        <is>
          <t>ArrivalDrive</t>
        </is>
      </c>
      <c r="B41" s="3" t="inlineStr">
        <is>
          <t>Act_ARRD_10040_083647_727</t>
        </is>
      </c>
      <c r="C41" s="3" t="inlineStr">
        <is>
          <t>10040</t>
        </is>
      </c>
      <c r="D41" s="9" t="n">
        <v>297</v>
      </c>
      <c r="E41" s="3" t="inlineStr">
        <is>
          <t>Entry gate</t>
        </is>
      </c>
      <c r="F41" s="3" t="inlineStr">
        <is>
          <t>727</t>
        </is>
      </c>
      <c r="G41" s="9" t="n">
        <v>556.2</v>
      </c>
      <c r="H41" s="10" t="n">
        <v>45664.35887731481</v>
      </c>
      <c r="I41" s="10" t="n">
        <v>45664.35887731481</v>
      </c>
      <c r="J41" s="10" t="n">
        <v>45664.36071759259</v>
      </c>
      <c r="K41" s="11" t="n">
        <v>0.001840277777777778</v>
      </c>
      <c r="L41" s="13" t="n"/>
    </row>
    <row r="42">
      <c r="A42" s="3" t="inlineStr">
        <is>
          <t>ArrivalDrive</t>
        </is>
      </c>
      <c r="B42" s="3" t="inlineStr">
        <is>
          <t>Act_ARRD_10041_103151_703</t>
        </is>
      </c>
      <c r="C42" s="3" t="inlineStr">
        <is>
          <t>10041</t>
        </is>
      </c>
      <c r="D42" s="9" t="n">
        <v>448.6</v>
      </c>
      <c r="E42" s="3" t="inlineStr">
        <is>
          <t>Entry gate</t>
        </is>
      </c>
      <c r="F42" s="3" t="inlineStr">
        <is>
          <t>703</t>
        </is>
      </c>
      <c r="G42" s="9" t="n">
        <v>766.25</v>
      </c>
      <c r="H42" s="10" t="n">
        <v>45664.43878472222</v>
      </c>
      <c r="I42" s="10" t="n">
        <v>45664.43878472222</v>
      </c>
      <c r="J42" s="10" t="n">
        <v>45664.44141203703</v>
      </c>
      <c r="K42" s="11" t="n">
        <v>0.002627314814814815</v>
      </c>
      <c r="L42" s="13" t="n"/>
    </row>
    <row r="43">
      <c r="A43" s="3" t="inlineStr">
        <is>
          <t>ArrivalDrive</t>
        </is>
      </c>
      <c r="B43" s="3" t="inlineStr">
        <is>
          <t>Act_ARRD_10042_125933_703</t>
        </is>
      </c>
      <c r="C43" s="3" t="inlineStr">
        <is>
          <t>10042</t>
        </is>
      </c>
      <c r="D43" s="9" t="n">
        <v>192.5</v>
      </c>
      <c r="E43" s="3" t="inlineStr">
        <is>
          <t>Entry gate</t>
        </is>
      </c>
      <c r="F43" s="3" t="inlineStr">
        <is>
          <t>703</t>
        </is>
      </c>
      <c r="G43" s="9" t="n">
        <v>766.25</v>
      </c>
      <c r="H43" s="10" t="n">
        <v>45664.54135416666</v>
      </c>
      <c r="I43" s="10" t="n">
        <v>45664.54135416666</v>
      </c>
      <c r="J43" s="10" t="n">
        <v>45664.5433912037</v>
      </c>
      <c r="K43" s="11" t="n">
        <v>0.002037037037037037</v>
      </c>
      <c r="L43" s="13" t="n"/>
    </row>
    <row r="44">
      <c r="A44" s="3" t="inlineStr">
        <is>
          <t>ArrivalDrive</t>
        </is>
      </c>
      <c r="B44" s="3" t="inlineStr">
        <is>
          <t>Act_ARRD_10043_141400_703</t>
        </is>
      </c>
      <c r="C44" s="3" t="inlineStr">
        <is>
          <t>10043</t>
        </is>
      </c>
      <c r="D44" s="9" t="n">
        <v>398</v>
      </c>
      <c r="E44" s="3" t="inlineStr">
        <is>
          <t>Entry gate</t>
        </is>
      </c>
      <c r="F44" s="3" t="inlineStr">
        <is>
          <t>703</t>
        </is>
      </c>
      <c r="G44" s="9" t="n">
        <v>766.25</v>
      </c>
      <c r="H44" s="10" t="n">
        <v>45664.59305555555</v>
      </c>
      <c r="I44" s="10" t="n">
        <v>45664.59305555555</v>
      </c>
      <c r="J44" s="10" t="n">
        <v>45664.59556712963</v>
      </c>
      <c r="K44" s="11" t="n">
        <v>0.002511574074074074</v>
      </c>
      <c r="L44" s="13" t="n"/>
    </row>
    <row r="45">
      <c r="A45" s="3" t="inlineStr">
        <is>
          <t>ArrivalDrive</t>
        </is>
      </c>
      <c r="B45" s="3" t="inlineStr">
        <is>
          <t>Act_ARRD_10044_145836_703</t>
        </is>
      </c>
      <c r="C45" s="3" t="inlineStr">
        <is>
          <t>10044</t>
        </is>
      </c>
      <c r="D45" s="9" t="n">
        <v>321.1</v>
      </c>
      <c r="E45" s="3" t="inlineStr">
        <is>
          <t>Entry gate</t>
        </is>
      </c>
      <c r="F45" s="3" t="inlineStr">
        <is>
          <t>703</t>
        </is>
      </c>
      <c r="G45" s="9" t="n">
        <v>766.25</v>
      </c>
      <c r="H45" s="10" t="n">
        <v>45664.62402777778</v>
      </c>
      <c r="I45" s="10" t="n">
        <v>45664.62402777778</v>
      </c>
      <c r="J45" s="10" t="n">
        <v>45664.62636574074</v>
      </c>
      <c r="K45" s="11" t="n">
        <v>0.002337962962962963</v>
      </c>
      <c r="L45" s="13" t="n"/>
    </row>
    <row r="46">
      <c r="A46" s="3" t="inlineStr">
        <is>
          <t>ArrivalDrive</t>
        </is>
      </c>
      <c r="B46" s="3" t="inlineStr">
        <is>
          <t>Act_ARRD_10045_152128_727</t>
        </is>
      </c>
      <c r="C46" s="3" t="inlineStr">
        <is>
          <t>10045</t>
        </is>
      </c>
      <c r="D46" s="9" t="n">
        <v>393.5</v>
      </c>
      <c r="E46" s="3" t="inlineStr">
        <is>
          <t>Entry gate</t>
        </is>
      </c>
      <c r="F46" s="3" t="inlineStr">
        <is>
          <t>727</t>
        </is>
      </c>
      <c r="G46" s="9" t="n">
        <v>556.2</v>
      </c>
      <c r="H46" s="10" t="n">
        <v>45664.63990740741</v>
      </c>
      <c r="I46" s="10" t="n">
        <v>45664.63990740741</v>
      </c>
      <c r="J46" s="10" t="n">
        <v>45664.64196759259</v>
      </c>
      <c r="K46" s="11" t="n">
        <v>0.002060185185185185</v>
      </c>
      <c r="L46" s="13" t="n"/>
    </row>
    <row r="47">
      <c r="A47" s="3" t="inlineStr">
        <is>
          <t>ArrivalDrive</t>
        </is>
      </c>
      <c r="B47" s="3" t="inlineStr">
        <is>
          <t>Act_ARRD_10046_160039_703</t>
        </is>
      </c>
      <c r="C47" s="3" t="inlineStr">
        <is>
          <t>10046</t>
        </is>
      </c>
      <c r="D47" s="9" t="n">
        <v>110.3</v>
      </c>
      <c r="E47" s="3" t="inlineStr">
        <is>
          <t>Entry gate</t>
        </is>
      </c>
      <c r="F47" s="3" t="inlineStr">
        <is>
          <t>703</t>
        </is>
      </c>
      <c r="G47" s="9" t="n">
        <v>766.25</v>
      </c>
      <c r="H47" s="10" t="n">
        <v>45664.66711805556</v>
      </c>
      <c r="I47" s="10" t="n">
        <v>45664.66711805556</v>
      </c>
      <c r="J47" s="10" t="n">
        <v>45664.66895833334</v>
      </c>
      <c r="K47" s="11" t="n">
        <v>0.001840277777777778</v>
      </c>
      <c r="L47" s="13" t="n"/>
    </row>
    <row r="48">
      <c r="A48" s="3" t="inlineStr">
        <is>
          <t>ArrivalDrive</t>
        </is>
      </c>
      <c r="B48" s="3" t="inlineStr">
        <is>
          <t>Act_ARRD_10047_172029_703</t>
        </is>
      </c>
      <c r="C48" s="3" t="inlineStr">
        <is>
          <t>10047</t>
        </is>
      </c>
      <c r="D48" s="9" t="n">
        <v>424.5</v>
      </c>
      <c r="E48" s="3" t="inlineStr">
        <is>
          <t>Entry gate</t>
        </is>
      </c>
      <c r="F48" s="3" t="inlineStr">
        <is>
          <t>703</t>
        </is>
      </c>
      <c r="G48" s="9" t="n">
        <v>766.25</v>
      </c>
      <c r="H48" s="10" t="n">
        <v>45664.72255787037</v>
      </c>
      <c r="I48" s="10" t="n">
        <v>45664.72255787037</v>
      </c>
      <c r="J48" s="10" t="n">
        <v>45664.72512731481</v>
      </c>
      <c r="K48" s="11" t="n">
        <v>0.002569444444444445</v>
      </c>
      <c r="L48" s="13" t="n"/>
    </row>
    <row r="49">
      <c r="A49" s="3" t="inlineStr">
        <is>
          <t>ArrivalDrive</t>
        </is>
      </c>
      <c r="B49" s="3" t="inlineStr">
        <is>
          <t>Act_ARRD_10048_180408_727</t>
        </is>
      </c>
      <c r="C49" s="3" t="inlineStr">
        <is>
          <t>10048</t>
        </is>
      </c>
      <c r="D49" s="9" t="n">
        <v>212</v>
      </c>
      <c r="E49" s="3" t="inlineStr">
        <is>
          <t>Entry gate</t>
        </is>
      </c>
      <c r="F49" s="3" t="inlineStr">
        <is>
          <t>727</t>
        </is>
      </c>
      <c r="G49" s="9" t="n">
        <v>556.2</v>
      </c>
      <c r="H49" s="10" t="n">
        <v>45664.75287037037</v>
      </c>
      <c r="I49" s="10" t="n">
        <v>45664.75287037037</v>
      </c>
      <c r="J49" s="10" t="n">
        <v>45664.75451388889</v>
      </c>
      <c r="K49" s="11" t="n">
        <v>0.001643518518518519</v>
      </c>
      <c r="L49" s="13" t="n"/>
    </row>
    <row r="50">
      <c r="A50" s="3" t="inlineStr">
        <is>
          <t>ArrivalDrive</t>
        </is>
      </c>
      <c r="B50" s="3" t="inlineStr">
        <is>
          <t>Act_ARRD_10049_210022_703</t>
        </is>
      </c>
      <c r="C50" s="3" t="inlineStr">
        <is>
          <t>10049</t>
        </is>
      </c>
      <c r="D50" s="9" t="n">
        <v>389.1</v>
      </c>
      <c r="E50" s="3" t="inlineStr">
        <is>
          <t>Entry gate</t>
        </is>
      </c>
      <c r="F50" s="3" t="inlineStr">
        <is>
          <t>703</t>
        </is>
      </c>
      <c r="G50" s="9" t="n">
        <v>766.25</v>
      </c>
      <c r="H50" s="10" t="n">
        <v>45664.87525462963</v>
      </c>
      <c r="I50" s="10" t="n">
        <v>45664.87525462963</v>
      </c>
      <c r="J50" s="10" t="n">
        <v>45664.87774305556</v>
      </c>
      <c r="K50" s="11" t="n">
        <v>0.002488425925925926</v>
      </c>
      <c r="L50" s="13" t="n"/>
    </row>
    <row r="51">
      <c r="A51" s="3" t="inlineStr">
        <is>
          <t>ArrivalDrive</t>
        </is>
      </c>
      <c r="B51" s="3" t="inlineStr">
        <is>
          <t>Act_ARRD_10050_024330_703</t>
        </is>
      </c>
      <c r="C51" s="3" t="inlineStr">
        <is>
          <t>10050</t>
        </is>
      </c>
      <c r="D51" s="9" t="n">
        <v>325.2</v>
      </c>
      <c r="E51" s="3" t="inlineStr">
        <is>
          <t>Entry gate</t>
        </is>
      </c>
      <c r="F51" s="3" t="inlineStr">
        <is>
          <t>703</t>
        </is>
      </c>
      <c r="G51" s="9" t="n">
        <v>766.25</v>
      </c>
      <c r="H51" s="10" t="n">
        <v>45665.11354166667</v>
      </c>
      <c r="I51" s="10" t="n">
        <v>45665.11354166667</v>
      </c>
      <c r="J51" s="10" t="n">
        <v>45665.11587962963</v>
      </c>
      <c r="K51" s="11" t="n">
        <v>0.002337962962962963</v>
      </c>
      <c r="L51" s="13" t="n"/>
    </row>
    <row r="52">
      <c r="A52" s="3" t="inlineStr">
        <is>
          <t>ArrivalDrive</t>
        </is>
      </c>
      <c r="B52" s="3" t="inlineStr">
        <is>
          <t>Act_ARRD_10051_034546_703</t>
        </is>
      </c>
      <c r="C52" s="3" t="inlineStr">
        <is>
          <t>10051</t>
        </is>
      </c>
      <c r="D52" s="9" t="n">
        <v>514.3</v>
      </c>
      <c r="E52" s="3" t="inlineStr">
        <is>
          <t>Entry gate</t>
        </is>
      </c>
      <c r="F52" s="3" t="inlineStr">
        <is>
          <t>703</t>
        </is>
      </c>
      <c r="G52" s="9" t="n">
        <v>766.25</v>
      </c>
      <c r="H52" s="10" t="n">
        <v>45665.15678240741</v>
      </c>
      <c r="I52" s="10" t="n">
        <v>45665.15678240741</v>
      </c>
      <c r="J52" s="10" t="n">
        <v>45665.15956018519</v>
      </c>
      <c r="K52" s="11" t="n">
        <v>0.002777777777777778</v>
      </c>
      <c r="L52" s="13" t="n"/>
    </row>
    <row r="53">
      <c r="A53" s="3" t="inlineStr">
        <is>
          <t>ArrivalDrive</t>
        </is>
      </c>
      <c r="B53" s="3" t="inlineStr">
        <is>
          <t>Act_ARRD_10052_060114_703</t>
        </is>
      </c>
      <c r="C53" s="3" t="inlineStr">
        <is>
          <t>10052</t>
        </is>
      </c>
      <c r="D53" s="9" t="n">
        <v>297</v>
      </c>
      <c r="E53" s="3" t="inlineStr">
        <is>
          <t>Entry gate</t>
        </is>
      </c>
      <c r="F53" s="3" t="inlineStr">
        <is>
          <t>703</t>
        </is>
      </c>
      <c r="G53" s="9" t="n">
        <v>766.25</v>
      </c>
      <c r="H53" s="10" t="n">
        <v>45665.25085648148</v>
      </c>
      <c r="I53" s="10" t="n">
        <v>45665.25085648148</v>
      </c>
      <c r="J53" s="10" t="n">
        <v>45665.25313657407</v>
      </c>
      <c r="K53" s="11" t="n">
        <v>0.002280092592592593</v>
      </c>
      <c r="L53" s="13" t="n"/>
    </row>
    <row r="54">
      <c r="A54" s="3" t="inlineStr">
        <is>
          <t>ArrivalDrive</t>
        </is>
      </c>
      <c r="B54" s="3" t="inlineStr">
        <is>
          <t>Act_ARRD_10053_071621_727</t>
        </is>
      </c>
      <c r="C54" s="3" t="inlineStr">
        <is>
          <t>10053</t>
        </is>
      </c>
      <c r="D54" s="9" t="n">
        <v>572</v>
      </c>
      <c r="E54" s="3" t="inlineStr">
        <is>
          <t>Entry gate</t>
        </is>
      </c>
      <c r="F54" s="3" t="inlineStr">
        <is>
          <t>727</t>
        </is>
      </c>
      <c r="G54" s="9" t="n">
        <v>556.2</v>
      </c>
      <c r="H54" s="10" t="n">
        <v>45665.30302083334</v>
      </c>
      <c r="I54" s="10" t="n">
        <v>45665.30302083334</v>
      </c>
      <c r="J54" s="10" t="n">
        <v>45665.30549768519</v>
      </c>
      <c r="K54" s="11" t="n">
        <v>0.002476851851851852</v>
      </c>
      <c r="L54" s="13" t="n"/>
    </row>
    <row r="55">
      <c r="A55" s="3" t="inlineStr">
        <is>
          <t>ArrivalDrive</t>
        </is>
      </c>
      <c r="B55" s="3" t="inlineStr">
        <is>
          <t>Act_ARRD_10054_072011_703</t>
        </is>
      </c>
      <c r="C55" s="3" t="inlineStr">
        <is>
          <t>10054</t>
        </is>
      </c>
      <c r="D55" s="9" t="n">
        <v>156.7</v>
      </c>
      <c r="E55" s="3" t="inlineStr">
        <is>
          <t>Entry gate</t>
        </is>
      </c>
      <c r="F55" s="3" t="inlineStr">
        <is>
          <t>703</t>
        </is>
      </c>
      <c r="G55" s="9" t="n">
        <v>766.25</v>
      </c>
      <c r="H55" s="10" t="n">
        <v>45665.30568287037</v>
      </c>
      <c r="I55" s="10" t="n">
        <v>45665.30568287037</v>
      </c>
      <c r="J55" s="10" t="n">
        <v>45665.30763888889</v>
      </c>
      <c r="K55" s="11" t="n">
        <v>0.001956018518518518</v>
      </c>
      <c r="L55" s="13" t="n"/>
    </row>
    <row r="56">
      <c r="A56" s="3" t="inlineStr">
        <is>
          <t>ArrivalDrive</t>
        </is>
      </c>
      <c r="B56" s="3" t="inlineStr">
        <is>
          <t>Act_ARRD_10055_080128_703</t>
        </is>
      </c>
      <c r="C56" s="3" t="inlineStr">
        <is>
          <t>10055</t>
        </is>
      </c>
      <c r="D56" s="9" t="n">
        <v>389.8</v>
      </c>
      <c r="E56" s="3" t="inlineStr">
        <is>
          <t>Entry gate</t>
        </is>
      </c>
      <c r="F56" s="3" t="inlineStr">
        <is>
          <t>703</t>
        </is>
      </c>
      <c r="G56" s="9" t="n">
        <v>766.25</v>
      </c>
      <c r="H56" s="10" t="n">
        <v>45665.33435185185</v>
      </c>
      <c r="I56" s="10" t="n">
        <v>45665.33435185185</v>
      </c>
      <c r="J56" s="10" t="n">
        <v>45665.33684027778</v>
      </c>
      <c r="K56" s="11" t="n">
        <v>0.002488425925925926</v>
      </c>
      <c r="L56" s="13" t="n"/>
    </row>
    <row r="57">
      <c r="A57" s="3" t="inlineStr">
        <is>
          <t>ArrivalDrive</t>
        </is>
      </c>
      <c r="B57" s="3" t="inlineStr">
        <is>
          <t>Act_ARRD_10056_085847_703</t>
        </is>
      </c>
      <c r="C57" s="3" t="inlineStr">
        <is>
          <t>10056</t>
        </is>
      </c>
      <c r="D57" s="9" t="n">
        <v>235.2</v>
      </c>
      <c r="E57" s="3" t="inlineStr">
        <is>
          <t>Entry gate</t>
        </is>
      </c>
      <c r="F57" s="3" t="inlineStr">
        <is>
          <t>703</t>
        </is>
      </c>
      <c r="G57" s="9" t="n">
        <v>766.25</v>
      </c>
      <c r="H57" s="10" t="n">
        <v>45665.37415509259</v>
      </c>
      <c r="I57" s="10" t="n">
        <v>45665.37415509259</v>
      </c>
      <c r="J57" s="10" t="n">
        <v>45665.37628472222</v>
      </c>
      <c r="K57" s="11" t="n">
        <v>0.00212962962962963</v>
      </c>
      <c r="L57" s="13" t="n"/>
    </row>
    <row r="58">
      <c r="A58" s="3" t="inlineStr">
        <is>
          <t>ArrivalDrive</t>
        </is>
      </c>
      <c r="B58" s="3" t="inlineStr">
        <is>
          <t>Act_ARRD_10057_101327_703</t>
        </is>
      </c>
      <c r="C58" s="3" t="inlineStr">
        <is>
          <t>10057</t>
        </is>
      </c>
      <c r="D58" s="9" t="n">
        <v>443.2</v>
      </c>
      <c r="E58" s="3" t="inlineStr">
        <is>
          <t>Entry gate</t>
        </is>
      </c>
      <c r="F58" s="3" t="inlineStr">
        <is>
          <t>703</t>
        </is>
      </c>
      <c r="G58" s="9" t="n">
        <v>766.25</v>
      </c>
      <c r="H58" s="10" t="n">
        <v>45665.42600694444</v>
      </c>
      <c r="I58" s="10" t="n">
        <v>45665.42600694444</v>
      </c>
      <c r="J58" s="10" t="n">
        <v>45665.42862268518</v>
      </c>
      <c r="K58" s="11" t="n">
        <v>0.002615740740740741</v>
      </c>
      <c r="L58" s="13" t="n"/>
    </row>
    <row r="59">
      <c r="A59" s="3" t="inlineStr">
        <is>
          <t>ArrivalDrive</t>
        </is>
      </c>
      <c r="B59" s="3" t="inlineStr">
        <is>
          <t>Act_ARRD_10058_124621_703</t>
        </is>
      </c>
      <c r="C59" s="3" t="inlineStr">
        <is>
          <t>10058</t>
        </is>
      </c>
      <c r="D59" s="9" t="n">
        <v>296.8</v>
      </c>
      <c r="E59" s="3" t="inlineStr">
        <is>
          <t>Entry gate</t>
        </is>
      </c>
      <c r="F59" s="3" t="inlineStr">
        <is>
          <t>703</t>
        </is>
      </c>
      <c r="G59" s="9" t="n">
        <v>766.25</v>
      </c>
      <c r="H59" s="10" t="n">
        <v>45665.5321875</v>
      </c>
      <c r="I59" s="10" t="n">
        <v>45665.5321875</v>
      </c>
      <c r="J59" s="10" t="n">
        <v>45665.5344675926</v>
      </c>
      <c r="K59" s="11" t="n">
        <v>0.002280092592592593</v>
      </c>
      <c r="L59" s="13" t="n"/>
    </row>
    <row r="60">
      <c r="A60" s="3" t="inlineStr">
        <is>
          <t>ArrivalDrive</t>
        </is>
      </c>
      <c r="B60" s="3" t="inlineStr">
        <is>
          <t>Act_ARRD_10059_142626_703</t>
        </is>
      </c>
      <c r="C60" s="3" t="inlineStr">
        <is>
          <t>10059</t>
        </is>
      </c>
      <c r="D60" s="9" t="n">
        <v>365.8</v>
      </c>
      <c r="E60" s="3" t="inlineStr">
        <is>
          <t>Entry gate</t>
        </is>
      </c>
      <c r="F60" s="3" t="inlineStr">
        <is>
          <t>703</t>
        </is>
      </c>
      <c r="G60" s="9" t="n">
        <v>766.25</v>
      </c>
      <c r="H60" s="10" t="n">
        <v>45665.60168981482</v>
      </c>
      <c r="I60" s="10" t="n">
        <v>45665.60168981482</v>
      </c>
      <c r="J60" s="10" t="n">
        <v>45665.60413194444</v>
      </c>
      <c r="K60" s="11" t="n">
        <v>0.00244212962962963</v>
      </c>
      <c r="L60" s="13" t="n"/>
    </row>
    <row r="61">
      <c r="A61" s="3" t="inlineStr">
        <is>
          <t>ArrivalDrive</t>
        </is>
      </c>
      <c r="B61" s="3" t="inlineStr">
        <is>
          <t>Act_ARRD_10060_145342_703</t>
        </is>
      </c>
      <c r="C61" s="3" t="inlineStr">
        <is>
          <t>10060</t>
        </is>
      </c>
      <c r="D61" s="9" t="n">
        <v>316.6</v>
      </c>
      <c r="E61" s="3" t="inlineStr">
        <is>
          <t>Entry gate</t>
        </is>
      </c>
      <c r="F61" s="3" t="inlineStr">
        <is>
          <t>703</t>
        </is>
      </c>
      <c r="G61" s="9" t="n">
        <v>766.25</v>
      </c>
      <c r="H61" s="10" t="n">
        <v>45665.620625</v>
      </c>
      <c r="I61" s="10" t="n">
        <v>45665.620625</v>
      </c>
      <c r="J61" s="10" t="n">
        <v>45665.62295138889</v>
      </c>
      <c r="K61" s="11" t="n">
        <v>0.002326388888888889</v>
      </c>
      <c r="L61" s="13" t="n"/>
    </row>
    <row r="62">
      <c r="A62" s="3" t="inlineStr">
        <is>
          <t>ArrivalDrive</t>
        </is>
      </c>
      <c r="B62" s="3" t="inlineStr">
        <is>
          <t>Act_ARRD_10061_151140_727</t>
        </is>
      </c>
      <c r="C62" s="3" t="inlineStr">
        <is>
          <t>10061</t>
        </is>
      </c>
      <c r="D62" s="9" t="n">
        <v>362</v>
      </c>
      <c r="E62" s="3" t="inlineStr">
        <is>
          <t>Entry gate</t>
        </is>
      </c>
      <c r="F62" s="3" t="inlineStr">
        <is>
          <t>727</t>
        </is>
      </c>
      <c r="G62" s="9" t="n">
        <v>556.2</v>
      </c>
      <c r="H62" s="10" t="n">
        <v>45665.63310185185</v>
      </c>
      <c r="I62" s="10" t="n">
        <v>45665.63310185185</v>
      </c>
      <c r="J62" s="10" t="n">
        <v>45665.63509259259</v>
      </c>
      <c r="K62" s="11" t="n">
        <v>0.001990740740740741</v>
      </c>
      <c r="L62" s="13" t="n"/>
    </row>
    <row r="63">
      <c r="A63" s="3" t="inlineStr">
        <is>
          <t>ArrivalDrive</t>
        </is>
      </c>
      <c r="B63" s="3" t="inlineStr">
        <is>
          <t>Act_ARRD_10062_172117_703</t>
        </is>
      </c>
      <c r="C63" s="3" t="inlineStr">
        <is>
          <t>10062</t>
        </is>
      </c>
      <c r="D63" s="9" t="n">
        <v>209.2</v>
      </c>
      <c r="E63" s="3" t="inlineStr">
        <is>
          <t>Entry gate</t>
        </is>
      </c>
      <c r="F63" s="3" t="inlineStr">
        <is>
          <t>703</t>
        </is>
      </c>
      <c r="G63" s="9" t="n">
        <v>766.25</v>
      </c>
      <c r="H63" s="10" t="n">
        <v>45665.72311342593</v>
      </c>
      <c r="I63" s="10" t="n">
        <v>45665.72311342593</v>
      </c>
      <c r="J63" s="10" t="n">
        <v>45665.72518518518</v>
      </c>
      <c r="K63" s="11" t="n">
        <v>0.002071759259259259</v>
      </c>
      <c r="L63" s="13" t="n"/>
    </row>
    <row r="64">
      <c r="A64" s="3" t="inlineStr">
        <is>
          <t>ArrivalDrive</t>
        </is>
      </c>
      <c r="B64" s="3" t="inlineStr">
        <is>
          <t>Act_ARRD_10063_175949_731</t>
        </is>
      </c>
      <c r="C64" s="3" t="inlineStr">
        <is>
          <t>10063</t>
        </is>
      </c>
      <c r="D64" s="9" t="n">
        <v>15.7</v>
      </c>
      <c r="E64" s="3" t="inlineStr">
        <is>
          <t>Entry gate</t>
        </is>
      </c>
      <c r="F64" s="3" t="inlineStr">
        <is>
          <t>731</t>
        </is>
      </c>
      <c r="G64" s="9" t="n">
        <v>587.14</v>
      </c>
      <c r="H64" s="10" t="n">
        <v>45665.74987268518</v>
      </c>
      <c r="I64" s="10" t="n">
        <v>45665.74987268518</v>
      </c>
      <c r="J64" s="10" t="n">
        <v>45665.75112268519</v>
      </c>
      <c r="K64" s="11" t="n">
        <v>0.00125</v>
      </c>
      <c r="L64" s="13" t="n"/>
    </row>
    <row r="65">
      <c r="A65" s="3" t="inlineStr">
        <is>
          <t>ArrivalDrive</t>
        </is>
      </c>
      <c r="B65" s="3" t="inlineStr">
        <is>
          <t>Act_ARRD_10064_194024_703</t>
        </is>
      </c>
      <c r="C65" s="3" t="inlineStr">
        <is>
          <t>10064</t>
        </is>
      </c>
      <c r="D65" s="9" t="n">
        <v>244.1</v>
      </c>
      <c r="E65" s="3" t="inlineStr">
        <is>
          <t>Entry gate</t>
        </is>
      </c>
      <c r="F65" s="3" t="inlineStr">
        <is>
          <t>703</t>
        </is>
      </c>
      <c r="G65" s="9" t="n">
        <v>766.25</v>
      </c>
      <c r="H65" s="10" t="n">
        <v>45665.81972222222</v>
      </c>
      <c r="I65" s="10" t="n">
        <v>45665.81972222222</v>
      </c>
      <c r="J65" s="10" t="n">
        <v>45665.821875</v>
      </c>
      <c r="K65" s="11" t="n">
        <v>0.002152777777777778</v>
      </c>
      <c r="L65" s="13" t="n"/>
    </row>
    <row r="66">
      <c r="A66" s="3" t="inlineStr">
        <is>
          <t>ArrivalDrive</t>
        </is>
      </c>
      <c r="B66" s="3" t="inlineStr">
        <is>
          <t>Act_ARRD_10065_200359_727</t>
        </is>
      </c>
      <c r="C66" s="3" t="inlineStr">
        <is>
          <t>10065</t>
        </is>
      </c>
      <c r="D66" s="9" t="n">
        <v>99.5</v>
      </c>
      <c r="E66" s="3" t="inlineStr">
        <is>
          <t>Entry gate</t>
        </is>
      </c>
      <c r="F66" s="3" t="inlineStr">
        <is>
          <t>727</t>
        </is>
      </c>
      <c r="G66" s="9" t="n">
        <v>556.2</v>
      </c>
      <c r="H66" s="10" t="n">
        <v>45665.83609953704</v>
      </c>
      <c r="I66" s="10" t="n">
        <v>45665.83609953704</v>
      </c>
      <c r="J66" s="10" t="n">
        <v>45665.83748842592</v>
      </c>
      <c r="K66" s="11" t="n">
        <v>0.001388888888888889</v>
      </c>
      <c r="L66" s="13" t="n"/>
    </row>
    <row r="67">
      <c r="A67" s="3" t="inlineStr">
        <is>
          <t>ArrivalDrive</t>
        </is>
      </c>
      <c r="B67" s="3" t="inlineStr">
        <is>
          <t>Act_ARRD_10066_024636_703</t>
        </is>
      </c>
      <c r="C67" s="3" t="inlineStr">
        <is>
          <t>10066</t>
        </is>
      </c>
      <c r="D67" s="9" t="n">
        <v>164.5</v>
      </c>
      <c r="E67" s="3" t="inlineStr">
        <is>
          <t>Entry gate</t>
        </is>
      </c>
      <c r="F67" s="3" t="inlineStr">
        <is>
          <t>703</t>
        </is>
      </c>
      <c r="G67" s="9" t="n">
        <v>766.25</v>
      </c>
      <c r="H67" s="10" t="n">
        <v>45666.11569444444</v>
      </c>
      <c r="I67" s="10" t="n">
        <v>45666.11569444444</v>
      </c>
      <c r="J67" s="10" t="n">
        <v>45666.11766203704</v>
      </c>
      <c r="K67" s="11" t="n">
        <v>0.001967592592592592</v>
      </c>
      <c r="L67" s="13" t="n"/>
    </row>
    <row r="68">
      <c r="A68" s="3" t="inlineStr">
        <is>
          <t>ArrivalDrive</t>
        </is>
      </c>
      <c r="B68" s="3" t="inlineStr">
        <is>
          <t>Act_ARRD_10067_060630_703</t>
        </is>
      </c>
      <c r="C68" s="3" t="inlineStr">
        <is>
          <t>10067</t>
        </is>
      </c>
      <c r="D68" s="9" t="n">
        <v>376.1</v>
      </c>
      <c r="E68" s="3" t="inlineStr">
        <is>
          <t>Entry gate</t>
        </is>
      </c>
      <c r="F68" s="3" t="inlineStr">
        <is>
          <t>703</t>
        </is>
      </c>
      <c r="G68" s="9" t="n">
        <v>766.25</v>
      </c>
      <c r="H68" s="10" t="n">
        <v>45666.25451388889</v>
      </c>
      <c r="I68" s="10" t="n">
        <v>45666.25451388889</v>
      </c>
      <c r="J68" s="10" t="n">
        <v>45666.25697916667</v>
      </c>
      <c r="K68" s="11" t="n">
        <v>0.002465277777777778</v>
      </c>
      <c r="L68" s="13" t="n"/>
    </row>
    <row r="69">
      <c r="A69" s="3" t="inlineStr">
        <is>
          <t>ArrivalDrive</t>
        </is>
      </c>
      <c r="B69" s="3" t="inlineStr">
        <is>
          <t>Act_ARRD_10068_063158_727</t>
        </is>
      </c>
      <c r="C69" s="3" t="inlineStr">
        <is>
          <t>10068</t>
        </is>
      </c>
      <c r="D69" s="9" t="n">
        <v>185.9</v>
      </c>
      <c r="E69" s="3" t="inlineStr">
        <is>
          <t>Entry gate</t>
        </is>
      </c>
      <c r="F69" s="3" t="inlineStr">
        <is>
          <t>727</t>
        </is>
      </c>
      <c r="G69" s="9" t="n">
        <v>556.2</v>
      </c>
      <c r="H69" s="10" t="n">
        <v>45666.27219907408</v>
      </c>
      <c r="I69" s="10" t="n">
        <v>45666.27219907408</v>
      </c>
      <c r="J69" s="10" t="n">
        <v>45666.27378472222</v>
      </c>
      <c r="K69" s="11" t="n">
        <v>0.001585648148148148</v>
      </c>
      <c r="L69" s="13" t="n"/>
    </row>
    <row r="70">
      <c r="A70" s="3" t="inlineStr">
        <is>
          <t>ArrivalDrive</t>
        </is>
      </c>
      <c r="B70" s="3" t="inlineStr">
        <is>
          <t>Act_ARRD_10069_071258_703</t>
        </is>
      </c>
      <c r="C70" s="3" t="inlineStr">
        <is>
          <t>10069</t>
        </is>
      </c>
      <c r="D70" s="9" t="n">
        <v>278.7</v>
      </c>
      <c r="E70" s="3" t="inlineStr">
        <is>
          <t>Entry gate</t>
        </is>
      </c>
      <c r="F70" s="3" t="inlineStr">
        <is>
          <t>703</t>
        </is>
      </c>
      <c r="G70" s="9" t="n">
        <v>766.25</v>
      </c>
      <c r="H70" s="10" t="n">
        <v>45666.3006712963</v>
      </c>
      <c r="I70" s="10" t="n">
        <v>45666.3006712963</v>
      </c>
      <c r="J70" s="10" t="n">
        <v>45666.30290509259</v>
      </c>
      <c r="K70" s="11" t="n">
        <v>0.002233796296296296</v>
      </c>
      <c r="L70" s="13" t="n"/>
    </row>
    <row r="71">
      <c r="A71" s="3" t="inlineStr">
        <is>
          <t>ArrivalDrive</t>
        </is>
      </c>
      <c r="B71" s="3" t="inlineStr">
        <is>
          <t>Act_ARRD_10070_072052_727</t>
        </is>
      </c>
      <c r="C71" s="3" t="inlineStr">
        <is>
          <t>10070</t>
        </is>
      </c>
      <c r="D71" s="9" t="n">
        <v>325</v>
      </c>
      <c r="E71" s="3" t="inlineStr">
        <is>
          <t>Entry gate</t>
        </is>
      </c>
      <c r="F71" s="3" t="inlineStr">
        <is>
          <t>727</t>
        </is>
      </c>
      <c r="G71" s="9" t="n">
        <v>556.2</v>
      </c>
      <c r="H71" s="10" t="n">
        <v>45666.30615740741</v>
      </c>
      <c r="I71" s="10" t="n">
        <v>45666.30615740741</v>
      </c>
      <c r="J71" s="10" t="n">
        <v>45666.30806712963</v>
      </c>
      <c r="K71" s="11" t="n">
        <v>0.001909722222222222</v>
      </c>
      <c r="L71" s="13" t="n"/>
    </row>
    <row r="72">
      <c r="A72" s="3" t="inlineStr">
        <is>
          <t>ArrivalDrive</t>
        </is>
      </c>
      <c r="B72" s="3" t="inlineStr">
        <is>
          <t>Act_ARRD_10071_075120_727</t>
        </is>
      </c>
      <c r="C72" s="3" t="inlineStr">
        <is>
          <t>10071</t>
        </is>
      </c>
      <c r="D72" s="9" t="n">
        <v>381.6</v>
      </c>
      <c r="E72" s="3" t="inlineStr">
        <is>
          <t>Entry gate</t>
        </is>
      </c>
      <c r="F72" s="3" t="inlineStr">
        <is>
          <t>727</t>
        </is>
      </c>
      <c r="G72" s="9" t="n">
        <v>556.2</v>
      </c>
      <c r="H72" s="10" t="n">
        <v>45666.32731481481</v>
      </c>
      <c r="I72" s="10" t="n">
        <v>45666.32731481481</v>
      </c>
      <c r="J72" s="10" t="n">
        <v>45666.32935185185</v>
      </c>
      <c r="K72" s="11" t="n">
        <v>0.002037037037037037</v>
      </c>
      <c r="L72" s="13" t="n"/>
    </row>
    <row r="73">
      <c r="A73" s="3" t="inlineStr">
        <is>
          <t>ArrivalDrive</t>
        </is>
      </c>
      <c r="B73" s="3" t="inlineStr">
        <is>
          <t>Act_ARRD_10072_084511_703</t>
        </is>
      </c>
      <c r="C73" s="3" t="inlineStr">
        <is>
          <t>10072</t>
        </is>
      </c>
      <c r="D73" s="9" t="n">
        <v>362</v>
      </c>
      <c r="E73" s="3" t="inlineStr">
        <is>
          <t>Entry gate</t>
        </is>
      </c>
      <c r="F73" s="3" t="inlineStr">
        <is>
          <t>703</t>
        </is>
      </c>
      <c r="G73" s="9" t="n">
        <v>766.25</v>
      </c>
      <c r="H73" s="10" t="n">
        <v>45666.36471064815</v>
      </c>
      <c r="I73" s="10" t="n">
        <v>45666.36471064815</v>
      </c>
      <c r="J73" s="10" t="n">
        <v>45666.3671412037</v>
      </c>
      <c r="K73" s="11" t="n">
        <v>0.002430555555555556</v>
      </c>
      <c r="L73" s="13" t="n"/>
    </row>
    <row r="74">
      <c r="A74" s="3" t="inlineStr">
        <is>
          <t>ArrivalDrive</t>
        </is>
      </c>
      <c r="B74" s="3" t="inlineStr">
        <is>
          <t>Act_ARRD_10073_105021_703</t>
        </is>
      </c>
      <c r="C74" s="3" t="inlineStr">
        <is>
          <t>10073</t>
        </is>
      </c>
      <c r="D74" s="9" t="n">
        <v>435.7</v>
      </c>
      <c r="E74" s="3" t="inlineStr">
        <is>
          <t>Entry gate</t>
        </is>
      </c>
      <c r="F74" s="3" t="inlineStr">
        <is>
          <t>703</t>
        </is>
      </c>
      <c r="G74" s="9" t="n">
        <v>766.25</v>
      </c>
      <c r="H74" s="10" t="n">
        <v>45666.45163194444</v>
      </c>
      <c r="I74" s="10" t="n">
        <v>45666.45163194444</v>
      </c>
      <c r="J74" s="10" t="n">
        <v>45666.45423611111</v>
      </c>
      <c r="K74" s="11" t="n">
        <v>0.002604166666666667</v>
      </c>
      <c r="L74" s="13" t="n"/>
    </row>
    <row r="75">
      <c r="A75" s="3" t="inlineStr">
        <is>
          <t>ArrivalDrive</t>
        </is>
      </c>
      <c r="B75" s="3" t="inlineStr">
        <is>
          <t>Act_ARRD_10074_143346_703</t>
        </is>
      </c>
      <c r="C75" s="3" t="inlineStr">
        <is>
          <t>10074</t>
        </is>
      </c>
      <c r="D75" s="9" t="n">
        <v>241.4</v>
      </c>
      <c r="E75" s="3" t="inlineStr">
        <is>
          <t>Entry gate</t>
        </is>
      </c>
      <c r="F75" s="3" t="inlineStr">
        <is>
          <t>703</t>
        </is>
      </c>
      <c r="G75" s="9" t="n">
        <v>766.25</v>
      </c>
      <c r="H75" s="10" t="n">
        <v>45666.60678240741</v>
      </c>
      <c r="I75" s="10" t="n">
        <v>45666.60678240741</v>
      </c>
      <c r="J75" s="10" t="n">
        <v>45666.60893518518</v>
      </c>
      <c r="K75" s="11" t="n">
        <v>0.002152777777777778</v>
      </c>
      <c r="L75" s="13" t="n"/>
    </row>
    <row r="76">
      <c r="A76" s="3" t="inlineStr">
        <is>
          <t>ArrivalDrive</t>
        </is>
      </c>
      <c r="B76" s="3" t="inlineStr">
        <is>
          <t>Act_ARRD_10075_150030_703</t>
        </is>
      </c>
      <c r="C76" s="3" t="inlineStr">
        <is>
          <t>10075</t>
        </is>
      </c>
      <c r="D76" s="9" t="n">
        <v>407.5</v>
      </c>
      <c r="E76" s="3" t="inlineStr">
        <is>
          <t>Entry gate</t>
        </is>
      </c>
      <c r="F76" s="3" t="inlineStr">
        <is>
          <t>703</t>
        </is>
      </c>
      <c r="G76" s="9" t="n">
        <v>766.25</v>
      </c>
      <c r="H76" s="10" t="n">
        <v>45666.62534722222</v>
      </c>
      <c r="I76" s="10" t="n">
        <v>45666.62534722222</v>
      </c>
      <c r="J76" s="10" t="n">
        <v>45666.62788194444</v>
      </c>
      <c r="K76" s="11" t="n">
        <v>0.002534722222222222</v>
      </c>
      <c r="L76" s="13" t="n"/>
    </row>
    <row r="77">
      <c r="A77" s="3" t="inlineStr">
        <is>
          <t>ArrivalDrive</t>
        </is>
      </c>
      <c r="B77" s="3" t="inlineStr">
        <is>
          <t>Act_ARRD_10076_152654_727</t>
        </is>
      </c>
      <c r="C77" s="3" t="inlineStr">
        <is>
          <t>10076</t>
        </is>
      </c>
      <c r="D77" s="9" t="n">
        <v>314.8</v>
      </c>
      <c r="E77" s="3" t="inlineStr">
        <is>
          <t>Entry gate</t>
        </is>
      </c>
      <c r="F77" s="3" t="inlineStr">
        <is>
          <t>727</t>
        </is>
      </c>
      <c r="G77" s="9" t="n">
        <v>556.2</v>
      </c>
      <c r="H77" s="10" t="n">
        <v>45666.64368055556</v>
      </c>
      <c r="I77" s="10" t="n">
        <v>45666.64368055556</v>
      </c>
      <c r="J77" s="10" t="n">
        <v>45666.64556712963</v>
      </c>
      <c r="K77" s="11" t="n">
        <v>0.001886574074074074</v>
      </c>
      <c r="L77" s="13" t="n"/>
    </row>
    <row r="78">
      <c r="A78" s="3" t="inlineStr">
        <is>
          <t>ArrivalDrive</t>
        </is>
      </c>
      <c r="B78" s="3" t="inlineStr">
        <is>
          <t>Act_ARRD_10077_174321_703</t>
        </is>
      </c>
      <c r="C78" s="3" t="inlineStr">
        <is>
          <t>10077</t>
        </is>
      </c>
      <c r="D78" s="9" t="n">
        <v>319</v>
      </c>
      <c r="E78" s="3" t="inlineStr">
        <is>
          <t>Entry gate</t>
        </is>
      </c>
      <c r="F78" s="3" t="inlineStr">
        <is>
          <t>703</t>
        </is>
      </c>
      <c r="G78" s="9" t="n">
        <v>766.25</v>
      </c>
      <c r="H78" s="10" t="n">
        <v>45666.7384375</v>
      </c>
      <c r="I78" s="10" t="n">
        <v>45666.7384375</v>
      </c>
      <c r="J78" s="10" t="n">
        <v>45666.74076388889</v>
      </c>
      <c r="K78" s="11" t="n">
        <v>0.002326388888888889</v>
      </c>
      <c r="L78" s="13" t="n"/>
    </row>
    <row r="79">
      <c r="A79" s="3" t="inlineStr">
        <is>
          <t>ArrivalDrive</t>
        </is>
      </c>
      <c r="B79" s="3" t="inlineStr">
        <is>
          <t>Act_ARRD_10078_174538_731</t>
        </is>
      </c>
      <c r="C79" s="3" t="inlineStr">
        <is>
          <t>10078</t>
        </is>
      </c>
      <c r="D79" s="9" t="n">
        <v>47.2</v>
      </c>
      <c r="E79" s="3" t="inlineStr">
        <is>
          <t>Entry gate</t>
        </is>
      </c>
      <c r="F79" s="3" t="inlineStr">
        <is>
          <t>731</t>
        </is>
      </c>
      <c r="G79" s="9" t="n">
        <v>587.14</v>
      </c>
      <c r="H79" s="10" t="n">
        <v>45666.74002314815</v>
      </c>
      <c r="I79" s="10" t="n">
        <v>45666.74002314815</v>
      </c>
      <c r="J79" s="10" t="n">
        <v>45666.74135416667</v>
      </c>
      <c r="K79" s="11" t="n">
        <v>0.001331018518518518</v>
      </c>
      <c r="L79" s="13" t="n"/>
    </row>
    <row r="80">
      <c r="A80" s="3" t="inlineStr">
        <is>
          <t>ArrivalDrive</t>
        </is>
      </c>
      <c r="B80" s="3" t="inlineStr">
        <is>
          <t>Act_ARRD_10079_174716_727</t>
        </is>
      </c>
      <c r="C80" s="3" t="inlineStr">
        <is>
          <t>10079</t>
        </is>
      </c>
      <c r="D80" s="9" t="n">
        <v>417.5</v>
      </c>
      <c r="E80" s="3" t="inlineStr">
        <is>
          <t>Entry gate</t>
        </is>
      </c>
      <c r="F80" s="3" t="inlineStr">
        <is>
          <t>727</t>
        </is>
      </c>
      <c r="G80" s="9" t="n">
        <v>556.2</v>
      </c>
      <c r="H80" s="10" t="n">
        <v>45666.74115740741</v>
      </c>
      <c r="I80" s="10" t="n">
        <v>45666.74115740741</v>
      </c>
      <c r="J80" s="10" t="n">
        <v>45666.74327546296</v>
      </c>
      <c r="K80" s="11" t="n">
        <v>0.002118055555555556</v>
      </c>
      <c r="L80" s="13" t="n"/>
    </row>
    <row r="81">
      <c r="A81" s="3" t="inlineStr">
        <is>
          <t>ArrivalDrive</t>
        </is>
      </c>
      <c r="B81" s="3" t="inlineStr">
        <is>
          <t>Act_ARRD_10080_200209_703</t>
        </is>
      </c>
      <c r="C81" s="3" t="inlineStr">
        <is>
          <t>10080</t>
        </is>
      </c>
      <c r="D81" s="9" t="n">
        <v>291.7</v>
      </c>
      <c r="E81" s="3" t="inlineStr">
        <is>
          <t>Entry gate</t>
        </is>
      </c>
      <c r="F81" s="3" t="inlineStr">
        <is>
          <t>703</t>
        </is>
      </c>
      <c r="G81" s="9" t="n">
        <v>766.25</v>
      </c>
      <c r="H81" s="10" t="n">
        <v>45666.83482638889</v>
      </c>
      <c r="I81" s="10" t="n">
        <v>45666.83482638889</v>
      </c>
      <c r="J81" s="10" t="n">
        <v>45666.83709490741</v>
      </c>
      <c r="K81" s="11" t="n">
        <v>0.002268518518518519</v>
      </c>
      <c r="L81" s="13" t="n"/>
    </row>
    <row r="82">
      <c r="A82" s="3" t="inlineStr">
        <is>
          <t>ArrivalDrive</t>
        </is>
      </c>
      <c r="B82" s="3" t="inlineStr">
        <is>
          <t>Act_ARRD_10081_024142_703</t>
        </is>
      </c>
      <c r="C82" s="3" t="inlineStr">
        <is>
          <t>10081</t>
        </is>
      </c>
      <c r="D82" s="9" t="n">
        <v>309.2</v>
      </c>
      <c r="E82" s="3" t="inlineStr">
        <is>
          <t>Entry gate</t>
        </is>
      </c>
      <c r="F82" s="3" t="inlineStr">
        <is>
          <t>703</t>
        </is>
      </c>
      <c r="G82" s="9" t="n">
        <v>766.25</v>
      </c>
      <c r="H82" s="10" t="n">
        <v>45667.11229166666</v>
      </c>
      <c r="I82" s="10" t="n">
        <v>45667.11229166666</v>
      </c>
      <c r="J82" s="10" t="n">
        <v>45667.11459490741</v>
      </c>
      <c r="K82" s="11" t="n">
        <v>0.002303240740740741</v>
      </c>
      <c r="L82" s="13" t="n"/>
    </row>
    <row r="83">
      <c r="A83" s="3" t="inlineStr">
        <is>
          <t>ArrivalDrive</t>
        </is>
      </c>
      <c r="B83" s="3" t="inlineStr">
        <is>
          <t>Act_ARRD_10082_043217_703</t>
        </is>
      </c>
      <c r="C83" s="3" t="inlineStr">
        <is>
          <t>10082</t>
        </is>
      </c>
      <c r="D83" s="9" t="n">
        <v>219.5</v>
      </c>
      <c r="E83" s="3" t="inlineStr">
        <is>
          <t>Entry gate</t>
        </is>
      </c>
      <c r="F83" s="3" t="inlineStr">
        <is>
          <t>703</t>
        </is>
      </c>
      <c r="G83" s="9" t="n">
        <v>766.25</v>
      </c>
      <c r="H83" s="10" t="n">
        <v>45667.18908564815</v>
      </c>
      <c r="I83" s="10" t="n">
        <v>45667.18908564815</v>
      </c>
      <c r="J83" s="10" t="n">
        <v>45667.19118055556</v>
      </c>
      <c r="K83" s="11" t="n">
        <v>0.002094907407407407</v>
      </c>
      <c r="L83" s="13" t="n"/>
    </row>
    <row r="84">
      <c r="A84" s="3" t="inlineStr">
        <is>
          <t>ArrivalDrive</t>
        </is>
      </c>
      <c r="B84" s="3" t="inlineStr">
        <is>
          <t>Act_ARRD_10083_054559_703</t>
        </is>
      </c>
      <c r="C84" s="3" t="inlineStr">
        <is>
          <t>10083</t>
        </is>
      </c>
      <c r="D84" s="9" t="n">
        <v>298</v>
      </c>
      <c r="E84" s="3" t="inlineStr">
        <is>
          <t>Entry gate</t>
        </is>
      </c>
      <c r="F84" s="3" t="inlineStr">
        <is>
          <t>703</t>
        </is>
      </c>
      <c r="G84" s="9" t="n">
        <v>766.25</v>
      </c>
      <c r="H84" s="10" t="n">
        <v>45667.24026620371</v>
      </c>
      <c r="I84" s="10" t="n">
        <v>45667.24026620371</v>
      </c>
      <c r="J84" s="10" t="n">
        <v>45667.24254629629</v>
      </c>
      <c r="K84" s="11" t="n">
        <v>0.002280092592592593</v>
      </c>
      <c r="L84" s="13" t="n"/>
    </row>
    <row r="85">
      <c r="A85" s="3" t="inlineStr">
        <is>
          <t>ArrivalDrive</t>
        </is>
      </c>
      <c r="B85" s="3" t="inlineStr">
        <is>
          <t>Act_ARRD_10084_063932_703</t>
        </is>
      </c>
      <c r="C85" s="3" t="inlineStr">
        <is>
          <t>10084</t>
        </is>
      </c>
      <c r="D85" s="9" t="n">
        <v>386.3</v>
      </c>
      <c r="E85" s="3" t="inlineStr">
        <is>
          <t>Entry gate</t>
        </is>
      </c>
      <c r="F85" s="3" t="inlineStr">
        <is>
          <t>703</t>
        </is>
      </c>
      <c r="G85" s="9" t="n">
        <v>766.25</v>
      </c>
      <c r="H85" s="10" t="n">
        <v>45667.2774537037</v>
      </c>
      <c r="I85" s="10" t="n">
        <v>45667.2774537037</v>
      </c>
      <c r="J85" s="10" t="n">
        <v>45667.27994212963</v>
      </c>
      <c r="K85" s="11" t="n">
        <v>0.002488425925925926</v>
      </c>
      <c r="L85" s="13" t="n"/>
    </row>
    <row r="86">
      <c r="A86" s="3" t="inlineStr">
        <is>
          <t>ArrivalDrive</t>
        </is>
      </c>
      <c r="B86" s="3" t="inlineStr">
        <is>
          <t>Act_ARRD_10085_072638_703</t>
        </is>
      </c>
      <c r="C86" s="3" t="inlineStr">
        <is>
          <t>10085</t>
        </is>
      </c>
      <c r="D86" s="9" t="n">
        <v>193.1</v>
      </c>
      <c r="E86" s="3" t="inlineStr">
        <is>
          <t>Entry gate</t>
        </is>
      </c>
      <c r="F86" s="3" t="inlineStr">
        <is>
          <t>703</t>
        </is>
      </c>
      <c r="G86" s="9" t="n">
        <v>766.25</v>
      </c>
      <c r="H86" s="10" t="n">
        <v>45667.31016203704</v>
      </c>
      <c r="I86" s="10" t="n">
        <v>45667.31016203704</v>
      </c>
      <c r="J86" s="10" t="n">
        <v>45667.31219907408</v>
      </c>
      <c r="K86" s="11" t="n">
        <v>0.002037037037037037</v>
      </c>
      <c r="L86" s="13" t="n"/>
    </row>
    <row r="87">
      <c r="A87" s="3" t="inlineStr">
        <is>
          <t>ArrivalDrive</t>
        </is>
      </c>
      <c r="B87" s="3" t="inlineStr">
        <is>
          <t>Act_ARRD_10086_075521_703</t>
        </is>
      </c>
      <c r="C87" s="3" t="inlineStr">
        <is>
          <t>10086</t>
        </is>
      </c>
      <c r="D87" s="9" t="n">
        <v>380.8</v>
      </c>
      <c r="E87" s="3" t="inlineStr">
        <is>
          <t>Entry gate</t>
        </is>
      </c>
      <c r="F87" s="3" t="inlineStr">
        <is>
          <t>703</t>
        </is>
      </c>
      <c r="G87" s="9" t="n">
        <v>766.25</v>
      </c>
      <c r="H87" s="10" t="n">
        <v>45667.33010416666</v>
      </c>
      <c r="I87" s="10" t="n">
        <v>45667.33010416666</v>
      </c>
      <c r="J87" s="10" t="n">
        <v>45667.33258101852</v>
      </c>
      <c r="K87" s="11" t="n">
        <v>0.002476851851851852</v>
      </c>
      <c r="L87" s="13" t="n"/>
    </row>
    <row r="88">
      <c r="A88" s="3" t="inlineStr">
        <is>
          <t>ArrivalDrive</t>
        </is>
      </c>
      <c r="B88" s="3" t="inlineStr">
        <is>
          <t>Act_ARRD_10087_084524_727</t>
        </is>
      </c>
      <c r="C88" s="3" t="inlineStr">
        <is>
          <t>10087</t>
        </is>
      </c>
      <c r="D88" s="9" t="n">
        <v>588.4</v>
      </c>
      <c r="E88" s="3" t="inlineStr">
        <is>
          <t>Entry gate</t>
        </is>
      </c>
      <c r="F88" s="3" t="inlineStr">
        <is>
          <t>727</t>
        </is>
      </c>
      <c r="G88" s="9" t="n">
        <v>556.2</v>
      </c>
      <c r="H88" s="10" t="n">
        <v>45667.36486111111</v>
      </c>
      <c r="I88" s="10" t="n">
        <v>45667.36486111111</v>
      </c>
      <c r="J88" s="10" t="n">
        <v>45667.36737268518</v>
      </c>
      <c r="K88" s="11" t="n">
        <v>0.002511574074074074</v>
      </c>
      <c r="L88" s="13" t="n"/>
    </row>
    <row r="89">
      <c r="A89" s="3" t="inlineStr">
        <is>
          <t>ArrivalDrive</t>
        </is>
      </c>
      <c r="B89" s="3" t="inlineStr">
        <is>
          <t>Act_ARRD_10088_085839_703</t>
        </is>
      </c>
      <c r="C89" s="3" t="inlineStr">
        <is>
          <t>10088</t>
        </is>
      </c>
      <c r="D89" s="9" t="n">
        <v>206.3</v>
      </c>
      <c r="E89" s="3" t="inlineStr">
        <is>
          <t>Entry gate</t>
        </is>
      </c>
      <c r="F89" s="3" t="inlineStr">
        <is>
          <t>703</t>
        </is>
      </c>
      <c r="G89" s="9" t="n">
        <v>766.25</v>
      </c>
      <c r="H89" s="10" t="n">
        <v>45667.3740625</v>
      </c>
      <c r="I89" s="10" t="n">
        <v>45667.3740625</v>
      </c>
      <c r="J89" s="10" t="n">
        <v>45667.37613425926</v>
      </c>
      <c r="K89" s="11" t="n">
        <v>0.002071759259259259</v>
      </c>
      <c r="L89" s="13" t="n"/>
    </row>
    <row r="90">
      <c r="A90" s="3" t="inlineStr">
        <is>
          <t>ArrivalDrive</t>
        </is>
      </c>
      <c r="B90" s="3" t="inlineStr">
        <is>
          <t>Act_ARRD_10089_101840_703</t>
        </is>
      </c>
      <c r="C90" s="3" t="inlineStr">
        <is>
          <t>10089</t>
        </is>
      </c>
      <c r="D90" s="9" t="n">
        <v>259.7</v>
      </c>
      <c r="E90" s="3" t="inlineStr">
        <is>
          <t>Entry gate</t>
        </is>
      </c>
      <c r="F90" s="3" t="inlineStr">
        <is>
          <t>703</t>
        </is>
      </c>
      <c r="G90" s="9" t="n">
        <v>766.25</v>
      </c>
      <c r="H90" s="10" t="n">
        <v>45667.42962962963</v>
      </c>
      <c r="I90" s="10" t="n">
        <v>45667.42962962963</v>
      </c>
      <c r="J90" s="10" t="n">
        <v>45667.43181712963</v>
      </c>
      <c r="K90" s="11" t="n">
        <v>0.0021875</v>
      </c>
      <c r="L90" s="13" t="n"/>
    </row>
    <row r="91">
      <c r="A91" s="3" t="inlineStr">
        <is>
          <t>ArrivalDrive</t>
        </is>
      </c>
      <c r="B91" s="3" t="inlineStr">
        <is>
          <t>Act_ARRD_10090_130447_703</t>
        </is>
      </c>
      <c r="C91" s="3" t="inlineStr">
        <is>
          <t>10090</t>
        </is>
      </c>
      <c r="D91" s="9" t="n">
        <v>95.3</v>
      </c>
      <c r="E91" s="3" t="inlineStr">
        <is>
          <t>Entry gate</t>
        </is>
      </c>
      <c r="F91" s="3" t="inlineStr">
        <is>
          <t>703</t>
        </is>
      </c>
      <c r="G91" s="9" t="n">
        <v>766.25</v>
      </c>
      <c r="H91" s="10" t="n">
        <v>45667.54498842593</v>
      </c>
      <c r="I91" s="10" t="n">
        <v>45667.54498842593</v>
      </c>
      <c r="J91" s="10" t="n">
        <v>45667.54679398148</v>
      </c>
      <c r="K91" s="11" t="n">
        <v>0.001805555555555555</v>
      </c>
      <c r="L91" s="13" t="n"/>
    </row>
    <row r="92">
      <c r="A92" s="3" t="inlineStr">
        <is>
          <t>ArrivalDrive</t>
        </is>
      </c>
      <c r="B92" s="3" t="inlineStr">
        <is>
          <t>Act_ARRD_10091_141132_731</t>
        </is>
      </c>
      <c r="C92" s="3" t="inlineStr">
        <is>
          <t>10091</t>
        </is>
      </c>
      <c r="D92" s="9" t="n">
        <v>23.2</v>
      </c>
      <c r="E92" s="3" t="inlineStr">
        <is>
          <t>Entry gate</t>
        </is>
      </c>
      <c r="F92" s="3" t="inlineStr">
        <is>
          <t>731</t>
        </is>
      </c>
      <c r="G92" s="9" t="n">
        <v>587.14</v>
      </c>
      <c r="H92" s="10" t="n">
        <v>45667.59134259259</v>
      </c>
      <c r="I92" s="10" t="n">
        <v>45667.59134259259</v>
      </c>
      <c r="J92" s="10" t="n">
        <v>45667.59261574074</v>
      </c>
      <c r="K92" s="11" t="n">
        <v>0.001273148148148148</v>
      </c>
      <c r="L92" s="13" t="n"/>
    </row>
    <row r="93">
      <c r="A93" s="3" t="inlineStr">
        <is>
          <t>ArrivalDrive</t>
        </is>
      </c>
      <c r="B93" s="3" t="inlineStr">
        <is>
          <t>Act_ARRD_10092_144906_703</t>
        </is>
      </c>
      <c r="C93" s="3" t="inlineStr">
        <is>
          <t>10092</t>
        </is>
      </c>
      <c r="D93" s="9" t="n">
        <v>393.5</v>
      </c>
      <c r="E93" s="3" t="inlineStr">
        <is>
          <t>Entry gate</t>
        </is>
      </c>
      <c r="F93" s="3" t="inlineStr">
        <is>
          <t>703</t>
        </is>
      </c>
      <c r="G93" s="9" t="n">
        <v>766.25</v>
      </c>
      <c r="H93" s="10" t="n">
        <v>45667.61743055555</v>
      </c>
      <c r="I93" s="10" t="n">
        <v>45667.61743055555</v>
      </c>
      <c r="J93" s="10" t="n">
        <v>45667.61993055556</v>
      </c>
      <c r="K93" s="11" t="n">
        <v>0.0025</v>
      </c>
      <c r="L93" s="13" t="n"/>
    </row>
    <row r="94">
      <c r="A94" s="3" t="inlineStr">
        <is>
          <t>ArrivalDrive</t>
        </is>
      </c>
      <c r="B94" s="3" t="inlineStr">
        <is>
          <t>Act_ARRD_10093_172841_703</t>
        </is>
      </c>
      <c r="C94" s="3" t="inlineStr">
        <is>
          <t>10093</t>
        </is>
      </c>
      <c r="D94" s="9" t="n">
        <v>302.1</v>
      </c>
      <c r="E94" s="3" t="inlineStr">
        <is>
          <t>Entry gate</t>
        </is>
      </c>
      <c r="F94" s="3" t="inlineStr">
        <is>
          <t>703</t>
        </is>
      </c>
      <c r="G94" s="9" t="n">
        <v>766.25</v>
      </c>
      <c r="H94" s="10" t="n">
        <v>45667.72825231482</v>
      </c>
      <c r="I94" s="10" t="n">
        <v>45667.72825231482</v>
      </c>
      <c r="J94" s="10" t="n">
        <v>45667.73054398148</v>
      </c>
      <c r="K94" s="11" t="n">
        <v>0.002291666666666667</v>
      </c>
      <c r="L94" s="13" t="n"/>
    </row>
    <row r="95">
      <c r="A95" s="3" t="inlineStr">
        <is>
          <t>ArrivalDrive</t>
        </is>
      </c>
      <c r="B95" s="3" t="inlineStr">
        <is>
          <t>Act_ARRD_10094_173841_727</t>
        </is>
      </c>
      <c r="C95" s="3" t="inlineStr">
        <is>
          <t>10094</t>
        </is>
      </c>
      <c r="D95" s="9" t="n">
        <v>577.6</v>
      </c>
      <c r="E95" s="3" t="inlineStr">
        <is>
          <t>Entry gate</t>
        </is>
      </c>
      <c r="F95" s="3" t="inlineStr">
        <is>
          <t>727</t>
        </is>
      </c>
      <c r="G95" s="9" t="n">
        <v>556.2</v>
      </c>
      <c r="H95" s="10" t="n">
        <v>45667.73519675926</v>
      </c>
      <c r="I95" s="10" t="n">
        <v>45667.73519675926</v>
      </c>
      <c r="J95" s="10" t="n">
        <v>45667.73768518519</v>
      </c>
      <c r="K95" s="11" t="n">
        <v>0.002488425925925926</v>
      </c>
      <c r="L95" s="13" t="n"/>
    </row>
    <row r="96">
      <c r="A96" s="3" t="inlineStr">
        <is>
          <t>ArrivalDrive</t>
        </is>
      </c>
      <c r="B96" s="3" t="inlineStr">
        <is>
          <t>Act_ARRD_10095_201111_703</t>
        </is>
      </c>
      <c r="C96" s="3" t="inlineStr">
        <is>
          <t>10095</t>
        </is>
      </c>
      <c r="D96" s="9" t="n">
        <v>300.5</v>
      </c>
      <c r="E96" s="3" t="inlineStr">
        <is>
          <t>Entry gate</t>
        </is>
      </c>
      <c r="F96" s="3" t="inlineStr">
        <is>
          <t>703</t>
        </is>
      </c>
      <c r="G96" s="9" t="n">
        <v>766.25</v>
      </c>
      <c r="H96" s="10" t="n">
        <v>45667.84109953704</v>
      </c>
      <c r="I96" s="10" t="n">
        <v>45667.84109953704</v>
      </c>
      <c r="J96" s="10" t="n">
        <v>45667.84339120371</v>
      </c>
      <c r="K96" s="11" t="n">
        <v>0.002291666666666667</v>
      </c>
      <c r="L96" s="13" t="n"/>
    </row>
    <row r="97">
      <c r="A97" s="3" t="inlineStr">
        <is>
          <t>ArrivalDrive</t>
        </is>
      </c>
      <c r="B97" s="3" t="inlineStr">
        <is>
          <t>Act_ARRD_10096_045749_703</t>
        </is>
      </c>
      <c r="C97" s="3" t="inlineStr">
        <is>
          <t>10096</t>
        </is>
      </c>
      <c r="D97" s="9" t="n">
        <v>366.6</v>
      </c>
      <c r="E97" s="3" t="inlineStr">
        <is>
          <t>Entry gate</t>
        </is>
      </c>
      <c r="F97" s="3" t="inlineStr">
        <is>
          <t>703</t>
        </is>
      </c>
      <c r="G97" s="9" t="n">
        <v>766.25</v>
      </c>
      <c r="H97" s="10" t="n">
        <v>45668.20681712963</v>
      </c>
      <c r="I97" s="10" t="n">
        <v>45668.20681712963</v>
      </c>
      <c r="J97" s="10" t="n">
        <v>45668.20925925926</v>
      </c>
      <c r="K97" s="11" t="n">
        <v>0.00244212962962963</v>
      </c>
      <c r="L97" s="13" t="n"/>
    </row>
    <row r="98">
      <c r="A98" s="3" t="inlineStr">
        <is>
          <t>ArrivalDrive</t>
        </is>
      </c>
      <c r="B98" s="3" t="inlineStr">
        <is>
          <t>Act_ARRD_10097_052922_703</t>
        </is>
      </c>
      <c r="C98" s="3" t="inlineStr">
        <is>
          <t>10097</t>
        </is>
      </c>
      <c r="D98" s="9" t="n">
        <v>382.7</v>
      </c>
      <c r="E98" s="3" t="inlineStr">
        <is>
          <t>Entry gate</t>
        </is>
      </c>
      <c r="F98" s="3" t="inlineStr">
        <is>
          <t>703</t>
        </is>
      </c>
      <c r="G98" s="9" t="n">
        <v>766.25</v>
      </c>
      <c r="H98" s="10" t="n">
        <v>45668.22872685185</v>
      </c>
      <c r="I98" s="10" t="n">
        <v>45668.22872685185</v>
      </c>
      <c r="J98" s="10" t="n">
        <v>45668.2312037037</v>
      </c>
      <c r="K98" s="11" t="n">
        <v>0.002476851851851852</v>
      </c>
      <c r="L98" s="13" t="n"/>
    </row>
    <row r="99">
      <c r="A99" s="3" t="inlineStr">
        <is>
          <t>ArrivalDrive</t>
        </is>
      </c>
      <c r="B99" s="3" t="inlineStr">
        <is>
          <t>Act_ARRD_10098_174128_727</t>
        </is>
      </c>
      <c r="C99" s="3" t="inlineStr">
        <is>
          <t>10098</t>
        </is>
      </c>
      <c r="D99" s="9" t="n">
        <v>554.1</v>
      </c>
      <c r="E99" s="3" t="inlineStr">
        <is>
          <t>Entry gate</t>
        </is>
      </c>
      <c r="F99" s="3" t="inlineStr">
        <is>
          <t>727</t>
        </is>
      </c>
      <c r="G99" s="9" t="n">
        <v>556.2</v>
      </c>
      <c r="H99" s="10" t="n">
        <v>45669.73712962963</v>
      </c>
      <c r="I99" s="10" t="n">
        <v>45669.73712962963</v>
      </c>
      <c r="J99" s="10" t="n">
        <v>45669.73956018518</v>
      </c>
      <c r="K99" s="11" t="n">
        <v>0.002430555555555556</v>
      </c>
      <c r="L99" s="13" t="n"/>
    </row>
    <row r="100">
      <c r="A100" s="3" t="inlineStr">
        <is>
          <t>ArrivalDrive</t>
        </is>
      </c>
      <c r="B100" s="3" t="inlineStr">
        <is>
          <t>Act_ARRD_10099_200223_703</t>
        </is>
      </c>
      <c r="C100" s="3" t="inlineStr">
        <is>
          <t>10099</t>
        </is>
      </c>
      <c r="D100" s="9" t="n">
        <v>208.1</v>
      </c>
      <c r="E100" s="3" t="inlineStr">
        <is>
          <t>Entry gate</t>
        </is>
      </c>
      <c r="F100" s="3" t="inlineStr">
        <is>
          <t>703</t>
        </is>
      </c>
      <c r="G100" s="9" t="n">
        <v>766.25</v>
      </c>
      <c r="H100" s="10" t="n">
        <v>45669.83498842592</v>
      </c>
      <c r="I100" s="10" t="n">
        <v>45669.83498842592</v>
      </c>
      <c r="J100" s="10" t="n">
        <v>45669.83706018519</v>
      </c>
      <c r="K100" s="11" t="n">
        <v>0.002071759259259259</v>
      </c>
      <c r="L100" s="13" t="n"/>
    </row>
    <row r="101">
      <c r="A101" s="3" t="inlineStr">
        <is>
          <t>ArrivalDrive</t>
        </is>
      </c>
      <c r="B101" s="3" t="inlineStr">
        <is>
          <t>Act_ARRD_10100_022856_703</t>
        </is>
      </c>
      <c r="C101" s="3" t="inlineStr">
        <is>
          <t>10100</t>
        </is>
      </c>
      <c r="D101" s="9" t="n">
        <v>181.5</v>
      </c>
      <c r="E101" s="3" t="inlineStr">
        <is>
          <t>Entry gate</t>
        </is>
      </c>
      <c r="F101" s="3" t="inlineStr">
        <is>
          <t>703</t>
        </is>
      </c>
      <c r="G101" s="9" t="n">
        <v>766.25</v>
      </c>
      <c r="H101" s="10" t="n">
        <v>45670.10342592592</v>
      </c>
      <c r="I101" s="10" t="n">
        <v>45670.10342592592</v>
      </c>
      <c r="J101" s="10" t="n">
        <v>45670.10543981481</v>
      </c>
      <c r="K101" s="11" t="n">
        <v>0.002013888888888889</v>
      </c>
      <c r="L101" s="13" t="n"/>
    </row>
    <row r="102">
      <c r="A102" s="3" t="inlineStr">
        <is>
          <t>ArrivalDrive</t>
        </is>
      </c>
      <c r="B102" s="3" t="inlineStr">
        <is>
          <t>Act_ARRD_10101_042834_703</t>
        </is>
      </c>
      <c r="C102" s="3" t="inlineStr">
        <is>
          <t>10101</t>
        </is>
      </c>
      <c r="D102" s="9" t="n">
        <v>301.2</v>
      </c>
      <c r="E102" s="3" t="inlineStr">
        <is>
          <t>Entry gate</t>
        </is>
      </c>
      <c r="F102" s="3" t="inlineStr">
        <is>
          <t>703</t>
        </is>
      </c>
      <c r="G102" s="9" t="n">
        <v>766.25</v>
      </c>
      <c r="H102" s="10" t="n">
        <v>45670.18650462963</v>
      </c>
      <c r="I102" s="10" t="n">
        <v>45670.18650462963</v>
      </c>
      <c r="J102" s="10" t="n">
        <v>45670.18879629629</v>
      </c>
      <c r="K102" s="11" t="n">
        <v>0.002291666666666667</v>
      </c>
      <c r="L102" s="13" t="n"/>
    </row>
    <row r="103">
      <c r="A103" s="3" t="inlineStr">
        <is>
          <t>ArrivalDrive</t>
        </is>
      </c>
      <c r="B103" s="3" t="inlineStr">
        <is>
          <t>Act_ARRD_10102_060450_703</t>
        </is>
      </c>
      <c r="C103" s="3" t="inlineStr">
        <is>
          <t>10102</t>
        </is>
      </c>
      <c r="D103" s="9" t="n">
        <v>298</v>
      </c>
      <c r="E103" s="3" t="inlineStr">
        <is>
          <t>Entry gate</t>
        </is>
      </c>
      <c r="F103" s="3" t="inlineStr">
        <is>
          <t>703</t>
        </is>
      </c>
      <c r="G103" s="9" t="n">
        <v>766.25</v>
      </c>
      <c r="H103" s="10" t="n">
        <v>45670.25335648148</v>
      </c>
      <c r="I103" s="10" t="n">
        <v>45670.25335648148</v>
      </c>
      <c r="J103" s="10" t="n">
        <v>45670.25563657407</v>
      </c>
      <c r="K103" s="11" t="n">
        <v>0.002280092592592593</v>
      </c>
      <c r="L103" s="13" t="n"/>
    </row>
    <row r="104">
      <c r="A104" s="3" t="inlineStr">
        <is>
          <t>ArrivalDrive</t>
        </is>
      </c>
      <c r="B104" s="3" t="inlineStr">
        <is>
          <t>Act_ARRD_10103_070211_703</t>
        </is>
      </c>
      <c r="C104" s="3" t="inlineStr">
        <is>
          <t>10103</t>
        </is>
      </c>
      <c r="D104" s="9" t="n">
        <v>205.5</v>
      </c>
      <c r="E104" s="3" t="inlineStr">
        <is>
          <t>Entry gate</t>
        </is>
      </c>
      <c r="F104" s="3" t="inlineStr">
        <is>
          <t>703</t>
        </is>
      </c>
      <c r="G104" s="9" t="n">
        <v>766.25</v>
      </c>
      <c r="H104" s="10" t="n">
        <v>45670.29318287037</v>
      </c>
      <c r="I104" s="10" t="n">
        <v>45670.29318287037</v>
      </c>
      <c r="J104" s="10" t="n">
        <v>45670.29525462963</v>
      </c>
      <c r="K104" s="11" t="n">
        <v>0.002071759259259259</v>
      </c>
      <c r="L104" s="13" t="n"/>
    </row>
    <row r="105">
      <c r="A105" s="3" t="inlineStr">
        <is>
          <t>ArrivalDrive</t>
        </is>
      </c>
      <c r="B105" s="3" t="inlineStr">
        <is>
          <t>Act_ARRD_10104_071503_727</t>
        </is>
      </c>
      <c r="C105" s="3" t="inlineStr">
        <is>
          <t>10104</t>
        </is>
      </c>
      <c r="D105" s="9" t="n">
        <v>397.3</v>
      </c>
      <c r="E105" s="3" t="inlineStr">
        <is>
          <t>Entry gate</t>
        </is>
      </c>
      <c r="F105" s="3" t="inlineStr">
        <is>
          <t>727</t>
        </is>
      </c>
      <c r="G105" s="9" t="n">
        <v>556.2</v>
      </c>
      <c r="H105" s="10" t="n">
        <v>45670.30211805556</v>
      </c>
      <c r="I105" s="10" t="n">
        <v>45670.30211805556</v>
      </c>
      <c r="J105" s="10" t="n">
        <v>45670.30418981481</v>
      </c>
      <c r="K105" s="11" t="n">
        <v>0.002071759259259259</v>
      </c>
      <c r="L105" s="13" t="n"/>
    </row>
    <row r="106">
      <c r="A106" s="3" t="inlineStr">
        <is>
          <t>ArrivalDrive</t>
        </is>
      </c>
      <c r="B106" s="3" t="inlineStr">
        <is>
          <t>Act_ARRD_10105_071830_703</t>
        </is>
      </c>
      <c r="C106" s="3" t="inlineStr">
        <is>
          <t>10105</t>
        </is>
      </c>
      <c r="D106" s="9" t="n">
        <v>497.3</v>
      </c>
      <c r="E106" s="3" t="inlineStr">
        <is>
          <t>Entry gate</t>
        </is>
      </c>
      <c r="F106" s="3" t="inlineStr">
        <is>
          <t>703</t>
        </is>
      </c>
      <c r="G106" s="9" t="n">
        <v>766.25</v>
      </c>
      <c r="H106" s="10" t="n">
        <v>45670.30451388889</v>
      </c>
      <c r="I106" s="10" t="n">
        <v>45670.30451388889</v>
      </c>
      <c r="J106" s="10" t="n">
        <v>45670.30725694444</v>
      </c>
      <c r="K106" s="11" t="n">
        <v>0.002743055555555555</v>
      </c>
      <c r="L106" s="13" t="n"/>
    </row>
    <row r="107">
      <c r="A107" s="3" t="inlineStr">
        <is>
          <t>ArrivalDrive</t>
        </is>
      </c>
      <c r="B107" s="3" t="inlineStr">
        <is>
          <t>Act_ARRD_10106_090006_703</t>
        </is>
      </c>
      <c r="C107" s="3" t="inlineStr">
        <is>
          <t>10106</t>
        </is>
      </c>
      <c r="D107" s="9" t="n">
        <v>393.8</v>
      </c>
      <c r="E107" s="3" t="inlineStr">
        <is>
          <t>Entry gate</t>
        </is>
      </c>
      <c r="F107" s="3" t="inlineStr">
        <is>
          <t>703</t>
        </is>
      </c>
      <c r="G107" s="9" t="n">
        <v>766.25</v>
      </c>
      <c r="H107" s="10" t="n">
        <v>45670.37506944445</v>
      </c>
      <c r="I107" s="10" t="n">
        <v>45670.37506944445</v>
      </c>
      <c r="J107" s="10" t="n">
        <v>45670.37756944444</v>
      </c>
      <c r="K107" s="11" t="n">
        <v>0.0025</v>
      </c>
      <c r="L107" s="13" t="n"/>
    </row>
    <row r="108">
      <c r="A108" s="3" t="inlineStr">
        <is>
          <t>ArrivalDrive</t>
        </is>
      </c>
      <c r="B108" s="3" t="inlineStr">
        <is>
          <t>Act_ARRD_10107_090130_727</t>
        </is>
      </c>
      <c r="C108" s="3" t="inlineStr">
        <is>
          <t>10107</t>
        </is>
      </c>
      <c r="D108" s="9" t="n">
        <v>445.3</v>
      </c>
      <c r="E108" s="3" t="inlineStr">
        <is>
          <t>Entry gate</t>
        </is>
      </c>
      <c r="F108" s="3" t="inlineStr">
        <is>
          <t>727</t>
        </is>
      </c>
      <c r="G108" s="9" t="n">
        <v>556.2</v>
      </c>
      <c r="H108" s="10" t="n">
        <v>45670.37604166667</v>
      </c>
      <c r="I108" s="10" t="n">
        <v>45670.37604166667</v>
      </c>
      <c r="J108" s="10" t="n">
        <v>45670.37822916666</v>
      </c>
      <c r="K108" s="11" t="n">
        <v>0.0021875</v>
      </c>
      <c r="L108" s="13" t="n"/>
    </row>
    <row r="109">
      <c r="A109" s="3" t="inlineStr">
        <is>
          <t>ArrivalDrive</t>
        </is>
      </c>
      <c r="B109" s="3" t="inlineStr">
        <is>
          <t>Act_ARRD_10108_100322_703</t>
        </is>
      </c>
      <c r="C109" s="3" t="inlineStr">
        <is>
          <t>10108</t>
        </is>
      </c>
      <c r="D109" s="9" t="n">
        <v>407.9</v>
      </c>
      <c r="E109" s="3" t="inlineStr">
        <is>
          <t>Entry gate</t>
        </is>
      </c>
      <c r="F109" s="3" t="inlineStr">
        <is>
          <t>703</t>
        </is>
      </c>
      <c r="G109" s="9" t="n">
        <v>766.25</v>
      </c>
      <c r="H109" s="10" t="n">
        <v>45670.41900462963</v>
      </c>
      <c r="I109" s="10" t="n">
        <v>45670.41900462963</v>
      </c>
      <c r="J109" s="10" t="n">
        <v>45670.42153935185</v>
      </c>
      <c r="K109" s="11" t="n">
        <v>0.002534722222222222</v>
      </c>
      <c r="L109" s="13" t="n"/>
    </row>
    <row r="110">
      <c r="A110" s="3" t="inlineStr">
        <is>
          <t>ArrivalDrive</t>
        </is>
      </c>
      <c r="B110" s="3" t="inlineStr">
        <is>
          <t>Act_ARRD_10109_121636_703</t>
        </is>
      </c>
      <c r="C110" s="3" t="inlineStr">
        <is>
          <t>10109</t>
        </is>
      </c>
      <c r="D110" s="9" t="n">
        <v>234.9</v>
      </c>
      <c r="E110" s="3" t="inlineStr">
        <is>
          <t>Entry gate</t>
        </is>
      </c>
      <c r="F110" s="3" t="inlineStr">
        <is>
          <t>703</t>
        </is>
      </c>
      <c r="G110" s="9" t="n">
        <v>766.25</v>
      </c>
      <c r="H110" s="10" t="n">
        <v>45670.51152777778</v>
      </c>
      <c r="I110" s="10" t="n">
        <v>45670.51152777778</v>
      </c>
      <c r="J110" s="10" t="n">
        <v>45670.51365740741</v>
      </c>
      <c r="K110" s="11" t="n">
        <v>0.00212962962962963</v>
      </c>
      <c r="L110" s="13" t="n"/>
    </row>
    <row r="111">
      <c r="A111" s="3" t="inlineStr">
        <is>
          <t>ArrivalDrive</t>
        </is>
      </c>
      <c r="B111" s="3" t="inlineStr">
        <is>
          <t>Act_ARRD_10110_142653_703</t>
        </is>
      </c>
      <c r="C111" s="3" t="inlineStr">
        <is>
          <t>10110</t>
        </is>
      </c>
      <c r="D111" s="9" t="n">
        <v>388.3</v>
      </c>
      <c r="E111" s="3" t="inlineStr">
        <is>
          <t>Entry gate</t>
        </is>
      </c>
      <c r="F111" s="3" t="inlineStr">
        <is>
          <t>703</t>
        </is>
      </c>
      <c r="G111" s="9" t="n">
        <v>766.25</v>
      </c>
      <c r="H111" s="10" t="n">
        <v>45670.60200231482</v>
      </c>
      <c r="I111" s="10" t="n">
        <v>45670.60200231482</v>
      </c>
      <c r="J111" s="10" t="n">
        <v>45670.60449074074</v>
      </c>
      <c r="K111" s="11" t="n">
        <v>0.002488425925925926</v>
      </c>
      <c r="L111" s="13" t="n"/>
    </row>
    <row r="112">
      <c r="A112" s="3" t="inlineStr">
        <is>
          <t>ArrivalDrive</t>
        </is>
      </c>
      <c r="B112" s="3" t="inlineStr">
        <is>
          <t>Act_ARRD_10111_144615_703</t>
        </is>
      </c>
      <c r="C112" s="3" t="inlineStr">
        <is>
          <t>10111</t>
        </is>
      </c>
      <c r="D112" s="9" t="n">
        <v>367.5</v>
      </c>
      <c r="E112" s="3" t="inlineStr">
        <is>
          <t>Entry gate</t>
        </is>
      </c>
      <c r="F112" s="3" t="inlineStr">
        <is>
          <t>703</t>
        </is>
      </c>
      <c r="G112" s="9" t="n">
        <v>766.25</v>
      </c>
      <c r="H112" s="10" t="n">
        <v>45670.61545138889</v>
      </c>
      <c r="I112" s="10" t="n">
        <v>45670.61545138889</v>
      </c>
      <c r="J112" s="10" t="n">
        <v>45670.61789351852</v>
      </c>
      <c r="K112" s="11" t="n">
        <v>0.00244212962962963</v>
      </c>
      <c r="L112" s="13" t="n"/>
    </row>
    <row r="113">
      <c r="A113" s="3" t="inlineStr">
        <is>
          <t>ArrivalDrive</t>
        </is>
      </c>
      <c r="B113" s="3" t="inlineStr">
        <is>
          <t>Act_ARRD_10112_152046_727</t>
        </is>
      </c>
      <c r="C113" s="3" t="inlineStr">
        <is>
          <t>10112</t>
        </is>
      </c>
      <c r="D113" s="9" t="n">
        <v>393.5</v>
      </c>
      <c r="E113" s="3" t="inlineStr">
        <is>
          <t>Entry gate</t>
        </is>
      </c>
      <c r="F113" s="3" t="inlineStr">
        <is>
          <t>727</t>
        </is>
      </c>
      <c r="G113" s="9" t="n">
        <v>556.2</v>
      </c>
      <c r="H113" s="10" t="n">
        <v>45670.6394212963</v>
      </c>
      <c r="I113" s="10" t="n">
        <v>45670.6394212963</v>
      </c>
      <c r="J113" s="10" t="n">
        <v>45670.64148148148</v>
      </c>
      <c r="K113" s="11" t="n">
        <v>0.002060185185185185</v>
      </c>
      <c r="L113" s="13" t="n"/>
    </row>
    <row r="114">
      <c r="A114" s="3" t="inlineStr">
        <is>
          <t>ArrivalDrive</t>
        </is>
      </c>
      <c r="B114" s="3" t="inlineStr">
        <is>
          <t>Act_ARRD_10113_160043_703</t>
        </is>
      </c>
      <c r="C114" s="3" t="inlineStr">
        <is>
          <t>10113</t>
        </is>
      </c>
      <c r="D114" s="9" t="n">
        <v>387.6</v>
      </c>
      <c r="E114" s="3" t="inlineStr">
        <is>
          <t>Entry gate</t>
        </is>
      </c>
      <c r="F114" s="3" t="inlineStr">
        <is>
          <t>703</t>
        </is>
      </c>
      <c r="G114" s="9" t="n">
        <v>766.25</v>
      </c>
      <c r="H114" s="10" t="n">
        <v>45670.66716435185</v>
      </c>
      <c r="I114" s="10" t="n">
        <v>45670.66716435185</v>
      </c>
      <c r="J114" s="10" t="n">
        <v>45670.66965277777</v>
      </c>
      <c r="K114" s="11" t="n">
        <v>0.002488425925925926</v>
      </c>
      <c r="L114" s="13" t="n"/>
    </row>
    <row r="115">
      <c r="A115" s="3" t="inlineStr">
        <is>
          <t>ArrivalDrive</t>
        </is>
      </c>
      <c r="B115" s="3" t="inlineStr">
        <is>
          <t>Act_ARRD_10114_172639_703</t>
        </is>
      </c>
      <c r="C115" s="3" t="inlineStr">
        <is>
          <t>10114</t>
        </is>
      </c>
      <c r="D115" s="9" t="n">
        <v>185.9</v>
      </c>
      <c r="E115" s="3" t="inlineStr">
        <is>
          <t>Entry gate</t>
        </is>
      </c>
      <c r="F115" s="3" t="inlineStr">
        <is>
          <t>703</t>
        </is>
      </c>
      <c r="G115" s="9" t="n">
        <v>766.25</v>
      </c>
      <c r="H115" s="10" t="n">
        <v>45670.72684027778</v>
      </c>
      <c r="I115" s="10" t="n">
        <v>45670.72684027778</v>
      </c>
      <c r="J115" s="10" t="n">
        <v>45670.72886574074</v>
      </c>
      <c r="K115" s="11" t="n">
        <v>0.002025462962962963</v>
      </c>
      <c r="L115" s="13" t="n"/>
    </row>
    <row r="116">
      <c r="A116" s="3" t="inlineStr">
        <is>
          <t>ArrivalDrive</t>
        </is>
      </c>
      <c r="B116" s="3" t="inlineStr">
        <is>
          <t>Act_ARRD_10115_210359_703</t>
        </is>
      </c>
      <c r="C116" s="3" t="inlineStr">
        <is>
          <t>10115</t>
        </is>
      </c>
      <c r="D116" s="9" t="n">
        <v>389.1</v>
      </c>
      <c r="E116" s="3" t="inlineStr">
        <is>
          <t>Entry gate</t>
        </is>
      </c>
      <c r="F116" s="3" t="inlineStr">
        <is>
          <t>703</t>
        </is>
      </c>
      <c r="G116" s="9" t="n">
        <v>766.25</v>
      </c>
      <c r="H116" s="10" t="n">
        <v>45670.8777662037</v>
      </c>
      <c r="I116" s="10" t="n">
        <v>45670.8777662037</v>
      </c>
      <c r="J116" s="10" t="n">
        <v>45670.88025462963</v>
      </c>
      <c r="K116" s="11" t="n">
        <v>0.002488425925925926</v>
      </c>
      <c r="L116" s="13" t="n"/>
    </row>
    <row r="117">
      <c r="A117" s="3" t="inlineStr">
        <is>
          <t>ArrivalDrive</t>
        </is>
      </c>
      <c r="B117" s="3" t="inlineStr">
        <is>
          <t>Act_ARRD_10116_022734_703</t>
        </is>
      </c>
      <c r="C117" s="3" t="inlineStr">
        <is>
          <t>10116</t>
        </is>
      </c>
      <c r="D117" s="9" t="n">
        <v>147.4</v>
      </c>
      <c r="E117" s="3" t="inlineStr">
        <is>
          <t>Entry gate</t>
        </is>
      </c>
      <c r="F117" s="3" t="inlineStr">
        <is>
          <t>703</t>
        </is>
      </c>
      <c r="G117" s="9" t="n">
        <v>766.25</v>
      </c>
      <c r="H117" s="10" t="n">
        <v>45671.10247685185</v>
      </c>
      <c r="I117" s="10" t="n">
        <v>45671.10247685185</v>
      </c>
      <c r="J117" s="10" t="n">
        <v>45671.10440972223</v>
      </c>
      <c r="K117" s="11" t="n">
        <v>0.00193287037037037</v>
      </c>
      <c r="L117" s="13" t="n"/>
    </row>
    <row r="118">
      <c r="A118" s="3" t="inlineStr">
        <is>
          <t>ArrivalDrive</t>
        </is>
      </c>
      <c r="B118" s="3" t="inlineStr">
        <is>
          <t>Act_ARRD_10117_062931_703</t>
        </is>
      </c>
      <c r="C118" s="3" t="inlineStr">
        <is>
          <t>10117</t>
        </is>
      </c>
      <c r="D118" s="9" t="n">
        <v>297</v>
      </c>
      <c r="E118" s="3" t="inlineStr">
        <is>
          <t>Entry gate</t>
        </is>
      </c>
      <c r="F118" s="3" t="inlineStr">
        <is>
          <t>703</t>
        </is>
      </c>
      <c r="G118" s="9" t="n">
        <v>766.25</v>
      </c>
      <c r="H118" s="10" t="n">
        <v>45671.27049768518</v>
      </c>
      <c r="I118" s="10" t="n">
        <v>45671.27049768518</v>
      </c>
      <c r="J118" s="10" t="n">
        <v>45671.27277777778</v>
      </c>
      <c r="K118" s="11" t="n">
        <v>0.002280092592592593</v>
      </c>
      <c r="L118" s="13" t="n"/>
    </row>
    <row r="119">
      <c r="A119" s="3" t="inlineStr">
        <is>
          <t>ArrivalDrive</t>
        </is>
      </c>
      <c r="B119" s="3" t="inlineStr">
        <is>
          <t>Act_ARRD_10118_063758_727</t>
        </is>
      </c>
      <c r="C119" s="3" t="inlineStr">
        <is>
          <t>10118</t>
        </is>
      </c>
      <c r="D119" s="9" t="n">
        <v>363.8</v>
      </c>
      <c r="E119" s="3" t="inlineStr">
        <is>
          <t>Entry gate</t>
        </is>
      </c>
      <c r="F119" s="3" t="inlineStr">
        <is>
          <t>727</t>
        </is>
      </c>
      <c r="G119" s="9" t="n">
        <v>556.2</v>
      </c>
      <c r="H119" s="10" t="n">
        <v>45671.27636574074</v>
      </c>
      <c r="I119" s="10" t="n">
        <v>45671.27636574074</v>
      </c>
      <c r="J119" s="10" t="n">
        <v>45671.27835648148</v>
      </c>
      <c r="K119" s="11" t="n">
        <v>0.001990740740740741</v>
      </c>
      <c r="L119" s="13" t="n"/>
    </row>
    <row r="120">
      <c r="A120" s="3" t="inlineStr">
        <is>
          <t>ArrivalDrive</t>
        </is>
      </c>
      <c r="B120" s="3" t="inlineStr">
        <is>
          <t>Act_ARRD_10119_071942_703</t>
        </is>
      </c>
      <c r="C120" s="3" t="inlineStr">
        <is>
          <t>10119</t>
        </is>
      </c>
      <c r="D120" s="9" t="n">
        <v>213.8</v>
      </c>
      <c r="E120" s="3" t="inlineStr">
        <is>
          <t>Entry gate</t>
        </is>
      </c>
      <c r="F120" s="3" t="inlineStr">
        <is>
          <t>703</t>
        </is>
      </c>
      <c r="G120" s="9" t="n">
        <v>766.25</v>
      </c>
      <c r="H120" s="10" t="n">
        <v>45671.30534722222</v>
      </c>
      <c r="I120" s="10" t="n">
        <v>45671.30534722222</v>
      </c>
      <c r="J120" s="10" t="n">
        <v>45671.30743055556</v>
      </c>
      <c r="K120" s="11" t="n">
        <v>0.002083333333333333</v>
      </c>
      <c r="L120" s="13" t="n"/>
    </row>
    <row r="121">
      <c r="A121" s="3" t="inlineStr">
        <is>
          <t>ArrivalDrive</t>
        </is>
      </c>
      <c r="B121" s="3" t="inlineStr">
        <is>
          <t>Act_ARRD_10120_080030_703</t>
        </is>
      </c>
      <c r="C121" s="3" t="inlineStr">
        <is>
          <t>10120</t>
        </is>
      </c>
      <c r="D121" s="9" t="n">
        <v>389.8</v>
      </c>
      <c r="E121" s="3" t="inlineStr">
        <is>
          <t>Entry gate</t>
        </is>
      </c>
      <c r="F121" s="3" t="inlineStr">
        <is>
          <t>703</t>
        </is>
      </c>
      <c r="G121" s="9" t="n">
        <v>766.25</v>
      </c>
      <c r="H121" s="10" t="n">
        <v>45671.33368055556</v>
      </c>
      <c r="I121" s="10" t="n">
        <v>45671.33368055556</v>
      </c>
      <c r="J121" s="10" t="n">
        <v>45671.33616898148</v>
      </c>
      <c r="K121" s="11" t="n">
        <v>0.002488425925925926</v>
      </c>
      <c r="L121" s="13" t="n"/>
    </row>
    <row r="122">
      <c r="A122" s="3" t="inlineStr">
        <is>
          <t>ArrivalDrive</t>
        </is>
      </c>
      <c r="B122" s="3" t="inlineStr">
        <is>
          <t>Act_ARRD_10121_090003_727</t>
        </is>
      </c>
      <c r="C122" s="3" t="inlineStr">
        <is>
          <t>10121</t>
        </is>
      </c>
      <c r="D122" s="9" t="n">
        <v>591.6</v>
      </c>
      <c r="E122" s="3" t="inlineStr">
        <is>
          <t>Entry gate</t>
        </is>
      </c>
      <c r="F122" s="3" t="inlineStr">
        <is>
          <t>727</t>
        </is>
      </c>
      <c r="G122" s="9" t="n">
        <v>556.2</v>
      </c>
      <c r="H122" s="10" t="n">
        <v>45671.37503472222</v>
      </c>
      <c r="I122" s="10" t="n">
        <v>45671.37503472222</v>
      </c>
      <c r="J122" s="10" t="n">
        <v>45671.37755787037</v>
      </c>
      <c r="K122" s="11" t="n">
        <v>0.002523148148148148</v>
      </c>
      <c r="L122" s="13" t="n"/>
    </row>
    <row r="123">
      <c r="A123" s="3" t="inlineStr">
        <is>
          <t>ArrivalDrive</t>
        </is>
      </c>
      <c r="B123" s="3" t="inlineStr">
        <is>
          <t>Act_ARRD_10122_090434_703</t>
        </is>
      </c>
      <c r="C123" s="3" t="inlineStr">
        <is>
          <t>10122</t>
        </is>
      </c>
      <c r="D123" s="9" t="n">
        <v>393.9</v>
      </c>
      <c r="E123" s="3" t="inlineStr">
        <is>
          <t>Entry gate</t>
        </is>
      </c>
      <c r="F123" s="3" t="inlineStr">
        <is>
          <t>703</t>
        </is>
      </c>
      <c r="G123" s="9" t="n">
        <v>766.25</v>
      </c>
      <c r="H123" s="10" t="n">
        <v>45671.3781712963</v>
      </c>
      <c r="I123" s="10" t="n">
        <v>45671.3781712963</v>
      </c>
      <c r="J123" s="10" t="n">
        <v>45671.3806712963</v>
      </c>
      <c r="K123" s="11" t="n">
        <v>0.0025</v>
      </c>
      <c r="L123" s="13" t="n"/>
    </row>
    <row r="124">
      <c r="A124" s="3" t="inlineStr">
        <is>
          <t>ArrivalDrive</t>
        </is>
      </c>
      <c r="B124" s="3" t="inlineStr">
        <is>
          <t>Act_ARRD_10123_094919_703</t>
        </is>
      </c>
      <c r="C124" s="3" t="inlineStr">
        <is>
          <t>10123</t>
        </is>
      </c>
      <c r="D124" s="9" t="n">
        <v>439.7</v>
      </c>
      <c r="E124" s="3" t="inlineStr">
        <is>
          <t>Entry gate</t>
        </is>
      </c>
      <c r="F124" s="3" t="inlineStr">
        <is>
          <t>703</t>
        </is>
      </c>
      <c r="G124" s="9" t="n">
        <v>766.25</v>
      </c>
      <c r="H124" s="10" t="n">
        <v>45671.40924768519</v>
      </c>
      <c r="I124" s="10" t="n">
        <v>45671.40924768519</v>
      </c>
      <c r="J124" s="10" t="n">
        <v>45671.41185185185</v>
      </c>
      <c r="K124" s="11" t="n">
        <v>0.002604166666666667</v>
      </c>
      <c r="L124" s="13" t="n"/>
    </row>
    <row r="125">
      <c r="A125" s="3" t="inlineStr">
        <is>
          <t>ArrivalDrive</t>
        </is>
      </c>
      <c r="B125" s="3" t="inlineStr">
        <is>
          <t>Act_ARRD_10124_125059_703</t>
        </is>
      </c>
      <c r="C125" s="3" t="inlineStr">
        <is>
          <t>10124</t>
        </is>
      </c>
      <c r="D125" s="9" t="n">
        <v>297.8</v>
      </c>
      <c r="E125" s="3" t="inlineStr">
        <is>
          <t>Entry gate</t>
        </is>
      </c>
      <c r="F125" s="3" t="inlineStr">
        <is>
          <t>703</t>
        </is>
      </c>
      <c r="G125" s="9" t="n">
        <v>766.25</v>
      </c>
      <c r="H125" s="10" t="n">
        <v>45671.5354050926</v>
      </c>
      <c r="I125" s="10" t="n">
        <v>45671.5354050926</v>
      </c>
      <c r="J125" s="10" t="n">
        <v>45671.53768518518</v>
      </c>
      <c r="K125" s="11" t="n">
        <v>0.002280092592592593</v>
      </c>
      <c r="L125" s="13" t="n"/>
    </row>
    <row r="126">
      <c r="A126" s="3" t="inlineStr">
        <is>
          <t>ArrivalDrive</t>
        </is>
      </c>
      <c r="B126" s="3" t="inlineStr">
        <is>
          <t>Act_ARRD_10125_142326_703</t>
        </is>
      </c>
      <c r="C126" s="3" t="inlineStr">
        <is>
          <t>10125</t>
        </is>
      </c>
      <c r="D126" s="9" t="n">
        <v>225.6</v>
      </c>
      <c r="E126" s="3" t="inlineStr">
        <is>
          <t>Entry gate</t>
        </is>
      </c>
      <c r="F126" s="3" t="inlineStr">
        <is>
          <t>703</t>
        </is>
      </c>
      <c r="G126" s="9" t="n">
        <v>766.25</v>
      </c>
      <c r="H126" s="10" t="n">
        <v>45671.59960648148</v>
      </c>
      <c r="I126" s="10" t="n">
        <v>45671.59960648148</v>
      </c>
      <c r="J126" s="10" t="n">
        <v>45671.60172453704</v>
      </c>
      <c r="K126" s="11" t="n">
        <v>0.002118055555555556</v>
      </c>
      <c r="L126" s="13" t="n"/>
    </row>
    <row r="127">
      <c r="A127" s="3" t="inlineStr">
        <is>
          <t>ArrivalDrive</t>
        </is>
      </c>
      <c r="B127" s="3" t="inlineStr">
        <is>
          <t>Act_ARRD_10126_145229_727</t>
        </is>
      </c>
      <c r="C127" s="3" t="inlineStr">
        <is>
          <t>10126</t>
        </is>
      </c>
      <c r="D127" s="9" t="n">
        <v>584.6</v>
      </c>
      <c r="E127" s="3" t="inlineStr">
        <is>
          <t>Entry gate</t>
        </is>
      </c>
      <c r="F127" s="3" t="inlineStr">
        <is>
          <t>727</t>
        </is>
      </c>
      <c r="G127" s="9" t="n">
        <v>556.2</v>
      </c>
      <c r="H127" s="10" t="n">
        <v>45671.61978009259</v>
      </c>
      <c r="I127" s="10" t="n">
        <v>45671.61978009259</v>
      </c>
      <c r="J127" s="10" t="n">
        <v>45671.62229166667</v>
      </c>
      <c r="K127" s="11" t="n">
        <v>0.002511574074074074</v>
      </c>
      <c r="L127" s="13" t="n"/>
    </row>
    <row r="128">
      <c r="A128" s="3" t="inlineStr">
        <is>
          <t>ArrivalDrive</t>
        </is>
      </c>
      <c r="B128" s="3" t="inlineStr">
        <is>
          <t>Act_ARRD_10127_152723_703</t>
        </is>
      </c>
      <c r="C128" s="3" t="inlineStr">
        <is>
          <t>10127</t>
        </is>
      </c>
      <c r="D128" s="9" t="n">
        <v>173.1</v>
      </c>
      <c r="E128" s="3" t="inlineStr">
        <is>
          <t>Entry gate</t>
        </is>
      </c>
      <c r="F128" s="3" t="inlineStr">
        <is>
          <t>703</t>
        </is>
      </c>
      <c r="G128" s="9" t="n">
        <v>766.25</v>
      </c>
      <c r="H128" s="10" t="n">
        <v>45671.6440162037</v>
      </c>
      <c r="I128" s="10" t="n">
        <v>45671.6440162037</v>
      </c>
      <c r="J128" s="10" t="n">
        <v>45671.64600694444</v>
      </c>
      <c r="K128" s="11" t="n">
        <v>0.001990740740740741</v>
      </c>
      <c r="L128" s="13" t="n"/>
    </row>
    <row r="129">
      <c r="A129" s="3" t="inlineStr">
        <is>
          <t>ArrivalDrive</t>
        </is>
      </c>
      <c r="B129" s="3" t="inlineStr">
        <is>
          <t>Act_ARRD_10128_153907_731</t>
        </is>
      </c>
      <c r="C129" s="3" t="inlineStr">
        <is>
          <t>10128</t>
        </is>
      </c>
      <c r="D129" s="9" t="n">
        <v>40.9</v>
      </c>
      <c r="E129" s="3" t="inlineStr">
        <is>
          <t>Entry gate</t>
        </is>
      </c>
      <c r="F129" s="3" t="inlineStr">
        <is>
          <t>731</t>
        </is>
      </c>
      <c r="G129" s="9" t="n">
        <v>587.14</v>
      </c>
      <c r="H129" s="10" t="n">
        <v>45671.65216435185</v>
      </c>
      <c r="I129" s="10" t="n">
        <v>45671.65216435185</v>
      </c>
      <c r="J129" s="10" t="n">
        <v>45671.65347222222</v>
      </c>
      <c r="K129" s="11" t="n">
        <v>0.00130787037037037</v>
      </c>
      <c r="L129" s="13" t="n"/>
    </row>
    <row r="130">
      <c r="A130" s="3" t="inlineStr">
        <is>
          <t>ArrivalDrive</t>
        </is>
      </c>
      <c r="B130" s="3" t="inlineStr">
        <is>
          <t>Act_ARRD_10129_173114_703</t>
        </is>
      </c>
      <c r="C130" s="3" t="inlineStr">
        <is>
          <t>10129</t>
        </is>
      </c>
      <c r="D130" s="9" t="n">
        <v>490.1</v>
      </c>
      <c r="E130" s="3" t="inlineStr">
        <is>
          <t>Entry gate</t>
        </is>
      </c>
      <c r="F130" s="3" t="inlineStr">
        <is>
          <t>703</t>
        </is>
      </c>
      <c r="G130" s="9" t="n">
        <v>766.25</v>
      </c>
      <c r="H130" s="10" t="n">
        <v>45671.73002314815</v>
      </c>
      <c r="I130" s="10" t="n">
        <v>45671.73002314815</v>
      </c>
      <c r="J130" s="10" t="n">
        <v>45671.73274305555</v>
      </c>
      <c r="K130" s="11" t="n">
        <v>0.002719907407407407</v>
      </c>
      <c r="L130" s="13" t="n"/>
    </row>
    <row r="131">
      <c r="A131" s="3" t="inlineStr">
        <is>
          <t>ArrivalDrive</t>
        </is>
      </c>
      <c r="B131" s="3" t="inlineStr">
        <is>
          <t>Act_ARRD_10130_175213_731</t>
        </is>
      </c>
      <c r="C131" s="3" t="inlineStr">
        <is>
          <t>10130</t>
        </is>
      </c>
      <c r="D131" s="9" t="n">
        <v>63</v>
      </c>
      <c r="E131" s="3" t="inlineStr">
        <is>
          <t>Entry gate</t>
        </is>
      </c>
      <c r="F131" s="3" t="inlineStr">
        <is>
          <t>731</t>
        </is>
      </c>
      <c r="G131" s="9" t="n">
        <v>587.14</v>
      </c>
      <c r="H131" s="10" t="n">
        <v>45671.74459490741</v>
      </c>
      <c r="I131" s="10" t="n">
        <v>45671.74459490741</v>
      </c>
      <c r="J131" s="10" t="n">
        <v>45671.74596064815</v>
      </c>
      <c r="K131" s="11" t="n">
        <v>0.001365740740740741</v>
      </c>
      <c r="L131" s="13" t="n"/>
    </row>
    <row r="132">
      <c r="A132" s="3" t="inlineStr">
        <is>
          <t>ArrivalDrive</t>
        </is>
      </c>
      <c r="B132" s="3" t="inlineStr">
        <is>
          <t>Act_ARRD_10131_194740_731</t>
        </is>
      </c>
      <c r="C132" s="3" t="inlineStr">
        <is>
          <t>10131</t>
        </is>
      </c>
      <c r="D132" s="9" t="n">
        <v>15.7</v>
      </c>
      <c r="E132" s="3" t="inlineStr">
        <is>
          <t>Entry gate</t>
        </is>
      </c>
      <c r="F132" s="3" t="inlineStr">
        <is>
          <t>731</t>
        </is>
      </c>
      <c r="G132" s="9" t="n">
        <v>587.14</v>
      </c>
      <c r="H132" s="10" t="n">
        <v>45671.82476851852</v>
      </c>
      <c r="I132" s="10" t="n">
        <v>45671.82476851852</v>
      </c>
      <c r="J132" s="10" t="n">
        <v>45671.82601851852</v>
      </c>
      <c r="K132" s="11" t="n">
        <v>0.00125</v>
      </c>
      <c r="L132" s="13" t="n"/>
    </row>
    <row r="133">
      <c r="A133" s="3" t="inlineStr">
        <is>
          <t>ArrivalDrive</t>
        </is>
      </c>
      <c r="B133" s="3" t="inlineStr">
        <is>
          <t>Act_ARRD_10132_022346_703</t>
        </is>
      </c>
      <c r="C133" s="3" t="inlineStr">
        <is>
          <t>10132</t>
        </is>
      </c>
      <c r="D133" s="9" t="n">
        <v>313.2</v>
      </c>
      <c r="E133" s="3" t="inlineStr">
        <is>
          <t>Entry gate</t>
        </is>
      </c>
      <c r="F133" s="3" t="inlineStr">
        <is>
          <t>703</t>
        </is>
      </c>
      <c r="G133" s="9" t="n">
        <v>766.25</v>
      </c>
      <c r="H133" s="10" t="n">
        <v>45672.09983796296</v>
      </c>
      <c r="I133" s="10" t="n">
        <v>45672.09983796296</v>
      </c>
      <c r="J133" s="10" t="n">
        <v>45672.10215277778</v>
      </c>
      <c r="K133" s="11" t="n">
        <v>0.002314814814814815</v>
      </c>
      <c r="L133" s="13" t="n"/>
    </row>
    <row r="134">
      <c r="A134" s="3" t="inlineStr">
        <is>
          <t>ArrivalDrive</t>
        </is>
      </c>
      <c r="B134" s="3" t="inlineStr">
        <is>
          <t>Act_ARRD_10133_043513_703</t>
        </is>
      </c>
      <c r="C134" s="3" t="inlineStr">
        <is>
          <t>10133</t>
        </is>
      </c>
      <c r="D134" s="9" t="n">
        <v>521.9</v>
      </c>
      <c r="E134" s="3" t="inlineStr">
        <is>
          <t>Entry gate</t>
        </is>
      </c>
      <c r="F134" s="3" t="inlineStr">
        <is>
          <t>703</t>
        </is>
      </c>
      <c r="G134" s="9" t="n">
        <v>766.25</v>
      </c>
      <c r="H134" s="10" t="n">
        <v>45672.19112268519</v>
      </c>
      <c r="I134" s="10" t="n">
        <v>45672.19112268519</v>
      </c>
      <c r="J134" s="10" t="n">
        <v>45672.19392361111</v>
      </c>
      <c r="K134" s="11" t="n">
        <v>0.002800925925925926</v>
      </c>
      <c r="L134" s="13" t="n"/>
    </row>
    <row r="135">
      <c r="A135" s="3" t="inlineStr">
        <is>
          <t>ArrivalDrive</t>
        </is>
      </c>
      <c r="B135" s="3" t="inlineStr">
        <is>
          <t>Act_ARRD_10134_062841_703</t>
        </is>
      </c>
      <c r="C135" s="3" t="inlineStr">
        <is>
          <t>10134</t>
        </is>
      </c>
      <c r="D135" s="9" t="n">
        <v>298</v>
      </c>
      <c r="E135" s="3" t="inlineStr">
        <is>
          <t>Entry gate</t>
        </is>
      </c>
      <c r="F135" s="3" t="inlineStr">
        <is>
          <t>703</t>
        </is>
      </c>
      <c r="G135" s="9" t="n">
        <v>766.25</v>
      </c>
      <c r="H135" s="10" t="n">
        <v>45672.26991898148</v>
      </c>
      <c r="I135" s="10" t="n">
        <v>45672.26991898148</v>
      </c>
      <c r="J135" s="10" t="n">
        <v>45672.27219907408</v>
      </c>
      <c r="K135" s="11" t="n">
        <v>0.002280092592592593</v>
      </c>
      <c r="L135" s="13" t="n"/>
    </row>
    <row r="136">
      <c r="A136" s="3" t="inlineStr">
        <is>
          <t>ArrivalDrive</t>
        </is>
      </c>
      <c r="B136" s="3" t="inlineStr">
        <is>
          <t>Act_ARRD_10135_070740_703</t>
        </is>
      </c>
      <c r="C136" s="3" t="inlineStr">
        <is>
          <t>10135</t>
        </is>
      </c>
      <c r="D136" s="9" t="n">
        <v>406.3</v>
      </c>
      <c r="E136" s="3" t="inlineStr">
        <is>
          <t>Entry gate</t>
        </is>
      </c>
      <c r="F136" s="3" t="inlineStr">
        <is>
          <t>703</t>
        </is>
      </c>
      <c r="G136" s="9" t="n">
        <v>766.25</v>
      </c>
      <c r="H136" s="10" t="n">
        <v>45672.29699074074</v>
      </c>
      <c r="I136" s="10" t="n">
        <v>45672.29699074074</v>
      </c>
      <c r="J136" s="10" t="n">
        <v>45672.29952546296</v>
      </c>
      <c r="K136" s="11" t="n">
        <v>0.002534722222222222</v>
      </c>
      <c r="L136" s="13" t="n"/>
    </row>
    <row r="137">
      <c r="A137" s="3" t="inlineStr">
        <is>
          <t>ArrivalDrive</t>
        </is>
      </c>
      <c r="B137" s="3" t="inlineStr">
        <is>
          <t>Act_ARRD_10136_072838_727</t>
        </is>
      </c>
      <c r="C137" s="3" t="inlineStr">
        <is>
          <t>10136</t>
        </is>
      </c>
      <c r="D137" s="9" t="n">
        <v>257</v>
      </c>
      <c r="E137" s="3" t="inlineStr">
        <is>
          <t>Entry gate</t>
        </is>
      </c>
      <c r="F137" s="3" t="inlineStr">
        <is>
          <t>727</t>
        </is>
      </c>
      <c r="G137" s="9" t="n">
        <v>556.2</v>
      </c>
      <c r="H137" s="10" t="n">
        <v>45672.31155092592</v>
      </c>
      <c r="I137" s="10" t="n">
        <v>45672.31155092592</v>
      </c>
      <c r="J137" s="10" t="n">
        <v>45672.31329861111</v>
      </c>
      <c r="K137" s="11" t="n">
        <v>0.001747685185185185</v>
      </c>
      <c r="L137" s="13" t="n"/>
    </row>
    <row r="138">
      <c r="A138" s="3" t="inlineStr">
        <is>
          <t>ArrivalDrive</t>
        </is>
      </c>
      <c r="B138" s="3" t="inlineStr">
        <is>
          <t>Act_ARRD_10137_080259_703</t>
        </is>
      </c>
      <c r="C138" s="3" t="inlineStr">
        <is>
          <t>10137</t>
        </is>
      </c>
      <c r="D138" s="9" t="n">
        <v>374.1</v>
      </c>
      <c r="E138" s="3" t="inlineStr">
        <is>
          <t>Entry gate</t>
        </is>
      </c>
      <c r="F138" s="3" t="inlineStr">
        <is>
          <t>703</t>
        </is>
      </c>
      <c r="G138" s="9" t="n">
        <v>766.25</v>
      </c>
      <c r="H138" s="10" t="n">
        <v>45672.33540509259</v>
      </c>
      <c r="I138" s="10" t="n">
        <v>45672.33540509259</v>
      </c>
      <c r="J138" s="10" t="n">
        <v>45672.33785879629</v>
      </c>
      <c r="K138" s="11" t="n">
        <v>0.002453703703703704</v>
      </c>
      <c r="L138" s="13" t="n"/>
    </row>
    <row r="139">
      <c r="A139" s="3" t="inlineStr">
        <is>
          <t>ArrivalDrive</t>
        </is>
      </c>
      <c r="B139" s="3" t="inlineStr">
        <is>
          <t>Act_ARRD_10138_085316_703</t>
        </is>
      </c>
      <c r="C139" s="3" t="inlineStr">
        <is>
          <t>10138</t>
        </is>
      </c>
      <c r="D139" s="9" t="n">
        <v>285.7</v>
      </c>
      <c r="E139" s="3" t="inlineStr">
        <is>
          <t>Entry gate</t>
        </is>
      </c>
      <c r="F139" s="3" t="inlineStr">
        <is>
          <t>703</t>
        </is>
      </c>
      <c r="G139" s="9" t="n">
        <v>766.25</v>
      </c>
      <c r="H139" s="10" t="n">
        <v>45672.37032407407</v>
      </c>
      <c r="I139" s="10" t="n">
        <v>45672.37032407407</v>
      </c>
      <c r="J139" s="10" t="n">
        <v>45672.37258101852</v>
      </c>
      <c r="K139" s="11" t="n">
        <v>0.002256944444444444</v>
      </c>
      <c r="L139" s="13" t="n"/>
    </row>
    <row r="140">
      <c r="A140" s="3" t="inlineStr">
        <is>
          <t>ArrivalDrive</t>
        </is>
      </c>
      <c r="B140" s="3" t="inlineStr">
        <is>
          <t>Act_ARRD_10139_090523_727</t>
        </is>
      </c>
      <c r="C140" s="3" t="inlineStr">
        <is>
          <t>10139</t>
        </is>
      </c>
      <c r="D140" s="9" t="n">
        <v>355.3</v>
      </c>
      <c r="E140" s="3" t="inlineStr">
        <is>
          <t>Entry gate</t>
        </is>
      </c>
      <c r="F140" s="3" t="inlineStr">
        <is>
          <t>727</t>
        </is>
      </c>
      <c r="G140" s="9" t="n">
        <v>556.2</v>
      </c>
      <c r="H140" s="10" t="n">
        <v>45672.37873842593</v>
      </c>
      <c r="I140" s="10" t="n">
        <v>45672.37873842593</v>
      </c>
      <c r="J140" s="10" t="n">
        <v>45672.38071759259</v>
      </c>
      <c r="K140" s="11" t="n">
        <v>0.001979166666666667</v>
      </c>
      <c r="L140" s="13" t="n"/>
    </row>
    <row r="141">
      <c r="A141" s="3" t="inlineStr">
        <is>
          <t>ArrivalDrive</t>
        </is>
      </c>
      <c r="B141" s="3" t="inlineStr">
        <is>
          <t>Act_ARRD_10140_095659_703</t>
        </is>
      </c>
      <c r="C141" s="3" t="inlineStr">
        <is>
          <t>10140</t>
        </is>
      </c>
      <c r="D141" s="9" t="n">
        <v>273.6</v>
      </c>
      <c r="E141" s="3" t="inlineStr">
        <is>
          <t>Entry gate</t>
        </is>
      </c>
      <c r="F141" s="3" t="inlineStr">
        <is>
          <t>703</t>
        </is>
      </c>
      <c r="G141" s="9" t="n">
        <v>766.25</v>
      </c>
      <c r="H141" s="10" t="n">
        <v>45672.41457175926</v>
      </c>
      <c r="I141" s="10" t="n">
        <v>45672.41457175926</v>
      </c>
      <c r="J141" s="10" t="n">
        <v>45672.41679398148</v>
      </c>
      <c r="K141" s="11" t="n">
        <v>0.002222222222222222</v>
      </c>
      <c r="L141" s="13" t="n"/>
    </row>
    <row r="142">
      <c r="A142" s="3" t="inlineStr">
        <is>
          <t>ArrivalDrive</t>
        </is>
      </c>
      <c r="B142" s="3" t="inlineStr">
        <is>
          <t>Act_ARRD_10141_125855_703</t>
        </is>
      </c>
      <c r="C142" s="3" t="inlineStr">
        <is>
          <t>10141</t>
        </is>
      </c>
      <c r="D142" s="9" t="n">
        <v>120.9</v>
      </c>
      <c r="E142" s="3" t="inlineStr">
        <is>
          <t>Entry gate</t>
        </is>
      </c>
      <c r="F142" s="3" t="inlineStr">
        <is>
          <t>703</t>
        </is>
      </c>
      <c r="G142" s="9" t="n">
        <v>766.25</v>
      </c>
      <c r="H142" s="10" t="n">
        <v>45672.54091435186</v>
      </c>
      <c r="I142" s="10" t="n">
        <v>45672.54091435186</v>
      </c>
      <c r="J142" s="10" t="n">
        <v>45672.54278935185</v>
      </c>
      <c r="K142" s="11" t="n">
        <v>0.001875</v>
      </c>
      <c r="L142" s="13" t="n"/>
    </row>
    <row r="143">
      <c r="A143" s="3" t="inlineStr">
        <is>
          <t>ArrivalDrive</t>
        </is>
      </c>
      <c r="B143" s="3" t="inlineStr">
        <is>
          <t>Act_ARRD_10142_150329_703</t>
        </is>
      </c>
      <c r="C143" s="3" t="inlineStr">
        <is>
          <t>10142</t>
        </is>
      </c>
      <c r="D143" s="9" t="n">
        <v>515.6</v>
      </c>
      <c r="E143" s="3" t="inlineStr">
        <is>
          <t>Entry gate</t>
        </is>
      </c>
      <c r="F143" s="3" t="inlineStr">
        <is>
          <t>703</t>
        </is>
      </c>
      <c r="G143" s="9" t="n">
        <v>766.25</v>
      </c>
      <c r="H143" s="10" t="n">
        <v>45672.62741898148</v>
      </c>
      <c r="I143" s="10" t="n">
        <v>45672.62741898148</v>
      </c>
      <c r="J143" s="10" t="n">
        <v>45672.63020833334</v>
      </c>
      <c r="K143" s="11" t="n">
        <v>0.002789351851851852</v>
      </c>
      <c r="L143" s="13" t="n"/>
    </row>
    <row r="144">
      <c r="A144" s="3" t="inlineStr">
        <is>
          <t>ArrivalDrive</t>
        </is>
      </c>
      <c r="B144" s="3" t="inlineStr">
        <is>
          <t>Act_ARRD_10143_153247_727</t>
        </is>
      </c>
      <c r="C144" s="3" t="inlineStr">
        <is>
          <t>10143</t>
        </is>
      </c>
      <c r="D144" s="9" t="n">
        <v>110.2</v>
      </c>
      <c r="E144" s="3" t="inlineStr">
        <is>
          <t>Entry gate</t>
        </is>
      </c>
      <c r="F144" s="3" t="inlineStr">
        <is>
          <t>727</t>
        </is>
      </c>
      <c r="G144" s="9" t="n">
        <v>556.2</v>
      </c>
      <c r="H144" s="10" t="n">
        <v>45672.64776620371</v>
      </c>
      <c r="I144" s="10" t="n">
        <v>45672.64776620371</v>
      </c>
      <c r="J144" s="10" t="n">
        <v>45672.64917824074</v>
      </c>
      <c r="K144" s="11" t="n">
        <v>0.001412037037037037</v>
      </c>
      <c r="L144" s="13" t="n"/>
    </row>
    <row r="145">
      <c r="A145" s="3" t="inlineStr">
        <is>
          <t>ArrivalDrive</t>
        </is>
      </c>
      <c r="B145" s="3" t="inlineStr">
        <is>
          <t>Act_ARRD_10144_171422_703</t>
        </is>
      </c>
      <c r="C145" s="3" t="inlineStr">
        <is>
          <t>10144</t>
        </is>
      </c>
      <c r="D145" s="9" t="n">
        <v>325.4</v>
      </c>
      <c r="E145" s="3" t="inlineStr">
        <is>
          <t>Entry gate</t>
        </is>
      </c>
      <c r="F145" s="3" t="inlineStr">
        <is>
          <t>703</t>
        </is>
      </c>
      <c r="G145" s="9" t="n">
        <v>766.25</v>
      </c>
      <c r="H145" s="10" t="n">
        <v>45672.71831018518</v>
      </c>
      <c r="I145" s="10" t="n">
        <v>45672.71831018518</v>
      </c>
      <c r="J145" s="10" t="n">
        <v>45672.72064814815</v>
      </c>
      <c r="K145" s="11" t="n">
        <v>0.002337962962962963</v>
      </c>
      <c r="L145" s="13" t="n"/>
    </row>
    <row r="146">
      <c r="A146" s="3" t="inlineStr">
        <is>
          <t>ArrivalDrive</t>
        </is>
      </c>
      <c r="B146" s="3" t="inlineStr">
        <is>
          <t>Act_ARRD_10145_173858_703</t>
        </is>
      </c>
      <c r="C146" s="3" t="inlineStr">
        <is>
          <t>10145</t>
        </is>
      </c>
      <c r="D146" s="9" t="n">
        <v>296.6</v>
      </c>
      <c r="E146" s="3" t="inlineStr">
        <is>
          <t>Entry gate</t>
        </is>
      </c>
      <c r="F146" s="3" t="inlineStr">
        <is>
          <t>703</t>
        </is>
      </c>
      <c r="G146" s="9" t="n">
        <v>766.25</v>
      </c>
      <c r="H146" s="10" t="n">
        <v>45672.73539351852</v>
      </c>
      <c r="I146" s="10" t="n">
        <v>45672.73539351852</v>
      </c>
      <c r="J146" s="10" t="n">
        <v>45672.73767361111</v>
      </c>
      <c r="K146" s="11" t="n">
        <v>0.002280092592592593</v>
      </c>
      <c r="L146" s="13" t="n"/>
    </row>
    <row r="147">
      <c r="A147" s="3" t="inlineStr">
        <is>
          <t>ArrivalDrive</t>
        </is>
      </c>
      <c r="B147" s="3" t="inlineStr">
        <is>
          <t>Act_ARRD_10146_023908_703</t>
        </is>
      </c>
      <c r="C147" s="3" t="inlineStr">
        <is>
          <t>10146</t>
        </is>
      </c>
      <c r="D147" s="9" t="n">
        <v>200.3</v>
      </c>
      <c r="E147" s="3" t="inlineStr">
        <is>
          <t>Entry gate</t>
        </is>
      </c>
      <c r="F147" s="3" t="inlineStr">
        <is>
          <t>703</t>
        </is>
      </c>
      <c r="G147" s="9" t="n">
        <v>766.25</v>
      </c>
      <c r="H147" s="10" t="n">
        <v>45673.11050925926</v>
      </c>
      <c r="I147" s="10" t="n">
        <v>45673.11050925926</v>
      </c>
      <c r="J147" s="10" t="n">
        <v>45673.11255787037</v>
      </c>
      <c r="K147" s="11" t="n">
        <v>0.002048611111111111</v>
      </c>
      <c r="L147" s="13" t="n"/>
    </row>
    <row r="148">
      <c r="A148" s="3" t="inlineStr">
        <is>
          <t>ArrivalDrive</t>
        </is>
      </c>
      <c r="B148" s="3" t="inlineStr">
        <is>
          <t>Act_ARRD_10147_062111_703</t>
        </is>
      </c>
      <c r="C148" s="3" t="inlineStr">
        <is>
          <t>10147</t>
        </is>
      </c>
      <c r="D148" s="9" t="n">
        <v>297</v>
      </c>
      <c r="E148" s="3" t="inlineStr">
        <is>
          <t>Entry gate</t>
        </is>
      </c>
      <c r="F148" s="3" t="inlineStr">
        <is>
          <t>703</t>
        </is>
      </c>
      <c r="G148" s="9" t="n">
        <v>766.25</v>
      </c>
      <c r="H148" s="10" t="n">
        <v>45673.26471064815</v>
      </c>
      <c r="I148" s="10" t="n">
        <v>45673.26471064815</v>
      </c>
      <c r="J148" s="10" t="n">
        <v>45673.26699074074</v>
      </c>
      <c r="K148" s="11" t="n">
        <v>0.002280092592592593</v>
      </c>
      <c r="L148" s="13" t="n"/>
    </row>
    <row r="149">
      <c r="A149" s="3" t="inlineStr">
        <is>
          <t>ArrivalDrive</t>
        </is>
      </c>
      <c r="B149" s="3" t="inlineStr">
        <is>
          <t>Act_ARRD_10148_071331_703</t>
        </is>
      </c>
      <c r="C149" s="3" t="inlineStr">
        <is>
          <t>10148</t>
        </is>
      </c>
      <c r="D149" s="9" t="n">
        <v>390.7</v>
      </c>
      <c r="E149" s="3" t="inlineStr">
        <is>
          <t>Entry gate</t>
        </is>
      </c>
      <c r="F149" s="3" t="inlineStr">
        <is>
          <t>703</t>
        </is>
      </c>
      <c r="G149" s="9" t="n">
        <v>766.25</v>
      </c>
      <c r="H149" s="10" t="n">
        <v>45673.30105324074</v>
      </c>
      <c r="I149" s="10" t="n">
        <v>45673.30105324074</v>
      </c>
      <c r="J149" s="10" t="n">
        <v>45673.30355324074</v>
      </c>
      <c r="K149" s="11" t="n">
        <v>0.0025</v>
      </c>
      <c r="L149" s="13" t="n"/>
    </row>
    <row r="150">
      <c r="A150" s="3" t="inlineStr">
        <is>
          <t>ArrivalDrive</t>
        </is>
      </c>
      <c r="B150" s="3" t="inlineStr">
        <is>
          <t>Act_ARRD_10149_071354_727</t>
        </is>
      </c>
      <c r="C150" s="3" t="inlineStr">
        <is>
          <t>10149</t>
        </is>
      </c>
      <c r="D150" s="9" t="n">
        <v>126</v>
      </c>
      <c r="E150" s="3" t="inlineStr">
        <is>
          <t>Entry gate</t>
        </is>
      </c>
      <c r="F150" s="3" t="inlineStr">
        <is>
          <t>727</t>
        </is>
      </c>
      <c r="G150" s="9" t="n">
        <v>556.2</v>
      </c>
      <c r="H150" s="10" t="n">
        <v>45673.30131944444</v>
      </c>
      <c r="I150" s="10" t="n">
        <v>45673.30131944444</v>
      </c>
      <c r="J150" s="10" t="n">
        <v>45673.30276620371</v>
      </c>
      <c r="K150" s="11" t="n">
        <v>0.001446759259259259</v>
      </c>
      <c r="L150" s="13" t="n"/>
    </row>
    <row r="151">
      <c r="A151" s="3" t="inlineStr">
        <is>
          <t>ArrivalDrive</t>
        </is>
      </c>
      <c r="B151" s="3" t="inlineStr">
        <is>
          <t>Act_ARRD_10150_075624_727</t>
        </is>
      </c>
      <c r="C151" s="3" t="inlineStr">
        <is>
          <t>10150</t>
        </is>
      </c>
      <c r="D151" s="9" t="n">
        <v>396.6</v>
      </c>
      <c r="E151" s="3" t="inlineStr">
        <is>
          <t>Entry gate</t>
        </is>
      </c>
      <c r="F151" s="3" t="inlineStr">
        <is>
          <t>727</t>
        </is>
      </c>
      <c r="G151" s="9" t="n">
        <v>556.2</v>
      </c>
      <c r="H151" s="10" t="n">
        <v>45673.33083333333</v>
      </c>
      <c r="I151" s="10" t="n">
        <v>45673.33083333333</v>
      </c>
      <c r="J151" s="10" t="n">
        <v>45673.33290509259</v>
      </c>
      <c r="K151" s="11" t="n">
        <v>0.002071759259259259</v>
      </c>
      <c r="L151" s="13" t="n"/>
    </row>
    <row r="152">
      <c r="A152" s="3" t="inlineStr">
        <is>
          <t>ArrivalDrive</t>
        </is>
      </c>
      <c r="B152" s="3" t="inlineStr">
        <is>
          <t>Act_ARRD_10151_090035_703</t>
        </is>
      </c>
      <c r="C152" s="3" t="inlineStr">
        <is>
          <t>10151</t>
        </is>
      </c>
      <c r="D152" s="9" t="n">
        <v>417.5</v>
      </c>
      <c r="E152" s="3" t="inlineStr">
        <is>
          <t>Entry gate</t>
        </is>
      </c>
      <c r="F152" s="3" t="inlineStr">
        <is>
          <t>703</t>
        </is>
      </c>
      <c r="G152" s="9" t="n">
        <v>766.25</v>
      </c>
      <c r="H152" s="10" t="n">
        <v>45673.37540509259</v>
      </c>
      <c r="I152" s="10" t="n">
        <v>45673.37540509259</v>
      </c>
      <c r="J152" s="10" t="n">
        <v>45673.37796296296</v>
      </c>
      <c r="K152" s="11" t="n">
        <v>0.002557870370370371</v>
      </c>
      <c r="L152" s="13" t="n"/>
    </row>
    <row r="153">
      <c r="A153" s="3" t="inlineStr">
        <is>
          <t>ArrivalDrive</t>
        </is>
      </c>
      <c r="B153" s="3" t="inlineStr">
        <is>
          <t>Act_ARRD_10152_090141_727</t>
        </is>
      </c>
      <c r="C153" s="3" t="inlineStr">
        <is>
          <t>10152</t>
        </is>
      </c>
      <c r="D153" s="9" t="n">
        <v>389.4</v>
      </c>
      <c r="E153" s="3" t="inlineStr">
        <is>
          <t>Entry gate</t>
        </is>
      </c>
      <c r="F153" s="3" t="inlineStr">
        <is>
          <t>727</t>
        </is>
      </c>
      <c r="G153" s="9" t="n">
        <v>556.2</v>
      </c>
      <c r="H153" s="10" t="n">
        <v>45673.37616898148</v>
      </c>
      <c r="I153" s="10" t="n">
        <v>45673.37616898148</v>
      </c>
      <c r="J153" s="10" t="n">
        <v>45673.3782175926</v>
      </c>
      <c r="K153" s="11" t="n">
        <v>0.002048611111111111</v>
      </c>
      <c r="L153" s="13" t="n"/>
    </row>
    <row r="154">
      <c r="A154" s="3" t="inlineStr">
        <is>
          <t>ArrivalDrive</t>
        </is>
      </c>
      <c r="B154" s="3" t="inlineStr">
        <is>
          <t>Act_ARRD_10153_103516_703</t>
        </is>
      </c>
      <c r="C154" s="3" t="inlineStr">
        <is>
          <t>10153</t>
        </is>
      </c>
      <c r="D154" s="9" t="n">
        <v>359.3</v>
      </c>
      <c r="E154" s="3" t="inlineStr">
        <is>
          <t>Entry gate</t>
        </is>
      </c>
      <c r="F154" s="3" t="inlineStr">
        <is>
          <t>703</t>
        </is>
      </c>
      <c r="G154" s="9" t="n">
        <v>766.25</v>
      </c>
      <c r="H154" s="10" t="n">
        <v>45673.4411574074</v>
      </c>
      <c r="I154" s="10" t="n">
        <v>45673.4411574074</v>
      </c>
      <c r="J154" s="10" t="n">
        <v>45673.44357638889</v>
      </c>
      <c r="K154" s="11" t="n">
        <v>0.002418981481481482</v>
      </c>
      <c r="L154" s="13" t="n"/>
    </row>
    <row r="155">
      <c r="A155" s="3" t="inlineStr">
        <is>
          <t>ArrivalDrive</t>
        </is>
      </c>
      <c r="B155" s="3" t="inlineStr">
        <is>
          <t>Act_ARRD_10154_124610_703</t>
        </is>
      </c>
      <c r="C155" s="3" t="inlineStr">
        <is>
          <t>10154</t>
        </is>
      </c>
      <c r="D155" s="9" t="n">
        <v>173</v>
      </c>
      <c r="E155" s="3" t="inlineStr">
        <is>
          <t>Entry gate</t>
        </is>
      </c>
      <c r="F155" s="3" t="inlineStr">
        <is>
          <t>703</t>
        </is>
      </c>
      <c r="G155" s="9" t="n">
        <v>766.25</v>
      </c>
      <c r="H155" s="10" t="n">
        <v>45673.53206018519</v>
      </c>
      <c r="I155" s="10" t="n">
        <v>45673.53206018519</v>
      </c>
      <c r="J155" s="10" t="n">
        <v>45673.53405092593</v>
      </c>
      <c r="K155" s="11" t="n">
        <v>0.001990740740740741</v>
      </c>
      <c r="L155" s="13" t="n"/>
    </row>
    <row r="156">
      <c r="A156" s="3" t="inlineStr">
        <is>
          <t>ArrivalDrive</t>
        </is>
      </c>
      <c r="B156" s="3" t="inlineStr">
        <is>
          <t>Act_ARRD_10155_143102_703</t>
        </is>
      </c>
      <c r="C156" s="3" t="inlineStr">
        <is>
          <t>10155</t>
        </is>
      </c>
      <c r="D156" s="9" t="n">
        <v>233.9</v>
      </c>
      <c r="E156" s="3" t="inlineStr">
        <is>
          <t>Entry gate</t>
        </is>
      </c>
      <c r="F156" s="3" t="inlineStr">
        <is>
          <t>703</t>
        </is>
      </c>
      <c r="G156" s="9" t="n">
        <v>766.25</v>
      </c>
      <c r="H156" s="10" t="n">
        <v>45673.60488425926</v>
      </c>
      <c r="I156" s="10" t="n">
        <v>45673.60488425926</v>
      </c>
      <c r="J156" s="10" t="n">
        <v>45673.60701388889</v>
      </c>
      <c r="K156" s="11" t="n">
        <v>0.00212962962962963</v>
      </c>
      <c r="L156" s="13" t="n"/>
    </row>
    <row r="157">
      <c r="A157" s="3" t="inlineStr">
        <is>
          <t>ArrivalDrive</t>
        </is>
      </c>
      <c r="B157" s="3" t="inlineStr">
        <is>
          <t>Act_ARRD_10156_144442_703</t>
        </is>
      </c>
      <c r="C157" s="3" t="inlineStr">
        <is>
          <t>10156</t>
        </is>
      </c>
      <c r="D157" s="9" t="n">
        <v>338.9</v>
      </c>
      <c r="E157" s="3" t="inlineStr">
        <is>
          <t>Entry gate</t>
        </is>
      </c>
      <c r="F157" s="3" t="inlineStr">
        <is>
          <t>703</t>
        </is>
      </c>
      <c r="G157" s="9" t="n">
        <v>766.25</v>
      </c>
      <c r="H157" s="10" t="n">
        <v>45673.614375</v>
      </c>
      <c r="I157" s="10" t="n">
        <v>45673.614375</v>
      </c>
      <c r="J157" s="10" t="n">
        <v>45673.61674768518</v>
      </c>
      <c r="K157" s="11" t="n">
        <v>0.002372685185185185</v>
      </c>
      <c r="L157" s="13" t="n"/>
    </row>
    <row r="158">
      <c r="A158" s="3" t="inlineStr">
        <is>
          <t>ArrivalDrive</t>
        </is>
      </c>
      <c r="B158" s="3" t="inlineStr">
        <is>
          <t>Act_ARRD_10157_152645_731</t>
        </is>
      </c>
      <c r="C158" s="3" t="inlineStr">
        <is>
          <t>10157</t>
        </is>
      </c>
      <c r="D158" s="9" t="n">
        <v>63</v>
      </c>
      <c r="E158" s="3" t="inlineStr">
        <is>
          <t>Entry gate</t>
        </is>
      </c>
      <c r="F158" s="3" t="inlineStr">
        <is>
          <t>731</t>
        </is>
      </c>
      <c r="G158" s="9" t="n">
        <v>587.14</v>
      </c>
      <c r="H158" s="10" t="n">
        <v>45673.64357638889</v>
      </c>
      <c r="I158" s="10" t="n">
        <v>45673.64357638889</v>
      </c>
      <c r="J158" s="10" t="n">
        <v>45673.64494212963</v>
      </c>
      <c r="K158" s="11" t="n">
        <v>0.001365740740740741</v>
      </c>
      <c r="L158" s="13" t="n"/>
    </row>
    <row r="159">
      <c r="A159" s="3" t="inlineStr">
        <is>
          <t>ArrivalDrive</t>
        </is>
      </c>
      <c r="B159" s="3" t="inlineStr">
        <is>
          <t>Act_ARRD_10158_160539_703</t>
        </is>
      </c>
      <c r="C159" s="3" t="inlineStr">
        <is>
          <t>10158</t>
        </is>
      </c>
      <c r="D159" s="9" t="n">
        <v>119.3</v>
      </c>
      <c r="E159" s="3" t="inlineStr">
        <is>
          <t>Entry gate</t>
        </is>
      </c>
      <c r="F159" s="3" t="inlineStr">
        <is>
          <t>703</t>
        </is>
      </c>
      <c r="G159" s="9" t="n">
        <v>766.25</v>
      </c>
      <c r="H159" s="10" t="n">
        <v>45673.67059027778</v>
      </c>
      <c r="I159" s="10" t="n">
        <v>45673.67059027778</v>
      </c>
      <c r="J159" s="10" t="n">
        <v>45673.6724537037</v>
      </c>
      <c r="K159" s="11" t="n">
        <v>0.001863425925925926</v>
      </c>
      <c r="L159" s="13" t="n"/>
    </row>
    <row r="160">
      <c r="A160" s="3" t="inlineStr">
        <is>
          <t>ArrivalDrive</t>
        </is>
      </c>
      <c r="B160" s="3" t="inlineStr">
        <is>
          <t>Act_ARRD_10159_172630_703</t>
        </is>
      </c>
      <c r="C160" s="3" t="inlineStr">
        <is>
          <t>10159</t>
        </is>
      </c>
      <c r="D160" s="9" t="n">
        <v>503.1</v>
      </c>
      <c r="E160" s="3" t="inlineStr">
        <is>
          <t>Entry gate</t>
        </is>
      </c>
      <c r="F160" s="3" t="inlineStr">
        <is>
          <t>703</t>
        </is>
      </c>
      <c r="G160" s="9" t="n">
        <v>766.25</v>
      </c>
      <c r="H160" s="10" t="n">
        <v>45673.72673611111</v>
      </c>
      <c r="I160" s="10" t="n">
        <v>45673.72673611111</v>
      </c>
      <c r="J160" s="10" t="n">
        <v>45673.72949074074</v>
      </c>
      <c r="K160" s="11" t="n">
        <v>0.002754629629629629</v>
      </c>
      <c r="L160" s="13" t="n"/>
    </row>
    <row r="161">
      <c r="A161" s="3" t="inlineStr">
        <is>
          <t>ArrivalDrive</t>
        </is>
      </c>
      <c r="B161" s="3" t="inlineStr">
        <is>
          <t>Act_ARRD_10160_200236_703</t>
        </is>
      </c>
      <c r="C161" s="3" t="inlineStr">
        <is>
          <t>10160</t>
        </is>
      </c>
      <c r="D161" s="9" t="n">
        <v>221</v>
      </c>
      <c r="E161" s="3" t="inlineStr">
        <is>
          <t>Entry gate</t>
        </is>
      </c>
      <c r="F161" s="3" t="inlineStr">
        <is>
          <t>703</t>
        </is>
      </c>
      <c r="G161" s="9" t="n">
        <v>766.25</v>
      </c>
      <c r="H161" s="10" t="n">
        <v>45673.83513888889</v>
      </c>
      <c r="I161" s="10" t="n">
        <v>45673.83513888889</v>
      </c>
      <c r="J161" s="10" t="n">
        <v>45673.83724537037</v>
      </c>
      <c r="K161" s="11" t="n">
        <v>0.002106481481481481</v>
      </c>
      <c r="L161" s="13" t="n"/>
    </row>
    <row r="162">
      <c r="A162" s="3" t="inlineStr">
        <is>
          <t>ArrivalDrive</t>
        </is>
      </c>
      <c r="B162" s="3" t="inlineStr">
        <is>
          <t>Act_ARRD_10161_024406_703</t>
        </is>
      </c>
      <c r="C162" s="3" t="inlineStr">
        <is>
          <t>10161</t>
        </is>
      </c>
      <c r="D162" s="9" t="n">
        <v>209.3</v>
      </c>
      <c r="E162" s="3" t="inlineStr">
        <is>
          <t>Entry gate</t>
        </is>
      </c>
      <c r="F162" s="3" t="inlineStr">
        <is>
          <t>703</t>
        </is>
      </c>
      <c r="G162" s="9" t="n">
        <v>766.25</v>
      </c>
      <c r="H162" s="10" t="n">
        <v>45674.11395833334</v>
      </c>
      <c r="I162" s="10" t="n">
        <v>45674.11395833334</v>
      </c>
      <c r="J162" s="10" t="n">
        <v>45674.11603009259</v>
      </c>
      <c r="K162" s="11" t="n">
        <v>0.002071759259259259</v>
      </c>
      <c r="L162" s="13" t="n"/>
    </row>
    <row r="163">
      <c r="A163" s="3" t="inlineStr">
        <is>
          <t>ArrivalDrive</t>
        </is>
      </c>
      <c r="B163" s="3" t="inlineStr">
        <is>
          <t>Act_ARRD_10162_042528_703</t>
        </is>
      </c>
      <c r="C163" s="3" t="inlineStr">
        <is>
          <t>10162</t>
        </is>
      </c>
      <c r="D163" s="9" t="n">
        <v>513.3</v>
      </c>
      <c r="E163" s="3" t="inlineStr">
        <is>
          <t>Entry gate</t>
        </is>
      </c>
      <c r="F163" s="3" t="inlineStr">
        <is>
          <t>703</t>
        </is>
      </c>
      <c r="G163" s="9" t="n">
        <v>766.25</v>
      </c>
      <c r="H163" s="10" t="n">
        <v>45674.18435185185</v>
      </c>
      <c r="I163" s="10" t="n">
        <v>45674.18435185185</v>
      </c>
      <c r="J163" s="10" t="n">
        <v>45674.18712962963</v>
      </c>
      <c r="K163" s="11" t="n">
        <v>0.002777777777777778</v>
      </c>
      <c r="L163" s="13" t="n"/>
    </row>
    <row r="164">
      <c r="A164" s="3" t="inlineStr">
        <is>
          <t>ArrivalDrive</t>
        </is>
      </c>
      <c r="B164" s="3" t="inlineStr">
        <is>
          <t>Act_ARRD_10163_062814_703</t>
        </is>
      </c>
      <c r="C164" s="3" t="inlineStr">
        <is>
          <t>10163</t>
        </is>
      </c>
      <c r="D164" s="9" t="n">
        <v>297</v>
      </c>
      <c r="E164" s="3" t="inlineStr">
        <is>
          <t>Entry gate</t>
        </is>
      </c>
      <c r="F164" s="3" t="inlineStr">
        <is>
          <t>703</t>
        </is>
      </c>
      <c r="G164" s="9" t="n">
        <v>766.25</v>
      </c>
      <c r="H164" s="10" t="n">
        <v>45674.26960648148</v>
      </c>
      <c r="I164" s="10" t="n">
        <v>45674.26960648148</v>
      </c>
      <c r="J164" s="10" t="n">
        <v>45674.27188657408</v>
      </c>
      <c r="K164" s="11" t="n">
        <v>0.002280092592592593</v>
      </c>
      <c r="L164" s="13" t="n"/>
    </row>
    <row r="165">
      <c r="A165" s="3" t="inlineStr">
        <is>
          <t>ArrivalDrive</t>
        </is>
      </c>
      <c r="B165" s="3" t="inlineStr">
        <is>
          <t>Act_ARRD_10164_065707_703</t>
        </is>
      </c>
      <c r="C165" s="3" t="inlineStr">
        <is>
          <t>10164</t>
        </is>
      </c>
      <c r="D165" s="9" t="n">
        <v>492.3</v>
      </c>
      <c r="E165" s="3" t="inlineStr">
        <is>
          <t>Entry gate</t>
        </is>
      </c>
      <c r="F165" s="3" t="inlineStr">
        <is>
          <t>703</t>
        </is>
      </c>
      <c r="G165" s="9" t="n">
        <v>766.25</v>
      </c>
      <c r="H165" s="10" t="n">
        <v>45674.28966435185</v>
      </c>
      <c r="I165" s="10" t="n">
        <v>45674.28966435185</v>
      </c>
      <c r="J165" s="10" t="n">
        <v>45674.29239583333</v>
      </c>
      <c r="K165" s="11" t="n">
        <v>0.002731481481481481</v>
      </c>
      <c r="L165" s="13" t="n"/>
    </row>
    <row r="166">
      <c r="A166" s="3" t="inlineStr">
        <is>
          <t>ArrivalDrive</t>
        </is>
      </c>
      <c r="B166" s="3" t="inlineStr">
        <is>
          <t>Act_ARRD_10165_072830_727</t>
        </is>
      </c>
      <c r="C166" s="3" t="inlineStr">
        <is>
          <t>10165</t>
        </is>
      </c>
      <c r="D166" s="9" t="n">
        <v>339.8</v>
      </c>
      <c r="E166" s="3" t="inlineStr">
        <is>
          <t>Entry gate</t>
        </is>
      </c>
      <c r="F166" s="3" t="inlineStr">
        <is>
          <t>727</t>
        </is>
      </c>
      <c r="G166" s="9" t="n">
        <v>556.2</v>
      </c>
      <c r="H166" s="10" t="n">
        <v>45674.31145833333</v>
      </c>
      <c r="I166" s="10" t="n">
        <v>45674.31145833333</v>
      </c>
      <c r="J166" s="10" t="n">
        <v>45674.31340277778</v>
      </c>
      <c r="K166" s="11" t="n">
        <v>0.001944444444444444</v>
      </c>
      <c r="L166" s="13" t="n"/>
    </row>
    <row r="167">
      <c r="A167" s="3" t="inlineStr">
        <is>
          <t>ArrivalDrive</t>
        </is>
      </c>
      <c r="B167" s="3" t="inlineStr">
        <is>
          <t>Act_ARRD_10166_075829_703</t>
        </is>
      </c>
      <c r="C167" s="3" t="inlineStr">
        <is>
          <t>10166</t>
        </is>
      </c>
      <c r="D167" s="9" t="n">
        <v>287.9</v>
      </c>
      <c r="E167" s="3" t="inlineStr">
        <is>
          <t>Entry gate</t>
        </is>
      </c>
      <c r="F167" s="3" t="inlineStr">
        <is>
          <t>703</t>
        </is>
      </c>
      <c r="G167" s="9" t="n">
        <v>766.25</v>
      </c>
      <c r="H167" s="10" t="n">
        <v>45674.3322800926</v>
      </c>
      <c r="I167" s="10" t="n">
        <v>45674.3322800926</v>
      </c>
      <c r="J167" s="10" t="n">
        <v>45674.33453703704</v>
      </c>
      <c r="K167" s="11" t="n">
        <v>0.002256944444444444</v>
      </c>
      <c r="L167" s="13" t="n"/>
    </row>
    <row r="168">
      <c r="A168" s="3" t="inlineStr">
        <is>
          <t>ArrivalDrive</t>
        </is>
      </c>
      <c r="B168" s="3" t="inlineStr">
        <is>
          <t>Act_ARRD_10167_083734_727</t>
        </is>
      </c>
      <c r="C168" s="3" t="inlineStr">
        <is>
          <t>10167</t>
        </is>
      </c>
      <c r="D168" s="9" t="n">
        <v>560.6</v>
      </c>
      <c r="E168" s="3" t="inlineStr">
        <is>
          <t>Entry gate</t>
        </is>
      </c>
      <c r="F168" s="3" t="inlineStr">
        <is>
          <t>727</t>
        </is>
      </c>
      <c r="G168" s="9" t="n">
        <v>556.2</v>
      </c>
      <c r="H168" s="10" t="n">
        <v>45674.3594212963</v>
      </c>
      <c r="I168" s="10" t="n">
        <v>45674.3594212963</v>
      </c>
      <c r="J168" s="10" t="n">
        <v>45674.361875</v>
      </c>
      <c r="K168" s="11" t="n">
        <v>0.002453703703703704</v>
      </c>
      <c r="L168" s="13" t="n"/>
    </row>
    <row r="169">
      <c r="A169" s="3" t="inlineStr">
        <is>
          <t>ArrivalDrive</t>
        </is>
      </c>
      <c r="B169" s="3" t="inlineStr">
        <is>
          <t>Act_ARRD_10168_084738_703</t>
        </is>
      </c>
      <c r="C169" s="3" t="inlineStr">
        <is>
          <t>10168</t>
        </is>
      </c>
      <c r="D169" s="9" t="n">
        <v>336.5</v>
      </c>
      <c r="E169" s="3" t="inlineStr">
        <is>
          <t>Entry gate</t>
        </is>
      </c>
      <c r="F169" s="3" t="inlineStr">
        <is>
          <t>703</t>
        </is>
      </c>
      <c r="G169" s="9" t="n">
        <v>766.25</v>
      </c>
      <c r="H169" s="10" t="n">
        <v>45674.36641203704</v>
      </c>
      <c r="I169" s="10" t="n">
        <v>45674.36641203704</v>
      </c>
      <c r="J169" s="10" t="n">
        <v>45674.36878472222</v>
      </c>
      <c r="K169" s="11" t="n">
        <v>0.002372685185185185</v>
      </c>
      <c r="L169" s="13" t="n"/>
    </row>
    <row r="170">
      <c r="A170" s="3" t="inlineStr">
        <is>
          <t>ArrivalDrive</t>
        </is>
      </c>
      <c r="B170" s="3" t="inlineStr">
        <is>
          <t>Act_ARRD_10169_100910_703</t>
        </is>
      </c>
      <c r="C170" s="3" t="inlineStr">
        <is>
          <t>10169</t>
        </is>
      </c>
      <c r="D170" s="9" t="n">
        <v>443.2</v>
      </c>
      <c r="E170" s="3" t="inlineStr">
        <is>
          <t>Entry gate</t>
        </is>
      </c>
      <c r="F170" s="3" t="inlineStr">
        <is>
          <t>703</t>
        </is>
      </c>
      <c r="G170" s="9" t="n">
        <v>766.25</v>
      </c>
      <c r="H170" s="10" t="n">
        <v>45674.42303240741</v>
      </c>
      <c r="I170" s="10" t="n">
        <v>45674.42303240741</v>
      </c>
      <c r="J170" s="10" t="n">
        <v>45674.42564814815</v>
      </c>
      <c r="K170" s="11" t="n">
        <v>0.002615740740740741</v>
      </c>
      <c r="L170" s="13" t="n"/>
    </row>
    <row r="171">
      <c r="A171" s="3" t="inlineStr">
        <is>
          <t>ArrivalDrive</t>
        </is>
      </c>
      <c r="B171" s="3" t="inlineStr">
        <is>
          <t>Act_ARRD_10170_124927_703</t>
        </is>
      </c>
      <c r="C171" s="3" t="inlineStr">
        <is>
          <t>10170</t>
        </is>
      </c>
      <c r="D171" s="9" t="n">
        <v>238.4</v>
      </c>
      <c r="E171" s="3" t="inlineStr">
        <is>
          <t>Entry gate</t>
        </is>
      </c>
      <c r="F171" s="3" t="inlineStr">
        <is>
          <t>703</t>
        </is>
      </c>
      <c r="G171" s="9" t="n">
        <v>766.25</v>
      </c>
      <c r="H171" s="10" t="n">
        <v>45674.53434027778</v>
      </c>
      <c r="I171" s="10" t="n">
        <v>45674.53434027778</v>
      </c>
      <c r="J171" s="10" t="n">
        <v>45674.53648148148</v>
      </c>
      <c r="K171" s="11" t="n">
        <v>0.002141203703703704</v>
      </c>
      <c r="L171" s="13" t="n"/>
    </row>
    <row r="172">
      <c r="A172" s="3" t="inlineStr">
        <is>
          <t>ArrivalDrive</t>
        </is>
      </c>
      <c r="B172" s="3" t="inlineStr">
        <is>
          <t>Act_ARRD_10171_153237_703</t>
        </is>
      </c>
      <c r="C172" s="3" t="inlineStr">
        <is>
          <t>10171</t>
        </is>
      </c>
      <c r="D172" s="9" t="n">
        <v>220.4</v>
      </c>
      <c r="E172" s="3" t="inlineStr">
        <is>
          <t>Entry gate</t>
        </is>
      </c>
      <c r="F172" s="3" t="inlineStr">
        <is>
          <t>703</t>
        </is>
      </c>
      <c r="G172" s="9" t="n">
        <v>766.25</v>
      </c>
      <c r="H172" s="10" t="n">
        <v>45674.64765046296</v>
      </c>
      <c r="I172" s="10" t="n">
        <v>45674.64765046296</v>
      </c>
      <c r="J172" s="10" t="n">
        <v>45674.64974537037</v>
      </c>
      <c r="K172" s="11" t="n">
        <v>0.002094907407407407</v>
      </c>
      <c r="L172" s="13" t="n"/>
    </row>
    <row r="173">
      <c r="A173" s="3" t="inlineStr">
        <is>
          <t>ArrivalDrive</t>
        </is>
      </c>
      <c r="B173" s="3" t="inlineStr">
        <is>
          <t>Act_ARRD_10172_172953_703</t>
        </is>
      </c>
      <c r="C173" s="3" t="inlineStr">
        <is>
          <t>10172</t>
        </is>
      </c>
      <c r="D173" s="9" t="n">
        <v>302.1</v>
      </c>
      <c r="E173" s="3" t="inlineStr">
        <is>
          <t>Entry gate</t>
        </is>
      </c>
      <c r="F173" s="3" t="inlineStr">
        <is>
          <t>703</t>
        </is>
      </c>
      <c r="G173" s="9" t="n">
        <v>766.25</v>
      </c>
      <c r="H173" s="10" t="n">
        <v>45674.72908564815</v>
      </c>
      <c r="I173" s="10" t="n">
        <v>45674.72908564815</v>
      </c>
      <c r="J173" s="10" t="n">
        <v>45674.73137731481</v>
      </c>
      <c r="K173" s="11" t="n">
        <v>0.002291666666666667</v>
      </c>
      <c r="L173" s="13" t="n"/>
    </row>
    <row r="174">
      <c r="A174" s="3" t="inlineStr">
        <is>
          <t>ArrivalDrive</t>
        </is>
      </c>
      <c r="B174" s="3" t="inlineStr">
        <is>
          <t>Act_ARRD_10173_175939_703</t>
        </is>
      </c>
      <c r="C174" s="3" t="inlineStr">
        <is>
          <t>10173</t>
        </is>
      </c>
      <c r="D174" s="9" t="n">
        <v>110.2</v>
      </c>
      <c r="E174" s="3" t="inlineStr">
        <is>
          <t>Entry gate</t>
        </is>
      </c>
      <c r="F174" s="3" t="inlineStr">
        <is>
          <t>703</t>
        </is>
      </c>
      <c r="G174" s="9" t="n">
        <v>766.25</v>
      </c>
      <c r="H174" s="10" t="n">
        <v>45674.74975694445</v>
      </c>
      <c r="I174" s="10" t="n">
        <v>45674.74975694445</v>
      </c>
      <c r="J174" s="10" t="n">
        <v>45674.75159722222</v>
      </c>
      <c r="K174" s="11" t="n">
        <v>0.001840277777777778</v>
      </c>
      <c r="L174" s="13" t="n"/>
    </row>
    <row r="175">
      <c r="A175" s="3" t="inlineStr">
        <is>
          <t>ArrivalDrive</t>
        </is>
      </c>
      <c r="B175" s="3" t="inlineStr">
        <is>
          <t>Act_ARRD_10174_200604_703</t>
        </is>
      </c>
      <c r="C175" s="3" t="inlineStr">
        <is>
          <t>10174</t>
        </is>
      </c>
      <c r="D175" s="9" t="n">
        <v>345</v>
      </c>
      <c r="E175" s="3" t="inlineStr">
        <is>
          <t>Entry gate</t>
        </is>
      </c>
      <c r="F175" s="3" t="inlineStr">
        <is>
          <t>703</t>
        </is>
      </c>
      <c r="G175" s="9" t="n">
        <v>766.25</v>
      </c>
      <c r="H175" s="10" t="n">
        <v>45674.83754629629</v>
      </c>
      <c r="I175" s="10" t="n">
        <v>45674.83754629629</v>
      </c>
      <c r="J175" s="10" t="n">
        <v>45674.83993055556</v>
      </c>
      <c r="K175" s="11" t="n">
        <v>0.002384259259259259</v>
      </c>
      <c r="L175" s="13" t="n"/>
    </row>
    <row r="176">
      <c r="A176" s="3" t="inlineStr">
        <is>
          <t>ArrivalDrive</t>
        </is>
      </c>
      <c r="B176" s="3" t="inlineStr">
        <is>
          <t>Act_ARRD_10175_002317_703</t>
        </is>
      </c>
      <c r="C176" s="3" t="inlineStr">
        <is>
          <t>10175</t>
        </is>
      </c>
      <c r="D176" s="9" t="n">
        <v>371.5</v>
      </c>
      <c r="E176" s="3" t="inlineStr">
        <is>
          <t>Entry gate</t>
        </is>
      </c>
      <c r="F176" s="3" t="inlineStr">
        <is>
          <t>703</t>
        </is>
      </c>
      <c r="G176" s="9" t="n">
        <v>766.25</v>
      </c>
      <c r="H176" s="10" t="n">
        <v>45675.01616898148</v>
      </c>
      <c r="I176" s="10" t="n">
        <v>45675.01616898148</v>
      </c>
      <c r="J176" s="10" t="n">
        <v>45675.01862268519</v>
      </c>
      <c r="K176" s="11" t="n">
        <v>0.002453703703703704</v>
      </c>
      <c r="L176" s="13" t="n"/>
    </row>
    <row r="177">
      <c r="A177" s="3" t="inlineStr">
        <is>
          <t>ArrivalDrive</t>
        </is>
      </c>
      <c r="B177" s="3" t="inlineStr">
        <is>
          <t>Act_ARRD_10176_054234_703</t>
        </is>
      </c>
      <c r="C177" s="3" t="inlineStr">
        <is>
          <t>10176</t>
        </is>
      </c>
      <c r="D177" s="9" t="n">
        <v>413.1</v>
      </c>
      <c r="E177" s="3" t="inlineStr">
        <is>
          <t>Entry gate</t>
        </is>
      </c>
      <c r="F177" s="3" t="inlineStr">
        <is>
          <t>703</t>
        </is>
      </c>
      <c r="G177" s="9" t="n">
        <v>766.25</v>
      </c>
      <c r="H177" s="10" t="n">
        <v>45675.23789351852</v>
      </c>
      <c r="I177" s="10" t="n">
        <v>45675.23789351852</v>
      </c>
      <c r="J177" s="10" t="n">
        <v>45675.24043981481</v>
      </c>
      <c r="K177" s="11" t="n">
        <v>0.002546296296296297</v>
      </c>
      <c r="L177" s="13" t="n"/>
    </row>
    <row r="178">
      <c r="A178" s="3" t="inlineStr">
        <is>
          <t>ArrivalDrive</t>
        </is>
      </c>
      <c r="B178" s="3" t="inlineStr">
        <is>
          <t>Act_ARRD_10177_062608_703</t>
        </is>
      </c>
      <c r="C178" s="3" t="inlineStr">
        <is>
          <t>10177</t>
        </is>
      </c>
      <c r="D178" s="9" t="n">
        <v>256.8</v>
      </c>
      <c r="E178" s="3" t="inlineStr">
        <is>
          <t>Entry gate</t>
        </is>
      </c>
      <c r="F178" s="3" t="inlineStr">
        <is>
          <t>703</t>
        </is>
      </c>
      <c r="G178" s="9" t="n">
        <v>766.25</v>
      </c>
      <c r="H178" s="10" t="n">
        <v>45675.26814814815</v>
      </c>
      <c r="I178" s="10" t="n">
        <v>45675.26814814815</v>
      </c>
      <c r="J178" s="10" t="n">
        <v>45675.27033564815</v>
      </c>
      <c r="K178" s="11" t="n">
        <v>0.0021875</v>
      </c>
      <c r="L178" s="13" t="n"/>
    </row>
    <row r="179">
      <c r="A179" s="3" t="inlineStr">
        <is>
          <t>ArrivalDrive</t>
        </is>
      </c>
      <c r="B179" s="3" t="inlineStr">
        <is>
          <t>Act_ARRD_10178_173047_727</t>
        </is>
      </c>
      <c r="C179" s="3" t="inlineStr">
        <is>
          <t>10178</t>
        </is>
      </c>
      <c r="D179" s="9" t="n">
        <v>592.2</v>
      </c>
      <c r="E179" s="3" t="inlineStr">
        <is>
          <t>Entry gate</t>
        </is>
      </c>
      <c r="F179" s="3" t="inlineStr">
        <is>
          <t>727</t>
        </is>
      </c>
      <c r="G179" s="9" t="n">
        <v>556.2</v>
      </c>
      <c r="H179" s="10" t="n">
        <v>45676.72971064815</v>
      </c>
      <c r="I179" s="10" t="n">
        <v>45676.72971064815</v>
      </c>
      <c r="J179" s="10" t="n">
        <v>45676.7322337963</v>
      </c>
      <c r="K179" s="11" t="n">
        <v>0.002523148148148148</v>
      </c>
      <c r="L179" s="13" t="n"/>
    </row>
    <row r="180">
      <c r="A180" s="3" t="inlineStr">
        <is>
          <t>ArrivalDrive</t>
        </is>
      </c>
      <c r="B180" s="3" t="inlineStr">
        <is>
          <t>Act_ARRD_10179_201214_703</t>
        </is>
      </c>
      <c r="C180" s="3" t="inlineStr">
        <is>
          <t>10179</t>
        </is>
      </c>
      <c r="D180" s="9" t="n">
        <v>170.2</v>
      </c>
      <c r="E180" s="3" t="inlineStr">
        <is>
          <t>Entry gate</t>
        </is>
      </c>
      <c r="F180" s="3" t="inlineStr">
        <is>
          <t>703</t>
        </is>
      </c>
      <c r="G180" s="9" t="n">
        <v>766.25</v>
      </c>
      <c r="H180" s="10" t="n">
        <v>45676.84182870371</v>
      </c>
      <c r="I180" s="10" t="n">
        <v>45676.84182870371</v>
      </c>
      <c r="J180" s="10" t="n">
        <v>45676.84380787037</v>
      </c>
      <c r="K180" s="11" t="n">
        <v>0.001979166666666667</v>
      </c>
      <c r="L180" s="13" t="n"/>
    </row>
    <row r="181">
      <c r="A181" s="3" t="inlineStr">
        <is>
          <t>ArrivalDrive</t>
        </is>
      </c>
      <c r="B181" s="3" t="inlineStr">
        <is>
          <t>Act_ARRD_10180_022743_703</t>
        </is>
      </c>
      <c r="C181" s="3" t="inlineStr">
        <is>
          <t>10180</t>
        </is>
      </c>
      <c r="D181" s="9" t="n">
        <v>260.7</v>
      </c>
      <c r="E181" s="3" t="inlineStr">
        <is>
          <t>Entry gate</t>
        </is>
      </c>
      <c r="F181" s="3" t="inlineStr">
        <is>
          <t>703</t>
        </is>
      </c>
      <c r="G181" s="9" t="n">
        <v>766.25</v>
      </c>
      <c r="H181" s="10" t="n">
        <v>45677.10258101852</v>
      </c>
      <c r="I181" s="10" t="n">
        <v>45677.10258101852</v>
      </c>
      <c r="J181" s="10" t="n">
        <v>45677.1047800926</v>
      </c>
      <c r="K181" s="11" t="n">
        <v>0.002199074074074074</v>
      </c>
      <c r="L181" s="13" t="n"/>
    </row>
    <row r="182">
      <c r="A182" s="3" t="inlineStr">
        <is>
          <t>ArrivalDrive</t>
        </is>
      </c>
      <c r="B182" s="3" t="inlineStr">
        <is>
          <t>Act_ARRD_10181_043047_703</t>
        </is>
      </c>
      <c r="C182" s="3" t="inlineStr">
        <is>
          <t>10181</t>
        </is>
      </c>
      <c r="D182" s="9" t="n">
        <v>329.7</v>
      </c>
      <c r="E182" s="3" t="inlineStr">
        <is>
          <t>Entry gate</t>
        </is>
      </c>
      <c r="F182" s="3" t="inlineStr">
        <is>
          <t>703</t>
        </is>
      </c>
      <c r="G182" s="9" t="n">
        <v>766.25</v>
      </c>
      <c r="H182" s="10" t="n">
        <v>45677.18804398148</v>
      </c>
      <c r="I182" s="10" t="n">
        <v>45677.18804398148</v>
      </c>
      <c r="J182" s="10" t="n">
        <v>45677.19039351852</v>
      </c>
      <c r="K182" s="11" t="n">
        <v>0.002349537037037037</v>
      </c>
      <c r="L182" s="13" t="n"/>
    </row>
    <row r="183">
      <c r="A183" s="3" t="inlineStr">
        <is>
          <t>ArrivalDrive</t>
        </is>
      </c>
      <c r="B183" s="3" t="inlineStr">
        <is>
          <t>Act_ARRD_10182_055555_703</t>
        </is>
      </c>
      <c r="C183" s="3" t="inlineStr">
        <is>
          <t>10182</t>
        </is>
      </c>
      <c r="D183" s="9" t="n">
        <v>293.4</v>
      </c>
      <c r="E183" s="3" t="inlineStr">
        <is>
          <t>Entry gate</t>
        </is>
      </c>
      <c r="F183" s="3" t="inlineStr">
        <is>
          <t>703</t>
        </is>
      </c>
      <c r="G183" s="9" t="n">
        <v>766.25</v>
      </c>
      <c r="H183" s="10" t="n">
        <v>45677.24716435185</v>
      </c>
      <c r="I183" s="10" t="n">
        <v>45677.24716435185</v>
      </c>
      <c r="J183" s="10" t="n">
        <v>45677.24943287037</v>
      </c>
      <c r="K183" s="11" t="n">
        <v>0.002268518518518519</v>
      </c>
      <c r="L183" s="13" t="n"/>
    </row>
    <row r="184">
      <c r="A184" s="3" t="inlineStr">
        <is>
          <t>ArrivalDrive</t>
        </is>
      </c>
      <c r="B184" s="3" t="inlineStr">
        <is>
          <t>Act_ARRD_10183_071510_725</t>
        </is>
      </c>
      <c r="C184" s="3" t="inlineStr">
        <is>
          <t>10183</t>
        </is>
      </c>
      <c r="D184" s="9" t="n">
        <v>594.3</v>
      </c>
      <c r="E184" s="3" t="inlineStr">
        <is>
          <t>Entry gate</t>
        </is>
      </c>
      <c r="F184" s="3" t="inlineStr">
        <is>
          <t>725</t>
        </is>
      </c>
      <c r="G184" s="9" t="n">
        <v>476.05</v>
      </c>
      <c r="H184" s="10" t="n">
        <v>45677.30219907407</v>
      </c>
      <c r="I184" s="10" t="n">
        <v>45677.30219907407</v>
      </c>
      <c r="J184" s="10" t="n">
        <v>45677.30456018518</v>
      </c>
      <c r="K184" s="11" t="n">
        <v>0.002361111111111111</v>
      </c>
      <c r="L184" s="13" t="n"/>
    </row>
    <row r="185">
      <c r="A185" s="3" t="inlineStr">
        <is>
          <t>ArrivalDrive</t>
        </is>
      </c>
      <c r="B185" s="3" t="inlineStr">
        <is>
          <t>Act_ARRD_10184_072603_703</t>
        </is>
      </c>
      <c r="C185" s="3" t="inlineStr">
        <is>
          <t>10184</t>
        </is>
      </c>
      <c r="D185" s="9" t="n">
        <v>380.8</v>
      </c>
      <c r="E185" s="3" t="inlineStr">
        <is>
          <t>Entry gate</t>
        </is>
      </c>
      <c r="F185" s="3" t="inlineStr">
        <is>
          <t>703</t>
        </is>
      </c>
      <c r="G185" s="9" t="n">
        <v>766.25</v>
      </c>
      <c r="H185" s="10" t="n">
        <v>45677.30975694444</v>
      </c>
      <c r="I185" s="10" t="n">
        <v>45677.30975694444</v>
      </c>
      <c r="J185" s="10" t="n">
        <v>45677.3122337963</v>
      </c>
      <c r="K185" s="11" t="n">
        <v>0.002476851851851852</v>
      </c>
      <c r="L185" s="13" t="n"/>
    </row>
    <row r="186">
      <c r="A186" s="3" t="inlineStr">
        <is>
          <t>ArrivalDrive</t>
        </is>
      </c>
      <c r="B186" s="3" t="inlineStr">
        <is>
          <t>Act_ARRD_10185_073010_727</t>
        </is>
      </c>
      <c r="C186" s="3" t="inlineStr">
        <is>
          <t>10185</t>
        </is>
      </c>
      <c r="D186" s="9" t="n">
        <v>330.8</v>
      </c>
      <c r="E186" s="3" t="inlineStr">
        <is>
          <t>Entry gate</t>
        </is>
      </c>
      <c r="F186" s="3" t="inlineStr">
        <is>
          <t>727</t>
        </is>
      </c>
      <c r="G186" s="9" t="n">
        <v>556.2</v>
      </c>
      <c r="H186" s="10" t="n">
        <v>45677.31261574074</v>
      </c>
      <c r="I186" s="10" t="n">
        <v>45677.31261574074</v>
      </c>
      <c r="J186" s="10" t="n">
        <v>45677.31453703704</v>
      </c>
      <c r="K186" s="11" t="n">
        <v>0.001921296296296296</v>
      </c>
      <c r="L186" s="13" t="n"/>
    </row>
    <row r="187">
      <c r="A187" s="3" t="inlineStr">
        <is>
          <t>ArrivalDrive</t>
        </is>
      </c>
      <c r="B187" s="3" t="inlineStr">
        <is>
          <t>Act_ARRD_10186_084400_703</t>
        </is>
      </c>
      <c r="C187" s="3" t="inlineStr">
        <is>
          <t>10186</t>
        </is>
      </c>
      <c r="D187" s="9" t="n">
        <v>520.8</v>
      </c>
      <c r="E187" s="3" t="inlineStr">
        <is>
          <t>Entry gate</t>
        </is>
      </c>
      <c r="F187" s="3" t="inlineStr">
        <is>
          <t>703</t>
        </is>
      </c>
      <c r="G187" s="9" t="n">
        <v>766.25</v>
      </c>
      <c r="H187" s="10" t="n">
        <v>45677.36388888889</v>
      </c>
      <c r="I187" s="10" t="n">
        <v>45677.36388888889</v>
      </c>
      <c r="J187" s="10" t="n">
        <v>45677.36668981481</v>
      </c>
      <c r="K187" s="11" t="n">
        <v>0.002800925925925926</v>
      </c>
      <c r="L187" s="13" t="n"/>
    </row>
    <row r="188">
      <c r="A188" s="3" t="inlineStr">
        <is>
          <t>ArrivalDrive</t>
        </is>
      </c>
      <c r="B188" s="3" t="inlineStr">
        <is>
          <t>Act_ARRD_10187_085906_727</t>
        </is>
      </c>
      <c r="C188" s="3" t="inlineStr">
        <is>
          <t>10187</t>
        </is>
      </c>
      <c r="D188" s="9" t="n">
        <v>386.4</v>
      </c>
      <c r="E188" s="3" t="inlineStr">
        <is>
          <t>Entry gate</t>
        </is>
      </c>
      <c r="F188" s="3" t="inlineStr">
        <is>
          <t>727</t>
        </is>
      </c>
      <c r="G188" s="9" t="n">
        <v>556.2</v>
      </c>
      <c r="H188" s="10" t="n">
        <v>45677.374375</v>
      </c>
      <c r="I188" s="10" t="n">
        <v>45677.374375</v>
      </c>
      <c r="J188" s="10" t="n">
        <v>45677.37642361111</v>
      </c>
      <c r="K188" s="11" t="n">
        <v>0.002048611111111111</v>
      </c>
      <c r="L188" s="13" t="n"/>
    </row>
    <row r="189">
      <c r="A189" s="3" t="inlineStr">
        <is>
          <t>ArrivalDrive</t>
        </is>
      </c>
      <c r="B189" s="3" t="inlineStr">
        <is>
          <t>Act_ARRD_10188_103322_703</t>
        </is>
      </c>
      <c r="C189" s="3" t="inlineStr">
        <is>
          <t>10188</t>
        </is>
      </c>
      <c r="D189" s="9" t="n">
        <v>319.7</v>
      </c>
      <c r="E189" s="3" t="inlineStr">
        <is>
          <t>Entry gate</t>
        </is>
      </c>
      <c r="F189" s="3" t="inlineStr">
        <is>
          <t>703</t>
        </is>
      </c>
      <c r="G189" s="9" t="n">
        <v>766.25</v>
      </c>
      <c r="H189" s="10" t="n">
        <v>45677.43983796296</v>
      </c>
      <c r="I189" s="10" t="n">
        <v>45677.43983796296</v>
      </c>
      <c r="J189" s="10" t="n">
        <v>45677.44216435185</v>
      </c>
      <c r="K189" s="11" t="n">
        <v>0.002326388888888889</v>
      </c>
      <c r="L189" s="13" t="n"/>
    </row>
    <row r="190">
      <c r="A190" s="3" t="inlineStr">
        <is>
          <t>ArrivalDrive</t>
        </is>
      </c>
      <c r="B190" s="3" t="inlineStr">
        <is>
          <t>Act_ARRD_10189_124414_703</t>
        </is>
      </c>
      <c r="C190" s="3" t="inlineStr">
        <is>
          <t>10189</t>
        </is>
      </c>
      <c r="D190" s="9" t="n">
        <v>105</v>
      </c>
      <c r="E190" s="3" t="inlineStr">
        <is>
          <t>Entry gate</t>
        </is>
      </c>
      <c r="F190" s="3" t="inlineStr">
        <is>
          <t>703</t>
        </is>
      </c>
      <c r="G190" s="9" t="n">
        <v>766.25</v>
      </c>
      <c r="H190" s="10" t="n">
        <v>45677.53071759259</v>
      </c>
      <c r="I190" s="10" t="n">
        <v>45677.53071759259</v>
      </c>
      <c r="J190" s="10" t="n">
        <v>45677.53254629629</v>
      </c>
      <c r="K190" s="11" t="n">
        <v>0.001828703703703704</v>
      </c>
      <c r="L190" s="13" t="n"/>
    </row>
    <row r="191">
      <c r="A191" s="3" t="inlineStr">
        <is>
          <t>ArrivalDrive</t>
        </is>
      </c>
      <c r="B191" s="3" t="inlineStr">
        <is>
          <t>Act_ARRD_10190_142304_703</t>
        </is>
      </c>
      <c r="C191" s="3" t="inlineStr">
        <is>
          <t>10190</t>
        </is>
      </c>
      <c r="D191" s="9" t="n">
        <v>389.1</v>
      </c>
      <c r="E191" s="3" t="inlineStr">
        <is>
          <t>Entry gate</t>
        </is>
      </c>
      <c r="F191" s="3" t="inlineStr">
        <is>
          <t>703</t>
        </is>
      </c>
      <c r="G191" s="9" t="n">
        <v>766.25</v>
      </c>
      <c r="H191" s="10" t="n">
        <v>45677.59935185185</v>
      </c>
      <c r="I191" s="10" t="n">
        <v>45677.59935185185</v>
      </c>
      <c r="J191" s="10" t="n">
        <v>45677.60184027778</v>
      </c>
      <c r="K191" s="11" t="n">
        <v>0.002488425925925926</v>
      </c>
      <c r="L191" s="13" t="n"/>
    </row>
    <row r="192">
      <c r="A192" s="3" t="inlineStr">
        <is>
          <t>ArrivalDrive</t>
        </is>
      </c>
      <c r="B192" s="3" t="inlineStr">
        <is>
          <t>Act_ARRD_10191_150657_703</t>
        </is>
      </c>
      <c r="C192" s="3" t="inlineStr">
        <is>
          <t>10191</t>
        </is>
      </c>
      <c r="D192" s="9" t="n">
        <v>301.5</v>
      </c>
      <c r="E192" s="3" t="inlineStr">
        <is>
          <t>Entry gate</t>
        </is>
      </c>
      <c r="F192" s="3" t="inlineStr">
        <is>
          <t>703</t>
        </is>
      </c>
      <c r="G192" s="9" t="n">
        <v>766.25</v>
      </c>
      <c r="H192" s="10" t="n">
        <v>45677.62982638889</v>
      </c>
      <c r="I192" s="10" t="n">
        <v>45677.62982638889</v>
      </c>
      <c r="J192" s="10" t="n">
        <v>45677.63211805555</v>
      </c>
      <c r="K192" s="11" t="n">
        <v>0.002291666666666667</v>
      </c>
      <c r="L192" s="13" t="n"/>
    </row>
    <row r="193">
      <c r="A193" s="3" t="inlineStr">
        <is>
          <t>ArrivalDrive</t>
        </is>
      </c>
      <c r="B193" s="3" t="inlineStr">
        <is>
          <t>Act_ARRD_10192_154643_727</t>
        </is>
      </c>
      <c r="C193" s="3" t="inlineStr">
        <is>
          <t>10192</t>
        </is>
      </c>
      <c r="D193" s="9" t="n">
        <v>229.6</v>
      </c>
      <c r="E193" s="3" t="inlineStr">
        <is>
          <t>Entry gate</t>
        </is>
      </c>
      <c r="F193" s="3" t="inlineStr">
        <is>
          <t>727</t>
        </is>
      </c>
      <c r="G193" s="9" t="n">
        <v>556.2</v>
      </c>
      <c r="H193" s="10" t="n">
        <v>45677.65744212963</v>
      </c>
      <c r="I193" s="10" t="n">
        <v>45677.65744212963</v>
      </c>
      <c r="J193" s="10" t="n">
        <v>45677.65913194444</v>
      </c>
      <c r="K193" s="11" t="n">
        <v>0.001689814814814815</v>
      </c>
      <c r="L193" s="13" t="n"/>
    </row>
    <row r="194">
      <c r="A194" s="3" t="inlineStr">
        <is>
          <t>ArrivalDrive</t>
        </is>
      </c>
      <c r="B194" s="3" t="inlineStr">
        <is>
          <t>Act_ARRD_10193_154914_725</t>
        </is>
      </c>
      <c r="C194" s="3" t="inlineStr">
        <is>
          <t>10193</t>
        </is>
      </c>
      <c r="D194" s="9" t="n">
        <v>110.2</v>
      </c>
      <c r="E194" s="3" t="inlineStr">
        <is>
          <t>Entry gate</t>
        </is>
      </c>
      <c r="F194" s="3" t="inlineStr">
        <is>
          <t>725</t>
        </is>
      </c>
      <c r="G194" s="9" t="n">
        <v>476.05</v>
      </c>
      <c r="H194" s="10" t="n">
        <v>45677.65918981482</v>
      </c>
      <c r="I194" s="10" t="n">
        <v>45677.65918981482</v>
      </c>
      <c r="J194" s="10" t="n">
        <v>45677.66042824074</v>
      </c>
      <c r="K194" s="11" t="n">
        <v>0.001238425925925926</v>
      </c>
      <c r="L194" s="13" t="n"/>
    </row>
    <row r="195">
      <c r="A195" s="3" t="inlineStr">
        <is>
          <t>ArrivalDrive</t>
        </is>
      </c>
      <c r="B195" s="3" t="inlineStr">
        <is>
          <t>Act_ARRD_10194_165917_703</t>
        </is>
      </c>
      <c r="C195" s="3" t="inlineStr">
        <is>
          <t>10194</t>
        </is>
      </c>
      <c r="D195" s="9" t="n">
        <v>325.4</v>
      </c>
      <c r="E195" s="3" t="inlineStr">
        <is>
          <t>Entry gate</t>
        </is>
      </c>
      <c r="F195" s="3" t="inlineStr">
        <is>
          <t>703</t>
        </is>
      </c>
      <c r="G195" s="9" t="n">
        <v>766.25</v>
      </c>
      <c r="H195" s="10" t="n">
        <v>45677.70783564815</v>
      </c>
      <c r="I195" s="10" t="n">
        <v>45677.70783564815</v>
      </c>
      <c r="J195" s="10" t="n">
        <v>45677.71017361111</v>
      </c>
      <c r="K195" s="11" t="n">
        <v>0.002337962962962963</v>
      </c>
      <c r="L195" s="13" t="n"/>
    </row>
    <row r="196">
      <c r="A196" s="3" t="inlineStr">
        <is>
          <t>ArrivalDrive</t>
        </is>
      </c>
      <c r="B196" s="3" t="inlineStr">
        <is>
          <t>Act_ARRD_10195_210033_703</t>
        </is>
      </c>
      <c r="C196" s="3" t="inlineStr">
        <is>
          <t>10195</t>
        </is>
      </c>
      <c r="D196" s="9" t="n">
        <v>398</v>
      </c>
      <c r="E196" s="3" t="inlineStr">
        <is>
          <t>Entry gate</t>
        </is>
      </c>
      <c r="F196" s="3" t="inlineStr">
        <is>
          <t>703</t>
        </is>
      </c>
      <c r="G196" s="9" t="n">
        <v>766.25</v>
      </c>
      <c r="H196" s="10" t="n">
        <v>45677.87538194445</v>
      </c>
      <c r="I196" s="10" t="n">
        <v>45677.87538194445</v>
      </c>
      <c r="J196" s="10" t="n">
        <v>45677.87789351852</v>
      </c>
      <c r="K196" s="11" t="n">
        <v>0.002511574074074074</v>
      </c>
      <c r="L196" s="13" t="n"/>
    </row>
    <row r="197">
      <c r="A197" s="3" t="inlineStr">
        <is>
          <t>ArrivalDrive</t>
        </is>
      </c>
      <c r="B197" s="3" t="inlineStr">
        <is>
          <t>Act_ARRD_10196_024840_703</t>
        </is>
      </c>
      <c r="C197" s="3" t="inlineStr">
        <is>
          <t>10196</t>
        </is>
      </c>
      <c r="D197" s="9" t="n">
        <v>315.6</v>
      </c>
      <c r="E197" s="3" t="inlineStr">
        <is>
          <t>Entry gate</t>
        </is>
      </c>
      <c r="F197" s="3" t="inlineStr">
        <is>
          <t>703</t>
        </is>
      </c>
      <c r="G197" s="9" t="n">
        <v>766.25</v>
      </c>
      <c r="H197" s="10" t="n">
        <v>45678.11712962963</v>
      </c>
      <c r="I197" s="10" t="n">
        <v>45678.11712962963</v>
      </c>
      <c r="J197" s="10" t="n">
        <v>45678.11945601852</v>
      </c>
      <c r="K197" s="11" t="n">
        <v>0.002326388888888889</v>
      </c>
      <c r="L197" s="13" t="n"/>
    </row>
    <row r="198">
      <c r="A198" s="3" t="inlineStr">
        <is>
          <t>ArrivalDrive</t>
        </is>
      </c>
      <c r="B198" s="3" t="inlineStr">
        <is>
          <t>Act_ARRD_10197_063544_703</t>
        </is>
      </c>
      <c r="C198" s="3" t="inlineStr">
        <is>
          <t>10197</t>
        </is>
      </c>
      <c r="D198" s="9" t="n">
        <v>233.1</v>
      </c>
      <c r="E198" s="3" t="inlineStr">
        <is>
          <t>Entry gate</t>
        </is>
      </c>
      <c r="F198" s="3" t="inlineStr">
        <is>
          <t>703</t>
        </is>
      </c>
      <c r="G198" s="9" t="n">
        <v>766.25</v>
      </c>
      <c r="H198" s="10" t="n">
        <v>45678.27481481482</v>
      </c>
      <c r="I198" s="10" t="n">
        <v>45678.27481481482</v>
      </c>
      <c r="J198" s="10" t="n">
        <v>45678.27694444444</v>
      </c>
      <c r="K198" s="11" t="n">
        <v>0.00212962962962963</v>
      </c>
      <c r="L198" s="13" t="n"/>
    </row>
    <row r="199">
      <c r="A199" s="3" t="inlineStr">
        <is>
          <t>ArrivalDrive</t>
        </is>
      </c>
      <c r="B199" s="3" t="inlineStr">
        <is>
          <t>Act_ARRD_10198_071231_703</t>
        </is>
      </c>
      <c r="C199" s="3" t="inlineStr">
        <is>
          <t>10198</t>
        </is>
      </c>
      <c r="D199" s="9" t="n">
        <v>395</v>
      </c>
      <c r="E199" s="3" t="inlineStr">
        <is>
          <t>Entry gate</t>
        </is>
      </c>
      <c r="F199" s="3" t="inlineStr">
        <is>
          <t>703</t>
        </is>
      </c>
      <c r="G199" s="9" t="n">
        <v>766.25</v>
      </c>
      <c r="H199" s="10" t="n">
        <v>45678.3003587963</v>
      </c>
      <c r="I199" s="10" t="n">
        <v>45678.3003587963</v>
      </c>
      <c r="J199" s="10" t="n">
        <v>45678.3028587963</v>
      </c>
      <c r="K199" s="11" t="n">
        <v>0.0025</v>
      </c>
      <c r="L199" s="13" t="n"/>
    </row>
    <row r="200">
      <c r="A200" s="3" t="inlineStr">
        <is>
          <t>ArrivalDrive</t>
        </is>
      </c>
      <c r="B200" s="3" t="inlineStr">
        <is>
          <t>Act_ARRD_10199_072035_727</t>
        </is>
      </c>
      <c r="C200" s="3" t="inlineStr">
        <is>
          <t>10199</t>
        </is>
      </c>
      <c r="D200" s="9" t="n">
        <v>381.6</v>
      </c>
      <c r="E200" s="3" t="inlineStr">
        <is>
          <t>Entry gate</t>
        </is>
      </c>
      <c r="F200" s="3" t="inlineStr">
        <is>
          <t>727</t>
        </is>
      </c>
      <c r="G200" s="9" t="n">
        <v>556.2</v>
      </c>
      <c r="H200" s="10" t="n">
        <v>45678.30596064815</v>
      </c>
      <c r="I200" s="10" t="n">
        <v>45678.30596064815</v>
      </c>
      <c r="J200" s="10" t="n">
        <v>45678.30799768519</v>
      </c>
      <c r="K200" s="11" t="n">
        <v>0.002037037037037037</v>
      </c>
      <c r="L200" s="13" t="n"/>
    </row>
    <row r="201">
      <c r="A201" s="3" t="inlineStr">
        <is>
          <t>ArrivalDrive</t>
        </is>
      </c>
      <c r="B201" s="3" t="inlineStr">
        <is>
          <t>Act_ARRD_10200_073217_725</t>
        </is>
      </c>
      <c r="C201" s="3" t="inlineStr">
        <is>
          <t>10200</t>
        </is>
      </c>
      <c r="D201" s="9" t="n">
        <v>339.1</v>
      </c>
      <c r="E201" s="3" t="inlineStr">
        <is>
          <t>Entry gate</t>
        </is>
      </c>
      <c r="F201" s="3" t="inlineStr">
        <is>
          <t>725</t>
        </is>
      </c>
      <c r="G201" s="9" t="n">
        <v>476.05</v>
      </c>
      <c r="H201" s="10" t="n">
        <v>45678.31408564815</v>
      </c>
      <c r="I201" s="10" t="n">
        <v>45678.31408564815</v>
      </c>
      <c r="J201" s="10" t="n">
        <v>45678.31585648148</v>
      </c>
      <c r="K201" s="11" t="n">
        <v>0.001770833333333333</v>
      </c>
      <c r="L201" s="13" t="n"/>
    </row>
    <row r="202">
      <c r="A202" s="3" t="inlineStr">
        <is>
          <t>ArrivalDrive</t>
        </is>
      </c>
      <c r="B202" s="3" t="inlineStr">
        <is>
          <t>Act_ARRD_10201_084630_703</t>
        </is>
      </c>
      <c r="C202" s="3" t="inlineStr">
        <is>
          <t>10201</t>
        </is>
      </c>
      <c r="D202" s="9" t="n">
        <v>469.5</v>
      </c>
      <c r="E202" s="3" t="inlineStr">
        <is>
          <t>Entry gate</t>
        </is>
      </c>
      <c r="F202" s="3" t="inlineStr">
        <is>
          <t>703</t>
        </is>
      </c>
      <c r="G202" s="9" t="n">
        <v>766.25</v>
      </c>
      <c r="H202" s="10" t="n">
        <v>45678.365625</v>
      </c>
      <c r="I202" s="10" t="n">
        <v>45678.365625</v>
      </c>
      <c r="J202" s="10" t="n">
        <v>45678.36829861111</v>
      </c>
      <c r="K202" s="11" t="n">
        <v>0.002673611111111111</v>
      </c>
      <c r="L202" s="13" t="n"/>
    </row>
    <row r="203">
      <c r="A203" s="3" t="inlineStr">
        <is>
          <t>ArrivalDrive</t>
        </is>
      </c>
      <c r="B203" s="3" t="inlineStr">
        <is>
          <t>Act_ARRD_10202_090127_727</t>
        </is>
      </c>
      <c r="C203" s="3" t="inlineStr">
        <is>
          <t>10202</t>
        </is>
      </c>
      <c r="D203" s="9" t="n">
        <v>114.8</v>
      </c>
      <c r="E203" s="3" t="inlineStr">
        <is>
          <t>Entry gate</t>
        </is>
      </c>
      <c r="F203" s="3" t="inlineStr">
        <is>
          <t>727</t>
        </is>
      </c>
      <c r="G203" s="9" t="n">
        <v>556.2</v>
      </c>
      <c r="H203" s="10" t="n">
        <v>45678.37600694445</v>
      </c>
      <c r="I203" s="10" t="n">
        <v>45678.37600694445</v>
      </c>
      <c r="J203" s="10" t="n">
        <v>45678.37743055556</v>
      </c>
      <c r="K203" s="11" t="n">
        <v>0.001423611111111111</v>
      </c>
      <c r="L203" s="13" t="n"/>
    </row>
    <row r="204">
      <c r="A204" s="3" t="inlineStr">
        <is>
          <t>ArrivalDrive</t>
        </is>
      </c>
      <c r="B204" s="3" t="inlineStr">
        <is>
          <t>Act_ARRD_10203_100258_703</t>
        </is>
      </c>
      <c r="C204" s="3" t="inlineStr">
        <is>
          <t>10203</t>
        </is>
      </c>
      <c r="D204" s="9" t="n">
        <v>418.4</v>
      </c>
      <c r="E204" s="3" t="inlineStr">
        <is>
          <t>Entry gate</t>
        </is>
      </c>
      <c r="F204" s="3" t="inlineStr">
        <is>
          <t>703</t>
        </is>
      </c>
      <c r="G204" s="9" t="n">
        <v>766.25</v>
      </c>
      <c r="H204" s="10" t="n">
        <v>45678.41872685185</v>
      </c>
      <c r="I204" s="10" t="n">
        <v>45678.41872685185</v>
      </c>
      <c r="J204" s="10" t="n">
        <v>45678.42128472222</v>
      </c>
      <c r="K204" s="11" t="n">
        <v>0.002557870370370371</v>
      </c>
      <c r="L204" s="13" t="n"/>
    </row>
    <row r="205">
      <c r="A205" s="3" t="inlineStr">
        <is>
          <t>ArrivalDrive</t>
        </is>
      </c>
      <c r="B205" s="3" t="inlineStr">
        <is>
          <t>Act_ARRD_10204_142704_703</t>
        </is>
      </c>
      <c r="C205" s="3" t="inlineStr">
        <is>
          <t>10204</t>
        </is>
      </c>
      <c r="D205" s="9" t="n">
        <v>398</v>
      </c>
      <c r="E205" s="3" t="inlineStr">
        <is>
          <t>Entry gate</t>
        </is>
      </c>
      <c r="F205" s="3" t="inlineStr">
        <is>
          <t>703</t>
        </is>
      </c>
      <c r="G205" s="9" t="n">
        <v>766.25</v>
      </c>
      <c r="H205" s="10" t="n">
        <v>45678.60212962963</v>
      </c>
      <c r="I205" s="10" t="n">
        <v>45678.60212962963</v>
      </c>
      <c r="J205" s="10" t="n">
        <v>45678.6046412037</v>
      </c>
      <c r="K205" s="11" t="n">
        <v>0.002511574074074074</v>
      </c>
      <c r="L205" s="13" t="n"/>
    </row>
    <row r="206">
      <c r="A206" s="3" t="inlineStr">
        <is>
          <t>ArrivalDrive</t>
        </is>
      </c>
      <c r="B206" s="3" t="inlineStr">
        <is>
          <t>Act_ARRD_10205_143626_727</t>
        </is>
      </c>
      <c r="C206" s="3" t="inlineStr">
        <is>
          <t>10205</t>
        </is>
      </c>
      <c r="D206" s="9" t="n">
        <v>582.4</v>
      </c>
      <c r="E206" s="3" t="inlineStr">
        <is>
          <t>Entry gate</t>
        </is>
      </c>
      <c r="F206" s="3" t="inlineStr">
        <is>
          <t>727</t>
        </is>
      </c>
      <c r="G206" s="9" t="n">
        <v>556.2</v>
      </c>
      <c r="H206" s="10" t="n">
        <v>45678.60863425926</v>
      </c>
      <c r="I206" s="10" t="n">
        <v>45678.60863425926</v>
      </c>
      <c r="J206" s="10" t="n">
        <v>45678.61113425926</v>
      </c>
      <c r="K206" s="11" t="n">
        <v>0.0025</v>
      </c>
      <c r="L206" s="13" t="n"/>
    </row>
    <row r="207">
      <c r="A207" s="3" t="inlineStr">
        <is>
          <t>ArrivalDrive</t>
        </is>
      </c>
      <c r="B207" s="3" t="inlineStr">
        <is>
          <t>Act_ARRD_10206_150037_703</t>
        </is>
      </c>
      <c r="C207" s="3" t="inlineStr">
        <is>
          <t>10206</t>
        </is>
      </c>
      <c r="D207" s="9" t="n">
        <v>125.9</v>
      </c>
      <c r="E207" s="3" t="inlineStr">
        <is>
          <t>Entry gate</t>
        </is>
      </c>
      <c r="F207" s="3" t="inlineStr">
        <is>
          <t>703</t>
        </is>
      </c>
      <c r="G207" s="9" t="n">
        <v>766.25</v>
      </c>
      <c r="H207" s="10" t="n">
        <v>45678.62542824074</v>
      </c>
      <c r="I207" s="10" t="n">
        <v>45678.62542824074</v>
      </c>
      <c r="J207" s="10" t="n">
        <v>45678.62731481482</v>
      </c>
      <c r="K207" s="11" t="n">
        <v>0.001886574074074074</v>
      </c>
      <c r="L207" s="13" t="n"/>
    </row>
    <row r="208">
      <c r="A208" s="3" t="inlineStr">
        <is>
          <t>ArrivalDrive</t>
        </is>
      </c>
      <c r="B208" s="3" t="inlineStr">
        <is>
          <t>Act_ARRD_10207_205018_703</t>
        </is>
      </c>
      <c r="C208" s="3" t="inlineStr">
        <is>
          <t>10207</t>
        </is>
      </c>
      <c r="D208" s="9" t="n">
        <v>187.4</v>
      </c>
      <c r="E208" s="3" t="inlineStr">
        <is>
          <t>Entry gate</t>
        </is>
      </c>
      <c r="F208" s="3" t="inlineStr">
        <is>
          <t>703</t>
        </is>
      </c>
      <c r="G208" s="9" t="n">
        <v>766.25</v>
      </c>
      <c r="H208" s="10" t="n">
        <v>45678.86826388889</v>
      </c>
      <c r="I208" s="10" t="n">
        <v>45678.86826388889</v>
      </c>
      <c r="J208" s="10" t="n">
        <v>45678.87028935185</v>
      </c>
      <c r="K208" s="11" t="n">
        <v>0.002025462962962963</v>
      </c>
      <c r="L208" s="13" t="n"/>
    </row>
    <row r="209">
      <c r="A209" s="3" t="inlineStr">
        <is>
          <t>ArrivalDrive</t>
        </is>
      </c>
      <c r="B209" s="3" t="inlineStr">
        <is>
          <t>Act_ARRD_10208_022816_703</t>
        </is>
      </c>
      <c r="C209" s="3" t="inlineStr">
        <is>
          <t>10208</t>
        </is>
      </c>
      <c r="D209" s="9" t="n">
        <v>298.6</v>
      </c>
      <c r="E209" s="3" t="inlineStr">
        <is>
          <t>Entry gate</t>
        </is>
      </c>
      <c r="F209" s="3" t="inlineStr">
        <is>
          <t>703</t>
        </is>
      </c>
      <c r="G209" s="9" t="n">
        <v>766.25</v>
      </c>
      <c r="H209" s="10" t="n">
        <v>45679.10296296296</v>
      </c>
      <c r="I209" s="10" t="n">
        <v>45679.10296296296</v>
      </c>
      <c r="J209" s="10" t="n">
        <v>45679.10524305556</v>
      </c>
      <c r="K209" s="11" t="n">
        <v>0.002280092592592593</v>
      </c>
      <c r="L209" s="13" t="n"/>
    </row>
    <row r="210">
      <c r="A210" s="3" t="inlineStr">
        <is>
          <t>ArrivalDrive</t>
        </is>
      </c>
      <c r="B210" s="3" t="inlineStr">
        <is>
          <t>Act_ARRD_10209_043327_703</t>
        </is>
      </c>
      <c r="C210" s="3" t="inlineStr">
        <is>
          <t>10209</t>
        </is>
      </c>
      <c r="D210" s="9" t="n">
        <v>366.6</v>
      </c>
      <c r="E210" s="3" t="inlineStr">
        <is>
          <t>Entry gate</t>
        </is>
      </c>
      <c r="F210" s="3" t="inlineStr">
        <is>
          <t>703</t>
        </is>
      </c>
      <c r="G210" s="9" t="n">
        <v>766.25</v>
      </c>
      <c r="H210" s="10" t="n">
        <v>45679.18989583333</v>
      </c>
      <c r="I210" s="10" t="n">
        <v>45679.18989583333</v>
      </c>
      <c r="J210" s="10" t="n">
        <v>45679.19233796297</v>
      </c>
      <c r="K210" s="11" t="n">
        <v>0.00244212962962963</v>
      </c>
      <c r="L210" s="13" t="n"/>
    </row>
    <row r="211">
      <c r="A211" s="3" t="inlineStr">
        <is>
          <t>ArrivalDrive</t>
        </is>
      </c>
      <c r="B211" s="3" t="inlineStr">
        <is>
          <t>Act_ARRD_10210_062042_703</t>
        </is>
      </c>
      <c r="C211" s="3" t="inlineStr">
        <is>
          <t>10210</t>
        </is>
      </c>
      <c r="D211" s="9" t="n">
        <v>291.7</v>
      </c>
      <c r="E211" s="3" t="inlineStr">
        <is>
          <t>Entry gate</t>
        </is>
      </c>
      <c r="F211" s="3" t="inlineStr">
        <is>
          <t>703</t>
        </is>
      </c>
      <c r="G211" s="9" t="n">
        <v>766.25</v>
      </c>
      <c r="H211" s="10" t="n">
        <v>45679.264375</v>
      </c>
      <c r="I211" s="10" t="n">
        <v>45679.264375</v>
      </c>
      <c r="J211" s="10" t="n">
        <v>45679.26664351852</v>
      </c>
      <c r="K211" s="11" t="n">
        <v>0.002268518518518519</v>
      </c>
      <c r="L211" s="13" t="n"/>
    </row>
    <row r="212">
      <c r="A212" s="3" t="inlineStr">
        <is>
          <t>ArrivalDrive</t>
        </is>
      </c>
      <c r="B212" s="3" t="inlineStr">
        <is>
          <t>Act_ARRD_10211_064551_703</t>
        </is>
      </c>
      <c r="C212" s="3" t="inlineStr">
        <is>
          <t>10211</t>
        </is>
      </c>
      <c r="D212" s="9" t="n">
        <v>467.5</v>
      </c>
      <c r="E212" s="3" t="inlineStr">
        <is>
          <t>Entry gate</t>
        </is>
      </c>
      <c r="F212" s="3" t="inlineStr">
        <is>
          <t>703</t>
        </is>
      </c>
      <c r="G212" s="9" t="n">
        <v>766.25</v>
      </c>
      <c r="H212" s="10" t="n">
        <v>45679.28184027778</v>
      </c>
      <c r="I212" s="10" t="n">
        <v>45679.28184027778</v>
      </c>
      <c r="J212" s="10" t="n">
        <v>45679.28451388889</v>
      </c>
      <c r="K212" s="11" t="n">
        <v>0.002673611111111111</v>
      </c>
      <c r="L212" s="13" t="n"/>
    </row>
    <row r="213">
      <c r="A213" s="3" t="inlineStr">
        <is>
          <t>ArrivalDrive</t>
        </is>
      </c>
      <c r="B213" s="3" t="inlineStr">
        <is>
          <t>Act_ARRD_10212_072837_727</t>
        </is>
      </c>
      <c r="C213" s="3" t="inlineStr">
        <is>
          <t>10212</t>
        </is>
      </c>
      <c r="D213" s="9" t="n">
        <v>330.7</v>
      </c>
      <c r="E213" s="3" t="inlineStr">
        <is>
          <t>Entry gate</t>
        </is>
      </c>
      <c r="F213" s="3" t="inlineStr">
        <is>
          <t>727</t>
        </is>
      </c>
      <c r="G213" s="9" t="n">
        <v>556.2</v>
      </c>
      <c r="H213" s="10" t="n">
        <v>45679.31153935185</v>
      </c>
      <c r="I213" s="10" t="n">
        <v>45679.31153935185</v>
      </c>
      <c r="J213" s="10" t="n">
        <v>45679.31346064815</v>
      </c>
      <c r="K213" s="11" t="n">
        <v>0.001921296296296296</v>
      </c>
      <c r="L213" s="13" t="n"/>
    </row>
    <row r="214">
      <c r="A214" s="3" t="inlineStr">
        <is>
          <t>ArrivalDrive</t>
        </is>
      </c>
      <c r="B214" s="3" t="inlineStr">
        <is>
          <t>Act_ARRD_10213_075712_703</t>
        </is>
      </c>
      <c r="C214" s="3" t="inlineStr">
        <is>
          <t>10213</t>
        </is>
      </c>
      <c r="D214" s="9" t="n">
        <v>295.4</v>
      </c>
      <c r="E214" s="3" t="inlineStr">
        <is>
          <t>Entry gate</t>
        </is>
      </c>
      <c r="F214" s="3" t="inlineStr">
        <is>
          <t>703</t>
        </is>
      </c>
      <c r="G214" s="9" t="n">
        <v>766.25</v>
      </c>
      <c r="H214" s="10" t="n">
        <v>45679.33138888889</v>
      </c>
      <c r="I214" s="10" t="n">
        <v>45679.33138888889</v>
      </c>
      <c r="J214" s="10" t="n">
        <v>45679.33365740741</v>
      </c>
      <c r="K214" s="11" t="n">
        <v>0.002268518518518519</v>
      </c>
      <c r="L214" s="13" t="n"/>
    </row>
    <row r="215">
      <c r="A215" s="3" t="inlineStr">
        <is>
          <t>ArrivalDrive</t>
        </is>
      </c>
      <c r="B215" s="3" t="inlineStr">
        <is>
          <t>Act_ARRD_10214_082214_703</t>
        </is>
      </c>
      <c r="C215" s="3" t="inlineStr">
        <is>
          <t>10214</t>
        </is>
      </c>
      <c r="D215" s="9" t="n">
        <v>331.2</v>
      </c>
      <c r="E215" s="3" t="inlineStr">
        <is>
          <t>Entry gate</t>
        </is>
      </c>
      <c r="F215" s="3" t="inlineStr">
        <is>
          <t>703</t>
        </is>
      </c>
      <c r="G215" s="9" t="n">
        <v>766.25</v>
      </c>
      <c r="H215" s="10" t="n">
        <v>45679.34877314815</v>
      </c>
      <c r="I215" s="10" t="n">
        <v>45679.34877314815</v>
      </c>
      <c r="J215" s="10" t="n">
        <v>45679.35113425926</v>
      </c>
      <c r="K215" s="11" t="n">
        <v>0.002361111111111111</v>
      </c>
      <c r="L215" s="13" t="n"/>
    </row>
    <row r="216">
      <c r="A216" s="3" t="inlineStr">
        <is>
          <t>ArrivalDrive</t>
        </is>
      </c>
      <c r="B216" s="3" t="inlineStr">
        <is>
          <t>Act_ARRD_10215_090554_703</t>
        </is>
      </c>
      <c r="C216" s="3" t="inlineStr">
        <is>
          <t>10215</t>
        </is>
      </c>
      <c r="D216" s="9" t="n">
        <v>515.2</v>
      </c>
      <c r="E216" s="3" t="inlineStr">
        <is>
          <t>Entry gate</t>
        </is>
      </c>
      <c r="F216" s="3" t="inlineStr">
        <is>
          <t>703</t>
        </is>
      </c>
      <c r="G216" s="9" t="n">
        <v>766.25</v>
      </c>
      <c r="H216" s="10" t="n">
        <v>45679.37909722222</v>
      </c>
      <c r="I216" s="10" t="n">
        <v>45679.37909722222</v>
      </c>
      <c r="J216" s="10" t="n">
        <v>45679.381875</v>
      </c>
      <c r="K216" s="11" t="n">
        <v>0.002777777777777778</v>
      </c>
      <c r="L216" s="13" t="n"/>
    </row>
    <row r="217">
      <c r="A217" s="3" t="inlineStr">
        <is>
          <t>ArrivalDrive</t>
        </is>
      </c>
      <c r="B217" s="3" t="inlineStr">
        <is>
          <t>Act_ARRD_10216_102238_703</t>
        </is>
      </c>
      <c r="C217" s="3" t="inlineStr">
        <is>
          <t>10216</t>
        </is>
      </c>
      <c r="D217" s="9" t="n">
        <v>446.2</v>
      </c>
      <c r="E217" s="3" t="inlineStr">
        <is>
          <t>Entry gate</t>
        </is>
      </c>
      <c r="F217" s="3" t="inlineStr">
        <is>
          <t>703</t>
        </is>
      </c>
      <c r="G217" s="9" t="n">
        <v>766.25</v>
      </c>
      <c r="H217" s="10" t="n">
        <v>45679.43238425926</v>
      </c>
      <c r="I217" s="10" t="n">
        <v>45679.43238425926</v>
      </c>
      <c r="J217" s="10" t="n">
        <v>45679.43501157407</v>
      </c>
      <c r="K217" s="11" t="n">
        <v>0.002627314814814815</v>
      </c>
      <c r="L217" s="13" t="n"/>
    </row>
    <row r="218">
      <c r="A218" s="3" t="inlineStr">
        <is>
          <t>ArrivalDrive</t>
        </is>
      </c>
      <c r="B218" s="3" t="inlineStr">
        <is>
          <t>Act_ARRD_10217_125946_731</t>
        </is>
      </c>
      <c r="C218" s="3" t="inlineStr">
        <is>
          <t>10217</t>
        </is>
      </c>
      <c r="D218" s="9" t="n">
        <v>33.9</v>
      </c>
      <c r="E218" s="3" t="inlineStr">
        <is>
          <t>Entry gate</t>
        </is>
      </c>
      <c r="F218" s="3" t="inlineStr">
        <is>
          <t>731</t>
        </is>
      </c>
      <c r="G218" s="9" t="n">
        <v>587.14</v>
      </c>
      <c r="H218" s="10" t="n">
        <v>45679.54150462963</v>
      </c>
      <c r="I218" s="10" t="n">
        <v>45679.54150462963</v>
      </c>
      <c r="J218" s="10" t="n">
        <v>45679.54280092593</v>
      </c>
      <c r="K218" s="11" t="n">
        <v>0.001296296296296296</v>
      </c>
      <c r="L218" s="13" t="n"/>
    </row>
    <row r="219">
      <c r="A219" s="3" t="inlineStr">
        <is>
          <t>ArrivalDrive</t>
        </is>
      </c>
      <c r="B219" s="3" t="inlineStr">
        <is>
          <t>Act_ARRD_10218_151156_731</t>
        </is>
      </c>
      <c r="C219" s="3" t="inlineStr">
        <is>
          <t>10218</t>
        </is>
      </c>
      <c r="D219" s="9" t="n">
        <v>63</v>
      </c>
      <c r="E219" s="3" t="inlineStr">
        <is>
          <t>Entry gate</t>
        </is>
      </c>
      <c r="F219" s="3" t="inlineStr">
        <is>
          <t>731</t>
        </is>
      </c>
      <c r="G219" s="9" t="n">
        <v>587.14</v>
      </c>
      <c r="H219" s="10" t="n">
        <v>45679.63328703704</v>
      </c>
      <c r="I219" s="10" t="n">
        <v>45679.63328703704</v>
      </c>
      <c r="J219" s="10" t="n">
        <v>45679.63465277778</v>
      </c>
      <c r="K219" s="11" t="n">
        <v>0.001365740740740741</v>
      </c>
      <c r="L219" s="13" t="n"/>
    </row>
    <row r="220">
      <c r="A220" s="3" t="inlineStr">
        <is>
          <t>ArrivalDrive</t>
        </is>
      </c>
      <c r="B220" s="3" t="inlineStr">
        <is>
          <t>Act_ARRD_10219_172051_727</t>
        </is>
      </c>
      <c r="C220" s="3" t="inlineStr">
        <is>
          <t>10219</t>
        </is>
      </c>
      <c r="D220" s="9" t="n">
        <v>591.5</v>
      </c>
      <c r="E220" s="3" t="inlineStr">
        <is>
          <t>Entry gate</t>
        </is>
      </c>
      <c r="F220" s="3" t="inlineStr">
        <is>
          <t>727</t>
        </is>
      </c>
      <c r="G220" s="9" t="n">
        <v>556.2</v>
      </c>
      <c r="H220" s="10" t="n">
        <v>45679.7228125</v>
      </c>
      <c r="I220" s="10" t="n">
        <v>45679.7228125</v>
      </c>
      <c r="J220" s="10" t="n">
        <v>45679.72533564815</v>
      </c>
      <c r="K220" s="11" t="n">
        <v>0.002523148148148148</v>
      </c>
      <c r="L220" s="13" t="n"/>
    </row>
    <row r="221">
      <c r="A221" s="3" t="inlineStr">
        <is>
          <t>ArrivalDrive</t>
        </is>
      </c>
      <c r="B221" s="3" t="inlineStr">
        <is>
          <t>Act_ARRD_10220_173247_703</t>
        </is>
      </c>
      <c r="C221" s="3" t="inlineStr">
        <is>
          <t>10220</t>
        </is>
      </c>
      <c r="D221" s="9" t="n">
        <v>325.4</v>
      </c>
      <c r="E221" s="3" t="inlineStr">
        <is>
          <t>Entry gate</t>
        </is>
      </c>
      <c r="F221" s="3" t="inlineStr">
        <is>
          <t>703</t>
        </is>
      </c>
      <c r="G221" s="9" t="n">
        <v>766.25</v>
      </c>
      <c r="H221" s="10" t="n">
        <v>45679.73109953704</v>
      </c>
      <c r="I221" s="10" t="n">
        <v>45679.73109953704</v>
      </c>
      <c r="J221" s="10" t="n">
        <v>45679.7334375</v>
      </c>
      <c r="K221" s="11" t="n">
        <v>0.002337962962962963</v>
      </c>
      <c r="L221" s="13" t="n"/>
    </row>
    <row r="222">
      <c r="A222" s="3" t="inlineStr">
        <is>
          <t>ArrivalDrive</t>
        </is>
      </c>
      <c r="B222" s="3" t="inlineStr">
        <is>
          <t>Act_ARRD_10221_174823_703</t>
        </is>
      </c>
      <c r="C222" s="3" t="inlineStr">
        <is>
          <t>10221</t>
        </is>
      </c>
      <c r="D222" s="9" t="n">
        <v>74.59999999999999</v>
      </c>
      <c r="E222" s="3" t="inlineStr">
        <is>
          <t>Entry gate</t>
        </is>
      </c>
      <c r="F222" s="3" t="inlineStr">
        <is>
          <t>703</t>
        </is>
      </c>
      <c r="G222" s="9" t="n">
        <v>766.25</v>
      </c>
      <c r="H222" s="10" t="n">
        <v>45679.74193287037</v>
      </c>
      <c r="I222" s="10" t="n">
        <v>45679.74193287037</v>
      </c>
      <c r="J222" s="10" t="n">
        <v>45679.74369212963</v>
      </c>
      <c r="K222" s="11" t="n">
        <v>0.001759259259259259</v>
      </c>
      <c r="L222" s="13" t="n"/>
    </row>
    <row r="223">
      <c r="A223" s="3" t="inlineStr">
        <is>
          <t>ArrivalDrive</t>
        </is>
      </c>
      <c r="B223" s="3" t="inlineStr">
        <is>
          <t>Act_ARRD_10222_200226_703</t>
        </is>
      </c>
      <c r="C223" s="3" t="inlineStr">
        <is>
          <t>10222</t>
        </is>
      </c>
      <c r="D223" s="9" t="n">
        <v>298.7</v>
      </c>
      <c r="E223" s="3" t="inlineStr">
        <is>
          <t>Entry gate</t>
        </is>
      </c>
      <c r="F223" s="3" t="inlineStr">
        <is>
          <t>703</t>
        </is>
      </c>
      <c r="G223" s="9" t="n">
        <v>766.25</v>
      </c>
      <c r="H223" s="10" t="n">
        <v>45679.83502314815</v>
      </c>
      <c r="I223" s="10" t="n">
        <v>45679.83502314815</v>
      </c>
      <c r="J223" s="10" t="n">
        <v>45679.83730324074</v>
      </c>
      <c r="K223" s="11" t="n">
        <v>0.002280092592592593</v>
      </c>
      <c r="L223" s="13" t="n"/>
    </row>
    <row r="224">
      <c r="A224" s="3" t="inlineStr">
        <is>
          <t>ArrivalDrive</t>
        </is>
      </c>
      <c r="B224" s="3" t="inlineStr">
        <is>
          <t>Act_ARRD_10223_024132_703</t>
        </is>
      </c>
      <c r="C224" s="3" t="inlineStr">
        <is>
          <t>10223</t>
        </is>
      </c>
      <c r="D224" s="9" t="n">
        <v>310.4</v>
      </c>
      <c r="E224" s="3" t="inlineStr">
        <is>
          <t>Entry gate</t>
        </is>
      </c>
      <c r="F224" s="3" t="inlineStr">
        <is>
          <t>703</t>
        </is>
      </c>
      <c r="G224" s="9" t="n">
        <v>766.25</v>
      </c>
      <c r="H224" s="10" t="n">
        <v>45680.11217592593</v>
      </c>
      <c r="I224" s="10" t="n">
        <v>45680.11217592593</v>
      </c>
      <c r="J224" s="10" t="n">
        <v>45680.11449074074</v>
      </c>
      <c r="K224" s="11" t="n">
        <v>0.002314814814814815</v>
      </c>
      <c r="L224" s="13" t="n"/>
    </row>
    <row r="225">
      <c r="A225" s="3" t="inlineStr">
        <is>
          <t>ArrivalDrive</t>
        </is>
      </c>
      <c r="B225" s="3" t="inlineStr">
        <is>
          <t>Act_ARRD_10224_061901_703</t>
        </is>
      </c>
      <c r="C225" s="3" t="inlineStr">
        <is>
          <t>10224</t>
        </is>
      </c>
      <c r="D225" s="9" t="n">
        <v>144.4</v>
      </c>
      <c r="E225" s="3" t="inlineStr">
        <is>
          <t>Entry gate</t>
        </is>
      </c>
      <c r="F225" s="3" t="inlineStr">
        <is>
          <t>703</t>
        </is>
      </c>
      <c r="G225" s="9" t="n">
        <v>766.25</v>
      </c>
      <c r="H225" s="10" t="n">
        <v>45680.26320601852</v>
      </c>
      <c r="I225" s="10" t="n">
        <v>45680.26320601852</v>
      </c>
      <c r="J225" s="10" t="n">
        <v>45680.26512731481</v>
      </c>
      <c r="K225" s="11" t="n">
        <v>0.001921296296296296</v>
      </c>
      <c r="L225" s="13" t="n"/>
    </row>
    <row r="226">
      <c r="A226" s="3" t="inlineStr">
        <is>
          <t>ArrivalDrive</t>
        </is>
      </c>
      <c r="B226" s="3" t="inlineStr">
        <is>
          <t>Act_ARRD_10225_064518_703</t>
        </is>
      </c>
      <c r="C226" s="3" t="inlineStr">
        <is>
          <t>10225</t>
        </is>
      </c>
      <c r="D226" s="9" t="n">
        <v>257.6</v>
      </c>
      <c r="E226" s="3" t="inlineStr">
        <is>
          <t>Entry gate</t>
        </is>
      </c>
      <c r="F226" s="3" t="inlineStr">
        <is>
          <t>703</t>
        </is>
      </c>
      <c r="G226" s="9" t="n">
        <v>766.25</v>
      </c>
      <c r="H226" s="10" t="n">
        <v>45680.28145833333</v>
      </c>
      <c r="I226" s="10" t="n">
        <v>45680.28145833333</v>
      </c>
      <c r="J226" s="10" t="n">
        <v>45680.28364583333</v>
      </c>
      <c r="K226" s="11" t="n">
        <v>0.0021875</v>
      </c>
      <c r="L226" s="13" t="n"/>
    </row>
    <row r="227">
      <c r="A227" s="3" t="inlineStr">
        <is>
          <t>ArrivalDrive</t>
        </is>
      </c>
      <c r="B227" s="3" t="inlineStr">
        <is>
          <t>Act_ARRD_10226_070511_727</t>
        </is>
      </c>
      <c r="C227" s="3" t="inlineStr">
        <is>
          <t>10226</t>
        </is>
      </c>
      <c r="D227" s="9" t="n">
        <v>205.5</v>
      </c>
      <c r="E227" s="3" t="inlineStr">
        <is>
          <t>Entry gate</t>
        </is>
      </c>
      <c r="F227" s="3" t="inlineStr">
        <is>
          <t>727</t>
        </is>
      </c>
      <c r="G227" s="9" t="n">
        <v>556.2</v>
      </c>
      <c r="H227" s="10" t="n">
        <v>45680.29526620371</v>
      </c>
      <c r="I227" s="10" t="n">
        <v>45680.29526620371</v>
      </c>
      <c r="J227" s="10" t="n">
        <v>45680.29689814815</v>
      </c>
      <c r="K227" s="11" t="n">
        <v>0.001631944444444445</v>
      </c>
      <c r="L227" s="13" t="n"/>
    </row>
    <row r="228">
      <c r="A228" s="3" t="inlineStr">
        <is>
          <t>ArrivalDrive</t>
        </is>
      </c>
      <c r="B228" s="3" t="inlineStr">
        <is>
          <t>Act_ARRD_10227_073929_703</t>
        </is>
      </c>
      <c r="C228" s="3" t="inlineStr">
        <is>
          <t>10227</t>
        </is>
      </c>
      <c r="D228" s="9" t="n">
        <v>397.3</v>
      </c>
      <c r="E228" s="3" t="inlineStr">
        <is>
          <t>Entry gate</t>
        </is>
      </c>
      <c r="F228" s="3" t="inlineStr">
        <is>
          <t>703</t>
        </is>
      </c>
      <c r="G228" s="9" t="n">
        <v>766.25</v>
      </c>
      <c r="H228" s="10" t="n">
        <v>45680.31908564815</v>
      </c>
      <c r="I228" s="10" t="n">
        <v>45680.31908564815</v>
      </c>
      <c r="J228" s="10" t="n">
        <v>45680.32159722222</v>
      </c>
      <c r="K228" s="11" t="n">
        <v>0.002511574074074074</v>
      </c>
      <c r="L228" s="13" t="n"/>
    </row>
    <row r="229">
      <c r="A229" s="3" t="inlineStr">
        <is>
          <t>ArrivalDrive</t>
        </is>
      </c>
      <c r="B229" s="3" t="inlineStr">
        <is>
          <t>Act_ARRD_10228_084015_703</t>
        </is>
      </c>
      <c r="C229" s="3" t="inlineStr">
        <is>
          <t>10228</t>
        </is>
      </c>
      <c r="D229" s="9" t="n">
        <v>396.5</v>
      </c>
      <c r="E229" s="3" t="inlineStr">
        <is>
          <t>Entry gate</t>
        </is>
      </c>
      <c r="F229" s="3" t="inlineStr">
        <is>
          <t>703</t>
        </is>
      </c>
      <c r="G229" s="9" t="n">
        <v>766.25</v>
      </c>
      <c r="H229" s="10" t="n">
        <v>45680.36128472222</v>
      </c>
      <c r="I229" s="10" t="n">
        <v>45680.36128472222</v>
      </c>
      <c r="J229" s="10" t="n">
        <v>45680.3637962963</v>
      </c>
      <c r="K229" s="11" t="n">
        <v>0.002511574074074074</v>
      </c>
      <c r="L229" s="13" t="n"/>
    </row>
    <row r="230">
      <c r="A230" s="3" t="inlineStr">
        <is>
          <t>ArrivalDrive</t>
        </is>
      </c>
      <c r="B230" s="3" t="inlineStr">
        <is>
          <t>Act_ARRD_10229_090159_727</t>
        </is>
      </c>
      <c r="C230" s="3" t="inlineStr">
        <is>
          <t>10229</t>
        </is>
      </c>
      <c r="D230" s="9" t="n">
        <v>543.9</v>
      </c>
      <c r="E230" s="3" t="inlineStr">
        <is>
          <t>Entry gate</t>
        </is>
      </c>
      <c r="F230" s="3" t="inlineStr">
        <is>
          <t>727</t>
        </is>
      </c>
      <c r="G230" s="9" t="n">
        <v>556.2</v>
      </c>
      <c r="H230" s="10" t="n">
        <v>45680.37637731482</v>
      </c>
      <c r="I230" s="10" t="n">
        <v>45680.37637731482</v>
      </c>
      <c r="J230" s="10" t="n">
        <v>45680.37878472222</v>
      </c>
      <c r="K230" s="11" t="n">
        <v>0.002407407407407408</v>
      </c>
      <c r="L230" s="13" t="n"/>
    </row>
    <row r="231">
      <c r="A231" s="3" t="inlineStr">
        <is>
          <t>ArrivalDrive</t>
        </is>
      </c>
      <c r="B231" s="3" t="inlineStr">
        <is>
          <t>Act_ARRD_10230_102605_703</t>
        </is>
      </c>
      <c r="C231" s="3" t="inlineStr">
        <is>
          <t>10230</t>
        </is>
      </c>
      <c r="D231" s="9" t="n">
        <v>448.7</v>
      </c>
      <c r="E231" s="3" t="inlineStr">
        <is>
          <t>Entry gate</t>
        </is>
      </c>
      <c r="F231" s="3" t="inlineStr">
        <is>
          <t>703</t>
        </is>
      </c>
      <c r="G231" s="9" t="n">
        <v>766.25</v>
      </c>
      <c r="H231" s="10" t="n">
        <v>45680.43478009259</v>
      </c>
      <c r="I231" s="10" t="n">
        <v>45680.43478009259</v>
      </c>
      <c r="J231" s="10" t="n">
        <v>45680.43740740741</v>
      </c>
      <c r="K231" s="11" t="n">
        <v>0.002627314814814815</v>
      </c>
      <c r="L231" s="13" t="n"/>
    </row>
    <row r="232">
      <c r="A232" s="3" t="inlineStr">
        <is>
          <t>ArrivalDrive</t>
        </is>
      </c>
      <c r="B232" s="3" t="inlineStr">
        <is>
          <t>Act_ARRD_10231_142648_703</t>
        </is>
      </c>
      <c r="C232" s="3" t="inlineStr">
        <is>
          <t>10231</t>
        </is>
      </c>
      <c r="D232" s="9" t="n">
        <v>396.6</v>
      </c>
      <c r="E232" s="3" t="inlineStr">
        <is>
          <t>Entry gate</t>
        </is>
      </c>
      <c r="F232" s="3" t="inlineStr">
        <is>
          <t>703</t>
        </is>
      </c>
      <c r="G232" s="9" t="n">
        <v>766.25</v>
      </c>
      <c r="H232" s="10" t="n">
        <v>45680.60194444445</v>
      </c>
      <c r="I232" s="10" t="n">
        <v>45680.60194444445</v>
      </c>
      <c r="J232" s="10" t="n">
        <v>45680.60445601852</v>
      </c>
      <c r="K232" s="11" t="n">
        <v>0.002511574074074074</v>
      </c>
      <c r="L232" s="13" t="n"/>
    </row>
    <row r="233">
      <c r="A233" s="3" t="inlineStr">
        <is>
          <t>ArrivalDrive</t>
        </is>
      </c>
      <c r="B233" s="3" t="inlineStr">
        <is>
          <t>Act_ARRD_10232_144038_727</t>
        </is>
      </c>
      <c r="C233" s="3" t="inlineStr">
        <is>
          <t>10232</t>
        </is>
      </c>
      <c r="D233" s="9" t="n">
        <v>318.4</v>
      </c>
      <c r="E233" s="3" t="inlineStr">
        <is>
          <t>Entry gate</t>
        </is>
      </c>
      <c r="F233" s="3" t="inlineStr">
        <is>
          <t>727</t>
        </is>
      </c>
      <c r="G233" s="9" t="n">
        <v>556.2</v>
      </c>
      <c r="H233" s="10" t="n">
        <v>45680.61155092593</v>
      </c>
      <c r="I233" s="10" t="n">
        <v>45680.61155092593</v>
      </c>
      <c r="J233" s="10" t="n">
        <v>45680.6134375</v>
      </c>
      <c r="K233" s="11" t="n">
        <v>0.001886574074074074</v>
      </c>
      <c r="L233" s="13" t="n"/>
    </row>
    <row r="234">
      <c r="A234" s="3" t="inlineStr">
        <is>
          <t>ArrivalDrive</t>
        </is>
      </c>
      <c r="B234" s="3" t="inlineStr">
        <is>
          <t>Act_ARRD_10233_152549_703</t>
        </is>
      </c>
      <c r="C234" s="3" t="inlineStr">
        <is>
          <t>10233</t>
        </is>
      </c>
      <c r="D234" s="9" t="n">
        <v>94.40000000000001</v>
      </c>
      <c r="E234" s="3" t="inlineStr">
        <is>
          <t>Entry gate</t>
        </is>
      </c>
      <c r="F234" s="3" t="inlineStr">
        <is>
          <t>703</t>
        </is>
      </c>
      <c r="G234" s="9" t="n">
        <v>766.25</v>
      </c>
      <c r="H234" s="10" t="n">
        <v>45680.64292824074</v>
      </c>
      <c r="I234" s="10" t="n">
        <v>45680.64292824074</v>
      </c>
      <c r="J234" s="10" t="n">
        <v>45680.6447337963</v>
      </c>
      <c r="K234" s="11" t="n">
        <v>0.001805555555555555</v>
      </c>
      <c r="L234" s="13" t="n"/>
    </row>
    <row r="235">
      <c r="A235" s="3" t="inlineStr">
        <is>
          <t>ArrivalDrive</t>
        </is>
      </c>
      <c r="B235" s="3" t="inlineStr">
        <is>
          <t>Act_ARRD_10234_154307_703</t>
        </is>
      </c>
      <c r="C235" s="3" t="inlineStr">
        <is>
          <t>10234</t>
        </is>
      </c>
      <c r="D235" s="9" t="n">
        <v>144.4</v>
      </c>
      <c r="E235" s="3" t="inlineStr">
        <is>
          <t>Entry gate</t>
        </is>
      </c>
      <c r="F235" s="3" t="inlineStr">
        <is>
          <t>703</t>
        </is>
      </c>
      <c r="G235" s="9" t="n">
        <v>766.25</v>
      </c>
      <c r="H235" s="10" t="n">
        <v>45680.65494212963</v>
      </c>
      <c r="I235" s="10" t="n">
        <v>45680.65494212963</v>
      </c>
      <c r="J235" s="10" t="n">
        <v>45680.65686342592</v>
      </c>
      <c r="K235" s="11" t="n">
        <v>0.001921296296296296</v>
      </c>
      <c r="L235" s="13" t="n"/>
    </row>
    <row r="236">
      <c r="A236" s="3" t="inlineStr">
        <is>
          <t>ArrivalDrive</t>
        </is>
      </c>
      <c r="B236" s="3" t="inlineStr">
        <is>
          <t>Act_ARRD_10235_170019_703</t>
        </is>
      </c>
      <c r="C236" s="3" t="inlineStr">
        <is>
          <t>10235</t>
        </is>
      </c>
      <c r="D236" s="9" t="n">
        <v>331.3</v>
      </c>
      <c r="E236" s="3" t="inlineStr">
        <is>
          <t>Entry gate</t>
        </is>
      </c>
      <c r="F236" s="3" t="inlineStr">
        <is>
          <t>703</t>
        </is>
      </c>
      <c r="G236" s="9" t="n">
        <v>766.25</v>
      </c>
      <c r="H236" s="10" t="n">
        <v>45680.70855324074</v>
      </c>
      <c r="I236" s="10" t="n">
        <v>45680.70855324074</v>
      </c>
      <c r="J236" s="10" t="n">
        <v>45680.71091435185</v>
      </c>
      <c r="K236" s="11" t="n">
        <v>0.002361111111111111</v>
      </c>
      <c r="L236" s="13" t="n"/>
    </row>
    <row r="237">
      <c r="A237" s="3" t="inlineStr">
        <is>
          <t>ArrivalDrive</t>
        </is>
      </c>
      <c r="B237" s="3" t="inlineStr">
        <is>
          <t>Act_ARRD_10236_173553_731</t>
        </is>
      </c>
      <c r="C237" s="3" t="inlineStr">
        <is>
          <t>10236</t>
        </is>
      </c>
      <c r="D237" s="9" t="n">
        <v>54.7</v>
      </c>
      <c r="E237" s="3" t="inlineStr">
        <is>
          <t>Entry gate</t>
        </is>
      </c>
      <c r="F237" s="3" t="inlineStr">
        <is>
          <t>731</t>
        </is>
      </c>
      <c r="G237" s="9" t="n">
        <v>587.14</v>
      </c>
      <c r="H237" s="10" t="n">
        <v>45680.73325231481</v>
      </c>
      <c r="I237" s="10" t="n">
        <v>45680.73325231481</v>
      </c>
      <c r="J237" s="10" t="n">
        <v>45680.73459490741</v>
      </c>
      <c r="K237" s="11" t="n">
        <v>0.001342592592592592</v>
      </c>
      <c r="L237" s="13" t="n"/>
    </row>
    <row r="238">
      <c r="A238" s="3" t="inlineStr">
        <is>
          <t>ArrivalDrive</t>
        </is>
      </c>
      <c r="B238" s="3" t="inlineStr">
        <is>
          <t>Act_ARRD_10237_205740_703</t>
        </is>
      </c>
      <c r="C238" s="3" t="inlineStr">
        <is>
          <t>10237</t>
        </is>
      </c>
      <c r="D238" s="9" t="n">
        <v>85.5</v>
      </c>
      <c r="E238" s="3" t="inlineStr">
        <is>
          <t>Entry gate</t>
        </is>
      </c>
      <c r="F238" s="3" t="inlineStr">
        <is>
          <t>703</t>
        </is>
      </c>
      <c r="G238" s="9" t="n">
        <v>766.25</v>
      </c>
      <c r="H238" s="10" t="n">
        <v>45680.87337962963</v>
      </c>
      <c r="I238" s="10" t="n">
        <v>45680.87337962963</v>
      </c>
      <c r="J238" s="10" t="n">
        <v>45680.87517361111</v>
      </c>
      <c r="K238" s="11" t="n">
        <v>0.001793981481481481</v>
      </c>
      <c r="L238" s="13" t="n"/>
    </row>
    <row r="239">
      <c r="A239" s="3" t="inlineStr">
        <is>
          <t>ArrivalDrive</t>
        </is>
      </c>
      <c r="B239" s="3" t="inlineStr">
        <is>
          <t>Act_ARRD_10238_023909_703</t>
        </is>
      </c>
      <c r="C239" s="3" t="inlineStr">
        <is>
          <t>10238</t>
        </is>
      </c>
      <c r="D239" s="9" t="n">
        <v>295.2</v>
      </c>
      <c r="E239" s="3" t="inlineStr">
        <is>
          <t>Entry gate</t>
        </is>
      </c>
      <c r="F239" s="3" t="inlineStr">
        <is>
          <t>703</t>
        </is>
      </c>
      <c r="G239" s="9" t="n">
        <v>766.25</v>
      </c>
      <c r="H239" s="10" t="n">
        <v>45681.11052083333</v>
      </c>
      <c r="I239" s="10" t="n">
        <v>45681.11052083333</v>
      </c>
      <c r="J239" s="10" t="n">
        <v>45681.11278935185</v>
      </c>
      <c r="K239" s="11" t="n">
        <v>0.002268518518518519</v>
      </c>
      <c r="L239" s="13" t="n"/>
    </row>
    <row r="240">
      <c r="A240" s="3" t="inlineStr">
        <is>
          <t>ArrivalDrive</t>
        </is>
      </c>
      <c r="B240" s="3" t="inlineStr">
        <is>
          <t>Act_ARRD_10239_043150_703</t>
        </is>
      </c>
      <c r="C240" s="3" t="inlineStr">
        <is>
          <t>10239</t>
        </is>
      </c>
      <c r="D240" s="9" t="n">
        <v>118.2</v>
      </c>
      <c r="E240" s="3" t="inlineStr">
        <is>
          <t>Entry gate</t>
        </is>
      </c>
      <c r="F240" s="3" t="inlineStr">
        <is>
          <t>703</t>
        </is>
      </c>
      <c r="G240" s="9" t="n">
        <v>766.25</v>
      </c>
      <c r="H240" s="10" t="n">
        <v>45681.18877314815</v>
      </c>
      <c r="I240" s="10" t="n">
        <v>45681.18877314815</v>
      </c>
      <c r="J240" s="10" t="n">
        <v>45681.19063657407</v>
      </c>
      <c r="K240" s="11" t="n">
        <v>0.001863425925925926</v>
      </c>
      <c r="L240" s="13" t="n"/>
    </row>
    <row r="241">
      <c r="A241" s="3" t="inlineStr">
        <is>
          <t>ArrivalDrive</t>
        </is>
      </c>
      <c r="B241" s="3" t="inlineStr">
        <is>
          <t>Act_ARRD_10240_061106_703</t>
        </is>
      </c>
      <c r="C241" s="3" t="inlineStr">
        <is>
          <t>10240</t>
        </is>
      </c>
      <c r="D241" s="9" t="n">
        <v>297</v>
      </c>
      <c r="E241" s="3" t="inlineStr">
        <is>
          <t>Entry gate</t>
        </is>
      </c>
      <c r="F241" s="3" t="inlineStr">
        <is>
          <t>703</t>
        </is>
      </c>
      <c r="G241" s="9" t="n">
        <v>766.25</v>
      </c>
      <c r="H241" s="10" t="n">
        <v>45681.25770833333</v>
      </c>
      <c r="I241" s="10" t="n">
        <v>45681.25770833333</v>
      </c>
      <c r="J241" s="10" t="n">
        <v>45681.25998842593</v>
      </c>
      <c r="K241" s="11" t="n">
        <v>0.002280092592592593</v>
      </c>
      <c r="L241" s="13" t="n"/>
    </row>
    <row r="242">
      <c r="A242" s="3" t="inlineStr">
        <is>
          <t>ArrivalDrive</t>
        </is>
      </c>
      <c r="B242" s="3" t="inlineStr">
        <is>
          <t>Act_ARRD_10241_065639_703</t>
        </is>
      </c>
      <c r="C242" s="3" t="inlineStr">
        <is>
          <t>10241</t>
        </is>
      </c>
      <c r="D242" s="9" t="n">
        <v>240.4</v>
      </c>
      <c r="E242" s="3" t="inlineStr">
        <is>
          <t>Entry gate</t>
        </is>
      </c>
      <c r="F242" s="3" t="inlineStr">
        <is>
          <t>703</t>
        </is>
      </c>
      <c r="G242" s="9" t="n">
        <v>766.25</v>
      </c>
      <c r="H242" s="10" t="n">
        <v>45681.28934027778</v>
      </c>
      <c r="I242" s="10" t="n">
        <v>45681.28934027778</v>
      </c>
      <c r="J242" s="10" t="n">
        <v>45681.29149305556</v>
      </c>
      <c r="K242" s="11" t="n">
        <v>0.002152777777777778</v>
      </c>
      <c r="L242" s="13" t="n"/>
    </row>
    <row r="243">
      <c r="A243" s="3" t="inlineStr">
        <is>
          <t>ArrivalDrive</t>
        </is>
      </c>
      <c r="B243" s="3" t="inlineStr">
        <is>
          <t>Act_ARRD_10242_071150_703</t>
        </is>
      </c>
      <c r="C243" s="3" t="inlineStr">
        <is>
          <t>10242</t>
        </is>
      </c>
      <c r="D243" s="9" t="n">
        <v>406.2</v>
      </c>
      <c r="E243" s="3" t="inlineStr">
        <is>
          <t>Entry gate</t>
        </is>
      </c>
      <c r="F243" s="3" t="inlineStr">
        <is>
          <t>703</t>
        </is>
      </c>
      <c r="G243" s="9" t="n">
        <v>766.25</v>
      </c>
      <c r="H243" s="10" t="n">
        <v>45681.29988425926</v>
      </c>
      <c r="I243" s="10" t="n">
        <v>45681.29988425926</v>
      </c>
      <c r="J243" s="10" t="n">
        <v>45681.30241898148</v>
      </c>
      <c r="K243" s="11" t="n">
        <v>0.002534722222222222</v>
      </c>
      <c r="L243" s="13" t="n"/>
    </row>
    <row r="244">
      <c r="A244" s="3" t="inlineStr">
        <is>
          <t>ArrivalDrive</t>
        </is>
      </c>
      <c r="B244" s="3" t="inlineStr">
        <is>
          <t>Act_ARRD_10243_071757_727</t>
        </is>
      </c>
      <c r="C244" s="3" t="inlineStr">
        <is>
          <t>10243</t>
        </is>
      </c>
      <c r="D244" s="9" t="n">
        <v>390.5</v>
      </c>
      <c r="E244" s="3" t="inlineStr">
        <is>
          <t>Entry gate</t>
        </is>
      </c>
      <c r="F244" s="3" t="inlineStr">
        <is>
          <t>727</t>
        </is>
      </c>
      <c r="G244" s="9" t="n">
        <v>556.2</v>
      </c>
      <c r="H244" s="10" t="n">
        <v>45681.30413194445</v>
      </c>
      <c r="I244" s="10" t="n">
        <v>45681.30413194445</v>
      </c>
      <c r="J244" s="10" t="n">
        <v>45681.30619212963</v>
      </c>
      <c r="K244" s="11" t="n">
        <v>0.002060185185185185</v>
      </c>
      <c r="L244" s="13" t="n"/>
    </row>
    <row r="245">
      <c r="A245" s="3" t="inlineStr">
        <is>
          <t>ArrivalDrive</t>
        </is>
      </c>
      <c r="B245" s="3" t="inlineStr">
        <is>
          <t>Act_ARRD_10244_084546_703</t>
        </is>
      </c>
      <c r="C245" s="3" t="inlineStr">
        <is>
          <t>10244</t>
        </is>
      </c>
      <c r="D245" s="9" t="n">
        <v>147.8</v>
      </c>
      <c r="E245" s="3" t="inlineStr">
        <is>
          <t>Entry gate</t>
        </is>
      </c>
      <c r="F245" s="3" t="inlineStr">
        <is>
          <t>703</t>
        </is>
      </c>
      <c r="G245" s="9" t="n">
        <v>766.25</v>
      </c>
      <c r="H245" s="10" t="n">
        <v>45681.36511574074</v>
      </c>
      <c r="I245" s="10" t="n">
        <v>45681.36511574074</v>
      </c>
      <c r="J245" s="10" t="n">
        <v>45681.36704861111</v>
      </c>
      <c r="K245" s="11" t="n">
        <v>0.00193287037037037</v>
      </c>
      <c r="L245" s="13" t="n"/>
    </row>
    <row r="246">
      <c r="A246" s="3" t="inlineStr">
        <is>
          <t>ArrivalDrive</t>
        </is>
      </c>
      <c r="B246" s="3" t="inlineStr">
        <is>
          <t>Act_ARRD_10245_090032_727</t>
        </is>
      </c>
      <c r="C246" s="3" t="inlineStr">
        <is>
          <t>10245</t>
        </is>
      </c>
      <c r="D246" s="9" t="n">
        <v>318.8</v>
      </c>
      <c r="E246" s="3" t="inlineStr">
        <is>
          <t>Entry gate</t>
        </is>
      </c>
      <c r="F246" s="3" t="inlineStr">
        <is>
          <t>727</t>
        </is>
      </c>
      <c r="G246" s="9" t="n">
        <v>556.2</v>
      </c>
      <c r="H246" s="10" t="n">
        <v>45681.37537037037</v>
      </c>
      <c r="I246" s="10" t="n">
        <v>45681.37537037037</v>
      </c>
      <c r="J246" s="10" t="n">
        <v>45681.37725694444</v>
      </c>
      <c r="K246" s="11" t="n">
        <v>0.001886574074074074</v>
      </c>
      <c r="L246" s="13" t="n"/>
    </row>
    <row r="247">
      <c r="A247" s="3" t="inlineStr">
        <is>
          <t>ArrivalDrive</t>
        </is>
      </c>
      <c r="B247" s="3" t="inlineStr">
        <is>
          <t>Act_ARRD_10246_095145_703</t>
        </is>
      </c>
      <c r="C247" s="3" t="inlineStr">
        <is>
          <t>10246</t>
        </is>
      </c>
      <c r="D247" s="9" t="n">
        <v>437.5</v>
      </c>
      <c r="E247" s="3" t="inlineStr">
        <is>
          <t>Entry gate</t>
        </is>
      </c>
      <c r="F247" s="3" t="inlineStr">
        <is>
          <t>703</t>
        </is>
      </c>
      <c r="G247" s="9" t="n">
        <v>766.25</v>
      </c>
      <c r="H247" s="10" t="n">
        <v>45681.4109375</v>
      </c>
      <c r="I247" s="10" t="n">
        <v>45681.4109375</v>
      </c>
      <c r="J247" s="10" t="n">
        <v>45681.41354166667</v>
      </c>
      <c r="K247" s="11" t="n">
        <v>0.002604166666666667</v>
      </c>
      <c r="L247" s="13" t="n"/>
    </row>
    <row r="248">
      <c r="A248" s="3" t="inlineStr">
        <is>
          <t>ArrivalDrive</t>
        </is>
      </c>
      <c r="B248" s="3" t="inlineStr">
        <is>
          <t>Act_ARRD_10247_130055_703</t>
        </is>
      </c>
      <c r="C248" s="3" t="inlineStr">
        <is>
          <t>10247</t>
        </is>
      </c>
      <c r="D248" s="9" t="n">
        <v>177.5</v>
      </c>
      <c r="E248" s="3" t="inlineStr">
        <is>
          <t>Entry gate</t>
        </is>
      </c>
      <c r="F248" s="3" t="inlineStr">
        <is>
          <t>703</t>
        </is>
      </c>
      <c r="G248" s="9" t="n">
        <v>766.25</v>
      </c>
      <c r="H248" s="10" t="n">
        <v>45681.54230324074</v>
      </c>
      <c r="I248" s="10" t="n">
        <v>45681.54230324074</v>
      </c>
      <c r="J248" s="10" t="n">
        <v>45681.54430555556</v>
      </c>
      <c r="K248" s="11" t="n">
        <v>0.002002314814814815</v>
      </c>
      <c r="L248" s="13" t="n"/>
    </row>
    <row r="249">
      <c r="A249" s="3" t="inlineStr">
        <is>
          <t>ArrivalDrive</t>
        </is>
      </c>
      <c r="B249" s="3" t="inlineStr">
        <is>
          <t>Act_ARRD_10248_142754_703</t>
        </is>
      </c>
      <c r="C249" s="3" t="inlineStr">
        <is>
          <t>10248</t>
        </is>
      </c>
      <c r="D249" s="9" t="n">
        <v>296.1</v>
      </c>
      <c r="E249" s="3" t="inlineStr">
        <is>
          <t>Entry gate</t>
        </is>
      </c>
      <c r="F249" s="3" t="inlineStr">
        <is>
          <t>703</t>
        </is>
      </c>
      <c r="G249" s="9" t="n">
        <v>766.25</v>
      </c>
      <c r="H249" s="10" t="n">
        <v>45681.60270833333</v>
      </c>
      <c r="I249" s="10" t="n">
        <v>45681.60270833333</v>
      </c>
      <c r="J249" s="10" t="n">
        <v>45681.60498842593</v>
      </c>
      <c r="K249" s="11" t="n">
        <v>0.002280092592592593</v>
      </c>
      <c r="L249" s="13" t="n"/>
    </row>
    <row r="250">
      <c r="A250" s="3" t="inlineStr">
        <is>
          <t>ArrivalDrive</t>
        </is>
      </c>
      <c r="B250" s="3" t="inlineStr">
        <is>
          <t>Act_ARRD_10249_145231_703</t>
        </is>
      </c>
      <c r="C250" s="3" t="inlineStr">
        <is>
          <t>10249</t>
        </is>
      </c>
      <c r="D250" s="9" t="n">
        <v>313</v>
      </c>
      <c r="E250" s="3" t="inlineStr">
        <is>
          <t>Entry gate</t>
        </is>
      </c>
      <c r="F250" s="3" t="inlineStr">
        <is>
          <t>703</t>
        </is>
      </c>
      <c r="G250" s="9" t="n">
        <v>766.25</v>
      </c>
      <c r="H250" s="10" t="n">
        <v>45681.61980324074</v>
      </c>
      <c r="I250" s="10" t="n">
        <v>45681.61980324074</v>
      </c>
      <c r="J250" s="10" t="n">
        <v>45681.62211805556</v>
      </c>
      <c r="K250" s="11" t="n">
        <v>0.002314814814814815</v>
      </c>
      <c r="L250" s="13" t="n"/>
    </row>
    <row r="251">
      <c r="A251" s="3" t="inlineStr">
        <is>
          <t>ArrivalDrive</t>
        </is>
      </c>
      <c r="B251" s="3" t="inlineStr">
        <is>
          <t>Act_ARRD_10250_151107_731</t>
        </is>
      </c>
      <c r="C251" s="3" t="inlineStr">
        <is>
          <t>10250</t>
        </is>
      </c>
      <c r="D251" s="9" t="n">
        <v>15.7</v>
      </c>
      <c r="E251" s="3" t="inlineStr">
        <is>
          <t>Entry gate</t>
        </is>
      </c>
      <c r="F251" s="3" t="inlineStr">
        <is>
          <t>731</t>
        </is>
      </c>
      <c r="G251" s="9" t="n">
        <v>587.14</v>
      </c>
      <c r="H251" s="10" t="n">
        <v>45681.63271990741</v>
      </c>
      <c r="I251" s="10" t="n">
        <v>45681.63271990741</v>
      </c>
      <c r="J251" s="10" t="n">
        <v>45681.63396990741</v>
      </c>
      <c r="K251" s="11" t="n">
        <v>0.00125</v>
      </c>
      <c r="L251" s="13" t="n"/>
    </row>
    <row r="252">
      <c r="A252" s="3" t="inlineStr">
        <is>
          <t>ArrivalDrive</t>
        </is>
      </c>
      <c r="B252" s="3" t="inlineStr">
        <is>
          <t>Act_ARRD_10251_172900_703</t>
        </is>
      </c>
      <c r="C252" s="3" t="inlineStr">
        <is>
          <t>10251</t>
        </is>
      </c>
      <c r="D252" s="9" t="n">
        <v>232.4</v>
      </c>
      <c r="E252" s="3" t="inlineStr">
        <is>
          <t>Entry gate</t>
        </is>
      </c>
      <c r="F252" s="3" t="inlineStr">
        <is>
          <t>703</t>
        </is>
      </c>
      <c r="G252" s="9" t="n">
        <v>766.25</v>
      </c>
      <c r="H252" s="10" t="n">
        <v>45681.72847222222</v>
      </c>
      <c r="I252" s="10" t="n">
        <v>45681.72847222222</v>
      </c>
      <c r="J252" s="10" t="n">
        <v>45681.73060185185</v>
      </c>
      <c r="K252" s="11" t="n">
        <v>0.00212962962962963</v>
      </c>
      <c r="L252" s="13" t="n"/>
    </row>
    <row r="253">
      <c r="A253" s="3" t="inlineStr">
        <is>
          <t>ArrivalDrive</t>
        </is>
      </c>
      <c r="B253" s="3" t="inlineStr">
        <is>
          <t>Act_ARRD_10252_173000_727</t>
        </is>
      </c>
      <c r="C253" s="3" t="inlineStr">
        <is>
          <t>10252</t>
        </is>
      </c>
      <c r="D253" s="9" t="n">
        <v>134.7</v>
      </c>
      <c r="E253" s="3" t="inlineStr">
        <is>
          <t>Entry gate</t>
        </is>
      </c>
      <c r="F253" s="3" t="inlineStr">
        <is>
          <t>727</t>
        </is>
      </c>
      <c r="G253" s="9" t="n">
        <v>556.2</v>
      </c>
      <c r="H253" s="10" t="n">
        <v>45681.72916666666</v>
      </c>
      <c r="I253" s="10" t="n">
        <v>45681.72916666666</v>
      </c>
      <c r="J253" s="10" t="n">
        <v>45681.73063657407</v>
      </c>
      <c r="K253" s="11" t="n">
        <v>0.001469907407407407</v>
      </c>
      <c r="L253" s="13" t="n"/>
    </row>
    <row r="254">
      <c r="A254" s="3" t="inlineStr">
        <is>
          <t>ArrivalDrive</t>
        </is>
      </c>
      <c r="B254" s="3" t="inlineStr">
        <is>
          <t>Act_ARRD_10253_014027_727</t>
        </is>
      </c>
      <c r="C254" s="3" t="inlineStr">
        <is>
          <t>10253</t>
        </is>
      </c>
      <c r="D254" s="9" t="n">
        <v>582.5</v>
      </c>
      <c r="E254" s="3" t="inlineStr">
        <is>
          <t>Entry gate</t>
        </is>
      </c>
      <c r="F254" s="3" t="inlineStr">
        <is>
          <t>727</t>
        </is>
      </c>
      <c r="G254" s="9" t="n">
        <v>556.2</v>
      </c>
      <c r="H254" s="10" t="n">
        <v>45682.06975694445</v>
      </c>
      <c r="I254" s="10" t="n">
        <v>45682.06975694445</v>
      </c>
      <c r="J254" s="10" t="n">
        <v>45682.07225694445</v>
      </c>
      <c r="K254" s="11" t="n">
        <v>0.0025</v>
      </c>
      <c r="L254" s="13" t="n"/>
    </row>
    <row r="255">
      <c r="A255" s="3" t="inlineStr">
        <is>
          <t>ArrivalDrive</t>
        </is>
      </c>
      <c r="B255" s="3" t="inlineStr">
        <is>
          <t>Act_ARRD_10254_174607_727</t>
        </is>
      </c>
      <c r="C255" s="3" t="inlineStr">
        <is>
          <t>10254</t>
        </is>
      </c>
      <c r="D255" s="9" t="n">
        <v>560</v>
      </c>
      <c r="E255" s="3" t="inlineStr">
        <is>
          <t>Entry gate</t>
        </is>
      </c>
      <c r="F255" s="3" t="inlineStr">
        <is>
          <t>727</t>
        </is>
      </c>
      <c r="G255" s="9" t="n">
        <v>556.2</v>
      </c>
      <c r="H255" s="10" t="n">
        <v>45683.7403587963</v>
      </c>
      <c r="I255" s="10" t="n">
        <v>45683.7403587963</v>
      </c>
      <c r="J255" s="10" t="n">
        <v>45683.7428125</v>
      </c>
      <c r="K255" s="11" t="n">
        <v>0.002453703703703704</v>
      </c>
      <c r="L255" s="13" t="n"/>
    </row>
    <row r="256">
      <c r="A256" s="3" t="inlineStr">
        <is>
          <t>ArrivalDrive</t>
        </is>
      </c>
      <c r="B256" s="3" t="inlineStr">
        <is>
          <t>Act_ARRD_10255_023536_703</t>
        </is>
      </c>
      <c r="C256" s="3" t="inlineStr">
        <is>
          <t>10255</t>
        </is>
      </c>
      <c r="D256" s="9" t="n">
        <v>259</v>
      </c>
      <c r="E256" s="3" t="inlineStr">
        <is>
          <t>Entry gate</t>
        </is>
      </c>
      <c r="F256" s="3" t="inlineStr">
        <is>
          <t>703</t>
        </is>
      </c>
      <c r="G256" s="9" t="n">
        <v>766.25</v>
      </c>
      <c r="H256" s="10" t="n">
        <v>45684.10805555555</v>
      </c>
      <c r="I256" s="10" t="n">
        <v>45684.10805555555</v>
      </c>
      <c r="J256" s="10" t="n">
        <v>45684.11024305555</v>
      </c>
      <c r="K256" s="11" t="n">
        <v>0.0021875</v>
      </c>
      <c r="L256" s="13" t="n"/>
    </row>
    <row r="257">
      <c r="A257" s="3" t="inlineStr">
        <is>
          <t>ArrivalDrive</t>
        </is>
      </c>
      <c r="B257" s="3" t="inlineStr">
        <is>
          <t>Act_ARRD_10256_043133_703</t>
        </is>
      </c>
      <c r="C257" s="3" t="inlineStr">
        <is>
          <t>10256</t>
        </is>
      </c>
      <c r="D257" s="9" t="n">
        <v>298.2</v>
      </c>
      <c r="E257" s="3" t="inlineStr">
        <is>
          <t>Entry gate</t>
        </is>
      </c>
      <c r="F257" s="3" t="inlineStr">
        <is>
          <t>703</t>
        </is>
      </c>
      <c r="G257" s="9" t="n">
        <v>766.25</v>
      </c>
      <c r="H257" s="10" t="n">
        <v>45684.18857638889</v>
      </c>
      <c r="I257" s="10" t="n">
        <v>45684.18857638889</v>
      </c>
      <c r="J257" s="10" t="n">
        <v>45684.19085648148</v>
      </c>
      <c r="K257" s="11" t="n">
        <v>0.002280092592592593</v>
      </c>
      <c r="L257" s="13" t="n"/>
    </row>
    <row r="258">
      <c r="A258" s="3" t="inlineStr">
        <is>
          <t>ArrivalDrive</t>
        </is>
      </c>
      <c r="B258" s="3" t="inlineStr">
        <is>
          <t>Act_ARRD_10257_063426_703</t>
        </is>
      </c>
      <c r="C258" s="3" t="inlineStr">
        <is>
          <t>10257</t>
        </is>
      </c>
      <c r="D258" s="9" t="n">
        <v>284.8</v>
      </c>
      <c r="E258" s="3" t="inlineStr">
        <is>
          <t>Entry gate</t>
        </is>
      </c>
      <c r="F258" s="3" t="inlineStr">
        <is>
          <t>703</t>
        </is>
      </c>
      <c r="G258" s="9" t="n">
        <v>766.25</v>
      </c>
      <c r="H258" s="10" t="n">
        <v>45684.27391203704</v>
      </c>
      <c r="I258" s="10" t="n">
        <v>45684.27391203704</v>
      </c>
      <c r="J258" s="10" t="n">
        <v>45684.27615740741</v>
      </c>
      <c r="K258" s="11" t="n">
        <v>0.00224537037037037</v>
      </c>
      <c r="L258" s="13" t="n"/>
    </row>
    <row r="259">
      <c r="A259" s="3" t="inlineStr">
        <is>
          <t>ArrivalDrive</t>
        </is>
      </c>
      <c r="B259" s="3" t="inlineStr">
        <is>
          <t>Act_ARRD_10258_070653_727</t>
        </is>
      </c>
      <c r="C259" s="3" t="inlineStr">
        <is>
          <t>10258</t>
        </is>
      </c>
      <c r="D259" s="9" t="n">
        <v>589.2</v>
      </c>
      <c r="E259" s="3" t="inlineStr">
        <is>
          <t>Entry gate</t>
        </is>
      </c>
      <c r="F259" s="3" t="inlineStr">
        <is>
          <t>727</t>
        </is>
      </c>
      <c r="G259" s="9" t="n">
        <v>556.2</v>
      </c>
      <c r="H259" s="10" t="n">
        <v>45684.29644675926</v>
      </c>
      <c r="I259" s="10" t="n">
        <v>45684.29644675926</v>
      </c>
      <c r="J259" s="10" t="n">
        <v>45684.29895833333</v>
      </c>
      <c r="K259" s="11" t="n">
        <v>0.002511574074074074</v>
      </c>
      <c r="L259" s="13" t="n"/>
    </row>
    <row r="260">
      <c r="A260" s="3" t="inlineStr">
        <is>
          <t>ArrivalDrive</t>
        </is>
      </c>
      <c r="B260" s="3" t="inlineStr">
        <is>
          <t>Act_ARRD_10259_072700_703</t>
        </is>
      </c>
      <c r="C260" s="3" t="inlineStr">
        <is>
          <t>10259</t>
        </is>
      </c>
      <c r="D260" s="9" t="n">
        <v>253.6</v>
      </c>
      <c r="E260" s="3" t="inlineStr">
        <is>
          <t>Entry gate</t>
        </is>
      </c>
      <c r="F260" s="3" t="inlineStr">
        <is>
          <t>703</t>
        </is>
      </c>
      <c r="G260" s="9" t="n">
        <v>766.25</v>
      </c>
      <c r="H260" s="10" t="n">
        <v>45684.31041666667</v>
      </c>
      <c r="I260" s="10" t="n">
        <v>45684.31041666667</v>
      </c>
      <c r="J260" s="10" t="n">
        <v>45684.31259259259</v>
      </c>
      <c r="K260" s="11" t="n">
        <v>0.002175925925925926</v>
      </c>
      <c r="L260" s="13" t="n"/>
    </row>
    <row r="261">
      <c r="A261" s="3" t="inlineStr">
        <is>
          <t>ArrivalDrive</t>
        </is>
      </c>
      <c r="B261" s="3" t="inlineStr">
        <is>
          <t>Act_ARRD_10260_075317_703</t>
        </is>
      </c>
      <c r="C261" s="3" t="inlineStr">
        <is>
          <t>10260</t>
        </is>
      </c>
      <c r="D261" s="9" t="n">
        <v>389.1</v>
      </c>
      <c r="E261" s="3" t="inlineStr">
        <is>
          <t>Entry gate</t>
        </is>
      </c>
      <c r="F261" s="3" t="inlineStr">
        <is>
          <t>703</t>
        </is>
      </c>
      <c r="G261" s="9" t="n">
        <v>766.25</v>
      </c>
      <c r="H261" s="10" t="n">
        <v>45684.32866898148</v>
      </c>
      <c r="I261" s="10" t="n">
        <v>45684.32866898148</v>
      </c>
      <c r="J261" s="10" t="n">
        <v>45684.33115740741</v>
      </c>
      <c r="K261" s="11" t="n">
        <v>0.002488425925925926</v>
      </c>
      <c r="L261" s="13" t="n"/>
    </row>
    <row r="262">
      <c r="A262" s="3" t="inlineStr">
        <is>
          <t>ArrivalDrive</t>
        </is>
      </c>
      <c r="B262" s="3" t="inlineStr">
        <is>
          <t>Act_ARRD_10261_082823_727</t>
        </is>
      </c>
      <c r="C262" s="3" t="inlineStr">
        <is>
          <t>10261</t>
        </is>
      </c>
      <c r="D262" s="9" t="n">
        <v>586.7</v>
      </c>
      <c r="E262" s="3" t="inlineStr">
        <is>
          <t>Entry gate</t>
        </is>
      </c>
      <c r="F262" s="3" t="inlineStr">
        <is>
          <t>727</t>
        </is>
      </c>
      <c r="G262" s="9" t="n">
        <v>556.2</v>
      </c>
      <c r="H262" s="10" t="n">
        <v>45684.35304398148</v>
      </c>
      <c r="I262" s="10" t="n">
        <v>45684.35304398148</v>
      </c>
      <c r="J262" s="10" t="n">
        <v>45684.35555555556</v>
      </c>
      <c r="K262" s="11" t="n">
        <v>0.002511574074074074</v>
      </c>
      <c r="L262" s="13" t="n"/>
    </row>
    <row r="263">
      <c r="A263" s="3" t="inlineStr">
        <is>
          <t>ArrivalDrive</t>
        </is>
      </c>
      <c r="B263" s="3" t="inlineStr">
        <is>
          <t>Act_ARRD_10262_082850_703</t>
        </is>
      </c>
      <c r="C263" s="3" t="inlineStr">
        <is>
          <t>10262</t>
        </is>
      </c>
      <c r="D263" s="9" t="n">
        <v>390.5</v>
      </c>
      <c r="E263" s="3" t="inlineStr">
        <is>
          <t>Entry gate</t>
        </is>
      </c>
      <c r="F263" s="3" t="inlineStr">
        <is>
          <t>703</t>
        </is>
      </c>
      <c r="G263" s="9" t="n">
        <v>766.25</v>
      </c>
      <c r="H263" s="10" t="n">
        <v>45684.35335648148</v>
      </c>
      <c r="I263" s="10" t="n">
        <v>45684.35335648148</v>
      </c>
      <c r="J263" s="10" t="n">
        <v>45684.35585648148</v>
      </c>
      <c r="K263" s="11" t="n">
        <v>0.0025</v>
      </c>
      <c r="L263" s="13" t="n"/>
    </row>
    <row r="264">
      <c r="A264" s="3" t="inlineStr">
        <is>
          <t>ArrivalDrive</t>
        </is>
      </c>
      <c r="B264" s="3" t="inlineStr">
        <is>
          <t>Act_ARRD_10263_102927_703</t>
        </is>
      </c>
      <c r="C264" s="3" t="inlineStr">
        <is>
          <t>10263</t>
        </is>
      </c>
      <c r="D264" s="9" t="n">
        <v>435.5</v>
      </c>
      <c r="E264" s="3" t="inlineStr">
        <is>
          <t>Entry gate</t>
        </is>
      </c>
      <c r="F264" s="3" t="inlineStr">
        <is>
          <t>703</t>
        </is>
      </c>
      <c r="G264" s="9" t="n">
        <v>766.25</v>
      </c>
      <c r="H264" s="10" t="n">
        <v>45684.43711805555</v>
      </c>
      <c r="I264" s="10" t="n">
        <v>45684.43711805555</v>
      </c>
      <c r="J264" s="10" t="n">
        <v>45684.43972222223</v>
      </c>
      <c r="K264" s="11" t="n">
        <v>0.002604166666666667</v>
      </c>
      <c r="L264" s="13" t="n"/>
    </row>
    <row r="265">
      <c r="A265" s="3" t="inlineStr">
        <is>
          <t>ArrivalDrive</t>
        </is>
      </c>
      <c r="B265" s="3" t="inlineStr">
        <is>
          <t>Act_ARRD_10264_124112_703</t>
        </is>
      </c>
      <c r="C265" s="3" t="inlineStr">
        <is>
          <t>10264</t>
        </is>
      </c>
      <c r="D265" s="9" t="n">
        <v>212.1</v>
      </c>
      <c r="E265" s="3" t="inlineStr">
        <is>
          <t>Entry gate</t>
        </is>
      </c>
      <c r="F265" s="3" t="inlineStr">
        <is>
          <t>703</t>
        </is>
      </c>
      <c r="G265" s="9" t="n">
        <v>766.25</v>
      </c>
      <c r="H265" s="10" t="n">
        <v>45684.52861111111</v>
      </c>
      <c r="I265" s="10" t="n">
        <v>45684.52861111111</v>
      </c>
      <c r="J265" s="10" t="n">
        <v>45684.53069444445</v>
      </c>
      <c r="K265" s="11" t="n">
        <v>0.002083333333333333</v>
      </c>
      <c r="L265" s="13" t="n"/>
    </row>
    <row r="266">
      <c r="A266" s="3" t="inlineStr">
        <is>
          <t>ArrivalDrive</t>
        </is>
      </c>
      <c r="B266" s="3" t="inlineStr">
        <is>
          <t>Act_ARRD_10265_142025_703</t>
        </is>
      </c>
      <c r="C266" s="3" t="inlineStr">
        <is>
          <t>10265</t>
        </is>
      </c>
      <c r="D266" s="9" t="n">
        <v>381.6</v>
      </c>
      <c r="E266" s="3" t="inlineStr">
        <is>
          <t>Entry gate</t>
        </is>
      </c>
      <c r="F266" s="3" t="inlineStr">
        <is>
          <t>703</t>
        </is>
      </c>
      <c r="G266" s="9" t="n">
        <v>766.25</v>
      </c>
      <c r="H266" s="10" t="n">
        <v>45684.59751157407</v>
      </c>
      <c r="I266" s="10" t="n">
        <v>45684.59751157407</v>
      </c>
      <c r="J266" s="10" t="n">
        <v>45684.59998842593</v>
      </c>
      <c r="K266" s="11" t="n">
        <v>0.002476851851851852</v>
      </c>
      <c r="L266" s="13" t="n"/>
    </row>
    <row r="267">
      <c r="A267" s="3" t="inlineStr">
        <is>
          <t>ArrivalDrive</t>
        </is>
      </c>
      <c r="B267" s="3" t="inlineStr">
        <is>
          <t>Act_ARRD_10266_152600_731</t>
        </is>
      </c>
      <c r="C267" s="3" t="inlineStr">
        <is>
          <t>10266</t>
        </is>
      </c>
      <c r="D267" s="9" t="n">
        <v>15.7</v>
      </c>
      <c r="E267" s="3" t="inlineStr">
        <is>
          <t>Entry gate</t>
        </is>
      </c>
      <c r="F267" s="3" t="inlineStr">
        <is>
          <t>731</t>
        </is>
      </c>
      <c r="G267" s="9" t="n">
        <v>587.14</v>
      </c>
      <c r="H267" s="10" t="n">
        <v>45684.64305555556</v>
      </c>
      <c r="I267" s="10" t="n">
        <v>45684.64305555556</v>
      </c>
      <c r="J267" s="10" t="n">
        <v>45684.64430555556</v>
      </c>
      <c r="K267" s="11" t="n">
        <v>0.00125</v>
      </c>
      <c r="L267" s="13" t="n"/>
    </row>
    <row r="268">
      <c r="A268" s="3" t="inlineStr">
        <is>
          <t>ArrivalDrive</t>
        </is>
      </c>
      <c r="B268" s="3" t="inlineStr">
        <is>
          <t>Act_ARRD_10267_155429_703</t>
        </is>
      </c>
      <c r="C268" s="3" t="inlineStr">
        <is>
          <t>10267</t>
        </is>
      </c>
      <c r="D268" s="9" t="n">
        <v>383.1</v>
      </c>
      <c r="E268" s="3" t="inlineStr">
        <is>
          <t>Entry gate</t>
        </is>
      </c>
      <c r="F268" s="3" t="inlineStr">
        <is>
          <t>703</t>
        </is>
      </c>
      <c r="G268" s="9" t="n">
        <v>766.25</v>
      </c>
      <c r="H268" s="10" t="n">
        <v>45684.66283564815</v>
      </c>
      <c r="I268" s="10" t="n">
        <v>45684.66283564815</v>
      </c>
      <c r="J268" s="10" t="n">
        <v>45684.6653125</v>
      </c>
      <c r="K268" s="11" t="n">
        <v>0.002476851851851852</v>
      </c>
      <c r="L268" s="13" t="n"/>
    </row>
    <row r="269">
      <c r="A269" s="3" t="inlineStr">
        <is>
          <t>ArrivalDrive</t>
        </is>
      </c>
      <c r="B269" s="3" t="inlineStr">
        <is>
          <t>Act_ARRD_10268_173128_703</t>
        </is>
      </c>
      <c r="C269" s="3" t="inlineStr">
        <is>
          <t>10268</t>
        </is>
      </c>
      <c r="D269" s="9" t="n">
        <v>232.4</v>
      </c>
      <c r="E269" s="3" t="inlineStr">
        <is>
          <t>Entry gate</t>
        </is>
      </c>
      <c r="F269" s="3" t="inlineStr">
        <is>
          <t>703</t>
        </is>
      </c>
      <c r="G269" s="9" t="n">
        <v>766.25</v>
      </c>
      <c r="H269" s="10" t="n">
        <v>45684.73018518519</v>
      </c>
      <c r="I269" s="10" t="n">
        <v>45684.73018518519</v>
      </c>
      <c r="J269" s="10" t="n">
        <v>45684.73231481481</v>
      </c>
      <c r="K269" s="11" t="n">
        <v>0.00212962962962963</v>
      </c>
      <c r="L269" s="13" t="n"/>
    </row>
    <row r="270">
      <c r="A270" s="3" t="inlineStr">
        <is>
          <t>ArrivalDrive</t>
        </is>
      </c>
      <c r="B270" s="3" t="inlineStr">
        <is>
          <t>Act_ARRD_10269_174014_727</t>
        </is>
      </c>
      <c r="C270" s="3" t="inlineStr">
        <is>
          <t>10269</t>
        </is>
      </c>
      <c r="D270" s="9" t="n">
        <v>446</v>
      </c>
      <c r="E270" s="3" t="inlineStr">
        <is>
          <t>Entry gate</t>
        </is>
      </c>
      <c r="F270" s="3" t="inlineStr">
        <is>
          <t>727</t>
        </is>
      </c>
      <c r="G270" s="9" t="n">
        <v>556.2</v>
      </c>
      <c r="H270" s="10" t="n">
        <v>45684.73627314815</v>
      </c>
      <c r="I270" s="10" t="n">
        <v>45684.73627314815</v>
      </c>
      <c r="J270" s="10" t="n">
        <v>45684.73846064815</v>
      </c>
      <c r="K270" s="11" t="n">
        <v>0.0021875</v>
      </c>
      <c r="L270" s="13" t="n"/>
    </row>
    <row r="271">
      <c r="A271" s="3" t="inlineStr">
        <is>
          <t>ArrivalDrive</t>
        </is>
      </c>
      <c r="B271" s="3" t="inlineStr">
        <is>
          <t>Act_ARRD_10270_205830_703</t>
        </is>
      </c>
      <c r="C271" s="3" t="inlineStr">
        <is>
          <t>10270</t>
        </is>
      </c>
      <c r="D271" s="9" t="n">
        <v>397.3</v>
      </c>
      <c r="E271" s="3" t="inlineStr">
        <is>
          <t>Entry gate</t>
        </is>
      </c>
      <c r="F271" s="3" t="inlineStr">
        <is>
          <t>703</t>
        </is>
      </c>
      <c r="G271" s="9" t="n">
        <v>766.25</v>
      </c>
      <c r="H271" s="10" t="n">
        <v>45684.87395833333</v>
      </c>
      <c r="I271" s="10" t="n">
        <v>45684.87395833333</v>
      </c>
      <c r="J271" s="10" t="n">
        <v>45684.87646990741</v>
      </c>
      <c r="K271" s="11" t="n">
        <v>0.002511574074074074</v>
      </c>
      <c r="L271" s="13" t="n"/>
    </row>
    <row r="272">
      <c r="A272" s="3" t="inlineStr">
        <is>
          <t>ArrivalDrive</t>
        </is>
      </c>
      <c r="B272" s="3" t="inlineStr">
        <is>
          <t>Act_ARRD_10271_025215_703</t>
        </is>
      </c>
      <c r="C272" s="3" t="inlineStr">
        <is>
          <t>10271</t>
        </is>
      </c>
      <c r="D272" s="9" t="n">
        <v>145.7</v>
      </c>
      <c r="E272" s="3" t="inlineStr">
        <is>
          <t>Entry gate</t>
        </is>
      </c>
      <c r="F272" s="3" t="inlineStr">
        <is>
          <t>703</t>
        </is>
      </c>
      <c r="G272" s="9" t="n">
        <v>766.25</v>
      </c>
      <c r="H272" s="10" t="n">
        <v>45685.11961805556</v>
      </c>
      <c r="I272" s="10" t="n">
        <v>45685.11961805556</v>
      </c>
      <c r="J272" s="10" t="n">
        <v>45685.12155092593</v>
      </c>
      <c r="K272" s="11" t="n">
        <v>0.00193287037037037</v>
      </c>
      <c r="L272" s="13" t="n"/>
    </row>
    <row r="273">
      <c r="A273" s="3" t="inlineStr">
        <is>
          <t>ArrivalDrive</t>
        </is>
      </c>
      <c r="B273" s="3" t="inlineStr">
        <is>
          <t>Act_ARRD_10272_062903_703</t>
        </is>
      </c>
      <c r="C273" s="3" t="inlineStr">
        <is>
          <t>10272</t>
        </is>
      </c>
      <c r="D273" s="9" t="n">
        <v>297</v>
      </c>
      <c r="E273" s="3" t="inlineStr">
        <is>
          <t>Entry gate</t>
        </is>
      </c>
      <c r="F273" s="3" t="inlineStr">
        <is>
          <t>703</t>
        </is>
      </c>
      <c r="G273" s="9" t="n">
        <v>766.25</v>
      </c>
      <c r="H273" s="10" t="n">
        <v>45685.27017361111</v>
      </c>
      <c r="I273" s="10" t="n">
        <v>45685.27017361111</v>
      </c>
      <c r="J273" s="10" t="n">
        <v>45685.27245370371</v>
      </c>
      <c r="K273" s="11" t="n">
        <v>0.002280092592592593</v>
      </c>
      <c r="L273" s="13" t="n"/>
    </row>
    <row r="274">
      <c r="A274" s="3" t="inlineStr">
        <is>
          <t>ArrivalDrive</t>
        </is>
      </c>
      <c r="B274" s="3" t="inlineStr">
        <is>
          <t>Act_ARRD_10273_071153_703</t>
        </is>
      </c>
      <c r="C274" s="3" t="inlineStr">
        <is>
          <t>10273</t>
        </is>
      </c>
      <c r="D274" s="9" t="n">
        <v>299.9</v>
      </c>
      <c r="E274" s="3" t="inlineStr">
        <is>
          <t>Entry gate</t>
        </is>
      </c>
      <c r="F274" s="3" t="inlineStr">
        <is>
          <t>703</t>
        </is>
      </c>
      <c r="G274" s="9" t="n">
        <v>766.25</v>
      </c>
      <c r="H274" s="10" t="n">
        <v>45685.29991898148</v>
      </c>
      <c r="I274" s="10" t="n">
        <v>45685.29991898148</v>
      </c>
      <c r="J274" s="10" t="n">
        <v>45685.30219907407</v>
      </c>
      <c r="K274" s="11" t="n">
        <v>0.002280092592592593</v>
      </c>
      <c r="L274" s="13" t="n"/>
    </row>
    <row r="275">
      <c r="A275" s="3" t="inlineStr">
        <is>
          <t>ArrivalDrive</t>
        </is>
      </c>
      <c r="B275" s="3" t="inlineStr">
        <is>
          <t>Act_ARRD_10274_073130_727</t>
        </is>
      </c>
      <c r="C275" s="3" t="inlineStr">
        <is>
          <t>10274</t>
        </is>
      </c>
      <c r="D275" s="9" t="n">
        <v>157.5</v>
      </c>
      <c r="E275" s="3" t="inlineStr">
        <is>
          <t>Entry gate</t>
        </is>
      </c>
      <c r="F275" s="3" t="inlineStr">
        <is>
          <t>727</t>
        </is>
      </c>
      <c r="G275" s="9" t="n">
        <v>556.2</v>
      </c>
      <c r="H275" s="10" t="n">
        <v>45685.31354166667</v>
      </c>
      <c r="I275" s="10" t="n">
        <v>45685.31354166667</v>
      </c>
      <c r="J275" s="10" t="n">
        <v>45685.31505787037</v>
      </c>
      <c r="K275" s="11" t="n">
        <v>0.001516203703703704</v>
      </c>
      <c r="L275" s="13" t="n"/>
    </row>
    <row r="276">
      <c r="A276" s="3" t="inlineStr">
        <is>
          <t>ArrivalDrive</t>
        </is>
      </c>
      <c r="B276" s="3" t="inlineStr">
        <is>
          <t>Act_ARRD_10275_074147_725</t>
        </is>
      </c>
      <c r="C276" s="3" t="inlineStr">
        <is>
          <t>10275</t>
        </is>
      </c>
      <c r="D276" s="9" t="n">
        <v>398</v>
      </c>
      <c r="E276" s="3" t="inlineStr">
        <is>
          <t>Entry gate</t>
        </is>
      </c>
      <c r="F276" s="3" t="inlineStr">
        <is>
          <t>725</t>
        </is>
      </c>
      <c r="G276" s="9" t="n">
        <v>476.05</v>
      </c>
      <c r="H276" s="10" t="n">
        <v>45685.32068287037</v>
      </c>
      <c r="I276" s="10" t="n">
        <v>45685.32068287037</v>
      </c>
      <c r="J276" s="10" t="n">
        <v>45685.32259259259</v>
      </c>
      <c r="K276" s="11" t="n">
        <v>0.001909722222222222</v>
      </c>
      <c r="L276" s="13" t="n"/>
    </row>
    <row r="277">
      <c r="A277" s="3" t="inlineStr">
        <is>
          <t>ArrivalDrive</t>
        </is>
      </c>
      <c r="B277" s="3" t="inlineStr">
        <is>
          <t>Act_ARRD_10276_084527_727</t>
        </is>
      </c>
      <c r="C277" s="3" t="inlineStr">
        <is>
          <t>10276</t>
        </is>
      </c>
      <c r="D277" s="9" t="n">
        <v>584.2</v>
      </c>
      <c r="E277" s="3" t="inlineStr">
        <is>
          <t>Entry gate</t>
        </is>
      </c>
      <c r="F277" s="3" t="inlineStr">
        <is>
          <t>727</t>
        </is>
      </c>
      <c r="G277" s="9" t="n">
        <v>556.2</v>
      </c>
      <c r="H277" s="10" t="n">
        <v>45685.36489583334</v>
      </c>
      <c r="I277" s="10" t="n">
        <v>45685.36489583334</v>
      </c>
      <c r="J277" s="10" t="n">
        <v>45685.36739583333</v>
      </c>
      <c r="K277" s="11" t="n">
        <v>0.0025</v>
      </c>
      <c r="L277" s="13" t="n"/>
    </row>
    <row r="278">
      <c r="A278" s="3" t="inlineStr">
        <is>
          <t>ArrivalDrive</t>
        </is>
      </c>
      <c r="B278" s="3" t="inlineStr">
        <is>
          <t>Act_ARRD_10277_090526_703</t>
        </is>
      </c>
      <c r="C278" s="3" t="inlineStr">
        <is>
          <t>10277</t>
        </is>
      </c>
      <c r="D278" s="9" t="n">
        <v>222.8</v>
      </c>
      <c r="E278" s="3" t="inlineStr">
        <is>
          <t>Entry gate</t>
        </is>
      </c>
      <c r="F278" s="3" t="inlineStr">
        <is>
          <t>703</t>
        </is>
      </c>
      <c r="G278" s="9" t="n">
        <v>766.25</v>
      </c>
      <c r="H278" s="10" t="n">
        <v>45685.37877314815</v>
      </c>
      <c r="I278" s="10" t="n">
        <v>45685.37877314815</v>
      </c>
      <c r="J278" s="10" t="n">
        <v>45685.38087962963</v>
      </c>
      <c r="K278" s="11" t="n">
        <v>0.002106481481481481</v>
      </c>
      <c r="L278" s="13" t="n"/>
    </row>
    <row r="279">
      <c r="A279" s="3" t="inlineStr">
        <is>
          <t>ArrivalDrive</t>
        </is>
      </c>
      <c r="B279" s="3" t="inlineStr">
        <is>
          <t>Act_ARRD_10278_102942_703</t>
        </is>
      </c>
      <c r="C279" s="3" t="inlineStr">
        <is>
          <t>10278</t>
        </is>
      </c>
      <c r="D279" s="9" t="n">
        <v>273</v>
      </c>
      <c r="E279" s="3" t="inlineStr">
        <is>
          <t>Entry gate</t>
        </is>
      </c>
      <c r="F279" s="3" t="inlineStr">
        <is>
          <t>703</t>
        </is>
      </c>
      <c r="G279" s="9" t="n">
        <v>766.25</v>
      </c>
      <c r="H279" s="10" t="n">
        <v>45685.43729166667</v>
      </c>
      <c r="I279" s="10" t="n">
        <v>45685.43729166667</v>
      </c>
      <c r="J279" s="10" t="n">
        <v>45685.43951388889</v>
      </c>
      <c r="K279" s="11" t="n">
        <v>0.002222222222222222</v>
      </c>
      <c r="L279" s="13" t="n"/>
    </row>
    <row r="280">
      <c r="A280" s="3" t="inlineStr">
        <is>
          <t>ArrivalDrive</t>
        </is>
      </c>
      <c r="B280" s="3" t="inlineStr">
        <is>
          <t>Act_ARRD_10279_125541_703</t>
        </is>
      </c>
      <c r="C280" s="3" t="inlineStr">
        <is>
          <t>10279</t>
        </is>
      </c>
      <c r="D280" s="9" t="n">
        <v>291.9</v>
      </c>
      <c r="E280" s="3" t="inlineStr">
        <is>
          <t>Entry gate</t>
        </is>
      </c>
      <c r="F280" s="3" t="inlineStr">
        <is>
          <t>703</t>
        </is>
      </c>
      <c r="G280" s="9" t="n">
        <v>766.25</v>
      </c>
      <c r="H280" s="10" t="n">
        <v>45685.53866898148</v>
      </c>
      <c r="I280" s="10" t="n">
        <v>45685.53866898148</v>
      </c>
      <c r="J280" s="10" t="n">
        <v>45685.5409375</v>
      </c>
      <c r="K280" s="11" t="n">
        <v>0.002268518518518519</v>
      </c>
      <c r="L280" s="13" t="n"/>
    </row>
    <row r="281">
      <c r="A281" s="3" t="inlineStr">
        <is>
          <t>ArrivalDrive</t>
        </is>
      </c>
      <c r="B281" s="3" t="inlineStr">
        <is>
          <t>Act_ARRD_10280_141503_703</t>
        </is>
      </c>
      <c r="C281" s="3" t="inlineStr">
        <is>
          <t>10280</t>
        </is>
      </c>
      <c r="D281" s="9" t="n">
        <v>389.8</v>
      </c>
      <c r="E281" s="3" t="inlineStr">
        <is>
          <t>Entry gate</t>
        </is>
      </c>
      <c r="F281" s="3" t="inlineStr">
        <is>
          <t>703</t>
        </is>
      </c>
      <c r="G281" s="9" t="n">
        <v>766.25</v>
      </c>
      <c r="H281" s="10" t="n">
        <v>45685.59378472222</v>
      </c>
      <c r="I281" s="10" t="n">
        <v>45685.59378472222</v>
      </c>
      <c r="J281" s="10" t="n">
        <v>45685.59627314815</v>
      </c>
      <c r="K281" s="11" t="n">
        <v>0.002488425925925926</v>
      </c>
      <c r="L281" s="13" t="n"/>
    </row>
    <row r="282">
      <c r="A282" s="3" t="inlineStr">
        <is>
          <t>ArrivalDrive</t>
        </is>
      </c>
      <c r="B282" s="3" t="inlineStr">
        <is>
          <t>Act_ARRD_10281_142518_727</t>
        </is>
      </c>
      <c r="C282" s="3" t="inlineStr">
        <is>
          <t>10281</t>
        </is>
      </c>
      <c r="D282" s="9" t="n">
        <v>558.1</v>
      </c>
      <c r="E282" s="3" t="inlineStr">
        <is>
          <t>Entry gate</t>
        </is>
      </c>
      <c r="F282" s="3" t="inlineStr">
        <is>
          <t>727</t>
        </is>
      </c>
      <c r="G282" s="9" t="n">
        <v>556.2</v>
      </c>
      <c r="H282" s="10" t="n">
        <v>45685.60090277778</v>
      </c>
      <c r="I282" s="10" t="n">
        <v>45685.60090277778</v>
      </c>
      <c r="J282" s="10" t="n">
        <v>45685.60334490741</v>
      </c>
      <c r="K282" s="11" t="n">
        <v>0.00244212962962963</v>
      </c>
      <c r="L282" s="13" t="n"/>
    </row>
    <row r="283">
      <c r="A283" s="3" t="inlineStr">
        <is>
          <t>ArrivalDrive</t>
        </is>
      </c>
      <c r="B283" s="3" t="inlineStr">
        <is>
          <t>Act_ARRD_10282_153053_731</t>
        </is>
      </c>
      <c r="C283" s="3" t="inlineStr">
        <is>
          <t>10282</t>
        </is>
      </c>
      <c r="D283" s="9" t="n">
        <v>31.5</v>
      </c>
      <c r="E283" s="3" t="inlineStr">
        <is>
          <t>Entry gate</t>
        </is>
      </c>
      <c r="F283" s="3" t="inlineStr">
        <is>
          <t>731</t>
        </is>
      </c>
      <c r="G283" s="9" t="n">
        <v>587.14</v>
      </c>
      <c r="H283" s="10" t="n">
        <v>45685.64644675926</v>
      </c>
      <c r="I283" s="10" t="n">
        <v>45685.64644675926</v>
      </c>
      <c r="J283" s="10" t="n">
        <v>45685.64773148148</v>
      </c>
      <c r="K283" s="11" t="n">
        <v>0.001284722222222222</v>
      </c>
      <c r="L283" s="13" t="n"/>
    </row>
    <row r="284">
      <c r="A284" s="3" t="inlineStr">
        <is>
          <t>ArrivalDrive</t>
        </is>
      </c>
      <c r="B284" s="3" t="inlineStr">
        <is>
          <t>Act_ARRD_10283_192840_703</t>
        </is>
      </c>
      <c r="C284" s="3" t="inlineStr">
        <is>
          <t>10283</t>
        </is>
      </c>
      <c r="D284" s="9" t="n">
        <v>232.7</v>
      </c>
      <c r="E284" s="3" t="inlineStr">
        <is>
          <t>Entry gate</t>
        </is>
      </c>
      <c r="F284" s="3" t="inlineStr">
        <is>
          <t>703</t>
        </is>
      </c>
      <c r="G284" s="9" t="n">
        <v>766.25</v>
      </c>
      <c r="H284" s="10" t="n">
        <v>45685.81157407408</v>
      </c>
      <c r="I284" s="10" t="n">
        <v>45685.81157407408</v>
      </c>
      <c r="J284" s="10" t="n">
        <v>45685.8137037037</v>
      </c>
      <c r="K284" s="11" t="n">
        <v>0.00212962962962963</v>
      </c>
      <c r="L284" s="13" t="n"/>
    </row>
    <row r="285">
      <c r="A285" s="3" t="inlineStr">
        <is>
          <t>ArrivalDrive</t>
        </is>
      </c>
      <c r="B285" s="3" t="inlineStr">
        <is>
          <t>Act_ARRD_10284_205839_703</t>
        </is>
      </c>
      <c r="C285" s="3" t="inlineStr">
        <is>
          <t>10284</t>
        </is>
      </c>
      <c r="D285" s="9" t="n">
        <v>397.3</v>
      </c>
      <c r="E285" s="3" t="inlineStr">
        <is>
          <t>Entry gate</t>
        </is>
      </c>
      <c r="F285" s="3" t="inlineStr">
        <is>
          <t>703</t>
        </is>
      </c>
      <c r="G285" s="9" t="n">
        <v>766.25</v>
      </c>
      <c r="H285" s="10" t="n">
        <v>45685.8740625</v>
      </c>
      <c r="I285" s="10" t="n">
        <v>45685.8740625</v>
      </c>
      <c r="J285" s="10" t="n">
        <v>45685.87657407407</v>
      </c>
      <c r="K285" s="11" t="n">
        <v>0.002511574074074074</v>
      </c>
      <c r="L285" s="13" t="n"/>
    </row>
    <row r="286">
      <c r="A286" s="3" t="inlineStr">
        <is>
          <t>ArrivalDrive</t>
        </is>
      </c>
      <c r="B286" s="3" t="inlineStr">
        <is>
          <t>Act_ARRD_10285_024329_703</t>
        </is>
      </c>
      <c r="C286" s="3" t="inlineStr">
        <is>
          <t>10285</t>
        </is>
      </c>
      <c r="D286" s="9" t="n">
        <v>260.3</v>
      </c>
      <c r="E286" s="3" t="inlineStr">
        <is>
          <t>Entry gate</t>
        </is>
      </c>
      <c r="F286" s="3" t="inlineStr">
        <is>
          <t>703</t>
        </is>
      </c>
      <c r="G286" s="9" t="n">
        <v>766.25</v>
      </c>
      <c r="H286" s="10" t="n">
        <v>45686.1135300926</v>
      </c>
      <c r="I286" s="10" t="n">
        <v>45686.1135300926</v>
      </c>
      <c r="J286" s="10" t="n">
        <v>45686.11571759259</v>
      </c>
      <c r="K286" s="11" t="n">
        <v>0.0021875</v>
      </c>
      <c r="L286" s="13" t="n"/>
    </row>
    <row r="287">
      <c r="A287" s="3" t="inlineStr">
        <is>
          <t>ArrivalDrive</t>
        </is>
      </c>
      <c r="B287" s="3" t="inlineStr">
        <is>
          <t>Act_ARRD_10286_041833_703</t>
        </is>
      </c>
      <c r="C287" s="3" t="inlineStr">
        <is>
          <t>10286</t>
        </is>
      </c>
      <c r="D287" s="9" t="n">
        <v>106.9</v>
      </c>
      <c r="E287" s="3" t="inlineStr">
        <is>
          <t>Entry gate</t>
        </is>
      </c>
      <c r="F287" s="3" t="inlineStr">
        <is>
          <t>703</t>
        </is>
      </c>
      <c r="G287" s="9" t="n">
        <v>766.25</v>
      </c>
      <c r="H287" s="10" t="n">
        <v>45686.17954861111</v>
      </c>
      <c r="I287" s="10" t="n">
        <v>45686.17954861111</v>
      </c>
      <c r="J287" s="10" t="n">
        <v>45686.18138888889</v>
      </c>
      <c r="K287" s="11" t="n">
        <v>0.001840277777777778</v>
      </c>
      <c r="L287" s="13" t="n"/>
    </row>
    <row r="288">
      <c r="A288" s="3" t="inlineStr">
        <is>
          <t>ArrivalDrive</t>
        </is>
      </c>
      <c r="B288" s="3" t="inlineStr">
        <is>
          <t>Act_ARRD_10287_061433_703</t>
        </is>
      </c>
      <c r="C288" s="3" t="inlineStr">
        <is>
          <t>10287</t>
        </is>
      </c>
      <c r="D288" s="9" t="n">
        <v>297</v>
      </c>
      <c r="E288" s="3" t="inlineStr">
        <is>
          <t>Entry gate</t>
        </is>
      </c>
      <c r="F288" s="3" t="inlineStr">
        <is>
          <t>703</t>
        </is>
      </c>
      <c r="G288" s="9" t="n">
        <v>766.25</v>
      </c>
      <c r="H288" s="10" t="n">
        <v>45686.26010416666</v>
      </c>
      <c r="I288" s="10" t="n">
        <v>45686.26010416666</v>
      </c>
      <c r="J288" s="10" t="n">
        <v>45686.26238425926</v>
      </c>
      <c r="K288" s="11" t="n">
        <v>0.002280092592592593</v>
      </c>
      <c r="L288" s="13" t="n"/>
    </row>
    <row r="289">
      <c r="A289" s="3" t="inlineStr">
        <is>
          <t>ArrivalDrive</t>
        </is>
      </c>
      <c r="B289" s="3" t="inlineStr">
        <is>
          <t>Act_ARRD_10288_071618_703</t>
        </is>
      </c>
      <c r="C289" s="3" t="inlineStr">
        <is>
          <t>10288</t>
        </is>
      </c>
      <c r="D289" s="9" t="n">
        <v>397.3</v>
      </c>
      <c r="E289" s="3" t="inlineStr">
        <is>
          <t>Entry gate</t>
        </is>
      </c>
      <c r="F289" s="3" t="inlineStr">
        <is>
          <t>703</t>
        </is>
      </c>
      <c r="G289" s="9" t="n">
        <v>766.25</v>
      </c>
      <c r="H289" s="10" t="n">
        <v>45686.30298611111</v>
      </c>
      <c r="I289" s="10" t="n">
        <v>45686.30298611111</v>
      </c>
      <c r="J289" s="10" t="n">
        <v>45686.30549768519</v>
      </c>
      <c r="K289" s="11" t="n">
        <v>0.002511574074074074</v>
      </c>
      <c r="L289" s="13" t="n"/>
    </row>
    <row r="290">
      <c r="A290" s="3" t="inlineStr">
        <is>
          <t>ArrivalDrive</t>
        </is>
      </c>
      <c r="B290" s="3" t="inlineStr">
        <is>
          <t>Act_ARRD_10289_072926_727</t>
        </is>
      </c>
      <c r="C290" s="3" t="inlineStr">
        <is>
          <t>10289</t>
        </is>
      </c>
      <c r="D290" s="9" t="n">
        <v>129.3</v>
      </c>
      <c r="E290" s="3" t="inlineStr">
        <is>
          <t>Entry gate</t>
        </is>
      </c>
      <c r="F290" s="3" t="inlineStr">
        <is>
          <t>727</t>
        </is>
      </c>
      <c r="G290" s="9" t="n">
        <v>556.2</v>
      </c>
      <c r="H290" s="10" t="n">
        <v>45686.31210648148</v>
      </c>
      <c r="I290" s="10" t="n">
        <v>45686.31210648148</v>
      </c>
      <c r="J290" s="10" t="n">
        <v>45686.31355324074</v>
      </c>
      <c r="K290" s="11" t="n">
        <v>0.001446759259259259</v>
      </c>
      <c r="L290" s="13" t="n"/>
    </row>
    <row r="291">
      <c r="A291" s="3" t="inlineStr">
        <is>
          <t>ArrivalDrive</t>
        </is>
      </c>
      <c r="B291" s="3" t="inlineStr">
        <is>
          <t>Act_ARRD_10290_081836_703</t>
        </is>
      </c>
      <c r="C291" s="3" t="inlineStr">
        <is>
          <t>10290</t>
        </is>
      </c>
      <c r="D291" s="9" t="n">
        <v>79.5</v>
      </c>
      <c r="E291" s="3" t="inlineStr">
        <is>
          <t>Entry gate</t>
        </is>
      </c>
      <c r="F291" s="3" t="inlineStr">
        <is>
          <t>703</t>
        </is>
      </c>
      <c r="G291" s="9" t="n">
        <v>766.25</v>
      </c>
      <c r="H291" s="10" t="n">
        <v>45686.34625</v>
      </c>
      <c r="I291" s="10" t="n">
        <v>45686.34625</v>
      </c>
      <c r="J291" s="10" t="n">
        <v>45686.34802083333</v>
      </c>
      <c r="K291" s="11" t="n">
        <v>0.001770833333333333</v>
      </c>
      <c r="L291" s="13" t="n"/>
    </row>
    <row r="292">
      <c r="A292" s="3" t="inlineStr">
        <is>
          <t>ArrivalDrive</t>
        </is>
      </c>
      <c r="B292" s="3" t="inlineStr">
        <is>
          <t>Act_ARRD_10291_090131_703</t>
        </is>
      </c>
      <c r="C292" s="3" t="inlineStr">
        <is>
          <t>10291</t>
        </is>
      </c>
      <c r="D292" s="9" t="n">
        <v>436</v>
      </c>
      <c r="E292" s="3" t="inlineStr">
        <is>
          <t>Entry gate</t>
        </is>
      </c>
      <c r="F292" s="3" t="inlineStr">
        <is>
          <t>703</t>
        </is>
      </c>
      <c r="G292" s="9" t="n">
        <v>766.25</v>
      </c>
      <c r="H292" s="10" t="n">
        <v>45686.37605324074</v>
      </c>
      <c r="I292" s="10" t="n">
        <v>45686.37605324074</v>
      </c>
      <c r="J292" s="10" t="n">
        <v>45686.3786574074</v>
      </c>
      <c r="K292" s="11" t="n">
        <v>0.002604166666666667</v>
      </c>
      <c r="L292" s="13" t="n"/>
    </row>
    <row r="293">
      <c r="A293" s="3" t="inlineStr">
        <is>
          <t>ArrivalDrive</t>
        </is>
      </c>
      <c r="B293" s="3" t="inlineStr">
        <is>
          <t>Act_ARRD_10292_102950_703</t>
        </is>
      </c>
      <c r="C293" s="3" t="inlineStr">
        <is>
          <t>10292</t>
        </is>
      </c>
      <c r="D293" s="9" t="n">
        <v>241.3</v>
      </c>
      <c r="E293" s="3" t="inlineStr">
        <is>
          <t>Entry gate</t>
        </is>
      </c>
      <c r="F293" s="3" t="inlineStr">
        <is>
          <t>703</t>
        </is>
      </c>
      <c r="G293" s="9" t="n">
        <v>766.25</v>
      </c>
      <c r="H293" s="10" t="n">
        <v>45686.43738425926</v>
      </c>
      <c r="I293" s="10" t="n">
        <v>45686.43738425926</v>
      </c>
      <c r="J293" s="10" t="n">
        <v>45686.43953703704</v>
      </c>
      <c r="K293" s="11" t="n">
        <v>0.002152777777777778</v>
      </c>
      <c r="L293" s="13" t="n"/>
    </row>
    <row r="294">
      <c r="A294" s="3" t="inlineStr">
        <is>
          <t>ArrivalDrive</t>
        </is>
      </c>
      <c r="B294" s="3" t="inlineStr">
        <is>
          <t>Act_ARRD_10293_130418_703</t>
        </is>
      </c>
      <c r="C294" s="3" t="inlineStr">
        <is>
          <t>10293</t>
        </is>
      </c>
      <c r="D294" s="9" t="n">
        <v>259.7</v>
      </c>
      <c r="E294" s="3" t="inlineStr">
        <is>
          <t>Entry gate</t>
        </is>
      </c>
      <c r="F294" s="3" t="inlineStr">
        <is>
          <t>703</t>
        </is>
      </c>
      <c r="G294" s="9" t="n">
        <v>766.25</v>
      </c>
      <c r="H294" s="10" t="n">
        <v>45686.54465277777</v>
      </c>
      <c r="I294" s="10" t="n">
        <v>45686.54465277777</v>
      </c>
      <c r="J294" s="10" t="n">
        <v>45686.54684027778</v>
      </c>
      <c r="K294" s="11" t="n">
        <v>0.0021875</v>
      </c>
      <c r="L294" s="13" t="n"/>
    </row>
    <row r="295">
      <c r="A295" s="3" t="inlineStr">
        <is>
          <t>ArrivalDrive</t>
        </is>
      </c>
      <c r="B295" s="3" t="inlineStr">
        <is>
          <t>Act_ARRD_10294_142850_703</t>
        </is>
      </c>
      <c r="C295" s="3" t="inlineStr">
        <is>
          <t>10294</t>
        </is>
      </c>
      <c r="D295" s="9" t="n">
        <v>398</v>
      </c>
      <c r="E295" s="3" t="inlineStr">
        <is>
          <t>Entry gate</t>
        </is>
      </c>
      <c r="F295" s="3" t="inlineStr">
        <is>
          <t>703</t>
        </is>
      </c>
      <c r="G295" s="9" t="n">
        <v>766.25</v>
      </c>
      <c r="H295" s="10" t="n">
        <v>45686.60335648148</v>
      </c>
      <c r="I295" s="10" t="n">
        <v>45686.60335648148</v>
      </c>
      <c r="J295" s="10" t="n">
        <v>45686.60586805556</v>
      </c>
      <c r="K295" s="11" t="n">
        <v>0.002511574074074074</v>
      </c>
      <c r="L295" s="13" t="n"/>
    </row>
    <row r="296">
      <c r="A296" s="3" t="inlineStr">
        <is>
          <t>ArrivalDrive</t>
        </is>
      </c>
      <c r="B296" s="3" t="inlineStr">
        <is>
          <t>Act_ARRD_10295_144949_703</t>
        </is>
      </c>
      <c r="C296" s="3" t="inlineStr">
        <is>
          <t>10295</t>
        </is>
      </c>
      <c r="D296" s="9" t="n">
        <v>504.1</v>
      </c>
      <c r="E296" s="3" t="inlineStr">
        <is>
          <t>Entry gate</t>
        </is>
      </c>
      <c r="F296" s="3" t="inlineStr">
        <is>
          <t>703</t>
        </is>
      </c>
      <c r="G296" s="9" t="n">
        <v>766.25</v>
      </c>
      <c r="H296" s="10" t="n">
        <v>45686.61792824074</v>
      </c>
      <c r="I296" s="10" t="n">
        <v>45686.61792824074</v>
      </c>
      <c r="J296" s="10" t="n">
        <v>45686.62068287037</v>
      </c>
      <c r="K296" s="11" t="n">
        <v>0.002754629629629629</v>
      </c>
      <c r="L296" s="13" t="n"/>
    </row>
    <row r="297">
      <c r="A297" s="3" t="inlineStr">
        <is>
          <t>ArrivalDrive</t>
        </is>
      </c>
      <c r="B297" s="3" t="inlineStr">
        <is>
          <t>Act_ARRD_10296_154817_731</t>
        </is>
      </c>
      <c r="C297" s="3" t="inlineStr">
        <is>
          <t>10296</t>
        </is>
      </c>
      <c r="D297" s="9" t="n">
        <v>15.7</v>
      </c>
      <c r="E297" s="3" t="inlineStr">
        <is>
          <t>Entry gate</t>
        </is>
      </c>
      <c r="F297" s="3" t="inlineStr">
        <is>
          <t>731</t>
        </is>
      </c>
      <c r="G297" s="9" t="n">
        <v>587.14</v>
      </c>
      <c r="H297" s="10" t="n">
        <v>45686.65853009259</v>
      </c>
      <c r="I297" s="10" t="n">
        <v>45686.65853009259</v>
      </c>
      <c r="J297" s="10" t="n">
        <v>45686.6597800926</v>
      </c>
      <c r="K297" s="11" t="n">
        <v>0.00125</v>
      </c>
      <c r="L297" s="13" t="n"/>
    </row>
    <row r="298">
      <c r="A298" s="3" t="inlineStr">
        <is>
          <t>ArrivalDrive</t>
        </is>
      </c>
      <c r="B298" s="3" t="inlineStr">
        <is>
          <t>Act_ARRD_10297_172903_703</t>
        </is>
      </c>
      <c r="C298" s="3" t="inlineStr">
        <is>
          <t>10297</t>
        </is>
      </c>
      <c r="D298" s="9" t="n">
        <v>302.1</v>
      </c>
      <c r="E298" s="3" t="inlineStr">
        <is>
          <t>Entry gate</t>
        </is>
      </c>
      <c r="F298" s="3" t="inlineStr">
        <is>
          <t>703</t>
        </is>
      </c>
      <c r="G298" s="9" t="n">
        <v>766.25</v>
      </c>
      <c r="H298" s="10" t="n">
        <v>45686.72850694445</v>
      </c>
      <c r="I298" s="10" t="n">
        <v>45686.72850694445</v>
      </c>
      <c r="J298" s="10" t="n">
        <v>45686.73079861111</v>
      </c>
      <c r="K298" s="11" t="n">
        <v>0.002291666666666667</v>
      </c>
      <c r="L298" s="13" t="n"/>
    </row>
    <row r="299">
      <c r="A299" s="3" t="inlineStr">
        <is>
          <t>ArrivalDrive</t>
        </is>
      </c>
      <c r="B299" s="3" t="inlineStr">
        <is>
          <t>Act_ARRD_10298_173558_727</t>
        </is>
      </c>
      <c r="C299" s="3" t="inlineStr">
        <is>
          <t>10298</t>
        </is>
      </c>
      <c r="D299" s="9" t="n">
        <v>377.4</v>
      </c>
      <c r="E299" s="3" t="inlineStr">
        <is>
          <t>Entry gate</t>
        </is>
      </c>
      <c r="F299" s="3" t="inlineStr">
        <is>
          <t>727</t>
        </is>
      </c>
      <c r="G299" s="9" t="n">
        <v>556.2</v>
      </c>
      <c r="H299" s="10" t="n">
        <v>45686.73331018518</v>
      </c>
      <c r="I299" s="10" t="n">
        <v>45686.73331018518</v>
      </c>
      <c r="J299" s="10" t="n">
        <v>45686.73533564815</v>
      </c>
      <c r="K299" s="11" t="n">
        <v>0.002025462962962963</v>
      </c>
      <c r="L299" s="13" t="n"/>
    </row>
    <row r="300">
      <c r="A300" s="3" t="inlineStr">
        <is>
          <t>ArrivalDrive</t>
        </is>
      </c>
      <c r="B300" s="3" t="inlineStr">
        <is>
          <t>Act_ARRD_10299_204543_703</t>
        </is>
      </c>
      <c r="C300" s="3" t="inlineStr">
        <is>
          <t>10299</t>
        </is>
      </c>
      <c r="D300" s="9" t="n">
        <v>380.8</v>
      </c>
      <c r="E300" s="3" t="inlineStr">
        <is>
          <t>Entry gate</t>
        </is>
      </c>
      <c r="F300" s="3" t="inlineStr">
        <is>
          <t>703</t>
        </is>
      </c>
      <c r="G300" s="9" t="n">
        <v>766.25</v>
      </c>
      <c r="H300" s="10" t="n">
        <v>45686.86508101852</v>
      </c>
      <c r="I300" s="10" t="n">
        <v>45686.86508101852</v>
      </c>
      <c r="J300" s="10" t="n">
        <v>45686.86755787037</v>
      </c>
      <c r="K300" s="11" t="n">
        <v>0.002476851851851852</v>
      </c>
      <c r="L300" s="13" t="n"/>
    </row>
    <row r="301">
      <c r="A301" s="3" t="inlineStr">
        <is>
          <t>ArrivalDrive</t>
        </is>
      </c>
      <c r="B301" s="3" t="inlineStr">
        <is>
          <t>Act_ARRD_10300_024150_703</t>
        </is>
      </c>
      <c r="C301" s="3" t="inlineStr">
        <is>
          <t>10300</t>
        </is>
      </c>
      <c r="D301" s="9" t="n">
        <v>136.9</v>
      </c>
      <c r="E301" s="3" t="inlineStr">
        <is>
          <t>Entry gate</t>
        </is>
      </c>
      <c r="F301" s="3" t="inlineStr">
        <is>
          <t>703</t>
        </is>
      </c>
      <c r="G301" s="9" t="n">
        <v>766.25</v>
      </c>
      <c r="H301" s="10" t="n">
        <v>45687.11238425926</v>
      </c>
      <c r="I301" s="10" t="n">
        <v>45687.11238425926</v>
      </c>
      <c r="J301" s="10" t="n">
        <v>45687.11429398148</v>
      </c>
      <c r="K301" s="11" t="n">
        <v>0.001909722222222222</v>
      </c>
      <c r="L301" s="13" t="n"/>
    </row>
    <row r="302">
      <c r="A302" s="3" t="inlineStr">
        <is>
          <t>ArrivalDrive</t>
        </is>
      </c>
      <c r="B302" s="3" t="inlineStr">
        <is>
          <t>Act_ARRD_10301_061703_703</t>
        </is>
      </c>
      <c r="C302" s="3" t="inlineStr">
        <is>
          <t>10301</t>
        </is>
      </c>
      <c r="D302" s="9" t="n">
        <v>297</v>
      </c>
      <c r="E302" s="3" t="inlineStr">
        <is>
          <t>Entry gate</t>
        </is>
      </c>
      <c r="F302" s="3" t="inlineStr">
        <is>
          <t>703</t>
        </is>
      </c>
      <c r="G302" s="9" t="n">
        <v>766.25</v>
      </c>
      <c r="H302" s="10" t="n">
        <v>45687.26184027778</v>
      </c>
      <c r="I302" s="10" t="n">
        <v>45687.26184027778</v>
      </c>
      <c r="J302" s="10" t="n">
        <v>45687.26412037037</v>
      </c>
      <c r="K302" s="11" t="n">
        <v>0.002280092592592593</v>
      </c>
      <c r="L302" s="13" t="n"/>
    </row>
    <row r="303">
      <c r="A303" s="3" t="inlineStr">
        <is>
          <t>ArrivalDrive</t>
        </is>
      </c>
      <c r="B303" s="3" t="inlineStr">
        <is>
          <t>Act_ARRD_10302_065545_703</t>
        </is>
      </c>
      <c r="C303" s="3" t="inlineStr">
        <is>
          <t>10302</t>
        </is>
      </c>
      <c r="D303" s="9" t="n">
        <v>336.5</v>
      </c>
      <c r="E303" s="3" t="inlineStr">
        <is>
          <t>Entry gate</t>
        </is>
      </c>
      <c r="F303" s="3" t="inlineStr">
        <is>
          <t>703</t>
        </is>
      </c>
      <c r="G303" s="9" t="n">
        <v>766.25</v>
      </c>
      <c r="H303" s="10" t="n">
        <v>45687.28871527778</v>
      </c>
      <c r="I303" s="10" t="n">
        <v>45687.28871527778</v>
      </c>
      <c r="J303" s="10" t="n">
        <v>45687.29108796296</v>
      </c>
      <c r="K303" s="11" t="n">
        <v>0.002372685185185185</v>
      </c>
      <c r="L303" s="13" t="n"/>
    </row>
    <row r="304">
      <c r="A304" s="3" t="inlineStr">
        <is>
          <t>ArrivalDrive</t>
        </is>
      </c>
      <c r="B304" s="3" t="inlineStr">
        <is>
          <t>Act_ARRD_10303_071204_725</t>
        </is>
      </c>
      <c r="C304" s="3" t="inlineStr">
        <is>
          <t>10303</t>
        </is>
      </c>
      <c r="D304" s="9" t="n">
        <v>598.9</v>
      </c>
      <c r="E304" s="3" t="inlineStr">
        <is>
          <t>Entry gate</t>
        </is>
      </c>
      <c r="F304" s="3" t="inlineStr">
        <is>
          <t>725</t>
        </is>
      </c>
      <c r="G304" s="9" t="n">
        <v>476.05</v>
      </c>
      <c r="H304" s="10" t="n">
        <v>45687.3000462963</v>
      </c>
      <c r="I304" s="10" t="n">
        <v>45687.3000462963</v>
      </c>
      <c r="J304" s="10" t="n">
        <v>45687.30241898148</v>
      </c>
      <c r="K304" s="11" t="n">
        <v>0.002372685185185185</v>
      </c>
      <c r="L304" s="13" t="n"/>
    </row>
    <row r="305">
      <c r="A305" s="3" t="inlineStr">
        <is>
          <t>ArrivalDrive</t>
        </is>
      </c>
      <c r="B305" s="3" t="inlineStr">
        <is>
          <t>Act_ARRD_10304_075135_703</t>
        </is>
      </c>
      <c r="C305" s="3" t="inlineStr">
        <is>
          <t>10304</t>
        </is>
      </c>
      <c r="D305" s="9" t="n">
        <v>380.8</v>
      </c>
      <c r="E305" s="3" t="inlineStr">
        <is>
          <t>Entry gate</t>
        </is>
      </c>
      <c r="F305" s="3" t="inlineStr">
        <is>
          <t>703</t>
        </is>
      </c>
      <c r="G305" s="9" t="n">
        <v>766.25</v>
      </c>
      <c r="H305" s="10" t="n">
        <v>45687.32748842592</v>
      </c>
      <c r="I305" s="10" t="n">
        <v>45687.32748842592</v>
      </c>
      <c r="J305" s="10" t="n">
        <v>45687.32996527778</v>
      </c>
      <c r="K305" s="11" t="n">
        <v>0.002476851851851852</v>
      </c>
      <c r="L305" s="13" t="n"/>
    </row>
    <row r="306">
      <c r="A306" s="3" t="inlineStr">
        <is>
          <t>ArrivalDrive</t>
        </is>
      </c>
      <c r="B306" s="3" t="inlineStr">
        <is>
          <t>Act_ARRD_10305_082141_703</t>
        </is>
      </c>
      <c r="C306" s="3" t="inlineStr">
        <is>
          <t>10305</t>
        </is>
      </c>
      <c r="D306" s="9" t="n">
        <v>213.1</v>
      </c>
      <c r="E306" s="3" t="inlineStr">
        <is>
          <t>Entry gate</t>
        </is>
      </c>
      <c r="F306" s="3" t="inlineStr">
        <is>
          <t>703</t>
        </is>
      </c>
      <c r="G306" s="9" t="n">
        <v>766.25</v>
      </c>
      <c r="H306" s="10" t="n">
        <v>45687.3483912037</v>
      </c>
      <c r="I306" s="10" t="n">
        <v>45687.3483912037</v>
      </c>
      <c r="J306" s="10" t="n">
        <v>45687.35047453704</v>
      </c>
      <c r="K306" s="11" t="n">
        <v>0.002083333333333333</v>
      </c>
      <c r="L306" s="13" t="n"/>
    </row>
    <row r="307">
      <c r="A307" s="3" t="inlineStr">
        <is>
          <t>ArrivalDrive</t>
        </is>
      </c>
      <c r="B307" s="3" t="inlineStr">
        <is>
          <t>Act_ARRD_10306_090738_703</t>
        </is>
      </c>
      <c r="C307" s="3" t="inlineStr">
        <is>
          <t>10306</t>
        </is>
      </c>
      <c r="D307" s="9" t="n">
        <v>355.8</v>
      </c>
      <c r="E307" s="3" t="inlineStr">
        <is>
          <t>Entry gate</t>
        </is>
      </c>
      <c r="F307" s="3" t="inlineStr">
        <is>
          <t>703</t>
        </is>
      </c>
      <c r="G307" s="9" t="n">
        <v>766.25</v>
      </c>
      <c r="H307" s="10" t="n">
        <v>45687.38030092593</v>
      </c>
      <c r="I307" s="10" t="n">
        <v>45687.38030092593</v>
      </c>
      <c r="J307" s="10" t="n">
        <v>45687.38271990741</v>
      </c>
      <c r="K307" s="11" t="n">
        <v>0.002418981481481482</v>
      </c>
      <c r="L307" s="13" t="n"/>
    </row>
    <row r="308">
      <c r="A308" s="3" t="inlineStr">
        <is>
          <t>ArrivalDrive</t>
        </is>
      </c>
      <c r="B308" s="3" t="inlineStr">
        <is>
          <t>Act_ARRD_10307_095205_703</t>
        </is>
      </c>
      <c r="C308" s="3" t="inlineStr">
        <is>
          <t>10307</t>
        </is>
      </c>
      <c r="D308" s="9" t="n">
        <v>435.1</v>
      </c>
      <c r="E308" s="3" t="inlineStr">
        <is>
          <t>Entry gate</t>
        </is>
      </c>
      <c r="F308" s="3" t="inlineStr">
        <is>
          <t>703</t>
        </is>
      </c>
      <c r="G308" s="9" t="n">
        <v>766.25</v>
      </c>
      <c r="H308" s="10" t="n">
        <v>45687.41116898148</v>
      </c>
      <c r="I308" s="10" t="n">
        <v>45687.41116898148</v>
      </c>
      <c r="J308" s="10" t="n">
        <v>45687.41376157408</v>
      </c>
      <c r="K308" s="11" t="n">
        <v>0.002592592592592593</v>
      </c>
      <c r="L308" s="13" t="n"/>
    </row>
    <row r="309">
      <c r="A309" s="3" t="inlineStr">
        <is>
          <t>ArrivalDrive</t>
        </is>
      </c>
      <c r="B309" s="3" t="inlineStr">
        <is>
          <t>Act_ARRD_10308_125634_703</t>
        </is>
      </c>
      <c r="C309" s="3" t="inlineStr">
        <is>
          <t>10308</t>
        </is>
      </c>
      <c r="D309" s="9" t="n">
        <v>291.7</v>
      </c>
      <c r="E309" s="3" t="inlineStr">
        <is>
          <t>Entry gate</t>
        </is>
      </c>
      <c r="F309" s="3" t="inlineStr">
        <is>
          <t>703</t>
        </is>
      </c>
      <c r="G309" s="9" t="n">
        <v>766.25</v>
      </c>
      <c r="H309" s="10" t="n">
        <v>45687.53928240741</v>
      </c>
      <c r="I309" s="10" t="n">
        <v>45687.53928240741</v>
      </c>
      <c r="J309" s="10" t="n">
        <v>45687.54155092593</v>
      </c>
      <c r="K309" s="11" t="n">
        <v>0.002268518518518519</v>
      </c>
      <c r="L309" s="13" t="n"/>
    </row>
    <row r="310">
      <c r="A310" s="3" t="inlineStr">
        <is>
          <t>ArrivalDrive</t>
        </is>
      </c>
      <c r="B310" s="3" t="inlineStr">
        <is>
          <t>Act_ARRD_10309_142852_703</t>
        </is>
      </c>
      <c r="C310" s="3" t="inlineStr">
        <is>
          <t>10309</t>
        </is>
      </c>
      <c r="D310" s="9" t="n">
        <v>388.3</v>
      </c>
      <c r="E310" s="3" t="inlineStr">
        <is>
          <t>Entry gate</t>
        </is>
      </c>
      <c r="F310" s="3" t="inlineStr">
        <is>
          <t>703</t>
        </is>
      </c>
      <c r="G310" s="9" t="n">
        <v>766.25</v>
      </c>
      <c r="H310" s="10" t="n">
        <v>45687.60337962963</v>
      </c>
      <c r="I310" s="10" t="n">
        <v>45687.60337962963</v>
      </c>
      <c r="J310" s="10" t="n">
        <v>45687.60586805556</v>
      </c>
      <c r="K310" s="11" t="n">
        <v>0.002488425925925926</v>
      </c>
      <c r="L310" s="13" t="n"/>
    </row>
    <row r="311">
      <c r="A311" s="3" t="inlineStr">
        <is>
          <t>ArrivalDrive</t>
        </is>
      </c>
      <c r="B311" s="3" t="inlineStr">
        <is>
          <t>Act_ARRD_10310_145119_703</t>
        </is>
      </c>
      <c r="C311" s="3" t="inlineStr">
        <is>
          <t>10310</t>
        </is>
      </c>
      <c r="D311" s="9" t="n">
        <v>267.5</v>
      </c>
      <c r="E311" s="3" t="inlineStr">
        <is>
          <t>Entry gate</t>
        </is>
      </c>
      <c r="F311" s="3" t="inlineStr">
        <is>
          <t>703</t>
        </is>
      </c>
      <c r="G311" s="9" t="n">
        <v>766.25</v>
      </c>
      <c r="H311" s="10" t="n">
        <v>45687.61896990741</v>
      </c>
      <c r="I311" s="10" t="n">
        <v>45687.61896990741</v>
      </c>
      <c r="J311" s="10" t="n">
        <v>45687.62118055556</v>
      </c>
      <c r="K311" s="11" t="n">
        <v>0.002210648148148148</v>
      </c>
      <c r="L311" s="13" t="n"/>
    </row>
    <row r="312">
      <c r="A312" s="3" t="inlineStr">
        <is>
          <t>ArrivalDrive</t>
        </is>
      </c>
      <c r="B312" s="3" t="inlineStr">
        <is>
          <t>Act_ARRD_10311_153246_731</t>
        </is>
      </c>
      <c r="C312" s="3" t="inlineStr">
        <is>
          <t>10311</t>
        </is>
      </c>
      <c r="D312" s="9" t="n">
        <v>15.7</v>
      </c>
      <c r="E312" s="3" t="inlineStr">
        <is>
          <t>Entry gate</t>
        </is>
      </c>
      <c r="F312" s="3" t="inlineStr">
        <is>
          <t>731</t>
        </is>
      </c>
      <c r="G312" s="9" t="n">
        <v>587.14</v>
      </c>
      <c r="H312" s="10" t="n">
        <v>45687.64775462963</v>
      </c>
      <c r="I312" s="10" t="n">
        <v>45687.64775462963</v>
      </c>
      <c r="J312" s="10" t="n">
        <v>45687.64900462963</v>
      </c>
      <c r="K312" s="11" t="n">
        <v>0.00125</v>
      </c>
      <c r="L312" s="13" t="n"/>
    </row>
    <row r="313">
      <c r="A313" s="3" t="inlineStr">
        <is>
          <t>ArrivalDrive</t>
        </is>
      </c>
      <c r="B313" s="3" t="inlineStr">
        <is>
          <t>Act_ARRD_10312_172207_731</t>
        </is>
      </c>
      <c r="C313" s="3" t="inlineStr">
        <is>
          <t>10312</t>
        </is>
      </c>
      <c r="D313" s="9" t="n">
        <v>47.2</v>
      </c>
      <c r="E313" s="3" t="inlineStr">
        <is>
          <t>Entry gate</t>
        </is>
      </c>
      <c r="F313" s="3" t="inlineStr">
        <is>
          <t>731</t>
        </is>
      </c>
      <c r="G313" s="9" t="n">
        <v>587.14</v>
      </c>
      <c r="H313" s="10" t="n">
        <v>45687.72369212963</v>
      </c>
      <c r="I313" s="10" t="n">
        <v>45687.72369212963</v>
      </c>
      <c r="J313" s="10" t="n">
        <v>45687.72502314814</v>
      </c>
      <c r="K313" s="11" t="n">
        <v>0.001331018518518518</v>
      </c>
      <c r="L313" s="13" t="n"/>
    </row>
    <row r="314">
      <c r="A314" s="3" t="inlineStr">
        <is>
          <t>ArrivalDrive</t>
        </is>
      </c>
      <c r="B314" s="3" t="inlineStr">
        <is>
          <t>Act_ARRD_10313_194241_703</t>
        </is>
      </c>
      <c r="C314" s="3" t="inlineStr">
        <is>
          <t>10313</t>
        </is>
      </c>
      <c r="D314" s="9" t="n">
        <v>135.1</v>
      </c>
      <c r="E314" s="3" t="inlineStr">
        <is>
          <t>Entry gate</t>
        </is>
      </c>
      <c r="F314" s="3" t="inlineStr">
        <is>
          <t>703</t>
        </is>
      </c>
      <c r="G314" s="9" t="n">
        <v>766.25</v>
      </c>
      <c r="H314" s="10" t="n">
        <v>45687.82130787037</v>
      </c>
      <c r="I314" s="10" t="n">
        <v>45687.82130787037</v>
      </c>
      <c r="J314" s="10" t="n">
        <v>45687.82320601852</v>
      </c>
      <c r="K314" s="11" t="n">
        <v>0.001898148148148148</v>
      </c>
      <c r="L314" s="13" t="n"/>
    </row>
    <row r="315">
      <c r="A315" s="3" t="inlineStr">
        <is>
          <t>ArrivalDrive</t>
        </is>
      </c>
      <c r="B315" s="3" t="inlineStr">
        <is>
          <t>Act_ARRD_10314_202519_703</t>
        </is>
      </c>
      <c r="C315" s="3" t="inlineStr">
        <is>
          <t>10314</t>
        </is>
      </c>
      <c r="D315" s="9" t="n">
        <v>389.1</v>
      </c>
      <c r="E315" s="3" t="inlineStr">
        <is>
          <t>Entry gate</t>
        </is>
      </c>
      <c r="F315" s="3" t="inlineStr">
        <is>
          <t>703</t>
        </is>
      </c>
      <c r="G315" s="9" t="n">
        <v>766.25</v>
      </c>
      <c r="H315" s="10" t="n">
        <v>45687.85091435185</v>
      </c>
      <c r="I315" s="10" t="n">
        <v>45687.85091435185</v>
      </c>
      <c r="J315" s="10" t="n">
        <v>45687.85340277778</v>
      </c>
      <c r="K315" s="11" t="n">
        <v>0.002488425925925926</v>
      </c>
      <c r="L315" s="13" t="n"/>
    </row>
    <row r="316">
      <c r="A316" s="3" t="inlineStr">
        <is>
          <t>ArrivalDrive</t>
        </is>
      </c>
      <c r="B316" s="3" t="inlineStr">
        <is>
          <t>Act_ARRD_10315_024631_703</t>
        </is>
      </c>
      <c r="C316" s="3" t="inlineStr">
        <is>
          <t>10315</t>
        </is>
      </c>
      <c r="D316" s="9" t="n">
        <v>199.9</v>
      </c>
      <c r="E316" s="3" t="inlineStr">
        <is>
          <t>Entry gate</t>
        </is>
      </c>
      <c r="F316" s="3" t="inlineStr">
        <is>
          <t>703</t>
        </is>
      </c>
      <c r="G316" s="9" t="n">
        <v>766.25</v>
      </c>
      <c r="H316" s="10" t="n">
        <v>45688.11563657408</v>
      </c>
      <c r="I316" s="10" t="n">
        <v>45688.11563657408</v>
      </c>
      <c r="J316" s="10" t="n">
        <v>45688.11768518519</v>
      </c>
      <c r="K316" s="11" t="n">
        <v>0.002048611111111111</v>
      </c>
      <c r="L316" s="13" t="n"/>
    </row>
    <row r="317">
      <c r="A317" s="3" t="inlineStr">
        <is>
          <t>ArrivalDrive</t>
        </is>
      </c>
      <c r="B317" s="3" t="inlineStr">
        <is>
          <t>Act_ARRD_10316_042621_703</t>
        </is>
      </c>
      <c r="C317" s="3" t="inlineStr">
        <is>
          <t>10316</t>
        </is>
      </c>
      <c r="D317" s="9" t="n">
        <v>238.6</v>
      </c>
      <c r="E317" s="3" t="inlineStr">
        <is>
          <t>Entry gate</t>
        </is>
      </c>
      <c r="F317" s="3" t="inlineStr">
        <is>
          <t>703</t>
        </is>
      </c>
      <c r="G317" s="9" t="n">
        <v>766.25</v>
      </c>
      <c r="H317" s="10" t="n">
        <v>45688.18496527777</v>
      </c>
      <c r="I317" s="10" t="n">
        <v>45688.18496527777</v>
      </c>
      <c r="J317" s="10" t="n">
        <v>45688.18710648148</v>
      </c>
      <c r="K317" s="11" t="n">
        <v>0.002141203703703704</v>
      </c>
      <c r="L317" s="13" t="n"/>
    </row>
    <row r="318">
      <c r="A318" s="3" t="inlineStr">
        <is>
          <t>ArrivalDrive</t>
        </is>
      </c>
      <c r="B318" s="3" t="inlineStr">
        <is>
          <t>Act_ARRD_10317_055627_703</t>
        </is>
      </c>
      <c r="C318" s="3" t="inlineStr">
        <is>
          <t>10317</t>
        </is>
      </c>
      <c r="D318" s="9" t="n">
        <v>297</v>
      </c>
      <c r="E318" s="3" t="inlineStr">
        <is>
          <t>Entry gate</t>
        </is>
      </c>
      <c r="F318" s="3" t="inlineStr">
        <is>
          <t>703</t>
        </is>
      </c>
      <c r="G318" s="9" t="n">
        <v>766.25</v>
      </c>
      <c r="H318" s="10" t="n">
        <v>45688.24753472222</v>
      </c>
      <c r="I318" s="10" t="n">
        <v>45688.24753472222</v>
      </c>
      <c r="J318" s="10" t="n">
        <v>45688.24981481482</v>
      </c>
      <c r="K318" s="11" t="n">
        <v>0.002280092592592593</v>
      </c>
      <c r="L318" s="13" t="n"/>
    </row>
    <row r="319">
      <c r="A319" s="3" t="inlineStr">
        <is>
          <t>ArrivalDrive</t>
        </is>
      </c>
      <c r="B319" s="3" t="inlineStr">
        <is>
          <t>Act_ARRD_10318_065919_703</t>
        </is>
      </c>
      <c r="C319" s="3" t="inlineStr">
        <is>
          <t>10318</t>
        </is>
      </c>
      <c r="D319" s="9" t="n">
        <v>74.59999999999999</v>
      </c>
      <c r="E319" s="3" t="inlineStr">
        <is>
          <t>Entry gate</t>
        </is>
      </c>
      <c r="F319" s="3" t="inlineStr">
        <is>
          <t>703</t>
        </is>
      </c>
      <c r="G319" s="9" t="n">
        <v>766.25</v>
      </c>
      <c r="H319" s="10" t="n">
        <v>45688.29119212963</v>
      </c>
      <c r="I319" s="10" t="n">
        <v>45688.29119212963</v>
      </c>
      <c r="J319" s="10" t="n">
        <v>45688.29295138889</v>
      </c>
      <c r="K319" s="11" t="n">
        <v>0.001759259259259259</v>
      </c>
      <c r="L319" s="13" t="n"/>
    </row>
    <row r="320">
      <c r="A320" s="3" t="inlineStr">
        <is>
          <t>ArrivalDrive</t>
        </is>
      </c>
      <c r="B320" s="3" t="inlineStr">
        <is>
          <t>Act_ARRD_10319_070328_727</t>
        </is>
      </c>
      <c r="C320" s="3" t="inlineStr">
        <is>
          <t>10319</t>
        </is>
      </c>
      <c r="D320" s="9" t="n">
        <v>585.3</v>
      </c>
      <c r="E320" s="3" t="inlineStr">
        <is>
          <t>Entry gate</t>
        </is>
      </c>
      <c r="F320" s="3" t="inlineStr">
        <is>
          <t>727</t>
        </is>
      </c>
      <c r="G320" s="9" t="n">
        <v>556.2</v>
      </c>
      <c r="H320" s="10" t="n">
        <v>45688.29407407407</v>
      </c>
      <c r="I320" s="10" t="n">
        <v>45688.29407407407</v>
      </c>
      <c r="J320" s="10" t="n">
        <v>45688.29658564815</v>
      </c>
      <c r="K320" s="11" t="n">
        <v>0.002511574074074074</v>
      </c>
      <c r="L320" s="13" t="n"/>
    </row>
    <row r="321">
      <c r="A321" s="3" t="inlineStr">
        <is>
          <t>ArrivalDrive</t>
        </is>
      </c>
      <c r="B321" s="3" t="inlineStr">
        <is>
          <t>Act_ARRD_10320_080039_703</t>
        </is>
      </c>
      <c r="C321" s="3" t="inlineStr">
        <is>
          <t>10320</t>
        </is>
      </c>
      <c r="D321" s="9" t="n">
        <v>381.6</v>
      </c>
      <c r="E321" s="3" t="inlineStr">
        <is>
          <t>Entry gate</t>
        </is>
      </c>
      <c r="F321" s="3" t="inlineStr">
        <is>
          <t>703</t>
        </is>
      </c>
      <c r="G321" s="9" t="n">
        <v>766.25</v>
      </c>
      <c r="H321" s="10" t="n">
        <v>45688.33378472222</v>
      </c>
      <c r="I321" s="10" t="n">
        <v>45688.33378472222</v>
      </c>
      <c r="J321" s="10" t="n">
        <v>45688.33626157408</v>
      </c>
      <c r="K321" s="11" t="n">
        <v>0.002476851851851852</v>
      </c>
      <c r="L321" s="13" t="n"/>
    </row>
    <row r="322">
      <c r="A322" s="3" t="inlineStr">
        <is>
          <t>ArrivalDrive</t>
        </is>
      </c>
      <c r="B322" s="3" t="inlineStr">
        <is>
          <t>Act_ARRD_10321_085151_703</t>
        </is>
      </c>
      <c r="C322" s="3" t="inlineStr">
        <is>
          <t>10321</t>
        </is>
      </c>
      <c r="D322" s="9" t="n">
        <v>237.1</v>
      </c>
      <c r="E322" s="3" t="inlineStr">
        <is>
          <t>Entry gate</t>
        </is>
      </c>
      <c r="F322" s="3" t="inlineStr">
        <is>
          <t>703</t>
        </is>
      </c>
      <c r="G322" s="9" t="n">
        <v>766.25</v>
      </c>
      <c r="H322" s="10" t="n">
        <v>45688.36934027778</v>
      </c>
      <c r="I322" s="10" t="n">
        <v>45688.36934027778</v>
      </c>
      <c r="J322" s="10" t="n">
        <v>45688.37148148148</v>
      </c>
      <c r="K322" s="11" t="n">
        <v>0.002141203703703704</v>
      </c>
      <c r="L322" s="13" t="n"/>
    </row>
    <row r="323">
      <c r="A323" s="3" t="inlineStr">
        <is>
          <t>ArrivalDrive</t>
        </is>
      </c>
      <c r="B323" s="3" t="inlineStr">
        <is>
          <t>Act_ARRD_10322_085929_727</t>
        </is>
      </c>
      <c r="C323" s="3" t="inlineStr">
        <is>
          <t>10322</t>
        </is>
      </c>
      <c r="D323" s="9" t="n">
        <v>376.6</v>
      </c>
      <c r="E323" s="3" t="inlineStr">
        <is>
          <t>Entry gate</t>
        </is>
      </c>
      <c r="F323" s="3" t="inlineStr">
        <is>
          <t>727</t>
        </is>
      </c>
      <c r="G323" s="9" t="n">
        <v>556.2</v>
      </c>
      <c r="H323" s="10" t="n">
        <v>45688.37464120371</v>
      </c>
      <c r="I323" s="10" t="n">
        <v>45688.37464120371</v>
      </c>
      <c r="J323" s="10" t="n">
        <v>45688.37666666666</v>
      </c>
      <c r="K323" s="11" t="n">
        <v>0.002025462962962963</v>
      </c>
      <c r="L323" s="13" t="n"/>
    </row>
    <row r="324">
      <c r="A324" s="3" t="inlineStr">
        <is>
          <t>ArrivalDrive</t>
        </is>
      </c>
      <c r="B324" s="3" t="inlineStr">
        <is>
          <t>Act_ARRD_10323_103217_703</t>
        </is>
      </c>
      <c r="C324" s="3" t="inlineStr">
        <is>
          <t>10323</t>
        </is>
      </c>
      <c r="D324" s="9" t="n">
        <v>445.4</v>
      </c>
      <c r="E324" s="3" t="inlineStr">
        <is>
          <t>Entry gate</t>
        </is>
      </c>
      <c r="F324" s="3" t="inlineStr">
        <is>
          <t>703</t>
        </is>
      </c>
      <c r="G324" s="9" t="n">
        <v>766.25</v>
      </c>
      <c r="H324" s="10" t="n">
        <v>45688.43908564815</v>
      </c>
      <c r="I324" s="10" t="n">
        <v>45688.43908564815</v>
      </c>
      <c r="J324" s="10" t="n">
        <v>45688.44170138889</v>
      </c>
      <c r="K324" s="11" t="n">
        <v>0.002615740740740741</v>
      </c>
      <c r="L324" s="13" t="n"/>
    </row>
    <row r="325">
      <c r="A325" s="3" t="inlineStr">
        <is>
          <t>ArrivalDrive</t>
        </is>
      </c>
      <c r="B325" s="3" t="inlineStr">
        <is>
          <t>Act_ARRD_10324_122646_703</t>
        </is>
      </c>
      <c r="C325" s="3" t="inlineStr">
        <is>
          <t>10324</t>
        </is>
      </c>
      <c r="D325" s="9" t="n">
        <v>247.3</v>
      </c>
      <c r="E325" s="3" t="inlineStr">
        <is>
          <t>Entry gate</t>
        </is>
      </c>
      <c r="F325" s="3" t="inlineStr">
        <is>
          <t>703</t>
        </is>
      </c>
      <c r="G325" s="9" t="n">
        <v>766.25</v>
      </c>
      <c r="H325" s="10" t="n">
        <v>45688.51858796296</v>
      </c>
      <c r="I325" s="10" t="n">
        <v>45688.51858796296</v>
      </c>
      <c r="J325" s="10" t="n">
        <v>45688.52075231481</v>
      </c>
      <c r="K325" s="11" t="n">
        <v>0.002164351851851852</v>
      </c>
      <c r="L325" s="13" t="n"/>
    </row>
    <row r="326">
      <c r="A326" s="3" t="inlineStr">
        <is>
          <t>ArrivalDrive</t>
        </is>
      </c>
      <c r="B326" s="3" t="inlineStr">
        <is>
          <t>Act_ARRD_10325_141143_703</t>
        </is>
      </c>
      <c r="C326" s="3" t="inlineStr">
        <is>
          <t>10325</t>
        </is>
      </c>
      <c r="D326" s="9" t="n">
        <v>186.7</v>
      </c>
      <c r="E326" s="3" t="inlineStr">
        <is>
          <t>Entry gate</t>
        </is>
      </c>
      <c r="F326" s="3" t="inlineStr">
        <is>
          <t>703</t>
        </is>
      </c>
      <c r="G326" s="9" t="n">
        <v>766.25</v>
      </c>
      <c r="H326" s="10" t="n">
        <v>45688.59146990741</v>
      </c>
      <c r="I326" s="10" t="n">
        <v>45688.59146990741</v>
      </c>
      <c r="J326" s="10" t="n">
        <v>45688.59349537037</v>
      </c>
      <c r="K326" s="11" t="n">
        <v>0.002025462962962963</v>
      </c>
      <c r="L326" s="13" t="n"/>
    </row>
    <row r="327">
      <c r="A327" s="3" t="inlineStr">
        <is>
          <t>ArrivalDrive</t>
        </is>
      </c>
      <c r="B327" s="3" t="inlineStr">
        <is>
          <t>Act_ARRD_10326_150104_703</t>
        </is>
      </c>
      <c r="C327" s="3" t="inlineStr">
        <is>
          <t>10326</t>
        </is>
      </c>
      <c r="D327" s="9" t="n">
        <v>332.5</v>
      </c>
      <c r="E327" s="3" t="inlineStr">
        <is>
          <t>Entry gate</t>
        </is>
      </c>
      <c r="F327" s="3" t="inlineStr">
        <is>
          <t>703</t>
        </is>
      </c>
      <c r="G327" s="9" t="n">
        <v>766.25</v>
      </c>
      <c r="H327" s="10" t="n">
        <v>45688.62574074074</v>
      </c>
      <c r="I327" s="10" t="n">
        <v>45688.62574074074</v>
      </c>
      <c r="J327" s="10" t="n">
        <v>45688.62810185185</v>
      </c>
      <c r="K327" s="11" t="n">
        <v>0.002361111111111111</v>
      </c>
      <c r="L327" s="13" t="n"/>
    </row>
    <row r="328">
      <c r="A328" s="3" t="inlineStr">
        <is>
          <t>ArrivalDrive</t>
        </is>
      </c>
      <c r="B328" s="3" t="inlineStr">
        <is>
          <t>Act_ARRD_10327_151838_727</t>
        </is>
      </c>
      <c r="C328" s="3" t="inlineStr">
        <is>
          <t>10327</t>
        </is>
      </c>
      <c r="D328" s="9" t="n">
        <v>420.6</v>
      </c>
      <c r="E328" s="3" t="inlineStr">
        <is>
          <t>Entry gate</t>
        </is>
      </c>
      <c r="F328" s="3" t="inlineStr">
        <is>
          <t>727</t>
        </is>
      </c>
      <c r="G328" s="9" t="n">
        <v>556.2</v>
      </c>
      <c r="H328" s="10" t="n">
        <v>45688.63793981481</v>
      </c>
      <c r="I328" s="10" t="n">
        <v>45688.63793981481</v>
      </c>
      <c r="J328" s="10" t="n">
        <v>45688.64006944445</v>
      </c>
      <c r="K328" s="11" t="n">
        <v>0.00212962962962963</v>
      </c>
      <c r="L328" s="13" t="n"/>
    </row>
    <row r="329">
      <c r="A329" s="3" t="inlineStr">
        <is>
          <t>ArrivalDrive</t>
        </is>
      </c>
      <c r="B329" s="3" t="inlineStr">
        <is>
          <t>Act_ARRD_10328_153217_731</t>
        </is>
      </c>
      <c r="C329" s="3" t="inlineStr">
        <is>
          <t>10328</t>
        </is>
      </c>
      <c r="D329" s="9" t="n">
        <v>47.2</v>
      </c>
      <c r="E329" s="3" t="inlineStr">
        <is>
          <t>Entry gate</t>
        </is>
      </c>
      <c r="F329" s="3" t="inlineStr">
        <is>
          <t>731</t>
        </is>
      </c>
      <c r="G329" s="9" t="n">
        <v>587.14</v>
      </c>
      <c r="H329" s="10" t="n">
        <v>45688.64741898148</v>
      </c>
      <c r="I329" s="10" t="n">
        <v>45688.64741898148</v>
      </c>
      <c r="J329" s="10" t="n">
        <v>45688.64875</v>
      </c>
      <c r="K329" s="11" t="n">
        <v>0.001331018518518518</v>
      </c>
      <c r="L329" s="13" t="n"/>
    </row>
    <row r="330">
      <c r="A330" s="3" t="inlineStr">
        <is>
          <t>ArrivalDrive</t>
        </is>
      </c>
      <c r="B330" s="3" t="inlineStr">
        <is>
          <t>Act_ARRD_10329_173052_703</t>
        </is>
      </c>
      <c r="C330" s="3" t="inlineStr">
        <is>
          <t>10329</t>
        </is>
      </c>
      <c r="D330" s="9" t="n">
        <v>302.1</v>
      </c>
      <c r="E330" s="3" t="inlineStr">
        <is>
          <t>Entry gate</t>
        </is>
      </c>
      <c r="F330" s="3" t="inlineStr">
        <is>
          <t>703</t>
        </is>
      </c>
      <c r="G330" s="9" t="n">
        <v>766.25</v>
      </c>
      <c r="H330" s="10" t="n">
        <v>45688.72976851852</v>
      </c>
      <c r="I330" s="10" t="n">
        <v>45688.72976851852</v>
      </c>
      <c r="J330" s="10" t="n">
        <v>45688.73206018518</v>
      </c>
      <c r="K330" s="11" t="n">
        <v>0.002291666666666667</v>
      </c>
      <c r="L330" s="13" t="n"/>
    </row>
    <row r="331">
      <c r="A331" s="3" t="inlineStr">
        <is>
          <t>ArrivalDrive</t>
        </is>
      </c>
      <c r="B331" s="3" t="inlineStr">
        <is>
          <t>Act_ARRD_10330_174532_727</t>
        </is>
      </c>
      <c r="C331" s="3" t="inlineStr">
        <is>
          <t>10330</t>
        </is>
      </c>
      <c r="D331" s="9" t="n">
        <v>193.1</v>
      </c>
      <c r="E331" s="3" t="inlineStr">
        <is>
          <t>Entry gate</t>
        </is>
      </c>
      <c r="F331" s="3" t="inlineStr">
        <is>
          <t>727</t>
        </is>
      </c>
      <c r="G331" s="9" t="n">
        <v>556.2</v>
      </c>
      <c r="H331" s="10" t="n">
        <v>45688.73995370371</v>
      </c>
      <c r="I331" s="10" t="n">
        <v>45688.73995370371</v>
      </c>
      <c r="J331" s="10" t="n">
        <v>45688.74155092592</v>
      </c>
      <c r="K331" s="11" t="n">
        <v>0.001597222222222222</v>
      </c>
      <c r="L331" s="13" t="n"/>
    </row>
    <row r="332">
      <c r="A332" s="3" t="inlineStr">
        <is>
          <t>ArrivalDrive</t>
        </is>
      </c>
      <c r="B332" s="3" t="inlineStr">
        <is>
          <t>Act_ARRD_10331_200436_703</t>
        </is>
      </c>
      <c r="C332" s="3" t="inlineStr">
        <is>
          <t>10331</t>
        </is>
      </c>
      <c r="D332" s="9" t="n">
        <v>351</v>
      </c>
      <c r="E332" s="3" t="inlineStr">
        <is>
          <t>Entry gate</t>
        </is>
      </c>
      <c r="F332" s="3" t="inlineStr">
        <is>
          <t>703</t>
        </is>
      </c>
      <c r="G332" s="9" t="n">
        <v>766.25</v>
      </c>
      <c r="H332" s="10" t="n">
        <v>45688.83652777778</v>
      </c>
      <c r="I332" s="10" t="n">
        <v>45688.83652777778</v>
      </c>
      <c r="J332" s="10" t="n">
        <v>45688.83893518519</v>
      </c>
      <c r="K332" s="11" t="n">
        <v>0.002407407407407408</v>
      </c>
      <c r="L332" s="13" t="n"/>
    </row>
    <row r="333">
      <c r="A333" s="3" t="inlineStr">
        <is>
          <t>Coupling</t>
        </is>
      </c>
      <c r="B333" s="3" t="inlineStr">
        <is>
          <t>Act_COP_1000301_074106_615</t>
        </is>
      </c>
      <c r="C333" s="3" t="inlineStr">
        <is>
          <t>1000301</t>
        </is>
      </c>
      <c r="D333" s="9" t="n">
        <v>15.7</v>
      </c>
      <c r="E333" s="3" t="n"/>
      <c r="F333" s="3" t="n"/>
      <c r="G333" s="9" t="n"/>
      <c r="H333" s="10" t="n">
        <v>45659.32020833333</v>
      </c>
      <c r="I333" s="10" t="n">
        <v>45659.32107638889</v>
      </c>
      <c r="J333" s="10" t="n">
        <v>45659.32413194444</v>
      </c>
      <c r="K333" s="11" t="n">
        <v>0.003055555555555556</v>
      </c>
      <c r="L333" s="13" t="n"/>
    </row>
    <row r="334">
      <c r="A334" s="3" t="inlineStr">
        <is>
          <t>Coupling</t>
        </is>
      </c>
      <c r="B334" s="3" t="inlineStr">
        <is>
          <t>Act_COP_1000304_074935_627</t>
        </is>
      </c>
      <c r="C334" s="3" t="inlineStr">
        <is>
          <t>1000304</t>
        </is>
      </c>
      <c r="D334" s="9" t="n">
        <v>12</v>
      </c>
      <c r="E334" s="3" t="n"/>
      <c r="F334" s="3" t="n"/>
      <c r="G334" s="9" t="n"/>
      <c r="H334" s="10" t="n">
        <v>45659.32609953704</v>
      </c>
      <c r="I334" s="10" t="n">
        <v>45659.32696759259</v>
      </c>
      <c r="J334" s="10" t="n">
        <v>45659.33002314815</v>
      </c>
      <c r="K334" s="11" t="n">
        <v>0.003055555555555556</v>
      </c>
      <c r="L334" s="13" t="n"/>
    </row>
    <row r="335">
      <c r="A335" s="3" t="inlineStr">
        <is>
          <t>Coupling</t>
        </is>
      </c>
      <c r="B335" s="3" t="inlineStr">
        <is>
          <t>Act_COP_1000309_080207_623</t>
        </is>
      </c>
      <c r="C335" s="3" t="inlineStr">
        <is>
          <t>1000309</t>
        </is>
      </c>
      <c r="D335" s="9" t="n">
        <v>19.9</v>
      </c>
      <c r="E335" s="3" t="n"/>
      <c r="F335" s="3" t="n"/>
      <c r="G335" s="9" t="n"/>
      <c r="H335" s="10" t="n">
        <v>45659.33480324074</v>
      </c>
      <c r="I335" s="10" t="n">
        <v>45659.33564814815</v>
      </c>
      <c r="J335" s="10" t="n">
        <v>45659.3387037037</v>
      </c>
      <c r="K335" s="11" t="n">
        <v>0.003055555555555556</v>
      </c>
      <c r="L335" s="13" t="n"/>
    </row>
    <row r="336">
      <c r="A336" s="3" t="inlineStr">
        <is>
          <t>Coupling</t>
        </is>
      </c>
      <c r="B336" s="3" t="inlineStr">
        <is>
          <t>Act_COP_1000311_080631_606</t>
        </is>
      </c>
      <c r="C336" s="3" t="inlineStr">
        <is>
          <t>1000311</t>
        </is>
      </c>
      <c r="D336" s="9" t="n">
        <v>19.9</v>
      </c>
      <c r="E336" s="3" t="n"/>
      <c r="F336" s="3" t="n"/>
      <c r="G336" s="9" t="n"/>
      <c r="H336" s="10" t="n">
        <v>45659.33785879629</v>
      </c>
      <c r="I336" s="10" t="n">
        <v>45659.34039351852</v>
      </c>
      <c r="J336" s="10" t="n">
        <v>45659.34344907408</v>
      </c>
      <c r="K336" s="11" t="n">
        <v>0.003055555555555556</v>
      </c>
      <c r="L336" s="13" t="n"/>
    </row>
    <row r="337">
      <c r="A337" s="3" t="inlineStr">
        <is>
          <t>Coupling</t>
        </is>
      </c>
      <c r="B337" s="3" t="inlineStr">
        <is>
          <t>Act_COP_1000601_092044_606</t>
        </is>
      </c>
      <c r="C337" s="3" t="inlineStr">
        <is>
          <t>1000601</t>
        </is>
      </c>
      <c r="D337" s="9" t="n">
        <v>21</v>
      </c>
      <c r="E337" s="3" t="n"/>
      <c r="F337" s="3" t="n"/>
      <c r="G337" s="9" t="n"/>
      <c r="H337" s="10" t="n">
        <v>45659.38939814815</v>
      </c>
      <c r="I337" s="10" t="n">
        <v>45659.39018518518</v>
      </c>
      <c r="J337" s="10" t="n">
        <v>45659.39296296296</v>
      </c>
      <c r="K337" s="11" t="n">
        <v>0.002777777777777778</v>
      </c>
      <c r="L337" s="13" t="n"/>
    </row>
    <row r="338">
      <c r="A338" s="3" t="inlineStr">
        <is>
          <t>Coupling</t>
        </is>
      </c>
      <c r="B338" s="3" t="inlineStr">
        <is>
          <t>Act_COP_1000602_092304_607</t>
        </is>
      </c>
      <c r="C338" s="3" t="inlineStr">
        <is>
          <t>1000602</t>
        </is>
      </c>
      <c r="D338" s="9" t="n">
        <v>19.9</v>
      </c>
      <c r="E338" s="3" t="n"/>
      <c r="F338" s="3" t="n"/>
      <c r="G338" s="9" t="n"/>
      <c r="H338" s="10" t="n">
        <v>45659.39101851852</v>
      </c>
      <c r="I338" s="10" t="n">
        <v>45659.39188657407</v>
      </c>
      <c r="J338" s="10" t="n">
        <v>45659.39494212963</v>
      </c>
      <c r="K338" s="11" t="n">
        <v>0.003055555555555556</v>
      </c>
      <c r="L338" s="13" t="n"/>
    </row>
    <row r="339">
      <c r="A339" s="3" t="inlineStr">
        <is>
          <t>Coupling</t>
        </is>
      </c>
      <c r="B339" s="3" t="inlineStr">
        <is>
          <t>Act_COP_1000603_092557_619</t>
        </is>
      </c>
      <c r="C339" s="3" t="inlineStr">
        <is>
          <t>1000603</t>
        </is>
      </c>
      <c r="D339" s="9" t="n">
        <v>35.6</v>
      </c>
      <c r="E339" s="3" t="n"/>
      <c r="F339" s="3" t="n"/>
      <c r="G339" s="9" t="n"/>
      <c r="H339" s="10" t="n">
        <v>45659.39302083333</v>
      </c>
      <c r="I339" s="10" t="n">
        <v>45659.39453703703</v>
      </c>
      <c r="J339" s="10" t="n">
        <v>45659.39731481481</v>
      </c>
      <c r="K339" s="11" t="n">
        <v>0.002777777777777778</v>
      </c>
      <c r="L339" s="13" t="n"/>
    </row>
    <row r="340">
      <c r="A340" s="3" t="inlineStr">
        <is>
          <t>Coupling</t>
        </is>
      </c>
      <c r="B340" s="3" t="inlineStr">
        <is>
          <t>Act_COP_1000604_092830_606</t>
        </is>
      </c>
      <c r="C340" s="3" t="inlineStr">
        <is>
          <t>1000604</t>
        </is>
      </c>
      <c r="D340" s="9" t="n">
        <v>36.4</v>
      </c>
      <c r="E340" s="3" t="n"/>
      <c r="F340" s="3" t="n"/>
      <c r="G340" s="9" t="n"/>
      <c r="H340" s="10" t="n">
        <v>45659.39479166667</v>
      </c>
      <c r="I340" s="10" t="n">
        <v>45659.39667824074</v>
      </c>
      <c r="J340" s="10" t="n">
        <v>45659.39973379629</v>
      </c>
      <c r="K340" s="11" t="n">
        <v>0.003055555555555556</v>
      </c>
      <c r="L340" s="13" t="n"/>
    </row>
    <row r="341">
      <c r="A341" s="3" t="inlineStr">
        <is>
          <t>Coupling</t>
        </is>
      </c>
      <c r="B341" s="3" t="inlineStr">
        <is>
          <t>Act_COP_1000605_093047_609</t>
        </is>
      </c>
      <c r="C341" s="3" t="inlineStr">
        <is>
          <t>1000605</t>
        </is>
      </c>
      <c r="D341" s="9" t="n">
        <v>54</v>
      </c>
      <c r="E341" s="3" t="n"/>
      <c r="F341" s="3" t="n"/>
      <c r="G341" s="9" t="n"/>
      <c r="H341" s="10" t="n">
        <v>45659.39637731481</v>
      </c>
      <c r="I341" s="10" t="n">
        <v>45659.39890046296</v>
      </c>
      <c r="J341" s="10" t="n">
        <v>45659.40167824074</v>
      </c>
      <c r="K341" s="11" t="n">
        <v>0.002777777777777778</v>
      </c>
      <c r="L341" s="13" t="n"/>
    </row>
    <row r="342">
      <c r="A342" s="3" t="inlineStr">
        <is>
          <t>Coupling</t>
        </is>
      </c>
      <c r="B342" s="3" t="inlineStr">
        <is>
          <t>Act_COP_1000606_093331_627</t>
        </is>
      </c>
      <c r="C342" s="3" t="inlineStr">
        <is>
          <t>1000606</t>
        </is>
      </c>
      <c r="D342" s="9" t="n">
        <v>12</v>
      </c>
      <c r="E342" s="3" t="n"/>
      <c r="F342" s="3" t="n"/>
      <c r="G342" s="9" t="n"/>
      <c r="H342" s="10" t="n">
        <v>45659.39827546296</v>
      </c>
      <c r="I342" s="10" t="n">
        <v>45659.40146990741</v>
      </c>
      <c r="J342" s="10" t="n">
        <v>45659.40452546296</v>
      </c>
      <c r="K342" s="11" t="n">
        <v>0.003055555555555556</v>
      </c>
      <c r="L342" s="13" t="n"/>
    </row>
    <row r="343">
      <c r="A343" s="3" t="inlineStr">
        <is>
          <t>Coupling</t>
        </is>
      </c>
      <c r="B343" s="3" t="inlineStr">
        <is>
          <t>Act_COP_1000607_093534_611</t>
        </is>
      </c>
      <c r="C343" s="3" t="inlineStr">
        <is>
          <t>1000607</t>
        </is>
      </c>
      <c r="D343" s="9" t="n">
        <v>31.5</v>
      </c>
      <c r="E343" s="3" t="n"/>
      <c r="F343" s="3" t="n"/>
      <c r="G343" s="9" t="n"/>
      <c r="H343" s="10" t="n">
        <v>45659.39969907407</v>
      </c>
      <c r="I343" s="10" t="n">
        <v>45659.40325231481</v>
      </c>
      <c r="J343" s="10" t="n">
        <v>45659.40603009259</v>
      </c>
      <c r="K343" s="11" t="n">
        <v>0.002777777777777778</v>
      </c>
      <c r="L343" s="13" t="n"/>
    </row>
    <row r="344">
      <c r="A344" s="3" t="inlineStr">
        <is>
          <t>Coupling</t>
        </is>
      </c>
      <c r="B344" s="3" t="inlineStr">
        <is>
          <t>Act_COP_1000610_094440_625</t>
        </is>
      </c>
      <c r="C344" s="3" t="inlineStr">
        <is>
          <t>1000610</t>
        </is>
      </c>
      <c r="D344" s="9" t="n">
        <v>15.7</v>
      </c>
      <c r="E344" s="3" t="n"/>
      <c r="F344" s="3" t="n"/>
      <c r="G344" s="9" t="n"/>
      <c r="H344" s="10" t="n">
        <v>45659.40601851852</v>
      </c>
      <c r="I344" s="10" t="n">
        <v>45659.40952546296</v>
      </c>
      <c r="J344" s="10" t="n">
        <v>45659.41258101852</v>
      </c>
      <c r="K344" s="11" t="n">
        <v>0.003055555555555556</v>
      </c>
      <c r="L344" s="13" t="n"/>
    </row>
    <row r="345">
      <c r="A345" s="3" t="inlineStr">
        <is>
          <t>Coupling</t>
        </is>
      </c>
      <c r="B345" s="3" t="inlineStr">
        <is>
          <t>Act_COP_1000802_104938_605</t>
        </is>
      </c>
      <c r="C345" s="3" t="inlineStr">
        <is>
          <t>1000802</t>
        </is>
      </c>
      <c r="D345" s="9" t="n">
        <v>19.9</v>
      </c>
      <c r="E345" s="3" t="n"/>
      <c r="F345" s="3" t="n"/>
      <c r="G345" s="9" t="n"/>
      <c r="H345" s="10" t="n">
        <v>45659.45113425926</v>
      </c>
      <c r="I345" s="10" t="n">
        <v>45659.4519212963</v>
      </c>
      <c r="J345" s="10" t="n">
        <v>45659.45469907407</v>
      </c>
      <c r="K345" s="11" t="n">
        <v>0.002777777777777778</v>
      </c>
      <c r="L345" s="13" t="n"/>
    </row>
    <row r="346">
      <c r="A346" s="3" t="inlineStr">
        <is>
          <t>Coupling</t>
        </is>
      </c>
      <c r="B346" s="3" t="inlineStr">
        <is>
          <t>Act_COP_1000803_105230_613</t>
        </is>
      </c>
      <c r="C346" s="3" t="inlineStr">
        <is>
          <t>1000803</t>
        </is>
      </c>
      <c r="D346" s="9" t="n">
        <v>327.4</v>
      </c>
      <c r="E346" s="3" t="n"/>
      <c r="F346" s="3" t="n"/>
      <c r="G346" s="9" t="n"/>
      <c r="H346" s="10" t="n">
        <v>45659.453125</v>
      </c>
      <c r="I346" s="10" t="n">
        <v>45659.45399305555</v>
      </c>
      <c r="J346" s="10" t="n">
        <v>45659.45704861111</v>
      </c>
      <c r="K346" s="11" t="n">
        <v>0.003055555555555556</v>
      </c>
      <c r="L346" s="13" t="n"/>
    </row>
    <row r="347">
      <c r="A347" s="3" t="inlineStr">
        <is>
          <t>Coupling</t>
        </is>
      </c>
      <c r="B347" s="3" t="inlineStr">
        <is>
          <t>Act_COP_1001101_151714_627</t>
        </is>
      </c>
      <c r="C347" s="3" t="inlineStr">
        <is>
          <t>1001101</t>
        </is>
      </c>
      <c r="D347" s="9" t="n">
        <v>267.6</v>
      </c>
      <c r="E347" s="3" t="n"/>
      <c r="F347" s="3" t="n"/>
      <c r="G347" s="9" t="n"/>
      <c r="H347" s="10" t="n">
        <v>45659.6369675926</v>
      </c>
      <c r="I347" s="10" t="n">
        <v>45659.63775462963</v>
      </c>
      <c r="J347" s="10" t="n">
        <v>45659.64053240741</v>
      </c>
      <c r="K347" s="11" t="n">
        <v>0.002777777777777778</v>
      </c>
      <c r="L347" s="13" t="n"/>
    </row>
    <row r="348">
      <c r="A348" s="3" t="inlineStr">
        <is>
          <t>Coupling</t>
        </is>
      </c>
      <c r="B348" s="3" t="inlineStr">
        <is>
          <t>Act_COP_1001004_153528_606</t>
        </is>
      </c>
      <c r="C348" s="3" t="inlineStr">
        <is>
          <t>1001004</t>
        </is>
      </c>
      <c r="D348" s="9" t="n">
        <v>16.5</v>
      </c>
      <c r="E348" s="3" t="n"/>
      <c r="F348" s="3" t="n"/>
      <c r="G348" s="9" t="n"/>
      <c r="H348" s="10" t="n">
        <v>45659.64962962963</v>
      </c>
      <c r="I348" s="10" t="n">
        <v>45659.65040509259</v>
      </c>
      <c r="J348" s="10" t="n">
        <v>45659.65318287037</v>
      </c>
      <c r="K348" s="11" t="n">
        <v>0.002777777777777778</v>
      </c>
      <c r="L348" s="13" t="n"/>
    </row>
    <row r="349">
      <c r="A349" s="3" t="inlineStr">
        <is>
          <t>Coupling</t>
        </is>
      </c>
      <c r="B349" s="3" t="inlineStr">
        <is>
          <t>Act_COP_1001006_154100_611</t>
        </is>
      </c>
      <c r="C349" s="3" t="inlineStr">
        <is>
          <t>1001006</t>
        </is>
      </c>
      <c r="D349" s="9" t="n">
        <v>31.5</v>
      </c>
      <c r="E349" s="3" t="n"/>
      <c r="F349" s="3" t="n"/>
      <c r="G349" s="9" t="n"/>
      <c r="H349" s="10" t="n">
        <v>45659.65347222222</v>
      </c>
      <c r="I349" s="10" t="n">
        <v>45659.65472222222</v>
      </c>
      <c r="J349" s="10" t="n">
        <v>45659.6575</v>
      </c>
      <c r="K349" s="11" t="n">
        <v>0.002777777777777778</v>
      </c>
      <c r="L349" s="13" t="n"/>
    </row>
    <row r="350">
      <c r="A350" s="3" t="inlineStr">
        <is>
          <t>Coupling</t>
        </is>
      </c>
      <c r="B350" s="3" t="inlineStr">
        <is>
          <t>Act_COP_1001007_154334_623</t>
        </is>
      </c>
      <c r="C350" s="3" t="inlineStr">
        <is>
          <t>1001007</t>
        </is>
      </c>
      <c r="D350" s="9" t="n">
        <v>42</v>
      </c>
      <c r="E350" s="3" t="n"/>
      <c r="F350" s="3" t="n"/>
      <c r="G350" s="9" t="n"/>
      <c r="H350" s="10" t="n">
        <v>45659.65525462963</v>
      </c>
      <c r="I350" s="10" t="n">
        <v>45659.65605324074</v>
      </c>
      <c r="J350" s="10" t="n">
        <v>45659.65883101852</v>
      </c>
      <c r="K350" s="11" t="n">
        <v>0.002777777777777778</v>
      </c>
      <c r="L350" s="13" t="n"/>
    </row>
    <row r="351">
      <c r="A351" s="3" t="inlineStr">
        <is>
          <t>Coupling</t>
        </is>
      </c>
      <c r="B351" s="3" t="inlineStr">
        <is>
          <t>Act_COP_1001201_181456_615</t>
        </is>
      </c>
      <c r="C351" s="3" t="inlineStr">
        <is>
          <t>1001201</t>
        </is>
      </c>
      <c r="D351" s="9" t="n">
        <v>15.7</v>
      </c>
      <c r="E351" s="3" t="n"/>
      <c r="F351" s="3" t="n"/>
      <c r="G351" s="9" t="n"/>
      <c r="H351" s="10" t="n">
        <v>45659.76037037037</v>
      </c>
      <c r="I351" s="10" t="n">
        <v>45659.76123842593</v>
      </c>
      <c r="J351" s="10" t="n">
        <v>45659.76429398148</v>
      </c>
      <c r="K351" s="11" t="n">
        <v>0.003055555555555556</v>
      </c>
      <c r="L351" s="13" t="n"/>
    </row>
    <row r="352">
      <c r="A352" s="3" t="inlineStr">
        <is>
          <t>Coupling</t>
        </is>
      </c>
      <c r="B352" s="3" t="inlineStr">
        <is>
          <t>Act_COP_1001202_181749_625</t>
        </is>
      </c>
      <c r="C352" s="3" t="inlineStr">
        <is>
          <t>1001202</t>
        </is>
      </c>
      <c r="D352" s="9" t="n">
        <v>15.7</v>
      </c>
      <c r="E352" s="3" t="n"/>
      <c r="F352" s="3" t="n"/>
      <c r="G352" s="9" t="n"/>
      <c r="H352" s="10" t="n">
        <v>45659.76237268518</v>
      </c>
      <c r="I352" s="10" t="n">
        <v>45659.76321759259</v>
      </c>
      <c r="J352" s="10" t="n">
        <v>45659.76627314815</v>
      </c>
      <c r="K352" s="11" t="n">
        <v>0.003055555555555556</v>
      </c>
      <c r="L352" s="13" t="n"/>
    </row>
    <row r="353">
      <c r="A353" s="3" t="inlineStr">
        <is>
          <t>Coupling</t>
        </is>
      </c>
      <c r="B353" s="3" t="inlineStr">
        <is>
          <t>Act_COP_1001204_182154_607</t>
        </is>
      </c>
      <c r="C353" s="3" t="inlineStr">
        <is>
          <t>1001204</t>
        </is>
      </c>
      <c r="D353" s="9" t="n">
        <v>14</v>
      </c>
      <c r="E353" s="3" t="n"/>
      <c r="F353" s="3" t="n"/>
      <c r="G353" s="9" t="n"/>
      <c r="H353" s="10" t="n">
        <v>45659.76520833333</v>
      </c>
      <c r="I353" s="10" t="n">
        <v>45659.76607638889</v>
      </c>
      <c r="J353" s="10" t="n">
        <v>45659.76913194444</v>
      </c>
      <c r="K353" s="11" t="n">
        <v>0.003055555555555556</v>
      </c>
      <c r="L353" s="13" t="n"/>
    </row>
    <row r="354">
      <c r="A354" s="3" t="inlineStr">
        <is>
          <t>Coupling</t>
        </is>
      </c>
      <c r="B354" s="3" t="inlineStr">
        <is>
          <t>Act_COP_1001205_182504_619</t>
        </is>
      </c>
      <c r="C354" s="3" t="inlineStr">
        <is>
          <t>1001205</t>
        </is>
      </c>
      <c r="D354" s="9" t="n">
        <v>135</v>
      </c>
      <c r="E354" s="3" t="n"/>
      <c r="F354" s="3" t="n"/>
      <c r="G354" s="9" t="n"/>
      <c r="H354" s="10" t="n">
        <v>45659.76740740741</v>
      </c>
      <c r="I354" s="10" t="n">
        <v>45659.76826388889</v>
      </c>
      <c r="J354" s="10" t="n">
        <v>45659.77131944444</v>
      </c>
      <c r="K354" s="11" t="n">
        <v>0.003055555555555556</v>
      </c>
      <c r="L354" s="13" t="n"/>
    </row>
    <row r="355">
      <c r="A355" s="3" t="inlineStr">
        <is>
          <t>Coupling</t>
        </is>
      </c>
      <c r="B355" s="3" t="inlineStr">
        <is>
          <t>Act_COP_1001206_182702_611</t>
        </is>
      </c>
      <c r="C355" s="3" t="inlineStr">
        <is>
          <t>1001206</t>
        </is>
      </c>
      <c r="D355" s="9" t="n">
        <v>15.7</v>
      </c>
      <c r="E355" s="3" t="n"/>
      <c r="F355" s="3" t="n"/>
      <c r="G355" s="9" t="n"/>
      <c r="H355" s="10" t="n">
        <v>45659.76877314815</v>
      </c>
      <c r="I355" s="10" t="n">
        <v>45659.7696412037</v>
      </c>
      <c r="J355" s="10" t="n">
        <v>45659.77269675926</v>
      </c>
      <c r="K355" s="11" t="n">
        <v>0.003055555555555556</v>
      </c>
      <c r="L355" s="13" t="n"/>
    </row>
    <row r="356">
      <c r="A356" s="3" t="inlineStr">
        <is>
          <t>Coupling</t>
        </is>
      </c>
      <c r="B356" s="3" t="inlineStr">
        <is>
          <t>Act_COP_1001209_183611_621</t>
        </is>
      </c>
      <c r="C356" s="3" t="inlineStr">
        <is>
          <t>1001209</t>
        </is>
      </c>
      <c r="D356" s="9" t="n">
        <v>39.8</v>
      </c>
      <c r="E356" s="3" t="n"/>
      <c r="F356" s="3" t="n"/>
      <c r="G356" s="9" t="n"/>
      <c r="H356" s="10" t="n">
        <v>45659.77512731482</v>
      </c>
      <c r="I356" s="10" t="n">
        <v>45659.77599537037</v>
      </c>
      <c r="J356" s="10" t="n">
        <v>45659.77905092593</v>
      </c>
      <c r="K356" s="11" t="n">
        <v>0.003055555555555556</v>
      </c>
      <c r="L356" s="13" t="n"/>
    </row>
    <row r="357">
      <c r="A357" s="3" t="inlineStr">
        <is>
          <t>Coupling</t>
        </is>
      </c>
      <c r="B357" s="3" t="inlineStr">
        <is>
          <t>Act_COP_1001210_183841_623</t>
        </is>
      </c>
      <c r="C357" s="3" t="inlineStr">
        <is>
          <t>1001210</t>
        </is>
      </c>
      <c r="D357" s="9" t="n">
        <v>19.9</v>
      </c>
      <c r="E357" s="3" t="n"/>
      <c r="F357" s="3" t="n"/>
      <c r="G357" s="9" t="n"/>
      <c r="H357" s="10" t="n">
        <v>45659.77686342593</v>
      </c>
      <c r="I357" s="10" t="n">
        <v>45659.77770833333</v>
      </c>
      <c r="J357" s="10" t="n">
        <v>45659.78076388889</v>
      </c>
      <c r="K357" s="11" t="n">
        <v>0.003055555555555556</v>
      </c>
      <c r="L357" s="13" t="n"/>
    </row>
    <row r="358">
      <c r="A358" s="3" t="inlineStr">
        <is>
          <t>Coupling</t>
        </is>
      </c>
      <c r="B358" s="3" t="inlineStr">
        <is>
          <t>Act_COP_1001302_204046_625</t>
        </is>
      </c>
      <c r="C358" s="3" t="inlineStr">
        <is>
          <t>1001302</t>
        </is>
      </c>
      <c r="D358" s="9" t="n">
        <v>15.7</v>
      </c>
      <c r="E358" s="3" t="n"/>
      <c r="F358" s="3" t="n"/>
      <c r="G358" s="9" t="n"/>
      <c r="H358" s="10" t="n">
        <v>45659.86164351852</v>
      </c>
      <c r="I358" s="10" t="n">
        <v>45659.86251157407</v>
      </c>
      <c r="J358" s="10" t="n">
        <v>45659.86556712963</v>
      </c>
      <c r="K358" s="11" t="n">
        <v>0.003055555555555556</v>
      </c>
      <c r="L358" s="13" t="n"/>
    </row>
    <row r="359">
      <c r="A359" s="3" t="inlineStr">
        <is>
          <t>Coupling</t>
        </is>
      </c>
      <c r="B359" s="3" t="inlineStr">
        <is>
          <t>Act_COP_1001303_204255_609</t>
        </is>
      </c>
      <c r="C359" s="3" t="inlineStr">
        <is>
          <t>1001303</t>
        </is>
      </c>
      <c r="D359" s="9" t="n">
        <v>14</v>
      </c>
      <c r="E359" s="3" t="n"/>
      <c r="F359" s="3" t="n"/>
      <c r="G359" s="9" t="n"/>
      <c r="H359" s="10" t="n">
        <v>45659.86313657407</v>
      </c>
      <c r="I359" s="10" t="n">
        <v>45659.86392361111</v>
      </c>
      <c r="J359" s="10" t="n">
        <v>45659.86670138889</v>
      </c>
      <c r="K359" s="11" t="n">
        <v>0.002777777777777778</v>
      </c>
      <c r="L359" s="13" t="n"/>
    </row>
    <row r="360">
      <c r="A360" s="3" t="inlineStr">
        <is>
          <t>Coupling</t>
        </is>
      </c>
      <c r="B360" s="3" t="inlineStr">
        <is>
          <t>Act_COP_1001304_204454_613</t>
        </is>
      </c>
      <c r="C360" s="3" t="inlineStr">
        <is>
          <t>1001304</t>
        </is>
      </c>
      <c r="D360" s="9" t="n">
        <v>60.8</v>
      </c>
      <c r="E360" s="3" t="n"/>
      <c r="F360" s="3" t="n"/>
      <c r="G360" s="9" t="n"/>
      <c r="H360" s="10" t="n">
        <v>45659.86451388889</v>
      </c>
      <c r="I360" s="10" t="n">
        <v>45659.8653587963</v>
      </c>
      <c r="J360" s="10" t="n">
        <v>45659.86841435185</v>
      </c>
      <c r="K360" s="11" t="n">
        <v>0.003055555555555556</v>
      </c>
      <c r="L360" s="13" t="n"/>
    </row>
    <row r="361">
      <c r="A361" s="3" t="inlineStr">
        <is>
          <t>Coupling</t>
        </is>
      </c>
      <c r="B361" s="3" t="inlineStr">
        <is>
          <t>Act_COP_1001305_204703_611</t>
        </is>
      </c>
      <c r="C361" s="3" t="inlineStr">
        <is>
          <t>1001305</t>
        </is>
      </c>
      <c r="D361" s="9" t="n">
        <v>63</v>
      </c>
      <c r="E361" s="3" t="n"/>
      <c r="F361" s="3" t="n"/>
      <c r="G361" s="9" t="n"/>
      <c r="H361" s="10" t="n">
        <v>45659.86600694444</v>
      </c>
      <c r="I361" s="10" t="n">
        <v>45659.866875</v>
      </c>
      <c r="J361" s="10" t="n">
        <v>45659.86993055556</v>
      </c>
      <c r="K361" s="11" t="n">
        <v>0.003055555555555556</v>
      </c>
      <c r="L361" s="13" t="n"/>
    </row>
    <row r="362">
      <c r="A362" s="3" t="inlineStr">
        <is>
          <t>Coupling</t>
        </is>
      </c>
      <c r="B362" s="3" t="inlineStr">
        <is>
          <t>Act_COP_1001309_205747_629</t>
        </is>
      </c>
      <c r="C362" s="3" t="inlineStr">
        <is>
          <t>1001309</t>
        </is>
      </c>
      <c r="D362" s="9" t="n">
        <v>19.9</v>
      </c>
      <c r="E362" s="3" t="n"/>
      <c r="F362" s="3" t="n"/>
      <c r="G362" s="9" t="n"/>
      <c r="H362" s="10" t="n">
        <v>45659.87346064814</v>
      </c>
      <c r="I362" s="10" t="n">
        <v>45659.87430555555</v>
      </c>
      <c r="J362" s="10" t="n">
        <v>45659.87736111111</v>
      </c>
      <c r="K362" s="11" t="n">
        <v>0.003055555555555556</v>
      </c>
      <c r="L362" s="13" t="n"/>
    </row>
    <row r="363">
      <c r="A363" s="3" t="inlineStr">
        <is>
          <t>Coupling</t>
        </is>
      </c>
      <c r="B363" s="3" t="inlineStr">
        <is>
          <t>Act_COP_1001310_205939_617</t>
        </is>
      </c>
      <c r="C363" s="3" t="inlineStr">
        <is>
          <t>1001310</t>
        </is>
      </c>
      <c r="D363" s="9" t="n">
        <v>19.9</v>
      </c>
      <c r="E363" s="3" t="n"/>
      <c r="F363" s="3" t="n"/>
      <c r="G363" s="9" t="n"/>
      <c r="H363" s="10" t="n">
        <v>45659.87475694445</v>
      </c>
      <c r="I363" s="10" t="n">
        <v>45659.87554398148</v>
      </c>
      <c r="J363" s="10" t="n">
        <v>45659.87832175926</v>
      </c>
      <c r="K363" s="11" t="n">
        <v>0.002777777777777778</v>
      </c>
      <c r="L363" s="13" t="n"/>
    </row>
    <row r="364">
      <c r="A364" s="3" t="inlineStr">
        <is>
          <t>Coupling</t>
        </is>
      </c>
      <c r="B364" s="3" t="inlineStr">
        <is>
          <t>Act_COP_1001311_210130_613</t>
        </is>
      </c>
      <c r="C364" s="3" t="inlineStr">
        <is>
          <t>1001311</t>
        </is>
      </c>
      <c r="D364" s="9" t="n">
        <v>19.9</v>
      </c>
      <c r="E364" s="3" t="n"/>
      <c r="F364" s="3" t="n"/>
      <c r="G364" s="9" t="n"/>
      <c r="H364" s="10" t="n">
        <v>45659.87604166667</v>
      </c>
      <c r="I364" s="10" t="n">
        <v>45659.87690972222</v>
      </c>
      <c r="J364" s="10" t="n">
        <v>45659.87996527777</v>
      </c>
      <c r="K364" s="11" t="n">
        <v>0.003055555555555556</v>
      </c>
      <c r="L364" s="13" t="n"/>
    </row>
    <row r="365">
      <c r="A365" s="3" t="inlineStr">
        <is>
          <t>Coupling</t>
        </is>
      </c>
      <c r="B365" s="3" t="inlineStr">
        <is>
          <t>Act_COP_1001401_025612_627</t>
        </is>
      </c>
      <c r="C365" s="3" t="inlineStr">
        <is>
          <t>1001401</t>
        </is>
      </c>
      <c r="D365" s="9" t="n">
        <v>88</v>
      </c>
      <c r="E365" s="3" t="n"/>
      <c r="F365" s="3" t="n"/>
      <c r="G365" s="9" t="n"/>
      <c r="H365" s="10" t="n">
        <v>45660.12236111111</v>
      </c>
      <c r="I365" s="10" t="n">
        <v>45660.12314814814</v>
      </c>
      <c r="J365" s="10" t="n">
        <v>45660.12592592592</v>
      </c>
      <c r="K365" s="11" t="n">
        <v>0.002777777777777778</v>
      </c>
      <c r="L365" s="13" t="n"/>
    </row>
    <row r="366">
      <c r="A366" s="3" t="inlineStr">
        <is>
          <t>Coupling</t>
        </is>
      </c>
      <c r="B366" s="3" t="inlineStr">
        <is>
          <t>Act_COP_1001402_025752_615</t>
        </is>
      </c>
      <c r="C366" s="3" t="inlineStr">
        <is>
          <t>1001402</t>
        </is>
      </c>
      <c r="D366" s="9" t="n">
        <v>15.7</v>
      </c>
      <c r="E366" s="3" t="n"/>
      <c r="F366" s="3" t="n"/>
      <c r="G366" s="9" t="n"/>
      <c r="H366" s="10" t="n">
        <v>45660.12351851852</v>
      </c>
      <c r="I366" s="10" t="n">
        <v>45660.12438657408</v>
      </c>
      <c r="J366" s="10" t="n">
        <v>45660.12744212963</v>
      </c>
      <c r="K366" s="11" t="n">
        <v>0.003055555555555556</v>
      </c>
      <c r="L366" s="13" t="n"/>
    </row>
    <row r="367">
      <c r="A367" s="3" t="inlineStr">
        <is>
          <t>Coupling</t>
        </is>
      </c>
      <c r="B367" s="3" t="inlineStr">
        <is>
          <t>Act_COP_1001403_030024_623</t>
        </is>
      </c>
      <c r="C367" s="3" t="inlineStr">
        <is>
          <t>1001403</t>
        </is>
      </c>
      <c r="D367" s="9" t="n">
        <v>21</v>
      </c>
      <c r="E367" s="3" t="n"/>
      <c r="F367" s="3" t="n"/>
      <c r="G367" s="9" t="n"/>
      <c r="H367" s="10" t="n">
        <v>45660.12527777778</v>
      </c>
      <c r="I367" s="10" t="n">
        <v>45660.12613425926</v>
      </c>
      <c r="J367" s="10" t="n">
        <v>45660.12918981481</v>
      </c>
      <c r="K367" s="11" t="n">
        <v>0.003055555555555556</v>
      </c>
      <c r="L367" s="13" t="n"/>
    </row>
    <row r="368">
      <c r="A368" s="3" t="inlineStr">
        <is>
          <t>Coupling</t>
        </is>
      </c>
      <c r="B368" s="3" t="inlineStr">
        <is>
          <t>Act_COP_1001404_030205_615</t>
        </is>
      </c>
      <c r="C368" s="3" t="inlineStr">
        <is>
          <t>1001404</t>
        </is>
      </c>
      <c r="D368" s="9" t="n">
        <v>15.7</v>
      </c>
      <c r="E368" s="3" t="n"/>
      <c r="F368" s="3" t="n"/>
      <c r="G368" s="9" t="n"/>
      <c r="H368" s="10" t="n">
        <v>45660.12644675926</v>
      </c>
      <c r="I368" s="10" t="n">
        <v>45660.12731481482</v>
      </c>
      <c r="J368" s="10" t="n">
        <v>45660.13037037037</v>
      </c>
      <c r="K368" s="11" t="n">
        <v>0.003055555555555556</v>
      </c>
      <c r="L368" s="13" t="n"/>
    </row>
    <row r="369">
      <c r="A369" s="3" t="inlineStr">
        <is>
          <t>Coupling</t>
        </is>
      </c>
      <c r="B369" s="3" t="inlineStr">
        <is>
          <t>Act_COP_1001601_060349_607</t>
        </is>
      </c>
      <c r="C369" s="3" t="inlineStr">
        <is>
          <t>1001601</t>
        </is>
      </c>
      <c r="D369" s="9" t="n">
        <v>15.7</v>
      </c>
      <c r="E369" s="3" t="n"/>
      <c r="F369" s="3" t="n"/>
      <c r="G369" s="9" t="n"/>
      <c r="H369" s="10" t="n">
        <v>45660.25265046296</v>
      </c>
      <c r="I369" s="10" t="n">
        <v>45660.25349537037</v>
      </c>
      <c r="J369" s="10" t="n">
        <v>45660.25655092593</v>
      </c>
      <c r="K369" s="11" t="n">
        <v>0.003055555555555556</v>
      </c>
      <c r="L369" s="13" t="n"/>
    </row>
    <row r="370">
      <c r="A370" s="3" t="inlineStr">
        <is>
          <t>Coupling</t>
        </is>
      </c>
      <c r="B370" s="3" t="inlineStr">
        <is>
          <t>Act_COP_1001603_060907_623</t>
        </is>
      </c>
      <c r="C370" s="3" t="inlineStr">
        <is>
          <t>1001603</t>
        </is>
      </c>
      <c r="D370" s="9" t="n">
        <v>19.9</v>
      </c>
      <c r="E370" s="3" t="n"/>
      <c r="F370" s="3" t="n"/>
      <c r="G370" s="9" t="n"/>
      <c r="H370" s="10" t="n">
        <v>45660.25633101852</v>
      </c>
      <c r="I370" s="10" t="n">
        <v>45660.25719907408</v>
      </c>
      <c r="J370" s="10" t="n">
        <v>45660.26025462963</v>
      </c>
      <c r="K370" s="11" t="n">
        <v>0.003055555555555556</v>
      </c>
      <c r="L370" s="13" t="n"/>
    </row>
    <row r="371">
      <c r="A371" s="3" t="inlineStr">
        <is>
          <t>Coupling</t>
        </is>
      </c>
      <c r="B371" s="3" t="inlineStr">
        <is>
          <t>Act_COP_1001604_061049_615</t>
        </is>
      </c>
      <c r="C371" s="3" t="inlineStr">
        <is>
          <t>1001604</t>
        </is>
      </c>
      <c r="D371" s="9" t="n">
        <v>19.9</v>
      </c>
      <c r="E371" s="3" t="n"/>
      <c r="F371" s="3" t="n"/>
      <c r="G371" s="9" t="n"/>
      <c r="H371" s="10" t="n">
        <v>45660.25751157408</v>
      </c>
      <c r="I371" s="10" t="n">
        <v>45660.25827546296</v>
      </c>
      <c r="J371" s="10" t="n">
        <v>45660.26105324074</v>
      </c>
      <c r="K371" s="11" t="n">
        <v>0.002777777777777778</v>
      </c>
      <c r="L371" s="13" t="n"/>
    </row>
    <row r="372">
      <c r="A372" s="3" t="inlineStr">
        <is>
          <t>Coupling</t>
        </is>
      </c>
      <c r="B372" s="3" t="inlineStr">
        <is>
          <t>Act_COP_1001606_061540_619</t>
        </is>
      </c>
      <c r="C372" s="3" t="inlineStr">
        <is>
          <t>1001606</t>
        </is>
      </c>
      <c r="D372" s="9" t="n">
        <v>27</v>
      </c>
      <c r="E372" s="3" t="n"/>
      <c r="F372" s="3" t="n"/>
      <c r="G372" s="9" t="n"/>
      <c r="H372" s="10" t="n">
        <v>45660.26087962963</v>
      </c>
      <c r="I372" s="10" t="n">
        <v>45660.26166666667</v>
      </c>
      <c r="J372" s="10" t="n">
        <v>45660.26444444444</v>
      </c>
      <c r="K372" s="11" t="n">
        <v>0.002777777777777778</v>
      </c>
      <c r="L372" s="13" t="n"/>
    </row>
    <row r="373">
      <c r="A373" s="3" t="inlineStr">
        <is>
          <t>Coupling</t>
        </is>
      </c>
      <c r="B373" s="3" t="inlineStr">
        <is>
          <t>Act_COP_1001608_062110_627</t>
        </is>
      </c>
      <c r="C373" s="3" t="inlineStr">
        <is>
          <t>1001608</t>
        </is>
      </c>
      <c r="D373" s="9" t="n">
        <v>15.7</v>
      </c>
      <c r="E373" s="3" t="n"/>
      <c r="F373" s="3" t="n"/>
      <c r="G373" s="9" t="n"/>
      <c r="H373" s="10" t="n">
        <v>45660.26469907408</v>
      </c>
      <c r="I373" s="10" t="n">
        <v>45660.26601851852</v>
      </c>
      <c r="J373" s="10" t="n">
        <v>45660.2687962963</v>
      </c>
      <c r="K373" s="11" t="n">
        <v>0.002777777777777778</v>
      </c>
      <c r="L373" s="13" t="n"/>
    </row>
    <row r="374">
      <c r="A374" s="3" t="inlineStr">
        <is>
          <t>Coupling</t>
        </is>
      </c>
      <c r="B374" s="3" t="inlineStr">
        <is>
          <t>Act_COP_1001609_062427_625</t>
        </is>
      </c>
      <c r="C374" s="3" t="inlineStr">
        <is>
          <t>1001609</t>
        </is>
      </c>
      <c r="D374" s="9" t="n">
        <v>125.9</v>
      </c>
      <c r="E374" s="3" t="n"/>
      <c r="F374" s="3" t="n"/>
      <c r="G374" s="9" t="n"/>
      <c r="H374" s="10" t="n">
        <v>45660.26697916666</v>
      </c>
      <c r="I374" s="10" t="n">
        <v>45660.26783564815</v>
      </c>
      <c r="J374" s="10" t="n">
        <v>45660.27089120371</v>
      </c>
      <c r="K374" s="11" t="n">
        <v>0.003055555555555556</v>
      </c>
      <c r="L374" s="13" t="n"/>
    </row>
    <row r="375">
      <c r="A375" s="3" t="inlineStr">
        <is>
          <t>Coupling</t>
        </is>
      </c>
      <c r="B375" s="3" t="inlineStr">
        <is>
          <t>Act_COP_1001610_062731_627</t>
        </is>
      </c>
      <c r="C375" s="3" t="inlineStr">
        <is>
          <t>1001610</t>
        </is>
      </c>
      <c r="D375" s="9" t="n">
        <v>108.7</v>
      </c>
      <c r="E375" s="3" t="n"/>
      <c r="F375" s="3" t="n"/>
      <c r="G375" s="9" t="n"/>
      <c r="H375" s="10" t="n">
        <v>45660.2691087963</v>
      </c>
      <c r="I375" s="10" t="n">
        <v>45660.27037037037</v>
      </c>
      <c r="J375" s="10" t="n">
        <v>45660.27314814815</v>
      </c>
      <c r="K375" s="11" t="n">
        <v>0.002777777777777778</v>
      </c>
      <c r="L375" s="13" t="n"/>
    </row>
    <row r="376">
      <c r="A376" s="3" t="inlineStr">
        <is>
          <t>Coupling</t>
        </is>
      </c>
      <c r="B376" s="3" t="inlineStr">
        <is>
          <t>Act_COP_1001611_063022_619</t>
        </is>
      </c>
      <c r="C376" s="3" t="inlineStr">
        <is>
          <t>1001611</t>
        </is>
      </c>
      <c r="D376" s="9" t="n">
        <v>27</v>
      </c>
      <c r="E376" s="3" t="n"/>
      <c r="F376" s="3" t="n"/>
      <c r="G376" s="9" t="n"/>
      <c r="H376" s="10" t="n">
        <v>45660.27108796296</v>
      </c>
      <c r="I376" s="10" t="n">
        <v>45660.27258101852</v>
      </c>
      <c r="J376" s="10" t="n">
        <v>45660.27563657407</v>
      </c>
      <c r="K376" s="11" t="n">
        <v>0.003055555555555556</v>
      </c>
      <c r="L376" s="13" t="n"/>
    </row>
    <row r="377">
      <c r="A377" s="3" t="inlineStr">
        <is>
          <t>Coupling</t>
        </is>
      </c>
      <c r="B377" s="3" t="inlineStr">
        <is>
          <t>Act_COP_1001701_064650_623</t>
        </is>
      </c>
      <c r="C377" s="3" t="inlineStr">
        <is>
          <t>1001701</t>
        </is>
      </c>
      <c r="D377" s="9" t="n">
        <v>297</v>
      </c>
      <c r="E377" s="3" t="n"/>
      <c r="F377" s="3" t="n"/>
      <c r="G377" s="9" t="n"/>
      <c r="H377" s="10" t="n">
        <v>45660.28252314815</v>
      </c>
      <c r="I377" s="10" t="n">
        <v>45660.29402777777</v>
      </c>
      <c r="J377" s="10" t="n">
        <v>45660.29708333333</v>
      </c>
      <c r="K377" s="11" t="n">
        <v>0.003055555555555556</v>
      </c>
      <c r="L377" s="13" t="n"/>
    </row>
    <row r="378">
      <c r="A378" s="3" t="inlineStr">
        <is>
          <t>Coupling</t>
        </is>
      </c>
      <c r="B378" s="3" t="inlineStr">
        <is>
          <t>Act_COP_1001801_073814_629</t>
        </is>
      </c>
      <c r="C378" s="3" t="inlineStr">
        <is>
          <t>1001801</t>
        </is>
      </c>
      <c r="D378" s="9" t="n">
        <v>15.7</v>
      </c>
      <c r="E378" s="3" t="n"/>
      <c r="F378" s="3" t="n"/>
      <c r="G378" s="9" t="n"/>
      <c r="H378" s="10" t="n">
        <v>45660.31821759259</v>
      </c>
      <c r="I378" s="10" t="n">
        <v>45660.3190625</v>
      </c>
      <c r="J378" s="10" t="n">
        <v>45660.32211805556</v>
      </c>
      <c r="K378" s="11" t="n">
        <v>0.003055555555555556</v>
      </c>
      <c r="L378" s="13" t="n"/>
    </row>
    <row r="379">
      <c r="A379" s="3" t="inlineStr">
        <is>
          <t>Coupling</t>
        </is>
      </c>
      <c r="B379" s="3" t="inlineStr">
        <is>
          <t>Act_COP_1001805_074735_621</t>
        </is>
      </c>
      <c r="C379" s="3" t="inlineStr">
        <is>
          <t>1001805</t>
        </is>
      </c>
      <c r="D379" s="9" t="n">
        <v>124.4</v>
      </c>
      <c r="E379" s="3" t="n"/>
      <c r="F379" s="3" t="n"/>
      <c r="G379" s="9" t="n"/>
      <c r="H379" s="10" t="n">
        <v>45660.32471064815</v>
      </c>
      <c r="I379" s="10" t="n">
        <v>45660.32554398148</v>
      </c>
      <c r="J379" s="10" t="n">
        <v>45660.32859953704</v>
      </c>
      <c r="K379" s="11" t="n">
        <v>0.003055555555555556</v>
      </c>
      <c r="L379" s="13" t="n"/>
    </row>
    <row r="380">
      <c r="A380" s="3" t="inlineStr">
        <is>
          <t>Coupling</t>
        </is>
      </c>
      <c r="B380" s="3" t="inlineStr">
        <is>
          <t>Act_COP_1001807_075252_607</t>
        </is>
      </c>
      <c r="C380" s="3" t="inlineStr">
        <is>
          <t>1001807</t>
        </is>
      </c>
      <c r="D380" s="9" t="n">
        <v>15.7</v>
      </c>
      <c r="E380" s="3" t="n"/>
      <c r="F380" s="3" t="n"/>
      <c r="G380" s="9" t="n"/>
      <c r="H380" s="10" t="n">
        <v>45660.32837962963</v>
      </c>
      <c r="I380" s="10" t="n">
        <v>45660.32922453704</v>
      </c>
      <c r="J380" s="10" t="n">
        <v>45660.3322800926</v>
      </c>
      <c r="K380" s="11" t="n">
        <v>0.003055555555555556</v>
      </c>
      <c r="L380" s="13" t="n"/>
    </row>
    <row r="381">
      <c r="A381" s="3" t="inlineStr">
        <is>
          <t>Coupling</t>
        </is>
      </c>
      <c r="B381" s="3" t="inlineStr">
        <is>
          <t>Act_COP_1002101_090136_605</t>
        </is>
      </c>
      <c r="C381" s="3" t="inlineStr">
        <is>
          <t>1002101</t>
        </is>
      </c>
      <c r="D381" s="9" t="n">
        <v>131.3</v>
      </c>
      <c r="E381" s="3" t="n"/>
      <c r="F381" s="3" t="n"/>
      <c r="G381" s="9" t="n"/>
      <c r="H381" s="10" t="n">
        <v>45660.37611111111</v>
      </c>
      <c r="I381" s="10" t="n">
        <v>45660.37697916666</v>
      </c>
      <c r="J381" s="10" t="n">
        <v>45660.38003472222</v>
      </c>
      <c r="K381" s="11" t="n">
        <v>0.003055555555555556</v>
      </c>
      <c r="L381" s="13" t="n"/>
    </row>
    <row r="382">
      <c r="A382" s="3" t="inlineStr">
        <is>
          <t>Coupling</t>
        </is>
      </c>
      <c r="B382" s="3" t="inlineStr">
        <is>
          <t>Act_COP_1002102_090451_619</t>
        </is>
      </c>
      <c r="C382" s="3" t="inlineStr">
        <is>
          <t>1002102</t>
        </is>
      </c>
      <c r="D382" s="9" t="n">
        <v>147.8</v>
      </c>
      <c r="E382" s="3" t="n"/>
      <c r="F382" s="3" t="n"/>
      <c r="G382" s="9" t="n"/>
      <c r="H382" s="10" t="n">
        <v>45660.37836805556</v>
      </c>
      <c r="I382" s="10" t="n">
        <v>45660.37914351852</v>
      </c>
      <c r="J382" s="10" t="n">
        <v>45660.3819212963</v>
      </c>
      <c r="K382" s="11" t="n">
        <v>0.002777777777777778</v>
      </c>
      <c r="L382" s="13" t="n"/>
    </row>
    <row r="383">
      <c r="A383" s="3" t="inlineStr">
        <is>
          <t>Coupling</t>
        </is>
      </c>
      <c r="B383" s="3" t="inlineStr">
        <is>
          <t>Act_COP_1002503_153841_613</t>
        </is>
      </c>
      <c r="C383" s="3" t="inlineStr">
        <is>
          <t>1002503</t>
        </is>
      </c>
      <c r="D383" s="9" t="n">
        <v>27</v>
      </c>
      <c r="E383" s="3" t="n"/>
      <c r="F383" s="3" t="n"/>
      <c r="G383" s="9" t="n"/>
      <c r="H383" s="10" t="n">
        <v>45660.65186342593</v>
      </c>
      <c r="I383" s="10" t="n">
        <v>45660.65273148148</v>
      </c>
      <c r="J383" s="10" t="n">
        <v>45660.65578703704</v>
      </c>
      <c r="K383" s="11" t="n">
        <v>0.003055555555555556</v>
      </c>
      <c r="L383" s="13" t="n"/>
    </row>
    <row r="384">
      <c r="A384" s="3" t="inlineStr">
        <is>
          <t>Coupling</t>
        </is>
      </c>
      <c r="B384" s="3" t="inlineStr">
        <is>
          <t>Act_COP_1002504_154130_619</t>
        </is>
      </c>
      <c r="C384" s="3" t="inlineStr">
        <is>
          <t>1002504</t>
        </is>
      </c>
      <c r="D384" s="9" t="n">
        <v>15.7</v>
      </c>
      <c r="E384" s="3" t="n"/>
      <c r="F384" s="3" t="n"/>
      <c r="G384" s="9" t="n"/>
      <c r="H384" s="10" t="n">
        <v>45660.65381944444</v>
      </c>
      <c r="I384" s="10" t="n">
        <v>45660.65466435185</v>
      </c>
      <c r="J384" s="10" t="n">
        <v>45660.65771990741</v>
      </c>
      <c r="K384" s="11" t="n">
        <v>0.003055555555555556</v>
      </c>
      <c r="L384" s="13" t="n"/>
    </row>
    <row r="385">
      <c r="A385" s="3" t="inlineStr">
        <is>
          <t>Coupling</t>
        </is>
      </c>
      <c r="B385" s="3" t="inlineStr">
        <is>
          <t>Act_COP_1002505_154331_611</t>
        </is>
      </c>
      <c r="C385" s="3" t="inlineStr">
        <is>
          <t>1002505</t>
        </is>
      </c>
      <c r="D385" s="9" t="n">
        <v>21</v>
      </c>
      <c r="E385" s="3" t="n"/>
      <c r="F385" s="3" t="n"/>
      <c r="G385" s="9" t="n"/>
      <c r="H385" s="10" t="n">
        <v>45660.65521990741</v>
      </c>
      <c r="I385" s="10" t="n">
        <v>45660.6559837963</v>
      </c>
      <c r="J385" s="10" t="n">
        <v>45660.65876157407</v>
      </c>
      <c r="K385" s="11" t="n">
        <v>0.002777777777777778</v>
      </c>
      <c r="L385" s="13" t="n"/>
    </row>
    <row r="386">
      <c r="A386" s="3" t="inlineStr">
        <is>
          <t>Coupling</t>
        </is>
      </c>
      <c r="B386" s="3" t="inlineStr">
        <is>
          <t>Act_COP_1002507_154906_629</t>
        </is>
      </c>
      <c r="C386" s="3" t="inlineStr">
        <is>
          <t>1002507</t>
        </is>
      </c>
      <c r="D386" s="9" t="n">
        <v>19.9</v>
      </c>
      <c r="E386" s="3" t="n"/>
      <c r="F386" s="3" t="n"/>
      <c r="G386" s="9" t="n"/>
      <c r="H386" s="10" t="n">
        <v>45660.65909722223</v>
      </c>
      <c r="I386" s="10" t="n">
        <v>45660.65994212963</v>
      </c>
      <c r="J386" s="10" t="n">
        <v>45660.66299768518</v>
      </c>
      <c r="K386" s="11" t="n">
        <v>0.003055555555555556</v>
      </c>
      <c r="L386" s="13" t="n"/>
    </row>
    <row r="387">
      <c r="A387" s="3" t="inlineStr">
        <is>
          <t>Coupling</t>
        </is>
      </c>
      <c r="B387" s="3" t="inlineStr">
        <is>
          <t>Act_COP_1002508_155058_617</t>
        </is>
      </c>
      <c r="C387" s="3" t="inlineStr">
        <is>
          <t>1002508</t>
        </is>
      </c>
      <c r="D387" s="9" t="n">
        <v>19.9</v>
      </c>
      <c r="E387" s="3" t="n"/>
      <c r="F387" s="3" t="n"/>
      <c r="G387" s="9" t="n"/>
      <c r="H387" s="10" t="n">
        <v>45660.66039351852</v>
      </c>
      <c r="I387" s="10" t="n">
        <v>45660.66116898148</v>
      </c>
      <c r="J387" s="10" t="n">
        <v>45660.66394675926</v>
      </c>
      <c r="K387" s="11" t="n">
        <v>0.002777777777777778</v>
      </c>
      <c r="L387" s="13" t="n"/>
    </row>
    <row r="388">
      <c r="A388" s="3" t="inlineStr">
        <is>
          <t>Coupling</t>
        </is>
      </c>
      <c r="B388" s="3" t="inlineStr">
        <is>
          <t>Act_COP_1002509_155353_625</t>
        </is>
      </c>
      <c r="C388" s="3" t="inlineStr">
        <is>
          <t>1002509</t>
        </is>
      </c>
      <c r="D388" s="9" t="n">
        <v>15.7</v>
      </c>
      <c r="E388" s="3" t="n"/>
      <c r="F388" s="3" t="n"/>
      <c r="G388" s="9" t="n"/>
      <c r="H388" s="10" t="n">
        <v>45660.66241898148</v>
      </c>
      <c r="I388" s="10" t="n">
        <v>45660.66328703704</v>
      </c>
      <c r="J388" s="10" t="n">
        <v>45660.66634259259</v>
      </c>
      <c r="K388" s="11" t="n">
        <v>0.003055555555555556</v>
      </c>
      <c r="L388" s="13" t="n"/>
    </row>
    <row r="389">
      <c r="A389" s="3" t="inlineStr">
        <is>
          <t>Coupling</t>
        </is>
      </c>
      <c r="B389" s="3" t="inlineStr">
        <is>
          <t>Act_COP_1002510_155553_617</t>
        </is>
      </c>
      <c r="C389" s="3" t="inlineStr">
        <is>
          <t>1002510</t>
        </is>
      </c>
      <c r="D389" s="9" t="n">
        <v>59.7</v>
      </c>
      <c r="E389" s="3" t="n"/>
      <c r="F389" s="3" t="n"/>
      <c r="G389" s="9" t="n"/>
      <c r="H389" s="10" t="n">
        <v>45660.66380787037</v>
      </c>
      <c r="I389" s="10" t="n">
        <v>45660.66467592592</v>
      </c>
      <c r="J389" s="10" t="n">
        <v>45660.66773148148</v>
      </c>
      <c r="K389" s="11" t="n">
        <v>0.003055555555555556</v>
      </c>
      <c r="L389" s="13" t="n"/>
    </row>
    <row r="390">
      <c r="A390" s="3" t="inlineStr">
        <is>
          <t>Coupling</t>
        </is>
      </c>
      <c r="B390" s="3" t="inlineStr">
        <is>
          <t>Act_COP_1002601_160240_605</t>
        </is>
      </c>
      <c r="C390" s="3" t="inlineStr">
        <is>
          <t>1002601</t>
        </is>
      </c>
      <c r="D390" s="9" t="n">
        <v>63</v>
      </c>
      <c r="E390" s="3" t="n"/>
      <c r="F390" s="3" t="n"/>
      <c r="G390" s="9" t="n"/>
      <c r="H390" s="10" t="n">
        <v>45660.66851851852</v>
      </c>
      <c r="I390" s="10" t="n">
        <v>45660.66929398148</v>
      </c>
      <c r="J390" s="10" t="n">
        <v>45660.67207175926</v>
      </c>
      <c r="K390" s="11" t="n">
        <v>0.002777777777777778</v>
      </c>
      <c r="L390" s="13" t="n"/>
    </row>
    <row r="391">
      <c r="A391" s="3" t="inlineStr">
        <is>
          <t>Coupling</t>
        </is>
      </c>
      <c r="B391" s="3" t="inlineStr">
        <is>
          <t>Act_COP_1002801_202711_629</t>
        </is>
      </c>
      <c r="C391" s="3" t="inlineStr">
        <is>
          <t>1002801</t>
        </is>
      </c>
      <c r="D391" s="9" t="n">
        <v>58.9</v>
      </c>
      <c r="E391" s="3" t="n"/>
      <c r="F391" s="3" t="n"/>
      <c r="G391" s="9" t="n"/>
      <c r="H391" s="10" t="n">
        <v>45660.85221064815</v>
      </c>
      <c r="I391" s="10" t="n">
        <v>45660.85297453704</v>
      </c>
      <c r="J391" s="10" t="n">
        <v>45660.85575231481</v>
      </c>
      <c r="K391" s="11" t="n">
        <v>0.002777777777777778</v>
      </c>
      <c r="L391" s="13" t="n"/>
    </row>
    <row r="392">
      <c r="A392" s="3" t="inlineStr">
        <is>
          <t>Coupling</t>
        </is>
      </c>
      <c r="B392" s="3" t="inlineStr">
        <is>
          <t>Act_COP_1002802_202948_621</t>
        </is>
      </c>
      <c r="C392" s="3" t="inlineStr">
        <is>
          <t>1002802</t>
        </is>
      </c>
      <c r="D392" s="9" t="n">
        <v>19.9</v>
      </c>
      <c r="E392" s="3" t="n"/>
      <c r="F392" s="3" t="n"/>
      <c r="G392" s="9" t="n"/>
      <c r="H392" s="10" t="n">
        <v>45660.85402777778</v>
      </c>
      <c r="I392" s="10" t="n">
        <v>45660.85489583333</v>
      </c>
      <c r="J392" s="10" t="n">
        <v>45660.85795138889</v>
      </c>
      <c r="K392" s="11" t="n">
        <v>0.003055555555555556</v>
      </c>
      <c r="L392" s="13" t="n"/>
    </row>
    <row r="393">
      <c r="A393" s="3" t="inlineStr">
        <is>
          <t>Coupling</t>
        </is>
      </c>
      <c r="B393" s="3" t="inlineStr">
        <is>
          <t>Act_COP_1002803_203150_613</t>
        </is>
      </c>
      <c r="C393" s="3" t="inlineStr">
        <is>
          <t>1002803</t>
        </is>
      </c>
      <c r="D393" s="9" t="n">
        <v>135</v>
      </c>
      <c r="E393" s="3" t="n"/>
      <c r="F393" s="3" t="n"/>
      <c r="G393" s="9" t="n"/>
      <c r="H393" s="10" t="n">
        <v>45660.85543981481</v>
      </c>
      <c r="I393" s="10" t="n">
        <v>45660.85628472222</v>
      </c>
      <c r="J393" s="10" t="n">
        <v>45660.85934027778</v>
      </c>
      <c r="K393" s="11" t="n">
        <v>0.003055555555555556</v>
      </c>
      <c r="L393" s="13" t="n"/>
    </row>
    <row r="394">
      <c r="A394" s="3" t="inlineStr">
        <is>
          <t>Coupling</t>
        </is>
      </c>
      <c r="B394" s="3" t="inlineStr">
        <is>
          <t>Act_COP_1002805_203737_619</t>
        </is>
      </c>
      <c r="C394" s="3" t="inlineStr">
        <is>
          <t>1002805</t>
        </is>
      </c>
      <c r="D394" s="9" t="n">
        <v>141.7</v>
      </c>
      <c r="E394" s="3" t="n"/>
      <c r="F394" s="3" t="n"/>
      <c r="G394" s="9" t="n"/>
      <c r="H394" s="10" t="n">
        <v>45660.85945601852</v>
      </c>
      <c r="I394" s="10" t="n">
        <v>45660.86103009259</v>
      </c>
      <c r="J394" s="10" t="n">
        <v>45660.86408564815</v>
      </c>
      <c r="K394" s="11" t="n">
        <v>0.003055555555555556</v>
      </c>
      <c r="L394" s="13" t="n"/>
    </row>
    <row r="395">
      <c r="A395" s="3" t="inlineStr">
        <is>
          <t>Coupling</t>
        </is>
      </c>
      <c r="B395" s="3" t="inlineStr">
        <is>
          <t>Act_COP_1002806_204028_627</t>
        </is>
      </c>
      <c r="C395" s="3" t="inlineStr">
        <is>
          <t>1002806</t>
        </is>
      </c>
      <c r="D395" s="9" t="n">
        <v>108.7</v>
      </c>
      <c r="E395" s="3" t="n"/>
      <c r="F395" s="3" t="n"/>
      <c r="G395" s="9" t="n"/>
      <c r="H395" s="10" t="n">
        <v>45660.86143518519</v>
      </c>
      <c r="I395" s="10" t="n">
        <v>45660.86221064815</v>
      </c>
      <c r="J395" s="10" t="n">
        <v>45660.86498842593</v>
      </c>
      <c r="K395" s="11" t="n">
        <v>0.002777777777777778</v>
      </c>
      <c r="L395" s="13" t="n"/>
    </row>
    <row r="396">
      <c r="A396" s="3" t="inlineStr">
        <is>
          <t>Coupling</t>
        </is>
      </c>
      <c r="B396" s="3" t="inlineStr">
        <is>
          <t>Act_COP_1002807_204239_607</t>
        </is>
      </c>
      <c r="C396" s="3" t="inlineStr">
        <is>
          <t>1002807</t>
        </is>
      </c>
      <c r="D396" s="9" t="n">
        <v>33.9</v>
      </c>
      <c r="E396" s="3" t="n"/>
      <c r="F396" s="3" t="n"/>
      <c r="G396" s="9" t="n"/>
      <c r="H396" s="10" t="n">
        <v>45660.86295138889</v>
      </c>
      <c r="I396" s="10" t="n">
        <v>45660.86577546296</v>
      </c>
      <c r="J396" s="10" t="n">
        <v>45660.86883101852</v>
      </c>
      <c r="K396" s="11" t="n">
        <v>0.003055555555555556</v>
      </c>
      <c r="L396" s="13" t="n"/>
    </row>
    <row r="397">
      <c r="A397" s="3" t="inlineStr">
        <is>
          <t>Coupling</t>
        </is>
      </c>
      <c r="B397" s="3" t="inlineStr">
        <is>
          <t>Act_COP_1002808_204427_611</t>
        </is>
      </c>
      <c r="C397" s="3" t="inlineStr">
        <is>
          <t>1002808</t>
        </is>
      </c>
      <c r="D397" s="9" t="n">
        <v>19.9</v>
      </c>
      <c r="E397" s="3" t="n"/>
      <c r="F397" s="3" t="n"/>
      <c r="G397" s="9" t="n"/>
      <c r="H397" s="10" t="n">
        <v>45660.86420138889</v>
      </c>
      <c r="I397" s="10" t="n">
        <v>45660.86652777778</v>
      </c>
      <c r="J397" s="10" t="n">
        <v>45660.86930555556</v>
      </c>
      <c r="K397" s="11" t="n">
        <v>0.002777777777777778</v>
      </c>
      <c r="L397" s="13" t="n"/>
    </row>
    <row r="398">
      <c r="A398" s="3" t="inlineStr">
        <is>
          <t>Coupling</t>
        </is>
      </c>
      <c r="B398" s="3" t="inlineStr">
        <is>
          <t>Act_COP_1002904_213952_619</t>
        </is>
      </c>
      <c r="C398" s="3" t="inlineStr">
        <is>
          <t>1002904</t>
        </is>
      </c>
      <c r="D398" s="9" t="n">
        <v>78</v>
      </c>
      <c r="E398" s="3" t="n"/>
      <c r="F398" s="3" t="n"/>
      <c r="G398" s="9" t="n"/>
      <c r="H398" s="10" t="n">
        <v>45660.90268518519</v>
      </c>
      <c r="I398" s="10" t="n">
        <v>45660.90590277778</v>
      </c>
      <c r="J398" s="10" t="n">
        <v>45660.90895833333</v>
      </c>
      <c r="K398" s="11" t="n">
        <v>0.003055555555555556</v>
      </c>
      <c r="L398" s="13" t="n"/>
    </row>
    <row r="399">
      <c r="A399" s="3" t="inlineStr">
        <is>
          <t>Coupling</t>
        </is>
      </c>
      <c r="B399" s="3" t="inlineStr">
        <is>
          <t>Act_COP_1002907_214404_611</t>
        </is>
      </c>
      <c r="C399" s="3" t="inlineStr">
        <is>
          <t>1002907</t>
        </is>
      </c>
      <c r="D399" s="9" t="n">
        <v>16.5</v>
      </c>
      <c r="E399" s="3" t="n"/>
      <c r="F399" s="3" t="n"/>
      <c r="G399" s="9" t="n"/>
      <c r="H399" s="10" t="n">
        <v>45660.90560185185</v>
      </c>
      <c r="I399" s="10" t="n">
        <v>45660.91064814815</v>
      </c>
      <c r="J399" s="10" t="n">
        <v>45660.91370370371</v>
      </c>
      <c r="K399" s="11" t="n">
        <v>0.003055555555555556</v>
      </c>
      <c r="L399" s="13" t="n"/>
    </row>
    <row r="400">
      <c r="A400" s="3" t="inlineStr">
        <is>
          <t>Coupling</t>
        </is>
      </c>
      <c r="B400" s="3" t="inlineStr">
        <is>
          <t>Act_COP_1002908_214642_623</t>
        </is>
      </c>
      <c r="C400" s="3" t="inlineStr">
        <is>
          <t>1002908</t>
        </is>
      </c>
      <c r="D400" s="9" t="n">
        <v>61.9</v>
      </c>
      <c r="E400" s="3" t="n"/>
      <c r="F400" s="3" t="n"/>
      <c r="G400" s="9" t="n"/>
      <c r="H400" s="10" t="n">
        <v>45660.90743055556</v>
      </c>
      <c r="I400" s="10" t="n">
        <v>45660.91133101852</v>
      </c>
      <c r="J400" s="10" t="n">
        <v>45660.9141087963</v>
      </c>
      <c r="K400" s="11" t="n">
        <v>0.002777777777777778</v>
      </c>
      <c r="L400" s="13" t="n"/>
    </row>
    <row r="401">
      <c r="A401" s="3" t="inlineStr">
        <is>
          <t>Coupling</t>
        </is>
      </c>
      <c r="B401" s="3" t="inlineStr">
        <is>
          <t>Act_COP_1002906_214805_617</t>
        </is>
      </c>
      <c r="C401" s="3" t="inlineStr">
        <is>
          <t>1002906</t>
        </is>
      </c>
      <c r="D401" s="9" t="n">
        <v>81</v>
      </c>
      <c r="E401" s="3" t="n"/>
      <c r="F401" s="3" t="n"/>
      <c r="G401" s="9" t="n"/>
      <c r="H401" s="10" t="n">
        <v>45660.9083912037</v>
      </c>
      <c r="I401" s="10" t="n">
        <v>45660.91158564815</v>
      </c>
      <c r="J401" s="10" t="n">
        <v>45660.9146412037</v>
      </c>
      <c r="K401" s="11" t="n">
        <v>0.003055555555555556</v>
      </c>
      <c r="L401" s="13" t="n"/>
    </row>
    <row r="402">
      <c r="A402" s="3" t="inlineStr">
        <is>
          <t>Coupling</t>
        </is>
      </c>
      <c r="B402" s="3" t="inlineStr">
        <is>
          <t>Act_COP_1002909_214930_621</t>
        </is>
      </c>
      <c r="C402" s="3" t="inlineStr">
        <is>
          <t>1002909</t>
        </is>
      </c>
      <c r="D402" s="9" t="n">
        <v>19.9</v>
      </c>
      <c r="E402" s="3" t="n"/>
      <c r="F402" s="3" t="n"/>
      <c r="G402" s="9" t="n"/>
      <c r="H402" s="10" t="n">
        <v>45660.909375</v>
      </c>
      <c r="I402" s="10" t="n">
        <v>45660.91164351852</v>
      </c>
      <c r="J402" s="10" t="n">
        <v>45660.91469907408</v>
      </c>
      <c r="K402" s="11" t="n">
        <v>0.003055555555555556</v>
      </c>
      <c r="L402" s="13" t="n"/>
    </row>
    <row r="403">
      <c r="A403" s="3" t="inlineStr">
        <is>
          <t>Coupling</t>
        </is>
      </c>
      <c r="B403" s="3" t="inlineStr">
        <is>
          <t>Act_COP_1002910_215126_615</t>
        </is>
      </c>
      <c r="C403" s="3" t="inlineStr">
        <is>
          <t>1002910</t>
        </is>
      </c>
      <c r="D403" s="9" t="n">
        <v>110.2</v>
      </c>
      <c r="E403" s="3" t="n"/>
      <c r="F403" s="3" t="n"/>
      <c r="G403" s="9" t="n"/>
      <c r="H403" s="10" t="n">
        <v>45660.91071759259</v>
      </c>
      <c r="I403" s="10" t="n">
        <v>45660.91540509259</v>
      </c>
      <c r="J403" s="10" t="n">
        <v>45660.91846064815</v>
      </c>
      <c r="K403" s="11" t="n">
        <v>0.003055555555555556</v>
      </c>
      <c r="L403" s="13" t="n"/>
    </row>
    <row r="404">
      <c r="A404" s="3" t="inlineStr">
        <is>
          <t>Coupling</t>
        </is>
      </c>
      <c r="B404" s="3" t="inlineStr">
        <is>
          <t>Act_COP_1002911_215328_611</t>
        </is>
      </c>
      <c r="C404" s="3" t="inlineStr">
        <is>
          <t>1002911</t>
        </is>
      </c>
      <c r="D404" s="9" t="n">
        <v>36.4</v>
      </c>
      <c r="E404" s="3" t="n"/>
      <c r="F404" s="3" t="n"/>
      <c r="G404" s="9" t="n"/>
      <c r="H404" s="10" t="n">
        <v>45660.91212962963</v>
      </c>
      <c r="I404" s="10" t="n">
        <v>45660.91564814815</v>
      </c>
      <c r="J404" s="10" t="n">
        <v>45660.91842592593</v>
      </c>
      <c r="K404" s="11" t="n">
        <v>0.002777777777777778</v>
      </c>
      <c r="L404" s="13" t="n"/>
    </row>
    <row r="405">
      <c r="A405" s="3" t="inlineStr">
        <is>
          <t>Coupling</t>
        </is>
      </c>
      <c r="B405" s="3" t="inlineStr">
        <is>
          <t>Act_COP_1002912_215811_615</t>
        </is>
      </c>
      <c r="C405" s="3" t="inlineStr">
        <is>
          <t>1002912</t>
        </is>
      </c>
      <c r="D405" s="9" t="n">
        <v>19.9</v>
      </c>
      <c r="E405" s="3" t="n"/>
      <c r="F405" s="3" t="n"/>
      <c r="G405" s="9" t="n"/>
      <c r="H405" s="10" t="n">
        <v>45660.91540509259</v>
      </c>
      <c r="I405" s="10" t="n">
        <v>45660.91630787037</v>
      </c>
      <c r="J405" s="10" t="n">
        <v>45660.91936342593</v>
      </c>
      <c r="K405" s="11" t="n">
        <v>0.003055555555555556</v>
      </c>
      <c r="L405" s="13" t="n"/>
    </row>
    <row r="406">
      <c r="A406" s="3" t="inlineStr">
        <is>
          <t>Coupling</t>
        </is>
      </c>
      <c r="B406" s="3" t="inlineStr">
        <is>
          <t>Act_COP_1003102_175606_619</t>
        </is>
      </c>
      <c r="C406" s="3" t="inlineStr">
        <is>
          <t>1003102</t>
        </is>
      </c>
      <c r="D406" s="9" t="n">
        <v>342.6</v>
      </c>
      <c r="E406" s="3" t="n"/>
      <c r="F406" s="3" t="n"/>
      <c r="G406" s="9" t="n"/>
      <c r="H406" s="10" t="n">
        <v>45662.74729166667</v>
      </c>
      <c r="I406" s="10" t="n">
        <v>45662.74813657408</v>
      </c>
      <c r="J406" s="10" t="n">
        <v>45662.75119212963</v>
      </c>
      <c r="K406" s="11" t="n">
        <v>0.003055555555555556</v>
      </c>
      <c r="L406" s="13" t="n"/>
    </row>
    <row r="407">
      <c r="A407" s="3" t="inlineStr">
        <is>
          <t>Coupling</t>
        </is>
      </c>
      <c r="B407" s="3" t="inlineStr">
        <is>
          <t>Act_COP_1003103_175811_613</t>
        </is>
      </c>
      <c r="C407" s="3" t="inlineStr">
        <is>
          <t>1003103</t>
        </is>
      </c>
      <c r="D407" s="9" t="n">
        <v>98.3</v>
      </c>
      <c r="E407" s="3" t="n"/>
      <c r="F407" s="3" t="n"/>
      <c r="G407" s="9" t="n"/>
      <c r="H407" s="10" t="n">
        <v>45662.74873842593</v>
      </c>
      <c r="I407" s="10" t="n">
        <v>45662.74960648148</v>
      </c>
      <c r="J407" s="10" t="n">
        <v>45662.75266203703</v>
      </c>
      <c r="K407" s="11" t="n">
        <v>0.003055555555555556</v>
      </c>
      <c r="L407" s="13" t="n"/>
    </row>
    <row r="408">
      <c r="A408" s="3" t="inlineStr">
        <is>
          <t>Coupling</t>
        </is>
      </c>
      <c r="B408" s="3" t="inlineStr">
        <is>
          <t>Act_COP_1003401_030308_627</t>
        </is>
      </c>
      <c r="C408" s="3" t="inlineStr">
        <is>
          <t>1003401</t>
        </is>
      </c>
      <c r="D408" s="9" t="n">
        <v>19.9</v>
      </c>
      <c r="E408" s="3" t="n"/>
      <c r="F408" s="3" t="n"/>
      <c r="G408" s="9" t="n"/>
      <c r="H408" s="10" t="n">
        <v>45664.12717592593</v>
      </c>
      <c r="I408" s="10" t="n">
        <v>45664.12804398148</v>
      </c>
      <c r="J408" s="10" t="n">
        <v>45664.13109953704</v>
      </c>
      <c r="K408" s="11" t="n">
        <v>0.003055555555555556</v>
      </c>
      <c r="L408" s="13" t="n"/>
    </row>
    <row r="409">
      <c r="A409" s="3" t="inlineStr">
        <is>
          <t>Coupling</t>
        </is>
      </c>
      <c r="B409" s="3" t="inlineStr">
        <is>
          <t>Act_COP_1003402_030606_625</t>
        </is>
      </c>
      <c r="C409" s="3" t="inlineStr">
        <is>
          <t>1003402</t>
        </is>
      </c>
      <c r="D409" s="9" t="n">
        <v>31.5</v>
      </c>
      <c r="E409" s="3" t="n"/>
      <c r="F409" s="3" t="n"/>
      <c r="G409" s="9" t="n"/>
      <c r="H409" s="10" t="n">
        <v>45664.12923611111</v>
      </c>
      <c r="I409" s="10" t="n">
        <v>45664.13002314815</v>
      </c>
      <c r="J409" s="10" t="n">
        <v>45664.13280092592</v>
      </c>
      <c r="K409" s="11" t="n">
        <v>0.002777777777777778</v>
      </c>
      <c r="L409" s="13" t="n"/>
    </row>
    <row r="410">
      <c r="A410" s="3" t="inlineStr">
        <is>
          <t>Coupling</t>
        </is>
      </c>
      <c r="B410" s="3" t="inlineStr">
        <is>
          <t>Act_COP_1003403_030851_627</t>
        </is>
      </c>
      <c r="C410" s="3" t="inlineStr">
        <is>
          <t>1003403</t>
        </is>
      </c>
      <c r="D410" s="9" t="n">
        <v>12</v>
      </c>
      <c r="E410" s="3" t="n"/>
      <c r="F410" s="3" t="n"/>
      <c r="G410" s="9" t="n"/>
      <c r="H410" s="10" t="n">
        <v>45664.13114583334</v>
      </c>
      <c r="I410" s="10" t="n">
        <v>45664.13197916667</v>
      </c>
      <c r="J410" s="10" t="n">
        <v>45664.13503472223</v>
      </c>
      <c r="K410" s="11" t="n">
        <v>0.003055555555555556</v>
      </c>
      <c r="L410" s="13" t="n"/>
    </row>
    <row r="411">
      <c r="A411" s="3" t="inlineStr">
        <is>
          <t>Coupling</t>
        </is>
      </c>
      <c r="B411" s="3" t="inlineStr">
        <is>
          <t>Act_COP_1003404_031156_623</t>
        </is>
      </c>
      <c r="C411" s="3" t="inlineStr">
        <is>
          <t>1003404</t>
        </is>
      </c>
      <c r="D411" s="9" t="n">
        <v>184.6</v>
      </c>
      <c r="E411" s="3" t="n"/>
      <c r="F411" s="3" t="n"/>
      <c r="G411" s="9" t="n"/>
      <c r="H411" s="10" t="n">
        <v>45664.13328703704</v>
      </c>
      <c r="I411" s="10" t="n">
        <v>45664.13415509259</v>
      </c>
      <c r="J411" s="10" t="n">
        <v>45664.13721064815</v>
      </c>
      <c r="K411" s="11" t="n">
        <v>0.003055555555555556</v>
      </c>
      <c r="L411" s="13" t="n"/>
    </row>
    <row r="412">
      <c r="A412" s="3" t="inlineStr">
        <is>
          <t>Coupling</t>
        </is>
      </c>
      <c r="B412" s="3" t="inlineStr">
        <is>
          <t>Act_COP_1003405_031342_615</t>
        </is>
      </c>
      <c r="C412" s="3" t="inlineStr">
        <is>
          <t>1003405</t>
        </is>
      </c>
      <c r="D412" s="9" t="n">
        <v>43.1</v>
      </c>
      <c r="E412" s="3" t="n"/>
      <c r="F412" s="3" t="n"/>
      <c r="G412" s="9" t="n"/>
      <c r="H412" s="10" t="n">
        <v>45664.13451388889</v>
      </c>
      <c r="I412" s="10" t="n">
        <v>45664.13530092593</v>
      </c>
      <c r="J412" s="10" t="n">
        <v>45664.13807870371</v>
      </c>
      <c r="K412" s="11" t="n">
        <v>0.002777777777777778</v>
      </c>
      <c r="L412" s="13" t="n"/>
    </row>
    <row r="413">
      <c r="A413" s="3" t="inlineStr">
        <is>
          <t>Coupling</t>
        </is>
      </c>
      <c r="B413" s="3" t="inlineStr">
        <is>
          <t>Act_COP_1003601_074659_627</t>
        </is>
      </c>
      <c r="C413" s="3" t="inlineStr">
        <is>
          <t>1003601</t>
        </is>
      </c>
      <c r="D413" s="9" t="n">
        <v>21</v>
      </c>
      <c r="E413" s="3" t="n"/>
      <c r="F413" s="3" t="n"/>
      <c r="G413" s="9" t="n"/>
      <c r="H413" s="10" t="n">
        <v>45664.32429398148</v>
      </c>
      <c r="I413" s="10" t="n">
        <v>45664.32512731481</v>
      </c>
      <c r="J413" s="10" t="n">
        <v>45664.32818287037</v>
      </c>
      <c r="K413" s="11" t="n">
        <v>0.003055555555555556</v>
      </c>
      <c r="L413" s="13" t="n"/>
    </row>
    <row r="414">
      <c r="A414" s="3" t="inlineStr">
        <is>
          <t>Coupling</t>
        </is>
      </c>
      <c r="B414" s="3" t="inlineStr">
        <is>
          <t>Act_COP_1003602_074933_605</t>
        </is>
      </c>
      <c r="C414" s="3" t="inlineStr">
        <is>
          <t>1003602</t>
        </is>
      </c>
      <c r="D414" s="9" t="n">
        <v>39.8</v>
      </c>
      <c r="E414" s="3" t="n"/>
      <c r="F414" s="3" t="n"/>
      <c r="G414" s="9" t="n"/>
      <c r="H414" s="10" t="n">
        <v>45664.32607638889</v>
      </c>
      <c r="I414" s="10" t="n">
        <v>45664.32694444444</v>
      </c>
      <c r="J414" s="10" t="n">
        <v>45664.33</v>
      </c>
      <c r="K414" s="11" t="n">
        <v>0.003055555555555556</v>
      </c>
      <c r="L414" s="13" t="n"/>
    </row>
    <row r="415">
      <c r="A415" s="3" t="inlineStr">
        <is>
          <t>Coupling</t>
        </is>
      </c>
      <c r="B415" s="3" t="inlineStr">
        <is>
          <t>Act_COP_1003603_075126_617</t>
        </is>
      </c>
      <c r="C415" s="3" t="inlineStr">
        <is>
          <t>1003603</t>
        </is>
      </c>
      <c r="D415" s="9" t="n">
        <v>27</v>
      </c>
      <c r="E415" s="3" t="n"/>
      <c r="F415" s="3" t="n"/>
      <c r="G415" s="9" t="n"/>
      <c r="H415" s="10" t="n">
        <v>45664.32738425926</v>
      </c>
      <c r="I415" s="10" t="n">
        <v>45664.32986111111</v>
      </c>
      <c r="J415" s="10" t="n">
        <v>45664.33291666667</v>
      </c>
      <c r="K415" s="11" t="n">
        <v>0.003055555555555556</v>
      </c>
      <c r="L415" s="13" t="n"/>
    </row>
    <row r="416">
      <c r="A416" s="3" t="inlineStr">
        <is>
          <t>Coupling</t>
        </is>
      </c>
      <c r="B416" s="3" t="inlineStr">
        <is>
          <t>Act_COP_1003604_075500_617</t>
        </is>
      </c>
      <c r="C416" s="3" t="inlineStr">
        <is>
          <t>1003604</t>
        </is>
      </c>
      <c r="D416" s="9" t="n">
        <v>90.40000000000001</v>
      </c>
      <c r="E416" s="3" t="n"/>
      <c r="F416" s="3" t="n"/>
      <c r="G416" s="9" t="n"/>
      <c r="H416" s="10" t="n">
        <v>45664.32986111111</v>
      </c>
      <c r="I416" s="10" t="n">
        <v>45664.33173611111</v>
      </c>
      <c r="J416" s="10" t="n">
        <v>45664.33479166667</v>
      </c>
      <c r="K416" s="11" t="n">
        <v>0.003055555555555556</v>
      </c>
      <c r="L416" s="13" t="n"/>
    </row>
    <row r="417">
      <c r="A417" s="3" t="inlineStr">
        <is>
          <t>Coupling</t>
        </is>
      </c>
      <c r="B417" s="3" t="inlineStr">
        <is>
          <t>Act_COP_1003902_083721_625</t>
        </is>
      </c>
      <c r="C417" s="3" t="inlineStr">
        <is>
          <t>1003902</t>
        </is>
      </c>
      <c r="D417" s="9" t="n">
        <v>112.5</v>
      </c>
      <c r="E417" s="3" t="n"/>
      <c r="F417" s="3" t="n"/>
      <c r="G417" s="9" t="n"/>
      <c r="H417" s="10" t="n">
        <v>45664.35927083333</v>
      </c>
      <c r="I417" s="10" t="n">
        <v>45664.36204861111</v>
      </c>
      <c r="J417" s="10" t="n">
        <v>45664.36510416667</v>
      </c>
      <c r="K417" s="11" t="n">
        <v>0.003055555555555556</v>
      </c>
      <c r="L417" s="13" t="n"/>
    </row>
    <row r="418">
      <c r="A418" s="3" t="inlineStr">
        <is>
          <t>Coupling</t>
        </is>
      </c>
      <c r="B418" s="3" t="inlineStr">
        <is>
          <t>Act_COP_1004002_090127_613</t>
        </is>
      </c>
      <c r="C418" s="3" t="inlineStr">
        <is>
          <t>1004002</t>
        </is>
      </c>
      <c r="D418" s="9" t="n">
        <v>15.7</v>
      </c>
      <c r="E418" s="3" t="n"/>
      <c r="F418" s="3" t="n"/>
      <c r="G418" s="9" t="n"/>
      <c r="H418" s="10" t="n">
        <v>45664.37600694445</v>
      </c>
      <c r="I418" s="10" t="n">
        <v>45664.39251157407</v>
      </c>
      <c r="J418" s="10" t="n">
        <v>45664.39556712963</v>
      </c>
      <c r="K418" s="11" t="n">
        <v>0.003055555555555556</v>
      </c>
      <c r="L418" s="13" t="n"/>
    </row>
    <row r="419">
      <c r="A419" s="3" t="inlineStr">
        <is>
          <t>Coupling</t>
        </is>
      </c>
      <c r="B419" s="3" t="inlineStr">
        <is>
          <t>Act_COP_1004004_090543_623</t>
        </is>
      </c>
      <c r="C419" s="3" t="inlineStr">
        <is>
          <t>1004004</t>
        </is>
      </c>
      <c r="D419" s="9" t="n">
        <v>15.7</v>
      </c>
      <c r="E419" s="3" t="n"/>
      <c r="F419" s="3" t="n"/>
      <c r="G419" s="9" t="n"/>
      <c r="H419" s="10" t="n">
        <v>45664.3789699074</v>
      </c>
      <c r="I419" s="10" t="n">
        <v>45664.39725694444</v>
      </c>
      <c r="J419" s="10" t="n">
        <v>45664.4003125</v>
      </c>
      <c r="K419" s="11" t="n">
        <v>0.003055555555555556</v>
      </c>
      <c r="L419" s="13" t="n"/>
    </row>
    <row r="420">
      <c r="A420" s="3" t="inlineStr">
        <is>
          <t>Coupling</t>
        </is>
      </c>
      <c r="B420" s="3" t="inlineStr">
        <is>
          <t>Act_COP_1004005_090811_605</t>
        </is>
      </c>
      <c r="C420" s="3" t="inlineStr">
        <is>
          <t>1004005</t>
        </is>
      </c>
      <c r="D420" s="9" t="n">
        <v>19.9</v>
      </c>
      <c r="E420" s="3" t="n"/>
      <c r="F420" s="3" t="n"/>
      <c r="G420" s="9" t="n"/>
      <c r="H420" s="10" t="n">
        <v>45664.38068287037</v>
      </c>
      <c r="I420" s="10" t="n">
        <v>45664.39833333333</v>
      </c>
      <c r="J420" s="10" t="n">
        <v>45664.40111111111</v>
      </c>
      <c r="K420" s="11" t="n">
        <v>0.002777777777777778</v>
      </c>
      <c r="L420" s="13" t="n"/>
    </row>
    <row r="421">
      <c r="A421" s="3" t="inlineStr">
        <is>
          <t>Coupling</t>
        </is>
      </c>
      <c r="B421" s="3" t="inlineStr">
        <is>
          <t>Act_COP_1004008_092513_613</t>
        </is>
      </c>
      <c r="C421" s="3" t="inlineStr">
        <is>
          <t>1004008</t>
        </is>
      </c>
      <c r="D421" s="9" t="n">
        <v>21</v>
      </c>
      <c r="E421" s="3" t="n"/>
      <c r="F421" s="3" t="n"/>
      <c r="G421" s="9" t="n"/>
      <c r="H421" s="10" t="n">
        <v>45664.39251157407</v>
      </c>
      <c r="I421" s="10" t="n">
        <v>45664.40523148148</v>
      </c>
      <c r="J421" s="10" t="n">
        <v>45664.40828703704</v>
      </c>
      <c r="K421" s="11" t="n">
        <v>0.003055555555555556</v>
      </c>
      <c r="L421" s="13" t="n"/>
    </row>
    <row r="422">
      <c r="A422" s="3" t="inlineStr">
        <is>
          <t>Coupling</t>
        </is>
      </c>
      <c r="B422" s="3" t="inlineStr">
        <is>
          <t>Act_COP_1004201_131316_625</t>
        </is>
      </c>
      <c r="C422" s="3" t="inlineStr">
        <is>
          <t>1004201</t>
        </is>
      </c>
      <c r="D422" s="9" t="n">
        <v>192.5</v>
      </c>
      <c r="E422" s="3" t="n"/>
      <c r="F422" s="3" t="n"/>
      <c r="G422" s="9" t="n"/>
      <c r="H422" s="10" t="n">
        <v>45664.55087962963</v>
      </c>
      <c r="I422" s="10" t="n">
        <v>45664.55167824074</v>
      </c>
      <c r="J422" s="10" t="n">
        <v>45664.55445601852</v>
      </c>
      <c r="K422" s="11" t="n">
        <v>0.002777777777777778</v>
      </c>
      <c r="L422" s="13" t="n"/>
    </row>
    <row r="423">
      <c r="A423" s="3" t="inlineStr">
        <is>
          <t>Coupling</t>
        </is>
      </c>
      <c r="B423" s="3" t="inlineStr">
        <is>
          <t>Act_COP_1004402_153154_606</t>
        </is>
      </c>
      <c r="C423" s="3" t="inlineStr">
        <is>
          <t>1004402</t>
        </is>
      </c>
      <c r="D423" s="9" t="n">
        <v>15.7</v>
      </c>
      <c r="E423" s="3" t="n"/>
      <c r="F423" s="3" t="n"/>
      <c r="G423" s="9" t="n"/>
      <c r="H423" s="10" t="n">
        <v>45664.64715277778</v>
      </c>
      <c r="I423" s="10" t="n">
        <v>45664.64802083333</v>
      </c>
      <c r="J423" s="10" t="n">
        <v>45664.65107638889</v>
      </c>
      <c r="K423" s="11" t="n">
        <v>0.003055555555555556</v>
      </c>
      <c r="L423" s="13" t="n"/>
    </row>
    <row r="424">
      <c r="A424" s="3" t="inlineStr">
        <is>
          <t>Coupling</t>
        </is>
      </c>
      <c r="B424" s="3" t="inlineStr">
        <is>
          <t>Act_COP_1004404_153627_629</t>
        </is>
      </c>
      <c r="C424" s="3" t="inlineStr">
        <is>
          <t>1004404</t>
        </is>
      </c>
      <c r="D424" s="9" t="n">
        <v>54</v>
      </c>
      <c r="E424" s="3" t="n"/>
      <c r="F424" s="3" t="n"/>
      <c r="G424" s="9" t="n"/>
      <c r="H424" s="10" t="n">
        <v>45664.6503125</v>
      </c>
      <c r="I424" s="10" t="n">
        <v>45664.65111111111</v>
      </c>
      <c r="J424" s="10" t="n">
        <v>45664.65388888889</v>
      </c>
      <c r="K424" s="11" t="n">
        <v>0.002777777777777778</v>
      </c>
      <c r="L424" s="13" t="n"/>
    </row>
    <row r="425">
      <c r="A425" s="3" t="inlineStr">
        <is>
          <t>Coupling</t>
        </is>
      </c>
      <c r="B425" s="3" t="inlineStr">
        <is>
          <t>Act_COP_1004405_153819_613</t>
        </is>
      </c>
      <c r="C425" s="3" t="inlineStr">
        <is>
          <t>1004405</t>
        </is>
      </c>
      <c r="D425" s="9" t="n">
        <v>21</v>
      </c>
      <c r="E425" s="3" t="n"/>
      <c r="F425" s="3" t="n"/>
      <c r="G425" s="9" t="n"/>
      <c r="H425" s="10" t="n">
        <v>45664.6516087963</v>
      </c>
      <c r="I425" s="10" t="n">
        <v>45664.65247685185</v>
      </c>
      <c r="J425" s="10" t="n">
        <v>45664.65553240741</v>
      </c>
      <c r="K425" s="11" t="n">
        <v>0.003055555555555556</v>
      </c>
      <c r="L425" s="13" t="n"/>
    </row>
    <row r="426">
      <c r="A426" s="3" t="inlineStr">
        <is>
          <t>Coupling</t>
        </is>
      </c>
      <c r="B426" s="3" t="inlineStr">
        <is>
          <t>Act_COP_1004406_154028_609</t>
        </is>
      </c>
      <c r="C426" s="3" t="inlineStr">
        <is>
          <t>1004406</t>
        </is>
      </c>
      <c r="D426" s="9" t="n">
        <v>14</v>
      </c>
      <c r="E426" s="3" t="n"/>
      <c r="F426" s="3" t="n"/>
      <c r="G426" s="9" t="n"/>
      <c r="H426" s="10" t="n">
        <v>45664.65310185185</v>
      </c>
      <c r="I426" s="10" t="n">
        <v>45664.65396990741</v>
      </c>
      <c r="J426" s="10" t="n">
        <v>45664.65702546296</v>
      </c>
      <c r="K426" s="11" t="n">
        <v>0.003055555555555556</v>
      </c>
      <c r="L426" s="13" t="n"/>
    </row>
    <row r="427">
      <c r="A427" s="3" t="inlineStr">
        <is>
          <t>Coupling</t>
        </is>
      </c>
      <c r="B427" s="3" t="inlineStr">
        <is>
          <t>Act_COP_1004408_154437_611</t>
        </is>
      </c>
      <c r="C427" s="3" t="inlineStr">
        <is>
          <t>1004408</t>
        </is>
      </c>
      <c r="D427" s="9" t="n">
        <v>19.9</v>
      </c>
      <c r="E427" s="3" t="n"/>
      <c r="F427" s="3" t="n"/>
      <c r="G427" s="9" t="n"/>
      <c r="H427" s="10" t="n">
        <v>45664.6559837963</v>
      </c>
      <c r="I427" s="10" t="n">
        <v>45664.65677083333</v>
      </c>
      <c r="J427" s="10" t="n">
        <v>45664.65954861111</v>
      </c>
      <c r="K427" s="11" t="n">
        <v>0.002777777777777778</v>
      </c>
      <c r="L427" s="13" t="n"/>
    </row>
    <row r="428">
      <c r="A428" s="3" t="inlineStr">
        <is>
          <t>Coupling</t>
        </is>
      </c>
      <c r="B428" s="3" t="inlineStr">
        <is>
          <t>Act_COP_1004409_154628_613</t>
        </is>
      </c>
      <c r="C428" s="3" t="inlineStr">
        <is>
          <t>1004409</t>
        </is>
      </c>
      <c r="D428" s="9" t="n">
        <v>23.2</v>
      </c>
      <c r="E428" s="3" t="n"/>
      <c r="F428" s="3" t="n"/>
      <c r="G428" s="9" t="n"/>
      <c r="H428" s="10" t="n">
        <v>45664.65726851852</v>
      </c>
      <c r="I428" s="10" t="n">
        <v>45664.65813657407</v>
      </c>
      <c r="J428" s="10" t="n">
        <v>45664.66119212963</v>
      </c>
      <c r="K428" s="11" t="n">
        <v>0.003055555555555556</v>
      </c>
      <c r="L428" s="13" t="n"/>
    </row>
    <row r="429">
      <c r="A429" s="3" t="inlineStr">
        <is>
          <t>Coupling</t>
        </is>
      </c>
      <c r="B429" s="3" t="inlineStr">
        <is>
          <t>Act_COP_1004410_154900_623</t>
        </is>
      </c>
      <c r="C429" s="3" t="inlineStr">
        <is>
          <t>1004410</t>
        </is>
      </c>
      <c r="D429" s="9" t="n">
        <v>15.7</v>
      </c>
      <c r="E429" s="3" t="n"/>
      <c r="F429" s="3" t="n"/>
      <c r="G429" s="9" t="n"/>
      <c r="H429" s="10" t="n">
        <v>45664.65902777778</v>
      </c>
      <c r="I429" s="10" t="n">
        <v>45664.66112268518</v>
      </c>
      <c r="J429" s="10" t="n">
        <v>45664.66390046296</v>
      </c>
      <c r="K429" s="11" t="n">
        <v>0.002777777777777778</v>
      </c>
      <c r="L429" s="13" t="n"/>
    </row>
    <row r="430">
      <c r="A430" s="3" t="inlineStr">
        <is>
          <t>Coupling</t>
        </is>
      </c>
      <c r="B430" s="3" t="inlineStr">
        <is>
          <t>Act_COP_1004411_155130_605</t>
        </is>
      </c>
      <c r="C430" s="3" t="inlineStr">
        <is>
          <t>1004411</t>
        </is>
      </c>
      <c r="D430" s="9" t="n">
        <v>19.9</v>
      </c>
      <c r="E430" s="3" t="n"/>
      <c r="F430" s="3" t="n"/>
      <c r="G430" s="9" t="n"/>
      <c r="H430" s="10" t="n">
        <v>45664.66076388889</v>
      </c>
      <c r="I430" s="10" t="n">
        <v>45664.66292824074</v>
      </c>
      <c r="J430" s="10" t="n">
        <v>45664.66598379629</v>
      </c>
      <c r="K430" s="11" t="n">
        <v>0.003055555555555556</v>
      </c>
      <c r="L430" s="13" t="n"/>
    </row>
    <row r="431">
      <c r="A431" s="3" t="inlineStr">
        <is>
          <t>Coupling</t>
        </is>
      </c>
      <c r="B431" s="3" t="inlineStr">
        <is>
          <t>Act_COP_1004602_161641_627</t>
        </is>
      </c>
      <c r="C431" s="3" t="inlineStr">
        <is>
          <t>1004602</t>
        </is>
      </c>
      <c r="D431" s="9" t="n">
        <v>16.5</v>
      </c>
      <c r="E431" s="3" t="n"/>
      <c r="F431" s="3" t="n"/>
      <c r="G431" s="9" t="n"/>
      <c r="H431" s="10" t="n">
        <v>45664.67825231481</v>
      </c>
      <c r="I431" s="10" t="n">
        <v>45664.67908564815</v>
      </c>
      <c r="J431" s="10" t="n">
        <v>45664.6821412037</v>
      </c>
      <c r="K431" s="11" t="n">
        <v>0.003055555555555556</v>
      </c>
      <c r="L431" s="13" t="n"/>
    </row>
    <row r="432">
      <c r="A432" s="3" t="inlineStr">
        <is>
          <t>Coupling</t>
        </is>
      </c>
      <c r="B432" s="3" t="inlineStr">
        <is>
          <t>Act_COP_1004701_175204_611</t>
        </is>
      </c>
      <c r="C432" s="3" t="inlineStr">
        <is>
          <t>1004701</t>
        </is>
      </c>
      <c r="D432" s="9" t="n">
        <v>21</v>
      </c>
      <c r="E432" s="3" t="n"/>
      <c r="F432" s="3" t="n"/>
      <c r="G432" s="9" t="n"/>
      <c r="H432" s="10" t="n">
        <v>45664.74449074074</v>
      </c>
      <c r="I432" s="10" t="n">
        <v>45664.7453587963</v>
      </c>
      <c r="J432" s="10" t="n">
        <v>45664.74841435185</v>
      </c>
      <c r="K432" s="11" t="n">
        <v>0.003055555555555556</v>
      </c>
      <c r="L432" s="13" t="n"/>
    </row>
    <row r="433">
      <c r="A433" s="3" t="inlineStr">
        <is>
          <t>Coupling</t>
        </is>
      </c>
      <c r="B433" s="3" t="inlineStr">
        <is>
          <t>Act_COP_1004702_175459_625</t>
        </is>
      </c>
      <c r="C433" s="3" t="inlineStr">
        <is>
          <t>1004702</t>
        </is>
      </c>
      <c r="D433" s="9" t="n">
        <v>15.7</v>
      </c>
      <c r="E433" s="3" t="n"/>
      <c r="F433" s="3" t="n"/>
      <c r="G433" s="9" t="n"/>
      <c r="H433" s="10" t="n">
        <v>45664.7465162037</v>
      </c>
      <c r="I433" s="10" t="n">
        <v>45664.74730324074</v>
      </c>
      <c r="J433" s="10" t="n">
        <v>45664.75008101852</v>
      </c>
      <c r="K433" s="11" t="n">
        <v>0.002777777777777778</v>
      </c>
      <c r="L433" s="13" t="n"/>
    </row>
    <row r="434">
      <c r="A434" s="3" t="inlineStr">
        <is>
          <t>Coupling</t>
        </is>
      </c>
      <c r="B434" s="3" t="inlineStr">
        <is>
          <t>Act_COP_1004703_175732_623</t>
        </is>
      </c>
      <c r="C434" s="3" t="inlineStr">
        <is>
          <t>1004703</t>
        </is>
      </c>
      <c r="D434" s="9" t="n">
        <v>23.2</v>
      </c>
      <c r="E434" s="3" t="n"/>
      <c r="F434" s="3" t="n"/>
      <c r="G434" s="9" t="n"/>
      <c r="H434" s="10" t="n">
        <v>45664.74828703704</v>
      </c>
      <c r="I434" s="10" t="n">
        <v>45664.74912037037</v>
      </c>
      <c r="J434" s="10" t="n">
        <v>45664.75217592593</v>
      </c>
      <c r="K434" s="11" t="n">
        <v>0.003055555555555556</v>
      </c>
      <c r="L434" s="13" t="n"/>
    </row>
    <row r="435">
      <c r="A435" s="3" t="inlineStr">
        <is>
          <t>Coupling</t>
        </is>
      </c>
      <c r="B435" s="3" t="inlineStr">
        <is>
          <t>Act_COP_1004705_180149_605</t>
        </is>
      </c>
      <c r="C435" s="3" t="inlineStr">
        <is>
          <t>1004705</t>
        </is>
      </c>
      <c r="D435" s="9" t="n">
        <v>39.8</v>
      </c>
      <c r="E435" s="3" t="n"/>
      <c r="F435" s="3" t="n"/>
      <c r="G435" s="9" t="n"/>
      <c r="H435" s="10" t="n">
        <v>45664.75126157407</v>
      </c>
      <c r="I435" s="10" t="n">
        <v>45664.75204861111</v>
      </c>
      <c r="J435" s="10" t="n">
        <v>45664.75482638889</v>
      </c>
      <c r="K435" s="11" t="n">
        <v>0.002777777777777778</v>
      </c>
      <c r="L435" s="13" t="n"/>
    </row>
    <row r="436">
      <c r="A436" s="3" t="inlineStr">
        <is>
          <t>Coupling</t>
        </is>
      </c>
      <c r="B436" s="3" t="inlineStr">
        <is>
          <t>Act_COP_1004707_180653_625</t>
        </is>
      </c>
      <c r="C436" s="3" t="inlineStr">
        <is>
          <t>1004707</t>
        </is>
      </c>
      <c r="D436" s="9" t="n">
        <v>15.7</v>
      </c>
      <c r="E436" s="3" t="n"/>
      <c r="F436" s="3" t="n"/>
      <c r="G436" s="9" t="n"/>
      <c r="H436" s="10" t="n">
        <v>45664.75478009259</v>
      </c>
      <c r="I436" s="10" t="n">
        <v>45664.75564814815</v>
      </c>
      <c r="J436" s="10" t="n">
        <v>45664.7587037037</v>
      </c>
      <c r="K436" s="11" t="n">
        <v>0.003055555555555556</v>
      </c>
      <c r="L436" s="13" t="n"/>
    </row>
    <row r="437">
      <c r="A437" s="3" t="inlineStr">
        <is>
          <t>Coupling</t>
        </is>
      </c>
      <c r="B437" s="3" t="inlineStr">
        <is>
          <t>Act_COP_1004709_181233_621</t>
        </is>
      </c>
      <c r="C437" s="3" t="inlineStr">
        <is>
          <t>1004709</t>
        </is>
      </c>
      <c r="D437" s="9" t="n">
        <v>19.9</v>
      </c>
      <c r="E437" s="3" t="n"/>
      <c r="F437" s="3" t="n"/>
      <c r="G437" s="9" t="n"/>
      <c r="H437" s="10" t="n">
        <v>45664.75871527778</v>
      </c>
      <c r="I437" s="10" t="n">
        <v>45664.76043981482</v>
      </c>
      <c r="J437" s="10" t="n">
        <v>45664.76349537037</v>
      </c>
      <c r="K437" s="11" t="n">
        <v>0.003055555555555556</v>
      </c>
      <c r="L437" s="13" t="n"/>
    </row>
    <row r="438">
      <c r="A438" s="3" t="inlineStr">
        <is>
          <t>Coupling</t>
        </is>
      </c>
      <c r="B438" s="3" t="inlineStr">
        <is>
          <t>Act_COP_1004710_181505_606</t>
        </is>
      </c>
      <c r="C438" s="3" t="inlineStr">
        <is>
          <t>1004710</t>
        </is>
      </c>
      <c r="D438" s="9" t="n">
        <v>31.5</v>
      </c>
      <c r="E438" s="3" t="n"/>
      <c r="F438" s="3" t="n"/>
      <c r="G438" s="9" t="n"/>
      <c r="H438" s="10" t="n">
        <v>45664.76047453703</v>
      </c>
      <c r="I438" s="10" t="n">
        <v>45664.7613425926</v>
      </c>
      <c r="J438" s="10" t="n">
        <v>45664.76439814815</v>
      </c>
      <c r="K438" s="11" t="n">
        <v>0.003055555555555556</v>
      </c>
      <c r="L438" s="13" t="n"/>
    </row>
    <row r="439">
      <c r="A439" s="3" t="inlineStr">
        <is>
          <t>Coupling</t>
        </is>
      </c>
      <c r="B439" s="3" t="inlineStr">
        <is>
          <t>Act_COP_1004711_181753_627</t>
        </is>
      </c>
      <c r="C439" s="3" t="inlineStr">
        <is>
          <t>1004711</t>
        </is>
      </c>
      <c r="D439" s="9" t="n">
        <v>31.9</v>
      </c>
      <c r="E439" s="3" t="n"/>
      <c r="F439" s="3" t="n"/>
      <c r="G439" s="9" t="n"/>
      <c r="H439" s="10" t="n">
        <v>45664.76241898148</v>
      </c>
      <c r="I439" s="10" t="n">
        <v>45664.76523148148</v>
      </c>
      <c r="J439" s="10" t="n">
        <v>45664.76828703703</v>
      </c>
      <c r="K439" s="11" t="n">
        <v>0.003055555555555556</v>
      </c>
      <c r="L439" s="13" t="n"/>
    </row>
    <row r="440">
      <c r="A440" s="3" t="inlineStr">
        <is>
          <t>Coupling</t>
        </is>
      </c>
      <c r="B440" s="3" t="inlineStr">
        <is>
          <t>Act_COP_1004712_181933_615</t>
        </is>
      </c>
      <c r="C440" s="3" t="inlineStr">
        <is>
          <t>1004712</t>
        </is>
      </c>
      <c r="D440" s="9" t="n">
        <v>15.7</v>
      </c>
      <c r="E440" s="3" t="n"/>
      <c r="F440" s="3" t="n"/>
      <c r="G440" s="9" t="n"/>
      <c r="H440" s="10" t="n">
        <v>45664.76357638889</v>
      </c>
      <c r="I440" s="10" t="n">
        <v>45664.76613425926</v>
      </c>
      <c r="J440" s="10" t="n">
        <v>45664.76918981481</v>
      </c>
      <c r="K440" s="11" t="n">
        <v>0.003055555555555556</v>
      </c>
      <c r="L440" s="13" t="n"/>
    </row>
    <row r="441">
      <c r="A441" s="3" t="inlineStr">
        <is>
          <t>Coupling</t>
        </is>
      </c>
      <c r="B441" s="3" t="inlineStr">
        <is>
          <t>Act_COP_1004713_182314_615</t>
        </is>
      </c>
      <c r="C441" s="3" t="inlineStr">
        <is>
          <t>1004713</t>
        </is>
      </c>
      <c r="D441" s="9" t="n">
        <v>31.5</v>
      </c>
      <c r="E441" s="3" t="n"/>
      <c r="F441" s="3" t="n"/>
      <c r="G441" s="9" t="n"/>
      <c r="H441" s="10" t="n">
        <v>45664.76613425926</v>
      </c>
      <c r="I441" s="10" t="n">
        <v>45664.77002314815</v>
      </c>
      <c r="J441" s="10" t="n">
        <v>45664.77307870371</v>
      </c>
      <c r="K441" s="11" t="n">
        <v>0.003055555555555556</v>
      </c>
      <c r="L441" s="13" t="n"/>
    </row>
    <row r="442">
      <c r="A442" s="3" t="inlineStr">
        <is>
          <t>Coupling</t>
        </is>
      </c>
      <c r="B442" s="3" t="inlineStr">
        <is>
          <t>Act_COP_1004801_182519_607</t>
        </is>
      </c>
      <c r="C442" s="3" t="inlineStr">
        <is>
          <t>1004801</t>
        </is>
      </c>
      <c r="D442" s="9" t="n">
        <v>212</v>
      </c>
      <c r="E442" s="3" t="n"/>
      <c r="F442" s="3" t="n"/>
      <c r="G442" s="9" t="n"/>
      <c r="H442" s="10" t="n">
        <v>45664.76758101852</v>
      </c>
      <c r="I442" s="10" t="n">
        <v>45664.77092592593</v>
      </c>
      <c r="J442" s="10" t="n">
        <v>45664.77398148148</v>
      </c>
      <c r="K442" s="11" t="n">
        <v>0.003055555555555556</v>
      </c>
      <c r="L442" s="13" t="n"/>
    </row>
    <row r="443">
      <c r="A443" s="3" t="inlineStr">
        <is>
          <t>Coupling</t>
        </is>
      </c>
      <c r="B443" s="3" t="inlineStr">
        <is>
          <t>Act_COP_1005001_030552_625</t>
        </is>
      </c>
      <c r="C443" s="3" t="inlineStr">
        <is>
          <t>1005001</t>
        </is>
      </c>
      <c r="D443" s="9" t="n">
        <v>31.5</v>
      </c>
      <c r="E443" s="3" t="n"/>
      <c r="F443" s="3" t="n"/>
      <c r="G443" s="9" t="n"/>
      <c r="H443" s="10" t="n">
        <v>45665.12907407407</v>
      </c>
      <c r="I443" s="10" t="n">
        <v>45665.12994212963</v>
      </c>
      <c r="J443" s="10" t="n">
        <v>45665.13299768518</v>
      </c>
      <c r="K443" s="11" t="n">
        <v>0.003055555555555556</v>
      </c>
      <c r="L443" s="13" t="n"/>
    </row>
    <row r="444">
      <c r="A444" s="3" t="inlineStr">
        <is>
          <t>Coupling</t>
        </is>
      </c>
      <c r="B444" s="3" t="inlineStr">
        <is>
          <t>Act_COP_1005002_030841_627</t>
        </is>
      </c>
      <c r="C444" s="3" t="inlineStr">
        <is>
          <t>1005002</t>
        </is>
      </c>
      <c r="D444" s="9" t="n">
        <v>31.9</v>
      </c>
      <c r="E444" s="3" t="n"/>
      <c r="F444" s="3" t="n"/>
      <c r="G444" s="9" t="n"/>
      <c r="H444" s="10" t="n">
        <v>45665.13103009259</v>
      </c>
      <c r="I444" s="10" t="n">
        <v>45665.131875</v>
      </c>
      <c r="J444" s="10" t="n">
        <v>45665.13493055556</v>
      </c>
      <c r="K444" s="11" t="n">
        <v>0.003055555555555556</v>
      </c>
      <c r="L444" s="13" t="n"/>
    </row>
    <row r="445">
      <c r="A445" s="3" t="inlineStr">
        <is>
          <t>Coupling</t>
        </is>
      </c>
      <c r="B445" s="3" t="inlineStr">
        <is>
          <t>Act_COP_1005003_031139_625</t>
        </is>
      </c>
      <c r="C445" s="3" t="inlineStr">
        <is>
          <t>1005003</t>
        </is>
      </c>
      <c r="D445" s="9" t="n">
        <v>31.5</v>
      </c>
      <c r="E445" s="3" t="n"/>
      <c r="F445" s="3" t="n"/>
      <c r="G445" s="9" t="n"/>
      <c r="H445" s="10" t="n">
        <v>45665.13309027778</v>
      </c>
      <c r="I445" s="10" t="n">
        <v>45665.13395833333</v>
      </c>
      <c r="J445" s="10" t="n">
        <v>45665.13701388889</v>
      </c>
      <c r="K445" s="11" t="n">
        <v>0.003055555555555556</v>
      </c>
      <c r="L445" s="13" t="n"/>
    </row>
    <row r="446">
      <c r="A446" s="3" t="inlineStr">
        <is>
          <t>Coupling</t>
        </is>
      </c>
      <c r="B446" s="3" t="inlineStr">
        <is>
          <t>Act_COP_1005005_031638_623</t>
        </is>
      </c>
      <c r="C446" s="3" t="inlineStr">
        <is>
          <t>1005005</t>
        </is>
      </c>
      <c r="D446" s="9" t="n">
        <v>51.4</v>
      </c>
      <c r="E446" s="3" t="n"/>
      <c r="F446" s="3" t="n"/>
      <c r="G446" s="9" t="n"/>
      <c r="H446" s="10" t="n">
        <v>45665.13655092593</v>
      </c>
      <c r="I446" s="10" t="n">
        <v>45665.13739583334</v>
      </c>
      <c r="J446" s="10" t="n">
        <v>45665.14045138889</v>
      </c>
      <c r="K446" s="11" t="n">
        <v>0.003055555555555556</v>
      </c>
      <c r="L446" s="13" t="n"/>
    </row>
    <row r="447">
      <c r="A447" s="3" t="inlineStr">
        <is>
          <t>Coupling</t>
        </is>
      </c>
      <c r="B447" s="3" t="inlineStr">
        <is>
          <t>Act_COP_1005101_040445_611</t>
        </is>
      </c>
      <c r="C447" s="3" t="inlineStr">
        <is>
          <t>1005101</t>
        </is>
      </c>
      <c r="D447" s="9" t="n">
        <v>514.3</v>
      </c>
      <c r="E447" s="3" t="n"/>
      <c r="F447" s="3" t="n"/>
      <c r="G447" s="9" t="n"/>
      <c r="H447" s="10" t="n">
        <v>45665.16996527778</v>
      </c>
      <c r="I447" s="10" t="n">
        <v>45665.17083333333</v>
      </c>
      <c r="J447" s="10" t="n">
        <v>45665.17388888889</v>
      </c>
      <c r="K447" s="11" t="n">
        <v>0.003055555555555556</v>
      </c>
      <c r="L447" s="13" t="n"/>
    </row>
    <row r="448">
      <c r="A448" s="3" t="inlineStr">
        <is>
          <t>Coupling</t>
        </is>
      </c>
      <c r="B448" s="3" t="inlineStr">
        <is>
          <t>Act_COP_1005302_080001_621</t>
        </is>
      </c>
      <c r="C448" s="3" t="inlineStr">
        <is>
          <t>1005302</t>
        </is>
      </c>
      <c r="D448" s="9" t="n">
        <v>19.9</v>
      </c>
      <c r="E448" s="3" t="n"/>
      <c r="F448" s="3" t="n"/>
      <c r="G448" s="9" t="n"/>
      <c r="H448" s="10" t="n">
        <v>45665.33334490741</v>
      </c>
      <c r="I448" s="10" t="n">
        <v>45665.33417824074</v>
      </c>
      <c r="J448" s="10" t="n">
        <v>45665.33723379629</v>
      </c>
      <c r="K448" s="11" t="n">
        <v>0.003055555555555556</v>
      </c>
      <c r="L448" s="13" t="n"/>
    </row>
    <row r="449">
      <c r="A449" s="3" t="inlineStr">
        <is>
          <t>Coupling</t>
        </is>
      </c>
      <c r="B449" s="3" t="inlineStr">
        <is>
          <t>Act_COP_1005303_080243_627</t>
        </is>
      </c>
      <c r="C449" s="3" t="inlineStr">
        <is>
          <t>1005303</t>
        </is>
      </c>
      <c r="D449" s="9" t="n">
        <v>15.7</v>
      </c>
      <c r="E449" s="3" t="n"/>
      <c r="F449" s="3" t="n"/>
      <c r="G449" s="9" t="n"/>
      <c r="H449" s="10" t="n">
        <v>45665.33521990741</v>
      </c>
      <c r="I449" s="10" t="n">
        <v>45665.33608796296</v>
      </c>
      <c r="J449" s="10" t="n">
        <v>45665.33914351852</v>
      </c>
      <c r="K449" s="11" t="n">
        <v>0.003055555555555556</v>
      </c>
      <c r="L449" s="13" t="n"/>
    </row>
    <row r="450">
      <c r="A450" s="3" t="inlineStr">
        <is>
          <t>Coupling</t>
        </is>
      </c>
      <c r="B450" s="3" t="inlineStr">
        <is>
          <t>Act_COP_1005307_081145_615</t>
        </is>
      </c>
      <c r="C450" s="3" t="inlineStr">
        <is>
          <t>1005307</t>
        </is>
      </c>
      <c r="D450" s="9" t="n">
        <v>51.4</v>
      </c>
      <c r="E450" s="3" t="n"/>
      <c r="F450" s="3" t="n"/>
      <c r="G450" s="9" t="n"/>
      <c r="H450" s="10" t="n">
        <v>45665.34149305556</v>
      </c>
      <c r="I450" s="10" t="n">
        <v>45665.34236111111</v>
      </c>
      <c r="J450" s="10" t="n">
        <v>45665.34541666666</v>
      </c>
      <c r="K450" s="11" t="n">
        <v>0.003055555555555556</v>
      </c>
      <c r="L450" s="13" t="n"/>
    </row>
    <row r="451">
      <c r="A451" s="3" t="inlineStr">
        <is>
          <t>Coupling</t>
        </is>
      </c>
      <c r="B451" s="3" t="inlineStr">
        <is>
          <t>Act_COP_1005310_082011_625</t>
        </is>
      </c>
      <c r="C451" s="3" t="inlineStr">
        <is>
          <t>1005310</t>
        </is>
      </c>
      <c r="D451" s="9" t="n">
        <v>15.7</v>
      </c>
      <c r="E451" s="3" t="n"/>
      <c r="F451" s="3" t="n"/>
      <c r="G451" s="9" t="n"/>
      <c r="H451" s="10" t="n">
        <v>45665.34734953703</v>
      </c>
      <c r="I451" s="10" t="n">
        <v>45665.34818287037</v>
      </c>
      <c r="J451" s="10" t="n">
        <v>45665.35123842592</v>
      </c>
      <c r="K451" s="11" t="n">
        <v>0.003055555555555556</v>
      </c>
      <c r="L451" s="13" t="n"/>
    </row>
    <row r="452">
      <c r="A452" s="3" t="inlineStr">
        <is>
          <t>Coupling</t>
        </is>
      </c>
      <c r="B452" s="3" t="inlineStr">
        <is>
          <t>Act_COP_1005312_082501_627</t>
        </is>
      </c>
      <c r="C452" s="3" t="inlineStr">
        <is>
          <t>1005312</t>
        </is>
      </c>
      <c r="D452" s="9" t="n">
        <v>85.5</v>
      </c>
      <c r="E452" s="3" t="n"/>
      <c r="F452" s="3" t="n"/>
      <c r="G452" s="9" t="n"/>
      <c r="H452" s="10" t="n">
        <v>45665.35070601852</v>
      </c>
      <c r="I452" s="10" t="n">
        <v>45665.35273148148</v>
      </c>
      <c r="J452" s="10" t="n">
        <v>45665.35578703704</v>
      </c>
      <c r="K452" s="11" t="n">
        <v>0.003055555555555556</v>
      </c>
      <c r="L452" s="13" t="n"/>
    </row>
    <row r="453">
      <c r="A453" s="3" t="inlineStr">
        <is>
          <t>Coupling</t>
        </is>
      </c>
      <c r="B453" s="3" t="inlineStr">
        <is>
          <t>Act_COP_1005314_082946_605</t>
        </is>
      </c>
      <c r="C453" s="3" t="inlineStr">
        <is>
          <t>1005314</t>
        </is>
      </c>
      <c r="D453" s="9" t="n">
        <v>19.9</v>
      </c>
      <c r="E453" s="3" t="n"/>
      <c r="F453" s="3" t="n"/>
      <c r="G453" s="9" t="n"/>
      <c r="H453" s="10" t="n">
        <v>45665.35400462963</v>
      </c>
      <c r="I453" s="10" t="n">
        <v>45665.35633101852</v>
      </c>
      <c r="J453" s="10" t="n">
        <v>45665.35938657408</v>
      </c>
      <c r="K453" s="11" t="n">
        <v>0.003055555555555556</v>
      </c>
      <c r="L453" s="13" t="n"/>
    </row>
    <row r="454">
      <c r="A454" s="3" t="inlineStr">
        <is>
          <t>Coupling</t>
        </is>
      </c>
      <c r="B454" s="3" t="inlineStr">
        <is>
          <t>Act_COP_1005315_083152_609</t>
        </is>
      </c>
      <c r="C454" s="3" t="inlineStr">
        <is>
          <t>1005315</t>
        </is>
      </c>
      <c r="D454" s="9" t="n">
        <v>14</v>
      </c>
      <c r="E454" s="3" t="n"/>
      <c r="F454" s="3" t="n"/>
      <c r="G454" s="9" t="n"/>
      <c r="H454" s="10" t="n">
        <v>45665.35546296297</v>
      </c>
      <c r="I454" s="10" t="n">
        <v>45665.35748842593</v>
      </c>
      <c r="J454" s="10" t="n">
        <v>45665.36054398148</v>
      </c>
      <c r="K454" s="11" t="n">
        <v>0.003055555555555556</v>
      </c>
      <c r="L454" s="13" t="n"/>
    </row>
    <row r="455">
      <c r="A455" s="3" t="inlineStr">
        <is>
          <t>Coupling</t>
        </is>
      </c>
      <c r="B455" s="3" t="inlineStr">
        <is>
          <t>Act_COP_1005501_083613_613</t>
        </is>
      </c>
      <c r="C455" s="3" t="inlineStr">
        <is>
          <t>1005501</t>
        </is>
      </c>
      <c r="D455" s="9" t="n">
        <v>389.8</v>
      </c>
      <c r="E455" s="3" t="n"/>
      <c r="F455" s="3" t="n"/>
      <c r="G455" s="9" t="n"/>
      <c r="H455" s="10" t="n">
        <v>45665.3584837963</v>
      </c>
      <c r="I455" s="10" t="n">
        <v>45665.36106481482</v>
      </c>
      <c r="J455" s="10" t="n">
        <v>45665.36412037037</v>
      </c>
      <c r="K455" s="11" t="n">
        <v>0.003055555555555556</v>
      </c>
      <c r="L455" s="13" t="n"/>
    </row>
    <row r="456">
      <c r="A456" s="3" t="inlineStr">
        <is>
          <t>Coupling</t>
        </is>
      </c>
      <c r="B456" s="3" t="inlineStr">
        <is>
          <t>Act_COP_1006001_152530_621</t>
        </is>
      </c>
      <c r="C456" s="3" t="inlineStr">
        <is>
          <t>1006001</t>
        </is>
      </c>
      <c r="D456" s="9" t="n">
        <v>39.8</v>
      </c>
      <c r="E456" s="3" t="n"/>
      <c r="F456" s="3" t="n"/>
      <c r="G456" s="9" t="n"/>
      <c r="H456" s="10" t="n">
        <v>45665.64270833333</v>
      </c>
      <c r="I456" s="10" t="n">
        <v>45665.64357638889</v>
      </c>
      <c r="J456" s="10" t="n">
        <v>45665.64663194444</v>
      </c>
      <c r="K456" s="11" t="n">
        <v>0.003055555555555556</v>
      </c>
      <c r="L456" s="13" t="n"/>
    </row>
    <row r="457">
      <c r="A457" s="3" t="inlineStr">
        <is>
          <t>Coupling</t>
        </is>
      </c>
      <c r="B457" s="3" t="inlineStr">
        <is>
          <t>Act_COP_1006002_152749_607</t>
        </is>
      </c>
      <c r="C457" s="3" t="inlineStr">
        <is>
          <t>1006002</t>
        </is>
      </c>
      <c r="D457" s="9" t="n">
        <v>15.7</v>
      </c>
      <c r="E457" s="3" t="n"/>
      <c r="F457" s="3" t="n"/>
      <c r="G457" s="9" t="n"/>
      <c r="H457" s="10" t="n">
        <v>45665.64431712963</v>
      </c>
      <c r="I457" s="10" t="n">
        <v>45665.64515046297</v>
      </c>
      <c r="J457" s="10" t="n">
        <v>45665.64820601852</v>
      </c>
      <c r="K457" s="11" t="n">
        <v>0.003055555555555556</v>
      </c>
      <c r="L457" s="13" t="n"/>
    </row>
    <row r="458">
      <c r="A458" s="3" t="inlineStr">
        <is>
          <t>Coupling</t>
        </is>
      </c>
      <c r="B458" s="3" t="inlineStr">
        <is>
          <t>Act_COP_1006005_153502_623</t>
        </is>
      </c>
      <c r="C458" s="3" t="inlineStr">
        <is>
          <t>1006005</t>
        </is>
      </c>
      <c r="D458" s="9" t="n">
        <v>15.7</v>
      </c>
      <c r="E458" s="3" t="n"/>
      <c r="F458" s="3" t="n"/>
      <c r="G458" s="9" t="n"/>
      <c r="H458" s="10" t="n">
        <v>45665.6493287037</v>
      </c>
      <c r="I458" s="10" t="n">
        <v>45665.65016203704</v>
      </c>
      <c r="J458" s="10" t="n">
        <v>45665.65321759259</v>
      </c>
      <c r="K458" s="11" t="n">
        <v>0.003055555555555556</v>
      </c>
      <c r="L458" s="13" t="n"/>
    </row>
    <row r="459">
      <c r="A459" s="3" t="inlineStr">
        <is>
          <t>Coupling</t>
        </is>
      </c>
      <c r="B459" s="3" t="inlineStr">
        <is>
          <t>Act_COP_1006007_153847_613</t>
        </is>
      </c>
      <c r="C459" s="3" t="inlineStr">
        <is>
          <t>1006007</t>
        </is>
      </c>
      <c r="D459" s="9" t="n">
        <v>12</v>
      </c>
      <c r="E459" s="3" t="n"/>
      <c r="F459" s="3" t="n"/>
      <c r="G459" s="9" t="n"/>
      <c r="H459" s="10" t="n">
        <v>45665.65193287037</v>
      </c>
      <c r="I459" s="10" t="n">
        <v>45665.65489583334</v>
      </c>
      <c r="J459" s="10" t="n">
        <v>45665.65795138889</v>
      </c>
      <c r="K459" s="11" t="n">
        <v>0.003055555555555556</v>
      </c>
      <c r="L459" s="13" t="n"/>
    </row>
    <row r="460">
      <c r="A460" s="3" t="inlineStr">
        <is>
          <t>Coupling</t>
        </is>
      </c>
      <c r="B460" s="3" t="inlineStr">
        <is>
          <t>Act_COP_1006008_154117_605</t>
        </is>
      </c>
      <c r="C460" s="3" t="inlineStr">
        <is>
          <t>1006008</t>
        </is>
      </c>
      <c r="D460" s="9" t="n">
        <v>19.9</v>
      </c>
      <c r="E460" s="3" t="n"/>
      <c r="F460" s="3" t="n"/>
      <c r="G460" s="9" t="n"/>
      <c r="H460" s="10" t="n">
        <v>45665.65366898148</v>
      </c>
      <c r="I460" s="10" t="n">
        <v>45665.65613425926</v>
      </c>
      <c r="J460" s="10" t="n">
        <v>45665.65918981482</v>
      </c>
      <c r="K460" s="11" t="n">
        <v>0.003055555555555556</v>
      </c>
      <c r="L460" s="13" t="n"/>
    </row>
    <row r="461">
      <c r="A461" s="3" t="inlineStr">
        <is>
          <t>Coupling</t>
        </is>
      </c>
      <c r="B461" s="3" t="inlineStr">
        <is>
          <t>Act_COP_1006010_154612_619</t>
        </is>
      </c>
      <c r="C461" s="3" t="inlineStr">
        <is>
          <t>1006010</t>
        </is>
      </c>
      <c r="D461" s="9" t="n">
        <v>23.2</v>
      </c>
      <c r="E461" s="3" t="n"/>
      <c r="F461" s="3" t="n"/>
      <c r="G461" s="9" t="n"/>
      <c r="H461" s="10" t="n">
        <v>45665.65708333333</v>
      </c>
      <c r="I461" s="10" t="n">
        <v>45665.66087962963</v>
      </c>
      <c r="J461" s="10" t="n">
        <v>45665.66393518518</v>
      </c>
      <c r="K461" s="11" t="n">
        <v>0.003055555555555556</v>
      </c>
      <c r="L461" s="13" t="n"/>
    </row>
    <row r="462">
      <c r="A462" s="3" t="inlineStr">
        <is>
          <t>Coupling</t>
        </is>
      </c>
      <c r="B462" s="3" t="inlineStr">
        <is>
          <t>Act_COP_1006011_154821_609</t>
        </is>
      </c>
      <c r="C462" s="3" t="inlineStr">
        <is>
          <t>1006011</t>
        </is>
      </c>
      <c r="D462" s="9" t="n">
        <v>14</v>
      </c>
      <c r="E462" s="3" t="n"/>
      <c r="F462" s="3" t="n"/>
      <c r="G462" s="9" t="n"/>
      <c r="H462" s="10" t="n">
        <v>45665.65857638889</v>
      </c>
      <c r="I462" s="10" t="n">
        <v>45665.66282407408</v>
      </c>
      <c r="J462" s="10" t="n">
        <v>45665.66587962963</v>
      </c>
      <c r="K462" s="11" t="n">
        <v>0.003055555555555556</v>
      </c>
      <c r="L462" s="13" t="n"/>
    </row>
    <row r="463">
      <c r="A463" s="3" t="inlineStr">
        <is>
          <t>Coupling</t>
        </is>
      </c>
      <c r="B463" s="3" t="inlineStr">
        <is>
          <t>Act_COP_1006401_200523_611</t>
        </is>
      </c>
      <c r="C463" s="3" t="inlineStr">
        <is>
          <t>1006401</t>
        </is>
      </c>
      <c r="D463" s="9" t="n">
        <v>15.7</v>
      </c>
      <c r="E463" s="3" t="n"/>
      <c r="F463" s="3" t="n"/>
      <c r="G463" s="9" t="n"/>
      <c r="H463" s="10" t="n">
        <v>45665.83707175926</v>
      </c>
      <c r="I463" s="10" t="n">
        <v>45665.83784722222</v>
      </c>
      <c r="J463" s="10" t="n">
        <v>45665.840625</v>
      </c>
      <c r="K463" s="11" t="n">
        <v>0.002777777777777778</v>
      </c>
      <c r="L463" s="13" t="n"/>
    </row>
    <row r="464">
      <c r="A464" s="3" t="inlineStr">
        <is>
          <t>Coupling</t>
        </is>
      </c>
      <c r="B464" s="3" t="inlineStr">
        <is>
          <t>Act_COP_1006402_200743_607</t>
        </is>
      </c>
      <c r="C464" s="3" t="inlineStr">
        <is>
          <t>1006402</t>
        </is>
      </c>
      <c r="D464" s="9" t="n">
        <v>15.7</v>
      </c>
      <c r="E464" s="3" t="n"/>
      <c r="F464" s="3" t="n"/>
      <c r="G464" s="9" t="n"/>
      <c r="H464" s="10" t="n">
        <v>45665.83869212963</v>
      </c>
      <c r="I464" s="10" t="n">
        <v>45665.83952546296</v>
      </c>
      <c r="J464" s="10" t="n">
        <v>45665.84258101852</v>
      </c>
      <c r="K464" s="11" t="n">
        <v>0.003055555555555556</v>
      </c>
      <c r="L464" s="13" t="n"/>
    </row>
    <row r="465">
      <c r="A465" s="3" t="inlineStr">
        <is>
          <t>Coupling</t>
        </is>
      </c>
      <c r="B465" s="3" t="inlineStr">
        <is>
          <t>Act_COP_1006403_201011_606</t>
        </is>
      </c>
      <c r="C465" s="3" t="inlineStr">
        <is>
          <t>1006403</t>
        </is>
      </c>
      <c r="D465" s="9" t="n">
        <v>15.7</v>
      </c>
      <c r="E465" s="3" t="n"/>
      <c r="F465" s="3" t="n"/>
      <c r="G465" s="9" t="n"/>
      <c r="H465" s="10" t="n">
        <v>45665.84040509259</v>
      </c>
      <c r="I465" s="10" t="n">
        <v>45665.84120370371</v>
      </c>
      <c r="J465" s="10" t="n">
        <v>45665.84398148148</v>
      </c>
      <c r="K465" s="11" t="n">
        <v>0.002777777777777778</v>
      </c>
      <c r="L465" s="13" t="n"/>
    </row>
    <row r="466">
      <c r="A466" s="3" t="inlineStr">
        <is>
          <t>Coupling</t>
        </is>
      </c>
      <c r="B466" s="3" t="inlineStr">
        <is>
          <t>Act_COP_1006404_201307_625</t>
        </is>
      </c>
      <c r="C466" s="3" t="inlineStr">
        <is>
          <t>1006404</t>
        </is>
      </c>
      <c r="D466" s="9" t="n">
        <v>19.9</v>
      </c>
      <c r="E466" s="3" t="n"/>
      <c r="F466" s="3" t="n"/>
      <c r="G466" s="9" t="n"/>
      <c r="H466" s="10" t="n">
        <v>45665.84244212963</v>
      </c>
      <c r="I466" s="10" t="n">
        <v>45665.84321759259</v>
      </c>
      <c r="J466" s="10" t="n">
        <v>45665.84599537037</v>
      </c>
      <c r="K466" s="11" t="n">
        <v>0.002777777777777778</v>
      </c>
      <c r="L466" s="13" t="n"/>
    </row>
    <row r="467">
      <c r="A467" s="3" t="inlineStr">
        <is>
          <t>Coupling</t>
        </is>
      </c>
      <c r="B467" s="3" t="inlineStr">
        <is>
          <t>Act_COP_1006406_201653_613</t>
        </is>
      </c>
      <c r="C467" s="3" t="inlineStr">
        <is>
          <t>1006406</t>
        </is>
      </c>
      <c r="D467" s="9" t="n">
        <v>27</v>
      </c>
      <c r="E467" s="3" t="n"/>
      <c r="F467" s="3" t="n"/>
      <c r="G467" s="9" t="n"/>
      <c r="H467" s="10" t="n">
        <v>45665.84505787037</v>
      </c>
      <c r="I467" s="10" t="n">
        <v>45665.84584490741</v>
      </c>
      <c r="J467" s="10" t="n">
        <v>45665.84862268518</v>
      </c>
      <c r="K467" s="11" t="n">
        <v>0.002777777777777778</v>
      </c>
      <c r="L467" s="13" t="n"/>
    </row>
    <row r="468">
      <c r="A468" s="3" t="inlineStr">
        <is>
          <t>Coupling</t>
        </is>
      </c>
      <c r="B468" s="3" t="inlineStr">
        <is>
          <t>Act_COP_1006407_201942_619</t>
        </is>
      </c>
      <c r="C468" s="3" t="inlineStr">
        <is>
          <t>1006407</t>
        </is>
      </c>
      <c r="D468" s="9" t="n">
        <v>15.7</v>
      </c>
      <c r="E468" s="3" t="n"/>
      <c r="F468" s="3" t="n"/>
      <c r="G468" s="9" t="n"/>
      <c r="H468" s="10" t="n">
        <v>45665.84701388889</v>
      </c>
      <c r="I468" s="10" t="n">
        <v>45665.84777777778</v>
      </c>
      <c r="J468" s="10" t="n">
        <v>45665.85055555555</v>
      </c>
      <c r="K468" s="11" t="n">
        <v>0.002777777777777778</v>
      </c>
      <c r="L468" s="13" t="n"/>
    </row>
    <row r="469">
      <c r="A469" s="3" t="inlineStr">
        <is>
          <t>Coupling</t>
        </is>
      </c>
      <c r="B469" s="3" t="inlineStr">
        <is>
          <t>Act_COP_1006408_202215_605</t>
        </is>
      </c>
      <c r="C469" s="3" t="inlineStr">
        <is>
          <t>1006408</t>
        </is>
      </c>
      <c r="D469" s="9" t="n">
        <v>39.8</v>
      </c>
      <c r="E469" s="3" t="n"/>
      <c r="F469" s="3" t="n"/>
      <c r="G469" s="9" t="n"/>
      <c r="H469" s="10" t="n">
        <v>45665.84878472222</v>
      </c>
      <c r="I469" s="10" t="n">
        <v>45665.84965277778</v>
      </c>
      <c r="J469" s="10" t="n">
        <v>45665.85270833333</v>
      </c>
      <c r="K469" s="11" t="n">
        <v>0.003055555555555556</v>
      </c>
      <c r="L469" s="13" t="n"/>
    </row>
    <row r="470">
      <c r="A470" s="3" t="inlineStr">
        <is>
          <t>Coupling</t>
        </is>
      </c>
      <c r="B470" s="3" t="inlineStr">
        <is>
          <t>Act_COP_1006409_202435_607</t>
        </is>
      </c>
      <c r="C470" s="3" t="inlineStr">
        <is>
          <t>1006409</t>
        </is>
      </c>
      <c r="D470" s="9" t="n">
        <v>15.7</v>
      </c>
      <c r="E470" s="3" t="n"/>
      <c r="F470" s="3" t="n"/>
      <c r="G470" s="9" t="n"/>
      <c r="H470" s="10" t="n">
        <v>45665.85040509259</v>
      </c>
      <c r="I470" s="10" t="n">
        <v>45665.85119212963</v>
      </c>
      <c r="J470" s="10" t="n">
        <v>45665.85396990741</v>
      </c>
      <c r="K470" s="11" t="n">
        <v>0.002777777777777778</v>
      </c>
      <c r="L470" s="13" t="n"/>
    </row>
    <row r="471">
      <c r="A471" s="3" t="inlineStr">
        <is>
          <t>Coupling</t>
        </is>
      </c>
      <c r="B471" s="3" t="inlineStr">
        <is>
          <t>Act_COP_1006501_202755_617</t>
        </is>
      </c>
      <c r="C471" s="3" t="inlineStr">
        <is>
          <t>1006501</t>
        </is>
      </c>
      <c r="D471" s="9" t="n">
        <v>99.5</v>
      </c>
      <c r="E471" s="3" t="n"/>
      <c r="F471" s="3" t="n"/>
      <c r="G471" s="9" t="n"/>
      <c r="H471" s="10" t="n">
        <v>45665.85271990741</v>
      </c>
      <c r="I471" s="10" t="n">
        <v>45665.85349537037</v>
      </c>
      <c r="J471" s="10" t="n">
        <v>45665.85627314815</v>
      </c>
      <c r="K471" s="11" t="n">
        <v>0.002777777777777778</v>
      </c>
      <c r="L471" s="13" t="n"/>
    </row>
    <row r="472">
      <c r="A472" s="3" t="inlineStr">
        <is>
          <t>Coupling</t>
        </is>
      </c>
      <c r="B472" s="3" t="inlineStr">
        <is>
          <t>Act_COP_1006601_030119_613</t>
        </is>
      </c>
      <c r="C472" s="3" t="inlineStr">
        <is>
          <t>1006601</t>
        </is>
      </c>
      <c r="D472" s="9" t="n">
        <v>44</v>
      </c>
      <c r="E472" s="3" t="n"/>
      <c r="F472" s="3" t="n"/>
      <c r="G472" s="9" t="n"/>
      <c r="H472" s="10" t="n">
        <v>45666.12591435185</v>
      </c>
      <c r="I472" s="10" t="n">
        <v>45666.12678240741</v>
      </c>
      <c r="J472" s="10" t="n">
        <v>45666.12983796297</v>
      </c>
      <c r="K472" s="11" t="n">
        <v>0.003055555555555556</v>
      </c>
      <c r="L472" s="13" t="n"/>
    </row>
    <row r="473">
      <c r="A473" s="3" t="inlineStr">
        <is>
          <t>Coupling</t>
        </is>
      </c>
      <c r="B473" s="3" t="inlineStr">
        <is>
          <t>Act_COP_1006602_030352_623</t>
        </is>
      </c>
      <c r="C473" s="3" t="inlineStr">
        <is>
          <t>1006602</t>
        </is>
      </c>
      <c r="D473" s="9" t="n">
        <v>19.9</v>
      </c>
      <c r="E473" s="3" t="n"/>
      <c r="F473" s="3" t="n"/>
      <c r="G473" s="9" t="n"/>
      <c r="H473" s="10" t="n">
        <v>45666.12768518519</v>
      </c>
      <c r="I473" s="10" t="n">
        <v>45666.12855324074</v>
      </c>
      <c r="J473" s="10" t="n">
        <v>45666.1316087963</v>
      </c>
      <c r="K473" s="11" t="n">
        <v>0.003055555555555556</v>
      </c>
      <c r="L473" s="13" t="n"/>
    </row>
    <row r="474">
      <c r="A474" s="3" t="inlineStr">
        <is>
          <t>Coupling</t>
        </is>
      </c>
      <c r="B474" s="3" t="inlineStr">
        <is>
          <t>Act_COP_1006603_030704_625</t>
        </is>
      </c>
      <c r="C474" s="3" t="inlineStr">
        <is>
          <t>1006603</t>
        </is>
      </c>
      <c r="D474" s="9" t="n">
        <v>100.6</v>
      </c>
      <c r="E474" s="3" t="n"/>
      <c r="F474" s="3" t="n"/>
      <c r="G474" s="9" t="n"/>
      <c r="H474" s="10" t="n">
        <v>45666.1299074074</v>
      </c>
      <c r="I474" s="10" t="n">
        <v>45666.13075231481</v>
      </c>
      <c r="J474" s="10" t="n">
        <v>45666.13380787037</v>
      </c>
      <c r="K474" s="11" t="n">
        <v>0.003055555555555556</v>
      </c>
      <c r="L474" s="13" t="n"/>
    </row>
    <row r="475">
      <c r="A475" s="3" t="inlineStr">
        <is>
          <t>Coupling</t>
        </is>
      </c>
      <c r="B475" s="3" t="inlineStr">
        <is>
          <t>Act_COP_1006701_063313_615</t>
        </is>
      </c>
      <c r="C475" s="3" t="inlineStr">
        <is>
          <t>1006701</t>
        </is>
      </c>
      <c r="D475" s="9" t="n">
        <v>63</v>
      </c>
      <c r="E475" s="3" t="n"/>
      <c r="F475" s="3" t="n"/>
      <c r="G475" s="9" t="n"/>
      <c r="H475" s="10" t="n">
        <v>45666.27306712963</v>
      </c>
      <c r="I475" s="10" t="n">
        <v>45666.27384259259</v>
      </c>
      <c r="J475" s="10" t="n">
        <v>45666.27662037037</v>
      </c>
      <c r="K475" s="11" t="n">
        <v>0.002777777777777778</v>
      </c>
      <c r="L475" s="13" t="n"/>
    </row>
    <row r="476">
      <c r="A476" s="3" t="inlineStr">
        <is>
          <t>Coupling</t>
        </is>
      </c>
      <c r="B476" s="3" t="inlineStr">
        <is>
          <t>Act_COP_1006702_063623_619</t>
        </is>
      </c>
      <c r="C476" s="3" t="inlineStr">
        <is>
          <t>1006702</t>
        </is>
      </c>
      <c r="D476" s="9" t="n">
        <v>121.1</v>
      </c>
      <c r="E476" s="3" t="n"/>
      <c r="F476" s="3" t="n"/>
      <c r="G476" s="9" t="n"/>
      <c r="H476" s="10" t="n">
        <v>45666.2752662037</v>
      </c>
      <c r="I476" s="10" t="n">
        <v>45666.27613425926</v>
      </c>
      <c r="J476" s="10" t="n">
        <v>45666.27918981481</v>
      </c>
      <c r="K476" s="11" t="n">
        <v>0.003055555555555556</v>
      </c>
      <c r="L476" s="13" t="n"/>
    </row>
    <row r="477">
      <c r="A477" s="3" t="inlineStr">
        <is>
          <t>Coupling</t>
        </is>
      </c>
      <c r="B477" s="3" t="inlineStr">
        <is>
          <t>Act_COP_1006705_064302_613</t>
        </is>
      </c>
      <c r="C477" s="3" t="inlineStr">
        <is>
          <t>1006705</t>
        </is>
      </c>
      <c r="D477" s="9" t="n">
        <v>27</v>
      </c>
      <c r="E477" s="3" t="n"/>
      <c r="F477" s="3" t="n"/>
      <c r="G477" s="9" t="n"/>
      <c r="H477" s="10" t="n">
        <v>45666.27988425926</v>
      </c>
      <c r="I477" s="10" t="n">
        <v>45666.28092592592</v>
      </c>
      <c r="J477" s="10" t="n">
        <v>45666.28398148148</v>
      </c>
      <c r="K477" s="11" t="n">
        <v>0.003055555555555556</v>
      </c>
      <c r="L477" s="13" t="n"/>
    </row>
    <row r="478">
      <c r="A478" s="3" t="inlineStr">
        <is>
          <t>Coupling</t>
        </is>
      </c>
      <c r="B478" s="3" t="inlineStr">
        <is>
          <t>Act_COP_1006707_064656_611</t>
        </is>
      </c>
      <c r="C478" s="3" t="inlineStr">
        <is>
          <t>1006707</t>
        </is>
      </c>
      <c r="D478" s="9" t="n">
        <v>31.5</v>
      </c>
      <c r="E478" s="3" t="n"/>
      <c r="F478" s="3" t="n"/>
      <c r="G478" s="9" t="n"/>
      <c r="H478" s="10" t="n">
        <v>45666.28259259259</v>
      </c>
      <c r="I478" s="10" t="n">
        <v>45666.2852199074</v>
      </c>
      <c r="J478" s="10" t="n">
        <v>45666.28799768518</v>
      </c>
      <c r="K478" s="11" t="n">
        <v>0.002777777777777778</v>
      </c>
      <c r="L478" s="13" t="n"/>
    </row>
    <row r="479">
      <c r="A479" s="3" t="inlineStr">
        <is>
          <t>Coupling</t>
        </is>
      </c>
      <c r="B479" s="3" t="inlineStr">
        <is>
          <t>Act_COP_1006709_065226_623</t>
        </is>
      </c>
      <c r="C479" s="3" t="inlineStr">
        <is>
          <t>1006709</t>
        </is>
      </c>
      <c r="D479" s="9" t="n">
        <v>43.1</v>
      </c>
      <c r="E479" s="3" t="n"/>
      <c r="F479" s="3" t="n"/>
      <c r="G479" s="9" t="n"/>
      <c r="H479" s="10" t="n">
        <v>45666.28641203704</v>
      </c>
      <c r="I479" s="10" t="n">
        <v>45666.28898148148</v>
      </c>
      <c r="J479" s="10" t="n">
        <v>45666.29203703703</v>
      </c>
      <c r="K479" s="11" t="n">
        <v>0.003055555555555556</v>
      </c>
      <c r="L479" s="13" t="n"/>
    </row>
    <row r="480">
      <c r="A480" s="3" t="inlineStr">
        <is>
          <t>Coupling</t>
        </is>
      </c>
      <c r="B480" s="3" t="inlineStr">
        <is>
          <t>Act_COP_1007001_073531_609</t>
        </is>
      </c>
      <c r="C480" s="3" t="inlineStr">
        <is>
          <t>1007001</t>
        </is>
      </c>
      <c r="D480" s="9" t="n">
        <v>325</v>
      </c>
      <c r="E480" s="3" t="n"/>
      <c r="F480" s="3" t="n"/>
      <c r="G480" s="9" t="n"/>
      <c r="H480" s="10" t="n">
        <v>45666.31633101852</v>
      </c>
      <c r="I480" s="10" t="n">
        <v>45666.31717592593</v>
      </c>
      <c r="J480" s="10" t="n">
        <v>45666.32023148148</v>
      </c>
      <c r="K480" s="11" t="n">
        <v>0.003055555555555556</v>
      </c>
      <c r="L480" s="13" t="n"/>
    </row>
    <row r="481">
      <c r="A481" s="3" t="inlineStr">
        <is>
          <t>Coupling</t>
        </is>
      </c>
      <c r="B481" s="3" t="inlineStr">
        <is>
          <t>Act_COP_1006902_074038_609</t>
        </is>
      </c>
      <c r="C481" s="3" t="inlineStr">
        <is>
          <t>1006902</t>
        </is>
      </c>
      <c r="D481" s="9" t="n">
        <v>14</v>
      </c>
      <c r="E481" s="3" t="n"/>
      <c r="F481" s="3" t="n"/>
      <c r="G481" s="9" t="n"/>
      <c r="H481" s="10" t="n">
        <v>45666.31988425926</v>
      </c>
      <c r="I481" s="10" t="n">
        <v>45666.32067129629</v>
      </c>
      <c r="J481" s="10" t="n">
        <v>45666.32344907407</v>
      </c>
      <c r="K481" s="11" t="n">
        <v>0.002777777777777778</v>
      </c>
      <c r="L481" s="13" t="n"/>
    </row>
    <row r="482">
      <c r="A482" s="3" t="inlineStr">
        <is>
          <t>Coupling</t>
        </is>
      </c>
      <c r="B482" s="3" t="inlineStr">
        <is>
          <t>Act_COP_1006903_074328_621</t>
        </is>
      </c>
      <c r="C482" s="3" t="inlineStr">
        <is>
          <t>1006903</t>
        </is>
      </c>
      <c r="D482" s="9" t="n">
        <v>21</v>
      </c>
      <c r="E482" s="3" t="n"/>
      <c r="F482" s="3" t="n"/>
      <c r="G482" s="9" t="n"/>
      <c r="H482" s="10" t="n">
        <v>45666.32185185186</v>
      </c>
      <c r="I482" s="10" t="n">
        <v>45666.32271990741</v>
      </c>
      <c r="J482" s="10" t="n">
        <v>45666.32577546296</v>
      </c>
      <c r="K482" s="11" t="n">
        <v>0.003055555555555556</v>
      </c>
      <c r="L482" s="13" t="n"/>
    </row>
    <row r="483">
      <c r="A483" s="3" t="inlineStr">
        <is>
          <t>Coupling</t>
        </is>
      </c>
      <c r="B483" s="3" t="inlineStr">
        <is>
          <t>Act_COP_1006904_074534_611</t>
        </is>
      </c>
      <c r="C483" s="3" t="inlineStr">
        <is>
          <t>1006904</t>
        </is>
      </c>
      <c r="D483" s="9" t="n">
        <v>47.2</v>
      </c>
      <c r="E483" s="3" t="n"/>
      <c r="F483" s="3" t="n"/>
      <c r="G483" s="9" t="n"/>
      <c r="H483" s="10" t="n">
        <v>45666.32331018519</v>
      </c>
      <c r="I483" s="10" t="n">
        <v>45666.3241550926</v>
      </c>
      <c r="J483" s="10" t="n">
        <v>45666.32721064815</v>
      </c>
      <c r="K483" s="11" t="n">
        <v>0.003055555555555556</v>
      </c>
      <c r="L483" s="13" t="n"/>
    </row>
    <row r="484">
      <c r="A484" s="3" t="inlineStr">
        <is>
          <t>Coupling</t>
        </is>
      </c>
      <c r="B484" s="3" t="inlineStr">
        <is>
          <t>Act_COP_1006905_074804_605</t>
        </is>
      </c>
      <c r="C484" s="3" t="inlineStr">
        <is>
          <t>1006905</t>
        </is>
      </c>
      <c r="D484" s="9" t="n">
        <v>19.9</v>
      </c>
      <c r="E484" s="3" t="n"/>
      <c r="F484" s="3" t="n"/>
      <c r="G484" s="9" t="n"/>
      <c r="H484" s="10" t="n">
        <v>45666.3250462963</v>
      </c>
      <c r="I484" s="10" t="n">
        <v>45666.32751157408</v>
      </c>
      <c r="J484" s="10" t="n">
        <v>45666.33056712963</v>
      </c>
      <c r="K484" s="11" t="n">
        <v>0.003055555555555556</v>
      </c>
      <c r="L484" s="13" t="n"/>
    </row>
    <row r="485">
      <c r="A485" s="3" t="inlineStr">
        <is>
          <t>Coupling</t>
        </is>
      </c>
      <c r="B485" s="3" t="inlineStr">
        <is>
          <t>Act_COP_1006906_074955_613</t>
        </is>
      </c>
      <c r="C485" s="3" t="inlineStr">
        <is>
          <t>1006906</t>
        </is>
      </c>
      <c r="D485" s="9" t="n">
        <v>19.9</v>
      </c>
      <c r="E485" s="3" t="n"/>
      <c r="F485" s="3" t="n"/>
      <c r="G485" s="9" t="n"/>
      <c r="H485" s="10" t="n">
        <v>45666.32633101852</v>
      </c>
      <c r="I485" s="10" t="n">
        <v>45666.32758101852</v>
      </c>
      <c r="J485" s="10" t="n">
        <v>45666.33035879629</v>
      </c>
      <c r="K485" s="11" t="n">
        <v>0.002777777777777778</v>
      </c>
      <c r="L485" s="13" t="n"/>
    </row>
    <row r="486">
      <c r="A486" s="3" t="inlineStr">
        <is>
          <t>Coupling</t>
        </is>
      </c>
      <c r="B486" s="3" t="inlineStr">
        <is>
          <t>Act_COP_1007202_090601_627</t>
        </is>
      </c>
      <c r="C486" s="3" t="inlineStr">
        <is>
          <t>1007202</t>
        </is>
      </c>
      <c r="D486" s="9" t="n">
        <v>243.8</v>
      </c>
      <c r="E486" s="3" t="n"/>
      <c r="F486" s="3" t="n"/>
      <c r="G486" s="9" t="n"/>
      <c r="H486" s="10" t="n">
        <v>45666.37917824074</v>
      </c>
      <c r="I486" s="10" t="n">
        <v>45666.3800462963</v>
      </c>
      <c r="J486" s="10" t="n">
        <v>45666.38310185185</v>
      </c>
      <c r="K486" s="11" t="n">
        <v>0.003055555555555556</v>
      </c>
      <c r="L486" s="13" t="n"/>
    </row>
    <row r="487">
      <c r="A487" s="3" t="inlineStr">
        <is>
          <t>Coupling</t>
        </is>
      </c>
      <c r="B487" s="3" t="inlineStr">
        <is>
          <t>Act_COP_1007501_152321_621</t>
        </is>
      </c>
      <c r="C487" s="3" t="inlineStr">
        <is>
          <t>1007501</t>
        </is>
      </c>
      <c r="D487" s="9" t="n">
        <v>58.5</v>
      </c>
      <c r="E487" s="3" t="n"/>
      <c r="F487" s="3" t="n"/>
      <c r="G487" s="9" t="n"/>
      <c r="H487" s="10" t="n">
        <v>45666.64121527778</v>
      </c>
      <c r="I487" s="10" t="n">
        <v>45666.64199074074</v>
      </c>
      <c r="J487" s="10" t="n">
        <v>45666.64476851852</v>
      </c>
      <c r="K487" s="11" t="n">
        <v>0.002777777777777778</v>
      </c>
      <c r="L487" s="13" t="n"/>
    </row>
    <row r="488">
      <c r="A488" s="3" t="inlineStr">
        <is>
          <t>Coupling</t>
        </is>
      </c>
      <c r="B488" s="3" t="inlineStr">
        <is>
          <t>Act_COP_1007504_153047_615</t>
        </is>
      </c>
      <c r="C488" s="3" t="inlineStr">
        <is>
          <t>1007504</t>
        </is>
      </c>
      <c r="D488" s="9" t="n">
        <v>110.2</v>
      </c>
      <c r="E488" s="3" t="n"/>
      <c r="F488" s="3" t="n"/>
      <c r="G488" s="9" t="n"/>
      <c r="H488" s="10" t="n">
        <v>45666.64637731481</v>
      </c>
      <c r="I488" s="10" t="n">
        <v>45666.64747685185</v>
      </c>
      <c r="J488" s="10" t="n">
        <v>45666.65053240741</v>
      </c>
      <c r="K488" s="11" t="n">
        <v>0.003055555555555556</v>
      </c>
      <c r="L488" s="13" t="n"/>
    </row>
    <row r="489">
      <c r="A489" s="3" t="inlineStr">
        <is>
          <t>Coupling</t>
        </is>
      </c>
      <c r="B489" s="3" t="inlineStr">
        <is>
          <t>Act_COP_1007505_153306_607</t>
        </is>
      </c>
      <c r="C489" s="3" t="inlineStr">
        <is>
          <t>1007505</t>
        </is>
      </c>
      <c r="D489" s="9" t="n">
        <v>15.7</v>
      </c>
      <c r="E489" s="3" t="n"/>
      <c r="F489" s="3" t="n"/>
      <c r="G489" s="9" t="n"/>
      <c r="H489" s="10" t="n">
        <v>45666.64798611111</v>
      </c>
      <c r="I489" s="10" t="n">
        <v>45666.64923611111</v>
      </c>
      <c r="J489" s="10" t="n">
        <v>45666.65201388889</v>
      </c>
      <c r="K489" s="11" t="n">
        <v>0.002777777777777778</v>
      </c>
      <c r="L489" s="13" t="n"/>
    </row>
    <row r="490">
      <c r="A490" s="3" t="inlineStr">
        <is>
          <t>Coupling</t>
        </is>
      </c>
      <c r="B490" s="3" t="inlineStr">
        <is>
          <t>Act_COP_1007701_181029_613</t>
        </is>
      </c>
      <c r="C490" s="3" t="inlineStr">
        <is>
          <t>1007701</t>
        </is>
      </c>
      <c r="D490" s="9" t="n">
        <v>19.9</v>
      </c>
      <c r="E490" s="3" t="n"/>
      <c r="F490" s="3" t="n"/>
      <c r="G490" s="9" t="n"/>
      <c r="H490" s="10" t="n">
        <v>45666.75728009259</v>
      </c>
      <c r="I490" s="10" t="n">
        <v>45666.75814814815</v>
      </c>
      <c r="J490" s="10" t="n">
        <v>45666.7612037037</v>
      </c>
      <c r="K490" s="11" t="n">
        <v>0.003055555555555556</v>
      </c>
      <c r="L490" s="13" t="n"/>
    </row>
    <row r="491">
      <c r="A491" s="3" t="inlineStr">
        <is>
          <t>Coupling</t>
        </is>
      </c>
      <c r="B491" s="3" t="inlineStr">
        <is>
          <t>Act_COP_1007702_181325_625</t>
        </is>
      </c>
      <c r="C491" s="3" t="inlineStr">
        <is>
          <t>1007702</t>
        </is>
      </c>
      <c r="D491" s="9" t="n">
        <v>19.9</v>
      </c>
      <c r="E491" s="3" t="n"/>
      <c r="F491" s="3" t="n"/>
      <c r="G491" s="9" t="n"/>
      <c r="H491" s="10" t="n">
        <v>45666.75931712963</v>
      </c>
      <c r="I491" s="10" t="n">
        <v>45666.76010416666</v>
      </c>
      <c r="J491" s="10" t="n">
        <v>45666.76288194444</v>
      </c>
      <c r="K491" s="11" t="n">
        <v>0.002777777777777778</v>
      </c>
      <c r="L491" s="13" t="n"/>
    </row>
    <row r="492">
      <c r="A492" s="3" t="inlineStr">
        <is>
          <t>Coupling</t>
        </is>
      </c>
      <c r="B492" s="3" t="inlineStr">
        <is>
          <t>Act_COP_1007703_181554_606</t>
        </is>
      </c>
      <c r="C492" s="3" t="inlineStr">
        <is>
          <t>1007703</t>
        </is>
      </c>
      <c r="D492" s="9" t="n">
        <v>15.7</v>
      </c>
      <c r="E492" s="3" t="n"/>
      <c r="F492" s="3" t="n"/>
      <c r="G492" s="9" t="n"/>
      <c r="H492" s="10" t="n">
        <v>45666.76104166666</v>
      </c>
      <c r="I492" s="10" t="n">
        <v>45666.76190972222</v>
      </c>
      <c r="J492" s="10" t="n">
        <v>45666.76496527778</v>
      </c>
      <c r="K492" s="11" t="n">
        <v>0.003055555555555556</v>
      </c>
      <c r="L492" s="13" t="n"/>
    </row>
    <row r="493">
      <c r="A493" s="3" t="inlineStr">
        <is>
          <t>Coupling</t>
        </is>
      </c>
      <c r="B493" s="3" t="inlineStr">
        <is>
          <t>Act_COP_1007705_182052_619</t>
        </is>
      </c>
      <c r="C493" s="3" t="inlineStr">
        <is>
          <t>1007705</t>
        </is>
      </c>
      <c r="D493" s="9" t="n">
        <v>63</v>
      </c>
      <c r="E493" s="3" t="n"/>
      <c r="F493" s="3" t="n"/>
      <c r="G493" s="9" t="n"/>
      <c r="H493" s="10" t="n">
        <v>45666.76449074074</v>
      </c>
      <c r="I493" s="10" t="n">
        <v>45666.76528935185</v>
      </c>
      <c r="J493" s="10" t="n">
        <v>45666.76806712963</v>
      </c>
      <c r="K493" s="11" t="n">
        <v>0.002777777777777778</v>
      </c>
      <c r="L493" s="13" t="n"/>
    </row>
    <row r="494">
      <c r="A494" s="3" t="inlineStr">
        <is>
          <t>Coupling</t>
        </is>
      </c>
      <c r="B494" s="3" t="inlineStr">
        <is>
          <t>Act_COP_1007706_182243_613</t>
        </is>
      </c>
      <c r="C494" s="3" t="inlineStr">
        <is>
          <t>1007706</t>
        </is>
      </c>
      <c r="D494" s="9" t="n">
        <v>19.9</v>
      </c>
      <c r="E494" s="3" t="n"/>
      <c r="F494" s="3" t="n"/>
      <c r="G494" s="9" t="n"/>
      <c r="H494" s="10" t="n">
        <v>45666.76577546296</v>
      </c>
      <c r="I494" s="10" t="n">
        <v>45666.76664351852</v>
      </c>
      <c r="J494" s="10" t="n">
        <v>45666.76969907407</v>
      </c>
      <c r="K494" s="11" t="n">
        <v>0.003055555555555556</v>
      </c>
      <c r="L494" s="13" t="n"/>
    </row>
    <row r="495">
      <c r="A495" s="3" t="inlineStr">
        <is>
          <t>Coupling</t>
        </is>
      </c>
      <c r="B495" s="3" t="inlineStr">
        <is>
          <t>Act_COP_1007709_182935_609</t>
        </is>
      </c>
      <c r="C495" s="3" t="inlineStr">
        <is>
          <t>1007709</t>
        </is>
      </c>
      <c r="D495" s="9" t="n">
        <v>15.7</v>
      </c>
      <c r="E495" s="3" t="n"/>
      <c r="F495" s="3" t="n"/>
      <c r="G495" s="9" t="n"/>
      <c r="H495" s="10" t="n">
        <v>45666.77054398148</v>
      </c>
      <c r="I495" s="10" t="n">
        <v>45666.77143518518</v>
      </c>
      <c r="J495" s="10" t="n">
        <v>45666.77449074074</v>
      </c>
      <c r="K495" s="11" t="n">
        <v>0.003055555555555556</v>
      </c>
      <c r="L495" s="13" t="n"/>
    </row>
    <row r="496">
      <c r="A496" s="3" t="inlineStr">
        <is>
          <t>Coupling</t>
        </is>
      </c>
      <c r="B496" s="3" t="inlineStr">
        <is>
          <t>Act_COP_1007902_183603_606</t>
        </is>
      </c>
      <c r="C496" s="3" t="inlineStr">
        <is>
          <t>1007902</t>
        </is>
      </c>
      <c r="D496" s="9" t="n">
        <v>15.7</v>
      </c>
      <c r="E496" s="3" t="n"/>
      <c r="F496" s="3" t="n"/>
      <c r="G496" s="9" t="n"/>
      <c r="H496" s="10" t="n">
        <v>45666.77503472222</v>
      </c>
      <c r="I496" s="10" t="n">
        <v>45666.77622685185</v>
      </c>
      <c r="J496" s="10" t="n">
        <v>45666.77928240741</v>
      </c>
      <c r="K496" s="11" t="n">
        <v>0.003055555555555556</v>
      </c>
      <c r="L496" s="13" t="n"/>
    </row>
    <row r="497">
      <c r="A497" s="3" t="inlineStr">
        <is>
          <t>Coupling</t>
        </is>
      </c>
      <c r="B497" s="3" t="inlineStr">
        <is>
          <t>Act_COP_1007904_184116_607</t>
        </is>
      </c>
      <c r="C497" s="3" t="inlineStr">
        <is>
          <t>1007904</t>
        </is>
      </c>
      <c r="D497" s="9" t="n">
        <v>23.2</v>
      </c>
      <c r="E497" s="3" t="n"/>
      <c r="F497" s="3" t="n"/>
      <c r="G497" s="9" t="n"/>
      <c r="H497" s="10" t="n">
        <v>45666.77865740741</v>
      </c>
      <c r="I497" s="10" t="n">
        <v>45666.78101851852</v>
      </c>
      <c r="J497" s="10" t="n">
        <v>45666.78407407407</v>
      </c>
      <c r="K497" s="11" t="n">
        <v>0.003055555555555556</v>
      </c>
      <c r="L497" s="13" t="n"/>
    </row>
    <row r="498">
      <c r="A498" s="3" t="inlineStr">
        <is>
          <t>Coupling</t>
        </is>
      </c>
      <c r="B498" s="3" t="inlineStr">
        <is>
          <t>Act_COP_1007905_184323_609</t>
        </is>
      </c>
      <c r="C498" s="3" t="inlineStr">
        <is>
          <t>1007905</t>
        </is>
      </c>
      <c r="D498" s="9" t="n">
        <v>14</v>
      </c>
      <c r="E498" s="3" t="n"/>
      <c r="F498" s="3" t="n"/>
      <c r="G498" s="9" t="n"/>
      <c r="H498" s="10" t="n">
        <v>45666.78012731481</v>
      </c>
      <c r="I498" s="10" t="n">
        <v>45666.78122685185</v>
      </c>
      <c r="J498" s="10" t="n">
        <v>45666.78428240741</v>
      </c>
      <c r="K498" s="11" t="n">
        <v>0.003055555555555556</v>
      </c>
      <c r="L498" s="13" t="n"/>
    </row>
    <row r="499">
      <c r="A499" s="3" t="inlineStr">
        <is>
          <t>Coupling</t>
        </is>
      </c>
      <c r="B499" s="3" t="inlineStr">
        <is>
          <t>Act_COP_1007906_184550_605</t>
        </is>
      </c>
      <c r="C499" s="3" t="inlineStr">
        <is>
          <t>1007906</t>
        </is>
      </c>
      <c r="D499" s="9" t="n">
        <v>15.7</v>
      </c>
      <c r="E499" s="3" t="n"/>
      <c r="F499" s="3" t="n"/>
      <c r="G499" s="9" t="n"/>
      <c r="H499" s="10" t="n">
        <v>45666.7818287037</v>
      </c>
      <c r="I499" s="10" t="n">
        <v>45666.78581018518</v>
      </c>
      <c r="J499" s="10" t="n">
        <v>45666.78886574074</v>
      </c>
      <c r="K499" s="11" t="n">
        <v>0.003055555555555556</v>
      </c>
      <c r="L499" s="13" t="n"/>
    </row>
    <row r="500">
      <c r="A500" s="3" t="inlineStr">
        <is>
          <t>Coupling</t>
        </is>
      </c>
      <c r="B500" s="3" t="inlineStr">
        <is>
          <t>Act_COP_1007907_184837_621</t>
        </is>
      </c>
      <c r="C500" s="3" t="inlineStr">
        <is>
          <t>1007907</t>
        </is>
      </c>
      <c r="D500" s="9" t="n">
        <v>19.9</v>
      </c>
      <c r="E500" s="3" t="n"/>
      <c r="F500" s="3" t="n"/>
      <c r="G500" s="9" t="n"/>
      <c r="H500" s="10" t="n">
        <v>45666.78376157407</v>
      </c>
      <c r="I500" s="10" t="n">
        <v>45666.78601851852</v>
      </c>
      <c r="J500" s="10" t="n">
        <v>45666.78907407408</v>
      </c>
      <c r="K500" s="11" t="n">
        <v>0.003055555555555556</v>
      </c>
      <c r="L500" s="13" t="n"/>
    </row>
    <row r="501">
      <c r="A501" s="3" t="inlineStr">
        <is>
          <t>Coupling</t>
        </is>
      </c>
      <c r="B501" s="3" t="inlineStr">
        <is>
          <t>Act_COP_1007909_185249_609</t>
        </is>
      </c>
      <c r="C501" s="3" t="inlineStr">
        <is>
          <t>1007909</t>
        </is>
      </c>
      <c r="D501" s="9" t="n">
        <v>63</v>
      </c>
      <c r="E501" s="3" t="n"/>
      <c r="F501" s="3" t="n"/>
      <c r="G501" s="9" t="n"/>
      <c r="H501" s="10" t="n">
        <v>45666.78667824074</v>
      </c>
      <c r="I501" s="10" t="n">
        <v>45666.78763888889</v>
      </c>
      <c r="J501" s="10" t="n">
        <v>45666.79069444445</v>
      </c>
      <c r="K501" s="11" t="n">
        <v>0.003055555555555556</v>
      </c>
      <c r="L501" s="13" t="n"/>
    </row>
    <row r="502">
      <c r="A502" s="3" t="inlineStr">
        <is>
          <t>Coupling</t>
        </is>
      </c>
      <c r="B502" s="3" t="inlineStr">
        <is>
          <t>Act_COP_1007910_185531_627</t>
        </is>
      </c>
      <c r="C502" s="3" t="inlineStr">
        <is>
          <t>1007910</t>
        </is>
      </c>
      <c r="D502" s="9" t="n">
        <v>15.7</v>
      </c>
      <c r="E502" s="3" t="n"/>
      <c r="F502" s="3" t="n"/>
      <c r="G502" s="9" t="n"/>
      <c r="H502" s="10" t="n">
        <v>45666.78855324074</v>
      </c>
      <c r="I502" s="10" t="n">
        <v>45666.79043981482</v>
      </c>
      <c r="J502" s="10" t="n">
        <v>45666.7932175926</v>
      </c>
      <c r="K502" s="11" t="n">
        <v>0.002777777777777778</v>
      </c>
      <c r="L502" s="13" t="n"/>
    </row>
    <row r="503">
      <c r="A503" s="3" t="inlineStr">
        <is>
          <t>Coupling</t>
        </is>
      </c>
      <c r="B503" s="3" t="inlineStr">
        <is>
          <t>Act_COP_1007911_185815_605</t>
        </is>
      </c>
      <c r="C503" s="3" t="inlineStr">
        <is>
          <t>1007911</t>
        </is>
      </c>
      <c r="D503" s="9" t="n">
        <v>101.7</v>
      </c>
      <c r="E503" s="3" t="n"/>
      <c r="F503" s="3" t="n"/>
      <c r="G503" s="9" t="n"/>
      <c r="H503" s="10" t="n">
        <v>45666.79045138889</v>
      </c>
      <c r="I503" s="10" t="n">
        <v>45666.79237268519</v>
      </c>
      <c r="J503" s="10" t="n">
        <v>45666.79542824074</v>
      </c>
      <c r="K503" s="11" t="n">
        <v>0.003055555555555556</v>
      </c>
      <c r="L503" s="13" t="n"/>
    </row>
    <row r="504">
      <c r="A504" s="3" t="inlineStr">
        <is>
          <t>Coupling</t>
        </is>
      </c>
      <c r="B504" s="3" t="inlineStr">
        <is>
          <t>Act_COP_1008003_202955_613</t>
        </is>
      </c>
      <c r="C504" s="3" t="inlineStr">
        <is>
          <t>1008003</t>
        </is>
      </c>
      <c r="D504" s="9" t="n">
        <v>31.5</v>
      </c>
      <c r="E504" s="3" t="n"/>
      <c r="F504" s="3" t="n"/>
      <c r="G504" s="9" t="n"/>
      <c r="H504" s="10" t="n">
        <v>45666.85410879629</v>
      </c>
      <c r="I504" s="10" t="n">
        <v>45666.85494212963</v>
      </c>
      <c r="J504" s="10" t="n">
        <v>45666.85799768518</v>
      </c>
      <c r="K504" s="11" t="n">
        <v>0.003055555555555556</v>
      </c>
      <c r="L504" s="13" t="n"/>
    </row>
    <row r="505">
      <c r="A505" s="3" t="inlineStr">
        <is>
          <t>Coupling</t>
        </is>
      </c>
      <c r="B505" s="3" t="inlineStr">
        <is>
          <t>Act_COP_1008005_203529_625</t>
        </is>
      </c>
      <c r="C505" s="3" t="inlineStr">
        <is>
          <t>1008005</t>
        </is>
      </c>
      <c r="D505" s="9" t="n">
        <v>19.9</v>
      </c>
      <c r="E505" s="3" t="n"/>
      <c r="F505" s="3" t="n"/>
      <c r="G505" s="9" t="n"/>
      <c r="H505" s="10" t="n">
        <v>45666.85797453704</v>
      </c>
      <c r="I505" s="10" t="n">
        <v>45666.85883101852</v>
      </c>
      <c r="J505" s="10" t="n">
        <v>45666.86188657407</v>
      </c>
      <c r="K505" s="11" t="n">
        <v>0.003055555555555556</v>
      </c>
      <c r="L505" s="13" t="n"/>
    </row>
    <row r="506">
      <c r="A506" s="3" t="inlineStr">
        <is>
          <t>Coupling</t>
        </is>
      </c>
      <c r="B506" s="3" t="inlineStr">
        <is>
          <t>Act_COP_1008006_203834_625</t>
        </is>
      </c>
      <c r="C506" s="3" t="inlineStr">
        <is>
          <t>1008006</t>
        </is>
      </c>
      <c r="D506" s="9" t="n">
        <v>63</v>
      </c>
      <c r="E506" s="3" t="n"/>
      <c r="F506" s="3" t="n"/>
      <c r="G506" s="9" t="n"/>
      <c r="H506" s="10" t="n">
        <v>45666.86011574074</v>
      </c>
      <c r="I506" s="10" t="n">
        <v>45666.86090277778</v>
      </c>
      <c r="J506" s="10" t="n">
        <v>45666.86368055556</v>
      </c>
      <c r="K506" s="11" t="n">
        <v>0.002777777777777778</v>
      </c>
      <c r="L506" s="13" t="n"/>
    </row>
    <row r="507">
      <c r="A507" s="3" t="inlineStr">
        <is>
          <t>Coupling</t>
        </is>
      </c>
      <c r="B507" s="3" t="inlineStr">
        <is>
          <t>Act_COP_1008008_204346_629</t>
        </is>
      </c>
      <c r="C507" s="3" t="inlineStr">
        <is>
          <t>1008008</t>
        </is>
      </c>
      <c r="D507" s="9" t="n">
        <v>51.4</v>
      </c>
      <c r="E507" s="3" t="n"/>
      <c r="F507" s="3" t="n"/>
      <c r="G507" s="9" t="n"/>
      <c r="H507" s="10" t="n">
        <v>45666.86372685185</v>
      </c>
      <c r="I507" s="10" t="n">
        <v>45666.86459490741</v>
      </c>
      <c r="J507" s="10" t="n">
        <v>45666.86765046296</v>
      </c>
      <c r="K507" s="11" t="n">
        <v>0.003055555555555556</v>
      </c>
      <c r="L507" s="13" t="n"/>
    </row>
    <row r="508">
      <c r="A508" s="3" t="inlineStr">
        <is>
          <t>Coupling</t>
        </is>
      </c>
      <c r="B508" s="3" t="inlineStr">
        <is>
          <t>Act_COP_1008101_030054_617</t>
        </is>
      </c>
      <c r="C508" s="3" t="inlineStr">
        <is>
          <t>1008101</t>
        </is>
      </c>
      <c r="D508" s="9" t="n">
        <v>44</v>
      </c>
      <c r="E508" s="3" t="n"/>
      <c r="F508" s="3" t="n"/>
      <c r="G508" s="9" t="n"/>
      <c r="H508" s="10" t="n">
        <v>45667.125625</v>
      </c>
      <c r="I508" s="10" t="n">
        <v>45667.12649305556</v>
      </c>
      <c r="J508" s="10" t="n">
        <v>45667.12954861111</v>
      </c>
      <c r="K508" s="11" t="n">
        <v>0.003055555555555556</v>
      </c>
      <c r="L508" s="13" t="n"/>
    </row>
    <row r="509">
      <c r="A509" s="3" t="inlineStr">
        <is>
          <t>Coupling</t>
        </is>
      </c>
      <c r="B509" s="3" t="inlineStr">
        <is>
          <t>Act_COP_1008102_030345_627</t>
        </is>
      </c>
      <c r="C509" s="3" t="inlineStr">
        <is>
          <t>1008102</t>
        </is>
      </c>
      <c r="D509" s="9" t="n">
        <v>47.2</v>
      </c>
      <c r="E509" s="3" t="n"/>
      <c r="F509" s="3" t="n"/>
      <c r="G509" s="9" t="n"/>
      <c r="H509" s="10" t="n">
        <v>45667.12760416666</v>
      </c>
      <c r="I509" s="10" t="n">
        <v>45667.12844907407</v>
      </c>
      <c r="J509" s="10" t="n">
        <v>45667.13150462963</v>
      </c>
      <c r="K509" s="11" t="n">
        <v>0.003055555555555556</v>
      </c>
      <c r="L509" s="13" t="n"/>
    </row>
    <row r="510">
      <c r="A510" s="3" t="inlineStr">
        <is>
          <t>Coupling</t>
        </is>
      </c>
      <c r="B510" s="3" t="inlineStr">
        <is>
          <t>Act_COP_1008103_030707_621</t>
        </is>
      </c>
      <c r="C510" s="3" t="inlineStr">
        <is>
          <t>1008103</t>
        </is>
      </c>
      <c r="D510" s="9" t="n">
        <v>182.4</v>
      </c>
      <c r="E510" s="3" t="n"/>
      <c r="F510" s="3" t="n"/>
      <c r="G510" s="9" t="n"/>
      <c r="H510" s="10" t="n">
        <v>45667.12994212963</v>
      </c>
      <c r="I510" s="10" t="n">
        <v>45667.13078703704</v>
      </c>
      <c r="J510" s="10" t="n">
        <v>45667.13384259259</v>
      </c>
      <c r="K510" s="11" t="n">
        <v>0.003055555555555556</v>
      </c>
      <c r="L510" s="13" t="n"/>
    </row>
    <row r="511">
      <c r="A511" s="3" t="inlineStr">
        <is>
          <t>Coupling</t>
        </is>
      </c>
      <c r="B511" s="3" t="inlineStr">
        <is>
          <t>Act_COP_1008104_030943_623</t>
        </is>
      </c>
      <c r="C511" s="3" t="inlineStr">
        <is>
          <t>1008104</t>
        </is>
      </c>
      <c r="D511" s="9" t="n">
        <v>35.6</v>
      </c>
      <c r="E511" s="3" t="n"/>
      <c r="F511" s="3" t="n"/>
      <c r="G511" s="9" t="n"/>
      <c r="H511" s="10" t="n">
        <v>45667.13174768518</v>
      </c>
      <c r="I511" s="10" t="n">
        <v>45667.13261574074</v>
      </c>
      <c r="J511" s="10" t="n">
        <v>45667.1356712963</v>
      </c>
      <c r="K511" s="11" t="n">
        <v>0.003055555555555556</v>
      </c>
      <c r="L511" s="13" t="n"/>
    </row>
    <row r="512">
      <c r="A512" s="3" t="inlineStr">
        <is>
          <t>Coupling</t>
        </is>
      </c>
      <c r="B512" s="3" t="inlineStr">
        <is>
          <t>Act_COP_1008201_044514_615</t>
        </is>
      </c>
      <c r="C512" s="3" t="inlineStr">
        <is>
          <t>1008201</t>
        </is>
      </c>
      <c r="D512" s="9" t="n">
        <v>219.5</v>
      </c>
      <c r="E512" s="3" t="n"/>
      <c r="F512" s="3" t="n"/>
      <c r="G512" s="9" t="n"/>
      <c r="H512" s="10" t="n">
        <v>45667.1980787037</v>
      </c>
      <c r="I512" s="10" t="n">
        <v>45667.19893518519</v>
      </c>
      <c r="J512" s="10" t="n">
        <v>45667.20199074074</v>
      </c>
      <c r="K512" s="11" t="n">
        <v>0.003055555555555556</v>
      </c>
      <c r="L512" s="13" t="n"/>
    </row>
    <row r="513">
      <c r="A513" s="3" t="inlineStr">
        <is>
          <t>Coupling</t>
        </is>
      </c>
      <c r="B513" s="3" t="inlineStr">
        <is>
          <t>Act_COP_1008301_060103_611</t>
        </is>
      </c>
      <c r="C513" s="3" t="inlineStr">
        <is>
          <t>1008301</t>
        </is>
      </c>
      <c r="D513" s="9" t="n">
        <v>298</v>
      </c>
      <c r="E513" s="3" t="n"/>
      <c r="F513" s="3" t="n"/>
      <c r="G513" s="9" t="n"/>
      <c r="H513" s="10" t="n">
        <v>45667.25072916667</v>
      </c>
      <c r="I513" s="10" t="n">
        <v>45667.25159722222</v>
      </c>
      <c r="J513" s="10" t="n">
        <v>45667.25465277778</v>
      </c>
      <c r="K513" s="11" t="n">
        <v>0.003055555555555556</v>
      </c>
      <c r="L513" s="13" t="n"/>
    </row>
    <row r="514">
      <c r="A514" s="3" t="inlineStr">
        <is>
          <t>Coupling</t>
        </is>
      </c>
      <c r="B514" s="3" t="inlineStr">
        <is>
          <t>Act_COP_1008402_070921_627</t>
        </is>
      </c>
      <c r="C514" s="3" t="inlineStr">
        <is>
          <t>1008402</t>
        </is>
      </c>
      <c r="D514" s="9" t="n">
        <v>15.7</v>
      </c>
      <c r="E514" s="3" t="n"/>
      <c r="F514" s="3" t="n"/>
      <c r="G514" s="9" t="n"/>
      <c r="H514" s="10" t="n">
        <v>45667.29815972222</v>
      </c>
      <c r="I514" s="10" t="n">
        <v>45667.29899305556</v>
      </c>
      <c r="J514" s="10" t="n">
        <v>45667.30204861111</v>
      </c>
      <c r="K514" s="11" t="n">
        <v>0.003055555555555556</v>
      </c>
      <c r="L514" s="13" t="n"/>
    </row>
    <row r="515">
      <c r="A515" s="3" t="inlineStr">
        <is>
          <t>Coupling</t>
        </is>
      </c>
      <c r="B515" s="3" t="inlineStr">
        <is>
          <t>Act_COP_1008403_071127_613</t>
        </is>
      </c>
      <c r="C515" s="3" t="inlineStr">
        <is>
          <t>1008403</t>
        </is>
      </c>
      <c r="D515" s="9" t="n">
        <v>94.40000000000001</v>
      </c>
      <c r="E515" s="3" t="n"/>
      <c r="F515" s="3" t="n"/>
      <c r="G515" s="9" t="n"/>
      <c r="H515" s="10" t="n">
        <v>45667.29961805556</v>
      </c>
      <c r="I515" s="10" t="n">
        <v>45667.30048611111</v>
      </c>
      <c r="J515" s="10" t="n">
        <v>45667.30354166667</v>
      </c>
      <c r="K515" s="11" t="n">
        <v>0.003055555555555556</v>
      </c>
      <c r="L515" s="13" t="n"/>
    </row>
    <row r="516">
      <c r="A516" s="3" t="inlineStr">
        <is>
          <t>Coupling</t>
        </is>
      </c>
      <c r="B516" s="3" t="inlineStr">
        <is>
          <t>Act_COP_1008404_071418_605</t>
        </is>
      </c>
      <c r="C516" s="3" t="inlineStr">
        <is>
          <t>1008404</t>
        </is>
      </c>
      <c r="D516" s="9" t="n">
        <v>124.4</v>
      </c>
      <c r="E516" s="3" t="n"/>
      <c r="F516" s="3" t="n"/>
      <c r="G516" s="9" t="n"/>
      <c r="H516" s="10" t="n">
        <v>45667.30159722222</v>
      </c>
      <c r="I516" s="10" t="n">
        <v>45667.30246527777</v>
      </c>
      <c r="J516" s="10" t="n">
        <v>45667.30552083333</v>
      </c>
      <c r="K516" s="11" t="n">
        <v>0.003055555555555556</v>
      </c>
      <c r="L516" s="13" t="n"/>
    </row>
    <row r="517">
      <c r="A517" s="3" t="inlineStr">
        <is>
          <t>Coupling</t>
        </is>
      </c>
      <c r="B517" s="3" t="inlineStr">
        <is>
          <t>Act_COP_1008406_071858_625</t>
        </is>
      </c>
      <c r="C517" s="3" t="inlineStr">
        <is>
          <t>1008406</t>
        </is>
      </c>
      <c r="D517" s="9" t="n">
        <v>36.4</v>
      </c>
      <c r="E517" s="3" t="n"/>
      <c r="F517" s="3" t="n"/>
      <c r="G517" s="9" t="n"/>
      <c r="H517" s="10" t="n">
        <v>45667.30483796296</v>
      </c>
      <c r="I517" s="10" t="n">
        <v>45667.30646990741</v>
      </c>
      <c r="J517" s="10" t="n">
        <v>45667.30924768518</v>
      </c>
      <c r="K517" s="11" t="n">
        <v>0.002777777777777778</v>
      </c>
      <c r="L517" s="13" t="n"/>
    </row>
    <row r="518">
      <c r="A518" s="3" t="inlineStr">
        <is>
          <t>Coupling</t>
        </is>
      </c>
      <c r="B518" s="3" t="inlineStr">
        <is>
          <t>Act_COP_1008409_072633_605</t>
        </is>
      </c>
      <c r="C518" s="3" t="inlineStr">
        <is>
          <t>1008409</t>
        </is>
      </c>
      <c r="D518" s="9" t="n">
        <v>19.9</v>
      </c>
      <c r="E518" s="3" t="n"/>
      <c r="F518" s="3" t="n"/>
      <c r="G518" s="9" t="n"/>
      <c r="H518" s="10" t="n">
        <v>45667.31010416667</v>
      </c>
      <c r="I518" s="10" t="n">
        <v>45667.31087962963</v>
      </c>
      <c r="J518" s="10" t="n">
        <v>45667.31365740741</v>
      </c>
      <c r="K518" s="11" t="n">
        <v>0.002777777777777778</v>
      </c>
      <c r="L518" s="13" t="n"/>
    </row>
    <row r="519">
      <c r="A519" s="3" t="inlineStr">
        <is>
          <t>Coupling</t>
        </is>
      </c>
      <c r="B519" s="3" t="inlineStr">
        <is>
          <t>Act_COP_1008802_091704_627</t>
        </is>
      </c>
      <c r="C519" s="3" t="inlineStr">
        <is>
          <t>1008802</t>
        </is>
      </c>
      <c r="D519" s="9" t="n">
        <v>37.5</v>
      </c>
      <c r="E519" s="3" t="n"/>
      <c r="F519" s="3" t="n"/>
      <c r="G519" s="9" t="n"/>
      <c r="H519" s="10" t="n">
        <v>45667.38685185185</v>
      </c>
      <c r="I519" s="10" t="n">
        <v>45667.38763888889</v>
      </c>
      <c r="J519" s="10" t="n">
        <v>45667.39041666667</v>
      </c>
      <c r="K519" s="11" t="n">
        <v>0.002777777777777778</v>
      </c>
      <c r="L519" s="13" t="n"/>
    </row>
    <row r="520">
      <c r="A520" s="3" t="inlineStr">
        <is>
          <t>Coupling</t>
        </is>
      </c>
      <c r="B520" s="3" t="inlineStr">
        <is>
          <t>Act_COP_1008803_091920_611</t>
        </is>
      </c>
      <c r="C520" s="3" t="inlineStr">
        <is>
          <t>1008803</t>
        </is>
      </c>
      <c r="D520" s="9" t="n">
        <v>93.8</v>
      </c>
      <c r="E520" s="3" t="n"/>
      <c r="F520" s="3" t="n"/>
      <c r="G520" s="9" t="n"/>
      <c r="H520" s="10" t="n">
        <v>45667.38842592593</v>
      </c>
      <c r="I520" s="10" t="n">
        <v>45667.38927083334</v>
      </c>
      <c r="J520" s="10" t="n">
        <v>45667.39232638889</v>
      </c>
      <c r="K520" s="11" t="n">
        <v>0.003055555555555556</v>
      </c>
      <c r="L520" s="13" t="n"/>
    </row>
    <row r="521">
      <c r="A521" s="3" t="inlineStr">
        <is>
          <t>Coupling</t>
        </is>
      </c>
      <c r="B521" s="3" t="inlineStr">
        <is>
          <t>Act_COP_1008703_092745_623</t>
        </is>
      </c>
      <c r="C521" s="3" t="inlineStr">
        <is>
          <t>1008703</t>
        </is>
      </c>
      <c r="D521" s="9" t="n">
        <v>15.7</v>
      </c>
      <c r="E521" s="3" t="n"/>
      <c r="F521" s="3" t="n"/>
      <c r="G521" s="9" t="n"/>
      <c r="H521" s="10" t="n">
        <v>45667.39427083333</v>
      </c>
      <c r="I521" s="10" t="n">
        <v>45667.39505787037</v>
      </c>
      <c r="J521" s="10" t="n">
        <v>45667.39783564815</v>
      </c>
      <c r="K521" s="11" t="n">
        <v>0.002777777777777778</v>
      </c>
      <c r="L521" s="13" t="n"/>
    </row>
    <row r="522">
      <c r="A522" s="3" t="inlineStr">
        <is>
          <t>Coupling</t>
        </is>
      </c>
      <c r="B522" s="3" t="inlineStr">
        <is>
          <t>Act_COP_1008704_092933_617</t>
        </is>
      </c>
      <c r="C522" s="3" t="inlineStr">
        <is>
          <t>1008704</t>
        </is>
      </c>
      <c r="D522" s="9" t="n">
        <v>12</v>
      </c>
      <c r="E522" s="3" t="n"/>
      <c r="F522" s="3" t="n"/>
      <c r="G522" s="9" t="n"/>
      <c r="H522" s="10" t="n">
        <v>45667.39552083334</v>
      </c>
      <c r="I522" s="10" t="n">
        <v>45667.3972337963</v>
      </c>
      <c r="J522" s="10" t="n">
        <v>45667.40028935186</v>
      </c>
      <c r="K522" s="11" t="n">
        <v>0.003055555555555556</v>
      </c>
      <c r="L522" s="13" t="n"/>
    </row>
    <row r="523">
      <c r="A523" s="3" t="inlineStr">
        <is>
          <t>Coupling</t>
        </is>
      </c>
      <c r="B523" s="3" t="inlineStr">
        <is>
          <t>Act_COP_1008707_093656_605</t>
        </is>
      </c>
      <c r="C523" s="3" t="inlineStr">
        <is>
          <t>1008707</t>
        </is>
      </c>
      <c r="D523" s="9" t="n">
        <v>109.4</v>
      </c>
      <c r="E523" s="3" t="n"/>
      <c r="F523" s="3" t="n"/>
      <c r="G523" s="9" t="n"/>
      <c r="H523" s="10" t="n">
        <v>45667.40064814815</v>
      </c>
      <c r="I523" s="10" t="n">
        <v>45667.40238425926</v>
      </c>
      <c r="J523" s="10" t="n">
        <v>45667.40516203704</v>
      </c>
      <c r="K523" s="11" t="n">
        <v>0.002777777777777778</v>
      </c>
      <c r="L523" s="13" t="n"/>
    </row>
    <row r="524">
      <c r="A524" s="3" t="inlineStr">
        <is>
          <t>Coupling</t>
        </is>
      </c>
      <c r="B524" s="3" t="inlineStr">
        <is>
          <t>Act_COP_1008708_093835_615</t>
        </is>
      </c>
      <c r="C524" s="3" t="inlineStr">
        <is>
          <t>1008708</t>
        </is>
      </c>
      <c r="D524" s="9" t="n">
        <v>19.9</v>
      </c>
      <c r="E524" s="3" t="n"/>
      <c r="F524" s="3" t="n"/>
      <c r="G524" s="9" t="n"/>
      <c r="H524" s="10" t="n">
        <v>45667.40179398148</v>
      </c>
      <c r="I524" s="10" t="n">
        <v>45667.40520833333</v>
      </c>
      <c r="J524" s="10" t="n">
        <v>45667.40826388889</v>
      </c>
      <c r="K524" s="11" t="n">
        <v>0.003055555555555556</v>
      </c>
      <c r="L524" s="13" t="n"/>
    </row>
    <row r="525">
      <c r="A525" s="3" t="inlineStr">
        <is>
          <t>Coupling</t>
        </is>
      </c>
      <c r="B525" s="3" t="inlineStr">
        <is>
          <t>Act_COP_1008710_094432_625</t>
        </is>
      </c>
      <c r="C525" s="3" t="inlineStr">
        <is>
          <t>1008710</t>
        </is>
      </c>
      <c r="D525" s="9" t="n">
        <v>58.5</v>
      </c>
      <c r="E525" s="3" t="n"/>
      <c r="F525" s="3" t="n"/>
      <c r="G525" s="9" t="n"/>
      <c r="H525" s="10" t="n">
        <v>45667.40592592592</v>
      </c>
      <c r="I525" s="10" t="n">
        <v>45667.40971064815</v>
      </c>
      <c r="J525" s="10" t="n">
        <v>45667.41248842593</v>
      </c>
      <c r="K525" s="11" t="n">
        <v>0.002777777777777778</v>
      </c>
      <c r="L525" s="13" t="n"/>
    </row>
    <row r="526">
      <c r="A526" s="3" t="inlineStr">
        <is>
          <t>Coupling</t>
        </is>
      </c>
      <c r="B526" s="3" t="inlineStr">
        <is>
          <t>Act_COP_1008712_094917_623</t>
        </is>
      </c>
      <c r="C526" s="3" t="inlineStr">
        <is>
          <t>1008712</t>
        </is>
      </c>
      <c r="D526" s="9" t="n">
        <v>19.9</v>
      </c>
      <c r="E526" s="3" t="n"/>
      <c r="F526" s="3" t="n"/>
      <c r="G526" s="9" t="n"/>
      <c r="H526" s="10" t="n">
        <v>45667.40922453703</v>
      </c>
      <c r="I526" s="10" t="n">
        <v>45667.41318287037</v>
      </c>
      <c r="J526" s="10" t="n">
        <v>45667.41623842593</v>
      </c>
      <c r="K526" s="11" t="n">
        <v>0.003055555555555556</v>
      </c>
      <c r="L526" s="13" t="n"/>
    </row>
    <row r="527">
      <c r="A527" s="3" t="inlineStr">
        <is>
          <t>Coupling</t>
        </is>
      </c>
      <c r="B527" s="3" t="inlineStr">
        <is>
          <t>Act_COP_1009101_142110_613</t>
        </is>
      </c>
      <c r="C527" s="3" t="inlineStr">
        <is>
          <t>1009101</t>
        </is>
      </c>
      <c r="D527" s="9" t="n">
        <v>23.2</v>
      </c>
      <c r="E527" s="3" t="n"/>
      <c r="F527" s="3" t="n"/>
      <c r="G527" s="9" t="n"/>
      <c r="H527" s="10" t="n">
        <v>45667.5980324074</v>
      </c>
      <c r="I527" s="10" t="n">
        <v>45667.59886574074</v>
      </c>
      <c r="J527" s="10" t="n">
        <v>45667.60192129629</v>
      </c>
      <c r="K527" s="11" t="n">
        <v>0.003055555555555556</v>
      </c>
      <c r="L527" s="13" t="n"/>
    </row>
    <row r="528">
      <c r="A528" s="3" t="inlineStr">
        <is>
          <t>Coupling</t>
        </is>
      </c>
      <c r="B528" s="3" t="inlineStr">
        <is>
          <t>Act_COP_1009401_181500_609</t>
        </is>
      </c>
      <c r="C528" s="3" t="inlineStr">
        <is>
          <t>1009401</t>
        </is>
      </c>
      <c r="D528" s="9" t="n">
        <v>39.8</v>
      </c>
      <c r="E528" s="3" t="n"/>
      <c r="F528" s="3" t="n"/>
      <c r="G528" s="9" t="n"/>
      <c r="H528" s="10" t="n">
        <v>45667.76041666666</v>
      </c>
      <c r="I528" s="10" t="n">
        <v>45667.76125</v>
      </c>
      <c r="J528" s="10" t="n">
        <v>45667.76430555555</v>
      </c>
      <c r="K528" s="11" t="n">
        <v>0.003055555555555556</v>
      </c>
      <c r="L528" s="13" t="n"/>
    </row>
    <row r="529">
      <c r="A529" s="3" t="inlineStr">
        <is>
          <t>Coupling</t>
        </is>
      </c>
      <c r="B529" s="3" t="inlineStr">
        <is>
          <t>Act_COP_1009405_182625_605</t>
        </is>
      </c>
      <c r="C529" s="3" t="inlineStr">
        <is>
          <t>1009405</t>
        </is>
      </c>
      <c r="D529" s="9" t="n">
        <v>94.40000000000001</v>
      </c>
      <c r="E529" s="3" t="n"/>
      <c r="F529" s="3" t="n"/>
      <c r="G529" s="9" t="n"/>
      <c r="H529" s="10" t="n">
        <v>45667.76834490741</v>
      </c>
      <c r="I529" s="10" t="n">
        <v>45667.76918981481</v>
      </c>
      <c r="J529" s="10" t="n">
        <v>45667.77224537037</v>
      </c>
      <c r="K529" s="11" t="n">
        <v>0.003055555555555556</v>
      </c>
      <c r="L529" s="13" t="n"/>
    </row>
    <row r="530">
      <c r="A530" s="3" t="inlineStr">
        <is>
          <t>Coupling</t>
        </is>
      </c>
      <c r="B530" s="3" t="inlineStr">
        <is>
          <t>Act_COP_1009406_182832_609</t>
        </is>
      </c>
      <c r="C530" s="3" t="inlineStr">
        <is>
          <t>1009406</t>
        </is>
      </c>
      <c r="D530" s="9" t="n">
        <v>14</v>
      </c>
      <c r="E530" s="3" t="n"/>
      <c r="F530" s="3" t="n"/>
      <c r="G530" s="9" t="n"/>
      <c r="H530" s="10" t="n">
        <v>45667.76981481481</v>
      </c>
      <c r="I530" s="10" t="n">
        <v>45667.77059027777</v>
      </c>
      <c r="J530" s="10" t="n">
        <v>45667.77336805555</v>
      </c>
      <c r="K530" s="11" t="n">
        <v>0.002777777777777778</v>
      </c>
      <c r="L530" s="13" t="n"/>
    </row>
    <row r="531">
      <c r="A531" s="3" t="inlineStr">
        <is>
          <t>Coupling</t>
        </is>
      </c>
      <c r="B531" s="3" t="inlineStr">
        <is>
          <t>Act_COP_1009407_183040_609</t>
        </is>
      </c>
      <c r="C531" s="3" t="inlineStr">
        <is>
          <t>1009407</t>
        </is>
      </c>
      <c r="D531" s="9" t="n">
        <v>19.9</v>
      </c>
      <c r="E531" s="3" t="n"/>
      <c r="F531" s="3" t="n"/>
      <c r="G531" s="9" t="n"/>
      <c r="H531" s="10" t="n">
        <v>45667.7712962963</v>
      </c>
      <c r="I531" s="10" t="n">
        <v>45667.77394675926</v>
      </c>
      <c r="J531" s="10" t="n">
        <v>45667.77700231481</v>
      </c>
      <c r="K531" s="11" t="n">
        <v>0.003055555555555556</v>
      </c>
      <c r="L531" s="13" t="n"/>
    </row>
    <row r="532">
      <c r="A532" s="3" t="inlineStr">
        <is>
          <t>Coupling</t>
        </is>
      </c>
      <c r="B532" s="3" t="inlineStr">
        <is>
          <t>Act_COP_1009408_183218_615</t>
        </is>
      </c>
      <c r="C532" s="3" t="inlineStr">
        <is>
          <t>1009408</t>
        </is>
      </c>
      <c r="D532" s="9" t="n">
        <v>19.9</v>
      </c>
      <c r="E532" s="3" t="n"/>
      <c r="F532" s="3" t="n"/>
      <c r="G532" s="9" t="n"/>
      <c r="H532" s="10" t="n">
        <v>45667.77243055555</v>
      </c>
      <c r="I532" s="10" t="n">
        <v>45667.77490740741</v>
      </c>
      <c r="J532" s="10" t="n">
        <v>45667.77768518519</v>
      </c>
      <c r="K532" s="11" t="n">
        <v>0.002777777777777778</v>
      </c>
      <c r="L532" s="13" t="n"/>
    </row>
    <row r="533">
      <c r="A533" s="3" t="inlineStr">
        <is>
          <t>Coupling</t>
        </is>
      </c>
      <c r="B533" s="3" t="inlineStr">
        <is>
          <t>Act_COP_1009410_183730_623</t>
        </is>
      </c>
      <c r="C533" s="3" t="inlineStr">
        <is>
          <t>1009410</t>
        </is>
      </c>
      <c r="D533" s="9" t="n">
        <v>15.7</v>
      </c>
      <c r="E533" s="3" t="n"/>
      <c r="F533" s="3" t="n"/>
      <c r="G533" s="9" t="n"/>
      <c r="H533" s="10" t="n">
        <v>45667.77604166666</v>
      </c>
      <c r="I533" s="10" t="n">
        <v>45667.77922453704</v>
      </c>
      <c r="J533" s="10" t="n">
        <v>45667.78200231482</v>
      </c>
      <c r="K533" s="11" t="n">
        <v>0.002777777777777778</v>
      </c>
      <c r="L533" s="13" t="n"/>
    </row>
    <row r="534">
      <c r="A534" s="3" t="inlineStr">
        <is>
          <t>Coupling</t>
        </is>
      </c>
      <c r="B534" s="3" t="inlineStr">
        <is>
          <t>Act_COP_1009412_184220_619</t>
        </is>
      </c>
      <c r="C534" s="3" t="inlineStr">
        <is>
          <t>1009412</t>
        </is>
      </c>
      <c r="D534" s="9" t="n">
        <v>80.7</v>
      </c>
      <c r="E534" s="3" t="n"/>
      <c r="F534" s="3" t="n"/>
      <c r="G534" s="9" t="n"/>
      <c r="H534" s="10" t="n">
        <v>45667.77939814814</v>
      </c>
      <c r="I534" s="10" t="n">
        <v>45667.78355324074</v>
      </c>
      <c r="J534" s="10" t="n">
        <v>45667.78633101852</v>
      </c>
      <c r="K534" s="11" t="n">
        <v>0.002777777777777778</v>
      </c>
      <c r="L534" s="13" t="n"/>
    </row>
    <row r="535">
      <c r="A535" s="3" t="inlineStr">
        <is>
          <t>Coupling</t>
        </is>
      </c>
      <c r="B535" s="3" t="inlineStr">
        <is>
          <t>Act_COP_1009505_204526_613</t>
        </is>
      </c>
      <c r="C535" s="3" t="inlineStr">
        <is>
          <t>1009505</t>
        </is>
      </c>
      <c r="D535" s="9" t="n">
        <v>27</v>
      </c>
      <c r="E535" s="3" t="n"/>
      <c r="F535" s="3" t="n"/>
      <c r="G535" s="9" t="n"/>
      <c r="H535" s="10" t="n">
        <v>45667.86488425926</v>
      </c>
      <c r="I535" s="10" t="n">
        <v>45667.86572916667</v>
      </c>
      <c r="J535" s="10" t="n">
        <v>45667.86878472222</v>
      </c>
      <c r="K535" s="11" t="n">
        <v>0.003055555555555556</v>
      </c>
      <c r="L535" s="13" t="n"/>
    </row>
    <row r="536">
      <c r="A536" s="3" t="inlineStr">
        <is>
          <t>Coupling</t>
        </is>
      </c>
      <c r="B536" s="3" t="inlineStr">
        <is>
          <t>Act_COP_1009506_204803_623</t>
        </is>
      </c>
      <c r="C536" s="3" t="inlineStr">
        <is>
          <t>1009506</t>
        </is>
      </c>
      <c r="D536" s="9" t="n">
        <v>43.1</v>
      </c>
      <c r="E536" s="3" t="n"/>
      <c r="F536" s="3" t="n"/>
      <c r="G536" s="9" t="n"/>
      <c r="H536" s="10" t="n">
        <v>45667.86670138889</v>
      </c>
      <c r="I536" s="10" t="n">
        <v>45667.86756944445</v>
      </c>
      <c r="J536" s="10" t="n">
        <v>45667.870625</v>
      </c>
      <c r="K536" s="11" t="n">
        <v>0.003055555555555556</v>
      </c>
      <c r="L536" s="13" t="n"/>
    </row>
    <row r="537">
      <c r="A537" s="3" t="inlineStr">
        <is>
          <t>Coupling</t>
        </is>
      </c>
      <c r="B537" s="3" t="inlineStr">
        <is>
          <t>Act_COP_1009601_051645_619</t>
        </is>
      </c>
      <c r="C537" s="3" t="inlineStr">
        <is>
          <t>1009601</t>
        </is>
      </c>
      <c r="D537" s="9" t="n">
        <v>47.2</v>
      </c>
      <c r="E537" s="3" t="n"/>
      <c r="F537" s="3" t="n"/>
      <c r="G537" s="9" t="n"/>
      <c r="H537" s="10" t="n">
        <v>45668.21996527778</v>
      </c>
      <c r="I537" s="10" t="n">
        <v>45668.22083333333</v>
      </c>
      <c r="J537" s="10" t="n">
        <v>45668.22388888889</v>
      </c>
      <c r="K537" s="11" t="n">
        <v>0.003055555555555556</v>
      </c>
      <c r="L537" s="13" t="n"/>
    </row>
    <row r="538">
      <c r="A538" s="3" t="inlineStr">
        <is>
          <t>Coupling</t>
        </is>
      </c>
      <c r="B538" s="3" t="inlineStr">
        <is>
          <t>Act_COP_1009602_051940_625</t>
        </is>
      </c>
      <c r="C538" s="3" t="inlineStr">
        <is>
          <t>1009602</t>
        </is>
      </c>
      <c r="D538" s="9" t="n">
        <v>16.5</v>
      </c>
      <c r="E538" s="3" t="n"/>
      <c r="F538" s="3" t="n"/>
      <c r="G538" s="9" t="n"/>
      <c r="H538" s="10" t="n">
        <v>45668.22199074074</v>
      </c>
      <c r="I538" s="10" t="n">
        <v>45668.22275462963</v>
      </c>
      <c r="J538" s="10" t="n">
        <v>45668.22553240741</v>
      </c>
      <c r="K538" s="11" t="n">
        <v>0.002777777777777778</v>
      </c>
      <c r="L538" s="13" t="n"/>
    </row>
    <row r="539">
      <c r="A539" s="3" t="inlineStr">
        <is>
          <t>Coupling</t>
        </is>
      </c>
      <c r="B539" s="3" t="inlineStr">
        <is>
          <t>Act_COP_1009701_055017_625</t>
        </is>
      </c>
      <c r="C539" s="3" t="inlineStr">
        <is>
          <t>1009701</t>
        </is>
      </c>
      <c r="D539" s="9" t="n">
        <v>40.9</v>
      </c>
      <c r="E539" s="3" t="n"/>
      <c r="F539" s="3" t="n"/>
      <c r="G539" s="9" t="n"/>
      <c r="H539" s="10" t="n">
        <v>45668.24325231482</v>
      </c>
      <c r="I539" s="10" t="n">
        <v>45668.24408564815</v>
      </c>
      <c r="J539" s="10" t="n">
        <v>45668.2471412037</v>
      </c>
      <c r="K539" s="11" t="n">
        <v>0.003055555555555556</v>
      </c>
      <c r="L539" s="13" t="n"/>
    </row>
    <row r="540">
      <c r="A540" s="3" t="inlineStr">
        <is>
          <t>Coupling</t>
        </is>
      </c>
      <c r="B540" s="3" t="inlineStr">
        <is>
          <t>Act_COP_1009704_055843_625</t>
        </is>
      </c>
      <c r="C540" s="3" t="inlineStr">
        <is>
          <t>1009704</t>
        </is>
      </c>
      <c r="D540" s="9" t="n">
        <v>21</v>
      </c>
      <c r="E540" s="3" t="n"/>
      <c r="F540" s="3" t="n"/>
      <c r="G540" s="9" t="n"/>
      <c r="H540" s="10" t="n">
        <v>45668.2491087963</v>
      </c>
      <c r="I540" s="10" t="n">
        <v>45668.24989583333</v>
      </c>
      <c r="J540" s="10" t="n">
        <v>45668.25267361111</v>
      </c>
      <c r="K540" s="11" t="n">
        <v>0.002777777777777778</v>
      </c>
      <c r="L540" s="13" t="n"/>
    </row>
    <row r="541">
      <c r="A541" s="3" t="inlineStr">
        <is>
          <t>Coupling</t>
        </is>
      </c>
      <c r="B541" s="3" t="inlineStr">
        <is>
          <t>Act_COP_1009801_180302_625</t>
        </is>
      </c>
      <c r="C541" s="3" t="inlineStr">
        <is>
          <t>1009801</t>
        </is>
      </c>
      <c r="D541" s="9" t="n">
        <v>173.3</v>
      </c>
      <c r="E541" s="3" t="n"/>
      <c r="F541" s="3" t="n"/>
      <c r="G541" s="9" t="n"/>
      <c r="H541" s="10" t="n">
        <v>45669.75210648148</v>
      </c>
      <c r="I541" s="10" t="n">
        <v>45669.75297453703</v>
      </c>
      <c r="J541" s="10" t="n">
        <v>45669.75603009259</v>
      </c>
      <c r="K541" s="11" t="n">
        <v>0.003055555555555556</v>
      </c>
      <c r="L541" s="13" t="n"/>
    </row>
    <row r="542">
      <c r="A542" s="3" t="inlineStr">
        <is>
          <t>Coupling</t>
        </is>
      </c>
      <c r="B542" s="3" t="inlineStr">
        <is>
          <t>Act_COP_1010001_024340_605</t>
        </is>
      </c>
      <c r="C542" s="3" t="inlineStr">
        <is>
          <t>1010001</t>
        </is>
      </c>
      <c r="D542" s="9" t="n">
        <v>165.8</v>
      </c>
      <c r="E542" s="3" t="n"/>
      <c r="F542" s="3" t="n"/>
      <c r="G542" s="9" t="n"/>
      <c r="H542" s="10" t="n">
        <v>45670.1136574074</v>
      </c>
      <c r="I542" s="10" t="n">
        <v>45670.11451388889</v>
      </c>
      <c r="J542" s="10" t="n">
        <v>45670.11756944445</v>
      </c>
      <c r="K542" s="11" t="n">
        <v>0.003055555555555556</v>
      </c>
      <c r="L542" s="13" t="n"/>
    </row>
    <row r="543">
      <c r="A543" s="3" t="inlineStr">
        <is>
          <t>Coupling</t>
        </is>
      </c>
      <c r="B543" s="3" t="inlineStr">
        <is>
          <t>Act_COP_1010501_075557_607</t>
        </is>
      </c>
      <c r="C543" s="3" t="inlineStr">
        <is>
          <t>1010501</t>
        </is>
      </c>
      <c r="D543" s="9" t="n">
        <v>15.7</v>
      </c>
      <c r="E543" s="3" t="n"/>
      <c r="F543" s="3" t="n"/>
      <c r="G543" s="9" t="n"/>
      <c r="H543" s="10" t="n">
        <v>45670.33052083333</v>
      </c>
      <c r="I543" s="10" t="n">
        <v>45670.33138888889</v>
      </c>
      <c r="J543" s="10" t="n">
        <v>45670.33444444444</v>
      </c>
      <c r="K543" s="11" t="n">
        <v>0.003055555555555556</v>
      </c>
      <c r="L543" s="13" t="n"/>
    </row>
    <row r="544">
      <c r="A544" s="3" t="inlineStr">
        <is>
          <t>Coupling</t>
        </is>
      </c>
      <c r="B544" s="3" t="inlineStr">
        <is>
          <t>Act_COP_1010503_080000_613</t>
        </is>
      </c>
      <c r="C544" s="3" t="inlineStr">
        <is>
          <t>1010503</t>
        </is>
      </c>
      <c r="D544" s="9" t="n">
        <v>23.2</v>
      </c>
      <c r="E544" s="3" t="n"/>
      <c r="F544" s="3" t="n"/>
      <c r="G544" s="9" t="n"/>
      <c r="H544" s="10" t="n">
        <v>45670.33333333334</v>
      </c>
      <c r="I544" s="10" t="n">
        <v>45670.33611111111</v>
      </c>
      <c r="J544" s="10" t="n">
        <v>45670.33916666666</v>
      </c>
      <c r="K544" s="11" t="n">
        <v>0.003055555555555556</v>
      </c>
      <c r="L544" s="13" t="n"/>
    </row>
    <row r="545">
      <c r="A545" s="3" t="inlineStr">
        <is>
          <t>Coupling</t>
        </is>
      </c>
      <c r="B545" s="3" t="inlineStr">
        <is>
          <t>Act_COP_1010504_080222_609</t>
        </is>
      </c>
      <c r="C545" s="3" t="inlineStr">
        <is>
          <t>1010504</t>
        </is>
      </c>
      <c r="D545" s="9" t="n">
        <v>79.59999999999999</v>
      </c>
      <c r="E545" s="3" t="n"/>
      <c r="F545" s="3" t="n"/>
      <c r="G545" s="9" t="n"/>
      <c r="H545" s="10" t="n">
        <v>45670.33497685185</v>
      </c>
      <c r="I545" s="10" t="n">
        <v>45670.33618055555</v>
      </c>
      <c r="J545" s="10" t="n">
        <v>45670.33923611111</v>
      </c>
      <c r="K545" s="11" t="n">
        <v>0.003055555555555556</v>
      </c>
      <c r="L545" s="13" t="n"/>
    </row>
    <row r="546">
      <c r="A546" s="3" t="inlineStr">
        <is>
          <t>Coupling</t>
        </is>
      </c>
      <c r="B546" s="3" t="inlineStr">
        <is>
          <t>Act_COP_1010507_081015_606</t>
        </is>
      </c>
      <c r="C546" s="3" t="inlineStr">
        <is>
          <t>1010507</t>
        </is>
      </c>
      <c r="D546" s="9" t="n">
        <v>27</v>
      </c>
      <c r="E546" s="3" t="n"/>
      <c r="F546" s="3" t="n"/>
      <c r="G546" s="9" t="n"/>
      <c r="H546" s="10" t="n">
        <v>45670.34045138889</v>
      </c>
      <c r="I546" s="10" t="n">
        <v>45670.34297453704</v>
      </c>
      <c r="J546" s="10" t="n">
        <v>45670.34575231482</v>
      </c>
      <c r="K546" s="11" t="n">
        <v>0.002777777777777778</v>
      </c>
      <c r="L546" s="13" t="n"/>
    </row>
    <row r="547">
      <c r="A547" s="3" t="inlineStr">
        <is>
          <t>Coupling</t>
        </is>
      </c>
      <c r="B547" s="3" t="inlineStr">
        <is>
          <t>Act_COP_1010509_081502_611</t>
        </is>
      </c>
      <c r="C547" s="3" t="inlineStr">
        <is>
          <t>1010509</t>
        </is>
      </c>
      <c r="D547" s="9" t="n">
        <v>23.2</v>
      </c>
      <c r="E547" s="3" t="n"/>
      <c r="F547" s="3" t="n"/>
      <c r="G547" s="9" t="n"/>
      <c r="H547" s="10" t="n">
        <v>45670.34377314815</v>
      </c>
      <c r="I547" s="10" t="n">
        <v>45670.3446412037</v>
      </c>
      <c r="J547" s="10" t="n">
        <v>45670.34769675926</v>
      </c>
      <c r="K547" s="11" t="n">
        <v>0.003055555555555556</v>
      </c>
      <c r="L547" s="13" t="n"/>
    </row>
    <row r="548">
      <c r="A548" s="3" t="inlineStr">
        <is>
          <t>Coupling</t>
        </is>
      </c>
      <c r="B548" s="3" t="inlineStr">
        <is>
          <t>Act_COP_1010510_081749_606</t>
        </is>
      </c>
      <c r="C548" s="3" t="inlineStr">
        <is>
          <t>1010510</t>
        </is>
      </c>
      <c r="D548" s="9" t="n">
        <v>108</v>
      </c>
      <c r="E548" s="3" t="n"/>
      <c r="F548" s="3" t="n"/>
      <c r="G548" s="9" t="n"/>
      <c r="H548" s="10" t="n">
        <v>45670.34570601852</v>
      </c>
      <c r="I548" s="10" t="n">
        <v>45670.34655092593</v>
      </c>
      <c r="J548" s="10" t="n">
        <v>45670.34960648148</v>
      </c>
      <c r="K548" s="11" t="n">
        <v>0.003055555555555556</v>
      </c>
      <c r="L548" s="13" t="n"/>
    </row>
    <row r="549">
      <c r="A549" s="3" t="inlineStr">
        <is>
          <t>Coupling</t>
        </is>
      </c>
      <c r="B549" s="3" t="inlineStr">
        <is>
          <t>Act_COP_1010511_082021_623</t>
        </is>
      </c>
      <c r="C549" s="3" t="inlineStr">
        <is>
          <t>1010511</t>
        </is>
      </c>
      <c r="D549" s="9" t="n">
        <v>15.7</v>
      </c>
      <c r="E549" s="3" t="n"/>
      <c r="F549" s="3" t="n"/>
      <c r="G549" s="9" t="n"/>
      <c r="H549" s="10" t="n">
        <v>45670.34746527778</v>
      </c>
      <c r="I549" s="10" t="n">
        <v>45670.34825231481</v>
      </c>
      <c r="J549" s="10" t="n">
        <v>45670.35103009259</v>
      </c>
      <c r="K549" s="11" t="n">
        <v>0.002777777777777778</v>
      </c>
      <c r="L549" s="13" t="n"/>
    </row>
    <row r="550">
      <c r="A550" s="3" t="inlineStr">
        <is>
          <t>Coupling</t>
        </is>
      </c>
      <c r="B550" s="3" t="inlineStr">
        <is>
          <t>Act_COP_1010513_082433_615</t>
        </is>
      </c>
      <c r="C550" s="3" t="inlineStr">
        <is>
          <t>1010513</t>
        </is>
      </c>
      <c r="D550" s="9" t="n">
        <v>19.9</v>
      </c>
      <c r="E550" s="3" t="n"/>
      <c r="F550" s="3" t="n"/>
      <c r="G550" s="9" t="n"/>
      <c r="H550" s="10" t="n">
        <v>45670.35038194444</v>
      </c>
      <c r="I550" s="10" t="n">
        <v>45670.35122685185</v>
      </c>
      <c r="J550" s="10" t="n">
        <v>45670.35428240741</v>
      </c>
      <c r="K550" s="11" t="n">
        <v>0.003055555555555556</v>
      </c>
      <c r="L550" s="13" t="n"/>
    </row>
    <row r="551">
      <c r="A551" s="3" t="inlineStr">
        <is>
          <t>Coupling</t>
        </is>
      </c>
      <c r="B551" s="3" t="inlineStr">
        <is>
          <t>Act_COP_1010514_082624_613</t>
        </is>
      </c>
      <c r="C551" s="3" t="inlineStr">
        <is>
          <t>1010514</t>
        </is>
      </c>
      <c r="D551" s="9" t="n">
        <v>23.2</v>
      </c>
      <c r="E551" s="3" t="n"/>
      <c r="F551" s="3" t="n"/>
      <c r="G551" s="9" t="n"/>
      <c r="H551" s="10" t="n">
        <v>45670.35166666667</v>
      </c>
      <c r="I551" s="10" t="n">
        <v>45670.35251157408</v>
      </c>
      <c r="J551" s="10" t="n">
        <v>45670.35556712963</v>
      </c>
      <c r="K551" s="11" t="n">
        <v>0.003055555555555556</v>
      </c>
      <c r="L551" s="13" t="n"/>
    </row>
    <row r="552">
      <c r="A552" s="3" t="inlineStr">
        <is>
          <t>Coupling</t>
        </is>
      </c>
      <c r="B552" s="3" t="inlineStr">
        <is>
          <t>Act_COP_1010602_092043_617</t>
        </is>
      </c>
      <c r="C552" s="3" t="inlineStr">
        <is>
          <t>1010602</t>
        </is>
      </c>
      <c r="D552" s="9" t="n">
        <v>114.8</v>
      </c>
      <c r="E552" s="3" t="n"/>
      <c r="F552" s="3" t="n"/>
      <c r="G552" s="9" t="n"/>
      <c r="H552" s="10" t="n">
        <v>45670.38938657408</v>
      </c>
      <c r="I552" s="10" t="n">
        <v>45670.39023148148</v>
      </c>
      <c r="J552" s="10" t="n">
        <v>45670.39328703703</v>
      </c>
      <c r="K552" s="11" t="n">
        <v>0.003055555555555556</v>
      </c>
      <c r="L552" s="13" t="n"/>
    </row>
    <row r="553">
      <c r="A553" s="3" t="inlineStr">
        <is>
          <t>Coupling</t>
        </is>
      </c>
      <c r="B553" s="3" t="inlineStr">
        <is>
          <t>Act_COP_1010701_093143_627</t>
        </is>
      </c>
      <c r="C553" s="3" t="inlineStr">
        <is>
          <t>1010701</t>
        </is>
      </c>
      <c r="D553" s="9" t="n">
        <v>14</v>
      </c>
      <c r="E553" s="3" t="n"/>
      <c r="F553" s="3" t="n"/>
      <c r="G553" s="9" t="n"/>
      <c r="H553" s="10" t="n">
        <v>45670.39702546296</v>
      </c>
      <c r="I553" s="10" t="n">
        <v>45670.39787037037</v>
      </c>
      <c r="J553" s="10" t="n">
        <v>45670.40092592593</v>
      </c>
      <c r="K553" s="11" t="n">
        <v>0.003055555555555556</v>
      </c>
      <c r="L553" s="13" t="n"/>
    </row>
    <row r="554">
      <c r="A554" s="3" t="inlineStr">
        <is>
          <t>Coupling</t>
        </is>
      </c>
      <c r="B554" s="3" t="inlineStr">
        <is>
          <t>Act_COP_1010702_093322_615</t>
        </is>
      </c>
      <c r="C554" s="3" t="inlineStr">
        <is>
          <t>1010702</t>
        </is>
      </c>
      <c r="D554" s="9" t="n">
        <v>21</v>
      </c>
      <c r="E554" s="3" t="n"/>
      <c r="F554" s="3" t="n"/>
      <c r="G554" s="9" t="n"/>
      <c r="H554" s="10" t="n">
        <v>45670.3981712963</v>
      </c>
      <c r="I554" s="10" t="n">
        <v>45670.39895833333</v>
      </c>
      <c r="J554" s="10" t="n">
        <v>45670.40173611111</v>
      </c>
      <c r="K554" s="11" t="n">
        <v>0.002777777777777778</v>
      </c>
      <c r="L554" s="13" t="n"/>
    </row>
    <row r="555">
      <c r="A555" s="3" t="inlineStr">
        <is>
          <t>Coupling</t>
        </is>
      </c>
      <c r="B555" s="3" t="inlineStr">
        <is>
          <t>Act_COP_1010703_093519_613</t>
        </is>
      </c>
      <c r="C555" s="3" t="inlineStr">
        <is>
          <t>1010703</t>
        </is>
      </c>
      <c r="D555" s="9" t="n">
        <v>63</v>
      </c>
      <c r="E555" s="3" t="n"/>
      <c r="F555" s="3" t="n"/>
      <c r="G555" s="9" t="n"/>
      <c r="H555" s="10" t="n">
        <v>45670.39952546296</v>
      </c>
      <c r="I555" s="10" t="n">
        <v>45670.40261574074</v>
      </c>
      <c r="J555" s="10" t="n">
        <v>45670.4056712963</v>
      </c>
      <c r="K555" s="11" t="n">
        <v>0.003055555555555556</v>
      </c>
      <c r="L555" s="13" t="n"/>
    </row>
    <row r="556">
      <c r="A556" s="3" t="inlineStr">
        <is>
          <t>Coupling</t>
        </is>
      </c>
      <c r="B556" s="3" t="inlineStr">
        <is>
          <t>Act_COP_1010704_093745_605</t>
        </is>
      </c>
      <c r="C556" s="3" t="inlineStr">
        <is>
          <t>1010704</t>
        </is>
      </c>
      <c r="D556" s="9" t="n">
        <v>15.7</v>
      </c>
      <c r="E556" s="3" t="n"/>
      <c r="F556" s="3" t="n"/>
      <c r="G556" s="9" t="n"/>
      <c r="H556" s="10" t="n">
        <v>45670.40121527778</v>
      </c>
      <c r="I556" s="10" t="n">
        <v>45670.40331018518</v>
      </c>
      <c r="J556" s="10" t="n">
        <v>45670.40608796296</v>
      </c>
      <c r="K556" s="11" t="n">
        <v>0.002777777777777778</v>
      </c>
      <c r="L556" s="13" t="n"/>
    </row>
    <row r="557">
      <c r="A557" s="3" t="inlineStr">
        <is>
          <t>Coupling</t>
        </is>
      </c>
      <c r="B557" s="3" t="inlineStr">
        <is>
          <t>Act_COP_1010707_094331_611</t>
        </is>
      </c>
      <c r="C557" s="3" t="inlineStr">
        <is>
          <t>1010707</t>
        </is>
      </c>
      <c r="D557" s="9" t="n">
        <v>124.4</v>
      </c>
      <c r="E557" s="3" t="n"/>
      <c r="F557" s="3" t="n"/>
      <c r="G557" s="9" t="n"/>
      <c r="H557" s="10" t="n">
        <v>45670.40521990741</v>
      </c>
      <c r="I557" s="10" t="n">
        <v>45670.41059027778</v>
      </c>
      <c r="J557" s="10" t="n">
        <v>45670.41364583333</v>
      </c>
      <c r="K557" s="11" t="n">
        <v>0.003055555555555556</v>
      </c>
      <c r="L557" s="13" t="n"/>
    </row>
    <row r="558">
      <c r="A558" s="3" t="inlineStr">
        <is>
          <t>Coupling</t>
        </is>
      </c>
      <c r="B558" s="3" t="inlineStr">
        <is>
          <t>Act_COP_1010708_094616_605</t>
        </is>
      </c>
      <c r="C558" s="3" t="inlineStr">
        <is>
          <t>1010708</t>
        </is>
      </c>
      <c r="D558" s="9" t="n">
        <v>108</v>
      </c>
      <c r="E558" s="3" t="n"/>
      <c r="F558" s="3" t="n"/>
      <c r="G558" s="9" t="n"/>
      <c r="H558" s="10" t="n">
        <v>45670.40712962963</v>
      </c>
      <c r="I558" s="10" t="n">
        <v>45670.41063657407</v>
      </c>
      <c r="J558" s="10" t="n">
        <v>45670.41341435185</v>
      </c>
      <c r="K558" s="11" t="n">
        <v>0.002777777777777778</v>
      </c>
      <c r="L558" s="13" t="n"/>
    </row>
    <row r="559">
      <c r="A559" s="3" t="inlineStr">
        <is>
          <t>Coupling</t>
        </is>
      </c>
      <c r="B559" s="3" t="inlineStr">
        <is>
          <t>Act_COP_1010709_094900_629</t>
        </is>
      </c>
      <c r="C559" s="3" t="inlineStr">
        <is>
          <t>1010709</t>
        </is>
      </c>
      <c r="D559" s="9" t="n">
        <v>19.9</v>
      </c>
      <c r="E559" s="3" t="n"/>
      <c r="F559" s="3" t="n"/>
      <c r="G559" s="9" t="n"/>
      <c r="H559" s="10" t="n">
        <v>45670.40902777778</v>
      </c>
      <c r="I559" s="10" t="n">
        <v>45670.41498842592</v>
      </c>
      <c r="J559" s="10" t="n">
        <v>45670.4177662037</v>
      </c>
      <c r="K559" s="11" t="n">
        <v>0.002777777777777778</v>
      </c>
      <c r="L559" s="13" t="n"/>
    </row>
    <row r="560">
      <c r="A560" s="3" t="inlineStr">
        <is>
          <t>Coupling</t>
        </is>
      </c>
      <c r="B560" s="3" t="inlineStr">
        <is>
          <t>Act_COP_1010710_095152_621</t>
        </is>
      </c>
      <c r="C560" s="3" t="inlineStr">
        <is>
          <t>1010710</t>
        </is>
      </c>
      <c r="D560" s="9" t="n">
        <v>47.2</v>
      </c>
      <c r="E560" s="3" t="n"/>
      <c r="F560" s="3" t="n"/>
      <c r="G560" s="9" t="n"/>
      <c r="H560" s="10" t="n">
        <v>45670.41101851852</v>
      </c>
      <c r="I560" s="10" t="n">
        <v>45670.41533564815</v>
      </c>
      <c r="J560" s="10" t="n">
        <v>45670.4183912037</v>
      </c>
      <c r="K560" s="11" t="n">
        <v>0.003055555555555556</v>
      </c>
      <c r="L560" s="13" t="n"/>
    </row>
    <row r="561">
      <c r="A561" s="3" t="inlineStr">
        <is>
          <t>Coupling</t>
        </is>
      </c>
      <c r="B561" s="3" t="inlineStr">
        <is>
          <t>Act_COP_1010901_123006_617</t>
        </is>
      </c>
      <c r="C561" s="3" t="inlineStr">
        <is>
          <t>1010901</t>
        </is>
      </c>
      <c r="D561" s="9" t="n">
        <v>234.9</v>
      </c>
      <c r="E561" s="3" t="n"/>
      <c r="F561" s="3" t="n"/>
      <c r="G561" s="9" t="n"/>
      <c r="H561" s="10" t="n">
        <v>45670.52090277777</v>
      </c>
      <c r="I561" s="10" t="n">
        <v>45670.52177083334</v>
      </c>
      <c r="J561" s="10" t="n">
        <v>45670.52482638889</v>
      </c>
      <c r="K561" s="11" t="n">
        <v>0.003055555555555556</v>
      </c>
      <c r="L561" s="13" t="n"/>
    </row>
    <row r="562">
      <c r="A562" s="3" t="inlineStr">
        <is>
          <t>Coupling</t>
        </is>
      </c>
      <c r="B562" s="3" t="inlineStr">
        <is>
          <t>Act_COP_1011103_152102_607</t>
        </is>
      </c>
      <c r="C562" s="3" t="inlineStr">
        <is>
          <t>1011103</t>
        </is>
      </c>
      <c r="D562" s="9" t="n">
        <v>47.2</v>
      </c>
      <c r="E562" s="3" t="n"/>
      <c r="F562" s="3" t="n"/>
      <c r="G562" s="9" t="n"/>
      <c r="H562" s="10" t="n">
        <v>45670.63960648148</v>
      </c>
      <c r="I562" s="10" t="n">
        <v>45670.64045138889</v>
      </c>
      <c r="J562" s="10" t="n">
        <v>45670.64350694444</v>
      </c>
      <c r="K562" s="11" t="n">
        <v>0.003055555555555556</v>
      </c>
      <c r="L562" s="13" t="n"/>
    </row>
    <row r="563">
      <c r="A563" s="3" t="inlineStr">
        <is>
          <t>Coupling</t>
        </is>
      </c>
      <c r="B563" s="3" t="inlineStr">
        <is>
          <t>Act_COP_1011104_152358_625</t>
        </is>
      </c>
      <c r="C563" s="3" t="inlineStr">
        <is>
          <t>1011104</t>
        </is>
      </c>
      <c r="D563" s="9" t="n">
        <v>19.9</v>
      </c>
      <c r="E563" s="3" t="n"/>
      <c r="F563" s="3" t="n"/>
      <c r="G563" s="9" t="n"/>
      <c r="H563" s="10" t="n">
        <v>45670.64164351852</v>
      </c>
      <c r="I563" s="10" t="n">
        <v>45670.64248842592</v>
      </c>
      <c r="J563" s="10" t="n">
        <v>45670.64554398148</v>
      </c>
      <c r="K563" s="11" t="n">
        <v>0.003055555555555556</v>
      </c>
      <c r="L563" s="13" t="n"/>
    </row>
    <row r="564">
      <c r="A564" s="3" t="inlineStr">
        <is>
          <t>Coupling</t>
        </is>
      </c>
      <c r="B564" s="3" t="inlineStr">
        <is>
          <t>Act_COP_1011105_152630_623</t>
        </is>
      </c>
      <c r="C564" s="3" t="inlineStr">
        <is>
          <t>1011105</t>
        </is>
      </c>
      <c r="D564" s="9" t="n">
        <v>15.7</v>
      </c>
      <c r="E564" s="3" t="n"/>
      <c r="F564" s="3" t="n"/>
      <c r="G564" s="9" t="n"/>
      <c r="H564" s="10" t="n">
        <v>45670.64340277778</v>
      </c>
      <c r="I564" s="10" t="n">
        <v>45670.64427083333</v>
      </c>
      <c r="J564" s="10" t="n">
        <v>45670.64732638889</v>
      </c>
      <c r="K564" s="11" t="n">
        <v>0.003055555555555556</v>
      </c>
      <c r="L564" s="13" t="n"/>
    </row>
    <row r="565">
      <c r="A565" s="3" t="inlineStr">
        <is>
          <t>Coupling</t>
        </is>
      </c>
      <c r="B565" s="3" t="inlineStr">
        <is>
          <t>Act_COP_1011106_152915_627</t>
        </is>
      </c>
      <c r="C565" s="3" t="inlineStr">
        <is>
          <t>1011106</t>
        </is>
      </c>
      <c r="D565" s="9" t="n">
        <v>15.7</v>
      </c>
      <c r="E565" s="3" t="n"/>
      <c r="F565" s="3" t="n"/>
      <c r="G565" s="9" t="n"/>
      <c r="H565" s="10" t="n">
        <v>45670.6453125</v>
      </c>
      <c r="I565" s="10" t="n">
        <v>45670.64614583334</v>
      </c>
      <c r="J565" s="10" t="n">
        <v>45670.64920138889</v>
      </c>
      <c r="K565" s="11" t="n">
        <v>0.003055555555555556</v>
      </c>
      <c r="L565" s="13" t="n"/>
    </row>
    <row r="566">
      <c r="A566" s="3" t="inlineStr">
        <is>
          <t>Coupling</t>
        </is>
      </c>
      <c r="B566" s="3" t="inlineStr">
        <is>
          <t>Act_COP_1011109_153731_621</t>
        </is>
      </c>
      <c r="C566" s="3" t="inlineStr">
        <is>
          <t>1011109</t>
        </is>
      </c>
      <c r="D566" s="9" t="n">
        <v>15.7</v>
      </c>
      <c r="E566" s="3" t="n"/>
      <c r="F566" s="3" t="n"/>
      <c r="G566" s="9" t="n"/>
      <c r="H566" s="10" t="n">
        <v>45670.65105324074</v>
      </c>
      <c r="I566" s="10" t="n">
        <v>45670.65232638889</v>
      </c>
      <c r="J566" s="10" t="n">
        <v>45670.65538194445</v>
      </c>
      <c r="K566" s="11" t="n">
        <v>0.003055555555555556</v>
      </c>
      <c r="L566" s="13" t="n"/>
    </row>
    <row r="567">
      <c r="A567" s="3" t="inlineStr">
        <is>
          <t>Coupling</t>
        </is>
      </c>
      <c r="B567" s="3" t="inlineStr">
        <is>
          <t>Act_COP_1011110_154022_629</t>
        </is>
      </c>
      <c r="C567" s="3" t="inlineStr">
        <is>
          <t>1011110</t>
        </is>
      </c>
      <c r="D567" s="9" t="n">
        <v>40.9</v>
      </c>
      <c r="E567" s="3" t="n"/>
      <c r="F567" s="3" t="n"/>
      <c r="G567" s="9" t="n"/>
      <c r="H567" s="10" t="n">
        <v>45670.6530324074</v>
      </c>
      <c r="I567" s="10" t="n">
        <v>45670.65407407407</v>
      </c>
      <c r="J567" s="10" t="n">
        <v>45670.65712962963</v>
      </c>
      <c r="K567" s="11" t="n">
        <v>0.003055555555555556</v>
      </c>
      <c r="L567" s="13" t="n"/>
    </row>
    <row r="568">
      <c r="A568" s="3" t="inlineStr">
        <is>
          <t>Coupling</t>
        </is>
      </c>
      <c r="B568" s="3" t="inlineStr">
        <is>
          <t>Act_COP_1011111_154232_609</t>
        </is>
      </c>
      <c r="C568" s="3" t="inlineStr">
        <is>
          <t>1011111</t>
        </is>
      </c>
      <c r="D568" s="9" t="n">
        <v>19.9</v>
      </c>
      <c r="E568" s="3" t="n"/>
      <c r="F568" s="3" t="n"/>
      <c r="G568" s="9" t="n"/>
      <c r="H568" s="10" t="n">
        <v>45670.65453703704</v>
      </c>
      <c r="I568" s="10" t="n">
        <v>45670.65711805555</v>
      </c>
      <c r="J568" s="10" t="n">
        <v>45670.66017361111</v>
      </c>
      <c r="K568" s="11" t="n">
        <v>0.003055555555555556</v>
      </c>
      <c r="L568" s="13" t="n"/>
    </row>
    <row r="569">
      <c r="A569" s="3" t="inlineStr">
        <is>
          <t>Coupling</t>
        </is>
      </c>
      <c r="B569" s="3" t="inlineStr">
        <is>
          <t>Act_COP_1011301_161848_606</t>
        </is>
      </c>
      <c r="C569" s="3" t="inlineStr">
        <is>
          <t>1011301</t>
        </is>
      </c>
      <c r="D569" s="9" t="n">
        <v>157.9</v>
      </c>
      <c r="E569" s="3" t="n"/>
      <c r="F569" s="3" t="n"/>
      <c r="G569" s="9" t="n"/>
      <c r="H569" s="10" t="n">
        <v>45670.67972222222</v>
      </c>
      <c r="I569" s="10" t="n">
        <v>45670.68444444444</v>
      </c>
      <c r="J569" s="10" t="n">
        <v>45670.6875</v>
      </c>
      <c r="K569" s="11" t="n">
        <v>0.003055555555555556</v>
      </c>
      <c r="L569" s="13" t="n"/>
    </row>
    <row r="570">
      <c r="A570" s="3" t="inlineStr">
        <is>
          <t>Coupling</t>
        </is>
      </c>
      <c r="B570" s="3" t="inlineStr">
        <is>
          <t>Act_COP_1011601_024422_605</t>
        </is>
      </c>
      <c r="C570" s="3" t="inlineStr">
        <is>
          <t>1011601</t>
        </is>
      </c>
      <c r="D570" s="9" t="n">
        <v>103.9</v>
      </c>
      <c r="E570" s="3" t="n"/>
      <c r="F570" s="3" t="n"/>
      <c r="G570" s="9" t="n"/>
      <c r="H570" s="10" t="n">
        <v>45671.11414351852</v>
      </c>
      <c r="I570" s="10" t="n">
        <v>45671.11493055556</v>
      </c>
      <c r="J570" s="10" t="n">
        <v>45671.11770833333</v>
      </c>
      <c r="K570" s="11" t="n">
        <v>0.002777777777777778</v>
      </c>
      <c r="L570" s="13" t="n"/>
    </row>
    <row r="571">
      <c r="A571" s="3" t="inlineStr">
        <is>
          <t>Coupling</t>
        </is>
      </c>
      <c r="B571" s="3" t="inlineStr">
        <is>
          <t>Act_COP_1011603_024900_619</t>
        </is>
      </c>
      <c r="C571" s="3" t="inlineStr">
        <is>
          <t>1011603</t>
        </is>
      </c>
      <c r="D571" s="9" t="n">
        <v>15.7</v>
      </c>
      <c r="E571" s="3" t="n"/>
      <c r="F571" s="3" t="n"/>
      <c r="G571" s="9" t="n"/>
      <c r="H571" s="10" t="n">
        <v>45671.11736111111</v>
      </c>
      <c r="I571" s="10" t="n">
        <v>45671.11822916667</v>
      </c>
      <c r="J571" s="10" t="n">
        <v>45671.12128472222</v>
      </c>
      <c r="K571" s="11" t="n">
        <v>0.003055555555555556</v>
      </c>
      <c r="L571" s="13" t="n"/>
    </row>
    <row r="572">
      <c r="A572" s="3" t="inlineStr">
        <is>
          <t>Coupling</t>
        </is>
      </c>
      <c r="B572" s="3" t="inlineStr">
        <is>
          <t>Act_COP_1011604_025146_627</t>
        </is>
      </c>
      <c r="C572" s="3" t="inlineStr">
        <is>
          <t>1011604</t>
        </is>
      </c>
      <c r="D572" s="9" t="n">
        <v>15.7</v>
      </c>
      <c r="E572" s="3" t="n"/>
      <c r="F572" s="3" t="n"/>
      <c r="G572" s="9" t="n"/>
      <c r="H572" s="10" t="n">
        <v>45671.11928240741</v>
      </c>
      <c r="I572" s="10" t="n">
        <v>45671.12015046296</v>
      </c>
      <c r="J572" s="10" t="n">
        <v>45671.12320601852</v>
      </c>
      <c r="K572" s="11" t="n">
        <v>0.003055555555555556</v>
      </c>
      <c r="L572" s="13" t="n"/>
    </row>
    <row r="573">
      <c r="A573" s="3" t="inlineStr">
        <is>
          <t>Coupling</t>
        </is>
      </c>
      <c r="B573" s="3" t="inlineStr">
        <is>
          <t>Act_COP_1011801_070150_629</t>
        </is>
      </c>
      <c r="C573" s="3" t="inlineStr">
        <is>
          <t>1011801</t>
        </is>
      </c>
      <c r="D573" s="9" t="n">
        <v>110.3</v>
      </c>
      <c r="E573" s="3" t="n"/>
      <c r="F573" s="3" t="n"/>
      <c r="G573" s="9" t="n"/>
      <c r="H573" s="10" t="n">
        <v>45671.29293981481</v>
      </c>
      <c r="I573" s="10" t="n">
        <v>45671.29378472222</v>
      </c>
      <c r="J573" s="10" t="n">
        <v>45671.29684027778</v>
      </c>
      <c r="K573" s="11" t="n">
        <v>0.003055555555555556</v>
      </c>
      <c r="L573" s="13" t="n"/>
    </row>
    <row r="574">
      <c r="A574" s="3" t="inlineStr">
        <is>
          <t>Coupling</t>
        </is>
      </c>
      <c r="B574" s="3" t="inlineStr">
        <is>
          <t>Act_COP_1011802_070349_613</t>
        </is>
      </c>
      <c r="C574" s="3" t="inlineStr">
        <is>
          <t>1011802</t>
        </is>
      </c>
      <c r="D574" s="9" t="n">
        <v>70.5</v>
      </c>
      <c r="E574" s="3" t="n"/>
      <c r="F574" s="3" t="n"/>
      <c r="G574" s="9" t="n"/>
      <c r="H574" s="10" t="n">
        <v>45671.29431712963</v>
      </c>
      <c r="I574" s="10" t="n">
        <v>45671.29518518518</v>
      </c>
      <c r="J574" s="10" t="n">
        <v>45671.29824074074</v>
      </c>
      <c r="K574" s="11" t="n">
        <v>0.003055555555555556</v>
      </c>
      <c r="L574" s="13" t="n"/>
    </row>
    <row r="575">
      <c r="A575" s="3" t="inlineStr">
        <is>
          <t>Coupling</t>
        </is>
      </c>
      <c r="B575" s="3" t="inlineStr">
        <is>
          <t>Act_COP_1011805_071110_617</t>
        </is>
      </c>
      <c r="C575" s="3" t="inlineStr">
        <is>
          <t>1011805</t>
        </is>
      </c>
      <c r="D575" s="9" t="n">
        <v>39.8</v>
      </c>
      <c r="E575" s="3" t="n"/>
      <c r="F575" s="3" t="n"/>
      <c r="G575" s="9" t="n"/>
      <c r="H575" s="10" t="n">
        <v>45671.29942129629</v>
      </c>
      <c r="I575" s="10" t="n">
        <v>45671.30020833333</v>
      </c>
      <c r="J575" s="10" t="n">
        <v>45671.30298611111</v>
      </c>
      <c r="K575" s="11" t="n">
        <v>0.002777777777777778</v>
      </c>
      <c r="L575" s="13" t="n"/>
    </row>
    <row r="576">
      <c r="A576" s="3" t="inlineStr">
        <is>
          <t>Coupling</t>
        </is>
      </c>
      <c r="B576" s="3" t="inlineStr">
        <is>
          <t>Act_COP_1011806_071405_625</t>
        </is>
      </c>
      <c r="C576" s="3" t="inlineStr">
        <is>
          <t>1011806</t>
        </is>
      </c>
      <c r="D576" s="9" t="n">
        <v>27</v>
      </c>
      <c r="E576" s="3" t="n"/>
      <c r="F576" s="3" t="n"/>
      <c r="G576" s="9" t="n"/>
      <c r="H576" s="10" t="n">
        <v>45671.30144675926</v>
      </c>
      <c r="I576" s="10" t="n">
        <v>45671.30324074074</v>
      </c>
      <c r="J576" s="10" t="n">
        <v>45671.30629629629</v>
      </c>
      <c r="K576" s="11" t="n">
        <v>0.003055555555555556</v>
      </c>
      <c r="L576" s="13" t="n"/>
    </row>
    <row r="577">
      <c r="A577" s="3" t="inlineStr">
        <is>
          <t>Coupling</t>
        </is>
      </c>
      <c r="B577" s="3" t="inlineStr">
        <is>
          <t>Act_COP_1011807_071636_605</t>
        </is>
      </c>
      <c r="C577" s="3" t="inlineStr">
        <is>
          <t>1011807</t>
        </is>
      </c>
      <c r="D577" s="9" t="n">
        <v>39</v>
      </c>
      <c r="E577" s="3" t="n"/>
      <c r="F577" s="3" t="n"/>
      <c r="G577" s="9" t="n"/>
      <c r="H577" s="10" t="n">
        <v>45671.30319444444</v>
      </c>
      <c r="I577" s="10" t="n">
        <v>45671.30457175926</v>
      </c>
      <c r="J577" s="10" t="n">
        <v>45671.30734953703</v>
      </c>
      <c r="K577" s="11" t="n">
        <v>0.002777777777777778</v>
      </c>
      <c r="L577" s="13" t="n"/>
    </row>
    <row r="578">
      <c r="A578" s="3" t="inlineStr">
        <is>
          <t>Coupling</t>
        </is>
      </c>
      <c r="B578" s="3" t="inlineStr">
        <is>
          <t>Act_COP_1012202_092632_607</t>
        </is>
      </c>
      <c r="C578" s="3" t="inlineStr">
        <is>
          <t>1012202</t>
        </is>
      </c>
      <c r="D578" s="9" t="n">
        <v>264.8</v>
      </c>
      <c r="E578" s="3" t="n"/>
      <c r="F578" s="3" t="n"/>
      <c r="G578" s="9" t="n"/>
      <c r="H578" s="10" t="n">
        <v>45671.39342592593</v>
      </c>
      <c r="I578" s="10" t="n">
        <v>45671.39427083333</v>
      </c>
      <c r="J578" s="10" t="n">
        <v>45671.39732638889</v>
      </c>
      <c r="K578" s="11" t="n">
        <v>0.003055555555555556</v>
      </c>
      <c r="L578" s="13" t="n"/>
    </row>
    <row r="579">
      <c r="A579" s="3" t="inlineStr">
        <is>
          <t>Coupling</t>
        </is>
      </c>
      <c r="B579" s="3" t="inlineStr">
        <is>
          <t>Act_COP_1012203_092928_629</t>
        </is>
      </c>
      <c r="C579" s="3" t="inlineStr">
        <is>
          <t>1012203</t>
        </is>
      </c>
      <c r="D579" s="9" t="n">
        <v>72.8</v>
      </c>
      <c r="E579" s="3" t="n"/>
      <c r="F579" s="3" t="n"/>
      <c r="G579" s="9" t="n"/>
      <c r="H579" s="10" t="n">
        <v>45671.39546296297</v>
      </c>
      <c r="I579" s="10" t="n">
        <v>45671.39626157407</v>
      </c>
      <c r="J579" s="10" t="n">
        <v>45671.39903935185</v>
      </c>
      <c r="K579" s="11" t="n">
        <v>0.002777777777777778</v>
      </c>
      <c r="L579" s="13" t="n"/>
    </row>
    <row r="580">
      <c r="A580" s="3" t="inlineStr">
        <is>
          <t>Coupling</t>
        </is>
      </c>
      <c r="B580" s="3" t="inlineStr">
        <is>
          <t>Act_COP_1012101_093603_605</t>
        </is>
      </c>
      <c r="C580" s="3" t="inlineStr">
        <is>
          <t>1012101</t>
        </is>
      </c>
      <c r="D580" s="9" t="n">
        <v>15.7</v>
      </c>
      <c r="E580" s="3" t="n"/>
      <c r="F580" s="3" t="n"/>
      <c r="G580" s="9" t="n"/>
      <c r="H580" s="10" t="n">
        <v>45671.40003472222</v>
      </c>
      <c r="I580" s="10" t="n">
        <v>45671.41733796296</v>
      </c>
      <c r="J580" s="10" t="n">
        <v>45671.42039351852</v>
      </c>
      <c r="K580" s="11" t="n">
        <v>0.003055555555555556</v>
      </c>
      <c r="L580" s="13" t="n"/>
    </row>
    <row r="581">
      <c r="A581" s="3" t="inlineStr">
        <is>
          <t>Coupling</t>
        </is>
      </c>
      <c r="B581" s="3" t="inlineStr">
        <is>
          <t>Act_COP_1012103_094027_627</t>
        </is>
      </c>
      <c r="C581" s="3" t="inlineStr">
        <is>
          <t>1012103</t>
        </is>
      </c>
      <c r="D581" s="9" t="n">
        <v>28</v>
      </c>
      <c r="E581" s="3" t="n"/>
      <c r="F581" s="3" t="n"/>
      <c r="G581" s="9" t="n"/>
      <c r="H581" s="10" t="n">
        <v>45671.40309027778</v>
      </c>
      <c r="I581" s="10" t="n">
        <v>45671.42065972222</v>
      </c>
      <c r="J581" s="10" t="n">
        <v>45671.42371527778</v>
      </c>
      <c r="K581" s="11" t="n">
        <v>0.003055555555555556</v>
      </c>
      <c r="L581" s="13" t="n"/>
    </row>
    <row r="582">
      <c r="A582" s="3" t="inlineStr">
        <is>
          <t>Coupling</t>
        </is>
      </c>
      <c r="B582" s="3" t="inlineStr">
        <is>
          <t>Act_COP_1012104_094338_625</t>
        </is>
      </c>
      <c r="C582" s="3" t="inlineStr">
        <is>
          <t>1012104</t>
        </is>
      </c>
      <c r="D582" s="9" t="n">
        <v>108</v>
      </c>
      <c r="E582" s="3" t="n"/>
      <c r="F582" s="3" t="n"/>
      <c r="G582" s="9" t="n"/>
      <c r="H582" s="10" t="n">
        <v>45671.40530092592</v>
      </c>
      <c r="I582" s="10" t="n">
        <v>45671.42206018518</v>
      </c>
      <c r="J582" s="10" t="n">
        <v>45671.42511574074</v>
      </c>
      <c r="K582" s="11" t="n">
        <v>0.003055555555555556</v>
      </c>
      <c r="L582" s="13" t="n"/>
    </row>
    <row r="583">
      <c r="A583" s="3" t="inlineStr">
        <is>
          <t>Coupling</t>
        </is>
      </c>
      <c r="B583" s="3" t="inlineStr">
        <is>
          <t>Act_COP_1012106_094856_619</t>
        </is>
      </c>
      <c r="C583" s="3" t="inlineStr">
        <is>
          <t>1012106</t>
        </is>
      </c>
      <c r="D583" s="9" t="n">
        <v>15.7</v>
      </c>
      <c r="E583" s="3" t="n"/>
      <c r="F583" s="3" t="n"/>
      <c r="G583" s="9" t="n"/>
      <c r="H583" s="10" t="n">
        <v>45671.40898148148</v>
      </c>
      <c r="I583" s="10" t="n">
        <v>45671.4247800926</v>
      </c>
      <c r="J583" s="10" t="n">
        <v>45671.42783564814</v>
      </c>
      <c r="K583" s="11" t="n">
        <v>0.003055555555555556</v>
      </c>
      <c r="L583" s="13" t="n"/>
    </row>
    <row r="584">
      <c r="A584" s="3" t="inlineStr">
        <is>
          <t>Coupling</t>
        </is>
      </c>
      <c r="B584" s="3" t="inlineStr">
        <is>
          <t>Act_COP_1012111_100026_623</t>
        </is>
      </c>
      <c r="C584" s="3" t="inlineStr">
        <is>
          <t>1012111</t>
        </is>
      </c>
      <c r="D584" s="9" t="n">
        <v>31.5</v>
      </c>
      <c r="E584" s="3" t="n"/>
      <c r="F584" s="3" t="n"/>
      <c r="G584" s="9" t="n"/>
      <c r="H584" s="10" t="n">
        <v>45671.4169675926</v>
      </c>
      <c r="I584" s="10" t="n">
        <v>45671.42679398148</v>
      </c>
      <c r="J584" s="10" t="n">
        <v>45671.42984953704</v>
      </c>
      <c r="K584" s="11" t="n">
        <v>0.003055555555555556</v>
      </c>
      <c r="L584" s="13" t="n"/>
    </row>
    <row r="585">
      <c r="A585" s="3" t="inlineStr">
        <is>
          <t>Coupling</t>
        </is>
      </c>
      <c r="B585" s="3" t="inlineStr">
        <is>
          <t>Act_COP_1012110_100058_605</t>
        </is>
      </c>
      <c r="C585" s="3" t="inlineStr">
        <is>
          <t>1012110</t>
        </is>
      </c>
      <c r="D585" s="9" t="n">
        <v>31.5</v>
      </c>
      <c r="E585" s="3" t="n"/>
      <c r="F585" s="3" t="n"/>
      <c r="G585" s="9" t="n"/>
      <c r="H585" s="10" t="n">
        <v>45671.41733796296</v>
      </c>
      <c r="I585" s="10" t="n">
        <v>45671.42762731481</v>
      </c>
      <c r="J585" s="10" t="n">
        <v>45671.43040509259</v>
      </c>
      <c r="K585" s="11" t="n">
        <v>0.002777777777777778</v>
      </c>
      <c r="L585" s="13" t="n"/>
    </row>
    <row r="586">
      <c r="A586" s="3" t="inlineStr">
        <is>
          <t>Coupling</t>
        </is>
      </c>
      <c r="B586" s="3" t="inlineStr">
        <is>
          <t>Act_COP_1012108_100103_615</t>
        </is>
      </c>
      <c r="C586" s="3" t="inlineStr">
        <is>
          <t>1012108</t>
        </is>
      </c>
      <c r="D586" s="9" t="n">
        <v>16.5</v>
      </c>
      <c r="E586" s="3" t="n"/>
      <c r="F586" s="3" t="n"/>
      <c r="G586" s="9" t="n"/>
      <c r="H586" s="10" t="n">
        <v>45671.41739583333</v>
      </c>
      <c r="I586" s="10" t="n">
        <v>45671.42871527778</v>
      </c>
      <c r="J586" s="10" t="n">
        <v>45671.43177083333</v>
      </c>
      <c r="K586" s="11" t="n">
        <v>0.003055555555555556</v>
      </c>
      <c r="L586" s="13" t="n"/>
    </row>
    <row r="587">
      <c r="A587" s="3" t="inlineStr">
        <is>
          <t>Coupling</t>
        </is>
      </c>
      <c r="B587" s="3" t="inlineStr">
        <is>
          <t>Act_COP_1012109_100545_627</t>
        </is>
      </c>
      <c r="C587" s="3" t="inlineStr">
        <is>
          <t>1012109</t>
        </is>
      </c>
      <c r="D587" s="9" t="n">
        <v>14</v>
      </c>
      <c r="E587" s="3" t="n"/>
      <c r="F587" s="3" t="n"/>
      <c r="G587" s="9" t="n"/>
      <c r="H587" s="10" t="n">
        <v>45671.42065972222</v>
      </c>
      <c r="I587" s="10" t="n">
        <v>45671.4315162037</v>
      </c>
      <c r="J587" s="10" t="n">
        <v>45671.43457175926</v>
      </c>
      <c r="K587" s="11" t="n">
        <v>0.003055555555555556</v>
      </c>
      <c r="L587" s="13" t="n"/>
    </row>
    <row r="588">
      <c r="A588" s="3" t="inlineStr">
        <is>
          <t>Coupling</t>
        </is>
      </c>
      <c r="B588" s="3" t="inlineStr">
        <is>
          <t>Act_COP_1012301_101239_609</t>
        </is>
      </c>
      <c r="C588" s="3" t="inlineStr">
        <is>
          <t>1012301</t>
        </is>
      </c>
      <c r="D588" s="9" t="n">
        <v>21</v>
      </c>
      <c r="E588" s="3" t="n"/>
      <c r="F588" s="3" t="n"/>
      <c r="G588" s="9" t="n"/>
      <c r="H588" s="10" t="n">
        <v>45671.42545138889</v>
      </c>
      <c r="I588" s="10" t="n">
        <v>45671.43199074074</v>
      </c>
      <c r="J588" s="10" t="n">
        <v>45671.43476851852</v>
      </c>
      <c r="K588" s="11" t="n">
        <v>0.002777777777777778</v>
      </c>
      <c r="L588" s="13" t="n"/>
    </row>
    <row r="589">
      <c r="A589" s="3" t="inlineStr">
        <is>
          <t>Coupling</t>
        </is>
      </c>
      <c r="B589" s="3" t="inlineStr">
        <is>
          <t>Act_COP_1012302_101831_611</t>
        </is>
      </c>
      <c r="C589" s="3" t="inlineStr">
        <is>
          <t>1012302</t>
        </is>
      </c>
      <c r="D589" s="9" t="n">
        <v>418.7</v>
      </c>
      <c r="E589" s="3" t="n"/>
      <c r="F589" s="3" t="n"/>
      <c r="G589" s="9" t="n"/>
      <c r="H589" s="10" t="n">
        <v>45671.42952546296</v>
      </c>
      <c r="I589" s="10" t="n">
        <v>45671.43275462963</v>
      </c>
      <c r="J589" s="10" t="n">
        <v>45671.43581018518</v>
      </c>
      <c r="K589" s="11" t="n">
        <v>0.003055555555555556</v>
      </c>
      <c r="L589" s="13" t="n"/>
    </row>
    <row r="590">
      <c r="A590" s="3" t="inlineStr">
        <is>
          <t>Coupling</t>
        </is>
      </c>
      <c r="B590" s="3" t="inlineStr">
        <is>
          <t>Act_COP_1012113_102123_627</t>
        </is>
      </c>
      <c r="C590" s="3" t="inlineStr">
        <is>
          <t>1012113</t>
        </is>
      </c>
      <c r="D590" s="9" t="n">
        <v>15.7</v>
      </c>
      <c r="E590" s="3" t="n"/>
      <c r="F590" s="3" t="n"/>
      <c r="G590" s="9" t="n"/>
      <c r="H590" s="10" t="n">
        <v>45671.4315162037</v>
      </c>
      <c r="I590" s="10" t="n">
        <v>45671.43350694444</v>
      </c>
      <c r="J590" s="10" t="n">
        <v>45671.4365625</v>
      </c>
      <c r="K590" s="11" t="n">
        <v>0.003055555555555556</v>
      </c>
      <c r="L590" s="13" t="n"/>
    </row>
    <row r="591">
      <c r="A591" s="3" t="inlineStr">
        <is>
          <t>Coupling</t>
        </is>
      </c>
      <c r="B591" s="3" t="inlineStr">
        <is>
          <t>Act_COP_1012601_152609_617</t>
        </is>
      </c>
      <c r="C591" s="3" t="inlineStr">
        <is>
          <t>1012601</t>
        </is>
      </c>
      <c r="D591" s="9" t="n">
        <v>19.9</v>
      </c>
      <c r="E591" s="3" t="n"/>
      <c r="F591" s="3" t="n"/>
      <c r="G591" s="9" t="n"/>
      <c r="H591" s="10" t="n">
        <v>45671.64315972223</v>
      </c>
      <c r="I591" s="10" t="n">
        <v>45671.64402777778</v>
      </c>
      <c r="J591" s="10" t="n">
        <v>45671.64708333334</v>
      </c>
      <c r="K591" s="11" t="n">
        <v>0.003055555555555556</v>
      </c>
      <c r="L591" s="13" t="n"/>
    </row>
    <row r="592">
      <c r="A592" s="3" t="inlineStr">
        <is>
          <t>Coupling</t>
        </is>
      </c>
      <c r="B592" s="3" t="inlineStr">
        <is>
          <t>Act_COP_1012602_152825_609</t>
        </is>
      </c>
      <c r="C592" s="3" t="inlineStr">
        <is>
          <t>1012602</t>
        </is>
      </c>
      <c r="D592" s="9" t="n">
        <v>59.7</v>
      </c>
      <c r="E592" s="3" t="n"/>
      <c r="F592" s="3" t="n"/>
      <c r="G592" s="9" t="n"/>
      <c r="H592" s="10" t="n">
        <v>45671.6447337963</v>
      </c>
      <c r="I592" s="10" t="n">
        <v>45671.6455787037</v>
      </c>
      <c r="J592" s="10" t="n">
        <v>45671.64863425926</v>
      </c>
      <c r="K592" s="11" t="n">
        <v>0.003055555555555556</v>
      </c>
      <c r="L592" s="13" t="n"/>
    </row>
    <row r="593">
      <c r="A593" s="3" t="inlineStr">
        <is>
          <t>Coupling</t>
        </is>
      </c>
      <c r="B593" s="3" t="inlineStr">
        <is>
          <t>Act_COP_1012603_153100_623</t>
        </is>
      </c>
      <c r="C593" s="3" t="inlineStr">
        <is>
          <t>1012603</t>
        </is>
      </c>
      <c r="D593" s="9" t="n">
        <v>47.2</v>
      </c>
      <c r="E593" s="3" t="n"/>
      <c r="F593" s="3" t="n"/>
      <c r="G593" s="9" t="n"/>
      <c r="H593" s="10" t="n">
        <v>45671.64652777778</v>
      </c>
      <c r="I593" s="10" t="n">
        <v>45671.64739583333</v>
      </c>
      <c r="J593" s="10" t="n">
        <v>45671.65045138889</v>
      </c>
      <c r="K593" s="11" t="n">
        <v>0.003055555555555556</v>
      </c>
      <c r="L593" s="13" t="n"/>
    </row>
    <row r="594">
      <c r="A594" s="3" t="inlineStr">
        <is>
          <t>Coupling</t>
        </is>
      </c>
      <c r="B594" s="3" t="inlineStr">
        <is>
          <t>Act_COP_1012604_153254_615</t>
        </is>
      </c>
      <c r="C594" s="3" t="inlineStr">
        <is>
          <t>1012604</t>
        </is>
      </c>
      <c r="D594" s="9" t="n">
        <v>96</v>
      </c>
      <c r="E594" s="3" t="n"/>
      <c r="F594" s="3" t="n"/>
      <c r="G594" s="9" t="n"/>
      <c r="H594" s="10" t="n">
        <v>45671.64784722222</v>
      </c>
      <c r="I594" s="10" t="n">
        <v>45671.64863425926</v>
      </c>
      <c r="J594" s="10" t="n">
        <v>45671.65141203703</v>
      </c>
      <c r="K594" s="11" t="n">
        <v>0.002777777777777778</v>
      </c>
      <c r="L594" s="13" t="n"/>
    </row>
    <row r="595">
      <c r="A595" s="3" t="inlineStr">
        <is>
          <t>Coupling</t>
        </is>
      </c>
      <c r="B595" s="3" t="inlineStr">
        <is>
          <t>Act_COP_1012607_154039_627</t>
        </is>
      </c>
      <c r="C595" s="3" t="inlineStr">
        <is>
          <t>1012607</t>
        </is>
      </c>
      <c r="D595" s="9" t="n">
        <v>27</v>
      </c>
      <c r="E595" s="3" t="n"/>
      <c r="F595" s="3" t="n"/>
      <c r="G595" s="9" t="n"/>
      <c r="H595" s="10" t="n">
        <v>45671.65322916667</v>
      </c>
      <c r="I595" s="10" t="n">
        <v>45671.65545138889</v>
      </c>
      <c r="J595" s="10" t="n">
        <v>45671.65850694444</v>
      </c>
      <c r="K595" s="11" t="n">
        <v>0.003055555555555556</v>
      </c>
      <c r="L595" s="13" t="n"/>
    </row>
    <row r="596">
      <c r="A596" s="3" t="inlineStr">
        <is>
          <t>Coupling</t>
        </is>
      </c>
      <c r="B596" s="3" t="inlineStr">
        <is>
          <t>Act_COP_1012608_154228_617</t>
        </is>
      </c>
      <c r="C596" s="3" t="inlineStr">
        <is>
          <t>1012608</t>
        </is>
      </c>
      <c r="D596" s="9" t="n">
        <v>19.9</v>
      </c>
      <c r="E596" s="3" t="n"/>
      <c r="F596" s="3" t="n"/>
      <c r="G596" s="9" t="n"/>
      <c r="H596" s="10" t="n">
        <v>45671.65449074074</v>
      </c>
      <c r="I596" s="10" t="n">
        <v>45671.65596064815</v>
      </c>
      <c r="J596" s="10" t="n">
        <v>45671.65873842593</v>
      </c>
      <c r="K596" s="11" t="n">
        <v>0.002777777777777778</v>
      </c>
      <c r="L596" s="13" t="n"/>
    </row>
    <row r="597">
      <c r="A597" s="3" t="inlineStr">
        <is>
          <t>Coupling</t>
        </is>
      </c>
      <c r="B597" s="3" t="inlineStr">
        <is>
          <t>Act_COP_1012609_154511_627</t>
        </is>
      </c>
      <c r="C597" s="3" t="inlineStr">
        <is>
          <t>1012609</t>
        </is>
      </c>
      <c r="D597" s="9" t="n">
        <v>15.7</v>
      </c>
      <c r="E597" s="3" t="n"/>
      <c r="F597" s="3" t="n"/>
      <c r="G597" s="9" t="n"/>
      <c r="H597" s="10" t="n">
        <v>45671.65637731482</v>
      </c>
      <c r="I597" s="10" t="n">
        <v>45671.66024305556</v>
      </c>
      <c r="J597" s="10" t="n">
        <v>45671.66329861111</v>
      </c>
      <c r="K597" s="11" t="n">
        <v>0.003055555555555556</v>
      </c>
      <c r="L597" s="13" t="n"/>
    </row>
    <row r="598">
      <c r="A598" s="3" t="inlineStr">
        <is>
          <t>Coupling</t>
        </is>
      </c>
      <c r="B598" s="3" t="inlineStr">
        <is>
          <t>Act_COP_1012610_155045_627</t>
        </is>
      </c>
      <c r="C598" s="3" t="inlineStr">
        <is>
          <t>1012610</t>
        </is>
      </c>
      <c r="D598" s="9" t="n">
        <v>81</v>
      </c>
      <c r="E598" s="3" t="n"/>
      <c r="F598" s="3" t="n"/>
      <c r="G598" s="9" t="n"/>
      <c r="H598" s="10" t="n">
        <v>45671.66024305556</v>
      </c>
      <c r="I598" s="10" t="n">
        <v>45671.66103009259</v>
      </c>
      <c r="J598" s="10" t="n">
        <v>45671.66380787037</v>
      </c>
      <c r="K598" s="11" t="n">
        <v>0.002777777777777778</v>
      </c>
      <c r="L598" s="13" t="n"/>
    </row>
    <row r="599">
      <c r="A599" s="3" t="inlineStr">
        <is>
          <t>Coupling</t>
        </is>
      </c>
      <c r="B599" s="3" t="inlineStr">
        <is>
          <t>Act_COP_1013001_180309_607</t>
        </is>
      </c>
      <c r="C599" s="3" t="inlineStr">
        <is>
          <t>1013001</t>
        </is>
      </c>
      <c r="D599" s="9" t="n">
        <v>63</v>
      </c>
      <c r="E599" s="3" t="n"/>
      <c r="F599" s="3" t="n"/>
      <c r="G599" s="9" t="n"/>
      <c r="H599" s="10" t="n">
        <v>45671.7521875</v>
      </c>
      <c r="I599" s="10" t="n">
        <v>45671.75303240741</v>
      </c>
      <c r="J599" s="10" t="n">
        <v>45671.75608796296</v>
      </c>
      <c r="K599" s="11" t="n">
        <v>0.003055555555555556</v>
      </c>
      <c r="L599" s="13" t="n"/>
    </row>
    <row r="600">
      <c r="A600" s="3" t="inlineStr">
        <is>
          <t>Coupling</t>
        </is>
      </c>
      <c r="B600" s="3" t="inlineStr">
        <is>
          <t>Act_COP_1012901_180716_621</t>
        </is>
      </c>
      <c r="C600" s="3" t="inlineStr">
        <is>
          <t>1012901</t>
        </is>
      </c>
      <c r="D600" s="9" t="n">
        <v>31.5</v>
      </c>
      <c r="E600" s="3" t="n"/>
      <c r="F600" s="3" t="n"/>
      <c r="G600" s="9" t="n"/>
      <c r="H600" s="10" t="n">
        <v>45671.7550462963</v>
      </c>
      <c r="I600" s="10" t="n">
        <v>45671.75587962963</v>
      </c>
      <c r="J600" s="10" t="n">
        <v>45671.75893518519</v>
      </c>
      <c r="K600" s="11" t="n">
        <v>0.003055555555555556</v>
      </c>
      <c r="L600" s="13" t="n"/>
    </row>
    <row r="601">
      <c r="A601" s="3" t="inlineStr">
        <is>
          <t>Coupling</t>
        </is>
      </c>
      <c r="B601" s="3" t="inlineStr">
        <is>
          <t>Act_COP_1012903_181104_617</t>
        </is>
      </c>
      <c r="C601" s="3" t="inlineStr">
        <is>
          <t>1012903</t>
        </is>
      </c>
      <c r="D601" s="9" t="n">
        <v>12</v>
      </c>
      <c r="E601" s="3" t="n"/>
      <c r="F601" s="3" t="n"/>
      <c r="G601" s="9" t="n"/>
      <c r="H601" s="10" t="n">
        <v>45671.75768518518</v>
      </c>
      <c r="I601" s="10" t="n">
        <v>45671.75854166667</v>
      </c>
      <c r="J601" s="10" t="n">
        <v>45671.76159722222</v>
      </c>
      <c r="K601" s="11" t="n">
        <v>0.003055555555555556</v>
      </c>
      <c r="L601" s="13" t="n"/>
    </row>
    <row r="602">
      <c r="A602" s="3" t="inlineStr">
        <is>
          <t>Coupling</t>
        </is>
      </c>
      <c r="B602" s="3" t="inlineStr">
        <is>
          <t>Act_COP_1012904_181404_625</t>
        </is>
      </c>
      <c r="C602" s="3" t="inlineStr">
        <is>
          <t>1012904</t>
        </is>
      </c>
      <c r="D602" s="9" t="n">
        <v>39</v>
      </c>
      <c r="E602" s="3" t="n"/>
      <c r="F602" s="3" t="n"/>
      <c r="G602" s="9" t="n"/>
      <c r="H602" s="10" t="n">
        <v>45671.75976851852</v>
      </c>
      <c r="I602" s="10" t="n">
        <v>45671.76061342593</v>
      </c>
      <c r="J602" s="10" t="n">
        <v>45671.76366898148</v>
      </c>
      <c r="K602" s="11" t="n">
        <v>0.003055555555555556</v>
      </c>
      <c r="L602" s="13" t="n"/>
    </row>
    <row r="603">
      <c r="A603" s="3" t="inlineStr">
        <is>
          <t>Coupling</t>
        </is>
      </c>
      <c r="B603" s="3" t="inlineStr">
        <is>
          <t>Act_COP_1012910_182900_605</t>
        </is>
      </c>
      <c r="C603" s="3" t="inlineStr">
        <is>
          <t>1012910</t>
        </is>
      </c>
      <c r="D603" s="9" t="n">
        <v>78</v>
      </c>
      <c r="E603" s="3" t="n"/>
      <c r="F603" s="3" t="n"/>
      <c r="G603" s="9" t="n"/>
      <c r="H603" s="10" t="n">
        <v>45671.77013888889</v>
      </c>
      <c r="I603" s="10" t="n">
        <v>45671.77173611111</v>
      </c>
      <c r="J603" s="10" t="n">
        <v>45671.77479166666</v>
      </c>
      <c r="K603" s="11" t="n">
        <v>0.003055555555555556</v>
      </c>
      <c r="L603" s="13" t="n"/>
    </row>
    <row r="604">
      <c r="A604" s="3" t="inlineStr">
        <is>
          <t>Coupling</t>
        </is>
      </c>
      <c r="B604" s="3" t="inlineStr">
        <is>
          <t>Act_COP_1013201_024256_606</t>
        </is>
      </c>
      <c r="C604" s="3" t="inlineStr">
        <is>
          <t>1013201</t>
        </is>
      </c>
      <c r="D604" s="9" t="n">
        <v>166.9</v>
      </c>
      <c r="E604" s="3" t="n"/>
      <c r="F604" s="3" t="n"/>
      <c r="G604" s="9" t="n"/>
      <c r="H604" s="10" t="n">
        <v>45672.11314814815</v>
      </c>
      <c r="I604" s="10" t="n">
        <v>45672.11399305556</v>
      </c>
      <c r="J604" s="10" t="n">
        <v>45672.11704861111</v>
      </c>
      <c r="K604" s="11" t="n">
        <v>0.003055555555555556</v>
      </c>
      <c r="L604" s="13" t="n"/>
    </row>
    <row r="605">
      <c r="A605" s="3" t="inlineStr">
        <is>
          <t>Coupling</t>
        </is>
      </c>
      <c r="B605" s="3" t="inlineStr">
        <is>
          <t>Act_COP_1013202_024547_627</t>
        </is>
      </c>
      <c r="C605" s="3" t="inlineStr">
        <is>
          <t>1013202</t>
        </is>
      </c>
      <c r="D605" s="9" t="n">
        <v>47.2</v>
      </c>
      <c r="E605" s="3" t="n"/>
      <c r="F605" s="3" t="n"/>
      <c r="G605" s="9" t="n"/>
      <c r="H605" s="10" t="n">
        <v>45672.11512731481</v>
      </c>
      <c r="I605" s="10" t="n">
        <v>45672.11597222222</v>
      </c>
      <c r="J605" s="10" t="n">
        <v>45672.11902777778</v>
      </c>
      <c r="K605" s="11" t="n">
        <v>0.003055555555555556</v>
      </c>
      <c r="L605" s="13" t="n"/>
    </row>
    <row r="606">
      <c r="A606" s="3" t="inlineStr">
        <is>
          <t>Coupling</t>
        </is>
      </c>
      <c r="B606" s="3" t="inlineStr">
        <is>
          <t>Act_COP_1013204_025119_619</t>
        </is>
      </c>
      <c r="C606" s="3" t="inlineStr">
        <is>
          <t>1013204</t>
        </is>
      </c>
      <c r="D606" s="9" t="n">
        <v>87</v>
      </c>
      <c r="E606" s="3" t="n"/>
      <c r="F606" s="3" t="n"/>
      <c r="G606" s="9" t="n"/>
      <c r="H606" s="10" t="n">
        <v>45672.11896990741</v>
      </c>
      <c r="I606" s="10" t="n">
        <v>45672.11981481482</v>
      </c>
      <c r="J606" s="10" t="n">
        <v>45672.12287037037</v>
      </c>
      <c r="K606" s="11" t="n">
        <v>0.003055555555555556</v>
      </c>
      <c r="L606" s="13" t="n"/>
    </row>
    <row r="607">
      <c r="A607" s="3" t="inlineStr">
        <is>
          <t>Coupling</t>
        </is>
      </c>
      <c r="B607" s="3" t="inlineStr">
        <is>
          <t>Act_COP_1013401_064303_615</t>
        </is>
      </c>
      <c r="C607" s="3" t="inlineStr">
        <is>
          <t>1013401</t>
        </is>
      </c>
      <c r="D607" s="9" t="n">
        <v>298</v>
      </c>
      <c r="E607" s="3" t="n"/>
      <c r="F607" s="3" t="n"/>
      <c r="G607" s="9" t="n"/>
      <c r="H607" s="10" t="n">
        <v>45672.27989583334</v>
      </c>
      <c r="I607" s="10" t="n">
        <v>45672.28074074074</v>
      </c>
      <c r="J607" s="10" t="n">
        <v>45672.28379629629</v>
      </c>
      <c r="K607" s="11" t="n">
        <v>0.003055555555555556</v>
      </c>
      <c r="L607" s="13" t="n"/>
    </row>
    <row r="608">
      <c r="A608" s="3" t="inlineStr">
        <is>
          <t>Coupling</t>
        </is>
      </c>
      <c r="B608" s="3" t="inlineStr">
        <is>
          <t>Act_COP_1013501_073708_627</t>
        </is>
      </c>
      <c r="C608" s="3" t="inlineStr">
        <is>
          <t>1013501</t>
        </is>
      </c>
      <c r="D608" s="9" t="n">
        <v>47.2</v>
      </c>
      <c r="E608" s="3" t="n"/>
      <c r="F608" s="3" t="n"/>
      <c r="G608" s="9" t="n"/>
      <c r="H608" s="10" t="n">
        <v>45672.3174537037</v>
      </c>
      <c r="I608" s="10" t="n">
        <v>45672.31824074074</v>
      </c>
      <c r="J608" s="10" t="n">
        <v>45672.32101851852</v>
      </c>
      <c r="K608" s="11" t="n">
        <v>0.002777777777777778</v>
      </c>
      <c r="L608" s="13" t="n"/>
    </row>
    <row r="609">
      <c r="A609" s="3" t="inlineStr">
        <is>
          <t>Coupling</t>
        </is>
      </c>
      <c r="B609" s="3" t="inlineStr">
        <is>
          <t>Act_COP_1013504_074500_605</t>
        </is>
      </c>
      <c r="C609" s="3" t="inlineStr">
        <is>
          <t>1013504</t>
        </is>
      </c>
      <c r="D609" s="9" t="n">
        <v>12</v>
      </c>
      <c r="E609" s="3" t="n"/>
      <c r="F609" s="3" t="n"/>
      <c r="G609" s="9" t="n"/>
      <c r="H609" s="10" t="n">
        <v>45672.32291666666</v>
      </c>
      <c r="I609" s="10" t="n">
        <v>45672.32375</v>
      </c>
      <c r="J609" s="10" t="n">
        <v>45672.32680555555</v>
      </c>
      <c r="K609" s="11" t="n">
        <v>0.003055555555555556</v>
      </c>
      <c r="L609" s="13" t="n"/>
    </row>
    <row r="610">
      <c r="A610" s="3" t="inlineStr">
        <is>
          <t>Coupling</t>
        </is>
      </c>
      <c r="B610" s="3" t="inlineStr">
        <is>
          <t>Act_COP_1013507_075228_625</t>
        </is>
      </c>
      <c r="C610" s="3" t="inlineStr">
        <is>
          <t>1013507</t>
        </is>
      </c>
      <c r="D610" s="9" t="n">
        <v>67.09999999999999</v>
      </c>
      <c r="E610" s="3" t="n"/>
      <c r="F610" s="3" t="n"/>
      <c r="G610" s="9" t="n"/>
      <c r="H610" s="10" t="n">
        <v>45672.32810185185</v>
      </c>
      <c r="I610" s="10" t="n">
        <v>45672.32888888889</v>
      </c>
      <c r="J610" s="10" t="n">
        <v>45672.33166666667</v>
      </c>
      <c r="K610" s="11" t="n">
        <v>0.002777777777777778</v>
      </c>
      <c r="L610" s="13" t="n"/>
    </row>
    <row r="611">
      <c r="A611" s="3" t="inlineStr">
        <is>
          <t>Coupling</t>
        </is>
      </c>
      <c r="B611" s="3" t="inlineStr">
        <is>
          <t>Act_COP_1013508_075526_619</t>
        </is>
      </c>
      <c r="C611" s="3" t="inlineStr">
        <is>
          <t>1013508</t>
        </is>
      </c>
      <c r="D611" s="9" t="n">
        <v>62.2</v>
      </c>
      <c r="E611" s="3" t="n"/>
      <c r="F611" s="3" t="n"/>
      <c r="G611" s="9" t="n"/>
      <c r="H611" s="10" t="n">
        <v>45672.33016203704</v>
      </c>
      <c r="I611" s="10" t="n">
        <v>45672.33168981481</v>
      </c>
      <c r="J611" s="10" t="n">
        <v>45672.33474537037</v>
      </c>
      <c r="K611" s="11" t="n">
        <v>0.003055555555555556</v>
      </c>
      <c r="L611" s="13" t="n"/>
    </row>
    <row r="612">
      <c r="A612" s="3" t="inlineStr">
        <is>
          <t>Coupling</t>
        </is>
      </c>
      <c r="B612" s="3" t="inlineStr">
        <is>
          <t>Act_COP_1013801_091820_619</t>
        </is>
      </c>
      <c r="C612" s="3" t="inlineStr">
        <is>
          <t>1013801</t>
        </is>
      </c>
      <c r="D612" s="9" t="n">
        <v>23.2</v>
      </c>
      <c r="E612" s="3" t="n"/>
      <c r="F612" s="3" t="n"/>
      <c r="G612" s="9" t="n"/>
      <c r="H612" s="10" t="n">
        <v>45672.38773148148</v>
      </c>
      <c r="I612" s="10" t="n">
        <v>45672.38856481481</v>
      </c>
      <c r="J612" s="10" t="n">
        <v>45672.39162037037</v>
      </c>
      <c r="K612" s="11" t="n">
        <v>0.003055555555555556</v>
      </c>
      <c r="L612" s="13" t="n"/>
    </row>
    <row r="613">
      <c r="A613" s="3" t="inlineStr">
        <is>
          <t>Coupling</t>
        </is>
      </c>
      <c r="B613" s="3" t="inlineStr">
        <is>
          <t>Act_COP_1013802_092040_607</t>
        </is>
      </c>
      <c r="C613" s="3" t="inlineStr">
        <is>
          <t>1013802</t>
        </is>
      </c>
      <c r="D613" s="9" t="n">
        <v>21</v>
      </c>
      <c r="E613" s="3" t="n"/>
      <c r="F613" s="3" t="n"/>
      <c r="G613" s="9" t="n"/>
      <c r="H613" s="10" t="n">
        <v>45672.38935185185</v>
      </c>
      <c r="I613" s="10" t="n">
        <v>45672.39013888889</v>
      </c>
      <c r="J613" s="10" t="n">
        <v>45672.39291666666</v>
      </c>
      <c r="K613" s="11" t="n">
        <v>0.002777777777777778</v>
      </c>
      <c r="L613" s="13" t="n"/>
    </row>
    <row r="614">
      <c r="A614" s="3" t="inlineStr">
        <is>
          <t>Coupling</t>
        </is>
      </c>
      <c r="B614" s="3" t="inlineStr">
        <is>
          <t>Act_COP_1013804_092459_606</t>
        </is>
      </c>
      <c r="C614" s="3" t="inlineStr">
        <is>
          <t>1013804</t>
        </is>
      </c>
      <c r="D614" s="9" t="n">
        <v>57.4</v>
      </c>
      <c r="E614" s="3" t="n"/>
      <c r="F614" s="3" t="n"/>
      <c r="G614" s="9" t="n"/>
      <c r="H614" s="10" t="n">
        <v>45672.39234953704</v>
      </c>
      <c r="I614" s="10" t="n">
        <v>45672.39319444444</v>
      </c>
      <c r="J614" s="10" t="n">
        <v>45672.39625</v>
      </c>
      <c r="K614" s="11" t="n">
        <v>0.003055555555555556</v>
      </c>
      <c r="L614" s="13" t="n"/>
    </row>
    <row r="615">
      <c r="A615" s="3" t="inlineStr">
        <is>
          <t>Coupling</t>
        </is>
      </c>
      <c r="B615" s="3" t="inlineStr">
        <is>
          <t>Act_COP_1013805_092642_615</t>
        </is>
      </c>
      <c r="C615" s="3" t="inlineStr">
        <is>
          <t>1013805</t>
        </is>
      </c>
      <c r="D615" s="9" t="n">
        <v>31.5</v>
      </c>
      <c r="E615" s="3" t="n"/>
      <c r="F615" s="3" t="n"/>
      <c r="G615" s="9" t="n"/>
      <c r="H615" s="10" t="n">
        <v>45672.39354166666</v>
      </c>
      <c r="I615" s="10" t="n">
        <v>45672.394375</v>
      </c>
      <c r="J615" s="10" t="n">
        <v>45672.39743055555</v>
      </c>
      <c r="K615" s="11" t="n">
        <v>0.003055555555555556</v>
      </c>
      <c r="L615" s="13" t="n"/>
    </row>
    <row r="616">
      <c r="A616" s="3" t="inlineStr">
        <is>
          <t>Coupling</t>
        </is>
      </c>
      <c r="B616" s="3" t="inlineStr">
        <is>
          <t>Act_COP_1013808_093459_607</t>
        </is>
      </c>
      <c r="C616" s="3" t="inlineStr">
        <is>
          <t>1013808</t>
        </is>
      </c>
      <c r="D616" s="9" t="n">
        <v>15.7</v>
      </c>
      <c r="E616" s="3" t="n"/>
      <c r="F616" s="3" t="n"/>
      <c r="G616" s="9" t="n"/>
      <c r="H616" s="10" t="n">
        <v>45672.39929398148</v>
      </c>
      <c r="I616" s="10" t="n">
        <v>45672.40116898148</v>
      </c>
      <c r="J616" s="10" t="n">
        <v>45672.40422453704</v>
      </c>
      <c r="K616" s="11" t="n">
        <v>0.003055555555555556</v>
      </c>
      <c r="L616" s="13" t="n"/>
    </row>
    <row r="617">
      <c r="A617" s="3" t="inlineStr">
        <is>
          <t>Coupling</t>
        </is>
      </c>
      <c r="B617" s="3" t="inlineStr">
        <is>
          <t>Act_COP_1013902_094114_609</t>
        </is>
      </c>
      <c r="C617" s="3" t="inlineStr">
        <is>
          <t>1013902</t>
        </is>
      </c>
      <c r="D617" s="9" t="n">
        <v>73.90000000000001</v>
      </c>
      <c r="E617" s="3" t="n"/>
      <c r="F617" s="3" t="n"/>
      <c r="G617" s="9" t="n"/>
      <c r="H617" s="10" t="n">
        <v>45672.40363425926</v>
      </c>
      <c r="I617" s="10" t="n">
        <v>45672.40591435185</v>
      </c>
      <c r="J617" s="10" t="n">
        <v>45672.40896990741</v>
      </c>
      <c r="K617" s="11" t="n">
        <v>0.003055555555555556</v>
      </c>
      <c r="L617" s="13" t="n"/>
    </row>
    <row r="618">
      <c r="A618" s="3" t="inlineStr">
        <is>
          <t>Coupling</t>
        </is>
      </c>
      <c r="B618" s="3" t="inlineStr">
        <is>
          <t>Act_COP_1014001_101221_609</t>
        </is>
      </c>
      <c r="C618" s="3" t="inlineStr">
        <is>
          <t>1014001</t>
        </is>
      </c>
      <c r="D618" s="9" t="n">
        <v>21</v>
      </c>
      <c r="E618" s="3" t="n"/>
      <c r="F618" s="3" t="n"/>
      <c r="G618" s="9" t="n"/>
      <c r="H618" s="10" t="n">
        <v>45672.42524305556</v>
      </c>
      <c r="I618" s="10" t="n">
        <v>45672.42611111111</v>
      </c>
      <c r="J618" s="10" t="n">
        <v>45672.42916666667</v>
      </c>
      <c r="K618" s="11" t="n">
        <v>0.003055555555555556</v>
      </c>
      <c r="L618" s="13" t="n"/>
    </row>
    <row r="619">
      <c r="A619" s="3" t="inlineStr">
        <is>
          <t>Coupling</t>
        </is>
      </c>
      <c r="B619" s="3" t="inlineStr">
        <is>
          <t>Act_COP_1014201_153502_607</t>
        </is>
      </c>
      <c r="C619" s="3" t="inlineStr">
        <is>
          <t>1014201</t>
        </is>
      </c>
      <c r="D619" s="9" t="n">
        <v>19.9</v>
      </c>
      <c r="E619" s="3" t="n"/>
      <c r="F619" s="3" t="n"/>
      <c r="G619" s="9" t="n"/>
      <c r="H619" s="10" t="n">
        <v>45672.6493287037</v>
      </c>
      <c r="I619" s="10" t="n">
        <v>45672.65011574074</v>
      </c>
      <c r="J619" s="10" t="n">
        <v>45672.65289351852</v>
      </c>
      <c r="K619" s="11" t="n">
        <v>0.002777777777777778</v>
      </c>
      <c r="L619" s="13" t="n"/>
    </row>
    <row r="620">
      <c r="A620" s="3" t="inlineStr">
        <is>
          <t>Coupling</t>
        </is>
      </c>
      <c r="B620" s="3" t="inlineStr">
        <is>
          <t>Act_COP_1014202_153747_627</t>
        </is>
      </c>
      <c r="C620" s="3" t="inlineStr">
        <is>
          <t>1014202</t>
        </is>
      </c>
      <c r="D620" s="9" t="n">
        <v>15.7</v>
      </c>
      <c r="E620" s="3" t="n"/>
      <c r="F620" s="3" t="n"/>
      <c r="G620" s="9" t="n"/>
      <c r="H620" s="10" t="n">
        <v>45672.65123842593</v>
      </c>
      <c r="I620" s="10" t="n">
        <v>45672.65208333333</v>
      </c>
      <c r="J620" s="10" t="n">
        <v>45672.65513888889</v>
      </c>
      <c r="K620" s="11" t="n">
        <v>0.003055555555555556</v>
      </c>
      <c r="L620" s="13" t="n"/>
    </row>
    <row r="621">
      <c r="A621" s="3" t="inlineStr">
        <is>
          <t>Coupling</t>
        </is>
      </c>
      <c r="B621" s="3" t="inlineStr">
        <is>
          <t>Act_COP_1014203_154106_625</t>
        </is>
      </c>
      <c r="C621" s="3" t="inlineStr">
        <is>
          <t>1014203</t>
        </is>
      </c>
      <c r="D621" s="9" t="n">
        <v>135</v>
      </c>
      <c r="E621" s="3" t="n"/>
      <c r="F621" s="3" t="n"/>
      <c r="G621" s="9" t="n"/>
      <c r="H621" s="10" t="n">
        <v>45672.65354166667</v>
      </c>
      <c r="I621" s="10" t="n">
        <v>45672.654375</v>
      </c>
      <c r="J621" s="10" t="n">
        <v>45672.65743055556</v>
      </c>
      <c r="K621" s="11" t="n">
        <v>0.003055555555555556</v>
      </c>
      <c r="L621" s="13" t="n"/>
    </row>
    <row r="622">
      <c r="A622" s="3" t="inlineStr">
        <is>
          <t>Coupling</t>
        </is>
      </c>
      <c r="B622" s="3" t="inlineStr">
        <is>
          <t>Act_COP_1014206_154902_607</t>
        </is>
      </c>
      <c r="C622" s="3" t="inlineStr">
        <is>
          <t>1014206</t>
        </is>
      </c>
      <c r="D622" s="9" t="n">
        <v>19.9</v>
      </c>
      <c r="E622" s="3" t="n"/>
      <c r="F622" s="3" t="n"/>
      <c r="G622" s="9" t="n"/>
      <c r="H622" s="10" t="n">
        <v>45672.65905092593</v>
      </c>
      <c r="I622" s="10" t="n">
        <v>45672.65988425926</v>
      </c>
      <c r="J622" s="10" t="n">
        <v>45672.66293981481</v>
      </c>
      <c r="K622" s="11" t="n">
        <v>0.003055555555555556</v>
      </c>
      <c r="L622" s="13" t="n"/>
    </row>
    <row r="623">
      <c r="A623" s="3" t="inlineStr">
        <is>
          <t>Coupling</t>
        </is>
      </c>
      <c r="B623" s="3" t="inlineStr">
        <is>
          <t>Act_COP_1014207_155130_605</t>
        </is>
      </c>
      <c r="C623" s="3" t="inlineStr">
        <is>
          <t>1014207</t>
        </is>
      </c>
      <c r="D623" s="9" t="n">
        <v>12</v>
      </c>
      <c r="E623" s="3" t="n"/>
      <c r="F623" s="3" t="n"/>
      <c r="G623" s="9" t="n"/>
      <c r="H623" s="10" t="n">
        <v>45672.66076388889</v>
      </c>
      <c r="I623" s="10" t="n">
        <v>45672.6616087963</v>
      </c>
      <c r="J623" s="10" t="n">
        <v>45672.66466435185</v>
      </c>
      <c r="K623" s="11" t="n">
        <v>0.003055555555555556</v>
      </c>
      <c r="L623" s="13" t="n"/>
    </row>
    <row r="624">
      <c r="A624" s="3" t="inlineStr">
        <is>
          <t>Coupling</t>
        </is>
      </c>
      <c r="B624" s="3" t="inlineStr">
        <is>
          <t>Act_COP_1014208_155318_615</t>
        </is>
      </c>
      <c r="C624" s="3" t="inlineStr">
        <is>
          <t>1014208</t>
        </is>
      </c>
      <c r="D624" s="9" t="n">
        <v>51.4</v>
      </c>
      <c r="E624" s="3" t="n"/>
      <c r="F624" s="3" t="n"/>
      <c r="G624" s="9" t="n"/>
      <c r="H624" s="10" t="n">
        <v>45672.66201388889</v>
      </c>
      <c r="I624" s="10" t="n">
        <v>45672.66280092593</v>
      </c>
      <c r="J624" s="10" t="n">
        <v>45672.6655787037</v>
      </c>
      <c r="K624" s="11" t="n">
        <v>0.002777777777777778</v>
      </c>
      <c r="L624" s="13" t="n"/>
    </row>
    <row r="625">
      <c r="A625" s="3" t="inlineStr">
        <is>
          <t>Coupling</t>
        </is>
      </c>
      <c r="B625" s="3" t="inlineStr">
        <is>
          <t>Act_COP_1014210_155820_606</t>
        </is>
      </c>
      <c r="C625" s="3" t="inlineStr">
        <is>
          <t>1014210</t>
        </is>
      </c>
      <c r="D625" s="9" t="n">
        <v>129</v>
      </c>
      <c r="E625" s="3" t="n"/>
      <c r="F625" s="3" t="n"/>
      <c r="G625" s="9" t="n"/>
      <c r="H625" s="10" t="n">
        <v>45672.66550925926</v>
      </c>
      <c r="I625" s="10" t="n">
        <v>45672.66634259259</v>
      </c>
      <c r="J625" s="10" t="n">
        <v>45672.66939814815</v>
      </c>
      <c r="K625" s="11" t="n">
        <v>0.003055555555555556</v>
      </c>
      <c r="L625" s="13" t="n"/>
    </row>
    <row r="626">
      <c r="A626" s="3" t="inlineStr">
        <is>
          <t>Coupling</t>
        </is>
      </c>
      <c r="B626" s="3" t="inlineStr">
        <is>
          <t>Act_COP_1014501_180912_627</t>
        </is>
      </c>
      <c r="C626" s="3" t="inlineStr">
        <is>
          <t>1014501</t>
        </is>
      </c>
      <c r="D626" s="9" t="n">
        <v>15.7</v>
      </c>
      <c r="E626" s="3" t="n"/>
      <c r="F626" s="3" t="n"/>
      <c r="G626" s="9" t="n"/>
      <c r="H626" s="10" t="n">
        <v>45672.75638888889</v>
      </c>
      <c r="I626" s="10" t="n">
        <v>45672.75725694445</v>
      </c>
      <c r="J626" s="10" t="n">
        <v>45672.7603125</v>
      </c>
      <c r="K626" s="11" t="n">
        <v>0.003055555555555556</v>
      </c>
      <c r="L626" s="13" t="n"/>
    </row>
    <row r="627">
      <c r="A627" s="3" t="inlineStr">
        <is>
          <t>Coupling</t>
        </is>
      </c>
      <c r="B627" s="3" t="inlineStr">
        <is>
          <t>Act_COP_1014502_181112_611</t>
        </is>
      </c>
      <c r="C627" s="3" t="inlineStr">
        <is>
          <t>1014502</t>
        </is>
      </c>
      <c r="D627" s="9" t="n">
        <v>14</v>
      </c>
      <c r="E627" s="3" t="n"/>
      <c r="F627" s="3" t="n"/>
      <c r="G627" s="9" t="n"/>
      <c r="H627" s="10" t="n">
        <v>45672.75777777778</v>
      </c>
      <c r="I627" s="10" t="n">
        <v>45672.75862268519</v>
      </c>
      <c r="J627" s="10" t="n">
        <v>45672.76167824074</v>
      </c>
      <c r="K627" s="11" t="n">
        <v>0.003055555555555556</v>
      </c>
      <c r="L627" s="13" t="n"/>
    </row>
    <row r="628">
      <c r="A628" s="3" t="inlineStr">
        <is>
          <t>Coupling</t>
        </is>
      </c>
      <c r="B628" s="3" t="inlineStr">
        <is>
          <t>Act_COP_1014503_181402_619</t>
        </is>
      </c>
      <c r="C628" s="3" t="inlineStr">
        <is>
          <t>1014503</t>
        </is>
      </c>
      <c r="D628" s="9" t="n">
        <v>23.2</v>
      </c>
      <c r="E628" s="3" t="n"/>
      <c r="F628" s="3" t="n"/>
      <c r="G628" s="9" t="n"/>
      <c r="H628" s="10" t="n">
        <v>45672.75974537037</v>
      </c>
      <c r="I628" s="10" t="n">
        <v>45672.76053240741</v>
      </c>
      <c r="J628" s="10" t="n">
        <v>45672.76331018518</v>
      </c>
      <c r="K628" s="11" t="n">
        <v>0.002777777777777778</v>
      </c>
      <c r="L628" s="13" t="n"/>
    </row>
    <row r="629">
      <c r="A629" s="3" t="inlineStr">
        <is>
          <t>Coupling</t>
        </is>
      </c>
      <c r="B629" s="3" t="inlineStr">
        <is>
          <t>Act_COP_1014504_181622_607</t>
        </is>
      </c>
      <c r="C629" s="3" t="inlineStr">
        <is>
          <t>1014504</t>
        </is>
      </c>
      <c r="D629" s="9" t="n">
        <v>21</v>
      </c>
      <c r="E629" s="3" t="n"/>
      <c r="F629" s="3" t="n"/>
      <c r="G629" s="9" t="n"/>
      <c r="H629" s="10" t="n">
        <v>45672.76136574074</v>
      </c>
      <c r="I629" s="10" t="n">
        <v>45672.7622337963</v>
      </c>
      <c r="J629" s="10" t="n">
        <v>45672.76528935185</v>
      </c>
      <c r="K629" s="11" t="n">
        <v>0.003055555555555556</v>
      </c>
      <c r="L629" s="13" t="n"/>
    </row>
    <row r="630">
      <c r="A630" s="3" t="inlineStr">
        <is>
          <t>Coupling</t>
        </is>
      </c>
      <c r="B630" s="3" t="inlineStr">
        <is>
          <t>Act_COP_1014508_182602_609</t>
        </is>
      </c>
      <c r="C630" s="3" t="inlineStr">
        <is>
          <t>1014508</t>
        </is>
      </c>
      <c r="D630" s="9" t="n">
        <v>15.7</v>
      </c>
      <c r="E630" s="3" t="n"/>
      <c r="F630" s="3" t="n"/>
      <c r="G630" s="9" t="n"/>
      <c r="H630" s="10" t="n">
        <v>45672.7680787037</v>
      </c>
      <c r="I630" s="10" t="n">
        <v>45672.77028935185</v>
      </c>
      <c r="J630" s="10" t="n">
        <v>45672.77334490741</v>
      </c>
      <c r="K630" s="11" t="n">
        <v>0.003055555555555556</v>
      </c>
      <c r="L630" s="13" t="n"/>
    </row>
    <row r="631">
      <c r="A631" s="3" t="inlineStr">
        <is>
          <t>Coupling</t>
        </is>
      </c>
      <c r="B631" s="3" t="inlineStr">
        <is>
          <t>Act_COP_1014510_183128_627</t>
        </is>
      </c>
      <c r="C631" s="3" t="inlineStr">
        <is>
          <t>1014510</t>
        </is>
      </c>
      <c r="D631" s="9" t="n">
        <v>31.5</v>
      </c>
      <c r="E631" s="3" t="n"/>
      <c r="F631" s="3" t="n"/>
      <c r="G631" s="9" t="n"/>
      <c r="H631" s="10" t="n">
        <v>45672.77185185185</v>
      </c>
      <c r="I631" s="10" t="n">
        <v>45672.77378472222</v>
      </c>
      <c r="J631" s="10" t="n">
        <v>45672.7765625</v>
      </c>
      <c r="K631" s="11" t="n">
        <v>0.002777777777777778</v>
      </c>
      <c r="L631" s="13" t="n"/>
    </row>
    <row r="632">
      <c r="A632" s="3" t="inlineStr">
        <is>
          <t>Coupling</t>
        </is>
      </c>
      <c r="B632" s="3" t="inlineStr">
        <is>
          <t>Act_COP_1014602_025742_605</t>
        </is>
      </c>
      <c r="C632" s="3" t="inlineStr">
        <is>
          <t>1014602</t>
        </is>
      </c>
      <c r="D632" s="9" t="n">
        <v>39.8</v>
      </c>
      <c r="E632" s="3" t="n"/>
      <c r="F632" s="3" t="n"/>
      <c r="G632" s="9" t="n"/>
      <c r="H632" s="10" t="n">
        <v>45673.12340277778</v>
      </c>
      <c r="I632" s="10" t="n">
        <v>45673.12424768518</v>
      </c>
      <c r="J632" s="10" t="n">
        <v>45673.12730324074</v>
      </c>
      <c r="K632" s="11" t="n">
        <v>0.003055555555555556</v>
      </c>
      <c r="L632" s="13" t="n"/>
    </row>
    <row r="633">
      <c r="A633" s="3" t="inlineStr">
        <is>
          <t>Coupling</t>
        </is>
      </c>
      <c r="B633" s="3" t="inlineStr">
        <is>
          <t>Act_COP_1014802_074530_621</t>
        </is>
      </c>
      <c r="C633" s="3" t="inlineStr">
        <is>
          <t>1014802</t>
        </is>
      </c>
      <c r="D633" s="9" t="n">
        <v>101.2</v>
      </c>
      <c r="E633" s="3" t="n"/>
      <c r="F633" s="3" t="n"/>
      <c r="G633" s="9" t="n"/>
      <c r="H633" s="10" t="n">
        <v>45673.32326388889</v>
      </c>
      <c r="I633" s="10" t="n">
        <v>45673.32413194444</v>
      </c>
      <c r="J633" s="10" t="n">
        <v>45673.3271875</v>
      </c>
      <c r="K633" s="11" t="n">
        <v>0.003055555555555556</v>
      </c>
      <c r="L633" s="13" t="n"/>
    </row>
    <row r="634">
      <c r="A634" s="3" t="inlineStr">
        <is>
          <t>Coupling</t>
        </is>
      </c>
      <c r="B634" s="3" t="inlineStr">
        <is>
          <t>Act_COP_1014803_074815_627</t>
        </is>
      </c>
      <c r="C634" s="3" t="inlineStr">
        <is>
          <t>1014803</t>
        </is>
      </c>
      <c r="D634" s="9" t="n">
        <v>15.7</v>
      </c>
      <c r="E634" s="3" t="n"/>
      <c r="F634" s="3" t="n"/>
      <c r="G634" s="9" t="n"/>
      <c r="H634" s="10" t="n">
        <v>45673.32517361111</v>
      </c>
      <c r="I634" s="10" t="n">
        <v>45673.32601851852</v>
      </c>
      <c r="J634" s="10" t="n">
        <v>45673.32907407408</v>
      </c>
      <c r="K634" s="11" t="n">
        <v>0.003055555555555556</v>
      </c>
      <c r="L634" s="13" t="n"/>
    </row>
    <row r="635">
      <c r="A635" s="3" t="inlineStr">
        <is>
          <t>Coupling</t>
        </is>
      </c>
      <c r="B635" s="3" t="inlineStr">
        <is>
          <t>Act_COP_1014804_075006_613</t>
        </is>
      </c>
      <c r="C635" s="3" t="inlineStr">
        <is>
          <t>1014804</t>
        </is>
      </c>
      <c r="D635" s="9" t="n">
        <v>19.9</v>
      </c>
      <c r="E635" s="3" t="n"/>
      <c r="F635" s="3" t="n"/>
      <c r="G635" s="9" t="n"/>
      <c r="H635" s="10" t="n">
        <v>45673.32645833334</v>
      </c>
      <c r="I635" s="10" t="n">
        <v>45673.32892361111</v>
      </c>
      <c r="J635" s="10" t="n">
        <v>45673.33197916667</v>
      </c>
      <c r="K635" s="11" t="n">
        <v>0.003055555555555556</v>
      </c>
      <c r="L635" s="13" t="n"/>
    </row>
    <row r="636">
      <c r="A636" s="3" t="inlineStr">
        <is>
          <t>Coupling</t>
        </is>
      </c>
      <c r="B636" s="3" t="inlineStr">
        <is>
          <t>Act_COP_1014805_075158_617</t>
        </is>
      </c>
      <c r="C636" s="3" t="inlineStr">
        <is>
          <t>1014805</t>
        </is>
      </c>
      <c r="D636" s="9" t="n">
        <v>21</v>
      </c>
      <c r="E636" s="3" t="n"/>
      <c r="F636" s="3" t="n"/>
      <c r="G636" s="9" t="n"/>
      <c r="H636" s="10" t="n">
        <v>45673.32775462963</v>
      </c>
      <c r="I636" s="10" t="n">
        <v>45673.33077546296</v>
      </c>
      <c r="J636" s="10" t="n">
        <v>45673.33383101852</v>
      </c>
      <c r="K636" s="11" t="n">
        <v>0.003055555555555556</v>
      </c>
      <c r="L636" s="13" t="n"/>
    </row>
    <row r="637">
      <c r="A637" s="3" t="inlineStr">
        <is>
          <t>Coupling</t>
        </is>
      </c>
      <c r="B637" s="3" t="inlineStr">
        <is>
          <t>Act_COP_1014806_075355_613</t>
        </is>
      </c>
      <c r="C637" s="3" t="inlineStr">
        <is>
          <t>1014806</t>
        </is>
      </c>
      <c r="D637" s="9" t="n">
        <v>47.2</v>
      </c>
      <c r="E637" s="3" t="n"/>
      <c r="F637" s="3" t="n"/>
      <c r="G637" s="9" t="n"/>
      <c r="H637" s="10" t="n">
        <v>45673.32910879629</v>
      </c>
      <c r="I637" s="10" t="n">
        <v>45673.33099537037</v>
      </c>
      <c r="J637" s="10" t="n">
        <v>45673.33377314815</v>
      </c>
      <c r="K637" s="11" t="n">
        <v>0.002777777777777778</v>
      </c>
      <c r="L637" s="13" t="n"/>
    </row>
    <row r="638">
      <c r="A638" s="3" t="inlineStr">
        <is>
          <t>Coupling</t>
        </is>
      </c>
      <c r="B638" s="3" t="inlineStr">
        <is>
          <t>Act_COP_1014807_075652_625</t>
        </is>
      </c>
      <c r="C638" s="3" t="inlineStr">
        <is>
          <t>1014807</t>
        </is>
      </c>
      <c r="D638" s="9" t="n">
        <v>27</v>
      </c>
      <c r="E638" s="3" t="n"/>
      <c r="F638" s="3" t="n"/>
      <c r="G638" s="9" t="n"/>
      <c r="H638" s="10" t="n">
        <v>45673.33115740741</v>
      </c>
      <c r="I638" s="10" t="n">
        <v>45673.33202546297</v>
      </c>
      <c r="J638" s="10" t="n">
        <v>45673.33508101852</v>
      </c>
      <c r="K638" s="11" t="n">
        <v>0.003055555555555556</v>
      </c>
      <c r="L638" s="13" t="n"/>
    </row>
    <row r="639">
      <c r="A639" s="3" t="inlineStr">
        <is>
          <t>Coupling</t>
        </is>
      </c>
      <c r="B639" s="3" t="inlineStr">
        <is>
          <t>Act_COP_1014808_075924_606</t>
        </is>
      </c>
      <c r="C639" s="3" t="inlineStr">
        <is>
          <t>1014808</t>
        </is>
      </c>
      <c r="D639" s="9" t="n">
        <v>31.5</v>
      </c>
      <c r="E639" s="3" t="n"/>
      <c r="F639" s="3" t="n"/>
      <c r="G639" s="9" t="n"/>
      <c r="H639" s="10" t="n">
        <v>45673.33291666667</v>
      </c>
      <c r="I639" s="10" t="n">
        <v>45673.33378472222</v>
      </c>
      <c r="J639" s="10" t="n">
        <v>45673.33684027778</v>
      </c>
      <c r="K639" s="11" t="n">
        <v>0.003055555555555556</v>
      </c>
      <c r="L639" s="13" t="n"/>
    </row>
    <row r="640">
      <c r="A640" s="3" t="inlineStr">
        <is>
          <t>Coupling</t>
        </is>
      </c>
      <c r="B640" s="3" t="inlineStr">
        <is>
          <t>Act_COP_1014810_080443_605</t>
        </is>
      </c>
      <c r="C640" s="3" t="inlineStr">
        <is>
          <t>1014810</t>
        </is>
      </c>
      <c r="D640" s="9" t="n">
        <v>31.9</v>
      </c>
      <c r="E640" s="3" t="n"/>
      <c r="F640" s="3" t="n"/>
      <c r="G640" s="9" t="n"/>
      <c r="H640" s="10" t="n">
        <v>45673.33660879629</v>
      </c>
      <c r="I640" s="10" t="n">
        <v>45673.33747685186</v>
      </c>
      <c r="J640" s="10" t="n">
        <v>45673.3405324074</v>
      </c>
      <c r="K640" s="11" t="n">
        <v>0.003055555555555556</v>
      </c>
      <c r="L640" s="13" t="n"/>
    </row>
    <row r="641">
      <c r="A641" s="3" t="inlineStr">
        <is>
          <t>Coupling</t>
        </is>
      </c>
      <c r="B641" s="3" t="inlineStr">
        <is>
          <t>Act_COP_1014811_080740_625</t>
        </is>
      </c>
      <c r="C641" s="3" t="inlineStr">
        <is>
          <t>1014811</t>
        </is>
      </c>
      <c r="D641" s="9" t="n">
        <v>27</v>
      </c>
      <c r="E641" s="3" t="n"/>
      <c r="F641" s="3" t="n"/>
      <c r="G641" s="9" t="n"/>
      <c r="H641" s="10" t="n">
        <v>45673.33865740741</v>
      </c>
      <c r="I641" s="10" t="n">
        <v>45673.33952546296</v>
      </c>
      <c r="J641" s="10" t="n">
        <v>45673.34258101852</v>
      </c>
      <c r="K641" s="11" t="n">
        <v>0.003055555555555556</v>
      </c>
      <c r="L641" s="13" t="n"/>
    </row>
    <row r="642">
      <c r="A642" s="3" t="inlineStr">
        <is>
          <t>Coupling</t>
        </is>
      </c>
      <c r="B642" s="3" t="inlineStr">
        <is>
          <t>Act_COP_1015101_093111_607</t>
        </is>
      </c>
      <c r="C642" s="3" t="inlineStr">
        <is>
          <t>1015101</t>
        </is>
      </c>
      <c r="D642" s="9" t="n">
        <v>31.5</v>
      </c>
      <c r="E642" s="3" t="n"/>
      <c r="F642" s="3" t="n"/>
      <c r="G642" s="9" t="n"/>
      <c r="H642" s="10" t="n">
        <v>45673.39665509259</v>
      </c>
      <c r="I642" s="10" t="n">
        <v>45673.41626157407</v>
      </c>
      <c r="J642" s="10" t="n">
        <v>45673.41931712963</v>
      </c>
      <c r="K642" s="11" t="n">
        <v>0.003055555555555556</v>
      </c>
      <c r="L642" s="13" t="n"/>
    </row>
    <row r="643">
      <c r="A643" s="3" t="inlineStr">
        <is>
          <t>Coupling</t>
        </is>
      </c>
      <c r="B643" s="3" t="inlineStr">
        <is>
          <t>Act_COP_1015102_093311_611</t>
        </is>
      </c>
      <c r="C643" s="3" t="inlineStr">
        <is>
          <t>1015102</t>
        </is>
      </c>
      <c r="D643" s="9" t="n">
        <v>14</v>
      </c>
      <c r="E643" s="3" t="n"/>
      <c r="F643" s="3" t="n"/>
      <c r="G643" s="9" t="n"/>
      <c r="H643" s="10" t="n">
        <v>45673.39804398148</v>
      </c>
      <c r="I643" s="10" t="n">
        <v>45673.41626157407</v>
      </c>
      <c r="J643" s="10" t="n">
        <v>45673.41931712963</v>
      </c>
      <c r="K643" s="11" t="n">
        <v>0.003055555555555556</v>
      </c>
      <c r="L643" s="13" t="n"/>
    </row>
    <row r="644">
      <c r="A644" s="3" t="inlineStr">
        <is>
          <t>Coupling</t>
        </is>
      </c>
      <c r="B644" s="3" t="inlineStr">
        <is>
          <t>Act_COP_1015103_093542_623</t>
        </is>
      </c>
      <c r="C644" s="3" t="inlineStr">
        <is>
          <t>1015103</t>
        </is>
      </c>
      <c r="D644" s="9" t="n">
        <v>15.7</v>
      </c>
      <c r="E644" s="3" t="n"/>
      <c r="F644" s="3" t="n"/>
      <c r="G644" s="9" t="n"/>
      <c r="H644" s="10" t="n">
        <v>45673.39979166666</v>
      </c>
      <c r="I644" s="10" t="n">
        <v>45673.42105324074</v>
      </c>
      <c r="J644" s="10" t="n">
        <v>45673.42410879629</v>
      </c>
      <c r="K644" s="11" t="n">
        <v>0.003055555555555556</v>
      </c>
      <c r="L644" s="13" t="n"/>
    </row>
    <row r="645">
      <c r="A645" s="3" t="inlineStr">
        <is>
          <t>Coupling</t>
        </is>
      </c>
      <c r="B645" s="3" t="inlineStr">
        <is>
          <t>Act_COP_1015104_093829_629</t>
        </is>
      </c>
      <c r="C645" s="3" t="inlineStr">
        <is>
          <t>1015104</t>
        </is>
      </c>
      <c r="D645" s="9" t="n">
        <v>21</v>
      </c>
      <c r="E645" s="3" t="n"/>
      <c r="F645" s="3" t="n"/>
      <c r="G645" s="9" t="n"/>
      <c r="H645" s="10" t="n">
        <v>45673.40172453703</v>
      </c>
      <c r="I645" s="10" t="n">
        <v>45673.42105324074</v>
      </c>
      <c r="J645" s="10" t="n">
        <v>45673.42410879629</v>
      </c>
      <c r="K645" s="11" t="n">
        <v>0.003055555555555556</v>
      </c>
      <c r="L645" s="13" t="n"/>
    </row>
    <row r="646">
      <c r="A646" s="3" t="inlineStr">
        <is>
          <t>Coupling</t>
        </is>
      </c>
      <c r="B646" s="3" t="inlineStr">
        <is>
          <t>Act_COP_1015105_094126_625</t>
        </is>
      </c>
      <c r="C646" s="3" t="inlineStr">
        <is>
          <t>1015105</t>
        </is>
      </c>
      <c r="D646" s="9" t="n">
        <v>27</v>
      </c>
      <c r="E646" s="3" t="n"/>
      <c r="F646" s="3" t="n"/>
      <c r="G646" s="9" t="n"/>
      <c r="H646" s="10" t="n">
        <v>45673.40377314815</v>
      </c>
      <c r="I646" s="10" t="n">
        <v>45673.4258449074</v>
      </c>
      <c r="J646" s="10" t="n">
        <v>45673.42890046296</v>
      </c>
      <c r="K646" s="11" t="n">
        <v>0.003055555555555556</v>
      </c>
      <c r="L646" s="13" t="n"/>
    </row>
    <row r="647">
      <c r="A647" s="3" t="inlineStr">
        <is>
          <t>Coupling</t>
        </is>
      </c>
      <c r="B647" s="3" t="inlineStr">
        <is>
          <t>Act_COP_1015106_094322_617</t>
        </is>
      </c>
      <c r="C647" s="3" t="inlineStr">
        <is>
          <t>1015106</t>
        </is>
      </c>
      <c r="D647" s="9" t="n">
        <v>42</v>
      </c>
      <c r="E647" s="3" t="n"/>
      <c r="F647" s="3" t="n"/>
      <c r="G647" s="9" t="n"/>
      <c r="H647" s="10" t="n">
        <v>45673.40511574074</v>
      </c>
      <c r="I647" s="10" t="n">
        <v>45673.4258449074</v>
      </c>
      <c r="J647" s="10" t="n">
        <v>45673.42890046296</v>
      </c>
      <c r="K647" s="11" t="n">
        <v>0.003055555555555556</v>
      </c>
      <c r="L647" s="13" t="n"/>
    </row>
    <row r="648">
      <c r="A648" s="3" t="inlineStr">
        <is>
          <t>Coupling</t>
        </is>
      </c>
      <c r="B648" s="3" t="inlineStr">
        <is>
          <t>Act_COP_1015107_094607_627</t>
        </is>
      </c>
      <c r="C648" s="3" t="inlineStr">
        <is>
          <t>1015107</t>
        </is>
      </c>
      <c r="D648" s="9" t="n">
        <v>15.7</v>
      </c>
      <c r="E648" s="3" t="n"/>
      <c r="F648" s="3" t="n"/>
      <c r="G648" s="9" t="n"/>
      <c r="H648" s="10" t="n">
        <v>45673.40702546296</v>
      </c>
      <c r="I648" s="10" t="n">
        <v>45673.42719907407</v>
      </c>
      <c r="J648" s="10" t="n">
        <v>45673.42997685185</v>
      </c>
      <c r="K648" s="11" t="n">
        <v>0.002777777777777778</v>
      </c>
      <c r="L648" s="13" t="n"/>
    </row>
    <row r="649">
      <c r="A649" s="3" t="inlineStr">
        <is>
          <t>Coupling</t>
        </is>
      </c>
      <c r="B649" s="3" t="inlineStr">
        <is>
          <t>Act_COP_1015108_094818_609</t>
        </is>
      </c>
      <c r="C649" s="3" t="inlineStr">
        <is>
          <t>1015108</t>
        </is>
      </c>
      <c r="D649" s="9" t="n">
        <v>19.9</v>
      </c>
      <c r="E649" s="3" t="n"/>
      <c r="F649" s="3" t="n"/>
      <c r="G649" s="9" t="n"/>
      <c r="H649" s="10" t="n">
        <v>45673.40854166666</v>
      </c>
      <c r="I649" s="10" t="n">
        <v>45673.42732638889</v>
      </c>
      <c r="J649" s="10" t="n">
        <v>45673.43038194445</v>
      </c>
      <c r="K649" s="11" t="n">
        <v>0.003055555555555556</v>
      </c>
      <c r="L649" s="13" t="n"/>
    </row>
    <row r="650">
      <c r="A650" s="3" t="inlineStr">
        <is>
          <t>Coupling</t>
        </is>
      </c>
      <c r="B650" s="3" t="inlineStr">
        <is>
          <t>Act_COP_1015109_095017_613</t>
        </is>
      </c>
      <c r="C650" s="3" t="inlineStr">
        <is>
          <t>1015109</t>
        </is>
      </c>
      <c r="D650" s="9" t="n">
        <v>59.7</v>
      </c>
      <c r="E650" s="3" t="n"/>
      <c r="F650" s="3" t="n"/>
      <c r="G650" s="9" t="n"/>
      <c r="H650" s="10" t="n">
        <v>45673.40991898148</v>
      </c>
      <c r="I650" s="10" t="n">
        <v>45673.42920138889</v>
      </c>
      <c r="J650" s="10" t="n">
        <v>45673.43197916666</v>
      </c>
      <c r="K650" s="11" t="n">
        <v>0.002777777777777778</v>
      </c>
      <c r="L650" s="13" t="n"/>
    </row>
    <row r="651">
      <c r="A651" s="3" t="inlineStr">
        <is>
          <t>Coupling</t>
        </is>
      </c>
      <c r="B651" s="3" t="inlineStr">
        <is>
          <t>Act_COP_1015110_101803_613</t>
        </is>
      </c>
      <c r="C651" s="3" t="inlineStr">
        <is>
          <t>1015110</t>
        </is>
      </c>
      <c r="D651" s="9" t="n">
        <v>170.9</v>
      </c>
      <c r="E651" s="3" t="n"/>
      <c r="F651" s="3" t="n"/>
      <c r="G651" s="9" t="n"/>
      <c r="H651" s="10" t="n">
        <v>45673.42920138889</v>
      </c>
      <c r="I651" s="10" t="n">
        <v>45673.43004629629</v>
      </c>
      <c r="J651" s="10" t="n">
        <v>45673.43310185185</v>
      </c>
      <c r="K651" s="11" t="n">
        <v>0.003055555555555556</v>
      </c>
      <c r="L651" s="13" t="n"/>
    </row>
    <row r="652">
      <c r="A652" s="3" t="inlineStr">
        <is>
          <t>Coupling</t>
        </is>
      </c>
      <c r="B652" s="3" t="inlineStr">
        <is>
          <t>Act_COP_1015601_150816_629</t>
        </is>
      </c>
      <c r="C652" s="3" t="inlineStr">
        <is>
          <t>1015601</t>
        </is>
      </c>
      <c r="D652" s="9" t="n">
        <v>42</v>
      </c>
      <c r="E652" s="3" t="n"/>
      <c r="F652" s="3" t="n"/>
      <c r="G652" s="9" t="n"/>
      <c r="H652" s="10" t="n">
        <v>45673.63074074074</v>
      </c>
      <c r="I652" s="10" t="n">
        <v>45673.6316087963</v>
      </c>
      <c r="J652" s="10" t="n">
        <v>45673.63466435186</v>
      </c>
      <c r="K652" s="11" t="n">
        <v>0.003055555555555556</v>
      </c>
      <c r="L652" s="13" t="n"/>
    </row>
    <row r="653">
      <c r="A653" s="3" t="inlineStr">
        <is>
          <t>Coupling</t>
        </is>
      </c>
      <c r="B653" s="3" t="inlineStr">
        <is>
          <t>Act_COP_1015603_151257_607</t>
        </is>
      </c>
      <c r="C653" s="3" t="inlineStr">
        <is>
          <t>1015603</t>
        </is>
      </c>
      <c r="D653" s="9" t="n">
        <v>15.7</v>
      </c>
      <c r="E653" s="3" t="n"/>
      <c r="F653" s="3" t="n"/>
      <c r="G653" s="9" t="n"/>
      <c r="H653" s="10" t="n">
        <v>45673.63399305556</v>
      </c>
      <c r="I653" s="10" t="n">
        <v>45673.63482638889</v>
      </c>
      <c r="J653" s="10" t="n">
        <v>45673.63788194444</v>
      </c>
      <c r="K653" s="11" t="n">
        <v>0.003055555555555556</v>
      </c>
      <c r="L653" s="13" t="n"/>
    </row>
    <row r="654">
      <c r="A654" s="3" t="inlineStr">
        <is>
          <t>Coupling</t>
        </is>
      </c>
      <c r="B654" s="3" t="inlineStr">
        <is>
          <t>Act_COP_1015604_151507_609</t>
        </is>
      </c>
      <c r="C654" s="3" t="inlineStr">
        <is>
          <t>1015604</t>
        </is>
      </c>
      <c r="D654" s="9" t="n">
        <v>19.9</v>
      </c>
      <c r="E654" s="3" t="n"/>
      <c r="F654" s="3" t="n"/>
      <c r="G654" s="9" t="n"/>
      <c r="H654" s="10" t="n">
        <v>45673.63549768519</v>
      </c>
      <c r="I654" s="10" t="n">
        <v>45673.6362962963</v>
      </c>
      <c r="J654" s="10" t="n">
        <v>45673.63907407408</v>
      </c>
      <c r="K654" s="11" t="n">
        <v>0.002777777777777778</v>
      </c>
      <c r="L654" s="13" t="n"/>
    </row>
    <row r="655">
      <c r="A655" s="3" t="inlineStr">
        <is>
          <t>Coupling</t>
        </is>
      </c>
      <c r="B655" s="3" t="inlineStr">
        <is>
          <t>Act_COP_1015605_151753_627</t>
        </is>
      </c>
      <c r="C655" s="3" t="inlineStr">
        <is>
          <t>1015605</t>
        </is>
      </c>
      <c r="D655" s="9" t="n">
        <v>15.7</v>
      </c>
      <c r="E655" s="3" t="n"/>
      <c r="F655" s="3" t="n"/>
      <c r="G655" s="9" t="n"/>
      <c r="H655" s="10" t="n">
        <v>45673.63741898148</v>
      </c>
      <c r="I655" s="10" t="n">
        <v>45673.63828703704</v>
      </c>
      <c r="J655" s="10" t="n">
        <v>45673.64134259259</v>
      </c>
      <c r="K655" s="11" t="n">
        <v>0.003055555555555556</v>
      </c>
      <c r="L655" s="13" t="n"/>
    </row>
    <row r="656">
      <c r="A656" s="3" t="inlineStr">
        <is>
          <t>Coupling</t>
        </is>
      </c>
      <c r="B656" s="3" t="inlineStr">
        <is>
          <t>Act_COP_1015801_161807_615</t>
        </is>
      </c>
      <c r="C656" s="3" t="inlineStr">
        <is>
          <t>1015801</t>
        </is>
      </c>
      <c r="D656" s="9" t="n">
        <v>61.9</v>
      </c>
      <c r="E656" s="3" t="n"/>
      <c r="F656" s="3" t="n"/>
      <c r="G656" s="9" t="n"/>
      <c r="H656" s="10" t="n">
        <v>45673.67924768518</v>
      </c>
      <c r="I656" s="10" t="n">
        <v>45673.68009259259</v>
      </c>
      <c r="J656" s="10" t="n">
        <v>45673.68314814815</v>
      </c>
      <c r="K656" s="11" t="n">
        <v>0.003055555555555556</v>
      </c>
      <c r="L656" s="13" t="n"/>
    </row>
    <row r="657">
      <c r="A657" s="3" t="inlineStr">
        <is>
          <t>Coupling</t>
        </is>
      </c>
      <c r="B657" s="3" t="inlineStr">
        <is>
          <t>Act_COP_1015802_162104_621</t>
        </is>
      </c>
      <c r="C657" s="3" t="inlineStr">
        <is>
          <t>1015802</t>
        </is>
      </c>
      <c r="D657" s="9" t="n">
        <v>57.4</v>
      </c>
      <c r="E657" s="3" t="n"/>
      <c r="F657" s="3" t="n"/>
      <c r="G657" s="9" t="n"/>
      <c r="H657" s="10" t="n">
        <v>45673.68129629629</v>
      </c>
      <c r="I657" s="10" t="n">
        <v>45673.68216435185</v>
      </c>
      <c r="J657" s="10" t="n">
        <v>45673.68521990741</v>
      </c>
      <c r="K657" s="11" t="n">
        <v>0.003055555555555556</v>
      </c>
      <c r="L657" s="13" t="n"/>
    </row>
    <row r="658">
      <c r="A658" s="3" t="inlineStr">
        <is>
          <t>Coupling</t>
        </is>
      </c>
      <c r="B658" s="3" t="inlineStr">
        <is>
          <t>Act_COP_1015901_174934_617</t>
        </is>
      </c>
      <c r="C658" s="3" t="inlineStr">
        <is>
          <t>1015901</t>
        </is>
      </c>
      <c r="D658" s="9" t="n">
        <v>27</v>
      </c>
      <c r="E658" s="3" t="n"/>
      <c r="F658" s="3" t="n"/>
      <c r="G658" s="9" t="n"/>
      <c r="H658" s="10" t="n">
        <v>45673.74275462963</v>
      </c>
      <c r="I658" s="10" t="n">
        <v>45673.74354166666</v>
      </c>
      <c r="J658" s="10" t="n">
        <v>45673.74631944444</v>
      </c>
      <c r="K658" s="11" t="n">
        <v>0.002777777777777778</v>
      </c>
      <c r="L658" s="13" t="n"/>
    </row>
    <row r="659">
      <c r="A659" s="3" t="inlineStr">
        <is>
          <t>Coupling</t>
        </is>
      </c>
      <c r="B659" s="3" t="inlineStr">
        <is>
          <t>Act_COP_1015902_175224_629</t>
        </is>
      </c>
      <c r="C659" s="3" t="inlineStr">
        <is>
          <t>1015902</t>
        </is>
      </c>
      <c r="D659" s="9" t="n">
        <v>42</v>
      </c>
      <c r="E659" s="3" t="n"/>
      <c r="F659" s="3" t="n"/>
      <c r="G659" s="9" t="n"/>
      <c r="H659" s="10" t="n">
        <v>45673.74472222223</v>
      </c>
      <c r="I659" s="10" t="n">
        <v>45673.74559027778</v>
      </c>
      <c r="J659" s="10" t="n">
        <v>45673.74864583334</v>
      </c>
      <c r="K659" s="11" t="n">
        <v>0.003055555555555556</v>
      </c>
      <c r="L659" s="13" t="n"/>
    </row>
    <row r="660">
      <c r="A660" s="3" t="inlineStr">
        <is>
          <t>Coupling</t>
        </is>
      </c>
      <c r="B660" s="3" t="inlineStr">
        <is>
          <t>Act_COP_1015904_175820_619</t>
        </is>
      </c>
      <c r="C660" s="3" t="inlineStr">
        <is>
          <t>1015904</t>
        </is>
      </c>
      <c r="D660" s="9" t="n">
        <v>40.9</v>
      </c>
      <c r="E660" s="3" t="n"/>
      <c r="F660" s="3" t="n"/>
      <c r="G660" s="9" t="n"/>
      <c r="H660" s="10" t="n">
        <v>45673.74884259259</v>
      </c>
      <c r="I660" s="10" t="n">
        <v>45673.74962962963</v>
      </c>
      <c r="J660" s="10" t="n">
        <v>45673.75240740741</v>
      </c>
      <c r="K660" s="11" t="n">
        <v>0.002777777777777778</v>
      </c>
      <c r="L660" s="13" t="n"/>
    </row>
    <row r="661">
      <c r="A661" s="3" t="inlineStr">
        <is>
          <t>Coupling</t>
        </is>
      </c>
      <c r="B661" s="3" t="inlineStr">
        <is>
          <t>Act_COP_1016001_202340_611</t>
        </is>
      </c>
      <c r="C661" s="3" t="inlineStr">
        <is>
          <t>1016001</t>
        </is>
      </c>
      <c r="D661" s="9" t="n">
        <v>14</v>
      </c>
      <c r="E661" s="3" t="n"/>
      <c r="F661" s="3" t="n"/>
      <c r="G661" s="9" t="n"/>
      <c r="H661" s="10" t="n">
        <v>45673.84976851852</v>
      </c>
      <c r="I661" s="10" t="n">
        <v>45673.85055555555</v>
      </c>
      <c r="J661" s="10" t="n">
        <v>45673.85333333333</v>
      </c>
      <c r="K661" s="11" t="n">
        <v>0.002777777777777778</v>
      </c>
      <c r="L661" s="13" t="n"/>
    </row>
    <row r="662">
      <c r="A662" s="3" t="inlineStr">
        <is>
          <t>Coupling</t>
        </is>
      </c>
      <c r="B662" s="3" t="inlineStr">
        <is>
          <t>Act_COP_1016003_202904_609</t>
        </is>
      </c>
      <c r="C662" s="3" t="inlineStr">
        <is>
          <t>1016003</t>
        </is>
      </c>
      <c r="D662" s="9" t="n">
        <v>19.9</v>
      </c>
      <c r="E662" s="3" t="n"/>
      <c r="F662" s="3" t="n"/>
      <c r="G662" s="9" t="n"/>
      <c r="H662" s="10" t="n">
        <v>45673.85351851852</v>
      </c>
      <c r="I662" s="10" t="n">
        <v>45673.85428240741</v>
      </c>
      <c r="J662" s="10" t="n">
        <v>45673.85706018518</v>
      </c>
      <c r="K662" s="11" t="n">
        <v>0.002777777777777778</v>
      </c>
      <c r="L662" s="13" t="n"/>
    </row>
    <row r="663">
      <c r="A663" s="3" t="inlineStr">
        <is>
          <t>Coupling</t>
        </is>
      </c>
      <c r="B663" s="3" t="inlineStr">
        <is>
          <t>Act_COP_1016004_203135_623</t>
        </is>
      </c>
      <c r="C663" s="3" t="inlineStr">
        <is>
          <t>1016004</t>
        </is>
      </c>
      <c r="D663" s="9" t="n">
        <v>15.7</v>
      </c>
      <c r="E663" s="3" t="n"/>
      <c r="F663" s="3" t="n"/>
      <c r="G663" s="9" t="n"/>
      <c r="H663" s="10" t="n">
        <v>45673.8552662037</v>
      </c>
      <c r="I663" s="10" t="n">
        <v>45673.85605324074</v>
      </c>
      <c r="J663" s="10" t="n">
        <v>45673.85883101852</v>
      </c>
      <c r="K663" s="11" t="n">
        <v>0.002777777777777778</v>
      </c>
      <c r="L663" s="13" t="n"/>
    </row>
    <row r="664">
      <c r="A664" s="3" t="inlineStr">
        <is>
          <t>Coupling</t>
        </is>
      </c>
      <c r="B664" s="3" t="inlineStr">
        <is>
          <t>Act_COP_1016005_203328_617</t>
        </is>
      </c>
      <c r="C664" s="3" t="inlineStr">
        <is>
          <t>1016005</t>
        </is>
      </c>
      <c r="D664" s="9" t="n">
        <v>27</v>
      </c>
      <c r="E664" s="3" t="n"/>
      <c r="F664" s="3" t="n"/>
      <c r="G664" s="9" t="n"/>
      <c r="H664" s="10" t="n">
        <v>45673.85657407407</v>
      </c>
      <c r="I664" s="10" t="n">
        <v>45673.85744212963</v>
      </c>
      <c r="J664" s="10" t="n">
        <v>45673.86049768519</v>
      </c>
      <c r="K664" s="11" t="n">
        <v>0.003055555555555556</v>
      </c>
      <c r="L664" s="13" t="n"/>
    </row>
    <row r="665">
      <c r="A665" s="3" t="inlineStr">
        <is>
          <t>Coupling</t>
        </is>
      </c>
      <c r="B665" s="3" t="inlineStr">
        <is>
          <t>Act_COP_1016006_203548_607</t>
        </is>
      </c>
      <c r="C665" s="3" t="inlineStr">
        <is>
          <t>1016006</t>
        </is>
      </c>
      <c r="D665" s="9" t="n">
        <v>15.7</v>
      </c>
      <c r="E665" s="3" t="n"/>
      <c r="F665" s="3" t="n"/>
      <c r="G665" s="9" t="n"/>
      <c r="H665" s="10" t="n">
        <v>45673.85819444444</v>
      </c>
      <c r="I665" s="10" t="n">
        <v>45673.85895833333</v>
      </c>
      <c r="J665" s="10" t="n">
        <v>45673.86173611111</v>
      </c>
      <c r="K665" s="11" t="n">
        <v>0.002777777777777778</v>
      </c>
      <c r="L665" s="13" t="n"/>
    </row>
    <row r="666">
      <c r="A666" s="3" t="inlineStr">
        <is>
          <t>Coupling</t>
        </is>
      </c>
      <c r="B666" s="3" t="inlineStr">
        <is>
          <t>Act_COP_1016101_030214_605</t>
        </is>
      </c>
      <c r="C666" s="3" t="inlineStr">
        <is>
          <t>1016101</t>
        </is>
      </c>
      <c r="D666" s="9" t="n">
        <v>145.9</v>
      </c>
      <c r="E666" s="3" t="n"/>
      <c r="F666" s="3" t="n"/>
      <c r="G666" s="9" t="n"/>
      <c r="H666" s="10" t="n">
        <v>45674.12655092592</v>
      </c>
      <c r="I666" s="10" t="n">
        <v>45674.12741898148</v>
      </c>
      <c r="J666" s="10" t="n">
        <v>45674.13047453704</v>
      </c>
      <c r="K666" s="11" t="n">
        <v>0.003055555555555556</v>
      </c>
      <c r="L666" s="13" t="n"/>
    </row>
    <row r="667">
      <c r="A667" s="3" t="inlineStr">
        <is>
          <t>Coupling</t>
        </is>
      </c>
      <c r="B667" s="3" t="inlineStr">
        <is>
          <t>Act_COP_1016102_030500_627</t>
        </is>
      </c>
      <c r="C667" s="3" t="inlineStr">
        <is>
          <t>1016102</t>
        </is>
      </c>
      <c r="D667" s="9" t="n">
        <v>15.7</v>
      </c>
      <c r="E667" s="3" t="n"/>
      <c r="F667" s="3" t="n"/>
      <c r="G667" s="9" t="n"/>
      <c r="H667" s="10" t="n">
        <v>45674.12847222222</v>
      </c>
      <c r="I667" s="10" t="n">
        <v>45674.12930555556</v>
      </c>
      <c r="J667" s="10" t="n">
        <v>45674.13236111111</v>
      </c>
      <c r="K667" s="11" t="n">
        <v>0.003055555555555556</v>
      </c>
      <c r="L667" s="13" t="n"/>
    </row>
    <row r="668">
      <c r="A668" s="3" t="inlineStr">
        <is>
          <t>Coupling</t>
        </is>
      </c>
      <c r="B668" s="3" t="inlineStr">
        <is>
          <t>Act_COP_1016104_031001_609</t>
        </is>
      </c>
      <c r="C668" s="3" t="inlineStr">
        <is>
          <t>1016104</t>
        </is>
      </c>
      <c r="D668" s="9" t="n">
        <v>35.6</v>
      </c>
      <c r="E668" s="3" t="n"/>
      <c r="F668" s="3" t="n"/>
      <c r="G668" s="9" t="n"/>
      <c r="H668" s="10" t="n">
        <v>45674.13195601852</v>
      </c>
      <c r="I668" s="10" t="n">
        <v>45674.13282407408</v>
      </c>
      <c r="J668" s="10" t="n">
        <v>45674.13587962963</v>
      </c>
      <c r="K668" s="11" t="n">
        <v>0.003055555555555556</v>
      </c>
      <c r="L668" s="13" t="n"/>
    </row>
    <row r="669">
      <c r="A669" s="3" t="inlineStr">
        <is>
          <t>Coupling</t>
        </is>
      </c>
      <c r="B669" s="3" t="inlineStr">
        <is>
          <t>Act_COP_1016201_044443_619</t>
        </is>
      </c>
      <c r="C669" s="3" t="inlineStr">
        <is>
          <t>1016201</t>
        </is>
      </c>
      <c r="D669" s="9" t="n">
        <v>513.3</v>
      </c>
      <c r="E669" s="3" t="n"/>
      <c r="F669" s="3" t="n"/>
      <c r="G669" s="9" t="n"/>
      <c r="H669" s="10" t="n">
        <v>45674.19771990741</v>
      </c>
      <c r="I669" s="10" t="n">
        <v>45674.19849537037</v>
      </c>
      <c r="J669" s="10" t="n">
        <v>45674.20127314814</v>
      </c>
      <c r="K669" s="11" t="n">
        <v>0.002777777777777778</v>
      </c>
      <c r="L669" s="13" t="n"/>
    </row>
    <row r="670">
      <c r="A670" s="3" t="inlineStr">
        <is>
          <t>Coupling</t>
        </is>
      </c>
      <c r="B670" s="3" t="inlineStr">
        <is>
          <t>Act_COP_1016401_072523_606</t>
        </is>
      </c>
      <c r="C670" s="3" t="inlineStr">
        <is>
          <t>1016401</t>
        </is>
      </c>
      <c r="D670" s="9" t="n">
        <v>43.1</v>
      </c>
      <c r="E670" s="3" t="n"/>
      <c r="F670" s="3" t="n"/>
      <c r="G670" s="9" t="n"/>
      <c r="H670" s="10" t="n">
        <v>45674.30929398148</v>
      </c>
      <c r="I670" s="10" t="n">
        <v>45674.31006944444</v>
      </c>
      <c r="J670" s="10" t="n">
        <v>45674.31284722222</v>
      </c>
      <c r="K670" s="11" t="n">
        <v>0.002777777777777778</v>
      </c>
      <c r="L670" s="13" t="n"/>
    </row>
    <row r="671">
      <c r="A671" s="3" t="inlineStr">
        <is>
          <t>Coupling</t>
        </is>
      </c>
      <c r="B671" s="3" t="inlineStr">
        <is>
          <t>Act_COP_1016403_073116_623</t>
        </is>
      </c>
      <c r="C671" s="3" t="inlineStr">
        <is>
          <t>1016403</t>
        </is>
      </c>
      <c r="D671" s="9" t="n">
        <v>15.7</v>
      </c>
      <c r="E671" s="3" t="n"/>
      <c r="F671" s="3" t="n"/>
      <c r="G671" s="9" t="n"/>
      <c r="H671" s="10" t="n">
        <v>45674.31337962963</v>
      </c>
      <c r="I671" s="10" t="n">
        <v>45674.31421296296</v>
      </c>
      <c r="J671" s="10" t="n">
        <v>45674.31726851852</v>
      </c>
      <c r="K671" s="11" t="n">
        <v>0.003055555555555556</v>
      </c>
      <c r="L671" s="13" t="n"/>
    </row>
    <row r="672">
      <c r="A672" s="3" t="inlineStr">
        <is>
          <t>Coupling</t>
        </is>
      </c>
      <c r="B672" s="3" t="inlineStr">
        <is>
          <t>Act_COP_1016404_073303_615</t>
        </is>
      </c>
      <c r="C672" s="3" t="inlineStr">
        <is>
          <t>1016404</t>
        </is>
      </c>
      <c r="D672" s="9" t="n">
        <v>51.4</v>
      </c>
      <c r="E672" s="3" t="n"/>
      <c r="F672" s="3" t="n"/>
      <c r="G672" s="9" t="n"/>
      <c r="H672" s="10" t="n">
        <v>45674.31461805556</v>
      </c>
      <c r="I672" s="10" t="n">
        <v>45674.31548611111</v>
      </c>
      <c r="J672" s="10" t="n">
        <v>45674.31854166667</v>
      </c>
      <c r="K672" s="11" t="n">
        <v>0.003055555555555556</v>
      </c>
      <c r="L672" s="13" t="n"/>
    </row>
    <row r="673">
      <c r="A673" s="3" t="inlineStr">
        <is>
          <t>Coupling</t>
        </is>
      </c>
      <c r="B673" s="3" t="inlineStr">
        <is>
          <t>Act_COP_1016408_074417_621</t>
        </is>
      </c>
      <c r="C673" s="3" t="inlineStr">
        <is>
          <t>1016408</t>
        </is>
      </c>
      <c r="D673" s="9" t="n">
        <v>116.9</v>
      </c>
      <c r="E673" s="3" t="n"/>
      <c r="F673" s="3" t="n"/>
      <c r="G673" s="9" t="n"/>
      <c r="H673" s="10" t="n">
        <v>45674.32241898148</v>
      </c>
      <c r="I673" s="10" t="n">
        <v>45674.32326388889</v>
      </c>
      <c r="J673" s="10" t="n">
        <v>45674.32631944444</v>
      </c>
      <c r="K673" s="11" t="n">
        <v>0.003055555555555556</v>
      </c>
      <c r="L673" s="13" t="n"/>
    </row>
    <row r="674">
      <c r="A674" s="3" t="inlineStr">
        <is>
          <t>Coupling</t>
        </is>
      </c>
      <c r="B674" s="3" t="inlineStr">
        <is>
          <t>Act_COP_1016409_074705_621</t>
        </is>
      </c>
      <c r="C674" s="3" t="inlineStr">
        <is>
          <t>1016409</t>
        </is>
      </c>
      <c r="D674" s="9" t="n">
        <v>12</v>
      </c>
      <c r="E674" s="3" t="n"/>
      <c r="F674" s="3" t="n"/>
      <c r="G674" s="9" t="n"/>
      <c r="H674" s="10" t="n">
        <v>45674.32436342593</v>
      </c>
      <c r="I674" s="10" t="n">
        <v>45674.32523148148</v>
      </c>
      <c r="J674" s="10" t="n">
        <v>45674.32828703704</v>
      </c>
      <c r="K674" s="11" t="n">
        <v>0.003055555555555556</v>
      </c>
      <c r="L674" s="13" t="n"/>
    </row>
    <row r="675">
      <c r="A675" s="3" t="inlineStr">
        <is>
          <t>Coupling</t>
        </is>
      </c>
      <c r="B675" s="3" t="inlineStr">
        <is>
          <t>Act_COP_1016601_081346_623</t>
        </is>
      </c>
      <c r="C675" s="3" t="inlineStr">
        <is>
          <t>1016601</t>
        </is>
      </c>
      <c r="D675" s="9" t="n">
        <v>287.9</v>
      </c>
      <c r="E675" s="3" t="n"/>
      <c r="F675" s="3" t="n"/>
      <c r="G675" s="9" t="n"/>
      <c r="H675" s="10" t="n">
        <v>45674.34289351852</v>
      </c>
      <c r="I675" s="10" t="n">
        <v>45674.34372685185</v>
      </c>
      <c r="J675" s="10" t="n">
        <v>45674.34678240741</v>
      </c>
      <c r="K675" s="11" t="n">
        <v>0.003055555555555556</v>
      </c>
      <c r="L675" s="13" t="n"/>
    </row>
    <row r="676">
      <c r="A676" s="3" t="inlineStr">
        <is>
          <t>Coupling</t>
        </is>
      </c>
      <c r="B676" s="3" t="inlineStr">
        <is>
          <t>Act_COP_1016704_091713_619</t>
        </is>
      </c>
      <c r="C676" s="3" t="inlineStr">
        <is>
          <t>1016704</t>
        </is>
      </c>
      <c r="D676" s="9" t="n">
        <v>15.7</v>
      </c>
      <c r="E676" s="3" t="n"/>
      <c r="F676" s="3" t="n"/>
      <c r="G676" s="9" t="n"/>
      <c r="H676" s="10" t="n">
        <v>45674.38695601852</v>
      </c>
      <c r="I676" s="10" t="n">
        <v>45674.38782407407</v>
      </c>
      <c r="J676" s="10" t="n">
        <v>45674.39087962963</v>
      </c>
      <c r="K676" s="11" t="n">
        <v>0.003055555555555556</v>
      </c>
      <c r="L676" s="13" t="n"/>
    </row>
    <row r="677">
      <c r="A677" s="3" t="inlineStr">
        <is>
          <t>Coupling</t>
        </is>
      </c>
      <c r="B677" s="3" t="inlineStr">
        <is>
          <t>Act_COP_1016706_092209_611</t>
        </is>
      </c>
      <c r="C677" s="3" t="inlineStr">
        <is>
          <t>1016706</t>
        </is>
      </c>
      <c r="D677" s="9" t="n">
        <v>14</v>
      </c>
      <c r="E677" s="3" t="n"/>
      <c r="F677" s="3" t="n"/>
      <c r="G677" s="9" t="n"/>
      <c r="H677" s="10" t="n">
        <v>45674.39038194445</v>
      </c>
      <c r="I677" s="10" t="n">
        <v>45674.39116898148</v>
      </c>
      <c r="J677" s="10" t="n">
        <v>45674.39394675926</v>
      </c>
      <c r="K677" s="11" t="n">
        <v>0.002777777777777778</v>
      </c>
      <c r="L677" s="13" t="n"/>
    </row>
    <row r="678">
      <c r="A678" s="3" t="inlineStr">
        <is>
          <t>Coupling</t>
        </is>
      </c>
      <c r="B678" s="3" t="inlineStr">
        <is>
          <t>Act_COP_1016708_092725_629</t>
        </is>
      </c>
      <c r="C678" s="3" t="inlineStr">
        <is>
          <t>1016708</t>
        </is>
      </c>
      <c r="D678" s="9" t="n">
        <v>94.90000000000001</v>
      </c>
      <c r="E678" s="3" t="n"/>
      <c r="F678" s="3" t="n"/>
      <c r="G678" s="9" t="n"/>
      <c r="H678" s="10" t="n">
        <v>45674.39403935185</v>
      </c>
      <c r="I678" s="10" t="n">
        <v>45674.3949074074</v>
      </c>
      <c r="J678" s="10" t="n">
        <v>45674.39796296296</v>
      </c>
      <c r="K678" s="11" t="n">
        <v>0.003055555555555556</v>
      </c>
      <c r="L678" s="13" t="n"/>
    </row>
    <row r="679">
      <c r="A679" s="3" t="inlineStr">
        <is>
          <t>Coupling</t>
        </is>
      </c>
      <c r="B679" s="3" t="inlineStr">
        <is>
          <t>Act_COP_1016709_093021_627</t>
        </is>
      </c>
      <c r="C679" s="3" t="inlineStr">
        <is>
          <t>1016709</t>
        </is>
      </c>
      <c r="D679" s="9" t="n">
        <v>81</v>
      </c>
      <c r="E679" s="3" t="n"/>
      <c r="F679" s="3" t="n"/>
      <c r="G679" s="9" t="n"/>
      <c r="H679" s="10" t="n">
        <v>45674.39607638889</v>
      </c>
      <c r="I679" s="10" t="n">
        <v>45674.39694444444</v>
      </c>
      <c r="J679" s="10" t="n">
        <v>45674.4</v>
      </c>
      <c r="K679" s="11" t="n">
        <v>0.003055555555555556</v>
      </c>
      <c r="L679" s="13" t="n"/>
    </row>
    <row r="680">
      <c r="A680" s="3" t="inlineStr">
        <is>
          <t>Coupling</t>
        </is>
      </c>
      <c r="B680" s="3" t="inlineStr">
        <is>
          <t>Act_COP_1016710_093303_629</t>
        </is>
      </c>
      <c r="C680" s="3" t="inlineStr">
        <is>
          <t>1016710</t>
        </is>
      </c>
      <c r="D680" s="9" t="n">
        <v>15.7</v>
      </c>
      <c r="E680" s="3" t="n"/>
      <c r="F680" s="3" t="n"/>
      <c r="G680" s="9" t="n"/>
      <c r="H680" s="10" t="n">
        <v>45674.39795138889</v>
      </c>
      <c r="I680" s="10" t="n">
        <v>45674.39875</v>
      </c>
      <c r="J680" s="10" t="n">
        <v>45674.40152777778</v>
      </c>
      <c r="K680" s="11" t="n">
        <v>0.002777777777777778</v>
      </c>
      <c r="L680" s="13" t="n"/>
    </row>
    <row r="681">
      <c r="A681" s="3" t="inlineStr">
        <is>
          <t>Coupling</t>
        </is>
      </c>
      <c r="B681" s="3" t="inlineStr">
        <is>
          <t>Act_COP_1017406_204503_621</t>
        </is>
      </c>
      <c r="C681" s="3" t="inlineStr">
        <is>
          <t>1017406</t>
        </is>
      </c>
      <c r="D681" s="9" t="n">
        <v>155.9</v>
      </c>
      <c r="E681" s="3" t="n"/>
      <c r="F681" s="3" t="n"/>
      <c r="G681" s="9" t="n"/>
      <c r="H681" s="10" t="n">
        <v>45674.86461805556</v>
      </c>
      <c r="I681" s="10" t="n">
        <v>45674.86538194444</v>
      </c>
      <c r="J681" s="10" t="n">
        <v>45674.86815972222</v>
      </c>
      <c r="K681" s="11" t="n">
        <v>0.002777777777777778</v>
      </c>
      <c r="L681" s="13" t="n"/>
    </row>
    <row r="682">
      <c r="A682" s="3" t="inlineStr">
        <is>
          <t>Coupling</t>
        </is>
      </c>
      <c r="B682" s="3" t="inlineStr">
        <is>
          <t>Act_COP_1017407_204713_609</t>
        </is>
      </c>
      <c r="C682" s="3" t="inlineStr">
        <is>
          <t>1017407</t>
        </is>
      </c>
      <c r="D682" s="9" t="n">
        <v>19.9</v>
      </c>
      <c r="E682" s="3" t="n"/>
      <c r="F682" s="3" t="n"/>
      <c r="G682" s="9" t="n"/>
      <c r="H682" s="10" t="n">
        <v>45674.86612268518</v>
      </c>
      <c r="I682" s="10" t="n">
        <v>45674.86695601852</v>
      </c>
      <c r="J682" s="10" t="n">
        <v>45674.87001157407</v>
      </c>
      <c r="K682" s="11" t="n">
        <v>0.003055555555555556</v>
      </c>
      <c r="L682" s="13" t="n"/>
    </row>
    <row r="683">
      <c r="A683" s="3" t="inlineStr">
        <is>
          <t>Coupling</t>
        </is>
      </c>
      <c r="B683" s="3" t="inlineStr">
        <is>
          <t>Act_COP_1017502_004721_606</t>
        </is>
      </c>
      <c r="C683" s="3" t="inlineStr">
        <is>
          <t>1017502</t>
        </is>
      </c>
      <c r="D683" s="9" t="n">
        <v>54</v>
      </c>
      <c r="E683" s="3" t="n"/>
      <c r="F683" s="3" t="n"/>
      <c r="G683" s="9" t="n"/>
      <c r="H683" s="10" t="n">
        <v>45675.03288194445</v>
      </c>
      <c r="I683" s="10" t="n">
        <v>45675.03375</v>
      </c>
      <c r="J683" s="10" t="n">
        <v>45675.03680555556</v>
      </c>
      <c r="K683" s="11" t="n">
        <v>0.003055555555555556</v>
      </c>
      <c r="L683" s="13" t="n"/>
    </row>
    <row r="684">
      <c r="A684" s="3" t="inlineStr">
        <is>
          <t>Coupling</t>
        </is>
      </c>
      <c r="B684" s="3" t="inlineStr">
        <is>
          <t>Act_COP_1017504_004958_606</t>
        </is>
      </c>
      <c r="C684" s="3" t="inlineStr">
        <is>
          <t>1017504</t>
        </is>
      </c>
      <c r="D684" s="9" t="n">
        <v>52.9</v>
      </c>
      <c r="E684" s="3" t="n"/>
      <c r="F684" s="3" t="n"/>
      <c r="G684" s="9" t="n"/>
      <c r="H684" s="10" t="n">
        <v>45675.03469907407</v>
      </c>
      <c r="I684" s="10" t="n">
        <v>45675.03546296297</v>
      </c>
      <c r="J684" s="10" t="n">
        <v>45675.03824074074</v>
      </c>
      <c r="K684" s="11" t="n">
        <v>0.002777777777777778</v>
      </c>
      <c r="L684" s="13" t="n"/>
    </row>
    <row r="685">
      <c r="A685" s="3" t="inlineStr">
        <is>
          <t>Coupling</t>
        </is>
      </c>
      <c r="B685" s="3" t="inlineStr">
        <is>
          <t>Act_COP_1017601_060155_625</t>
        </is>
      </c>
      <c r="C685" s="3" t="inlineStr">
        <is>
          <t>1017601</t>
        </is>
      </c>
      <c r="D685" s="9" t="n">
        <v>31.5</v>
      </c>
      <c r="E685" s="3" t="n"/>
      <c r="F685" s="3" t="n"/>
      <c r="G685" s="9" t="n"/>
      <c r="H685" s="10" t="n">
        <v>45675.25133101852</v>
      </c>
      <c r="I685" s="10" t="n">
        <v>45675.25219907407</v>
      </c>
      <c r="J685" s="10" t="n">
        <v>45675.25525462963</v>
      </c>
      <c r="K685" s="11" t="n">
        <v>0.003055555555555556</v>
      </c>
      <c r="L685" s="13" t="n"/>
    </row>
    <row r="686">
      <c r="A686" s="3" t="inlineStr">
        <is>
          <t>Coupling</t>
        </is>
      </c>
      <c r="B686" s="3" t="inlineStr">
        <is>
          <t>Act_COP_1017701_065538_625</t>
        </is>
      </c>
      <c r="C686" s="3" t="inlineStr">
        <is>
          <t>1017701</t>
        </is>
      </c>
      <c r="D686" s="9" t="n">
        <v>47.2</v>
      </c>
      <c r="E686" s="3" t="n"/>
      <c r="F686" s="3" t="n"/>
      <c r="G686" s="9" t="n"/>
      <c r="H686" s="10" t="n">
        <v>45675.28863425926</v>
      </c>
      <c r="I686" s="10" t="n">
        <v>45675.28942129629</v>
      </c>
      <c r="J686" s="10" t="n">
        <v>45675.29219907407</v>
      </c>
      <c r="K686" s="11" t="n">
        <v>0.002777777777777778</v>
      </c>
      <c r="L686" s="13" t="n"/>
    </row>
    <row r="687">
      <c r="A687" s="3" t="inlineStr">
        <is>
          <t>Coupling</t>
        </is>
      </c>
      <c r="B687" s="3" t="inlineStr">
        <is>
          <t>Act_COP_1017706_070557_617</t>
        </is>
      </c>
      <c r="C687" s="3" t="inlineStr">
        <is>
          <t>1017706</t>
        </is>
      </c>
      <c r="D687" s="9" t="n">
        <v>27</v>
      </c>
      <c r="E687" s="3" t="n"/>
      <c r="F687" s="3" t="n"/>
      <c r="G687" s="9" t="n"/>
      <c r="H687" s="10" t="n">
        <v>45675.29579861111</v>
      </c>
      <c r="I687" s="10" t="n">
        <v>45675.29664351852</v>
      </c>
      <c r="J687" s="10" t="n">
        <v>45675.29969907407</v>
      </c>
      <c r="K687" s="11" t="n">
        <v>0.003055555555555556</v>
      </c>
      <c r="L687" s="13" t="n"/>
    </row>
    <row r="688">
      <c r="A688" s="3" t="inlineStr">
        <is>
          <t>Coupling</t>
        </is>
      </c>
      <c r="B688" s="3" t="inlineStr">
        <is>
          <t>Act_COP_1017707_070847_629</t>
        </is>
      </c>
      <c r="C688" s="3" t="inlineStr">
        <is>
          <t>1017707</t>
        </is>
      </c>
      <c r="D688" s="9" t="n">
        <v>39</v>
      </c>
      <c r="E688" s="3" t="n"/>
      <c r="F688" s="3" t="n"/>
      <c r="G688" s="9" t="n"/>
      <c r="H688" s="10" t="n">
        <v>45675.2977662037</v>
      </c>
      <c r="I688" s="10" t="n">
        <v>45675.29863425926</v>
      </c>
      <c r="J688" s="10" t="n">
        <v>45675.30168981481</v>
      </c>
      <c r="K688" s="11" t="n">
        <v>0.003055555555555556</v>
      </c>
      <c r="L688" s="13" t="n"/>
    </row>
    <row r="689">
      <c r="A689" s="3" t="inlineStr">
        <is>
          <t>Coupling</t>
        </is>
      </c>
      <c r="B689" s="3" t="inlineStr">
        <is>
          <t>Act_COP_1017709_071028_615</t>
        </is>
      </c>
      <c r="C689" s="3" t="inlineStr">
        <is>
          <t>1017709</t>
        </is>
      </c>
      <c r="D689" s="9" t="n">
        <v>16.5</v>
      </c>
      <c r="E689" s="3" t="n"/>
      <c r="F689" s="3" t="n"/>
      <c r="G689" s="9" t="n"/>
      <c r="H689" s="10" t="n">
        <v>45675.29893518519</v>
      </c>
      <c r="I689" s="10" t="n">
        <v>45675.29980324074</v>
      </c>
      <c r="J689" s="10" t="n">
        <v>45675.3028587963</v>
      </c>
      <c r="K689" s="11" t="n">
        <v>0.003055555555555556</v>
      </c>
      <c r="L689" s="13" t="n"/>
    </row>
    <row r="690">
      <c r="A690" s="3" t="inlineStr">
        <is>
          <t>Coupling</t>
        </is>
      </c>
      <c r="B690" s="3" t="inlineStr">
        <is>
          <t>Act_COP_1017902_202940_607</t>
        </is>
      </c>
      <c r="C690" s="3" t="inlineStr">
        <is>
          <t>1017902</t>
        </is>
      </c>
      <c r="D690" s="9" t="n">
        <v>37.5</v>
      </c>
      <c r="E690" s="3" t="n"/>
      <c r="F690" s="3" t="n"/>
      <c r="G690" s="9" t="n"/>
      <c r="H690" s="10" t="n">
        <v>45676.85393518519</v>
      </c>
      <c r="I690" s="10" t="n">
        <v>45676.85480324074</v>
      </c>
      <c r="J690" s="10" t="n">
        <v>45676.8578587963</v>
      </c>
      <c r="K690" s="11" t="n">
        <v>0.003055555555555556</v>
      </c>
      <c r="L690" s="13" t="n"/>
    </row>
    <row r="691">
      <c r="A691" s="3" t="inlineStr">
        <is>
          <t>Coupling</t>
        </is>
      </c>
      <c r="B691" s="3" t="inlineStr">
        <is>
          <t>Act_COP_1018001_024609_621</t>
        </is>
      </c>
      <c r="C691" s="3" t="inlineStr">
        <is>
          <t>1018001</t>
        </is>
      </c>
      <c r="D691" s="9" t="n">
        <v>12</v>
      </c>
      <c r="E691" s="3" t="n"/>
      <c r="F691" s="3" t="n"/>
      <c r="G691" s="9" t="n"/>
      <c r="H691" s="10" t="n">
        <v>45677.11538194444</v>
      </c>
      <c r="I691" s="10" t="n">
        <v>45677.11625</v>
      </c>
      <c r="J691" s="10" t="n">
        <v>45677.11930555556</v>
      </c>
      <c r="K691" s="11" t="n">
        <v>0.003055555555555556</v>
      </c>
      <c r="L691" s="13" t="n"/>
    </row>
    <row r="692">
      <c r="A692" s="3" t="inlineStr">
        <is>
          <t>Coupling</t>
        </is>
      </c>
      <c r="B692" s="3" t="inlineStr">
        <is>
          <t>Act_COP_1018003_025122_619</t>
        </is>
      </c>
      <c r="C692" s="3" t="inlineStr">
        <is>
          <t>1018003</t>
        </is>
      </c>
      <c r="D692" s="9" t="n">
        <v>35.6</v>
      </c>
      <c r="E692" s="3" t="n"/>
      <c r="F692" s="3" t="n"/>
      <c r="G692" s="9" t="n"/>
      <c r="H692" s="10" t="n">
        <v>45677.11900462963</v>
      </c>
      <c r="I692" s="10" t="n">
        <v>45677.11978009259</v>
      </c>
      <c r="J692" s="10" t="n">
        <v>45677.12255787037</v>
      </c>
      <c r="K692" s="11" t="n">
        <v>0.002777777777777778</v>
      </c>
      <c r="L692" s="13" t="n"/>
    </row>
    <row r="693">
      <c r="A693" s="3" t="inlineStr">
        <is>
          <t>Coupling</t>
        </is>
      </c>
      <c r="B693" s="3" t="inlineStr">
        <is>
          <t>Act_COP_1018303_080211_617</t>
        </is>
      </c>
      <c r="C693" s="3" t="inlineStr">
        <is>
          <t>1018303</t>
        </is>
      </c>
      <c r="D693" s="9" t="n">
        <v>54</v>
      </c>
      <c r="E693" s="3" t="n"/>
      <c r="F693" s="3" t="n"/>
      <c r="G693" s="9" t="n"/>
      <c r="H693" s="10" t="n">
        <v>45677.33484953704</v>
      </c>
      <c r="I693" s="10" t="n">
        <v>45677.33561342592</v>
      </c>
      <c r="J693" s="10" t="n">
        <v>45677.3383912037</v>
      </c>
      <c r="K693" s="11" t="n">
        <v>0.002777777777777778</v>
      </c>
      <c r="L693" s="13" t="n"/>
    </row>
    <row r="694">
      <c r="A694" s="3" t="inlineStr">
        <is>
          <t>Coupling</t>
        </is>
      </c>
      <c r="B694" s="3" t="inlineStr">
        <is>
          <t>Act_COP_1018304_080427_605</t>
        </is>
      </c>
      <c r="C694" s="3" t="inlineStr">
        <is>
          <t>1018304</t>
        </is>
      </c>
      <c r="D694" s="9" t="n">
        <v>15.7</v>
      </c>
      <c r="E694" s="3" t="n"/>
      <c r="F694" s="3" t="n"/>
      <c r="G694" s="9" t="n"/>
      <c r="H694" s="10" t="n">
        <v>45677.33642361111</v>
      </c>
      <c r="I694" s="10" t="n">
        <v>45677.33768518519</v>
      </c>
      <c r="J694" s="10" t="n">
        <v>45677.34074074074</v>
      </c>
      <c r="K694" s="11" t="n">
        <v>0.003055555555555556</v>
      </c>
      <c r="L694" s="13" t="n"/>
    </row>
    <row r="695">
      <c r="A695" s="3" t="inlineStr">
        <is>
          <t>Coupling</t>
        </is>
      </c>
      <c r="B695" s="3" t="inlineStr">
        <is>
          <t>Act_COP_1018308_081222_627</t>
        </is>
      </c>
      <c r="C695" s="3" t="inlineStr">
        <is>
          <t>1018308</t>
        </is>
      </c>
      <c r="D695" s="9" t="n">
        <v>15.7</v>
      </c>
      <c r="E695" s="3" t="n"/>
      <c r="F695" s="3" t="n"/>
      <c r="G695" s="9" t="n"/>
      <c r="H695" s="10" t="n">
        <v>45677.3419212963</v>
      </c>
      <c r="I695" s="10" t="n">
        <v>45677.34287037037</v>
      </c>
      <c r="J695" s="10" t="n">
        <v>45677.34564814815</v>
      </c>
      <c r="K695" s="11" t="n">
        <v>0.002777777777777778</v>
      </c>
      <c r="L695" s="13" t="n"/>
    </row>
    <row r="696">
      <c r="A696" s="3" t="inlineStr">
        <is>
          <t>Coupling</t>
        </is>
      </c>
      <c r="B696" s="3" t="inlineStr">
        <is>
          <t>Act_COP_1018310_081500_619</t>
        </is>
      </c>
      <c r="C696" s="3" t="inlineStr">
        <is>
          <t>1018310</t>
        </is>
      </c>
      <c r="D696" s="9" t="n">
        <v>21</v>
      </c>
      <c r="E696" s="3" t="n"/>
      <c r="F696" s="3" t="n"/>
      <c r="G696" s="9" t="n"/>
      <c r="H696" s="10" t="n">
        <v>45677.34375</v>
      </c>
      <c r="I696" s="10" t="n">
        <v>45677.34565972222</v>
      </c>
      <c r="J696" s="10" t="n">
        <v>45677.34871527777</v>
      </c>
      <c r="K696" s="11" t="n">
        <v>0.003055555555555556</v>
      </c>
      <c r="L696" s="13" t="n"/>
    </row>
    <row r="697">
      <c r="A697" s="3" t="inlineStr">
        <is>
          <t>Coupling</t>
        </is>
      </c>
      <c r="B697" s="3" t="inlineStr">
        <is>
          <t>Act_COP_1018314_082212_625</t>
        </is>
      </c>
      <c r="C697" s="3" t="inlineStr">
        <is>
          <t>1018314</t>
        </is>
      </c>
      <c r="D697" s="9" t="n">
        <v>15.7</v>
      </c>
      <c r="E697" s="3" t="n"/>
      <c r="F697" s="3" t="n"/>
      <c r="G697" s="9" t="n"/>
      <c r="H697" s="10" t="n">
        <v>45677.34875</v>
      </c>
      <c r="I697" s="10" t="n">
        <v>45677.35040509259</v>
      </c>
      <c r="J697" s="10" t="n">
        <v>45677.35346064815</v>
      </c>
      <c r="K697" s="11" t="n">
        <v>0.003055555555555556</v>
      </c>
      <c r="L697" s="13" t="n"/>
    </row>
    <row r="698">
      <c r="A698" s="3" t="inlineStr">
        <is>
          <t>Coupling</t>
        </is>
      </c>
      <c r="B698" s="3" t="inlineStr">
        <is>
          <t>Act_COP_1018315_082448_619</t>
        </is>
      </c>
      <c r="C698" s="3" t="inlineStr">
        <is>
          <t>1018315</t>
        </is>
      </c>
      <c r="D698" s="9" t="n">
        <v>15.7</v>
      </c>
      <c r="E698" s="3" t="n"/>
      <c r="F698" s="3" t="n"/>
      <c r="G698" s="9" t="n"/>
      <c r="H698" s="10" t="n">
        <v>45677.35055555555</v>
      </c>
      <c r="I698" s="10" t="n">
        <v>45677.35305555556</v>
      </c>
      <c r="J698" s="10" t="n">
        <v>45677.35583333333</v>
      </c>
      <c r="K698" s="11" t="n">
        <v>0.002777777777777778</v>
      </c>
      <c r="L698" s="13" t="n"/>
    </row>
    <row r="699">
      <c r="A699" s="3" t="inlineStr">
        <is>
          <t>Coupling</t>
        </is>
      </c>
      <c r="B699" s="3" t="inlineStr">
        <is>
          <t>Act_COP_1018316_082641_611</t>
        </is>
      </c>
      <c r="C699" s="3" t="inlineStr">
        <is>
          <t>1018316</t>
        </is>
      </c>
      <c r="D699" s="9" t="n">
        <v>42</v>
      </c>
      <c r="E699" s="3" t="n"/>
      <c r="F699" s="3" t="n"/>
      <c r="G699" s="9" t="n"/>
      <c r="H699" s="10" t="n">
        <v>45677.35186342592</v>
      </c>
      <c r="I699" s="10" t="n">
        <v>45677.35350694445</v>
      </c>
      <c r="J699" s="10" t="n">
        <v>45677.3565625</v>
      </c>
      <c r="K699" s="11" t="n">
        <v>0.003055555555555556</v>
      </c>
      <c r="L699" s="13" t="n"/>
    </row>
    <row r="700">
      <c r="A700" s="3" t="inlineStr">
        <is>
          <t>Coupling</t>
        </is>
      </c>
      <c r="B700" s="3" t="inlineStr">
        <is>
          <t>Act_COP_1018602_092509_625</t>
        </is>
      </c>
      <c r="C700" s="3" t="inlineStr">
        <is>
          <t>1018602</t>
        </is>
      </c>
      <c r="D700" s="9" t="n">
        <v>47.2</v>
      </c>
      <c r="E700" s="3" t="n"/>
      <c r="F700" s="3" t="n"/>
      <c r="G700" s="9" t="n"/>
      <c r="H700" s="10" t="n">
        <v>45677.39246527778</v>
      </c>
      <c r="I700" s="10" t="n">
        <v>45677.39333333333</v>
      </c>
      <c r="J700" s="10" t="n">
        <v>45677.39638888889</v>
      </c>
      <c r="K700" s="11" t="n">
        <v>0.003055555555555556</v>
      </c>
      <c r="L700" s="13" t="n"/>
    </row>
    <row r="701">
      <c r="A701" s="3" t="inlineStr">
        <is>
          <t>Coupling</t>
        </is>
      </c>
      <c r="B701" s="3" t="inlineStr">
        <is>
          <t>Act_COP_1018604_093107_627</t>
        </is>
      </c>
      <c r="C701" s="3" t="inlineStr">
        <is>
          <t>1018604</t>
        </is>
      </c>
      <c r="D701" s="9" t="n">
        <v>15.7</v>
      </c>
      <c r="E701" s="3" t="n"/>
      <c r="F701" s="3" t="n"/>
      <c r="G701" s="9" t="n"/>
      <c r="H701" s="10" t="n">
        <v>45677.3966087963</v>
      </c>
      <c r="I701" s="10" t="n">
        <v>45677.39739583333</v>
      </c>
      <c r="J701" s="10" t="n">
        <v>45677.40017361111</v>
      </c>
      <c r="K701" s="11" t="n">
        <v>0.002777777777777778</v>
      </c>
      <c r="L701" s="13" t="n"/>
    </row>
    <row r="702">
      <c r="A702" s="3" t="inlineStr">
        <is>
          <t>Coupling</t>
        </is>
      </c>
      <c r="B702" s="3" t="inlineStr">
        <is>
          <t>Act_COP_1018605_093400_619</t>
        </is>
      </c>
      <c r="C702" s="3" t="inlineStr">
        <is>
          <t>1018605</t>
        </is>
      </c>
      <c r="D702" s="9" t="n">
        <v>36.4</v>
      </c>
      <c r="E702" s="3" t="n"/>
      <c r="F702" s="3" t="n"/>
      <c r="G702" s="9" t="n"/>
      <c r="H702" s="10" t="n">
        <v>45677.39861111111</v>
      </c>
      <c r="I702" s="10" t="n">
        <v>45677.39947916667</v>
      </c>
      <c r="J702" s="10" t="n">
        <v>45677.40253472222</v>
      </c>
      <c r="K702" s="11" t="n">
        <v>0.003055555555555556</v>
      </c>
      <c r="L702" s="13" t="n"/>
    </row>
    <row r="703">
      <c r="A703" s="3" t="inlineStr">
        <is>
          <t>Coupling</t>
        </is>
      </c>
      <c r="B703" s="3" t="inlineStr">
        <is>
          <t>Act_COP_1018607_093648_629</t>
        </is>
      </c>
      <c r="C703" s="3" t="inlineStr">
        <is>
          <t>1018607</t>
        </is>
      </c>
      <c r="D703" s="9" t="n">
        <v>31.5</v>
      </c>
      <c r="E703" s="3" t="n"/>
      <c r="F703" s="3" t="n"/>
      <c r="G703" s="9" t="n"/>
      <c r="H703" s="10" t="n">
        <v>45677.40055555556</v>
      </c>
      <c r="I703" s="10" t="n">
        <v>45677.40142361111</v>
      </c>
      <c r="J703" s="10" t="n">
        <v>45677.40447916667</v>
      </c>
      <c r="K703" s="11" t="n">
        <v>0.003055555555555556</v>
      </c>
      <c r="L703" s="13" t="n"/>
    </row>
    <row r="704">
      <c r="A704" s="3" t="inlineStr">
        <is>
          <t>Coupling</t>
        </is>
      </c>
      <c r="B704" s="3" t="inlineStr">
        <is>
          <t>Act_COP_1018610_094111_623</t>
        </is>
      </c>
      <c r="C704" s="3" t="inlineStr">
        <is>
          <t>1018610</t>
        </is>
      </c>
      <c r="D704" s="9" t="n">
        <v>15.7</v>
      </c>
      <c r="E704" s="3" t="n"/>
      <c r="F704" s="3" t="n"/>
      <c r="G704" s="9" t="n"/>
      <c r="H704" s="10" t="n">
        <v>45677.40359953704</v>
      </c>
      <c r="I704" s="10" t="n">
        <v>45677.40446759259</v>
      </c>
      <c r="J704" s="10" t="n">
        <v>45677.40752314815</v>
      </c>
      <c r="K704" s="11" t="n">
        <v>0.003055555555555556</v>
      </c>
      <c r="L704" s="13" t="n"/>
    </row>
    <row r="705">
      <c r="A705" s="3" t="inlineStr">
        <is>
          <t>Coupling</t>
        </is>
      </c>
      <c r="B705" s="3" t="inlineStr">
        <is>
          <t>Act_COP_1018611_094405_619</t>
        </is>
      </c>
      <c r="C705" s="3" t="inlineStr">
        <is>
          <t>1018611</t>
        </is>
      </c>
      <c r="D705" s="9" t="n">
        <v>43.1</v>
      </c>
      <c r="E705" s="3" t="n"/>
      <c r="F705" s="3" t="n"/>
      <c r="G705" s="9" t="n"/>
      <c r="H705" s="10" t="n">
        <v>45677.40561342592</v>
      </c>
      <c r="I705" s="10" t="n">
        <v>45677.40648148148</v>
      </c>
      <c r="J705" s="10" t="n">
        <v>45677.40953703703</v>
      </c>
      <c r="K705" s="11" t="n">
        <v>0.003055555555555556</v>
      </c>
      <c r="L705" s="13" t="n"/>
    </row>
    <row r="706">
      <c r="A706" s="3" t="inlineStr">
        <is>
          <t>Coupling</t>
        </is>
      </c>
      <c r="B706" s="3" t="inlineStr">
        <is>
          <t>Act_COP_1018802_105225_615</t>
        </is>
      </c>
      <c r="C706" s="3" t="inlineStr">
        <is>
          <t>1018802</t>
        </is>
      </c>
      <c r="D706" s="9" t="n">
        <v>21</v>
      </c>
      <c r="E706" s="3" t="n"/>
      <c r="F706" s="3" t="n"/>
      <c r="G706" s="9" t="n"/>
      <c r="H706" s="10" t="n">
        <v>45677.45306712963</v>
      </c>
      <c r="I706" s="10" t="n">
        <v>45677.45393518519</v>
      </c>
      <c r="J706" s="10" t="n">
        <v>45677.45699074074</v>
      </c>
      <c r="K706" s="11" t="n">
        <v>0.003055555555555556</v>
      </c>
      <c r="L706" s="13" t="n"/>
    </row>
    <row r="707">
      <c r="A707" s="3" t="inlineStr">
        <is>
          <t>Coupling</t>
        </is>
      </c>
      <c r="B707" s="3" t="inlineStr">
        <is>
          <t>Act_COP_1019101_153544_609</t>
        </is>
      </c>
      <c r="C707" s="3" t="inlineStr">
        <is>
          <t>1019101</t>
        </is>
      </c>
      <c r="D707" s="9" t="n">
        <v>19.9</v>
      </c>
      <c r="E707" s="3" t="n"/>
      <c r="F707" s="3" t="n"/>
      <c r="G707" s="9" t="n"/>
      <c r="H707" s="10" t="n">
        <v>45677.64981481482</v>
      </c>
      <c r="I707" s="10" t="n">
        <v>45677.65068287037</v>
      </c>
      <c r="J707" s="10" t="n">
        <v>45677.65373842593</v>
      </c>
      <c r="K707" s="11" t="n">
        <v>0.003055555555555556</v>
      </c>
      <c r="L707" s="13" t="n"/>
    </row>
    <row r="708">
      <c r="A708" s="3" t="inlineStr">
        <is>
          <t>Coupling</t>
        </is>
      </c>
      <c r="B708" s="3" t="inlineStr">
        <is>
          <t>Act_COP_1019106_154542_623</t>
        </is>
      </c>
      <c r="C708" s="3" t="inlineStr">
        <is>
          <t>1019106</t>
        </is>
      </c>
      <c r="D708" s="9" t="n">
        <v>15.7</v>
      </c>
      <c r="E708" s="3" t="n"/>
      <c r="F708" s="3" t="n"/>
      <c r="G708" s="9" t="n"/>
      <c r="H708" s="10" t="n">
        <v>45677.65673611111</v>
      </c>
      <c r="I708" s="10" t="n">
        <v>45677.65758101852</v>
      </c>
      <c r="J708" s="10" t="n">
        <v>45677.66063657407</v>
      </c>
      <c r="K708" s="11" t="n">
        <v>0.003055555555555556</v>
      </c>
      <c r="L708" s="13" t="n"/>
    </row>
    <row r="709">
      <c r="A709" s="3" t="inlineStr">
        <is>
          <t>Coupling</t>
        </is>
      </c>
      <c r="B709" s="3" t="inlineStr">
        <is>
          <t>Act_COP_1019107_154823_623</t>
        </is>
      </c>
      <c r="C709" s="3" t="inlineStr">
        <is>
          <t>1019107</t>
        </is>
      </c>
      <c r="D709" s="9" t="n">
        <v>62.2</v>
      </c>
      <c r="E709" s="3" t="n"/>
      <c r="F709" s="3" t="n"/>
      <c r="G709" s="9" t="n"/>
      <c r="H709" s="10" t="n">
        <v>45677.65859953704</v>
      </c>
      <c r="I709" s="10" t="n">
        <v>45677.6594675926</v>
      </c>
      <c r="J709" s="10" t="n">
        <v>45677.66252314814</v>
      </c>
      <c r="K709" s="11" t="n">
        <v>0.003055555555555556</v>
      </c>
      <c r="L709" s="13" t="n"/>
    </row>
    <row r="710">
      <c r="A710" s="3" t="inlineStr">
        <is>
          <t>Coupling</t>
        </is>
      </c>
      <c r="B710" s="3" t="inlineStr">
        <is>
          <t>Act_COP_1019109_155356_629</t>
        </is>
      </c>
      <c r="C710" s="3" t="inlineStr">
        <is>
          <t>1019109</t>
        </is>
      </c>
      <c r="D710" s="9" t="n">
        <v>31.5</v>
      </c>
      <c r="E710" s="3" t="n"/>
      <c r="F710" s="3" t="n"/>
      <c r="G710" s="9" t="n"/>
      <c r="H710" s="10" t="n">
        <v>45677.66245370371</v>
      </c>
      <c r="I710" s="10" t="n">
        <v>45677.66331018518</v>
      </c>
      <c r="J710" s="10" t="n">
        <v>45677.66636574074</v>
      </c>
      <c r="K710" s="11" t="n">
        <v>0.003055555555555556</v>
      </c>
      <c r="L710" s="13" t="n"/>
    </row>
    <row r="711">
      <c r="A711" s="3" t="inlineStr">
        <is>
          <t>Coupling</t>
        </is>
      </c>
      <c r="B711" s="3" t="inlineStr">
        <is>
          <t>Act_COP_1019110_155642_627</t>
        </is>
      </c>
      <c r="C711" s="3" t="inlineStr">
        <is>
          <t>1019110</t>
        </is>
      </c>
      <c r="D711" s="9" t="n">
        <v>15.7</v>
      </c>
      <c r="E711" s="3" t="n"/>
      <c r="F711" s="3" t="n"/>
      <c r="G711" s="9" t="n"/>
      <c r="H711" s="10" t="n">
        <v>45677.664375</v>
      </c>
      <c r="I711" s="10" t="n">
        <v>45677.66524305556</v>
      </c>
      <c r="J711" s="10" t="n">
        <v>45677.66829861111</v>
      </c>
      <c r="K711" s="11" t="n">
        <v>0.003055555555555556</v>
      </c>
      <c r="L711" s="13" t="n"/>
    </row>
    <row r="712">
      <c r="A712" s="3" t="inlineStr">
        <is>
          <t>Coupling</t>
        </is>
      </c>
      <c r="B712" s="3" t="inlineStr">
        <is>
          <t>Act_COP_1019601_030919_627</t>
        </is>
      </c>
      <c r="C712" s="3" t="inlineStr">
        <is>
          <t>1019601</t>
        </is>
      </c>
      <c r="D712" s="9" t="n">
        <v>15.7</v>
      </c>
      <c r="E712" s="3" t="n"/>
      <c r="F712" s="3" t="n"/>
      <c r="G712" s="9" t="n"/>
      <c r="H712" s="10" t="n">
        <v>45678.13146990741</v>
      </c>
      <c r="I712" s="10" t="n">
        <v>45678.13233796296</v>
      </c>
      <c r="J712" s="10" t="n">
        <v>45678.13539351852</v>
      </c>
      <c r="K712" s="11" t="n">
        <v>0.003055555555555556</v>
      </c>
      <c r="L712" s="13" t="n"/>
    </row>
    <row r="713">
      <c r="A713" s="3" t="inlineStr">
        <is>
          <t>Coupling</t>
        </is>
      </c>
      <c r="B713" s="3" t="inlineStr">
        <is>
          <t>Act_COP_1019602_031210_629</t>
        </is>
      </c>
      <c r="C713" s="3" t="inlineStr">
        <is>
          <t>1019602</t>
        </is>
      </c>
      <c r="D713" s="9" t="n">
        <v>40.9</v>
      </c>
      <c r="E713" s="3" t="n"/>
      <c r="F713" s="3" t="n"/>
      <c r="G713" s="9" t="n"/>
      <c r="H713" s="10" t="n">
        <v>45678.13344907408</v>
      </c>
      <c r="I713" s="10" t="n">
        <v>45678.13431712963</v>
      </c>
      <c r="J713" s="10" t="n">
        <v>45678.13737268518</v>
      </c>
      <c r="K713" s="11" t="n">
        <v>0.003055555555555556</v>
      </c>
      <c r="L713" s="13" t="n"/>
    </row>
    <row r="714">
      <c r="A714" s="3" t="inlineStr">
        <is>
          <t>Coupling</t>
        </is>
      </c>
      <c r="B714" s="3" t="inlineStr">
        <is>
          <t>Act_COP_1019604_031643_621</t>
        </is>
      </c>
      <c r="C714" s="3" t="inlineStr">
        <is>
          <t>1019604</t>
        </is>
      </c>
      <c r="D714" s="9" t="n">
        <v>19.9</v>
      </c>
      <c r="E714" s="3" t="n"/>
      <c r="F714" s="3" t="n"/>
      <c r="G714" s="9" t="n"/>
      <c r="H714" s="10" t="n">
        <v>45678.1366087963</v>
      </c>
      <c r="I714" s="10" t="n">
        <v>45678.13747685185</v>
      </c>
      <c r="J714" s="10" t="n">
        <v>45678.14053240741</v>
      </c>
      <c r="K714" s="11" t="n">
        <v>0.003055555555555556</v>
      </c>
      <c r="L714" s="13" t="n"/>
    </row>
    <row r="715">
      <c r="A715" s="3" t="inlineStr">
        <is>
          <t>Coupling</t>
        </is>
      </c>
      <c r="B715" s="3" t="inlineStr">
        <is>
          <t>Act_COP_1019605_032006_629</t>
        </is>
      </c>
      <c r="C715" s="3" t="inlineStr">
        <is>
          <t>1019605</t>
        </is>
      </c>
      <c r="D715" s="9" t="n">
        <v>203.4</v>
      </c>
      <c r="E715" s="3" t="n"/>
      <c r="F715" s="3" t="n"/>
      <c r="G715" s="9" t="n"/>
      <c r="H715" s="10" t="n">
        <v>45678.13895833334</v>
      </c>
      <c r="I715" s="10" t="n">
        <v>45678.13982638889</v>
      </c>
      <c r="J715" s="10" t="n">
        <v>45678.14288194444</v>
      </c>
      <c r="K715" s="11" t="n">
        <v>0.003055555555555556</v>
      </c>
      <c r="L715" s="13" t="n"/>
    </row>
    <row r="716">
      <c r="A716" s="3" t="inlineStr">
        <is>
          <t>Coupling</t>
        </is>
      </c>
      <c r="B716" s="3" t="inlineStr">
        <is>
          <t>Act_COP_1019802_074231_613</t>
        </is>
      </c>
      <c r="C716" s="3" t="inlineStr">
        <is>
          <t>1019802</t>
        </is>
      </c>
      <c r="D716" s="9" t="n">
        <v>19.9</v>
      </c>
      <c r="E716" s="3" t="n"/>
      <c r="F716" s="3" t="n"/>
      <c r="G716" s="9" t="n"/>
      <c r="H716" s="10" t="n">
        <v>45678.32119212963</v>
      </c>
      <c r="I716" s="10" t="n">
        <v>45678.32203703704</v>
      </c>
      <c r="J716" s="10" t="n">
        <v>45678.32509259259</v>
      </c>
      <c r="K716" s="11" t="n">
        <v>0.003055555555555556</v>
      </c>
      <c r="L716" s="13" t="n"/>
    </row>
    <row r="717">
      <c r="A717" s="3" t="inlineStr">
        <is>
          <t>Coupling</t>
        </is>
      </c>
      <c r="B717" s="3" t="inlineStr">
        <is>
          <t>Act_COP_1019805_075055_605</t>
        </is>
      </c>
      <c r="C717" s="3" t="inlineStr">
        <is>
          <t>1019805</t>
        </is>
      </c>
      <c r="D717" s="9" t="n">
        <v>15.7</v>
      </c>
      <c r="E717" s="3" t="n"/>
      <c r="F717" s="3" t="n"/>
      <c r="G717" s="9" t="n"/>
      <c r="H717" s="10" t="n">
        <v>45678.32702546296</v>
      </c>
      <c r="I717" s="10" t="n">
        <v>45678.32789351852</v>
      </c>
      <c r="J717" s="10" t="n">
        <v>45678.33094907407</v>
      </c>
      <c r="K717" s="11" t="n">
        <v>0.003055555555555556</v>
      </c>
      <c r="L717" s="13" t="n"/>
    </row>
    <row r="718">
      <c r="A718" s="3" t="inlineStr">
        <is>
          <t>Coupling</t>
        </is>
      </c>
      <c r="B718" s="3" t="inlineStr">
        <is>
          <t>Act_COP_1019808_075620_605</t>
        </is>
      </c>
      <c r="C718" s="3" t="inlineStr">
        <is>
          <t>1019808</t>
        </is>
      </c>
      <c r="D718" s="9" t="n">
        <v>19.9</v>
      </c>
      <c r="E718" s="3" t="n"/>
      <c r="F718" s="3" t="n"/>
      <c r="G718" s="9" t="n"/>
      <c r="H718" s="10" t="n">
        <v>45678.33078703703</v>
      </c>
      <c r="I718" s="10" t="n">
        <v>45678.33162037037</v>
      </c>
      <c r="J718" s="10" t="n">
        <v>45678.33467592593</v>
      </c>
      <c r="K718" s="11" t="n">
        <v>0.003055555555555556</v>
      </c>
      <c r="L718" s="13" t="n"/>
    </row>
    <row r="719">
      <c r="A719" s="3" t="inlineStr">
        <is>
          <t>Coupling</t>
        </is>
      </c>
      <c r="B719" s="3" t="inlineStr">
        <is>
          <t>Act_COP_1020101_091921_613</t>
        </is>
      </c>
      <c r="C719" s="3" t="inlineStr">
        <is>
          <t>1020101</t>
        </is>
      </c>
      <c r="D719" s="9" t="n">
        <v>19.9</v>
      </c>
      <c r="E719" s="3" t="n"/>
      <c r="F719" s="3" t="n"/>
      <c r="G719" s="9" t="n"/>
      <c r="H719" s="10" t="n">
        <v>45678.3884375</v>
      </c>
      <c r="I719" s="10" t="n">
        <v>45678.38930555555</v>
      </c>
      <c r="J719" s="10" t="n">
        <v>45678.39236111111</v>
      </c>
      <c r="K719" s="11" t="n">
        <v>0.003055555555555556</v>
      </c>
      <c r="L719" s="13" t="n"/>
    </row>
    <row r="720">
      <c r="A720" s="3" t="inlineStr">
        <is>
          <t>Coupling</t>
        </is>
      </c>
      <c r="B720" s="3" t="inlineStr">
        <is>
          <t>Act_COP_1020102_092112_615</t>
        </is>
      </c>
      <c r="C720" s="3" t="inlineStr">
        <is>
          <t>1020102</t>
        </is>
      </c>
      <c r="D720" s="9" t="n">
        <v>70.5</v>
      </c>
      <c r="E720" s="3" t="n"/>
      <c r="F720" s="3" t="n"/>
      <c r="G720" s="9" t="n"/>
      <c r="H720" s="10" t="n">
        <v>45678.38972222222</v>
      </c>
      <c r="I720" s="10" t="n">
        <v>45678.39059027778</v>
      </c>
      <c r="J720" s="10" t="n">
        <v>45678.39364583333</v>
      </c>
      <c r="K720" s="11" t="n">
        <v>0.003055555555555556</v>
      </c>
      <c r="L720" s="13" t="n"/>
    </row>
    <row r="721">
      <c r="A721" s="3" t="inlineStr">
        <is>
          <t>Coupling</t>
        </is>
      </c>
      <c r="B721" s="3" t="inlineStr">
        <is>
          <t>Act_COP_1020103_092257_615</t>
        </is>
      </c>
      <c r="C721" s="3" t="inlineStr">
        <is>
          <t>1020103</t>
        </is>
      </c>
      <c r="D721" s="9" t="n">
        <v>35.6</v>
      </c>
      <c r="E721" s="3" t="n"/>
      <c r="F721" s="3" t="n"/>
      <c r="G721" s="9" t="n"/>
      <c r="H721" s="10" t="n">
        <v>45678.3909375</v>
      </c>
      <c r="I721" s="10" t="n">
        <v>45678.39177083333</v>
      </c>
      <c r="J721" s="10" t="n">
        <v>45678.39482638889</v>
      </c>
      <c r="K721" s="11" t="n">
        <v>0.003055555555555556</v>
      </c>
      <c r="L721" s="13" t="n"/>
    </row>
    <row r="722">
      <c r="A722" s="3" t="inlineStr">
        <is>
          <t>Coupling</t>
        </is>
      </c>
      <c r="B722" s="3" t="inlineStr">
        <is>
          <t>Act_COP_1020107_093044_617</t>
        </is>
      </c>
      <c r="C722" s="3" t="inlineStr">
        <is>
          <t>1020107</t>
        </is>
      </c>
      <c r="D722" s="9" t="n">
        <v>61.9</v>
      </c>
      <c r="E722" s="3" t="n"/>
      <c r="F722" s="3" t="n"/>
      <c r="G722" s="9" t="n"/>
      <c r="H722" s="10" t="n">
        <v>45678.39634259259</v>
      </c>
      <c r="I722" s="10" t="n">
        <v>45678.39711805555</v>
      </c>
      <c r="J722" s="10" t="n">
        <v>45678.39989583333</v>
      </c>
      <c r="K722" s="11" t="n">
        <v>0.002777777777777778</v>
      </c>
      <c r="L722" s="13" t="n"/>
    </row>
    <row r="723">
      <c r="A723" s="3" t="inlineStr">
        <is>
          <t>Coupling</t>
        </is>
      </c>
      <c r="B723" s="3" t="inlineStr">
        <is>
          <t>Act_COP_1020108_093331_627</t>
        </is>
      </c>
      <c r="C723" s="3" t="inlineStr">
        <is>
          <t>1020108</t>
        </is>
      </c>
      <c r="D723" s="9" t="n">
        <v>21</v>
      </c>
      <c r="E723" s="3" t="n"/>
      <c r="F723" s="3" t="n"/>
      <c r="G723" s="9" t="n"/>
      <c r="H723" s="10" t="n">
        <v>45678.39827546296</v>
      </c>
      <c r="I723" s="10" t="n">
        <v>45678.39914351852</v>
      </c>
      <c r="J723" s="10" t="n">
        <v>45678.40219907407</v>
      </c>
      <c r="K723" s="11" t="n">
        <v>0.003055555555555556</v>
      </c>
      <c r="L723" s="13" t="n"/>
    </row>
    <row r="724">
      <c r="A724" s="3" t="inlineStr">
        <is>
          <t>Coupling</t>
        </is>
      </c>
      <c r="B724" s="3" t="inlineStr">
        <is>
          <t>Act_COP_1020109_093616_629</t>
        </is>
      </c>
      <c r="C724" s="3" t="inlineStr">
        <is>
          <t>1020109</t>
        </is>
      </c>
      <c r="D724" s="9" t="n">
        <v>15.7</v>
      </c>
      <c r="E724" s="3" t="n"/>
      <c r="F724" s="3" t="n"/>
      <c r="G724" s="9" t="n"/>
      <c r="H724" s="10" t="n">
        <v>45678.40018518519</v>
      </c>
      <c r="I724" s="10" t="n">
        <v>45678.40101851852</v>
      </c>
      <c r="J724" s="10" t="n">
        <v>45678.40407407407</v>
      </c>
      <c r="K724" s="11" t="n">
        <v>0.003055555555555556</v>
      </c>
      <c r="L724" s="13" t="n"/>
    </row>
    <row r="725">
      <c r="A725" s="3" t="inlineStr">
        <is>
          <t>Coupling</t>
        </is>
      </c>
      <c r="B725" s="3" t="inlineStr">
        <is>
          <t>Act_COP_1020301_102336_619</t>
        </is>
      </c>
      <c r="C725" s="3" t="inlineStr">
        <is>
          <t>1020301</t>
        </is>
      </c>
      <c r="D725" s="9" t="n">
        <v>286.3</v>
      </c>
      <c r="E725" s="3" t="n"/>
      <c r="F725" s="3" t="n"/>
      <c r="G725" s="9" t="n"/>
      <c r="H725" s="10" t="n">
        <v>45678.43305555556</v>
      </c>
      <c r="I725" s="10" t="n">
        <v>45678.43388888889</v>
      </c>
      <c r="J725" s="10" t="n">
        <v>45678.43694444445</v>
      </c>
      <c r="K725" s="11" t="n">
        <v>0.003055555555555556</v>
      </c>
      <c r="L725" s="13" t="n"/>
    </row>
    <row r="726">
      <c r="A726" s="3" t="inlineStr">
        <is>
          <t>Coupling</t>
        </is>
      </c>
      <c r="B726" s="3" t="inlineStr">
        <is>
          <t>Act_COP_1020303_102825_619</t>
        </is>
      </c>
      <c r="C726" s="3" t="inlineStr">
        <is>
          <t>1020303</t>
        </is>
      </c>
      <c r="D726" s="9" t="n">
        <v>91.2</v>
      </c>
      <c r="E726" s="3" t="n"/>
      <c r="F726" s="3" t="n"/>
      <c r="G726" s="9" t="n"/>
      <c r="H726" s="10" t="n">
        <v>45678.43640046296</v>
      </c>
      <c r="I726" s="10" t="n">
        <v>45678.43726851852</v>
      </c>
      <c r="J726" s="10" t="n">
        <v>45678.44032407407</v>
      </c>
      <c r="K726" s="11" t="n">
        <v>0.003055555555555556</v>
      </c>
      <c r="L726" s="13" t="n"/>
    </row>
    <row r="727">
      <c r="A727" s="3" t="inlineStr">
        <is>
          <t>Coupling</t>
        </is>
      </c>
      <c r="B727" s="3" t="inlineStr">
        <is>
          <t>Act_COP_1020501_150416_617</t>
        </is>
      </c>
      <c r="C727" s="3" t="inlineStr">
        <is>
          <t>1020501</t>
        </is>
      </c>
      <c r="D727" s="9" t="n">
        <v>19.9</v>
      </c>
      <c r="E727" s="3" t="n"/>
      <c r="F727" s="3" t="n"/>
      <c r="G727" s="9" t="n"/>
      <c r="H727" s="10" t="n">
        <v>45678.62796296296</v>
      </c>
      <c r="I727" s="10" t="n">
        <v>45678.62872685185</v>
      </c>
      <c r="J727" s="10" t="n">
        <v>45678.63150462963</v>
      </c>
      <c r="K727" s="11" t="n">
        <v>0.002777777777777778</v>
      </c>
      <c r="L727" s="13" t="n"/>
    </row>
    <row r="728">
      <c r="A728" s="3" t="inlineStr">
        <is>
          <t>Coupling</t>
        </is>
      </c>
      <c r="B728" s="3" t="inlineStr">
        <is>
          <t>Act_COP_1020502_150624_609</t>
        </is>
      </c>
      <c r="C728" s="3" t="inlineStr">
        <is>
          <t>1020502</t>
        </is>
      </c>
      <c r="D728" s="9" t="n">
        <v>19.9</v>
      </c>
      <c r="E728" s="3" t="n"/>
      <c r="F728" s="3" t="n"/>
      <c r="G728" s="9" t="n"/>
      <c r="H728" s="10" t="n">
        <v>45678.62944444444</v>
      </c>
      <c r="I728" s="10" t="n">
        <v>45678.63028935185</v>
      </c>
      <c r="J728" s="10" t="n">
        <v>45678.63334490741</v>
      </c>
      <c r="K728" s="11" t="n">
        <v>0.003055555555555556</v>
      </c>
      <c r="L728" s="13" t="n"/>
    </row>
    <row r="729">
      <c r="A729" s="3" t="inlineStr">
        <is>
          <t>Coupling</t>
        </is>
      </c>
      <c r="B729" s="3" t="inlineStr">
        <is>
          <t>Act_COP_1020505_151350_623</t>
        </is>
      </c>
      <c r="C729" s="3" t="inlineStr">
        <is>
          <t>1020505</t>
        </is>
      </c>
      <c r="D729" s="9" t="n">
        <v>108</v>
      </c>
      <c r="E729" s="3" t="n"/>
      <c r="F729" s="3" t="n"/>
      <c r="G729" s="9" t="n"/>
      <c r="H729" s="10" t="n">
        <v>45678.63460648148</v>
      </c>
      <c r="I729" s="10" t="n">
        <v>45678.63543981482</v>
      </c>
      <c r="J729" s="10" t="n">
        <v>45678.63849537037</v>
      </c>
      <c r="K729" s="11" t="n">
        <v>0.003055555555555556</v>
      </c>
      <c r="L729" s="13" t="n"/>
    </row>
    <row r="730">
      <c r="A730" s="3" t="inlineStr">
        <is>
          <t>Coupling</t>
        </is>
      </c>
      <c r="B730" s="3" t="inlineStr">
        <is>
          <t>Act_COP_1020506_151632_629</t>
        </is>
      </c>
      <c r="C730" s="3" t="inlineStr">
        <is>
          <t>1020506</t>
        </is>
      </c>
      <c r="D730" s="9" t="n">
        <v>15.7</v>
      </c>
      <c r="E730" s="3" t="n"/>
      <c r="F730" s="3" t="n"/>
      <c r="G730" s="9" t="n"/>
      <c r="H730" s="10" t="n">
        <v>45678.63648148148</v>
      </c>
      <c r="I730" s="10" t="n">
        <v>45678.63725694444</v>
      </c>
      <c r="J730" s="10" t="n">
        <v>45678.64003472222</v>
      </c>
      <c r="K730" s="11" t="n">
        <v>0.002777777777777778</v>
      </c>
      <c r="L730" s="13" t="n"/>
    </row>
    <row r="731">
      <c r="A731" s="3" t="inlineStr">
        <is>
          <t>Coupling</t>
        </is>
      </c>
      <c r="B731" s="3" t="inlineStr">
        <is>
          <t>Act_COP_1020508_152156_605</t>
        </is>
      </c>
      <c r="C731" s="3" t="inlineStr">
        <is>
          <t>1020508</t>
        </is>
      </c>
      <c r="D731" s="9" t="n">
        <v>19.9</v>
      </c>
      <c r="E731" s="3" t="n"/>
      <c r="F731" s="3" t="n"/>
      <c r="G731" s="9" t="n"/>
      <c r="H731" s="10" t="n">
        <v>45678.64023148148</v>
      </c>
      <c r="I731" s="10" t="n">
        <v>45678.64106481482</v>
      </c>
      <c r="J731" s="10" t="n">
        <v>45678.64412037037</v>
      </c>
      <c r="K731" s="11" t="n">
        <v>0.003055555555555556</v>
      </c>
      <c r="L731" s="13" t="n"/>
    </row>
    <row r="732">
      <c r="A732" s="3" t="inlineStr">
        <is>
          <t>Coupling</t>
        </is>
      </c>
      <c r="B732" s="3" t="inlineStr">
        <is>
          <t>Act_COP_1020802_024854_615</t>
        </is>
      </c>
      <c r="C732" s="3" t="inlineStr">
        <is>
          <t>1020802</t>
        </is>
      </c>
      <c r="D732" s="9" t="n">
        <v>144.8</v>
      </c>
      <c r="E732" s="3" t="n"/>
      <c r="F732" s="3" t="n"/>
      <c r="G732" s="9" t="n"/>
      <c r="H732" s="10" t="n">
        <v>45679.11729166667</v>
      </c>
      <c r="I732" s="10" t="n">
        <v>45679.11814814815</v>
      </c>
      <c r="J732" s="10" t="n">
        <v>45679.1212037037</v>
      </c>
      <c r="K732" s="11" t="n">
        <v>0.003055555555555556</v>
      </c>
      <c r="L732" s="13" t="n"/>
    </row>
    <row r="733">
      <c r="A733" s="3" t="inlineStr">
        <is>
          <t>Coupling</t>
        </is>
      </c>
      <c r="B733" s="3" t="inlineStr">
        <is>
          <t>Act_COP_1021105_072756_605</t>
        </is>
      </c>
      <c r="C733" s="3" t="inlineStr">
        <is>
          <t>1021105</t>
        </is>
      </c>
      <c r="D733" s="9" t="n">
        <v>19.9</v>
      </c>
      <c r="E733" s="3" t="n"/>
      <c r="F733" s="3" t="n"/>
      <c r="G733" s="9" t="n"/>
      <c r="H733" s="10" t="n">
        <v>45679.31106481481</v>
      </c>
      <c r="I733" s="10" t="n">
        <v>45679.31193287037</v>
      </c>
      <c r="J733" s="10" t="n">
        <v>45679.31498842593</v>
      </c>
      <c r="K733" s="11" t="n">
        <v>0.003055555555555556</v>
      </c>
      <c r="L733" s="13" t="n"/>
    </row>
    <row r="734">
      <c r="A734" s="3" t="inlineStr">
        <is>
          <t>Coupling</t>
        </is>
      </c>
      <c r="B734" s="3" t="inlineStr">
        <is>
          <t>Act_COP_1021106_073046_621</t>
        </is>
      </c>
      <c r="C734" s="3" t="inlineStr">
        <is>
          <t>1021106</t>
        </is>
      </c>
      <c r="D734" s="9" t="n">
        <v>21</v>
      </c>
      <c r="E734" s="3" t="n"/>
      <c r="F734" s="3" t="n"/>
      <c r="G734" s="9" t="n"/>
      <c r="H734" s="10" t="n">
        <v>45679.31303240741</v>
      </c>
      <c r="I734" s="10" t="n">
        <v>45679.31379629629</v>
      </c>
      <c r="J734" s="10" t="n">
        <v>45679.31657407407</v>
      </c>
      <c r="K734" s="11" t="n">
        <v>0.002777777777777778</v>
      </c>
      <c r="L734" s="13" t="n"/>
    </row>
    <row r="735">
      <c r="A735" s="3" t="inlineStr">
        <is>
          <t>Coupling</t>
        </is>
      </c>
      <c r="B735" s="3" t="inlineStr">
        <is>
          <t>Act_COP_1021109_073628_629</t>
        </is>
      </c>
      <c r="C735" s="3" t="inlineStr">
        <is>
          <t>1021109</t>
        </is>
      </c>
      <c r="D735" s="9" t="n">
        <v>23.2</v>
      </c>
      <c r="E735" s="3" t="n"/>
      <c r="F735" s="3" t="n"/>
      <c r="G735" s="9" t="n"/>
      <c r="H735" s="10" t="n">
        <v>45679.31699074074</v>
      </c>
      <c r="I735" s="10" t="n">
        <v>45679.3178587963</v>
      </c>
      <c r="J735" s="10" t="n">
        <v>45679.32091435185</v>
      </c>
      <c r="K735" s="11" t="n">
        <v>0.003055555555555556</v>
      </c>
      <c r="L735" s="13" t="n"/>
    </row>
    <row r="736">
      <c r="A736" s="3" t="inlineStr">
        <is>
          <t>Coupling</t>
        </is>
      </c>
      <c r="B736" s="3" t="inlineStr">
        <is>
          <t>Act_COP_1021110_073923_625</t>
        </is>
      </c>
      <c r="C736" s="3" t="inlineStr">
        <is>
          <t>1021110</t>
        </is>
      </c>
      <c r="D736" s="9" t="n">
        <v>15.7</v>
      </c>
      <c r="E736" s="3" t="n"/>
      <c r="F736" s="3" t="n"/>
      <c r="G736" s="9" t="n"/>
      <c r="H736" s="10" t="n">
        <v>45679.31901620371</v>
      </c>
      <c r="I736" s="10" t="n">
        <v>45679.31978009259</v>
      </c>
      <c r="J736" s="10" t="n">
        <v>45679.32255787037</v>
      </c>
      <c r="K736" s="11" t="n">
        <v>0.002777777777777778</v>
      </c>
      <c r="L736" s="13" t="n"/>
    </row>
    <row r="737">
      <c r="A737" s="3" t="inlineStr">
        <is>
          <t>Coupling</t>
        </is>
      </c>
      <c r="B737" s="3" t="inlineStr">
        <is>
          <t>Act_COP_1021402_084010_615</t>
        </is>
      </c>
      <c r="C737" s="3" t="inlineStr">
        <is>
          <t>1021402</t>
        </is>
      </c>
      <c r="D737" s="9" t="n">
        <v>216.4</v>
      </c>
      <c r="E737" s="3" t="n"/>
      <c r="F737" s="3" t="n"/>
      <c r="G737" s="9" t="n"/>
      <c r="H737" s="10" t="n">
        <v>45679.36122685186</v>
      </c>
      <c r="I737" s="10" t="n">
        <v>45679.36207175926</v>
      </c>
      <c r="J737" s="10" t="n">
        <v>45679.36512731481</v>
      </c>
      <c r="K737" s="11" t="n">
        <v>0.003055555555555556</v>
      </c>
      <c r="L737" s="13" t="n"/>
    </row>
    <row r="738">
      <c r="A738" s="3" t="inlineStr">
        <is>
          <t>Coupling</t>
        </is>
      </c>
      <c r="B738" s="3" t="inlineStr">
        <is>
          <t>Act_COP_1021501_093907_629</t>
        </is>
      </c>
      <c r="C738" s="3" t="inlineStr">
        <is>
          <t>1021501</t>
        </is>
      </c>
      <c r="D738" s="9" t="n">
        <v>15.7</v>
      </c>
      <c r="E738" s="3" t="n"/>
      <c r="F738" s="3" t="n"/>
      <c r="G738" s="9" t="n"/>
      <c r="H738" s="10" t="n">
        <v>45679.40216435185</v>
      </c>
      <c r="I738" s="10" t="n">
        <v>45679.40299768518</v>
      </c>
      <c r="J738" s="10" t="n">
        <v>45679.40605324074</v>
      </c>
      <c r="K738" s="11" t="n">
        <v>0.003055555555555556</v>
      </c>
      <c r="L738" s="13" t="n"/>
    </row>
    <row r="739">
      <c r="A739" s="3" t="inlineStr">
        <is>
          <t>Coupling</t>
        </is>
      </c>
      <c r="B739" s="3" t="inlineStr">
        <is>
          <t>Act_COP_1021503_094523_621</t>
        </is>
      </c>
      <c r="C739" s="3" t="inlineStr">
        <is>
          <t>1021503</t>
        </is>
      </c>
      <c r="D739" s="9" t="n">
        <v>61.9</v>
      </c>
      <c r="E739" s="3" t="n"/>
      <c r="F739" s="3" t="n"/>
      <c r="G739" s="9" t="n"/>
      <c r="H739" s="10" t="n">
        <v>45679.4065162037</v>
      </c>
      <c r="I739" s="10" t="n">
        <v>45679.40738425926</v>
      </c>
      <c r="J739" s="10" t="n">
        <v>45679.41043981481</v>
      </c>
      <c r="K739" s="11" t="n">
        <v>0.003055555555555556</v>
      </c>
      <c r="L739" s="13" t="n"/>
    </row>
    <row r="740">
      <c r="A740" s="3" t="inlineStr">
        <is>
          <t>Coupling</t>
        </is>
      </c>
      <c r="B740" s="3" t="inlineStr">
        <is>
          <t>Act_COP_1021504_094811_621</t>
        </is>
      </c>
      <c r="C740" s="3" t="inlineStr">
        <is>
          <t>1021504</t>
        </is>
      </c>
      <c r="D740" s="9" t="n">
        <v>12</v>
      </c>
      <c r="E740" s="3" t="n"/>
      <c r="F740" s="3" t="n"/>
      <c r="G740" s="9" t="n"/>
      <c r="H740" s="10" t="n">
        <v>45679.40846064815</v>
      </c>
      <c r="I740" s="10" t="n">
        <v>45679.4093287037</v>
      </c>
      <c r="J740" s="10" t="n">
        <v>45679.41238425926</v>
      </c>
      <c r="K740" s="11" t="n">
        <v>0.003055555555555556</v>
      </c>
      <c r="L740" s="13" t="n"/>
    </row>
    <row r="741">
      <c r="A741" s="3" t="inlineStr">
        <is>
          <t>Coupling</t>
        </is>
      </c>
      <c r="B741" s="3" t="inlineStr">
        <is>
          <t>Act_COP_1021505_095013_611</t>
        </is>
      </c>
      <c r="C741" s="3" t="inlineStr">
        <is>
          <t>1021505</t>
        </is>
      </c>
      <c r="D741" s="9" t="n">
        <v>27</v>
      </c>
      <c r="E741" s="3" t="n"/>
      <c r="F741" s="3" t="n"/>
      <c r="G741" s="9" t="n"/>
      <c r="H741" s="10" t="n">
        <v>45679.40987268519</v>
      </c>
      <c r="I741" s="10" t="n">
        <v>45679.41070601852</v>
      </c>
      <c r="J741" s="10" t="n">
        <v>45679.41376157408</v>
      </c>
      <c r="K741" s="11" t="n">
        <v>0.003055555555555556</v>
      </c>
      <c r="L741" s="13" t="n"/>
    </row>
    <row r="742">
      <c r="A742" s="3" t="inlineStr">
        <is>
          <t>Coupling</t>
        </is>
      </c>
      <c r="B742" s="3" t="inlineStr">
        <is>
          <t>Act_COP_1021506_095232_607</t>
        </is>
      </c>
      <c r="C742" s="3" t="inlineStr">
        <is>
          <t>1021506</t>
        </is>
      </c>
      <c r="D742" s="9" t="n">
        <v>15.7</v>
      </c>
      <c r="E742" s="3" t="n"/>
      <c r="F742" s="3" t="n"/>
      <c r="G742" s="9" t="n"/>
      <c r="H742" s="10" t="n">
        <v>45679.41148148148</v>
      </c>
      <c r="I742" s="10" t="n">
        <v>45679.41234953704</v>
      </c>
      <c r="J742" s="10" t="n">
        <v>45679.41540509259</v>
      </c>
      <c r="K742" s="11" t="n">
        <v>0.003055555555555556</v>
      </c>
      <c r="L742" s="13" t="n"/>
    </row>
    <row r="743">
      <c r="A743" s="3" t="inlineStr">
        <is>
          <t>Coupling</t>
        </is>
      </c>
      <c r="B743" s="3" t="inlineStr">
        <is>
          <t>Act_COP_1021507_095443_609</t>
        </is>
      </c>
      <c r="C743" s="3" t="inlineStr">
        <is>
          <t>1021507</t>
        </is>
      </c>
      <c r="D743" s="9" t="n">
        <v>19.9</v>
      </c>
      <c r="E743" s="3" t="n"/>
      <c r="F743" s="3" t="n"/>
      <c r="G743" s="9" t="n"/>
      <c r="H743" s="10" t="n">
        <v>45679.41299768518</v>
      </c>
      <c r="I743" s="10" t="n">
        <v>45679.41376157408</v>
      </c>
      <c r="J743" s="10" t="n">
        <v>45679.41653935185</v>
      </c>
      <c r="K743" s="11" t="n">
        <v>0.002777777777777778</v>
      </c>
      <c r="L743" s="13" t="n"/>
    </row>
    <row r="744">
      <c r="A744" s="3" t="inlineStr">
        <is>
          <t>Coupling</t>
        </is>
      </c>
      <c r="B744" s="3" t="inlineStr">
        <is>
          <t>Act_COP_1021508_095740_629</t>
        </is>
      </c>
      <c r="C744" s="3" t="inlineStr">
        <is>
          <t>1021508</t>
        </is>
      </c>
      <c r="D744" s="9" t="n">
        <v>73.90000000000001</v>
      </c>
      <c r="E744" s="3" t="n"/>
      <c r="F744" s="3" t="n"/>
      <c r="G744" s="9" t="n"/>
      <c r="H744" s="10" t="n">
        <v>45679.41504629629</v>
      </c>
      <c r="I744" s="10" t="n">
        <v>45679.41587962963</v>
      </c>
      <c r="J744" s="10" t="n">
        <v>45679.41893518518</v>
      </c>
      <c r="K744" s="11" t="n">
        <v>0.003055555555555556</v>
      </c>
      <c r="L744" s="13" t="n"/>
    </row>
    <row r="745">
      <c r="A745" s="3" t="inlineStr">
        <is>
          <t>Coupling</t>
        </is>
      </c>
      <c r="B745" s="3" t="inlineStr">
        <is>
          <t>Act_COP_1022001_174735_615</t>
        </is>
      </c>
      <c r="C745" s="3" t="inlineStr">
        <is>
          <t>1022001</t>
        </is>
      </c>
      <c r="D745" s="9" t="n">
        <v>325.4</v>
      </c>
      <c r="E745" s="3" t="n"/>
      <c r="F745" s="3" t="n"/>
      <c r="G745" s="9" t="n"/>
      <c r="H745" s="10" t="n">
        <v>45679.74137731481</v>
      </c>
      <c r="I745" s="10" t="n">
        <v>45679.74224537037</v>
      </c>
      <c r="J745" s="10" t="n">
        <v>45679.74530092593</v>
      </c>
      <c r="K745" s="11" t="n">
        <v>0.003055555555555556</v>
      </c>
      <c r="L745" s="13" t="n"/>
    </row>
    <row r="746">
      <c r="A746" s="3" t="inlineStr">
        <is>
          <t>Coupling</t>
        </is>
      </c>
      <c r="B746" s="3" t="inlineStr">
        <is>
          <t>Act_COP_1021901_175430_606</t>
        </is>
      </c>
      <c r="C746" s="3" t="inlineStr">
        <is>
          <t>1021901</t>
        </is>
      </c>
      <c r="D746" s="9" t="n">
        <v>29.7</v>
      </c>
      <c r="E746" s="3" t="n"/>
      <c r="F746" s="3" t="n"/>
      <c r="G746" s="9" t="n"/>
      <c r="H746" s="10" t="n">
        <v>45679.74618055556</v>
      </c>
      <c r="I746" s="10" t="n">
        <v>45679.74701388889</v>
      </c>
      <c r="J746" s="10" t="n">
        <v>45679.75006944445</v>
      </c>
      <c r="K746" s="11" t="n">
        <v>0.003055555555555556</v>
      </c>
      <c r="L746" s="13" t="n"/>
    </row>
    <row r="747">
      <c r="A747" s="3" t="inlineStr">
        <is>
          <t>Coupling</t>
        </is>
      </c>
      <c r="B747" s="3" t="inlineStr">
        <is>
          <t>Act_COP_1021902_175638_609</t>
        </is>
      </c>
      <c r="C747" s="3" t="inlineStr">
        <is>
          <t>1021902</t>
        </is>
      </c>
      <c r="D747" s="9" t="n">
        <v>19.9</v>
      </c>
      <c r="E747" s="3" t="n"/>
      <c r="F747" s="3" t="n"/>
      <c r="G747" s="9" t="n"/>
      <c r="H747" s="10" t="n">
        <v>45679.74766203704</v>
      </c>
      <c r="I747" s="10" t="n">
        <v>45679.74844907408</v>
      </c>
      <c r="J747" s="10" t="n">
        <v>45679.75122685185</v>
      </c>
      <c r="K747" s="11" t="n">
        <v>0.002777777777777778</v>
      </c>
      <c r="L747" s="13" t="n"/>
    </row>
    <row r="748">
      <c r="A748" s="3" t="inlineStr">
        <is>
          <t>Coupling</t>
        </is>
      </c>
      <c r="B748" s="3" t="inlineStr">
        <is>
          <t>Act_COP_1021904_180028_613</t>
        </is>
      </c>
      <c r="C748" s="3" t="inlineStr">
        <is>
          <t>1021904</t>
        </is>
      </c>
      <c r="D748" s="9" t="n">
        <v>99.5</v>
      </c>
      <c r="E748" s="3" t="n"/>
      <c r="F748" s="3" t="n"/>
      <c r="G748" s="9" t="n"/>
      <c r="H748" s="10" t="n">
        <v>45679.75032407408</v>
      </c>
      <c r="I748" s="10" t="n">
        <v>45679.75119212963</v>
      </c>
      <c r="J748" s="10" t="n">
        <v>45679.75424768519</v>
      </c>
      <c r="K748" s="11" t="n">
        <v>0.003055555555555556</v>
      </c>
      <c r="L748" s="13" t="n"/>
    </row>
    <row r="749">
      <c r="A749" s="3" t="inlineStr">
        <is>
          <t>Coupling</t>
        </is>
      </c>
      <c r="B749" s="3" t="inlineStr">
        <is>
          <t>Act_COP_1021905_180320_625</t>
        </is>
      </c>
      <c r="C749" s="3" t="inlineStr">
        <is>
          <t>1021905</t>
        </is>
      </c>
      <c r="D749" s="9" t="n">
        <v>15.7</v>
      </c>
      <c r="E749" s="3" t="n"/>
      <c r="F749" s="3" t="n"/>
      <c r="G749" s="9" t="n"/>
      <c r="H749" s="10" t="n">
        <v>45679.75231481482</v>
      </c>
      <c r="I749" s="10" t="n">
        <v>45679.75318287037</v>
      </c>
      <c r="J749" s="10" t="n">
        <v>45679.75623842593</v>
      </c>
      <c r="K749" s="11" t="n">
        <v>0.003055555555555556</v>
      </c>
      <c r="L749" s="13" t="n"/>
    </row>
    <row r="750">
      <c r="A750" s="3" t="inlineStr">
        <is>
          <t>Coupling</t>
        </is>
      </c>
      <c r="B750" s="3" t="inlineStr">
        <is>
          <t>Act_COP_1021907_180807_607</t>
        </is>
      </c>
      <c r="C750" s="3" t="inlineStr">
        <is>
          <t>1021907</t>
        </is>
      </c>
      <c r="D750" s="9" t="n">
        <v>15.7</v>
      </c>
      <c r="E750" s="3" t="n"/>
      <c r="F750" s="3" t="n"/>
      <c r="G750" s="9" t="n"/>
      <c r="H750" s="10" t="n">
        <v>45679.75563657407</v>
      </c>
      <c r="I750" s="10" t="n">
        <v>45679.75650462963</v>
      </c>
      <c r="J750" s="10" t="n">
        <v>45679.75956018519</v>
      </c>
      <c r="K750" s="11" t="n">
        <v>0.003055555555555556</v>
      </c>
      <c r="L750" s="13" t="n"/>
    </row>
    <row r="751">
      <c r="A751" s="3" t="inlineStr">
        <is>
          <t>Coupling</t>
        </is>
      </c>
      <c r="B751" s="3" t="inlineStr">
        <is>
          <t>Act_COP_1021909_181419_623</t>
        </is>
      </c>
      <c r="C751" s="3" t="inlineStr">
        <is>
          <t>1021909</t>
        </is>
      </c>
      <c r="D751" s="9" t="n">
        <v>21</v>
      </c>
      <c r="E751" s="3" t="n"/>
      <c r="F751" s="3" t="n"/>
      <c r="G751" s="9" t="n"/>
      <c r="H751" s="10" t="n">
        <v>45679.75994212963</v>
      </c>
      <c r="I751" s="10" t="n">
        <v>45679.76074074074</v>
      </c>
      <c r="J751" s="10" t="n">
        <v>45679.76351851852</v>
      </c>
      <c r="K751" s="11" t="n">
        <v>0.002777777777777778</v>
      </c>
      <c r="L751" s="13" t="n"/>
    </row>
    <row r="752">
      <c r="A752" s="3" t="inlineStr">
        <is>
          <t>Coupling</t>
        </is>
      </c>
      <c r="B752" s="3" t="inlineStr">
        <is>
          <t>Act_COP_1022203_203212_619</t>
        </is>
      </c>
      <c r="C752" s="3" t="inlineStr">
        <is>
          <t>1022203</t>
        </is>
      </c>
      <c r="D752" s="9" t="n">
        <v>14</v>
      </c>
      <c r="E752" s="3" t="n"/>
      <c r="F752" s="3" t="n"/>
      <c r="G752" s="9" t="n"/>
      <c r="H752" s="10" t="n">
        <v>45679.85569444444</v>
      </c>
      <c r="I752" s="10" t="n">
        <v>45679.8565625</v>
      </c>
      <c r="J752" s="10" t="n">
        <v>45679.85961805555</v>
      </c>
      <c r="K752" s="11" t="n">
        <v>0.003055555555555556</v>
      </c>
      <c r="L752" s="13" t="n"/>
    </row>
    <row r="753">
      <c r="A753" s="3" t="inlineStr">
        <is>
          <t>Coupling</t>
        </is>
      </c>
      <c r="B753" s="3" t="inlineStr">
        <is>
          <t>Act_COP_1022204_203406_617</t>
        </is>
      </c>
      <c r="C753" s="3" t="inlineStr">
        <is>
          <t>1022204</t>
        </is>
      </c>
      <c r="D753" s="9" t="n">
        <v>33</v>
      </c>
      <c r="E753" s="3" t="n"/>
      <c r="F753" s="3" t="n"/>
      <c r="G753" s="9" t="n"/>
      <c r="H753" s="10" t="n">
        <v>45679.85701388889</v>
      </c>
      <c r="I753" s="10" t="n">
        <v>45679.85780092593</v>
      </c>
      <c r="J753" s="10" t="n">
        <v>45679.8605787037</v>
      </c>
      <c r="K753" s="11" t="n">
        <v>0.002777777777777778</v>
      </c>
      <c r="L753" s="13" t="n"/>
    </row>
    <row r="754">
      <c r="A754" s="3" t="inlineStr">
        <is>
          <t>Coupling</t>
        </is>
      </c>
      <c r="B754" s="3" t="inlineStr">
        <is>
          <t>Act_COP_1022205_203647_623</t>
        </is>
      </c>
      <c r="C754" s="3" t="inlineStr">
        <is>
          <t>1022205</t>
        </is>
      </c>
      <c r="D754" s="9" t="n">
        <v>61.9</v>
      </c>
      <c r="E754" s="3" t="n"/>
      <c r="F754" s="3" t="n"/>
      <c r="G754" s="9" t="n"/>
      <c r="H754" s="10" t="n">
        <v>45679.85887731481</v>
      </c>
      <c r="I754" s="10" t="n">
        <v>45679.85974537037</v>
      </c>
      <c r="J754" s="10" t="n">
        <v>45679.86280092593</v>
      </c>
      <c r="K754" s="11" t="n">
        <v>0.003055555555555556</v>
      </c>
      <c r="L754" s="13" t="n"/>
    </row>
    <row r="755">
      <c r="A755" s="3" t="inlineStr">
        <is>
          <t>Coupling</t>
        </is>
      </c>
      <c r="B755" s="3" t="inlineStr">
        <is>
          <t>Act_COP_1022207_204158_607</t>
        </is>
      </c>
      <c r="C755" s="3" t="inlineStr">
        <is>
          <t>1022207</t>
        </is>
      </c>
      <c r="D755" s="9" t="n">
        <v>15.7</v>
      </c>
      <c r="E755" s="3" t="n"/>
      <c r="F755" s="3" t="n"/>
      <c r="G755" s="9" t="n"/>
      <c r="H755" s="10" t="n">
        <v>45679.86247685185</v>
      </c>
      <c r="I755" s="10" t="n">
        <v>45679.86326388889</v>
      </c>
      <c r="J755" s="10" t="n">
        <v>45679.86604166667</v>
      </c>
      <c r="K755" s="11" t="n">
        <v>0.002777777777777778</v>
      </c>
      <c r="L755" s="13" t="n"/>
    </row>
    <row r="756">
      <c r="A756" s="3" t="inlineStr">
        <is>
          <t>Coupling</t>
        </is>
      </c>
      <c r="B756" s="3" t="inlineStr">
        <is>
          <t>Act_COP_1022208_204430_606</t>
        </is>
      </c>
      <c r="C756" s="3" t="inlineStr">
        <is>
          <t>1022208</t>
        </is>
      </c>
      <c r="D756" s="9" t="n">
        <v>29.7</v>
      </c>
      <c r="E756" s="3" t="n"/>
      <c r="F756" s="3" t="n"/>
      <c r="G756" s="9" t="n"/>
      <c r="H756" s="10" t="n">
        <v>45679.86423611111</v>
      </c>
      <c r="I756" s="10" t="n">
        <v>45679.86510416667</v>
      </c>
      <c r="J756" s="10" t="n">
        <v>45679.86815972222</v>
      </c>
      <c r="K756" s="11" t="n">
        <v>0.003055555555555556</v>
      </c>
      <c r="L756" s="13" t="n"/>
    </row>
    <row r="757">
      <c r="A757" s="3" t="inlineStr">
        <is>
          <t>Coupling</t>
        </is>
      </c>
      <c r="B757" s="3" t="inlineStr">
        <is>
          <t>Act_COP_1022503_071110_615</t>
        </is>
      </c>
      <c r="C757" s="3" t="inlineStr">
        <is>
          <t>1022503</t>
        </is>
      </c>
      <c r="D757" s="9" t="n">
        <v>54.7</v>
      </c>
      <c r="E757" s="3" t="n"/>
      <c r="F757" s="3" t="n"/>
      <c r="G757" s="9" t="n"/>
      <c r="H757" s="10" t="n">
        <v>45680.29942129629</v>
      </c>
      <c r="I757" s="10" t="n">
        <v>45680.30028935185</v>
      </c>
      <c r="J757" s="10" t="n">
        <v>45680.30334490741</v>
      </c>
      <c r="K757" s="11" t="n">
        <v>0.003055555555555556</v>
      </c>
      <c r="L757" s="13" t="n"/>
    </row>
    <row r="758">
      <c r="A758" s="3" t="inlineStr">
        <is>
          <t>Coupling</t>
        </is>
      </c>
      <c r="B758" s="3" t="inlineStr">
        <is>
          <t>Act_COP_1022505_071601_617</t>
        </is>
      </c>
      <c r="C758" s="3" t="inlineStr">
        <is>
          <t>1022505</t>
        </is>
      </c>
      <c r="D758" s="9" t="n">
        <v>42</v>
      </c>
      <c r="E758" s="3" t="n"/>
      <c r="F758" s="3" t="n"/>
      <c r="G758" s="9" t="n"/>
      <c r="H758" s="10" t="n">
        <v>45680.30278935185</v>
      </c>
      <c r="I758" s="10" t="n">
        <v>45680.30365740741</v>
      </c>
      <c r="J758" s="10" t="n">
        <v>45680.30671296296</v>
      </c>
      <c r="K758" s="11" t="n">
        <v>0.003055555555555556</v>
      </c>
      <c r="L758" s="13" t="n"/>
    </row>
    <row r="759">
      <c r="A759" s="3" t="inlineStr">
        <is>
          <t>Coupling</t>
        </is>
      </c>
      <c r="B759" s="3" t="inlineStr">
        <is>
          <t>Act_COP_1022506+1022508_071854_619</t>
        </is>
      </c>
      <c r="C759" s="3" t="inlineStr">
        <is>
          <t>1022506+1022508</t>
        </is>
      </c>
      <c r="D759" s="9" t="n">
        <v>39</v>
      </c>
      <c r="E759" s="3" t="n"/>
      <c r="F759" s="3" t="n"/>
      <c r="G759" s="9" t="n"/>
      <c r="H759" s="10" t="n">
        <v>45680.30479166667</v>
      </c>
      <c r="I759" s="10" t="n">
        <v>45680.30565972222</v>
      </c>
      <c r="J759" s="10" t="n">
        <v>45680.30871527778</v>
      </c>
      <c r="K759" s="11" t="n">
        <v>0.003055555555555556</v>
      </c>
      <c r="L759" s="13" t="n"/>
    </row>
    <row r="760">
      <c r="A760" s="3" t="inlineStr">
        <is>
          <t>Coupling</t>
        </is>
      </c>
      <c r="B760" s="3" t="inlineStr">
        <is>
          <t>Act_COP_1022903_093942_615</t>
        </is>
      </c>
      <c r="C760" s="3" t="inlineStr">
        <is>
          <t>1022903</t>
        </is>
      </c>
      <c r="D760" s="9" t="n">
        <v>31.5</v>
      </c>
      <c r="E760" s="3" t="n"/>
      <c r="F760" s="3" t="n"/>
      <c r="G760" s="9" t="n"/>
      <c r="H760" s="10" t="n">
        <v>45680.40256944444</v>
      </c>
      <c r="I760" s="10" t="n">
        <v>45680.4033449074</v>
      </c>
      <c r="J760" s="10" t="n">
        <v>45680.40612268518</v>
      </c>
      <c r="K760" s="11" t="n">
        <v>0.002777777777777778</v>
      </c>
      <c r="L760" s="13" t="n"/>
    </row>
    <row r="761">
      <c r="A761" s="3" t="inlineStr">
        <is>
          <t>Coupling</t>
        </is>
      </c>
      <c r="B761" s="3" t="inlineStr">
        <is>
          <t>Act_COP_1022904_094200_607</t>
        </is>
      </c>
      <c r="C761" s="3" t="inlineStr">
        <is>
          <t>1022904</t>
        </is>
      </c>
      <c r="D761" s="9" t="n">
        <v>19.9</v>
      </c>
      <c r="E761" s="3" t="n"/>
      <c r="F761" s="3" t="n"/>
      <c r="G761" s="9" t="n"/>
      <c r="H761" s="10" t="n">
        <v>45680.40416666667</v>
      </c>
      <c r="I761" s="10" t="n">
        <v>45680.40503472222</v>
      </c>
      <c r="J761" s="10" t="n">
        <v>45680.40809027778</v>
      </c>
      <c r="K761" s="11" t="n">
        <v>0.003055555555555556</v>
      </c>
      <c r="L761" s="13" t="n"/>
    </row>
    <row r="762">
      <c r="A762" s="3" t="inlineStr">
        <is>
          <t>Coupling</t>
        </is>
      </c>
      <c r="B762" s="3" t="inlineStr">
        <is>
          <t>Act_COP_1022905_094417_607</t>
        </is>
      </c>
      <c r="C762" s="3" t="inlineStr">
        <is>
          <t>1022905</t>
        </is>
      </c>
      <c r="D762" s="9" t="n">
        <v>15.7</v>
      </c>
      <c r="E762" s="3" t="n"/>
      <c r="F762" s="3" t="n"/>
      <c r="G762" s="9" t="n"/>
      <c r="H762" s="10" t="n">
        <v>45680.40575231481</v>
      </c>
      <c r="I762" s="10" t="n">
        <v>45680.40658564815</v>
      </c>
      <c r="J762" s="10" t="n">
        <v>45680.4096412037</v>
      </c>
      <c r="K762" s="11" t="n">
        <v>0.003055555555555556</v>
      </c>
      <c r="L762" s="13" t="n"/>
    </row>
    <row r="763">
      <c r="A763" s="3" t="inlineStr">
        <is>
          <t>Coupling</t>
        </is>
      </c>
      <c r="B763" s="3" t="inlineStr">
        <is>
          <t>Act_COP_1022906_094713_629</t>
        </is>
      </c>
      <c r="C763" s="3" t="inlineStr">
        <is>
          <t>1022906</t>
        </is>
      </c>
      <c r="D763" s="9" t="n">
        <v>82.09999999999999</v>
      </c>
      <c r="E763" s="3" t="n"/>
      <c r="F763" s="3" t="n"/>
      <c r="G763" s="9" t="n"/>
      <c r="H763" s="10" t="n">
        <v>45680.40778935186</v>
      </c>
      <c r="I763" s="10" t="n">
        <v>45680.40855324074</v>
      </c>
      <c r="J763" s="10" t="n">
        <v>45680.41133101852</v>
      </c>
      <c r="K763" s="11" t="n">
        <v>0.002777777777777778</v>
      </c>
      <c r="L763" s="13" t="n"/>
    </row>
    <row r="764">
      <c r="A764" s="3" t="inlineStr">
        <is>
          <t>Coupling</t>
        </is>
      </c>
      <c r="B764" s="3" t="inlineStr">
        <is>
          <t>Act_COP_1022907_094909_617</t>
        </is>
      </c>
      <c r="C764" s="3" t="inlineStr">
        <is>
          <t>1022907</t>
        </is>
      </c>
      <c r="D764" s="9" t="n">
        <v>57.4</v>
      </c>
      <c r="E764" s="3" t="n"/>
      <c r="F764" s="3" t="n"/>
      <c r="G764" s="9" t="n"/>
      <c r="H764" s="10" t="n">
        <v>45680.40913194444</v>
      </c>
      <c r="I764" s="10" t="n">
        <v>45680.41</v>
      </c>
      <c r="J764" s="10" t="n">
        <v>45680.41305555555</v>
      </c>
      <c r="K764" s="11" t="n">
        <v>0.003055555555555556</v>
      </c>
      <c r="L764" s="13" t="n"/>
    </row>
    <row r="765">
      <c r="A765" s="3" t="inlineStr">
        <is>
          <t>Coupling</t>
        </is>
      </c>
      <c r="B765" s="3" t="inlineStr">
        <is>
          <t>Act_COP_1022908_095153_629</t>
        </is>
      </c>
      <c r="C765" s="3" t="inlineStr">
        <is>
          <t>1022908</t>
        </is>
      </c>
      <c r="D765" s="9" t="n">
        <v>19.9</v>
      </c>
      <c r="E765" s="3" t="n"/>
      <c r="F765" s="3" t="n"/>
      <c r="G765" s="9" t="n"/>
      <c r="H765" s="10" t="n">
        <v>45680.41103009259</v>
      </c>
      <c r="I765" s="10" t="n">
        <v>45680.41186342593</v>
      </c>
      <c r="J765" s="10" t="n">
        <v>45680.41491898148</v>
      </c>
      <c r="K765" s="11" t="n">
        <v>0.003055555555555556</v>
      </c>
      <c r="L765" s="13" t="n"/>
    </row>
    <row r="766">
      <c r="A766" s="3" t="inlineStr">
        <is>
          <t>Coupling</t>
        </is>
      </c>
      <c r="B766" s="3" t="inlineStr">
        <is>
          <t>Act_COP_1022911_100047_619</t>
        </is>
      </c>
      <c r="C766" s="3" t="inlineStr">
        <is>
          <t>1022911</t>
        </is>
      </c>
      <c r="D766" s="9" t="n">
        <v>21</v>
      </c>
      <c r="E766" s="3" t="n"/>
      <c r="F766" s="3" t="n"/>
      <c r="G766" s="9" t="n"/>
      <c r="H766" s="10" t="n">
        <v>45680.41721064815</v>
      </c>
      <c r="I766" s="10" t="n">
        <v>45680.41798611111</v>
      </c>
      <c r="J766" s="10" t="n">
        <v>45680.42076388889</v>
      </c>
      <c r="K766" s="11" t="n">
        <v>0.002777777777777778</v>
      </c>
      <c r="L766" s="13" t="n"/>
    </row>
    <row r="767">
      <c r="A767" s="3" t="inlineStr">
        <is>
          <t>Coupling</t>
        </is>
      </c>
      <c r="B767" s="3" t="inlineStr">
        <is>
          <t>Act_COP_1023203_151104_629</t>
        </is>
      </c>
      <c r="C767" s="3" t="inlineStr">
        <is>
          <t>1023203</t>
        </is>
      </c>
      <c r="D767" s="9" t="n">
        <v>15.7</v>
      </c>
      <c r="E767" s="3" t="n"/>
      <c r="F767" s="3" t="n"/>
      <c r="G767" s="9" t="n"/>
      <c r="H767" s="10" t="n">
        <v>45680.63268518518</v>
      </c>
      <c r="I767" s="10" t="n">
        <v>45680.63351851852</v>
      </c>
      <c r="J767" s="10" t="n">
        <v>45680.63657407407</v>
      </c>
      <c r="K767" s="11" t="n">
        <v>0.003055555555555556</v>
      </c>
      <c r="L767" s="13" t="n"/>
    </row>
    <row r="768">
      <c r="A768" s="3" t="inlineStr">
        <is>
          <t>Coupling</t>
        </is>
      </c>
      <c r="B768" s="3" t="inlineStr">
        <is>
          <t>Act_COP_1023204_151333_623</t>
        </is>
      </c>
      <c r="C768" s="3" t="inlineStr">
        <is>
          <t>1023204</t>
        </is>
      </c>
      <c r="D768" s="9" t="n">
        <v>15.7</v>
      </c>
      <c r="E768" s="3" t="n"/>
      <c r="F768" s="3" t="n"/>
      <c r="G768" s="9" t="n"/>
      <c r="H768" s="10" t="n">
        <v>45680.63440972222</v>
      </c>
      <c r="I768" s="10" t="n">
        <v>45680.63527777778</v>
      </c>
      <c r="J768" s="10" t="n">
        <v>45680.63833333334</v>
      </c>
      <c r="K768" s="11" t="n">
        <v>0.003055555555555556</v>
      </c>
      <c r="L768" s="13" t="n"/>
    </row>
    <row r="769">
      <c r="A769" s="3" t="inlineStr">
        <is>
          <t>Coupling</t>
        </is>
      </c>
      <c r="B769" s="3" t="inlineStr">
        <is>
          <t>Act_COP_1023205_151621_629</t>
        </is>
      </c>
      <c r="C769" s="3" t="inlineStr">
        <is>
          <t>1023205</t>
        </is>
      </c>
      <c r="D769" s="9" t="n">
        <v>39.8</v>
      </c>
      <c r="E769" s="3" t="n"/>
      <c r="F769" s="3" t="n"/>
      <c r="G769" s="9" t="n"/>
      <c r="H769" s="10" t="n">
        <v>45680.63635416667</v>
      </c>
      <c r="I769" s="10" t="n">
        <v>45680.63722222222</v>
      </c>
      <c r="J769" s="10" t="n">
        <v>45680.64027777778</v>
      </c>
      <c r="K769" s="11" t="n">
        <v>0.003055555555555556</v>
      </c>
      <c r="L769" s="13" t="n"/>
    </row>
    <row r="770">
      <c r="A770" s="3" t="inlineStr">
        <is>
          <t>Coupling</t>
        </is>
      </c>
      <c r="B770" s="3" t="inlineStr">
        <is>
          <t>Act_COP_1023502_173440_627</t>
        </is>
      </c>
      <c r="C770" s="3" t="inlineStr">
        <is>
          <t>1023502</t>
        </is>
      </c>
      <c r="D770" s="9" t="n">
        <v>15.7</v>
      </c>
      <c r="E770" s="3" t="n"/>
      <c r="F770" s="3" t="n"/>
      <c r="G770" s="9" t="n"/>
      <c r="H770" s="10" t="n">
        <v>45680.73240740741</v>
      </c>
      <c r="I770" s="10" t="n">
        <v>45680.73327546296</v>
      </c>
      <c r="J770" s="10" t="n">
        <v>45680.73633101852</v>
      </c>
      <c r="K770" s="11" t="n">
        <v>0.003055555555555556</v>
      </c>
      <c r="L770" s="13" t="n"/>
    </row>
    <row r="771">
      <c r="A771" s="3" t="inlineStr">
        <is>
          <t>Coupling</t>
        </is>
      </c>
      <c r="B771" s="3" t="inlineStr">
        <is>
          <t>Act_COP_1023503_173730_629</t>
        </is>
      </c>
      <c r="C771" s="3" t="inlineStr">
        <is>
          <t>1023503</t>
        </is>
      </c>
      <c r="D771" s="9" t="n">
        <v>39</v>
      </c>
      <c r="E771" s="3" t="n"/>
      <c r="F771" s="3" t="n"/>
      <c r="G771" s="9" t="n"/>
      <c r="H771" s="10" t="n">
        <v>45680.734375</v>
      </c>
      <c r="I771" s="10" t="n">
        <v>45680.73520833333</v>
      </c>
      <c r="J771" s="10" t="n">
        <v>45680.73826388889</v>
      </c>
      <c r="K771" s="11" t="n">
        <v>0.003055555555555556</v>
      </c>
      <c r="L771" s="13" t="n"/>
    </row>
    <row r="772">
      <c r="A772" s="3" t="inlineStr">
        <is>
          <t>Coupling</t>
        </is>
      </c>
      <c r="B772" s="3" t="inlineStr">
        <is>
          <t>Act_COP_1023505_174133_607</t>
        </is>
      </c>
      <c r="C772" s="3" t="inlineStr">
        <is>
          <t>1023505</t>
        </is>
      </c>
      <c r="D772" s="9" t="n">
        <v>19.9</v>
      </c>
      <c r="E772" s="3" t="n"/>
      <c r="F772" s="3" t="n"/>
      <c r="G772" s="9" t="n"/>
      <c r="H772" s="10" t="n">
        <v>45680.7371875</v>
      </c>
      <c r="I772" s="10" t="n">
        <v>45680.73805555556</v>
      </c>
      <c r="J772" s="10" t="n">
        <v>45680.74111111111</v>
      </c>
      <c r="K772" s="11" t="n">
        <v>0.003055555555555556</v>
      </c>
      <c r="L772" s="13" t="n"/>
    </row>
    <row r="773">
      <c r="A773" s="3" t="inlineStr">
        <is>
          <t>Coupling</t>
        </is>
      </c>
      <c r="B773" s="3" t="inlineStr">
        <is>
          <t>Act_COP_1023506_174404_623</t>
        </is>
      </c>
      <c r="C773" s="3" t="inlineStr">
        <is>
          <t>1023506</t>
        </is>
      </c>
      <c r="D773" s="9" t="n">
        <v>15.7</v>
      </c>
      <c r="E773" s="3" t="n"/>
      <c r="F773" s="3" t="n"/>
      <c r="G773" s="9" t="n"/>
      <c r="H773" s="10" t="n">
        <v>45680.73893518518</v>
      </c>
      <c r="I773" s="10" t="n">
        <v>45680.73972222222</v>
      </c>
      <c r="J773" s="10" t="n">
        <v>45680.7425</v>
      </c>
      <c r="K773" s="11" t="n">
        <v>0.002777777777777778</v>
      </c>
      <c r="L773" s="13" t="n"/>
    </row>
    <row r="774">
      <c r="A774" s="3" t="inlineStr">
        <is>
          <t>Coupling</t>
        </is>
      </c>
      <c r="B774" s="3" t="inlineStr">
        <is>
          <t>Act_COP_1023507_174659_625</t>
        </is>
      </c>
      <c r="C774" s="3" t="inlineStr">
        <is>
          <t>1023507</t>
        </is>
      </c>
      <c r="D774" s="9" t="n">
        <v>15.7</v>
      </c>
      <c r="E774" s="3" t="n"/>
      <c r="F774" s="3" t="n"/>
      <c r="G774" s="9" t="n"/>
      <c r="H774" s="10" t="n">
        <v>45680.74096064815</v>
      </c>
      <c r="I774" s="10" t="n">
        <v>45680.74180555555</v>
      </c>
      <c r="J774" s="10" t="n">
        <v>45680.74486111111</v>
      </c>
      <c r="K774" s="11" t="n">
        <v>0.003055555555555556</v>
      </c>
      <c r="L774" s="13" t="n"/>
    </row>
    <row r="775">
      <c r="A775" s="3" t="inlineStr">
        <is>
          <t>Coupling</t>
        </is>
      </c>
      <c r="B775" s="3" t="inlineStr">
        <is>
          <t>Act_COP_1023508_174919_607</t>
        </is>
      </c>
      <c r="C775" s="3" t="inlineStr">
        <is>
          <t>1023508</t>
        </is>
      </c>
      <c r="D775" s="9" t="n">
        <v>15.7</v>
      </c>
      <c r="E775" s="3" t="n"/>
      <c r="F775" s="3" t="n"/>
      <c r="G775" s="9" t="n"/>
      <c r="H775" s="10" t="n">
        <v>45680.74258101852</v>
      </c>
      <c r="I775" s="10" t="n">
        <v>45680.74344907407</v>
      </c>
      <c r="J775" s="10" t="n">
        <v>45680.74650462963</v>
      </c>
      <c r="K775" s="11" t="n">
        <v>0.003055555555555556</v>
      </c>
      <c r="L775" s="13" t="n"/>
    </row>
    <row r="776">
      <c r="A776" s="3" t="inlineStr">
        <is>
          <t>Coupling</t>
        </is>
      </c>
      <c r="B776" s="3" t="inlineStr">
        <is>
          <t>Act_COP_1023509_175059_615</t>
        </is>
      </c>
      <c r="C776" s="3" t="inlineStr">
        <is>
          <t>1023509</t>
        </is>
      </c>
      <c r="D776" s="9" t="n">
        <v>15.7</v>
      </c>
      <c r="E776" s="3" t="n"/>
      <c r="F776" s="3" t="n"/>
      <c r="G776" s="9" t="n"/>
      <c r="H776" s="10" t="n">
        <v>45680.74373842592</v>
      </c>
      <c r="I776" s="10" t="n">
        <v>45680.74452546296</v>
      </c>
      <c r="J776" s="10" t="n">
        <v>45680.74730324074</v>
      </c>
      <c r="K776" s="11" t="n">
        <v>0.002777777777777778</v>
      </c>
      <c r="L776" s="13" t="n"/>
    </row>
    <row r="777">
      <c r="A777" s="3" t="inlineStr">
        <is>
          <t>Coupling</t>
        </is>
      </c>
      <c r="B777" s="3" t="inlineStr">
        <is>
          <t>Act_COP_1023512_175735_615</t>
        </is>
      </c>
      <c r="C777" s="3" t="inlineStr">
        <is>
          <t>1023512</t>
        </is>
      </c>
      <c r="D777" s="9" t="n">
        <v>14</v>
      </c>
      <c r="E777" s="3" t="n"/>
      <c r="F777" s="3" t="n"/>
      <c r="G777" s="9" t="n"/>
      <c r="H777" s="10" t="n">
        <v>45680.74832175926</v>
      </c>
      <c r="I777" s="10" t="n">
        <v>45680.7491087963</v>
      </c>
      <c r="J777" s="10" t="n">
        <v>45680.75188657407</v>
      </c>
      <c r="K777" s="11" t="n">
        <v>0.002777777777777778</v>
      </c>
      <c r="L777" s="13" t="n"/>
    </row>
    <row r="778">
      <c r="A778" s="3" t="inlineStr">
        <is>
          <t>Coupling</t>
        </is>
      </c>
      <c r="B778" s="3" t="inlineStr">
        <is>
          <t>Act_COP_1023701_210849_609</t>
        </is>
      </c>
      <c r="C778" s="3" t="inlineStr">
        <is>
          <t>1023701</t>
        </is>
      </c>
      <c r="D778" s="9" t="n">
        <v>85.5</v>
      </c>
      <c r="E778" s="3" t="n"/>
      <c r="F778" s="3" t="n"/>
      <c r="G778" s="9" t="n"/>
      <c r="H778" s="10" t="n">
        <v>45680.88112268518</v>
      </c>
      <c r="I778" s="10" t="n">
        <v>45680.88189814815</v>
      </c>
      <c r="J778" s="10" t="n">
        <v>45680.88467592592</v>
      </c>
      <c r="K778" s="11" t="n">
        <v>0.002777777777777778</v>
      </c>
      <c r="L778" s="13" t="n"/>
    </row>
    <row r="779">
      <c r="A779" s="3" t="inlineStr">
        <is>
          <t>Coupling</t>
        </is>
      </c>
      <c r="B779" s="3" t="inlineStr">
        <is>
          <t>Act_COP_1023801_025909_627</t>
        </is>
      </c>
      <c r="C779" s="3" t="inlineStr">
        <is>
          <t>1023801</t>
        </is>
      </c>
      <c r="D779" s="9" t="n">
        <v>31.5</v>
      </c>
      <c r="E779" s="3" t="n"/>
      <c r="F779" s="3" t="n"/>
      <c r="G779" s="9" t="n"/>
      <c r="H779" s="10" t="n">
        <v>45681.12440972222</v>
      </c>
      <c r="I779" s="10" t="n">
        <v>45681.12518518518</v>
      </c>
      <c r="J779" s="10" t="n">
        <v>45681.12796296296</v>
      </c>
      <c r="K779" s="11" t="n">
        <v>0.002777777777777778</v>
      </c>
      <c r="L779" s="13" t="n"/>
    </row>
    <row r="780">
      <c r="A780" s="3" t="inlineStr">
        <is>
          <t>Coupling</t>
        </is>
      </c>
      <c r="B780" s="3" t="inlineStr">
        <is>
          <t>Act_COP_1023803_030412_615</t>
        </is>
      </c>
      <c r="C780" s="3" t="inlineStr">
        <is>
          <t>1023803</t>
        </is>
      </c>
      <c r="D780" s="9" t="n">
        <v>35.6</v>
      </c>
      <c r="E780" s="3" t="n"/>
      <c r="F780" s="3" t="n"/>
      <c r="G780" s="9" t="n"/>
      <c r="H780" s="10" t="n">
        <v>45681.12791666666</v>
      </c>
      <c r="I780" s="10" t="n">
        <v>45681.12875</v>
      </c>
      <c r="J780" s="10" t="n">
        <v>45681.13180555555</v>
      </c>
      <c r="K780" s="11" t="n">
        <v>0.003055555555555556</v>
      </c>
      <c r="L780" s="13" t="n"/>
    </row>
    <row r="781">
      <c r="A781" s="3" t="inlineStr">
        <is>
          <t>Coupling</t>
        </is>
      </c>
      <c r="B781" s="3" t="inlineStr">
        <is>
          <t>Act_COP_1023804_030700_621</t>
        </is>
      </c>
      <c r="C781" s="3" t="inlineStr">
        <is>
          <t>1023804</t>
        </is>
      </c>
      <c r="D781" s="9" t="n">
        <v>12</v>
      </c>
      <c r="E781" s="3" t="n"/>
      <c r="F781" s="3" t="n"/>
      <c r="G781" s="9" t="n"/>
      <c r="H781" s="10" t="n">
        <v>45681.12986111111</v>
      </c>
      <c r="I781" s="10" t="n">
        <v>45681.13063657407</v>
      </c>
      <c r="J781" s="10" t="n">
        <v>45681.13341435185</v>
      </c>
      <c r="K781" s="11" t="n">
        <v>0.002777777777777778</v>
      </c>
      <c r="L781" s="13" t="n"/>
    </row>
    <row r="782">
      <c r="A782" s="3" t="inlineStr">
        <is>
          <t>Coupling</t>
        </is>
      </c>
      <c r="B782" s="3" t="inlineStr">
        <is>
          <t>Act_COP_1023805_030848_615</t>
        </is>
      </c>
      <c r="C782" s="3" t="inlineStr">
        <is>
          <t>1023805</t>
        </is>
      </c>
      <c r="D782" s="9" t="n">
        <v>51.4</v>
      </c>
      <c r="E782" s="3" t="n"/>
      <c r="F782" s="3" t="n"/>
      <c r="G782" s="9" t="n"/>
      <c r="H782" s="10" t="n">
        <v>45681.13111111111</v>
      </c>
      <c r="I782" s="10" t="n">
        <v>45681.13197916667</v>
      </c>
      <c r="J782" s="10" t="n">
        <v>45681.13503472223</v>
      </c>
      <c r="K782" s="11" t="n">
        <v>0.003055555555555556</v>
      </c>
      <c r="L782" s="13" t="n"/>
    </row>
    <row r="783">
      <c r="A783" s="3" t="inlineStr">
        <is>
          <t>Coupling</t>
        </is>
      </c>
      <c r="B783" s="3" t="inlineStr">
        <is>
          <t>Act_COP_1024206_074812_615</t>
        </is>
      </c>
      <c r="C783" s="3" t="inlineStr">
        <is>
          <t>1024206</t>
        </is>
      </c>
      <c r="D783" s="9" t="n">
        <v>27</v>
      </c>
      <c r="E783" s="3" t="n"/>
      <c r="F783" s="3" t="n"/>
      <c r="G783" s="9" t="n"/>
      <c r="H783" s="10" t="n">
        <v>45681.32513888889</v>
      </c>
      <c r="I783" s="10" t="n">
        <v>45681.32604166667</v>
      </c>
      <c r="J783" s="10" t="n">
        <v>45681.32909722222</v>
      </c>
      <c r="K783" s="11" t="n">
        <v>0.003055555555555556</v>
      </c>
      <c r="L783" s="13" t="n"/>
    </row>
    <row r="784">
      <c r="A784" s="3" t="inlineStr">
        <is>
          <t>Coupling</t>
        </is>
      </c>
      <c r="B784" s="3" t="inlineStr">
        <is>
          <t>Act_COP_1024208_075100_621</t>
        </is>
      </c>
      <c r="C784" s="3" t="inlineStr">
        <is>
          <t>1024208</t>
        </is>
      </c>
      <c r="D784" s="9" t="n">
        <v>12</v>
      </c>
      <c r="E784" s="3" t="n"/>
      <c r="F784" s="3" t="n"/>
      <c r="G784" s="9" t="n"/>
      <c r="H784" s="10" t="n">
        <v>45681.32708333333</v>
      </c>
      <c r="I784" s="10" t="n">
        <v>45681.32795138889</v>
      </c>
      <c r="J784" s="10" t="n">
        <v>45681.33100694444</v>
      </c>
      <c r="K784" s="11" t="n">
        <v>0.003055555555555556</v>
      </c>
      <c r="L784" s="13" t="n"/>
    </row>
    <row r="785">
      <c r="A785" s="3" t="inlineStr">
        <is>
          <t>Coupling</t>
        </is>
      </c>
      <c r="B785" s="3" t="inlineStr">
        <is>
          <t>Act_COP_1024501_092422_615</t>
        </is>
      </c>
      <c r="C785" s="3" t="inlineStr">
        <is>
          <t>1024501</t>
        </is>
      </c>
      <c r="D785" s="9" t="n">
        <v>27</v>
      </c>
      <c r="E785" s="3" t="n"/>
      <c r="F785" s="3" t="n"/>
      <c r="G785" s="9" t="n"/>
      <c r="H785" s="10" t="n">
        <v>45681.39192129629</v>
      </c>
      <c r="I785" s="10" t="n">
        <v>45681.3927662037</v>
      </c>
      <c r="J785" s="10" t="n">
        <v>45681.39582175926</v>
      </c>
      <c r="K785" s="11" t="n">
        <v>0.003055555555555556</v>
      </c>
      <c r="L785" s="13" t="n"/>
    </row>
    <row r="786">
      <c r="A786" s="3" t="inlineStr">
        <is>
          <t>Coupling</t>
        </is>
      </c>
      <c r="B786" s="3" t="inlineStr">
        <is>
          <t>Act_COP_1024502_092651_623</t>
        </is>
      </c>
      <c r="C786" s="3" t="inlineStr">
        <is>
          <t>1024502</t>
        </is>
      </c>
      <c r="D786" s="9" t="n">
        <v>15.7</v>
      </c>
      <c r="E786" s="3" t="n"/>
      <c r="F786" s="3" t="n"/>
      <c r="G786" s="9" t="n"/>
      <c r="H786" s="10" t="n">
        <v>45681.39364583333</v>
      </c>
      <c r="I786" s="10" t="n">
        <v>45681.39447916667</v>
      </c>
      <c r="J786" s="10" t="n">
        <v>45681.39753472222</v>
      </c>
      <c r="K786" s="11" t="n">
        <v>0.003055555555555556</v>
      </c>
      <c r="L786" s="13" t="n"/>
    </row>
    <row r="787">
      <c r="A787" s="3" t="inlineStr">
        <is>
          <t>Coupling</t>
        </is>
      </c>
      <c r="B787" s="3" t="inlineStr">
        <is>
          <t>Act_COP_1024505_093154_615</t>
        </is>
      </c>
      <c r="C787" s="3" t="inlineStr">
        <is>
          <t>1024505</t>
        </is>
      </c>
      <c r="D787" s="9" t="n">
        <v>14</v>
      </c>
      <c r="E787" s="3" t="n"/>
      <c r="F787" s="3" t="n"/>
      <c r="G787" s="9" t="n"/>
      <c r="H787" s="10" t="n">
        <v>45681.39715277778</v>
      </c>
      <c r="I787" s="10" t="n">
        <v>45681.39799768518</v>
      </c>
      <c r="J787" s="10" t="n">
        <v>45681.40105324074</v>
      </c>
      <c r="K787" s="11" t="n">
        <v>0.003055555555555556</v>
      </c>
      <c r="L787" s="13" t="n"/>
    </row>
    <row r="788">
      <c r="A788" s="3" t="inlineStr">
        <is>
          <t>Coupling</t>
        </is>
      </c>
      <c r="B788" s="3" t="inlineStr">
        <is>
          <t>Act_COP_1024601_100914_615</t>
        </is>
      </c>
      <c r="C788" s="3" t="inlineStr">
        <is>
          <t>1024601</t>
        </is>
      </c>
      <c r="D788" s="9" t="n">
        <v>61.9</v>
      </c>
      <c r="E788" s="3" t="n"/>
      <c r="F788" s="3" t="n"/>
      <c r="G788" s="9" t="n"/>
      <c r="H788" s="10" t="n">
        <v>45681.4230787037</v>
      </c>
      <c r="I788" s="10" t="n">
        <v>45681.42391203704</v>
      </c>
      <c r="J788" s="10" t="n">
        <v>45681.42696759259</v>
      </c>
      <c r="K788" s="11" t="n">
        <v>0.003055555555555556</v>
      </c>
      <c r="L788" s="13" t="n"/>
    </row>
    <row r="789">
      <c r="A789" s="3" t="inlineStr">
        <is>
          <t>Coupling</t>
        </is>
      </c>
      <c r="B789" s="3" t="inlineStr">
        <is>
          <t>Act_COP_1024903_152310_621</t>
        </is>
      </c>
      <c r="C789" s="3" t="inlineStr">
        <is>
          <t>1024903</t>
        </is>
      </c>
      <c r="D789" s="9" t="n">
        <v>19.9</v>
      </c>
      <c r="E789" s="3" t="n"/>
      <c r="F789" s="3" t="n"/>
      <c r="G789" s="9" t="n"/>
      <c r="H789" s="10" t="n">
        <v>45681.64108796296</v>
      </c>
      <c r="I789" s="10" t="n">
        <v>45681.64195601852</v>
      </c>
      <c r="J789" s="10" t="n">
        <v>45681.64501157407</v>
      </c>
      <c r="K789" s="11" t="n">
        <v>0.003055555555555556</v>
      </c>
      <c r="L789" s="13" t="n"/>
    </row>
    <row r="790">
      <c r="A790" s="3" t="inlineStr">
        <is>
          <t>Coupling</t>
        </is>
      </c>
      <c r="B790" s="3" t="inlineStr">
        <is>
          <t>Act_COP_1024905_152857_627</t>
        </is>
      </c>
      <c r="C790" s="3" t="inlineStr">
        <is>
          <t>1024905</t>
        </is>
      </c>
      <c r="D790" s="9" t="n">
        <v>15.7</v>
      </c>
      <c r="E790" s="3" t="n"/>
      <c r="F790" s="3" t="n"/>
      <c r="G790" s="9" t="n"/>
      <c r="H790" s="10" t="n">
        <v>45681.64510416667</v>
      </c>
      <c r="I790" s="10" t="n">
        <v>45681.64596064815</v>
      </c>
      <c r="J790" s="10" t="n">
        <v>45681.6490162037</v>
      </c>
      <c r="K790" s="11" t="n">
        <v>0.003055555555555556</v>
      </c>
      <c r="L790" s="13" t="n"/>
    </row>
    <row r="791">
      <c r="A791" s="3" t="inlineStr">
        <is>
          <t>Coupling</t>
        </is>
      </c>
      <c r="B791" s="3" t="inlineStr">
        <is>
          <t>Act_COP_1024906_153146_621</t>
        </is>
      </c>
      <c r="C791" s="3" t="inlineStr">
        <is>
          <t>1024906</t>
        </is>
      </c>
      <c r="D791" s="9" t="n">
        <v>15.7</v>
      </c>
      <c r="E791" s="3" t="n"/>
      <c r="F791" s="3" t="n"/>
      <c r="G791" s="9" t="n"/>
      <c r="H791" s="10" t="n">
        <v>45681.64706018518</v>
      </c>
      <c r="I791" s="10" t="n">
        <v>45681.64784722222</v>
      </c>
      <c r="J791" s="10" t="n">
        <v>45681.650625</v>
      </c>
      <c r="K791" s="11" t="n">
        <v>0.002777777777777778</v>
      </c>
      <c r="L791" s="13" t="n"/>
    </row>
    <row r="792">
      <c r="A792" s="3" t="inlineStr">
        <is>
          <t>Coupling</t>
        </is>
      </c>
      <c r="B792" s="3" t="inlineStr">
        <is>
          <t>Act_COP_1024908_153418_623</t>
        </is>
      </c>
      <c r="C792" s="3" t="inlineStr">
        <is>
          <t>1024908</t>
        </is>
      </c>
      <c r="D792" s="9" t="n">
        <v>15.7</v>
      </c>
      <c r="E792" s="3" t="n"/>
      <c r="F792" s="3" t="n"/>
      <c r="G792" s="9" t="n"/>
      <c r="H792" s="10" t="n">
        <v>45681.64881944445</v>
      </c>
      <c r="I792" s="10" t="n">
        <v>45681.6496875</v>
      </c>
      <c r="J792" s="10" t="n">
        <v>45681.65274305556</v>
      </c>
      <c r="K792" s="11" t="n">
        <v>0.003055555555555556</v>
      </c>
      <c r="L792" s="13" t="n"/>
    </row>
    <row r="793">
      <c r="A793" s="3" t="inlineStr">
        <is>
          <t>Coupling</t>
        </is>
      </c>
      <c r="B793" s="3" t="inlineStr">
        <is>
          <t>Act_COP_1025401_180648_607</t>
        </is>
      </c>
      <c r="C793" s="3" t="inlineStr">
        <is>
          <t>1025401</t>
        </is>
      </c>
      <c r="D793" s="9" t="n">
        <v>58.5</v>
      </c>
      <c r="E793" s="3" t="n"/>
      <c r="F793" s="3" t="n"/>
      <c r="G793" s="9" t="n"/>
      <c r="H793" s="10" t="n">
        <v>45683.75472222222</v>
      </c>
      <c r="I793" s="10" t="n">
        <v>45683.75559027777</v>
      </c>
      <c r="J793" s="10" t="n">
        <v>45683.75864583333</v>
      </c>
      <c r="K793" s="11" t="n">
        <v>0.003055555555555556</v>
      </c>
      <c r="L793" s="13" t="n"/>
    </row>
    <row r="794">
      <c r="A794" s="3" t="inlineStr">
        <is>
          <t>Coupling</t>
        </is>
      </c>
      <c r="B794" s="3" t="inlineStr">
        <is>
          <t>Act_COP_1025403_181246_607</t>
        </is>
      </c>
      <c r="C794" s="3" t="inlineStr">
        <is>
          <t>1025403</t>
        </is>
      </c>
      <c r="D794" s="9" t="n">
        <v>42</v>
      </c>
      <c r="E794" s="3" t="n"/>
      <c r="F794" s="3" t="n"/>
      <c r="G794" s="9" t="n"/>
      <c r="H794" s="10" t="n">
        <v>45683.75886574074</v>
      </c>
      <c r="I794" s="10" t="n">
        <v>45683.75965277778</v>
      </c>
      <c r="J794" s="10" t="n">
        <v>45683.76243055556</v>
      </c>
      <c r="K794" s="11" t="n">
        <v>0.002777777777777778</v>
      </c>
      <c r="L794" s="13" t="n"/>
    </row>
    <row r="795">
      <c r="A795" s="3" t="inlineStr">
        <is>
          <t>Coupling</t>
        </is>
      </c>
      <c r="B795" s="3" t="inlineStr">
        <is>
          <t>Act_COP_1025501_025429_627</t>
        </is>
      </c>
      <c r="C795" s="3" t="inlineStr">
        <is>
          <t>1025501</t>
        </is>
      </c>
      <c r="D795" s="9" t="n">
        <v>31.5</v>
      </c>
      <c r="E795" s="3" t="n"/>
      <c r="F795" s="3" t="n"/>
      <c r="G795" s="9" t="n"/>
      <c r="H795" s="10" t="n">
        <v>45684.12116898148</v>
      </c>
      <c r="I795" s="10" t="n">
        <v>45684.12200231481</v>
      </c>
      <c r="J795" s="10" t="n">
        <v>45684.12505787037</v>
      </c>
      <c r="K795" s="11" t="n">
        <v>0.003055555555555556</v>
      </c>
      <c r="L795" s="13" t="n"/>
    </row>
    <row r="796">
      <c r="A796" s="3" t="inlineStr">
        <is>
          <t>Coupling</t>
        </is>
      </c>
      <c r="B796" s="3" t="inlineStr">
        <is>
          <t>Act_COP_1025503_025943_617</t>
        </is>
      </c>
      <c r="C796" s="3" t="inlineStr">
        <is>
          <t>1025503</t>
        </is>
      </c>
      <c r="D796" s="9" t="n">
        <v>183.5</v>
      </c>
      <c r="E796" s="3" t="n"/>
      <c r="F796" s="3" t="n"/>
      <c r="G796" s="9" t="n"/>
      <c r="H796" s="10" t="n">
        <v>45684.12480324074</v>
      </c>
      <c r="I796" s="10" t="n">
        <v>45684.1255787037</v>
      </c>
      <c r="J796" s="10" t="n">
        <v>45684.12835648148</v>
      </c>
      <c r="K796" s="11" t="n">
        <v>0.002777777777777778</v>
      </c>
      <c r="L796" s="13" t="n"/>
    </row>
    <row r="797">
      <c r="A797" s="3" t="inlineStr">
        <is>
          <t>Coupling</t>
        </is>
      </c>
      <c r="B797" s="3" t="inlineStr">
        <is>
          <t>Act_COP_1025802_073728_619</t>
        </is>
      </c>
      <c r="C797" s="3" t="inlineStr">
        <is>
          <t>1025802</t>
        </is>
      </c>
      <c r="D797" s="9" t="n">
        <v>39</v>
      </c>
      <c r="E797" s="3" t="n"/>
      <c r="F797" s="3" t="n"/>
      <c r="G797" s="9" t="n"/>
      <c r="H797" s="10" t="n">
        <v>45684.31768518518</v>
      </c>
      <c r="I797" s="10" t="n">
        <v>45684.31855324074</v>
      </c>
      <c r="J797" s="10" t="n">
        <v>45684.32160879629</v>
      </c>
      <c r="K797" s="11" t="n">
        <v>0.003055555555555556</v>
      </c>
      <c r="L797" s="13" t="n"/>
    </row>
    <row r="798">
      <c r="A798" s="3" t="inlineStr">
        <is>
          <t>Coupling</t>
        </is>
      </c>
      <c r="B798" s="3" t="inlineStr">
        <is>
          <t>Act_COP_1026103_090718_615</t>
        </is>
      </c>
      <c r="C798" s="3" t="inlineStr">
        <is>
          <t>1026103</t>
        </is>
      </c>
      <c r="D798" s="9" t="n">
        <v>27</v>
      </c>
      <c r="E798" s="3" t="n"/>
      <c r="F798" s="3" t="n"/>
      <c r="G798" s="9" t="n"/>
      <c r="H798" s="10" t="n">
        <v>45684.38006944444</v>
      </c>
      <c r="I798" s="10" t="n">
        <v>45684.38085648148</v>
      </c>
      <c r="J798" s="10" t="n">
        <v>45684.38363425926</v>
      </c>
      <c r="K798" s="11" t="n">
        <v>0.002777777777777778</v>
      </c>
      <c r="L798" s="13" t="n"/>
    </row>
    <row r="799">
      <c r="A799" s="3" t="inlineStr">
        <is>
          <t>Coupling</t>
        </is>
      </c>
      <c r="B799" s="3" t="inlineStr">
        <is>
          <t>Act_COP_1026104_091005_619</t>
        </is>
      </c>
      <c r="C799" s="3" t="inlineStr">
        <is>
          <t>1026104</t>
        </is>
      </c>
      <c r="D799" s="9" t="n">
        <v>15.7</v>
      </c>
      <c r="E799" s="3" t="n"/>
      <c r="F799" s="3" t="n"/>
      <c r="G799" s="9" t="n"/>
      <c r="H799" s="10" t="n">
        <v>45684.38200231481</v>
      </c>
      <c r="I799" s="10" t="n">
        <v>45684.3827662037</v>
      </c>
      <c r="J799" s="10" t="n">
        <v>45684.38554398148</v>
      </c>
      <c r="K799" s="11" t="n">
        <v>0.002777777777777778</v>
      </c>
      <c r="L799" s="13" t="n"/>
    </row>
    <row r="800">
      <c r="A800" s="3" t="inlineStr">
        <is>
          <t>Coupling</t>
        </is>
      </c>
      <c r="B800" s="3" t="inlineStr">
        <is>
          <t>Act_COP_1026108_091603_627</t>
        </is>
      </c>
      <c r="C800" s="3" t="inlineStr">
        <is>
          <t>1026108</t>
        </is>
      </c>
      <c r="D800" s="9" t="n">
        <v>15.7</v>
      </c>
      <c r="E800" s="3" t="n"/>
      <c r="F800" s="3" t="n"/>
      <c r="G800" s="9" t="n"/>
      <c r="H800" s="10" t="n">
        <v>45684.38614583333</v>
      </c>
      <c r="I800" s="10" t="n">
        <v>45684.38693287037</v>
      </c>
      <c r="J800" s="10" t="n">
        <v>45684.38971064815</v>
      </c>
      <c r="K800" s="11" t="n">
        <v>0.002777777777777778</v>
      </c>
      <c r="L800" s="13" t="n"/>
    </row>
    <row r="801">
      <c r="A801" s="3" t="inlineStr">
        <is>
          <t>Coupling</t>
        </is>
      </c>
      <c r="B801" s="3" t="inlineStr">
        <is>
          <t>Act_COP_1026109_091821_607</t>
        </is>
      </c>
      <c r="C801" s="3" t="inlineStr">
        <is>
          <t>1026109</t>
        </is>
      </c>
      <c r="D801" s="9" t="n">
        <v>19.9</v>
      </c>
      <c r="E801" s="3" t="n"/>
      <c r="F801" s="3" t="n"/>
      <c r="G801" s="9" t="n"/>
      <c r="H801" s="10" t="n">
        <v>45684.38774305556</v>
      </c>
      <c r="I801" s="10" t="n">
        <v>45684.38857638889</v>
      </c>
      <c r="J801" s="10" t="n">
        <v>45684.39163194445</v>
      </c>
      <c r="K801" s="11" t="n">
        <v>0.003055555555555556</v>
      </c>
      <c r="L801" s="13" t="n"/>
    </row>
    <row r="802">
      <c r="A802" s="3" t="inlineStr">
        <is>
          <t>Coupling</t>
        </is>
      </c>
      <c r="B802" s="3" t="inlineStr">
        <is>
          <t>Act_COP_1026110_092004_615</t>
        </is>
      </c>
      <c r="C802" s="3" t="inlineStr">
        <is>
          <t>1026110</t>
        </is>
      </c>
      <c r="D802" s="9" t="n">
        <v>42</v>
      </c>
      <c r="E802" s="3" t="n"/>
      <c r="F802" s="3" t="n"/>
      <c r="G802" s="9" t="n"/>
      <c r="H802" s="10" t="n">
        <v>45684.38893518518</v>
      </c>
      <c r="I802" s="10" t="n">
        <v>45684.38969907408</v>
      </c>
      <c r="J802" s="10" t="n">
        <v>45684.39247685186</v>
      </c>
      <c r="K802" s="11" t="n">
        <v>0.002777777777777778</v>
      </c>
      <c r="L802" s="13" t="n"/>
    </row>
    <row r="803">
      <c r="A803" s="3" t="inlineStr">
        <is>
          <t>Coupling</t>
        </is>
      </c>
      <c r="B803" s="3" t="inlineStr">
        <is>
          <t>Act_COP_1026112_092250_621</t>
        </is>
      </c>
      <c r="C803" s="3" t="inlineStr">
        <is>
          <t>1026112</t>
        </is>
      </c>
      <c r="D803" s="9" t="n">
        <v>15.7</v>
      </c>
      <c r="E803" s="3" t="n"/>
      <c r="F803" s="3" t="n"/>
      <c r="G803" s="9" t="n"/>
      <c r="H803" s="10" t="n">
        <v>45684.39085648148</v>
      </c>
      <c r="I803" s="10" t="n">
        <v>45684.39164351852</v>
      </c>
      <c r="J803" s="10" t="n">
        <v>45684.3944212963</v>
      </c>
      <c r="K803" s="11" t="n">
        <v>0.002777777777777778</v>
      </c>
      <c r="L803" s="13" t="n"/>
    </row>
    <row r="804">
      <c r="A804" s="3" t="inlineStr">
        <is>
          <t>Coupling</t>
        </is>
      </c>
      <c r="B804" s="3" t="inlineStr">
        <is>
          <t>Act_COP_1026701_161222_625</t>
        </is>
      </c>
      <c r="C804" s="3" t="inlineStr">
        <is>
          <t>1026701</t>
        </is>
      </c>
      <c r="D804" s="9" t="n">
        <v>77.3</v>
      </c>
      <c r="E804" s="3" t="n"/>
      <c r="F804" s="3" t="n"/>
      <c r="G804" s="9" t="n"/>
      <c r="H804" s="10" t="n">
        <v>45684.67525462963</v>
      </c>
      <c r="I804" s="10" t="n">
        <v>45684.67604166667</v>
      </c>
      <c r="J804" s="10" t="n">
        <v>45684.67881944445</v>
      </c>
      <c r="K804" s="11" t="n">
        <v>0.002777777777777778</v>
      </c>
      <c r="L804" s="13" t="n"/>
    </row>
    <row r="805">
      <c r="A805" s="3" t="inlineStr">
        <is>
          <t>Coupling</t>
        </is>
      </c>
      <c r="B805" s="3" t="inlineStr">
        <is>
          <t>Act_COP_1026702_161549_606</t>
        </is>
      </c>
      <c r="C805" s="3" t="inlineStr">
        <is>
          <t>1026702</t>
        </is>
      </c>
      <c r="D805" s="9" t="n">
        <v>305.8</v>
      </c>
      <c r="E805" s="3" t="n"/>
      <c r="F805" s="3" t="n"/>
      <c r="G805" s="9" t="n"/>
      <c r="H805" s="10" t="n">
        <v>45684.67765046296</v>
      </c>
      <c r="I805" s="10" t="n">
        <v>45684.67849537037</v>
      </c>
      <c r="J805" s="10" t="n">
        <v>45684.68155092592</v>
      </c>
      <c r="K805" s="11" t="n">
        <v>0.003055555555555556</v>
      </c>
      <c r="L805" s="13" t="n"/>
    </row>
    <row r="806">
      <c r="A806" s="3" t="inlineStr">
        <is>
          <t>Coupling</t>
        </is>
      </c>
      <c r="B806" s="3" t="inlineStr">
        <is>
          <t>Act_COP_1027001_211504_613</t>
        </is>
      </c>
      <c r="C806" s="3" t="inlineStr">
        <is>
          <t>1027001</t>
        </is>
      </c>
      <c r="D806" s="9" t="n">
        <v>397.3</v>
      </c>
      <c r="E806" s="3" t="n"/>
      <c r="F806" s="3" t="n"/>
      <c r="G806" s="9" t="n"/>
      <c r="H806" s="10" t="n">
        <v>45684.88546296296</v>
      </c>
      <c r="I806" s="10" t="n">
        <v>45684.88630787037</v>
      </c>
      <c r="J806" s="10" t="n">
        <v>45684.88936342593</v>
      </c>
      <c r="K806" s="11" t="n">
        <v>0.003055555555555556</v>
      </c>
      <c r="L806" s="13" t="n"/>
    </row>
    <row r="807">
      <c r="A807" s="3" t="inlineStr">
        <is>
          <t>Coupling</t>
        </is>
      </c>
      <c r="B807" s="3" t="inlineStr">
        <is>
          <t>Act_COP_1027101_030755_621</t>
        </is>
      </c>
      <c r="C807" s="3" t="inlineStr">
        <is>
          <t>1027101</t>
        </is>
      </c>
      <c r="D807" s="9" t="n">
        <v>24.1</v>
      </c>
      <c r="E807" s="3" t="n"/>
      <c r="F807" s="3" t="n"/>
      <c r="G807" s="9" t="n"/>
      <c r="H807" s="10" t="n">
        <v>45685.13049768518</v>
      </c>
      <c r="I807" s="10" t="n">
        <v>45685.13136574074</v>
      </c>
      <c r="J807" s="10" t="n">
        <v>45685.13442129629</v>
      </c>
      <c r="K807" s="11" t="n">
        <v>0.003055555555555556</v>
      </c>
      <c r="L807" s="13" t="n"/>
    </row>
    <row r="808">
      <c r="A808" s="3" t="inlineStr">
        <is>
          <t>Coupling</t>
        </is>
      </c>
      <c r="B808" s="3" t="inlineStr">
        <is>
          <t>Act_COP_1027302_073637_615</t>
        </is>
      </c>
      <c r="C808" s="3" t="inlineStr">
        <is>
          <t>1027302</t>
        </is>
      </c>
      <c r="D808" s="9" t="n">
        <v>27</v>
      </c>
      <c r="E808" s="3" t="n"/>
      <c r="F808" s="3" t="n"/>
      <c r="G808" s="9" t="n"/>
      <c r="H808" s="10" t="n">
        <v>45685.3170949074</v>
      </c>
      <c r="I808" s="10" t="n">
        <v>45685.31789351852</v>
      </c>
      <c r="J808" s="10" t="n">
        <v>45685.32067129629</v>
      </c>
      <c r="K808" s="11" t="n">
        <v>0.002777777777777778</v>
      </c>
      <c r="L808" s="13" t="n"/>
    </row>
    <row r="809">
      <c r="A809" s="3" t="inlineStr">
        <is>
          <t>Coupling</t>
        </is>
      </c>
      <c r="B809" s="3" t="inlineStr">
        <is>
          <t>Act_COP_1027307_074633_629</t>
        </is>
      </c>
      <c r="C809" s="3" t="inlineStr">
        <is>
          <t>1027307</t>
        </is>
      </c>
      <c r="D809" s="9" t="n">
        <v>14</v>
      </c>
      <c r="E809" s="3" t="n"/>
      <c r="F809" s="3" t="n"/>
      <c r="G809" s="9" t="n"/>
      <c r="H809" s="10" t="n">
        <v>45685.32399305556</v>
      </c>
      <c r="I809" s="10" t="n">
        <v>45685.32483796297</v>
      </c>
      <c r="J809" s="10" t="n">
        <v>45685.32789351852</v>
      </c>
      <c r="K809" s="11" t="n">
        <v>0.003055555555555556</v>
      </c>
      <c r="L809" s="13" t="n"/>
    </row>
    <row r="810">
      <c r="A810" s="3" t="inlineStr">
        <is>
          <t>Coupling</t>
        </is>
      </c>
      <c r="B810" s="3" t="inlineStr">
        <is>
          <t>Act_COP_1027602_092948_627</t>
        </is>
      </c>
      <c r="C810" s="3" t="inlineStr">
        <is>
          <t>1027602</t>
        </is>
      </c>
      <c r="D810" s="9" t="n">
        <v>15.7</v>
      </c>
      <c r="E810" s="3" t="n"/>
      <c r="F810" s="3" t="n"/>
      <c r="G810" s="9" t="n"/>
      <c r="H810" s="10" t="n">
        <v>45685.39569444444</v>
      </c>
      <c r="I810" s="10" t="n">
        <v>45685.3965625</v>
      </c>
      <c r="J810" s="10" t="n">
        <v>45685.39961805556</v>
      </c>
      <c r="K810" s="11" t="n">
        <v>0.003055555555555556</v>
      </c>
      <c r="L810" s="13" t="n"/>
    </row>
    <row r="811">
      <c r="A811" s="3" t="inlineStr">
        <is>
          <t>Coupling</t>
        </is>
      </c>
      <c r="B811" s="3" t="inlineStr">
        <is>
          <t>Act_COP_1027603_093126_615</t>
        </is>
      </c>
      <c r="C811" s="3" t="inlineStr">
        <is>
          <t>1027603</t>
        </is>
      </c>
      <c r="D811" s="9" t="n">
        <v>15.7</v>
      </c>
      <c r="E811" s="3" t="n"/>
      <c r="F811" s="3" t="n"/>
      <c r="G811" s="9" t="n"/>
      <c r="H811" s="10" t="n">
        <v>45685.39682870371</v>
      </c>
      <c r="I811" s="10" t="n">
        <v>45685.39760416667</v>
      </c>
      <c r="J811" s="10" t="n">
        <v>45685.40038194445</v>
      </c>
      <c r="K811" s="11" t="n">
        <v>0.002777777777777778</v>
      </c>
      <c r="L811" s="13" t="n"/>
    </row>
    <row r="812">
      <c r="A812" s="3" t="inlineStr">
        <is>
          <t>Coupling</t>
        </is>
      </c>
      <c r="B812" s="3" t="inlineStr">
        <is>
          <t>Act_COP_1027605_093603_617</t>
        </is>
      </c>
      <c r="C812" s="3" t="inlineStr">
        <is>
          <t>1027605</t>
        </is>
      </c>
      <c r="D812" s="9" t="n">
        <v>28</v>
      </c>
      <c r="E812" s="3" t="n"/>
      <c r="F812" s="3" t="n"/>
      <c r="G812" s="9" t="n"/>
      <c r="H812" s="10" t="n">
        <v>45685.40003472222</v>
      </c>
      <c r="I812" s="10" t="n">
        <v>45685.40087962963</v>
      </c>
      <c r="J812" s="10" t="n">
        <v>45685.40393518518</v>
      </c>
      <c r="K812" s="11" t="n">
        <v>0.003055555555555556</v>
      </c>
      <c r="L812" s="13" t="n"/>
    </row>
    <row r="813">
      <c r="A813" s="3" t="inlineStr">
        <is>
          <t>Coupling</t>
        </is>
      </c>
      <c r="B813" s="3" t="inlineStr">
        <is>
          <t>Act_COP_1027606_093850_619</t>
        </is>
      </c>
      <c r="C813" s="3" t="inlineStr">
        <is>
          <t>1027606</t>
        </is>
      </c>
      <c r="D813" s="9" t="n">
        <v>19.9</v>
      </c>
      <c r="E813" s="3" t="n"/>
      <c r="F813" s="3" t="n"/>
      <c r="G813" s="9" t="n"/>
      <c r="H813" s="10" t="n">
        <v>45685.4019675926</v>
      </c>
      <c r="I813" s="10" t="n">
        <v>45685.40280092593</v>
      </c>
      <c r="J813" s="10" t="n">
        <v>45685.40585648148</v>
      </c>
      <c r="K813" s="11" t="n">
        <v>0.003055555555555556</v>
      </c>
      <c r="L813" s="13" t="n"/>
    </row>
    <row r="814">
      <c r="A814" s="3" t="inlineStr">
        <is>
          <t>Coupling</t>
        </is>
      </c>
      <c r="B814" s="3" t="inlineStr">
        <is>
          <t>Act_COP_1027608_094321_615</t>
        </is>
      </c>
      <c r="C814" s="3" t="inlineStr">
        <is>
          <t>1027608</t>
        </is>
      </c>
      <c r="D814" s="9" t="n">
        <v>21</v>
      </c>
      <c r="E814" s="3" t="n"/>
      <c r="F814" s="3" t="n"/>
      <c r="G814" s="9" t="n"/>
      <c r="H814" s="10" t="n">
        <v>45685.40510416667</v>
      </c>
      <c r="I814" s="10" t="n">
        <v>45685.40594907408</v>
      </c>
      <c r="J814" s="10" t="n">
        <v>45685.40900462963</v>
      </c>
      <c r="K814" s="11" t="n">
        <v>0.003055555555555556</v>
      </c>
      <c r="L814" s="13" t="n"/>
    </row>
    <row r="815">
      <c r="A815" s="3" t="inlineStr">
        <is>
          <t>Coupling</t>
        </is>
      </c>
      <c r="B815" s="3" t="inlineStr">
        <is>
          <t>Act_COP_1027609_094603_629</t>
        </is>
      </c>
      <c r="C815" s="3" t="inlineStr">
        <is>
          <t>1027609</t>
        </is>
      </c>
      <c r="D815" s="9" t="n">
        <v>12</v>
      </c>
      <c r="E815" s="3" t="n"/>
      <c r="F815" s="3" t="n"/>
      <c r="G815" s="9" t="n"/>
      <c r="H815" s="10" t="n">
        <v>45685.40697916667</v>
      </c>
      <c r="I815" s="10" t="n">
        <v>45685.40775462963</v>
      </c>
      <c r="J815" s="10" t="n">
        <v>45685.4105324074</v>
      </c>
      <c r="K815" s="11" t="n">
        <v>0.002777777777777778</v>
      </c>
      <c r="L815" s="13" t="n"/>
    </row>
    <row r="816">
      <c r="A816" s="3" t="inlineStr">
        <is>
          <t>Coupling</t>
        </is>
      </c>
      <c r="B816" s="3" t="inlineStr">
        <is>
          <t>Act_COP_1027611_094742_615</t>
        </is>
      </c>
      <c r="C816" s="3" t="inlineStr">
        <is>
          <t>1027611</t>
        </is>
      </c>
      <c r="D816" s="9" t="n">
        <v>19.9</v>
      </c>
      <c r="E816" s="3" t="n"/>
      <c r="F816" s="3" t="n"/>
      <c r="G816" s="9" t="n"/>
      <c r="H816" s="10" t="n">
        <v>45685.408125</v>
      </c>
      <c r="I816" s="10" t="n">
        <v>45685.40895833333</v>
      </c>
      <c r="J816" s="10" t="n">
        <v>45685.41201388889</v>
      </c>
      <c r="K816" s="11" t="n">
        <v>0.003055555555555556</v>
      </c>
      <c r="L816" s="13" t="n"/>
    </row>
    <row r="817">
      <c r="A817" s="3" t="inlineStr">
        <is>
          <t>Coupling</t>
        </is>
      </c>
      <c r="B817" s="3" t="inlineStr">
        <is>
          <t>Act_COP_1027612_095029_619</t>
        </is>
      </c>
      <c r="C817" s="3" t="inlineStr">
        <is>
          <t>1027612</t>
        </is>
      </c>
      <c r="D817" s="9" t="n">
        <v>19.9</v>
      </c>
      <c r="E817" s="3" t="n"/>
      <c r="F817" s="3" t="n"/>
      <c r="G817" s="9" t="n"/>
      <c r="H817" s="10" t="n">
        <v>45685.41005787037</v>
      </c>
      <c r="I817" s="10" t="n">
        <v>45685.41090277778</v>
      </c>
      <c r="J817" s="10" t="n">
        <v>45685.41395833333</v>
      </c>
      <c r="K817" s="11" t="n">
        <v>0.003055555555555556</v>
      </c>
      <c r="L817" s="13" t="n"/>
    </row>
    <row r="818">
      <c r="A818" s="3" t="inlineStr">
        <is>
          <t>Coupling</t>
        </is>
      </c>
      <c r="B818" s="3" t="inlineStr">
        <is>
          <t>Act_COP_1027614_095245_609</t>
        </is>
      </c>
      <c r="C818" s="3" t="inlineStr">
        <is>
          <t>1027614</t>
        </is>
      </c>
      <c r="D818" s="9" t="n">
        <v>63</v>
      </c>
      <c r="E818" s="3" t="n"/>
      <c r="F818" s="3" t="n"/>
      <c r="G818" s="9" t="n"/>
      <c r="H818" s="10" t="n">
        <v>45685.41163194444</v>
      </c>
      <c r="I818" s="10" t="n">
        <v>45685.41240740741</v>
      </c>
      <c r="J818" s="10" t="n">
        <v>45685.41518518519</v>
      </c>
      <c r="K818" s="11" t="n">
        <v>0.002777777777777778</v>
      </c>
      <c r="L818" s="13" t="n"/>
    </row>
    <row r="819">
      <c r="A819" s="3" t="inlineStr">
        <is>
          <t>Coupling</t>
        </is>
      </c>
      <c r="B819" s="3" t="inlineStr">
        <is>
          <t>Act_COP_1027801_104734_627</t>
        </is>
      </c>
      <c r="C819" s="3" t="inlineStr">
        <is>
          <t>1027801</t>
        </is>
      </c>
      <c r="D819" s="9" t="n">
        <v>105</v>
      </c>
      <c r="E819" s="3" t="n"/>
      <c r="F819" s="3" t="n"/>
      <c r="G819" s="9" t="n"/>
      <c r="H819" s="10" t="n">
        <v>45685.44969907407</v>
      </c>
      <c r="I819" s="10" t="n">
        <v>45685.45047453704</v>
      </c>
      <c r="J819" s="10" t="n">
        <v>45685.45325231482</v>
      </c>
      <c r="K819" s="11" t="n">
        <v>0.002777777777777778</v>
      </c>
      <c r="L819" s="13" t="n"/>
    </row>
    <row r="820">
      <c r="A820" s="3" t="inlineStr">
        <is>
          <t>Coupling</t>
        </is>
      </c>
      <c r="B820" s="3" t="inlineStr">
        <is>
          <t>Act_COP_1027802_105024_621</t>
        </is>
      </c>
      <c r="C820" s="3" t="inlineStr">
        <is>
          <t>1027802</t>
        </is>
      </c>
      <c r="D820" s="9" t="n">
        <v>21</v>
      </c>
      <c r="E820" s="3" t="n"/>
      <c r="F820" s="3" t="n"/>
      <c r="G820" s="9" t="n"/>
      <c r="H820" s="10" t="n">
        <v>45685.45166666667</v>
      </c>
      <c r="I820" s="10" t="n">
        <v>45685.4525</v>
      </c>
      <c r="J820" s="10" t="n">
        <v>45685.45555555556</v>
      </c>
      <c r="K820" s="11" t="n">
        <v>0.003055555555555556</v>
      </c>
      <c r="L820" s="13" t="n"/>
    </row>
    <row r="821">
      <c r="A821" s="3" t="inlineStr">
        <is>
          <t>Coupling</t>
        </is>
      </c>
      <c r="B821" s="3" t="inlineStr">
        <is>
          <t>Act_COP_1028103_150137_619</t>
        </is>
      </c>
      <c r="C821" s="3" t="inlineStr">
        <is>
          <t>1028103</t>
        </is>
      </c>
      <c r="D821" s="9" t="n">
        <v>19.9</v>
      </c>
      <c r="E821" s="3" t="n"/>
      <c r="F821" s="3" t="n"/>
      <c r="G821" s="9" t="n"/>
      <c r="H821" s="10" t="n">
        <v>45685.62612268519</v>
      </c>
      <c r="I821" s="10" t="n">
        <v>45685.62696759259</v>
      </c>
      <c r="J821" s="10" t="n">
        <v>45685.63002314815</v>
      </c>
      <c r="K821" s="11" t="n">
        <v>0.003055555555555556</v>
      </c>
      <c r="L821" s="13" t="n"/>
    </row>
    <row r="822">
      <c r="A822" s="3" t="inlineStr">
        <is>
          <t>Coupling</t>
        </is>
      </c>
      <c r="B822" s="3" t="inlineStr">
        <is>
          <t>Act_COP_1028104_150427_629</t>
        </is>
      </c>
      <c r="C822" s="3" t="inlineStr">
        <is>
          <t>1028104</t>
        </is>
      </c>
      <c r="D822" s="9" t="n">
        <v>49.6</v>
      </c>
      <c r="E822" s="3" t="n"/>
      <c r="F822" s="3" t="n"/>
      <c r="G822" s="9" t="n"/>
      <c r="H822" s="10" t="n">
        <v>45685.62809027778</v>
      </c>
      <c r="I822" s="10" t="n">
        <v>45685.62895833333</v>
      </c>
      <c r="J822" s="10" t="n">
        <v>45685.63201388889</v>
      </c>
      <c r="K822" s="11" t="n">
        <v>0.003055555555555556</v>
      </c>
      <c r="L822" s="13" t="n"/>
    </row>
    <row r="823">
      <c r="A823" s="3" t="inlineStr">
        <is>
          <t>Coupling</t>
        </is>
      </c>
      <c r="B823" s="3" t="inlineStr">
        <is>
          <t>Act_COP_1028108_151025_615</t>
        </is>
      </c>
      <c r="C823" s="3" t="inlineStr">
        <is>
          <t>1028108</t>
        </is>
      </c>
      <c r="D823" s="9" t="n">
        <v>135</v>
      </c>
      <c r="E823" s="3" t="n"/>
      <c r="F823" s="3" t="n"/>
      <c r="G823" s="9" t="n"/>
      <c r="H823" s="10" t="n">
        <v>45685.6322337963</v>
      </c>
      <c r="I823" s="10" t="n">
        <v>45685.6330787037</v>
      </c>
      <c r="J823" s="10" t="n">
        <v>45685.63613425926</v>
      </c>
      <c r="K823" s="11" t="n">
        <v>0.003055555555555556</v>
      </c>
      <c r="L823" s="13" t="n"/>
    </row>
    <row r="824">
      <c r="A824" s="3" t="inlineStr">
        <is>
          <t>Coupling</t>
        </is>
      </c>
      <c r="B824" s="3" t="inlineStr">
        <is>
          <t>Act_COP_1028503_030703_619</t>
        </is>
      </c>
      <c r="C824" s="3" t="inlineStr">
        <is>
          <t>1028503</t>
        </is>
      </c>
      <c r="D824" s="9" t="n">
        <v>54.7</v>
      </c>
      <c r="E824" s="3" t="n"/>
      <c r="F824" s="3" t="n"/>
      <c r="G824" s="9" t="n"/>
      <c r="H824" s="10" t="n">
        <v>45686.12989583334</v>
      </c>
      <c r="I824" s="10" t="n">
        <v>45686.13076388889</v>
      </c>
      <c r="J824" s="10" t="n">
        <v>45686.13381944445</v>
      </c>
      <c r="K824" s="11" t="n">
        <v>0.003055555555555556</v>
      </c>
      <c r="L824" s="13" t="n"/>
    </row>
    <row r="825">
      <c r="A825" s="3" t="inlineStr">
        <is>
          <t>Coupling</t>
        </is>
      </c>
      <c r="B825" s="3" t="inlineStr">
        <is>
          <t>Act_COP_1028504_030949_629</t>
        </is>
      </c>
      <c r="C825" s="3" t="inlineStr">
        <is>
          <t>1028504</t>
        </is>
      </c>
      <c r="D825" s="9" t="n">
        <v>19.9</v>
      </c>
      <c r="E825" s="3" t="n"/>
      <c r="F825" s="3" t="n"/>
      <c r="G825" s="9" t="n"/>
      <c r="H825" s="10" t="n">
        <v>45686.13181712963</v>
      </c>
      <c r="I825" s="10" t="n">
        <v>45686.13268518518</v>
      </c>
      <c r="J825" s="10" t="n">
        <v>45686.13574074074</v>
      </c>
      <c r="K825" s="11" t="n">
        <v>0.003055555555555556</v>
      </c>
      <c r="L825" s="13" t="n"/>
    </row>
    <row r="826">
      <c r="A826" s="3" t="inlineStr">
        <is>
          <t>Coupling</t>
        </is>
      </c>
      <c r="B826" s="3" t="inlineStr">
        <is>
          <t>Act_COP_1029101_093150_619</t>
        </is>
      </c>
      <c r="C826" s="3" t="inlineStr">
        <is>
          <t>1029101</t>
        </is>
      </c>
      <c r="D826" s="9" t="n">
        <v>19.9</v>
      </c>
      <c r="E826" s="3" t="n"/>
      <c r="F826" s="3" t="n"/>
      <c r="G826" s="9" t="n"/>
      <c r="H826" s="10" t="n">
        <v>45686.39710648148</v>
      </c>
      <c r="I826" s="10" t="n">
        <v>45686.39797453704</v>
      </c>
      <c r="J826" s="10" t="n">
        <v>45686.40103009259</v>
      </c>
      <c r="K826" s="11" t="n">
        <v>0.003055555555555556</v>
      </c>
      <c r="L826" s="13" t="n"/>
    </row>
    <row r="827">
      <c r="A827" s="3" t="inlineStr">
        <is>
          <t>Coupling</t>
        </is>
      </c>
      <c r="B827" s="3" t="inlineStr">
        <is>
          <t>Act_COP_1029102_093340_617</t>
        </is>
      </c>
      <c r="C827" s="3" t="inlineStr">
        <is>
          <t>1029102</t>
        </is>
      </c>
      <c r="D827" s="9" t="n">
        <v>14</v>
      </c>
      <c r="E827" s="3" t="n"/>
      <c r="F827" s="3" t="n"/>
      <c r="G827" s="9" t="n"/>
      <c r="H827" s="10" t="n">
        <v>45686.39837962963</v>
      </c>
      <c r="I827" s="10" t="n">
        <v>45686.39921296296</v>
      </c>
      <c r="J827" s="10" t="n">
        <v>45686.40226851852</v>
      </c>
      <c r="K827" s="11" t="n">
        <v>0.003055555555555556</v>
      </c>
      <c r="L827" s="13" t="n"/>
    </row>
    <row r="828">
      <c r="A828" s="3" t="inlineStr">
        <is>
          <t>Coupling</t>
        </is>
      </c>
      <c r="B828" s="3" t="inlineStr">
        <is>
          <t>Act_COP_1029104_093555_615</t>
        </is>
      </c>
      <c r="C828" s="3" t="inlineStr">
        <is>
          <t>1029104</t>
        </is>
      </c>
      <c r="D828" s="9" t="n">
        <v>189</v>
      </c>
      <c r="E828" s="3" t="n"/>
      <c r="F828" s="3" t="n"/>
      <c r="G828" s="9" t="n"/>
      <c r="H828" s="10" t="n">
        <v>45686.39994212963</v>
      </c>
      <c r="I828" s="10" t="n">
        <v>45686.40081018519</v>
      </c>
      <c r="J828" s="10" t="n">
        <v>45686.40386574074</v>
      </c>
      <c r="K828" s="11" t="n">
        <v>0.003055555555555556</v>
      </c>
      <c r="L828" s="13" t="n"/>
    </row>
    <row r="829">
      <c r="A829" s="3" t="inlineStr">
        <is>
          <t>Coupling</t>
        </is>
      </c>
      <c r="B829" s="3" t="inlineStr">
        <is>
          <t>Act_COP_1029107_094112_621</t>
        </is>
      </c>
      <c r="C829" s="3" t="inlineStr">
        <is>
          <t>1029107</t>
        </is>
      </c>
      <c r="D829" s="9" t="n">
        <v>15.7</v>
      </c>
      <c r="E829" s="3" t="n"/>
      <c r="F829" s="3" t="n"/>
      <c r="G829" s="9" t="n"/>
      <c r="H829" s="10" t="n">
        <v>45686.40361111111</v>
      </c>
      <c r="I829" s="10" t="n">
        <v>45686.40444444444</v>
      </c>
      <c r="J829" s="10" t="n">
        <v>45686.4075</v>
      </c>
      <c r="K829" s="11" t="n">
        <v>0.003055555555555556</v>
      </c>
      <c r="L829" s="13" t="n"/>
    </row>
    <row r="830">
      <c r="A830" s="3" t="inlineStr">
        <is>
          <t>Coupling</t>
        </is>
      </c>
      <c r="B830" s="3" t="inlineStr">
        <is>
          <t>Act_COP_1029110_094635_623</t>
        </is>
      </c>
      <c r="C830" s="3" t="inlineStr">
        <is>
          <t>1029110</t>
        </is>
      </c>
      <c r="D830" s="9" t="n">
        <v>23.2</v>
      </c>
      <c r="E830" s="3" t="n"/>
      <c r="F830" s="3" t="n"/>
      <c r="G830" s="9" t="n"/>
      <c r="H830" s="10" t="n">
        <v>45686.40734953704</v>
      </c>
      <c r="I830" s="10" t="n">
        <v>45686.40821759259</v>
      </c>
      <c r="J830" s="10" t="n">
        <v>45686.41127314815</v>
      </c>
      <c r="K830" s="11" t="n">
        <v>0.003055555555555556</v>
      </c>
      <c r="L830" s="13" t="n"/>
    </row>
    <row r="831">
      <c r="A831" s="3" t="inlineStr">
        <is>
          <t>Coupling</t>
        </is>
      </c>
      <c r="B831" s="3" t="inlineStr">
        <is>
          <t>Act_COP_1029201_104509_621</t>
        </is>
      </c>
      <c r="C831" s="3" t="inlineStr">
        <is>
          <t>1029201</t>
        </is>
      </c>
      <c r="D831" s="9" t="n">
        <v>21</v>
      </c>
      <c r="E831" s="3" t="n"/>
      <c r="F831" s="3" t="n"/>
      <c r="G831" s="9" t="n"/>
      <c r="H831" s="10" t="n">
        <v>45686.44802083333</v>
      </c>
      <c r="I831" s="10" t="n">
        <v>45686.44888888889</v>
      </c>
      <c r="J831" s="10" t="n">
        <v>45686.45194444444</v>
      </c>
      <c r="K831" s="11" t="n">
        <v>0.003055555555555556</v>
      </c>
      <c r="L831" s="13" t="n"/>
    </row>
    <row r="832">
      <c r="A832" s="3" t="inlineStr">
        <is>
          <t>Coupling</t>
        </is>
      </c>
      <c r="B832" s="3" t="inlineStr">
        <is>
          <t>Act_COP_1029501_152226_623</t>
        </is>
      </c>
      <c r="C832" s="3" t="inlineStr">
        <is>
          <t>1029501</t>
        </is>
      </c>
      <c r="D832" s="9" t="n">
        <v>47.2</v>
      </c>
      <c r="E832" s="3" t="n"/>
      <c r="F832" s="3" t="n"/>
      <c r="G832" s="9" t="n"/>
      <c r="H832" s="10" t="n">
        <v>45686.6405787037</v>
      </c>
      <c r="I832" s="10" t="n">
        <v>45686.64143518519</v>
      </c>
      <c r="J832" s="10" t="n">
        <v>45686.64449074074</v>
      </c>
      <c r="K832" s="11" t="n">
        <v>0.003055555555555556</v>
      </c>
      <c r="L832" s="13" t="n"/>
    </row>
    <row r="833">
      <c r="A833" s="3" t="inlineStr">
        <is>
          <t>Coupling</t>
        </is>
      </c>
      <c r="B833" s="3" t="inlineStr">
        <is>
          <t>Act_COP_1029503_152715_617</t>
        </is>
      </c>
      <c r="C833" s="3" t="inlineStr">
        <is>
          <t>1029503</t>
        </is>
      </c>
      <c r="D833" s="9" t="n">
        <v>14</v>
      </c>
      <c r="E833" s="3" t="n"/>
      <c r="F833" s="3" t="n"/>
      <c r="G833" s="9" t="n"/>
      <c r="H833" s="10" t="n">
        <v>45686.64392361111</v>
      </c>
      <c r="I833" s="10" t="n">
        <v>45686.64476851852</v>
      </c>
      <c r="J833" s="10" t="n">
        <v>45686.64782407408</v>
      </c>
      <c r="K833" s="11" t="n">
        <v>0.003055555555555556</v>
      </c>
      <c r="L833" s="13" t="n"/>
    </row>
    <row r="834">
      <c r="A834" s="3" t="inlineStr">
        <is>
          <t>Coupling</t>
        </is>
      </c>
      <c r="B834" s="3" t="inlineStr">
        <is>
          <t>Act_COP_1029507_153750_619</t>
        </is>
      </c>
      <c r="C834" s="3" t="inlineStr">
        <is>
          <t>1029507</t>
        </is>
      </c>
      <c r="D834" s="9" t="n">
        <v>59.7</v>
      </c>
      <c r="E834" s="3" t="n"/>
      <c r="F834" s="3" t="n"/>
      <c r="G834" s="9" t="n"/>
      <c r="H834" s="10" t="n">
        <v>45686.65127314815</v>
      </c>
      <c r="I834" s="10" t="n">
        <v>45686.65211805556</v>
      </c>
      <c r="J834" s="10" t="n">
        <v>45686.65517361111</v>
      </c>
      <c r="K834" s="11" t="n">
        <v>0.003055555555555556</v>
      </c>
      <c r="L834" s="13" t="n"/>
    </row>
    <row r="835">
      <c r="A835" s="3" t="inlineStr">
        <is>
          <t>Coupling</t>
        </is>
      </c>
      <c r="B835" s="3" t="inlineStr">
        <is>
          <t>Act_COP_1029508_153959_609</t>
        </is>
      </c>
      <c r="C835" s="3" t="inlineStr">
        <is>
          <t>1029508</t>
        </is>
      </c>
      <c r="D835" s="9" t="n">
        <v>15.7</v>
      </c>
      <c r="E835" s="3" t="n"/>
      <c r="F835" s="3" t="n"/>
      <c r="G835" s="9" t="n"/>
      <c r="H835" s="10" t="n">
        <v>45686.6527662037</v>
      </c>
      <c r="I835" s="10" t="n">
        <v>45686.65361111111</v>
      </c>
      <c r="J835" s="10" t="n">
        <v>45686.65666666667</v>
      </c>
      <c r="K835" s="11" t="n">
        <v>0.003055555555555556</v>
      </c>
      <c r="L835" s="13" t="n"/>
    </row>
    <row r="836">
      <c r="A836" s="3" t="inlineStr">
        <is>
          <t>Coupling</t>
        </is>
      </c>
      <c r="B836" s="3" t="inlineStr">
        <is>
          <t>Act_COP_1029511_154248_627</t>
        </is>
      </c>
      <c r="C836" s="3" t="inlineStr">
        <is>
          <t>1029511</t>
        </is>
      </c>
      <c r="D836" s="9" t="n">
        <v>31.5</v>
      </c>
      <c r="E836" s="3" t="n"/>
      <c r="F836" s="3" t="n"/>
      <c r="G836" s="9" t="n"/>
      <c r="H836" s="10" t="n">
        <v>45686.65472222222</v>
      </c>
      <c r="I836" s="10" t="n">
        <v>45686.65548611111</v>
      </c>
      <c r="J836" s="10" t="n">
        <v>45686.65826388889</v>
      </c>
      <c r="K836" s="11" t="n">
        <v>0.002777777777777778</v>
      </c>
      <c r="L836" s="13" t="n"/>
    </row>
    <row r="837">
      <c r="A837" s="3" t="inlineStr">
        <is>
          <t>Coupling</t>
        </is>
      </c>
      <c r="B837" s="3" t="inlineStr">
        <is>
          <t>Act_COP_1029802_180921_617</t>
        </is>
      </c>
      <c r="C837" s="3" t="inlineStr">
        <is>
          <t>1029802</t>
        </is>
      </c>
      <c r="D837" s="9" t="n">
        <v>14</v>
      </c>
      <c r="E837" s="3" t="n"/>
      <c r="F837" s="3" t="n"/>
      <c r="G837" s="9" t="n"/>
      <c r="H837" s="10" t="n">
        <v>45686.75649305555</v>
      </c>
      <c r="I837" s="10" t="n">
        <v>45686.75725694445</v>
      </c>
      <c r="J837" s="10" t="n">
        <v>45686.76003472223</v>
      </c>
      <c r="K837" s="11" t="n">
        <v>0.002777777777777778</v>
      </c>
      <c r="L837" s="13" t="n"/>
    </row>
    <row r="838">
      <c r="A838" s="3" t="inlineStr">
        <is>
          <t>Coupling</t>
        </is>
      </c>
      <c r="B838" s="3" t="inlineStr">
        <is>
          <t>Act_COP_1029804_181452_621</t>
        </is>
      </c>
      <c r="C838" s="3" t="inlineStr">
        <is>
          <t>1029804</t>
        </is>
      </c>
      <c r="D838" s="9" t="n">
        <v>15.7</v>
      </c>
      <c r="E838" s="3" t="n"/>
      <c r="F838" s="3" t="n"/>
      <c r="G838" s="9" t="n"/>
      <c r="H838" s="10" t="n">
        <v>45686.76032407407</v>
      </c>
      <c r="I838" s="10" t="n">
        <v>45686.76115740741</v>
      </c>
      <c r="J838" s="10" t="n">
        <v>45686.76421296296</v>
      </c>
      <c r="K838" s="11" t="n">
        <v>0.003055555555555556</v>
      </c>
      <c r="L838" s="13" t="n"/>
    </row>
    <row r="839">
      <c r="A839" s="3" t="inlineStr">
        <is>
          <t>Coupling</t>
        </is>
      </c>
      <c r="B839" s="3" t="inlineStr">
        <is>
          <t>Act_COP_1029805_181714_609</t>
        </is>
      </c>
      <c r="C839" s="3" t="inlineStr">
        <is>
          <t>1029805</t>
        </is>
      </c>
      <c r="D839" s="9" t="n">
        <v>93.7</v>
      </c>
      <c r="E839" s="3" t="n"/>
      <c r="F839" s="3" t="n"/>
      <c r="G839" s="9" t="n"/>
      <c r="H839" s="10" t="n">
        <v>45686.7619675926</v>
      </c>
      <c r="I839" s="10" t="n">
        <v>45686.76282407407</v>
      </c>
      <c r="J839" s="10" t="n">
        <v>45686.76587962963</v>
      </c>
      <c r="K839" s="11" t="n">
        <v>0.003055555555555556</v>
      </c>
      <c r="L839" s="13" t="n"/>
    </row>
    <row r="840">
      <c r="A840" s="3" t="inlineStr">
        <is>
          <t>Coupling</t>
        </is>
      </c>
      <c r="B840" s="3" t="inlineStr">
        <is>
          <t>Act_COP_1029806_182005_627</t>
        </is>
      </c>
      <c r="C840" s="3" t="inlineStr">
        <is>
          <t>1029806</t>
        </is>
      </c>
      <c r="D840" s="9" t="n">
        <v>54</v>
      </c>
      <c r="E840" s="3" t="n"/>
      <c r="F840" s="3" t="n"/>
      <c r="G840" s="9" t="n"/>
      <c r="H840" s="10" t="n">
        <v>45686.76394675926</v>
      </c>
      <c r="I840" s="10" t="n">
        <v>45686.76472222222</v>
      </c>
      <c r="J840" s="10" t="n">
        <v>45686.7675</v>
      </c>
      <c r="K840" s="11" t="n">
        <v>0.002777777777777778</v>
      </c>
      <c r="L840" s="13" t="n"/>
    </row>
    <row r="841">
      <c r="A841" s="3" t="inlineStr">
        <is>
          <t>Coupling</t>
        </is>
      </c>
      <c r="B841" s="3" t="inlineStr">
        <is>
          <t>Act_COP_1029808_182515_607</t>
        </is>
      </c>
      <c r="C841" s="3" t="inlineStr">
        <is>
          <t>1029808</t>
        </is>
      </c>
      <c r="D841" s="9" t="n">
        <v>39.8</v>
      </c>
      <c r="E841" s="3" t="n"/>
      <c r="F841" s="3" t="n"/>
      <c r="G841" s="9" t="n"/>
      <c r="H841" s="10" t="n">
        <v>45686.76753472222</v>
      </c>
      <c r="I841" s="10" t="n">
        <v>45686.76837962963</v>
      </c>
      <c r="J841" s="10" t="n">
        <v>45686.77143518518</v>
      </c>
      <c r="K841" s="11" t="n">
        <v>0.003055555555555556</v>
      </c>
      <c r="L841" s="13" t="n"/>
    </row>
    <row r="842">
      <c r="A842" s="3" t="inlineStr">
        <is>
          <t>Coupling</t>
        </is>
      </c>
      <c r="B842" s="3" t="inlineStr">
        <is>
          <t>Act_COP_1029809_182802_629</t>
        </is>
      </c>
      <c r="C842" s="3" t="inlineStr">
        <is>
          <t>1029809</t>
        </is>
      </c>
      <c r="D842" s="9" t="n">
        <v>39.8</v>
      </c>
      <c r="E842" s="3" t="n"/>
      <c r="F842" s="3" t="n"/>
      <c r="G842" s="9" t="n"/>
      <c r="H842" s="10" t="n">
        <v>45686.7694675926</v>
      </c>
      <c r="I842" s="10" t="n">
        <v>45686.7703125</v>
      </c>
      <c r="J842" s="10" t="n">
        <v>45686.77336805555</v>
      </c>
      <c r="K842" s="11" t="n">
        <v>0.003055555555555556</v>
      </c>
      <c r="L842" s="13" t="n"/>
    </row>
    <row r="843">
      <c r="A843" s="3" t="inlineStr">
        <is>
          <t>Coupling</t>
        </is>
      </c>
      <c r="B843" s="3" t="inlineStr">
        <is>
          <t>Act_COP_1029810_183029_605</t>
        </is>
      </c>
      <c r="C843" s="3" t="inlineStr">
        <is>
          <t>1029810</t>
        </is>
      </c>
      <c r="D843" s="9" t="n">
        <v>15.7</v>
      </c>
      <c r="E843" s="3" t="n"/>
      <c r="F843" s="3" t="n"/>
      <c r="G843" s="9" t="n"/>
      <c r="H843" s="10" t="n">
        <v>45686.77116898148</v>
      </c>
      <c r="I843" s="10" t="n">
        <v>45686.77194444444</v>
      </c>
      <c r="J843" s="10" t="n">
        <v>45686.77472222222</v>
      </c>
      <c r="K843" s="11" t="n">
        <v>0.002777777777777778</v>
      </c>
      <c r="L843" s="13" t="n"/>
    </row>
    <row r="844">
      <c r="A844" s="3" t="inlineStr">
        <is>
          <t>Coupling</t>
        </is>
      </c>
      <c r="B844" s="3" t="inlineStr">
        <is>
          <t>Act_COP_1030001_030008_629</t>
        </is>
      </c>
      <c r="C844" s="3" t="inlineStr">
        <is>
          <t>1030001</t>
        </is>
      </c>
      <c r="D844" s="9" t="n">
        <v>21</v>
      </c>
      <c r="E844" s="3" t="n"/>
      <c r="F844" s="3" t="n"/>
      <c r="G844" s="9" t="n"/>
      <c r="H844" s="10" t="n">
        <v>45687.12509259259</v>
      </c>
      <c r="I844" s="10" t="n">
        <v>45687.12596064815</v>
      </c>
      <c r="J844" s="10" t="n">
        <v>45687.1290162037</v>
      </c>
      <c r="K844" s="11" t="n">
        <v>0.003055555555555556</v>
      </c>
      <c r="L844" s="13" t="n"/>
    </row>
    <row r="845">
      <c r="A845" s="3" t="inlineStr">
        <is>
          <t>Coupling</t>
        </is>
      </c>
      <c r="B845" s="3" t="inlineStr">
        <is>
          <t>Act_COP_1030002_030244_605</t>
        </is>
      </c>
      <c r="C845" s="3" t="inlineStr">
        <is>
          <t>1030002</t>
        </is>
      </c>
      <c r="D845" s="9" t="n">
        <v>51.4</v>
      </c>
      <c r="E845" s="3" t="n"/>
      <c r="F845" s="3" t="n"/>
      <c r="G845" s="9" t="n"/>
      <c r="H845" s="10" t="n">
        <v>45687.12689814815</v>
      </c>
      <c r="I845" s="10" t="n">
        <v>45687.12769675926</v>
      </c>
      <c r="J845" s="10" t="n">
        <v>45687.13047453704</v>
      </c>
      <c r="K845" s="11" t="n">
        <v>0.002777777777777778</v>
      </c>
      <c r="L845" s="13" t="n"/>
    </row>
    <row r="846">
      <c r="A846" s="3" t="inlineStr">
        <is>
          <t>Coupling</t>
        </is>
      </c>
      <c r="B846" s="3" t="inlineStr">
        <is>
          <t>Act_COP_1030301_074859_629</t>
        </is>
      </c>
      <c r="C846" s="3" t="inlineStr">
        <is>
          <t>1030301</t>
        </is>
      </c>
      <c r="D846" s="9" t="n">
        <v>24.1</v>
      </c>
      <c r="E846" s="3" t="n"/>
      <c r="F846" s="3" t="n"/>
      <c r="G846" s="9" t="n"/>
      <c r="H846" s="10" t="n">
        <v>45687.32568287037</v>
      </c>
      <c r="I846" s="10" t="n">
        <v>45687.32644675926</v>
      </c>
      <c r="J846" s="10" t="n">
        <v>45687.32922453704</v>
      </c>
      <c r="K846" s="11" t="n">
        <v>0.002777777777777778</v>
      </c>
      <c r="L846" s="13" t="n"/>
    </row>
    <row r="847">
      <c r="A847" s="3" t="inlineStr">
        <is>
          <t>Coupling</t>
        </is>
      </c>
      <c r="B847" s="3" t="inlineStr">
        <is>
          <t>Act_COP_1030302_075212_627</t>
        </is>
      </c>
      <c r="C847" s="3" t="inlineStr">
        <is>
          <t>1030302</t>
        </is>
      </c>
      <c r="D847" s="9" t="n">
        <v>216</v>
      </c>
      <c r="E847" s="3" t="n"/>
      <c r="F847" s="3" t="n"/>
      <c r="G847" s="9" t="n"/>
      <c r="H847" s="10" t="n">
        <v>45687.32791666667</v>
      </c>
      <c r="I847" s="10" t="n">
        <v>45687.32878472222</v>
      </c>
      <c r="J847" s="10" t="n">
        <v>45687.33184027778</v>
      </c>
      <c r="K847" s="11" t="n">
        <v>0.003055555555555556</v>
      </c>
      <c r="L847" s="13" t="n"/>
    </row>
    <row r="848">
      <c r="A848" s="3" t="inlineStr">
        <is>
          <t>Coupling</t>
        </is>
      </c>
      <c r="B848" s="3" t="inlineStr">
        <is>
          <t>Act_COP_1030303_075400_611</t>
        </is>
      </c>
      <c r="C848" s="3" t="inlineStr">
        <is>
          <t>1030303</t>
        </is>
      </c>
      <c r="D848" s="9" t="n">
        <v>19.9</v>
      </c>
      <c r="E848" s="3" t="n"/>
      <c r="F848" s="3" t="n"/>
      <c r="G848" s="9" t="n"/>
      <c r="H848" s="10" t="n">
        <v>45687.32916666667</v>
      </c>
      <c r="I848" s="10" t="n">
        <v>45687.3299537037</v>
      </c>
      <c r="J848" s="10" t="n">
        <v>45687.33273148148</v>
      </c>
      <c r="K848" s="11" t="n">
        <v>0.002777777777777778</v>
      </c>
      <c r="L848" s="13" t="n"/>
    </row>
    <row r="849">
      <c r="A849" s="3" t="inlineStr">
        <is>
          <t>Coupling</t>
        </is>
      </c>
      <c r="B849" s="3" t="inlineStr">
        <is>
          <t>Act_COP_1030306_075836_605</t>
        </is>
      </c>
      <c r="C849" s="3" t="inlineStr">
        <is>
          <t>1030306</t>
        </is>
      </c>
      <c r="D849" s="9" t="n">
        <v>15.7</v>
      </c>
      <c r="E849" s="3" t="n"/>
      <c r="F849" s="3" t="n"/>
      <c r="G849" s="9" t="n"/>
      <c r="H849" s="10" t="n">
        <v>45687.33236111111</v>
      </c>
      <c r="I849" s="10" t="n">
        <v>45687.33313657407</v>
      </c>
      <c r="J849" s="10" t="n">
        <v>45687.33591435185</v>
      </c>
      <c r="K849" s="11" t="n">
        <v>0.002777777777777778</v>
      </c>
      <c r="L849" s="13" t="n"/>
    </row>
    <row r="850">
      <c r="A850" s="3" t="inlineStr">
        <is>
          <t>Coupling</t>
        </is>
      </c>
      <c r="B850" s="3" t="inlineStr">
        <is>
          <t>Act_COP_1030307_080033_611</t>
        </is>
      </c>
      <c r="C850" s="3" t="inlineStr">
        <is>
          <t>1030307</t>
        </is>
      </c>
      <c r="D850" s="9" t="n">
        <v>60.8</v>
      </c>
      <c r="E850" s="3" t="n"/>
      <c r="F850" s="3" t="n"/>
      <c r="G850" s="9" t="n"/>
      <c r="H850" s="10" t="n">
        <v>45687.33371527777</v>
      </c>
      <c r="I850" s="10" t="n">
        <v>45687.33450231481</v>
      </c>
      <c r="J850" s="10" t="n">
        <v>45687.33728009259</v>
      </c>
      <c r="K850" s="11" t="n">
        <v>0.002777777777777778</v>
      </c>
      <c r="L850" s="13" t="n"/>
    </row>
    <row r="851">
      <c r="A851" s="3" t="inlineStr">
        <is>
          <t>Coupling</t>
        </is>
      </c>
      <c r="B851" s="3" t="inlineStr">
        <is>
          <t>Act_COP_1030309_080316_625</t>
        </is>
      </c>
      <c r="C851" s="3" t="inlineStr">
        <is>
          <t>1030309</t>
        </is>
      </c>
      <c r="D851" s="9" t="n">
        <v>19.9</v>
      </c>
      <c r="E851" s="3" t="n"/>
      <c r="F851" s="3" t="n"/>
      <c r="G851" s="9" t="n"/>
      <c r="H851" s="10" t="n">
        <v>45687.33560185185</v>
      </c>
      <c r="I851" s="10" t="n">
        <v>45687.33644675926</v>
      </c>
      <c r="J851" s="10" t="n">
        <v>45687.33950231481</v>
      </c>
      <c r="K851" s="11" t="n">
        <v>0.003055555555555556</v>
      </c>
      <c r="L851" s="13" t="n"/>
    </row>
    <row r="852">
      <c r="A852" s="3" t="inlineStr">
        <is>
          <t>Coupling</t>
        </is>
      </c>
      <c r="B852" s="3" t="inlineStr">
        <is>
          <t>Act_COP_1030310_080503_617</t>
        </is>
      </c>
      <c r="C852" s="3" t="inlineStr">
        <is>
          <t>1030310</t>
        </is>
      </c>
      <c r="D852" s="9" t="n">
        <v>56</v>
      </c>
      <c r="E852" s="3" t="n"/>
      <c r="F852" s="3" t="n"/>
      <c r="G852" s="9" t="n"/>
      <c r="H852" s="10" t="n">
        <v>45687.33684027778</v>
      </c>
      <c r="I852" s="10" t="n">
        <v>45687.33761574074</v>
      </c>
      <c r="J852" s="10" t="n">
        <v>45687.34039351852</v>
      </c>
      <c r="K852" s="11" t="n">
        <v>0.002777777777777778</v>
      </c>
      <c r="L852" s="13" t="n"/>
    </row>
    <row r="853">
      <c r="A853" s="3" t="inlineStr">
        <is>
          <t>Coupling</t>
        </is>
      </c>
      <c r="B853" s="3" t="inlineStr">
        <is>
          <t>Act_COP_1030311_080634_615</t>
        </is>
      </c>
      <c r="C853" s="3" t="inlineStr">
        <is>
          <t>1030311</t>
        </is>
      </c>
      <c r="D853" s="9" t="n">
        <v>31.5</v>
      </c>
      <c r="E853" s="3" t="n"/>
      <c r="F853" s="3" t="n"/>
      <c r="G853" s="9" t="n"/>
      <c r="H853" s="10" t="n">
        <v>45687.33789351852</v>
      </c>
      <c r="I853" s="10" t="n">
        <v>45687.33876157407</v>
      </c>
      <c r="J853" s="10" t="n">
        <v>45687.34181712963</v>
      </c>
      <c r="K853" s="11" t="n">
        <v>0.003055555555555556</v>
      </c>
      <c r="L853" s="13" t="n"/>
    </row>
    <row r="854">
      <c r="A854" s="3" t="inlineStr">
        <is>
          <t>Coupling</t>
        </is>
      </c>
      <c r="B854" s="3" t="inlineStr">
        <is>
          <t>Act_COP_1030401_081334_607</t>
        </is>
      </c>
      <c r="C854" s="3" t="inlineStr">
        <is>
          <t>1030401</t>
        </is>
      </c>
      <c r="D854" s="9" t="n">
        <v>380.8</v>
      </c>
      <c r="E854" s="3" t="n"/>
      <c r="F854" s="3" t="n"/>
      <c r="G854" s="9" t="n"/>
      <c r="H854" s="10" t="n">
        <v>45687.34275462963</v>
      </c>
      <c r="I854" s="10" t="n">
        <v>45687.34362268518</v>
      </c>
      <c r="J854" s="10" t="n">
        <v>45687.34667824074</v>
      </c>
      <c r="K854" s="11" t="n">
        <v>0.003055555555555556</v>
      </c>
      <c r="L854" s="13" t="n"/>
    </row>
    <row r="855">
      <c r="A855" s="3" t="inlineStr">
        <is>
          <t>Coupling</t>
        </is>
      </c>
      <c r="B855" s="3" t="inlineStr">
        <is>
          <t>Act_COP_1030501+1030503_083852_621</t>
        </is>
      </c>
      <c r="C855" s="3" t="inlineStr">
        <is>
          <t>1030501+1030503</t>
        </is>
      </c>
      <c r="D855" s="9" t="n">
        <v>57.4</v>
      </c>
      <c r="E855" s="3" t="n"/>
      <c r="F855" s="3" t="n"/>
      <c r="G855" s="9" t="n"/>
      <c r="H855" s="10" t="n">
        <v>45687.36032407408</v>
      </c>
      <c r="I855" s="10" t="n">
        <v>45687.36599537037</v>
      </c>
      <c r="J855" s="10" t="n">
        <v>45687.36877314815</v>
      </c>
      <c r="K855" s="11" t="n">
        <v>0.002777777777777778</v>
      </c>
      <c r="L855" s="13" t="n"/>
    </row>
    <row r="856">
      <c r="A856" s="3" t="inlineStr">
        <is>
          <t>Coupling</t>
        </is>
      </c>
      <c r="B856" s="3" t="inlineStr">
        <is>
          <t>Act_COP_1030603_093646_625</t>
        </is>
      </c>
      <c r="C856" s="3" t="inlineStr">
        <is>
          <t>1030603</t>
        </is>
      </c>
      <c r="D856" s="9" t="n">
        <v>15.7</v>
      </c>
      <c r="E856" s="3" t="n"/>
      <c r="F856" s="3" t="n"/>
      <c r="G856" s="9" t="n"/>
      <c r="H856" s="10" t="n">
        <v>45687.40053240741</v>
      </c>
      <c r="I856" s="10" t="n">
        <v>45687.40130787037</v>
      </c>
      <c r="J856" s="10" t="n">
        <v>45687.40408564815</v>
      </c>
      <c r="K856" s="11" t="n">
        <v>0.002777777777777778</v>
      </c>
      <c r="L856" s="13" t="n"/>
    </row>
    <row r="857">
      <c r="A857" s="3" t="inlineStr">
        <is>
          <t>Coupling</t>
        </is>
      </c>
      <c r="B857" s="3" t="inlineStr">
        <is>
          <t>Act_COP_1031001_151603_629</t>
        </is>
      </c>
      <c r="C857" s="3" t="inlineStr">
        <is>
          <t>1031001</t>
        </is>
      </c>
      <c r="D857" s="9" t="n">
        <v>31.9</v>
      </c>
      <c r="E857" s="3" t="n"/>
      <c r="F857" s="3" t="n"/>
      <c r="G857" s="9" t="n"/>
      <c r="H857" s="10" t="n">
        <v>45687.63614583333</v>
      </c>
      <c r="I857" s="10" t="n">
        <v>45687.63700231481</v>
      </c>
      <c r="J857" s="10" t="n">
        <v>45687.64005787037</v>
      </c>
      <c r="K857" s="11" t="n">
        <v>0.003055555555555556</v>
      </c>
      <c r="L857" s="13" t="n"/>
    </row>
    <row r="858">
      <c r="A858" s="3" t="inlineStr">
        <is>
          <t>Coupling</t>
        </is>
      </c>
      <c r="B858" s="3" t="inlineStr">
        <is>
          <t>Act_COP_1031003_152126_619</t>
        </is>
      </c>
      <c r="C858" s="3" t="inlineStr">
        <is>
          <t>1031003</t>
        </is>
      </c>
      <c r="D858" s="9" t="n">
        <v>14</v>
      </c>
      <c r="E858" s="3" t="n"/>
      <c r="F858" s="3" t="n"/>
      <c r="G858" s="9" t="n"/>
      <c r="H858" s="10" t="n">
        <v>45687.63988425926</v>
      </c>
      <c r="I858" s="10" t="n">
        <v>45687.64068287037</v>
      </c>
      <c r="J858" s="10" t="n">
        <v>45687.64346064815</v>
      </c>
      <c r="K858" s="11" t="n">
        <v>0.002777777777777778</v>
      </c>
      <c r="L858" s="13" t="n"/>
    </row>
    <row r="859">
      <c r="A859" s="3" t="inlineStr">
        <is>
          <t>Coupling</t>
        </is>
      </c>
      <c r="B859" s="3" t="inlineStr">
        <is>
          <t>Act_COP_1031004_152415_621</t>
        </is>
      </c>
      <c r="C859" s="3" t="inlineStr">
        <is>
          <t>1031004</t>
        </is>
      </c>
      <c r="D859" s="9" t="n">
        <v>15.7</v>
      </c>
      <c r="E859" s="3" t="n"/>
      <c r="F859" s="3" t="n"/>
      <c r="G859" s="9" t="n"/>
      <c r="H859" s="10" t="n">
        <v>45687.64184027778</v>
      </c>
      <c r="I859" s="10" t="n">
        <v>45687.64270833333</v>
      </c>
      <c r="J859" s="10" t="n">
        <v>45687.64576388889</v>
      </c>
      <c r="K859" s="11" t="n">
        <v>0.003055555555555556</v>
      </c>
      <c r="L859" s="13" t="n"/>
    </row>
    <row r="860">
      <c r="A860" s="3" t="inlineStr">
        <is>
          <t>Coupling</t>
        </is>
      </c>
      <c r="B860" s="3" t="inlineStr">
        <is>
          <t>Act_COP_1031005_152712_621</t>
        </is>
      </c>
      <c r="C860" s="3" t="inlineStr">
        <is>
          <t>1031005</t>
        </is>
      </c>
      <c r="D860" s="9" t="n">
        <v>54</v>
      </c>
      <c r="E860" s="3" t="n"/>
      <c r="F860" s="3" t="n"/>
      <c r="G860" s="9" t="n"/>
      <c r="H860" s="10" t="n">
        <v>45687.64388888889</v>
      </c>
      <c r="I860" s="10" t="n">
        <v>45687.6447337963</v>
      </c>
      <c r="J860" s="10" t="n">
        <v>45687.64778935185</v>
      </c>
      <c r="K860" s="11" t="n">
        <v>0.003055555555555556</v>
      </c>
      <c r="L860" s="13" t="n"/>
    </row>
    <row r="861">
      <c r="A861" s="3" t="inlineStr">
        <is>
          <t>Coupling</t>
        </is>
      </c>
      <c r="B861" s="3" t="inlineStr">
        <is>
          <t>Act_COP_1031007_152946_605</t>
        </is>
      </c>
      <c r="C861" s="3" t="inlineStr">
        <is>
          <t>1031007</t>
        </is>
      </c>
      <c r="D861" s="9" t="n">
        <v>43.1</v>
      </c>
      <c r="E861" s="3" t="n"/>
      <c r="F861" s="3" t="n"/>
      <c r="G861" s="9" t="n"/>
      <c r="H861" s="10" t="n">
        <v>45687.6456712963</v>
      </c>
      <c r="I861" s="10" t="n">
        <v>45687.64645833334</v>
      </c>
      <c r="J861" s="10" t="n">
        <v>45687.64923611111</v>
      </c>
      <c r="K861" s="11" t="n">
        <v>0.002777777777777778</v>
      </c>
      <c r="L861" s="13" t="n"/>
    </row>
    <row r="862">
      <c r="A862" s="3" t="inlineStr">
        <is>
          <t>Coupling</t>
        </is>
      </c>
      <c r="B862" s="3" t="inlineStr">
        <is>
          <t>Act_COP_1031301_195426_615</t>
        </is>
      </c>
      <c r="C862" s="3" t="inlineStr">
        <is>
          <t>1031301</t>
        </is>
      </c>
      <c r="D862" s="9" t="n">
        <v>135.1</v>
      </c>
      <c r="E862" s="3" t="n"/>
      <c r="F862" s="3" t="n"/>
      <c r="G862" s="9" t="n"/>
      <c r="H862" s="10" t="n">
        <v>45687.82946759259</v>
      </c>
      <c r="I862" s="10" t="n">
        <v>45687.83033564815</v>
      </c>
      <c r="J862" s="10" t="n">
        <v>45687.83339120371</v>
      </c>
      <c r="K862" s="11" t="n">
        <v>0.003055555555555556</v>
      </c>
      <c r="L862" s="13" t="n"/>
    </row>
    <row r="863">
      <c r="A863" s="3" t="inlineStr">
        <is>
          <t>Coupling</t>
        </is>
      </c>
      <c r="B863" s="3" t="inlineStr">
        <is>
          <t>Act_COP_1031504_031210_615</t>
        </is>
      </c>
      <c r="C863" s="3" t="inlineStr">
        <is>
          <t>1031504</t>
        </is>
      </c>
      <c r="D863" s="9" t="n">
        <v>15.7</v>
      </c>
      <c r="E863" s="3" t="n"/>
      <c r="F863" s="3" t="n"/>
      <c r="G863" s="9" t="n"/>
      <c r="H863" s="10" t="n">
        <v>45688.13344907408</v>
      </c>
      <c r="I863" s="10" t="n">
        <v>45688.13429398148</v>
      </c>
      <c r="J863" s="10" t="n">
        <v>45688.13734953704</v>
      </c>
      <c r="K863" s="11" t="n">
        <v>0.003055555555555556</v>
      </c>
      <c r="L863" s="13" t="n"/>
    </row>
    <row r="864">
      <c r="A864" s="3" t="inlineStr">
        <is>
          <t>Coupling</t>
        </is>
      </c>
      <c r="B864" s="3" t="inlineStr">
        <is>
          <t>Act_COP_1031902_073706_627</t>
        </is>
      </c>
      <c r="C864" s="3" t="inlineStr">
        <is>
          <t>1031902</t>
        </is>
      </c>
      <c r="D864" s="9" t="n">
        <v>108</v>
      </c>
      <c r="E864" s="3" t="n"/>
      <c r="F864" s="3" t="n"/>
      <c r="G864" s="9" t="n"/>
      <c r="H864" s="10" t="n">
        <v>45688.31743055556</v>
      </c>
      <c r="I864" s="10" t="n">
        <v>45688.31821759259</v>
      </c>
      <c r="J864" s="10" t="n">
        <v>45688.32099537037</v>
      </c>
      <c r="K864" s="11" t="n">
        <v>0.002777777777777778</v>
      </c>
      <c r="L864" s="13" t="n"/>
    </row>
    <row r="865">
      <c r="A865" s="3" t="inlineStr">
        <is>
          <t>Coupling</t>
        </is>
      </c>
      <c r="B865" s="3" t="inlineStr">
        <is>
          <t>Act_COP_1031903_073912_611</t>
        </is>
      </c>
      <c r="C865" s="3" t="inlineStr">
        <is>
          <t>1031903</t>
        </is>
      </c>
      <c r="D865" s="9" t="n">
        <v>58.5</v>
      </c>
      <c r="E865" s="3" t="n"/>
      <c r="F865" s="3" t="n"/>
      <c r="G865" s="9" t="n"/>
      <c r="H865" s="10" t="n">
        <v>45688.31888888889</v>
      </c>
      <c r="I865" s="10" t="n">
        <v>45688.3197337963</v>
      </c>
      <c r="J865" s="10" t="n">
        <v>45688.32278935185</v>
      </c>
      <c r="K865" s="11" t="n">
        <v>0.003055555555555556</v>
      </c>
      <c r="L865" s="13" t="n"/>
    </row>
    <row r="866">
      <c r="A866" s="3" t="inlineStr">
        <is>
          <t>Coupling</t>
        </is>
      </c>
      <c r="B866" s="3" t="inlineStr">
        <is>
          <t>Act_COP_1031904_074205_629</t>
        </is>
      </c>
      <c r="C866" s="3" t="inlineStr">
        <is>
          <t>1031904</t>
        </is>
      </c>
      <c r="D866" s="9" t="n">
        <v>67.09999999999999</v>
      </c>
      <c r="E866" s="3" t="n"/>
      <c r="F866" s="3" t="n"/>
      <c r="G866" s="9" t="n"/>
      <c r="H866" s="10" t="n">
        <v>45688.3208912037</v>
      </c>
      <c r="I866" s="10" t="n">
        <v>45688.32172453704</v>
      </c>
      <c r="J866" s="10" t="n">
        <v>45688.32478009259</v>
      </c>
      <c r="K866" s="11" t="n">
        <v>0.003055555555555556</v>
      </c>
      <c r="L866" s="13" t="n"/>
    </row>
    <row r="867">
      <c r="A867" s="3" t="inlineStr">
        <is>
          <t>Coupling</t>
        </is>
      </c>
      <c r="B867" s="3" t="inlineStr">
        <is>
          <t>Act_COP_1031907_074737_619</t>
        </is>
      </c>
      <c r="C867" s="3" t="inlineStr">
        <is>
          <t>1031907</t>
        </is>
      </c>
      <c r="D867" s="9" t="n">
        <v>14</v>
      </c>
      <c r="E867" s="3" t="n"/>
      <c r="F867" s="3" t="n"/>
      <c r="G867" s="9" t="n"/>
      <c r="H867" s="10" t="n">
        <v>45688.3247337963</v>
      </c>
      <c r="I867" s="10" t="n">
        <v>45688.32557870371</v>
      </c>
      <c r="J867" s="10" t="n">
        <v>45688.32863425926</v>
      </c>
      <c r="K867" s="11" t="n">
        <v>0.003055555555555556</v>
      </c>
      <c r="L867" s="13" t="n"/>
    </row>
    <row r="868">
      <c r="A868" s="3" t="inlineStr">
        <is>
          <t>Coupling</t>
        </is>
      </c>
      <c r="B868" s="3" t="inlineStr">
        <is>
          <t>Act_COP_1031908_075029_606</t>
        </is>
      </c>
      <c r="C868" s="3" t="inlineStr">
        <is>
          <t>1031908</t>
        </is>
      </c>
      <c r="D868" s="9" t="n">
        <v>142.6</v>
      </c>
      <c r="E868" s="3" t="n"/>
      <c r="F868" s="3" t="n"/>
      <c r="G868" s="9" t="n"/>
      <c r="H868" s="10" t="n">
        <v>45688.32672453704</v>
      </c>
      <c r="I868" s="10" t="n">
        <v>45688.3275</v>
      </c>
      <c r="J868" s="10" t="n">
        <v>45688.33027777778</v>
      </c>
      <c r="K868" s="11" t="n">
        <v>0.002777777777777778</v>
      </c>
      <c r="L868" s="13" t="n"/>
    </row>
    <row r="869">
      <c r="A869" s="3" t="inlineStr">
        <is>
          <t>Coupling</t>
        </is>
      </c>
      <c r="B869" s="3" t="inlineStr">
        <is>
          <t>Act_COP_1031910_075313_629</t>
        </is>
      </c>
      <c r="C869" s="3" t="inlineStr">
        <is>
          <t>1031910</t>
        </is>
      </c>
      <c r="D869" s="9" t="n">
        <v>19.9</v>
      </c>
      <c r="E869" s="3" t="n"/>
      <c r="F869" s="3" t="n"/>
      <c r="G869" s="9" t="n"/>
      <c r="H869" s="10" t="n">
        <v>45688.32862268519</v>
      </c>
      <c r="I869" s="10" t="n">
        <v>45688.32940972222</v>
      </c>
      <c r="J869" s="10" t="n">
        <v>45688.3321875</v>
      </c>
      <c r="K869" s="11" t="n">
        <v>0.002777777777777778</v>
      </c>
      <c r="L869" s="13" t="n"/>
    </row>
    <row r="870">
      <c r="A870" s="3" t="inlineStr">
        <is>
          <t>Coupling</t>
        </is>
      </c>
      <c r="B870" s="3" t="inlineStr">
        <is>
          <t>Act_COP_1031911_075608_619</t>
        </is>
      </c>
      <c r="C870" s="3" t="inlineStr">
        <is>
          <t>1031911</t>
        </is>
      </c>
      <c r="D870" s="9" t="n">
        <v>59.7</v>
      </c>
      <c r="E870" s="3" t="n"/>
      <c r="F870" s="3" t="n"/>
      <c r="G870" s="9" t="n"/>
      <c r="H870" s="10" t="n">
        <v>45688.33064814815</v>
      </c>
      <c r="I870" s="10" t="n">
        <v>45688.33149305556</v>
      </c>
      <c r="J870" s="10" t="n">
        <v>45688.33454861111</v>
      </c>
      <c r="K870" s="11" t="n">
        <v>0.003055555555555556</v>
      </c>
      <c r="L870" s="13" t="n"/>
    </row>
    <row r="871">
      <c r="A871" s="3" t="inlineStr">
        <is>
          <t>Coupling</t>
        </is>
      </c>
      <c r="B871" s="3" t="inlineStr">
        <is>
          <t>Act_COP_1032203_092755_623</t>
        </is>
      </c>
      <c r="C871" s="3" t="inlineStr">
        <is>
          <t>1032203</t>
        </is>
      </c>
      <c r="D871" s="9" t="n">
        <v>31.5</v>
      </c>
      <c r="E871" s="3" t="n"/>
      <c r="F871" s="3" t="n"/>
      <c r="G871" s="9" t="n"/>
      <c r="H871" s="10" t="n">
        <v>45688.39438657407</v>
      </c>
      <c r="I871" s="10" t="n">
        <v>45688.39517361111</v>
      </c>
      <c r="J871" s="10" t="n">
        <v>45688.39795138889</v>
      </c>
      <c r="K871" s="11" t="n">
        <v>0.002777777777777778</v>
      </c>
      <c r="L871" s="13" t="n"/>
    </row>
    <row r="872">
      <c r="A872" s="3" t="inlineStr">
        <is>
          <t>Coupling</t>
        </is>
      </c>
      <c r="B872" s="3" t="inlineStr">
        <is>
          <t>Act_COP_1032204_093052_625</t>
        </is>
      </c>
      <c r="C872" s="3" t="inlineStr">
        <is>
          <t>1032204</t>
        </is>
      </c>
      <c r="D872" s="9" t="n">
        <v>33.9</v>
      </c>
      <c r="E872" s="3" t="n"/>
      <c r="F872" s="3" t="n"/>
      <c r="G872" s="9" t="n"/>
      <c r="H872" s="10" t="n">
        <v>45688.39643518518</v>
      </c>
      <c r="I872" s="10" t="n">
        <v>45688.39730324074</v>
      </c>
      <c r="J872" s="10" t="n">
        <v>45688.40035879629</v>
      </c>
      <c r="K872" s="11" t="n">
        <v>0.003055555555555556</v>
      </c>
      <c r="L872" s="13" t="n"/>
    </row>
    <row r="873">
      <c r="A873" s="3" t="inlineStr">
        <is>
          <t>Coupling</t>
        </is>
      </c>
      <c r="B873" s="3" t="inlineStr">
        <is>
          <t>Act_COP_1032205_093321_623</t>
        </is>
      </c>
      <c r="C873" s="3" t="inlineStr">
        <is>
          <t>1032205</t>
        </is>
      </c>
      <c r="D873" s="9" t="n">
        <v>15.7</v>
      </c>
      <c r="E873" s="3" t="n"/>
      <c r="F873" s="3" t="n"/>
      <c r="G873" s="9" t="n"/>
      <c r="H873" s="10" t="n">
        <v>45688.39815972222</v>
      </c>
      <c r="I873" s="10" t="n">
        <v>45688.39953703704</v>
      </c>
      <c r="J873" s="10" t="n">
        <v>45688.40231481481</v>
      </c>
      <c r="K873" s="11" t="n">
        <v>0.002777777777777778</v>
      </c>
      <c r="L873" s="13" t="n"/>
    </row>
    <row r="874">
      <c r="A874" s="3" t="inlineStr">
        <is>
          <t>Coupling</t>
        </is>
      </c>
      <c r="B874" s="3" t="inlineStr">
        <is>
          <t>Act_COP_1032206_093528_609</t>
        </is>
      </c>
      <c r="C874" s="3" t="inlineStr">
        <is>
          <t>1032206</t>
        </is>
      </c>
      <c r="D874" s="9" t="n">
        <v>15.7</v>
      </c>
      <c r="E874" s="3" t="n"/>
      <c r="F874" s="3" t="n"/>
      <c r="G874" s="9" t="n"/>
      <c r="H874" s="10" t="n">
        <v>45688.39962962963</v>
      </c>
      <c r="I874" s="10" t="n">
        <v>45688.4020949074</v>
      </c>
      <c r="J874" s="10" t="n">
        <v>45688.40515046296</v>
      </c>
      <c r="K874" s="11" t="n">
        <v>0.003055555555555556</v>
      </c>
      <c r="L874" s="13" t="n"/>
    </row>
    <row r="875">
      <c r="A875" s="3" t="inlineStr">
        <is>
          <t>Coupling</t>
        </is>
      </c>
      <c r="B875" s="3" t="inlineStr">
        <is>
          <t>Act_COP_1032208_093817_621</t>
        </is>
      </c>
      <c r="C875" s="3" t="inlineStr">
        <is>
          <t>1032208</t>
        </is>
      </c>
      <c r="D875" s="9" t="n">
        <v>31.5</v>
      </c>
      <c r="E875" s="3" t="n"/>
      <c r="F875" s="3" t="n"/>
      <c r="G875" s="9" t="n"/>
      <c r="H875" s="10" t="n">
        <v>45688.40158564815</v>
      </c>
      <c r="I875" s="10" t="n">
        <v>45688.40388888889</v>
      </c>
      <c r="J875" s="10" t="n">
        <v>45688.40666666667</v>
      </c>
      <c r="K875" s="11" t="n">
        <v>0.002777777777777778</v>
      </c>
      <c r="L875" s="13" t="n"/>
    </row>
    <row r="876">
      <c r="A876" s="3" t="inlineStr">
        <is>
          <t>Coupling</t>
        </is>
      </c>
      <c r="B876" s="3" t="inlineStr">
        <is>
          <t>Act_COP_1032302_105532_617</t>
        </is>
      </c>
      <c r="C876" s="3" t="inlineStr">
        <is>
          <t>1032302</t>
        </is>
      </c>
      <c r="D876" s="9" t="n">
        <v>82.90000000000001</v>
      </c>
      <c r="E876" s="3" t="n"/>
      <c r="F876" s="3" t="n"/>
      <c r="G876" s="9" t="n"/>
      <c r="H876" s="10" t="n">
        <v>45688.45523148148</v>
      </c>
      <c r="I876" s="10" t="n">
        <v>45688.45607638889</v>
      </c>
      <c r="J876" s="10" t="n">
        <v>45688.45913194444</v>
      </c>
      <c r="K876" s="11" t="n">
        <v>0.003055555555555556</v>
      </c>
      <c r="L876" s="13" t="n"/>
    </row>
    <row r="877">
      <c r="A877" s="3" t="inlineStr">
        <is>
          <t>Coupling</t>
        </is>
      </c>
      <c r="B877" s="3" t="inlineStr">
        <is>
          <t>Act_COP_1032401_124055_607</t>
        </is>
      </c>
      <c r="C877" s="3" t="inlineStr">
        <is>
          <t>1032401</t>
        </is>
      </c>
      <c r="D877" s="9" t="n">
        <v>247.3</v>
      </c>
      <c r="E877" s="3" t="n"/>
      <c r="F877" s="3" t="n"/>
      <c r="G877" s="9" t="n"/>
      <c r="H877" s="10" t="n">
        <v>45688.52841435185</v>
      </c>
      <c r="I877" s="10" t="n">
        <v>45688.52920138889</v>
      </c>
      <c r="J877" s="10" t="n">
        <v>45688.53197916667</v>
      </c>
      <c r="K877" s="11" t="n">
        <v>0.002777777777777778</v>
      </c>
      <c r="L877" s="13" t="n"/>
    </row>
    <row r="878">
      <c r="A878" s="3" t="inlineStr">
        <is>
          <t>Coupling</t>
        </is>
      </c>
      <c r="B878" s="3" t="inlineStr">
        <is>
          <t>Act_COP_1032604_153403_623</t>
        </is>
      </c>
      <c r="C878" s="3" t="inlineStr">
        <is>
          <t>1032604</t>
        </is>
      </c>
      <c r="D878" s="9" t="n">
        <v>15.7</v>
      </c>
      <c r="E878" s="3" t="n"/>
      <c r="F878" s="3" t="n"/>
      <c r="G878" s="9" t="n"/>
      <c r="H878" s="10" t="n">
        <v>45688.64864583333</v>
      </c>
      <c r="I878" s="10" t="n">
        <v>45688.64943287037</v>
      </c>
      <c r="J878" s="10" t="n">
        <v>45688.65221064815</v>
      </c>
      <c r="K878" s="11" t="n">
        <v>0.002777777777777778</v>
      </c>
      <c r="L878" s="13" t="n"/>
    </row>
    <row r="879">
      <c r="A879" s="3" t="inlineStr">
        <is>
          <t>Coupling</t>
        </is>
      </c>
      <c r="B879" s="3" t="inlineStr">
        <is>
          <t>Act_COP_1032607_154155_621</t>
        </is>
      </c>
      <c r="C879" s="3" t="inlineStr">
        <is>
          <t>1032607</t>
        </is>
      </c>
      <c r="D879" s="9" t="n">
        <v>80.7</v>
      </c>
      <c r="E879" s="3" t="n"/>
      <c r="F879" s="3" t="n"/>
      <c r="G879" s="9" t="n"/>
      <c r="H879" s="10" t="n">
        <v>45688.6541087963</v>
      </c>
      <c r="I879" s="10" t="n">
        <v>45688.65495370371</v>
      </c>
      <c r="J879" s="10" t="n">
        <v>45688.65800925926</v>
      </c>
      <c r="K879" s="11" t="n">
        <v>0.003055555555555556</v>
      </c>
      <c r="L879" s="13" t="n"/>
    </row>
    <row r="880">
      <c r="A880" s="3" t="inlineStr">
        <is>
          <t>Coupling</t>
        </is>
      </c>
      <c r="B880" s="3" t="inlineStr">
        <is>
          <t>Act_COP_1032701_155055_621</t>
        </is>
      </c>
      <c r="C880" s="3" t="inlineStr">
        <is>
          <t>1032701</t>
        </is>
      </c>
      <c r="D880" s="9" t="n">
        <v>60.8</v>
      </c>
      <c r="E880" s="3" t="n"/>
      <c r="F880" s="3" t="n"/>
      <c r="G880" s="9" t="n"/>
      <c r="H880" s="10" t="n">
        <v>45688.6603587963</v>
      </c>
      <c r="I880" s="10" t="n">
        <v>45688.6612037037</v>
      </c>
      <c r="J880" s="10" t="n">
        <v>45688.66425925926</v>
      </c>
      <c r="K880" s="11" t="n">
        <v>0.003055555555555556</v>
      </c>
      <c r="L880" s="13" t="n"/>
    </row>
    <row r="881">
      <c r="A881" s="3" t="inlineStr">
        <is>
          <t>Coupling</t>
        </is>
      </c>
      <c r="B881" s="3" t="inlineStr">
        <is>
          <t>Act_COP_1032702_155253_611</t>
        </is>
      </c>
      <c r="C881" s="3" t="inlineStr">
        <is>
          <t>1032702</t>
        </is>
      </c>
      <c r="D881" s="9" t="n">
        <v>19.9</v>
      </c>
      <c r="E881" s="3" t="n"/>
      <c r="F881" s="3" t="n"/>
      <c r="G881" s="9" t="n"/>
      <c r="H881" s="10" t="n">
        <v>45688.66172453704</v>
      </c>
      <c r="I881" s="10" t="n">
        <v>45688.66259259259</v>
      </c>
      <c r="J881" s="10" t="n">
        <v>45688.66564814815</v>
      </c>
      <c r="K881" s="11" t="n">
        <v>0.003055555555555556</v>
      </c>
      <c r="L881" s="13" t="n"/>
    </row>
    <row r="882">
      <c r="A882" s="3" t="inlineStr">
        <is>
          <t>Coupling</t>
        </is>
      </c>
      <c r="B882" s="3" t="inlineStr">
        <is>
          <t>Act_COP_1032704_155648_607</t>
        </is>
      </c>
      <c r="C882" s="3" t="inlineStr">
        <is>
          <t>1032704</t>
        </is>
      </c>
      <c r="D882" s="9" t="n">
        <v>19.9</v>
      </c>
      <c r="E882" s="3" t="n"/>
      <c r="F882" s="3" t="n"/>
      <c r="G882" s="9" t="n"/>
      <c r="H882" s="10" t="n">
        <v>45688.66444444445</v>
      </c>
      <c r="I882" s="10" t="n">
        <v>45688.66738425926</v>
      </c>
      <c r="J882" s="10" t="n">
        <v>45688.67043981481</v>
      </c>
      <c r="K882" s="11" t="n">
        <v>0.003055555555555556</v>
      </c>
      <c r="L882" s="13" t="n"/>
    </row>
    <row r="883">
      <c r="A883" s="3" t="inlineStr">
        <is>
          <t>Coupling</t>
        </is>
      </c>
      <c r="B883" s="3" t="inlineStr">
        <is>
          <t>Act_COP_1032705_155952_629</t>
        </is>
      </c>
      <c r="C883" s="3" t="inlineStr">
        <is>
          <t>1032705</t>
        </is>
      </c>
      <c r="D883" s="9" t="n">
        <v>121.8</v>
      </c>
      <c r="E883" s="3" t="n"/>
      <c r="F883" s="3" t="n"/>
      <c r="G883" s="9" t="n"/>
      <c r="H883" s="10" t="n">
        <v>45688.66657407407</v>
      </c>
      <c r="I883" s="10" t="n">
        <v>45688.66917824074</v>
      </c>
      <c r="J883" s="10" t="n">
        <v>45688.67223379629</v>
      </c>
      <c r="K883" s="11" t="n">
        <v>0.003055555555555556</v>
      </c>
      <c r="L883" s="13" t="n"/>
    </row>
    <row r="884">
      <c r="A884" s="3" t="inlineStr">
        <is>
          <t>Coupling</t>
        </is>
      </c>
      <c r="B884" s="3" t="inlineStr">
        <is>
          <t>Act_COP_1032707_160513_623</t>
        </is>
      </c>
      <c r="C884" s="3" t="inlineStr">
        <is>
          <t>1032707</t>
        </is>
      </c>
      <c r="D884" s="9" t="n">
        <v>15.7</v>
      </c>
      <c r="E884" s="3" t="n"/>
      <c r="F884" s="3" t="n"/>
      <c r="G884" s="9" t="n"/>
      <c r="H884" s="10" t="n">
        <v>45688.67028935185</v>
      </c>
      <c r="I884" s="10" t="n">
        <v>45688.67392361111</v>
      </c>
      <c r="J884" s="10" t="n">
        <v>45688.67697916667</v>
      </c>
      <c r="K884" s="11" t="n">
        <v>0.003055555555555556</v>
      </c>
      <c r="L884" s="13" t="n"/>
    </row>
    <row r="885">
      <c r="A885" s="3" t="inlineStr">
        <is>
          <t>Coupling</t>
        </is>
      </c>
      <c r="B885" s="3" t="inlineStr">
        <is>
          <t>Act_COP_1032709_160806_621</t>
        </is>
      </c>
      <c r="C885" s="3" t="inlineStr">
        <is>
          <t>1032709</t>
        </is>
      </c>
      <c r="D885" s="9" t="n">
        <v>47.2</v>
      </c>
      <c r="E885" s="3" t="n"/>
      <c r="F885" s="3" t="n"/>
      <c r="G885" s="9" t="n"/>
      <c r="H885" s="10" t="n">
        <v>45688.67229166667</v>
      </c>
      <c r="I885" s="10" t="n">
        <v>45688.67543981481</v>
      </c>
      <c r="J885" s="10" t="n">
        <v>45688.67849537037</v>
      </c>
      <c r="K885" s="11" t="n">
        <v>0.003055555555555556</v>
      </c>
      <c r="L885" s="13" t="n"/>
    </row>
    <row r="886">
      <c r="A886" s="3" t="inlineStr">
        <is>
          <t>Coupling</t>
        </is>
      </c>
      <c r="B886" s="3" t="inlineStr">
        <is>
          <t>Act_COP_1032710_161058_625</t>
        </is>
      </c>
      <c r="C886" s="3" t="inlineStr">
        <is>
          <t>1032710</t>
        </is>
      </c>
      <c r="D886" s="9" t="n">
        <v>14</v>
      </c>
      <c r="E886" s="3" t="n"/>
      <c r="F886" s="3" t="n"/>
      <c r="G886" s="9" t="n"/>
      <c r="H886" s="10" t="n">
        <v>45688.67428240741</v>
      </c>
      <c r="I886" s="10" t="n">
        <v>45688.67866898148</v>
      </c>
      <c r="J886" s="10" t="n">
        <v>45688.68172453704</v>
      </c>
      <c r="K886" s="11" t="n">
        <v>0.003055555555555556</v>
      </c>
      <c r="L886" s="13" t="n"/>
    </row>
    <row r="887">
      <c r="A887" s="3" t="inlineStr">
        <is>
          <t>Coupling</t>
        </is>
      </c>
      <c r="B887" s="3" t="inlineStr">
        <is>
          <t>Act_COP_1032711_161309_609</t>
        </is>
      </c>
      <c r="C887" s="3" t="inlineStr">
        <is>
          <t>1032711</t>
        </is>
      </c>
      <c r="D887" s="9" t="n">
        <v>35.6</v>
      </c>
      <c r="E887" s="3" t="n"/>
      <c r="F887" s="3" t="n"/>
      <c r="G887" s="9" t="n"/>
      <c r="H887" s="10" t="n">
        <v>45688.67579861111</v>
      </c>
      <c r="I887" s="10" t="n">
        <v>45688.68023148148</v>
      </c>
      <c r="J887" s="10" t="n">
        <v>45688.68328703703</v>
      </c>
      <c r="K887" s="11" t="n">
        <v>0.003055555555555556</v>
      </c>
      <c r="L887" s="13" t="n"/>
    </row>
    <row r="888">
      <c r="A888" s="3" t="inlineStr">
        <is>
          <t>Coupling</t>
        </is>
      </c>
      <c r="B888" s="3" t="inlineStr">
        <is>
          <t>Act_COP_1033102_203120_621</t>
        </is>
      </c>
      <c r="C888" s="3" t="inlineStr">
        <is>
          <t>1033102</t>
        </is>
      </c>
      <c r="D888" s="9" t="n">
        <v>23.2</v>
      </c>
      <c r="E888" s="3" t="n"/>
      <c r="F888" s="3" t="n"/>
      <c r="G888" s="9" t="n"/>
      <c r="H888" s="10" t="n">
        <v>45688.8550925926</v>
      </c>
      <c r="I888" s="10" t="n">
        <v>45688.85585648148</v>
      </c>
      <c r="J888" s="10" t="n">
        <v>45688.85863425926</v>
      </c>
      <c r="K888" s="11" t="n">
        <v>0.002777777777777778</v>
      </c>
      <c r="L888" s="13" t="n"/>
    </row>
    <row r="889">
      <c r="A889" s="3" t="inlineStr">
        <is>
          <t>Coupling</t>
        </is>
      </c>
      <c r="B889" s="3" t="inlineStr">
        <is>
          <t>Act_COP_1033103_203340_607</t>
        </is>
      </c>
      <c r="C889" s="3" t="inlineStr">
        <is>
          <t>1033103</t>
        </is>
      </c>
      <c r="D889" s="9" t="n">
        <v>19.9</v>
      </c>
      <c r="E889" s="3" t="n"/>
      <c r="F889" s="3" t="n"/>
      <c r="G889" s="9" t="n"/>
      <c r="H889" s="10" t="n">
        <v>45688.85671296297</v>
      </c>
      <c r="I889" s="10" t="n">
        <v>45688.8575462963</v>
      </c>
      <c r="J889" s="10" t="n">
        <v>45688.86060185185</v>
      </c>
      <c r="K889" s="11" t="n">
        <v>0.003055555555555556</v>
      </c>
      <c r="L889" s="13" t="n"/>
    </row>
    <row r="890">
      <c r="A890" s="3" t="inlineStr">
        <is>
          <t>Coupling</t>
        </is>
      </c>
      <c r="B890" s="3" t="inlineStr">
        <is>
          <t>Act_COP_1033105_203929_629</t>
        </is>
      </c>
      <c r="C890" s="3" t="inlineStr">
        <is>
          <t>1033105</t>
        </is>
      </c>
      <c r="D890" s="9" t="n">
        <v>110.3</v>
      </c>
      <c r="E890" s="3" t="n"/>
      <c r="F890" s="3" t="n"/>
      <c r="G890" s="9" t="n"/>
      <c r="H890" s="10" t="n">
        <v>45688.86075231482</v>
      </c>
      <c r="I890" s="10" t="n">
        <v>45688.86152777778</v>
      </c>
      <c r="J890" s="10" t="n">
        <v>45688.86430555556</v>
      </c>
      <c r="K890" s="11" t="n">
        <v>0.002777777777777778</v>
      </c>
      <c r="L890" s="13" t="n"/>
    </row>
    <row r="891">
      <c r="A891" s="3" t="inlineStr">
        <is>
          <t>Coupling</t>
        </is>
      </c>
      <c r="B891" s="3" t="inlineStr">
        <is>
          <t>Act_COP_1033106_204159_605</t>
        </is>
      </c>
      <c r="C891" s="3" t="inlineStr">
        <is>
          <t>1033106</t>
        </is>
      </c>
      <c r="D891" s="9" t="n">
        <v>19.9</v>
      </c>
      <c r="E891" s="3" t="n"/>
      <c r="F891" s="3" t="n"/>
      <c r="G891" s="9" t="n"/>
      <c r="H891" s="10" t="n">
        <v>45688.86248842593</v>
      </c>
      <c r="I891" s="10" t="n">
        <v>45688.86335648148</v>
      </c>
      <c r="J891" s="10" t="n">
        <v>45688.86641203704</v>
      </c>
      <c r="K891" s="11" t="n">
        <v>0.003055555555555556</v>
      </c>
      <c r="L891" s="13" t="n"/>
    </row>
    <row r="892">
      <c r="A892" s="3" t="inlineStr">
        <is>
          <t>DepartureDrive</t>
        </is>
      </c>
      <c r="B892" s="3" t="inlineStr">
        <is>
          <t>Act_DEPD_OBT020125030112-Neunkirchen (loading tracks)_032825_613</t>
        </is>
      </c>
      <c r="C892" s="3" t="inlineStr">
        <is>
          <t>OBT020125030112-Neunkirchen (loading tracks)</t>
        </is>
      </c>
      <c r="D892" s="9" t="n">
        <v>103.9</v>
      </c>
      <c r="E892" s="3" t="inlineStr">
        <is>
          <t>613</t>
        </is>
      </c>
      <c r="F892" s="3" t="inlineStr">
        <is>
          <t>Exit gate</t>
        </is>
      </c>
      <c r="G892" s="9" t="n">
        <v>205.9</v>
      </c>
      <c r="H892" s="10" t="n">
        <v>45659.1447337963</v>
      </c>
      <c r="I892" s="10" t="n">
        <v>45659.1447337963</v>
      </c>
      <c r="J892" s="10" t="n">
        <v>45659.14540509259</v>
      </c>
      <c r="K892" s="11" t="n">
        <v>0.0006712962962962962</v>
      </c>
      <c r="L892" s="13" t="n"/>
    </row>
    <row r="893">
      <c r="A893" s="3" t="inlineStr">
        <is>
          <t>DepartureDrive</t>
        </is>
      </c>
      <c r="B893" s="3" t="inlineStr">
        <is>
          <t>Act_DEPD_OBT020125064334-Wien Kledering_073027_613</t>
        </is>
      </c>
      <c r="C893" s="3" t="inlineStr">
        <is>
          <t>OBT020125064334-Wien Kledering</t>
        </is>
      </c>
      <c r="D893" s="9" t="n">
        <v>182.7</v>
      </c>
      <c r="E893" s="3" t="inlineStr">
        <is>
          <t>613</t>
        </is>
      </c>
      <c r="F893" s="3" t="inlineStr">
        <is>
          <t>Exit gate</t>
        </is>
      </c>
      <c r="G893" s="9" t="n">
        <v>205.9</v>
      </c>
      <c r="H893" s="10" t="n">
        <v>45659.3128125</v>
      </c>
      <c r="I893" s="10" t="n">
        <v>45659.3128125</v>
      </c>
      <c r="J893" s="10" t="n">
        <v>45659.31366898148</v>
      </c>
      <c r="K893" s="11" t="n">
        <v>0.0008564814814814815</v>
      </c>
      <c r="L893" s="13" t="n"/>
    </row>
    <row r="894">
      <c r="A894" s="3" t="inlineStr">
        <is>
          <t>DepartureDrive</t>
        </is>
      </c>
      <c r="B894" s="3" t="inlineStr">
        <is>
          <t>Act_DEPD_OBT020125073857-Wien Kledering_082723_621</t>
        </is>
      </c>
      <c r="C894" s="3" t="inlineStr">
        <is>
          <t>OBT020125073857-Wien Kledering</t>
        </is>
      </c>
      <c r="D894" s="9" t="n">
        <v>189</v>
      </c>
      <c r="E894" s="3" t="inlineStr">
        <is>
          <t>621</t>
        </is>
      </c>
      <c r="F894" s="3" t="inlineStr">
        <is>
          <t>Exit gate</t>
        </is>
      </c>
      <c r="G894" s="9" t="n">
        <v>259.31</v>
      </c>
      <c r="H894" s="10" t="n">
        <v>45659.35234953704</v>
      </c>
      <c r="I894" s="10" t="n">
        <v>45659.35234953704</v>
      </c>
      <c r="J894" s="10" t="n">
        <v>45659.35333333333</v>
      </c>
      <c r="K894" s="11" t="n">
        <v>0.0009837962962962962</v>
      </c>
      <c r="L894" s="13" t="n"/>
    </row>
    <row r="895">
      <c r="A895" s="3" t="inlineStr">
        <is>
          <t>DepartureDrive</t>
        </is>
      </c>
      <c r="B895" s="3" t="inlineStr">
        <is>
          <t>Act_DEPD_OBT020125074750-Pitten (Hamburger)_085524_605</t>
        </is>
      </c>
      <c r="C895" s="3" t="inlineStr">
        <is>
          <t>OBT020125074750-Pitten (Hamburger)</t>
        </is>
      </c>
      <c r="D895" s="9" t="n">
        <v>264.6</v>
      </c>
      <c r="E895" s="3" t="inlineStr">
        <is>
          <t>605</t>
        </is>
      </c>
      <c r="F895" s="3" t="inlineStr">
        <is>
          <t>Exit gate</t>
        </is>
      </c>
      <c r="G895" s="9" t="n">
        <v>286.14</v>
      </c>
      <c r="H895" s="10" t="n">
        <v>45659.37180555556</v>
      </c>
      <c r="I895" s="10" t="n">
        <v>45659.37180555556</v>
      </c>
      <c r="J895" s="10" t="n">
        <v>45659.37302083334</v>
      </c>
      <c r="K895" s="11" t="n">
        <v>0.001215277777777778</v>
      </c>
      <c r="L895" s="13" t="n"/>
    </row>
    <row r="896">
      <c r="A896" s="3" t="inlineStr">
        <is>
          <t>DepartureDrive</t>
        </is>
      </c>
      <c r="B896" s="3" t="inlineStr">
        <is>
          <t>Act_DEPD_OBT020125092035-Wien Kledering_095720_629</t>
        </is>
      </c>
      <c r="C896" s="3" t="inlineStr">
        <is>
          <t>OBT020125092035-Wien Kledering</t>
        </is>
      </c>
      <c r="D896" s="9" t="n">
        <v>142.2</v>
      </c>
      <c r="E896" s="3" t="inlineStr">
        <is>
          <t>629</t>
        </is>
      </c>
      <c r="F896" s="3" t="inlineStr">
        <is>
          <t>Exit gate</t>
        </is>
      </c>
      <c r="G896" s="9" t="n">
        <v>182.11</v>
      </c>
      <c r="H896" s="10" t="n">
        <v>45659.41481481482</v>
      </c>
      <c r="I896" s="10" t="n">
        <v>45659.41481481482</v>
      </c>
      <c r="J896" s="10" t="n">
        <v>45659.41552083333</v>
      </c>
      <c r="K896" s="11" t="n">
        <v>0.0007060185185185185</v>
      </c>
      <c r="L896" s="13" t="n"/>
    </row>
    <row r="897">
      <c r="A897" s="3" t="inlineStr">
        <is>
          <t>DepartureDrive</t>
        </is>
      </c>
      <c r="B897" s="3" t="inlineStr">
        <is>
          <t>Act_DEPD_OBT020125082044-Wien Kledering_100221_613</t>
        </is>
      </c>
      <c r="C897" s="3" t="inlineStr">
        <is>
          <t>OBT020125082044-Wien Kledering</t>
        </is>
      </c>
      <c r="D897" s="9" t="n">
        <v>396.6</v>
      </c>
      <c r="E897" s="3" t="inlineStr">
        <is>
          <t>613</t>
        </is>
      </c>
      <c r="F897" s="3" t="inlineStr">
        <is>
          <t>Exit gate</t>
        </is>
      </c>
      <c r="G897" s="9" t="n">
        <v>205.9</v>
      </c>
      <c r="H897" s="10" t="n">
        <v>45659.41829861111</v>
      </c>
      <c r="I897" s="10" t="n">
        <v>45659.41829861111</v>
      </c>
      <c r="J897" s="10" t="n">
        <v>45659.41964120371</v>
      </c>
      <c r="K897" s="11" t="n">
        <v>0.001342592592592592</v>
      </c>
      <c r="L897" s="13" t="n"/>
    </row>
    <row r="898">
      <c r="A898" s="3" t="inlineStr">
        <is>
          <t>DepartureDrive</t>
        </is>
      </c>
      <c r="B898" s="3" t="inlineStr">
        <is>
          <t>Act_DEPD_OBT020125093825-Wr. Neustadt (Hödlmayr)_102645_609</t>
        </is>
      </c>
      <c r="C898" s="3" t="inlineStr">
        <is>
          <t>OBT020125093825-Wr. Neustadt (Hödlmayr)</t>
        </is>
      </c>
      <c r="D898" s="9" t="n">
        <v>108</v>
      </c>
      <c r="E898" s="3" t="inlineStr">
        <is>
          <t>609</t>
        </is>
      </c>
      <c r="F898" s="3" t="inlineStr">
        <is>
          <t>Exit gate</t>
        </is>
      </c>
      <c r="G898" s="9" t="n">
        <v>259.16</v>
      </c>
      <c r="H898" s="10" t="n">
        <v>45659.43524305556</v>
      </c>
      <c r="I898" s="10" t="n">
        <v>45659.43524305556</v>
      </c>
      <c r="J898" s="10" t="n">
        <v>45659.43603009259</v>
      </c>
      <c r="K898" s="11" t="n">
        <v>0.000787037037037037</v>
      </c>
      <c r="L898" s="13" t="n"/>
    </row>
    <row r="899">
      <c r="A899" s="3" t="inlineStr">
        <is>
          <t>DepartureDrive</t>
        </is>
      </c>
      <c r="B899" s="3" t="inlineStr">
        <is>
          <t>Act_DEPD_OBT020125093208-Other sidings north_103010_619</t>
        </is>
      </c>
      <c r="C899" s="3" t="inlineStr">
        <is>
          <t>OBT020125093208-Other sidings north</t>
        </is>
      </c>
      <c r="D899" s="9" t="n">
        <v>134.2</v>
      </c>
      <c r="E899" s="3" t="inlineStr">
        <is>
          <t>619</t>
        </is>
      </c>
      <c r="F899" s="3" t="inlineStr">
        <is>
          <t>Exit gate</t>
        </is>
      </c>
      <c r="G899" s="9" t="n">
        <v>262.93</v>
      </c>
      <c r="H899" s="10" t="n">
        <v>45659.43761574074</v>
      </c>
      <c r="I899" s="10" t="n">
        <v>45659.43761574074</v>
      </c>
      <c r="J899" s="10" t="n">
        <v>45659.43848379629</v>
      </c>
      <c r="K899" s="11" t="n">
        <v>0.0008680555555555555</v>
      </c>
      <c r="L899" s="13" t="n"/>
    </row>
    <row r="900">
      <c r="A900" s="3" t="inlineStr">
        <is>
          <t>DepartureDrive</t>
        </is>
      </c>
      <c r="B900" s="3" t="inlineStr">
        <is>
          <t>Act_DEPD_OBT020125094857-Pitten (Hamburger)_105323_629</t>
        </is>
      </c>
      <c r="C900" s="3" t="inlineStr">
        <is>
          <t>OBT020125094857-Pitten (Hamburger)</t>
        </is>
      </c>
      <c r="D900" s="9" t="n">
        <v>194.2</v>
      </c>
      <c r="E900" s="3" t="inlineStr">
        <is>
          <t>629</t>
        </is>
      </c>
      <c r="F900" s="3" t="inlineStr">
        <is>
          <t>Exit gate</t>
        </is>
      </c>
      <c r="G900" s="9" t="n">
        <v>182.11</v>
      </c>
      <c r="H900" s="10" t="n">
        <v>45659.45373842592</v>
      </c>
      <c r="I900" s="10" t="n">
        <v>45659.45373842592</v>
      </c>
      <c r="J900" s="10" t="n">
        <v>45659.45457175926</v>
      </c>
      <c r="K900" s="11" t="n">
        <v>0.0008333333333333334</v>
      </c>
      <c r="L900" s="13" t="n"/>
    </row>
    <row r="901">
      <c r="A901" s="3" t="inlineStr">
        <is>
          <t>DepartureDrive</t>
        </is>
      </c>
      <c r="B901" s="3" t="inlineStr">
        <is>
          <t>Act_DEPD_OBT020125105809-Wien Kledering_123112_613</t>
        </is>
      </c>
      <c r="C901" s="3" t="inlineStr">
        <is>
          <t>OBT020125105809-Wien Kledering</t>
        </is>
      </c>
      <c r="D901" s="9" t="n">
        <v>367.2</v>
      </c>
      <c r="E901" s="3" t="inlineStr">
        <is>
          <t>613</t>
        </is>
      </c>
      <c r="F901" s="3" t="inlineStr">
        <is>
          <t>Exit gate</t>
        </is>
      </c>
      <c r="G901" s="9" t="n">
        <v>205.9</v>
      </c>
      <c r="H901" s="10" t="n">
        <v>45659.52166666667</v>
      </c>
      <c r="I901" s="10" t="n">
        <v>45659.52166666667</v>
      </c>
      <c r="J901" s="10" t="n">
        <v>45659.52293981481</v>
      </c>
      <c r="K901" s="11" t="n">
        <v>0.001273148148148148</v>
      </c>
      <c r="L901" s="13" t="n"/>
    </row>
    <row r="902">
      <c r="A902" s="3" t="inlineStr">
        <is>
          <t>DepartureDrive</t>
        </is>
      </c>
      <c r="B902" s="3" t="inlineStr">
        <is>
          <t>Act_DEPD_OBT020125145206-Wien Kledering_160508_613</t>
        </is>
      </c>
      <c r="C902" s="3" t="inlineStr">
        <is>
          <t>OBT020125145206-Wien Kledering</t>
        </is>
      </c>
      <c r="D902" s="9" t="n">
        <v>287.1</v>
      </c>
      <c r="E902" s="3" t="inlineStr">
        <is>
          <t>613</t>
        </is>
      </c>
      <c r="F902" s="3" t="inlineStr">
        <is>
          <t>Exit gate</t>
        </is>
      </c>
      <c r="G902" s="9" t="n">
        <v>205.9</v>
      </c>
      <c r="H902" s="10" t="n">
        <v>45659.67023148148</v>
      </c>
      <c r="I902" s="10" t="n">
        <v>45659.67023148148</v>
      </c>
      <c r="J902" s="10" t="n">
        <v>45659.67131944445</v>
      </c>
      <c r="K902" s="11" t="n">
        <v>0.001087962962962963</v>
      </c>
      <c r="L902" s="13" t="n"/>
    </row>
    <row r="903">
      <c r="A903" s="3" t="inlineStr">
        <is>
          <t>DepartureDrive</t>
        </is>
      </c>
      <c r="B903" s="3" t="inlineStr">
        <is>
          <t>Act_DEPD_OBT020125154035-Neudörfl (FunderMax)_162159_606</t>
        </is>
      </c>
      <c r="C903" s="3" t="inlineStr">
        <is>
          <t>OBT020125154035-Neudörfl (FunderMax)</t>
        </is>
      </c>
      <c r="D903" s="9" t="n">
        <v>114.8</v>
      </c>
      <c r="E903" s="3" t="inlineStr">
        <is>
          <t>606</t>
        </is>
      </c>
      <c r="F903" s="3" t="inlineStr">
        <is>
          <t>Exit gate</t>
        </is>
      </c>
      <c r="G903" s="9" t="n">
        <v>245</v>
      </c>
      <c r="H903" s="10" t="n">
        <v>45659.68193287037</v>
      </c>
      <c r="I903" s="10" t="n">
        <v>45659.68193287037</v>
      </c>
      <c r="J903" s="10" t="n">
        <v>45659.68270833333</v>
      </c>
      <c r="K903" s="11" t="n">
        <v>0.0007754629629629629</v>
      </c>
      <c r="L903" s="13" t="n"/>
    </row>
    <row r="904">
      <c r="A904" s="3" t="inlineStr">
        <is>
          <t>DepartureDrive</t>
        </is>
      </c>
      <c r="B904" s="3" t="inlineStr">
        <is>
          <t>Act_DEPD_OBT020125155102-Other sidings north_165341_629</t>
        </is>
      </c>
      <c r="C904" s="3" t="inlineStr">
        <is>
          <t>OBT020125155102-Other sidings north</t>
        </is>
      </c>
      <c r="D904" s="9" t="n">
        <v>117.8</v>
      </c>
      <c r="E904" s="3" t="inlineStr">
        <is>
          <t>629</t>
        </is>
      </c>
      <c r="F904" s="3" t="inlineStr">
        <is>
          <t>Exit gate</t>
        </is>
      </c>
      <c r="G904" s="9" t="n">
        <v>182.11</v>
      </c>
      <c r="H904" s="10" t="n">
        <v>45659.70394675926</v>
      </c>
      <c r="I904" s="10" t="n">
        <v>45659.70394675926</v>
      </c>
      <c r="J904" s="10" t="n">
        <v>45659.70460648148</v>
      </c>
      <c r="K904" s="11" t="n">
        <v>0.0006597222222222222</v>
      </c>
      <c r="L904" s="13" t="n"/>
    </row>
    <row r="905">
      <c r="A905" s="3" t="inlineStr">
        <is>
          <t>DepartureDrive</t>
        </is>
      </c>
      <c r="B905" s="3" t="inlineStr">
        <is>
          <t>Act_DEPD_OBT020125152222-Ternitz (Schoeller-Bleckmann)_165427_627</t>
        </is>
      </c>
      <c r="C905" s="3" t="inlineStr">
        <is>
          <t>OBT020125152222-Ternitz (Schoeller-Bleckmann)</t>
        </is>
      </c>
      <c r="D905" s="9" t="n">
        <v>363.4</v>
      </c>
      <c r="E905" s="3" t="inlineStr">
        <is>
          <t>627</t>
        </is>
      </c>
      <c r="F905" s="3" t="inlineStr">
        <is>
          <t>Exit gate</t>
        </is>
      </c>
      <c r="G905" s="9" t="n">
        <v>188.33</v>
      </c>
      <c r="H905" s="10" t="n">
        <v>45659.70447916666</v>
      </c>
      <c r="I905" s="10" t="n">
        <v>45659.70460648148</v>
      </c>
      <c r="J905" s="10" t="n">
        <v>45659.70583333333</v>
      </c>
      <c r="K905" s="11" t="n">
        <v>0.001226851851851852</v>
      </c>
      <c r="L905" s="13" t="n"/>
    </row>
    <row r="906">
      <c r="A906" s="3" t="inlineStr">
        <is>
          <t>DepartureDrive</t>
        </is>
      </c>
      <c r="B906" s="3" t="inlineStr">
        <is>
          <t>Act_DEPD_OBT020125154208-Pitten (Hamburger)_171155_629</t>
        </is>
      </c>
      <c r="C906" s="3" t="inlineStr">
        <is>
          <t>OBT020125154208-Pitten (Hamburger)</t>
        </is>
      </c>
      <c r="D906" s="9" t="n">
        <v>257.1</v>
      </c>
      <c r="E906" s="3" t="inlineStr">
        <is>
          <t>629</t>
        </is>
      </c>
      <c r="F906" s="3" t="inlineStr">
        <is>
          <t>Exit gate</t>
        </is>
      </c>
      <c r="G906" s="9" t="n">
        <v>182.11</v>
      </c>
      <c r="H906" s="10" t="n">
        <v>45659.7166087963</v>
      </c>
      <c r="I906" s="10" t="n">
        <v>45659.7166087963</v>
      </c>
      <c r="J906" s="10" t="n">
        <v>45659.71758101852</v>
      </c>
      <c r="K906" s="11" t="n">
        <v>0.0009722222222222222</v>
      </c>
      <c r="L906" s="13" t="n"/>
    </row>
    <row r="907">
      <c r="A907" s="3" t="inlineStr">
        <is>
          <t>DepartureDrive</t>
        </is>
      </c>
      <c r="B907" s="3" t="inlineStr">
        <is>
          <t>Act_DEPD_OBT020125184418-Neunkirchen (loading tracks)_191444_623</t>
        </is>
      </c>
      <c r="C907" s="3" t="inlineStr">
        <is>
          <t>OBT020125184418-Neunkirchen (loading tracks)</t>
        </is>
      </c>
      <c r="D907" s="9" t="n">
        <v>102.8</v>
      </c>
      <c r="E907" s="3" t="inlineStr">
        <is>
          <t>623</t>
        </is>
      </c>
      <c r="F907" s="3" t="inlineStr">
        <is>
          <t>Exit gate</t>
        </is>
      </c>
      <c r="G907" s="9" t="n">
        <v>259.31</v>
      </c>
      <c r="H907" s="10" t="n">
        <v>45659.80189814815</v>
      </c>
      <c r="I907" s="10" t="n">
        <v>45659.80189814815</v>
      </c>
      <c r="J907" s="10" t="n">
        <v>45659.80267361111</v>
      </c>
      <c r="K907" s="11" t="n">
        <v>0.0007754629629629629</v>
      </c>
      <c r="L907" s="13" t="n"/>
    </row>
    <row r="908">
      <c r="A908" s="3" t="inlineStr">
        <is>
          <t>DepartureDrive</t>
        </is>
      </c>
      <c r="B908" s="3" t="inlineStr">
        <is>
          <t>Act_DEPD_OBT020125183042-Wr. Neustadt (Hödlmayr)_192554_619</t>
        </is>
      </c>
      <c r="C908" s="3" t="inlineStr">
        <is>
          <t>OBT020125183042-Wr. Neustadt (Hödlmayr)</t>
        </is>
      </c>
      <c r="D908" s="9" t="n">
        <v>216</v>
      </c>
      <c r="E908" s="3" t="inlineStr">
        <is>
          <t>619</t>
        </is>
      </c>
      <c r="F908" s="3" t="inlineStr">
        <is>
          <t>Exit gate</t>
        </is>
      </c>
      <c r="G908" s="9" t="n">
        <v>262.93</v>
      </c>
      <c r="H908" s="10" t="n">
        <v>45659.80965277777</v>
      </c>
      <c r="I908" s="10" t="n">
        <v>45659.80965277777</v>
      </c>
      <c r="J908" s="10" t="n">
        <v>45659.81069444444</v>
      </c>
      <c r="K908" s="11" t="n">
        <v>0.001041666666666667</v>
      </c>
      <c r="L908" s="13" t="n"/>
    </row>
    <row r="909">
      <c r="A909" s="3" t="inlineStr">
        <is>
          <t>DepartureDrive</t>
        </is>
      </c>
      <c r="B909" s="3" t="inlineStr">
        <is>
          <t>Act_DEPD_OBT020125183645-Pitten (Hamburger)_192632_627</t>
        </is>
      </c>
      <c r="C909" s="3" t="inlineStr">
        <is>
          <t>OBT020125183645-Pitten (Hamburger)</t>
        </is>
      </c>
      <c r="D909" s="9" t="n">
        <v>194.2</v>
      </c>
      <c r="E909" s="3" t="inlineStr">
        <is>
          <t>627</t>
        </is>
      </c>
      <c r="F909" s="3" t="inlineStr">
        <is>
          <t>Exit gate</t>
        </is>
      </c>
      <c r="G909" s="9" t="n">
        <v>188.33</v>
      </c>
      <c r="H909" s="10" t="n">
        <v>45659.81009259259</v>
      </c>
      <c r="I909" s="10" t="n">
        <v>45659.81069444444</v>
      </c>
      <c r="J909" s="10" t="n">
        <v>45659.81153935185</v>
      </c>
      <c r="K909" s="11" t="n">
        <v>0.0008449074074074074</v>
      </c>
      <c r="L909" s="13" t="n"/>
    </row>
    <row r="910">
      <c r="A910" s="3" t="inlineStr">
        <is>
          <t>DepartureDrive</t>
        </is>
      </c>
      <c r="B910" s="3" t="inlineStr">
        <is>
          <t>Act_DEPD_OBT020125205242-Ebenfurth (beet loading)_213318_611</t>
        </is>
      </c>
      <c r="C910" s="3" t="inlineStr">
        <is>
          <t>OBT020125205242-Ebenfurth (beet loading)</t>
        </is>
      </c>
      <c r="D910" s="9" t="n">
        <v>157.4</v>
      </c>
      <c r="E910" s="3" t="inlineStr">
        <is>
          <t>611</t>
        </is>
      </c>
      <c r="F910" s="3" t="inlineStr">
        <is>
          <t>Exit gate</t>
        </is>
      </c>
      <c r="G910" s="9" t="n">
        <v>231.94</v>
      </c>
      <c r="H910" s="10" t="n">
        <v>45659.898125</v>
      </c>
      <c r="I910" s="10" t="n">
        <v>45659.898125</v>
      </c>
      <c r="J910" s="10" t="n">
        <v>45659.89896990741</v>
      </c>
      <c r="K910" s="11" t="n">
        <v>0.0008449074074074074</v>
      </c>
      <c r="L910" s="13" t="n"/>
    </row>
    <row r="911">
      <c r="A911" s="3" t="inlineStr">
        <is>
          <t>DepartureDrive</t>
        </is>
      </c>
      <c r="B911" s="3" t="inlineStr">
        <is>
          <t>Act_DEPD_OBT020125210709-Neudörfl (FunderMax)_213504_613</t>
        </is>
      </c>
      <c r="C911" s="3" t="inlineStr">
        <is>
          <t>OBT020125210709-Neudörfl (FunderMax)</t>
        </is>
      </c>
      <c r="D911" s="9" t="n">
        <v>101.7</v>
      </c>
      <c r="E911" s="3" t="inlineStr">
        <is>
          <t>613</t>
        </is>
      </c>
      <c r="F911" s="3" t="inlineStr">
        <is>
          <t>Exit gate</t>
        </is>
      </c>
      <c r="G911" s="9" t="n">
        <v>205.9</v>
      </c>
      <c r="H911" s="10" t="n">
        <v>45659.89935185185</v>
      </c>
      <c r="I911" s="10" t="n">
        <v>45659.89935185185</v>
      </c>
      <c r="J911" s="10" t="n">
        <v>45659.90002314815</v>
      </c>
      <c r="K911" s="11" t="n">
        <v>0.0006712962962962962</v>
      </c>
      <c r="L911" s="13" t="n"/>
    </row>
    <row r="912">
      <c r="A912" s="3" t="inlineStr">
        <is>
          <t>DepartureDrive</t>
        </is>
      </c>
      <c r="B912" s="3" t="inlineStr">
        <is>
          <t>Act_DEPD_OBT020125210324-Other sidings north_213517_629</t>
        </is>
      </c>
      <c r="C912" s="3" t="inlineStr">
        <is>
          <t>OBT020125210324-Other sidings north</t>
        </is>
      </c>
      <c r="D912" s="9" t="n">
        <v>117.8</v>
      </c>
      <c r="E912" s="3" t="inlineStr">
        <is>
          <t>629</t>
        </is>
      </c>
      <c r="F912" s="3" t="inlineStr">
        <is>
          <t>Exit gate</t>
        </is>
      </c>
      <c r="G912" s="9" t="n">
        <v>182.11</v>
      </c>
      <c r="H912" s="10" t="n">
        <v>45659.89950231482</v>
      </c>
      <c r="I912" s="10" t="n">
        <v>45659.90002314815</v>
      </c>
      <c r="J912" s="10" t="n">
        <v>45659.90067129629</v>
      </c>
      <c r="K912" s="11" t="n">
        <v>0.0006481481481481481</v>
      </c>
      <c r="L912" s="13" t="n"/>
    </row>
    <row r="913">
      <c r="A913" s="3" t="inlineStr">
        <is>
          <t>DepartureDrive</t>
        </is>
      </c>
      <c r="B913" s="3" t="inlineStr">
        <is>
          <t>Act_DEPD_OBT030125030120-Pitten (Hamburger)_033609_627</t>
        </is>
      </c>
      <c r="C913" s="3" t="inlineStr">
        <is>
          <t>OBT030125030120-Pitten (Hamburger)</t>
        </is>
      </c>
      <c r="D913" s="9" t="n">
        <v>134.4</v>
      </c>
      <c r="E913" s="3" t="inlineStr">
        <is>
          <t>627</t>
        </is>
      </c>
      <c r="F913" s="3" t="inlineStr">
        <is>
          <t>Exit gate</t>
        </is>
      </c>
      <c r="G913" s="9" t="n">
        <v>188.33</v>
      </c>
      <c r="H913" s="10" t="n">
        <v>45660.15010416666</v>
      </c>
      <c r="I913" s="10" t="n">
        <v>45660.15010416666</v>
      </c>
      <c r="J913" s="10" t="n">
        <v>45660.15079861111</v>
      </c>
      <c r="K913" s="11" t="n">
        <v>0.0006944444444444445</v>
      </c>
      <c r="L913" s="13" t="n"/>
    </row>
    <row r="914">
      <c r="A914" s="3" t="inlineStr">
        <is>
          <t>DepartureDrive</t>
        </is>
      </c>
      <c r="B914" s="3" t="inlineStr">
        <is>
          <t>Act_DEPD_OBT030125061555-Other sidings south_064358_615</t>
        </is>
      </c>
      <c r="C914" s="3" t="inlineStr">
        <is>
          <t>OBT030125061555-Other sidings south</t>
        </is>
      </c>
      <c r="D914" s="9" t="n">
        <v>102.8</v>
      </c>
      <c r="E914" s="3" t="inlineStr">
        <is>
          <t>615</t>
        </is>
      </c>
      <c r="F914" s="3" t="inlineStr">
        <is>
          <t>Exit gate</t>
        </is>
      </c>
      <c r="G914" s="9" t="n">
        <v>223.61</v>
      </c>
      <c r="H914" s="10" t="n">
        <v>45660.28053240741</v>
      </c>
      <c r="I914" s="10" t="n">
        <v>45660.28053240741</v>
      </c>
      <c r="J914" s="10" t="n">
        <v>45660.28123842592</v>
      </c>
      <c r="K914" s="11" t="n">
        <v>0.0007060185185185185</v>
      </c>
      <c r="L914" s="13" t="n"/>
    </row>
    <row r="915">
      <c r="A915" s="3" t="inlineStr">
        <is>
          <t>DepartureDrive</t>
        </is>
      </c>
      <c r="B915" s="3" t="inlineStr">
        <is>
          <t>Act_DEPD_OBT030125045529-Neudörfl (FunderMax)_070059_613</t>
        </is>
      </c>
      <c r="C915" s="3" t="inlineStr">
        <is>
          <t>OBT030125045529-Neudörfl (FunderMax)</t>
        </is>
      </c>
      <c r="D915" s="9" t="n">
        <v>497</v>
      </c>
      <c r="E915" s="3" t="inlineStr">
        <is>
          <t>613</t>
        </is>
      </c>
      <c r="F915" s="3" t="inlineStr">
        <is>
          <t>Exit gate</t>
        </is>
      </c>
      <c r="G915" s="9" t="n">
        <v>205.9</v>
      </c>
      <c r="H915" s="10" t="n">
        <v>45660.29234953703</v>
      </c>
      <c r="I915" s="10" t="n">
        <v>45660.29234953703</v>
      </c>
      <c r="J915" s="10" t="n">
        <v>45660.29392361111</v>
      </c>
      <c r="K915" s="11" t="n">
        <v>0.001574074074074074</v>
      </c>
      <c r="L915" s="13" t="n"/>
    </row>
    <row r="916">
      <c r="A916" s="3" t="inlineStr">
        <is>
          <t>DepartureDrive</t>
        </is>
      </c>
      <c r="B916" s="3" t="inlineStr">
        <is>
          <t>Act_DEPD_OBT030125063320-Ternitz (Schoeller-Bleckmann)_072233_627</t>
        </is>
      </c>
      <c r="C916" s="3" t="inlineStr">
        <is>
          <t>OBT030125063320-Ternitz (Schoeller-Bleckmann)</t>
        </is>
      </c>
      <c r="D916" s="9" t="n">
        <v>144.3</v>
      </c>
      <c r="E916" s="3" t="inlineStr">
        <is>
          <t>627</t>
        </is>
      </c>
      <c r="F916" s="3" t="inlineStr">
        <is>
          <t>Exit gate</t>
        </is>
      </c>
      <c r="G916" s="9" t="n">
        <v>188.33</v>
      </c>
      <c r="H916" s="10" t="n">
        <v>45660.30732638889</v>
      </c>
      <c r="I916" s="10" t="n">
        <v>45660.30732638889</v>
      </c>
      <c r="J916" s="10" t="n">
        <v>45660.30805555556</v>
      </c>
      <c r="K916" s="11" t="n">
        <v>0.0007291666666666667</v>
      </c>
      <c r="L916" s="13" t="n"/>
    </row>
    <row r="917">
      <c r="A917" s="3" t="inlineStr">
        <is>
          <t>DepartureDrive</t>
        </is>
      </c>
      <c r="B917" s="3" t="inlineStr">
        <is>
          <t>Act_DEPD_OBT030125063005-Gloggnitz_073031_625</t>
        </is>
      </c>
      <c r="C917" s="3" t="inlineStr">
        <is>
          <t>OBT030125063005-Gloggnitz</t>
        </is>
      </c>
      <c r="D917" s="9" t="n">
        <v>204.6</v>
      </c>
      <c r="E917" s="3" t="inlineStr">
        <is>
          <t>625</t>
        </is>
      </c>
      <c r="F917" s="3" t="inlineStr">
        <is>
          <t>Exit gate</t>
        </is>
      </c>
      <c r="G917" s="9" t="n">
        <v>240.31</v>
      </c>
      <c r="H917" s="10" t="n">
        <v>45660.31285879629</v>
      </c>
      <c r="I917" s="10" t="n">
        <v>45660.31285879629</v>
      </c>
      <c r="J917" s="10" t="n">
        <v>45660.31383101852</v>
      </c>
      <c r="K917" s="11" t="n">
        <v>0.0009722222222222222</v>
      </c>
      <c r="L917" s="13" t="n"/>
    </row>
    <row r="918">
      <c r="A918" s="3" t="inlineStr">
        <is>
          <t>DepartureDrive</t>
        </is>
      </c>
      <c r="B918" s="3" t="inlineStr">
        <is>
          <t>Act_DEPD_OBT030125063655-Wr. Neustadt (Hödlmayr)_073715_619</t>
        </is>
      </c>
      <c r="C918" s="3" t="inlineStr">
        <is>
          <t>OBT030125063655-Wr. Neustadt (Hödlmayr)</t>
        </is>
      </c>
      <c r="D918" s="9" t="n">
        <v>108</v>
      </c>
      <c r="E918" s="3" t="inlineStr">
        <is>
          <t>619</t>
        </is>
      </c>
      <c r="F918" s="3" t="inlineStr">
        <is>
          <t>Exit gate</t>
        </is>
      </c>
      <c r="G918" s="9" t="n">
        <v>262.93</v>
      </c>
      <c r="H918" s="10" t="n">
        <v>45660.31753472222</v>
      </c>
      <c r="I918" s="10" t="n">
        <v>45660.31753472222</v>
      </c>
      <c r="J918" s="10" t="n">
        <v>45660.31833333334</v>
      </c>
      <c r="K918" s="11" t="n">
        <v>0.0007986111111111112</v>
      </c>
      <c r="L918" s="13" t="n"/>
    </row>
    <row r="919">
      <c r="A919" s="3" t="inlineStr">
        <is>
          <t>DepartureDrive</t>
        </is>
      </c>
      <c r="B919" s="3" t="inlineStr">
        <is>
          <t>Act_DEPD_OBT030125075311-Felixdorf/Sollenau (Bundesheer, Maba)_084140_621</t>
        </is>
      </c>
      <c r="C919" s="3" t="inlineStr">
        <is>
          <t>OBT030125075311-Felixdorf/Sollenau (Bundesheer, Maba)</t>
        </is>
      </c>
      <c r="D919" s="9" t="n">
        <v>184.1</v>
      </c>
      <c r="E919" s="3" t="inlineStr">
        <is>
          <t>621</t>
        </is>
      </c>
      <c r="F919" s="3" t="inlineStr">
        <is>
          <t>Exit gate</t>
        </is>
      </c>
      <c r="G919" s="9" t="n">
        <v>259.31</v>
      </c>
      <c r="H919" s="10" t="n">
        <v>45660.36226851852</v>
      </c>
      <c r="I919" s="10" t="n">
        <v>45660.36226851852</v>
      </c>
      <c r="J919" s="10" t="n">
        <v>45660.36324074074</v>
      </c>
      <c r="K919" s="11" t="n">
        <v>0.0009722222222222222</v>
      </c>
      <c r="L919" s="13" t="n"/>
    </row>
    <row r="920">
      <c r="A920" s="3" t="inlineStr">
        <is>
          <t>DepartureDrive</t>
        </is>
      </c>
      <c r="B920" s="3" t="inlineStr">
        <is>
          <t>Act_DEPD_OBT030125070748-Neunkirchen (loading tracks)_085447_623</t>
        </is>
      </c>
      <c r="C920" s="3" t="inlineStr">
        <is>
          <t>OBT030125070748-Neunkirchen (loading tracks)</t>
        </is>
      </c>
      <c r="D920" s="9" t="n">
        <v>358.9</v>
      </c>
      <c r="E920" s="3" t="inlineStr">
        <is>
          <t>623</t>
        </is>
      </c>
      <c r="F920" s="3" t="inlineStr">
        <is>
          <t>Exit gate</t>
        </is>
      </c>
      <c r="G920" s="9" t="n">
        <v>259.31</v>
      </c>
      <c r="H920" s="10" t="n">
        <v>45660.37137731481</v>
      </c>
      <c r="I920" s="10" t="n">
        <v>45660.37137731481</v>
      </c>
      <c r="J920" s="10" t="n">
        <v>45660.37274305556</v>
      </c>
      <c r="K920" s="11" t="n">
        <v>0.001365740740740741</v>
      </c>
      <c r="L920" s="13" t="n"/>
    </row>
    <row r="921">
      <c r="A921" s="3" t="inlineStr">
        <is>
          <t>DepartureDrive</t>
        </is>
      </c>
      <c r="B921" s="3" t="inlineStr">
        <is>
          <t>Act_DEPD_OBT030125080046-Wien Kledering_090721_627</t>
        </is>
      </c>
      <c r="C921" s="3" t="inlineStr">
        <is>
          <t>OBT030125080046-Wien Kledering</t>
        </is>
      </c>
      <c r="D921" s="9" t="n">
        <v>256.9</v>
      </c>
      <c r="E921" s="3" t="inlineStr">
        <is>
          <t>627</t>
        </is>
      </c>
      <c r="F921" s="3" t="inlineStr">
        <is>
          <t>Exit gate</t>
        </is>
      </c>
      <c r="G921" s="9" t="n">
        <v>188.33</v>
      </c>
      <c r="H921" s="10" t="n">
        <v>45660.38010416667</v>
      </c>
      <c r="I921" s="10" t="n">
        <v>45660.38010416667</v>
      </c>
      <c r="J921" s="10" t="n">
        <v>45660.38109953704</v>
      </c>
      <c r="K921" s="11" t="n">
        <v>0.0009953703703703704</v>
      </c>
      <c r="L921" s="13" t="n"/>
    </row>
    <row r="922">
      <c r="A922" s="3" t="inlineStr">
        <is>
          <t>DepartureDrive</t>
        </is>
      </c>
      <c r="B922" s="3" t="inlineStr">
        <is>
          <t>Act_DEPD_OBT030125090958-Ebenfurth (beet loading)_100459_619</t>
        </is>
      </c>
      <c r="C922" s="3" t="inlineStr">
        <is>
          <t>OBT030125090958-Ebenfurth (beet loading)</t>
        </is>
      </c>
      <c r="D922" s="9" t="n">
        <v>210.8</v>
      </c>
      <c r="E922" s="3" t="inlineStr">
        <is>
          <t>619</t>
        </is>
      </c>
      <c r="F922" s="3" t="inlineStr">
        <is>
          <t>Exit gate</t>
        </is>
      </c>
      <c r="G922" s="9" t="n">
        <v>262.93</v>
      </c>
      <c r="H922" s="10" t="n">
        <v>45660.42012731481</v>
      </c>
      <c r="I922" s="10" t="n">
        <v>45660.42012731481</v>
      </c>
      <c r="J922" s="10" t="n">
        <v>45660.42116898148</v>
      </c>
      <c r="K922" s="11" t="n">
        <v>0.001041666666666667</v>
      </c>
      <c r="L922" s="13" t="n"/>
    </row>
    <row r="923">
      <c r="A923" s="3" t="inlineStr">
        <is>
          <t>DepartureDrive</t>
        </is>
      </c>
      <c r="B923" s="3" t="inlineStr">
        <is>
          <t>Act_DEPD_OBT030125090715-St. Veit an der Glan_100511_605</t>
        </is>
      </c>
      <c r="C923" s="3" t="inlineStr">
        <is>
          <t>OBT030125090715-St. Veit an der Glan</t>
        </is>
      </c>
      <c r="D923" s="9" t="n">
        <v>221.7</v>
      </c>
      <c r="E923" s="3" t="inlineStr">
        <is>
          <t>605</t>
        </is>
      </c>
      <c r="F923" s="3" t="inlineStr">
        <is>
          <t>Exit gate</t>
        </is>
      </c>
      <c r="G923" s="9" t="n">
        <v>286.14</v>
      </c>
      <c r="H923" s="10" t="n">
        <v>45660.42026620371</v>
      </c>
      <c r="I923" s="10" t="n">
        <v>45660.42116898148</v>
      </c>
      <c r="J923" s="10" t="n">
        <v>45660.42228009259</v>
      </c>
      <c r="K923" s="11" t="n">
        <v>0.001111111111111111</v>
      </c>
      <c r="L923" s="13" t="n"/>
    </row>
    <row r="924">
      <c r="A924" s="3" t="inlineStr">
        <is>
          <t>DepartureDrive</t>
        </is>
      </c>
      <c r="B924" s="3" t="inlineStr">
        <is>
          <t>Act_DEPD_OBT030125084617-Wien Kledering_102753_625</t>
        </is>
      </c>
      <c r="C924" s="3" t="inlineStr">
        <is>
          <t>OBT030125084617-Wien Kledering</t>
        </is>
      </c>
      <c r="D924" s="9" t="n">
        <v>396.6</v>
      </c>
      <c r="E924" s="3" t="inlineStr">
        <is>
          <t>625</t>
        </is>
      </c>
      <c r="F924" s="3" t="inlineStr">
        <is>
          <t>Exit gate</t>
        </is>
      </c>
      <c r="G924" s="9" t="n">
        <v>240.31</v>
      </c>
      <c r="H924" s="10" t="n">
        <v>45660.43603009259</v>
      </c>
      <c r="I924" s="10" t="n">
        <v>45660.43603009259</v>
      </c>
      <c r="J924" s="10" t="n">
        <v>45660.43744212963</v>
      </c>
      <c r="K924" s="11" t="n">
        <v>0.001412037037037037</v>
      </c>
      <c r="L924" s="13" t="n"/>
    </row>
    <row r="925">
      <c r="A925" s="3" t="inlineStr">
        <is>
          <t>DepartureDrive</t>
        </is>
      </c>
      <c r="B925" s="3" t="inlineStr">
        <is>
          <t>Act_DEPD_OBT030125110012-Wien Kledering_113801_605</t>
        </is>
      </c>
      <c r="C925" s="3" t="inlineStr">
        <is>
          <t>OBT030125110012-Wien Kledering</t>
        </is>
      </c>
      <c r="D925" s="9" t="n">
        <v>146.3</v>
      </c>
      <c r="E925" s="3" t="inlineStr">
        <is>
          <t>605</t>
        </is>
      </c>
      <c r="F925" s="3" t="inlineStr">
        <is>
          <t>Exit gate</t>
        </is>
      </c>
      <c r="G925" s="9" t="n">
        <v>286.14</v>
      </c>
      <c r="H925" s="10" t="n">
        <v>45660.48473379629</v>
      </c>
      <c r="I925" s="10" t="n">
        <v>45660.48473379629</v>
      </c>
      <c r="J925" s="10" t="n">
        <v>45660.48567129629</v>
      </c>
      <c r="K925" s="11" t="n">
        <v>0.0009375</v>
      </c>
      <c r="L925" s="13" t="n"/>
    </row>
    <row r="926">
      <c r="A926" s="3" t="inlineStr">
        <is>
          <t>DepartureDrive</t>
        </is>
      </c>
      <c r="B926" s="3" t="inlineStr">
        <is>
          <t>Act_DEPD_OBT030125105420-Wien Kledering_120209_627</t>
        </is>
      </c>
      <c r="C926" s="3" t="inlineStr">
        <is>
          <t>OBT030125105420-Wien Kledering</t>
        </is>
      </c>
      <c r="D926" s="9" t="n">
        <v>266.4</v>
      </c>
      <c r="E926" s="3" t="inlineStr">
        <is>
          <t>627</t>
        </is>
      </c>
      <c r="F926" s="3" t="inlineStr">
        <is>
          <t>Exit gate</t>
        </is>
      </c>
      <c r="G926" s="9" t="n">
        <v>188.33</v>
      </c>
      <c r="H926" s="10" t="n">
        <v>45660.50149305556</v>
      </c>
      <c r="I926" s="10" t="n">
        <v>45660.50149305556</v>
      </c>
      <c r="J926" s="10" t="n">
        <v>45660.50251157407</v>
      </c>
      <c r="K926" s="11" t="n">
        <v>0.001018518518518518</v>
      </c>
      <c r="L926" s="13" t="n"/>
    </row>
    <row r="927">
      <c r="A927" s="3" t="inlineStr">
        <is>
          <t>DepartureDrive</t>
        </is>
      </c>
      <c r="B927" s="3" t="inlineStr">
        <is>
          <t>Act_DEPD_OBT030125131727-Wien Kledering_142813_627</t>
        </is>
      </c>
      <c r="C927" s="3" t="inlineStr">
        <is>
          <t>OBT030125131727-Wien Kledering</t>
        </is>
      </c>
      <c r="D927" s="9" t="n">
        <v>278</v>
      </c>
      <c r="E927" s="3" t="inlineStr">
        <is>
          <t>627</t>
        </is>
      </c>
      <c r="F927" s="3" t="inlineStr">
        <is>
          <t>Exit gate</t>
        </is>
      </c>
      <c r="G927" s="9" t="n">
        <v>188.33</v>
      </c>
      <c r="H927" s="10" t="n">
        <v>45660.60292824074</v>
      </c>
      <c r="I927" s="10" t="n">
        <v>45660.60292824074</v>
      </c>
      <c r="J927" s="10" t="n">
        <v>45660.60395833333</v>
      </c>
      <c r="K927" s="11" t="n">
        <v>0.001030092592592593</v>
      </c>
      <c r="L927" s="13" t="n"/>
    </row>
    <row r="928">
      <c r="A928" s="3" t="inlineStr">
        <is>
          <t>DepartureDrive</t>
        </is>
      </c>
      <c r="B928" s="3" t="inlineStr">
        <is>
          <t>Act_DEPD_OBT030125154014-Pitten (Hamburger)_162228_627</t>
        </is>
      </c>
      <c r="C928" s="3" t="inlineStr">
        <is>
          <t>OBT030125154014-Pitten (Hamburger)</t>
        </is>
      </c>
      <c r="D928" s="9" t="n">
        <v>164.2</v>
      </c>
      <c r="E928" s="3" t="inlineStr">
        <is>
          <t>627</t>
        </is>
      </c>
      <c r="F928" s="3" t="inlineStr">
        <is>
          <t>Exit gate</t>
        </is>
      </c>
      <c r="G928" s="9" t="n">
        <v>188.33</v>
      </c>
      <c r="H928" s="10" t="n">
        <v>45660.68226851852</v>
      </c>
      <c r="I928" s="10" t="n">
        <v>45660.68226851852</v>
      </c>
      <c r="J928" s="10" t="n">
        <v>45660.68304398148</v>
      </c>
      <c r="K928" s="11" t="n">
        <v>0.0007754629629629629</v>
      </c>
      <c r="L928" s="13" t="n"/>
    </row>
    <row r="929">
      <c r="A929" s="3" t="inlineStr">
        <is>
          <t>DepartureDrive</t>
        </is>
      </c>
      <c r="B929" s="3" t="inlineStr">
        <is>
          <t>Act_DEPD_OBT030125160132-Wr. Neustadt Ausfahrbf (Furtenbach)_163238_617</t>
        </is>
      </c>
      <c r="C929" s="3" t="inlineStr">
        <is>
          <t>OBT030125160132-Wr. Neustadt Ausfahrbf (Furtenbach)</t>
        </is>
      </c>
      <c r="D929" s="9" t="n">
        <v>119.4</v>
      </c>
      <c r="E929" s="3" t="inlineStr">
        <is>
          <t>617</t>
        </is>
      </c>
      <c r="F929" s="3" t="inlineStr">
        <is>
          <t>Exit gate</t>
        </is>
      </c>
      <c r="G929" s="9" t="n">
        <v>262.93</v>
      </c>
      <c r="H929" s="10" t="n">
        <v>45660.6893287037</v>
      </c>
      <c r="I929" s="10" t="n">
        <v>45660.6893287037</v>
      </c>
      <c r="J929" s="10" t="n">
        <v>45660.69015046296</v>
      </c>
      <c r="K929" s="11" t="n">
        <v>0.0008217592592592593</v>
      </c>
      <c r="L929" s="13" t="n"/>
    </row>
    <row r="930">
      <c r="A930" s="3" t="inlineStr">
        <is>
          <t>DepartureDrive</t>
        </is>
      </c>
      <c r="B930" s="3" t="inlineStr">
        <is>
          <t>Act_DEPD_OBT030125160747-Wien Kledering_164137_605</t>
        </is>
      </c>
      <c r="C930" s="3" t="inlineStr">
        <is>
          <t>OBT030125160747-Wien Kledering</t>
        </is>
      </c>
      <c r="D930" s="9" t="n">
        <v>125.9</v>
      </c>
      <c r="E930" s="3" t="inlineStr">
        <is>
          <t>605</t>
        </is>
      </c>
      <c r="F930" s="3" t="inlineStr">
        <is>
          <t>Exit gate</t>
        </is>
      </c>
      <c r="G930" s="9" t="n">
        <v>286.14</v>
      </c>
      <c r="H930" s="10" t="n">
        <v>45660.69556712963</v>
      </c>
      <c r="I930" s="10" t="n">
        <v>45660.69556712963</v>
      </c>
      <c r="J930" s="10" t="n">
        <v>45660.69645833333</v>
      </c>
      <c r="K930" s="11" t="n">
        <v>0.0008912037037037037</v>
      </c>
      <c r="L930" s="13" t="n"/>
    </row>
    <row r="931">
      <c r="A931" s="3" t="inlineStr">
        <is>
          <t>DepartureDrive</t>
        </is>
      </c>
      <c r="B931" s="3" t="inlineStr">
        <is>
          <t>Act_DEPD_OBT030125173012-Wien Kledering_184108_627</t>
        </is>
      </c>
      <c r="C931" s="3" t="inlineStr">
        <is>
          <t>OBT030125173012-Wien Kledering</t>
        </is>
      </c>
      <c r="D931" s="9" t="n">
        <v>278.9</v>
      </c>
      <c r="E931" s="3" t="inlineStr">
        <is>
          <t>627</t>
        </is>
      </c>
      <c r="F931" s="3" t="inlineStr">
        <is>
          <t>Exit gate</t>
        </is>
      </c>
      <c r="G931" s="9" t="n">
        <v>188.33</v>
      </c>
      <c r="H931" s="10" t="n">
        <v>45660.77856481481</v>
      </c>
      <c r="I931" s="10" t="n">
        <v>45660.77856481481</v>
      </c>
      <c r="J931" s="10" t="n">
        <v>45660.77960648148</v>
      </c>
      <c r="K931" s="11" t="n">
        <v>0.001041666666666667</v>
      </c>
      <c r="L931" s="13" t="n"/>
    </row>
    <row r="932">
      <c r="A932" s="3" t="inlineStr">
        <is>
          <t>DepartureDrive</t>
        </is>
      </c>
      <c r="B932" s="3" t="inlineStr">
        <is>
          <t>Act_DEPD_OBT030125203217-Other sidings north_210106_629</t>
        </is>
      </c>
      <c r="C932" s="3" t="inlineStr">
        <is>
          <t>OBT030125203217-Other sidings north</t>
        </is>
      </c>
      <c r="D932" s="9" t="n">
        <v>110.3</v>
      </c>
      <c r="E932" s="3" t="inlineStr">
        <is>
          <t>629</t>
        </is>
      </c>
      <c r="F932" s="3" t="inlineStr">
        <is>
          <t>Exit gate</t>
        </is>
      </c>
      <c r="G932" s="9" t="n">
        <v>182.11</v>
      </c>
      <c r="H932" s="10" t="n">
        <v>45660.87576388889</v>
      </c>
      <c r="I932" s="10" t="n">
        <v>45660.87576388889</v>
      </c>
      <c r="J932" s="10" t="n">
        <v>45660.87640046296</v>
      </c>
      <c r="K932" s="11" t="n">
        <v>0.0006365740740740741</v>
      </c>
      <c r="L932" s="13" t="n"/>
    </row>
    <row r="933">
      <c r="A933" s="3" t="inlineStr">
        <is>
          <t>DepartureDrive</t>
        </is>
      </c>
      <c r="B933" s="3" t="inlineStr">
        <is>
          <t>Act_DEPD_OBT030125203727-Wr. Neustadt (Hödlmayr)_212557_613</t>
        </is>
      </c>
      <c r="C933" s="3" t="inlineStr">
        <is>
          <t>OBT030125203727-Wr. Neustadt (Hödlmayr)</t>
        </is>
      </c>
      <c r="D933" s="9" t="n">
        <v>189</v>
      </c>
      <c r="E933" s="3" t="inlineStr">
        <is>
          <t>613</t>
        </is>
      </c>
      <c r="F933" s="3" t="inlineStr">
        <is>
          <t>Exit gate</t>
        </is>
      </c>
      <c r="G933" s="9" t="n">
        <v>205.9</v>
      </c>
      <c r="H933" s="10" t="n">
        <v>45660.89302083333</v>
      </c>
      <c r="I933" s="10" t="n">
        <v>45660.89302083333</v>
      </c>
      <c r="J933" s="10" t="n">
        <v>45660.89388888889</v>
      </c>
      <c r="K933" s="11" t="n">
        <v>0.0008680555555555555</v>
      </c>
      <c r="L933" s="13" t="n"/>
    </row>
    <row r="934">
      <c r="A934" s="3" t="inlineStr">
        <is>
          <t>DepartureDrive</t>
        </is>
      </c>
      <c r="B934" s="3" t="inlineStr">
        <is>
          <t>Act_DEPD_OBT030125204417-Ebenfurth (beet loading)_213725_619</t>
        </is>
      </c>
      <c r="C934" s="3" t="inlineStr">
        <is>
          <t>OBT030125204417-Ebenfurth (beet loading)</t>
        </is>
      </c>
      <c r="D934" s="9" t="n">
        <v>173.1</v>
      </c>
      <c r="E934" s="3" t="inlineStr">
        <is>
          <t>619</t>
        </is>
      </c>
      <c r="F934" s="3" t="inlineStr">
        <is>
          <t>Exit gate</t>
        </is>
      </c>
      <c r="G934" s="9" t="n">
        <v>262.93</v>
      </c>
      <c r="H934" s="10" t="n">
        <v>45660.90098379629</v>
      </c>
      <c r="I934" s="10" t="n">
        <v>45660.90098379629</v>
      </c>
      <c r="J934" s="10" t="n">
        <v>45660.90193287037</v>
      </c>
      <c r="K934" s="11" t="n">
        <v>0.0009490740740740741</v>
      </c>
      <c r="L934" s="13" t="n"/>
    </row>
    <row r="935">
      <c r="A935" s="3" t="inlineStr">
        <is>
          <t>DepartureDrive</t>
        </is>
      </c>
      <c r="B935" s="3" t="inlineStr">
        <is>
          <t>Act_DEPD_OBT030125204535-Pitten (Hamburger)_215016_627</t>
        </is>
      </c>
      <c r="C935" s="3" t="inlineStr">
        <is>
          <t>OBT030125204535-Pitten (Hamburger)</t>
        </is>
      </c>
      <c r="D935" s="9" t="n">
        <v>186.7</v>
      </c>
      <c r="E935" s="3" t="inlineStr">
        <is>
          <t>627</t>
        </is>
      </c>
      <c r="F935" s="3" t="inlineStr">
        <is>
          <t>Exit gate</t>
        </is>
      </c>
      <c r="G935" s="9" t="n">
        <v>188.33</v>
      </c>
      <c r="H935" s="10" t="n">
        <v>45660.9099074074</v>
      </c>
      <c r="I935" s="10" t="n">
        <v>45660.9099074074</v>
      </c>
      <c r="J935" s="10" t="n">
        <v>45660.91072916667</v>
      </c>
      <c r="K935" s="11" t="n">
        <v>0.0008217592592592593</v>
      </c>
      <c r="L935" s="13" t="n"/>
    </row>
    <row r="936">
      <c r="A936" s="3" t="inlineStr">
        <is>
          <t>DepartureDrive</t>
        </is>
      </c>
      <c r="B936" s="3" t="inlineStr">
        <is>
          <t>Act_DEPD_OBT030125205107-Other sidings local_215712_607</t>
        </is>
      </c>
      <c r="C936" s="3" t="inlineStr">
        <is>
          <t>OBT030125205107-Other sidings local</t>
        </is>
      </c>
      <c r="D936" s="9" t="n">
        <v>115</v>
      </c>
      <c r="E936" s="3" t="inlineStr">
        <is>
          <t>607</t>
        </is>
      </c>
      <c r="F936" s="3" t="inlineStr">
        <is>
          <t>Exit gate</t>
        </is>
      </c>
      <c r="G936" s="9" t="n">
        <v>286.14</v>
      </c>
      <c r="H936" s="10" t="n">
        <v>45660.91472222222</v>
      </c>
      <c r="I936" s="10" t="n">
        <v>45660.91472222222</v>
      </c>
      <c r="J936" s="10" t="n">
        <v>45660.91559027778</v>
      </c>
      <c r="K936" s="11" t="n">
        <v>0.0008680555555555555</v>
      </c>
      <c r="L936" s="13" t="n"/>
    </row>
    <row r="937">
      <c r="A937" s="3" t="inlineStr">
        <is>
          <t>DepartureDrive</t>
        </is>
      </c>
      <c r="B937" s="3" t="inlineStr">
        <is>
          <t>Act_DEPD_OBT030125220232-Neudörfl (FunderMax)_223121_611</t>
        </is>
      </c>
      <c r="C937" s="3" t="inlineStr">
        <is>
          <t>OBT030125220232-Neudörfl (FunderMax)</t>
        </is>
      </c>
      <c r="D937" s="9" t="n">
        <v>110.3</v>
      </c>
      <c r="E937" s="3" t="inlineStr">
        <is>
          <t>611</t>
        </is>
      </c>
      <c r="F937" s="3" t="inlineStr">
        <is>
          <t>Exit gate</t>
        </is>
      </c>
      <c r="G937" s="9" t="n">
        <v>231.94</v>
      </c>
      <c r="H937" s="10" t="n">
        <v>45660.9384375</v>
      </c>
      <c r="I937" s="10" t="n">
        <v>45660.9384375</v>
      </c>
      <c r="J937" s="10" t="n">
        <v>45660.93917824074</v>
      </c>
      <c r="K937" s="11" t="n">
        <v>0.0007407407407407407</v>
      </c>
      <c r="L937" s="13" t="n"/>
    </row>
    <row r="938">
      <c r="A938" s="3" t="inlineStr">
        <is>
          <t>DepartureDrive</t>
        </is>
      </c>
      <c r="B938" s="3" t="inlineStr">
        <is>
          <t>Act_DEPD_OBT030125220353-Other sidings south_224236_615</t>
        </is>
      </c>
      <c r="C938" s="3" t="inlineStr">
        <is>
          <t>OBT030125220353-Other sidings south</t>
        </is>
      </c>
      <c r="D938" s="9" t="n">
        <v>150</v>
      </c>
      <c r="E938" s="3" t="inlineStr">
        <is>
          <t>615</t>
        </is>
      </c>
      <c r="F938" s="3" t="inlineStr">
        <is>
          <t>Exit gate</t>
        </is>
      </c>
      <c r="G938" s="9" t="n">
        <v>223.61</v>
      </c>
      <c r="H938" s="10" t="n">
        <v>45660.94625</v>
      </c>
      <c r="I938" s="10" t="n">
        <v>45660.94625</v>
      </c>
      <c r="J938" s="10" t="n">
        <v>45660.94706018519</v>
      </c>
      <c r="K938" s="11" t="n">
        <v>0.0008101851851851852</v>
      </c>
      <c r="L938" s="13" t="n"/>
    </row>
    <row r="939">
      <c r="A939" s="3" t="inlineStr">
        <is>
          <t>DepartureDrive</t>
        </is>
      </c>
      <c r="B939" s="3" t="inlineStr">
        <is>
          <t>Act_DEPD_OBT040125055908-Ebenfurth (beet loading)_065526_615</t>
        </is>
      </c>
      <c r="C939" s="3" t="inlineStr">
        <is>
          <t>OBT040125055908-Ebenfurth (beet loading)</t>
        </is>
      </c>
      <c r="D939" s="9" t="n">
        <v>220.4</v>
      </c>
      <c r="E939" s="3" t="inlineStr">
        <is>
          <t>615</t>
        </is>
      </c>
      <c r="F939" s="3" t="inlineStr">
        <is>
          <t>Exit gate</t>
        </is>
      </c>
      <c r="G939" s="9" t="n">
        <v>223.61</v>
      </c>
      <c r="H939" s="10" t="n">
        <v>45661.28849537037</v>
      </c>
      <c r="I939" s="10" t="n">
        <v>45661.28849537037</v>
      </c>
      <c r="J939" s="10" t="n">
        <v>45661.28946759259</v>
      </c>
      <c r="K939" s="11" t="n">
        <v>0.0009722222222222222</v>
      </c>
      <c r="L939" s="13" t="n"/>
    </row>
    <row r="940">
      <c r="A940" s="3" t="inlineStr">
        <is>
          <t>DepartureDrive</t>
        </is>
      </c>
      <c r="B940" s="3" t="inlineStr">
        <is>
          <t>Act_DEPD_OBT050125180350-Neudörfl (FunderMax)_183435_613</t>
        </is>
      </c>
      <c r="C940" s="3" t="inlineStr">
        <is>
          <t>OBT050125180350-Neudörfl (FunderMax)</t>
        </is>
      </c>
      <c r="D940" s="9" t="n">
        <v>118.2</v>
      </c>
      <c r="E940" s="3" t="inlineStr">
        <is>
          <t>613</t>
        </is>
      </c>
      <c r="F940" s="3" t="inlineStr">
        <is>
          <t>Exit gate</t>
        </is>
      </c>
      <c r="G940" s="9" t="n">
        <v>205.9</v>
      </c>
      <c r="H940" s="10" t="n">
        <v>45662.7740162037</v>
      </c>
      <c r="I940" s="10" t="n">
        <v>45662.7740162037</v>
      </c>
      <c r="J940" s="10" t="n">
        <v>45662.77472222222</v>
      </c>
      <c r="K940" s="11" t="n">
        <v>0.0007060185185185185</v>
      </c>
      <c r="L940" s="13" t="n"/>
    </row>
    <row r="941">
      <c r="A941" s="3" t="inlineStr">
        <is>
          <t>DepartureDrive</t>
        </is>
      </c>
      <c r="B941" s="3" t="inlineStr">
        <is>
          <t>Act_DEPD_OBT050125180143-Pitten (Hamburger)_194217_619</t>
        </is>
      </c>
      <c r="C941" s="3" t="inlineStr">
        <is>
          <t>OBT050125180143-Pitten (Hamburger)</t>
        </is>
      </c>
      <c r="D941" s="9" t="n">
        <v>397.3</v>
      </c>
      <c r="E941" s="3" t="inlineStr">
        <is>
          <t>619</t>
        </is>
      </c>
      <c r="F941" s="3" t="inlineStr">
        <is>
          <t>Exit gate</t>
        </is>
      </c>
      <c r="G941" s="9" t="n">
        <v>262.93</v>
      </c>
      <c r="H941" s="10" t="n">
        <v>45662.82103009259</v>
      </c>
      <c r="I941" s="10" t="n">
        <v>45662.82103009259</v>
      </c>
      <c r="J941" s="10" t="n">
        <v>45662.8225</v>
      </c>
      <c r="K941" s="11" t="n">
        <v>0.001469907407407407</v>
      </c>
      <c r="L941" s="13" t="n"/>
    </row>
    <row r="942">
      <c r="A942" s="3" t="inlineStr">
        <is>
          <t>DepartureDrive</t>
        </is>
      </c>
      <c r="B942" s="3" t="inlineStr">
        <is>
          <t>Act_DEPD_OBT050125203708-Pitten (Hamburger)_210341_619</t>
        </is>
      </c>
      <c r="C942" s="3" t="inlineStr">
        <is>
          <t>OBT050125203708-Pitten (Hamburger)</t>
        </is>
      </c>
      <c r="D942" s="9" t="n">
        <v>101.2</v>
      </c>
      <c r="E942" s="3" t="inlineStr">
        <is>
          <t>619</t>
        </is>
      </c>
      <c r="F942" s="3" t="inlineStr">
        <is>
          <t>Exit gate</t>
        </is>
      </c>
      <c r="G942" s="9" t="n">
        <v>262.93</v>
      </c>
      <c r="H942" s="10" t="n">
        <v>45662.87755787037</v>
      </c>
      <c r="I942" s="10" t="n">
        <v>45662.87755787037</v>
      </c>
      <c r="J942" s="10" t="n">
        <v>45662.87833333333</v>
      </c>
      <c r="K942" s="11" t="n">
        <v>0.0007754629629629629</v>
      </c>
      <c r="L942" s="13" t="n"/>
    </row>
    <row r="943">
      <c r="A943" s="3" t="inlineStr">
        <is>
          <t>DepartureDrive</t>
        </is>
      </c>
      <c r="B943" s="3" t="inlineStr">
        <is>
          <t>Act_DEPD_OBT050125203113-Pitten (Hamburger)_221937_613</t>
        </is>
      </c>
      <c r="C943" s="3" t="inlineStr">
        <is>
          <t>OBT050125203113-Pitten (Hamburger)</t>
        </is>
      </c>
      <c r="D943" s="9" t="n">
        <v>428.8</v>
      </c>
      <c r="E943" s="3" t="inlineStr">
        <is>
          <t>613</t>
        </is>
      </c>
      <c r="F943" s="3" t="inlineStr">
        <is>
          <t>Exit gate</t>
        </is>
      </c>
      <c r="G943" s="9" t="n">
        <v>205.9</v>
      </c>
      <c r="H943" s="10" t="n">
        <v>45662.93028935185</v>
      </c>
      <c r="I943" s="10" t="n">
        <v>45662.93028935185</v>
      </c>
      <c r="J943" s="10" t="n">
        <v>45662.93170138889</v>
      </c>
      <c r="K943" s="11" t="n">
        <v>0.001412037037037037</v>
      </c>
      <c r="L943" s="13" t="n"/>
    </row>
    <row r="944">
      <c r="A944" s="3" t="inlineStr">
        <is>
          <t>DepartureDrive</t>
        </is>
      </c>
      <c r="B944" s="3" t="inlineStr">
        <is>
          <t>Act_DEPD_OBT060125175612-Pitten (Hamburger)_185748_613</t>
        </is>
      </c>
      <c r="C944" s="3" t="inlineStr">
        <is>
          <t>OBT060125175612-Pitten (Hamburger)</t>
        </is>
      </c>
      <c r="D944" s="9" t="n">
        <v>241.4</v>
      </c>
      <c r="E944" s="3" t="inlineStr">
        <is>
          <t>613</t>
        </is>
      </c>
      <c r="F944" s="3" t="inlineStr">
        <is>
          <t>Exit gate</t>
        </is>
      </c>
      <c r="G944" s="9" t="n">
        <v>205.9</v>
      </c>
      <c r="H944" s="10" t="n">
        <v>45663.79013888889</v>
      </c>
      <c r="I944" s="10" t="n">
        <v>45663.79013888889</v>
      </c>
      <c r="J944" s="10" t="n">
        <v>45663.79112268519</v>
      </c>
      <c r="K944" s="11" t="n">
        <v>0.0009837962962962962</v>
      </c>
      <c r="L944" s="13" t="n"/>
    </row>
    <row r="945">
      <c r="A945" s="3" t="inlineStr">
        <is>
          <t>DepartureDrive</t>
        </is>
      </c>
      <c r="B945" s="3" t="inlineStr">
        <is>
          <t>Act_DEPD_OBT070125031850-Ebenfurth (beet loading)_035428_615</t>
        </is>
      </c>
      <c r="C945" s="3" t="inlineStr">
        <is>
          <t>OBT070125031850-Ebenfurth (beet loading)</t>
        </is>
      </c>
      <c r="D945" s="9" t="n">
        <v>137.6</v>
      </c>
      <c r="E945" s="3" t="inlineStr">
        <is>
          <t>615</t>
        </is>
      </c>
      <c r="F945" s="3" t="inlineStr">
        <is>
          <t>Exit gate</t>
        </is>
      </c>
      <c r="G945" s="9" t="n">
        <v>223.61</v>
      </c>
      <c r="H945" s="10" t="n">
        <v>45664.16282407408</v>
      </c>
      <c r="I945" s="10" t="n">
        <v>45664.16282407408</v>
      </c>
      <c r="J945" s="10" t="n">
        <v>45664.16361111111</v>
      </c>
      <c r="K945" s="11" t="n">
        <v>0.000787037037037037</v>
      </c>
      <c r="L945" s="13" t="n"/>
    </row>
    <row r="946">
      <c r="A946" s="3" t="inlineStr">
        <is>
          <t>DepartureDrive</t>
        </is>
      </c>
      <c r="B946" s="3" t="inlineStr">
        <is>
          <t>Act_DEPD_OBT070125031735-Neunkirchen (loading tracks)_042540_623</t>
        </is>
      </c>
      <c r="C946" s="3" t="inlineStr">
        <is>
          <t>OBT070125031735-Neunkirchen (loading tracks)</t>
        </is>
      </c>
      <c r="D946" s="9" t="n">
        <v>267.5</v>
      </c>
      <c r="E946" s="3" t="inlineStr">
        <is>
          <t>623</t>
        </is>
      </c>
      <c r="F946" s="3" t="inlineStr">
        <is>
          <t>Exit gate</t>
        </is>
      </c>
      <c r="G946" s="9" t="n">
        <v>259.31</v>
      </c>
      <c r="H946" s="10" t="n">
        <v>45664.18449074074</v>
      </c>
      <c r="I946" s="10" t="n">
        <v>45664.18449074074</v>
      </c>
      <c r="J946" s="10" t="n">
        <v>45664.18564814814</v>
      </c>
      <c r="K946" s="11" t="n">
        <v>0.001157407407407407</v>
      </c>
      <c r="L946" s="13" t="n"/>
    </row>
    <row r="947">
      <c r="A947" s="3" t="inlineStr">
        <is>
          <t>DepartureDrive</t>
        </is>
      </c>
      <c r="B947" s="3" t="inlineStr">
        <is>
          <t>Act_DEPD_OBT070125064820-Wien Kledering_080350_615</t>
        </is>
      </c>
      <c r="C947" s="3" t="inlineStr">
        <is>
          <t>OBT070125064820-Wien Kledering</t>
        </is>
      </c>
      <c r="D947" s="9" t="n">
        <v>297</v>
      </c>
      <c r="E947" s="3" t="inlineStr">
        <is>
          <t>615</t>
        </is>
      </c>
      <c r="F947" s="3" t="inlineStr">
        <is>
          <t>Exit gate</t>
        </is>
      </c>
      <c r="G947" s="9" t="n">
        <v>223.61</v>
      </c>
      <c r="H947" s="10" t="n">
        <v>45664.33599537037</v>
      </c>
      <c r="I947" s="10" t="n">
        <v>45664.33599537037</v>
      </c>
      <c r="J947" s="10" t="n">
        <v>45664.3371412037</v>
      </c>
      <c r="K947" s="11" t="n">
        <v>0.001145833333333333</v>
      </c>
      <c r="L947" s="13" t="n"/>
    </row>
    <row r="948">
      <c r="A948" s="3" t="inlineStr">
        <is>
          <t>DepartureDrive</t>
        </is>
      </c>
      <c r="B948" s="3" t="inlineStr">
        <is>
          <t>Act_DEPD_OBT070125075235-Neudörfl (FunderMax)_083851_627</t>
        </is>
      </c>
      <c r="C948" s="3" t="inlineStr">
        <is>
          <t>OBT070125075235-Neudörfl (FunderMax)</t>
        </is>
      </c>
      <c r="D948" s="9" t="n">
        <v>113.7</v>
      </c>
      <c r="E948" s="3" t="inlineStr">
        <is>
          <t>627</t>
        </is>
      </c>
      <c r="F948" s="3" t="inlineStr">
        <is>
          <t>Exit gate</t>
        </is>
      </c>
      <c r="G948" s="9" t="n">
        <v>188.33</v>
      </c>
      <c r="H948" s="10" t="n">
        <v>45664.3603125</v>
      </c>
      <c r="I948" s="10" t="n">
        <v>45664.3603125</v>
      </c>
      <c r="J948" s="10" t="n">
        <v>45664.36096064815</v>
      </c>
      <c r="K948" s="11" t="n">
        <v>0.0006481481481481481</v>
      </c>
      <c r="L948" s="13" t="n"/>
    </row>
    <row r="949">
      <c r="A949" s="3" t="inlineStr">
        <is>
          <t>DepartureDrive</t>
        </is>
      </c>
      <c r="B949" s="3" t="inlineStr">
        <is>
          <t>Act_DEPD_OBT070125074625-Wien Kledering_085356_607</t>
        </is>
      </c>
      <c r="C949" s="3" t="inlineStr">
        <is>
          <t>OBT070125074625-Wien Kledering</t>
        </is>
      </c>
      <c r="D949" s="9" t="n">
        <v>189.9</v>
      </c>
      <c r="E949" s="3" t="inlineStr">
        <is>
          <t>607</t>
        </is>
      </c>
      <c r="F949" s="3" t="inlineStr">
        <is>
          <t>Exit gate</t>
        </is>
      </c>
      <c r="G949" s="9" t="n">
        <v>286.14</v>
      </c>
      <c r="H949" s="10" t="n">
        <v>45664.37078703703</v>
      </c>
      <c r="I949" s="10" t="n">
        <v>45664.37078703703</v>
      </c>
      <c r="J949" s="10" t="n">
        <v>45664.37181712963</v>
      </c>
      <c r="K949" s="11" t="n">
        <v>0.001030092592592593</v>
      </c>
      <c r="L949" s="13" t="n"/>
    </row>
    <row r="950">
      <c r="A950" s="3" t="inlineStr">
        <is>
          <t>DepartureDrive</t>
        </is>
      </c>
      <c r="B950" s="3" t="inlineStr">
        <is>
          <t>Act_DEPD_OBT070125074225-Wien Kledering_092247_619</t>
        </is>
      </c>
      <c r="C950" s="3" t="inlineStr">
        <is>
          <t>OBT070125074225-Wien Kledering</t>
        </is>
      </c>
      <c r="D950" s="9" t="n">
        <v>396.6</v>
      </c>
      <c r="E950" s="3" t="inlineStr">
        <is>
          <t>619</t>
        </is>
      </c>
      <c r="F950" s="3" t="inlineStr">
        <is>
          <t>Exit gate</t>
        </is>
      </c>
      <c r="G950" s="9" t="n">
        <v>262.93</v>
      </c>
      <c r="H950" s="10" t="n">
        <v>45664.39082175926</v>
      </c>
      <c r="I950" s="10" t="n">
        <v>45664.39082175926</v>
      </c>
      <c r="J950" s="10" t="n">
        <v>45664.39228009259</v>
      </c>
      <c r="K950" s="11" t="n">
        <v>0.001458333333333333</v>
      </c>
      <c r="L950" s="13" t="n"/>
    </row>
    <row r="951">
      <c r="A951" s="3" t="inlineStr">
        <is>
          <t>DepartureDrive</t>
        </is>
      </c>
      <c r="B951" s="3" t="inlineStr">
        <is>
          <t>Act_DEPD_OBT070125080206-Other sidings north_094146_617</t>
        </is>
      </c>
      <c r="C951" s="3" t="inlineStr">
        <is>
          <t>OBT070125080206-Other sidings north</t>
        </is>
      </c>
      <c r="D951" s="9" t="n">
        <v>214.1</v>
      </c>
      <c r="E951" s="3" t="inlineStr">
        <is>
          <t>617</t>
        </is>
      </c>
      <c r="F951" s="3" t="inlineStr">
        <is>
          <t>Exit gate</t>
        </is>
      </c>
      <c r="G951" s="9" t="n">
        <v>262.93</v>
      </c>
      <c r="H951" s="10" t="n">
        <v>45664.40400462963</v>
      </c>
      <c r="I951" s="10" t="n">
        <v>45664.40400462963</v>
      </c>
      <c r="J951" s="10" t="n">
        <v>45664.4050462963</v>
      </c>
      <c r="K951" s="11" t="n">
        <v>0.001041666666666667</v>
      </c>
      <c r="L951" s="13" t="n"/>
    </row>
    <row r="952">
      <c r="A952" s="3" t="inlineStr">
        <is>
          <t>DepartureDrive</t>
        </is>
      </c>
      <c r="B952" s="3" t="inlineStr">
        <is>
          <t>Act_DEPD_OBT070125084304-Wien Kledering_100647_615</t>
        </is>
      </c>
      <c r="C952" s="3" t="inlineStr">
        <is>
          <t>OBT070125084304-Wien Kledering</t>
        </is>
      </c>
      <c r="D952" s="9" t="n">
        <v>281.4</v>
      </c>
      <c r="E952" s="3" t="inlineStr">
        <is>
          <t>615</t>
        </is>
      </c>
      <c r="F952" s="3" t="inlineStr">
        <is>
          <t>Exit gate</t>
        </is>
      </c>
      <c r="G952" s="9" t="n">
        <v>223.61</v>
      </c>
      <c r="H952" s="10" t="n">
        <v>45664.42137731481</v>
      </c>
      <c r="I952" s="10" t="n">
        <v>45664.42137731481</v>
      </c>
      <c r="J952" s="10" t="n">
        <v>45664.42248842592</v>
      </c>
      <c r="K952" s="11" t="n">
        <v>0.001111111111111111</v>
      </c>
      <c r="L952" s="13" t="n"/>
    </row>
    <row r="953">
      <c r="A953" s="3" t="inlineStr">
        <is>
          <t>DepartureDrive</t>
        </is>
      </c>
      <c r="B953" s="3" t="inlineStr">
        <is>
          <t>Act_DEPD_OBT070125084545-St. Veit an der Glan_102919_625</t>
        </is>
      </c>
      <c r="C953" s="3" t="inlineStr">
        <is>
          <t>OBT070125084545-St. Veit an der Glan</t>
        </is>
      </c>
      <c r="D953" s="9" t="n">
        <v>180.7</v>
      </c>
      <c r="E953" s="3" t="inlineStr">
        <is>
          <t>625</t>
        </is>
      </c>
      <c r="F953" s="3" t="inlineStr">
        <is>
          <t>Exit gate</t>
        </is>
      </c>
      <c r="G953" s="9" t="n">
        <v>240.31</v>
      </c>
      <c r="H953" s="10" t="n">
        <v>45664.43702546296</v>
      </c>
      <c r="I953" s="10" t="n">
        <v>45664.43702546296</v>
      </c>
      <c r="J953" s="10" t="n">
        <v>45664.43795138889</v>
      </c>
      <c r="K953" s="11" t="n">
        <v>0.000925925925925926</v>
      </c>
      <c r="L953" s="13" t="n"/>
    </row>
    <row r="954">
      <c r="A954" s="3" t="inlineStr">
        <is>
          <t>DepartureDrive</t>
        </is>
      </c>
      <c r="B954" s="3" t="inlineStr">
        <is>
          <t>Act_DEPD_OBT070125105541-Wien Kledering_121007_615</t>
        </is>
      </c>
      <c r="C954" s="3" t="inlineStr">
        <is>
          <t>OBT070125105541-Wien Kledering</t>
        </is>
      </c>
      <c r="D954" s="9" t="n">
        <v>292.9</v>
      </c>
      <c r="E954" s="3" t="inlineStr">
        <is>
          <t>615</t>
        </is>
      </c>
      <c r="F954" s="3" t="inlineStr">
        <is>
          <t>Exit gate</t>
        </is>
      </c>
      <c r="G954" s="9" t="n">
        <v>223.61</v>
      </c>
      <c r="H954" s="10" t="n">
        <v>45664.50702546296</v>
      </c>
      <c r="I954" s="10" t="n">
        <v>45664.50702546296</v>
      </c>
      <c r="J954" s="10" t="n">
        <v>45664.50817129629</v>
      </c>
      <c r="K954" s="11" t="n">
        <v>0.001145833333333333</v>
      </c>
      <c r="L954" s="13" t="n"/>
    </row>
    <row r="955">
      <c r="A955" s="3" t="inlineStr">
        <is>
          <t>DepartureDrive</t>
        </is>
      </c>
      <c r="B955" s="3" t="inlineStr">
        <is>
          <t>Act_DEPD_OBT070125131825-Wien Kledering_142544_625</t>
        </is>
      </c>
      <c r="C955" s="3" t="inlineStr">
        <is>
          <t>OBT070125131825-Wien Kledering</t>
        </is>
      </c>
      <c r="D955" s="9" t="n">
        <v>264.3</v>
      </c>
      <c r="E955" s="3" t="inlineStr">
        <is>
          <t>625</t>
        </is>
      </c>
      <c r="F955" s="3" t="inlineStr">
        <is>
          <t>Exit gate</t>
        </is>
      </c>
      <c r="G955" s="9" t="n">
        <v>240.31</v>
      </c>
      <c r="H955" s="10" t="n">
        <v>45664.60120370371</v>
      </c>
      <c r="I955" s="10" t="n">
        <v>45664.60120370371</v>
      </c>
      <c r="J955" s="10" t="n">
        <v>45664.60231481482</v>
      </c>
      <c r="K955" s="11" t="n">
        <v>0.001111111111111111</v>
      </c>
      <c r="L955" s="13" t="n"/>
    </row>
    <row r="956">
      <c r="A956" s="3" t="inlineStr">
        <is>
          <t>DepartureDrive</t>
        </is>
      </c>
      <c r="B956" s="3" t="inlineStr">
        <is>
          <t>Act_DEPD_OBT070125143346-Wien Kledering_161429_615</t>
        </is>
      </c>
      <c r="C956" s="3" t="inlineStr">
        <is>
          <t>OBT070125143346-Wien Kledering</t>
        </is>
      </c>
      <c r="D956" s="9" t="n">
        <v>398</v>
      </c>
      <c r="E956" s="3" t="inlineStr">
        <is>
          <t>615</t>
        </is>
      </c>
      <c r="F956" s="3" t="inlineStr">
        <is>
          <t>Exit gate</t>
        </is>
      </c>
      <c r="G956" s="9" t="n">
        <v>223.61</v>
      </c>
      <c r="H956" s="10" t="n">
        <v>45664.67672453704</v>
      </c>
      <c r="I956" s="10" t="n">
        <v>45664.67672453704</v>
      </c>
      <c r="J956" s="10" t="n">
        <v>45664.67811342593</v>
      </c>
      <c r="K956" s="11" t="n">
        <v>0.001388888888888889</v>
      </c>
      <c r="L956" s="13" t="n"/>
    </row>
    <row r="957">
      <c r="A957" s="3" t="inlineStr">
        <is>
          <t>DepartureDrive</t>
        </is>
      </c>
      <c r="B957" s="3" t="inlineStr">
        <is>
          <t>Act_DEPD_OBT070125154136-Wr. Neustadt (Hödlmayr)_162222_629</t>
        </is>
      </c>
      <c r="C957" s="3" t="inlineStr">
        <is>
          <t>OBT070125154136-Wr. Neustadt (Hödlmayr)</t>
        </is>
      </c>
      <c r="D957" s="9" t="n">
        <v>135</v>
      </c>
      <c r="E957" s="3" t="inlineStr">
        <is>
          <t>629</t>
        </is>
      </c>
      <c r="F957" s="3" t="inlineStr">
        <is>
          <t>Exit gate</t>
        </is>
      </c>
      <c r="G957" s="9" t="n">
        <v>182.11</v>
      </c>
      <c r="H957" s="10" t="n">
        <v>45664.68219907407</v>
      </c>
      <c r="I957" s="10" t="n">
        <v>45664.68219907407</v>
      </c>
      <c r="J957" s="10" t="n">
        <v>45664.68289351852</v>
      </c>
      <c r="K957" s="11" t="n">
        <v>0.0006944444444444445</v>
      </c>
      <c r="L957" s="13" t="n"/>
    </row>
    <row r="958">
      <c r="A958" s="3" t="inlineStr">
        <is>
          <t>DepartureDrive</t>
        </is>
      </c>
      <c r="B958" s="3" t="inlineStr">
        <is>
          <t>Act_DEPD_OBT070125154601-Other sidings north_162810_617</t>
        </is>
      </c>
      <c r="C958" s="3" t="inlineStr">
        <is>
          <t>OBT070125154601-Other sidings north</t>
        </is>
      </c>
      <c r="D958" s="9" t="n">
        <v>101.9</v>
      </c>
      <c r="E958" s="3" t="inlineStr">
        <is>
          <t>617</t>
        </is>
      </c>
      <c r="F958" s="3" t="inlineStr">
        <is>
          <t>Exit gate</t>
        </is>
      </c>
      <c r="G958" s="9" t="n">
        <v>262.93</v>
      </c>
      <c r="H958" s="10" t="n">
        <v>45664.68622685185</v>
      </c>
      <c r="I958" s="10" t="n">
        <v>45664.68622685185</v>
      </c>
      <c r="J958" s="10" t="n">
        <v>45664.68701388889</v>
      </c>
      <c r="K958" s="11" t="n">
        <v>0.000787037037037037</v>
      </c>
      <c r="L958" s="13" t="n"/>
    </row>
    <row r="959">
      <c r="A959" s="3" t="inlineStr">
        <is>
          <t>DepartureDrive</t>
        </is>
      </c>
      <c r="B959" s="3" t="inlineStr">
        <is>
          <t>Act_DEPD_OBT070125155207-Pitten (Hamburger)_165441_613</t>
        </is>
      </c>
      <c r="C959" s="3" t="inlineStr">
        <is>
          <t>OBT070125155207-Pitten (Hamburger)</t>
        </is>
      </c>
      <c r="D959" s="9" t="n">
        <v>120</v>
      </c>
      <c r="E959" s="3" t="inlineStr">
        <is>
          <t>613</t>
        </is>
      </c>
      <c r="F959" s="3" t="inlineStr">
        <is>
          <t>Exit gate</t>
        </is>
      </c>
      <c r="G959" s="9" t="n">
        <v>205.9</v>
      </c>
      <c r="H959" s="10" t="n">
        <v>45664.7046412037</v>
      </c>
      <c r="I959" s="10" t="n">
        <v>45664.7046412037</v>
      </c>
      <c r="J959" s="10" t="n">
        <v>45664.70534722223</v>
      </c>
      <c r="K959" s="11" t="n">
        <v>0.0007060185185185185</v>
      </c>
      <c r="L959" s="13" t="n"/>
    </row>
    <row r="960">
      <c r="A960" s="3" t="inlineStr">
        <is>
          <t>DepartureDrive</t>
        </is>
      </c>
      <c r="B960" s="3" t="inlineStr">
        <is>
          <t>Act_DEPD_OBT070125162217-St. Veit an der Glan_165547_627</t>
        </is>
      </c>
      <c r="C960" s="3" t="inlineStr">
        <is>
          <t>OBT070125162217-St. Veit an der Glan</t>
        </is>
      </c>
      <c r="D960" s="9" t="n">
        <v>100.5</v>
      </c>
      <c r="E960" s="3" t="inlineStr">
        <is>
          <t>627</t>
        </is>
      </c>
      <c r="F960" s="3" t="inlineStr">
        <is>
          <t>Exit gate</t>
        </is>
      </c>
      <c r="G960" s="9" t="n">
        <v>188.33</v>
      </c>
      <c r="H960" s="10" t="n">
        <v>45664.70540509259</v>
      </c>
      <c r="I960" s="10" t="n">
        <v>45664.70540509259</v>
      </c>
      <c r="J960" s="10" t="n">
        <v>45664.7060300926</v>
      </c>
      <c r="K960" s="11" t="n">
        <v>0.000625</v>
      </c>
      <c r="L960" s="13" t="n"/>
    </row>
    <row r="961">
      <c r="A961" s="3" t="inlineStr">
        <is>
          <t>DepartureDrive</t>
        </is>
      </c>
      <c r="B961" s="3" t="inlineStr">
        <is>
          <t>Act_DEPD_OBT070125160018-Wien Kledering_180314_619</t>
        </is>
      </c>
      <c r="C961" s="3" t="inlineStr">
        <is>
          <t>OBT070125160018-Wien Kledering</t>
        </is>
      </c>
      <c r="D961" s="9" t="n">
        <v>393.5</v>
      </c>
      <c r="E961" s="3" t="inlineStr">
        <is>
          <t>619</t>
        </is>
      </c>
      <c r="F961" s="3" t="inlineStr">
        <is>
          <t>Exit gate</t>
        </is>
      </c>
      <c r="G961" s="9" t="n">
        <v>262.93</v>
      </c>
      <c r="H961" s="10" t="n">
        <v>45664.75224537037</v>
      </c>
      <c r="I961" s="10" t="n">
        <v>45664.75224537037</v>
      </c>
      <c r="J961" s="10" t="n">
        <v>45664.7537037037</v>
      </c>
      <c r="K961" s="11" t="n">
        <v>0.001458333333333333</v>
      </c>
      <c r="L961" s="13" t="n"/>
    </row>
    <row r="962">
      <c r="A962" s="3" t="inlineStr">
        <is>
          <t>DepartureDrive</t>
        </is>
      </c>
      <c r="B962" s="3" t="inlineStr">
        <is>
          <t>Act_DEPD_OBT070125180725-Wr. Neustadt (Hödlmayr)_183614_613</t>
        </is>
      </c>
      <c r="C962" s="3" t="inlineStr">
        <is>
          <t>OBT070125180725-Wr. Neustadt (Hödlmayr)</t>
        </is>
      </c>
      <c r="D962" s="9" t="n">
        <v>108</v>
      </c>
      <c r="E962" s="3" t="inlineStr">
        <is>
          <t>613</t>
        </is>
      </c>
      <c r="F962" s="3" t="inlineStr">
        <is>
          <t>Exit gate</t>
        </is>
      </c>
      <c r="G962" s="9" t="n">
        <v>205.9</v>
      </c>
      <c r="H962" s="10" t="n">
        <v>45664.77516203704</v>
      </c>
      <c r="I962" s="10" t="n">
        <v>45664.77516203704</v>
      </c>
      <c r="J962" s="10" t="n">
        <v>45664.77583333333</v>
      </c>
      <c r="K962" s="11" t="n">
        <v>0.0006712962962962962</v>
      </c>
      <c r="L962" s="13" t="n"/>
    </row>
    <row r="963">
      <c r="A963" s="3" t="inlineStr">
        <is>
          <t>DepartureDrive</t>
        </is>
      </c>
      <c r="B963" s="3" t="inlineStr">
        <is>
          <t>Act_DEPD_OBT070125180657-Wr. Neustadt Ausfahrbf (Furtenbach)_184300_605</t>
        </is>
      </c>
      <c r="C963" s="3" t="inlineStr">
        <is>
          <t>OBT070125180657-Wr. Neustadt Ausfahrbf (Furtenbach)</t>
        </is>
      </c>
      <c r="D963" s="9" t="n">
        <v>139.3</v>
      </c>
      <c r="E963" s="3" t="inlineStr">
        <is>
          <t>605</t>
        </is>
      </c>
      <c r="F963" s="3" t="inlineStr">
        <is>
          <t>Exit gate</t>
        </is>
      </c>
      <c r="G963" s="9" t="n">
        <v>286.14</v>
      </c>
      <c r="H963" s="10" t="n">
        <v>45664.77986111111</v>
      </c>
      <c r="I963" s="10" t="n">
        <v>45664.77986111111</v>
      </c>
      <c r="J963" s="10" t="n">
        <v>45664.78077546296</v>
      </c>
      <c r="K963" s="11" t="n">
        <v>0.0009143518518518518</v>
      </c>
      <c r="L963" s="13" t="n"/>
    </row>
    <row r="964">
      <c r="A964" s="3" t="inlineStr">
        <is>
          <t>DepartureDrive</t>
        </is>
      </c>
      <c r="B964" s="3" t="inlineStr">
        <is>
          <t>Act_DEPD_OBT070125183432-Wien Kledering_195328_607</t>
        </is>
      </c>
      <c r="C964" s="3" t="inlineStr">
        <is>
          <t>OBT070125183432-Wien Kledering</t>
        </is>
      </c>
      <c r="D964" s="9" t="n">
        <v>305.8</v>
      </c>
      <c r="E964" s="3" t="inlineStr">
        <is>
          <t>607</t>
        </is>
      </c>
      <c r="F964" s="3" t="inlineStr">
        <is>
          <t>Exit gate</t>
        </is>
      </c>
      <c r="G964" s="9" t="n">
        <v>286.14</v>
      </c>
      <c r="H964" s="10" t="n">
        <v>45664.82879629629</v>
      </c>
      <c r="I964" s="10" t="n">
        <v>45664.82879629629</v>
      </c>
      <c r="J964" s="10" t="n">
        <v>45664.83010416666</v>
      </c>
      <c r="K964" s="11" t="n">
        <v>0.00130787037037037</v>
      </c>
      <c r="L964" s="13" t="n"/>
    </row>
    <row r="965">
      <c r="A965" s="3" t="inlineStr">
        <is>
          <t>DepartureDrive</t>
        </is>
      </c>
      <c r="B965" s="3" t="inlineStr">
        <is>
          <t>Act_DEPD_OBT070125212007-Wien Kledering_225838_613</t>
        </is>
      </c>
      <c r="C965" s="3" t="inlineStr">
        <is>
          <t>OBT070125212007-Wien Kledering</t>
        </is>
      </c>
      <c r="D965" s="9" t="n">
        <v>389.1</v>
      </c>
      <c r="E965" s="3" t="inlineStr">
        <is>
          <t>613</t>
        </is>
      </c>
      <c r="F965" s="3" t="inlineStr">
        <is>
          <t>Exit gate</t>
        </is>
      </c>
      <c r="G965" s="9" t="n">
        <v>205.9</v>
      </c>
      <c r="H965" s="10" t="n">
        <v>45664.95738425926</v>
      </c>
      <c r="I965" s="10" t="n">
        <v>45664.95738425926</v>
      </c>
      <c r="J965" s="10" t="n">
        <v>45664.95870370371</v>
      </c>
      <c r="K965" s="11" t="n">
        <v>0.001319444444444444</v>
      </c>
      <c r="L965" s="13" t="n"/>
    </row>
    <row r="966">
      <c r="A966" s="3" t="inlineStr">
        <is>
          <t>DepartureDrive</t>
        </is>
      </c>
      <c r="B966" s="3" t="inlineStr">
        <is>
          <t>Act_DEPD_OBT080125031418-Pitten (Hamburger)_034113_627</t>
        </is>
      </c>
      <c r="C966" s="3" t="inlineStr">
        <is>
          <t>OBT080125031418-Pitten (Hamburger)</t>
        </is>
      </c>
      <c r="D966" s="9" t="n">
        <v>102.9</v>
      </c>
      <c r="E966" s="3" t="inlineStr">
        <is>
          <t>627</t>
        </is>
      </c>
      <c r="F966" s="3" t="inlineStr">
        <is>
          <t>Exit gate</t>
        </is>
      </c>
      <c r="G966" s="9" t="n">
        <v>188.33</v>
      </c>
      <c r="H966" s="10" t="n">
        <v>45665.15362268518</v>
      </c>
      <c r="I966" s="10" t="n">
        <v>45665.15362268518</v>
      </c>
      <c r="J966" s="10" t="n">
        <v>45665.15424768518</v>
      </c>
      <c r="K966" s="11" t="n">
        <v>0.000625</v>
      </c>
      <c r="L966" s="13" t="n"/>
    </row>
    <row r="967">
      <c r="A967" s="3" t="inlineStr">
        <is>
          <t>DepartureDrive</t>
        </is>
      </c>
      <c r="B967" s="3" t="inlineStr">
        <is>
          <t>Act_DEPD_OBT080125031718-Other sidings local_034831_625</t>
        </is>
      </c>
      <c r="C967" s="3" t="inlineStr">
        <is>
          <t>OBT080125031718-Other sidings local</t>
        </is>
      </c>
      <c r="D967" s="9" t="n">
        <v>114.3</v>
      </c>
      <c r="E967" s="3" t="inlineStr">
        <is>
          <t>625</t>
        </is>
      </c>
      <c r="F967" s="3" t="inlineStr">
        <is>
          <t>Exit gate</t>
        </is>
      </c>
      <c r="G967" s="9" t="n">
        <v>240.31</v>
      </c>
      <c r="H967" s="10" t="n">
        <v>45665.15869212963</v>
      </c>
      <c r="I967" s="10" t="n">
        <v>45665.15869212963</v>
      </c>
      <c r="J967" s="10" t="n">
        <v>45665.1594675926</v>
      </c>
      <c r="K967" s="11" t="n">
        <v>0.0007754629629629629</v>
      </c>
      <c r="L967" s="13" t="n"/>
    </row>
    <row r="968">
      <c r="A968" s="3" t="inlineStr">
        <is>
          <t>DepartureDrive</t>
        </is>
      </c>
      <c r="B968" s="3" t="inlineStr">
        <is>
          <t>Act_DEPD_OBT080125031726-Neunkirchen (loading tracks)_040625_613</t>
        </is>
      </c>
      <c r="C968" s="3" t="inlineStr">
        <is>
          <t>OBT080125031726-Neunkirchen (loading tracks)</t>
        </is>
      </c>
      <c r="D968" s="9" t="n">
        <v>166.9</v>
      </c>
      <c r="E968" s="3" t="inlineStr">
        <is>
          <t>613</t>
        </is>
      </c>
      <c r="F968" s="3" t="inlineStr">
        <is>
          <t>Exit gate</t>
        </is>
      </c>
      <c r="G968" s="9" t="n">
        <v>205.9</v>
      </c>
      <c r="H968" s="10" t="n">
        <v>45665.17112268518</v>
      </c>
      <c r="I968" s="10" t="n">
        <v>45665.17112268518</v>
      </c>
      <c r="J968" s="10" t="n">
        <v>45665.17193287037</v>
      </c>
      <c r="K968" s="11" t="n">
        <v>0.0008101851851851852</v>
      </c>
      <c r="L968" s="13" t="n"/>
    </row>
    <row r="969">
      <c r="A969" s="3" t="inlineStr">
        <is>
          <t>DepartureDrive</t>
        </is>
      </c>
      <c r="B969" s="3" t="inlineStr">
        <is>
          <t>Act_DEPD_OBT080125032215-Other sidings south_041904_623</t>
        </is>
      </c>
      <c r="C969" s="3" t="inlineStr">
        <is>
          <t>OBT080125032215-Other sidings south</t>
        </is>
      </c>
      <c r="D969" s="9" t="n">
        <v>141.7</v>
      </c>
      <c r="E969" s="3" t="inlineStr">
        <is>
          <t>623</t>
        </is>
      </c>
      <c r="F969" s="3" t="inlineStr">
        <is>
          <t>Exit gate</t>
        </is>
      </c>
      <c r="G969" s="9" t="n">
        <v>259.31</v>
      </c>
      <c r="H969" s="10" t="n">
        <v>45665.17990740741</v>
      </c>
      <c r="I969" s="10" t="n">
        <v>45665.17990740741</v>
      </c>
      <c r="J969" s="10" t="n">
        <v>45665.18077546296</v>
      </c>
      <c r="K969" s="11" t="n">
        <v>0.0008680555555555555</v>
      </c>
      <c r="L969" s="13" t="n"/>
    </row>
    <row r="970">
      <c r="A970" s="3" t="inlineStr">
        <is>
          <t>DepartureDrive</t>
        </is>
      </c>
      <c r="B970" s="3" t="inlineStr">
        <is>
          <t>Act_DEPD_OBT080125041024-Neudörfl (FunderMax)_063948_611</t>
        </is>
      </c>
      <c r="C970" s="3" t="inlineStr">
        <is>
          <t>OBT080125041024-Neudörfl (FunderMax)</t>
        </is>
      </c>
      <c r="D970" s="9" t="n">
        <v>592.7</v>
      </c>
      <c r="E970" s="3" t="inlineStr">
        <is>
          <t>611</t>
        </is>
      </c>
      <c r="F970" s="3" t="inlineStr">
        <is>
          <t>Exit gate</t>
        </is>
      </c>
      <c r="G970" s="9" t="n">
        <v>231.94</v>
      </c>
      <c r="H970" s="10" t="n">
        <v>45665.27763888889</v>
      </c>
      <c r="I970" s="10" t="n">
        <v>45665.27763888889</v>
      </c>
      <c r="J970" s="10" t="n">
        <v>45665.27949074074</v>
      </c>
      <c r="K970" s="11" t="n">
        <v>0.001851851851851852</v>
      </c>
      <c r="L970" s="13" t="n"/>
    </row>
    <row r="971">
      <c r="A971" s="3" t="inlineStr">
        <is>
          <t>DepartureDrive</t>
        </is>
      </c>
      <c r="B971" s="3" t="inlineStr">
        <is>
          <t>Act_DEPD_OBT080125061845-Wien Kledering_073415_613</t>
        </is>
      </c>
      <c r="C971" s="3" t="inlineStr">
        <is>
          <t>OBT080125061845-Wien Kledering</t>
        </is>
      </c>
      <c r="D971" s="9" t="n">
        <v>297</v>
      </c>
      <c r="E971" s="3" t="inlineStr">
        <is>
          <t>613</t>
        </is>
      </c>
      <c r="F971" s="3" t="inlineStr">
        <is>
          <t>Exit gate</t>
        </is>
      </c>
      <c r="G971" s="9" t="n">
        <v>205.9</v>
      </c>
      <c r="H971" s="10" t="n">
        <v>45665.31545138889</v>
      </c>
      <c r="I971" s="10" t="n">
        <v>45665.31545138889</v>
      </c>
      <c r="J971" s="10" t="n">
        <v>45665.31657407407</v>
      </c>
      <c r="K971" s="11" t="n">
        <v>0.001122685185185185</v>
      </c>
      <c r="L971" s="13" t="n"/>
    </row>
    <row r="972">
      <c r="A972" s="3" t="inlineStr">
        <is>
          <t>DepartureDrive</t>
        </is>
      </c>
      <c r="B972" s="3" t="inlineStr">
        <is>
          <t>Act_DEPD_OBT080125073527-Wien Kledering_081551_611</t>
        </is>
      </c>
      <c r="C972" s="3" t="inlineStr">
        <is>
          <t>OBT080125073527-Wien Kledering</t>
        </is>
      </c>
      <c r="D972" s="9" t="n">
        <v>156.7</v>
      </c>
      <c r="E972" s="3" t="inlineStr">
        <is>
          <t>611</t>
        </is>
      </c>
      <c r="F972" s="3" t="inlineStr">
        <is>
          <t>Exit gate</t>
        </is>
      </c>
      <c r="G972" s="9" t="n">
        <v>231.94</v>
      </c>
      <c r="H972" s="10" t="n">
        <v>45665.34434027778</v>
      </c>
      <c r="I972" s="10" t="n">
        <v>45665.34434027778</v>
      </c>
      <c r="J972" s="10" t="n">
        <v>45665.34519675926</v>
      </c>
      <c r="K972" s="11" t="n">
        <v>0.0008564814814814815</v>
      </c>
      <c r="L972" s="13" t="n"/>
    </row>
    <row r="973">
      <c r="A973" s="3" t="inlineStr">
        <is>
          <t>DepartureDrive</t>
        </is>
      </c>
      <c r="B973" s="3" t="inlineStr">
        <is>
          <t>Act_DEPD_OBT080125082044-Wr. Neustadt (Hödlmayr)_084859_619</t>
        </is>
      </c>
      <c r="C973" s="3" t="inlineStr">
        <is>
          <t>OBT080125082044-Wr. Neustadt (Hödlmayr)</t>
        </is>
      </c>
      <c r="D973" s="9" t="n">
        <v>108</v>
      </c>
      <c r="E973" s="3" t="inlineStr">
        <is>
          <t>619</t>
        </is>
      </c>
      <c r="F973" s="3" t="inlineStr">
        <is>
          <t>Exit gate</t>
        </is>
      </c>
      <c r="G973" s="9" t="n">
        <v>262.93</v>
      </c>
      <c r="H973" s="10" t="n">
        <v>45665.36734953704</v>
      </c>
      <c r="I973" s="10" t="n">
        <v>45665.36734953704</v>
      </c>
      <c r="J973" s="10" t="n">
        <v>45665.36813657408</v>
      </c>
      <c r="K973" s="11" t="n">
        <v>0.000787037037037037</v>
      </c>
      <c r="L973" s="13" t="n"/>
    </row>
    <row r="974">
      <c r="A974" s="3" t="inlineStr">
        <is>
          <t>DepartureDrive</t>
        </is>
      </c>
      <c r="B974" s="3" t="inlineStr">
        <is>
          <t>Act_DEPD_OBT080125081724-Other sidings north_085110_615</t>
        </is>
      </c>
      <c r="C974" s="3" t="inlineStr">
        <is>
          <t>OBT080125081724-Other sidings north</t>
        </is>
      </c>
      <c r="D974" s="9" t="n">
        <v>130.1</v>
      </c>
      <c r="E974" s="3" t="inlineStr">
        <is>
          <t>615</t>
        </is>
      </c>
      <c r="F974" s="3" t="inlineStr">
        <is>
          <t>Exit gate</t>
        </is>
      </c>
      <c r="G974" s="9" t="n">
        <v>223.61</v>
      </c>
      <c r="H974" s="10" t="n">
        <v>45665.36886574074</v>
      </c>
      <c r="I974" s="10" t="n">
        <v>45665.36886574074</v>
      </c>
      <c r="J974" s="10" t="n">
        <v>45665.36962962963</v>
      </c>
      <c r="K974" s="11" t="n">
        <v>0.0007638888888888889</v>
      </c>
      <c r="L974" s="13" t="n"/>
    </row>
    <row r="975">
      <c r="A975" s="3" t="inlineStr">
        <is>
          <t>DepartureDrive</t>
        </is>
      </c>
      <c r="B975" s="3" t="inlineStr">
        <is>
          <t>Act_DEPD_OBT080125083220-Pitten (Hamburger)_091752_627</t>
        </is>
      </c>
      <c r="C975" s="3" t="inlineStr">
        <is>
          <t>OBT080125083220-Pitten (Hamburger)</t>
        </is>
      </c>
      <c r="D975" s="9" t="n">
        <v>124.4</v>
      </c>
      <c r="E975" s="3" t="inlineStr">
        <is>
          <t>627</t>
        </is>
      </c>
      <c r="F975" s="3" t="inlineStr">
        <is>
          <t>Exit gate</t>
        </is>
      </c>
      <c r="G975" s="9" t="n">
        <v>188.33</v>
      </c>
      <c r="H975" s="10" t="n">
        <v>45665.3874074074</v>
      </c>
      <c r="I975" s="10" t="n">
        <v>45665.3874074074</v>
      </c>
      <c r="J975" s="10" t="n">
        <v>45665.38809027777</v>
      </c>
      <c r="K975" s="11" t="n">
        <v>0.0006828703703703704</v>
      </c>
      <c r="L975" s="13" t="n"/>
    </row>
    <row r="976">
      <c r="A976" s="3" t="inlineStr">
        <is>
          <t>DepartureDrive</t>
        </is>
      </c>
      <c r="B976" s="3" t="inlineStr">
        <is>
          <t>Act_DEPD_OBT080125091709-Wien Kledering_094901_615</t>
        </is>
      </c>
      <c r="C976" s="3" t="inlineStr">
        <is>
          <t>OBT080125091709-Wien Kledering</t>
        </is>
      </c>
      <c r="D976" s="9" t="n">
        <v>114.8</v>
      </c>
      <c r="E976" s="3" t="inlineStr">
        <is>
          <t>615</t>
        </is>
      </c>
      <c r="F976" s="3" t="inlineStr">
        <is>
          <t>Exit gate</t>
        </is>
      </c>
      <c r="G976" s="9" t="n">
        <v>223.61</v>
      </c>
      <c r="H976" s="10" t="n">
        <v>45665.40903935185</v>
      </c>
      <c r="I976" s="10" t="n">
        <v>45665.40903935185</v>
      </c>
      <c r="J976" s="10" t="n">
        <v>45665.40976851852</v>
      </c>
      <c r="K976" s="11" t="n">
        <v>0.0007291666666666667</v>
      </c>
      <c r="L976" s="13" t="n"/>
    </row>
    <row r="977">
      <c r="A977" s="3" t="inlineStr">
        <is>
          <t>DepartureDrive</t>
        </is>
      </c>
      <c r="B977" s="3" t="inlineStr">
        <is>
          <t>Act_DEPD_OBT080125092000-St. Veit an der Glan_095227_619</t>
        </is>
      </c>
      <c r="C977" s="3" t="inlineStr">
        <is>
          <t>OBT080125092000-St. Veit an der Glan</t>
        </is>
      </c>
      <c r="D977" s="9" t="n">
        <v>120.4</v>
      </c>
      <c r="E977" s="3" t="inlineStr">
        <is>
          <t>619</t>
        </is>
      </c>
      <c r="F977" s="3" t="inlineStr">
        <is>
          <t>Exit gate</t>
        </is>
      </c>
      <c r="G977" s="9" t="n">
        <v>262.93</v>
      </c>
      <c r="H977" s="10" t="n">
        <v>45665.41142361111</v>
      </c>
      <c r="I977" s="10" t="n">
        <v>45665.41142361111</v>
      </c>
      <c r="J977" s="10" t="n">
        <v>45665.41225694444</v>
      </c>
      <c r="K977" s="11" t="n">
        <v>0.0008333333333333334</v>
      </c>
      <c r="L977" s="13" t="n"/>
    </row>
    <row r="978">
      <c r="A978" s="3" t="inlineStr">
        <is>
          <t>DepartureDrive</t>
        </is>
      </c>
      <c r="B978" s="3" t="inlineStr">
        <is>
          <t>Act_DEPD_OBT080125084420-Ternitz (Schoeller-Bleckmann)_103156_613</t>
        </is>
      </c>
      <c r="C978" s="3" t="inlineStr">
        <is>
          <t>OBT080125084420-Ternitz (Schoeller-Bleckmann)</t>
        </is>
      </c>
      <c r="D978" s="9" t="n">
        <v>401.8</v>
      </c>
      <c r="E978" s="3" t="inlineStr">
        <is>
          <t>613</t>
        </is>
      </c>
      <c r="F978" s="3" t="inlineStr">
        <is>
          <t>Exit gate</t>
        </is>
      </c>
      <c r="G978" s="9" t="n">
        <v>205.9</v>
      </c>
      <c r="H978" s="10" t="n">
        <v>45665.43884259259</v>
      </c>
      <c r="I978" s="10" t="n">
        <v>45665.43884259259</v>
      </c>
      <c r="J978" s="10" t="n">
        <v>45665.44020833333</v>
      </c>
      <c r="K978" s="11" t="n">
        <v>0.001365740740740741</v>
      </c>
      <c r="L978" s="13" t="n"/>
    </row>
    <row r="979">
      <c r="A979" s="3" t="inlineStr">
        <is>
          <t>DepartureDrive</t>
        </is>
      </c>
      <c r="B979" s="3" t="inlineStr">
        <is>
          <t>Act_DEPD_OBT080125103559-Wien Kledering_110827_615</t>
        </is>
      </c>
      <c r="C979" s="3" t="inlineStr">
        <is>
          <t>OBT080125103559-Wien Kledering</t>
        </is>
      </c>
      <c r="D979" s="9" t="n">
        <v>124.9</v>
      </c>
      <c r="E979" s="3" t="inlineStr">
        <is>
          <t>615</t>
        </is>
      </c>
      <c r="F979" s="3" t="inlineStr">
        <is>
          <t>Exit gate</t>
        </is>
      </c>
      <c r="G979" s="9" t="n">
        <v>223.61</v>
      </c>
      <c r="H979" s="10" t="n">
        <v>45665.46420138889</v>
      </c>
      <c r="I979" s="10" t="n">
        <v>45665.46420138889</v>
      </c>
      <c r="J979" s="10" t="n">
        <v>45665.4649537037</v>
      </c>
      <c r="K979" s="11" t="n">
        <v>0.0007523148148148148</v>
      </c>
      <c r="L979" s="13" t="n"/>
    </row>
    <row r="980">
      <c r="A980" s="3" t="inlineStr">
        <is>
          <t>DepartureDrive</t>
        </is>
      </c>
      <c r="B980" s="3" t="inlineStr">
        <is>
          <t>Act_DEPD_OBT080125104132-Wien Kledering_115659_613</t>
        </is>
      </c>
      <c r="C980" s="3" t="inlineStr">
        <is>
          <t>OBT080125104132-Wien Kledering</t>
        </is>
      </c>
      <c r="D980" s="9" t="n">
        <v>297.3</v>
      </c>
      <c r="E980" s="3" t="inlineStr">
        <is>
          <t>613</t>
        </is>
      </c>
      <c r="F980" s="3" t="inlineStr">
        <is>
          <t>Exit gate</t>
        </is>
      </c>
      <c r="G980" s="9" t="n">
        <v>205.9</v>
      </c>
      <c r="H980" s="10" t="n">
        <v>45665.49790509259</v>
      </c>
      <c r="I980" s="10" t="n">
        <v>45665.49790509259</v>
      </c>
      <c r="J980" s="10" t="n">
        <v>45665.49901620371</v>
      </c>
      <c r="K980" s="11" t="n">
        <v>0.001111111111111111</v>
      </c>
      <c r="L980" s="13" t="n"/>
    </row>
    <row r="981">
      <c r="A981" s="3" t="inlineStr">
        <is>
          <t>DepartureDrive</t>
        </is>
      </c>
      <c r="B981" s="3" t="inlineStr">
        <is>
          <t>Act_DEPD_OBT080125130420-Wien Kledering_141947_615</t>
        </is>
      </c>
      <c r="C981" s="3" t="inlineStr">
        <is>
          <t>OBT080125130420-Wien Kledering</t>
        </is>
      </c>
      <c r="D981" s="9" t="n">
        <v>296.8</v>
      </c>
      <c r="E981" s="3" t="inlineStr">
        <is>
          <t>615</t>
        </is>
      </c>
      <c r="F981" s="3" t="inlineStr">
        <is>
          <t>Exit gate</t>
        </is>
      </c>
      <c r="G981" s="9" t="n">
        <v>223.61</v>
      </c>
      <c r="H981" s="10" t="n">
        <v>45665.59707175926</v>
      </c>
      <c r="I981" s="10" t="n">
        <v>45665.59707175926</v>
      </c>
      <c r="J981" s="10" t="n">
        <v>45665.59822916667</v>
      </c>
      <c r="K981" s="11" t="n">
        <v>0.001157407407407407</v>
      </c>
      <c r="L981" s="13" t="n"/>
    </row>
    <row r="982">
      <c r="A982" s="3" t="inlineStr">
        <is>
          <t>DepartureDrive</t>
        </is>
      </c>
      <c r="B982" s="3" t="inlineStr">
        <is>
          <t>Act_DEPD_OBT080125153109-Felixdorf/Sollenau (Bundesheer, Maba)_160828_621</t>
        </is>
      </c>
      <c r="C982" s="3" t="inlineStr">
        <is>
          <t>OBT080125153109-Felixdorf/Sollenau (Bundesheer, Maba)</t>
        </is>
      </c>
      <c r="D982" s="9" t="n">
        <v>139.3</v>
      </c>
      <c r="E982" s="3" t="inlineStr">
        <is>
          <t>621</t>
        </is>
      </c>
      <c r="F982" s="3" t="inlineStr">
        <is>
          <t>Exit gate</t>
        </is>
      </c>
      <c r="G982" s="9" t="n">
        <v>259.31</v>
      </c>
      <c r="H982" s="10" t="n">
        <v>45665.67254629629</v>
      </c>
      <c r="I982" s="10" t="n">
        <v>45665.67254629629</v>
      </c>
      <c r="J982" s="10" t="n">
        <v>45665.67341435186</v>
      </c>
      <c r="K982" s="11" t="n">
        <v>0.0008680555555555555</v>
      </c>
      <c r="L982" s="13" t="n"/>
    </row>
    <row r="983">
      <c r="A983" s="3" t="inlineStr">
        <is>
          <t>DepartureDrive</t>
        </is>
      </c>
      <c r="B983" s="3" t="inlineStr">
        <is>
          <t>Act_DEPD_OBT080125144539-Wien Kledering_161815_615</t>
        </is>
      </c>
      <c r="C983" s="3" t="inlineStr">
        <is>
          <t>OBT080125144539-Wien Kledering</t>
        </is>
      </c>
      <c r="D983" s="9" t="n">
        <v>365.8</v>
      </c>
      <c r="E983" s="3" t="inlineStr">
        <is>
          <t>615</t>
        </is>
      </c>
      <c r="F983" s="3" t="inlineStr">
        <is>
          <t>Exit gate</t>
        </is>
      </c>
      <c r="G983" s="9" t="n">
        <v>223.61</v>
      </c>
      <c r="H983" s="10" t="n">
        <v>45665.67934027778</v>
      </c>
      <c r="I983" s="10" t="n">
        <v>45665.67934027778</v>
      </c>
      <c r="J983" s="10" t="n">
        <v>45665.68064814815</v>
      </c>
      <c r="K983" s="11" t="n">
        <v>0.00130787037037037</v>
      </c>
      <c r="L983" s="13" t="n"/>
    </row>
    <row r="984">
      <c r="A984" s="3" t="inlineStr">
        <is>
          <t>DepartureDrive</t>
        </is>
      </c>
      <c r="B984" s="3" t="inlineStr">
        <is>
          <t>Act_DEPD_OBT080125160042-Wien Kledering_173339_617</t>
        </is>
      </c>
      <c r="C984" s="3" t="inlineStr">
        <is>
          <t>OBT080125160042-Wien Kledering</t>
        </is>
      </c>
      <c r="D984" s="9" t="n">
        <v>362</v>
      </c>
      <c r="E984" s="3" t="inlineStr">
        <is>
          <t>617</t>
        </is>
      </c>
      <c r="F984" s="3" t="inlineStr">
        <is>
          <t>Exit gate</t>
        </is>
      </c>
      <c r="G984" s="9" t="n">
        <v>262.93</v>
      </c>
      <c r="H984" s="10" t="n">
        <v>45665.73170138889</v>
      </c>
      <c r="I984" s="10" t="n">
        <v>45665.73170138889</v>
      </c>
      <c r="J984" s="10" t="n">
        <v>45665.73309027778</v>
      </c>
      <c r="K984" s="11" t="n">
        <v>0.001388888888888889</v>
      </c>
      <c r="L984" s="13" t="n"/>
    </row>
    <row r="985">
      <c r="A985" s="3" t="inlineStr">
        <is>
          <t>DepartureDrive</t>
        </is>
      </c>
      <c r="B985" s="3" t="inlineStr">
        <is>
          <t>Act_DEPD_OBT080125173713-Wien Kledering_183042_615</t>
        </is>
      </c>
      <c r="C985" s="3" t="inlineStr">
        <is>
          <t>OBT080125173713-Wien Kledering</t>
        </is>
      </c>
      <c r="D985" s="9" t="n">
        <v>209.2</v>
      </c>
      <c r="E985" s="3" t="inlineStr">
        <is>
          <t>615</t>
        </is>
      </c>
      <c r="F985" s="3" t="inlineStr">
        <is>
          <t>Exit gate</t>
        </is>
      </c>
      <c r="G985" s="9" t="n">
        <v>223.61</v>
      </c>
      <c r="H985" s="10" t="n">
        <v>45665.77131944444</v>
      </c>
      <c r="I985" s="10" t="n">
        <v>45665.77131944444</v>
      </c>
      <c r="J985" s="10" t="n">
        <v>45665.77226851852</v>
      </c>
      <c r="K985" s="11" t="n">
        <v>0.0009490740740740741</v>
      </c>
      <c r="L985" s="13" t="n"/>
    </row>
    <row r="986">
      <c r="A986" s="3" t="inlineStr">
        <is>
          <t>DepartureDrive</t>
        </is>
      </c>
      <c r="B986" s="3" t="inlineStr">
        <is>
          <t>Act_DEPD_OBT080125203302-Wien Kledering_210305_617</t>
        </is>
      </c>
      <c r="C986" s="3" t="inlineStr">
        <is>
          <t>OBT080125203302-Wien Kledering</t>
        </is>
      </c>
      <c r="D986" s="9" t="n">
        <v>115.2</v>
      </c>
      <c r="E986" s="3" t="inlineStr">
        <is>
          <t>617</t>
        </is>
      </c>
      <c r="F986" s="3" t="inlineStr">
        <is>
          <t>Exit gate</t>
        </is>
      </c>
      <c r="G986" s="9" t="n">
        <v>262.93</v>
      </c>
      <c r="H986" s="10" t="n">
        <v>45665.8771412037</v>
      </c>
      <c r="I986" s="10" t="n">
        <v>45665.8771412037</v>
      </c>
      <c r="J986" s="10" t="n">
        <v>45665.87796296296</v>
      </c>
      <c r="K986" s="11" t="n">
        <v>0.0008217592592592593</v>
      </c>
      <c r="L986" s="13" t="n"/>
    </row>
    <row r="987">
      <c r="A987" s="3" t="inlineStr">
        <is>
          <t>DepartureDrive</t>
        </is>
      </c>
      <c r="B987" s="3" t="inlineStr">
        <is>
          <t>Act_DEPD_OBT090125030658-Wr. Neustadt (Hödlmayr)_033537_613</t>
        </is>
      </c>
      <c r="C987" s="3" t="inlineStr">
        <is>
          <t>OBT090125030658-Wr. Neustadt (Hödlmayr)</t>
        </is>
      </c>
      <c r="D987" s="9" t="n">
        <v>110</v>
      </c>
      <c r="E987" s="3" t="inlineStr">
        <is>
          <t>613</t>
        </is>
      </c>
      <c r="F987" s="3" t="inlineStr">
        <is>
          <t>Exit gate</t>
        </is>
      </c>
      <c r="G987" s="9" t="n">
        <v>205.9</v>
      </c>
      <c r="H987" s="10" t="n">
        <v>45666.14973379629</v>
      </c>
      <c r="I987" s="10" t="n">
        <v>45666.14973379629</v>
      </c>
      <c r="J987" s="10" t="n">
        <v>45666.15041666666</v>
      </c>
      <c r="K987" s="11" t="n">
        <v>0.0006828703703703704</v>
      </c>
      <c r="L987" s="13" t="n"/>
    </row>
    <row r="988">
      <c r="A988" s="3" t="inlineStr">
        <is>
          <t>DepartureDrive</t>
        </is>
      </c>
      <c r="B988" s="3" t="inlineStr">
        <is>
          <t>Act_DEPD_OBT090125031241-Neunkirchen (loading tracks)_040311_625</t>
        </is>
      </c>
      <c r="C988" s="3" t="inlineStr">
        <is>
          <t>OBT090125031241-Neunkirchen (loading tracks)</t>
        </is>
      </c>
      <c r="D988" s="9" t="n">
        <v>197</v>
      </c>
      <c r="E988" s="3" t="inlineStr">
        <is>
          <t>625</t>
        </is>
      </c>
      <c r="F988" s="3" t="inlineStr">
        <is>
          <t>Exit gate</t>
        </is>
      </c>
      <c r="G988" s="9" t="n">
        <v>240.31</v>
      </c>
      <c r="H988" s="10" t="n">
        <v>45666.16887731481</v>
      </c>
      <c r="I988" s="10" t="n">
        <v>45666.16887731481</v>
      </c>
      <c r="J988" s="10" t="n">
        <v>45666.16983796296</v>
      </c>
      <c r="K988" s="11" t="n">
        <v>0.0009606481481481482</v>
      </c>
      <c r="L988" s="13" t="n"/>
    </row>
    <row r="989">
      <c r="A989" s="3" t="inlineStr">
        <is>
          <t>DepartureDrive</t>
        </is>
      </c>
      <c r="B989" s="3" t="inlineStr">
        <is>
          <t>Act_DEPD_OBT090125063820-Ebenfurth (beet loading)_071458_615</t>
        </is>
      </c>
      <c r="C989" s="3" t="inlineStr">
        <is>
          <t>OBT090125063820-Ebenfurth (beet loading)</t>
        </is>
      </c>
      <c r="D989" s="9" t="n">
        <v>141.7</v>
      </c>
      <c r="E989" s="3" t="inlineStr">
        <is>
          <t>615</t>
        </is>
      </c>
      <c r="F989" s="3" t="inlineStr">
        <is>
          <t>Exit gate</t>
        </is>
      </c>
      <c r="G989" s="9" t="n">
        <v>223.61</v>
      </c>
      <c r="H989" s="10" t="n">
        <v>45666.30206018518</v>
      </c>
      <c r="I989" s="10" t="n">
        <v>45666.30206018518</v>
      </c>
      <c r="J989" s="10" t="n">
        <v>45666.30284722222</v>
      </c>
      <c r="K989" s="11" t="n">
        <v>0.000787037037037037</v>
      </c>
      <c r="L989" s="13" t="n"/>
    </row>
    <row r="990">
      <c r="A990" s="3" t="inlineStr">
        <is>
          <t>DepartureDrive</t>
        </is>
      </c>
      <c r="B990" s="3" t="inlineStr">
        <is>
          <t>Act_DEPD_OBT090125064202-Other sidings north_072808_619</t>
        </is>
      </c>
      <c r="C990" s="3" t="inlineStr">
        <is>
          <t>OBT090125064202-Other sidings north</t>
        </is>
      </c>
      <c r="D990" s="9" t="n">
        <v>175.8</v>
      </c>
      <c r="E990" s="3" t="inlineStr">
        <is>
          <t>619</t>
        </is>
      </c>
      <c r="F990" s="3" t="inlineStr">
        <is>
          <t>Exit gate</t>
        </is>
      </c>
      <c r="G990" s="9" t="n">
        <v>262.93</v>
      </c>
      <c r="H990" s="10" t="n">
        <v>45666.31120370371</v>
      </c>
      <c r="I990" s="10" t="n">
        <v>45666.31120370371</v>
      </c>
      <c r="J990" s="10" t="n">
        <v>45666.31216435185</v>
      </c>
      <c r="K990" s="11" t="n">
        <v>0.0009606481481481482</v>
      </c>
      <c r="L990" s="13" t="n"/>
    </row>
    <row r="991">
      <c r="A991" s="3" t="inlineStr">
        <is>
          <t>DepartureDrive</t>
        </is>
      </c>
      <c r="B991" s="3" t="inlineStr">
        <is>
          <t>Act_DEPD_OBT090125070004-Wien Kledering_074930_629</t>
        </is>
      </c>
      <c r="C991" s="3" t="inlineStr">
        <is>
          <t>OBT090125070004-Wien Kledering</t>
        </is>
      </c>
      <c r="D991" s="9" t="n">
        <v>185.9</v>
      </c>
      <c r="E991" s="3" t="inlineStr">
        <is>
          <t>629</t>
        </is>
      </c>
      <c r="F991" s="3" t="inlineStr">
        <is>
          <t>Exit gate</t>
        </is>
      </c>
      <c r="G991" s="9" t="n">
        <v>182.11</v>
      </c>
      <c r="H991" s="10" t="n">
        <v>45666.32604166667</v>
      </c>
      <c r="I991" s="10" t="n">
        <v>45666.32604166667</v>
      </c>
      <c r="J991" s="10" t="n">
        <v>45666.32685185185</v>
      </c>
      <c r="K991" s="11" t="n">
        <v>0.0008101851851851852</v>
      </c>
      <c r="L991" s="13" t="n"/>
    </row>
    <row r="992">
      <c r="A992" s="3" t="inlineStr">
        <is>
          <t>DepartureDrive</t>
        </is>
      </c>
      <c r="B992" s="3" t="inlineStr">
        <is>
          <t>Act_DEPD_OBT090125075601-Wr. Neustadt Ausfahrbf (Furtenbach)_082822_605</t>
        </is>
      </c>
      <c r="C992" s="3" t="inlineStr">
        <is>
          <t>OBT090125075601-Wr. Neustadt Ausfahrbf (Furtenbach)</t>
        </is>
      </c>
      <c r="D992" s="9" t="n">
        <v>119.4</v>
      </c>
      <c r="E992" s="3" t="inlineStr">
        <is>
          <t>605</t>
        </is>
      </c>
      <c r="F992" s="3" t="inlineStr">
        <is>
          <t>Exit gate</t>
        </is>
      </c>
      <c r="G992" s="9" t="n">
        <v>286.14</v>
      </c>
      <c r="H992" s="10" t="n">
        <v>45666.35303240741</v>
      </c>
      <c r="I992" s="10" t="n">
        <v>45666.35303240741</v>
      </c>
      <c r="J992" s="10" t="n">
        <v>45666.35390046296</v>
      </c>
      <c r="K992" s="11" t="n">
        <v>0.0008680555555555555</v>
      </c>
      <c r="L992" s="13" t="n"/>
    </row>
    <row r="993">
      <c r="A993" s="3" t="inlineStr">
        <is>
          <t>DepartureDrive</t>
        </is>
      </c>
      <c r="B993" s="3" t="inlineStr">
        <is>
          <t>Act_DEPD_OBT090125075111-Pitten (Hamburger)_083125_611</t>
        </is>
      </c>
      <c r="C993" s="3" t="inlineStr">
        <is>
          <t>OBT090125075111-Pitten (Hamburger)</t>
        </is>
      </c>
      <c r="D993" s="9" t="n">
        <v>133.4</v>
      </c>
      <c r="E993" s="3" t="inlineStr">
        <is>
          <t>611</t>
        </is>
      </c>
      <c r="F993" s="3" t="inlineStr">
        <is>
          <t>Exit gate</t>
        </is>
      </c>
      <c r="G993" s="9" t="n">
        <v>231.94</v>
      </c>
      <c r="H993" s="10" t="n">
        <v>45666.35515046296</v>
      </c>
      <c r="I993" s="10" t="n">
        <v>45666.35515046296</v>
      </c>
      <c r="J993" s="10" t="n">
        <v>45666.3559375</v>
      </c>
      <c r="K993" s="11" t="n">
        <v>0.000787037037037037</v>
      </c>
      <c r="L993" s="13" t="n"/>
    </row>
    <row r="994">
      <c r="A994" s="3" t="inlineStr">
        <is>
          <t>DepartureDrive</t>
        </is>
      </c>
      <c r="B994" s="3" t="inlineStr">
        <is>
          <t>Act_DEPD_OBT090125074546-Wr. Neustadt (Brenntag)_093021_609</t>
        </is>
      </c>
      <c r="C994" s="3" t="inlineStr">
        <is>
          <t>OBT090125074546-Wr. Neustadt (Brenntag)</t>
        </is>
      </c>
      <c r="D994" s="9" t="n">
        <v>409</v>
      </c>
      <c r="E994" s="3" t="inlineStr">
        <is>
          <t>609</t>
        </is>
      </c>
      <c r="F994" s="3" t="inlineStr">
        <is>
          <t>Exit gate</t>
        </is>
      </c>
      <c r="G994" s="9" t="n">
        <v>259.16</v>
      </c>
      <c r="H994" s="10" t="n">
        <v>45666.39607638889</v>
      </c>
      <c r="I994" s="10" t="n">
        <v>45666.39607638889</v>
      </c>
      <c r="J994" s="10" t="n">
        <v>45666.39756944445</v>
      </c>
      <c r="K994" s="11" t="n">
        <v>0.001493055555555556</v>
      </c>
      <c r="L994" s="13" t="n"/>
    </row>
    <row r="995">
      <c r="A995" s="3" t="inlineStr">
        <is>
          <t>DepartureDrive</t>
        </is>
      </c>
      <c r="B995" s="3" t="inlineStr">
        <is>
          <t>Act_DEPD_OBT090125090557-Wien Kledering_094343_605</t>
        </is>
      </c>
      <c r="C995" s="3" t="inlineStr">
        <is>
          <t>OBT090125090557-Wien Kledering</t>
        </is>
      </c>
      <c r="D995" s="9" t="n">
        <v>118.2</v>
      </c>
      <c r="E995" s="3" t="inlineStr">
        <is>
          <t>605</t>
        </is>
      </c>
      <c r="F995" s="3" t="inlineStr">
        <is>
          <t>Exit gate</t>
        </is>
      </c>
      <c r="G995" s="9" t="n">
        <v>286.14</v>
      </c>
      <c r="H995" s="10" t="n">
        <v>45666.4053587963</v>
      </c>
      <c r="I995" s="10" t="n">
        <v>45666.4053587963</v>
      </c>
      <c r="J995" s="10" t="n">
        <v>45666.40622685185</v>
      </c>
      <c r="K995" s="11" t="n">
        <v>0.0008680555555555555</v>
      </c>
      <c r="L995" s="13" t="n"/>
    </row>
    <row r="996">
      <c r="A996" s="3" t="inlineStr">
        <is>
          <t>DepartureDrive</t>
        </is>
      </c>
      <c r="B996" s="3" t="inlineStr">
        <is>
          <t>Act_DEPD_OBT090125083304-Wien Kledering_100940_619</t>
        </is>
      </c>
      <c r="C996" s="3" t="inlineStr">
        <is>
          <t>OBT090125083304-Wien Kledering</t>
        </is>
      </c>
      <c r="D996" s="9" t="n">
        <v>381.6</v>
      </c>
      <c r="E996" s="3" t="inlineStr">
        <is>
          <t>619</t>
        </is>
      </c>
      <c r="F996" s="3" t="inlineStr">
        <is>
          <t>Exit gate</t>
        </is>
      </c>
      <c r="G996" s="9" t="n">
        <v>262.93</v>
      </c>
      <c r="H996" s="10" t="n">
        <v>45666.42337962963</v>
      </c>
      <c r="I996" s="10" t="n">
        <v>45666.42337962963</v>
      </c>
      <c r="J996" s="10" t="n">
        <v>45666.42481481482</v>
      </c>
      <c r="K996" s="11" t="n">
        <v>0.001435185185185185</v>
      </c>
      <c r="L996" s="13" t="n"/>
    </row>
    <row r="997">
      <c r="A997" s="3" t="inlineStr">
        <is>
          <t>DepartureDrive</t>
        </is>
      </c>
      <c r="B997" s="3" t="inlineStr">
        <is>
          <t>Act_DEPD_OBT090125091140-St. Veit an der Glan_103858_627</t>
        </is>
      </c>
      <c r="C997" s="3" t="inlineStr">
        <is>
          <t>OBT090125091140-St. Veit an der Glan</t>
        </is>
      </c>
      <c r="D997" s="9" t="n">
        <v>264.8</v>
      </c>
      <c r="E997" s="3" t="inlineStr">
        <is>
          <t>627</t>
        </is>
      </c>
      <c r="F997" s="3" t="inlineStr">
        <is>
          <t>Exit gate</t>
        </is>
      </c>
      <c r="G997" s="9" t="n">
        <v>188.33</v>
      </c>
      <c r="H997" s="10" t="n">
        <v>45666.44372685185</v>
      </c>
      <c r="I997" s="10" t="n">
        <v>45666.44372685185</v>
      </c>
      <c r="J997" s="10" t="n">
        <v>45666.4447337963</v>
      </c>
      <c r="K997" s="11" t="n">
        <v>0.001006944444444444</v>
      </c>
      <c r="L997" s="13" t="n"/>
    </row>
    <row r="998">
      <c r="A998" s="3" t="inlineStr">
        <is>
          <t>DepartureDrive</t>
        </is>
      </c>
      <c r="B998" s="3" t="inlineStr">
        <is>
          <t>Act_DEPD_OBT090125111603-Wien Kledering_130056_605</t>
        </is>
      </c>
      <c r="C998" s="3" t="inlineStr">
        <is>
          <t>OBT090125111603-Wien Kledering</t>
        </is>
      </c>
      <c r="D998" s="9" t="n">
        <v>414.7</v>
      </c>
      <c r="E998" s="3" t="inlineStr">
        <is>
          <t>605</t>
        </is>
      </c>
      <c r="F998" s="3" t="inlineStr">
        <is>
          <t>Exit gate</t>
        </is>
      </c>
      <c r="G998" s="9" t="n">
        <v>286.14</v>
      </c>
      <c r="H998" s="10" t="n">
        <v>45666.54231481482</v>
      </c>
      <c r="I998" s="10" t="n">
        <v>45666.54231481482</v>
      </c>
      <c r="J998" s="10" t="n">
        <v>45666.54386574074</v>
      </c>
      <c r="K998" s="11" t="n">
        <v>0.001550925925925926</v>
      </c>
      <c r="L998" s="13" t="n"/>
    </row>
    <row r="999">
      <c r="A999" s="3" t="inlineStr">
        <is>
          <t>DepartureDrive</t>
        </is>
      </c>
      <c r="B999" s="3" t="inlineStr">
        <is>
          <t>Act_DEPD_OBT090125145115-Wien Kledering_155251_605</t>
        </is>
      </c>
      <c r="C999" s="3" t="inlineStr">
        <is>
          <t>OBT090125145115-Wien Kledering</t>
        </is>
      </c>
      <c r="D999" s="9" t="n">
        <v>241.4</v>
      </c>
      <c r="E999" s="3" t="inlineStr">
        <is>
          <t>605</t>
        </is>
      </c>
      <c r="F999" s="3" t="inlineStr">
        <is>
          <t>Exit gate</t>
        </is>
      </c>
      <c r="G999" s="9" t="n">
        <v>286.14</v>
      </c>
      <c r="H999" s="10" t="n">
        <v>45666.66170138889</v>
      </c>
      <c r="I999" s="10" t="n">
        <v>45666.66170138889</v>
      </c>
      <c r="J999" s="10" t="n">
        <v>45666.6628587963</v>
      </c>
      <c r="K999" s="11" t="n">
        <v>0.001157407407407407</v>
      </c>
      <c r="L999" s="13" t="n"/>
    </row>
    <row r="1000">
      <c r="A1000" s="3" t="inlineStr">
        <is>
          <t>DepartureDrive</t>
        </is>
      </c>
      <c r="B1000" s="3" t="inlineStr">
        <is>
          <t>Act_DEPD_OBT090125152828-Neudörfl (FunderMax)_155856_621</t>
        </is>
      </c>
      <c r="C1000" s="3" t="inlineStr">
        <is>
          <t>OBT090125152828-Neudörfl (FunderMax)</t>
        </is>
      </c>
      <c r="D1000" s="9" t="n">
        <v>117</v>
      </c>
      <c r="E1000" s="3" t="inlineStr">
        <is>
          <t>621</t>
        </is>
      </c>
      <c r="F1000" s="3" t="inlineStr">
        <is>
          <t>Exit gate</t>
        </is>
      </c>
      <c r="G1000" s="9" t="n">
        <v>259.31</v>
      </c>
      <c r="H1000" s="10" t="n">
        <v>45666.66592592592</v>
      </c>
      <c r="I1000" s="10" t="n">
        <v>45666.66592592592</v>
      </c>
      <c r="J1000" s="10" t="n">
        <v>45666.66673611111</v>
      </c>
      <c r="K1000" s="11" t="n">
        <v>0.0008101851851851852</v>
      </c>
      <c r="L1000" s="13" t="n"/>
    </row>
    <row r="1001">
      <c r="A1001" s="3" t="inlineStr">
        <is>
          <t>DepartureDrive</t>
        </is>
      </c>
      <c r="B1001" s="3" t="inlineStr">
        <is>
          <t>Act_DEPD_OBT090125153241-Pitten (Hamburger)_161415_611</t>
        </is>
      </c>
      <c r="C1001" s="3" t="inlineStr">
        <is>
          <t>OBT090125153241-Pitten (Hamburger)</t>
        </is>
      </c>
      <c r="D1001" s="9" t="n">
        <v>131.9</v>
      </c>
      <c r="E1001" s="3" t="inlineStr">
        <is>
          <t>611</t>
        </is>
      </c>
      <c r="F1001" s="3" t="inlineStr">
        <is>
          <t>Exit gate</t>
        </is>
      </c>
      <c r="G1001" s="9" t="n">
        <v>231.94</v>
      </c>
      <c r="H1001" s="10" t="n">
        <v>45666.6765625</v>
      </c>
      <c r="I1001" s="10" t="n">
        <v>45666.6765625</v>
      </c>
      <c r="J1001" s="10" t="n">
        <v>45666.67734953704</v>
      </c>
      <c r="K1001" s="11" t="n">
        <v>0.000787037037037037</v>
      </c>
      <c r="L1001" s="13" t="n"/>
    </row>
    <row r="1002">
      <c r="A1002" s="3" t="inlineStr">
        <is>
          <t>DepartureDrive</t>
        </is>
      </c>
      <c r="B1002" s="3" t="inlineStr">
        <is>
          <t>Act_DEPD_OBT090125153646-Ebenfurth (beet loading)_164312_615</t>
        </is>
      </c>
      <c r="C1002" s="3" t="inlineStr">
        <is>
          <t>OBT090125153646-Ebenfurth (beet loading)</t>
        </is>
      </c>
      <c r="D1002" s="9" t="n">
        <v>173.1</v>
      </c>
      <c r="E1002" s="3" t="inlineStr">
        <is>
          <t>615</t>
        </is>
      </c>
      <c r="F1002" s="3" t="inlineStr">
        <is>
          <t>Exit gate</t>
        </is>
      </c>
      <c r="G1002" s="9" t="n">
        <v>223.61</v>
      </c>
      <c r="H1002" s="10" t="n">
        <v>45666.69666666666</v>
      </c>
      <c r="I1002" s="10" t="n">
        <v>45666.69666666666</v>
      </c>
      <c r="J1002" s="10" t="n">
        <v>45666.69753472223</v>
      </c>
      <c r="K1002" s="11" t="n">
        <v>0.0008680555555555555</v>
      </c>
      <c r="L1002" s="13" t="n"/>
    </row>
    <row r="1003">
      <c r="A1003" s="3" t="inlineStr">
        <is>
          <t>DepartureDrive</t>
        </is>
      </c>
      <c r="B1003" s="3" t="inlineStr">
        <is>
          <t>Act_DEPD_OBT090125155728-Wien Kledering_172004_609</t>
        </is>
      </c>
      <c r="C1003" s="3" t="inlineStr">
        <is>
          <t>OBT090125155728-Wien Kledering</t>
        </is>
      </c>
      <c r="D1003" s="9" t="n">
        <v>314.8</v>
      </c>
      <c r="E1003" s="3" t="inlineStr">
        <is>
          <t>609</t>
        </is>
      </c>
      <c r="F1003" s="3" t="inlineStr">
        <is>
          <t>Exit gate</t>
        </is>
      </c>
      <c r="G1003" s="9" t="n">
        <v>259.16</v>
      </c>
      <c r="H1003" s="10" t="n">
        <v>45666.72226851852</v>
      </c>
      <c r="I1003" s="10" t="n">
        <v>45666.72226851852</v>
      </c>
      <c r="J1003" s="10" t="n">
        <v>45666.72354166667</v>
      </c>
      <c r="K1003" s="11" t="n">
        <v>0.001273148148148148</v>
      </c>
      <c r="L1003" s="13" t="n"/>
    </row>
    <row r="1004">
      <c r="A1004" s="3" t="inlineStr">
        <is>
          <t>DepartureDrive</t>
        </is>
      </c>
      <c r="B1004" s="3" t="inlineStr">
        <is>
          <t>Act_DEPD_OBT090125182121-Pitten (Hamburger)_185148_615</t>
        </is>
      </c>
      <c r="C1004" s="3" t="inlineStr">
        <is>
          <t>OBT090125182121-Pitten (Hamburger)</t>
        </is>
      </c>
      <c r="D1004" s="9" t="n">
        <v>116.9</v>
      </c>
      <c r="E1004" s="3" t="inlineStr">
        <is>
          <t>615</t>
        </is>
      </c>
      <c r="F1004" s="3" t="inlineStr">
        <is>
          <t>Exit gate</t>
        </is>
      </c>
      <c r="G1004" s="9" t="n">
        <v>223.61</v>
      </c>
      <c r="H1004" s="10" t="n">
        <v>45666.78597222222</v>
      </c>
      <c r="I1004" s="10" t="n">
        <v>45666.78597222222</v>
      </c>
      <c r="J1004" s="10" t="n">
        <v>45666.78670138889</v>
      </c>
      <c r="K1004" s="11" t="n">
        <v>0.0007291666666666667</v>
      </c>
      <c r="L1004" s="13" t="n"/>
    </row>
    <row r="1005">
      <c r="A1005" s="3" t="inlineStr">
        <is>
          <t>DepartureDrive</t>
        </is>
      </c>
      <c r="B1005" s="3" t="inlineStr">
        <is>
          <t>Act_DEPD_OBT090125182601-Other sidings north_190654_619</t>
        </is>
      </c>
      <c r="C1005" s="3" t="inlineStr">
        <is>
          <t>OBT090125182601-Other sidings north</t>
        </is>
      </c>
      <c r="D1005" s="9" t="n">
        <v>154.1</v>
      </c>
      <c r="E1005" s="3" t="inlineStr">
        <is>
          <t>619</t>
        </is>
      </c>
      <c r="F1005" s="3" t="inlineStr">
        <is>
          <t>Exit gate</t>
        </is>
      </c>
      <c r="G1005" s="9" t="n">
        <v>262.93</v>
      </c>
      <c r="H1005" s="10" t="n">
        <v>45666.79645833333</v>
      </c>
      <c r="I1005" s="10" t="n">
        <v>45666.79645833333</v>
      </c>
      <c r="J1005" s="10" t="n">
        <v>45666.79736111111</v>
      </c>
      <c r="K1005" s="11" t="n">
        <v>0.0009027777777777777</v>
      </c>
      <c r="L1005" s="13" t="n"/>
    </row>
    <row r="1006">
      <c r="A1006" s="3" t="inlineStr">
        <is>
          <t>DepartureDrive</t>
        </is>
      </c>
      <c r="B1006" s="3" t="inlineStr">
        <is>
          <t>Act_DEPD_OBT090125182822-Neunkirchen (loading tracks)_192542_613</t>
        </is>
      </c>
      <c r="C1006" s="3" t="inlineStr">
        <is>
          <t>OBT090125182822-Neunkirchen (loading tracks)</t>
        </is>
      </c>
      <c r="D1006" s="9" t="n">
        <v>107.7</v>
      </c>
      <c r="E1006" s="3" t="inlineStr">
        <is>
          <t>613</t>
        </is>
      </c>
      <c r="F1006" s="3" t="inlineStr">
        <is>
          <t>Exit gate</t>
        </is>
      </c>
      <c r="G1006" s="9" t="n">
        <v>205.9</v>
      </c>
      <c r="H1006" s="10" t="n">
        <v>45666.80951388889</v>
      </c>
      <c r="I1006" s="10" t="n">
        <v>45666.80951388889</v>
      </c>
      <c r="J1006" s="10" t="n">
        <v>45666.81018518518</v>
      </c>
      <c r="K1006" s="11" t="n">
        <v>0.0006712962962962962</v>
      </c>
      <c r="L1006" s="13" t="n"/>
    </row>
    <row r="1007">
      <c r="A1007" s="3" t="inlineStr">
        <is>
          <t>DepartureDrive</t>
        </is>
      </c>
      <c r="B1007" s="3" t="inlineStr">
        <is>
          <t>Act_DEPD_OBT090125184904-Obereggendorf (Hofer)_193449_607</t>
        </is>
      </c>
      <c r="C1007" s="3" t="inlineStr">
        <is>
          <t>OBT090125184904-Obereggendorf (Hofer)</t>
        </is>
      </c>
      <c r="D1007" s="9" t="n">
        <v>101.9</v>
      </c>
      <c r="E1007" s="3" t="inlineStr">
        <is>
          <t>607</t>
        </is>
      </c>
      <c r="F1007" s="3" t="inlineStr">
        <is>
          <t>Exit gate</t>
        </is>
      </c>
      <c r="G1007" s="9" t="n">
        <v>286.14</v>
      </c>
      <c r="H1007" s="10" t="n">
        <v>45666.81584490741</v>
      </c>
      <c r="I1007" s="10" t="n">
        <v>45666.81584490741</v>
      </c>
      <c r="J1007" s="10" t="n">
        <v>45666.81667824074</v>
      </c>
      <c r="K1007" s="11" t="n">
        <v>0.0008333333333333334</v>
      </c>
      <c r="L1007" s="13" t="n"/>
    </row>
    <row r="1008">
      <c r="A1008" s="3" t="inlineStr">
        <is>
          <t>DepartureDrive</t>
        </is>
      </c>
      <c r="B1008" s="3" t="inlineStr">
        <is>
          <t>Act_DEPD_OBT090125184210-Steinabrückl/Wöllersdorf_193522_606</t>
        </is>
      </c>
      <c r="C1008" s="3" t="inlineStr">
        <is>
          <t>OBT090125184210-Steinabrückl/Wöllersdorf</t>
        </is>
      </c>
      <c r="D1008" s="9" t="n">
        <v>110.2</v>
      </c>
      <c r="E1008" s="3" t="inlineStr">
        <is>
          <t>606</t>
        </is>
      </c>
      <c r="F1008" s="3" t="inlineStr">
        <is>
          <t>Exit gate</t>
        </is>
      </c>
      <c r="G1008" s="9" t="n">
        <v>245</v>
      </c>
      <c r="H1008" s="10" t="n">
        <v>45666.81622685185</v>
      </c>
      <c r="I1008" s="10" t="n">
        <v>45666.81667824074</v>
      </c>
      <c r="J1008" s="10" t="n">
        <v>45666.8174537037</v>
      </c>
      <c r="K1008" s="11" t="n">
        <v>0.0007754629629629629</v>
      </c>
      <c r="L1008" s="13" t="n"/>
    </row>
    <row r="1009">
      <c r="A1009" s="3" t="inlineStr">
        <is>
          <t>DepartureDrive</t>
        </is>
      </c>
      <c r="B1009" s="3" t="inlineStr">
        <is>
          <t>Act_DEPD_OBT090125185836-Wr. Neustadt (Brenntag)_195822_609</t>
        </is>
      </c>
      <c r="C1009" s="3" t="inlineStr">
        <is>
          <t>OBT090125185836-Wr. Neustadt (Brenntag)</t>
        </is>
      </c>
      <c r="D1009" s="9" t="n">
        <v>120.7</v>
      </c>
      <c r="E1009" s="3" t="inlineStr">
        <is>
          <t>609</t>
        </is>
      </c>
      <c r="F1009" s="3" t="inlineStr">
        <is>
          <t>Exit gate</t>
        </is>
      </c>
      <c r="G1009" s="9" t="n">
        <v>259.16</v>
      </c>
      <c r="H1009" s="10" t="n">
        <v>45666.83219907407</v>
      </c>
      <c r="I1009" s="10" t="n">
        <v>45666.83219907407</v>
      </c>
      <c r="J1009" s="10" t="n">
        <v>45666.83302083334</v>
      </c>
      <c r="K1009" s="11" t="n">
        <v>0.0008217592592592593</v>
      </c>
      <c r="L1009" s="13" t="n"/>
    </row>
    <row r="1010">
      <c r="A1010" s="3" t="inlineStr">
        <is>
          <t>DepartureDrive</t>
        </is>
      </c>
      <c r="B1010" s="3" t="inlineStr">
        <is>
          <t>Act_DEPD_OBT090125190525-Neudörfl (FunderMax)_201136_605</t>
        </is>
      </c>
      <c r="C1010" s="3" t="inlineStr">
        <is>
          <t>OBT090125190525-Neudörfl (FunderMax)</t>
        </is>
      </c>
      <c r="D1010" s="9" t="n">
        <v>137.3</v>
      </c>
      <c r="E1010" s="3" t="inlineStr">
        <is>
          <t>605</t>
        </is>
      </c>
      <c r="F1010" s="3" t="inlineStr">
        <is>
          <t>Exit gate</t>
        </is>
      </c>
      <c r="G1010" s="9" t="n">
        <v>286.14</v>
      </c>
      <c r="H1010" s="10" t="n">
        <v>45666.84138888889</v>
      </c>
      <c r="I1010" s="10" t="n">
        <v>45666.84138888889</v>
      </c>
      <c r="J1010" s="10" t="n">
        <v>45666.84230324074</v>
      </c>
      <c r="K1010" s="11" t="n">
        <v>0.0009143518518518518</v>
      </c>
      <c r="L1010" s="13" t="n"/>
    </row>
    <row r="1011">
      <c r="A1011" s="3" t="inlineStr">
        <is>
          <t>DepartureDrive</t>
        </is>
      </c>
      <c r="B1011" s="3" t="inlineStr">
        <is>
          <t>Act_DEPD_OBT090125204342-Felixdorf/Sollenau (Bundesheer, Maba)_211537_625</t>
        </is>
      </c>
      <c r="C1011" s="3" t="inlineStr">
        <is>
          <t>OBT090125204342-Felixdorf/Sollenau (Bundesheer, Maba)</t>
        </is>
      </c>
      <c r="D1011" s="9" t="n">
        <v>122.7</v>
      </c>
      <c r="E1011" s="3" t="inlineStr">
        <is>
          <t>625</t>
        </is>
      </c>
      <c r="F1011" s="3" t="inlineStr">
        <is>
          <t>Exit gate</t>
        </is>
      </c>
      <c r="G1011" s="9" t="n">
        <v>240.31</v>
      </c>
      <c r="H1011" s="10" t="n">
        <v>45666.88584490741</v>
      </c>
      <c r="I1011" s="10" t="n">
        <v>45666.88584490741</v>
      </c>
      <c r="J1011" s="10" t="n">
        <v>45666.88663194444</v>
      </c>
      <c r="K1011" s="11" t="n">
        <v>0.000787037037037037</v>
      </c>
      <c r="L1011" s="13" t="n"/>
    </row>
    <row r="1012">
      <c r="A1012" s="3" t="inlineStr">
        <is>
          <t>DepartureDrive</t>
        </is>
      </c>
      <c r="B1012" s="3" t="inlineStr">
        <is>
          <t>Act_DEPD_OBT090125204925-Other sidings north_212207_629</t>
        </is>
      </c>
      <c r="C1012" s="3" t="inlineStr">
        <is>
          <t>OBT090125204925-Other sidings north</t>
        </is>
      </c>
      <c r="D1012" s="9" t="n">
        <v>126</v>
      </c>
      <c r="E1012" s="3" t="inlineStr">
        <is>
          <t>629</t>
        </is>
      </c>
      <c r="F1012" s="3" t="inlineStr">
        <is>
          <t>Exit gate</t>
        </is>
      </c>
      <c r="G1012" s="9" t="n">
        <v>182.11</v>
      </c>
      <c r="H1012" s="10" t="n">
        <v>45666.8903587963</v>
      </c>
      <c r="I1012" s="10" t="n">
        <v>45666.8903587963</v>
      </c>
      <c r="J1012" s="10" t="n">
        <v>45666.89103009259</v>
      </c>
      <c r="K1012" s="11" t="n">
        <v>0.0006712962962962962</v>
      </c>
      <c r="L1012" s="13" t="n"/>
    </row>
    <row r="1013">
      <c r="A1013" s="3" t="inlineStr">
        <is>
          <t>DepartureDrive</t>
        </is>
      </c>
      <c r="B1013" s="3" t="inlineStr">
        <is>
          <t>Act_DEPD_OBT100125031522-Other sidings south_034909_623</t>
        </is>
      </c>
      <c r="C1013" s="3" t="inlineStr">
        <is>
          <t>OBT100125031522-Other sidings south</t>
        </is>
      </c>
      <c r="D1013" s="9" t="n">
        <v>130.2</v>
      </c>
      <c r="E1013" s="3" t="inlineStr">
        <is>
          <t>623</t>
        </is>
      </c>
      <c r="F1013" s="3" t="inlineStr">
        <is>
          <t>Exit gate</t>
        </is>
      </c>
      <c r="G1013" s="9" t="n">
        <v>259.31</v>
      </c>
      <c r="H1013" s="10" t="n">
        <v>45667.15913194444</v>
      </c>
      <c r="I1013" s="10" t="n">
        <v>45667.15913194444</v>
      </c>
      <c r="J1013" s="10" t="n">
        <v>45667.15997685185</v>
      </c>
      <c r="K1013" s="11" t="n">
        <v>0.0008449074074074074</v>
      </c>
      <c r="L1013" s="13" t="n"/>
    </row>
    <row r="1014">
      <c r="A1014" s="3" t="inlineStr">
        <is>
          <t>DepartureDrive</t>
        </is>
      </c>
      <c r="B1014" s="3" t="inlineStr">
        <is>
          <t>Act_DEPD_OBT100125031244-Neunkirchen (loading tracks)_040930_621</t>
        </is>
      </c>
      <c r="C1014" s="3" t="inlineStr">
        <is>
          <t>OBT100125031244-Neunkirchen (loading tracks)</t>
        </is>
      </c>
      <c r="D1014" s="9" t="n">
        <v>222.2</v>
      </c>
      <c r="E1014" s="3" t="inlineStr">
        <is>
          <t>621</t>
        </is>
      </c>
      <c r="F1014" s="3" t="inlineStr">
        <is>
          <t>Exit gate</t>
        </is>
      </c>
      <c r="G1014" s="9" t="n">
        <v>259.31</v>
      </c>
      <c r="H1014" s="10" t="n">
        <v>45667.17326388889</v>
      </c>
      <c r="I1014" s="10" t="n">
        <v>45667.17326388889</v>
      </c>
      <c r="J1014" s="10" t="n">
        <v>45667.17431712963</v>
      </c>
      <c r="K1014" s="11" t="n">
        <v>0.001053240740740741</v>
      </c>
      <c r="L1014" s="13" t="n"/>
    </row>
    <row r="1015">
      <c r="A1015" s="3" t="inlineStr">
        <is>
          <t>DepartureDrive</t>
        </is>
      </c>
      <c r="B1015" s="3" t="inlineStr">
        <is>
          <t>Act_DEPD_OBT100125045052-Neudörfl (FunderMax)_055214_615</t>
        </is>
      </c>
      <c r="C1015" s="3" t="inlineStr">
        <is>
          <t>OBT100125045052-Neudörfl (FunderMax)</t>
        </is>
      </c>
      <c r="D1015" s="9" t="n">
        <v>240.5</v>
      </c>
      <c r="E1015" s="3" t="inlineStr">
        <is>
          <t>615</t>
        </is>
      </c>
      <c r="F1015" s="3" t="inlineStr">
        <is>
          <t>Exit gate</t>
        </is>
      </c>
      <c r="G1015" s="9" t="n">
        <v>223.61</v>
      </c>
      <c r="H1015" s="10" t="n">
        <v>45667.24460648148</v>
      </c>
      <c r="I1015" s="10" t="n">
        <v>45667.24460648148</v>
      </c>
      <c r="J1015" s="10" t="n">
        <v>45667.245625</v>
      </c>
      <c r="K1015" s="11" t="n">
        <v>0.001018518518518518</v>
      </c>
      <c r="L1015" s="13" t="n"/>
    </row>
    <row r="1016">
      <c r="A1016" s="3" t="inlineStr">
        <is>
          <t>DepartureDrive</t>
        </is>
      </c>
      <c r="B1016" s="3" t="inlineStr">
        <is>
          <t>Act_DEPD_OBT100125060642-Wien Kledering_073413_611</t>
        </is>
      </c>
      <c r="C1016" s="3" t="inlineStr">
        <is>
          <t>OBT100125060642-Wien Kledering</t>
        </is>
      </c>
      <c r="D1016" s="9" t="n">
        <v>345.2</v>
      </c>
      <c r="E1016" s="3" t="inlineStr">
        <is>
          <t>611</t>
        </is>
      </c>
      <c r="F1016" s="3" t="inlineStr">
        <is>
          <t>Exit gate</t>
        </is>
      </c>
      <c r="G1016" s="9" t="n">
        <v>231.94</v>
      </c>
      <c r="H1016" s="10" t="n">
        <v>45667.31542824074</v>
      </c>
      <c r="I1016" s="10" t="n">
        <v>45667.31542824074</v>
      </c>
      <c r="J1016" s="10" t="n">
        <v>45667.31671296297</v>
      </c>
      <c r="K1016" s="11" t="n">
        <v>0.001284722222222222</v>
      </c>
      <c r="L1016" s="13" t="n"/>
    </row>
    <row r="1017">
      <c r="A1017" s="3" t="inlineStr">
        <is>
          <t>DepartureDrive</t>
        </is>
      </c>
      <c r="B1017" s="3" t="inlineStr">
        <is>
          <t>Act_DEPD_OBT100125071706-Wr. Neustadt (Hödlmayr)_075749_613</t>
        </is>
      </c>
      <c r="C1017" s="3" t="inlineStr">
        <is>
          <t>OBT100125071706-Wr. Neustadt (Hödlmayr)</t>
        </is>
      </c>
      <c r="D1017" s="9" t="n">
        <v>152.9</v>
      </c>
      <c r="E1017" s="3" t="inlineStr">
        <is>
          <t>613</t>
        </is>
      </c>
      <c r="F1017" s="3" t="inlineStr">
        <is>
          <t>Exit gate</t>
        </is>
      </c>
      <c r="G1017" s="9" t="n">
        <v>205.9</v>
      </c>
      <c r="H1017" s="10" t="n">
        <v>45667.33181712963</v>
      </c>
      <c r="I1017" s="10" t="n">
        <v>45667.33181712963</v>
      </c>
      <c r="J1017" s="10" t="n">
        <v>45667.33260416667</v>
      </c>
      <c r="K1017" s="11" t="n">
        <v>0.000787037037037037</v>
      </c>
      <c r="L1017" s="13" t="n"/>
    </row>
    <row r="1018">
      <c r="A1018" s="3" t="inlineStr">
        <is>
          <t>DepartureDrive</t>
        </is>
      </c>
      <c r="B1018" s="3" t="inlineStr">
        <is>
          <t>Act_DEPD_OBT100125071957-Pitten (Hamburger)_082041_605</t>
        </is>
      </c>
      <c r="C1018" s="3" t="inlineStr">
        <is>
          <t>OBT100125071957-Pitten (Hamburger)</t>
        </is>
      </c>
      <c r="D1018" s="9" t="n">
        <v>186.7</v>
      </c>
      <c r="E1018" s="3" t="inlineStr">
        <is>
          <t>605</t>
        </is>
      </c>
      <c r="F1018" s="3" t="inlineStr">
        <is>
          <t>Exit gate</t>
        </is>
      </c>
      <c r="G1018" s="9" t="n">
        <v>286.14</v>
      </c>
      <c r="H1018" s="10" t="n">
        <v>45667.34769675926</v>
      </c>
      <c r="I1018" s="10" t="n">
        <v>45667.34769675926</v>
      </c>
      <c r="J1018" s="10" t="n">
        <v>45667.34872685185</v>
      </c>
      <c r="K1018" s="11" t="n">
        <v>0.001030092592592593</v>
      </c>
      <c r="L1018" s="13" t="n"/>
    </row>
    <row r="1019">
      <c r="A1019" s="3" t="inlineStr">
        <is>
          <t>DepartureDrive</t>
        </is>
      </c>
      <c r="B1019" s="3" t="inlineStr">
        <is>
          <t>Act_DEPD_OBT100125074357-Wien Kledering_083441_619</t>
        </is>
      </c>
      <c r="C1019" s="3" t="inlineStr">
        <is>
          <t>OBT100125074357-Wien Kledering</t>
        </is>
      </c>
      <c r="D1019" s="9" t="n">
        <v>193.1</v>
      </c>
      <c r="E1019" s="3" t="inlineStr">
        <is>
          <t>619</t>
        </is>
      </c>
      <c r="F1019" s="3" t="inlineStr">
        <is>
          <t>Exit gate</t>
        </is>
      </c>
      <c r="G1019" s="9" t="n">
        <v>262.93</v>
      </c>
      <c r="H1019" s="10" t="n">
        <v>45667.35741898148</v>
      </c>
      <c r="I1019" s="10" t="n">
        <v>45667.35741898148</v>
      </c>
      <c r="J1019" s="10" t="n">
        <v>45667.35841435185</v>
      </c>
      <c r="K1019" s="11" t="n">
        <v>0.0009953703703703704</v>
      </c>
      <c r="L1019" s="13" t="n"/>
    </row>
    <row r="1020">
      <c r="A1020" s="3" t="inlineStr">
        <is>
          <t>DepartureDrive</t>
        </is>
      </c>
      <c r="B1020" s="3" t="inlineStr">
        <is>
          <t>Act_DEPD_OBT100125081531-Wien Kledering_095313_606</t>
        </is>
      </c>
      <c r="C1020" s="3" t="inlineStr">
        <is>
          <t>OBT100125081531-Wien Kledering</t>
        </is>
      </c>
      <c r="D1020" s="9" t="n">
        <v>380.8</v>
      </c>
      <c r="E1020" s="3" t="inlineStr">
        <is>
          <t>606</t>
        </is>
      </c>
      <c r="F1020" s="3" t="inlineStr">
        <is>
          <t>Exit gate</t>
        </is>
      </c>
      <c r="G1020" s="9" t="n">
        <v>245</v>
      </c>
      <c r="H1020" s="10" t="n">
        <v>45667.41195601852</v>
      </c>
      <c r="I1020" s="10" t="n">
        <v>45667.41195601852</v>
      </c>
      <c r="J1020" s="10" t="n">
        <v>45667.41334490741</v>
      </c>
      <c r="K1020" s="11" t="n">
        <v>0.001388888888888889</v>
      </c>
      <c r="L1020" s="13" t="n"/>
    </row>
    <row r="1021">
      <c r="A1021" s="3" t="inlineStr">
        <is>
          <t>DepartureDrive</t>
        </is>
      </c>
      <c r="B1021" s="3" t="inlineStr">
        <is>
          <t>Act_DEPD_OBT100125092212-St. Veit an der Glan_095745_627</t>
        </is>
      </c>
      <c r="C1021" s="3" t="inlineStr">
        <is>
          <t>OBT100125092212-St. Veit an der Glan</t>
        </is>
      </c>
      <c r="D1021" s="9" t="n">
        <v>137.2</v>
      </c>
      <c r="E1021" s="3" t="inlineStr">
        <is>
          <t>627</t>
        </is>
      </c>
      <c r="F1021" s="3" t="inlineStr">
        <is>
          <t>Exit gate</t>
        </is>
      </c>
      <c r="G1021" s="9" t="n">
        <v>188.33</v>
      </c>
      <c r="H1021" s="10" t="n">
        <v>45667.41510416667</v>
      </c>
      <c r="I1021" s="10" t="n">
        <v>45667.41510416667</v>
      </c>
      <c r="J1021" s="10" t="n">
        <v>45667.41582175926</v>
      </c>
      <c r="K1021" s="11" t="n">
        <v>0.0007175925925925926</v>
      </c>
      <c r="L1021" s="13" t="n"/>
    </row>
    <row r="1022">
      <c r="A1022" s="3" t="inlineStr">
        <is>
          <t>DepartureDrive</t>
        </is>
      </c>
      <c r="B1022" s="3" t="inlineStr">
        <is>
          <t>Act_DEPD_OBT100125094326-Other sidings north_103411_605</t>
        </is>
      </c>
      <c r="C1022" s="3" t="inlineStr">
        <is>
          <t>OBT100125094326-Other sidings north</t>
        </is>
      </c>
      <c r="D1022" s="9" t="n">
        <v>129.3</v>
      </c>
      <c r="E1022" s="3" t="inlineStr">
        <is>
          <t>605</t>
        </is>
      </c>
      <c r="F1022" s="3" t="inlineStr">
        <is>
          <t>Exit gate</t>
        </is>
      </c>
      <c r="G1022" s="9" t="n">
        <v>286.14</v>
      </c>
      <c r="H1022" s="10" t="n">
        <v>45667.4404050926</v>
      </c>
      <c r="I1022" s="10" t="n">
        <v>45667.4404050926</v>
      </c>
      <c r="J1022" s="10" t="n">
        <v>45667.44130787037</v>
      </c>
      <c r="K1022" s="11" t="n">
        <v>0.0009027777777777777</v>
      </c>
      <c r="L1022" s="13" t="n"/>
    </row>
    <row r="1023">
      <c r="A1023" s="3" t="inlineStr">
        <is>
          <t>DepartureDrive</t>
        </is>
      </c>
      <c r="B1023" s="3" t="inlineStr">
        <is>
          <t>Act_DEPD_OBT100125092935-Ebenfurth (beet loading)_103525_613</t>
        </is>
      </c>
      <c r="C1023" s="3" t="inlineStr">
        <is>
          <t>OBT100125092935-Ebenfurth (beet loading)</t>
        </is>
      </c>
      <c r="D1023" s="9" t="n">
        <v>141.7</v>
      </c>
      <c r="E1023" s="3" t="inlineStr">
        <is>
          <t>613</t>
        </is>
      </c>
      <c r="F1023" s="3" t="inlineStr">
        <is>
          <t>Exit gate</t>
        </is>
      </c>
      <c r="G1023" s="9" t="n">
        <v>205.9</v>
      </c>
      <c r="H1023" s="10" t="n">
        <v>45667.44126157407</v>
      </c>
      <c r="I1023" s="10" t="n">
        <v>45667.44130787037</v>
      </c>
      <c r="J1023" s="10" t="n">
        <v>45667.44206018518</v>
      </c>
      <c r="K1023" s="11" t="n">
        <v>0.0007523148148148148</v>
      </c>
      <c r="L1023" s="13" t="n"/>
    </row>
    <row r="1024">
      <c r="A1024" s="3" t="inlineStr">
        <is>
          <t>DepartureDrive</t>
        </is>
      </c>
      <c r="B1024" s="3" t="inlineStr">
        <is>
          <t>Act_DEPD_OBT100125092457-Wien Kledering_103755_611</t>
        </is>
      </c>
      <c r="C1024" s="3" t="inlineStr">
        <is>
          <t>OBT100125092457-Wien Kledering</t>
        </is>
      </c>
      <c r="D1024" s="9" t="n">
        <v>168.8</v>
      </c>
      <c r="E1024" s="3" t="inlineStr">
        <is>
          <t>611</t>
        </is>
      </c>
      <c r="F1024" s="3" t="inlineStr">
        <is>
          <t>Exit gate</t>
        </is>
      </c>
      <c r="G1024" s="9" t="n">
        <v>231.94</v>
      </c>
      <c r="H1024" s="10" t="n">
        <v>45667.44299768518</v>
      </c>
      <c r="I1024" s="10" t="n">
        <v>45667.44299768518</v>
      </c>
      <c r="J1024" s="10" t="n">
        <v>45667.44386574074</v>
      </c>
      <c r="K1024" s="11" t="n">
        <v>0.0008680555555555555</v>
      </c>
      <c r="L1024" s="13" t="n"/>
    </row>
    <row r="1025">
      <c r="A1025" s="3" t="inlineStr">
        <is>
          <t>DepartureDrive</t>
        </is>
      </c>
      <c r="B1025" s="3" t="inlineStr">
        <is>
          <t>Act_DEPD_OBT100125095359-Felixdorf/Sollenau (Bundesheer, Maba)_110629_625</t>
        </is>
      </c>
      <c r="C1025" s="3" t="inlineStr">
        <is>
          <t>OBT100125095359-Felixdorf/Sollenau (Bundesheer, Maba)</t>
        </is>
      </c>
      <c r="D1025" s="9" t="n">
        <v>114.8</v>
      </c>
      <c r="E1025" s="3" t="inlineStr">
        <is>
          <t>625</t>
        </is>
      </c>
      <c r="F1025" s="3" t="inlineStr">
        <is>
          <t>Exit gate</t>
        </is>
      </c>
      <c r="G1025" s="9" t="n">
        <v>240.31</v>
      </c>
      <c r="H1025" s="10" t="n">
        <v>45667.46283564815</v>
      </c>
      <c r="I1025" s="10" t="n">
        <v>45667.46283564815</v>
      </c>
      <c r="J1025" s="10" t="n">
        <v>45667.46359953703</v>
      </c>
      <c r="K1025" s="11" t="n">
        <v>0.0007638888888888889</v>
      </c>
      <c r="L1025" s="13" t="n"/>
    </row>
    <row r="1026">
      <c r="A1026" s="3" t="inlineStr">
        <is>
          <t>DepartureDrive</t>
        </is>
      </c>
      <c r="B1026" s="3" t="inlineStr">
        <is>
          <t>Act_DEPD_OBT100125103849-Wien Kledering_114514_627</t>
        </is>
      </c>
      <c r="C1026" s="3" t="inlineStr">
        <is>
          <t>OBT100125103849-Wien Kledering</t>
        </is>
      </c>
      <c r="D1026" s="9" t="n">
        <v>259.7</v>
      </c>
      <c r="E1026" s="3" t="inlineStr">
        <is>
          <t>627</t>
        </is>
      </c>
      <c r="F1026" s="3" t="inlineStr">
        <is>
          <t>Exit gate</t>
        </is>
      </c>
      <c r="G1026" s="9" t="n">
        <v>188.33</v>
      </c>
      <c r="H1026" s="10" t="n">
        <v>45667.48974537037</v>
      </c>
      <c r="I1026" s="10" t="n">
        <v>45667.48974537037</v>
      </c>
      <c r="J1026" s="10" t="n">
        <v>45667.49074074074</v>
      </c>
      <c r="K1026" s="11" t="n">
        <v>0.0009953703703703704</v>
      </c>
      <c r="L1026" s="13" t="n"/>
    </row>
    <row r="1027">
      <c r="A1027" s="3" t="inlineStr">
        <is>
          <t>DepartureDrive</t>
        </is>
      </c>
      <c r="B1027" s="3" t="inlineStr">
        <is>
          <t>Act_DEPD_OBT100125142646-Wien Kledering_145740_613</t>
        </is>
      </c>
      <c r="C1027" s="3" t="inlineStr">
        <is>
          <t>OBT100125142646-Wien Kledering</t>
        </is>
      </c>
      <c r="D1027" s="9" t="n">
        <v>118.6</v>
      </c>
      <c r="E1027" s="3" t="inlineStr">
        <is>
          <t>613</t>
        </is>
      </c>
      <c r="F1027" s="3" t="inlineStr">
        <is>
          <t>Exit gate</t>
        </is>
      </c>
      <c r="G1027" s="9" t="n">
        <v>205.9</v>
      </c>
      <c r="H1027" s="10" t="n">
        <v>45667.62337962963</v>
      </c>
      <c r="I1027" s="10" t="n">
        <v>45667.62337962963</v>
      </c>
      <c r="J1027" s="10" t="n">
        <v>45667.62408564815</v>
      </c>
      <c r="K1027" s="11" t="n">
        <v>0.0007060185185185185</v>
      </c>
      <c r="L1027" s="13" t="n"/>
    </row>
    <row r="1028">
      <c r="A1028" s="3" t="inlineStr">
        <is>
          <t>DepartureDrive</t>
        </is>
      </c>
      <c r="B1028" s="3" t="inlineStr">
        <is>
          <t>Act_DEPD_OBT100125150940-Wien Kledering_164915_627</t>
        </is>
      </c>
      <c r="C1028" s="3" t="inlineStr">
        <is>
          <t>OBT100125150940-Wien Kledering</t>
        </is>
      </c>
      <c r="D1028" s="9" t="n">
        <v>393.5</v>
      </c>
      <c r="E1028" s="3" t="inlineStr">
        <is>
          <t>627</t>
        </is>
      </c>
      <c r="F1028" s="3" t="inlineStr">
        <is>
          <t>Exit gate</t>
        </is>
      </c>
      <c r="G1028" s="9" t="n">
        <v>188.33</v>
      </c>
      <c r="H1028" s="10" t="n">
        <v>45667.70086805556</v>
      </c>
      <c r="I1028" s="10" t="n">
        <v>45667.70086805556</v>
      </c>
      <c r="J1028" s="10" t="n">
        <v>45667.70216435185</v>
      </c>
      <c r="K1028" s="11" t="n">
        <v>0.001296296296296296</v>
      </c>
      <c r="L1028" s="13" t="n"/>
    </row>
    <row r="1029">
      <c r="A1029" s="3" t="inlineStr">
        <is>
          <t>DepartureDrive</t>
        </is>
      </c>
      <c r="B1029" s="3" t="inlineStr">
        <is>
          <t>Act_DEPD_OBT100125174706-Wien Kledering_190353_613</t>
        </is>
      </c>
      <c r="C1029" s="3" t="inlineStr">
        <is>
          <t>OBT100125174706-Wien Kledering</t>
        </is>
      </c>
      <c r="D1029" s="9" t="n">
        <v>302.1</v>
      </c>
      <c r="E1029" s="3" t="inlineStr">
        <is>
          <t>613</t>
        </is>
      </c>
      <c r="F1029" s="3" t="inlineStr">
        <is>
          <t>Exit gate</t>
        </is>
      </c>
      <c r="G1029" s="9" t="n">
        <v>205.9</v>
      </c>
      <c r="H1029" s="10" t="n">
        <v>45667.79436342593</v>
      </c>
      <c r="I1029" s="10" t="n">
        <v>45667.79436342593</v>
      </c>
      <c r="J1029" s="10" t="n">
        <v>45667.79549768518</v>
      </c>
      <c r="K1029" s="11" t="n">
        <v>0.001134259259259259</v>
      </c>
      <c r="L1029" s="13" t="n"/>
    </row>
    <row r="1030">
      <c r="A1030" s="3" t="inlineStr">
        <is>
          <t>DepartureDrive</t>
        </is>
      </c>
      <c r="B1030" s="3" t="inlineStr">
        <is>
          <t>Act_DEPD_OBT100125182130-Pitten (Hamburger)_191736_627</t>
        </is>
      </c>
      <c r="C1030" s="3" t="inlineStr">
        <is>
          <t>OBT100125182130-Pitten (Hamburger)</t>
        </is>
      </c>
      <c r="D1030" s="9" t="n">
        <v>218.1</v>
      </c>
      <c r="E1030" s="3" t="inlineStr">
        <is>
          <t>627</t>
        </is>
      </c>
      <c r="F1030" s="3" t="inlineStr">
        <is>
          <t>Exit gate</t>
        </is>
      </c>
      <c r="G1030" s="9" t="n">
        <v>188.33</v>
      </c>
      <c r="H1030" s="10" t="n">
        <v>45667.80388888889</v>
      </c>
      <c r="I1030" s="10" t="n">
        <v>45667.80388888889</v>
      </c>
      <c r="J1030" s="10" t="n">
        <v>45667.80478009259</v>
      </c>
      <c r="K1030" s="11" t="n">
        <v>0.0008912037037037037</v>
      </c>
      <c r="L1030" s="13" t="n"/>
    </row>
    <row r="1031">
      <c r="A1031" s="3" t="inlineStr">
        <is>
          <t>DepartureDrive</t>
        </is>
      </c>
      <c r="B1031" s="3" t="inlineStr">
        <is>
          <t>Act_DEPD_OBT100125183202-Other sidings north_192211_605</t>
        </is>
      </c>
      <c r="C1031" s="3" t="inlineStr">
        <is>
          <t>OBT100125183202-Other sidings north</t>
        </is>
      </c>
      <c r="D1031" s="9" t="n">
        <v>110.2</v>
      </c>
      <c r="E1031" s="3" t="inlineStr">
        <is>
          <t>605</t>
        </is>
      </c>
      <c r="F1031" s="3" t="inlineStr">
        <is>
          <t>Exit gate</t>
        </is>
      </c>
      <c r="G1031" s="9" t="n">
        <v>286.14</v>
      </c>
      <c r="H1031" s="10" t="n">
        <v>45667.80707175926</v>
      </c>
      <c r="I1031" s="10" t="n">
        <v>45667.80707175926</v>
      </c>
      <c r="J1031" s="10" t="n">
        <v>45667.80792824074</v>
      </c>
      <c r="K1031" s="11" t="n">
        <v>0.0008564814814814815</v>
      </c>
      <c r="L1031" s="13" t="n"/>
    </row>
    <row r="1032">
      <c r="A1032" s="3" t="inlineStr">
        <is>
          <t>DepartureDrive</t>
        </is>
      </c>
      <c r="B1032" s="3" t="inlineStr">
        <is>
          <t>Act_DEPD_OBT100125183853-Wr. Neustadt Ausfahrbf (Furtenbach)_193944_609</t>
        </is>
      </c>
      <c r="C1032" s="3" t="inlineStr">
        <is>
          <t>OBT100125183853-Wr. Neustadt Ausfahrbf (Furtenbach)</t>
        </is>
      </c>
      <c r="D1032" s="9" t="n">
        <v>133.4</v>
      </c>
      <c r="E1032" s="3" t="inlineStr">
        <is>
          <t>609</t>
        </is>
      </c>
      <c r="F1032" s="3" t="inlineStr">
        <is>
          <t>Exit gate</t>
        </is>
      </c>
      <c r="G1032" s="9" t="n">
        <v>259.16</v>
      </c>
      <c r="H1032" s="10" t="n">
        <v>45667.81925925926</v>
      </c>
      <c r="I1032" s="10" t="n">
        <v>45667.81925925926</v>
      </c>
      <c r="J1032" s="10" t="n">
        <v>45667.82010416667</v>
      </c>
      <c r="K1032" s="11" t="n">
        <v>0.0008449074074074074</v>
      </c>
      <c r="L1032" s="13" t="n"/>
    </row>
    <row r="1033">
      <c r="A1033" s="3" t="inlineStr">
        <is>
          <t>DepartureDrive</t>
        </is>
      </c>
      <c r="B1033" s="3" t="inlineStr">
        <is>
          <t>Act_DEPD_OBT100125185219-Neunkirchen (loading tracks)_195545_619</t>
        </is>
      </c>
      <c r="C1033" s="3" t="inlineStr">
        <is>
          <t>OBT100125185219-Neunkirchen (loading tracks)</t>
        </is>
      </c>
      <c r="D1033" s="9" t="n">
        <v>142.6</v>
      </c>
      <c r="E1033" s="3" t="inlineStr">
        <is>
          <t>619</t>
        </is>
      </c>
      <c r="F1033" s="3" t="inlineStr">
        <is>
          <t>Exit gate</t>
        </is>
      </c>
      <c r="G1033" s="9" t="n">
        <v>262.93</v>
      </c>
      <c r="H1033" s="10" t="n">
        <v>45667.83038194444</v>
      </c>
      <c r="I1033" s="10" t="n">
        <v>45667.83038194444</v>
      </c>
      <c r="J1033" s="10" t="n">
        <v>45667.83126157407</v>
      </c>
      <c r="K1033" s="11" t="n">
        <v>0.0008796296296296296</v>
      </c>
      <c r="L1033" s="13" t="n"/>
    </row>
    <row r="1034">
      <c r="A1034" s="3" t="inlineStr">
        <is>
          <t>DepartureDrive</t>
        </is>
      </c>
      <c r="B1034" s="3" t="inlineStr">
        <is>
          <t>Act_DEPD_OBT100125205103-Pitten (Hamburger)_212025_613</t>
        </is>
      </c>
      <c r="C1034" s="3" t="inlineStr">
        <is>
          <t>OBT100125205103-Pitten (Hamburger)</t>
        </is>
      </c>
      <c r="D1034" s="9" t="n">
        <v>112.5</v>
      </c>
      <c r="E1034" s="3" t="inlineStr">
        <is>
          <t>613</t>
        </is>
      </c>
      <c r="F1034" s="3" t="inlineStr">
        <is>
          <t>Exit gate</t>
        </is>
      </c>
      <c r="G1034" s="9" t="n">
        <v>205.9</v>
      </c>
      <c r="H1034" s="10" t="n">
        <v>45667.88917824074</v>
      </c>
      <c r="I1034" s="10" t="n">
        <v>45667.88917824074</v>
      </c>
      <c r="J1034" s="10" t="n">
        <v>45667.88987268518</v>
      </c>
      <c r="K1034" s="11" t="n">
        <v>0.0006944444444444445</v>
      </c>
      <c r="L1034" s="13" t="n"/>
    </row>
    <row r="1035">
      <c r="A1035" s="3" t="inlineStr">
        <is>
          <t>DepartureDrive</t>
        </is>
      </c>
      <c r="B1035" s="3" t="inlineStr">
        <is>
          <t>Act_DEPD_OBT100125205342-Other sidings south_212448_623</t>
        </is>
      </c>
      <c r="C1035" s="3" t="inlineStr">
        <is>
          <t>OBT100125205342-Other sidings south</t>
        </is>
      </c>
      <c r="D1035" s="9" t="n">
        <v>114.4</v>
      </c>
      <c r="E1035" s="3" t="inlineStr">
        <is>
          <t>623</t>
        </is>
      </c>
      <c r="F1035" s="3" t="inlineStr">
        <is>
          <t>Exit gate</t>
        </is>
      </c>
      <c r="G1035" s="9" t="n">
        <v>259.31</v>
      </c>
      <c r="H1035" s="10" t="n">
        <v>45667.89222222222</v>
      </c>
      <c r="I1035" s="10" t="n">
        <v>45667.89222222222</v>
      </c>
      <c r="J1035" s="10" t="n">
        <v>45667.89303240741</v>
      </c>
      <c r="K1035" s="11" t="n">
        <v>0.0008101851851851852</v>
      </c>
      <c r="L1035" s="13" t="n"/>
    </row>
    <row r="1036">
      <c r="A1036" s="3" t="inlineStr">
        <is>
          <t>DepartureDrive</t>
        </is>
      </c>
      <c r="B1036" s="3" t="inlineStr">
        <is>
          <t>Act_DEPD_OBT110125052224-Ebenfurth (beet loading)_055109_619</t>
        </is>
      </c>
      <c r="C1036" s="3" t="inlineStr">
        <is>
          <t>OBT110125052224-Ebenfurth (beet loading)</t>
        </is>
      </c>
      <c r="D1036" s="9" t="n">
        <v>110.2</v>
      </c>
      <c r="E1036" s="3" t="inlineStr">
        <is>
          <t>619</t>
        </is>
      </c>
      <c r="F1036" s="3" t="inlineStr">
        <is>
          <t>Exit gate</t>
        </is>
      </c>
      <c r="G1036" s="9" t="n">
        <v>262.93</v>
      </c>
      <c r="H1036" s="10" t="n">
        <v>45668.24385416666</v>
      </c>
      <c r="I1036" s="10" t="n">
        <v>45668.24385416666</v>
      </c>
      <c r="J1036" s="10" t="n">
        <v>45668.24466435185</v>
      </c>
      <c r="K1036" s="11" t="n">
        <v>0.0008101851851851852</v>
      </c>
      <c r="L1036" s="13" t="n"/>
    </row>
    <row r="1037">
      <c r="A1037" s="3" t="inlineStr">
        <is>
          <t>DepartureDrive</t>
        </is>
      </c>
      <c r="B1037" s="3" t="inlineStr">
        <is>
          <t>Act_DEPD_OBT110125055616-Ebenfurth (beet loading)_062551_623</t>
        </is>
      </c>
      <c r="C1037" s="3" t="inlineStr">
        <is>
          <t>OBT110125055616-Ebenfurth (beet loading)</t>
        </is>
      </c>
      <c r="D1037" s="9" t="n">
        <v>110.2</v>
      </c>
      <c r="E1037" s="3" t="inlineStr">
        <is>
          <t>623</t>
        </is>
      </c>
      <c r="F1037" s="3" t="inlineStr">
        <is>
          <t>Exit gate</t>
        </is>
      </c>
      <c r="G1037" s="9" t="n">
        <v>259.31</v>
      </c>
      <c r="H1037" s="10" t="n">
        <v>45668.26795138889</v>
      </c>
      <c r="I1037" s="10" t="n">
        <v>45668.26795138889</v>
      </c>
      <c r="J1037" s="10" t="n">
        <v>45668.26873842593</v>
      </c>
      <c r="K1037" s="11" t="n">
        <v>0.000787037037037037</v>
      </c>
      <c r="L1037" s="13" t="n"/>
    </row>
    <row r="1038">
      <c r="A1038" s="3" t="inlineStr">
        <is>
          <t>DepartureDrive</t>
        </is>
      </c>
      <c r="B1038" s="3" t="inlineStr">
        <is>
          <t>Act_DEPD_OBT110125052552-Pitten (Hamburger)_064250_613</t>
        </is>
      </c>
      <c r="C1038" s="3" t="inlineStr">
        <is>
          <t>OBT110125052552-Pitten (Hamburger)</t>
        </is>
      </c>
      <c r="D1038" s="9" t="n">
        <v>302.9</v>
      </c>
      <c r="E1038" s="3" t="inlineStr">
        <is>
          <t>613</t>
        </is>
      </c>
      <c r="F1038" s="3" t="inlineStr">
        <is>
          <t>Exit gate</t>
        </is>
      </c>
      <c r="G1038" s="9" t="n">
        <v>205.9</v>
      </c>
      <c r="H1038" s="10" t="n">
        <v>45668.27974537037</v>
      </c>
      <c r="I1038" s="10" t="n">
        <v>45668.27974537037</v>
      </c>
      <c r="J1038" s="10" t="n">
        <v>45668.28086805555</v>
      </c>
      <c r="K1038" s="11" t="n">
        <v>0.001122685185185185</v>
      </c>
      <c r="L1038" s="13" t="n"/>
    </row>
    <row r="1039">
      <c r="A1039" s="3" t="inlineStr">
        <is>
          <t>DepartureDrive</t>
        </is>
      </c>
      <c r="B1039" s="3" t="inlineStr">
        <is>
          <t>Act_DEPD_OBT110125055912-Pitten (Hamburger)_065852_611</t>
        </is>
      </c>
      <c r="C1039" s="3" t="inlineStr">
        <is>
          <t>OBT110125055912-Pitten (Hamburger)</t>
        </is>
      </c>
      <c r="D1039" s="9" t="n">
        <v>210.6</v>
      </c>
      <c r="E1039" s="3" t="inlineStr">
        <is>
          <t>611</t>
        </is>
      </c>
      <c r="F1039" s="3" t="inlineStr">
        <is>
          <t>Exit gate</t>
        </is>
      </c>
      <c r="G1039" s="9" t="n">
        <v>231.94</v>
      </c>
      <c r="H1039" s="10" t="n">
        <v>45668.29087962963</v>
      </c>
      <c r="I1039" s="10" t="n">
        <v>45668.29087962963</v>
      </c>
      <c r="J1039" s="10" t="n">
        <v>45668.29185185185</v>
      </c>
      <c r="K1039" s="11" t="n">
        <v>0.0009722222222222222</v>
      </c>
      <c r="L1039" s="13" t="n"/>
    </row>
    <row r="1040">
      <c r="A1040" s="3" t="inlineStr">
        <is>
          <t>DepartureDrive</t>
        </is>
      </c>
      <c r="B1040" s="3" t="inlineStr">
        <is>
          <t>Act_DEPD_OBT120125180841-Neudörfl (FunderMax)_191659_625</t>
        </is>
      </c>
      <c r="C1040" s="3" t="inlineStr">
        <is>
          <t>OBT120125180841-Neudörfl (FunderMax)</t>
        </is>
      </c>
      <c r="D1040" s="9" t="n">
        <v>268.2</v>
      </c>
      <c r="E1040" s="3" t="inlineStr">
        <is>
          <t>625</t>
        </is>
      </c>
      <c r="F1040" s="3" t="inlineStr">
        <is>
          <t>Exit gate</t>
        </is>
      </c>
      <c r="G1040" s="9" t="n">
        <v>240.31</v>
      </c>
      <c r="H1040" s="10" t="n">
        <v>45669.80346064815</v>
      </c>
      <c r="I1040" s="10" t="n">
        <v>45669.80346064815</v>
      </c>
      <c r="J1040" s="10" t="n">
        <v>45669.80458333333</v>
      </c>
      <c r="K1040" s="11" t="n">
        <v>0.001122685185185185</v>
      </c>
      <c r="L1040" s="13" t="n"/>
    </row>
    <row r="1041">
      <c r="A1041" s="3" t="inlineStr">
        <is>
          <t>DepartureDrive</t>
        </is>
      </c>
      <c r="B1041" s="3" t="inlineStr">
        <is>
          <t>Act_DEPD_OBT120125180921-Pitten (Hamburger)_193831_613</t>
        </is>
      </c>
      <c r="C1041" s="3" t="inlineStr">
        <is>
          <t>OBT120125180921-Pitten (Hamburger)</t>
        </is>
      </c>
      <c r="D1041" s="9" t="n">
        <v>349.3</v>
      </c>
      <c r="E1041" s="3" t="inlineStr">
        <is>
          <t>613</t>
        </is>
      </c>
      <c r="F1041" s="3" t="inlineStr">
        <is>
          <t>Exit gate</t>
        </is>
      </c>
      <c r="G1041" s="9" t="n">
        <v>205.9</v>
      </c>
      <c r="H1041" s="10" t="n">
        <v>45669.81841435185</v>
      </c>
      <c r="I1041" s="10" t="n">
        <v>45669.81841435185</v>
      </c>
      <c r="J1041" s="10" t="n">
        <v>45669.81965277778</v>
      </c>
      <c r="K1041" s="11" t="n">
        <v>0.001238425925925926</v>
      </c>
      <c r="L1041" s="13" t="n"/>
    </row>
    <row r="1042">
      <c r="A1042" s="3" t="inlineStr">
        <is>
          <t>DepartureDrive</t>
        </is>
      </c>
      <c r="B1042" s="3" t="inlineStr">
        <is>
          <t>Act_DEPD_OBT120125201952-Neudörfl (FunderMax)_204750_613</t>
        </is>
      </c>
      <c r="C1042" s="3" t="inlineStr">
        <is>
          <t>OBT120125201952-Neudörfl (FunderMax)</t>
        </is>
      </c>
      <c r="D1042" s="9" t="n">
        <v>106.9</v>
      </c>
      <c r="E1042" s="3" t="inlineStr">
        <is>
          <t>613</t>
        </is>
      </c>
      <c r="F1042" s="3" t="inlineStr">
        <is>
          <t>Exit gate</t>
        </is>
      </c>
      <c r="G1042" s="9" t="n">
        <v>205.9</v>
      </c>
      <c r="H1042" s="10" t="n">
        <v>45669.86655092592</v>
      </c>
      <c r="I1042" s="10" t="n">
        <v>45669.86655092592</v>
      </c>
      <c r="J1042" s="10" t="n">
        <v>45669.8672337963</v>
      </c>
      <c r="K1042" s="11" t="n">
        <v>0.0006828703703703704</v>
      </c>
      <c r="L1042" s="13" t="n"/>
    </row>
    <row r="1043">
      <c r="A1043" s="3" t="inlineStr">
        <is>
          <t>DepartureDrive</t>
        </is>
      </c>
      <c r="B1043" s="3" t="inlineStr">
        <is>
          <t>Act_DEPD_OBT120125202320-Pitten (Hamburger)_204946_625</t>
        </is>
      </c>
      <c r="C1043" s="3" t="inlineStr">
        <is>
          <t>OBT120125202320-Pitten (Hamburger)</t>
        </is>
      </c>
      <c r="D1043" s="9" t="n">
        <v>101.2</v>
      </c>
      <c r="E1043" s="3" t="inlineStr">
        <is>
          <t>625</t>
        </is>
      </c>
      <c r="F1043" s="3" t="inlineStr">
        <is>
          <t>Exit gate</t>
        </is>
      </c>
      <c r="G1043" s="9" t="n">
        <v>240.31</v>
      </c>
      <c r="H1043" s="10" t="n">
        <v>45669.86789351852</v>
      </c>
      <c r="I1043" s="10" t="n">
        <v>45669.86789351852</v>
      </c>
      <c r="J1043" s="10" t="n">
        <v>45669.86863425926</v>
      </c>
      <c r="K1043" s="11" t="n">
        <v>0.0007407407407407407</v>
      </c>
      <c r="L1043" s="13" t="n"/>
    </row>
    <row r="1044">
      <c r="A1044" s="3" t="inlineStr">
        <is>
          <t>DepartureDrive</t>
        </is>
      </c>
      <c r="B1044" s="3" t="inlineStr">
        <is>
          <t>Act_DEPD_OBT130125024918-Neunkirchen (loading tracks)_033715_605</t>
        </is>
      </c>
      <c r="C1044" s="3" t="inlineStr">
        <is>
          <t>OBT130125024918-Neunkirchen (loading tracks)</t>
        </is>
      </c>
      <c r="D1044" s="9" t="n">
        <v>186.8</v>
      </c>
      <c r="E1044" s="3" t="inlineStr">
        <is>
          <t>605</t>
        </is>
      </c>
      <c r="F1044" s="3" t="inlineStr">
        <is>
          <t>Exit gate</t>
        </is>
      </c>
      <c r="G1044" s="9" t="n">
        <v>286.14</v>
      </c>
      <c r="H1044" s="10" t="n">
        <v>45670.15086805556</v>
      </c>
      <c r="I1044" s="10" t="n">
        <v>45670.15086805556</v>
      </c>
      <c r="J1044" s="10" t="n">
        <v>45670.15189814815</v>
      </c>
      <c r="K1044" s="11" t="n">
        <v>0.001030092592592593</v>
      </c>
      <c r="L1044" s="13" t="n"/>
    </row>
    <row r="1045">
      <c r="A1045" s="3" t="inlineStr">
        <is>
          <t>DepartureDrive</t>
        </is>
      </c>
      <c r="B1045" s="3" t="inlineStr">
        <is>
          <t>Act_DEPD_OBT130125044756-Neudörfl (FunderMax)_060427_625</t>
        </is>
      </c>
      <c r="C1045" s="3" t="inlineStr">
        <is>
          <t>OBT130125044756-Neudörfl (FunderMax)</t>
        </is>
      </c>
      <c r="D1045" s="9" t="n">
        <v>301.2</v>
      </c>
      <c r="E1045" s="3" t="inlineStr">
        <is>
          <t>625</t>
        </is>
      </c>
      <c r="F1045" s="3" t="inlineStr">
        <is>
          <t>Exit gate</t>
        </is>
      </c>
      <c r="G1045" s="9" t="n">
        <v>240.31</v>
      </c>
      <c r="H1045" s="10" t="n">
        <v>45670.25309027778</v>
      </c>
      <c r="I1045" s="10" t="n">
        <v>45670.25309027778</v>
      </c>
      <c r="J1045" s="10" t="n">
        <v>45670.25429398148</v>
      </c>
      <c r="K1045" s="11" t="n">
        <v>0.001203703703703704</v>
      </c>
      <c r="L1045" s="13" t="n"/>
    </row>
    <row r="1046">
      <c r="A1046" s="3" t="inlineStr">
        <is>
          <t>DepartureDrive</t>
        </is>
      </c>
      <c r="B1046" s="3" t="inlineStr">
        <is>
          <t>Act_DEPD_OBT130125062348-Wien Kledering_073933_625</t>
        </is>
      </c>
      <c r="C1046" s="3" t="inlineStr">
        <is>
          <t>OBT130125062348-Wien Kledering</t>
        </is>
      </c>
      <c r="D1046" s="9" t="n">
        <v>298</v>
      </c>
      <c r="E1046" s="3" t="inlineStr">
        <is>
          <t>625</t>
        </is>
      </c>
      <c r="F1046" s="3" t="inlineStr">
        <is>
          <t>Exit gate</t>
        </is>
      </c>
      <c r="G1046" s="9" t="n">
        <v>240.31</v>
      </c>
      <c r="H1046" s="10" t="n">
        <v>45670.31913194444</v>
      </c>
      <c r="I1046" s="10" t="n">
        <v>45670.31913194444</v>
      </c>
      <c r="J1046" s="10" t="n">
        <v>45670.3203125</v>
      </c>
      <c r="K1046" s="11" t="n">
        <v>0.001180555555555556</v>
      </c>
      <c r="L1046" s="13" t="n"/>
    </row>
    <row r="1047">
      <c r="A1047" s="3" t="inlineStr">
        <is>
          <t>DepartureDrive</t>
        </is>
      </c>
      <c r="B1047" s="3" t="inlineStr">
        <is>
          <t>Act_DEPD_OBT130125071902-Wien Kledering_081137_605</t>
        </is>
      </c>
      <c r="C1047" s="3" t="inlineStr">
        <is>
          <t>OBT130125071902-Wien Kledering</t>
        </is>
      </c>
      <c r="D1047" s="9" t="n">
        <v>205.5</v>
      </c>
      <c r="E1047" s="3" t="inlineStr">
        <is>
          <t>605</t>
        </is>
      </c>
      <c r="F1047" s="3" t="inlineStr">
        <is>
          <t>Exit gate</t>
        </is>
      </c>
      <c r="G1047" s="9" t="n">
        <v>286.14</v>
      </c>
      <c r="H1047" s="10" t="n">
        <v>45670.34140046296</v>
      </c>
      <c r="I1047" s="10" t="n">
        <v>45670.34140046296</v>
      </c>
      <c r="J1047" s="10" t="n">
        <v>45670.34246527778</v>
      </c>
      <c r="K1047" s="11" t="n">
        <v>0.001064814814814815</v>
      </c>
      <c r="L1047" s="13" t="n"/>
    </row>
    <row r="1048">
      <c r="A1048" s="3" t="inlineStr">
        <is>
          <t>DepartureDrive</t>
        </is>
      </c>
      <c r="B1048" s="3" t="inlineStr">
        <is>
          <t>Act_DEPD_OBT130125082326-Wr. Neustadt (Hödlmayr)_090918_606</t>
        </is>
      </c>
      <c r="C1048" s="3" t="inlineStr">
        <is>
          <t>OBT130125082326-Wr. Neustadt (Hödlmayr)</t>
        </is>
      </c>
      <c r="D1048" s="9" t="n">
        <v>162</v>
      </c>
      <c r="E1048" s="3" t="inlineStr">
        <is>
          <t>606</t>
        </is>
      </c>
      <c r="F1048" s="3" t="inlineStr">
        <is>
          <t>Exit gate</t>
        </is>
      </c>
      <c r="G1048" s="9" t="n">
        <v>245</v>
      </c>
      <c r="H1048" s="10" t="n">
        <v>45670.38145833334</v>
      </c>
      <c r="I1048" s="10" t="n">
        <v>45670.38145833334</v>
      </c>
      <c r="J1048" s="10" t="n">
        <v>45670.38234953704</v>
      </c>
      <c r="K1048" s="11" t="n">
        <v>0.0008912037037037037</v>
      </c>
      <c r="L1048" s="13" t="n"/>
    </row>
    <row r="1049">
      <c r="A1049" s="3" t="inlineStr">
        <is>
          <t>DepartureDrive</t>
        </is>
      </c>
      <c r="B1049" s="3" t="inlineStr">
        <is>
          <t>Act_DEPD_OBT130125073501-Wien Kledering_091643_619</t>
        </is>
      </c>
      <c r="C1049" s="3" t="inlineStr">
        <is>
          <t>OBT130125073501-Wien Kledering</t>
        </is>
      </c>
      <c r="D1049" s="9" t="n">
        <v>397.3</v>
      </c>
      <c r="E1049" s="3" t="inlineStr">
        <is>
          <t>619</t>
        </is>
      </c>
      <c r="F1049" s="3" t="inlineStr">
        <is>
          <t>Exit gate</t>
        </is>
      </c>
      <c r="G1049" s="9" t="n">
        <v>262.93</v>
      </c>
      <c r="H1049" s="10" t="n">
        <v>45670.3866087963</v>
      </c>
      <c r="I1049" s="10" t="n">
        <v>45670.3866087963</v>
      </c>
      <c r="J1049" s="10" t="n">
        <v>45670.38806712963</v>
      </c>
      <c r="K1049" s="11" t="n">
        <v>0.001458333333333333</v>
      </c>
      <c r="L1049" s="13" t="n"/>
    </row>
    <row r="1050">
      <c r="A1050" s="3" t="inlineStr">
        <is>
          <t>DepartureDrive</t>
        </is>
      </c>
      <c r="B1050" s="3" t="inlineStr">
        <is>
          <t>Act_DEPD_OBT130125092620-Ternitz (Schoeller-Bleckmann)_101318_617</t>
        </is>
      </c>
      <c r="C1050" s="3" t="inlineStr">
        <is>
          <t>OBT130125092620-Ternitz (Schoeller-Bleckmann)</t>
        </is>
      </c>
      <c r="D1050" s="9" t="n">
        <v>182.9</v>
      </c>
      <c r="E1050" s="3" t="inlineStr">
        <is>
          <t>617</t>
        </is>
      </c>
      <c r="F1050" s="3" t="inlineStr">
        <is>
          <t>Exit gate</t>
        </is>
      </c>
      <c r="G1050" s="9" t="n">
        <v>262.93</v>
      </c>
      <c r="H1050" s="10" t="n">
        <v>45670.42590277778</v>
      </c>
      <c r="I1050" s="10" t="n">
        <v>45670.42590277778</v>
      </c>
      <c r="J1050" s="10" t="n">
        <v>45670.426875</v>
      </c>
      <c r="K1050" s="11" t="n">
        <v>0.0009722222222222222</v>
      </c>
      <c r="L1050" s="13" t="n"/>
    </row>
    <row r="1051">
      <c r="A1051" s="3" t="inlineStr">
        <is>
          <t>DepartureDrive</t>
        </is>
      </c>
      <c r="B1051" s="3" t="inlineStr">
        <is>
          <t>Act_DEPD_OBT130125093830-Other sidings local_103005_615</t>
        </is>
      </c>
      <c r="C1051" s="3" t="inlineStr">
        <is>
          <t>OBT130125093830-Other sidings local</t>
        </is>
      </c>
      <c r="D1051" s="9" t="n">
        <v>100.6</v>
      </c>
      <c r="E1051" s="3" t="inlineStr">
        <is>
          <t>615</t>
        </is>
      </c>
      <c r="F1051" s="3" t="inlineStr">
        <is>
          <t>Exit gate</t>
        </is>
      </c>
      <c r="G1051" s="9" t="n">
        <v>223.61</v>
      </c>
      <c r="H1051" s="10" t="n">
        <v>45670.43755787037</v>
      </c>
      <c r="I1051" s="10" t="n">
        <v>45670.43755787037</v>
      </c>
      <c r="J1051" s="10" t="n">
        <v>45670.43825231482</v>
      </c>
      <c r="K1051" s="11" t="n">
        <v>0.0006944444444444445</v>
      </c>
      <c r="L1051" s="13" t="n"/>
    </row>
    <row r="1052">
      <c r="A1052" s="3" t="inlineStr">
        <is>
          <t>DepartureDrive</t>
        </is>
      </c>
      <c r="B1052" s="3" t="inlineStr">
        <is>
          <t>Act_DEPD_OBT130125092157-Wien Kledering_103257_625</t>
        </is>
      </c>
      <c r="C1052" s="3" t="inlineStr">
        <is>
          <t>OBT130125092157-Wien Kledering</t>
        </is>
      </c>
      <c r="D1052" s="9" t="n">
        <v>279</v>
      </c>
      <c r="E1052" s="3" t="inlineStr">
        <is>
          <t>625</t>
        </is>
      </c>
      <c r="F1052" s="3" t="inlineStr">
        <is>
          <t>Exit gate</t>
        </is>
      </c>
      <c r="G1052" s="9" t="n">
        <v>240.31</v>
      </c>
      <c r="H1052" s="10" t="n">
        <v>45670.43954861111</v>
      </c>
      <c r="I1052" s="10" t="n">
        <v>45670.43954861111</v>
      </c>
      <c r="J1052" s="10" t="n">
        <v>45670.44069444444</v>
      </c>
      <c r="K1052" s="11" t="n">
        <v>0.001145833333333333</v>
      </c>
      <c r="L1052" s="13" t="n"/>
    </row>
    <row r="1053">
      <c r="A1053" s="3" t="inlineStr">
        <is>
          <t>DepartureDrive</t>
        </is>
      </c>
      <c r="B1053" s="3" t="inlineStr">
        <is>
          <t>Act_DEPD_OBT130125094410-Other sidings south_104707_613</t>
        </is>
      </c>
      <c r="C1053" s="3" t="inlineStr">
        <is>
          <t>OBT130125094410-Other sidings south</t>
        </is>
      </c>
      <c r="D1053" s="9" t="n">
        <v>125.3</v>
      </c>
      <c r="E1053" s="3" t="inlineStr">
        <is>
          <t>613</t>
        </is>
      </c>
      <c r="F1053" s="3" t="inlineStr">
        <is>
          <t>Exit gate</t>
        </is>
      </c>
      <c r="G1053" s="9" t="n">
        <v>205.9</v>
      </c>
      <c r="H1053" s="10" t="n">
        <v>45670.44938657407</v>
      </c>
      <c r="I1053" s="10" t="n">
        <v>45670.44938657407</v>
      </c>
      <c r="J1053" s="10" t="n">
        <v>45670.45010416667</v>
      </c>
      <c r="K1053" s="11" t="n">
        <v>0.0007175925925925926</v>
      </c>
      <c r="L1053" s="13" t="n"/>
    </row>
    <row r="1054">
      <c r="A1054" s="3" t="inlineStr">
        <is>
          <t>DepartureDrive</t>
        </is>
      </c>
      <c r="B1054" s="3" t="inlineStr">
        <is>
          <t>Act_DEPD_OBT130125095519-Other sidings north_111329_605</t>
        </is>
      </c>
      <c r="C1054" s="3" t="inlineStr">
        <is>
          <t>OBT130125095519-Other sidings north</t>
        </is>
      </c>
      <c r="D1054" s="9" t="n">
        <v>147</v>
      </c>
      <c r="E1054" s="3" t="inlineStr">
        <is>
          <t>605</t>
        </is>
      </c>
      <c r="F1054" s="3" t="inlineStr">
        <is>
          <t>Exit gate</t>
        </is>
      </c>
      <c r="G1054" s="9" t="n">
        <v>286.14</v>
      </c>
      <c r="H1054" s="10" t="n">
        <v>45670.46769675926</v>
      </c>
      <c r="I1054" s="10" t="n">
        <v>45670.46769675926</v>
      </c>
      <c r="J1054" s="10" t="n">
        <v>45670.46863425926</v>
      </c>
      <c r="K1054" s="11" t="n">
        <v>0.0009375</v>
      </c>
      <c r="L1054" s="13" t="n"/>
    </row>
    <row r="1055">
      <c r="A1055" s="3" t="inlineStr">
        <is>
          <t>DepartureDrive</t>
        </is>
      </c>
      <c r="B1055" s="3" t="inlineStr">
        <is>
          <t>Act_DEPD_OBT130125095539-Pitten (Hamburger)_113402_611</t>
        </is>
      </c>
      <c r="C1055" s="3" t="inlineStr">
        <is>
          <t>OBT130125095539-Pitten (Hamburger)</t>
        </is>
      </c>
      <c r="D1055" s="9" t="n">
        <v>218.1</v>
      </c>
      <c r="E1055" s="3" t="inlineStr">
        <is>
          <t>611</t>
        </is>
      </c>
      <c r="F1055" s="3" t="inlineStr">
        <is>
          <t>Exit gate</t>
        </is>
      </c>
      <c r="G1055" s="9" t="n">
        <v>231.94</v>
      </c>
      <c r="H1055" s="10" t="n">
        <v>45670.48196759259</v>
      </c>
      <c r="I1055" s="10" t="n">
        <v>45670.48196759259</v>
      </c>
      <c r="J1055" s="10" t="n">
        <v>45670.48296296296</v>
      </c>
      <c r="K1055" s="11" t="n">
        <v>0.0009953703703703704</v>
      </c>
      <c r="L1055" s="13" t="n"/>
    </row>
    <row r="1056">
      <c r="A1056" s="3" t="inlineStr">
        <is>
          <t>DepartureDrive</t>
        </is>
      </c>
      <c r="B1056" s="3" t="inlineStr">
        <is>
          <t>Act_DEPD_OBT130125103421-Wien Kledering_115630_619</t>
        </is>
      </c>
      <c r="C1056" s="3" t="inlineStr">
        <is>
          <t>OBT130125103421-Wien Kledering</t>
        </is>
      </c>
      <c r="D1056" s="9" t="n">
        <v>267.5</v>
      </c>
      <c r="E1056" s="3" t="inlineStr">
        <is>
          <t>619</t>
        </is>
      </c>
      <c r="F1056" s="3" t="inlineStr">
        <is>
          <t>Exit gate</t>
        </is>
      </c>
      <c r="G1056" s="9" t="n">
        <v>262.93</v>
      </c>
      <c r="H1056" s="10" t="n">
        <v>45670.49756944444</v>
      </c>
      <c r="I1056" s="10" t="n">
        <v>45670.49756944444</v>
      </c>
      <c r="J1056" s="10" t="n">
        <v>45670.49873842593</v>
      </c>
      <c r="K1056" s="11" t="n">
        <v>0.001168981481481482</v>
      </c>
      <c r="L1056" s="13" t="n"/>
    </row>
    <row r="1057">
      <c r="A1057" s="3" t="inlineStr">
        <is>
          <t>DepartureDrive</t>
        </is>
      </c>
      <c r="B1057" s="3" t="inlineStr">
        <is>
          <t>Act_DEPD_OBT130125123545-Wien Kledering_140034_617</t>
        </is>
      </c>
      <c r="C1057" s="3" t="inlineStr">
        <is>
          <t>OBT130125123545-Wien Kledering</t>
        </is>
      </c>
      <c r="D1057" s="9" t="n">
        <v>334.4</v>
      </c>
      <c r="E1057" s="3" t="inlineStr">
        <is>
          <t>617</t>
        </is>
      </c>
      <c r="F1057" s="3" t="inlineStr">
        <is>
          <t>Exit gate</t>
        </is>
      </c>
      <c r="G1057" s="9" t="n">
        <v>262.93</v>
      </c>
      <c r="H1057" s="10" t="n">
        <v>45670.58372685185</v>
      </c>
      <c r="I1057" s="10" t="n">
        <v>45670.58372685185</v>
      </c>
      <c r="J1057" s="10" t="n">
        <v>45670.5850462963</v>
      </c>
      <c r="K1057" s="11" t="n">
        <v>0.001319444444444444</v>
      </c>
      <c r="L1057" s="13" t="n"/>
    </row>
    <row r="1058">
      <c r="A1058" s="3" t="inlineStr">
        <is>
          <t>DepartureDrive</t>
        </is>
      </c>
      <c r="B1058" s="3" t="inlineStr">
        <is>
          <t>Act_DEPD_OBT130125152935-Wr. Neustadt (Hödlmayr)_155715_625</t>
        </is>
      </c>
      <c r="C1058" s="3" t="inlineStr">
        <is>
          <t>OBT130125152935-Wr. Neustadt (Hödlmayr)</t>
        </is>
      </c>
      <c r="D1058" s="9" t="n">
        <v>100.9</v>
      </c>
      <c r="E1058" s="3" t="inlineStr">
        <is>
          <t>625</t>
        </is>
      </c>
      <c r="F1058" s="3" t="inlineStr">
        <is>
          <t>Exit gate</t>
        </is>
      </c>
      <c r="G1058" s="9" t="n">
        <v>240.31</v>
      </c>
      <c r="H1058" s="10" t="n">
        <v>45670.66475694445</v>
      </c>
      <c r="I1058" s="10" t="n">
        <v>45670.66475694445</v>
      </c>
      <c r="J1058" s="10" t="n">
        <v>45670.66549768519</v>
      </c>
      <c r="K1058" s="11" t="n">
        <v>0.0007407407407407407</v>
      </c>
      <c r="L1058" s="13" t="n"/>
    </row>
    <row r="1059">
      <c r="A1059" s="3" t="inlineStr">
        <is>
          <t>DepartureDrive</t>
        </is>
      </c>
      <c r="B1059" s="3" t="inlineStr">
        <is>
          <t>Act_DEPD_OBT130125155039-Wr. Neustadt Ausfahrbf (Furtenbach)_162311_609</t>
        </is>
      </c>
      <c r="C1059" s="3" t="inlineStr">
        <is>
          <t>OBT130125155039-Wr. Neustadt Ausfahrbf (Furtenbach)</t>
        </is>
      </c>
      <c r="D1059" s="9" t="n">
        <v>119.4</v>
      </c>
      <c r="E1059" s="3" t="inlineStr">
        <is>
          <t>609</t>
        </is>
      </c>
      <c r="F1059" s="3" t="inlineStr">
        <is>
          <t>Exit gate</t>
        </is>
      </c>
      <c r="G1059" s="9" t="n">
        <v>259.16</v>
      </c>
      <c r="H1059" s="10" t="n">
        <v>45670.6827662037</v>
      </c>
      <c r="I1059" s="10" t="n">
        <v>45670.6827662037</v>
      </c>
      <c r="J1059" s="10" t="n">
        <v>45670.68358796297</v>
      </c>
      <c r="K1059" s="11" t="n">
        <v>0.0008217592592592593</v>
      </c>
      <c r="L1059" s="13" t="n"/>
    </row>
    <row r="1060">
      <c r="A1060" s="3" t="inlineStr">
        <is>
          <t>DepartureDrive</t>
        </is>
      </c>
      <c r="B1060" s="3" t="inlineStr">
        <is>
          <t>Act_DEPD_OBT130125144644-Wien Kledering_162504_615</t>
        </is>
      </c>
      <c r="C1060" s="3" t="inlineStr">
        <is>
          <t>OBT130125144644-Wien Kledering</t>
        </is>
      </c>
      <c r="D1060" s="9" t="n">
        <v>388.3</v>
      </c>
      <c r="E1060" s="3" t="inlineStr">
        <is>
          <t>615</t>
        </is>
      </c>
      <c r="F1060" s="3" t="inlineStr">
        <is>
          <t>Exit gate</t>
        </is>
      </c>
      <c r="G1060" s="9" t="n">
        <v>223.61</v>
      </c>
      <c r="H1060" s="10" t="n">
        <v>45670.68407407407</v>
      </c>
      <c r="I1060" s="10" t="n">
        <v>45670.68407407407</v>
      </c>
      <c r="J1060" s="10" t="n">
        <v>45670.68543981481</v>
      </c>
      <c r="K1060" s="11" t="n">
        <v>0.001365740740740741</v>
      </c>
      <c r="L1060" s="13" t="n"/>
    </row>
    <row r="1061">
      <c r="A1061" s="3" t="inlineStr">
        <is>
          <t>DepartureDrive</t>
        </is>
      </c>
      <c r="B1061" s="3" t="inlineStr">
        <is>
          <t>Act_DEPD_OBT130125163000-St. Veit an der Glan_172209_606</t>
        </is>
      </c>
      <c r="C1061" s="3" t="inlineStr">
        <is>
          <t>OBT130125163000-St. Veit an der Glan</t>
        </is>
      </c>
      <c r="D1061" s="9" t="n">
        <v>198.8</v>
      </c>
      <c r="E1061" s="3" t="inlineStr">
        <is>
          <t>606</t>
        </is>
      </c>
      <c r="F1061" s="3" t="inlineStr">
        <is>
          <t>Exit gate</t>
        </is>
      </c>
      <c r="G1061" s="9" t="n">
        <v>245</v>
      </c>
      <c r="H1061" s="10" t="n">
        <v>45670.72371527777</v>
      </c>
      <c r="I1061" s="10" t="n">
        <v>45670.72371527777</v>
      </c>
      <c r="J1061" s="10" t="n">
        <v>45670.7246875</v>
      </c>
      <c r="K1061" s="11" t="n">
        <v>0.0009722222222222222</v>
      </c>
      <c r="L1061" s="13" t="n"/>
    </row>
    <row r="1062">
      <c r="A1062" s="3" t="inlineStr">
        <is>
          <t>DepartureDrive</t>
        </is>
      </c>
      <c r="B1062" s="3" t="inlineStr">
        <is>
          <t>Act_DEPD_OBT130125162753-Wien Kledering_172634_625</t>
        </is>
      </c>
      <c r="C1062" s="3" t="inlineStr">
        <is>
          <t>OBT130125162753-Wien Kledering</t>
        </is>
      </c>
      <c r="D1062" s="9" t="n">
        <v>229.7</v>
      </c>
      <c r="E1062" s="3" t="inlineStr">
        <is>
          <t>625</t>
        </is>
      </c>
      <c r="F1062" s="3" t="inlineStr">
        <is>
          <t>Exit gate</t>
        </is>
      </c>
      <c r="G1062" s="9" t="n">
        <v>240.31</v>
      </c>
      <c r="H1062" s="10" t="n">
        <v>45670.72678240741</v>
      </c>
      <c r="I1062" s="10" t="n">
        <v>45670.72678240741</v>
      </c>
      <c r="J1062" s="10" t="n">
        <v>45670.7278125</v>
      </c>
      <c r="K1062" s="11" t="n">
        <v>0.001030092592592593</v>
      </c>
      <c r="L1062" s="13" t="n"/>
    </row>
    <row r="1063">
      <c r="A1063" s="3" t="inlineStr">
        <is>
          <t>DepartureDrive</t>
        </is>
      </c>
      <c r="B1063" s="3" t="inlineStr">
        <is>
          <t>Act_DEPD_OBT130125155053-Wien Kledering_173804_611</t>
        </is>
      </c>
      <c r="C1063" s="3" t="inlineStr">
        <is>
          <t>OBT130125155053-Wien Kledering</t>
        </is>
      </c>
      <c r="D1063" s="9" t="n">
        <v>393.5</v>
      </c>
      <c r="E1063" s="3" t="inlineStr">
        <is>
          <t>611</t>
        </is>
      </c>
      <c r="F1063" s="3" t="inlineStr">
        <is>
          <t>Exit gate</t>
        </is>
      </c>
      <c r="G1063" s="9" t="n">
        <v>231.94</v>
      </c>
      <c r="H1063" s="10" t="n">
        <v>45670.73476851852</v>
      </c>
      <c r="I1063" s="10" t="n">
        <v>45670.73476851852</v>
      </c>
      <c r="J1063" s="10" t="n">
        <v>45670.73616898148</v>
      </c>
      <c r="K1063" s="11" t="n">
        <v>0.001400462962962963</v>
      </c>
      <c r="L1063" s="13" t="n"/>
    </row>
    <row r="1064">
      <c r="A1064" s="3" t="inlineStr">
        <is>
          <t>DepartureDrive</t>
        </is>
      </c>
      <c r="B1064" s="3" t="inlineStr">
        <is>
          <t>Act_DEPD_OBT130125174233-Wien Kledering_183017_615</t>
        </is>
      </c>
      <c r="C1064" s="3" t="inlineStr">
        <is>
          <t>OBT130125174233-Wien Kledering</t>
        </is>
      </c>
      <c r="D1064" s="9" t="n">
        <v>185.9</v>
      </c>
      <c r="E1064" s="3" t="inlineStr">
        <is>
          <t>615</t>
        </is>
      </c>
      <c r="F1064" s="3" t="inlineStr">
        <is>
          <t>Exit gate</t>
        </is>
      </c>
      <c r="G1064" s="9" t="n">
        <v>223.61</v>
      </c>
      <c r="H1064" s="10" t="n">
        <v>45670.77103009259</v>
      </c>
      <c r="I1064" s="10" t="n">
        <v>45670.77103009259</v>
      </c>
      <c r="J1064" s="10" t="n">
        <v>45670.77193287037</v>
      </c>
      <c r="K1064" s="11" t="n">
        <v>0.0009027777777777777</v>
      </c>
      <c r="L1064" s="13" t="n"/>
    </row>
    <row r="1065">
      <c r="A1065" s="3" t="inlineStr">
        <is>
          <t>DepartureDrive</t>
        </is>
      </c>
      <c r="B1065" s="3" t="inlineStr">
        <is>
          <t>Act_DEPD_OBT130125212354-Wien Kledering_230225_615</t>
        </is>
      </c>
      <c r="C1065" s="3" t="inlineStr">
        <is>
          <t>OBT130125212354-Wien Kledering</t>
        </is>
      </c>
      <c r="D1065" s="9" t="n">
        <v>389.1</v>
      </c>
      <c r="E1065" s="3" t="inlineStr">
        <is>
          <t>615</t>
        </is>
      </c>
      <c r="F1065" s="3" t="inlineStr">
        <is>
          <t>Exit gate</t>
        </is>
      </c>
      <c r="G1065" s="9" t="n">
        <v>223.61</v>
      </c>
      <c r="H1065" s="10" t="n">
        <v>45670.96001157408</v>
      </c>
      <c r="I1065" s="10" t="n">
        <v>45670.96001157408</v>
      </c>
      <c r="J1065" s="10" t="n">
        <v>45670.96137731482</v>
      </c>
      <c r="K1065" s="11" t="n">
        <v>0.001365740740740741</v>
      </c>
      <c r="L1065" s="13" t="n"/>
    </row>
    <row r="1066">
      <c r="A1066" s="3" t="inlineStr">
        <is>
          <t>DepartureDrive</t>
        </is>
      </c>
      <c r="B1066" s="3" t="inlineStr">
        <is>
          <t>Act_DEPD_OBT140125024930-Neunkirchen (loading tracks)_032156_605</t>
        </is>
      </c>
      <c r="C1066" s="3" t="inlineStr">
        <is>
          <t>OBT140125024930-Neunkirchen (loading tracks)</t>
        </is>
      </c>
      <c r="D1066" s="9" t="n">
        <v>124.9</v>
      </c>
      <c r="E1066" s="3" t="inlineStr">
        <is>
          <t>605</t>
        </is>
      </c>
      <c r="F1066" s="3" t="inlineStr">
        <is>
          <t>Exit gate</t>
        </is>
      </c>
      <c r="G1066" s="9" t="n">
        <v>286.14</v>
      </c>
      <c r="H1066" s="10" t="n">
        <v>45671.14023148148</v>
      </c>
      <c r="I1066" s="10" t="n">
        <v>45671.14023148148</v>
      </c>
      <c r="J1066" s="10" t="n">
        <v>45671.14112268519</v>
      </c>
      <c r="K1066" s="11" t="n">
        <v>0.0008912037037037037</v>
      </c>
      <c r="L1066" s="13" t="n"/>
    </row>
    <row r="1067">
      <c r="A1067" s="3" t="inlineStr">
        <is>
          <t>DepartureDrive</t>
        </is>
      </c>
      <c r="B1067" s="3" t="inlineStr">
        <is>
          <t>Act_DEPD_OBT140125070928-Pitten (Hamburger)_075027_613</t>
        </is>
      </c>
      <c r="C1067" s="3" t="inlineStr">
        <is>
          <t>OBT140125070928-Pitten (Hamburger)</t>
        </is>
      </c>
      <c r="D1067" s="9" t="n">
        <v>101.9</v>
      </c>
      <c r="E1067" s="3" t="inlineStr">
        <is>
          <t>613</t>
        </is>
      </c>
      <c r="F1067" s="3" t="inlineStr">
        <is>
          <t>Exit gate</t>
        </is>
      </c>
      <c r="G1067" s="9" t="n">
        <v>205.9</v>
      </c>
      <c r="H1067" s="10" t="n">
        <v>45671.32670138889</v>
      </c>
      <c r="I1067" s="10" t="n">
        <v>45671.32670138889</v>
      </c>
      <c r="J1067" s="10" t="n">
        <v>45671.32736111111</v>
      </c>
      <c r="K1067" s="11" t="n">
        <v>0.0006597222222222222</v>
      </c>
      <c r="L1067" s="13" t="n"/>
    </row>
    <row r="1068">
      <c r="A1068" s="3" t="inlineStr">
        <is>
          <t>DepartureDrive</t>
        </is>
      </c>
      <c r="B1068" s="3" t="inlineStr">
        <is>
          <t>Act_DEPD_OBT140125070727-Neudörfl (FunderMax)_075647_629</t>
        </is>
      </c>
      <c r="C1068" s="3" t="inlineStr">
        <is>
          <t>OBT140125070727-Neudörfl (FunderMax)</t>
        </is>
      </c>
      <c r="D1068" s="9" t="n">
        <v>187.6</v>
      </c>
      <c r="E1068" s="3" t="inlineStr">
        <is>
          <t>629</t>
        </is>
      </c>
      <c r="F1068" s="3" t="inlineStr">
        <is>
          <t>Exit gate</t>
        </is>
      </c>
      <c r="G1068" s="9" t="n">
        <v>182.11</v>
      </c>
      <c r="H1068" s="10" t="n">
        <v>45671.33109953703</v>
      </c>
      <c r="I1068" s="10" t="n">
        <v>45671.33109953703</v>
      </c>
      <c r="J1068" s="10" t="n">
        <v>45671.3319212963</v>
      </c>
      <c r="K1068" s="11" t="n">
        <v>0.0008217592592592593</v>
      </c>
      <c r="L1068" s="13" t="n"/>
    </row>
    <row r="1069">
      <c r="A1069" s="3" t="inlineStr">
        <is>
          <t>DepartureDrive</t>
        </is>
      </c>
      <c r="B1069" s="3" t="inlineStr">
        <is>
          <t>Act_DEPD_OBT140125064740-Wien Kledering_080310_615</t>
        </is>
      </c>
      <c r="C1069" s="3" t="inlineStr">
        <is>
          <t>OBT140125064740-Wien Kledering</t>
        </is>
      </c>
      <c r="D1069" s="9" t="n">
        <v>297</v>
      </c>
      <c r="E1069" s="3" t="inlineStr">
        <is>
          <t>615</t>
        </is>
      </c>
      <c r="F1069" s="3" t="inlineStr">
        <is>
          <t>Exit gate</t>
        </is>
      </c>
      <c r="G1069" s="9" t="n">
        <v>223.61</v>
      </c>
      <c r="H1069" s="10" t="n">
        <v>45671.33553240741</v>
      </c>
      <c r="I1069" s="10" t="n">
        <v>45671.33553240741</v>
      </c>
      <c r="J1069" s="10" t="n">
        <v>45671.33668981482</v>
      </c>
      <c r="K1069" s="11" t="n">
        <v>0.001157407407407407</v>
      </c>
      <c r="L1069" s="13" t="n"/>
    </row>
    <row r="1070">
      <c r="A1070" s="3" t="inlineStr">
        <is>
          <t>DepartureDrive</t>
        </is>
      </c>
      <c r="B1070" s="3" t="inlineStr">
        <is>
          <t>Act_DEPD_OBT140125075443-Wien Kledering_085034_606</t>
        </is>
      </c>
      <c r="C1070" s="3" t="inlineStr">
        <is>
          <t>OBT140125075443-Wien Kledering</t>
        </is>
      </c>
      <c r="D1070" s="9" t="n">
        <v>213.8</v>
      </c>
      <c r="E1070" s="3" t="inlineStr">
        <is>
          <t>606</t>
        </is>
      </c>
      <c r="F1070" s="3" t="inlineStr">
        <is>
          <t>Exit gate</t>
        </is>
      </c>
      <c r="G1070" s="9" t="n">
        <v>245</v>
      </c>
      <c r="H1070" s="10" t="n">
        <v>45671.36844907407</v>
      </c>
      <c r="I1070" s="10" t="n">
        <v>45671.36844907407</v>
      </c>
      <c r="J1070" s="10" t="n">
        <v>45671.36945601852</v>
      </c>
      <c r="K1070" s="11" t="n">
        <v>0.001006944444444444</v>
      </c>
      <c r="L1070" s="13" t="n"/>
    </row>
    <row r="1071">
      <c r="A1071" s="3" t="inlineStr">
        <is>
          <t>DepartureDrive</t>
        </is>
      </c>
      <c r="B1071" s="3" t="inlineStr">
        <is>
          <t>Act_DEPD_OBT140125081951-Wien Kledering_095833_613</t>
        </is>
      </c>
      <c r="C1071" s="3" t="inlineStr">
        <is>
          <t>OBT140125081951-Wien Kledering</t>
        </is>
      </c>
      <c r="D1071" s="9" t="n">
        <v>389.8</v>
      </c>
      <c r="E1071" s="3" t="inlineStr">
        <is>
          <t>613</t>
        </is>
      </c>
      <c r="F1071" s="3" t="inlineStr">
        <is>
          <t>Exit gate</t>
        </is>
      </c>
      <c r="G1071" s="9" t="n">
        <v>205.9</v>
      </c>
      <c r="H1071" s="10" t="n">
        <v>45671.41565972222</v>
      </c>
      <c r="I1071" s="10" t="n">
        <v>45671.41565972222</v>
      </c>
      <c r="J1071" s="10" t="n">
        <v>45671.41699074074</v>
      </c>
      <c r="K1071" s="11" t="n">
        <v>0.001331018518518518</v>
      </c>
      <c r="L1071" s="13" t="n"/>
    </row>
    <row r="1072">
      <c r="A1072" s="3" t="inlineStr">
        <is>
          <t>DepartureDrive</t>
        </is>
      </c>
      <c r="B1072" s="3" t="inlineStr">
        <is>
          <t>Act_DEPD_OBT140125093437-St. Veit an der Glan_100915_629</t>
        </is>
      </c>
      <c r="C1072" s="3" t="inlineStr">
        <is>
          <t>OBT140125093437-St. Veit an der Glan</t>
        </is>
      </c>
      <c r="D1072" s="9" t="n">
        <v>129.1</v>
      </c>
      <c r="E1072" s="3" t="inlineStr">
        <is>
          <t>629</t>
        </is>
      </c>
      <c r="F1072" s="3" t="inlineStr">
        <is>
          <t>Exit gate</t>
        </is>
      </c>
      <c r="G1072" s="9" t="n">
        <v>182.11</v>
      </c>
      <c r="H1072" s="10" t="n">
        <v>45671.42309027778</v>
      </c>
      <c r="I1072" s="10" t="n">
        <v>45671.42309027778</v>
      </c>
      <c r="J1072" s="10" t="n">
        <v>45671.42376157407</v>
      </c>
      <c r="K1072" s="11" t="n">
        <v>0.0006712962962962962</v>
      </c>
      <c r="L1072" s="13" t="n"/>
    </row>
    <row r="1073">
      <c r="A1073" s="3" t="inlineStr">
        <is>
          <t>DepartureDrive</t>
        </is>
      </c>
      <c r="B1073" s="3" t="inlineStr">
        <is>
          <t>Act_DEPD_OBT140125101947-Other sidings north_105831_605</t>
        </is>
      </c>
      <c r="C1073" s="3" t="inlineStr">
        <is>
          <t>OBT140125101947-Other sidings north</t>
        </is>
      </c>
      <c r="D1073" s="9" t="n">
        <v>109.4</v>
      </c>
      <c r="E1073" s="3" t="inlineStr">
        <is>
          <t>605</t>
        </is>
      </c>
      <c r="F1073" s="3" t="inlineStr">
        <is>
          <t>Exit gate</t>
        </is>
      </c>
      <c r="G1073" s="9" t="n">
        <v>286.14</v>
      </c>
      <c r="H1073" s="10" t="n">
        <v>45671.45730324074</v>
      </c>
      <c r="I1073" s="10" t="n">
        <v>45671.45730324074</v>
      </c>
      <c r="J1073" s="10" t="n">
        <v>45671.45814814815</v>
      </c>
      <c r="K1073" s="11" t="n">
        <v>0.0008449074074074074</v>
      </c>
      <c r="L1073" s="13" t="n"/>
    </row>
    <row r="1074">
      <c r="A1074" s="3" t="inlineStr">
        <is>
          <t>DepartureDrive</t>
        </is>
      </c>
      <c r="B1074" s="3" t="inlineStr">
        <is>
          <t>Act_DEPD_OBT140125093209-Obereggendorf (Hofer)_105916_607</t>
        </is>
      </c>
      <c r="C1074" s="3" t="inlineStr">
        <is>
          <t>OBT140125093209-Obereggendorf (Hofer)</t>
        </is>
      </c>
      <c r="D1074" s="9" t="n">
        <v>343.5</v>
      </c>
      <c r="E1074" s="3" t="inlineStr">
        <is>
          <t>607</t>
        </is>
      </c>
      <c r="F1074" s="3" t="inlineStr">
        <is>
          <t>Exit gate</t>
        </is>
      </c>
      <c r="G1074" s="9" t="n">
        <v>286.14</v>
      </c>
      <c r="H1074" s="10" t="n">
        <v>45671.45782407407</v>
      </c>
      <c r="I1074" s="10" t="n">
        <v>45671.45814814815</v>
      </c>
      <c r="J1074" s="10" t="n">
        <v>45671.45953703704</v>
      </c>
      <c r="K1074" s="11" t="n">
        <v>0.001388888888888889</v>
      </c>
      <c r="L1074" s="13" t="n"/>
    </row>
    <row r="1075">
      <c r="A1075" s="3" t="inlineStr">
        <is>
          <t>DepartureDrive</t>
        </is>
      </c>
      <c r="B1075" s="3" t="inlineStr">
        <is>
          <t>Act_DEPD_OBT140125101210-Wr. Neustadt (Hödlmayr)_111539_625</t>
        </is>
      </c>
      <c r="C1075" s="3" t="inlineStr">
        <is>
          <t>OBT140125101210-Wr. Neustadt (Hödlmayr)</t>
        </is>
      </c>
      <c r="D1075" s="9" t="n">
        <v>189</v>
      </c>
      <c r="E1075" s="3" t="inlineStr">
        <is>
          <t>625</t>
        </is>
      </c>
      <c r="F1075" s="3" t="inlineStr">
        <is>
          <t>Exit gate</t>
        </is>
      </c>
      <c r="G1075" s="9" t="n">
        <v>240.31</v>
      </c>
      <c r="H1075" s="10" t="n">
        <v>45671.46920138889</v>
      </c>
      <c r="I1075" s="10" t="n">
        <v>45671.46920138889</v>
      </c>
      <c r="J1075" s="10" t="n">
        <v>45671.47013888889</v>
      </c>
      <c r="K1075" s="11" t="n">
        <v>0.0009375</v>
      </c>
      <c r="L1075" s="13" t="n"/>
    </row>
    <row r="1076">
      <c r="A1076" s="3" t="inlineStr">
        <is>
          <t>DepartureDrive</t>
        </is>
      </c>
      <c r="B1076" s="3" t="inlineStr">
        <is>
          <t>Act_DEPD_OBT140125102839-Wr. Neustadt (Brenntag)_113105_627</t>
        </is>
      </c>
      <c r="C1076" s="3" t="inlineStr">
        <is>
          <t>OBT140125102839-Wr. Neustadt (Brenntag)</t>
        </is>
      </c>
      <c r="D1076" s="9" t="n">
        <v>117.2</v>
      </c>
      <c r="E1076" s="3" t="inlineStr">
        <is>
          <t>627</t>
        </is>
      </c>
      <c r="F1076" s="3" t="inlineStr">
        <is>
          <t>Exit gate</t>
        </is>
      </c>
      <c r="G1076" s="9" t="n">
        <v>188.33</v>
      </c>
      <c r="H1076" s="10" t="n">
        <v>45671.47991898148</v>
      </c>
      <c r="I1076" s="10" t="n">
        <v>45671.47991898148</v>
      </c>
      <c r="J1076" s="10" t="n">
        <v>45671.4805787037</v>
      </c>
      <c r="K1076" s="11" t="n">
        <v>0.0006597222222222222</v>
      </c>
      <c r="L1076" s="13" t="n"/>
    </row>
    <row r="1077">
      <c r="A1077" s="3" t="inlineStr">
        <is>
          <t>DepartureDrive</t>
        </is>
      </c>
      <c r="B1077" s="3" t="inlineStr">
        <is>
          <t>Act_DEPD_OBT140125102734-Pitten (Hamburger)_134358_611</t>
        </is>
      </c>
      <c r="C1077" s="3" t="inlineStr">
        <is>
          <t>OBT140125102734-Pitten (Hamburger)</t>
        </is>
      </c>
      <c r="D1077" s="9" t="n">
        <v>651.8</v>
      </c>
      <c r="E1077" s="3" t="inlineStr">
        <is>
          <t>611</t>
        </is>
      </c>
      <c r="F1077" s="3" t="inlineStr">
        <is>
          <t>Exit gate</t>
        </is>
      </c>
      <c r="G1077" s="9" t="n">
        <v>231.94</v>
      </c>
      <c r="H1077" s="10" t="n">
        <v>45671.57219907407</v>
      </c>
      <c r="I1077" s="10" t="n">
        <v>45671.57219907407</v>
      </c>
      <c r="J1077" s="10" t="n">
        <v>45671.57418981481</v>
      </c>
      <c r="K1077" s="11" t="n">
        <v>0.001990740740740741</v>
      </c>
      <c r="L1077" s="13" t="n"/>
    </row>
    <row r="1078">
      <c r="A1078" s="3" t="inlineStr">
        <is>
          <t>DepartureDrive</t>
        </is>
      </c>
      <c r="B1078" s="3" t="inlineStr">
        <is>
          <t>Act_DEPD_OBT140125130928-Wien Kledering_142507_611</t>
        </is>
      </c>
      <c r="C1078" s="3" t="inlineStr">
        <is>
          <t>OBT140125130928-Wien Kledering</t>
        </is>
      </c>
      <c r="D1078" s="9" t="n">
        <v>297.8</v>
      </c>
      <c r="E1078" s="3" t="inlineStr">
        <is>
          <t>611</t>
        </is>
      </c>
      <c r="F1078" s="3" t="inlineStr">
        <is>
          <t>Exit gate</t>
        </is>
      </c>
      <c r="G1078" s="9" t="n">
        <v>231.94</v>
      </c>
      <c r="H1078" s="10" t="n">
        <v>45671.60077546296</v>
      </c>
      <c r="I1078" s="10" t="n">
        <v>45671.60077546296</v>
      </c>
      <c r="J1078" s="10" t="n">
        <v>45671.60194444445</v>
      </c>
      <c r="K1078" s="11" t="n">
        <v>0.001168981481481482</v>
      </c>
      <c r="L1078" s="13" t="n"/>
    </row>
    <row r="1079">
      <c r="A1079" s="3" t="inlineStr">
        <is>
          <t>DepartureDrive</t>
        </is>
      </c>
      <c r="B1079" s="3" t="inlineStr">
        <is>
          <t>Act_DEPD_OBT140125144027-Wien Kledering_153804_611</t>
        </is>
      </c>
      <c r="C1079" s="3" t="inlineStr">
        <is>
          <t>OBT140125144027-Wien Kledering</t>
        </is>
      </c>
      <c r="D1079" s="9" t="n">
        <v>225.6</v>
      </c>
      <c r="E1079" s="3" t="inlineStr">
        <is>
          <t>611</t>
        </is>
      </c>
      <c r="F1079" s="3" t="inlineStr">
        <is>
          <t>Exit gate</t>
        </is>
      </c>
      <c r="G1079" s="9" t="n">
        <v>231.94</v>
      </c>
      <c r="H1079" s="10" t="n">
        <v>45671.65143518519</v>
      </c>
      <c r="I1079" s="10" t="n">
        <v>45671.65143518519</v>
      </c>
      <c r="J1079" s="10" t="n">
        <v>45671.65244212963</v>
      </c>
      <c r="K1079" s="11" t="n">
        <v>0.001006944444444444</v>
      </c>
      <c r="L1079" s="13" t="n"/>
    </row>
    <row r="1080">
      <c r="A1080" s="3" t="inlineStr">
        <is>
          <t>DepartureDrive</t>
        </is>
      </c>
      <c r="B1080" s="3" t="inlineStr">
        <is>
          <t>Act_DEPD_OBT140125153402-Felixdorf/Sollenau (Bundesheer, Maba)_160139_609</t>
        </is>
      </c>
      <c r="C1080" s="3" t="inlineStr">
        <is>
          <t>OBT140125153402-Felixdorf/Sollenau (Bundesheer, Maba)</t>
        </is>
      </c>
      <c r="D1080" s="9" t="n">
        <v>100.6</v>
      </c>
      <c r="E1080" s="3" t="inlineStr">
        <is>
          <t>609</t>
        </is>
      </c>
      <c r="F1080" s="3" t="inlineStr">
        <is>
          <t>Exit gate</t>
        </is>
      </c>
      <c r="G1080" s="9" t="n">
        <v>259.16</v>
      </c>
      <c r="H1080" s="10" t="n">
        <v>45671.6678125</v>
      </c>
      <c r="I1080" s="10" t="n">
        <v>45671.6678125</v>
      </c>
      <c r="J1080" s="10" t="n">
        <v>45671.66858796297</v>
      </c>
      <c r="K1080" s="11" t="n">
        <v>0.0007754629629629629</v>
      </c>
      <c r="L1080" s="13" t="n"/>
    </row>
    <row r="1081">
      <c r="A1081" s="3" t="inlineStr">
        <is>
          <t>DepartureDrive</t>
        </is>
      </c>
      <c r="B1081" s="3" t="inlineStr">
        <is>
          <t>Act_DEPD_OBT140125153639-Ebenfurth (beet loading)_161553_623</t>
        </is>
      </c>
      <c r="C1081" s="3" t="inlineStr">
        <is>
          <t>OBT140125153639-Ebenfurth (beet loading)</t>
        </is>
      </c>
      <c r="D1081" s="9" t="n">
        <v>141.7</v>
      </c>
      <c r="E1081" s="3" t="inlineStr">
        <is>
          <t>623</t>
        </is>
      </c>
      <c r="F1081" s="3" t="inlineStr">
        <is>
          <t>Exit gate</t>
        </is>
      </c>
      <c r="G1081" s="9" t="n">
        <v>259.31</v>
      </c>
      <c r="H1081" s="10" t="n">
        <v>45671.67769675926</v>
      </c>
      <c r="I1081" s="10" t="n">
        <v>45671.67769675926</v>
      </c>
      <c r="J1081" s="10" t="n">
        <v>45671.67856481481</v>
      </c>
      <c r="K1081" s="11" t="n">
        <v>0.0008680555555555555</v>
      </c>
      <c r="L1081" s="13" t="n"/>
    </row>
    <row r="1082">
      <c r="A1082" s="3" t="inlineStr">
        <is>
          <t>DepartureDrive</t>
        </is>
      </c>
      <c r="B1082" s="3" t="inlineStr">
        <is>
          <t>Act_DEPD_OBT140125153802-Neudörfl (FunderMax)_163711_615</t>
        </is>
      </c>
      <c r="C1082" s="3" t="inlineStr">
        <is>
          <t>OBT140125153802-Neudörfl (FunderMax)</t>
        </is>
      </c>
      <c r="D1082" s="9" t="n">
        <v>132.4</v>
      </c>
      <c r="E1082" s="3" t="inlineStr">
        <is>
          <t>615</t>
        </is>
      </c>
      <c r="F1082" s="3" t="inlineStr">
        <is>
          <t>Exit gate</t>
        </is>
      </c>
      <c r="G1082" s="9" t="n">
        <v>223.61</v>
      </c>
      <c r="H1082" s="10" t="n">
        <v>45671.69248842593</v>
      </c>
      <c r="I1082" s="10" t="n">
        <v>45671.69248842593</v>
      </c>
      <c r="J1082" s="10" t="n">
        <v>45671.69326388889</v>
      </c>
      <c r="K1082" s="11" t="n">
        <v>0.0007754629629629629</v>
      </c>
      <c r="L1082" s="13" t="n"/>
    </row>
    <row r="1083">
      <c r="A1083" s="3" t="inlineStr">
        <is>
          <t>DepartureDrive</t>
        </is>
      </c>
      <c r="B1083" s="3" t="inlineStr">
        <is>
          <t>Act_DEPD_OBT140125154219-Pitten (Hamburger)_164754_613</t>
        </is>
      </c>
      <c r="C1083" s="3" t="inlineStr">
        <is>
          <t>OBT140125154219-Pitten (Hamburger)</t>
        </is>
      </c>
      <c r="D1083" s="9" t="n">
        <v>163.4</v>
      </c>
      <c r="E1083" s="3" t="inlineStr">
        <is>
          <t>613</t>
        </is>
      </c>
      <c r="F1083" s="3" t="inlineStr">
        <is>
          <t>Exit gate</t>
        </is>
      </c>
      <c r="G1083" s="9" t="n">
        <v>205.9</v>
      </c>
      <c r="H1083" s="10" t="n">
        <v>45671.69993055556</v>
      </c>
      <c r="I1083" s="10" t="n">
        <v>45671.69993055556</v>
      </c>
      <c r="J1083" s="10" t="n">
        <v>45671.70074074074</v>
      </c>
      <c r="K1083" s="11" t="n">
        <v>0.0008101851851851852</v>
      </c>
      <c r="L1083" s="13" t="n"/>
    </row>
    <row r="1084">
      <c r="A1084" s="3" t="inlineStr">
        <is>
          <t>DepartureDrive</t>
        </is>
      </c>
      <c r="B1084" s="3" t="inlineStr">
        <is>
          <t>Act_DEPD_OBT140125155553-Gloggnitz_165310_627</t>
        </is>
      </c>
      <c r="C1084" s="3" t="inlineStr">
        <is>
          <t>OBT140125155553-Gloggnitz</t>
        </is>
      </c>
      <c r="D1084" s="9" t="n">
        <v>139.5</v>
      </c>
      <c r="E1084" s="3" t="inlineStr">
        <is>
          <t>627</t>
        </is>
      </c>
      <c r="F1084" s="3" t="inlineStr">
        <is>
          <t>Exit gate</t>
        </is>
      </c>
      <c r="G1084" s="9" t="n">
        <v>188.33</v>
      </c>
      <c r="H1084" s="10" t="n">
        <v>45671.70358796296</v>
      </c>
      <c r="I1084" s="10" t="n">
        <v>45671.70358796296</v>
      </c>
      <c r="J1084" s="10" t="n">
        <v>45671.70430555556</v>
      </c>
      <c r="K1084" s="11" t="n">
        <v>0.0007175925925925926</v>
      </c>
      <c r="L1084" s="13" t="n"/>
    </row>
    <row r="1085">
      <c r="A1085" s="3" t="inlineStr">
        <is>
          <t>DepartureDrive</t>
        </is>
      </c>
      <c r="B1085" s="3" t="inlineStr">
        <is>
          <t>Act_DEPD_OBT140125160010-Wien Kledering_172255_605</t>
        </is>
      </c>
      <c r="C1085" s="3" t="inlineStr">
        <is>
          <t>OBT140125160010-Wien Kledering</t>
        </is>
      </c>
      <c r="D1085" s="9" t="n">
        <v>173.1</v>
      </c>
      <c r="E1085" s="3" t="inlineStr">
        <is>
          <t>605</t>
        </is>
      </c>
      <c r="F1085" s="3" t="inlineStr">
        <is>
          <t>Exit gate</t>
        </is>
      </c>
      <c r="G1085" s="9" t="n">
        <v>286.14</v>
      </c>
      <c r="H1085" s="10" t="n">
        <v>45671.72424768518</v>
      </c>
      <c r="I1085" s="10" t="n">
        <v>45671.72424768518</v>
      </c>
      <c r="J1085" s="10" t="n">
        <v>45671.72524305555</v>
      </c>
      <c r="K1085" s="11" t="n">
        <v>0.0009953703703703704</v>
      </c>
      <c r="L1085" s="13" t="n"/>
    </row>
    <row r="1086">
      <c r="A1086" s="3" t="inlineStr">
        <is>
          <t>DepartureDrive</t>
        </is>
      </c>
      <c r="B1086" s="3" t="inlineStr">
        <is>
          <t>Act_DEPD_OBT140125180846-Wien Kledering_183559_607</t>
        </is>
      </c>
      <c r="C1086" s="3" t="inlineStr">
        <is>
          <t>OBT140125180846-Wien Kledering</t>
        </is>
      </c>
      <c r="D1086" s="9" t="n">
        <v>103.9</v>
      </c>
      <c r="E1086" s="3" t="inlineStr">
        <is>
          <t>607</t>
        </is>
      </c>
      <c r="F1086" s="3" t="inlineStr">
        <is>
          <t>Exit gate</t>
        </is>
      </c>
      <c r="G1086" s="9" t="n">
        <v>286.14</v>
      </c>
      <c r="H1086" s="10" t="n">
        <v>45671.77498842592</v>
      </c>
      <c r="I1086" s="10" t="n">
        <v>45671.77498842592</v>
      </c>
      <c r="J1086" s="10" t="n">
        <v>45671.77582175926</v>
      </c>
      <c r="K1086" s="11" t="n">
        <v>0.0008333333333333334</v>
      </c>
      <c r="L1086" s="13" t="n"/>
    </row>
    <row r="1087">
      <c r="A1087" s="3" t="inlineStr">
        <is>
          <t>DepartureDrive</t>
        </is>
      </c>
      <c r="B1087" s="3" t="inlineStr">
        <is>
          <t>Act_DEPD_OBT140125181221-Wr. Neustadt (Hödlmayr)_184143_615</t>
        </is>
      </c>
      <c r="C1087" s="3" t="inlineStr">
        <is>
          <t>OBT140125181221-Wr. Neustadt (Hödlmayr)</t>
        </is>
      </c>
      <c r="D1087" s="9" t="n">
        <v>108</v>
      </c>
      <c r="E1087" s="3" t="inlineStr">
        <is>
          <t>615</t>
        </is>
      </c>
      <c r="F1087" s="3" t="inlineStr">
        <is>
          <t>Exit gate</t>
        </is>
      </c>
      <c r="G1087" s="9" t="n">
        <v>223.61</v>
      </c>
      <c r="H1087" s="10" t="n">
        <v>45671.77896990741</v>
      </c>
      <c r="I1087" s="10" t="n">
        <v>45671.77896990741</v>
      </c>
      <c r="J1087" s="10" t="n">
        <v>45671.7796875</v>
      </c>
      <c r="K1087" s="11" t="n">
        <v>0.0007175925925925926</v>
      </c>
      <c r="L1087" s="13" t="n"/>
    </row>
    <row r="1088">
      <c r="A1088" s="3" t="inlineStr">
        <is>
          <t>DepartureDrive</t>
        </is>
      </c>
      <c r="B1088" s="3" t="inlineStr">
        <is>
          <t>Act_DEPD_OBT140125181642-Ternitz (Schoeller-Bleckmann)_190424_617</t>
        </is>
      </c>
      <c r="C1088" s="3" t="inlineStr">
        <is>
          <t>OBT140125181642-Ternitz (Schoeller-Bleckmann)</t>
        </is>
      </c>
      <c r="D1088" s="9" t="n">
        <v>103.7</v>
      </c>
      <c r="E1088" s="3" t="inlineStr">
        <is>
          <t>617</t>
        </is>
      </c>
      <c r="F1088" s="3" t="inlineStr">
        <is>
          <t>Exit gate</t>
        </is>
      </c>
      <c r="G1088" s="9" t="n">
        <v>262.93</v>
      </c>
      <c r="H1088" s="10" t="n">
        <v>45671.79472222222</v>
      </c>
      <c r="I1088" s="10" t="n">
        <v>45671.79472222222</v>
      </c>
      <c r="J1088" s="10" t="n">
        <v>45671.79550925926</v>
      </c>
      <c r="K1088" s="11" t="n">
        <v>0.000787037037037037</v>
      </c>
      <c r="L1088" s="13" t="n"/>
    </row>
    <row r="1089">
      <c r="A1089" s="3" t="inlineStr">
        <is>
          <t>DepartureDrive</t>
        </is>
      </c>
      <c r="B1089" s="3" t="inlineStr">
        <is>
          <t>Act_DEPD_OBT140125181252-Steinabrückl/Wöllersdorf_190937_621</t>
        </is>
      </c>
      <c r="C1089" s="3" t="inlineStr">
        <is>
          <t>OBT140125181252-Steinabrückl/Wöllersdorf</t>
        </is>
      </c>
      <c r="D1089" s="9" t="n">
        <v>125.9</v>
      </c>
      <c r="E1089" s="3" t="inlineStr">
        <is>
          <t>621</t>
        </is>
      </c>
      <c r="F1089" s="3" t="inlineStr">
        <is>
          <t>Exit gate</t>
        </is>
      </c>
      <c r="G1089" s="9" t="n">
        <v>259.31</v>
      </c>
      <c r="H1089" s="10" t="n">
        <v>45671.79834490741</v>
      </c>
      <c r="I1089" s="10" t="n">
        <v>45671.79834490741</v>
      </c>
      <c r="J1089" s="10" t="n">
        <v>45671.79916666666</v>
      </c>
      <c r="K1089" s="11" t="n">
        <v>0.0008217592592592593</v>
      </c>
      <c r="L1089" s="13" t="n"/>
    </row>
    <row r="1090">
      <c r="A1090" s="3" t="inlineStr">
        <is>
          <t>DepartureDrive</t>
        </is>
      </c>
      <c r="B1090" s="3" t="inlineStr">
        <is>
          <t>Act_DEPD_OBT140125182854-Neudörfl (FunderMax)_191204_623</t>
        </is>
      </c>
      <c r="C1090" s="3" t="inlineStr">
        <is>
          <t>OBT140125182854-Neudörfl (FunderMax)</t>
        </is>
      </c>
      <c r="D1090" s="9" t="n">
        <v>111.4</v>
      </c>
      <c r="E1090" s="3" t="inlineStr">
        <is>
          <t>623</t>
        </is>
      </c>
      <c r="F1090" s="3" t="inlineStr">
        <is>
          <t>Exit gate</t>
        </is>
      </c>
      <c r="G1090" s="9" t="n">
        <v>259.31</v>
      </c>
      <c r="H1090" s="10" t="n">
        <v>45671.8000462963</v>
      </c>
      <c r="I1090" s="10" t="n">
        <v>45671.8000462963</v>
      </c>
      <c r="J1090" s="10" t="n">
        <v>45671.8008449074</v>
      </c>
      <c r="K1090" s="11" t="n">
        <v>0.0007986111111111112</v>
      </c>
      <c r="L1090" s="13" t="n"/>
    </row>
    <row r="1091">
      <c r="A1091" s="3" t="inlineStr">
        <is>
          <t>DepartureDrive</t>
        </is>
      </c>
      <c r="B1091" s="3" t="inlineStr">
        <is>
          <t>Act_DEPD_OBT140125183542-Pitten (Hamburger)_194004_605</t>
        </is>
      </c>
      <c r="C1091" s="3" t="inlineStr">
        <is>
          <t>OBT140125183542-Pitten (Hamburger)</t>
        </is>
      </c>
      <c r="D1091" s="9" t="n">
        <v>132.7</v>
      </c>
      <c r="E1091" s="3" t="inlineStr">
        <is>
          <t>605</t>
        </is>
      </c>
      <c r="F1091" s="3" t="inlineStr">
        <is>
          <t>Exit gate</t>
        </is>
      </c>
      <c r="G1091" s="9" t="n">
        <v>286.14</v>
      </c>
      <c r="H1091" s="10" t="n">
        <v>45671.81949074074</v>
      </c>
      <c r="I1091" s="10" t="n">
        <v>45671.81949074074</v>
      </c>
      <c r="J1091" s="10" t="n">
        <v>45671.82039351852</v>
      </c>
      <c r="K1091" s="11" t="n">
        <v>0.0009027777777777777</v>
      </c>
      <c r="L1091" s="13" t="n"/>
    </row>
    <row r="1092">
      <c r="A1092" s="3" t="inlineStr">
        <is>
          <t>DepartureDrive</t>
        </is>
      </c>
      <c r="B1092" s="3" t="inlineStr">
        <is>
          <t>Act_DEPD_OBT150125024833-Neunkirchen (loading tracks)_034201_606</t>
        </is>
      </c>
      <c r="C1092" s="3" t="inlineStr">
        <is>
          <t>OBT150125024833-Neunkirchen (loading tracks)</t>
        </is>
      </c>
      <c r="D1092" s="9" t="n">
        <v>208.9</v>
      </c>
      <c r="E1092" s="3" t="inlineStr">
        <is>
          <t>606</t>
        </is>
      </c>
      <c r="F1092" s="3" t="inlineStr">
        <is>
          <t>Exit gate</t>
        </is>
      </c>
      <c r="G1092" s="9" t="n">
        <v>245</v>
      </c>
      <c r="H1092" s="10" t="n">
        <v>45672.15417824074</v>
      </c>
      <c r="I1092" s="10" t="n">
        <v>45672.15417824074</v>
      </c>
      <c r="J1092" s="10" t="n">
        <v>45672.15517361111</v>
      </c>
      <c r="K1092" s="11" t="n">
        <v>0.0009953703703703704</v>
      </c>
      <c r="L1092" s="13" t="n"/>
    </row>
    <row r="1093">
      <c r="A1093" s="3" t="inlineStr">
        <is>
          <t>DepartureDrive</t>
        </is>
      </c>
      <c r="B1093" s="3" t="inlineStr">
        <is>
          <t>Act_DEPD_OBT150125025656-Other sidings south_034229_619</t>
        </is>
      </c>
      <c r="C1093" s="3" t="inlineStr">
        <is>
          <t>OBT150125025656-Other sidings south</t>
        </is>
      </c>
      <c r="D1093" s="9" t="n">
        <v>177.4</v>
      </c>
      <c r="E1093" s="3" t="inlineStr">
        <is>
          <t>619</t>
        </is>
      </c>
      <c r="F1093" s="3" t="inlineStr">
        <is>
          <t>Exit gate</t>
        </is>
      </c>
      <c r="G1093" s="9" t="n">
        <v>262.93</v>
      </c>
      <c r="H1093" s="10" t="n">
        <v>45672.15450231481</v>
      </c>
      <c r="I1093" s="10" t="n">
        <v>45672.15517361111</v>
      </c>
      <c r="J1093" s="10" t="n">
        <v>45672.15613425926</v>
      </c>
      <c r="K1093" s="11" t="n">
        <v>0.0009606481481481482</v>
      </c>
      <c r="L1093" s="13" t="n"/>
    </row>
    <row r="1094">
      <c r="A1094" s="3" t="inlineStr">
        <is>
          <t>DepartureDrive</t>
        </is>
      </c>
      <c r="B1094" s="3" t="inlineStr">
        <is>
          <t>Act_DEPD_OBT150125045827-Neudörfl (FunderMax)_071008_623</t>
        </is>
      </c>
      <c r="C1094" s="3" t="inlineStr">
        <is>
          <t>OBT150125045827-Neudörfl (FunderMax)</t>
        </is>
      </c>
      <c r="D1094" s="9" t="n">
        <v>521.9</v>
      </c>
      <c r="E1094" s="3" t="inlineStr">
        <is>
          <t>623</t>
        </is>
      </c>
      <c r="F1094" s="3" t="inlineStr">
        <is>
          <t>Exit gate</t>
        </is>
      </c>
      <c r="G1094" s="9" t="n">
        <v>259.31</v>
      </c>
      <c r="H1094" s="10" t="n">
        <v>45672.2987037037</v>
      </c>
      <c r="I1094" s="10" t="n">
        <v>45672.2987037037</v>
      </c>
      <c r="J1094" s="10" t="n">
        <v>45672.30045138889</v>
      </c>
      <c r="K1094" s="11" t="n">
        <v>0.001747685185185185</v>
      </c>
      <c r="L1094" s="13" t="n"/>
    </row>
    <row r="1095">
      <c r="A1095" s="3" t="inlineStr">
        <is>
          <t>DepartureDrive</t>
        </is>
      </c>
      <c r="B1095" s="3" t="inlineStr">
        <is>
          <t>Act_DEPD_OBT150125064840-Wien Kledering_080821_615</t>
        </is>
      </c>
      <c r="C1095" s="3" t="inlineStr">
        <is>
          <t>OBT150125064840-Wien Kledering</t>
        </is>
      </c>
      <c r="D1095" s="9" t="n">
        <v>313.7</v>
      </c>
      <c r="E1095" s="3" t="inlineStr">
        <is>
          <t>615</t>
        </is>
      </c>
      <c r="F1095" s="3" t="inlineStr">
        <is>
          <t>Exit gate</t>
        </is>
      </c>
      <c r="G1095" s="9" t="n">
        <v>223.61</v>
      </c>
      <c r="H1095" s="10" t="n">
        <v>45672.33913194444</v>
      </c>
      <c r="I1095" s="10" t="n">
        <v>45672.33913194444</v>
      </c>
      <c r="J1095" s="10" t="n">
        <v>45672.34032407407</v>
      </c>
      <c r="K1095" s="11" t="n">
        <v>0.00119212962962963</v>
      </c>
      <c r="L1095" s="13" t="n"/>
    </row>
    <row r="1096">
      <c r="A1096" s="3" t="inlineStr">
        <is>
          <t>DepartureDrive</t>
        </is>
      </c>
      <c r="B1096" s="3" t="inlineStr">
        <is>
          <t>Act_DEPD_OBT150125074216-Ebenfurth (beet loading)_081104_627</t>
        </is>
      </c>
      <c r="C1096" s="3" t="inlineStr">
        <is>
          <t>OBT150125074216-Ebenfurth (beet loading)</t>
        </is>
      </c>
      <c r="D1096" s="9" t="n">
        <v>110.2</v>
      </c>
      <c r="E1096" s="3" t="inlineStr">
        <is>
          <t>627</t>
        </is>
      </c>
      <c r="F1096" s="3" t="inlineStr">
        <is>
          <t>Exit gate</t>
        </is>
      </c>
      <c r="G1096" s="9" t="n">
        <v>188.33</v>
      </c>
      <c r="H1096" s="10" t="n">
        <v>45672.34101851852</v>
      </c>
      <c r="I1096" s="10" t="n">
        <v>45672.34101851852</v>
      </c>
      <c r="J1096" s="10" t="n">
        <v>45672.34166666667</v>
      </c>
      <c r="K1096" s="11" t="n">
        <v>0.0006481481481481481</v>
      </c>
      <c r="L1096" s="13" t="n"/>
    </row>
    <row r="1097">
      <c r="A1097" s="3" t="inlineStr">
        <is>
          <t>DepartureDrive</t>
        </is>
      </c>
      <c r="B1097" s="3" t="inlineStr">
        <is>
          <t>Act_DEPD_OBT150125080153-Wr. Neustadt (Hödlmayr)_083751_617</t>
        </is>
      </c>
      <c r="C1097" s="3" t="inlineStr">
        <is>
          <t>OBT150125080153-Wr. Neustadt (Hödlmayr)</t>
        </is>
      </c>
      <c r="D1097" s="9" t="n">
        <v>108</v>
      </c>
      <c r="E1097" s="3" t="inlineStr">
        <is>
          <t>617</t>
        </is>
      </c>
      <c r="F1097" s="3" t="inlineStr">
        <is>
          <t>Exit gate</t>
        </is>
      </c>
      <c r="G1097" s="9" t="n">
        <v>262.93</v>
      </c>
      <c r="H1097" s="10" t="n">
        <v>45672.35961805555</v>
      </c>
      <c r="I1097" s="10" t="n">
        <v>45672.35961805555</v>
      </c>
      <c r="J1097" s="10" t="n">
        <v>45672.36041666667</v>
      </c>
      <c r="K1097" s="11" t="n">
        <v>0.0007986111111111112</v>
      </c>
      <c r="L1097" s="13" t="n"/>
    </row>
    <row r="1098">
      <c r="A1098" s="3" t="inlineStr">
        <is>
          <t>DepartureDrive</t>
        </is>
      </c>
      <c r="B1098" s="3" t="inlineStr">
        <is>
          <t>Act_DEPD_OBT150125075736-Other sidings north_084446_625</t>
        </is>
      </c>
      <c r="C1098" s="3" t="inlineStr">
        <is>
          <t>OBT150125075736-Other sidings north</t>
        </is>
      </c>
      <c r="D1098" s="9" t="n">
        <v>145.1</v>
      </c>
      <c r="E1098" s="3" t="inlineStr">
        <is>
          <t>625</t>
        </is>
      </c>
      <c r="F1098" s="3" t="inlineStr">
        <is>
          <t>Exit gate</t>
        </is>
      </c>
      <c r="G1098" s="9" t="n">
        <v>240.31</v>
      </c>
      <c r="H1098" s="10" t="n">
        <v>45672.3644212963</v>
      </c>
      <c r="I1098" s="10" t="n">
        <v>45672.3644212963</v>
      </c>
      <c r="J1098" s="10" t="n">
        <v>45672.36525462963</v>
      </c>
      <c r="K1098" s="11" t="n">
        <v>0.0008333333333333334</v>
      </c>
      <c r="L1098" s="13" t="n"/>
    </row>
    <row r="1099">
      <c r="A1099" s="3" t="inlineStr">
        <is>
          <t>DepartureDrive</t>
        </is>
      </c>
      <c r="B1099" s="3" t="inlineStr">
        <is>
          <t>Act_DEPD_OBT150125080609-Wien Kledering_091749_623</t>
        </is>
      </c>
      <c r="C1099" s="3" t="inlineStr">
        <is>
          <t>OBT150125080609-Wien Kledering</t>
        </is>
      </c>
      <c r="D1099" s="9" t="n">
        <v>257</v>
      </c>
      <c r="E1099" s="3" t="inlineStr">
        <is>
          <t>623</t>
        </is>
      </c>
      <c r="F1099" s="3" t="inlineStr">
        <is>
          <t>Exit gate</t>
        </is>
      </c>
      <c r="G1099" s="9" t="n">
        <v>259.31</v>
      </c>
      <c r="H1099" s="10" t="n">
        <v>45672.38737268518</v>
      </c>
      <c r="I1099" s="10" t="n">
        <v>45672.38737268518</v>
      </c>
      <c r="J1099" s="10" t="n">
        <v>45672.38850694444</v>
      </c>
      <c r="K1099" s="11" t="n">
        <v>0.001134259259259259</v>
      </c>
      <c r="L1099" s="13" t="n"/>
    </row>
    <row r="1100">
      <c r="A1100" s="3" t="inlineStr">
        <is>
          <t>DepartureDrive</t>
        </is>
      </c>
      <c r="B1100" s="3" t="inlineStr">
        <is>
          <t>Act_DEPD_OBT150125092356-Pitten (Hamburger)_095529_619</t>
        </is>
      </c>
      <c r="C1100" s="3" t="inlineStr">
        <is>
          <t>OBT150125092356-Pitten (Hamburger)</t>
        </is>
      </c>
      <c r="D1100" s="9" t="n">
        <v>108.7</v>
      </c>
      <c r="E1100" s="3" t="inlineStr">
        <is>
          <t>619</t>
        </is>
      </c>
      <c r="F1100" s="3" t="inlineStr">
        <is>
          <t>Exit gate</t>
        </is>
      </c>
      <c r="G1100" s="9" t="n">
        <v>262.93</v>
      </c>
      <c r="H1100" s="10" t="n">
        <v>45672.41353009259</v>
      </c>
      <c r="I1100" s="10" t="n">
        <v>45672.41353009259</v>
      </c>
      <c r="J1100" s="10" t="n">
        <v>45672.4143287037</v>
      </c>
      <c r="K1100" s="11" t="n">
        <v>0.0007986111111111112</v>
      </c>
      <c r="L1100" s="13" t="n"/>
    </row>
    <row r="1101">
      <c r="A1101" s="3" t="inlineStr">
        <is>
          <t>DepartureDrive</t>
        </is>
      </c>
      <c r="B1101" s="3" t="inlineStr">
        <is>
          <t>Act_DEPD_OBT150125084204-Wien Kledering_101757_621</t>
        </is>
      </c>
      <c r="C1101" s="3" t="inlineStr">
        <is>
          <t>OBT150125084204-Wien Kledering</t>
        </is>
      </c>
      <c r="D1101" s="9" t="n">
        <v>374.1</v>
      </c>
      <c r="E1101" s="3" t="inlineStr">
        <is>
          <t>621</t>
        </is>
      </c>
      <c r="F1101" s="3" t="inlineStr">
        <is>
          <t>Exit gate</t>
        </is>
      </c>
      <c r="G1101" s="9" t="n">
        <v>259.31</v>
      </c>
      <c r="H1101" s="10" t="n">
        <v>45672.42913194445</v>
      </c>
      <c r="I1101" s="10" t="n">
        <v>45672.42913194445</v>
      </c>
      <c r="J1101" s="10" t="n">
        <v>45672.43053240741</v>
      </c>
      <c r="K1101" s="11" t="n">
        <v>0.001400462962962963</v>
      </c>
      <c r="L1101" s="13" t="n"/>
    </row>
    <row r="1102">
      <c r="A1102" s="3" t="inlineStr">
        <is>
          <t>DepartureDrive</t>
        </is>
      </c>
      <c r="B1102" s="3" t="inlineStr">
        <is>
          <t>Act_DEPD_OBT150125101800-Felixdorf/Sollenau (Bundesheer, Maba)_104909_609</t>
        </is>
      </c>
      <c r="C1102" s="3" t="inlineStr">
        <is>
          <t>OBT150125101800-Felixdorf/Sollenau (Bundesheer, Maba)</t>
        </is>
      </c>
      <c r="D1102" s="9" t="n">
        <v>114.8</v>
      </c>
      <c r="E1102" s="3" t="inlineStr">
        <is>
          <t>609</t>
        </is>
      </c>
      <c r="F1102" s="3" t="inlineStr">
        <is>
          <t>Exit gate</t>
        </is>
      </c>
      <c r="G1102" s="9" t="n">
        <v>259.16</v>
      </c>
      <c r="H1102" s="10" t="n">
        <v>45672.45079861111</v>
      </c>
      <c r="I1102" s="10" t="n">
        <v>45672.45079861111</v>
      </c>
      <c r="J1102" s="10" t="n">
        <v>45672.45159722222</v>
      </c>
      <c r="K1102" s="11" t="n">
        <v>0.0007986111111111112</v>
      </c>
      <c r="L1102" s="13" t="n"/>
    </row>
    <row r="1103">
      <c r="A1103" s="3" t="inlineStr">
        <is>
          <t>DepartureDrive</t>
        </is>
      </c>
      <c r="B1103" s="3" t="inlineStr">
        <is>
          <t>Act_DEPD_OBT150125094220-Wien Kledering_110142_617</t>
        </is>
      </c>
      <c r="C1103" s="3" t="inlineStr">
        <is>
          <t>OBT150125094220-Wien Kledering</t>
        </is>
      </c>
      <c r="D1103" s="9" t="n">
        <v>281.4</v>
      </c>
      <c r="E1103" s="3" t="inlineStr">
        <is>
          <t>617</t>
        </is>
      </c>
      <c r="F1103" s="3" t="inlineStr">
        <is>
          <t>Exit gate</t>
        </is>
      </c>
      <c r="G1103" s="9" t="n">
        <v>262.93</v>
      </c>
      <c r="H1103" s="10" t="n">
        <v>45672.45951388889</v>
      </c>
      <c r="I1103" s="10" t="n">
        <v>45672.45951388889</v>
      </c>
      <c r="J1103" s="10" t="n">
        <v>45672.46071759259</v>
      </c>
      <c r="K1103" s="11" t="n">
        <v>0.001203703703703704</v>
      </c>
      <c r="L1103" s="13" t="n"/>
    </row>
    <row r="1104">
      <c r="A1104" s="3" t="inlineStr">
        <is>
          <t>DepartureDrive</t>
        </is>
      </c>
      <c r="B1104" s="3" t="inlineStr">
        <is>
          <t>Act_DEPD_OBT150125101848-Wien Kledering_112420_623</t>
        </is>
      </c>
      <c r="C1104" s="3" t="inlineStr">
        <is>
          <t>OBT150125101848-Wien Kledering</t>
        </is>
      </c>
      <c r="D1104" s="9" t="n">
        <v>252.6</v>
      </c>
      <c r="E1104" s="3" t="inlineStr">
        <is>
          <t>623</t>
        </is>
      </c>
      <c r="F1104" s="3" t="inlineStr">
        <is>
          <t>Exit gate</t>
        </is>
      </c>
      <c r="G1104" s="9" t="n">
        <v>259.31</v>
      </c>
      <c r="H1104" s="10" t="n">
        <v>45672.47523148148</v>
      </c>
      <c r="I1104" s="10" t="n">
        <v>45672.47523148148</v>
      </c>
      <c r="J1104" s="10" t="n">
        <v>45672.47635416667</v>
      </c>
      <c r="K1104" s="11" t="n">
        <v>0.001122685185185185</v>
      </c>
      <c r="L1104" s="13" t="n"/>
    </row>
    <row r="1105">
      <c r="A1105" s="3" t="inlineStr">
        <is>
          <t>DepartureDrive</t>
        </is>
      </c>
      <c r="B1105" s="3" t="inlineStr">
        <is>
          <t>Act_DEPD_OBT150125131431-Wien Kledering_134559_623</t>
        </is>
      </c>
      <c r="C1105" s="3" t="inlineStr">
        <is>
          <t>OBT150125131431-Wien Kledering</t>
        </is>
      </c>
      <c r="D1105" s="9" t="n">
        <v>120.9</v>
      </c>
      <c r="E1105" s="3" t="inlineStr">
        <is>
          <t>623</t>
        </is>
      </c>
      <c r="F1105" s="3" t="inlineStr">
        <is>
          <t>Exit gate</t>
        </is>
      </c>
      <c r="G1105" s="9" t="n">
        <v>259.31</v>
      </c>
      <c r="H1105" s="10" t="n">
        <v>45672.57359953703</v>
      </c>
      <c r="I1105" s="10" t="n">
        <v>45672.57359953703</v>
      </c>
      <c r="J1105" s="10" t="n">
        <v>45672.5744212963</v>
      </c>
      <c r="K1105" s="11" t="n">
        <v>0.0008217592592592593</v>
      </c>
      <c r="L1105" s="13" t="n"/>
    </row>
    <row r="1106">
      <c r="A1106" s="3" t="inlineStr">
        <is>
          <t>DepartureDrive</t>
        </is>
      </c>
      <c r="B1106" s="3" t="inlineStr">
        <is>
          <t>Act_DEPD_OBT150125155826-Other sidings north_162629_615</t>
        </is>
      </c>
      <c r="C1106" s="3" t="inlineStr">
        <is>
          <t>OBT150125155826-Other sidings north</t>
        </is>
      </c>
      <c r="D1106" s="9" t="n">
        <v>102.8</v>
      </c>
      <c r="E1106" s="3" t="inlineStr">
        <is>
          <t>615</t>
        </is>
      </c>
      <c r="F1106" s="3" t="inlineStr">
        <is>
          <t>Exit gate</t>
        </is>
      </c>
      <c r="G1106" s="9" t="n">
        <v>223.61</v>
      </c>
      <c r="H1106" s="10" t="n">
        <v>45672.68505787037</v>
      </c>
      <c r="I1106" s="10" t="n">
        <v>45672.68505787037</v>
      </c>
      <c r="J1106" s="10" t="n">
        <v>45672.68575231481</v>
      </c>
      <c r="K1106" s="11" t="n">
        <v>0.0006944444444444445</v>
      </c>
      <c r="L1106" s="13" t="n"/>
    </row>
    <row r="1107">
      <c r="A1107" s="3" t="inlineStr">
        <is>
          <t>DepartureDrive</t>
        </is>
      </c>
      <c r="B1107" s="3" t="inlineStr">
        <is>
          <t>Act_DEPD_OBT150125154642-Wr. Neustadt (Hödlmayr)_163512_625</t>
        </is>
      </c>
      <c r="C1107" s="3" t="inlineStr">
        <is>
          <t>OBT150125154642-Wr. Neustadt (Hödlmayr)</t>
        </is>
      </c>
      <c r="D1107" s="9" t="n">
        <v>189</v>
      </c>
      <c r="E1107" s="3" t="inlineStr">
        <is>
          <t>625</t>
        </is>
      </c>
      <c r="F1107" s="3" t="inlineStr">
        <is>
          <t>Exit gate</t>
        </is>
      </c>
      <c r="G1107" s="9" t="n">
        <v>240.31</v>
      </c>
      <c r="H1107" s="10" t="n">
        <v>45672.69111111111</v>
      </c>
      <c r="I1107" s="10" t="n">
        <v>45672.69111111111</v>
      </c>
      <c r="J1107" s="10" t="n">
        <v>45672.69204861111</v>
      </c>
      <c r="K1107" s="11" t="n">
        <v>0.0009375</v>
      </c>
      <c r="L1107" s="13" t="n"/>
    </row>
    <row r="1108">
      <c r="A1108" s="3" t="inlineStr">
        <is>
          <t>DepartureDrive</t>
        </is>
      </c>
      <c r="B1108" s="3" t="inlineStr">
        <is>
          <t>Act_DEPD_OBT150125160509-Wien Kledering_165628_617</t>
        </is>
      </c>
      <c r="C1108" s="3" t="inlineStr">
        <is>
          <t>OBT150125160509-Wien Kledering</t>
        </is>
      </c>
      <c r="D1108" s="9" t="n">
        <v>110.2</v>
      </c>
      <c r="E1108" s="3" t="inlineStr">
        <is>
          <t>617</t>
        </is>
      </c>
      <c r="F1108" s="3" t="inlineStr">
        <is>
          <t>Exit gate</t>
        </is>
      </c>
      <c r="G1108" s="9" t="n">
        <v>262.93</v>
      </c>
      <c r="H1108" s="10" t="n">
        <v>45672.70587962963</v>
      </c>
      <c r="I1108" s="10" t="n">
        <v>45672.70587962963</v>
      </c>
      <c r="J1108" s="10" t="n">
        <v>45672.70667824074</v>
      </c>
      <c r="K1108" s="11" t="n">
        <v>0.0007986111111111112</v>
      </c>
      <c r="L1108" s="13" t="n"/>
    </row>
    <row r="1109">
      <c r="A1109" s="3" t="inlineStr">
        <is>
          <t>DepartureDrive</t>
        </is>
      </c>
      <c r="B1109" s="3" t="inlineStr">
        <is>
          <t>Act_DEPD_OBT150125160356-Neudörfl (FunderMax)_170338_606</t>
        </is>
      </c>
      <c r="C1109" s="3" t="inlineStr">
        <is>
          <t>OBT150125160356-Neudörfl (FunderMax)</t>
        </is>
      </c>
      <c r="D1109" s="9" t="n">
        <v>223.9</v>
      </c>
      <c r="E1109" s="3" t="inlineStr">
        <is>
          <t>606</t>
        </is>
      </c>
      <c r="F1109" s="3" t="inlineStr">
        <is>
          <t>Exit gate</t>
        </is>
      </c>
      <c r="G1109" s="9" t="n">
        <v>245</v>
      </c>
      <c r="H1109" s="10" t="n">
        <v>45672.71085648148</v>
      </c>
      <c r="I1109" s="10" t="n">
        <v>45672.71085648148</v>
      </c>
      <c r="J1109" s="10" t="n">
        <v>45672.71188657408</v>
      </c>
      <c r="K1109" s="11" t="n">
        <v>0.001030092592592593</v>
      </c>
      <c r="L1109" s="13" t="n"/>
    </row>
    <row r="1110">
      <c r="A1110" s="3" t="inlineStr">
        <is>
          <t>DepartureDrive</t>
        </is>
      </c>
      <c r="B1110" s="3" t="inlineStr">
        <is>
          <t>Act_DEPD_OBT150125181910-Pitten (Hamburger)_184937_619</t>
        </is>
      </c>
      <c r="C1110" s="3" t="inlineStr">
        <is>
          <t>OBT150125181910-Pitten (Hamburger)</t>
        </is>
      </c>
      <c r="D1110" s="9" t="n">
        <v>116.9</v>
      </c>
      <c r="E1110" s="3" t="inlineStr">
        <is>
          <t>619</t>
        </is>
      </c>
      <c r="F1110" s="3" t="inlineStr">
        <is>
          <t>Exit gate</t>
        </is>
      </c>
      <c r="G1110" s="9" t="n">
        <v>262.93</v>
      </c>
      <c r="H1110" s="10" t="n">
        <v>45672.78445601852</v>
      </c>
      <c r="I1110" s="10" t="n">
        <v>45672.78445601852</v>
      </c>
      <c r="J1110" s="10" t="n">
        <v>45672.78527777778</v>
      </c>
      <c r="K1110" s="11" t="n">
        <v>0.0008217592592592593</v>
      </c>
      <c r="L1110" s="13" t="n"/>
    </row>
    <row r="1111">
      <c r="A1111" s="3" t="inlineStr">
        <is>
          <t>DepartureDrive</t>
        </is>
      </c>
      <c r="B1111" s="3" t="inlineStr">
        <is>
          <t>Act_DEPD_OBT150125173247-Wien Kledering_185523_615</t>
        </is>
      </c>
      <c r="C1111" s="3" t="inlineStr">
        <is>
          <t>OBT150125173247-Wien Kledering</t>
        </is>
      </c>
      <c r="D1111" s="9" t="n">
        <v>325.4</v>
      </c>
      <c r="E1111" s="3" t="inlineStr">
        <is>
          <t>615</t>
        </is>
      </c>
      <c r="F1111" s="3" t="inlineStr">
        <is>
          <t>Exit gate</t>
        </is>
      </c>
      <c r="G1111" s="9" t="n">
        <v>223.61</v>
      </c>
      <c r="H1111" s="10" t="n">
        <v>45672.78846064815</v>
      </c>
      <c r="I1111" s="10" t="n">
        <v>45672.78846064815</v>
      </c>
      <c r="J1111" s="10" t="n">
        <v>45672.78967592592</v>
      </c>
      <c r="K1111" s="11" t="n">
        <v>0.001215277777777778</v>
      </c>
      <c r="L1111" s="13" t="n"/>
    </row>
    <row r="1112">
      <c r="A1112" s="3" t="inlineStr">
        <is>
          <t>DepartureDrive</t>
        </is>
      </c>
      <c r="B1112" s="3" t="inlineStr">
        <is>
          <t>Act_DEPD_OBT150125182201-Neunkirchen (loading tracks)_191027_607</t>
        </is>
      </c>
      <c r="C1112" s="3" t="inlineStr">
        <is>
          <t>OBT150125182201-Neunkirchen (loading tracks)</t>
        </is>
      </c>
      <c r="D1112" s="9" t="n">
        <v>118.5</v>
      </c>
      <c r="E1112" s="3" t="inlineStr">
        <is>
          <t>607</t>
        </is>
      </c>
      <c r="F1112" s="3" t="inlineStr">
        <is>
          <t>Exit gate</t>
        </is>
      </c>
      <c r="G1112" s="9" t="n">
        <v>286.14</v>
      </c>
      <c r="H1112" s="10" t="n">
        <v>45672.79892361111</v>
      </c>
      <c r="I1112" s="10" t="n">
        <v>45672.79892361111</v>
      </c>
      <c r="J1112" s="10" t="n">
        <v>45672.79980324074</v>
      </c>
      <c r="K1112" s="11" t="n">
        <v>0.0008796296296296296</v>
      </c>
      <c r="L1112" s="13" t="n"/>
    </row>
    <row r="1113">
      <c r="A1113" s="3" t="inlineStr">
        <is>
          <t>DepartureDrive</t>
        </is>
      </c>
      <c r="B1113" s="3" t="inlineStr">
        <is>
          <t>Act_DEPD_OBT150125183815-Ebenfurth (beet loading)_192332_627</t>
        </is>
      </c>
      <c r="C1113" s="3" t="inlineStr">
        <is>
          <t>OBT150125183815-Ebenfurth (beet loading)</t>
        </is>
      </c>
      <c r="D1113" s="9" t="n">
        <v>125.9</v>
      </c>
      <c r="E1113" s="3" t="inlineStr">
        <is>
          <t>627</t>
        </is>
      </c>
      <c r="F1113" s="3" t="inlineStr">
        <is>
          <t>Exit gate</t>
        </is>
      </c>
      <c r="G1113" s="9" t="n">
        <v>188.33</v>
      </c>
      <c r="H1113" s="10" t="n">
        <v>45672.80800925926</v>
      </c>
      <c r="I1113" s="10" t="n">
        <v>45672.80800925926</v>
      </c>
      <c r="J1113" s="10" t="n">
        <v>45672.80869212963</v>
      </c>
      <c r="K1113" s="11" t="n">
        <v>0.0006828703703703704</v>
      </c>
      <c r="L1113" s="13" t="n"/>
    </row>
    <row r="1114">
      <c r="A1114" s="3" t="inlineStr">
        <is>
          <t>DepartureDrive</t>
        </is>
      </c>
      <c r="B1114" s="3" t="inlineStr">
        <is>
          <t>Act_DEPD_OBT160125025835-Neunkirchen (loading tracks)_033555_615</t>
        </is>
      </c>
      <c r="C1114" s="3" t="inlineStr">
        <is>
          <t>OBT160125025835-Neunkirchen (loading tracks)</t>
        </is>
      </c>
      <c r="D1114" s="9" t="n">
        <v>144.8</v>
      </c>
      <c r="E1114" s="3" t="inlineStr">
        <is>
          <t>615</t>
        </is>
      </c>
      <c r="F1114" s="3" t="inlineStr">
        <is>
          <t>Exit gate</t>
        </is>
      </c>
      <c r="G1114" s="9" t="n">
        <v>223.61</v>
      </c>
      <c r="H1114" s="10" t="n">
        <v>45673.14994212963</v>
      </c>
      <c r="I1114" s="10" t="n">
        <v>45673.14994212963</v>
      </c>
      <c r="J1114" s="10" t="n">
        <v>45673.15074074074</v>
      </c>
      <c r="K1114" s="11" t="n">
        <v>0.0007986111111111112</v>
      </c>
      <c r="L1114" s="13" t="n"/>
    </row>
    <row r="1115">
      <c r="A1115" s="3" t="inlineStr">
        <is>
          <t>DepartureDrive</t>
        </is>
      </c>
      <c r="B1115" s="3" t="inlineStr">
        <is>
          <t>Act_DEPD_OBT160125063851-Wien Kledering_075421_615</t>
        </is>
      </c>
      <c r="C1115" s="3" t="inlineStr">
        <is>
          <t>OBT160125063851-Wien Kledering</t>
        </is>
      </c>
      <c r="D1115" s="9" t="n">
        <v>297</v>
      </c>
      <c r="E1115" s="3" t="inlineStr">
        <is>
          <t>615</t>
        </is>
      </c>
      <c r="F1115" s="3" t="inlineStr">
        <is>
          <t>Exit gate</t>
        </is>
      </c>
      <c r="G1115" s="9" t="n">
        <v>223.61</v>
      </c>
      <c r="H1115" s="10" t="n">
        <v>45673.32940972222</v>
      </c>
      <c r="I1115" s="10" t="n">
        <v>45673.32940972222</v>
      </c>
      <c r="J1115" s="10" t="n">
        <v>45673.33056712963</v>
      </c>
      <c r="K1115" s="11" t="n">
        <v>0.001157407407407407</v>
      </c>
      <c r="L1115" s="13" t="n"/>
    </row>
    <row r="1116">
      <c r="A1116" s="3" t="inlineStr">
        <is>
          <t>DepartureDrive</t>
        </is>
      </c>
      <c r="B1116" s="3" t="inlineStr">
        <is>
          <t>Act_DEPD_OBT160125072923-Wien Kledering_080205_619</t>
        </is>
      </c>
      <c r="C1116" s="3" t="inlineStr">
        <is>
          <t>OBT160125072923-Wien Kledering</t>
        </is>
      </c>
      <c r="D1116" s="9" t="n">
        <v>126</v>
      </c>
      <c r="E1116" s="3" t="inlineStr">
        <is>
          <t>619</t>
        </is>
      </c>
      <c r="F1116" s="3" t="inlineStr">
        <is>
          <t>Exit gate</t>
        </is>
      </c>
      <c r="G1116" s="9" t="n">
        <v>262.93</v>
      </c>
      <c r="H1116" s="10" t="n">
        <v>45673.33478009259</v>
      </c>
      <c r="I1116" s="10" t="n">
        <v>45673.33478009259</v>
      </c>
      <c r="J1116" s="10" t="n">
        <v>45673.335625</v>
      </c>
      <c r="K1116" s="11" t="n">
        <v>0.0008449074074074074</v>
      </c>
      <c r="L1116" s="13" t="n"/>
    </row>
    <row r="1117">
      <c r="A1117" s="3" t="inlineStr">
        <is>
          <t>DepartureDrive</t>
        </is>
      </c>
      <c r="B1117" s="3" t="inlineStr">
        <is>
          <t>Act_DEPD_OBT160125075109-Pitten (Hamburger)_083416_621</t>
        </is>
      </c>
      <c r="C1117" s="3" t="inlineStr">
        <is>
          <t>OBT160125075109-Pitten (Hamburger)</t>
        </is>
      </c>
      <c r="D1117" s="9" t="n">
        <v>124.4</v>
      </c>
      <c r="E1117" s="3" t="inlineStr">
        <is>
          <t>621</t>
        </is>
      </c>
      <c r="F1117" s="3" t="inlineStr">
        <is>
          <t>Exit gate</t>
        </is>
      </c>
      <c r="G1117" s="9" t="n">
        <v>259.31</v>
      </c>
      <c r="H1117" s="10" t="n">
        <v>45673.35712962963</v>
      </c>
      <c r="I1117" s="10" t="n">
        <v>45673.35712962963</v>
      </c>
      <c r="J1117" s="10" t="n">
        <v>45673.35795138889</v>
      </c>
      <c r="K1117" s="11" t="n">
        <v>0.0008217592592592593</v>
      </c>
      <c r="L1117" s="13" t="n"/>
    </row>
    <row r="1118">
      <c r="A1118" s="3" t="inlineStr">
        <is>
          <t>DepartureDrive</t>
        </is>
      </c>
      <c r="B1118" s="3" t="inlineStr">
        <is>
          <t>Act_DEPD_OBT160125081022-Ternitz (Schoeller-Bleckmann)_083832_605</t>
        </is>
      </c>
      <c r="C1118" s="3" t="inlineStr">
        <is>
          <t>OBT160125081022-Ternitz (Schoeller-Bleckmann)</t>
        </is>
      </c>
      <c r="D1118" s="9" t="n">
        <v>107.9</v>
      </c>
      <c r="E1118" s="3" t="inlineStr">
        <is>
          <t>605</t>
        </is>
      </c>
      <c r="F1118" s="3" t="inlineStr">
        <is>
          <t>Exit gate</t>
        </is>
      </c>
      <c r="G1118" s="9" t="n">
        <v>286.14</v>
      </c>
      <c r="H1118" s="10" t="n">
        <v>45673.36009259259</v>
      </c>
      <c r="I1118" s="10" t="n">
        <v>45673.36009259259</v>
      </c>
      <c r="J1118" s="10" t="n">
        <v>45673.3609375</v>
      </c>
      <c r="K1118" s="11" t="n">
        <v>0.0008449074074074074</v>
      </c>
      <c r="L1118" s="13" t="n"/>
    </row>
    <row r="1119">
      <c r="A1119" s="3" t="inlineStr">
        <is>
          <t>DepartureDrive</t>
        </is>
      </c>
      <c r="B1119" s="3" t="inlineStr">
        <is>
          <t>Act_DEPD_OBT160125081516-Wien Kledering_095655_615</t>
        </is>
      </c>
      <c r="C1119" s="3" t="inlineStr">
        <is>
          <t>OBT160125081516-Wien Kledering</t>
        </is>
      </c>
      <c r="D1119" s="9" t="n">
        <v>396.6</v>
      </c>
      <c r="E1119" s="3" t="inlineStr">
        <is>
          <t>615</t>
        </is>
      </c>
      <c r="F1119" s="3" t="inlineStr">
        <is>
          <t>Exit gate</t>
        </is>
      </c>
      <c r="G1119" s="9" t="n">
        <v>223.61</v>
      </c>
      <c r="H1119" s="10" t="n">
        <v>45673.41452546296</v>
      </c>
      <c r="I1119" s="10" t="n">
        <v>45673.41452546296</v>
      </c>
      <c r="J1119" s="10" t="n">
        <v>45673.41590277778</v>
      </c>
      <c r="K1119" s="11" t="n">
        <v>0.001377314814814815</v>
      </c>
      <c r="L1119" s="13" t="n"/>
    </row>
    <row r="1120">
      <c r="A1120" s="3" t="inlineStr">
        <is>
          <t>DepartureDrive</t>
        </is>
      </c>
      <c r="B1120" s="3" t="inlineStr">
        <is>
          <t>Act_DEPD_OBT160125092526-Wien Kledering_101257_619</t>
        </is>
      </c>
      <c r="C1120" s="3" t="inlineStr">
        <is>
          <t>OBT160125092526-Wien Kledering</t>
        </is>
      </c>
      <c r="D1120" s="9" t="n">
        <v>180.8</v>
      </c>
      <c r="E1120" s="3" t="inlineStr">
        <is>
          <t>619</t>
        </is>
      </c>
      <c r="F1120" s="3" t="inlineStr">
        <is>
          <t>Exit gate</t>
        </is>
      </c>
      <c r="G1120" s="9" t="n">
        <v>262.93</v>
      </c>
      <c r="H1120" s="10" t="n">
        <v>45673.42565972222</v>
      </c>
      <c r="I1120" s="10" t="n">
        <v>45673.42565972222</v>
      </c>
      <c r="J1120" s="10" t="n">
        <v>45673.42662037037</v>
      </c>
      <c r="K1120" s="11" t="n">
        <v>0.0009606481481481482</v>
      </c>
      <c r="L1120" s="13" t="n"/>
    </row>
    <row r="1121">
      <c r="A1121" s="3" t="inlineStr">
        <is>
          <t>DepartureDrive</t>
        </is>
      </c>
      <c r="B1121" s="3" t="inlineStr">
        <is>
          <t>Act_DEPD_OBT160125092224-St. Veit an der Glan_101546_605</t>
        </is>
      </c>
      <c r="C1121" s="3" t="inlineStr">
        <is>
          <t>OBT160125092224-St. Veit an der Glan</t>
        </is>
      </c>
      <c r="D1121" s="9" t="n">
        <v>208.6</v>
      </c>
      <c r="E1121" s="3" t="inlineStr">
        <is>
          <t>605</t>
        </is>
      </c>
      <c r="F1121" s="3" t="inlineStr">
        <is>
          <t>Exit gate</t>
        </is>
      </c>
      <c r="G1121" s="9" t="n">
        <v>286.14</v>
      </c>
      <c r="H1121" s="10" t="n">
        <v>45673.42761574074</v>
      </c>
      <c r="I1121" s="10" t="n">
        <v>45673.42761574074</v>
      </c>
      <c r="J1121" s="10" t="n">
        <v>45673.42869212963</v>
      </c>
      <c r="K1121" s="11" t="n">
        <v>0.001076388888888889</v>
      </c>
      <c r="L1121" s="13" t="n"/>
    </row>
    <row r="1122">
      <c r="A1122" s="3" t="inlineStr">
        <is>
          <t>DepartureDrive</t>
        </is>
      </c>
      <c r="B1122" s="3" t="inlineStr">
        <is>
          <t>Act_DEPD_OBT160125101737-Wr. Neustadt (Hödlmayr)_104707_625</t>
        </is>
      </c>
      <c r="C1122" s="3" t="inlineStr">
        <is>
          <t>OBT160125101737-Wr. Neustadt (Hödlmayr)</t>
        </is>
      </c>
      <c r="D1122" s="9" t="n">
        <v>108</v>
      </c>
      <c r="E1122" s="3" t="inlineStr">
        <is>
          <t>625</t>
        </is>
      </c>
      <c r="F1122" s="3" t="inlineStr">
        <is>
          <t>Exit gate</t>
        </is>
      </c>
      <c r="G1122" s="9" t="n">
        <v>240.31</v>
      </c>
      <c r="H1122" s="10" t="n">
        <v>45673.44938657407</v>
      </c>
      <c r="I1122" s="10" t="n">
        <v>45673.44938657407</v>
      </c>
      <c r="J1122" s="10" t="n">
        <v>45673.45012731481</v>
      </c>
      <c r="K1122" s="11" t="n">
        <v>0.0007407407407407407</v>
      </c>
      <c r="L1122" s="13" t="n"/>
    </row>
    <row r="1123">
      <c r="A1123" s="3" t="inlineStr">
        <is>
          <t>DepartureDrive</t>
        </is>
      </c>
      <c r="B1123" s="3" t="inlineStr">
        <is>
          <t>Act_DEPD_OBT160125101737-Neudörfl (FunderMax)_112231_617</t>
        </is>
      </c>
      <c r="C1123" s="3" t="inlineStr">
        <is>
          <t>OBT160125101737-Neudörfl (FunderMax)</t>
        </is>
      </c>
      <c r="D1123" s="9" t="n">
        <v>100.5</v>
      </c>
      <c r="E1123" s="3" t="inlineStr">
        <is>
          <t>617</t>
        </is>
      </c>
      <c r="F1123" s="3" t="inlineStr">
        <is>
          <t>Exit gate</t>
        </is>
      </c>
      <c r="G1123" s="9" t="n">
        <v>262.93</v>
      </c>
      <c r="H1123" s="10" t="n">
        <v>45673.47396990741</v>
      </c>
      <c r="I1123" s="10" t="n">
        <v>45673.47396990741</v>
      </c>
      <c r="J1123" s="10" t="n">
        <v>45673.47474537037</v>
      </c>
      <c r="K1123" s="11" t="n">
        <v>0.0007754629629629629</v>
      </c>
      <c r="L1123" s="13" t="n"/>
    </row>
    <row r="1124">
      <c r="A1124" s="3" t="inlineStr">
        <is>
          <t>DepartureDrive</t>
        </is>
      </c>
      <c r="B1124" s="3" t="inlineStr">
        <is>
          <t>Act_DEPD_OBT160125102340-Wr. Neustadt Ausfahrbf (Furtenbach)_142131_613</t>
        </is>
      </c>
      <c r="C1124" s="3" t="inlineStr">
        <is>
          <t>OBT160125102340-Wr. Neustadt Ausfahrbf (Furtenbach)</t>
        </is>
      </c>
      <c r="D1124" s="9" t="n">
        <v>317.6</v>
      </c>
      <c r="E1124" s="3" t="inlineStr">
        <is>
          <t>613</t>
        </is>
      </c>
      <c r="F1124" s="3" t="inlineStr">
        <is>
          <t>Exit gate</t>
        </is>
      </c>
      <c r="G1124" s="9" t="n">
        <v>205.9</v>
      </c>
      <c r="H1124" s="10" t="n">
        <v>45673.59827546297</v>
      </c>
      <c r="I1124" s="10" t="n">
        <v>45673.59827546297</v>
      </c>
      <c r="J1124" s="10" t="n">
        <v>45673.59943287037</v>
      </c>
      <c r="K1124" s="11" t="n">
        <v>0.001157407407407407</v>
      </c>
      <c r="L1124" s="13" t="n"/>
    </row>
    <row r="1125">
      <c r="A1125" s="3" t="inlineStr">
        <is>
          <t>DepartureDrive</t>
        </is>
      </c>
      <c r="B1125" s="3" t="inlineStr">
        <is>
          <t>Act_DEPD_OBT160125130303-Wien Kledering_160916_625</t>
        </is>
      </c>
      <c r="C1125" s="3" t="inlineStr">
        <is>
          <t>OBT160125130303-Wien Kledering</t>
        </is>
      </c>
      <c r="D1125" s="9" t="n">
        <v>173</v>
      </c>
      <c r="E1125" s="3" t="inlineStr">
        <is>
          <t>625</t>
        </is>
      </c>
      <c r="F1125" s="3" t="inlineStr">
        <is>
          <t>Exit gate</t>
        </is>
      </c>
      <c r="G1125" s="9" t="n">
        <v>240.31</v>
      </c>
      <c r="H1125" s="10" t="n">
        <v>45673.67310185185</v>
      </c>
      <c r="I1125" s="10" t="n">
        <v>45673.67310185185</v>
      </c>
      <c r="J1125" s="10" t="n">
        <v>45673.67400462963</v>
      </c>
      <c r="K1125" s="11" t="n">
        <v>0.0009027777777777777</v>
      </c>
      <c r="L1125" s="13" t="n"/>
    </row>
    <row r="1126">
      <c r="A1126" s="3" t="inlineStr">
        <is>
          <t>DepartureDrive</t>
        </is>
      </c>
      <c r="B1126" s="3" t="inlineStr">
        <is>
          <t>Act_DEPD_OBT160125105820-Wien Kledering_161137_605</t>
        </is>
      </c>
      <c r="C1126" s="3" t="inlineStr">
        <is>
          <t>OBT160125105820-Wien Kledering</t>
        </is>
      </c>
      <c r="D1126" s="9" t="n">
        <v>338.3</v>
      </c>
      <c r="E1126" s="3" t="inlineStr">
        <is>
          <t>605</t>
        </is>
      </c>
      <c r="F1126" s="3" t="inlineStr">
        <is>
          <t>Exit gate</t>
        </is>
      </c>
      <c r="G1126" s="9" t="n">
        <v>286.14</v>
      </c>
      <c r="H1126" s="10" t="n">
        <v>45673.6747337963</v>
      </c>
      <c r="I1126" s="10" t="n">
        <v>45673.6747337963</v>
      </c>
      <c r="J1126" s="10" t="n">
        <v>45673.67611111111</v>
      </c>
      <c r="K1126" s="11" t="n">
        <v>0.001377314814814815</v>
      </c>
      <c r="L1126" s="13" t="n"/>
    </row>
    <row r="1127">
      <c r="A1127" s="3" t="inlineStr">
        <is>
          <t>DepartureDrive</t>
        </is>
      </c>
      <c r="B1127" s="3" t="inlineStr">
        <is>
          <t>Act_DEPD_OBT160125144759-Wien Kledering_164201_613</t>
        </is>
      </c>
      <c r="C1127" s="3" t="inlineStr">
        <is>
          <t>OBT160125144759-Wien Kledering</t>
        </is>
      </c>
      <c r="D1127" s="9" t="n">
        <v>233.9</v>
      </c>
      <c r="E1127" s="3" t="inlineStr">
        <is>
          <t>613</t>
        </is>
      </c>
      <c r="F1127" s="3" t="inlineStr">
        <is>
          <t>Exit gate</t>
        </is>
      </c>
      <c r="G1127" s="9" t="n">
        <v>205.9</v>
      </c>
      <c r="H1127" s="10" t="n">
        <v>45673.69584490741</v>
      </c>
      <c r="I1127" s="10" t="n">
        <v>45673.69584490741</v>
      </c>
      <c r="J1127" s="10" t="n">
        <v>45673.69680555556</v>
      </c>
      <c r="K1127" s="11" t="n">
        <v>0.0009606481481481482</v>
      </c>
      <c r="L1127" s="13" t="n"/>
    </row>
    <row r="1128">
      <c r="A1128" s="3" t="inlineStr">
        <is>
          <t>DepartureDrive</t>
        </is>
      </c>
      <c r="B1128" s="3" t="inlineStr">
        <is>
          <t>Act_DEPD_OBT160125151346-Pitten (Hamburger)_170629_613</t>
        </is>
      </c>
      <c r="C1128" s="3" t="inlineStr">
        <is>
          <t>OBT160125151346-Pitten (Hamburger)</t>
        </is>
      </c>
      <c r="D1128" s="9" t="n">
        <v>171.7</v>
      </c>
      <c r="E1128" s="3" t="inlineStr">
        <is>
          <t>613</t>
        </is>
      </c>
      <c r="F1128" s="3" t="inlineStr">
        <is>
          <t>Exit gate</t>
        </is>
      </c>
      <c r="G1128" s="9" t="n">
        <v>205.9</v>
      </c>
      <c r="H1128" s="10" t="n">
        <v>45673.71283564815</v>
      </c>
      <c r="I1128" s="10" t="n">
        <v>45673.71283564815</v>
      </c>
      <c r="J1128" s="10" t="n">
        <v>45673.71365740741</v>
      </c>
      <c r="K1128" s="11" t="n">
        <v>0.0008217592592592593</v>
      </c>
      <c r="L1128" s="13" t="n"/>
    </row>
    <row r="1129">
      <c r="A1129" s="3" t="inlineStr">
        <is>
          <t>DepartureDrive</t>
        </is>
      </c>
      <c r="B1129" s="3" t="inlineStr">
        <is>
          <t>Act_DEPD_OBT160125162643-Wien Kledering_183246_621</t>
        </is>
      </c>
      <c r="C1129" s="3" t="inlineStr">
        <is>
          <t>OBT160125162643-Wien Kledering</t>
        </is>
      </c>
      <c r="D1129" s="9" t="n">
        <v>120.4</v>
      </c>
      <c r="E1129" s="3" t="inlineStr">
        <is>
          <t>621</t>
        </is>
      </c>
      <c r="F1129" s="3" t="inlineStr">
        <is>
          <t>Exit gate</t>
        </is>
      </c>
      <c r="G1129" s="9" t="n">
        <v>259.31</v>
      </c>
      <c r="H1129" s="10" t="n">
        <v>45673.77275462963</v>
      </c>
      <c r="I1129" s="10" t="n">
        <v>45673.77275462963</v>
      </c>
      <c r="J1129" s="10" t="n">
        <v>45673.77357638889</v>
      </c>
      <c r="K1129" s="11" t="n">
        <v>0.0008217592592592593</v>
      </c>
      <c r="L1129" s="13" t="n"/>
    </row>
    <row r="1130">
      <c r="A1130" s="3" t="inlineStr">
        <is>
          <t>DepartureDrive</t>
        </is>
      </c>
      <c r="B1130" s="3" t="inlineStr">
        <is>
          <t>Act_DEPD_OBT160125175803-Neunkirchen (loading tracks)_211218_629</t>
        </is>
      </c>
      <c r="C1130" s="3" t="inlineStr">
        <is>
          <t>OBT160125175803-Neunkirchen (loading tracks)</t>
        </is>
      </c>
      <c r="D1130" s="9" t="n">
        <v>126</v>
      </c>
      <c r="E1130" s="3" t="inlineStr">
        <is>
          <t>629</t>
        </is>
      </c>
      <c r="F1130" s="3" t="inlineStr">
        <is>
          <t>Exit gate</t>
        </is>
      </c>
      <c r="G1130" s="9" t="n">
        <v>182.11</v>
      </c>
      <c r="H1130" s="10" t="n">
        <v>45673.88354166667</v>
      </c>
      <c r="I1130" s="10" t="n">
        <v>45673.88354166667</v>
      </c>
      <c r="J1130" s="10" t="n">
        <v>45673.88421296296</v>
      </c>
      <c r="K1130" s="11" t="n">
        <v>0.0006712962962962962</v>
      </c>
      <c r="L1130" s="13" t="n"/>
    </row>
    <row r="1131">
      <c r="A1131" s="3" t="inlineStr">
        <is>
          <t>DepartureDrive</t>
        </is>
      </c>
      <c r="B1131" s="3" t="inlineStr">
        <is>
          <t>Act_DEPD_OBT160125175833-Pitten (Hamburger)_044551_613</t>
        </is>
      </c>
      <c r="C1131" s="3" t="inlineStr">
        <is>
          <t>OBT160125175833-Pitten (Hamburger)</t>
        </is>
      </c>
      <c r="D1131" s="9" t="n">
        <v>373.3</v>
      </c>
      <c r="E1131" s="3" t="inlineStr">
        <is>
          <t>613</t>
        </is>
      </c>
      <c r="F1131" s="3" t="inlineStr">
        <is>
          <t>Exit gate</t>
        </is>
      </c>
      <c r="G1131" s="9" t="n">
        <v>205.9</v>
      </c>
      <c r="H1131" s="10" t="n">
        <v>45674.19850694444</v>
      </c>
      <c r="I1131" s="10" t="n">
        <v>45674.19850694444</v>
      </c>
      <c r="J1131" s="10" t="n">
        <v>45674.19979166667</v>
      </c>
      <c r="K1131" s="11" t="n">
        <v>0.001284722222222222</v>
      </c>
      <c r="L1131" s="13" t="n"/>
    </row>
    <row r="1132">
      <c r="A1132" s="3" t="inlineStr">
        <is>
          <t>DepartureDrive</t>
        </is>
      </c>
      <c r="B1132" s="3" t="inlineStr">
        <is>
          <t>Act_DEPD_OBT160125203020-Pitten (Hamburger)_051424_625</t>
        </is>
      </c>
      <c r="C1132" s="3" t="inlineStr">
        <is>
          <t>OBT160125203020-Pitten (Hamburger)</t>
        </is>
      </c>
      <c r="D1132" s="9" t="n">
        <v>108.7</v>
      </c>
      <c r="E1132" s="3" t="inlineStr">
        <is>
          <t>625</t>
        </is>
      </c>
      <c r="F1132" s="3" t="inlineStr">
        <is>
          <t>Exit gate</t>
        </is>
      </c>
      <c r="G1132" s="9" t="n">
        <v>240.31</v>
      </c>
      <c r="H1132" s="10" t="n">
        <v>45674.21833333333</v>
      </c>
      <c r="I1132" s="10" t="n">
        <v>45674.21833333333</v>
      </c>
      <c r="J1132" s="10" t="n">
        <v>45674.21908564815</v>
      </c>
      <c r="K1132" s="11" t="n">
        <v>0.0007523148148148148</v>
      </c>
      <c r="L1132" s="13" t="n"/>
    </row>
    <row r="1133">
      <c r="A1133" s="3" t="inlineStr">
        <is>
          <t>DepartureDrive</t>
        </is>
      </c>
      <c r="B1133" s="3" t="inlineStr">
        <is>
          <t>Act_DEPD_OBT160125203907-Wr. Neustadt (Hödlmayr)_071223_617</t>
        </is>
      </c>
      <c r="C1133" s="3" t="inlineStr">
        <is>
          <t>OBT160125203907-Wr. Neustadt (Hödlmayr)</t>
        </is>
      </c>
      <c r="D1133" s="9" t="n">
        <v>108</v>
      </c>
      <c r="E1133" s="3" t="inlineStr">
        <is>
          <t>617</t>
        </is>
      </c>
      <c r="F1133" s="3" t="inlineStr">
        <is>
          <t>Exit gate</t>
        </is>
      </c>
      <c r="G1133" s="9" t="n">
        <v>262.93</v>
      </c>
      <c r="H1133" s="10" t="n">
        <v>45674.3002662037</v>
      </c>
      <c r="I1133" s="10" t="n">
        <v>45674.3002662037</v>
      </c>
      <c r="J1133" s="10" t="n">
        <v>45674.30106481481</v>
      </c>
      <c r="K1133" s="11" t="n">
        <v>0.0007986111111111112</v>
      </c>
      <c r="L1133" s="13" t="n"/>
    </row>
    <row r="1134">
      <c r="A1134" s="3" t="inlineStr">
        <is>
          <t>DepartureDrive</t>
        </is>
      </c>
      <c r="B1134" s="3" t="inlineStr">
        <is>
          <t>Act_DEPD_OBT160125204054-Ebenfurth (beet loading)_081706_607</t>
        </is>
      </c>
      <c r="C1134" s="3" t="inlineStr">
        <is>
          <t>OBT160125204054-Ebenfurth (beet loading)</t>
        </is>
      </c>
      <c r="D1134" s="9" t="n">
        <v>110.2</v>
      </c>
      <c r="E1134" s="3" t="inlineStr">
        <is>
          <t>607</t>
        </is>
      </c>
      <c r="F1134" s="3" t="inlineStr">
        <is>
          <t>Exit gate</t>
        </is>
      </c>
      <c r="G1134" s="9" t="n">
        <v>286.14</v>
      </c>
      <c r="H1134" s="10" t="n">
        <v>45674.34520833333</v>
      </c>
      <c r="I1134" s="10" t="n">
        <v>45674.34520833333</v>
      </c>
      <c r="J1134" s="10" t="n">
        <v>45674.34606481482</v>
      </c>
      <c r="K1134" s="11" t="n">
        <v>0.0008564814814814815</v>
      </c>
      <c r="L1134" s="13" t="n"/>
    </row>
    <row r="1135">
      <c r="A1135" s="3" t="inlineStr">
        <is>
          <t>DepartureDrive</t>
        </is>
      </c>
      <c r="B1135" s="3" t="inlineStr">
        <is>
          <t>Act_DEPD_OBT170125030753-Neunkirchen (loading tracks)_083504_605</t>
        </is>
      </c>
      <c r="C1135" s="3" t="inlineStr">
        <is>
          <t>OBT170125030753-Neunkirchen (loading tracks)</t>
        </is>
      </c>
      <c r="D1135" s="9" t="n">
        <v>165.8</v>
      </c>
      <c r="E1135" s="3" t="inlineStr">
        <is>
          <t>605</t>
        </is>
      </c>
      <c r="F1135" s="3" t="inlineStr">
        <is>
          <t>Exit gate</t>
        </is>
      </c>
      <c r="G1135" s="9" t="n">
        <v>286.14</v>
      </c>
      <c r="H1135" s="10" t="n">
        <v>45674.35768518518</v>
      </c>
      <c r="I1135" s="10" t="n">
        <v>45674.35768518518</v>
      </c>
      <c r="J1135" s="10" t="n">
        <v>45674.35865740741</v>
      </c>
      <c r="K1135" s="11" t="n">
        <v>0.0009722222222222222</v>
      </c>
      <c r="L1135" s="13" t="n"/>
    </row>
    <row r="1136">
      <c r="A1136" s="3" t="inlineStr">
        <is>
          <t>DepartureDrive</t>
        </is>
      </c>
      <c r="B1136" s="3" t="inlineStr">
        <is>
          <t>Act_DEPD_OBT170125031540-Other sidings south_085304_609</t>
        </is>
      </c>
      <c r="C1136" s="3" t="inlineStr">
        <is>
          <t>OBT170125031540-Other sidings south</t>
        </is>
      </c>
      <c r="D1136" s="9" t="n">
        <v>134.3</v>
      </c>
      <c r="E1136" s="3" t="inlineStr">
        <is>
          <t>609</t>
        </is>
      </c>
      <c r="F1136" s="3" t="inlineStr">
        <is>
          <t>Exit gate</t>
        </is>
      </c>
      <c r="G1136" s="9" t="n">
        <v>259.16</v>
      </c>
      <c r="H1136" s="10" t="n">
        <v>45674.37018518519</v>
      </c>
      <c r="I1136" s="10" t="n">
        <v>45674.37018518519</v>
      </c>
      <c r="J1136" s="10" t="n">
        <v>45674.37104166667</v>
      </c>
      <c r="K1136" s="11" t="n">
        <v>0.0008564814814814815</v>
      </c>
      <c r="L1136" s="13" t="n"/>
    </row>
    <row r="1137">
      <c r="A1137" s="3" t="inlineStr">
        <is>
          <t>DepartureDrive</t>
        </is>
      </c>
      <c r="B1137" s="3" t="inlineStr">
        <is>
          <t>Act_DEPD_OBT170125064600-Wien Kledering_104949_613</t>
        </is>
      </c>
      <c r="C1137" s="3" t="inlineStr">
        <is>
          <t>OBT170125064600-Wien Kledering</t>
        </is>
      </c>
      <c r="D1137" s="9" t="n">
        <v>297</v>
      </c>
      <c r="E1137" s="3" t="inlineStr">
        <is>
          <t>613</t>
        </is>
      </c>
      <c r="F1137" s="3" t="inlineStr">
        <is>
          <t>Exit gate</t>
        </is>
      </c>
      <c r="G1137" s="9" t="n">
        <v>205.9</v>
      </c>
      <c r="H1137" s="10" t="n">
        <v>45674.45126157408</v>
      </c>
      <c r="I1137" s="10" t="n">
        <v>45674.45126157408</v>
      </c>
      <c r="J1137" s="10" t="n">
        <v>45674.45237268518</v>
      </c>
      <c r="K1137" s="11" t="n">
        <v>0.001111111111111111</v>
      </c>
      <c r="L1137" s="13" t="n"/>
    </row>
    <row r="1138">
      <c r="A1138" s="3" t="inlineStr">
        <is>
          <t>DepartureDrive</t>
        </is>
      </c>
      <c r="B1138" s="3" t="inlineStr">
        <is>
          <t>Act_DEPD_OBT170125073030-Other sidings north_110611_606</t>
        </is>
      </c>
      <c r="C1138" s="3" t="inlineStr">
        <is>
          <t>OBT170125073030-Other sidings north</t>
        </is>
      </c>
      <c r="D1138" s="9" t="n">
        <v>134.3</v>
      </c>
      <c r="E1138" s="3" t="inlineStr">
        <is>
          <t>606</t>
        </is>
      </c>
      <c r="F1138" s="3" t="inlineStr">
        <is>
          <t>Exit gate</t>
        </is>
      </c>
      <c r="G1138" s="9" t="n">
        <v>245</v>
      </c>
      <c r="H1138" s="10" t="n">
        <v>45674.46262731482</v>
      </c>
      <c r="I1138" s="10" t="n">
        <v>45674.46262731482</v>
      </c>
      <c r="J1138" s="10" t="n">
        <v>45674.46344907407</v>
      </c>
      <c r="K1138" s="11" t="n">
        <v>0.0008217592592592593</v>
      </c>
      <c r="L1138" s="13" t="n"/>
    </row>
    <row r="1139">
      <c r="A1139" s="3" t="inlineStr">
        <is>
          <t>DepartureDrive</t>
        </is>
      </c>
      <c r="B1139" s="3" t="inlineStr">
        <is>
          <t>Act_DEPD_OBT170125044950-Neudörfl (FunderMax)_112929_619</t>
        </is>
      </c>
      <c r="C1139" s="3" t="inlineStr">
        <is>
          <t>OBT170125044950-Neudörfl (FunderMax)</t>
        </is>
      </c>
      <c r="D1139" s="9" t="n">
        <v>574.1</v>
      </c>
      <c r="E1139" s="3" t="inlineStr">
        <is>
          <t>619</t>
        </is>
      </c>
      <c r="F1139" s="3" t="inlineStr">
        <is>
          <t>Exit gate</t>
        </is>
      </c>
      <c r="G1139" s="9" t="n">
        <v>262.93</v>
      </c>
      <c r="H1139" s="10" t="n">
        <v>45674.47880787037</v>
      </c>
      <c r="I1139" s="10" t="n">
        <v>45674.47880787037</v>
      </c>
      <c r="J1139" s="10" t="n">
        <v>45674.48069444444</v>
      </c>
      <c r="K1139" s="11" t="n">
        <v>0.001886574074074074</v>
      </c>
      <c r="L1139" s="13" t="n"/>
    </row>
    <row r="1140">
      <c r="A1140" s="3" t="inlineStr">
        <is>
          <t>DepartureDrive</t>
        </is>
      </c>
      <c r="B1140" s="3" t="inlineStr">
        <is>
          <t>Act_DEPD_OBT170125073211-Pitten (Hamburger)_134223_625</t>
        </is>
      </c>
      <c r="C1140" s="3" t="inlineStr">
        <is>
          <t>OBT170125073211-Pitten (Hamburger)</t>
        </is>
      </c>
      <c r="D1140" s="9" t="n">
        <v>147.7</v>
      </c>
      <c r="E1140" s="3" t="inlineStr">
        <is>
          <t>625</t>
        </is>
      </c>
      <c r="F1140" s="3" t="inlineStr">
        <is>
          <t>Exit gate</t>
        </is>
      </c>
      <c r="G1140" s="9" t="n">
        <v>240.31</v>
      </c>
      <c r="H1140" s="10" t="n">
        <v>45674.57109953704</v>
      </c>
      <c r="I1140" s="10" t="n">
        <v>45674.57109953704</v>
      </c>
      <c r="J1140" s="10" t="n">
        <v>45674.57193287037</v>
      </c>
      <c r="K1140" s="11" t="n">
        <v>0.0008333333333333334</v>
      </c>
      <c r="L1140" s="13" t="n"/>
    </row>
    <row r="1141">
      <c r="A1141" s="3" t="inlineStr">
        <is>
          <t>DepartureDrive</t>
        </is>
      </c>
      <c r="B1141" s="3" t="inlineStr">
        <is>
          <t>Act_DEPD_OBT170125073842-St. Veit an der Glan_162320_615</t>
        </is>
      </c>
      <c r="C1141" s="3" t="inlineStr">
        <is>
          <t>OBT170125073842-St. Veit an der Glan</t>
        </is>
      </c>
      <c r="D1141" s="9" t="n">
        <v>134.3</v>
      </c>
      <c r="E1141" s="3" t="inlineStr">
        <is>
          <t>615</t>
        </is>
      </c>
      <c r="F1141" s="3" t="inlineStr">
        <is>
          <t>Exit gate</t>
        </is>
      </c>
      <c r="G1141" s="9" t="n">
        <v>223.61</v>
      </c>
      <c r="H1141" s="10" t="n">
        <v>45674.68287037037</v>
      </c>
      <c r="I1141" s="10" t="n">
        <v>45674.68287037037</v>
      </c>
      <c r="J1141" s="10" t="n">
        <v>45674.68364583333</v>
      </c>
      <c r="K1141" s="11" t="n">
        <v>0.0007754629629629629</v>
      </c>
      <c r="L1141" s="13" t="n"/>
    </row>
    <row r="1142">
      <c r="A1142" s="3" t="inlineStr">
        <is>
          <t>DepartureDrive</t>
        </is>
      </c>
      <c r="B1142" s="3" t="inlineStr">
        <is>
          <t>Act_DEPD_OBT170125075244-Ternitz (Schoeller-Bleckmann)_182206_621</t>
        </is>
      </c>
      <c r="C1142" s="3" t="inlineStr">
        <is>
          <t>OBT170125075244-Ternitz (Schoeller-Bleckmann)</t>
        </is>
      </c>
      <c r="D1142" s="9" t="n">
        <v>141</v>
      </c>
      <c r="E1142" s="3" t="inlineStr">
        <is>
          <t>621</t>
        </is>
      </c>
      <c r="F1142" s="3" t="inlineStr">
        <is>
          <t>Exit gate</t>
        </is>
      </c>
      <c r="G1142" s="9" t="n">
        <v>259.31</v>
      </c>
      <c r="H1142" s="10" t="n">
        <v>45674.76534722222</v>
      </c>
      <c r="I1142" s="10" t="n">
        <v>45674.76534722222</v>
      </c>
      <c r="J1142" s="10" t="n">
        <v>45674.76621527778</v>
      </c>
      <c r="K1142" s="11" t="n">
        <v>0.0008680555555555555</v>
      </c>
      <c r="L1142" s="13" t="n"/>
    </row>
    <row r="1143">
      <c r="A1143" s="3" t="inlineStr">
        <is>
          <t>DepartureDrive</t>
        </is>
      </c>
      <c r="B1143" s="3" t="inlineStr">
        <is>
          <t>Act_DEPD_OBT170125075431-Wien Kledering_193932_617</t>
        </is>
      </c>
      <c r="C1143" s="3" t="inlineStr">
        <is>
          <t>OBT170125075431-Wien Kledering</t>
        </is>
      </c>
      <c r="D1143" s="9" t="n">
        <v>339.8</v>
      </c>
      <c r="E1143" s="3" t="inlineStr">
        <is>
          <t>617</t>
        </is>
      </c>
      <c r="F1143" s="3" t="inlineStr">
        <is>
          <t>Exit gate</t>
        </is>
      </c>
      <c r="G1143" s="9" t="n">
        <v>262.93</v>
      </c>
      <c r="H1143" s="10" t="n">
        <v>45674.81912037037</v>
      </c>
      <c r="I1143" s="10" t="n">
        <v>45674.81912037037</v>
      </c>
      <c r="J1143" s="10" t="n">
        <v>45674.82045138889</v>
      </c>
      <c r="K1143" s="11" t="n">
        <v>0.001331018518518518</v>
      </c>
      <c r="L1143" s="13" t="n"/>
    </row>
    <row r="1144">
      <c r="A1144" s="3" t="inlineStr">
        <is>
          <t>DepartureDrive</t>
        </is>
      </c>
      <c r="B1144" s="3" t="inlineStr">
        <is>
          <t>Act_DEPD_OBT170125081922-Steinabrückl/Wöllersdorf_221725_623</t>
        </is>
      </c>
      <c r="C1144" s="3" t="inlineStr">
        <is>
          <t>OBT170125081922-Steinabrückl/Wöllersdorf</t>
        </is>
      </c>
      <c r="D1144" s="9" t="n">
        <v>350.8</v>
      </c>
      <c r="E1144" s="3" t="inlineStr">
        <is>
          <t>623</t>
        </is>
      </c>
      <c r="F1144" s="3" t="inlineStr">
        <is>
          <t>Exit gate</t>
        </is>
      </c>
      <c r="G1144" s="9" t="n">
        <v>259.31</v>
      </c>
      <c r="H1144" s="10" t="n">
        <v>45674.92876157408</v>
      </c>
      <c r="I1144" s="10" t="n">
        <v>45674.92876157408</v>
      </c>
      <c r="J1144" s="10" t="n">
        <v>45674.93011574074</v>
      </c>
      <c r="K1144" s="11" t="n">
        <v>0.001354166666666667</v>
      </c>
      <c r="L1144" s="13" t="n"/>
    </row>
    <row r="1145">
      <c r="A1145" s="3" t="inlineStr">
        <is>
          <t>DepartureDrive</t>
        </is>
      </c>
      <c r="B1145" s="3" t="inlineStr">
        <is>
          <t>Act_DEPD_OBT170125090658-St. Veit an der Glan_013547_615</t>
        </is>
      </c>
      <c r="C1145" s="3" t="inlineStr">
        <is>
          <t>OBT170125090658-St. Veit an der Glan</t>
        </is>
      </c>
      <c r="D1145" s="9" t="n">
        <v>173.3</v>
      </c>
      <c r="E1145" s="3" t="inlineStr">
        <is>
          <t>615</t>
        </is>
      </c>
      <c r="F1145" s="3" t="inlineStr">
        <is>
          <t>Exit gate</t>
        </is>
      </c>
      <c r="G1145" s="9" t="n">
        <v>223.61</v>
      </c>
      <c r="H1145" s="10" t="n">
        <v>45675.0665162037</v>
      </c>
      <c r="I1145" s="10" t="n">
        <v>45675.0665162037</v>
      </c>
      <c r="J1145" s="10" t="n">
        <v>45675.06738425926</v>
      </c>
      <c r="K1145" s="11" t="n">
        <v>0.0008680555555555555</v>
      </c>
      <c r="L1145" s="13" t="n"/>
    </row>
    <row r="1146">
      <c r="A1146" s="3" t="inlineStr">
        <is>
          <t>DepartureDrive</t>
        </is>
      </c>
      <c r="B1146" s="3" t="inlineStr">
        <is>
          <t>Act_DEPD_OBT170125091546-Pitten (Hamburger)_070630_607</t>
        </is>
      </c>
      <c r="C1146" s="3" t="inlineStr">
        <is>
          <t>OBT170125091546-Pitten (Hamburger)</t>
        </is>
      </c>
      <c r="D1146" s="9" t="n">
        <v>240.6</v>
      </c>
      <c r="E1146" s="3" t="inlineStr">
        <is>
          <t>607</t>
        </is>
      </c>
      <c r="F1146" s="3" t="inlineStr">
        <is>
          <t>Exit gate</t>
        </is>
      </c>
      <c r="G1146" s="9" t="n">
        <v>286.14</v>
      </c>
      <c r="H1146" s="10" t="n">
        <v>45675.29618055555</v>
      </c>
      <c r="I1146" s="10" t="n">
        <v>45675.29618055555</v>
      </c>
      <c r="J1146" s="10" t="n">
        <v>45675.29733796296</v>
      </c>
      <c r="K1146" s="11" t="n">
        <v>0.001157407407407407</v>
      </c>
      <c r="L1146" s="13" t="n"/>
    </row>
    <row r="1147">
      <c r="A1147" s="3" t="inlineStr">
        <is>
          <t>DepartureDrive</t>
        </is>
      </c>
      <c r="B1147" s="3" t="inlineStr">
        <is>
          <t>Act_DEPD_OBT170125093600-Gloggnitz_075247_627</t>
        </is>
      </c>
      <c r="C1147" s="3" t="inlineStr">
        <is>
          <t>OBT170125093600-Gloggnitz</t>
        </is>
      </c>
      <c r="D1147" s="9" t="n">
        <v>159.7</v>
      </c>
      <c r="E1147" s="3" t="inlineStr">
        <is>
          <t>627</t>
        </is>
      </c>
      <c r="F1147" s="3" t="inlineStr">
        <is>
          <t>Exit gate</t>
        </is>
      </c>
      <c r="G1147" s="9" t="n">
        <v>188.33</v>
      </c>
      <c r="H1147" s="10" t="n">
        <v>45675.32832175926</v>
      </c>
      <c r="I1147" s="10" t="n">
        <v>45675.32832175926</v>
      </c>
      <c r="J1147" s="10" t="n">
        <v>45675.32907407408</v>
      </c>
      <c r="K1147" s="11" t="n">
        <v>0.0007523148148148148</v>
      </c>
      <c r="L1147" s="13" t="n"/>
    </row>
    <row r="1148">
      <c r="A1148" s="3" t="inlineStr">
        <is>
          <t>DepartureDrive</t>
        </is>
      </c>
      <c r="B1148" s="3" t="inlineStr">
        <is>
          <t>Act_DEPD_OBT170125093812-Neudörfl (FunderMax)_184309_629</t>
        </is>
      </c>
      <c r="C1148" s="3" t="inlineStr">
        <is>
          <t>OBT170125093812-Neudörfl (FunderMax)</t>
        </is>
      </c>
      <c r="D1148" s="9" t="n">
        <v>184.5</v>
      </c>
      <c r="E1148" s="3" t="inlineStr">
        <is>
          <t>629</t>
        </is>
      </c>
      <c r="F1148" s="3" t="inlineStr">
        <is>
          <t>Exit gate</t>
        </is>
      </c>
      <c r="G1148" s="9" t="n">
        <v>182.11</v>
      </c>
      <c r="H1148" s="10" t="n">
        <v>45676.77996527778</v>
      </c>
      <c r="I1148" s="10" t="n">
        <v>45676.77996527778</v>
      </c>
      <c r="J1148" s="10" t="n">
        <v>45676.78076388889</v>
      </c>
      <c r="K1148" s="11" t="n">
        <v>0.0007986111111111112</v>
      </c>
      <c r="L1148" s="13" t="n"/>
    </row>
    <row r="1149">
      <c r="A1149" s="3" t="inlineStr">
        <is>
          <t>DepartureDrive</t>
        </is>
      </c>
      <c r="B1149" s="3" t="inlineStr">
        <is>
          <t>Act_DEPD_OBT170125130627-Wien Kledering_213147_613</t>
        </is>
      </c>
      <c r="C1149" s="3" t="inlineStr">
        <is>
          <t>OBT170125130627-Wien Kledering</t>
        </is>
      </c>
      <c r="D1149" s="9" t="n">
        <v>238.4</v>
      </c>
      <c r="E1149" s="3" t="inlineStr">
        <is>
          <t>613</t>
        </is>
      </c>
      <c r="F1149" s="3" t="inlineStr">
        <is>
          <t>Exit gate</t>
        </is>
      </c>
      <c r="G1149" s="9" t="n">
        <v>205.9</v>
      </c>
      <c r="H1149" s="10" t="n">
        <v>45676.89707175926</v>
      </c>
      <c r="I1149" s="10" t="n">
        <v>45676.89707175926</v>
      </c>
      <c r="J1149" s="10" t="n">
        <v>45676.89804398148</v>
      </c>
      <c r="K1149" s="11" t="n">
        <v>0.0009722222222222222</v>
      </c>
      <c r="L1149" s="13" t="n"/>
    </row>
    <row r="1150">
      <c r="A1150" s="3" t="inlineStr">
        <is>
          <t>DepartureDrive</t>
        </is>
      </c>
      <c r="B1150" s="3" t="inlineStr">
        <is>
          <t>Act_DEPD_OBT170125155040-Wien Kledering_035149_625</t>
        </is>
      </c>
      <c r="C1150" s="3" t="inlineStr">
        <is>
          <t>OBT170125155040-Wien Kledering</t>
        </is>
      </c>
      <c r="D1150" s="9" t="n">
        <v>220.4</v>
      </c>
      <c r="E1150" s="3" t="inlineStr">
        <is>
          <t>625</t>
        </is>
      </c>
      <c r="F1150" s="3" t="inlineStr">
        <is>
          <t>Exit gate</t>
        </is>
      </c>
      <c r="G1150" s="9" t="n">
        <v>240.31</v>
      </c>
      <c r="H1150" s="10" t="n">
        <v>45677.1609837963</v>
      </c>
      <c r="I1150" s="10" t="n">
        <v>45677.1609837963</v>
      </c>
      <c r="J1150" s="10" t="n">
        <v>45677.16200231481</v>
      </c>
      <c r="K1150" s="11" t="n">
        <v>0.001018518518518518</v>
      </c>
      <c r="L1150" s="13" t="n"/>
    </row>
    <row r="1151">
      <c r="A1151" s="3" t="inlineStr">
        <is>
          <t>DepartureDrive</t>
        </is>
      </c>
      <c r="B1151" s="3" t="inlineStr">
        <is>
          <t>Act_DEPD_OBT170125174751-Wien Kledering_060527_615</t>
        </is>
      </c>
      <c r="C1151" s="3" t="inlineStr">
        <is>
          <t>OBT170125174751-Wien Kledering</t>
        </is>
      </c>
      <c r="D1151" s="9" t="n">
        <v>302.1</v>
      </c>
      <c r="E1151" s="3" t="inlineStr">
        <is>
          <t>615</t>
        </is>
      </c>
      <c r="F1151" s="3" t="inlineStr">
        <is>
          <t>Exit gate</t>
        </is>
      </c>
      <c r="G1151" s="9" t="n">
        <v>223.61</v>
      </c>
      <c r="H1151" s="10" t="n">
        <v>45677.25378472222</v>
      </c>
      <c r="I1151" s="10" t="n">
        <v>45677.25378472222</v>
      </c>
      <c r="J1151" s="10" t="n">
        <v>45677.25494212963</v>
      </c>
      <c r="K1151" s="11" t="n">
        <v>0.001157407407407407</v>
      </c>
      <c r="L1151" s="13" t="n"/>
    </row>
    <row r="1152">
      <c r="A1152" s="3" t="inlineStr">
        <is>
          <t>DepartureDrive</t>
        </is>
      </c>
      <c r="B1152" s="3" t="inlineStr">
        <is>
          <t>Act_DEPD_OBT170125181531-Wien Kledering_063743_619</t>
        </is>
      </c>
      <c r="C1152" s="3" t="inlineStr">
        <is>
          <t>OBT170125181531-Wien Kledering</t>
        </is>
      </c>
      <c r="D1152" s="9" t="n">
        <v>110.2</v>
      </c>
      <c r="E1152" s="3" t="inlineStr">
        <is>
          <t>619</t>
        </is>
      </c>
      <c r="F1152" s="3" t="inlineStr">
        <is>
          <t>Exit gate</t>
        </is>
      </c>
      <c r="G1152" s="9" t="n">
        <v>262.93</v>
      </c>
      <c r="H1152" s="10" t="n">
        <v>45677.27619212963</v>
      </c>
      <c r="I1152" s="10" t="n">
        <v>45677.27619212963</v>
      </c>
      <c r="J1152" s="10" t="n">
        <v>45677.27700231481</v>
      </c>
      <c r="K1152" s="11" t="n">
        <v>0.0008101851851851852</v>
      </c>
      <c r="L1152" s="13" t="n"/>
    </row>
    <row r="1153">
      <c r="A1153" s="3" t="inlineStr">
        <is>
          <t>DepartureDrive</t>
        </is>
      </c>
      <c r="B1153" s="3" t="inlineStr">
        <is>
          <t>Act_DEPD_OBT170125205009-Ternitz (Schoeller-Bleckmann)_082633_621</t>
        </is>
      </c>
      <c r="C1153" s="3" t="inlineStr">
        <is>
          <t>OBT170125205009-Ternitz (Schoeller-Bleckmann)</t>
        </is>
      </c>
      <c r="D1153" s="9" t="n">
        <v>175.8</v>
      </c>
      <c r="E1153" s="3" t="inlineStr">
        <is>
          <t>621</t>
        </is>
      </c>
      <c r="F1153" s="3" t="inlineStr">
        <is>
          <t>Exit gate</t>
        </is>
      </c>
      <c r="G1153" s="9" t="n">
        <v>259.31</v>
      </c>
      <c r="H1153" s="10" t="n">
        <v>45677.35177083333</v>
      </c>
      <c r="I1153" s="10" t="n">
        <v>45677.35177083333</v>
      </c>
      <c r="J1153" s="10" t="n">
        <v>45677.35271990741</v>
      </c>
      <c r="K1153" s="11" t="n">
        <v>0.0009490740740740741</v>
      </c>
      <c r="L1153" s="13" t="n"/>
    </row>
    <row r="1154">
      <c r="A1154" s="3" t="inlineStr">
        <is>
          <t>DepartureDrive</t>
        </is>
      </c>
      <c r="B1154" s="3" t="inlineStr">
        <is>
          <t>Act_DEPD_OBT180125004751-Pitten (Hamburger)_082939_623</t>
        </is>
      </c>
      <c r="C1154" s="3" t="inlineStr">
        <is>
          <t>OBT180125004751-Pitten (Hamburger)</t>
        </is>
      </c>
      <c r="D1154" s="9" t="n">
        <v>179.2</v>
      </c>
      <c r="E1154" s="3" t="inlineStr">
        <is>
          <t>623</t>
        </is>
      </c>
      <c r="F1154" s="3" t="inlineStr">
        <is>
          <t>Exit gate</t>
        </is>
      </c>
      <c r="G1154" s="9" t="n">
        <v>259.31</v>
      </c>
      <c r="H1154" s="10" t="n">
        <v>45677.35392361111</v>
      </c>
      <c r="I1154" s="10" t="n">
        <v>45677.35392361111</v>
      </c>
      <c r="J1154" s="10" t="n">
        <v>45677.35487268519</v>
      </c>
      <c r="K1154" s="11" t="n">
        <v>0.0009490740740740741</v>
      </c>
      <c r="L1154" s="13" t="n"/>
    </row>
    <row r="1155">
      <c r="A1155" s="3" t="inlineStr">
        <is>
          <t>DepartureDrive</t>
        </is>
      </c>
      <c r="B1155" s="3" t="inlineStr">
        <is>
          <t>Act_DEPD_OBT180125005504-Neudörfl (FunderMax)_090717_606</t>
        </is>
      </c>
      <c r="C1155" s="3" t="inlineStr">
        <is>
          <t>OBT180125005504-Neudörfl (FunderMax)</t>
        </is>
      </c>
      <c r="D1155" s="9" t="n">
        <v>143.3</v>
      </c>
      <c r="E1155" s="3" t="inlineStr">
        <is>
          <t>606</t>
        </is>
      </c>
      <c r="F1155" s="3" t="inlineStr">
        <is>
          <t>Exit gate</t>
        </is>
      </c>
      <c r="G1155" s="9" t="n">
        <v>245</v>
      </c>
      <c r="H1155" s="10" t="n">
        <v>45677.38005787037</v>
      </c>
      <c r="I1155" s="10" t="n">
        <v>45677.38005787037</v>
      </c>
      <c r="J1155" s="10" t="n">
        <v>45677.38089120371</v>
      </c>
      <c r="K1155" s="11" t="n">
        <v>0.0008333333333333334</v>
      </c>
      <c r="L1155" s="13" t="n"/>
    </row>
    <row r="1156">
      <c r="A1156" s="3" t="inlineStr">
        <is>
          <t>DepartureDrive</t>
        </is>
      </c>
      <c r="B1156" s="3" t="inlineStr">
        <is>
          <t>Act_DEPD_OBT180125071607-Neudörfl (FunderMax)_094514_615</t>
        </is>
      </c>
      <c r="C1156" s="3" t="inlineStr">
        <is>
          <t>OBT180125071607-Neudörfl (FunderMax)</t>
        </is>
      </c>
      <c r="D1156" s="9" t="n">
        <v>110.3</v>
      </c>
      <c r="E1156" s="3" t="inlineStr">
        <is>
          <t>615</t>
        </is>
      </c>
      <c r="F1156" s="3" t="inlineStr">
        <is>
          <t>Exit gate</t>
        </is>
      </c>
      <c r="G1156" s="9" t="n">
        <v>223.61</v>
      </c>
      <c r="H1156" s="10" t="n">
        <v>45677.40641203704</v>
      </c>
      <c r="I1156" s="10" t="n">
        <v>45677.40641203704</v>
      </c>
      <c r="J1156" s="10" t="n">
        <v>45677.4071412037</v>
      </c>
      <c r="K1156" s="11" t="n">
        <v>0.0007291666666666667</v>
      </c>
      <c r="L1156" s="13" t="n"/>
    </row>
    <row r="1157">
      <c r="A1157" s="3" t="inlineStr">
        <is>
          <t>DepartureDrive</t>
        </is>
      </c>
      <c r="B1157" s="3" t="inlineStr">
        <is>
          <t>Act_DEPD_OBT190125203024-Pitten (Hamburger)_113100_629</t>
        </is>
      </c>
      <c r="C1157" s="3" t="inlineStr">
        <is>
          <t>OBT190125203024-Pitten (Hamburger)</t>
        </is>
      </c>
      <c r="D1157" s="9" t="n">
        <v>132.7</v>
      </c>
      <c r="E1157" s="3" t="inlineStr">
        <is>
          <t>629</t>
        </is>
      </c>
      <c r="F1157" s="3" t="inlineStr">
        <is>
          <t>Exit gate</t>
        </is>
      </c>
      <c r="G1157" s="9" t="n">
        <v>182.11</v>
      </c>
      <c r="H1157" s="10" t="n">
        <v>45677.47986111111</v>
      </c>
      <c r="I1157" s="10" t="n">
        <v>45677.47986111111</v>
      </c>
      <c r="J1157" s="10" t="n">
        <v>45677.48055555556</v>
      </c>
      <c r="K1157" s="11" t="n">
        <v>0.0006944444444444445</v>
      </c>
      <c r="L1157" s="13" t="n"/>
    </row>
    <row r="1158">
      <c r="A1158" s="3" t="inlineStr">
        <is>
          <t>DepartureDrive</t>
        </is>
      </c>
      <c r="B1158" s="3" t="inlineStr">
        <is>
          <t>Act_DEPD_OBT190125175511-Pitten (Hamburger)_115951_627</t>
        </is>
      </c>
      <c r="C1158" s="3" t="inlineStr">
        <is>
          <t>OBT190125175511-Pitten (Hamburger)</t>
        </is>
      </c>
      <c r="D1158" s="9" t="n">
        <v>521.7</v>
      </c>
      <c r="E1158" s="3" t="inlineStr">
        <is>
          <t>627</t>
        </is>
      </c>
      <c r="F1158" s="3" t="inlineStr">
        <is>
          <t>Exit gate</t>
        </is>
      </c>
      <c r="G1158" s="9" t="n">
        <v>188.33</v>
      </c>
      <c r="H1158" s="10" t="n">
        <v>45677.49989583333</v>
      </c>
      <c r="I1158" s="10" t="n">
        <v>45677.49989583333</v>
      </c>
      <c r="J1158" s="10" t="n">
        <v>45677.50149305556</v>
      </c>
      <c r="K1158" s="11" t="n">
        <v>0.001597222222222222</v>
      </c>
      <c r="L1158" s="13" t="n"/>
    </row>
    <row r="1159">
      <c r="A1159" s="3" t="inlineStr">
        <is>
          <t>DepartureDrive</t>
        </is>
      </c>
      <c r="B1159" s="3" t="inlineStr">
        <is>
          <t>Act_DEPD_OBT190125203519-Neudörfl (FunderMax)_132555_607</t>
        </is>
      </c>
      <c r="C1159" s="3" t="inlineStr">
        <is>
          <t>OBT190125203519-Neudörfl (FunderMax)</t>
        </is>
      </c>
      <c r="D1159" s="9" t="n">
        <v>108</v>
      </c>
      <c r="E1159" s="3" t="inlineStr">
        <is>
          <t>607</t>
        </is>
      </c>
      <c r="F1159" s="3" t="inlineStr">
        <is>
          <t>Exit gate</t>
        </is>
      </c>
      <c r="G1159" s="9" t="n">
        <v>286.14</v>
      </c>
      <c r="H1159" s="10" t="n">
        <v>45677.55966435185</v>
      </c>
      <c r="I1159" s="10" t="n">
        <v>45677.55966435185</v>
      </c>
      <c r="J1159" s="10" t="n">
        <v>45677.56050925926</v>
      </c>
      <c r="K1159" s="11" t="n">
        <v>0.0008449074074074074</v>
      </c>
      <c r="L1159" s="13" t="n"/>
    </row>
    <row r="1160">
      <c r="A1160" s="3" t="inlineStr">
        <is>
          <t>DepartureDrive</t>
        </is>
      </c>
      <c r="B1160" s="3" t="inlineStr">
        <is>
          <t>Act_DEPD_OBT200125025157-Neunkirchen (loading tracks)_152341_613</t>
        </is>
      </c>
      <c r="C1160" s="3" t="inlineStr">
        <is>
          <t>OBT200125025157-Neunkirchen (loading tracks)</t>
        </is>
      </c>
      <c r="D1160" s="9" t="n">
        <v>165.8</v>
      </c>
      <c r="E1160" s="3" t="inlineStr">
        <is>
          <t>613</t>
        </is>
      </c>
      <c r="F1160" s="3" t="inlineStr">
        <is>
          <t>Exit gate</t>
        </is>
      </c>
      <c r="G1160" s="9" t="n">
        <v>205.9</v>
      </c>
      <c r="H1160" s="10" t="n">
        <v>45677.64144675926</v>
      </c>
      <c r="I1160" s="10" t="n">
        <v>45677.64144675926</v>
      </c>
      <c r="J1160" s="10" t="n">
        <v>45677.64225694445</v>
      </c>
      <c r="K1160" s="11" t="n">
        <v>0.0008101851851851852</v>
      </c>
      <c r="L1160" s="13" t="n"/>
    </row>
    <row r="1161">
      <c r="A1161" s="3" t="inlineStr">
        <is>
          <t>DepartureDrive</t>
        </is>
      </c>
      <c r="B1161" s="3" t="inlineStr">
        <is>
          <t>Act_DEPD_OBT200125080054-Neunkirchen (loading tracks)_162700_615</t>
        </is>
      </c>
      <c r="C1161" s="3" t="inlineStr">
        <is>
          <t>OBT200125080054-Neunkirchen (loading tracks)</t>
        </is>
      </c>
      <c r="D1161" s="9" t="n">
        <v>102.8</v>
      </c>
      <c r="E1161" s="3" t="inlineStr">
        <is>
          <t>615</t>
        </is>
      </c>
      <c r="F1161" s="3" t="inlineStr">
        <is>
          <t>Exit gate</t>
        </is>
      </c>
      <c r="G1161" s="9" t="n">
        <v>223.61</v>
      </c>
      <c r="H1161" s="10" t="n">
        <v>45677.68541666667</v>
      </c>
      <c r="I1161" s="10" t="n">
        <v>45677.68541666667</v>
      </c>
      <c r="J1161" s="10" t="n">
        <v>45677.68611111111</v>
      </c>
      <c r="K1161" s="11" t="n">
        <v>0.0006944444444444445</v>
      </c>
      <c r="L1161" s="13" t="n"/>
    </row>
    <row r="1162">
      <c r="A1162" s="3" t="inlineStr">
        <is>
          <t>DepartureDrive</t>
        </is>
      </c>
      <c r="B1162" s="3" t="inlineStr">
        <is>
          <t>Act_DEPD_OBT200125080717-Wr. Neustadt (Hödlmayr)_164146_617</t>
        </is>
      </c>
      <c r="C1162" s="3" t="inlineStr">
        <is>
          <t>OBT200125080717-Wr. Neustadt (Hödlmayr)</t>
        </is>
      </c>
      <c r="D1162" s="9" t="n">
        <v>135</v>
      </c>
      <c r="E1162" s="3" t="inlineStr">
        <is>
          <t>617</t>
        </is>
      </c>
      <c r="F1162" s="3" t="inlineStr">
        <is>
          <t>Exit gate</t>
        </is>
      </c>
      <c r="G1162" s="9" t="n">
        <v>262.93</v>
      </c>
      <c r="H1162" s="10" t="n">
        <v>45677.69567129629</v>
      </c>
      <c r="I1162" s="10" t="n">
        <v>45677.69567129629</v>
      </c>
      <c r="J1162" s="10" t="n">
        <v>45677.69652777778</v>
      </c>
      <c r="K1162" s="11" t="n">
        <v>0.0008564814814814815</v>
      </c>
      <c r="L1162" s="13" t="n"/>
    </row>
    <row r="1163">
      <c r="A1163" s="3" t="inlineStr">
        <is>
          <t>DepartureDrive</t>
        </is>
      </c>
      <c r="B1163" s="3" t="inlineStr">
        <is>
          <t>Act_DEPD_OBT200125045059-Neudörfl (FunderMax)_172130_625</t>
        </is>
      </c>
      <c r="C1163" s="3" t="inlineStr">
        <is>
          <t>OBT200125045059-Neudörfl (FunderMax)</t>
        </is>
      </c>
      <c r="D1163" s="9" t="n">
        <v>329.7</v>
      </c>
      <c r="E1163" s="3" t="inlineStr">
        <is>
          <t>625</t>
        </is>
      </c>
      <c r="F1163" s="3" t="inlineStr">
        <is>
          <t>Exit gate</t>
        </is>
      </c>
      <c r="G1163" s="9" t="n">
        <v>240.31</v>
      </c>
      <c r="H1163" s="10" t="n">
        <v>45677.72326388889</v>
      </c>
      <c r="I1163" s="10" t="n">
        <v>45677.72326388889</v>
      </c>
      <c r="J1163" s="10" t="n">
        <v>45677.72453703704</v>
      </c>
      <c r="K1163" s="11" t="n">
        <v>0.001273148148148148</v>
      </c>
      <c r="L1163" s="13" t="n"/>
    </row>
    <row r="1164">
      <c r="A1164" s="3" t="inlineStr">
        <is>
          <t>DepartureDrive</t>
        </is>
      </c>
      <c r="B1164" s="3" t="inlineStr">
        <is>
          <t>Act_DEPD_OBT200125083327-Wr. Neustadt (Brenntag)_174814_611</t>
        </is>
      </c>
      <c r="C1164" s="3" t="inlineStr">
        <is>
          <t>OBT200125083327-Wr. Neustadt (Brenntag)</t>
        </is>
      </c>
      <c r="D1164" s="9" t="n">
        <v>126</v>
      </c>
      <c r="E1164" s="3" t="inlineStr">
        <is>
          <t>611</t>
        </is>
      </c>
      <c r="F1164" s="3" t="inlineStr">
        <is>
          <t>Exit gate</t>
        </is>
      </c>
      <c r="G1164" s="9" t="n">
        <v>231.94</v>
      </c>
      <c r="H1164" s="10" t="n">
        <v>45677.74182870371</v>
      </c>
      <c r="I1164" s="10" t="n">
        <v>45677.74182870371</v>
      </c>
      <c r="J1164" s="10" t="n">
        <v>45677.74260416667</v>
      </c>
      <c r="K1164" s="11" t="n">
        <v>0.0007754629629629629</v>
      </c>
      <c r="L1164" s="13" t="n"/>
    </row>
    <row r="1165">
      <c r="A1165" s="3" t="inlineStr">
        <is>
          <t>DepartureDrive</t>
        </is>
      </c>
      <c r="B1165" s="3" t="inlineStr">
        <is>
          <t>Act_DEPD_OBT200125091839-St. Veit an der Glan_215704_615</t>
        </is>
      </c>
      <c r="C1165" s="3" t="inlineStr">
        <is>
          <t>OBT200125091839-St. Veit an der Glan</t>
        </is>
      </c>
      <c r="D1165" s="9" t="n">
        <v>145.6</v>
      </c>
      <c r="E1165" s="3" t="inlineStr">
        <is>
          <t>615</t>
        </is>
      </c>
      <c r="F1165" s="3" t="inlineStr">
        <is>
          <t>Exit gate</t>
        </is>
      </c>
      <c r="G1165" s="9" t="n">
        <v>223.61</v>
      </c>
      <c r="H1165" s="10" t="n">
        <v>45677.91462962963</v>
      </c>
      <c r="I1165" s="10" t="n">
        <v>45677.91462962963</v>
      </c>
      <c r="J1165" s="10" t="n">
        <v>45677.91542824074</v>
      </c>
      <c r="K1165" s="11" t="n">
        <v>0.0007986111111111112</v>
      </c>
      <c r="L1165" s="13" t="n"/>
    </row>
    <row r="1166">
      <c r="A1166" s="3" t="inlineStr">
        <is>
          <t>DepartureDrive</t>
        </is>
      </c>
      <c r="B1166" s="3" t="inlineStr">
        <is>
          <t>Act_DEPD_OBT200125093149-Wr. Neustadt (Hödlmayr)_035619_621</t>
        </is>
      </c>
      <c r="C1166" s="3" t="inlineStr">
        <is>
          <t>OBT200125093149-Wr. Neustadt (Hödlmayr)</t>
        </is>
      </c>
      <c r="D1166" s="9" t="n">
        <v>135</v>
      </c>
      <c r="E1166" s="3" t="inlineStr">
        <is>
          <t>621</t>
        </is>
      </c>
      <c r="F1166" s="3" t="inlineStr">
        <is>
          <t>Exit gate</t>
        </is>
      </c>
      <c r="G1166" s="9" t="n">
        <v>259.31</v>
      </c>
      <c r="H1166" s="10" t="n">
        <v>45678.1641087963</v>
      </c>
      <c r="I1166" s="10" t="n">
        <v>45678.1641087963</v>
      </c>
      <c r="J1166" s="10" t="n">
        <v>45678.16496527778</v>
      </c>
      <c r="K1166" s="11" t="n">
        <v>0.0008564814814814815</v>
      </c>
      <c r="L1166" s="13" t="n"/>
    </row>
    <row r="1167">
      <c r="A1167" s="3" t="inlineStr">
        <is>
          <t>DepartureDrive</t>
        </is>
      </c>
      <c r="B1167" s="3" t="inlineStr">
        <is>
          <t>Act_DEPD_OBT200125094944-Neudörfl (FunderMax)_072600_619</t>
        </is>
      </c>
      <c r="C1167" s="3" t="inlineStr">
        <is>
          <t>OBT200125094944-Neudörfl (FunderMax)</t>
        </is>
      </c>
      <c r="D1167" s="9" t="n">
        <v>136.2</v>
      </c>
      <c r="E1167" s="3" t="inlineStr">
        <is>
          <t>619</t>
        </is>
      </c>
      <c r="F1167" s="3" t="inlineStr">
        <is>
          <t>Exit gate</t>
        </is>
      </c>
      <c r="G1167" s="9" t="n">
        <v>262.93</v>
      </c>
      <c r="H1167" s="10" t="n">
        <v>45678.30972222222</v>
      </c>
      <c r="I1167" s="10" t="n">
        <v>45678.30972222222</v>
      </c>
      <c r="J1167" s="10" t="n">
        <v>45678.31057870371</v>
      </c>
      <c r="K1167" s="11" t="n">
        <v>0.0008564814814814815</v>
      </c>
      <c r="L1167" s="13" t="n"/>
    </row>
    <row r="1168">
      <c r="A1168" s="3" t="inlineStr">
        <is>
          <t>DepartureDrive</t>
        </is>
      </c>
      <c r="B1168" s="3" t="inlineStr">
        <is>
          <t>Act_DEPD_OBT200125105804-Wien Kledering_081702_615</t>
        </is>
      </c>
      <c r="C1168" s="3" t="inlineStr">
        <is>
          <t>OBT200125105804-Wien Kledering</t>
        </is>
      </c>
      <c r="D1168" s="9" t="n">
        <v>165.8</v>
      </c>
      <c r="E1168" s="3" t="inlineStr">
        <is>
          <t>615</t>
        </is>
      </c>
      <c r="F1168" s="3" t="inlineStr">
        <is>
          <t>Exit gate</t>
        </is>
      </c>
      <c r="G1168" s="9" t="n">
        <v>223.61</v>
      </c>
      <c r="H1168" s="10" t="n">
        <v>45678.34516203704</v>
      </c>
      <c r="I1168" s="10" t="n">
        <v>45678.34516203704</v>
      </c>
      <c r="J1168" s="10" t="n">
        <v>45678.34601851852</v>
      </c>
      <c r="K1168" s="11" t="n">
        <v>0.0008564814814814815</v>
      </c>
      <c r="L1168" s="13" t="n"/>
    </row>
    <row r="1169">
      <c r="A1169" s="3" t="inlineStr">
        <is>
          <t>DepartureDrive</t>
        </is>
      </c>
      <c r="B1169" s="3" t="inlineStr">
        <is>
          <t>Act_DEPD_OBT200125125954-Wien Kledering_083636_627</t>
        </is>
      </c>
      <c r="C1169" s="3" t="inlineStr">
        <is>
          <t>OBT200125125954-Wien Kledering</t>
        </is>
      </c>
      <c r="D1169" s="9" t="n">
        <v>105</v>
      </c>
      <c r="E1169" s="3" t="inlineStr">
        <is>
          <t>627</t>
        </is>
      </c>
      <c r="F1169" s="3" t="inlineStr">
        <is>
          <t>Exit gate</t>
        </is>
      </c>
      <c r="G1169" s="9" t="n">
        <v>188.33</v>
      </c>
      <c r="H1169" s="10" t="n">
        <v>45678.35875</v>
      </c>
      <c r="I1169" s="10" t="n">
        <v>45678.35875</v>
      </c>
      <c r="J1169" s="10" t="n">
        <v>45678.35938657408</v>
      </c>
      <c r="K1169" s="11" t="n">
        <v>0.0006365740740740741</v>
      </c>
      <c r="L1169" s="13" t="n"/>
    </row>
    <row r="1170">
      <c r="A1170" s="3" t="inlineStr">
        <is>
          <t>DepartureDrive</t>
        </is>
      </c>
      <c r="B1170" s="3" t="inlineStr">
        <is>
          <t>Act_DEPD_OBT200125105846-Wien Kledering_084027_606</t>
        </is>
      </c>
      <c r="C1170" s="3" t="inlineStr">
        <is>
          <t>OBT200125105846-Wien Kledering</t>
        </is>
      </c>
      <c r="D1170" s="9" t="n">
        <v>153.9</v>
      </c>
      <c r="E1170" s="3" t="inlineStr">
        <is>
          <t>606</t>
        </is>
      </c>
      <c r="F1170" s="3" t="inlineStr">
        <is>
          <t>Exit gate</t>
        </is>
      </c>
      <c r="G1170" s="9" t="n">
        <v>245</v>
      </c>
      <c r="H1170" s="10" t="n">
        <v>45678.36142361111</v>
      </c>
      <c r="I1170" s="10" t="n">
        <v>45678.36142361111</v>
      </c>
      <c r="J1170" s="10" t="n">
        <v>45678.36229166666</v>
      </c>
      <c r="K1170" s="11" t="n">
        <v>0.0008680555555555555</v>
      </c>
      <c r="L1170" s="13" t="n"/>
    </row>
    <row r="1171">
      <c r="A1171" s="3" t="inlineStr">
        <is>
          <t>DepartureDrive</t>
        </is>
      </c>
      <c r="B1171" s="3" t="inlineStr">
        <is>
          <t>Act_DEPD_OBT200125155402-Pitten (Hamburger)_101349_623</t>
        </is>
      </c>
      <c r="C1171" s="3" t="inlineStr">
        <is>
          <t>OBT200125155402-Pitten (Hamburger)</t>
        </is>
      </c>
      <c r="D1171" s="9" t="n">
        <v>140.2</v>
      </c>
      <c r="E1171" s="3" t="inlineStr">
        <is>
          <t>623</t>
        </is>
      </c>
      <c r="F1171" s="3" t="inlineStr">
        <is>
          <t>Exit gate</t>
        </is>
      </c>
      <c r="G1171" s="9" t="n">
        <v>259.31</v>
      </c>
      <c r="H1171" s="10" t="n">
        <v>45678.42626157407</v>
      </c>
      <c r="I1171" s="10" t="n">
        <v>45678.42626157407</v>
      </c>
      <c r="J1171" s="10" t="n">
        <v>45678.42711805556</v>
      </c>
      <c r="K1171" s="11" t="n">
        <v>0.0008564814814814815</v>
      </c>
      <c r="L1171" s="13" t="n"/>
    </row>
    <row r="1172">
      <c r="A1172" s="3" t="inlineStr">
        <is>
          <t>DepartureDrive</t>
        </is>
      </c>
      <c r="B1172" s="3" t="inlineStr">
        <is>
          <t>Act_DEPD_OBT200125144313-Wien Kledering_105559_607</t>
        </is>
      </c>
      <c r="C1172" s="3" t="inlineStr">
        <is>
          <t>OBT200125144313-Wien Kledering</t>
        </is>
      </c>
      <c r="D1172" s="9" t="n">
        <v>389.1</v>
      </c>
      <c r="E1172" s="3" t="inlineStr">
        <is>
          <t>607</t>
        </is>
      </c>
      <c r="F1172" s="3" t="inlineStr">
        <is>
          <t>Exit gate</t>
        </is>
      </c>
      <c r="G1172" s="9" t="n">
        <v>286.14</v>
      </c>
      <c r="H1172" s="10" t="n">
        <v>45678.45554398148</v>
      </c>
      <c r="I1172" s="10" t="n">
        <v>45678.45554398148</v>
      </c>
      <c r="J1172" s="10" t="n">
        <v>45678.45703703703</v>
      </c>
      <c r="K1172" s="11" t="n">
        <v>0.001493055555555556</v>
      </c>
      <c r="L1172" s="13" t="n"/>
    </row>
    <row r="1173">
      <c r="A1173" s="3" t="inlineStr">
        <is>
          <t>DepartureDrive</t>
        </is>
      </c>
      <c r="B1173" s="3" t="inlineStr">
        <is>
          <t>Act_DEPD_OBT200125160533-St. Veit an der Glan_110923_615</t>
        </is>
      </c>
      <c r="C1173" s="3" t="inlineStr">
        <is>
          <t>OBT200125160533-St. Veit an der Glan</t>
        </is>
      </c>
      <c r="D1173" s="9" t="n">
        <v>152.3</v>
      </c>
      <c r="E1173" s="3" t="inlineStr">
        <is>
          <t>615</t>
        </is>
      </c>
      <c r="F1173" s="3" t="inlineStr">
        <is>
          <t>Exit gate</t>
        </is>
      </c>
      <c r="G1173" s="9" t="n">
        <v>223.61</v>
      </c>
      <c r="H1173" s="10" t="n">
        <v>45678.46484953703</v>
      </c>
      <c r="I1173" s="10" t="n">
        <v>45678.46484953703</v>
      </c>
      <c r="J1173" s="10" t="n">
        <v>45678.4656712963</v>
      </c>
      <c r="K1173" s="11" t="n">
        <v>0.0008217592592592593</v>
      </c>
      <c r="L1173" s="13" t="n"/>
    </row>
    <row r="1174">
      <c r="A1174" s="3" t="inlineStr">
        <is>
          <t>DepartureDrive</t>
        </is>
      </c>
      <c r="B1174" s="3" t="inlineStr">
        <is>
          <t>Act_DEPD_OBT200125171741-Wien Kledering_160817_615</t>
        </is>
      </c>
      <c r="C1174" s="3" t="inlineStr">
        <is>
          <t>OBT200125171741-Wien Kledering</t>
        </is>
      </c>
      <c r="D1174" s="9" t="n">
        <v>325.4</v>
      </c>
      <c r="E1174" s="3" t="inlineStr">
        <is>
          <t>615</t>
        </is>
      </c>
      <c r="F1174" s="3" t="inlineStr">
        <is>
          <t>Exit gate</t>
        </is>
      </c>
      <c r="G1174" s="9" t="n">
        <v>223.61</v>
      </c>
      <c r="H1174" s="10" t="n">
        <v>45678.67241898148</v>
      </c>
      <c r="I1174" s="10" t="n">
        <v>45678.67241898148</v>
      </c>
      <c r="J1174" s="10" t="n">
        <v>45678.67363425926</v>
      </c>
      <c r="K1174" s="11" t="n">
        <v>0.001215277777777778</v>
      </c>
      <c r="L1174" s="13" t="n"/>
    </row>
    <row r="1175">
      <c r="A1175" s="3" t="inlineStr">
        <is>
          <t>DepartureDrive</t>
        </is>
      </c>
      <c r="B1175" s="3" t="inlineStr">
        <is>
          <t>Act_DEPD_OBT210125032545-Neunkirchen (loading tracks)_164608_629</t>
        </is>
      </c>
      <c r="C1175" s="3" t="inlineStr">
        <is>
          <t>OBT210125032545-Neunkirchen (loading tracks)</t>
        </is>
      </c>
      <c r="D1175" s="9" t="n">
        <v>295.7</v>
      </c>
      <c r="E1175" s="3" t="inlineStr">
        <is>
          <t>629</t>
        </is>
      </c>
      <c r="F1175" s="3" t="inlineStr">
        <is>
          <t>Exit gate</t>
        </is>
      </c>
      <c r="G1175" s="9" t="n">
        <v>182.11</v>
      </c>
      <c r="H1175" s="10" t="n">
        <v>45678.6987037037</v>
      </c>
      <c r="I1175" s="10" t="n">
        <v>45678.6987037037</v>
      </c>
      <c r="J1175" s="10" t="n">
        <v>45678.69976851852</v>
      </c>
      <c r="K1175" s="11" t="n">
        <v>0.001064814814814815</v>
      </c>
      <c r="L1175" s="13" t="n"/>
    </row>
    <row r="1176">
      <c r="A1176" s="3" t="inlineStr">
        <is>
          <t>DepartureDrive</t>
        </is>
      </c>
      <c r="B1176" s="3" t="inlineStr">
        <is>
          <t>Act_DEPD_OBT200125212137-Wien Kledering_170349_625</t>
        </is>
      </c>
      <c r="C1176" s="3" t="inlineStr">
        <is>
          <t>OBT200125212137-Wien Kledering</t>
        </is>
      </c>
      <c r="D1176" s="9" t="n">
        <v>398</v>
      </c>
      <c r="E1176" s="3" t="inlineStr">
        <is>
          <t>625</t>
        </is>
      </c>
      <c r="F1176" s="3" t="inlineStr">
        <is>
          <t>Exit gate</t>
        </is>
      </c>
      <c r="G1176" s="9" t="n">
        <v>240.31</v>
      </c>
      <c r="H1176" s="10" t="n">
        <v>45678.7109837963</v>
      </c>
      <c r="I1176" s="10" t="n">
        <v>45678.7109837963</v>
      </c>
      <c r="J1176" s="10" t="n">
        <v>45678.71240740741</v>
      </c>
      <c r="K1176" s="11" t="n">
        <v>0.001423611111111111</v>
      </c>
      <c r="L1176" s="13" t="n"/>
    </row>
    <row r="1177">
      <c r="A1177" s="3" t="inlineStr">
        <is>
          <t>DepartureDrive</t>
        </is>
      </c>
      <c r="B1177" s="3" t="inlineStr">
        <is>
          <t>Act_DEPD_OBT210125065252-Wien Kledering_220440_611</t>
        </is>
      </c>
      <c r="C1177" s="3" t="inlineStr">
        <is>
          <t>OBT210125065252-Wien Kledering</t>
        </is>
      </c>
      <c r="D1177" s="9" t="n">
        <v>233.1</v>
      </c>
      <c r="E1177" s="3" t="inlineStr">
        <is>
          <t>611</t>
        </is>
      </c>
      <c r="F1177" s="3" t="inlineStr">
        <is>
          <t>Exit gate</t>
        </is>
      </c>
      <c r="G1177" s="9" t="n">
        <v>231.94</v>
      </c>
      <c r="H1177" s="10" t="n">
        <v>45678.91990740741</v>
      </c>
      <c r="I1177" s="10" t="n">
        <v>45678.91990740741</v>
      </c>
      <c r="J1177" s="10" t="n">
        <v>45678.92092592592</v>
      </c>
      <c r="K1177" s="11" t="n">
        <v>0.001018518518518518</v>
      </c>
      <c r="L1177" s="13" t="n"/>
    </row>
    <row r="1178">
      <c r="A1178" s="3" t="inlineStr">
        <is>
          <t>DepartureDrive</t>
        </is>
      </c>
      <c r="B1178" s="3" t="inlineStr">
        <is>
          <t>Act_DEPD_OBT210125075153-Pitten (Hamburger)_032622_621</t>
        </is>
      </c>
      <c r="C1178" s="3" t="inlineStr">
        <is>
          <t>OBT210125075153-Pitten (Hamburger)</t>
        </is>
      </c>
      <c r="D1178" s="9" t="n">
        <v>116.9</v>
      </c>
      <c r="E1178" s="3" t="inlineStr">
        <is>
          <t>621</t>
        </is>
      </c>
      <c r="F1178" s="3" t="inlineStr">
        <is>
          <t>Exit gate</t>
        </is>
      </c>
      <c r="G1178" s="9" t="n">
        <v>259.31</v>
      </c>
      <c r="H1178" s="10" t="n">
        <v>45679.14331018519</v>
      </c>
      <c r="I1178" s="10" t="n">
        <v>45679.14331018519</v>
      </c>
      <c r="J1178" s="10" t="n">
        <v>45679.14412037037</v>
      </c>
      <c r="K1178" s="11" t="n">
        <v>0.0008101851851851852</v>
      </c>
      <c r="L1178" s="13" t="n"/>
    </row>
    <row r="1179">
      <c r="A1179" s="3" t="inlineStr">
        <is>
          <t>DepartureDrive</t>
        </is>
      </c>
      <c r="B1179" s="3" t="inlineStr">
        <is>
          <t>Act_DEPD_OBT210125080256-Neudörfl (FunderMax)_052215_619</t>
        </is>
      </c>
      <c r="C1179" s="3" t="inlineStr">
        <is>
          <t>OBT210125080256-Neudörfl (FunderMax)</t>
        </is>
      </c>
      <c r="D1179" s="9" t="n">
        <v>117.1</v>
      </c>
      <c r="E1179" s="3" t="inlineStr">
        <is>
          <t>619</t>
        </is>
      </c>
      <c r="F1179" s="3" t="inlineStr">
        <is>
          <t>Exit gate</t>
        </is>
      </c>
      <c r="G1179" s="9" t="n">
        <v>262.93</v>
      </c>
      <c r="H1179" s="10" t="n">
        <v>45679.22378472222</v>
      </c>
      <c r="I1179" s="10" t="n">
        <v>45679.22378472222</v>
      </c>
      <c r="J1179" s="10" t="n">
        <v>45679.22459490741</v>
      </c>
      <c r="K1179" s="11" t="n">
        <v>0.0008101851851851852</v>
      </c>
      <c r="L1179" s="13" t="n"/>
    </row>
    <row r="1180">
      <c r="A1180" s="3" t="inlineStr">
        <is>
          <t>DepartureDrive</t>
        </is>
      </c>
      <c r="B1180" s="3" t="inlineStr">
        <is>
          <t>Act_DEPD_OBT210125080752-Wien Kledering_080336_619</t>
        </is>
      </c>
      <c r="C1180" s="3" t="inlineStr">
        <is>
          <t>OBT210125080752-Wien Kledering</t>
        </is>
      </c>
      <c r="D1180" s="9" t="n">
        <v>339.1</v>
      </c>
      <c r="E1180" s="3" t="inlineStr">
        <is>
          <t>619</t>
        </is>
      </c>
      <c r="F1180" s="3" t="inlineStr">
        <is>
          <t>Exit gate</t>
        </is>
      </c>
      <c r="G1180" s="9" t="n">
        <v>262.93</v>
      </c>
      <c r="H1180" s="10" t="n">
        <v>45679.33583333333</v>
      </c>
      <c r="I1180" s="10" t="n">
        <v>45679.33583333333</v>
      </c>
      <c r="J1180" s="10" t="n">
        <v>45679.33716435185</v>
      </c>
      <c r="K1180" s="11" t="n">
        <v>0.001331018518518518</v>
      </c>
      <c r="L1180" s="13" t="n"/>
    </row>
    <row r="1181">
      <c r="A1181" s="3" t="inlineStr">
        <is>
          <t>DepartureDrive</t>
        </is>
      </c>
      <c r="B1181" s="3" t="inlineStr">
        <is>
          <t>Act_DEPD_OBT210125093211-Wr. Neustadt (Hödlmayr)_081451_606</t>
        </is>
      </c>
      <c r="C1181" s="3" t="inlineStr">
        <is>
          <t>OBT210125093211-Wr. Neustadt (Hödlmayr)</t>
        </is>
      </c>
      <c r="D1181" s="9" t="n">
        <v>108</v>
      </c>
      <c r="E1181" s="3" t="inlineStr">
        <is>
          <t>606</t>
        </is>
      </c>
      <c r="F1181" s="3" t="inlineStr">
        <is>
          <t>Exit gate</t>
        </is>
      </c>
      <c r="G1181" s="9" t="n">
        <v>245</v>
      </c>
      <c r="H1181" s="10" t="n">
        <v>45679.34364583333</v>
      </c>
      <c r="I1181" s="10" t="n">
        <v>45679.34364583333</v>
      </c>
      <c r="J1181" s="10" t="n">
        <v>45679.34440972222</v>
      </c>
      <c r="K1181" s="11" t="n">
        <v>0.0007638888888888889</v>
      </c>
      <c r="L1181" s="13" t="n"/>
    </row>
    <row r="1182">
      <c r="A1182" s="3" t="inlineStr">
        <is>
          <t>DepartureDrive</t>
        </is>
      </c>
      <c r="B1182" s="3" t="inlineStr">
        <is>
          <t>Act_DEPD_OBT210125092833-St. Veit an der Glan_082031_615</t>
        </is>
      </c>
      <c r="C1182" s="3" t="inlineStr">
        <is>
          <t>OBT210125092833-St. Veit an der Glan</t>
        </is>
      </c>
      <c r="D1182" s="9" t="n">
        <v>143.6</v>
      </c>
      <c r="E1182" s="3" t="inlineStr">
        <is>
          <t>615</t>
        </is>
      </c>
      <c r="F1182" s="3" t="inlineStr">
        <is>
          <t>Exit gate</t>
        </is>
      </c>
      <c r="G1182" s="9" t="n">
        <v>223.61</v>
      </c>
      <c r="H1182" s="10" t="n">
        <v>45679.34758101852</v>
      </c>
      <c r="I1182" s="10" t="n">
        <v>45679.34758101852</v>
      </c>
      <c r="J1182" s="10" t="n">
        <v>45679.34836805556</v>
      </c>
      <c r="K1182" s="11" t="n">
        <v>0.000787037037037037</v>
      </c>
      <c r="L1182" s="13" t="n"/>
    </row>
    <row r="1183">
      <c r="A1183" s="3" t="inlineStr">
        <is>
          <t>DepartureDrive</t>
        </is>
      </c>
      <c r="B1183" s="3" t="inlineStr">
        <is>
          <t>Act_DEPD_OBT210125093910-Neudörfl (FunderMax)_083938_627</t>
        </is>
      </c>
      <c r="C1183" s="3" t="inlineStr">
        <is>
          <t>OBT210125093910-Neudörfl (FunderMax)</t>
        </is>
      </c>
      <c r="D1183" s="9" t="n">
        <v>111.4</v>
      </c>
      <c r="E1183" s="3" t="inlineStr">
        <is>
          <t>627</t>
        </is>
      </c>
      <c r="F1183" s="3" t="inlineStr">
        <is>
          <t>Exit gate</t>
        </is>
      </c>
      <c r="G1183" s="9" t="n">
        <v>188.33</v>
      </c>
      <c r="H1183" s="10" t="n">
        <v>45679.36085648148</v>
      </c>
      <c r="I1183" s="10" t="n">
        <v>45679.36085648148</v>
      </c>
      <c r="J1183" s="10" t="n">
        <v>45679.36150462963</v>
      </c>
      <c r="K1183" s="11" t="n">
        <v>0.0006481481481481481</v>
      </c>
      <c r="L1183" s="13" t="n"/>
    </row>
    <row r="1184">
      <c r="A1184" s="3" t="inlineStr">
        <is>
          <t>DepartureDrive</t>
        </is>
      </c>
      <c r="B1184" s="3" t="inlineStr">
        <is>
          <t>Act_DEPD_OBT210125103404-Wien Kledering_103620_619</t>
        </is>
      </c>
      <c r="C1184" s="3" t="inlineStr">
        <is>
          <t>OBT210125103404-Wien Kledering</t>
        </is>
      </c>
      <c r="D1184" s="9" t="n">
        <v>454.8</v>
      </c>
      <c r="E1184" s="3" t="inlineStr">
        <is>
          <t>619</t>
        </is>
      </c>
      <c r="F1184" s="3" t="inlineStr">
        <is>
          <t>Exit gate</t>
        </is>
      </c>
      <c r="G1184" s="9" t="n">
        <v>262.93</v>
      </c>
      <c r="H1184" s="10" t="n">
        <v>45679.44189814815</v>
      </c>
      <c r="I1184" s="10" t="n">
        <v>45679.44189814815</v>
      </c>
      <c r="J1184" s="10" t="n">
        <v>45679.44350694444</v>
      </c>
      <c r="K1184" s="11" t="n">
        <v>0.001608796296296296</v>
      </c>
      <c r="L1184" s="13" t="n"/>
    </row>
    <row r="1185">
      <c r="A1185" s="3" t="inlineStr">
        <is>
          <t>DepartureDrive</t>
        </is>
      </c>
      <c r="B1185" s="3" t="inlineStr">
        <is>
          <t>Act_DEPD_OBT210125150922-Neunkirchen (loading tracks)_110722_617</t>
        </is>
      </c>
      <c r="C1185" s="3" t="inlineStr">
        <is>
          <t>OBT210125150922-Neunkirchen (loading tracks)</t>
        </is>
      </c>
      <c r="D1185" s="9" t="n">
        <v>101.7</v>
      </c>
      <c r="E1185" s="3" t="inlineStr">
        <is>
          <t>617</t>
        </is>
      </c>
      <c r="F1185" s="3" t="inlineStr">
        <is>
          <t>Exit gate</t>
        </is>
      </c>
      <c r="G1185" s="9" t="n">
        <v>262.93</v>
      </c>
      <c r="H1185" s="10" t="n">
        <v>45679.46344907407</v>
      </c>
      <c r="I1185" s="10" t="n">
        <v>45679.46344907407</v>
      </c>
      <c r="J1185" s="10" t="n">
        <v>45679.46422453703</v>
      </c>
      <c r="K1185" s="11" t="n">
        <v>0.0007754629629629629</v>
      </c>
      <c r="L1185" s="13" t="n"/>
    </row>
    <row r="1186">
      <c r="A1186" s="3" t="inlineStr">
        <is>
          <t>DepartureDrive</t>
        </is>
      </c>
      <c r="B1186" s="3" t="inlineStr">
        <is>
          <t>Act_DEPD_OBT210125144735-Wien Kledering_114514_619</t>
        </is>
      </c>
      <c r="C1186" s="3" t="inlineStr">
        <is>
          <t>OBT210125144735-Wien Kledering</t>
        </is>
      </c>
      <c r="D1186" s="9" t="n">
        <v>398</v>
      </c>
      <c r="E1186" s="3" t="inlineStr">
        <is>
          <t>619</t>
        </is>
      </c>
      <c r="F1186" s="3" t="inlineStr">
        <is>
          <t>Exit gate</t>
        </is>
      </c>
      <c r="G1186" s="9" t="n">
        <v>262.93</v>
      </c>
      <c r="H1186" s="10" t="n">
        <v>45679.48974537037</v>
      </c>
      <c r="I1186" s="10" t="n">
        <v>45679.48974537037</v>
      </c>
      <c r="J1186" s="10" t="n">
        <v>45679.49121527778</v>
      </c>
      <c r="K1186" s="11" t="n">
        <v>0.001469907407407407</v>
      </c>
      <c r="L1186" s="13" t="n"/>
    </row>
    <row r="1187">
      <c r="A1187" s="3" t="inlineStr">
        <is>
          <t>DepartureDrive</t>
        </is>
      </c>
      <c r="B1187" s="3" t="inlineStr">
        <is>
          <t>Act_DEPD_OBT210125151409-Neudörfl (FunderMax)_135514_615</t>
        </is>
      </c>
      <c r="C1187" s="3" t="inlineStr">
        <is>
          <t>OBT210125151409-Neudörfl (FunderMax)</t>
        </is>
      </c>
      <c r="D1187" s="9" t="n">
        <v>173.3</v>
      </c>
      <c r="E1187" s="3" t="inlineStr">
        <is>
          <t>615</t>
        </is>
      </c>
      <c r="F1187" s="3" t="inlineStr">
        <is>
          <t>Exit gate</t>
        </is>
      </c>
      <c r="G1187" s="9" t="n">
        <v>223.61</v>
      </c>
      <c r="H1187" s="10" t="n">
        <v>45679.58002314815</v>
      </c>
      <c r="I1187" s="10" t="n">
        <v>45679.58002314815</v>
      </c>
      <c r="J1187" s="10" t="n">
        <v>45679.5808912037</v>
      </c>
      <c r="K1187" s="11" t="n">
        <v>0.0008680555555555555</v>
      </c>
      <c r="L1187" s="13" t="n"/>
    </row>
    <row r="1188">
      <c r="A1188" s="3" t="inlineStr">
        <is>
          <t>DepartureDrive</t>
        </is>
      </c>
      <c r="B1188" s="3" t="inlineStr">
        <is>
          <t>Act_DEPD_OBT210125151926-Steinabrückl/Wöllersdorf_155536_623</t>
        </is>
      </c>
      <c r="C1188" s="3" t="inlineStr">
        <is>
          <t>OBT210125151926-Steinabrückl/Wöllersdorf</t>
        </is>
      </c>
      <c r="D1188" s="9" t="n">
        <v>123.7</v>
      </c>
      <c r="E1188" s="3" t="inlineStr">
        <is>
          <t>623</t>
        </is>
      </c>
      <c r="F1188" s="3" t="inlineStr">
        <is>
          <t>Exit gate</t>
        </is>
      </c>
      <c r="G1188" s="9" t="n">
        <v>259.31</v>
      </c>
      <c r="H1188" s="10" t="n">
        <v>45679.66361111111</v>
      </c>
      <c r="I1188" s="10" t="n">
        <v>45679.66361111111</v>
      </c>
      <c r="J1188" s="10" t="n">
        <v>45679.66444444445</v>
      </c>
      <c r="K1188" s="11" t="n">
        <v>0.0008333333333333334</v>
      </c>
      <c r="L1188" s="13" t="n"/>
    </row>
    <row r="1189">
      <c r="A1189" s="3" t="inlineStr">
        <is>
          <t>DepartureDrive</t>
        </is>
      </c>
      <c r="B1189" s="3" t="inlineStr">
        <is>
          <t>Act_DEPD_OBT210125152253-Pitten (Hamburger)_184232_607</t>
        </is>
      </c>
      <c r="C1189" s="3" t="inlineStr">
        <is>
          <t>OBT210125152253-Pitten (Hamburger)</t>
        </is>
      </c>
      <c r="D1189" s="9" t="n">
        <v>209.9</v>
      </c>
      <c r="E1189" s="3" t="inlineStr">
        <is>
          <t>607</t>
        </is>
      </c>
      <c r="F1189" s="3" t="inlineStr">
        <is>
          <t>Exit gate</t>
        </is>
      </c>
      <c r="G1189" s="9" t="n">
        <v>286.14</v>
      </c>
      <c r="H1189" s="10" t="n">
        <v>45679.77953703704</v>
      </c>
      <c r="I1189" s="10" t="n">
        <v>45679.77953703704</v>
      </c>
      <c r="J1189" s="10" t="n">
        <v>45679.78061342592</v>
      </c>
      <c r="K1189" s="11" t="n">
        <v>0.001076388888888889</v>
      </c>
      <c r="L1189" s="13" t="n"/>
    </row>
    <row r="1190">
      <c r="A1190" s="3" t="inlineStr">
        <is>
          <t>DepartureDrive</t>
        </is>
      </c>
      <c r="B1190" s="3" t="inlineStr">
        <is>
          <t>Act_DEPD_OBT210125152947-Wien Kledering_185007_619</t>
        </is>
      </c>
      <c r="C1190" s="3" t="inlineStr">
        <is>
          <t>OBT210125152947-Wien Kledering</t>
        </is>
      </c>
      <c r="D1190" s="9" t="n">
        <v>125.9</v>
      </c>
      <c r="E1190" s="3" t="inlineStr">
        <is>
          <t>619</t>
        </is>
      </c>
      <c r="F1190" s="3" t="inlineStr">
        <is>
          <t>Exit gate</t>
        </is>
      </c>
      <c r="G1190" s="9" t="n">
        <v>262.93</v>
      </c>
      <c r="H1190" s="10" t="n">
        <v>45679.78480324074</v>
      </c>
      <c r="I1190" s="10" t="n">
        <v>45679.78480324074</v>
      </c>
      <c r="J1190" s="10" t="n">
        <v>45679.78564814815</v>
      </c>
      <c r="K1190" s="11" t="n">
        <v>0.0008449074074074074</v>
      </c>
      <c r="L1190" s="13" t="n"/>
    </row>
    <row r="1191">
      <c r="A1191" s="3" t="inlineStr">
        <is>
          <t>DepartureDrive</t>
        </is>
      </c>
      <c r="B1191" s="3" t="inlineStr">
        <is>
          <t>Act_DEPD_OBT210125210727-Wien Kledering_190857_619</t>
        </is>
      </c>
      <c r="C1191" s="3" t="inlineStr">
        <is>
          <t>OBT210125210727-Wien Kledering</t>
        </is>
      </c>
      <c r="D1191" s="9" t="n">
        <v>187.4</v>
      </c>
      <c r="E1191" s="3" t="inlineStr">
        <is>
          <t>619</t>
        </is>
      </c>
      <c r="F1191" s="3" t="inlineStr">
        <is>
          <t>Exit gate</t>
        </is>
      </c>
      <c r="G1191" s="9" t="n">
        <v>262.93</v>
      </c>
      <c r="H1191" s="10" t="n">
        <v>45679.79788194445</v>
      </c>
      <c r="I1191" s="10" t="n">
        <v>45679.79788194445</v>
      </c>
      <c r="J1191" s="10" t="n">
        <v>45679.79885416666</v>
      </c>
      <c r="K1191" s="11" t="n">
        <v>0.0009722222222222222</v>
      </c>
      <c r="L1191" s="13" t="n"/>
    </row>
    <row r="1192">
      <c r="A1192" s="3" t="inlineStr">
        <is>
          <t>DepartureDrive</t>
        </is>
      </c>
      <c r="B1192" s="3" t="inlineStr">
        <is>
          <t>Act_DEPD_OBT220125025432-Other sidings south_214151_615</t>
        </is>
      </c>
      <c r="C1192" s="3" t="inlineStr">
        <is>
          <t>OBT220125025432-Other sidings south</t>
        </is>
      </c>
      <c r="D1192" s="9" t="n">
        <v>219.4</v>
      </c>
      <c r="E1192" s="3" t="inlineStr">
        <is>
          <t>615</t>
        </is>
      </c>
      <c r="F1192" s="3" t="inlineStr">
        <is>
          <t>Exit gate</t>
        </is>
      </c>
      <c r="G1192" s="9" t="n">
        <v>223.61</v>
      </c>
      <c r="H1192" s="10" t="n">
        <v>45679.9040625</v>
      </c>
      <c r="I1192" s="10" t="n">
        <v>45679.9040625</v>
      </c>
      <c r="J1192" s="10" t="n">
        <v>45679.90503472222</v>
      </c>
      <c r="K1192" s="11" t="n">
        <v>0.0009722222222222222</v>
      </c>
      <c r="L1192" s="13" t="n"/>
    </row>
    <row r="1193">
      <c r="A1193" s="3" t="inlineStr">
        <is>
          <t>DepartureDrive</t>
        </is>
      </c>
      <c r="B1193" s="3" t="inlineStr">
        <is>
          <t>Act_DEPD_OBT220125045357-Neudörfl (FunderMax)_044137_625</t>
        </is>
      </c>
      <c r="C1193" s="3" t="inlineStr">
        <is>
          <t>OBT220125045357-Neudörfl (FunderMax)</t>
        </is>
      </c>
      <c r="D1193" s="9" t="n">
        <v>366.6</v>
      </c>
      <c r="E1193" s="3" t="inlineStr">
        <is>
          <t>625</t>
        </is>
      </c>
      <c r="F1193" s="3" t="inlineStr">
        <is>
          <t>Exit gate</t>
        </is>
      </c>
      <c r="G1193" s="9" t="n">
        <v>240.31</v>
      </c>
      <c r="H1193" s="10" t="n">
        <v>45680.19556712963</v>
      </c>
      <c r="I1193" s="10" t="n">
        <v>45680.19556712963</v>
      </c>
      <c r="J1193" s="10" t="n">
        <v>45680.19690972222</v>
      </c>
      <c r="K1193" s="11" t="n">
        <v>0.001342592592592592</v>
      </c>
      <c r="L1193" s="13" t="n"/>
    </row>
    <row r="1194">
      <c r="A1194" s="3" t="inlineStr">
        <is>
          <t>DepartureDrive</t>
        </is>
      </c>
      <c r="B1194" s="3" t="inlineStr">
        <is>
          <t>Act_DEPD_OBT220125063948-Wien Kledering_074715_619</t>
        </is>
      </c>
      <c r="C1194" s="3" t="inlineStr">
        <is>
          <t>OBT220125063948-Wien Kledering</t>
        </is>
      </c>
      <c r="D1194" s="9" t="n">
        <v>291.7</v>
      </c>
      <c r="E1194" s="3" t="inlineStr">
        <is>
          <t>619</t>
        </is>
      </c>
      <c r="F1194" s="3" t="inlineStr">
        <is>
          <t>Exit gate</t>
        </is>
      </c>
      <c r="G1194" s="9" t="n">
        <v>262.93</v>
      </c>
      <c r="H1194" s="10" t="n">
        <v>45680.32447916667</v>
      </c>
      <c r="I1194" s="10" t="n">
        <v>45680.32447916667</v>
      </c>
      <c r="J1194" s="10" t="n">
        <v>45680.32570601852</v>
      </c>
      <c r="K1194" s="11" t="n">
        <v>0.001226851851851852</v>
      </c>
      <c r="L1194" s="13" t="n"/>
    </row>
    <row r="1195">
      <c r="A1195" s="3" t="inlineStr">
        <is>
          <t>DepartureDrive</t>
        </is>
      </c>
      <c r="B1195" s="3" t="inlineStr">
        <is>
          <t>Act_DEPD_OBT220125073335-Other sidings local_074806_605</t>
        </is>
      </c>
      <c r="C1195" s="3" t="inlineStr">
        <is>
          <t>OBT220125073335-Other sidings local</t>
        </is>
      </c>
      <c r="D1195" s="9" t="n">
        <v>106.9</v>
      </c>
      <c r="E1195" s="3" t="inlineStr">
        <is>
          <t>605</t>
        </is>
      </c>
      <c r="F1195" s="3" t="inlineStr">
        <is>
          <t>Exit gate</t>
        </is>
      </c>
      <c r="G1195" s="9" t="n">
        <v>286.14</v>
      </c>
      <c r="H1195" s="10" t="n">
        <v>45680.32506944444</v>
      </c>
      <c r="I1195" s="10" t="n">
        <v>45680.32570601852</v>
      </c>
      <c r="J1195" s="10" t="n">
        <v>45680.32655092593</v>
      </c>
      <c r="K1195" s="11" t="n">
        <v>0.0008449074074074074</v>
      </c>
      <c r="L1195" s="13" t="n"/>
    </row>
    <row r="1196">
      <c r="A1196" s="3" t="inlineStr">
        <is>
          <t>DepartureDrive</t>
        </is>
      </c>
      <c r="B1196" s="3" t="inlineStr">
        <is>
          <t>Act_DEPD_OBT220125094552-Pitten (Hamburger)_084000_627</t>
        </is>
      </c>
      <c r="C1196" s="3" t="inlineStr">
        <is>
          <t>OBT220125094552-Pitten (Hamburger)</t>
        </is>
      </c>
      <c r="D1196" s="9" t="n">
        <v>179.2</v>
      </c>
      <c r="E1196" s="3" t="inlineStr">
        <is>
          <t>627</t>
        </is>
      </c>
      <c r="F1196" s="3" t="inlineStr">
        <is>
          <t>Exit gate</t>
        </is>
      </c>
      <c r="G1196" s="9" t="n">
        <v>188.33</v>
      </c>
      <c r="H1196" s="10" t="n">
        <v>45680.36111111111</v>
      </c>
      <c r="I1196" s="10" t="n">
        <v>45680.36111111111</v>
      </c>
      <c r="J1196" s="10" t="n">
        <v>45680.36192129629</v>
      </c>
      <c r="K1196" s="11" t="n">
        <v>0.0008101851851851852</v>
      </c>
      <c r="L1196" s="13" t="n"/>
    </row>
    <row r="1197">
      <c r="A1197" s="3" t="inlineStr">
        <is>
          <t>DepartureDrive</t>
        </is>
      </c>
      <c r="B1197" s="3" t="inlineStr">
        <is>
          <t>Act_DEPD_OBT220125084547-St. Veit an der Glan_084951_615</t>
        </is>
      </c>
      <c r="C1197" s="3" t="inlineStr">
        <is>
          <t>OBT220125084547-St. Veit an der Glan</t>
        </is>
      </c>
      <c r="D1197" s="9" t="n">
        <v>331.2</v>
      </c>
      <c r="E1197" s="3" t="inlineStr">
        <is>
          <t>615</t>
        </is>
      </c>
      <c r="F1197" s="3" t="inlineStr">
        <is>
          <t>Exit gate</t>
        </is>
      </c>
      <c r="G1197" s="9" t="n">
        <v>223.61</v>
      </c>
      <c r="H1197" s="10" t="n">
        <v>45680.36795138889</v>
      </c>
      <c r="I1197" s="10" t="n">
        <v>45680.36795138889</v>
      </c>
      <c r="J1197" s="10" t="n">
        <v>45680.36918981482</v>
      </c>
      <c r="K1197" s="11" t="n">
        <v>0.001238425925925926</v>
      </c>
      <c r="L1197" s="13" t="n"/>
    </row>
    <row r="1198">
      <c r="A1198" s="3" t="inlineStr">
        <is>
          <t>DepartureDrive</t>
        </is>
      </c>
      <c r="B1198" s="3" t="inlineStr">
        <is>
          <t>Act_DEPD_OBT220125095350-Neunkirchen (loading tracks)_093208_621</t>
        </is>
      </c>
      <c r="C1198" s="3" t="inlineStr">
        <is>
          <t>OBT220125095350-Neunkirchen (loading tracks)</t>
        </is>
      </c>
      <c r="D1198" s="9" t="n">
        <v>114.8</v>
      </c>
      <c r="E1198" s="3" t="inlineStr">
        <is>
          <t>621</t>
        </is>
      </c>
      <c r="F1198" s="3" t="inlineStr">
        <is>
          <t>Exit gate</t>
        </is>
      </c>
      <c r="G1198" s="9" t="n">
        <v>259.31</v>
      </c>
      <c r="H1198" s="10" t="n">
        <v>45680.39731481481</v>
      </c>
      <c r="I1198" s="10" t="n">
        <v>45680.39731481481</v>
      </c>
      <c r="J1198" s="10" t="n">
        <v>45680.398125</v>
      </c>
      <c r="K1198" s="11" t="n">
        <v>0.0008101851851851852</v>
      </c>
      <c r="L1198" s="13" t="n"/>
    </row>
    <row r="1199">
      <c r="A1199" s="3" t="inlineStr">
        <is>
          <t>DepartureDrive</t>
        </is>
      </c>
      <c r="B1199" s="3" t="inlineStr">
        <is>
          <t>Act_DEPD_OBT220125095549-Wr. Neustadt (Hödlmayr)_103016_611</t>
        </is>
      </c>
      <c r="C1199" s="3" t="inlineStr">
        <is>
          <t>OBT220125095549-Wr. Neustadt (Hödlmayr)</t>
        </is>
      </c>
      <c r="D1199" s="9" t="n">
        <v>108</v>
      </c>
      <c r="E1199" s="3" t="inlineStr">
        <is>
          <t>611</t>
        </is>
      </c>
      <c r="F1199" s="3" t="inlineStr">
        <is>
          <t>Exit gate</t>
        </is>
      </c>
      <c r="G1199" s="9" t="n">
        <v>231.94</v>
      </c>
      <c r="H1199" s="10" t="n">
        <v>45680.43768518518</v>
      </c>
      <c r="I1199" s="10" t="n">
        <v>45680.43768518518</v>
      </c>
      <c r="J1199" s="10" t="n">
        <v>45680.43841435185</v>
      </c>
      <c r="K1199" s="11" t="n">
        <v>0.0007291666666666667</v>
      </c>
      <c r="L1199" s="13" t="n"/>
    </row>
    <row r="1200">
      <c r="A1200" s="3" t="inlineStr">
        <is>
          <t>DepartureDrive</t>
        </is>
      </c>
      <c r="B1200" s="3" t="inlineStr">
        <is>
          <t>Act_DEPD_OBT220125100316-Neudörfl (FunderMax)_112548_629</t>
        </is>
      </c>
      <c r="C1200" s="3" t="inlineStr">
        <is>
          <t>OBT220125100316-Neudörfl (FunderMax)</t>
        </is>
      </c>
      <c r="D1200" s="9" t="n">
        <v>132.8</v>
      </c>
      <c r="E1200" s="3" t="inlineStr">
        <is>
          <t>629</t>
        </is>
      </c>
      <c r="F1200" s="3" t="inlineStr">
        <is>
          <t>Exit gate</t>
        </is>
      </c>
      <c r="G1200" s="9" t="n">
        <v>182.11</v>
      </c>
      <c r="H1200" s="10" t="n">
        <v>45680.47625</v>
      </c>
      <c r="I1200" s="10" t="n">
        <v>45680.47625</v>
      </c>
      <c r="J1200" s="10" t="n">
        <v>45680.47693287037</v>
      </c>
      <c r="K1200" s="11" t="n">
        <v>0.0006828703703703704</v>
      </c>
      <c r="L1200" s="13" t="n"/>
    </row>
    <row r="1201">
      <c r="A1201" s="3" t="inlineStr">
        <is>
          <t>DepartureDrive</t>
        </is>
      </c>
      <c r="B1201" s="3" t="inlineStr">
        <is>
          <t>Act_DEPD_OBT220125180146-Felixdorf/Sollenau (Bundesheer, Maba)_160658_609</t>
        </is>
      </c>
      <c r="C1201" s="3" t="inlineStr">
        <is>
          <t>OBT220125180146-Felixdorf/Sollenau (Bundesheer, Maba)</t>
        </is>
      </c>
      <c r="D1201" s="9" t="n">
        <v>119.4</v>
      </c>
      <c r="E1201" s="3" t="inlineStr">
        <is>
          <t>609</t>
        </is>
      </c>
      <c r="F1201" s="3" t="inlineStr">
        <is>
          <t>Exit gate</t>
        </is>
      </c>
      <c r="G1201" s="9" t="n">
        <v>259.16</v>
      </c>
      <c r="H1201" s="10" t="n">
        <v>45680.67150462963</v>
      </c>
      <c r="I1201" s="10" t="n">
        <v>45680.67150462963</v>
      </c>
      <c r="J1201" s="10" t="n">
        <v>45680.67232638889</v>
      </c>
      <c r="K1201" s="11" t="n">
        <v>0.0008217592592592593</v>
      </c>
      <c r="L1201" s="13" t="n"/>
    </row>
    <row r="1202">
      <c r="A1202" s="3" t="inlineStr">
        <is>
          <t>DepartureDrive</t>
        </is>
      </c>
      <c r="B1202" s="3" t="inlineStr">
        <is>
          <t>Act_DEPD_OBT220125104258-Wien Kledering_163707_615</t>
        </is>
      </c>
      <c r="C1202" s="3" t="inlineStr">
        <is>
          <t>OBT220125104258-Wien Kledering</t>
        </is>
      </c>
      <c r="D1202" s="9" t="n">
        <v>446.2</v>
      </c>
      <c r="E1202" s="3" t="inlineStr">
        <is>
          <t>615</t>
        </is>
      </c>
      <c r="F1202" s="3" t="inlineStr">
        <is>
          <t>Exit gate</t>
        </is>
      </c>
      <c r="G1202" s="9" t="n">
        <v>223.61</v>
      </c>
      <c r="H1202" s="10" t="n">
        <v>45680.69244212963</v>
      </c>
      <c r="I1202" s="10" t="n">
        <v>45680.69244212963</v>
      </c>
      <c r="J1202" s="10" t="n">
        <v>45680.69394675926</v>
      </c>
      <c r="K1202" s="11" t="n">
        <v>0.00150462962962963</v>
      </c>
      <c r="L1202" s="13" t="n"/>
    </row>
    <row r="1203">
      <c r="A1203" s="3" t="inlineStr">
        <is>
          <t>DepartureDrive</t>
        </is>
      </c>
      <c r="B1203" s="3" t="inlineStr">
        <is>
          <t>Act_DEPD_OBT220125180607-Wr. Neustadt Ausfahrbf (Furtenbach)_164916_613</t>
        </is>
      </c>
      <c r="C1203" s="3" t="inlineStr">
        <is>
          <t>OBT220125180607-Wr. Neustadt Ausfahrbf (Furtenbach)</t>
        </is>
      </c>
      <c r="D1203" s="9" t="n">
        <v>159.2</v>
      </c>
      <c r="E1203" s="3" t="inlineStr">
        <is>
          <t>613</t>
        </is>
      </c>
      <c r="F1203" s="3" t="inlineStr">
        <is>
          <t>Exit gate</t>
        </is>
      </c>
      <c r="G1203" s="9" t="n">
        <v>205.9</v>
      </c>
      <c r="H1203" s="10" t="n">
        <v>45680.70087962963</v>
      </c>
      <c r="I1203" s="10" t="n">
        <v>45680.70087962963</v>
      </c>
      <c r="J1203" s="10" t="n">
        <v>45680.70167824074</v>
      </c>
      <c r="K1203" s="11" t="n">
        <v>0.0007986111111111112</v>
      </c>
      <c r="L1203" s="13" t="n"/>
    </row>
    <row r="1204">
      <c r="A1204" s="3" t="inlineStr">
        <is>
          <t>DepartureDrive</t>
        </is>
      </c>
      <c r="B1204" s="3" t="inlineStr">
        <is>
          <t>Act_DEPD_OBT220125175314-Wien Kledering_165847_615</t>
        </is>
      </c>
      <c r="C1204" s="3" t="inlineStr">
        <is>
          <t>OBT220125175314-Wien Kledering</t>
        </is>
      </c>
      <c r="D1204" s="9" t="n">
        <v>388.3</v>
      </c>
      <c r="E1204" s="3" t="inlineStr">
        <is>
          <t>615</t>
        </is>
      </c>
      <c r="F1204" s="3" t="inlineStr">
        <is>
          <t>Exit gate</t>
        </is>
      </c>
      <c r="G1204" s="9" t="n">
        <v>223.61</v>
      </c>
      <c r="H1204" s="10" t="n">
        <v>45680.70748842593</v>
      </c>
      <c r="I1204" s="10" t="n">
        <v>45680.70748842593</v>
      </c>
      <c r="J1204" s="10" t="n">
        <v>45680.70885416667</v>
      </c>
      <c r="K1204" s="11" t="n">
        <v>0.001365740740740741</v>
      </c>
      <c r="L1204" s="13" t="n"/>
    </row>
    <row r="1205">
      <c r="A1205" s="3" t="inlineStr">
        <is>
          <t>DepartureDrive</t>
        </is>
      </c>
      <c r="B1205" s="3" t="inlineStr">
        <is>
          <t>Act_DEPD_OBT220125203751-Pitten (Hamburger)_183052_619</t>
        </is>
      </c>
      <c r="C1205" s="3" t="inlineStr">
        <is>
          <t>OBT220125203751-Pitten (Hamburger)</t>
        </is>
      </c>
      <c r="D1205" s="9" t="n">
        <v>107</v>
      </c>
      <c r="E1205" s="3" t="inlineStr">
        <is>
          <t>619</t>
        </is>
      </c>
      <c r="F1205" s="3" t="inlineStr">
        <is>
          <t>Exit gate</t>
        </is>
      </c>
      <c r="G1205" s="9" t="n">
        <v>262.93</v>
      </c>
      <c r="H1205" s="10" t="n">
        <v>45680.77143518518</v>
      </c>
      <c r="I1205" s="10" t="n">
        <v>45680.77143518518</v>
      </c>
      <c r="J1205" s="10" t="n">
        <v>45680.7722337963</v>
      </c>
      <c r="K1205" s="11" t="n">
        <v>0.0007986111111111112</v>
      </c>
      <c r="L1205" s="13" t="n"/>
    </row>
    <row r="1206">
      <c r="A1206" s="3" t="inlineStr">
        <is>
          <t>DepartureDrive</t>
        </is>
      </c>
      <c r="B1206" s="3" t="inlineStr">
        <is>
          <t>Act_DEPD_OBT220125181516-Pitten (Hamburger)_191355_619</t>
        </is>
      </c>
      <c r="C1206" s="3" t="inlineStr">
        <is>
          <t>OBT220125181516-Pitten (Hamburger)</t>
        </is>
      </c>
      <c r="D1206" s="9" t="n">
        <v>295.4</v>
      </c>
      <c r="E1206" s="3" t="inlineStr">
        <is>
          <t>619</t>
        </is>
      </c>
      <c r="F1206" s="3" t="inlineStr">
        <is>
          <t>Exit gate</t>
        </is>
      </c>
      <c r="G1206" s="9" t="n">
        <v>262.93</v>
      </c>
      <c r="H1206" s="10" t="n">
        <v>45680.80133101852</v>
      </c>
      <c r="I1206" s="10" t="n">
        <v>45680.80133101852</v>
      </c>
      <c r="J1206" s="10" t="n">
        <v>45680.80255787037</v>
      </c>
      <c r="K1206" s="11" t="n">
        <v>0.001226851851851852</v>
      </c>
      <c r="L1206" s="13" t="n"/>
    </row>
    <row r="1207">
      <c r="A1207" s="3" t="inlineStr">
        <is>
          <t>DepartureDrive</t>
        </is>
      </c>
      <c r="B1207" s="3" t="inlineStr">
        <is>
          <t>Act_DEPD_OBT220125204226-Neunkirchen (loading tracks)_213701_623</t>
        </is>
      </c>
      <c r="C1207" s="3" t="inlineStr">
        <is>
          <t>OBT220125204226-Neunkirchen (loading tracks)</t>
        </is>
      </c>
      <c r="D1207" s="9" t="n">
        <v>102.8</v>
      </c>
      <c r="E1207" s="3" t="inlineStr">
        <is>
          <t>623</t>
        </is>
      </c>
      <c r="F1207" s="3" t="inlineStr">
        <is>
          <t>Exit gate</t>
        </is>
      </c>
      <c r="G1207" s="9" t="n">
        <v>259.31</v>
      </c>
      <c r="H1207" s="10" t="n">
        <v>45680.90070601852</v>
      </c>
      <c r="I1207" s="10" t="n">
        <v>45680.90070601852</v>
      </c>
      <c r="J1207" s="10" t="n">
        <v>45680.90148148148</v>
      </c>
      <c r="K1207" s="11" t="n">
        <v>0.0007754629629629629</v>
      </c>
      <c r="L1207" s="13" t="n"/>
    </row>
    <row r="1208">
      <c r="A1208" s="3" t="inlineStr">
        <is>
          <t>DepartureDrive</t>
        </is>
      </c>
      <c r="B1208" s="3" t="inlineStr">
        <is>
          <t>Act_DEPD_OBT220125205009-Other sidings local_033937_606</t>
        </is>
      </c>
      <c r="C1208" s="3" t="inlineStr">
        <is>
          <t>OBT220125205009-Other sidings local</t>
        </is>
      </c>
      <c r="D1208" s="9" t="n">
        <v>113.3</v>
      </c>
      <c r="E1208" s="3" t="inlineStr">
        <is>
          <t>606</t>
        </is>
      </c>
      <c r="F1208" s="3" t="inlineStr">
        <is>
          <t>Exit gate</t>
        </is>
      </c>
      <c r="G1208" s="9" t="n">
        <v>245</v>
      </c>
      <c r="H1208" s="10" t="n">
        <v>45681.15251157407</v>
      </c>
      <c r="I1208" s="10" t="n">
        <v>45681.15251157407</v>
      </c>
      <c r="J1208" s="10" t="n">
        <v>45681.15327546297</v>
      </c>
      <c r="K1208" s="11" t="n">
        <v>0.0007638888888888889</v>
      </c>
      <c r="L1208" s="13" t="n"/>
    </row>
    <row r="1209">
      <c r="A1209" s="3" t="inlineStr">
        <is>
          <t>DepartureDrive</t>
        </is>
      </c>
      <c r="B1209" s="3" t="inlineStr">
        <is>
          <t>Act_DEPD_OBT230125030314-Neunkirchen (loading tracks)_051723_615</t>
        </is>
      </c>
      <c r="C1209" s="3" t="inlineStr">
        <is>
          <t>OBT230125030314-Neunkirchen (loading tracks)</t>
        </is>
      </c>
      <c r="D1209" s="9" t="n">
        <v>123.8</v>
      </c>
      <c r="E1209" s="3" t="inlineStr">
        <is>
          <t>615</t>
        </is>
      </c>
      <c r="F1209" s="3" t="inlineStr">
        <is>
          <t>Exit gate</t>
        </is>
      </c>
      <c r="G1209" s="9" t="n">
        <v>223.61</v>
      </c>
      <c r="H1209" s="10" t="n">
        <v>45681.22040509259</v>
      </c>
      <c r="I1209" s="10" t="n">
        <v>45681.22040509259</v>
      </c>
      <c r="J1209" s="10" t="n">
        <v>45681.22115740741</v>
      </c>
      <c r="K1209" s="11" t="n">
        <v>0.0007523148148148148</v>
      </c>
      <c r="L1209" s="13" t="n"/>
    </row>
    <row r="1210">
      <c r="A1210" s="3" t="inlineStr">
        <is>
          <t>DepartureDrive</t>
        </is>
      </c>
      <c r="B1210" s="3" t="inlineStr">
        <is>
          <t>Act_DEPD_OBT230125030603-Ternitz (Schoeller-Bleckmann)_065448_621</t>
        </is>
      </c>
      <c r="C1210" s="3" t="inlineStr">
        <is>
          <t>OBT230125030603-Ternitz (Schoeller-Bleckmann)</t>
        </is>
      </c>
      <c r="D1210" s="9" t="n">
        <v>107.9</v>
      </c>
      <c r="E1210" s="3" t="inlineStr">
        <is>
          <t>621</t>
        </is>
      </c>
      <c r="F1210" s="3" t="inlineStr">
        <is>
          <t>Exit gate</t>
        </is>
      </c>
      <c r="G1210" s="9" t="n">
        <v>259.31</v>
      </c>
      <c r="H1210" s="10" t="n">
        <v>45681.28805555555</v>
      </c>
      <c r="I1210" s="10" t="n">
        <v>45681.28805555555</v>
      </c>
      <c r="J1210" s="10" t="n">
        <v>45681.28884259259</v>
      </c>
      <c r="K1210" s="11" t="n">
        <v>0.000787037037037037</v>
      </c>
      <c r="L1210" s="13" t="n"/>
    </row>
    <row r="1211">
      <c r="A1211" s="3" t="inlineStr">
        <is>
          <t>DepartureDrive</t>
        </is>
      </c>
      <c r="B1211" s="3" t="inlineStr">
        <is>
          <t>Act_DEPD_OBT230125063522-Wien Kledering_074928_625</t>
        </is>
      </c>
      <c r="C1211" s="3" t="inlineStr">
        <is>
          <t>OBT230125063522-Wien Kledering</t>
        </is>
      </c>
      <c r="D1211" s="9" t="n">
        <v>144.4</v>
      </c>
      <c r="E1211" s="3" t="inlineStr">
        <is>
          <t>625</t>
        </is>
      </c>
      <c r="F1211" s="3" t="inlineStr">
        <is>
          <t>Exit gate</t>
        </is>
      </c>
      <c r="G1211" s="9" t="n">
        <v>240.31</v>
      </c>
      <c r="H1211" s="10" t="n">
        <v>45681.32601851852</v>
      </c>
      <c r="I1211" s="10" t="n">
        <v>45681.32601851852</v>
      </c>
      <c r="J1211" s="10" t="n">
        <v>45681.32685185185</v>
      </c>
      <c r="K1211" s="11" t="n">
        <v>0.0008333333333333334</v>
      </c>
      <c r="L1211" s="13" t="n"/>
    </row>
    <row r="1212">
      <c r="A1212" s="3" t="inlineStr">
        <is>
          <t>DepartureDrive</t>
        </is>
      </c>
      <c r="B1212" s="3" t="inlineStr">
        <is>
          <t>Act_DEPD_OBT230125071649-Other sidings south_080224_615</t>
        </is>
      </c>
      <c r="C1212" s="3" t="inlineStr">
        <is>
          <t>OBT230125071649-Other sidings south</t>
        </is>
      </c>
      <c r="D1212" s="9" t="n">
        <v>117.8</v>
      </c>
      <c r="E1212" s="3" t="inlineStr">
        <is>
          <t>615</t>
        </is>
      </c>
      <c r="F1212" s="3" t="inlineStr">
        <is>
          <t>Exit gate</t>
        </is>
      </c>
      <c r="G1212" s="9" t="n">
        <v>223.61</v>
      </c>
      <c r="H1212" s="10" t="n">
        <v>45681.335</v>
      </c>
      <c r="I1212" s="10" t="n">
        <v>45681.335</v>
      </c>
      <c r="J1212" s="10" t="n">
        <v>45681.33572916667</v>
      </c>
      <c r="K1212" s="11" t="n">
        <v>0.0007291666666666667</v>
      </c>
      <c r="L1212" s="13" t="n"/>
    </row>
    <row r="1213">
      <c r="A1213" s="3" t="inlineStr">
        <is>
          <t>DepartureDrive</t>
        </is>
      </c>
      <c r="B1213" s="3" t="inlineStr">
        <is>
          <t>Act_DEPD_OBT230125090110-Wien Kledering_084328_627</t>
        </is>
      </c>
      <c r="C1213" s="3" t="inlineStr">
        <is>
          <t>OBT230125090110-Wien Kledering</t>
        </is>
      </c>
      <c r="D1213" s="9" t="n">
        <v>177.8</v>
      </c>
      <c r="E1213" s="3" t="inlineStr">
        <is>
          <t>627</t>
        </is>
      </c>
      <c r="F1213" s="3" t="inlineStr">
        <is>
          <t>Exit gate</t>
        </is>
      </c>
      <c r="G1213" s="9" t="n">
        <v>188.33</v>
      </c>
      <c r="H1213" s="10" t="n">
        <v>45681.36351851852</v>
      </c>
      <c r="I1213" s="10" t="n">
        <v>45681.36351851852</v>
      </c>
      <c r="J1213" s="10" t="n">
        <v>45681.3643287037</v>
      </c>
      <c r="K1213" s="11" t="n">
        <v>0.0008101851851851852</v>
      </c>
      <c r="L1213" s="13" t="n"/>
    </row>
    <row r="1214">
      <c r="A1214" s="3" t="inlineStr">
        <is>
          <t>DepartureDrive</t>
        </is>
      </c>
      <c r="B1214" s="3" t="inlineStr">
        <is>
          <t>Act_DEPD_OBT230125090423-St. Veit an der Glan_095858_605</t>
        </is>
      </c>
      <c r="C1214" s="3" t="inlineStr">
        <is>
          <t>OBT230125090423-St. Veit an der Glan</t>
        </is>
      </c>
      <c r="D1214" s="9" t="n">
        <v>218.7</v>
      </c>
      <c r="E1214" s="3" t="inlineStr">
        <is>
          <t>605</t>
        </is>
      </c>
      <c r="F1214" s="3" t="inlineStr">
        <is>
          <t>Exit gate</t>
        </is>
      </c>
      <c r="G1214" s="9" t="n">
        <v>286.14</v>
      </c>
      <c r="H1214" s="10" t="n">
        <v>45681.41594907407</v>
      </c>
      <c r="I1214" s="10" t="n">
        <v>45681.41594907407</v>
      </c>
      <c r="J1214" s="10" t="n">
        <v>45681.41704861111</v>
      </c>
      <c r="K1214" s="11" t="n">
        <v>0.001099537037037037</v>
      </c>
      <c r="L1214" s="13" t="n"/>
    </row>
    <row r="1215">
      <c r="A1215" s="3" t="inlineStr">
        <is>
          <t>DepartureDrive</t>
        </is>
      </c>
      <c r="B1215" s="3" t="inlineStr">
        <is>
          <t>Act_DEPD_OBT230125095448-Neudörfl (FunderMax)_101511_617</t>
        </is>
      </c>
      <c r="C1215" s="3" t="inlineStr">
        <is>
          <t>OBT230125095448-Neudörfl (FunderMax)</t>
        </is>
      </c>
      <c r="D1215" s="9" t="n">
        <v>152.3</v>
      </c>
      <c r="E1215" s="3" t="inlineStr">
        <is>
          <t>617</t>
        </is>
      </c>
      <c r="F1215" s="3" t="inlineStr">
        <is>
          <t>Exit gate</t>
        </is>
      </c>
      <c r="G1215" s="9" t="n">
        <v>262.93</v>
      </c>
      <c r="H1215" s="10" t="n">
        <v>45681.42721064815</v>
      </c>
      <c r="I1215" s="10" t="n">
        <v>45681.42721064815</v>
      </c>
      <c r="J1215" s="10" t="n">
        <v>45681.42811342593</v>
      </c>
      <c r="K1215" s="11" t="n">
        <v>0.0009027777777777777</v>
      </c>
      <c r="L1215" s="13" t="n"/>
    </row>
    <row r="1216">
      <c r="A1216" s="3" t="inlineStr">
        <is>
          <t>DepartureDrive</t>
        </is>
      </c>
      <c r="B1216" s="3" t="inlineStr">
        <is>
          <t>Act_DEPD_OBT230125095729-Other sidings north_105257_629</t>
        </is>
      </c>
      <c r="C1216" s="3" t="inlineStr">
        <is>
          <t>OBT230125095729-Other sidings north</t>
        </is>
      </c>
      <c r="D1216" s="9" t="n">
        <v>165</v>
      </c>
      <c r="E1216" s="3" t="inlineStr">
        <is>
          <t>629</t>
        </is>
      </c>
      <c r="F1216" s="3" t="inlineStr">
        <is>
          <t>Exit gate</t>
        </is>
      </c>
      <c r="G1216" s="9" t="n">
        <v>182.11</v>
      </c>
      <c r="H1216" s="10" t="n">
        <v>45681.4534375</v>
      </c>
      <c r="I1216" s="10" t="n">
        <v>45681.4534375</v>
      </c>
      <c r="J1216" s="10" t="n">
        <v>45681.45420138889</v>
      </c>
      <c r="K1216" s="11" t="n">
        <v>0.0007638888888888889</v>
      </c>
      <c r="L1216" s="13" t="n"/>
    </row>
    <row r="1217">
      <c r="A1217" s="3" t="inlineStr">
        <is>
          <t>DepartureDrive</t>
        </is>
      </c>
      <c r="B1217" s="3" t="inlineStr">
        <is>
          <t>Act_DEPD_OBT230125100554-Pitten (Hamburger)_140050_619</t>
        </is>
      </c>
      <c r="C1217" s="3" t="inlineStr">
        <is>
          <t>OBT230125100554-Pitten (Hamburger)</t>
        </is>
      </c>
      <c r="D1217" s="9" t="n">
        <v>176.9</v>
      </c>
      <c r="E1217" s="3" t="inlineStr">
        <is>
          <t>619</t>
        </is>
      </c>
      <c r="F1217" s="3" t="inlineStr">
        <is>
          <t>Exit gate</t>
        </is>
      </c>
      <c r="G1217" s="9" t="n">
        <v>262.93</v>
      </c>
      <c r="H1217" s="10" t="n">
        <v>45681.58391203704</v>
      </c>
      <c r="I1217" s="10" t="n">
        <v>45681.58391203704</v>
      </c>
      <c r="J1217" s="10" t="n">
        <v>45681.58487268518</v>
      </c>
      <c r="K1217" s="11" t="n">
        <v>0.0009606481481481482</v>
      </c>
      <c r="L1217" s="13" t="n"/>
    </row>
    <row r="1218">
      <c r="A1218" s="3" t="inlineStr">
        <is>
          <t>DepartureDrive</t>
        </is>
      </c>
      <c r="B1218" s="3" t="inlineStr">
        <is>
          <t>Act_DEPD_OBT230125174306-Other sidings north_161459_629</t>
        </is>
      </c>
      <c r="C1218" s="3" t="inlineStr">
        <is>
          <t>OBT230125174306-Other sidings north</t>
        </is>
      </c>
      <c r="D1218" s="9" t="n">
        <v>130.2</v>
      </c>
      <c r="E1218" s="3" t="inlineStr">
        <is>
          <t>629</t>
        </is>
      </c>
      <c r="F1218" s="3" t="inlineStr">
        <is>
          <t>Exit gate</t>
        </is>
      </c>
      <c r="G1218" s="9" t="n">
        <v>182.11</v>
      </c>
      <c r="H1218" s="10" t="n">
        <v>45681.67707175926</v>
      </c>
      <c r="I1218" s="10" t="n">
        <v>45681.67707175926</v>
      </c>
      <c r="J1218" s="10" t="n">
        <v>45681.67775462963</v>
      </c>
      <c r="K1218" s="11" t="n">
        <v>0.0006828703703703704</v>
      </c>
      <c r="L1218" s="13" t="n"/>
    </row>
    <row r="1219">
      <c r="A1219" s="3" t="inlineStr">
        <is>
          <t>DepartureDrive</t>
        </is>
      </c>
      <c r="B1219" s="3" t="inlineStr">
        <is>
          <t>Act_DEPD_OBT230125105334-Wien Kledering_162805_621</t>
        </is>
      </c>
      <c r="C1219" s="3" t="inlineStr">
        <is>
          <t>OBT230125105334-Wien Kledering</t>
        </is>
      </c>
      <c r="D1219" s="9" t="n">
        <v>407.8</v>
      </c>
      <c r="E1219" s="3" t="inlineStr">
        <is>
          <t>621</t>
        </is>
      </c>
      <c r="F1219" s="3" t="inlineStr">
        <is>
          <t>Exit gate</t>
        </is>
      </c>
      <c r="G1219" s="9" t="n">
        <v>259.31</v>
      </c>
      <c r="H1219" s="10" t="n">
        <v>45681.68616898148</v>
      </c>
      <c r="I1219" s="10" t="n">
        <v>45681.68616898148</v>
      </c>
      <c r="J1219" s="10" t="n">
        <v>45681.68765046296</v>
      </c>
      <c r="K1219" s="11" t="n">
        <v>0.001481481481481481</v>
      </c>
      <c r="L1219" s="13" t="n"/>
    </row>
    <row r="1220">
      <c r="A1220" s="3" t="inlineStr">
        <is>
          <t>DepartureDrive</t>
        </is>
      </c>
      <c r="B1220" s="3" t="inlineStr">
        <is>
          <t>Act_DEPD_OBT230125144630-Wien Kledering_171609_611</t>
        </is>
      </c>
      <c r="C1220" s="3" t="inlineStr">
        <is>
          <t>OBT230125144630-Wien Kledering</t>
        </is>
      </c>
      <c r="D1220" s="9" t="n">
        <v>396.6</v>
      </c>
      <c r="E1220" s="3" t="inlineStr">
        <is>
          <t>611</t>
        </is>
      </c>
      <c r="F1220" s="3" t="inlineStr">
        <is>
          <t>Exit gate</t>
        </is>
      </c>
      <c r="G1220" s="9" t="n">
        <v>231.94</v>
      </c>
      <c r="H1220" s="10" t="n">
        <v>45681.71954861111</v>
      </c>
      <c r="I1220" s="10" t="n">
        <v>45681.71954861111</v>
      </c>
      <c r="J1220" s="10" t="n">
        <v>45681.72094907407</v>
      </c>
      <c r="K1220" s="11" t="n">
        <v>0.001400462962962963</v>
      </c>
      <c r="L1220" s="13" t="n"/>
    </row>
    <row r="1221">
      <c r="A1221" s="3" t="inlineStr">
        <is>
          <t>DepartureDrive</t>
        </is>
      </c>
      <c r="B1221" s="3" t="inlineStr">
        <is>
          <t>Act_DEPD_OBT230125175458-Wr. Neustadt Ausfahrbf (Furtenbach)_181025_607</t>
        </is>
      </c>
      <c r="C1221" s="3" t="inlineStr">
        <is>
          <t>OBT230125175458-Wr. Neustadt Ausfahrbf (Furtenbach)</t>
        </is>
      </c>
      <c r="D1221" s="9" t="n">
        <v>106.9</v>
      </c>
      <c r="E1221" s="3" t="inlineStr">
        <is>
          <t>607</t>
        </is>
      </c>
      <c r="F1221" s="3" t="inlineStr">
        <is>
          <t>Exit gate</t>
        </is>
      </c>
      <c r="G1221" s="9" t="n">
        <v>286.14</v>
      </c>
      <c r="H1221" s="10" t="n">
        <v>45681.7572337963</v>
      </c>
      <c r="I1221" s="10" t="n">
        <v>45681.7572337963</v>
      </c>
      <c r="J1221" s="10" t="n">
        <v>45681.7580787037</v>
      </c>
      <c r="K1221" s="11" t="n">
        <v>0.0008449074074074074</v>
      </c>
      <c r="L1221" s="13" t="n"/>
    </row>
    <row r="1222">
      <c r="A1222" s="3" t="inlineStr">
        <is>
          <t>DepartureDrive</t>
        </is>
      </c>
      <c r="B1222" s="3" t="inlineStr">
        <is>
          <t>Act_DEPD_OBT230125175919-Pitten (Hamburger)_181752_613</t>
        </is>
      </c>
      <c r="C1222" s="3" t="inlineStr">
        <is>
          <t>OBT230125175919-Pitten (Hamburger)</t>
        </is>
      </c>
      <c r="D1222" s="9" t="n">
        <v>117.7</v>
      </c>
      <c r="E1222" s="3" t="inlineStr">
        <is>
          <t>613</t>
        </is>
      </c>
      <c r="F1222" s="3" t="inlineStr">
        <is>
          <t>Exit gate</t>
        </is>
      </c>
      <c r="G1222" s="9" t="n">
        <v>205.9</v>
      </c>
      <c r="H1222" s="10" t="n">
        <v>45681.7624074074</v>
      </c>
      <c r="I1222" s="10" t="n">
        <v>45681.7624074074</v>
      </c>
      <c r="J1222" s="10" t="n">
        <v>45681.76310185185</v>
      </c>
      <c r="K1222" s="11" t="n">
        <v>0.0006944444444444445</v>
      </c>
      <c r="L1222" s="13" t="n"/>
    </row>
    <row r="1223">
      <c r="A1223" s="3" t="inlineStr">
        <is>
          <t>DepartureDrive</t>
        </is>
      </c>
      <c r="B1223" s="3" t="inlineStr">
        <is>
          <t>Act_DEPD_OBT230125211356-Wien Kledering_024517_609</t>
        </is>
      </c>
      <c r="C1223" s="3" t="inlineStr">
        <is>
          <t>OBT230125211356-Wien Kledering</t>
        </is>
      </c>
      <c r="D1223" s="9" t="n">
        <v>140.2</v>
      </c>
      <c r="E1223" s="3" t="inlineStr">
        <is>
          <t>609</t>
        </is>
      </c>
      <c r="F1223" s="3" t="inlineStr">
        <is>
          <t>Exit gate</t>
        </is>
      </c>
      <c r="G1223" s="9" t="n">
        <v>259.16</v>
      </c>
      <c r="H1223" s="10" t="n">
        <v>45682.11478009259</v>
      </c>
      <c r="I1223" s="10" t="n">
        <v>45682.11478009259</v>
      </c>
      <c r="J1223" s="10" t="n">
        <v>45682.11563657408</v>
      </c>
      <c r="K1223" s="11" t="n">
        <v>0.0008564814814814815</v>
      </c>
      <c r="L1223" s="13" t="n"/>
    </row>
    <row r="1224">
      <c r="A1224" s="3" t="inlineStr">
        <is>
          <t>DepartureDrive</t>
        </is>
      </c>
      <c r="B1224" s="3" t="inlineStr">
        <is>
          <t>Act_DEPD_OBT240125030555-Neunkirchen (loading tracks)_185627_619</t>
        </is>
      </c>
      <c r="C1224" s="3" t="inlineStr">
        <is>
          <t>OBT240125030555-Neunkirchen (loading tracks)</t>
        </is>
      </c>
      <c r="D1224" s="9" t="n">
        <v>164.7</v>
      </c>
      <c r="E1224" s="3" t="inlineStr">
        <is>
          <t>619</t>
        </is>
      </c>
      <c r="F1224" s="3" t="inlineStr">
        <is>
          <t>Exit gate</t>
        </is>
      </c>
      <c r="G1224" s="9" t="n">
        <v>262.93</v>
      </c>
      <c r="H1224" s="10" t="n">
        <v>45683.78920138889</v>
      </c>
      <c r="I1224" s="10" t="n">
        <v>45683.78920138889</v>
      </c>
      <c r="J1224" s="10" t="n">
        <v>45683.79012731482</v>
      </c>
      <c r="K1224" s="11" t="n">
        <v>0.000925925925925926</v>
      </c>
      <c r="L1224" s="13" t="n"/>
    </row>
    <row r="1225">
      <c r="A1225" s="3" t="inlineStr">
        <is>
          <t>DepartureDrive</t>
        </is>
      </c>
      <c r="B1225" s="3" t="inlineStr">
        <is>
          <t>Act_DEPD_OBT240125031427-Wr. Neustadt (Hödlmayr)_034057_615</t>
        </is>
      </c>
      <c r="C1225" s="3" t="inlineStr">
        <is>
          <t>OBT240125031427-Wr. Neustadt (Hödlmayr)</t>
        </is>
      </c>
      <c r="D1225" s="9" t="n">
        <v>143.8</v>
      </c>
      <c r="E1225" s="3" t="inlineStr">
        <is>
          <t>615</t>
        </is>
      </c>
      <c r="F1225" s="3" t="inlineStr">
        <is>
          <t>Exit gate</t>
        </is>
      </c>
      <c r="G1225" s="9" t="n">
        <v>223.61</v>
      </c>
      <c r="H1225" s="10" t="n">
        <v>45684.1534375</v>
      </c>
      <c r="I1225" s="10" t="n">
        <v>45684.1534375</v>
      </c>
      <c r="J1225" s="10" t="n">
        <v>45684.15423611111</v>
      </c>
      <c r="K1225" s="11" t="n">
        <v>0.0007986111111111112</v>
      </c>
      <c r="L1225" s="13" t="n"/>
    </row>
    <row r="1226">
      <c r="A1226" s="3" t="inlineStr">
        <is>
          <t>DepartureDrive</t>
        </is>
      </c>
      <c r="B1226" s="3" t="inlineStr">
        <is>
          <t>Act_DEPD_OBT240125044723-Neudörfl (FunderMax)_051805_623</t>
        </is>
      </c>
      <c r="C1226" s="3" t="inlineStr">
        <is>
          <t>OBT240125044723-Neudörfl (FunderMax)</t>
        </is>
      </c>
      <c r="D1226" s="9" t="n">
        <v>118.2</v>
      </c>
      <c r="E1226" s="3" t="inlineStr">
        <is>
          <t>623</t>
        </is>
      </c>
      <c r="F1226" s="3" t="inlineStr">
        <is>
          <t>Exit gate</t>
        </is>
      </c>
      <c r="G1226" s="9" t="n">
        <v>259.31</v>
      </c>
      <c r="H1226" s="10" t="n">
        <v>45684.2208912037</v>
      </c>
      <c r="I1226" s="10" t="n">
        <v>45684.2208912037</v>
      </c>
      <c r="J1226" s="10" t="n">
        <v>45684.22171296296</v>
      </c>
      <c r="K1226" s="11" t="n">
        <v>0.0008217592592592593</v>
      </c>
      <c r="L1226" s="13" t="n"/>
    </row>
    <row r="1227">
      <c r="A1227" s="3" t="inlineStr">
        <is>
          <t>DepartureDrive</t>
        </is>
      </c>
      <c r="B1227" s="3" t="inlineStr">
        <is>
          <t>Act_DEPD_OBT240125062847-Wien Kledering_080622_615</t>
        </is>
      </c>
      <c r="C1227" s="3" t="inlineStr">
        <is>
          <t>OBT240125062847-Wien Kledering</t>
        </is>
      </c>
      <c r="D1227" s="9" t="n">
        <v>297</v>
      </c>
      <c r="E1227" s="3" t="inlineStr">
        <is>
          <t>615</t>
        </is>
      </c>
      <c r="F1227" s="3" t="inlineStr">
        <is>
          <t>Exit gate</t>
        </is>
      </c>
      <c r="G1227" s="9" t="n">
        <v>223.61</v>
      </c>
      <c r="H1227" s="10" t="n">
        <v>45684.33775462963</v>
      </c>
      <c r="I1227" s="10" t="n">
        <v>45684.33775462963</v>
      </c>
      <c r="J1227" s="10" t="n">
        <v>45684.33891203703</v>
      </c>
      <c r="K1227" s="11" t="n">
        <v>0.001157407407407407</v>
      </c>
      <c r="L1227" s="13" t="n"/>
    </row>
    <row r="1228">
      <c r="A1228" s="3" t="inlineStr">
        <is>
          <t>DepartureDrive</t>
        </is>
      </c>
      <c r="B1228" s="3" t="inlineStr">
        <is>
          <t>Act_DEPD_OBT240125090519-Wien Kledering_081635_627</t>
        </is>
      </c>
      <c r="C1228" s="3" t="inlineStr">
        <is>
          <t>OBT240125090519-Wien Kledering</t>
        </is>
      </c>
      <c r="D1228" s="9" t="n">
        <v>111.4</v>
      </c>
      <c r="E1228" s="3" t="inlineStr">
        <is>
          <t>627</t>
        </is>
      </c>
      <c r="F1228" s="3" t="inlineStr">
        <is>
          <t>Exit gate</t>
        </is>
      </c>
      <c r="G1228" s="9" t="n">
        <v>188.33</v>
      </c>
      <c r="H1228" s="10" t="n">
        <v>45684.34484953704</v>
      </c>
      <c r="I1228" s="10" t="n">
        <v>45684.34484953704</v>
      </c>
      <c r="J1228" s="10" t="n">
        <v>45684.34549768519</v>
      </c>
      <c r="K1228" s="11" t="n">
        <v>0.0006481481481481481</v>
      </c>
      <c r="L1228" s="13" t="n"/>
    </row>
    <row r="1229">
      <c r="A1229" s="3" t="inlineStr">
        <is>
          <t>DepartureDrive</t>
        </is>
      </c>
      <c r="B1229" s="3" t="inlineStr">
        <is>
          <t>Act_DEPD_OBT240125071418-Wien Kledering_084543_606</t>
        </is>
      </c>
      <c r="C1229" s="3" t="inlineStr">
        <is>
          <t>OBT240125071418-Wien Kledering</t>
        </is>
      </c>
      <c r="D1229" s="9" t="n">
        <v>240.4</v>
      </c>
      <c r="E1229" s="3" t="inlineStr">
        <is>
          <t>606</t>
        </is>
      </c>
      <c r="F1229" s="3" t="inlineStr">
        <is>
          <t>Exit gate</t>
        </is>
      </c>
      <c r="G1229" s="9" t="n">
        <v>245</v>
      </c>
      <c r="H1229" s="10" t="n">
        <v>45684.36508101852</v>
      </c>
      <c r="I1229" s="10" t="n">
        <v>45684.36508101852</v>
      </c>
      <c r="J1229" s="10" t="n">
        <v>45684.36614583333</v>
      </c>
      <c r="K1229" s="11" t="n">
        <v>0.001064814814814815</v>
      </c>
      <c r="L1229" s="13" t="n"/>
    </row>
    <row r="1230">
      <c r="A1230" s="3" t="inlineStr">
        <is>
          <t>DepartureDrive</t>
        </is>
      </c>
      <c r="B1230" s="3" t="inlineStr">
        <is>
          <t>Act_DEPD_OBT240125093343-Pitten (Hamburger)_085342_625</t>
        </is>
      </c>
      <c r="C1230" s="3" t="inlineStr">
        <is>
          <t>OBT240125093343-Pitten (Hamburger)</t>
        </is>
      </c>
      <c r="D1230" s="9" t="n">
        <v>178.4</v>
      </c>
      <c r="E1230" s="3" t="inlineStr">
        <is>
          <t>625</t>
        </is>
      </c>
      <c r="F1230" s="3" t="inlineStr">
        <is>
          <t>Exit gate</t>
        </is>
      </c>
      <c r="G1230" s="9" t="n">
        <v>240.31</v>
      </c>
      <c r="H1230" s="10" t="n">
        <v>45684.370625</v>
      </c>
      <c r="I1230" s="10" t="n">
        <v>45684.370625</v>
      </c>
      <c r="J1230" s="10" t="n">
        <v>45684.37153935185</v>
      </c>
      <c r="K1230" s="11" t="n">
        <v>0.0009143518518518518</v>
      </c>
      <c r="L1230" s="13" t="n"/>
    </row>
    <row r="1231">
      <c r="A1231" s="3" t="inlineStr">
        <is>
          <t>DepartureDrive</t>
        </is>
      </c>
      <c r="B1231" s="3" t="inlineStr">
        <is>
          <t>Act_DEPD_OBT240125101450-St. Veit an der Glan_092044_615</t>
        </is>
      </c>
      <c r="C1231" s="3" t="inlineStr">
        <is>
          <t>OBT240125101450-St. Veit an der Glan</t>
        </is>
      </c>
      <c r="D1231" s="9" t="n">
        <v>139.3</v>
      </c>
      <c r="E1231" s="3" t="inlineStr">
        <is>
          <t>615</t>
        </is>
      </c>
      <c r="F1231" s="3" t="inlineStr">
        <is>
          <t>Exit gate</t>
        </is>
      </c>
      <c r="G1231" s="9" t="n">
        <v>223.61</v>
      </c>
      <c r="H1231" s="10" t="n">
        <v>45684.38939814815</v>
      </c>
      <c r="I1231" s="10" t="n">
        <v>45684.38939814815</v>
      </c>
      <c r="J1231" s="10" t="n">
        <v>45684.39018518518</v>
      </c>
      <c r="K1231" s="11" t="n">
        <v>0.000787037037037037</v>
      </c>
      <c r="L1231" s="13" t="n"/>
    </row>
    <row r="1232">
      <c r="A1232" s="3" t="inlineStr">
        <is>
          <t>DepartureDrive</t>
        </is>
      </c>
      <c r="B1232" s="3" t="inlineStr">
        <is>
          <t>Act_DEPD_OBT240125131735-Wien Kledering_100943_605</t>
        </is>
      </c>
      <c r="C1232" s="3" t="inlineStr">
        <is>
          <t>OBT240125131735-Wien Kledering</t>
        </is>
      </c>
      <c r="D1232" s="9" t="n">
        <v>177.5</v>
      </c>
      <c r="E1232" s="3" t="inlineStr">
        <is>
          <t>605</t>
        </is>
      </c>
      <c r="F1232" s="3" t="inlineStr">
        <is>
          <t>Exit gate</t>
        </is>
      </c>
      <c r="G1232" s="9" t="n">
        <v>286.14</v>
      </c>
      <c r="H1232" s="10" t="n">
        <v>45684.42341435186</v>
      </c>
      <c r="I1232" s="10" t="n">
        <v>45684.42341435186</v>
      </c>
      <c r="J1232" s="10" t="n">
        <v>45684.42442129629</v>
      </c>
      <c r="K1232" s="11" t="n">
        <v>0.001006944444444444</v>
      </c>
      <c r="L1232" s="13" t="n"/>
    </row>
    <row r="1233">
      <c r="A1233" s="3" t="inlineStr">
        <is>
          <t>DepartureDrive</t>
        </is>
      </c>
      <c r="B1233" s="3" t="inlineStr">
        <is>
          <t>Act_DEPD_OBT240125144703-Wien Kledering_120720_619</t>
        </is>
      </c>
      <c r="C1233" s="3" t="inlineStr">
        <is>
          <t>OBT240125144703-Wien Kledering</t>
        </is>
      </c>
      <c r="D1233" s="9" t="n">
        <v>296.1</v>
      </c>
      <c r="E1233" s="3" t="inlineStr">
        <is>
          <t>619</t>
        </is>
      </c>
      <c r="F1233" s="3" t="inlineStr">
        <is>
          <t>Exit gate</t>
        </is>
      </c>
      <c r="G1233" s="9" t="n">
        <v>262.93</v>
      </c>
      <c r="H1233" s="10" t="n">
        <v>45684.50509259259</v>
      </c>
      <c r="I1233" s="10" t="n">
        <v>45684.50509259259</v>
      </c>
      <c r="J1233" s="10" t="n">
        <v>45684.50633101852</v>
      </c>
      <c r="K1233" s="11" t="n">
        <v>0.001238425925925926</v>
      </c>
      <c r="L1233" s="13" t="n"/>
    </row>
    <row r="1234">
      <c r="A1234" s="3" t="inlineStr">
        <is>
          <t>DepartureDrive</t>
        </is>
      </c>
      <c r="B1234" s="3" t="inlineStr">
        <is>
          <t>Act_DEPD_OBT240125152920-Pitten (Hamburger)_132256_629</t>
        </is>
      </c>
      <c r="C1234" s="3" t="inlineStr">
        <is>
          <t>OBT240125152920-Pitten (Hamburger)</t>
        </is>
      </c>
      <c r="D1234" s="9" t="n">
        <v>101.9</v>
      </c>
      <c r="E1234" s="3" t="inlineStr">
        <is>
          <t>629</t>
        </is>
      </c>
      <c r="F1234" s="3" t="inlineStr">
        <is>
          <t>Exit gate</t>
        </is>
      </c>
      <c r="G1234" s="9" t="n">
        <v>182.11</v>
      </c>
      <c r="H1234" s="10" t="n">
        <v>45684.5575925926</v>
      </c>
      <c r="I1234" s="10" t="n">
        <v>45684.5575925926</v>
      </c>
      <c r="J1234" s="10" t="n">
        <v>45684.5582175926</v>
      </c>
      <c r="K1234" s="11" t="n">
        <v>0.000625</v>
      </c>
      <c r="L1234" s="13" t="n"/>
    </row>
    <row r="1235">
      <c r="A1235" s="3" t="inlineStr">
        <is>
          <t>DepartureDrive</t>
        </is>
      </c>
      <c r="B1235" s="3" t="inlineStr">
        <is>
          <t>Act_DEPD_OBT240125174436-Wien Kledering_151351_611</t>
        </is>
      </c>
      <c r="C1235" s="3" t="inlineStr">
        <is>
          <t>OBT240125174436-Wien Kledering</t>
        </is>
      </c>
      <c r="D1235" s="9" t="n">
        <v>134.7</v>
      </c>
      <c r="E1235" s="3" t="inlineStr">
        <is>
          <t>611</t>
        </is>
      </c>
      <c r="F1235" s="3" t="inlineStr">
        <is>
          <t>Exit gate</t>
        </is>
      </c>
      <c r="G1235" s="9" t="n">
        <v>231.94</v>
      </c>
      <c r="H1235" s="10" t="n">
        <v>45684.63461805556</v>
      </c>
      <c r="I1235" s="10" t="n">
        <v>45684.63461805556</v>
      </c>
      <c r="J1235" s="10" t="n">
        <v>45684.63541666666</v>
      </c>
      <c r="K1235" s="11" t="n">
        <v>0.0007986111111111112</v>
      </c>
      <c r="L1235" s="13" t="n"/>
    </row>
    <row r="1236">
      <c r="A1236" s="3" t="inlineStr">
        <is>
          <t>DepartureDrive</t>
        </is>
      </c>
      <c r="B1236" s="3" t="inlineStr">
        <is>
          <t>Act_DEPD_OBT240125174924-Wien Kledering_163651_621</t>
        </is>
      </c>
      <c r="C1236" s="3" t="inlineStr">
        <is>
          <t>OBT240125174924-Wien Kledering</t>
        </is>
      </c>
      <c r="D1236" s="9" t="n">
        <v>232.4</v>
      </c>
      <c r="E1236" s="3" t="inlineStr">
        <is>
          <t>621</t>
        </is>
      </c>
      <c r="F1236" s="3" t="inlineStr">
        <is>
          <t>Exit gate</t>
        </is>
      </c>
      <c r="G1236" s="9" t="n">
        <v>259.31</v>
      </c>
      <c r="H1236" s="10" t="n">
        <v>45684.69225694444</v>
      </c>
      <c r="I1236" s="10" t="n">
        <v>45684.69225694444</v>
      </c>
      <c r="J1236" s="10" t="n">
        <v>45684.69333333334</v>
      </c>
      <c r="K1236" s="11" t="n">
        <v>0.001076388888888889</v>
      </c>
      <c r="L1236" s="13" t="n"/>
    </row>
    <row r="1237">
      <c r="A1237" s="3" t="inlineStr">
        <is>
          <t>DepartureDrive</t>
        </is>
      </c>
      <c r="B1237" s="3" t="inlineStr">
        <is>
          <t>Act_DEPD_OBT250125020542-Pitten (Hamburger)_175535_613</t>
        </is>
      </c>
      <c r="C1237" s="3" t="inlineStr">
        <is>
          <t>OBT250125020542-Pitten (Hamburger)</t>
        </is>
      </c>
      <c r="D1237" s="9" t="n">
        <v>389.1</v>
      </c>
      <c r="E1237" s="3" t="inlineStr">
        <is>
          <t>613</t>
        </is>
      </c>
      <c r="F1237" s="3" t="inlineStr">
        <is>
          <t>Exit gate</t>
        </is>
      </c>
      <c r="G1237" s="9" t="n">
        <v>205.9</v>
      </c>
      <c r="H1237" s="10" t="n">
        <v>45684.74693287037</v>
      </c>
      <c r="I1237" s="10" t="n">
        <v>45684.74693287037</v>
      </c>
      <c r="J1237" s="10" t="n">
        <v>45684.74825231481</v>
      </c>
      <c r="K1237" s="11" t="n">
        <v>0.001319444444444444</v>
      </c>
      <c r="L1237" s="13" t="n"/>
    </row>
    <row r="1238">
      <c r="A1238" s="3" t="inlineStr">
        <is>
          <t>DepartureDrive</t>
        </is>
      </c>
      <c r="B1238" s="3" t="inlineStr">
        <is>
          <t>Act_DEPD_OBT250125021114-Pitten (Hamburger)_182640_629</t>
        </is>
      </c>
      <c r="C1238" s="3" t="inlineStr">
        <is>
          <t>OBT250125021114-Pitten (Hamburger)</t>
        </is>
      </c>
      <c r="D1238" s="9" t="n">
        <v>155.9</v>
      </c>
      <c r="E1238" s="3" t="inlineStr">
        <is>
          <t>629</t>
        </is>
      </c>
      <c r="F1238" s="3" t="inlineStr">
        <is>
          <t>Exit gate</t>
        </is>
      </c>
      <c r="G1238" s="9" t="n">
        <v>182.11</v>
      </c>
      <c r="H1238" s="10" t="n">
        <v>45684.76851851852</v>
      </c>
      <c r="I1238" s="10" t="n">
        <v>45684.76851851852</v>
      </c>
      <c r="J1238" s="10" t="n">
        <v>45684.76925925926</v>
      </c>
      <c r="K1238" s="11" t="n">
        <v>0.0007407407407407407</v>
      </c>
      <c r="L1238" s="13" t="n"/>
    </row>
    <row r="1239">
      <c r="A1239" s="3" t="inlineStr">
        <is>
          <t>DepartureDrive</t>
        </is>
      </c>
      <c r="B1239" s="3" t="inlineStr">
        <is>
          <t>Act_DEPD_OBT260125181348-Pitten (Hamburger)_200253_609</t>
        </is>
      </c>
      <c r="C1239" s="3" t="inlineStr">
        <is>
          <t>OBT260125181348-Pitten (Hamburger)</t>
        </is>
      </c>
      <c r="D1239" s="9" t="n">
        <v>459.5</v>
      </c>
      <c r="E1239" s="3" t="inlineStr">
        <is>
          <t>609</t>
        </is>
      </c>
      <c r="F1239" s="3" t="inlineStr">
        <is>
          <t>Exit gate</t>
        </is>
      </c>
      <c r="G1239" s="9" t="n">
        <v>259.16</v>
      </c>
      <c r="H1239" s="10" t="n">
        <v>45684.83533564815</v>
      </c>
      <c r="I1239" s="10" t="n">
        <v>45684.83533564815</v>
      </c>
      <c r="J1239" s="10" t="n">
        <v>45684.83693287037</v>
      </c>
      <c r="K1239" s="11" t="n">
        <v>0.001597222222222222</v>
      </c>
      <c r="L1239" s="13" t="n"/>
    </row>
    <row r="1240">
      <c r="A1240" s="3" t="inlineStr">
        <is>
          <t>DepartureDrive</t>
        </is>
      </c>
      <c r="B1240" s="3" t="inlineStr">
        <is>
          <t>Act_DEPD_OBT260125181754-Neudörfl (FunderMax)_215204_607</t>
        </is>
      </c>
      <c r="C1240" s="3" t="inlineStr">
        <is>
          <t>OBT260125181754-Neudörfl (FunderMax)</t>
        </is>
      </c>
      <c r="D1240" s="9" t="n">
        <v>138</v>
      </c>
      <c r="E1240" s="3" t="inlineStr">
        <is>
          <t>607</t>
        </is>
      </c>
      <c r="F1240" s="3" t="inlineStr">
        <is>
          <t>Exit gate</t>
        </is>
      </c>
      <c r="G1240" s="9" t="n">
        <v>286.14</v>
      </c>
      <c r="H1240" s="10" t="n">
        <v>45684.9111574074</v>
      </c>
      <c r="I1240" s="10" t="n">
        <v>45684.9111574074</v>
      </c>
      <c r="J1240" s="10" t="n">
        <v>45684.91208333334</v>
      </c>
      <c r="K1240" s="11" t="n">
        <v>0.000925925925925926</v>
      </c>
      <c r="L1240" s="13" t="n"/>
    </row>
    <row r="1241">
      <c r="A1241" s="3" t="inlineStr">
        <is>
          <t>DepartureDrive</t>
        </is>
      </c>
      <c r="B1241" s="3" t="inlineStr">
        <is>
          <t>Act_DEPD_OBT270125030450-Neunkirchen (loading tracks)_041132_617</t>
        </is>
      </c>
      <c r="C1241" s="3" t="inlineStr">
        <is>
          <t>OBT270125030450-Neunkirchen (loading tracks)</t>
        </is>
      </c>
      <c r="D1241" s="9" t="n">
        <v>225.5</v>
      </c>
      <c r="E1241" s="3" t="inlineStr">
        <is>
          <t>617</t>
        </is>
      </c>
      <c r="F1241" s="3" t="inlineStr">
        <is>
          <t>Exit gate</t>
        </is>
      </c>
      <c r="G1241" s="9" t="n">
        <v>262.93</v>
      </c>
      <c r="H1241" s="10" t="n">
        <v>45685.17467592593</v>
      </c>
      <c r="I1241" s="10" t="n">
        <v>45685.17467592593</v>
      </c>
      <c r="J1241" s="10" t="n">
        <v>45685.17574074074</v>
      </c>
      <c r="K1241" s="11" t="n">
        <v>0.001064814814814815</v>
      </c>
      <c r="L1241" s="13" t="n"/>
    </row>
    <row r="1242">
      <c r="A1242" s="3" t="inlineStr">
        <is>
          <t>DepartureDrive</t>
        </is>
      </c>
      <c r="B1242" s="3" t="inlineStr">
        <is>
          <t>Act_DEPD_OBT270125044934-Neudörfl (FunderMax)_080120_615</t>
        </is>
      </c>
      <c r="C1242" s="3" t="inlineStr">
        <is>
          <t>OBT270125044934-Neudörfl (FunderMax)</t>
        </is>
      </c>
      <c r="D1242" s="9" t="n">
        <v>298.2</v>
      </c>
      <c r="E1242" s="3" t="inlineStr">
        <is>
          <t>615</t>
        </is>
      </c>
      <c r="F1242" s="3" t="inlineStr">
        <is>
          <t>Exit gate</t>
        </is>
      </c>
      <c r="G1242" s="9" t="n">
        <v>223.61</v>
      </c>
      <c r="H1242" s="10" t="n">
        <v>45685.33425925926</v>
      </c>
      <c r="I1242" s="10" t="n">
        <v>45685.33425925926</v>
      </c>
      <c r="J1242" s="10" t="n">
        <v>45685.33541666667</v>
      </c>
      <c r="K1242" s="11" t="n">
        <v>0.001157407407407407</v>
      </c>
      <c r="L1242" s="13" t="n"/>
    </row>
    <row r="1243">
      <c r="A1243" s="3" t="inlineStr">
        <is>
          <t>DepartureDrive</t>
        </is>
      </c>
      <c r="B1243" s="3" t="inlineStr">
        <is>
          <t>Act_DEPD_OBT270125074356-Other sidings local_082122_629</t>
        </is>
      </c>
      <c r="C1243" s="3" t="inlineStr">
        <is>
          <t>OBT270125074356-Other sidings local</t>
        </is>
      </c>
      <c r="D1243" s="9" t="n">
        <v>106.9</v>
      </c>
      <c r="E1243" s="3" t="inlineStr">
        <is>
          <t>629</t>
        </is>
      </c>
      <c r="F1243" s="3" t="inlineStr">
        <is>
          <t>Exit gate</t>
        </is>
      </c>
      <c r="G1243" s="9" t="n">
        <v>182.11</v>
      </c>
      <c r="H1243" s="10" t="n">
        <v>45685.3481712963</v>
      </c>
      <c r="I1243" s="10" t="n">
        <v>45685.3481712963</v>
      </c>
      <c r="J1243" s="10" t="n">
        <v>45685.3487962963</v>
      </c>
      <c r="K1243" s="11" t="n">
        <v>0.000625</v>
      </c>
      <c r="L1243" s="13" t="n"/>
    </row>
    <row r="1244">
      <c r="A1244" s="3" t="inlineStr">
        <is>
          <t>DepartureDrive</t>
        </is>
      </c>
      <c r="B1244" s="3" t="inlineStr">
        <is>
          <t>Act_DEPD_OBT270125092111-Pitten (Hamburger)_085234_627</t>
        </is>
      </c>
      <c r="C1244" s="3" t="inlineStr">
        <is>
          <t>OBT270125092111-Pitten (Hamburger)</t>
        </is>
      </c>
      <c r="D1244" s="9" t="n">
        <v>194.9</v>
      </c>
      <c r="E1244" s="3" t="inlineStr">
        <is>
          <t>627</t>
        </is>
      </c>
      <c r="F1244" s="3" t="inlineStr">
        <is>
          <t>Exit gate</t>
        </is>
      </c>
      <c r="G1244" s="9" t="n">
        <v>188.33</v>
      </c>
      <c r="H1244" s="10" t="n">
        <v>45685.36983796296</v>
      </c>
      <c r="I1244" s="10" t="n">
        <v>45685.36983796296</v>
      </c>
      <c r="J1244" s="10" t="n">
        <v>45685.3706712963</v>
      </c>
      <c r="K1244" s="11" t="n">
        <v>0.0008333333333333334</v>
      </c>
      <c r="L1244" s="13" t="n"/>
    </row>
    <row r="1245">
      <c r="A1245" s="3" t="inlineStr">
        <is>
          <t>DepartureDrive</t>
        </is>
      </c>
      <c r="B1245" s="3" t="inlineStr">
        <is>
          <t>Act_DEPD_OBT270125065248-Wien Kledering_090012_623</t>
        </is>
      </c>
      <c r="C1245" s="3" t="inlineStr">
        <is>
          <t>OBT270125065248-Wien Kledering</t>
        </is>
      </c>
      <c r="D1245" s="9" t="n">
        <v>284.8</v>
      </c>
      <c r="E1245" s="3" t="inlineStr">
        <is>
          <t>623</t>
        </is>
      </c>
      <c r="F1245" s="3" t="inlineStr">
        <is>
          <t>Exit gate</t>
        </is>
      </c>
      <c r="G1245" s="9" t="n">
        <v>259.31</v>
      </c>
      <c r="H1245" s="10" t="n">
        <v>45685.37513888889</v>
      </c>
      <c r="I1245" s="10" t="n">
        <v>45685.37513888889</v>
      </c>
      <c r="J1245" s="10" t="n">
        <v>45685.37634259259</v>
      </c>
      <c r="K1245" s="11" t="n">
        <v>0.001203703703703704</v>
      </c>
      <c r="L1245" s="13" t="n"/>
    </row>
    <row r="1246">
      <c r="A1246" s="3" t="inlineStr">
        <is>
          <t>DepartureDrive</t>
        </is>
      </c>
      <c r="B1246" s="3" t="inlineStr">
        <is>
          <t>Act_DEPD_OBT270125125831-Wien Kledering_104847_605</t>
        </is>
      </c>
      <c r="C1246" s="3" t="inlineStr">
        <is>
          <t>OBT270125125831-Wien Kledering</t>
        </is>
      </c>
      <c r="D1246" s="9" t="n">
        <v>212.1</v>
      </c>
      <c r="E1246" s="3" t="inlineStr">
        <is>
          <t>605</t>
        </is>
      </c>
      <c r="F1246" s="3" t="inlineStr">
        <is>
          <t>Exit gate</t>
        </is>
      </c>
      <c r="G1246" s="9" t="n">
        <v>286.14</v>
      </c>
      <c r="H1246" s="10" t="n">
        <v>45685.45054398148</v>
      </c>
      <c r="I1246" s="10" t="n">
        <v>45685.45054398148</v>
      </c>
      <c r="J1246" s="10" t="n">
        <v>45685.45163194444</v>
      </c>
      <c r="K1246" s="11" t="n">
        <v>0.001087962962962963</v>
      </c>
      <c r="L1246" s="13" t="n"/>
    </row>
    <row r="1247">
      <c r="A1247" s="3" t="inlineStr">
        <is>
          <t>DepartureDrive</t>
        </is>
      </c>
      <c r="B1247" s="3" t="inlineStr">
        <is>
          <t>Act_DEPD_OBT270125105122-Wien Kledering_110513_615</t>
        </is>
      </c>
      <c r="C1247" s="3" t="inlineStr">
        <is>
          <t>OBT270125105122-Wien Kledering</t>
        </is>
      </c>
      <c r="D1247" s="9" t="n">
        <v>394.6</v>
      </c>
      <c r="E1247" s="3" t="inlineStr">
        <is>
          <t>615</t>
        </is>
      </c>
      <c r="F1247" s="3" t="inlineStr">
        <is>
          <t>Exit gate</t>
        </is>
      </c>
      <c r="G1247" s="9" t="n">
        <v>223.61</v>
      </c>
      <c r="H1247" s="10" t="n">
        <v>45685.46195601852</v>
      </c>
      <c r="I1247" s="10" t="n">
        <v>45685.46195601852</v>
      </c>
      <c r="J1247" s="10" t="n">
        <v>45685.46333333333</v>
      </c>
      <c r="K1247" s="11" t="n">
        <v>0.001377314814814815</v>
      </c>
      <c r="L1247" s="13" t="n"/>
    </row>
    <row r="1248">
      <c r="A1248" s="3" t="inlineStr">
        <is>
          <t>DepartureDrive</t>
        </is>
      </c>
      <c r="B1248" s="3" t="inlineStr">
        <is>
          <t>Act_DEPD_OBT270125144049-Wien Kledering_123111_619</t>
        </is>
      </c>
      <c r="C1248" s="3" t="inlineStr">
        <is>
          <t>OBT270125144049-Wien Kledering</t>
        </is>
      </c>
      <c r="D1248" s="9" t="n">
        <v>381.6</v>
      </c>
      <c r="E1248" s="3" t="inlineStr">
        <is>
          <t>619</t>
        </is>
      </c>
      <c r="F1248" s="3" t="inlineStr">
        <is>
          <t>Exit gate</t>
        </is>
      </c>
      <c r="G1248" s="9" t="n">
        <v>262.93</v>
      </c>
      <c r="H1248" s="10" t="n">
        <v>45685.52165509259</v>
      </c>
      <c r="I1248" s="10" t="n">
        <v>45685.52165509259</v>
      </c>
      <c r="J1248" s="10" t="n">
        <v>45685.52307870371</v>
      </c>
      <c r="K1248" s="11" t="n">
        <v>0.001423611111111111</v>
      </c>
      <c r="L1248" s="13" t="n"/>
    </row>
    <row r="1249">
      <c r="A1249" s="3" t="inlineStr">
        <is>
          <t>DepartureDrive</t>
        </is>
      </c>
      <c r="B1249" s="3" t="inlineStr">
        <is>
          <t>Act_DEPD_OBT270125161730-St. Veit an der Glan_134153_625</t>
        </is>
      </c>
      <c r="C1249" s="3" t="inlineStr">
        <is>
          <t>OBT270125161730-St. Veit an der Glan</t>
        </is>
      </c>
      <c r="D1249" s="9" t="n">
        <v>118.2</v>
      </c>
      <c r="E1249" s="3" t="inlineStr">
        <is>
          <t>625</t>
        </is>
      </c>
      <c r="F1249" s="3" t="inlineStr">
        <is>
          <t>Exit gate</t>
        </is>
      </c>
      <c r="G1249" s="9" t="n">
        <v>240.31</v>
      </c>
      <c r="H1249" s="10" t="n">
        <v>45685.57075231482</v>
      </c>
      <c r="I1249" s="10" t="n">
        <v>45685.57075231482</v>
      </c>
      <c r="J1249" s="10" t="n">
        <v>45685.57152777778</v>
      </c>
      <c r="K1249" s="11" t="n">
        <v>0.0007754629629629629</v>
      </c>
      <c r="L1249" s="13" t="n"/>
    </row>
    <row r="1250">
      <c r="A1250" s="3" t="inlineStr">
        <is>
          <t>DepartureDrive</t>
        </is>
      </c>
      <c r="B1250" s="3" t="inlineStr">
        <is>
          <t>Act_DEPD_OBT270125162126-Wien Kledering_155531_606</t>
        </is>
      </c>
      <c r="C1250" s="3" t="inlineStr">
        <is>
          <t>OBT270125162126-Wien Kledering</t>
        </is>
      </c>
      <c r="D1250" s="9" t="n">
        <v>321.5</v>
      </c>
      <c r="E1250" s="3" t="inlineStr">
        <is>
          <t>606</t>
        </is>
      </c>
      <c r="F1250" s="3" t="inlineStr">
        <is>
          <t>Exit gate</t>
        </is>
      </c>
      <c r="G1250" s="9" t="n">
        <v>245</v>
      </c>
      <c r="H1250" s="10" t="n">
        <v>45685.66355324074</v>
      </c>
      <c r="I1250" s="10" t="n">
        <v>45685.66355324074</v>
      </c>
      <c r="J1250" s="10" t="n">
        <v>45685.66481481482</v>
      </c>
      <c r="K1250" s="11" t="n">
        <v>0.001261574074074074</v>
      </c>
      <c r="L1250" s="13" t="n"/>
    </row>
    <row r="1251">
      <c r="A1251" s="3" t="inlineStr">
        <is>
          <t>DepartureDrive</t>
        </is>
      </c>
      <c r="B1251" s="3" t="inlineStr">
        <is>
          <t>Act_DEPD_OBT270125174840-Wien Kledering_161101_611</t>
        </is>
      </c>
      <c r="C1251" s="3" t="inlineStr">
        <is>
          <t>OBT270125174840-Wien Kledering</t>
        </is>
      </c>
      <c r="D1251" s="9" t="n">
        <v>232.4</v>
      </c>
      <c r="E1251" s="3" t="inlineStr">
        <is>
          <t>611</t>
        </is>
      </c>
      <c r="F1251" s="3" t="inlineStr">
        <is>
          <t>Exit gate</t>
        </is>
      </c>
      <c r="G1251" s="9" t="n">
        <v>231.94</v>
      </c>
      <c r="H1251" s="10" t="n">
        <v>45685.67431712963</v>
      </c>
      <c r="I1251" s="10" t="n">
        <v>45685.67431712963</v>
      </c>
      <c r="J1251" s="10" t="n">
        <v>45685.67533564815</v>
      </c>
      <c r="K1251" s="11" t="n">
        <v>0.001018518518518518</v>
      </c>
      <c r="L1251" s="13" t="n"/>
    </row>
    <row r="1252">
      <c r="A1252" s="3" t="inlineStr">
        <is>
          <t>DepartureDrive</t>
        </is>
      </c>
      <c r="B1252" s="3" t="inlineStr">
        <is>
          <t>Act_DEPD_OBT270125180405-Wien Kledering_165828_629</t>
        </is>
      </c>
      <c r="C1252" s="3" t="inlineStr">
        <is>
          <t>OBT270125180405-Wien Kledering</t>
        </is>
      </c>
      <c r="D1252" s="9" t="n">
        <v>310.6</v>
      </c>
      <c r="E1252" s="3" t="inlineStr">
        <is>
          <t>629</t>
        </is>
      </c>
      <c r="F1252" s="3" t="inlineStr">
        <is>
          <t>Exit gate</t>
        </is>
      </c>
      <c r="G1252" s="9" t="n">
        <v>182.11</v>
      </c>
      <c r="H1252" s="10" t="n">
        <v>45685.70726851852</v>
      </c>
      <c r="I1252" s="10" t="n">
        <v>45685.70726851852</v>
      </c>
      <c r="J1252" s="10" t="n">
        <v>45685.70836805556</v>
      </c>
      <c r="K1252" s="11" t="n">
        <v>0.001099537037037037</v>
      </c>
      <c r="L1252" s="13" t="n"/>
    </row>
    <row r="1253">
      <c r="A1253" s="3" t="inlineStr">
        <is>
          <t>DepartureDrive</t>
        </is>
      </c>
      <c r="B1253" s="3" t="inlineStr">
        <is>
          <t>Act_DEPD_OBT270125212041-Wien Kledering_213728_613</t>
        </is>
      </c>
      <c r="C1253" s="3" t="inlineStr">
        <is>
          <t>OBT270125212041-Wien Kledering</t>
        </is>
      </c>
      <c r="D1253" s="9" t="n">
        <v>448.7</v>
      </c>
      <c r="E1253" s="3" t="inlineStr">
        <is>
          <t>613</t>
        </is>
      </c>
      <c r="F1253" s="3" t="inlineStr">
        <is>
          <t>Exit gate</t>
        </is>
      </c>
      <c r="G1253" s="9" t="n">
        <v>205.9</v>
      </c>
      <c r="H1253" s="10" t="n">
        <v>45685.90101851852</v>
      </c>
      <c r="I1253" s="10" t="n">
        <v>45685.90101851852</v>
      </c>
      <c r="J1253" s="10" t="n">
        <v>45685.90248842593</v>
      </c>
      <c r="K1253" s="11" t="n">
        <v>0.001469907407407407</v>
      </c>
      <c r="L1253" s="13" t="n"/>
    </row>
    <row r="1254">
      <c r="A1254" s="3" t="inlineStr">
        <is>
          <t>DepartureDrive</t>
        </is>
      </c>
      <c r="B1254" s="3" t="inlineStr">
        <is>
          <t>Act_DEPD_OBT280125031301-Neunkirchen (loading tracks)_214312_615</t>
        </is>
      </c>
      <c r="C1254" s="3" t="inlineStr">
        <is>
          <t>OBT280125031301-Neunkirchen (loading tracks)</t>
        </is>
      </c>
      <c r="D1254" s="9" t="n">
        <v>101.7</v>
      </c>
      <c r="E1254" s="3" t="inlineStr">
        <is>
          <t>615</t>
        </is>
      </c>
      <c r="F1254" s="3" t="inlineStr">
        <is>
          <t>Exit gate</t>
        </is>
      </c>
      <c r="G1254" s="9" t="n">
        <v>223.61</v>
      </c>
      <c r="H1254" s="10" t="n">
        <v>45685.905</v>
      </c>
      <c r="I1254" s="10" t="n">
        <v>45685.905</v>
      </c>
      <c r="J1254" s="10" t="n">
        <v>45685.90570601852</v>
      </c>
      <c r="K1254" s="11" t="n">
        <v>0.0007060185185185185</v>
      </c>
      <c r="L1254" s="13" t="n"/>
    </row>
    <row r="1255">
      <c r="A1255" s="3" t="inlineStr">
        <is>
          <t>DepartureDrive</t>
        </is>
      </c>
      <c r="B1255" s="3" t="inlineStr">
        <is>
          <t>Act_DEPD_OBT280125031334-St. Veit an der Glan_033918_621</t>
        </is>
      </c>
      <c r="C1255" s="3" t="inlineStr">
        <is>
          <t>OBT280125031334-St. Veit an der Glan</t>
        </is>
      </c>
      <c r="D1255" s="9" t="n">
        <v>108.1</v>
      </c>
      <c r="E1255" s="3" t="inlineStr">
        <is>
          <t>621</t>
        </is>
      </c>
      <c r="F1255" s="3" t="inlineStr">
        <is>
          <t>Exit gate</t>
        </is>
      </c>
      <c r="G1255" s="9" t="n">
        <v>259.31</v>
      </c>
      <c r="H1255" s="10" t="n">
        <v>45686.15229166667</v>
      </c>
      <c r="I1255" s="10" t="n">
        <v>45686.15229166667</v>
      </c>
      <c r="J1255" s="10" t="n">
        <v>45686.1530787037</v>
      </c>
      <c r="K1255" s="11" t="n">
        <v>0.000787037037037037</v>
      </c>
      <c r="L1255" s="13" t="n"/>
    </row>
    <row r="1256">
      <c r="A1256" s="3" t="inlineStr">
        <is>
          <t>DepartureDrive</t>
        </is>
      </c>
      <c r="B1256" s="3" t="inlineStr">
        <is>
          <t>Act_DEPD_OBT280125064741-Wien Kledering_054634_607</t>
        </is>
      </c>
      <c r="C1256" s="3" t="inlineStr">
        <is>
          <t>OBT280125064741-Wien Kledering</t>
        </is>
      </c>
      <c r="D1256" s="9" t="n">
        <v>297</v>
      </c>
      <c r="E1256" s="3" t="inlineStr">
        <is>
          <t>607</t>
        </is>
      </c>
      <c r="F1256" s="3" t="inlineStr">
        <is>
          <t>Exit gate</t>
        </is>
      </c>
      <c r="G1256" s="9" t="n">
        <v>286.14</v>
      </c>
      <c r="H1256" s="10" t="n">
        <v>45686.2406712963</v>
      </c>
      <c r="I1256" s="10" t="n">
        <v>45686.2406712963</v>
      </c>
      <c r="J1256" s="10" t="n">
        <v>45686.24194444445</v>
      </c>
      <c r="K1256" s="11" t="n">
        <v>0.001273148148148148</v>
      </c>
      <c r="L1256" s="13" t="n"/>
    </row>
    <row r="1257">
      <c r="A1257" s="3" t="inlineStr">
        <is>
          <t>DepartureDrive</t>
        </is>
      </c>
      <c r="B1257" s="3" t="inlineStr">
        <is>
          <t>Act_DEPD_OBT280125075210-Pitten (Hamburger)_070057_629</t>
        </is>
      </c>
      <c r="C1257" s="3" t="inlineStr">
        <is>
          <t>OBT280125075210-Pitten (Hamburger)</t>
        </is>
      </c>
      <c r="D1257" s="9" t="n">
        <v>115.2</v>
      </c>
      <c r="E1257" s="3" t="inlineStr">
        <is>
          <t>629</t>
        </is>
      </c>
      <c r="F1257" s="3" t="inlineStr">
        <is>
          <t>Exit gate</t>
        </is>
      </c>
      <c r="G1257" s="9" t="n">
        <v>182.11</v>
      </c>
      <c r="H1257" s="10" t="n">
        <v>45686.29232638889</v>
      </c>
      <c r="I1257" s="10" t="n">
        <v>45686.29232638889</v>
      </c>
      <c r="J1257" s="10" t="n">
        <v>45686.29297453703</v>
      </c>
      <c r="K1257" s="11" t="n">
        <v>0.0006481481481481481</v>
      </c>
      <c r="L1257" s="13" t="n"/>
    </row>
    <row r="1258">
      <c r="A1258" s="3" t="inlineStr">
        <is>
          <t>DepartureDrive</t>
        </is>
      </c>
      <c r="B1258" s="3" t="inlineStr">
        <is>
          <t>Act_DEPD_OBT280125095318-Wr. Neustadt (Hödlmayr)_081130_615</t>
        </is>
      </c>
      <c r="C1258" s="3" t="inlineStr">
        <is>
          <t>OBT280125095318-Wr. Neustadt (Hödlmayr)</t>
        </is>
      </c>
      <c r="D1258" s="9" t="n">
        <v>110.6</v>
      </c>
      <c r="E1258" s="3" t="inlineStr">
        <is>
          <t>615</t>
        </is>
      </c>
      <c r="F1258" s="3" t="inlineStr">
        <is>
          <t>Exit gate</t>
        </is>
      </c>
      <c r="G1258" s="9" t="n">
        <v>223.61</v>
      </c>
      <c r="H1258" s="10" t="n">
        <v>45686.34131944444</v>
      </c>
      <c r="I1258" s="10" t="n">
        <v>45686.34131944444</v>
      </c>
      <c r="J1258" s="10" t="n">
        <v>45686.34203703704</v>
      </c>
      <c r="K1258" s="11" t="n">
        <v>0.0007175925925925926</v>
      </c>
      <c r="L1258" s="13" t="n"/>
    </row>
    <row r="1259">
      <c r="A1259" s="3" t="inlineStr">
        <is>
          <t>DepartureDrive</t>
        </is>
      </c>
      <c r="B1259" s="3" t="inlineStr">
        <is>
          <t>Act_DEPD_OBT280125092731-St. Veit an der Glan_081328_621</t>
        </is>
      </c>
      <c r="C1259" s="3" t="inlineStr">
        <is>
          <t>OBT280125092731-St. Veit an der Glan</t>
        </is>
      </c>
      <c r="D1259" s="9" t="n">
        <v>148.9</v>
      </c>
      <c r="E1259" s="3" t="inlineStr">
        <is>
          <t>621</t>
        </is>
      </c>
      <c r="F1259" s="3" t="inlineStr">
        <is>
          <t>Exit gate</t>
        </is>
      </c>
      <c r="G1259" s="9" t="n">
        <v>259.31</v>
      </c>
      <c r="H1259" s="10" t="n">
        <v>45686.34268518518</v>
      </c>
      <c r="I1259" s="10" t="n">
        <v>45686.34268518518</v>
      </c>
      <c r="J1259" s="10" t="n">
        <v>45686.34357638889</v>
      </c>
      <c r="K1259" s="11" t="n">
        <v>0.0008912037037037037</v>
      </c>
      <c r="L1259" s="13" t="n"/>
    </row>
    <row r="1260">
      <c r="A1260" s="3" t="inlineStr">
        <is>
          <t>DepartureDrive</t>
        </is>
      </c>
      <c r="B1260" s="3" t="inlineStr">
        <is>
          <t>Act_DEPD_OBT280125095752-Neudörfl (FunderMax)_090543_609</t>
        </is>
      </c>
      <c r="C1260" s="3" t="inlineStr">
        <is>
          <t>OBT280125095752-Neudörfl (FunderMax)</t>
        </is>
      </c>
      <c r="D1260" s="9" t="n">
        <v>119.3</v>
      </c>
      <c r="E1260" s="3" t="inlineStr">
        <is>
          <t>609</t>
        </is>
      </c>
      <c r="F1260" s="3" t="inlineStr">
        <is>
          <t>Exit gate</t>
        </is>
      </c>
      <c r="G1260" s="9" t="n">
        <v>259.16</v>
      </c>
      <c r="H1260" s="10" t="n">
        <v>45686.3789699074</v>
      </c>
      <c r="I1260" s="10" t="n">
        <v>45686.3789699074</v>
      </c>
      <c r="J1260" s="10" t="n">
        <v>45686.37979166667</v>
      </c>
      <c r="K1260" s="11" t="n">
        <v>0.0008217592592592593</v>
      </c>
      <c r="L1260" s="13" t="n"/>
    </row>
    <row r="1261">
      <c r="A1261" s="3" t="inlineStr">
        <is>
          <t>DepartureDrive</t>
        </is>
      </c>
      <c r="B1261" s="3" t="inlineStr">
        <is>
          <t>Act_DEPD_OBT280125105241-Wien Kledering_103744_627</t>
        </is>
      </c>
      <c r="C1261" s="3" t="inlineStr">
        <is>
          <t>OBT280125105241-Wien Kledering</t>
        </is>
      </c>
      <c r="D1261" s="9" t="n">
        <v>194.6</v>
      </c>
      <c r="E1261" s="3" t="inlineStr">
        <is>
          <t>627</t>
        </is>
      </c>
      <c r="F1261" s="3" t="inlineStr">
        <is>
          <t>Exit gate</t>
        </is>
      </c>
      <c r="G1261" s="9" t="n">
        <v>188.33</v>
      </c>
      <c r="H1261" s="10" t="n">
        <v>45686.44287037037</v>
      </c>
      <c r="I1261" s="10" t="n">
        <v>45686.44287037037</v>
      </c>
      <c r="J1261" s="10" t="n">
        <v>45686.44371527778</v>
      </c>
      <c r="K1261" s="11" t="n">
        <v>0.0008449074074074074</v>
      </c>
      <c r="L1261" s="13" t="n"/>
    </row>
    <row r="1262">
      <c r="A1262" s="3" t="inlineStr">
        <is>
          <t>DepartureDrive</t>
        </is>
      </c>
      <c r="B1262" s="3" t="inlineStr">
        <is>
          <t>Act_DEPD_OBT280125105646-Wien Kledering_112643_605</t>
        </is>
      </c>
      <c r="C1262" s="3" t="inlineStr">
        <is>
          <t>OBT280125105646-Wien Kledering</t>
        </is>
      </c>
      <c r="D1262" s="9" t="n">
        <v>147</v>
      </c>
      <c r="E1262" s="3" t="inlineStr">
        <is>
          <t>605</t>
        </is>
      </c>
      <c r="F1262" s="3" t="inlineStr">
        <is>
          <t>Exit gate</t>
        </is>
      </c>
      <c r="G1262" s="9" t="n">
        <v>286.14</v>
      </c>
      <c r="H1262" s="10" t="n">
        <v>45686.47688657408</v>
      </c>
      <c r="I1262" s="10" t="n">
        <v>45686.47688657408</v>
      </c>
      <c r="J1262" s="10" t="n">
        <v>45686.47782407407</v>
      </c>
      <c r="K1262" s="11" t="n">
        <v>0.0009375</v>
      </c>
      <c r="L1262" s="13" t="n"/>
    </row>
    <row r="1263">
      <c r="A1263" s="3" t="inlineStr">
        <is>
          <t>DepartureDrive</t>
        </is>
      </c>
      <c r="B1263" s="3" t="inlineStr">
        <is>
          <t>Act_DEPD_OBT280125131319-Wien Kledering_143338_615</t>
        </is>
      </c>
      <c r="C1263" s="3" t="inlineStr">
        <is>
          <t>OBT280125131319-Wien Kledering</t>
        </is>
      </c>
      <c r="D1263" s="9" t="n">
        <v>291.9</v>
      </c>
      <c r="E1263" s="3" t="inlineStr">
        <is>
          <t>615</t>
        </is>
      </c>
      <c r="F1263" s="3" t="inlineStr">
        <is>
          <t>Exit gate</t>
        </is>
      </c>
      <c r="G1263" s="9" t="n">
        <v>223.61</v>
      </c>
      <c r="H1263" s="10" t="n">
        <v>45686.60668981481</v>
      </c>
      <c r="I1263" s="10" t="n">
        <v>45686.60668981481</v>
      </c>
      <c r="J1263" s="10" t="n">
        <v>45686.60783564814</v>
      </c>
      <c r="K1263" s="11" t="n">
        <v>0.001145833333333333</v>
      </c>
      <c r="L1263" s="13" t="n"/>
    </row>
    <row r="1264">
      <c r="A1264" s="3" t="inlineStr">
        <is>
          <t>DepartureDrive</t>
        </is>
      </c>
      <c r="B1264" s="3" t="inlineStr">
        <is>
          <t>Act_DEPD_OBT280125151006-Other sidings local_161637_629</t>
        </is>
      </c>
      <c r="C1264" s="3" t="inlineStr">
        <is>
          <t>OBT280125151006-Other sidings local</t>
        </is>
      </c>
      <c r="D1264" s="9" t="n">
        <v>122.9</v>
      </c>
      <c r="E1264" s="3" t="inlineStr">
        <is>
          <t>629</t>
        </is>
      </c>
      <c r="F1264" s="3" t="inlineStr">
        <is>
          <t>Exit gate</t>
        </is>
      </c>
      <c r="G1264" s="9" t="n">
        <v>182.11</v>
      </c>
      <c r="H1264" s="10" t="n">
        <v>45686.67820601852</v>
      </c>
      <c r="I1264" s="10" t="n">
        <v>45686.67820601852</v>
      </c>
      <c r="J1264" s="10" t="n">
        <v>45686.67886574074</v>
      </c>
      <c r="K1264" s="11" t="n">
        <v>0.0006597222222222222</v>
      </c>
      <c r="L1264" s="13" t="n"/>
    </row>
    <row r="1265">
      <c r="A1265" s="3" t="inlineStr">
        <is>
          <t>DepartureDrive</t>
        </is>
      </c>
      <c r="B1265" s="3" t="inlineStr">
        <is>
          <t>Act_DEPD_OBT280125143604-Wien Kledering_162501_625</t>
        </is>
      </c>
      <c r="C1265" s="3" t="inlineStr">
        <is>
          <t>OBT280125143604-Wien Kledering</t>
        </is>
      </c>
      <c r="D1265" s="9" t="n">
        <v>389.8</v>
      </c>
      <c r="E1265" s="3" t="inlineStr">
        <is>
          <t>625</t>
        </is>
      </c>
      <c r="F1265" s="3" t="inlineStr">
        <is>
          <t>Exit gate</t>
        </is>
      </c>
      <c r="G1265" s="9" t="n">
        <v>240.31</v>
      </c>
      <c r="H1265" s="10" t="n">
        <v>45686.68403935185</v>
      </c>
      <c r="I1265" s="10" t="n">
        <v>45686.68403935185</v>
      </c>
      <c r="J1265" s="10" t="n">
        <v>45686.68543981481</v>
      </c>
      <c r="K1265" s="11" t="n">
        <v>0.001400462962962963</v>
      </c>
      <c r="L1265" s="13" t="n"/>
    </row>
    <row r="1266">
      <c r="A1266" s="3" t="inlineStr">
        <is>
          <t>DepartureDrive</t>
        </is>
      </c>
      <c r="B1266" s="3" t="inlineStr">
        <is>
          <t>Act_DEPD_OBT280125151602-Neunkirchen (loading tracks)_163652_615</t>
        </is>
      </c>
      <c r="C1266" s="3" t="inlineStr">
        <is>
          <t>OBT280125151602-Neunkirchen (loading tracks)</t>
        </is>
      </c>
      <c r="D1266" s="9" t="n">
        <v>156</v>
      </c>
      <c r="E1266" s="3" t="inlineStr">
        <is>
          <t>615</t>
        </is>
      </c>
      <c r="F1266" s="3" t="inlineStr">
        <is>
          <t>Exit gate</t>
        </is>
      </c>
      <c r="G1266" s="9" t="n">
        <v>223.61</v>
      </c>
      <c r="H1266" s="10" t="n">
        <v>45686.69226851852</v>
      </c>
      <c r="I1266" s="10" t="n">
        <v>45686.69226851852</v>
      </c>
      <c r="J1266" s="10" t="n">
        <v>45686.69310185185</v>
      </c>
      <c r="K1266" s="11" t="n">
        <v>0.0008333333333333334</v>
      </c>
      <c r="L1266" s="13" t="n"/>
    </row>
    <row r="1267">
      <c r="A1267" s="3" t="inlineStr">
        <is>
          <t>DepartureDrive</t>
        </is>
      </c>
      <c r="B1267" s="3" t="inlineStr">
        <is>
          <t>Act_DEPD_OBT280125194613-Wien Kledering_184406_606</t>
        </is>
      </c>
      <c r="C1267" s="3" t="inlineStr">
        <is>
          <t>OBT280125194613-Wien Kledering</t>
        </is>
      </c>
      <c r="D1267" s="9" t="n">
        <v>232.7</v>
      </c>
      <c r="E1267" s="3" t="inlineStr">
        <is>
          <t>606</t>
        </is>
      </c>
      <c r="F1267" s="3" t="inlineStr">
        <is>
          <t>Exit gate</t>
        </is>
      </c>
      <c r="G1267" s="9" t="n">
        <v>245</v>
      </c>
      <c r="H1267" s="10" t="n">
        <v>45686.780625</v>
      </c>
      <c r="I1267" s="10" t="n">
        <v>45686.780625</v>
      </c>
      <c r="J1267" s="10" t="n">
        <v>45686.78166666667</v>
      </c>
      <c r="K1267" s="11" t="n">
        <v>0.001041666666666667</v>
      </c>
      <c r="L1267" s="13" t="n"/>
    </row>
    <row r="1268">
      <c r="A1268" s="3" t="inlineStr">
        <is>
          <t>DepartureDrive</t>
        </is>
      </c>
      <c r="B1268" s="3" t="inlineStr">
        <is>
          <t>Act_DEPD_OBT280125211842-Wien Kledering_201238_611</t>
        </is>
      </c>
      <c r="C1268" s="3" t="inlineStr">
        <is>
          <t>OBT280125211842-Wien Kledering</t>
        </is>
      </c>
      <c r="D1268" s="9" t="n">
        <v>397.3</v>
      </c>
      <c r="E1268" s="3" t="inlineStr">
        <is>
          <t>611</t>
        </is>
      </c>
      <c r="F1268" s="3" t="inlineStr">
        <is>
          <t>Exit gate</t>
        </is>
      </c>
      <c r="G1268" s="9" t="n">
        <v>231.94</v>
      </c>
      <c r="H1268" s="10" t="n">
        <v>45686.84210648148</v>
      </c>
      <c r="I1268" s="10" t="n">
        <v>45686.84210648148</v>
      </c>
      <c r="J1268" s="10" t="n">
        <v>45686.84350694445</v>
      </c>
      <c r="K1268" s="11" t="n">
        <v>0.001400462962962963</v>
      </c>
      <c r="L1268" s="13" t="n"/>
    </row>
    <row r="1269">
      <c r="A1269" s="3" t="inlineStr">
        <is>
          <t>DepartureDrive</t>
        </is>
      </c>
      <c r="B1269" s="3" t="inlineStr">
        <is>
          <t>Act_DEPD_OBT290125030733-Neunkirchen (loading tracks)_214657_615</t>
        </is>
      </c>
      <c r="C1269" s="3" t="inlineStr">
        <is>
          <t>OBT290125030733-Neunkirchen (loading tracks)</t>
        </is>
      </c>
      <c r="D1269" s="9" t="n">
        <v>165.8</v>
      </c>
      <c r="E1269" s="3" t="inlineStr">
        <is>
          <t>615</t>
        </is>
      </c>
      <c r="F1269" s="3" t="inlineStr">
        <is>
          <t>Exit gate</t>
        </is>
      </c>
      <c r="G1269" s="9" t="n">
        <v>223.61</v>
      </c>
      <c r="H1269" s="10" t="n">
        <v>45686.90760416666</v>
      </c>
      <c r="I1269" s="10" t="n">
        <v>45686.90760416666</v>
      </c>
      <c r="J1269" s="10" t="n">
        <v>45686.90846064815</v>
      </c>
      <c r="K1269" s="11" t="n">
        <v>0.0008564814814814815</v>
      </c>
      <c r="L1269" s="13" t="n"/>
    </row>
    <row r="1270">
      <c r="A1270" s="3" t="inlineStr">
        <is>
          <t>DepartureDrive</t>
        </is>
      </c>
      <c r="B1270" s="3" t="inlineStr">
        <is>
          <t>Act_DEPD_OBT290125043313-Neudörfl (FunderMax)_033827_613</t>
        </is>
      </c>
      <c r="C1270" s="3" t="inlineStr">
        <is>
          <t>OBT290125043313-Neudörfl (FunderMax)</t>
        </is>
      </c>
      <c r="D1270" s="9" t="n">
        <v>106.9</v>
      </c>
      <c r="E1270" s="3" t="inlineStr">
        <is>
          <t>613</t>
        </is>
      </c>
      <c r="F1270" s="3" t="inlineStr">
        <is>
          <t>Exit gate</t>
        </is>
      </c>
      <c r="G1270" s="9" t="n">
        <v>205.9</v>
      </c>
      <c r="H1270" s="10" t="n">
        <v>45687.15170138889</v>
      </c>
      <c r="I1270" s="10" t="n">
        <v>45687.15170138889</v>
      </c>
      <c r="J1270" s="10" t="n">
        <v>45687.15237268519</v>
      </c>
      <c r="K1270" s="11" t="n">
        <v>0.0006712962962962962</v>
      </c>
      <c r="L1270" s="13" t="n"/>
    </row>
    <row r="1271">
      <c r="A1271" s="3" t="inlineStr">
        <is>
          <t>DepartureDrive</t>
        </is>
      </c>
      <c r="B1271" s="3" t="inlineStr">
        <is>
          <t>Act_DEPD_OBT290125063308-Wien Kledering_074850_607</t>
        </is>
      </c>
      <c r="C1271" s="3" t="inlineStr">
        <is>
          <t>OBT290125063308-Wien Kledering</t>
        </is>
      </c>
      <c r="D1271" s="9" t="n">
        <v>297</v>
      </c>
      <c r="E1271" s="3" t="inlineStr">
        <is>
          <t>607</t>
        </is>
      </c>
      <c r="F1271" s="3" t="inlineStr">
        <is>
          <t>Exit gate</t>
        </is>
      </c>
      <c r="G1271" s="9" t="n">
        <v>286.14</v>
      </c>
      <c r="H1271" s="10" t="n">
        <v>45687.32557870371</v>
      </c>
      <c r="I1271" s="10" t="n">
        <v>45687.32557870371</v>
      </c>
      <c r="J1271" s="10" t="n">
        <v>45687.32686342593</v>
      </c>
      <c r="K1271" s="11" t="n">
        <v>0.001284722222222222</v>
      </c>
      <c r="L1271" s="13" t="n"/>
    </row>
    <row r="1272">
      <c r="A1272" s="3" t="inlineStr">
        <is>
          <t>DepartureDrive</t>
        </is>
      </c>
      <c r="B1272" s="3" t="inlineStr">
        <is>
          <t>Act_DEPD_OBT290125074446-Wien Kledering_084449_629</t>
        </is>
      </c>
      <c r="C1272" s="3" t="inlineStr">
        <is>
          <t>OBT290125074446-Wien Kledering</t>
        </is>
      </c>
      <c r="D1272" s="9" t="n">
        <v>129.3</v>
      </c>
      <c r="E1272" s="3" t="inlineStr">
        <is>
          <t>629</t>
        </is>
      </c>
      <c r="F1272" s="3" t="inlineStr">
        <is>
          <t>Exit gate</t>
        </is>
      </c>
      <c r="G1272" s="9" t="n">
        <v>182.11</v>
      </c>
      <c r="H1272" s="10" t="n">
        <v>45687.36445601852</v>
      </c>
      <c r="I1272" s="10" t="n">
        <v>45687.36445601852</v>
      </c>
      <c r="J1272" s="10" t="n">
        <v>45687.36512731481</v>
      </c>
      <c r="K1272" s="11" t="n">
        <v>0.0006712962962962962</v>
      </c>
      <c r="L1272" s="13" t="n"/>
    </row>
    <row r="1273">
      <c r="A1273" s="3" t="inlineStr">
        <is>
          <t>DepartureDrive</t>
        </is>
      </c>
      <c r="B1273" s="3" t="inlineStr">
        <is>
          <t>Act_DEPD_OBT290125093729-Other sidings south_084917_619</t>
        </is>
      </c>
      <c r="C1273" s="3" t="inlineStr">
        <is>
          <t>OBT290125093729-Other sidings south</t>
        </is>
      </c>
      <c r="D1273" s="9" t="n">
        <v>110.3</v>
      </c>
      <c r="E1273" s="3" t="inlineStr">
        <is>
          <t>619</t>
        </is>
      </c>
      <c r="F1273" s="3" t="inlineStr">
        <is>
          <t>Exit gate</t>
        </is>
      </c>
      <c r="G1273" s="9" t="n">
        <v>262.93</v>
      </c>
      <c r="H1273" s="10" t="n">
        <v>45687.36755787037</v>
      </c>
      <c r="I1273" s="10" t="n">
        <v>45687.36755787037</v>
      </c>
      <c r="J1273" s="10" t="n">
        <v>45687.36836805556</v>
      </c>
      <c r="K1273" s="11" t="n">
        <v>0.0008101851851851852</v>
      </c>
      <c r="L1273" s="13" t="n"/>
    </row>
    <row r="1274">
      <c r="A1274" s="3" t="inlineStr">
        <is>
          <t>DepartureDrive</t>
        </is>
      </c>
      <c r="B1274" s="3" t="inlineStr">
        <is>
          <t>Act_DEPD_OBT290125073710-Wien Kledering_085000_621</t>
        </is>
      </c>
      <c r="C1274" s="3" t="inlineStr">
        <is>
          <t>OBT290125073710-Wien Kledering</t>
        </is>
      </c>
      <c r="D1274" s="9" t="n">
        <v>397.3</v>
      </c>
      <c r="E1274" s="3" t="inlineStr">
        <is>
          <t>621</t>
        </is>
      </c>
      <c r="F1274" s="3" t="inlineStr">
        <is>
          <t>Exit gate</t>
        </is>
      </c>
      <c r="G1274" s="9" t="n">
        <v>259.31</v>
      </c>
      <c r="H1274" s="10" t="n">
        <v>45687.36805555555</v>
      </c>
      <c r="I1274" s="10" t="n">
        <v>45687.36836805556</v>
      </c>
      <c r="J1274" s="10" t="n">
        <v>45687.36982638889</v>
      </c>
      <c r="K1274" s="11" t="n">
        <v>0.001458333333333333</v>
      </c>
      <c r="L1274" s="13" t="n"/>
    </row>
    <row r="1275">
      <c r="A1275" s="3" t="inlineStr">
        <is>
          <t>DepartureDrive</t>
        </is>
      </c>
      <c r="B1275" s="3" t="inlineStr">
        <is>
          <t>Act_DEPD_OBT290125094134-Wien Kledering_095438_615</t>
        </is>
      </c>
      <c r="C1275" s="3" t="inlineStr">
        <is>
          <t>OBT290125094134-Wien Kledering</t>
        </is>
      </c>
      <c r="D1275" s="9" t="n">
        <v>252</v>
      </c>
      <c r="E1275" s="3" t="inlineStr">
        <is>
          <t>615</t>
        </is>
      </c>
      <c r="F1275" s="3" t="inlineStr">
        <is>
          <t>Exit gate</t>
        </is>
      </c>
      <c r="G1275" s="9" t="n">
        <v>223.61</v>
      </c>
      <c r="H1275" s="10" t="n">
        <v>45687.41293981481</v>
      </c>
      <c r="I1275" s="10" t="n">
        <v>45687.41293981481</v>
      </c>
      <c r="J1275" s="10" t="n">
        <v>45687.41398148148</v>
      </c>
      <c r="K1275" s="11" t="n">
        <v>0.001041666666666667</v>
      </c>
      <c r="L1275" s="13" t="n"/>
    </row>
    <row r="1276">
      <c r="A1276" s="3" t="inlineStr">
        <is>
          <t>DepartureDrive</t>
        </is>
      </c>
      <c r="B1276" s="3" t="inlineStr">
        <is>
          <t>Act_DEPD_OBT290125105057-Wien Kledering_104011_615</t>
        </is>
      </c>
      <c r="C1276" s="3" t="inlineStr">
        <is>
          <t>OBT290125105057-Wien Kledering</t>
        </is>
      </c>
      <c r="D1276" s="9" t="n">
        <v>220.3</v>
      </c>
      <c r="E1276" s="3" t="inlineStr">
        <is>
          <t>615</t>
        </is>
      </c>
      <c r="F1276" s="3" t="inlineStr">
        <is>
          <t>Exit gate</t>
        </is>
      </c>
      <c r="G1276" s="9" t="n">
        <v>223.61</v>
      </c>
      <c r="H1276" s="10" t="n">
        <v>45687.44457175926</v>
      </c>
      <c r="I1276" s="10" t="n">
        <v>45687.44457175926</v>
      </c>
      <c r="J1276" s="10" t="n">
        <v>45687.44554398148</v>
      </c>
      <c r="K1276" s="11" t="n">
        <v>0.0009722222222222222</v>
      </c>
      <c r="L1276" s="13" t="n"/>
    </row>
    <row r="1277">
      <c r="A1277" s="3" t="inlineStr">
        <is>
          <t>DepartureDrive</t>
        </is>
      </c>
      <c r="B1277" s="3" t="inlineStr">
        <is>
          <t>Act_DEPD_OBT290125132135-Wien Kledering_111713_615</t>
        </is>
      </c>
      <c r="C1277" s="3" t="inlineStr">
        <is>
          <t>OBT290125132135-Wien Kledering</t>
        </is>
      </c>
      <c r="D1277" s="9" t="n">
        <v>259.7</v>
      </c>
      <c r="E1277" s="3" t="inlineStr">
        <is>
          <t>615</t>
        </is>
      </c>
      <c r="F1277" s="3" t="inlineStr">
        <is>
          <t>Exit gate</t>
        </is>
      </c>
      <c r="G1277" s="9" t="n">
        <v>223.61</v>
      </c>
      <c r="H1277" s="10" t="n">
        <v>45687.47028935186</v>
      </c>
      <c r="I1277" s="10" t="n">
        <v>45687.47028935186</v>
      </c>
      <c r="J1277" s="10" t="n">
        <v>45687.47135416666</v>
      </c>
      <c r="K1277" s="11" t="n">
        <v>0.001064814814814815</v>
      </c>
      <c r="L1277" s="13" t="n"/>
    </row>
    <row r="1278">
      <c r="A1278" s="3" t="inlineStr">
        <is>
          <t>DepartureDrive</t>
        </is>
      </c>
      <c r="B1278" s="3" t="inlineStr">
        <is>
          <t>Act_DEPD_OBT290125144829-Wien Kledering_145255_615</t>
        </is>
      </c>
      <c r="C1278" s="3" t="inlineStr">
        <is>
          <t>OBT290125144829-Wien Kledering</t>
        </is>
      </c>
      <c r="D1278" s="9" t="n">
        <v>398</v>
      </c>
      <c r="E1278" s="3" t="inlineStr">
        <is>
          <t>615</t>
        </is>
      </c>
      <c r="F1278" s="3" t="inlineStr">
        <is>
          <t>Exit gate</t>
        </is>
      </c>
      <c r="G1278" s="9" t="n">
        <v>223.61</v>
      </c>
      <c r="H1278" s="10" t="n">
        <v>45687.62008101852</v>
      </c>
      <c r="I1278" s="10" t="n">
        <v>45687.62008101852</v>
      </c>
      <c r="J1278" s="10" t="n">
        <v>45687.6214699074</v>
      </c>
      <c r="K1278" s="11" t="n">
        <v>0.001388888888888889</v>
      </c>
      <c r="L1278" s="13" t="n"/>
    </row>
    <row r="1279">
      <c r="A1279" s="3" t="inlineStr">
        <is>
          <t>DepartureDrive</t>
        </is>
      </c>
      <c r="B1279" s="3" t="inlineStr">
        <is>
          <t>Act_DEPD_OBT290125152804-Other sidings north_151238_623</t>
        </is>
      </c>
      <c r="C1279" s="3" t="inlineStr">
        <is>
          <t>OBT290125152804-Other sidings north</t>
        </is>
      </c>
      <c r="D1279" s="9" t="n">
        <v>110.3</v>
      </c>
      <c r="E1279" s="3" t="inlineStr">
        <is>
          <t>623</t>
        </is>
      </c>
      <c r="F1279" s="3" t="inlineStr">
        <is>
          <t>Exit gate</t>
        </is>
      </c>
      <c r="G1279" s="9" t="n">
        <v>259.31</v>
      </c>
      <c r="H1279" s="10" t="n">
        <v>45687.63377314815</v>
      </c>
      <c r="I1279" s="10" t="n">
        <v>45687.63377314815</v>
      </c>
      <c r="J1279" s="10" t="n">
        <v>45687.63457175926</v>
      </c>
      <c r="K1279" s="11" t="n">
        <v>0.0007986111111111112</v>
      </c>
      <c r="L1279" s="13" t="n"/>
    </row>
    <row r="1280">
      <c r="A1280" s="3" t="inlineStr">
        <is>
          <t>DepartureDrive</t>
        </is>
      </c>
      <c r="B1280" s="3" t="inlineStr">
        <is>
          <t>Act_DEPD_OBT290125154754-Wr. Neustadt (Hödlmayr)_160316_627</t>
        </is>
      </c>
      <c r="C1280" s="3" t="inlineStr">
        <is>
          <t>OBT290125154754-Wr. Neustadt (Hödlmayr)</t>
        </is>
      </c>
      <c r="D1280" s="9" t="n">
        <v>112.5</v>
      </c>
      <c r="E1280" s="3" t="inlineStr">
        <is>
          <t>627</t>
        </is>
      </c>
      <c r="F1280" s="3" t="inlineStr">
        <is>
          <t>Exit gate</t>
        </is>
      </c>
      <c r="G1280" s="9" t="n">
        <v>188.33</v>
      </c>
      <c r="H1280" s="10" t="n">
        <v>45687.66893518518</v>
      </c>
      <c r="I1280" s="10" t="n">
        <v>45687.66893518518</v>
      </c>
      <c r="J1280" s="10" t="n">
        <v>45687.66959490741</v>
      </c>
      <c r="K1280" s="11" t="n">
        <v>0.0006597222222222222</v>
      </c>
      <c r="L1280" s="13" t="n"/>
    </row>
    <row r="1281">
      <c r="A1281" s="3" t="inlineStr">
        <is>
          <t>DepartureDrive</t>
        </is>
      </c>
      <c r="B1281" s="3" t="inlineStr">
        <is>
          <t>Act_DEPD_OBT290125174650-Wien Kledering_170014_615</t>
        </is>
      </c>
      <c r="C1281" s="3" t="inlineStr">
        <is>
          <t>OBT290125174650-Wien Kledering</t>
        </is>
      </c>
      <c r="D1281" s="9" t="n">
        <v>302.1</v>
      </c>
      <c r="E1281" s="3" t="inlineStr">
        <is>
          <t>615</t>
        </is>
      </c>
      <c r="F1281" s="3" t="inlineStr">
        <is>
          <t>Exit gate</t>
        </is>
      </c>
      <c r="G1281" s="9" t="n">
        <v>223.61</v>
      </c>
      <c r="H1281" s="10" t="n">
        <v>45687.70849537037</v>
      </c>
      <c r="I1281" s="10" t="n">
        <v>45687.70849537037</v>
      </c>
      <c r="J1281" s="10" t="n">
        <v>45687.70966435185</v>
      </c>
      <c r="K1281" s="11" t="n">
        <v>0.001168981481481482</v>
      </c>
      <c r="L1281" s="13" t="n"/>
    </row>
    <row r="1282">
      <c r="A1282" s="3" t="inlineStr">
        <is>
          <t>DepartureDrive</t>
        </is>
      </c>
      <c r="B1282" s="3" t="inlineStr">
        <is>
          <t>Act_DEPD_OBT290125182252-Pitten (Hamburger)_182127_609</t>
        </is>
      </c>
      <c r="C1282" s="3" t="inlineStr">
        <is>
          <t>OBT290125182252-Pitten (Hamburger)</t>
        </is>
      </c>
      <c r="D1282" s="9" t="n">
        <v>187.4</v>
      </c>
      <c r="E1282" s="3" t="inlineStr">
        <is>
          <t>609</t>
        </is>
      </c>
      <c r="F1282" s="3" t="inlineStr">
        <is>
          <t>Exit gate</t>
        </is>
      </c>
      <c r="G1282" s="9" t="n">
        <v>259.16</v>
      </c>
      <c r="H1282" s="10" t="n">
        <v>45687.76489583333</v>
      </c>
      <c r="I1282" s="10" t="n">
        <v>45687.76489583333</v>
      </c>
      <c r="J1282" s="10" t="n">
        <v>45687.76586805555</v>
      </c>
      <c r="K1282" s="11" t="n">
        <v>0.0009722222222222222</v>
      </c>
      <c r="L1282" s="13" t="n"/>
    </row>
    <row r="1283">
      <c r="A1283" s="3" t="inlineStr">
        <is>
          <t>DepartureDrive</t>
        </is>
      </c>
      <c r="B1283" s="3" t="inlineStr">
        <is>
          <t>Act_DEPD_OBT300125030547-Neunkirchen (loading tracks)_211041_629</t>
        </is>
      </c>
      <c r="C1283" s="3" t="inlineStr">
        <is>
          <t>OBT300125030547-Neunkirchen (loading tracks)</t>
        </is>
      </c>
      <c r="D1283" s="9" t="n">
        <v>102.8</v>
      </c>
      <c r="E1283" s="3" t="inlineStr">
        <is>
          <t>629</t>
        </is>
      </c>
      <c r="F1283" s="3" t="inlineStr">
        <is>
          <t>Exit gate</t>
        </is>
      </c>
      <c r="G1283" s="9" t="n">
        <v>182.11</v>
      </c>
      <c r="H1283" s="10" t="n">
        <v>45687.88241898148</v>
      </c>
      <c r="I1283" s="10" t="n">
        <v>45687.88241898148</v>
      </c>
      <c r="J1283" s="10" t="n">
        <v>45687.88303240741</v>
      </c>
      <c r="K1283" s="11" t="n">
        <v>0.0006134259259259259</v>
      </c>
      <c r="L1283" s="13" t="n"/>
    </row>
    <row r="1284">
      <c r="A1284" s="3" t="inlineStr">
        <is>
          <t>DepartureDrive</t>
        </is>
      </c>
      <c r="B1284" s="3" t="inlineStr">
        <is>
          <t>Act_DEPD_OBT290125210626-Wien Kledering_213209_606</t>
        </is>
      </c>
      <c r="C1284" s="3" t="inlineStr">
        <is>
          <t>OBT290125210626-Wien Kledering</t>
        </is>
      </c>
      <c r="D1284" s="9" t="n">
        <v>380.8</v>
      </c>
      <c r="E1284" s="3" t="inlineStr">
        <is>
          <t>606</t>
        </is>
      </c>
      <c r="F1284" s="3" t="inlineStr">
        <is>
          <t>Exit gate</t>
        </is>
      </c>
      <c r="G1284" s="9" t="n">
        <v>245</v>
      </c>
      <c r="H1284" s="10" t="n">
        <v>45687.89732638889</v>
      </c>
      <c r="I1284" s="10" t="n">
        <v>45687.89732638889</v>
      </c>
      <c r="J1284" s="10" t="n">
        <v>45687.89871527778</v>
      </c>
      <c r="K1284" s="11" t="n">
        <v>0.001388888888888889</v>
      </c>
      <c r="L1284" s="13" t="n"/>
    </row>
    <row r="1285">
      <c r="A1285" s="3" t="inlineStr">
        <is>
          <t>DepartureDrive</t>
        </is>
      </c>
      <c r="B1285" s="3" t="inlineStr">
        <is>
          <t>Act_DEPD_OBT300125063532-Wien Kledering_043144_613</t>
        </is>
      </c>
      <c r="C1285" s="3" t="inlineStr">
        <is>
          <t>OBT300125063532-Wien Kledering</t>
        </is>
      </c>
      <c r="D1285" s="9" t="n">
        <v>297</v>
      </c>
      <c r="E1285" s="3" t="inlineStr">
        <is>
          <t>613</t>
        </is>
      </c>
      <c r="F1285" s="3" t="inlineStr">
        <is>
          <t>Exit gate</t>
        </is>
      </c>
      <c r="G1285" s="9" t="n">
        <v>205.9</v>
      </c>
      <c r="H1285" s="10" t="n">
        <v>45688.1887037037</v>
      </c>
      <c r="I1285" s="10" t="n">
        <v>45688.1887037037</v>
      </c>
      <c r="J1285" s="10" t="n">
        <v>45688.18981481482</v>
      </c>
      <c r="K1285" s="11" t="n">
        <v>0.001111111111111111</v>
      </c>
      <c r="L1285" s="13" t="n"/>
    </row>
    <row r="1286">
      <c r="A1286" s="3" t="inlineStr">
        <is>
          <t>DepartureDrive</t>
        </is>
      </c>
      <c r="B1286" s="3" t="inlineStr">
        <is>
          <t>Act_DEPD_OBT300125075751-Wr. Neustadt (Hödlmayr)_055407_627</t>
        </is>
      </c>
      <c r="C1286" s="3" t="inlineStr">
        <is>
          <t>OBT300125075751-Wr. Neustadt (Hödlmayr)</t>
        </is>
      </c>
      <c r="D1286" s="9" t="n">
        <v>297</v>
      </c>
      <c r="E1286" s="3" t="inlineStr">
        <is>
          <t>627</t>
        </is>
      </c>
      <c r="F1286" s="3" t="inlineStr">
        <is>
          <t>Exit gate</t>
        </is>
      </c>
      <c r="G1286" s="9" t="n">
        <v>188.33</v>
      </c>
      <c r="H1286" s="10" t="n">
        <v>45688.24591435185</v>
      </c>
      <c r="I1286" s="10" t="n">
        <v>45688.24591435185</v>
      </c>
      <c r="J1286" s="10" t="n">
        <v>45688.24699074074</v>
      </c>
      <c r="K1286" s="11" t="n">
        <v>0.001076388888888889</v>
      </c>
      <c r="L1286" s="13" t="n"/>
    </row>
    <row r="1287">
      <c r="A1287" s="3" t="inlineStr">
        <is>
          <t>DepartureDrive</t>
        </is>
      </c>
      <c r="B1287" s="3" t="inlineStr">
        <is>
          <t>Act_DEPD_OBT300125080541-Neunkirchen (loading tracks)_063924_611</t>
        </is>
      </c>
      <c r="C1287" s="3" t="inlineStr">
        <is>
          <t>OBT300125080541-Neunkirchen (loading tracks)</t>
        </is>
      </c>
      <c r="D1287" s="9" t="n">
        <v>101.7</v>
      </c>
      <c r="E1287" s="3" t="inlineStr">
        <is>
          <t>611</t>
        </is>
      </c>
      <c r="F1287" s="3" t="inlineStr">
        <is>
          <t>Exit gate</t>
        </is>
      </c>
      <c r="G1287" s="9" t="n">
        <v>231.94</v>
      </c>
      <c r="H1287" s="10" t="n">
        <v>45688.27736111111</v>
      </c>
      <c r="I1287" s="10" t="n">
        <v>45688.27736111111</v>
      </c>
      <c r="J1287" s="10" t="n">
        <v>45688.27809027778</v>
      </c>
      <c r="K1287" s="11" t="n">
        <v>0.0007291666666666667</v>
      </c>
      <c r="L1287" s="13" t="n"/>
    </row>
    <row r="1288">
      <c r="A1288" s="3" t="inlineStr">
        <is>
          <t>DepartureDrive</t>
        </is>
      </c>
      <c r="B1288" s="3" t="inlineStr">
        <is>
          <t>Act_DEPD_OBT300125081010-Wr. Neustadt (Brenntag)_074824_617</t>
        </is>
      </c>
      <c r="C1288" s="3" t="inlineStr">
        <is>
          <t>OBT300125081010-Wr. Neustadt (Brenntag)</t>
        </is>
      </c>
      <c r="D1288" s="9" t="n">
        <v>140</v>
      </c>
      <c r="E1288" s="3" t="inlineStr">
        <is>
          <t>617</t>
        </is>
      </c>
      <c r="F1288" s="3" t="inlineStr">
        <is>
          <t>Exit gate</t>
        </is>
      </c>
      <c r="G1288" s="9" t="n">
        <v>262.93</v>
      </c>
      <c r="H1288" s="10" t="n">
        <v>45688.32527777777</v>
      </c>
      <c r="I1288" s="10" t="n">
        <v>45688.32527777777</v>
      </c>
      <c r="J1288" s="10" t="n">
        <v>45688.32615740741</v>
      </c>
      <c r="K1288" s="11" t="n">
        <v>0.0008796296296296296</v>
      </c>
      <c r="L1288" s="13" t="n"/>
    </row>
    <row r="1289">
      <c r="A1289" s="3" t="inlineStr">
        <is>
          <t>DepartureDrive</t>
        </is>
      </c>
      <c r="B1289" s="3" t="inlineStr">
        <is>
          <t>Act_DEPD_OBT300125085102-St. Veit an der Glan_085136_621</t>
        </is>
      </c>
      <c r="C1289" s="3" t="inlineStr">
        <is>
          <t>OBT300125085102-St. Veit an der Glan</t>
        </is>
      </c>
      <c r="D1289" s="9" t="n">
        <v>126.4</v>
      </c>
      <c r="E1289" s="3" t="inlineStr">
        <is>
          <t>621</t>
        </is>
      </c>
      <c r="F1289" s="3" t="inlineStr">
        <is>
          <t>Exit gate</t>
        </is>
      </c>
      <c r="G1289" s="9" t="n">
        <v>259.31</v>
      </c>
      <c r="H1289" s="10" t="n">
        <v>45688.36916666666</v>
      </c>
      <c r="I1289" s="10" t="n">
        <v>45688.36916666666</v>
      </c>
      <c r="J1289" s="10" t="n">
        <v>45688.36998842593</v>
      </c>
      <c r="K1289" s="11" t="n">
        <v>0.0008217592592592593</v>
      </c>
      <c r="L1289" s="13" t="n"/>
    </row>
    <row r="1290">
      <c r="A1290" s="3" t="inlineStr">
        <is>
          <t>DepartureDrive</t>
        </is>
      </c>
      <c r="B1290" s="3" t="inlineStr">
        <is>
          <t>Act_DEPD_OBT300125081913-Wr. Neustadt Ausfahrbf (Furtenbach)_094344_607</t>
        </is>
      </c>
      <c r="C1290" s="3" t="inlineStr">
        <is>
          <t>OBT300125081913-Wr. Neustadt Ausfahrbf (Furtenbach)</t>
        </is>
      </c>
      <c r="D1290" s="9" t="n">
        <v>420.6</v>
      </c>
      <c r="E1290" s="3" t="inlineStr">
        <is>
          <t>607</t>
        </is>
      </c>
      <c r="F1290" s="3" t="inlineStr">
        <is>
          <t>Exit gate</t>
        </is>
      </c>
      <c r="G1290" s="9" t="n">
        <v>286.14</v>
      </c>
      <c r="H1290" s="10" t="n">
        <v>45688.40537037037</v>
      </c>
      <c r="I1290" s="10" t="n">
        <v>45688.40537037037</v>
      </c>
      <c r="J1290" s="10" t="n">
        <v>45688.40694444445</v>
      </c>
      <c r="K1290" s="11" t="n">
        <v>0.001574074074074074</v>
      </c>
      <c r="L1290" s="13" t="n"/>
    </row>
    <row r="1291">
      <c r="A1291" s="3" t="inlineStr">
        <is>
          <t>DepartureDrive</t>
        </is>
      </c>
      <c r="B1291" s="3" t="inlineStr">
        <is>
          <t>Act_DEPD_OBT300125093406-Wr. Neustadt (Hödlmayr)_094555_627</t>
        </is>
      </c>
      <c r="C1291" s="3" t="inlineStr">
        <is>
          <t>OBT300125093406-Wr. Neustadt (Hödlmayr)</t>
        </is>
      </c>
      <c r="D1291" s="9" t="n">
        <v>135</v>
      </c>
      <c r="E1291" s="3" t="inlineStr">
        <is>
          <t>627</t>
        </is>
      </c>
      <c r="F1291" s="3" t="inlineStr">
        <is>
          <t>Exit gate</t>
        </is>
      </c>
      <c r="G1291" s="9" t="n">
        <v>188.33</v>
      </c>
      <c r="H1291" s="10" t="n">
        <v>45688.40688657408</v>
      </c>
      <c r="I1291" s="10" t="n">
        <v>45688.40694444445</v>
      </c>
      <c r="J1291" s="10" t="n">
        <v>45688.40765046296</v>
      </c>
      <c r="K1291" s="11" t="n">
        <v>0.0007060185185185185</v>
      </c>
      <c r="L1291" s="13" t="n"/>
    </row>
    <row r="1292">
      <c r="A1292" s="3" t="inlineStr">
        <is>
          <t>DepartureDrive</t>
        </is>
      </c>
      <c r="B1292" s="3" t="inlineStr">
        <is>
          <t>Act_DEPD_OBT300125131403-Wien Kledering_105902_615</t>
        </is>
      </c>
      <c r="C1292" s="3" t="inlineStr">
        <is>
          <t>OBT300125131403-Wien Kledering</t>
        </is>
      </c>
      <c r="D1292" s="9" t="n">
        <v>291.7</v>
      </c>
      <c r="E1292" s="3" t="inlineStr">
        <is>
          <t>615</t>
        </is>
      </c>
      <c r="F1292" s="3" t="inlineStr">
        <is>
          <t>Exit gate</t>
        </is>
      </c>
      <c r="G1292" s="9" t="n">
        <v>223.61</v>
      </c>
      <c r="H1292" s="10" t="n">
        <v>45688.45766203704</v>
      </c>
      <c r="I1292" s="10" t="n">
        <v>45688.45766203704</v>
      </c>
      <c r="J1292" s="10" t="n">
        <v>45688.4587962963</v>
      </c>
      <c r="K1292" s="11" t="n">
        <v>0.001134259259259259</v>
      </c>
      <c r="L1292" s="13" t="n"/>
    </row>
    <row r="1293">
      <c r="A1293" s="3" t="inlineStr">
        <is>
          <t>DepartureDrive</t>
        </is>
      </c>
      <c r="B1293" s="3" t="inlineStr">
        <is>
          <t>Act_DEPD_OBT300125153249-Neudörfl (FunderMax)_113738_621</t>
        </is>
      </c>
      <c r="C1293" s="3" t="inlineStr">
        <is>
          <t>OBT300125153249-Neudörfl (FunderMax)</t>
        </is>
      </c>
      <c r="D1293" s="9" t="n">
        <v>148.1</v>
      </c>
      <c r="E1293" s="3" t="inlineStr">
        <is>
          <t>621</t>
        </is>
      </c>
      <c r="F1293" s="3" t="inlineStr">
        <is>
          <t>Exit gate</t>
        </is>
      </c>
      <c r="G1293" s="9" t="n">
        <v>259.31</v>
      </c>
      <c r="H1293" s="10" t="n">
        <v>45688.48446759259</v>
      </c>
      <c r="I1293" s="10" t="n">
        <v>45688.48446759259</v>
      </c>
      <c r="J1293" s="10" t="n">
        <v>45688.48535879629</v>
      </c>
      <c r="K1293" s="11" t="n">
        <v>0.0008912037037037037</v>
      </c>
      <c r="L1293" s="13" t="n"/>
    </row>
    <row r="1294">
      <c r="A1294" s="3" t="inlineStr">
        <is>
          <t>DepartureDrive</t>
        </is>
      </c>
      <c r="B1294" s="3" t="inlineStr">
        <is>
          <t>Act_DEPD_OBT300125153454-Other sidings south_131851_605</t>
        </is>
      </c>
      <c r="C1294" s="3" t="inlineStr">
        <is>
          <t>OBT300125153454-Other sidings south</t>
        </is>
      </c>
      <c r="D1294" s="9" t="n">
        <v>141.7</v>
      </c>
      <c r="E1294" s="3" t="inlineStr">
        <is>
          <t>605</t>
        </is>
      </c>
      <c r="F1294" s="3" t="inlineStr">
        <is>
          <t>Exit gate</t>
        </is>
      </c>
      <c r="G1294" s="9" t="n">
        <v>286.14</v>
      </c>
      <c r="H1294" s="10" t="n">
        <v>45688.55475694445</v>
      </c>
      <c r="I1294" s="10" t="n">
        <v>45688.55475694445</v>
      </c>
      <c r="J1294" s="10" t="n">
        <v>45688.55568287037</v>
      </c>
      <c r="K1294" s="11" t="n">
        <v>0.000925925925925926</v>
      </c>
      <c r="L1294" s="13" t="n"/>
    </row>
    <row r="1295">
      <c r="A1295" s="3" t="inlineStr">
        <is>
          <t>DepartureDrive</t>
        </is>
      </c>
      <c r="B1295" s="3" t="inlineStr">
        <is>
          <t>Act_DEPD_OBT300125200005-Wien Kledering_151227_615</t>
        </is>
      </c>
      <c r="C1295" s="3" t="inlineStr">
        <is>
          <t>OBT300125200005-Wien Kledering</t>
        </is>
      </c>
      <c r="D1295" s="9" t="n">
        <v>182.4</v>
      </c>
      <c r="E1295" s="3" t="inlineStr">
        <is>
          <t>615</t>
        </is>
      </c>
      <c r="F1295" s="3" t="inlineStr">
        <is>
          <t>Exit gate</t>
        </is>
      </c>
      <c r="G1295" s="9" t="n">
        <v>223.61</v>
      </c>
      <c r="H1295" s="10" t="n">
        <v>45688.63364583333</v>
      </c>
      <c r="I1295" s="10" t="n">
        <v>45688.63364583333</v>
      </c>
      <c r="J1295" s="10" t="n">
        <v>45688.63453703704</v>
      </c>
      <c r="K1295" s="11" t="n">
        <v>0.0008912037037037037</v>
      </c>
      <c r="L1295" s="13" t="n"/>
    </row>
    <row r="1296">
      <c r="A1296" s="3" t="inlineStr">
        <is>
          <t>DepartureDrive</t>
        </is>
      </c>
      <c r="B1296" s="3" t="inlineStr">
        <is>
          <t>Act_DEPD_OBT310125061436-Wien Kledering_165952_613</t>
        </is>
      </c>
      <c r="C1296" s="3" t="inlineStr">
        <is>
          <t>OBT310125061436-Wien Kledering</t>
        </is>
      </c>
      <c r="D1296" s="9" t="n">
        <v>297</v>
      </c>
      <c r="E1296" s="3" t="inlineStr">
        <is>
          <t>613</t>
        </is>
      </c>
      <c r="F1296" s="3" t="inlineStr">
        <is>
          <t>Exit gate</t>
        </is>
      </c>
      <c r="G1296" s="9" t="n">
        <v>205.9</v>
      </c>
      <c r="H1296" s="10" t="n">
        <v>45688.70824074074</v>
      </c>
      <c r="I1296" s="10" t="n">
        <v>45688.70824074074</v>
      </c>
      <c r="J1296" s="10" t="n">
        <v>45688.70936342593</v>
      </c>
      <c r="K1296" s="11" t="n">
        <v>0.001122685185185185</v>
      </c>
      <c r="L1296" s="13" t="n"/>
    </row>
    <row r="1297">
      <c r="A1297" s="3" t="inlineStr">
        <is>
          <t>DepartureDrive</t>
        </is>
      </c>
      <c r="B1297" s="3" t="inlineStr">
        <is>
          <t>Act_DEPD_OBT310125074214-Wien Kledering_171205_627</t>
        </is>
      </c>
      <c r="C1297" s="3" t="inlineStr">
        <is>
          <t>OBT310125074214-Wien Kledering</t>
        </is>
      </c>
      <c r="D1297" s="9" t="n">
        <v>182.6</v>
      </c>
      <c r="E1297" s="3" t="inlineStr">
        <is>
          <t>627</t>
        </is>
      </c>
      <c r="F1297" s="3" t="inlineStr">
        <is>
          <t>Exit gate</t>
        </is>
      </c>
      <c r="G1297" s="9" t="n">
        <v>188.33</v>
      </c>
      <c r="H1297" s="10" t="n">
        <v>45688.71672453704</v>
      </c>
      <c r="I1297" s="10" t="n">
        <v>45688.71672453704</v>
      </c>
      <c r="J1297" s="10" t="n">
        <v>45688.7175462963</v>
      </c>
      <c r="K1297" s="11" t="n">
        <v>0.0008217592592592593</v>
      </c>
      <c r="L1297" s="13" t="n"/>
    </row>
    <row r="1298">
      <c r="A1298" s="3" t="inlineStr">
        <is>
          <t>DepartureDrive</t>
        </is>
      </c>
      <c r="B1298" s="3" t="inlineStr">
        <is>
          <t>Act_DEPD_OBT300125204557-Wien Kledering_172141_627</t>
        </is>
      </c>
      <c r="C1298" s="3" t="inlineStr">
        <is>
          <t>OBT300125204557-Wien Kledering</t>
        </is>
      </c>
      <c r="D1298" s="9" t="n">
        <v>389.1</v>
      </c>
      <c r="E1298" s="3" t="inlineStr">
        <is>
          <t>627</t>
        </is>
      </c>
      <c r="F1298" s="3" t="inlineStr">
        <is>
          <t>Exit gate</t>
        </is>
      </c>
      <c r="G1298" s="9" t="n">
        <v>188.33</v>
      </c>
      <c r="H1298" s="10" t="n">
        <v>45688.7233912037</v>
      </c>
      <c r="I1298" s="10" t="n">
        <v>45688.7233912037</v>
      </c>
      <c r="J1298" s="10" t="n">
        <v>45688.7246875</v>
      </c>
      <c r="K1298" s="11" t="n">
        <v>0.001296296296296296</v>
      </c>
      <c r="L1298" s="13" t="n"/>
    </row>
    <row r="1299">
      <c r="A1299" s="3" t="inlineStr">
        <is>
          <t>DepartureDrive</t>
        </is>
      </c>
      <c r="B1299" s="3" t="inlineStr">
        <is>
          <t>Act_DEPD_OBT310125075821-Ternitz (Schoeller-Bleckmann)_183047_629</t>
        </is>
      </c>
      <c r="C1299" s="3" t="inlineStr">
        <is>
          <t>OBT310125075821-Ternitz (Schoeller-Bleckmann)</t>
        </is>
      </c>
      <c r="D1299" s="9" t="n">
        <v>119</v>
      </c>
      <c r="E1299" s="3" t="inlineStr">
        <is>
          <t>629</t>
        </is>
      </c>
      <c r="F1299" s="3" t="inlineStr">
        <is>
          <t>Exit gate</t>
        </is>
      </c>
      <c r="G1299" s="9" t="n">
        <v>182.11</v>
      </c>
      <c r="H1299" s="10" t="n">
        <v>45688.77137731481</v>
      </c>
      <c r="I1299" s="10" t="n">
        <v>45688.77137731481</v>
      </c>
      <c r="J1299" s="10" t="n">
        <v>45688.77202546296</v>
      </c>
      <c r="K1299" s="11" t="n">
        <v>0.0006481481481481481</v>
      </c>
      <c r="L1299" s="13" t="n"/>
    </row>
    <row r="1300">
      <c r="A1300" s="3" t="inlineStr">
        <is>
          <t>DepartureDrive</t>
        </is>
      </c>
      <c r="B1300" s="3" t="inlineStr">
        <is>
          <t>Act_DEPD_OBT310125075536-Neunkirchen (loading tracks)_184426_606</t>
        </is>
      </c>
      <c r="C1300" s="3" t="inlineStr">
        <is>
          <t>OBT310125075536-Neunkirchen (loading tracks)</t>
        </is>
      </c>
      <c r="D1300" s="9" t="n">
        <v>224.4</v>
      </c>
      <c r="E1300" s="3" t="inlineStr">
        <is>
          <t>606</t>
        </is>
      </c>
      <c r="F1300" s="3" t="inlineStr">
        <is>
          <t>Exit gate</t>
        </is>
      </c>
      <c r="G1300" s="9" t="n">
        <v>245</v>
      </c>
      <c r="H1300" s="10" t="n">
        <v>45688.78085648148</v>
      </c>
      <c r="I1300" s="10" t="n">
        <v>45688.78085648148</v>
      </c>
      <c r="J1300" s="10" t="n">
        <v>45688.78188657408</v>
      </c>
      <c r="K1300" s="11" t="n">
        <v>0.001030092592592593</v>
      </c>
      <c r="L1300" s="13" t="n"/>
    </row>
    <row r="1301">
      <c r="A1301" s="3" t="inlineStr">
        <is>
          <t>DepartureDrive</t>
        </is>
      </c>
      <c r="B1301" s="3" t="inlineStr">
        <is>
          <t>Act_DEPD_OBT310125080145-Wr. Neustadt (Brenntag)_211323_619</t>
        </is>
      </c>
      <c r="C1301" s="3" t="inlineStr">
        <is>
          <t>OBT310125080145-Wr. Neustadt (Brenntag)</t>
        </is>
      </c>
      <c r="D1301" s="9" t="n">
        <v>115.7</v>
      </c>
      <c r="E1301" s="3" t="inlineStr">
        <is>
          <t>619</t>
        </is>
      </c>
      <c r="F1301" s="3" t="inlineStr">
        <is>
          <t>Exit gate</t>
        </is>
      </c>
      <c r="G1301" s="9" t="n">
        <v>262.93</v>
      </c>
      <c r="H1301" s="10" t="n">
        <v>45688.88429398148</v>
      </c>
      <c r="I1301" s="10" t="n">
        <v>45688.88429398148</v>
      </c>
      <c r="J1301" s="10" t="n">
        <v>45688.88511574074</v>
      </c>
      <c r="K1301" s="11" t="n">
        <v>0.0008217592592592593</v>
      </c>
      <c r="L1301" s="13" t="n"/>
    </row>
    <row r="1302">
      <c r="A1302" s="3" t="inlineStr">
        <is>
          <t>IncomingTrainPreparation</t>
        </is>
      </c>
      <c r="B1302" s="3" t="inlineStr">
        <is>
          <t>Act_ITP_10001_024247_703</t>
        </is>
      </c>
      <c r="C1302" s="3" t="inlineStr">
        <is>
          <t>10001</t>
        </is>
      </c>
      <c r="D1302" s="9" t="n">
        <v>227</v>
      </c>
      <c r="E1302" s="3" t="n"/>
      <c r="F1302" s="3" t="n"/>
      <c r="G1302" s="9" t="n"/>
      <c r="H1302" s="10" t="n">
        <v>45659.11304398148</v>
      </c>
      <c r="I1302" s="10" t="n">
        <v>45659.11582175926</v>
      </c>
      <c r="J1302" s="10" t="n">
        <v>45659.12013888889</v>
      </c>
      <c r="K1302" s="11" t="n">
        <v>0.00431712962962963</v>
      </c>
      <c r="L1302" s="13" t="n">
        <v>3</v>
      </c>
    </row>
    <row r="1303">
      <c r="A1303" s="3" t="inlineStr">
        <is>
          <t>IncomingTrainPreparation</t>
        </is>
      </c>
      <c r="B1303" s="3" t="inlineStr">
        <is>
          <t>Act_ITP_10002_063034_703</t>
        </is>
      </c>
      <c r="C1303" s="3" t="inlineStr">
        <is>
          <t>10002</t>
        </is>
      </c>
      <c r="D1303" s="9" t="n">
        <v>182.7</v>
      </c>
      <c r="E1303" s="3" t="n"/>
      <c r="F1303" s="3" t="n"/>
      <c r="G1303" s="9" t="n"/>
      <c r="H1303" s="10" t="n">
        <v>45659.27122685185</v>
      </c>
      <c r="I1303" s="10" t="n">
        <v>45659.27400462963</v>
      </c>
      <c r="J1303" s="10" t="n">
        <v>45659.27540509259</v>
      </c>
      <c r="K1303" s="11" t="n">
        <v>0.001400462962962963</v>
      </c>
      <c r="L1303" s="13" t="n">
        <v>0</v>
      </c>
    </row>
    <row r="1304">
      <c r="A1304" s="3" t="inlineStr">
        <is>
          <t>IncomingTrainPreparation</t>
        </is>
      </c>
      <c r="B1304" s="3" t="inlineStr">
        <is>
          <t>Act_ITP_10003_071236_727</t>
        </is>
      </c>
      <c r="C1304" s="3" t="inlineStr">
        <is>
          <t>10003</t>
        </is>
      </c>
      <c r="D1304" s="9" t="n">
        <v>578.2</v>
      </c>
      <c r="E1304" s="3" t="n"/>
      <c r="F1304" s="3" t="n"/>
      <c r="G1304" s="9" t="n"/>
      <c r="H1304" s="10" t="n">
        <v>45659.30041666667</v>
      </c>
      <c r="I1304" s="10" t="n">
        <v>45659.30319444444</v>
      </c>
      <c r="J1304" s="10" t="n">
        <v>45659.31820601852</v>
      </c>
      <c r="K1304" s="11" t="n">
        <v>0.01501157407407407</v>
      </c>
      <c r="L1304" s="13" t="n">
        <v>11</v>
      </c>
    </row>
    <row r="1305">
      <c r="A1305" s="3" t="inlineStr">
        <is>
          <t>IncomingTrainPreparation</t>
        </is>
      </c>
      <c r="B1305" s="3" t="inlineStr">
        <is>
          <t>Act_ITP_10004_072446_703</t>
        </is>
      </c>
      <c r="C1305" s="3" t="inlineStr">
        <is>
          <t>10004</t>
        </is>
      </c>
      <c r="D1305" s="9" t="n">
        <v>189</v>
      </c>
      <c r="E1305" s="3" t="n"/>
      <c r="F1305" s="3" t="n"/>
      <c r="G1305" s="9" t="n"/>
      <c r="H1305" s="10" t="n">
        <v>45659.30886574074</v>
      </c>
      <c r="I1305" s="10" t="n">
        <v>45659.31164351852</v>
      </c>
      <c r="J1305" s="10" t="n">
        <v>45659.31309027778</v>
      </c>
      <c r="K1305" s="11" t="n">
        <v>0.001446759259259259</v>
      </c>
      <c r="L1305" s="13" t="n">
        <v>0</v>
      </c>
    </row>
    <row r="1306">
      <c r="A1306" s="3" t="inlineStr">
        <is>
          <t>IncomingTrainPreparation</t>
        </is>
      </c>
      <c r="B1306" s="3" t="inlineStr">
        <is>
          <t>Act_ITP_10005_080421_703</t>
        </is>
      </c>
      <c r="C1306" s="3" t="inlineStr">
        <is>
          <t>10005</t>
        </is>
      </c>
      <c r="D1306" s="9" t="n">
        <v>396.6</v>
      </c>
      <c r="E1306" s="3" t="n"/>
      <c r="F1306" s="3" t="n"/>
      <c r="G1306" s="9" t="n"/>
      <c r="H1306" s="10" t="n">
        <v>45659.33635416667</v>
      </c>
      <c r="I1306" s="10" t="n">
        <v>45659.33913194444</v>
      </c>
      <c r="J1306" s="10" t="n">
        <v>45659.34232638889</v>
      </c>
      <c r="K1306" s="11" t="n">
        <v>0.003194444444444445</v>
      </c>
      <c r="L1306" s="13" t="n">
        <v>0</v>
      </c>
    </row>
    <row r="1307">
      <c r="A1307" s="3" t="inlineStr">
        <is>
          <t>IncomingTrainPreparation</t>
        </is>
      </c>
      <c r="B1307" s="3" t="inlineStr">
        <is>
          <t>Act_ITP_10006_085218_703</t>
        </is>
      </c>
      <c r="C1307" s="3" t="inlineStr">
        <is>
          <t>10006</t>
        </is>
      </c>
      <c r="D1307" s="9" t="n">
        <v>440.3</v>
      </c>
      <c r="E1307" s="3" t="n"/>
      <c r="F1307" s="3" t="n"/>
      <c r="G1307" s="9" t="n"/>
      <c r="H1307" s="10" t="n">
        <v>45659.36965277778</v>
      </c>
      <c r="I1307" s="10" t="n">
        <v>45659.37243055556</v>
      </c>
      <c r="J1307" s="10" t="n">
        <v>45659.38614583333</v>
      </c>
      <c r="K1307" s="11" t="n">
        <v>0.01371527777777778</v>
      </c>
      <c r="L1307" s="13" t="n">
        <v>9</v>
      </c>
    </row>
    <row r="1308">
      <c r="A1308" s="3" t="inlineStr">
        <is>
          <t>IncomingTrainPreparation</t>
        </is>
      </c>
      <c r="B1308" s="3" t="inlineStr">
        <is>
          <t>Act_ITP_10007_090232_727</t>
        </is>
      </c>
      <c r="C1308" s="3" t="inlineStr">
        <is>
          <t>10007</t>
        </is>
      </c>
      <c r="D1308" s="9" t="n">
        <v>212.7</v>
      </c>
      <c r="E1308" s="3" t="n"/>
      <c r="F1308" s="3" t="n"/>
      <c r="G1308" s="9" t="n"/>
      <c r="H1308" s="10" t="n">
        <v>45659.37675925926</v>
      </c>
      <c r="I1308" s="10" t="n">
        <v>45659.37953703704</v>
      </c>
      <c r="J1308" s="10" t="n">
        <v>45659.38202546296</v>
      </c>
      <c r="K1308" s="11" t="n">
        <v>0.002488425925925926</v>
      </c>
      <c r="L1308" s="13" t="n">
        <v>1</v>
      </c>
    </row>
    <row r="1309">
      <c r="A1309" s="3" t="inlineStr">
        <is>
          <t>IncomingTrainPreparation</t>
        </is>
      </c>
      <c r="B1309" s="3" t="inlineStr">
        <is>
          <t>Act_ITP_10008_103238_703</t>
        </is>
      </c>
      <c r="C1309" s="3" t="inlineStr">
        <is>
          <t>10008</t>
        </is>
      </c>
      <c r="D1309" s="9" t="n">
        <v>387.1</v>
      </c>
      <c r="E1309" s="3" t="n"/>
      <c r="F1309" s="3" t="n"/>
      <c r="G1309" s="9" t="n"/>
      <c r="H1309" s="10" t="n">
        <v>45659.4393287037</v>
      </c>
      <c r="I1309" s="10" t="n">
        <v>45659.44210648148</v>
      </c>
      <c r="J1309" s="10" t="n">
        <v>45659.4471875</v>
      </c>
      <c r="K1309" s="11" t="n">
        <v>0.005081018518518519</v>
      </c>
      <c r="L1309" s="13" t="n">
        <v>2</v>
      </c>
    </row>
    <row r="1310">
      <c r="A1310" s="3" t="inlineStr">
        <is>
          <t>IncomingTrainPreparation</t>
        </is>
      </c>
      <c r="B1310" s="3" t="inlineStr">
        <is>
          <t>Act_ITP_10009_143735_703</t>
        </is>
      </c>
      <c r="C1310" s="3" t="inlineStr">
        <is>
          <t>10009</t>
        </is>
      </c>
      <c r="D1310" s="9" t="n">
        <v>287.1</v>
      </c>
      <c r="E1310" s="3" t="n"/>
      <c r="F1310" s="3" t="n"/>
      <c r="G1310" s="9" t="n"/>
      <c r="H1310" s="10" t="n">
        <v>45659.60943287037</v>
      </c>
      <c r="I1310" s="10" t="n">
        <v>45659.61221064815</v>
      </c>
      <c r="J1310" s="10" t="n">
        <v>45659.61456018518</v>
      </c>
      <c r="K1310" s="11" t="n">
        <v>0.002349537037037037</v>
      </c>
      <c r="L1310" s="13" t="n">
        <v>0</v>
      </c>
    </row>
    <row r="1311">
      <c r="A1311" s="3" t="inlineStr">
        <is>
          <t>IncomingTrainPreparation</t>
        </is>
      </c>
      <c r="B1311" s="3" t="inlineStr">
        <is>
          <t>Act_ITP_10010_150306_727</t>
        </is>
      </c>
      <c r="C1311" s="3" t="inlineStr">
        <is>
          <t>10010</t>
        </is>
      </c>
      <c r="D1311" s="9" t="n">
        <v>571.9</v>
      </c>
      <c r="E1311" s="3" t="n"/>
      <c r="F1311" s="3" t="n"/>
      <c r="G1311" s="9" t="n"/>
      <c r="H1311" s="10" t="n">
        <v>45659.62715277778</v>
      </c>
      <c r="I1311" s="10" t="n">
        <v>45659.62993055556</v>
      </c>
      <c r="J1311" s="10" t="n">
        <v>45659.64165509259</v>
      </c>
      <c r="K1311" s="11" t="n">
        <v>0.01172453703703704</v>
      </c>
      <c r="L1311" s="13" t="n">
        <v>7</v>
      </c>
    </row>
    <row r="1312">
      <c r="A1312" s="3" t="inlineStr">
        <is>
          <t>IncomingTrainPreparation</t>
        </is>
      </c>
      <c r="B1312" s="3" t="inlineStr">
        <is>
          <t>Act_ITP_10011_150514_703</t>
        </is>
      </c>
      <c r="C1312" s="3" t="inlineStr">
        <is>
          <t>10011</t>
        </is>
      </c>
      <c r="D1312" s="9" t="n">
        <v>267.6</v>
      </c>
      <c r="E1312" s="3" t="n"/>
      <c r="F1312" s="3" t="n"/>
      <c r="G1312" s="9" t="n"/>
      <c r="H1312" s="10" t="n">
        <v>45659.62863425926</v>
      </c>
      <c r="I1312" s="10" t="n">
        <v>45659.63141203704</v>
      </c>
      <c r="J1312" s="10" t="n">
        <v>45659.63361111111</v>
      </c>
      <c r="K1312" s="11" t="n">
        <v>0.002199074074074074</v>
      </c>
      <c r="L1312" s="13" t="n">
        <v>0</v>
      </c>
    </row>
    <row r="1313">
      <c r="A1313" s="3" t="inlineStr">
        <is>
          <t>IncomingTrainPreparation</t>
        </is>
      </c>
      <c r="B1313" s="3" t="inlineStr">
        <is>
          <t>Act_ITP_10012_174511_727</t>
        </is>
      </c>
      <c r="C1313" s="3" t="inlineStr">
        <is>
          <t>10012</t>
        </is>
      </c>
      <c r="D1313" s="9" t="n">
        <v>581</v>
      </c>
      <c r="E1313" s="3" t="n"/>
      <c r="F1313" s="3" t="n"/>
      <c r="G1313" s="9" t="n"/>
      <c r="H1313" s="10" t="n">
        <v>45659.73971064815</v>
      </c>
      <c r="I1313" s="10" t="n">
        <v>45659.74248842592</v>
      </c>
      <c r="J1313" s="10" t="n">
        <v>45659.75847222222</v>
      </c>
      <c r="K1313" s="11" t="n">
        <v>0.0159837962962963</v>
      </c>
      <c r="L1313" s="13" t="n">
        <v>10</v>
      </c>
    </row>
    <row r="1314">
      <c r="A1314" s="3" t="inlineStr">
        <is>
          <t>IncomingTrainPreparation</t>
        </is>
      </c>
      <c r="B1314" s="3" t="inlineStr">
        <is>
          <t>Act_ITP_10013_201050_703</t>
        </is>
      </c>
      <c r="C1314" s="3" t="inlineStr">
        <is>
          <t>10013</t>
        </is>
      </c>
      <c r="D1314" s="9" t="n">
        <v>350.4</v>
      </c>
      <c r="E1314" s="3" t="n"/>
      <c r="F1314" s="3" t="n"/>
      <c r="G1314" s="9" t="n"/>
      <c r="H1314" s="10" t="n">
        <v>45659.84085648148</v>
      </c>
      <c r="I1314" s="10" t="n">
        <v>45659.84363425926</v>
      </c>
      <c r="J1314" s="10" t="n">
        <v>45659.85675925926</v>
      </c>
      <c r="K1314" s="11" t="n">
        <v>0.013125</v>
      </c>
      <c r="L1314" s="13" t="n">
        <v>10</v>
      </c>
    </row>
    <row r="1315">
      <c r="A1315" s="3" t="inlineStr">
        <is>
          <t>IncomingTrainPreparation</t>
        </is>
      </c>
      <c r="B1315" s="3" t="inlineStr">
        <is>
          <t>Act_ITP_10014_024202_703</t>
        </is>
      </c>
      <c r="C1315" s="3" t="inlineStr">
        <is>
          <t>10014</t>
        </is>
      </c>
      <c r="D1315" s="9" t="n">
        <v>140.4</v>
      </c>
      <c r="E1315" s="3" t="n"/>
      <c r="F1315" s="3" t="n"/>
      <c r="G1315" s="9" t="n"/>
      <c r="H1315" s="10" t="n">
        <v>45660.11252314815</v>
      </c>
      <c r="I1315" s="10" t="n">
        <v>45660.11530092593</v>
      </c>
      <c r="J1315" s="10" t="n">
        <v>45660.11940972223</v>
      </c>
      <c r="K1315" s="11" t="n">
        <v>0.004108796296296296</v>
      </c>
      <c r="L1315" s="13" t="n">
        <v>3</v>
      </c>
    </row>
    <row r="1316">
      <c r="A1316" s="3" t="inlineStr">
        <is>
          <t>IncomingTrainPreparation</t>
        </is>
      </c>
      <c r="B1316" s="3" t="inlineStr">
        <is>
          <t>Act_ITP_10015_043750_703</t>
        </is>
      </c>
      <c r="C1316" s="3" t="inlineStr">
        <is>
          <t>10015</t>
        </is>
      </c>
      <c r="D1316" s="9" t="n">
        <v>497</v>
      </c>
      <c r="E1316" s="3" t="n"/>
      <c r="F1316" s="3" t="n"/>
      <c r="G1316" s="9" t="n"/>
      <c r="H1316" s="10" t="n">
        <v>45660.19293981481</v>
      </c>
      <c r="I1316" s="10" t="n">
        <v>45660.19571759259</v>
      </c>
      <c r="J1316" s="10" t="n">
        <v>45660.19956018519</v>
      </c>
      <c r="K1316" s="11" t="n">
        <v>0.003842592592592593</v>
      </c>
      <c r="L1316" s="13" t="n">
        <v>0</v>
      </c>
    </row>
    <row r="1317">
      <c r="A1317" s="3" t="inlineStr">
        <is>
          <t>IncomingTrainPreparation</t>
        </is>
      </c>
      <c r="B1317" s="3" t="inlineStr">
        <is>
          <t>Act_ITP_10016_053708_703</t>
        </is>
      </c>
      <c r="C1317" s="3" t="inlineStr">
        <is>
          <t>10016</t>
        </is>
      </c>
      <c r="D1317" s="9" t="n">
        <v>412</v>
      </c>
      <c r="E1317" s="3" t="n"/>
      <c r="F1317" s="3" t="n"/>
      <c r="G1317" s="9" t="n"/>
      <c r="H1317" s="10" t="n">
        <v>45660.23412037037</v>
      </c>
      <c r="I1317" s="10" t="n">
        <v>45660.23689814815</v>
      </c>
      <c r="J1317" s="10" t="n">
        <v>45660.25017361111</v>
      </c>
      <c r="K1317" s="11" t="n">
        <v>0.01327546296296296</v>
      </c>
      <c r="L1317" s="13" t="n">
        <v>10</v>
      </c>
    </row>
    <row r="1318">
      <c r="A1318" s="3" t="inlineStr">
        <is>
          <t>IncomingTrainPreparation</t>
        </is>
      </c>
      <c r="B1318" s="3" t="inlineStr">
        <is>
          <t>Act_ITP_10017_063449_703</t>
        </is>
      </c>
      <c r="C1318" s="3" t="inlineStr">
        <is>
          <t>10017</t>
        </is>
      </c>
      <c r="D1318" s="9" t="n">
        <v>297</v>
      </c>
      <c r="E1318" s="3" t="n"/>
      <c r="F1318" s="3" t="n"/>
      <c r="G1318" s="9" t="n"/>
      <c r="H1318" s="10" t="n">
        <v>45660.27417824074</v>
      </c>
      <c r="I1318" s="10" t="n">
        <v>45660.27695601852</v>
      </c>
      <c r="J1318" s="10" t="n">
        <v>45660.27925925926</v>
      </c>
      <c r="K1318" s="11" t="n">
        <v>0.002303240740740741</v>
      </c>
      <c r="L1318" s="13" t="n">
        <v>0</v>
      </c>
    </row>
    <row r="1319">
      <c r="A1319" s="3" t="inlineStr">
        <is>
          <t>IncomingTrainPreparation</t>
        </is>
      </c>
      <c r="B1319" s="3" t="inlineStr">
        <is>
          <t>Act_ITP_10018_071805_703</t>
        </is>
      </c>
      <c r="C1319" s="3" t="inlineStr">
        <is>
          <t>10018</t>
        </is>
      </c>
      <c r="D1319" s="9" t="n">
        <v>306.7</v>
      </c>
      <c r="E1319" s="3" t="n"/>
      <c r="F1319" s="3" t="n"/>
      <c r="G1319" s="9" t="n"/>
      <c r="H1319" s="10" t="n">
        <v>45660.30422453704</v>
      </c>
      <c r="I1319" s="10" t="n">
        <v>45660.30700231482</v>
      </c>
      <c r="J1319" s="10" t="n">
        <v>45660.31542824074</v>
      </c>
      <c r="K1319" s="11" t="n">
        <v>0.008425925925925925</v>
      </c>
      <c r="L1319" s="13" t="n">
        <v>6</v>
      </c>
    </row>
    <row r="1320">
      <c r="A1320" s="3" t="inlineStr">
        <is>
          <t>IncomingTrainPreparation</t>
        </is>
      </c>
      <c r="B1320" s="3" t="inlineStr">
        <is>
          <t>Act_ITP_10019_072912_727</t>
        </is>
      </c>
      <c r="C1320" s="3" t="inlineStr">
        <is>
          <t>10019</t>
        </is>
      </c>
      <c r="D1320" s="9" t="n">
        <v>256.9</v>
      </c>
      <c r="E1320" s="3" t="n"/>
      <c r="F1320" s="3" t="n"/>
      <c r="G1320" s="9" t="n"/>
      <c r="H1320" s="10" t="n">
        <v>45660.31194444445</v>
      </c>
      <c r="I1320" s="10" t="n">
        <v>45660.31472222223</v>
      </c>
      <c r="J1320" s="10" t="n">
        <v>45660.31671296297</v>
      </c>
      <c r="K1320" s="11" t="n">
        <v>0.001990740740740741</v>
      </c>
      <c r="L1320" s="13" t="n">
        <v>0</v>
      </c>
    </row>
    <row r="1321">
      <c r="A1321" s="3" t="inlineStr">
        <is>
          <t>IncomingTrainPreparation</t>
        </is>
      </c>
      <c r="B1321" s="3" t="inlineStr">
        <is>
          <t>Act_ITP_10020_080055_703</t>
        </is>
      </c>
      <c r="C1321" s="3" t="inlineStr">
        <is>
          <t>10020</t>
        </is>
      </c>
      <c r="D1321" s="9" t="n">
        <v>396.6</v>
      </c>
      <c r="E1321" s="3" t="n"/>
      <c r="F1321" s="3" t="n"/>
      <c r="G1321" s="9" t="n"/>
      <c r="H1321" s="10" t="n">
        <v>45660.33396990741</v>
      </c>
      <c r="I1321" s="10" t="n">
        <v>45660.33674768519</v>
      </c>
      <c r="J1321" s="10" t="n">
        <v>45660.34019675926</v>
      </c>
      <c r="K1321" s="11" t="n">
        <v>0.003449074074074074</v>
      </c>
      <c r="L1321" s="13" t="n">
        <v>0</v>
      </c>
    </row>
    <row r="1322">
      <c r="A1322" s="3" t="inlineStr">
        <is>
          <t>IncomingTrainPreparation</t>
        </is>
      </c>
      <c r="B1322" s="3" t="inlineStr">
        <is>
          <t>Act_ITP_10021_084907_703</t>
        </is>
      </c>
      <c r="C1322" s="3" t="inlineStr">
        <is>
          <t>10021</t>
        </is>
      </c>
      <c r="D1322" s="9" t="n">
        <v>279.1</v>
      </c>
      <c r="E1322" s="3" t="n"/>
      <c r="F1322" s="3" t="n"/>
      <c r="G1322" s="9" t="n"/>
      <c r="H1322" s="10" t="n">
        <v>45660.36744212963</v>
      </c>
      <c r="I1322" s="10" t="n">
        <v>45660.37021990741</v>
      </c>
      <c r="J1322" s="10" t="n">
        <v>45660.37324074074</v>
      </c>
      <c r="K1322" s="11" t="n">
        <v>0.003020833333333333</v>
      </c>
      <c r="L1322" s="13" t="n">
        <v>1</v>
      </c>
    </row>
    <row r="1323">
      <c r="A1323" s="3" t="inlineStr">
        <is>
          <t>IncomingTrainPreparation</t>
        </is>
      </c>
      <c r="B1323" s="3" t="inlineStr">
        <is>
          <t>Act_ITP_10022_103327_703</t>
        </is>
      </c>
      <c r="C1323" s="3" t="inlineStr">
        <is>
          <t>10022</t>
        </is>
      </c>
      <c r="D1323" s="9" t="n">
        <v>433.7</v>
      </c>
      <c r="E1323" s="3" t="n"/>
      <c r="F1323" s="3" t="n"/>
      <c r="G1323" s="9" t="n"/>
      <c r="H1323" s="10" t="n">
        <v>45660.43989583333</v>
      </c>
      <c r="I1323" s="10" t="n">
        <v>45660.44267361111</v>
      </c>
      <c r="J1323" s="10" t="n">
        <v>45660.44875</v>
      </c>
      <c r="K1323" s="11" t="n">
        <v>0.006076388888888889</v>
      </c>
      <c r="L1323" s="13" t="n">
        <v>2</v>
      </c>
    </row>
    <row r="1324">
      <c r="A1324" s="3" t="inlineStr">
        <is>
          <t>IncomingTrainPreparation</t>
        </is>
      </c>
      <c r="B1324" s="3" t="inlineStr">
        <is>
          <t>Act_ITP_10023_130213_703</t>
        </is>
      </c>
      <c r="C1324" s="3" t="inlineStr">
        <is>
          <t>10023</t>
        </is>
      </c>
      <c r="D1324" s="9" t="n">
        <v>278</v>
      </c>
      <c r="E1324" s="3" t="n"/>
      <c r="F1324" s="3" t="n"/>
      <c r="G1324" s="9" t="n"/>
      <c r="H1324" s="10" t="n">
        <v>45660.54320601852</v>
      </c>
      <c r="I1324" s="10" t="n">
        <v>45660.5459837963</v>
      </c>
      <c r="J1324" s="10" t="n">
        <v>45660.54802083333</v>
      </c>
      <c r="K1324" s="11" t="n">
        <v>0.002037037037037037</v>
      </c>
      <c r="L1324" s="13" t="n">
        <v>0</v>
      </c>
    </row>
    <row r="1325">
      <c r="A1325" s="3" t="inlineStr">
        <is>
          <t>IncomingTrainPreparation</t>
        </is>
      </c>
      <c r="B1325" s="3" t="inlineStr">
        <is>
          <t>Act_ITP_10024_142107_731</t>
        </is>
      </c>
      <c r="C1325" s="3" t="inlineStr">
        <is>
          <t>10024</t>
        </is>
      </c>
      <c r="D1325" s="9" t="n">
        <v>63</v>
      </c>
      <c r="E1325" s="3" t="n"/>
      <c r="F1325" s="3" t="n"/>
      <c r="G1325" s="9" t="n"/>
      <c r="H1325" s="10" t="n">
        <v>45660.59799768519</v>
      </c>
      <c r="I1325" s="10" t="n">
        <v>45660.60077546296</v>
      </c>
      <c r="J1325" s="10" t="n">
        <v>45660.60131944445</v>
      </c>
      <c r="K1325" s="11" t="n">
        <v>0.0005439814814814814</v>
      </c>
      <c r="L1325" s="13" t="n">
        <v>0</v>
      </c>
    </row>
    <row r="1326">
      <c r="A1326" s="3" t="inlineStr">
        <is>
          <t>IncomingTrainPreparation</t>
        </is>
      </c>
      <c r="B1326" s="3" t="inlineStr">
        <is>
          <t>Act_ITP_10025_150715_703</t>
        </is>
      </c>
      <c r="C1326" s="3" t="inlineStr">
        <is>
          <t>10025</t>
        </is>
      </c>
      <c r="D1326" s="9" t="n">
        <v>399.8</v>
      </c>
      <c r="E1326" s="3" t="n"/>
      <c r="F1326" s="3" t="n"/>
      <c r="G1326" s="9" t="n"/>
      <c r="H1326" s="10" t="n">
        <v>45660.63003472222</v>
      </c>
      <c r="I1326" s="10" t="n">
        <v>45660.6328125</v>
      </c>
      <c r="J1326" s="10" t="n">
        <v>45660.64547453704</v>
      </c>
      <c r="K1326" s="11" t="n">
        <v>0.01266203703703704</v>
      </c>
      <c r="L1326" s="13" t="n">
        <v>10</v>
      </c>
    </row>
    <row r="1327">
      <c r="A1327" s="3" t="inlineStr">
        <is>
          <t>IncomingTrainPreparation</t>
        </is>
      </c>
      <c r="B1327" s="3" t="inlineStr">
        <is>
          <t>Act_ITP_10026_153631_731</t>
        </is>
      </c>
      <c r="C1327" s="3" t="inlineStr">
        <is>
          <t>10026</t>
        </is>
      </c>
      <c r="D1327" s="9" t="n">
        <v>63</v>
      </c>
      <c r="E1327" s="3" t="n"/>
      <c r="F1327" s="3" t="n"/>
      <c r="G1327" s="9" t="n"/>
      <c r="H1327" s="10" t="n">
        <v>45660.65035879629</v>
      </c>
      <c r="I1327" s="10" t="n">
        <v>45660.65313657407</v>
      </c>
      <c r="J1327" s="10" t="n">
        <v>45660.65359953704</v>
      </c>
      <c r="K1327" s="11" t="n">
        <v>0.000462962962962963</v>
      </c>
      <c r="L1327" s="13" t="n">
        <v>0</v>
      </c>
    </row>
    <row r="1328">
      <c r="A1328" s="3" t="inlineStr">
        <is>
          <t>IncomingTrainPreparation</t>
        </is>
      </c>
      <c r="B1328" s="3" t="inlineStr">
        <is>
          <t>Act_ITP_10027_171431_703</t>
        </is>
      </c>
      <c r="C1328" s="3" t="inlineStr">
        <is>
          <t>10027</t>
        </is>
      </c>
      <c r="D1328" s="9" t="n">
        <v>278.9</v>
      </c>
      <c r="E1328" s="3" t="n"/>
      <c r="F1328" s="3" t="n"/>
      <c r="G1328" s="9" t="n"/>
      <c r="H1328" s="10" t="n">
        <v>45660.71841435185</v>
      </c>
      <c r="I1328" s="10" t="n">
        <v>45660.72119212963</v>
      </c>
      <c r="J1328" s="10" t="n">
        <v>45660.72362268518</v>
      </c>
      <c r="K1328" s="11" t="n">
        <v>0.002430555555555556</v>
      </c>
      <c r="L1328" s="13" t="n">
        <v>0</v>
      </c>
    </row>
    <row r="1329">
      <c r="A1329" s="3" t="inlineStr">
        <is>
          <t>IncomingTrainPreparation</t>
        </is>
      </c>
      <c r="B1329" s="3" t="inlineStr">
        <is>
          <t>Act_ITP_10028_200307_725</t>
        </is>
      </c>
      <c r="C1329" s="3" t="inlineStr">
        <is>
          <t>10028</t>
        </is>
      </c>
      <c r="D1329" s="9" t="n">
        <v>595.9</v>
      </c>
      <c r="E1329" s="3" t="n"/>
      <c r="F1329" s="3" t="n"/>
      <c r="G1329" s="9" t="n"/>
      <c r="H1329" s="10" t="n">
        <v>45660.83549768518</v>
      </c>
      <c r="I1329" s="10" t="n">
        <v>45660.83827546296</v>
      </c>
      <c r="J1329" s="10" t="n">
        <v>45660.84945601852</v>
      </c>
      <c r="K1329" s="11" t="n">
        <v>0.01118055555555555</v>
      </c>
      <c r="L1329" s="13" t="n">
        <v>7</v>
      </c>
    </row>
    <row r="1330">
      <c r="A1330" s="3" t="inlineStr">
        <is>
          <t>IncomingTrainPreparation</t>
        </is>
      </c>
      <c r="B1330" s="3" t="inlineStr">
        <is>
          <t>Act_ITP_10029_205751_727</t>
        </is>
      </c>
      <c r="C1330" s="3" t="inlineStr">
        <is>
          <t>10029</t>
        </is>
      </c>
      <c r="D1330" s="9" t="n">
        <v>541.1</v>
      </c>
      <c r="E1330" s="3" t="n"/>
      <c r="F1330" s="3" t="n"/>
      <c r="G1330" s="9" t="n"/>
      <c r="H1330" s="10" t="n">
        <v>45660.87350694444</v>
      </c>
      <c r="I1330" s="10" t="n">
        <v>45660.87628472222</v>
      </c>
      <c r="J1330" s="10" t="n">
        <v>45660.89300925926</v>
      </c>
      <c r="K1330" s="11" t="n">
        <v>0.01672453703703704</v>
      </c>
      <c r="L1330" s="13" t="n">
        <v>11</v>
      </c>
    </row>
    <row r="1331">
      <c r="A1331" s="3" t="inlineStr">
        <is>
          <t>IncomingTrainPreparation</t>
        </is>
      </c>
      <c r="B1331" s="3" t="inlineStr">
        <is>
          <t>Act_ITP_10030_054157_703</t>
        </is>
      </c>
      <c r="C1331" s="3" t="inlineStr">
        <is>
          <t>10030</t>
        </is>
      </c>
      <c r="D1331" s="9" t="n">
        <v>295</v>
      </c>
      <c r="E1331" s="3" t="n"/>
      <c r="F1331" s="3" t="n"/>
      <c r="G1331" s="9" t="n"/>
      <c r="H1331" s="10" t="n">
        <v>45661.23746527778</v>
      </c>
      <c r="I1331" s="10" t="n">
        <v>45661.24024305555</v>
      </c>
      <c r="J1331" s="10" t="n">
        <v>45661.24451388889</v>
      </c>
      <c r="K1331" s="11" t="n">
        <v>0.004270833333333333</v>
      </c>
      <c r="L1331" s="13" t="n">
        <v>2</v>
      </c>
    </row>
    <row r="1332">
      <c r="A1332" s="3" t="inlineStr">
        <is>
          <t>IncomingTrainPreparation</t>
        </is>
      </c>
      <c r="B1332" s="3" t="inlineStr">
        <is>
          <t>Act_ITP_10031_173529_727</t>
        </is>
      </c>
      <c r="C1332" s="3" t="inlineStr">
        <is>
          <t>10031</t>
        </is>
      </c>
      <c r="D1332" s="9" t="n">
        <v>535.3</v>
      </c>
      <c r="E1332" s="3" t="n"/>
      <c r="F1332" s="3" t="n"/>
      <c r="G1332" s="9" t="n"/>
      <c r="H1332" s="10" t="n">
        <v>45662.73297453704</v>
      </c>
      <c r="I1332" s="10" t="n">
        <v>45662.73575231482</v>
      </c>
      <c r="J1332" s="10" t="n">
        <v>45662.74243055555</v>
      </c>
      <c r="K1332" s="11" t="n">
        <v>0.006678240740740741</v>
      </c>
      <c r="L1332" s="13" t="n">
        <v>2</v>
      </c>
    </row>
    <row r="1333">
      <c r="A1333" s="3" t="inlineStr">
        <is>
          <t>IncomingTrainPreparation</t>
        </is>
      </c>
      <c r="B1333" s="3" t="inlineStr">
        <is>
          <t>Act_ITP_10032_200956_727</t>
        </is>
      </c>
      <c r="C1333" s="3" t="inlineStr">
        <is>
          <t>10032</t>
        </is>
      </c>
      <c r="D1333" s="9" t="n">
        <v>590.8</v>
      </c>
      <c r="E1333" s="3" t="n"/>
      <c r="F1333" s="3" t="n"/>
      <c r="G1333" s="9" t="n"/>
      <c r="H1333" s="10" t="n">
        <v>45662.84023148148</v>
      </c>
      <c r="I1333" s="10" t="n">
        <v>45662.84300925926</v>
      </c>
      <c r="J1333" s="10" t="n">
        <v>45662.84952546296</v>
      </c>
      <c r="K1333" s="11" t="n">
        <v>0.006516203703703704</v>
      </c>
      <c r="L1333" s="13" t="n">
        <v>2</v>
      </c>
    </row>
    <row r="1334">
      <c r="A1334" s="3" t="inlineStr">
        <is>
          <t>IncomingTrainPreparation</t>
        </is>
      </c>
      <c r="B1334" s="3" t="inlineStr">
        <is>
          <t>Act_ITP_10033_174204_703</t>
        </is>
      </c>
      <c r="C1334" s="3" t="inlineStr">
        <is>
          <t>10033</t>
        </is>
      </c>
      <c r="D1334" s="9" t="n">
        <v>241.4</v>
      </c>
      <c r="E1334" s="3" t="n"/>
      <c r="F1334" s="3" t="n"/>
      <c r="G1334" s="9" t="n"/>
      <c r="H1334" s="10" t="n">
        <v>45663.7375462963</v>
      </c>
      <c r="I1334" s="10" t="n">
        <v>45663.74032407408</v>
      </c>
      <c r="J1334" s="10" t="n">
        <v>45663.74232638889</v>
      </c>
      <c r="K1334" s="11" t="n">
        <v>0.002002314814814815</v>
      </c>
      <c r="L1334" s="13" t="n">
        <v>0</v>
      </c>
    </row>
    <row r="1335">
      <c r="A1335" s="3" t="inlineStr">
        <is>
          <t>IncomingTrainPreparation</t>
        </is>
      </c>
      <c r="B1335" s="3" t="inlineStr">
        <is>
          <t>Act_ITP_10034_024606_703</t>
        </is>
      </c>
      <c r="C1335" s="3" t="inlineStr">
        <is>
          <t>10034</t>
        </is>
      </c>
      <c r="D1335" s="9" t="n">
        <v>291.2</v>
      </c>
      <c r="E1335" s="3" t="n"/>
      <c r="F1335" s="3" t="n"/>
      <c r="G1335" s="9" t="n"/>
      <c r="H1335" s="10" t="n">
        <v>45664.11534722222</v>
      </c>
      <c r="I1335" s="10" t="n">
        <v>45664.118125</v>
      </c>
      <c r="J1335" s="10" t="n">
        <v>45664.124375</v>
      </c>
      <c r="K1335" s="11" t="n">
        <v>0.00625</v>
      </c>
      <c r="L1335" s="13" t="n">
        <v>4</v>
      </c>
    </row>
    <row r="1336">
      <c r="A1336" s="3" t="inlineStr">
        <is>
          <t>IncomingTrainPreparation</t>
        </is>
      </c>
      <c r="B1336" s="3" t="inlineStr">
        <is>
          <t>Act_ITP_10035_063330_703</t>
        </is>
      </c>
      <c r="C1336" s="3" t="inlineStr">
        <is>
          <t>10035</t>
        </is>
      </c>
      <c r="D1336" s="9" t="n">
        <v>297</v>
      </c>
      <c r="E1336" s="3" t="n"/>
      <c r="F1336" s="3" t="n"/>
      <c r="G1336" s="9" t="n"/>
      <c r="H1336" s="10" t="n">
        <v>45664.27326388889</v>
      </c>
      <c r="I1336" s="10" t="n">
        <v>45664.27604166666</v>
      </c>
      <c r="J1336" s="10" t="n">
        <v>45664.27851851852</v>
      </c>
      <c r="K1336" s="11" t="n">
        <v>0.002476851851851852</v>
      </c>
      <c r="L1336" s="13" t="n">
        <v>0</v>
      </c>
    </row>
    <row r="1337">
      <c r="A1337" s="3" t="inlineStr">
        <is>
          <t>IncomingTrainPreparation</t>
        </is>
      </c>
      <c r="B1337" s="3" t="inlineStr">
        <is>
          <t>Act_ITP_10036_071747_703</t>
        </is>
      </c>
      <c r="C1337" s="3" t="inlineStr">
        <is>
          <t>10036</t>
        </is>
      </c>
      <c r="D1337" s="9" t="n">
        <v>268.5</v>
      </c>
      <c r="E1337" s="3" t="n"/>
      <c r="F1337" s="3" t="n"/>
      <c r="G1337" s="9" t="n"/>
      <c r="H1337" s="10" t="n">
        <v>45664.30401620371</v>
      </c>
      <c r="I1337" s="10" t="n">
        <v>45664.30679398148</v>
      </c>
      <c r="J1337" s="10" t="n">
        <v>45664.31488425926</v>
      </c>
      <c r="K1337" s="11" t="n">
        <v>0.008090277777777778</v>
      </c>
      <c r="L1337" s="13" t="n">
        <v>6</v>
      </c>
    </row>
    <row r="1338">
      <c r="A1338" s="3" t="inlineStr">
        <is>
          <t>IncomingTrainPreparation</t>
        </is>
      </c>
      <c r="B1338" s="3" t="inlineStr">
        <is>
          <t>Act_ITP_10037_072343_727</t>
        </is>
      </c>
      <c r="C1338" s="3" t="inlineStr">
        <is>
          <t>10037</t>
        </is>
      </c>
      <c r="D1338" s="9" t="n">
        <v>396.6</v>
      </c>
      <c r="E1338" s="3" t="n"/>
      <c r="F1338" s="3" t="n"/>
      <c r="G1338" s="9" t="n"/>
      <c r="H1338" s="10" t="n">
        <v>45664.30813657407</v>
      </c>
      <c r="I1338" s="10" t="n">
        <v>45664.31091435185</v>
      </c>
      <c r="J1338" s="10" t="n">
        <v>45664.31421296296</v>
      </c>
      <c r="K1338" s="11" t="n">
        <v>0.003298611111111111</v>
      </c>
      <c r="L1338" s="13" t="n">
        <v>0</v>
      </c>
    </row>
    <row r="1339">
      <c r="A1339" s="3" t="inlineStr">
        <is>
          <t>IncomingTrainPreparation</t>
        </is>
      </c>
      <c r="B1339" s="3" t="inlineStr">
        <is>
          <t>Act_ITP_10038_072642_725</t>
        </is>
      </c>
      <c r="C1339" s="3" t="inlineStr">
        <is>
          <t>10038</t>
        </is>
      </c>
      <c r="D1339" s="9" t="n">
        <v>189.9</v>
      </c>
      <c r="E1339" s="3" t="n"/>
      <c r="F1339" s="3" t="n"/>
      <c r="G1339" s="9" t="n"/>
      <c r="H1339" s="10" t="n">
        <v>45664.31020833334</v>
      </c>
      <c r="I1339" s="10" t="n">
        <v>45664.31298611111</v>
      </c>
      <c r="J1339" s="10" t="n">
        <v>45664.31446759259</v>
      </c>
      <c r="K1339" s="11" t="n">
        <v>0.001481481481481481</v>
      </c>
      <c r="L1339" s="13" t="n">
        <v>0</v>
      </c>
    </row>
    <row r="1340">
      <c r="A1340" s="3" t="inlineStr">
        <is>
          <t>IncomingTrainPreparation</t>
        </is>
      </c>
      <c r="B1340" s="3" t="inlineStr">
        <is>
          <t>Act_ITP_10039_081952_703</t>
        </is>
      </c>
      <c r="C1340" s="3" t="inlineStr">
        <is>
          <t>10039</t>
        </is>
      </c>
      <c r="D1340" s="9" t="n">
        <v>393.9</v>
      </c>
      <c r="E1340" s="3" t="n"/>
      <c r="F1340" s="3" t="n"/>
      <c r="G1340" s="9" t="n"/>
      <c r="H1340" s="10" t="n">
        <v>45664.34712962963</v>
      </c>
      <c r="I1340" s="10" t="n">
        <v>45664.34990740741</v>
      </c>
      <c r="J1340" s="10" t="n">
        <v>45664.35447916666</v>
      </c>
      <c r="K1340" s="11" t="n">
        <v>0.004571759259259259</v>
      </c>
      <c r="L1340" s="13" t="n">
        <v>1</v>
      </c>
    </row>
    <row r="1341">
      <c r="A1341" s="3" t="inlineStr">
        <is>
          <t>IncomingTrainPreparation</t>
        </is>
      </c>
      <c r="B1341" s="3" t="inlineStr">
        <is>
          <t>Act_ITP_10040_083926_727</t>
        </is>
      </c>
      <c r="C1341" s="3" t="inlineStr">
        <is>
          <t>10040</t>
        </is>
      </c>
      <c r="D1341" s="9" t="n">
        <v>297</v>
      </c>
      <c r="E1341" s="3" t="n"/>
      <c r="F1341" s="3" t="n"/>
      <c r="G1341" s="9" t="n"/>
      <c r="H1341" s="10" t="n">
        <v>45664.36071759259</v>
      </c>
      <c r="I1341" s="10" t="n">
        <v>45664.36349537037</v>
      </c>
      <c r="J1341" s="10" t="n">
        <v>45664.37247685185</v>
      </c>
      <c r="K1341" s="11" t="n">
        <v>0.008981481481481481</v>
      </c>
      <c r="L1341" s="13" t="n">
        <v>7</v>
      </c>
    </row>
    <row r="1342">
      <c r="A1342" s="3" t="inlineStr">
        <is>
          <t>IncomingTrainPreparation</t>
        </is>
      </c>
      <c r="B1342" s="3" t="inlineStr">
        <is>
          <t>Act_ITP_10041_103538_703</t>
        </is>
      </c>
      <c r="C1342" s="3" t="inlineStr">
        <is>
          <t>10041</t>
        </is>
      </c>
      <c r="D1342" s="9" t="n">
        <v>448.6</v>
      </c>
      <c r="E1342" s="3" t="n"/>
      <c r="F1342" s="3" t="n"/>
      <c r="G1342" s="9" t="n"/>
      <c r="H1342" s="10" t="n">
        <v>45664.44141203703</v>
      </c>
      <c r="I1342" s="10" t="n">
        <v>45664.44418981481</v>
      </c>
      <c r="J1342" s="10" t="n">
        <v>45664.45038194444</v>
      </c>
      <c r="K1342" s="11" t="n">
        <v>0.00619212962962963</v>
      </c>
      <c r="L1342" s="13" t="n">
        <v>2</v>
      </c>
    </row>
    <row r="1343">
      <c r="A1343" s="3" t="inlineStr">
        <is>
          <t>IncomingTrainPreparation</t>
        </is>
      </c>
      <c r="B1343" s="3" t="inlineStr">
        <is>
          <t>Act_ITP_10042_130229_703</t>
        </is>
      </c>
      <c r="C1343" s="3" t="inlineStr">
        <is>
          <t>10042</t>
        </is>
      </c>
      <c r="D1343" s="9" t="n">
        <v>192.5</v>
      </c>
      <c r="E1343" s="3" t="n"/>
      <c r="F1343" s="3" t="n"/>
      <c r="G1343" s="9" t="n"/>
      <c r="H1343" s="10" t="n">
        <v>45664.5433912037</v>
      </c>
      <c r="I1343" s="10" t="n">
        <v>45664.54616898148</v>
      </c>
      <c r="J1343" s="10" t="n">
        <v>45664.54758101852</v>
      </c>
      <c r="K1343" s="11" t="n">
        <v>0.001412037037037037</v>
      </c>
      <c r="L1343" s="13" t="n">
        <v>0</v>
      </c>
    </row>
    <row r="1344">
      <c r="A1344" s="3" t="inlineStr">
        <is>
          <t>IncomingTrainPreparation</t>
        </is>
      </c>
      <c r="B1344" s="3" t="inlineStr">
        <is>
          <t>Act_ITP_10043_141737_703</t>
        </is>
      </c>
      <c r="C1344" s="3" t="inlineStr">
        <is>
          <t>10043</t>
        </is>
      </c>
      <c r="D1344" s="9" t="n">
        <v>398</v>
      </c>
      <c r="E1344" s="3" t="n"/>
      <c r="F1344" s="3" t="n"/>
      <c r="G1344" s="9" t="n"/>
      <c r="H1344" s="10" t="n">
        <v>45664.59556712963</v>
      </c>
      <c r="I1344" s="10" t="n">
        <v>45664.5983449074</v>
      </c>
      <c r="J1344" s="10" t="n">
        <v>45664.60180555555</v>
      </c>
      <c r="K1344" s="11" t="n">
        <v>0.003460648148148148</v>
      </c>
      <c r="L1344" s="13" t="n">
        <v>0</v>
      </c>
    </row>
    <row r="1345">
      <c r="A1345" s="3" t="inlineStr">
        <is>
          <t>IncomingTrainPreparation</t>
        </is>
      </c>
      <c r="B1345" s="3" t="inlineStr">
        <is>
          <t>Act_ITP_10044_150158_703</t>
        </is>
      </c>
      <c r="C1345" s="3" t="inlineStr">
        <is>
          <t>10044</t>
        </is>
      </c>
      <c r="D1345" s="9" t="n">
        <v>321.1</v>
      </c>
      <c r="E1345" s="3" t="n"/>
      <c r="F1345" s="3" t="n"/>
      <c r="G1345" s="9" t="n"/>
      <c r="H1345" s="10" t="n">
        <v>45664.62636574074</v>
      </c>
      <c r="I1345" s="10" t="n">
        <v>45664.62914351852</v>
      </c>
      <c r="J1345" s="10" t="n">
        <v>45664.64252314815</v>
      </c>
      <c r="K1345" s="11" t="n">
        <v>0.01337962962962963</v>
      </c>
      <c r="L1345" s="13" t="n">
        <v>10</v>
      </c>
    </row>
    <row r="1346">
      <c r="A1346" s="3" t="inlineStr">
        <is>
          <t>IncomingTrainPreparation</t>
        </is>
      </c>
      <c r="B1346" s="3" t="inlineStr">
        <is>
          <t>Act_ITP_10045_152426_727</t>
        </is>
      </c>
      <c r="C1346" s="3" t="inlineStr">
        <is>
          <t>10045</t>
        </is>
      </c>
      <c r="D1346" s="9" t="n">
        <v>393.5</v>
      </c>
      <c r="E1346" s="3" t="n"/>
      <c r="F1346" s="3" t="n"/>
      <c r="G1346" s="9" t="n"/>
      <c r="H1346" s="10" t="n">
        <v>45664.64196759259</v>
      </c>
      <c r="I1346" s="10" t="n">
        <v>45664.64474537037</v>
      </c>
      <c r="J1346" s="10" t="n">
        <v>45664.64780092592</v>
      </c>
      <c r="K1346" s="11" t="n">
        <v>0.003055555555555556</v>
      </c>
      <c r="L1346" s="13" t="n">
        <v>0</v>
      </c>
    </row>
    <row r="1347">
      <c r="A1347" s="3" t="inlineStr">
        <is>
          <t>IncomingTrainPreparation</t>
        </is>
      </c>
      <c r="B1347" s="3" t="inlineStr">
        <is>
          <t>Act_ITP_10046_160318_703</t>
        </is>
      </c>
      <c r="C1347" s="3" t="inlineStr">
        <is>
          <t>10046</t>
        </is>
      </c>
      <c r="D1347" s="9" t="n">
        <v>110.3</v>
      </c>
      <c r="E1347" s="3" t="n"/>
      <c r="F1347" s="3" t="n"/>
      <c r="G1347" s="9" t="n"/>
      <c r="H1347" s="10" t="n">
        <v>45664.66895833334</v>
      </c>
      <c r="I1347" s="10" t="n">
        <v>45664.67173611111</v>
      </c>
      <c r="J1347" s="10" t="n">
        <v>45664.67378472222</v>
      </c>
      <c r="K1347" s="11" t="n">
        <v>0.002048611111111111</v>
      </c>
      <c r="L1347" s="13" t="n">
        <v>1</v>
      </c>
    </row>
    <row r="1348">
      <c r="A1348" s="3" t="inlineStr">
        <is>
          <t>IncomingTrainPreparation</t>
        </is>
      </c>
      <c r="B1348" s="3" t="inlineStr">
        <is>
          <t>Act_ITP_10047_172411_703</t>
        </is>
      </c>
      <c r="C1348" s="3" t="inlineStr">
        <is>
          <t>10047</t>
        </is>
      </c>
      <c r="D1348" s="9" t="n">
        <v>424.5</v>
      </c>
      <c r="E1348" s="3" t="n"/>
      <c r="F1348" s="3" t="n"/>
      <c r="G1348" s="9" t="n"/>
      <c r="H1348" s="10" t="n">
        <v>45664.72512731481</v>
      </c>
      <c r="I1348" s="10" t="n">
        <v>45664.72790509259</v>
      </c>
      <c r="J1348" s="10" t="n">
        <v>45664.74222222222</v>
      </c>
      <c r="K1348" s="11" t="n">
        <v>0.01431712962962963</v>
      </c>
      <c r="L1348" s="13" t="n">
        <v>12</v>
      </c>
    </row>
    <row r="1349">
      <c r="A1349" s="3" t="inlineStr">
        <is>
          <t>IncomingTrainPreparation</t>
        </is>
      </c>
      <c r="B1349" s="3" t="inlineStr">
        <is>
          <t>Act_ITP_10048_180630_727</t>
        </is>
      </c>
      <c r="C1349" s="3" t="inlineStr">
        <is>
          <t>10048</t>
        </is>
      </c>
      <c r="D1349" s="9" t="n">
        <v>212</v>
      </c>
      <c r="E1349" s="3" t="n"/>
      <c r="F1349" s="3" t="n"/>
      <c r="G1349" s="9" t="n"/>
      <c r="H1349" s="10" t="n">
        <v>45664.75451388889</v>
      </c>
      <c r="I1349" s="10" t="n">
        <v>45664.75729166667</v>
      </c>
      <c r="J1349" s="10" t="n">
        <v>45664.75881944445</v>
      </c>
      <c r="K1349" s="11" t="n">
        <v>0.001527777777777778</v>
      </c>
      <c r="L1349" s="13" t="n">
        <v>0</v>
      </c>
    </row>
    <row r="1350">
      <c r="A1350" s="3" t="inlineStr">
        <is>
          <t>IncomingTrainPreparation</t>
        </is>
      </c>
      <c r="B1350" s="3" t="inlineStr">
        <is>
          <t>Act_ITP_10049_210357_703</t>
        </is>
      </c>
      <c r="C1350" s="3" t="inlineStr">
        <is>
          <t>10049</t>
        </is>
      </c>
      <c r="D1350" s="9" t="n">
        <v>389.1</v>
      </c>
      <c r="E1350" s="3" t="n"/>
      <c r="F1350" s="3" t="n"/>
      <c r="G1350" s="9" t="n"/>
      <c r="H1350" s="10" t="n">
        <v>45664.87774305556</v>
      </c>
      <c r="I1350" s="10" t="n">
        <v>45664.88052083334</v>
      </c>
      <c r="J1350" s="10" t="n">
        <v>45664.88364583333</v>
      </c>
      <c r="K1350" s="11" t="n">
        <v>0.003125</v>
      </c>
      <c r="L1350" s="13" t="n">
        <v>0</v>
      </c>
    </row>
    <row r="1351">
      <c r="A1351" s="3" t="inlineStr">
        <is>
          <t>IncomingTrainPreparation</t>
        </is>
      </c>
      <c r="B1351" s="3" t="inlineStr">
        <is>
          <t>Act_ITP_10050_024652_703</t>
        </is>
      </c>
      <c r="C1351" s="3" t="inlineStr">
        <is>
          <t>10050</t>
        </is>
      </c>
      <c r="D1351" s="9" t="n">
        <v>325.2</v>
      </c>
      <c r="E1351" s="3" t="n"/>
      <c r="F1351" s="3" t="n"/>
      <c r="G1351" s="9" t="n"/>
      <c r="H1351" s="10" t="n">
        <v>45665.11587962963</v>
      </c>
      <c r="I1351" s="10" t="n">
        <v>45665.11865740741</v>
      </c>
      <c r="J1351" s="10" t="n">
        <v>45665.12614583333</v>
      </c>
      <c r="K1351" s="11" t="n">
        <v>0.007488425925925926</v>
      </c>
      <c r="L1351" s="13" t="n">
        <v>5</v>
      </c>
    </row>
    <row r="1352">
      <c r="A1352" s="3" t="inlineStr">
        <is>
          <t>IncomingTrainPreparation</t>
        </is>
      </c>
      <c r="B1352" s="3" t="inlineStr">
        <is>
          <t>Act_ITP_10051_034946_703</t>
        </is>
      </c>
      <c r="C1352" s="3" t="inlineStr">
        <is>
          <t>10051</t>
        </is>
      </c>
      <c r="D1352" s="9" t="n">
        <v>514.3</v>
      </c>
      <c r="E1352" s="3" t="n"/>
      <c r="F1352" s="3" t="n"/>
      <c r="G1352" s="9" t="n"/>
      <c r="H1352" s="10" t="n">
        <v>45665.15956018519</v>
      </c>
      <c r="I1352" s="10" t="n">
        <v>45665.16233796296</v>
      </c>
      <c r="J1352" s="10" t="n">
        <v>45665.16666666666</v>
      </c>
      <c r="K1352" s="11" t="n">
        <v>0.004328703703703704</v>
      </c>
      <c r="L1352" s="13" t="n">
        <v>0</v>
      </c>
    </row>
    <row r="1353">
      <c r="A1353" s="3" t="inlineStr">
        <is>
          <t>IncomingTrainPreparation</t>
        </is>
      </c>
      <c r="B1353" s="3" t="inlineStr">
        <is>
          <t>Act_ITP_10052_060431_703</t>
        </is>
      </c>
      <c r="C1353" s="3" t="inlineStr">
        <is>
          <t>10052</t>
        </is>
      </c>
      <c r="D1353" s="9" t="n">
        <v>297</v>
      </c>
      <c r="E1353" s="3" t="n"/>
      <c r="F1353" s="3" t="n"/>
      <c r="G1353" s="9" t="n"/>
      <c r="H1353" s="10" t="n">
        <v>45665.25313657407</v>
      </c>
      <c r="I1353" s="10" t="n">
        <v>45665.25591435185</v>
      </c>
      <c r="J1353" s="10" t="n">
        <v>45665.25805555555</v>
      </c>
      <c r="K1353" s="11" t="n">
        <v>0.002141203703703704</v>
      </c>
      <c r="L1353" s="13" t="n">
        <v>0</v>
      </c>
    </row>
    <row r="1354">
      <c r="A1354" s="3" t="inlineStr">
        <is>
          <t>IncomingTrainPreparation</t>
        </is>
      </c>
      <c r="B1354" s="3" t="inlineStr">
        <is>
          <t>Act_ITP_10053_071955_727</t>
        </is>
      </c>
      <c r="C1354" s="3" t="inlineStr">
        <is>
          <t>10053</t>
        </is>
      </c>
      <c r="D1354" s="9" t="n">
        <v>572</v>
      </c>
      <c r="E1354" s="3" t="n"/>
      <c r="F1354" s="3" t="n"/>
      <c r="G1354" s="9" t="n"/>
      <c r="H1354" s="10" t="n">
        <v>45665.30549768519</v>
      </c>
      <c r="I1354" s="10" t="n">
        <v>45665.30827546296</v>
      </c>
      <c r="J1354" s="10" t="n">
        <v>45665.32863425926</v>
      </c>
      <c r="K1354" s="11" t="n">
        <v>0.02035879629629629</v>
      </c>
      <c r="L1354" s="13" t="n">
        <v>14</v>
      </c>
    </row>
    <row r="1355">
      <c r="A1355" s="3" t="inlineStr">
        <is>
          <t>IncomingTrainPreparation</t>
        </is>
      </c>
      <c r="B1355" s="3" t="inlineStr">
        <is>
          <t>Act_ITP_10054_072300_703</t>
        </is>
      </c>
      <c r="C1355" s="3" t="inlineStr">
        <is>
          <t>10054</t>
        </is>
      </c>
      <c r="D1355" s="9" t="n">
        <v>156.7</v>
      </c>
      <c r="E1355" s="3" t="n"/>
      <c r="F1355" s="3" t="n"/>
      <c r="G1355" s="9" t="n"/>
      <c r="H1355" s="10" t="n">
        <v>45665.30763888889</v>
      </c>
      <c r="I1355" s="10" t="n">
        <v>45665.31041666667</v>
      </c>
      <c r="J1355" s="10" t="n">
        <v>45665.31153935185</v>
      </c>
      <c r="K1355" s="11" t="n">
        <v>0.001122685185185185</v>
      </c>
      <c r="L1355" s="13" t="n">
        <v>0</v>
      </c>
    </row>
    <row r="1356">
      <c r="A1356" s="3" t="inlineStr">
        <is>
          <t>IncomingTrainPreparation</t>
        </is>
      </c>
      <c r="B1356" s="3" t="inlineStr">
        <is>
          <t>Act_ITP_10055_080503_703</t>
        </is>
      </c>
      <c r="C1356" s="3" t="inlineStr">
        <is>
          <t>10055</t>
        </is>
      </c>
      <c r="D1356" s="9" t="n">
        <v>389.8</v>
      </c>
      <c r="E1356" s="3" t="n"/>
      <c r="F1356" s="3" t="n"/>
      <c r="G1356" s="9" t="n"/>
      <c r="H1356" s="10" t="n">
        <v>45665.33684027778</v>
      </c>
      <c r="I1356" s="10" t="n">
        <v>45665.33961805556</v>
      </c>
      <c r="J1356" s="10" t="n">
        <v>45665.34289351852</v>
      </c>
      <c r="K1356" s="11" t="n">
        <v>0.003275462962962963</v>
      </c>
      <c r="L1356" s="13" t="n">
        <v>0</v>
      </c>
    </row>
    <row r="1357">
      <c r="A1357" s="3" t="inlineStr">
        <is>
          <t>IncomingTrainPreparation</t>
        </is>
      </c>
      <c r="B1357" s="3" t="inlineStr">
        <is>
          <t>Act_ITP_10056_090151_703</t>
        </is>
      </c>
      <c r="C1357" s="3" t="inlineStr">
        <is>
          <t>10056</t>
        </is>
      </c>
      <c r="D1357" s="9" t="n">
        <v>235.2</v>
      </c>
      <c r="E1357" s="3" t="n"/>
      <c r="F1357" s="3" t="n"/>
      <c r="G1357" s="9" t="n"/>
      <c r="H1357" s="10" t="n">
        <v>45665.37628472222</v>
      </c>
      <c r="I1357" s="10" t="n">
        <v>45665.3790625</v>
      </c>
      <c r="J1357" s="10" t="n">
        <v>45665.38225694445</v>
      </c>
      <c r="K1357" s="11" t="n">
        <v>0.003194444444444445</v>
      </c>
      <c r="L1357" s="13" t="n">
        <v>1</v>
      </c>
    </row>
    <row r="1358">
      <c r="A1358" s="3" t="inlineStr">
        <is>
          <t>IncomingTrainPreparation</t>
        </is>
      </c>
      <c r="B1358" s="3" t="inlineStr">
        <is>
          <t>Act_ITP_10057_101713_703</t>
        </is>
      </c>
      <c r="C1358" s="3" t="inlineStr">
        <is>
          <t>10057</t>
        </is>
      </c>
      <c r="D1358" s="9" t="n">
        <v>443.2</v>
      </c>
      <c r="E1358" s="3" t="n"/>
      <c r="F1358" s="3" t="n"/>
      <c r="G1358" s="9" t="n"/>
      <c r="H1358" s="10" t="n">
        <v>45665.42862268518</v>
      </c>
      <c r="I1358" s="10" t="n">
        <v>45665.43140046296</v>
      </c>
      <c r="J1358" s="10" t="n">
        <v>45665.43699074074</v>
      </c>
      <c r="K1358" s="11" t="n">
        <v>0.005590277777777777</v>
      </c>
      <c r="L1358" s="13" t="n">
        <v>2</v>
      </c>
    </row>
    <row r="1359">
      <c r="A1359" s="3" t="inlineStr">
        <is>
          <t>IncomingTrainPreparation</t>
        </is>
      </c>
      <c r="B1359" s="3" t="inlineStr">
        <is>
          <t>Act_ITP_10058_124938_703</t>
        </is>
      </c>
      <c r="C1359" s="3" t="inlineStr">
        <is>
          <t>10058</t>
        </is>
      </c>
      <c r="D1359" s="9" t="n">
        <v>296.8</v>
      </c>
      <c r="E1359" s="3" t="n"/>
      <c r="F1359" s="3" t="n"/>
      <c r="G1359" s="9" t="n"/>
      <c r="H1359" s="10" t="n">
        <v>45665.5344675926</v>
      </c>
      <c r="I1359" s="10" t="n">
        <v>45665.53724537037</v>
      </c>
      <c r="J1359" s="10" t="n">
        <v>45665.53981481482</v>
      </c>
      <c r="K1359" s="11" t="n">
        <v>0.002569444444444445</v>
      </c>
      <c r="L1359" s="13" t="n">
        <v>0</v>
      </c>
    </row>
    <row r="1360">
      <c r="A1360" s="3" t="inlineStr">
        <is>
          <t>IncomingTrainPreparation</t>
        </is>
      </c>
      <c r="B1360" s="3" t="inlineStr">
        <is>
          <t>Act_ITP_10059_142957_703</t>
        </is>
      </c>
      <c r="C1360" s="3" t="inlineStr">
        <is>
          <t>10059</t>
        </is>
      </c>
      <c r="D1360" s="9" t="n">
        <v>365.8</v>
      </c>
      <c r="E1360" s="3" t="n"/>
      <c r="F1360" s="3" t="n"/>
      <c r="G1360" s="9" t="n"/>
      <c r="H1360" s="10" t="n">
        <v>45665.60413194444</v>
      </c>
      <c r="I1360" s="10" t="n">
        <v>45665.60690972222</v>
      </c>
      <c r="J1360" s="10" t="n">
        <v>45665.60980324074</v>
      </c>
      <c r="K1360" s="11" t="n">
        <v>0.002893518518518518</v>
      </c>
      <c r="L1360" s="13" t="n">
        <v>0</v>
      </c>
    </row>
    <row r="1361">
      <c r="A1361" s="3" t="inlineStr">
        <is>
          <t>IncomingTrainPreparation</t>
        </is>
      </c>
      <c r="B1361" s="3" t="inlineStr">
        <is>
          <t>Act_ITP_10060_145703_703</t>
        </is>
      </c>
      <c r="C1361" s="3" t="inlineStr">
        <is>
          <t>10060</t>
        </is>
      </c>
      <c r="D1361" s="9" t="n">
        <v>316.6</v>
      </c>
      <c r="E1361" s="3" t="n"/>
      <c r="F1361" s="3" t="n"/>
      <c r="G1361" s="9" t="n"/>
      <c r="H1361" s="10" t="n">
        <v>45665.62295138889</v>
      </c>
      <c r="I1361" s="10" t="n">
        <v>45665.62572916667</v>
      </c>
      <c r="J1361" s="10" t="n">
        <v>45665.63993055555</v>
      </c>
      <c r="K1361" s="11" t="n">
        <v>0.01420138888888889</v>
      </c>
      <c r="L1361" s="13" t="n">
        <v>10</v>
      </c>
    </row>
    <row r="1362">
      <c r="A1362" s="3" t="inlineStr">
        <is>
          <t>IncomingTrainPreparation</t>
        </is>
      </c>
      <c r="B1362" s="3" t="inlineStr">
        <is>
          <t>Act_ITP_10061_151432_727</t>
        </is>
      </c>
      <c r="C1362" s="3" t="inlineStr">
        <is>
          <t>10061</t>
        </is>
      </c>
      <c r="D1362" s="9" t="n">
        <v>362</v>
      </c>
      <c r="E1362" s="3" t="n"/>
      <c r="F1362" s="3" t="n"/>
      <c r="G1362" s="9" t="n"/>
      <c r="H1362" s="10" t="n">
        <v>45665.63509259259</v>
      </c>
      <c r="I1362" s="10" t="n">
        <v>45665.63787037037</v>
      </c>
      <c r="J1362" s="10" t="n">
        <v>45665.64074074074</v>
      </c>
      <c r="K1362" s="11" t="n">
        <v>0.00287037037037037</v>
      </c>
      <c r="L1362" s="13" t="n">
        <v>0</v>
      </c>
    </row>
    <row r="1363">
      <c r="A1363" s="3" t="inlineStr">
        <is>
          <t>IncomingTrainPreparation</t>
        </is>
      </c>
      <c r="B1363" s="3" t="inlineStr">
        <is>
          <t>Act_ITP_10062_172416_703</t>
        </is>
      </c>
      <c r="C1363" s="3" t="inlineStr">
        <is>
          <t>10062</t>
        </is>
      </c>
      <c r="D1363" s="9" t="n">
        <v>209.2</v>
      </c>
      <c r="E1363" s="3" t="n"/>
      <c r="F1363" s="3" t="n"/>
      <c r="G1363" s="9" t="n"/>
      <c r="H1363" s="10" t="n">
        <v>45665.72518518518</v>
      </c>
      <c r="I1363" s="10" t="n">
        <v>45665.72796296296</v>
      </c>
      <c r="J1363" s="10" t="n">
        <v>45665.72961805556</v>
      </c>
      <c r="K1363" s="11" t="n">
        <v>0.001655092592592593</v>
      </c>
      <c r="L1363" s="13" t="n">
        <v>0</v>
      </c>
    </row>
    <row r="1364">
      <c r="A1364" s="3" t="inlineStr">
        <is>
          <t>IncomingTrainPreparation</t>
        </is>
      </c>
      <c r="B1364" s="3" t="inlineStr">
        <is>
          <t>Act_ITP_10063_180137_731</t>
        </is>
      </c>
      <c r="C1364" s="3" t="inlineStr">
        <is>
          <t>10063</t>
        </is>
      </c>
      <c r="D1364" s="9" t="n">
        <v>15.7</v>
      </c>
      <c r="E1364" s="3" t="n"/>
      <c r="F1364" s="3" t="n"/>
      <c r="G1364" s="9" t="n"/>
      <c r="H1364" s="10" t="n">
        <v>45665.75112268519</v>
      </c>
      <c r="I1364" s="10" t="n">
        <v>45665.75390046297</v>
      </c>
      <c r="J1364" s="10" t="n">
        <v>45665.7540162037</v>
      </c>
      <c r="K1364" s="11" t="n">
        <v>0.0001157407407407407</v>
      </c>
      <c r="L1364" s="13" t="n">
        <v>0</v>
      </c>
    </row>
    <row r="1365">
      <c r="A1365" s="3" t="inlineStr">
        <is>
          <t>IncomingTrainPreparation</t>
        </is>
      </c>
      <c r="B1365" s="3" t="inlineStr">
        <is>
          <t>Act_ITP_10064_194330_703</t>
        </is>
      </c>
      <c r="C1365" s="3" t="inlineStr">
        <is>
          <t>10064</t>
        </is>
      </c>
      <c r="D1365" s="9" t="n">
        <v>244.1</v>
      </c>
      <c r="E1365" s="3" t="n"/>
      <c r="F1365" s="3" t="n"/>
      <c r="G1365" s="9" t="n"/>
      <c r="H1365" s="10" t="n">
        <v>45665.821875</v>
      </c>
      <c r="I1365" s="10" t="n">
        <v>45665.82465277778</v>
      </c>
      <c r="J1365" s="10" t="n">
        <v>45665.83491898148</v>
      </c>
      <c r="K1365" s="11" t="n">
        <v>0.0102662037037037</v>
      </c>
      <c r="L1365" s="13" t="n">
        <v>8</v>
      </c>
    </row>
    <row r="1366">
      <c r="A1366" s="3" t="inlineStr">
        <is>
          <t>IncomingTrainPreparation</t>
        </is>
      </c>
      <c r="B1366" s="3" t="inlineStr">
        <is>
          <t>Act_ITP_10065_200559_727</t>
        </is>
      </c>
      <c r="C1366" s="3" t="inlineStr">
        <is>
          <t>10065</t>
        </is>
      </c>
      <c r="D1366" s="9" t="n">
        <v>99.5</v>
      </c>
      <c r="E1366" s="3" t="n"/>
      <c r="F1366" s="3" t="n"/>
      <c r="G1366" s="9" t="n"/>
      <c r="H1366" s="10" t="n">
        <v>45665.83748842592</v>
      </c>
      <c r="I1366" s="10" t="n">
        <v>45665.8402662037</v>
      </c>
      <c r="J1366" s="10" t="n">
        <v>45665.84105324074</v>
      </c>
      <c r="K1366" s="11" t="n">
        <v>0.000787037037037037</v>
      </c>
      <c r="L1366" s="13" t="n">
        <v>0</v>
      </c>
    </row>
    <row r="1367">
      <c r="A1367" s="3" t="inlineStr">
        <is>
          <t>IncomingTrainPreparation</t>
        </is>
      </c>
      <c r="B1367" s="3" t="inlineStr">
        <is>
          <t>Act_ITP_10066_024926_703</t>
        </is>
      </c>
      <c r="C1367" s="3" t="inlineStr">
        <is>
          <t>10066</t>
        </is>
      </c>
      <c r="D1367" s="9" t="n">
        <v>164.5</v>
      </c>
      <c r="E1367" s="3" t="n"/>
      <c r="F1367" s="3" t="n"/>
      <c r="G1367" s="9" t="n"/>
      <c r="H1367" s="10" t="n">
        <v>45666.11766203704</v>
      </c>
      <c r="I1367" s="10" t="n">
        <v>45666.12043981482</v>
      </c>
      <c r="J1367" s="10" t="n">
        <v>45666.12370370371</v>
      </c>
      <c r="K1367" s="11" t="n">
        <v>0.003263888888888889</v>
      </c>
      <c r="L1367" s="13" t="n">
        <v>2</v>
      </c>
    </row>
    <row r="1368">
      <c r="A1368" s="3" t="inlineStr">
        <is>
          <t>IncomingTrainPreparation</t>
        </is>
      </c>
      <c r="B1368" s="3" t="inlineStr">
        <is>
          <t>Act_ITP_10067_061003_703</t>
        </is>
      </c>
      <c r="C1368" s="3" t="inlineStr">
        <is>
          <t>10067</t>
        </is>
      </c>
      <c r="D1368" s="9" t="n">
        <v>376.1</v>
      </c>
      <c r="E1368" s="3" t="n"/>
      <c r="F1368" s="3" t="n"/>
      <c r="G1368" s="9" t="n"/>
      <c r="H1368" s="10" t="n">
        <v>45666.25697916667</v>
      </c>
      <c r="I1368" s="10" t="n">
        <v>45666.25975694445</v>
      </c>
      <c r="J1368" s="10" t="n">
        <v>45666.27103009259</v>
      </c>
      <c r="K1368" s="11" t="n">
        <v>0.01127314814814815</v>
      </c>
      <c r="L1368" s="13" t="n">
        <v>8</v>
      </c>
    </row>
    <row r="1369">
      <c r="A1369" s="3" t="inlineStr">
        <is>
          <t>IncomingTrainPreparation</t>
        </is>
      </c>
      <c r="B1369" s="3" t="inlineStr">
        <is>
          <t>Act_ITP_10068_063415_727</t>
        </is>
      </c>
      <c r="C1369" s="3" t="inlineStr">
        <is>
          <t>10068</t>
        </is>
      </c>
      <c r="D1369" s="9" t="n">
        <v>185.9</v>
      </c>
      <c r="E1369" s="3" t="n"/>
      <c r="F1369" s="3" t="n"/>
      <c r="G1369" s="9" t="n"/>
      <c r="H1369" s="10" t="n">
        <v>45666.27378472222</v>
      </c>
      <c r="I1369" s="10" t="n">
        <v>45666.2765625</v>
      </c>
      <c r="J1369" s="10" t="n">
        <v>45666.27802083334</v>
      </c>
      <c r="K1369" s="11" t="n">
        <v>0.001458333333333333</v>
      </c>
      <c r="L1369" s="13" t="n">
        <v>0</v>
      </c>
    </row>
    <row r="1370">
      <c r="A1370" s="3" t="inlineStr">
        <is>
          <t>IncomingTrainPreparation</t>
        </is>
      </c>
      <c r="B1370" s="3" t="inlineStr">
        <is>
          <t>Act_ITP_10069_071611_703</t>
        </is>
      </c>
      <c r="C1370" s="3" t="inlineStr">
        <is>
          <t>10069</t>
        </is>
      </c>
      <c r="D1370" s="9" t="n">
        <v>278.7</v>
      </c>
      <c r="E1370" s="3" t="n"/>
      <c r="F1370" s="3" t="n"/>
      <c r="G1370" s="9" t="n"/>
      <c r="H1370" s="10" t="n">
        <v>45666.30290509259</v>
      </c>
      <c r="I1370" s="10" t="n">
        <v>45666.30568287037</v>
      </c>
      <c r="J1370" s="10" t="n">
        <v>45666.31384259259</v>
      </c>
      <c r="K1370" s="11" t="n">
        <v>0.008159722222222223</v>
      </c>
      <c r="L1370" s="13" t="n">
        <v>6</v>
      </c>
    </row>
    <row r="1371">
      <c r="A1371" s="3" t="inlineStr">
        <is>
          <t>IncomingTrainPreparation</t>
        </is>
      </c>
      <c r="B1371" s="3" t="inlineStr">
        <is>
          <t>Act_ITP_10070_072337_727</t>
        </is>
      </c>
      <c r="C1371" s="3" t="inlineStr">
        <is>
          <t>10070</t>
        </is>
      </c>
      <c r="D1371" s="9" t="n">
        <v>325</v>
      </c>
      <c r="E1371" s="3" t="n"/>
      <c r="F1371" s="3" t="n"/>
      <c r="G1371" s="9" t="n"/>
      <c r="H1371" s="10" t="n">
        <v>45666.30806712963</v>
      </c>
      <c r="I1371" s="10" t="n">
        <v>45666.31084490741</v>
      </c>
      <c r="J1371" s="10" t="n">
        <v>45666.31327546296</v>
      </c>
      <c r="K1371" s="11" t="n">
        <v>0.002430555555555556</v>
      </c>
      <c r="L1371" s="13" t="n">
        <v>0</v>
      </c>
    </row>
    <row r="1372">
      <c r="A1372" s="3" t="inlineStr">
        <is>
          <t>IncomingTrainPreparation</t>
        </is>
      </c>
      <c r="B1372" s="3" t="inlineStr">
        <is>
          <t>Act_ITP_10071_075416_727</t>
        </is>
      </c>
      <c r="C1372" s="3" t="inlineStr">
        <is>
          <t>10071</t>
        </is>
      </c>
      <c r="D1372" s="9" t="n">
        <v>381.6</v>
      </c>
      <c r="E1372" s="3" t="n"/>
      <c r="F1372" s="3" t="n"/>
      <c r="G1372" s="9" t="n"/>
      <c r="H1372" s="10" t="n">
        <v>45666.32935185185</v>
      </c>
      <c r="I1372" s="10" t="n">
        <v>45666.33212962963</v>
      </c>
      <c r="J1372" s="10" t="n">
        <v>45666.33543981481</v>
      </c>
      <c r="K1372" s="11" t="n">
        <v>0.003310185185185185</v>
      </c>
      <c r="L1372" s="13" t="n">
        <v>0</v>
      </c>
    </row>
    <row r="1373">
      <c r="A1373" s="3" t="inlineStr">
        <is>
          <t>IncomingTrainPreparation</t>
        </is>
      </c>
      <c r="B1373" s="3" t="inlineStr">
        <is>
          <t>Act_ITP_10072_084841_703</t>
        </is>
      </c>
      <c r="C1373" s="3" t="inlineStr">
        <is>
          <t>10072</t>
        </is>
      </c>
      <c r="D1373" s="9" t="n">
        <v>362</v>
      </c>
      <c r="E1373" s="3" t="n"/>
      <c r="F1373" s="3" t="n"/>
      <c r="G1373" s="9" t="n"/>
      <c r="H1373" s="10" t="n">
        <v>45666.3671412037</v>
      </c>
      <c r="I1373" s="10" t="n">
        <v>45666.36991898148</v>
      </c>
      <c r="J1373" s="10" t="n">
        <v>45666.37390046296</v>
      </c>
      <c r="K1373" s="11" t="n">
        <v>0.003981481481481482</v>
      </c>
      <c r="L1373" s="13" t="n">
        <v>1</v>
      </c>
    </row>
    <row r="1374">
      <c r="A1374" s="3" t="inlineStr">
        <is>
          <t>IncomingTrainPreparation</t>
        </is>
      </c>
      <c r="B1374" s="3" t="inlineStr">
        <is>
          <t>Act_ITP_10073_105406_703</t>
        </is>
      </c>
      <c r="C1374" s="3" t="inlineStr">
        <is>
          <t>10073</t>
        </is>
      </c>
      <c r="D1374" s="9" t="n">
        <v>435.7</v>
      </c>
      <c r="E1374" s="3" t="n"/>
      <c r="F1374" s="3" t="n"/>
      <c r="G1374" s="9" t="n"/>
      <c r="H1374" s="10" t="n">
        <v>45666.45423611111</v>
      </c>
      <c r="I1374" s="10" t="n">
        <v>45666.45701388889</v>
      </c>
      <c r="J1374" s="10" t="n">
        <v>45666.46164351852</v>
      </c>
      <c r="K1374" s="11" t="n">
        <v>0.004629629629629629</v>
      </c>
      <c r="L1374" s="13" t="n">
        <v>1</v>
      </c>
    </row>
    <row r="1375">
      <c r="A1375" s="3" t="inlineStr">
        <is>
          <t>IncomingTrainPreparation</t>
        </is>
      </c>
      <c r="B1375" s="3" t="inlineStr">
        <is>
          <t>Act_ITP_10074_143652_703</t>
        </is>
      </c>
      <c r="C1375" s="3" t="inlineStr">
        <is>
          <t>10074</t>
        </is>
      </c>
      <c r="D1375" s="9" t="n">
        <v>241.4</v>
      </c>
      <c r="E1375" s="3" t="n"/>
      <c r="F1375" s="3" t="n"/>
      <c r="G1375" s="9" t="n"/>
      <c r="H1375" s="10" t="n">
        <v>45666.60893518518</v>
      </c>
      <c r="I1375" s="10" t="n">
        <v>45666.61171296296</v>
      </c>
      <c r="J1375" s="10" t="n">
        <v>45666.61364583333</v>
      </c>
      <c r="K1375" s="11" t="n">
        <v>0.00193287037037037</v>
      </c>
      <c r="L1375" s="13" t="n">
        <v>0</v>
      </c>
    </row>
    <row r="1376">
      <c r="A1376" s="3" t="inlineStr">
        <is>
          <t>IncomingTrainPreparation</t>
        </is>
      </c>
      <c r="B1376" s="3" t="inlineStr">
        <is>
          <t>Act_ITP_10075_150409_703</t>
        </is>
      </c>
      <c r="C1376" s="3" t="inlineStr">
        <is>
          <t>10075</t>
        </is>
      </c>
      <c r="D1376" s="9" t="n">
        <v>407.5</v>
      </c>
      <c r="E1376" s="3" t="n"/>
      <c r="F1376" s="3" t="n"/>
      <c r="G1376" s="9" t="n"/>
      <c r="H1376" s="10" t="n">
        <v>45666.62788194444</v>
      </c>
      <c r="I1376" s="10" t="n">
        <v>45666.63065972222</v>
      </c>
      <c r="J1376" s="10" t="n">
        <v>45666.63829861111</v>
      </c>
      <c r="K1376" s="11" t="n">
        <v>0.007638888888888889</v>
      </c>
      <c r="L1376" s="13" t="n">
        <v>4</v>
      </c>
    </row>
    <row r="1377">
      <c r="A1377" s="3" t="inlineStr">
        <is>
          <t>IncomingTrainPreparation</t>
        </is>
      </c>
      <c r="B1377" s="3" t="inlineStr">
        <is>
          <t>Act_ITP_10076_152937_727</t>
        </is>
      </c>
      <c r="C1377" s="3" t="inlineStr">
        <is>
          <t>10076</t>
        </is>
      </c>
      <c r="D1377" s="9" t="n">
        <v>314.8</v>
      </c>
      <c r="E1377" s="3" t="n"/>
      <c r="F1377" s="3" t="n"/>
      <c r="G1377" s="9" t="n"/>
      <c r="H1377" s="10" t="n">
        <v>45666.64556712963</v>
      </c>
      <c r="I1377" s="10" t="n">
        <v>45666.64834490741</v>
      </c>
      <c r="J1377" s="10" t="n">
        <v>45666.65091435185</v>
      </c>
      <c r="K1377" s="11" t="n">
        <v>0.002569444444444445</v>
      </c>
      <c r="L1377" s="13" t="n">
        <v>0</v>
      </c>
    </row>
    <row r="1378">
      <c r="A1378" s="3" t="inlineStr">
        <is>
          <t>IncomingTrainPreparation</t>
        </is>
      </c>
      <c r="B1378" s="3" t="inlineStr">
        <is>
          <t>Act_ITP_10077_174642_703</t>
        </is>
      </c>
      <c r="C1378" s="3" t="inlineStr">
        <is>
          <t>10077</t>
        </is>
      </c>
      <c r="D1378" s="9" t="n">
        <v>319</v>
      </c>
      <c r="E1378" s="3" t="n"/>
      <c r="F1378" s="3" t="n"/>
      <c r="G1378" s="9" t="n"/>
      <c r="H1378" s="10" t="n">
        <v>45666.74076388889</v>
      </c>
      <c r="I1378" s="10" t="n">
        <v>45666.74354166666</v>
      </c>
      <c r="J1378" s="10" t="n">
        <v>45666.75511574074</v>
      </c>
      <c r="K1378" s="11" t="n">
        <v>0.01157407407407407</v>
      </c>
      <c r="L1378" s="13" t="n">
        <v>8</v>
      </c>
    </row>
    <row r="1379">
      <c r="A1379" s="3" t="inlineStr">
        <is>
          <t>IncomingTrainPreparation</t>
        </is>
      </c>
      <c r="B1379" s="3" t="inlineStr">
        <is>
          <t>Act_ITP_10078_174733_731</t>
        </is>
      </c>
      <c r="C1379" s="3" t="inlineStr">
        <is>
          <t>10078</t>
        </is>
      </c>
      <c r="D1379" s="9" t="n">
        <v>47.2</v>
      </c>
      <c r="E1379" s="3" t="n"/>
      <c r="F1379" s="3" t="n"/>
      <c r="G1379" s="9" t="n"/>
      <c r="H1379" s="10" t="n">
        <v>45666.74135416667</v>
      </c>
      <c r="I1379" s="10" t="n">
        <v>45666.74413194445</v>
      </c>
      <c r="J1379" s="10" t="n">
        <v>45666.74450231482</v>
      </c>
      <c r="K1379" s="11" t="n">
        <v>0.0003703703703703704</v>
      </c>
      <c r="L1379" s="13" t="n">
        <v>0</v>
      </c>
    </row>
    <row r="1380">
      <c r="A1380" s="3" t="inlineStr">
        <is>
          <t>IncomingTrainPreparation</t>
        </is>
      </c>
      <c r="B1380" s="3" t="inlineStr">
        <is>
          <t>Act_ITP_10079_175019_727</t>
        </is>
      </c>
      <c r="C1380" s="3" t="inlineStr">
        <is>
          <t>10079</t>
        </is>
      </c>
      <c r="D1380" s="9" t="n">
        <v>417.5</v>
      </c>
      <c r="E1380" s="3" t="n"/>
      <c r="F1380" s="3" t="n"/>
      <c r="G1380" s="9" t="n"/>
      <c r="H1380" s="10" t="n">
        <v>45666.74327546296</v>
      </c>
      <c r="I1380" s="10" t="n">
        <v>45666.74605324074</v>
      </c>
      <c r="J1380" s="10" t="n">
        <v>45666.75890046296</v>
      </c>
      <c r="K1380" s="11" t="n">
        <v>0.01284722222222222</v>
      </c>
      <c r="L1380" s="13" t="n">
        <v>10</v>
      </c>
    </row>
    <row r="1381">
      <c r="A1381" s="3" t="inlineStr">
        <is>
          <t>IncomingTrainPreparation</t>
        </is>
      </c>
      <c r="B1381" s="3" t="inlineStr">
        <is>
          <t>Act_ITP_10080_200525_703</t>
        </is>
      </c>
      <c r="C1381" s="3" t="inlineStr">
        <is>
          <t>10080</t>
        </is>
      </c>
      <c r="D1381" s="9" t="n">
        <v>291.7</v>
      </c>
      <c r="E1381" s="3" t="n"/>
      <c r="F1381" s="3" t="n"/>
      <c r="G1381" s="9" t="n"/>
      <c r="H1381" s="10" t="n">
        <v>45666.83709490741</v>
      </c>
      <c r="I1381" s="10" t="n">
        <v>45666.83987268519</v>
      </c>
      <c r="J1381" s="10" t="n">
        <v>45666.84945601852</v>
      </c>
      <c r="K1381" s="11" t="n">
        <v>0.009583333333333333</v>
      </c>
      <c r="L1381" s="13" t="n">
        <v>7</v>
      </c>
    </row>
    <row r="1382">
      <c r="A1382" s="3" t="inlineStr">
        <is>
          <t>IncomingTrainPreparation</t>
        </is>
      </c>
      <c r="B1382" s="3" t="inlineStr">
        <is>
          <t>Act_ITP_10081_024501_703</t>
        </is>
      </c>
      <c r="C1382" s="3" t="inlineStr">
        <is>
          <t>10081</t>
        </is>
      </c>
      <c r="D1382" s="9" t="n">
        <v>309.2</v>
      </c>
      <c r="E1382" s="3" t="n"/>
      <c r="F1382" s="3" t="n"/>
      <c r="G1382" s="9" t="n"/>
      <c r="H1382" s="10" t="n">
        <v>45667.11459490741</v>
      </c>
      <c r="I1382" s="10" t="n">
        <v>45667.11737268518</v>
      </c>
      <c r="J1382" s="10" t="n">
        <v>45667.12350694444</v>
      </c>
      <c r="K1382" s="11" t="n">
        <v>0.006134259259259259</v>
      </c>
      <c r="L1382" s="13" t="n">
        <v>3</v>
      </c>
    </row>
    <row r="1383">
      <c r="A1383" s="3" t="inlineStr">
        <is>
          <t>IncomingTrainPreparation</t>
        </is>
      </c>
      <c r="B1383" s="3" t="inlineStr">
        <is>
          <t>Act_ITP_10082_043518_703</t>
        </is>
      </c>
      <c r="C1383" s="3" t="inlineStr">
        <is>
          <t>10082</t>
        </is>
      </c>
      <c r="D1383" s="9" t="n">
        <v>219.5</v>
      </c>
      <c r="E1383" s="3" t="n"/>
      <c r="F1383" s="3" t="n"/>
      <c r="G1383" s="9" t="n"/>
      <c r="H1383" s="10" t="n">
        <v>45667.19118055556</v>
      </c>
      <c r="I1383" s="10" t="n">
        <v>45667.19395833334</v>
      </c>
      <c r="J1383" s="10" t="n">
        <v>45667.19556712963</v>
      </c>
      <c r="K1383" s="11" t="n">
        <v>0.001608796296296296</v>
      </c>
      <c r="L1383" s="13" t="n">
        <v>0</v>
      </c>
    </row>
    <row r="1384">
      <c r="A1384" s="3" t="inlineStr">
        <is>
          <t>IncomingTrainPreparation</t>
        </is>
      </c>
      <c r="B1384" s="3" t="inlineStr">
        <is>
          <t>Act_ITP_10083_054916_703</t>
        </is>
      </c>
      <c r="C1384" s="3" t="inlineStr">
        <is>
          <t>10083</t>
        </is>
      </c>
      <c r="D1384" s="9" t="n">
        <v>298</v>
      </c>
      <c r="E1384" s="3" t="n"/>
      <c r="F1384" s="3" t="n"/>
      <c r="G1384" s="9" t="n"/>
      <c r="H1384" s="10" t="n">
        <v>45667.24254629629</v>
      </c>
      <c r="I1384" s="10" t="n">
        <v>45667.24532407407</v>
      </c>
      <c r="J1384" s="10" t="n">
        <v>45667.24791666667</v>
      </c>
      <c r="K1384" s="11" t="n">
        <v>0.002592592592592593</v>
      </c>
      <c r="L1384" s="13" t="n">
        <v>0</v>
      </c>
    </row>
    <row r="1385">
      <c r="A1385" s="3" t="inlineStr">
        <is>
          <t>IncomingTrainPreparation</t>
        </is>
      </c>
      <c r="B1385" s="3" t="inlineStr">
        <is>
          <t>Act_ITP_10084_064307_703</t>
        </is>
      </c>
      <c r="C1385" s="3" t="inlineStr">
        <is>
          <t>10084</t>
        </is>
      </c>
      <c r="D1385" s="9" t="n">
        <v>386.3</v>
      </c>
      <c r="E1385" s="3" t="n"/>
      <c r="F1385" s="3" t="n"/>
      <c r="G1385" s="9" t="n"/>
      <c r="H1385" s="10" t="n">
        <v>45667.27994212963</v>
      </c>
      <c r="I1385" s="10" t="n">
        <v>45667.28271990741</v>
      </c>
      <c r="J1385" s="10" t="n">
        <v>45667.29332175926</v>
      </c>
      <c r="K1385" s="11" t="n">
        <v>0.01060185185185185</v>
      </c>
      <c r="L1385" s="13" t="n">
        <v>8</v>
      </c>
    </row>
    <row r="1386">
      <c r="A1386" s="3" t="inlineStr">
        <is>
          <t>IncomingTrainPreparation</t>
        </is>
      </c>
      <c r="B1386" s="3" t="inlineStr">
        <is>
          <t>Act_ITP_10085_072934_703</t>
        </is>
      </c>
      <c r="C1386" s="3" t="inlineStr">
        <is>
          <t>10085</t>
        </is>
      </c>
      <c r="D1386" s="9" t="n">
        <v>193.1</v>
      </c>
      <c r="E1386" s="3" t="n"/>
      <c r="F1386" s="3" t="n"/>
      <c r="G1386" s="9" t="n"/>
      <c r="H1386" s="10" t="n">
        <v>45667.31219907408</v>
      </c>
      <c r="I1386" s="10" t="n">
        <v>45667.31497685185</v>
      </c>
      <c r="J1386" s="10" t="n">
        <v>45667.31658564815</v>
      </c>
      <c r="K1386" s="11" t="n">
        <v>0.001608796296296296</v>
      </c>
      <c r="L1386" s="13" t="n">
        <v>0</v>
      </c>
    </row>
    <row r="1387">
      <c r="A1387" s="3" t="inlineStr">
        <is>
          <t>IncomingTrainPreparation</t>
        </is>
      </c>
      <c r="B1387" s="3" t="inlineStr">
        <is>
          <t>Act_ITP_10086_075855_703</t>
        </is>
      </c>
      <c r="C1387" s="3" t="inlineStr">
        <is>
          <t>10086</t>
        </is>
      </c>
      <c r="D1387" s="9" t="n">
        <v>380.8</v>
      </c>
      <c r="E1387" s="3" t="n"/>
      <c r="F1387" s="3" t="n"/>
      <c r="G1387" s="9" t="n"/>
      <c r="H1387" s="10" t="n">
        <v>45667.33258101852</v>
      </c>
      <c r="I1387" s="10" t="n">
        <v>45667.3353587963</v>
      </c>
      <c r="J1387" s="10" t="n">
        <v>45667.33826388889</v>
      </c>
      <c r="K1387" s="11" t="n">
        <v>0.002905092592592593</v>
      </c>
      <c r="L1387" s="13" t="n">
        <v>0</v>
      </c>
    </row>
    <row r="1388">
      <c r="A1388" s="3" t="inlineStr">
        <is>
          <t>IncomingTrainPreparation</t>
        </is>
      </c>
      <c r="B1388" s="3" t="inlineStr">
        <is>
          <t>Act_ITP_10087_084901_727</t>
        </is>
      </c>
      <c r="C1388" s="3" t="inlineStr">
        <is>
          <t>10087</t>
        </is>
      </c>
      <c r="D1388" s="9" t="n">
        <v>588.4</v>
      </c>
      <c r="E1388" s="3" t="n"/>
      <c r="F1388" s="3" t="n"/>
      <c r="G1388" s="9" t="n"/>
      <c r="H1388" s="10" t="n">
        <v>45667.36737268518</v>
      </c>
      <c r="I1388" s="10" t="n">
        <v>45667.37015046296</v>
      </c>
      <c r="J1388" s="10" t="n">
        <v>45667.38728009259</v>
      </c>
      <c r="K1388" s="11" t="n">
        <v>0.01712962962962963</v>
      </c>
      <c r="L1388" s="13" t="n">
        <v>11</v>
      </c>
    </row>
    <row r="1389">
      <c r="A1389" s="3" t="inlineStr">
        <is>
          <t>IncomingTrainPreparation</t>
        </is>
      </c>
      <c r="B1389" s="3" t="inlineStr">
        <is>
          <t>Act_ITP_10088_090138_703</t>
        </is>
      </c>
      <c r="C1389" s="3" t="inlineStr">
        <is>
          <t>10088</t>
        </is>
      </c>
      <c r="D1389" s="9" t="n">
        <v>206.3</v>
      </c>
      <c r="E1389" s="3" t="n"/>
      <c r="F1389" s="3" t="n"/>
      <c r="G1389" s="9" t="n"/>
      <c r="H1389" s="10" t="n">
        <v>45667.37613425926</v>
      </c>
      <c r="I1389" s="10" t="n">
        <v>45667.37891203703</v>
      </c>
      <c r="J1389" s="10" t="n">
        <v>45667.3825</v>
      </c>
      <c r="K1389" s="11" t="n">
        <v>0.003587962962962963</v>
      </c>
      <c r="L1389" s="13" t="n">
        <v>2</v>
      </c>
    </row>
    <row r="1390">
      <c r="A1390" s="3" t="inlineStr">
        <is>
          <t>IncomingTrainPreparation</t>
        </is>
      </c>
      <c r="B1390" s="3" t="inlineStr">
        <is>
          <t>Act_ITP_10089_102149_703</t>
        </is>
      </c>
      <c r="C1390" s="3" t="inlineStr">
        <is>
          <t>10089</t>
        </is>
      </c>
      <c r="D1390" s="9" t="n">
        <v>259.7</v>
      </c>
      <c r="E1390" s="3" t="n"/>
      <c r="F1390" s="3" t="n"/>
      <c r="G1390" s="9" t="n"/>
      <c r="H1390" s="10" t="n">
        <v>45667.43181712963</v>
      </c>
      <c r="I1390" s="10" t="n">
        <v>45667.4345949074</v>
      </c>
      <c r="J1390" s="10" t="n">
        <v>45667.43686342592</v>
      </c>
      <c r="K1390" s="11" t="n">
        <v>0.002268518518518519</v>
      </c>
      <c r="L1390" s="13" t="n">
        <v>0</v>
      </c>
    </row>
    <row r="1391">
      <c r="A1391" s="3" t="inlineStr">
        <is>
          <t>IncomingTrainPreparation</t>
        </is>
      </c>
      <c r="B1391" s="3" t="inlineStr">
        <is>
          <t>Act_ITP_10090_130723_703</t>
        </is>
      </c>
      <c r="C1391" s="3" t="inlineStr">
        <is>
          <t>10090</t>
        </is>
      </c>
      <c r="D1391" s="9" t="n">
        <v>95.3</v>
      </c>
      <c r="E1391" s="3" t="n"/>
      <c r="F1391" s="3" t="n"/>
      <c r="G1391" s="9" t="n"/>
      <c r="H1391" s="10" t="n">
        <v>45667.54679398148</v>
      </c>
      <c r="I1391" s="10" t="n">
        <v>45667.54957175926</v>
      </c>
      <c r="J1391" s="10" t="n">
        <v>45667.55028935185</v>
      </c>
      <c r="K1391" s="11" t="n">
        <v>0.0007175925925925926</v>
      </c>
      <c r="L1391" s="13" t="n">
        <v>0</v>
      </c>
    </row>
    <row r="1392">
      <c r="A1392" s="3" t="inlineStr">
        <is>
          <t>IncomingTrainPreparation</t>
        </is>
      </c>
      <c r="B1392" s="3" t="inlineStr">
        <is>
          <t>Act_ITP_10091_141322_731</t>
        </is>
      </c>
      <c r="C1392" s="3" t="inlineStr">
        <is>
          <t>10091</t>
        </is>
      </c>
      <c r="D1392" s="9" t="n">
        <v>23.2</v>
      </c>
      <c r="E1392" s="3" t="n"/>
      <c r="F1392" s="3" t="n"/>
      <c r="G1392" s="9" t="n"/>
      <c r="H1392" s="10" t="n">
        <v>45667.59261574074</v>
      </c>
      <c r="I1392" s="10" t="n">
        <v>45667.59539351852</v>
      </c>
      <c r="J1392" s="10" t="n">
        <v>45667.59559027778</v>
      </c>
      <c r="K1392" s="11" t="n">
        <v>0.0001967592592592593</v>
      </c>
      <c r="L1392" s="13" t="n">
        <v>0</v>
      </c>
    </row>
    <row r="1393">
      <c r="A1393" s="3" t="inlineStr">
        <is>
          <t>IncomingTrainPreparation</t>
        </is>
      </c>
      <c r="B1393" s="3" t="inlineStr">
        <is>
          <t>Act_ITP_10092_145242_703</t>
        </is>
      </c>
      <c r="C1393" s="3" t="inlineStr">
        <is>
          <t>10092</t>
        </is>
      </c>
      <c r="D1393" s="9" t="n">
        <v>393.5</v>
      </c>
      <c r="E1393" s="3" t="n"/>
      <c r="F1393" s="3" t="n"/>
      <c r="G1393" s="9" t="n"/>
      <c r="H1393" s="10" t="n">
        <v>45667.61993055556</v>
      </c>
      <c r="I1393" s="10" t="n">
        <v>45667.62270833334</v>
      </c>
      <c r="J1393" s="10" t="n">
        <v>45667.62564814815</v>
      </c>
      <c r="K1393" s="11" t="n">
        <v>0.002939814814814815</v>
      </c>
      <c r="L1393" s="13" t="n">
        <v>0</v>
      </c>
    </row>
    <row r="1394">
      <c r="A1394" s="3" t="inlineStr">
        <is>
          <t>IncomingTrainPreparation</t>
        </is>
      </c>
      <c r="B1394" s="3" t="inlineStr">
        <is>
          <t>Act_ITP_10093_173159_703</t>
        </is>
      </c>
      <c r="C1394" s="3" t="inlineStr">
        <is>
          <t>10093</t>
        </is>
      </c>
      <c r="D1394" s="9" t="n">
        <v>302.1</v>
      </c>
      <c r="E1394" s="3" t="n"/>
      <c r="F1394" s="3" t="n"/>
      <c r="G1394" s="9" t="n"/>
      <c r="H1394" s="10" t="n">
        <v>45667.73054398148</v>
      </c>
      <c r="I1394" s="10" t="n">
        <v>45667.73332175926</v>
      </c>
      <c r="J1394" s="10" t="n">
        <v>45667.73594907407</v>
      </c>
      <c r="K1394" s="11" t="n">
        <v>0.002627314814814815</v>
      </c>
      <c r="L1394" s="13" t="n">
        <v>0</v>
      </c>
    </row>
    <row r="1395">
      <c r="A1395" s="3" t="inlineStr">
        <is>
          <t>IncomingTrainPreparation</t>
        </is>
      </c>
      <c r="B1395" s="3" t="inlineStr">
        <is>
          <t>Act_ITP_10094_174216_727</t>
        </is>
      </c>
      <c r="C1395" s="3" t="inlineStr">
        <is>
          <t>10094</t>
        </is>
      </c>
      <c r="D1395" s="9" t="n">
        <v>577.6</v>
      </c>
      <c r="E1395" s="3" t="n"/>
      <c r="F1395" s="3" t="n"/>
      <c r="G1395" s="9" t="n"/>
      <c r="H1395" s="10" t="n">
        <v>45667.73768518519</v>
      </c>
      <c r="I1395" s="10" t="n">
        <v>45667.74046296296</v>
      </c>
      <c r="J1395" s="10" t="n">
        <v>45667.75810185185</v>
      </c>
      <c r="K1395" s="11" t="n">
        <v>0.01763888888888889</v>
      </c>
      <c r="L1395" s="13" t="n">
        <v>11</v>
      </c>
    </row>
    <row r="1396">
      <c r="A1396" s="3" t="inlineStr">
        <is>
          <t>IncomingTrainPreparation</t>
        </is>
      </c>
      <c r="B1396" s="3" t="inlineStr">
        <is>
          <t>Act_ITP_10095_201429_703</t>
        </is>
      </c>
      <c r="C1396" s="3" t="inlineStr">
        <is>
          <t>10095</t>
        </is>
      </c>
      <c r="D1396" s="9" t="n">
        <v>300.5</v>
      </c>
      <c r="E1396" s="3" t="n"/>
      <c r="F1396" s="3" t="n"/>
      <c r="G1396" s="9" t="n"/>
      <c r="H1396" s="10" t="n">
        <v>45667.84339120371</v>
      </c>
      <c r="I1396" s="10" t="n">
        <v>45667.84616898148</v>
      </c>
      <c r="J1396" s="10" t="n">
        <v>45667.85612268518</v>
      </c>
      <c r="K1396" s="11" t="n">
        <v>0.009953703703703704</v>
      </c>
      <c r="L1396" s="13" t="n">
        <v>7</v>
      </c>
    </row>
    <row r="1397">
      <c r="A1397" s="3" t="inlineStr">
        <is>
          <t>IncomingTrainPreparation</t>
        </is>
      </c>
      <c r="B1397" s="3" t="inlineStr">
        <is>
          <t>Act_ITP_10096_050120_703</t>
        </is>
      </c>
      <c r="C1397" s="3" t="inlineStr">
        <is>
          <t>10096</t>
        </is>
      </c>
      <c r="D1397" s="9" t="n">
        <v>366.6</v>
      </c>
      <c r="E1397" s="3" t="n"/>
      <c r="F1397" s="3" t="n"/>
      <c r="G1397" s="9" t="n"/>
      <c r="H1397" s="10" t="n">
        <v>45668.20925925926</v>
      </c>
      <c r="I1397" s="10" t="n">
        <v>45668.21203703704</v>
      </c>
      <c r="J1397" s="10" t="n">
        <v>45668.21706018518</v>
      </c>
      <c r="K1397" s="11" t="n">
        <v>0.005023148148148148</v>
      </c>
      <c r="L1397" s="13" t="n">
        <v>2</v>
      </c>
    </row>
    <row r="1398">
      <c r="A1398" s="3" t="inlineStr">
        <is>
          <t>IncomingTrainPreparation</t>
        </is>
      </c>
      <c r="B1398" s="3" t="inlineStr">
        <is>
          <t>Act_ITP_10097_053256_703</t>
        </is>
      </c>
      <c r="C1398" s="3" t="inlineStr">
        <is>
          <t>10097</t>
        </is>
      </c>
      <c r="D1398" s="9" t="n">
        <v>382.7</v>
      </c>
      <c r="E1398" s="3" t="n"/>
      <c r="F1398" s="3" t="n"/>
      <c r="G1398" s="9" t="n"/>
      <c r="H1398" s="10" t="n">
        <v>45668.2312037037</v>
      </c>
      <c r="I1398" s="10" t="n">
        <v>45668.23398148148</v>
      </c>
      <c r="J1398" s="10" t="n">
        <v>45668.24030092593</v>
      </c>
      <c r="K1398" s="11" t="n">
        <v>0.006319444444444444</v>
      </c>
      <c r="L1398" s="13" t="n">
        <v>3</v>
      </c>
    </row>
    <row r="1399">
      <c r="A1399" s="3" t="inlineStr">
        <is>
          <t>IncomingTrainPreparation</t>
        </is>
      </c>
      <c r="B1399" s="3" t="inlineStr">
        <is>
          <t>Act_ITP_10098_174458_727</t>
        </is>
      </c>
      <c r="C1399" s="3" t="inlineStr">
        <is>
          <t>10098</t>
        </is>
      </c>
      <c r="D1399" s="9" t="n">
        <v>554.1</v>
      </c>
      <c r="E1399" s="3" t="n"/>
      <c r="F1399" s="3" t="n"/>
      <c r="G1399" s="9" t="n"/>
      <c r="H1399" s="10" t="n">
        <v>45669.73956018518</v>
      </c>
      <c r="I1399" s="10" t="n">
        <v>45669.74233796296</v>
      </c>
      <c r="J1399" s="10" t="n">
        <v>45669.74886574074</v>
      </c>
      <c r="K1399" s="11" t="n">
        <v>0.006527777777777778</v>
      </c>
      <c r="L1399" s="13" t="n">
        <v>2</v>
      </c>
    </row>
    <row r="1400">
      <c r="A1400" s="3" t="inlineStr">
        <is>
          <t>IncomingTrainPreparation</t>
        </is>
      </c>
      <c r="B1400" s="3" t="inlineStr">
        <is>
          <t>Act_ITP_10099_200522_703</t>
        </is>
      </c>
      <c r="C1400" s="3" t="inlineStr">
        <is>
          <t>10099</t>
        </is>
      </c>
      <c r="D1400" s="9" t="n">
        <v>208.1</v>
      </c>
      <c r="E1400" s="3" t="n"/>
      <c r="F1400" s="3" t="n"/>
      <c r="G1400" s="9" t="n"/>
      <c r="H1400" s="10" t="n">
        <v>45669.83706018519</v>
      </c>
      <c r="I1400" s="10" t="n">
        <v>45669.83983796297</v>
      </c>
      <c r="J1400" s="10" t="n">
        <v>45669.84259259259</v>
      </c>
      <c r="K1400" s="11" t="n">
        <v>0.002754629629629629</v>
      </c>
      <c r="L1400" s="13" t="n">
        <v>1</v>
      </c>
    </row>
    <row r="1401">
      <c r="A1401" s="3" t="inlineStr">
        <is>
          <t>IncomingTrainPreparation</t>
        </is>
      </c>
      <c r="B1401" s="3" t="inlineStr">
        <is>
          <t>Act_ITP_10100_023150_703</t>
        </is>
      </c>
      <c r="C1401" s="3" t="inlineStr">
        <is>
          <t>10100</t>
        </is>
      </c>
      <c r="D1401" s="9" t="n">
        <v>181.5</v>
      </c>
      <c r="E1401" s="3" t="n"/>
      <c r="F1401" s="3" t="n"/>
      <c r="G1401" s="9" t="n"/>
      <c r="H1401" s="10" t="n">
        <v>45670.10543981481</v>
      </c>
      <c r="I1401" s="10" t="n">
        <v>45670.10821759259</v>
      </c>
      <c r="J1401" s="10" t="n">
        <v>45670.11070601852</v>
      </c>
      <c r="K1401" s="11" t="n">
        <v>0.002488425925925926</v>
      </c>
      <c r="L1401" s="13" t="n">
        <v>1</v>
      </c>
    </row>
    <row r="1402">
      <c r="A1402" s="3" t="inlineStr">
        <is>
          <t>IncomingTrainPreparation</t>
        </is>
      </c>
      <c r="B1402" s="3" t="inlineStr">
        <is>
          <t>Act_ITP_10101_043152_703</t>
        </is>
      </c>
      <c r="C1402" s="3" t="inlineStr">
        <is>
          <t>10101</t>
        </is>
      </c>
      <c r="D1402" s="9" t="n">
        <v>301.2</v>
      </c>
      <c r="E1402" s="3" t="n"/>
      <c r="F1402" s="3" t="n"/>
      <c r="G1402" s="9" t="n"/>
      <c r="H1402" s="10" t="n">
        <v>45670.18879629629</v>
      </c>
      <c r="I1402" s="10" t="n">
        <v>45670.19157407407</v>
      </c>
      <c r="J1402" s="10" t="n">
        <v>45670.19400462963</v>
      </c>
      <c r="K1402" s="11" t="n">
        <v>0.002430555555555556</v>
      </c>
      <c r="L1402" s="13" t="n">
        <v>0</v>
      </c>
    </row>
    <row r="1403">
      <c r="A1403" s="3" t="inlineStr">
        <is>
          <t>IncomingTrainPreparation</t>
        </is>
      </c>
      <c r="B1403" s="3" t="inlineStr">
        <is>
          <t>Act_ITP_10102_060807_703</t>
        </is>
      </c>
      <c r="C1403" s="3" t="inlineStr">
        <is>
          <t>10102</t>
        </is>
      </c>
      <c r="D1403" s="9" t="n">
        <v>298</v>
      </c>
      <c r="E1403" s="3" t="n"/>
      <c r="F1403" s="3" t="n"/>
      <c r="G1403" s="9" t="n"/>
      <c r="H1403" s="10" t="n">
        <v>45670.25563657407</v>
      </c>
      <c r="I1403" s="10" t="n">
        <v>45670.25841435185</v>
      </c>
      <c r="J1403" s="10" t="n">
        <v>45670.26079861111</v>
      </c>
      <c r="K1403" s="11" t="n">
        <v>0.002384259259259259</v>
      </c>
      <c r="L1403" s="13" t="n">
        <v>0</v>
      </c>
    </row>
    <row r="1404">
      <c r="A1404" s="3" t="inlineStr">
        <is>
          <t>IncomingTrainPreparation</t>
        </is>
      </c>
      <c r="B1404" s="3" t="inlineStr">
        <is>
          <t>Act_ITP_10103_070510_703</t>
        </is>
      </c>
      <c r="C1404" s="3" t="inlineStr">
        <is>
          <t>10103</t>
        </is>
      </c>
      <c r="D1404" s="9" t="n">
        <v>205.5</v>
      </c>
      <c r="E1404" s="3" t="n"/>
      <c r="F1404" s="3" t="n"/>
      <c r="G1404" s="9" t="n"/>
      <c r="H1404" s="10" t="n">
        <v>45670.29525462963</v>
      </c>
      <c r="I1404" s="10" t="n">
        <v>45670.29803240741</v>
      </c>
      <c r="J1404" s="10" t="n">
        <v>45670.2996875</v>
      </c>
      <c r="K1404" s="11" t="n">
        <v>0.001655092592592593</v>
      </c>
      <c r="L1404" s="13" t="n">
        <v>0</v>
      </c>
    </row>
    <row r="1405">
      <c r="A1405" s="3" t="inlineStr">
        <is>
          <t>IncomingTrainPreparation</t>
        </is>
      </c>
      <c r="B1405" s="3" t="inlineStr">
        <is>
          <t>Act_ITP_10104_071802_727</t>
        </is>
      </c>
      <c r="C1405" s="3" t="inlineStr">
        <is>
          <t>10104</t>
        </is>
      </c>
      <c r="D1405" s="9" t="n">
        <v>397.3</v>
      </c>
      <c r="E1405" s="3" t="n"/>
      <c r="F1405" s="3" t="n"/>
      <c r="G1405" s="9" t="n"/>
      <c r="H1405" s="10" t="n">
        <v>45670.30418981481</v>
      </c>
      <c r="I1405" s="10" t="n">
        <v>45670.30696759259</v>
      </c>
      <c r="J1405" s="10" t="n">
        <v>45670.31015046296</v>
      </c>
      <c r="K1405" s="11" t="n">
        <v>0.00318287037037037</v>
      </c>
      <c r="L1405" s="13" t="n">
        <v>0</v>
      </c>
    </row>
    <row r="1406">
      <c r="A1406" s="3" t="inlineStr">
        <is>
          <t>IncomingTrainPreparation</t>
        </is>
      </c>
      <c r="B1406" s="3" t="inlineStr">
        <is>
          <t>Act_ITP_10105_072227_703</t>
        </is>
      </c>
      <c r="C1406" s="3" t="inlineStr">
        <is>
          <t>10105</t>
        </is>
      </c>
      <c r="D1406" s="9" t="n">
        <v>497.3</v>
      </c>
      <c r="E1406" s="3" t="n"/>
      <c r="F1406" s="3" t="n"/>
      <c r="G1406" s="9" t="n"/>
      <c r="H1406" s="10" t="n">
        <v>45670.30725694444</v>
      </c>
      <c r="I1406" s="10" t="n">
        <v>45670.31003472222</v>
      </c>
      <c r="J1406" s="10" t="n">
        <v>45670.32804398148</v>
      </c>
      <c r="K1406" s="11" t="n">
        <v>0.01800925925925926</v>
      </c>
      <c r="L1406" s="13" t="n">
        <v>13</v>
      </c>
    </row>
    <row r="1407">
      <c r="A1407" s="3" t="inlineStr">
        <is>
          <t>IncomingTrainPreparation</t>
        </is>
      </c>
      <c r="B1407" s="3" t="inlineStr">
        <is>
          <t>Act_ITP_10106_090342_703</t>
        </is>
      </c>
      <c r="C1407" s="3" t="inlineStr">
        <is>
          <t>10106</t>
        </is>
      </c>
      <c r="D1407" s="9" t="n">
        <v>393.8</v>
      </c>
      <c r="E1407" s="3" t="n"/>
      <c r="F1407" s="3" t="n"/>
      <c r="G1407" s="9" t="n"/>
      <c r="H1407" s="10" t="n">
        <v>45670.37756944444</v>
      </c>
      <c r="I1407" s="10" t="n">
        <v>45670.38034722222</v>
      </c>
      <c r="J1407" s="10" t="n">
        <v>45670.384375</v>
      </c>
      <c r="K1407" s="11" t="n">
        <v>0.004027777777777778</v>
      </c>
      <c r="L1407" s="13" t="n">
        <v>1</v>
      </c>
    </row>
    <row r="1408">
      <c r="A1408" s="3" t="inlineStr">
        <is>
          <t>IncomingTrainPreparation</t>
        </is>
      </c>
      <c r="B1408" s="3" t="inlineStr">
        <is>
          <t>Act_ITP_10107_090439_727</t>
        </is>
      </c>
      <c r="C1408" s="3" t="inlineStr">
        <is>
          <t>10107</t>
        </is>
      </c>
      <c r="D1408" s="9" t="n">
        <v>445.3</v>
      </c>
      <c r="E1408" s="3" t="n"/>
      <c r="F1408" s="3" t="n"/>
      <c r="G1408" s="9" t="n"/>
      <c r="H1408" s="10" t="n">
        <v>45670.37822916666</v>
      </c>
      <c r="I1408" s="10" t="n">
        <v>45670.38100694444</v>
      </c>
      <c r="J1408" s="10" t="n">
        <v>45670.39427083333</v>
      </c>
      <c r="K1408" s="11" t="n">
        <v>0.01326388888888889</v>
      </c>
      <c r="L1408" s="13" t="n">
        <v>9</v>
      </c>
    </row>
    <row r="1409">
      <c r="A1409" s="3" t="inlineStr">
        <is>
          <t>IncomingTrainPreparation</t>
        </is>
      </c>
      <c r="B1409" s="3" t="inlineStr">
        <is>
          <t>Act_ITP_10108_100701_703</t>
        </is>
      </c>
      <c r="C1409" s="3" t="inlineStr">
        <is>
          <t>10108</t>
        </is>
      </c>
      <c r="D1409" s="9" t="n">
        <v>407.9</v>
      </c>
      <c r="E1409" s="3" t="n"/>
      <c r="F1409" s="3" t="n"/>
      <c r="G1409" s="9" t="n"/>
      <c r="H1409" s="10" t="n">
        <v>45670.42153935185</v>
      </c>
      <c r="I1409" s="10" t="n">
        <v>45670.42431712963</v>
      </c>
      <c r="J1409" s="10" t="n">
        <v>45670.42996527778</v>
      </c>
      <c r="K1409" s="11" t="n">
        <v>0.005648148148148148</v>
      </c>
      <c r="L1409" s="13" t="n">
        <v>2</v>
      </c>
    </row>
    <row r="1410">
      <c r="A1410" s="3" t="inlineStr">
        <is>
          <t>IncomingTrainPreparation</t>
        </is>
      </c>
      <c r="B1410" s="3" t="inlineStr">
        <is>
          <t>Act_ITP_10109_121940_703</t>
        </is>
      </c>
      <c r="C1410" s="3" t="inlineStr">
        <is>
          <t>10109</t>
        </is>
      </c>
      <c r="D1410" s="9" t="n">
        <v>234.9</v>
      </c>
      <c r="E1410" s="3" t="n"/>
      <c r="F1410" s="3" t="n"/>
      <c r="G1410" s="9" t="n"/>
      <c r="H1410" s="10" t="n">
        <v>45670.51365740741</v>
      </c>
      <c r="I1410" s="10" t="n">
        <v>45670.51643518519</v>
      </c>
      <c r="J1410" s="10" t="n">
        <v>45670.51824074074</v>
      </c>
      <c r="K1410" s="11" t="n">
        <v>0.001805555555555555</v>
      </c>
      <c r="L1410" s="13" t="n">
        <v>0</v>
      </c>
    </row>
    <row r="1411">
      <c r="A1411" s="3" t="inlineStr">
        <is>
          <t>IncomingTrainPreparation</t>
        </is>
      </c>
      <c r="B1411" s="3" t="inlineStr">
        <is>
          <t>Act_ITP_10110_143028_703</t>
        </is>
      </c>
      <c r="C1411" s="3" t="inlineStr">
        <is>
          <t>10110</t>
        </is>
      </c>
      <c r="D1411" s="9" t="n">
        <v>388.3</v>
      </c>
      <c r="E1411" s="3" t="n"/>
      <c r="F1411" s="3" t="n"/>
      <c r="G1411" s="9" t="n"/>
      <c r="H1411" s="10" t="n">
        <v>45670.60449074074</v>
      </c>
      <c r="I1411" s="10" t="n">
        <v>45670.60726851852</v>
      </c>
      <c r="J1411" s="10" t="n">
        <v>45670.61053240741</v>
      </c>
      <c r="K1411" s="11" t="n">
        <v>0.003263888888888889</v>
      </c>
      <c r="L1411" s="13" t="n">
        <v>0</v>
      </c>
    </row>
    <row r="1412">
      <c r="A1412" s="3" t="inlineStr">
        <is>
          <t>IncomingTrainPreparation</t>
        </is>
      </c>
      <c r="B1412" s="3" t="inlineStr">
        <is>
          <t>Act_ITP_10111_144946_703</t>
        </is>
      </c>
      <c r="C1412" s="3" t="inlineStr">
        <is>
          <t>10111</t>
        </is>
      </c>
      <c r="D1412" s="9" t="n">
        <v>367.5</v>
      </c>
      <c r="E1412" s="3" t="n"/>
      <c r="F1412" s="3" t="n"/>
      <c r="G1412" s="9" t="n"/>
      <c r="H1412" s="10" t="n">
        <v>45670.61789351852</v>
      </c>
      <c r="I1412" s="10" t="n">
        <v>45670.6206712963</v>
      </c>
      <c r="J1412" s="10" t="n">
        <v>45670.63356481482</v>
      </c>
      <c r="K1412" s="11" t="n">
        <v>0.01289351851851852</v>
      </c>
      <c r="L1412" s="13" t="n">
        <v>10</v>
      </c>
    </row>
    <row r="1413">
      <c r="A1413" s="3" t="inlineStr">
        <is>
          <t>IncomingTrainPreparation</t>
        </is>
      </c>
      <c r="B1413" s="3" t="inlineStr">
        <is>
          <t>Act_ITP_10112_152344_727</t>
        </is>
      </c>
      <c r="C1413" s="3" t="inlineStr">
        <is>
          <t>10112</t>
        </is>
      </c>
      <c r="D1413" s="9" t="n">
        <v>393.5</v>
      </c>
      <c r="E1413" s="3" t="n"/>
      <c r="F1413" s="3" t="n"/>
      <c r="G1413" s="9" t="n"/>
      <c r="H1413" s="10" t="n">
        <v>45670.64148148148</v>
      </c>
      <c r="I1413" s="10" t="n">
        <v>45670.64425925926</v>
      </c>
      <c r="J1413" s="10" t="n">
        <v>45670.64729166667</v>
      </c>
      <c r="K1413" s="11" t="n">
        <v>0.003032407407407407</v>
      </c>
      <c r="L1413" s="13" t="n">
        <v>0</v>
      </c>
    </row>
    <row r="1414">
      <c r="A1414" s="3" t="inlineStr">
        <is>
          <t>IncomingTrainPreparation</t>
        </is>
      </c>
      <c r="B1414" s="3" t="inlineStr">
        <is>
          <t>Act_ITP_10113_160418_703</t>
        </is>
      </c>
      <c r="C1414" s="3" t="inlineStr">
        <is>
          <t>10113</t>
        </is>
      </c>
      <c r="D1414" s="9" t="n">
        <v>387.6</v>
      </c>
      <c r="E1414" s="3" t="n"/>
      <c r="F1414" s="3" t="n"/>
      <c r="G1414" s="9" t="n"/>
      <c r="H1414" s="10" t="n">
        <v>45670.66965277777</v>
      </c>
      <c r="I1414" s="10" t="n">
        <v>45670.67243055555</v>
      </c>
      <c r="J1414" s="10" t="n">
        <v>45670.67679398148</v>
      </c>
      <c r="K1414" s="11" t="n">
        <v>0.004363425925925926</v>
      </c>
      <c r="L1414" s="13" t="n">
        <v>1</v>
      </c>
    </row>
    <row r="1415">
      <c r="A1415" s="3" t="inlineStr">
        <is>
          <t>IncomingTrainPreparation</t>
        </is>
      </c>
      <c r="B1415" s="3" t="inlineStr">
        <is>
          <t>Act_ITP_10114_172934_703</t>
        </is>
      </c>
      <c r="C1415" s="3" t="inlineStr">
        <is>
          <t>10114</t>
        </is>
      </c>
      <c r="D1415" s="9" t="n">
        <v>185.9</v>
      </c>
      <c r="E1415" s="3" t="n"/>
      <c r="F1415" s="3" t="n"/>
      <c r="G1415" s="9" t="n"/>
      <c r="H1415" s="10" t="n">
        <v>45670.72886574074</v>
      </c>
      <c r="I1415" s="10" t="n">
        <v>45670.73164351852</v>
      </c>
      <c r="J1415" s="10" t="n">
        <v>45670.73306712963</v>
      </c>
      <c r="K1415" s="11" t="n">
        <v>0.001423611111111111</v>
      </c>
      <c r="L1415" s="13" t="n">
        <v>0</v>
      </c>
    </row>
    <row r="1416">
      <c r="A1416" s="3" t="inlineStr">
        <is>
          <t>IncomingTrainPreparation</t>
        </is>
      </c>
      <c r="B1416" s="3" t="inlineStr">
        <is>
          <t>Act_ITP_10115_210734_703</t>
        </is>
      </c>
      <c r="C1416" s="3" t="inlineStr">
        <is>
          <t>10115</t>
        </is>
      </c>
      <c r="D1416" s="9" t="n">
        <v>389.1</v>
      </c>
      <c r="E1416" s="3" t="n"/>
      <c r="F1416" s="3" t="n"/>
      <c r="G1416" s="9" t="n"/>
      <c r="H1416" s="10" t="n">
        <v>45670.88025462963</v>
      </c>
      <c r="I1416" s="10" t="n">
        <v>45670.88303240741</v>
      </c>
      <c r="J1416" s="10" t="n">
        <v>45670.88630787037</v>
      </c>
      <c r="K1416" s="11" t="n">
        <v>0.003275462962962963</v>
      </c>
      <c r="L1416" s="13" t="n">
        <v>0</v>
      </c>
    </row>
    <row r="1417">
      <c r="A1417" s="3" t="inlineStr">
        <is>
          <t>IncomingTrainPreparation</t>
        </is>
      </c>
      <c r="B1417" s="3" t="inlineStr">
        <is>
          <t>Act_ITP_10116_023021_703</t>
        </is>
      </c>
      <c r="C1417" s="3" t="inlineStr">
        <is>
          <t>10116</t>
        </is>
      </c>
      <c r="D1417" s="9" t="n">
        <v>147.4</v>
      </c>
      <c r="E1417" s="3" t="n"/>
      <c r="F1417" s="3" t="n"/>
      <c r="G1417" s="9" t="n"/>
      <c r="H1417" s="10" t="n">
        <v>45671.10440972223</v>
      </c>
      <c r="I1417" s="10" t="n">
        <v>45671.1071875</v>
      </c>
      <c r="J1417" s="10" t="n">
        <v>45671.11134259259</v>
      </c>
      <c r="K1417" s="11" t="n">
        <v>0.004155092592592592</v>
      </c>
      <c r="L1417" s="13" t="n">
        <v>3</v>
      </c>
    </row>
    <row r="1418">
      <c r="A1418" s="3" t="inlineStr">
        <is>
          <t>IncomingTrainPreparation</t>
        </is>
      </c>
      <c r="B1418" s="3" t="inlineStr">
        <is>
          <t>Act_ITP_10117_063248_703</t>
        </is>
      </c>
      <c r="C1418" s="3" t="inlineStr">
        <is>
          <t>10117</t>
        </is>
      </c>
      <c r="D1418" s="9" t="n">
        <v>297</v>
      </c>
      <c r="E1418" s="3" t="n"/>
      <c r="F1418" s="3" t="n"/>
      <c r="G1418" s="9" t="n"/>
      <c r="H1418" s="10" t="n">
        <v>45671.27277777778</v>
      </c>
      <c r="I1418" s="10" t="n">
        <v>45671.27555555556</v>
      </c>
      <c r="J1418" s="10" t="n">
        <v>45671.27804398148</v>
      </c>
      <c r="K1418" s="11" t="n">
        <v>0.002488425925925926</v>
      </c>
      <c r="L1418" s="13" t="n">
        <v>0</v>
      </c>
    </row>
    <row r="1419">
      <c r="A1419" s="3" t="inlineStr">
        <is>
          <t>IncomingTrainPreparation</t>
        </is>
      </c>
      <c r="B1419" s="3" t="inlineStr">
        <is>
          <t>Act_ITP_10118_064050_727</t>
        </is>
      </c>
      <c r="C1419" s="3" t="inlineStr">
        <is>
          <t>10118</t>
        </is>
      </c>
      <c r="D1419" s="9" t="n">
        <v>363.8</v>
      </c>
      <c r="E1419" s="3" t="n"/>
      <c r="F1419" s="3" t="n"/>
      <c r="G1419" s="9" t="n"/>
      <c r="H1419" s="10" t="n">
        <v>45671.27835648148</v>
      </c>
      <c r="I1419" s="10" t="n">
        <v>45671.28113425926</v>
      </c>
      <c r="J1419" s="10" t="n">
        <v>45671.28996527778</v>
      </c>
      <c r="K1419" s="11" t="n">
        <v>0.008831018518518519</v>
      </c>
      <c r="L1419" s="13" t="n">
        <v>6</v>
      </c>
    </row>
    <row r="1420">
      <c r="A1420" s="3" t="inlineStr">
        <is>
          <t>IncomingTrainPreparation</t>
        </is>
      </c>
      <c r="B1420" s="3" t="inlineStr">
        <is>
          <t>Act_ITP_10119_072242_703</t>
        </is>
      </c>
      <c r="C1420" s="3" t="inlineStr">
        <is>
          <t>10119</t>
        </is>
      </c>
      <c r="D1420" s="9" t="n">
        <v>213.8</v>
      </c>
      <c r="E1420" s="3" t="n"/>
      <c r="F1420" s="3" t="n"/>
      <c r="G1420" s="9" t="n"/>
      <c r="H1420" s="10" t="n">
        <v>45671.30743055556</v>
      </c>
      <c r="I1420" s="10" t="n">
        <v>45671.31020833334</v>
      </c>
      <c r="J1420" s="10" t="n">
        <v>45671.31199074074</v>
      </c>
      <c r="K1420" s="11" t="n">
        <v>0.001782407407407407</v>
      </c>
      <c r="L1420" s="13" t="n">
        <v>0</v>
      </c>
    </row>
    <row r="1421">
      <c r="A1421" s="3" t="inlineStr">
        <is>
          <t>IncomingTrainPreparation</t>
        </is>
      </c>
      <c r="B1421" s="3" t="inlineStr">
        <is>
          <t>Act_ITP_10120_080405_703</t>
        </is>
      </c>
      <c r="C1421" s="3" t="inlineStr">
        <is>
          <t>10120</t>
        </is>
      </c>
      <c r="D1421" s="9" t="n">
        <v>389.8</v>
      </c>
      <c r="E1421" s="3" t="n"/>
      <c r="F1421" s="3" t="n"/>
      <c r="G1421" s="9" t="n"/>
      <c r="H1421" s="10" t="n">
        <v>45671.33616898148</v>
      </c>
      <c r="I1421" s="10" t="n">
        <v>45671.33894675926</v>
      </c>
      <c r="J1421" s="10" t="n">
        <v>45671.34172453704</v>
      </c>
      <c r="K1421" s="11" t="n">
        <v>0.002777777777777778</v>
      </c>
      <c r="L1421" s="13" t="n">
        <v>0</v>
      </c>
    </row>
    <row r="1422">
      <c r="A1422" s="3" t="inlineStr">
        <is>
          <t>IncomingTrainPreparation</t>
        </is>
      </c>
      <c r="B1422" s="3" t="inlineStr">
        <is>
          <t>Act_ITP_10121_090341_727</t>
        </is>
      </c>
      <c r="C1422" s="3" t="inlineStr">
        <is>
          <t>10121</t>
        </is>
      </c>
      <c r="D1422" s="9" t="n">
        <v>591.6</v>
      </c>
      <c r="E1422" s="3" t="n"/>
      <c r="F1422" s="3" t="n"/>
      <c r="G1422" s="9" t="n"/>
      <c r="H1422" s="10" t="n">
        <v>45671.37755787037</v>
      </c>
      <c r="I1422" s="10" t="n">
        <v>45671.38033564815</v>
      </c>
      <c r="J1422" s="10" t="n">
        <v>45671.39746527778</v>
      </c>
      <c r="K1422" s="11" t="n">
        <v>0.01712962962962963</v>
      </c>
      <c r="L1422" s="13" t="n">
        <v>12</v>
      </c>
    </row>
    <row r="1423">
      <c r="A1423" s="3" t="inlineStr">
        <is>
          <t>IncomingTrainPreparation</t>
        </is>
      </c>
      <c r="B1423" s="3" t="inlineStr">
        <is>
          <t>Act_ITP_10122_090810_703</t>
        </is>
      </c>
      <c r="C1423" s="3" t="inlineStr">
        <is>
          <t>10122</t>
        </is>
      </c>
      <c r="D1423" s="9" t="n">
        <v>393.9</v>
      </c>
      <c r="E1423" s="3" t="n"/>
      <c r="F1423" s="3" t="n"/>
      <c r="G1423" s="9" t="n"/>
      <c r="H1423" s="10" t="n">
        <v>45671.3806712963</v>
      </c>
      <c r="I1423" s="10" t="n">
        <v>45671.38344907408</v>
      </c>
      <c r="J1423" s="10" t="n">
        <v>45671.38835648148</v>
      </c>
      <c r="K1423" s="11" t="n">
        <v>0.004907407407407407</v>
      </c>
      <c r="L1423" s="13" t="n">
        <v>2</v>
      </c>
    </row>
    <row r="1424">
      <c r="A1424" s="3" t="inlineStr">
        <is>
          <t>IncomingTrainPreparation</t>
        </is>
      </c>
      <c r="B1424" s="3" t="inlineStr">
        <is>
          <t>Act_ITP_10123_095304_703</t>
        </is>
      </c>
      <c r="C1424" s="3" t="inlineStr">
        <is>
          <t>10123</t>
        </is>
      </c>
      <c r="D1424" s="9" t="n">
        <v>439.7</v>
      </c>
      <c r="E1424" s="3" t="n"/>
      <c r="F1424" s="3" t="n"/>
      <c r="G1424" s="9" t="n"/>
      <c r="H1424" s="10" t="n">
        <v>45671.41185185185</v>
      </c>
      <c r="I1424" s="10" t="n">
        <v>45671.41462962963</v>
      </c>
      <c r="J1424" s="10" t="n">
        <v>45671.41912037037</v>
      </c>
      <c r="K1424" s="11" t="n">
        <v>0.00449074074074074</v>
      </c>
      <c r="L1424" s="13" t="n">
        <v>1</v>
      </c>
    </row>
    <row r="1425">
      <c r="A1425" s="3" t="inlineStr">
        <is>
          <t>IncomingTrainPreparation</t>
        </is>
      </c>
      <c r="B1425" s="3" t="inlineStr">
        <is>
          <t>Act_ITP_10124_125416_703</t>
        </is>
      </c>
      <c r="C1425" s="3" t="inlineStr">
        <is>
          <t>10124</t>
        </is>
      </c>
      <c r="D1425" s="9" t="n">
        <v>297.8</v>
      </c>
      <c r="E1425" s="3" t="n"/>
      <c r="F1425" s="3" t="n"/>
      <c r="G1425" s="9" t="n"/>
      <c r="H1425" s="10" t="n">
        <v>45671.53768518518</v>
      </c>
      <c r="I1425" s="10" t="n">
        <v>45671.54046296296</v>
      </c>
      <c r="J1425" s="10" t="n">
        <v>45671.54293981481</v>
      </c>
      <c r="K1425" s="11" t="n">
        <v>0.002476851851851852</v>
      </c>
      <c r="L1425" s="13" t="n">
        <v>0</v>
      </c>
    </row>
    <row r="1426">
      <c r="A1426" s="3" t="inlineStr">
        <is>
          <t>IncomingTrainPreparation</t>
        </is>
      </c>
      <c r="B1426" s="3" t="inlineStr">
        <is>
          <t>Act_ITP_10125_142629_703</t>
        </is>
      </c>
      <c r="C1426" s="3" t="inlineStr">
        <is>
          <t>10125</t>
        </is>
      </c>
      <c r="D1426" s="9" t="n">
        <v>225.6</v>
      </c>
      <c r="E1426" s="3" t="n"/>
      <c r="F1426" s="3" t="n"/>
      <c r="G1426" s="9" t="n"/>
      <c r="H1426" s="10" t="n">
        <v>45671.60172453704</v>
      </c>
      <c r="I1426" s="10" t="n">
        <v>45671.60450231482</v>
      </c>
      <c r="J1426" s="10" t="n">
        <v>45671.60628472222</v>
      </c>
      <c r="K1426" s="11" t="n">
        <v>0.001782407407407407</v>
      </c>
      <c r="L1426" s="13" t="n">
        <v>0</v>
      </c>
    </row>
    <row r="1427">
      <c r="A1427" s="3" t="inlineStr">
        <is>
          <t>IncomingTrainPreparation</t>
        </is>
      </c>
      <c r="B1427" s="3" t="inlineStr">
        <is>
          <t>Act_ITP_10126_145606_727</t>
        </is>
      </c>
      <c r="C1427" s="3" t="inlineStr">
        <is>
          <t>10126</t>
        </is>
      </c>
      <c r="D1427" s="9" t="n">
        <v>584.6</v>
      </c>
      <c r="E1427" s="3" t="n"/>
      <c r="F1427" s="3" t="n"/>
      <c r="G1427" s="9" t="n"/>
      <c r="H1427" s="10" t="n">
        <v>45671.62229166667</v>
      </c>
      <c r="I1427" s="10" t="n">
        <v>45671.62506944445</v>
      </c>
      <c r="J1427" s="10" t="n">
        <v>45671.64103009259</v>
      </c>
      <c r="K1427" s="11" t="n">
        <v>0.01596064814814815</v>
      </c>
      <c r="L1427" s="13" t="n">
        <v>10</v>
      </c>
    </row>
    <row r="1428">
      <c r="A1428" s="3" t="inlineStr">
        <is>
          <t>IncomingTrainPreparation</t>
        </is>
      </c>
      <c r="B1428" s="3" t="inlineStr">
        <is>
          <t>Act_ITP_10127_153015_703</t>
        </is>
      </c>
      <c r="C1428" s="3" t="inlineStr">
        <is>
          <t>10127</t>
        </is>
      </c>
      <c r="D1428" s="9" t="n">
        <v>173.1</v>
      </c>
      <c r="E1428" s="3" t="n"/>
      <c r="F1428" s="3" t="n"/>
      <c r="G1428" s="9" t="n"/>
      <c r="H1428" s="10" t="n">
        <v>45671.64600694444</v>
      </c>
      <c r="I1428" s="10" t="n">
        <v>45671.64878472222</v>
      </c>
      <c r="J1428" s="10" t="n">
        <v>45671.65021990741</v>
      </c>
      <c r="K1428" s="11" t="n">
        <v>0.001435185185185185</v>
      </c>
      <c r="L1428" s="13" t="n">
        <v>0</v>
      </c>
    </row>
    <row r="1429">
      <c r="A1429" s="3" t="inlineStr">
        <is>
          <t>IncomingTrainPreparation</t>
        </is>
      </c>
      <c r="B1429" s="3" t="inlineStr">
        <is>
          <t>Act_ITP_10128_154100_731</t>
        </is>
      </c>
      <c r="C1429" s="3" t="inlineStr">
        <is>
          <t>10128</t>
        </is>
      </c>
      <c r="D1429" s="9" t="n">
        <v>40.9</v>
      </c>
      <c r="E1429" s="3" t="n"/>
      <c r="F1429" s="3" t="n"/>
      <c r="G1429" s="9" t="n"/>
      <c r="H1429" s="10" t="n">
        <v>45671.65347222222</v>
      </c>
      <c r="I1429" s="10" t="n">
        <v>45671.65625</v>
      </c>
      <c r="J1429" s="10" t="n">
        <v>45671.65659722222</v>
      </c>
      <c r="K1429" s="11" t="n">
        <v>0.0003472222222222222</v>
      </c>
      <c r="L1429" s="13" t="n">
        <v>0</v>
      </c>
    </row>
    <row r="1430">
      <c r="A1430" s="3" t="inlineStr">
        <is>
          <t>IncomingTrainPreparation</t>
        </is>
      </c>
      <c r="B1430" s="3" t="inlineStr">
        <is>
          <t>Act_ITP_10129_173509_703</t>
        </is>
      </c>
      <c r="C1430" s="3" t="inlineStr">
        <is>
          <t>10129</t>
        </is>
      </c>
      <c r="D1430" s="9" t="n">
        <v>490.1</v>
      </c>
      <c r="E1430" s="3" t="n"/>
      <c r="F1430" s="3" t="n"/>
      <c r="G1430" s="9" t="n"/>
      <c r="H1430" s="10" t="n">
        <v>45671.73274305555</v>
      </c>
      <c r="I1430" s="10" t="n">
        <v>45671.73552083333</v>
      </c>
      <c r="J1430" s="10" t="n">
        <v>45671.74964120371</v>
      </c>
      <c r="K1430" s="11" t="n">
        <v>0.01412037037037037</v>
      </c>
      <c r="L1430" s="13" t="n">
        <v>9</v>
      </c>
    </row>
    <row r="1431">
      <c r="A1431" s="3" t="inlineStr">
        <is>
          <t>IncomingTrainPreparation</t>
        </is>
      </c>
      <c r="B1431" s="3" t="inlineStr">
        <is>
          <t>Act_ITP_10130_175411_731</t>
        </is>
      </c>
      <c r="C1431" s="3" t="inlineStr">
        <is>
          <t>10130</t>
        </is>
      </c>
      <c r="D1431" s="9" t="n">
        <v>63</v>
      </c>
      <c r="E1431" s="3" t="n"/>
      <c r="F1431" s="3" t="n"/>
      <c r="G1431" s="9" t="n"/>
      <c r="H1431" s="10" t="n">
        <v>45671.74596064815</v>
      </c>
      <c r="I1431" s="10" t="n">
        <v>45671.74873842593</v>
      </c>
      <c r="J1431" s="10" t="n">
        <v>45671.74922453704</v>
      </c>
      <c r="K1431" s="11" t="n">
        <v>0.0004861111111111111</v>
      </c>
      <c r="L1431" s="13" t="n">
        <v>0</v>
      </c>
    </row>
    <row r="1432">
      <c r="A1432" s="3" t="inlineStr">
        <is>
          <t>IncomingTrainPreparation</t>
        </is>
      </c>
      <c r="B1432" s="3" t="inlineStr">
        <is>
          <t>Act_ITP_10131_194928_731</t>
        </is>
      </c>
      <c r="C1432" s="3" t="inlineStr">
        <is>
          <t>10131</t>
        </is>
      </c>
      <c r="D1432" s="9" t="n">
        <v>15.7</v>
      </c>
      <c r="E1432" s="3" t="n"/>
      <c r="F1432" s="3" t="n"/>
      <c r="G1432" s="9" t="n"/>
      <c r="H1432" s="10" t="n">
        <v>45671.82601851852</v>
      </c>
      <c r="I1432" s="10" t="n">
        <v>45671.82879629629</v>
      </c>
      <c r="J1432" s="10" t="n">
        <v>45671.82893518519</v>
      </c>
      <c r="K1432" s="11" t="n">
        <v>0.0001388888888888889</v>
      </c>
      <c r="L1432" s="13" t="n">
        <v>0</v>
      </c>
    </row>
    <row r="1433">
      <c r="A1433" s="3" t="inlineStr">
        <is>
          <t>IncomingTrainPreparation</t>
        </is>
      </c>
      <c r="B1433" s="3" t="inlineStr">
        <is>
          <t>Act_ITP_10132_022706_703</t>
        </is>
      </c>
      <c r="C1433" s="3" t="inlineStr">
        <is>
          <t>10132</t>
        </is>
      </c>
      <c r="D1433" s="9" t="n">
        <v>313.2</v>
      </c>
      <c r="E1433" s="3" t="n"/>
      <c r="F1433" s="3" t="n"/>
      <c r="G1433" s="9" t="n"/>
      <c r="H1433" s="10" t="n">
        <v>45672.10215277778</v>
      </c>
      <c r="I1433" s="10" t="n">
        <v>45672.10493055556</v>
      </c>
      <c r="J1433" s="10" t="n">
        <v>45672.11020833333</v>
      </c>
      <c r="K1433" s="11" t="n">
        <v>0.005277777777777778</v>
      </c>
      <c r="L1433" s="13" t="n">
        <v>3</v>
      </c>
    </row>
    <row r="1434">
      <c r="A1434" s="3" t="inlineStr">
        <is>
          <t>IncomingTrainPreparation</t>
        </is>
      </c>
      <c r="B1434" s="3" t="inlineStr">
        <is>
          <t>Act_ITP_10133_043915_703</t>
        </is>
      </c>
      <c r="C1434" s="3" t="inlineStr">
        <is>
          <t>10133</t>
        </is>
      </c>
      <c r="D1434" s="9" t="n">
        <v>521.9</v>
      </c>
      <c r="E1434" s="3" t="n"/>
      <c r="F1434" s="3" t="n"/>
      <c r="G1434" s="9" t="n"/>
      <c r="H1434" s="10" t="n">
        <v>45672.19392361111</v>
      </c>
      <c r="I1434" s="10" t="n">
        <v>45672.19670138889</v>
      </c>
      <c r="J1434" s="10" t="n">
        <v>45672.20108796296</v>
      </c>
      <c r="K1434" s="11" t="n">
        <v>0.004386574074074074</v>
      </c>
      <c r="L1434" s="13" t="n">
        <v>0</v>
      </c>
    </row>
    <row r="1435">
      <c r="A1435" s="3" t="inlineStr">
        <is>
          <t>IncomingTrainPreparation</t>
        </is>
      </c>
      <c r="B1435" s="3" t="inlineStr">
        <is>
          <t>Act_ITP_10134_063158_703</t>
        </is>
      </c>
      <c r="C1435" s="3" t="inlineStr">
        <is>
          <t>10134</t>
        </is>
      </c>
      <c r="D1435" s="9" t="n">
        <v>298</v>
      </c>
      <c r="E1435" s="3" t="n"/>
      <c r="F1435" s="3" t="n"/>
      <c r="G1435" s="9" t="n"/>
      <c r="H1435" s="10" t="n">
        <v>45672.27219907408</v>
      </c>
      <c r="I1435" s="10" t="n">
        <v>45672.27497685186</v>
      </c>
      <c r="J1435" s="10" t="n">
        <v>45672.27722222222</v>
      </c>
      <c r="K1435" s="11" t="n">
        <v>0.00224537037037037</v>
      </c>
      <c r="L1435" s="13" t="n">
        <v>0</v>
      </c>
    </row>
    <row r="1436">
      <c r="A1436" s="3" t="inlineStr">
        <is>
          <t>IncomingTrainPreparation</t>
        </is>
      </c>
      <c r="B1436" s="3" t="inlineStr">
        <is>
          <t>Act_ITP_10135_071119_703</t>
        </is>
      </c>
      <c r="C1436" s="3" t="inlineStr">
        <is>
          <t>10135</t>
        </is>
      </c>
      <c r="D1436" s="9" t="n">
        <v>406.3</v>
      </c>
      <c r="E1436" s="3" t="n"/>
      <c r="F1436" s="3" t="n"/>
      <c r="G1436" s="9" t="n"/>
      <c r="H1436" s="10" t="n">
        <v>45672.29952546296</v>
      </c>
      <c r="I1436" s="10" t="n">
        <v>45672.30230324074</v>
      </c>
      <c r="J1436" s="10" t="n">
        <v>45672.31460648148</v>
      </c>
      <c r="K1436" s="11" t="n">
        <v>0.01230324074074074</v>
      </c>
      <c r="L1436" s="13" t="n">
        <v>8</v>
      </c>
    </row>
    <row r="1437">
      <c r="A1437" s="3" t="inlineStr">
        <is>
          <t>IncomingTrainPreparation</t>
        </is>
      </c>
      <c r="B1437" s="3" t="inlineStr">
        <is>
          <t>Act_ITP_10136_073109_727</t>
        </is>
      </c>
      <c r="C1437" s="3" t="inlineStr">
        <is>
          <t>10136</t>
        </is>
      </c>
      <c r="D1437" s="9" t="n">
        <v>257</v>
      </c>
      <c r="E1437" s="3" t="n"/>
      <c r="F1437" s="3" t="n"/>
      <c r="G1437" s="9" t="n"/>
      <c r="H1437" s="10" t="n">
        <v>45672.31329861111</v>
      </c>
      <c r="I1437" s="10" t="n">
        <v>45672.31607638889</v>
      </c>
      <c r="J1437" s="10" t="n">
        <v>45672.31800925926</v>
      </c>
      <c r="K1437" s="11" t="n">
        <v>0.00193287037037037</v>
      </c>
      <c r="L1437" s="13" t="n">
        <v>0</v>
      </c>
    </row>
    <row r="1438">
      <c r="A1438" s="3" t="inlineStr">
        <is>
          <t>IncomingTrainPreparation</t>
        </is>
      </c>
      <c r="B1438" s="3" t="inlineStr">
        <is>
          <t>Act_ITP_10137_080631_703</t>
        </is>
      </c>
      <c r="C1438" s="3" t="inlineStr">
        <is>
          <t>10137</t>
        </is>
      </c>
      <c r="D1438" s="9" t="n">
        <v>374.1</v>
      </c>
      <c r="E1438" s="3" t="n"/>
      <c r="F1438" s="3" t="n"/>
      <c r="G1438" s="9" t="n"/>
      <c r="H1438" s="10" t="n">
        <v>45672.33785879629</v>
      </c>
      <c r="I1438" s="10" t="n">
        <v>45672.34063657407</v>
      </c>
      <c r="J1438" s="10" t="n">
        <v>45672.3434375</v>
      </c>
      <c r="K1438" s="11" t="n">
        <v>0.002800925925925926</v>
      </c>
      <c r="L1438" s="13" t="n">
        <v>0</v>
      </c>
    </row>
    <row r="1439">
      <c r="A1439" s="3" t="inlineStr">
        <is>
          <t>IncomingTrainPreparation</t>
        </is>
      </c>
      <c r="B1439" s="3" t="inlineStr">
        <is>
          <t>Act_ITP_10138_085631_703</t>
        </is>
      </c>
      <c r="C1439" s="3" t="inlineStr">
        <is>
          <t>10138</t>
        </is>
      </c>
      <c r="D1439" s="9" t="n">
        <v>285.7</v>
      </c>
      <c r="E1439" s="3" t="n"/>
      <c r="F1439" s="3" t="n"/>
      <c r="G1439" s="9" t="n"/>
      <c r="H1439" s="10" t="n">
        <v>45672.37258101852</v>
      </c>
      <c r="I1439" s="10" t="n">
        <v>45672.37535879629</v>
      </c>
      <c r="J1439" s="10" t="n">
        <v>45672.38489583333</v>
      </c>
      <c r="K1439" s="11" t="n">
        <v>0.009537037037037037</v>
      </c>
      <c r="L1439" s="13" t="n">
        <v>7</v>
      </c>
    </row>
    <row r="1440">
      <c r="A1440" s="3" t="inlineStr">
        <is>
          <t>IncomingTrainPreparation</t>
        </is>
      </c>
      <c r="B1440" s="3" t="inlineStr">
        <is>
          <t>Act_ITP_10139_090814_727</t>
        </is>
      </c>
      <c r="C1440" s="3" t="inlineStr">
        <is>
          <t>10139</t>
        </is>
      </c>
      <c r="D1440" s="9" t="n">
        <v>355.3</v>
      </c>
      <c r="E1440" s="3" t="n"/>
      <c r="F1440" s="3" t="n"/>
      <c r="G1440" s="9" t="n"/>
      <c r="H1440" s="10" t="n">
        <v>45672.38071759259</v>
      </c>
      <c r="I1440" s="10" t="n">
        <v>45672.38349537037</v>
      </c>
      <c r="J1440" s="10" t="n">
        <v>45672.38712962963</v>
      </c>
      <c r="K1440" s="11" t="n">
        <v>0.003634259259259259</v>
      </c>
      <c r="L1440" s="13" t="n">
        <v>1</v>
      </c>
    </row>
    <row r="1441">
      <c r="A1441" s="3" t="inlineStr">
        <is>
          <t>IncomingTrainPreparation</t>
        </is>
      </c>
      <c r="B1441" s="3" t="inlineStr">
        <is>
          <t>Act_ITP_10140_100011_703</t>
        </is>
      </c>
      <c r="C1441" s="3" t="inlineStr">
        <is>
          <t>10140</t>
        </is>
      </c>
      <c r="D1441" s="9" t="n">
        <v>273.6</v>
      </c>
      <c r="E1441" s="3" t="n"/>
      <c r="F1441" s="3" t="n"/>
      <c r="G1441" s="9" t="n"/>
      <c r="H1441" s="10" t="n">
        <v>45672.41679398148</v>
      </c>
      <c r="I1441" s="10" t="n">
        <v>45672.41957175926</v>
      </c>
      <c r="J1441" s="10" t="n">
        <v>45672.42285879629</v>
      </c>
      <c r="K1441" s="11" t="n">
        <v>0.003287037037037037</v>
      </c>
      <c r="L1441" s="13" t="n">
        <v>1</v>
      </c>
    </row>
    <row r="1442">
      <c r="A1442" s="3" t="inlineStr">
        <is>
          <t>IncomingTrainPreparation</t>
        </is>
      </c>
      <c r="B1442" s="3" t="inlineStr">
        <is>
          <t>Act_ITP_10141_130137_703</t>
        </is>
      </c>
      <c r="C1442" s="3" t="inlineStr">
        <is>
          <t>10141</t>
        </is>
      </c>
      <c r="D1442" s="9" t="n">
        <v>120.9</v>
      </c>
      <c r="E1442" s="3" t="n"/>
      <c r="F1442" s="3" t="n"/>
      <c r="G1442" s="9" t="n"/>
      <c r="H1442" s="10" t="n">
        <v>45672.54278935185</v>
      </c>
      <c r="I1442" s="10" t="n">
        <v>45672.54556712963</v>
      </c>
      <c r="J1442" s="10" t="n">
        <v>45672.54650462963</v>
      </c>
      <c r="K1442" s="11" t="n">
        <v>0.0009375</v>
      </c>
      <c r="L1442" s="13" t="n">
        <v>0</v>
      </c>
    </row>
    <row r="1443">
      <c r="A1443" s="3" t="inlineStr">
        <is>
          <t>IncomingTrainPreparation</t>
        </is>
      </c>
      <c r="B1443" s="3" t="inlineStr">
        <is>
          <t>Act_ITP_10142_150730_703</t>
        </is>
      </c>
      <c r="C1443" s="3" t="inlineStr">
        <is>
          <t>10142</t>
        </is>
      </c>
      <c r="D1443" s="9" t="n">
        <v>515.6</v>
      </c>
      <c r="E1443" s="3" t="n"/>
      <c r="F1443" s="3" t="n"/>
      <c r="G1443" s="9" t="n"/>
      <c r="H1443" s="10" t="n">
        <v>45672.63020833334</v>
      </c>
      <c r="I1443" s="10" t="n">
        <v>45672.63298611111</v>
      </c>
      <c r="J1443" s="10" t="n">
        <v>45672.64682870371</v>
      </c>
      <c r="K1443" s="11" t="n">
        <v>0.01384259259259259</v>
      </c>
      <c r="L1443" s="13" t="n">
        <v>9</v>
      </c>
    </row>
    <row r="1444">
      <c r="A1444" s="3" t="inlineStr">
        <is>
          <t>IncomingTrainPreparation</t>
        </is>
      </c>
      <c r="B1444" s="3" t="inlineStr">
        <is>
          <t>Act_ITP_10143_153449_727</t>
        </is>
      </c>
      <c r="C1444" s="3" t="inlineStr">
        <is>
          <t>10143</t>
        </is>
      </c>
      <c r="D1444" s="9" t="n">
        <v>110.2</v>
      </c>
      <c r="E1444" s="3" t="n"/>
      <c r="F1444" s="3" t="n"/>
      <c r="G1444" s="9" t="n"/>
      <c r="H1444" s="10" t="n">
        <v>45672.64917824074</v>
      </c>
      <c r="I1444" s="10" t="n">
        <v>45672.65195601852</v>
      </c>
      <c r="J1444" s="10" t="n">
        <v>45672.65284722222</v>
      </c>
      <c r="K1444" s="11" t="n">
        <v>0.0008912037037037037</v>
      </c>
      <c r="L1444" s="13" t="n">
        <v>0</v>
      </c>
    </row>
    <row r="1445">
      <c r="A1445" s="3" t="inlineStr">
        <is>
          <t>IncomingTrainPreparation</t>
        </is>
      </c>
      <c r="B1445" s="3" t="inlineStr">
        <is>
          <t>Act_ITP_10144_171744_703</t>
        </is>
      </c>
      <c r="C1445" s="3" t="inlineStr">
        <is>
          <t>10144</t>
        </is>
      </c>
      <c r="D1445" s="9" t="n">
        <v>325.4</v>
      </c>
      <c r="E1445" s="3" t="n"/>
      <c r="F1445" s="3" t="n"/>
      <c r="G1445" s="9" t="n"/>
      <c r="H1445" s="10" t="n">
        <v>45672.72064814815</v>
      </c>
      <c r="I1445" s="10" t="n">
        <v>45672.72342592593</v>
      </c>
      <c r="J1445" s="10" t="n">
        <v>45672.72596064815</v>
      </c>
      <c r="K1445" s="11" t="n">
        <v>0.002534722222222222</v>
      </c>
      <c r="L1445" s="13" t="n">
        <v>0</v>
      </c>
    </row>
    <row r="1446">
      <c r="A1446" s="3" t="inlineStr">
        <is>
          <t>IncomingTrainPreparation</t>
        </is>
      </c>
      <c r="B1446" s="3" t="inlineStr">
        <is>
          <t>Act_ITP_10145_174215_703</t>
        </is>
      </c>
      <c r="C1446" s="3" t="inlineStr">
        <is>
          <t>10145</t>
        </is>
      </c>
      <c r="D1446" s="9" t="n">
        <v>296.6</v>
      </c>
      <c r="E1446" s="3" t="n"/>
      <c r="F1446" s="3" t="n"/>
      <c r="G1446" s="9" t="n"/>
      <c r="H1446" s="10" t="n">
        <v>45672.73767361111</v>
      </c>
      <c r="I1446" s="10" t="n">
        <v>45672.74045138889</v>
      </c>
      <c r="J1446" s="10" t="n">
        <v>45672.75361111111</v>
      </c>
      <c r="K1446" s="11" t="n">
        <v>0.01315972222222222</v>
      </c>
      <c r="L1446" s="13" t="n">
        <v>10</v>
      </c>
    </row>
    <row r="1447">
      <c r="A1447" s="3" t="inlineStr">
        <is>
          <t>IncomingTrainPreparation</t>
        </is>
      </c>
      <c r="B1447" s="3" t="inlineStr">
        <is>
          <t>Act_ITP_10146_024205_703</t>
        </is>
      </c>
      <c r="C1447" s="3" t="inlineStr">
        <is>
          <t>10146</t>
        </is>
      </c>
      <c r="D1447" s="9" t="n">
        <v>200.3</v>
      </c>
      <c r="E1447" s="3" t="n"/>
      <c r="F1447" s="3" t="n"/>
      <c r="G1447" s="9" t="n"/>
      <c r="H1447" s="10" t="n">
        <v>45673.11255787037</v>
      </c>
      <c r="I1447" s="10" t="n">
        <v>45673.11533564814</v>
      </c>
      <c r="J1447" s="10" t="n">
        <v>45673.119375</v>
      </c>
      <c r="K1447" s="11" t="n">
        <v>0.004039351851851852</v>
      </c>
      <c r="L1447" s="13" t="n">
        <v>2</v>
      </c>
    </row>
    <row r="1448">
      <c r="A1448" s="3" t="inlineStr">
        <is>
          <t>IncomingTrainPreparation</t>
        </is>
      </c>
      <c r="B1448" s="3" t="inlineStr">
        <is>
          <t>Act_ITP_10147_062428_703</t>
        </is>
      </c>
      <c r="C1448" s="3" t="inlineStr">
        <is>
          <t>10147</t>
        </is>
      </c>
      <c r="D1448" s="9" t="n">
        <v>297</v>
      </c>
      <c r="E1448" s="3" t="n"/>
      <c r="F1448" s="3" t="n"/>
      <c r="G1448" s="9" t="n"/>
      <c r="H1448" s="10" t="n">
        <v>45673.26699074074</v>
      </c>
      <c r="I1448" s="10" t="n">
        <v>45673.26976851852</v>
      </c>
      <c r="J1448" s="10" t="n">
        <v>45673.27193287037</v>
      </c>
      <c r="K1448" s="11" t="n">
        <v>0.002164351851851852</v>
      </c>
      <c r="L1448" s="13" t="n">
        <v>0</v>
      </c>
    </row>
    <row r="1449">
      <c r="A1449" s="3" t="inlineStr">
        <is>
          <t>IncomingTrainPreparation</t>
        </is>
      </c>
      <c r="B1449" s="3" t="inlineStr">
        <is>
          <t>Act_ITP_10149_071559_727</t>
        </is>
      </c>
      <c r="C1449" s="3" t="inlineStr">
        <is>
          <t>10149</t>
        </is>
      </c>
      <c r="D1449" s="9" t="n">
        <v>126</v>
      </c>
      <c r="E1449" s="3" t="n"/>
      <c r="F1449" s="3" t="n"/>
      <c r="G1449" s="9" t="n"/>
      <c r="H1449" s="10" t="n">
        <v>45673.30276620371</v>
      </c>
      <c r="I1449" s="10" t="n">
        <v>45673.30554398148</v>
      </c>
      <c r="J1449" s="10" t="n">
        <v>45673.30663194445</v>
      </c>
      <c r="K1449" s="11" t="n">
        <v>0.001087962962962963</v>
      </c>
      <c r="L1449" s="13" t="n">
        <v>0</v>
      </c>
    </row>
    <row r="1450">
      <c r="A1450" s="3" t="inlineStr">
        <is>
          <t>IncomingTrainPreparation</t>
        </is>
      </c>
      <c r="B1450" s="3" t="inlineStr">
        <is>
          <t>Act_ITP_10148_071707_703</t>
        </is>
      </c>
      <c r="C1450" s="3" t="inlineStr">
        <is>
          <t>10148</t>
        </is>
      </c>
      <c r="D1450" s="9" t="n">
        <v>390.7</v>
      </c>
      <c r="E1450" s="3" t="n"/>
      <c r="F1450" s="3" t="n"/>
      <c r="G1450" s="9" t="n"/>
      <c r="H1450" s="10" t="n">
        <v>45673.30355324074</v>
      </c>
      <c r="I1450" s="10" t="n">
        <v>45673.30633101852</v>
      </c>
      <c r="J1450" s="10" t="n">
        <v>45673.31854166667</v>
      </c>
      <c r="K1450" s="11" t="n">
        <v>0.01221064814814815</v>
      </c>
      <c r="L1450" s="13" t="n">
        <v>10</v>
      </c>
    </row>
    <row r="1451">
      <c r="A1451" s="3" t="inlineStr">
        <is>
          <t>IncomingTrainPreparation</t>
        </is>
      </c>
      <c r="B1451" s="3" t="inlineStr">
        <is>
          <t>Act_ITP_10150_075923_727</t>
        </is>
      </c>
      <c r="C1451" s="3" t="inlineStr">
        <is>
          <t>10150</t>
        </is>
      </c>
      <c r="D1451" s="9" t="n">
        <v>396.6</v>
      </c>
      <c r="E1451" s="3" t="n"/>
      <c r="F1451" s="3" t="n"/>
      <c r="G1451" s="9" t="n"/>
      <c r="H1451" s="10" t="n">
        <v>45673.33290509259</v>
      </c>
      <c r="I1451" s="10" t="n">
        <v>45673.33568287037</v>
      </c>
      <c r="J1451" s="10" t="n">
        <v>45673.33857638889</v>
      </c>
      <c r="K1451" s="11" t="n">
        <v>0.002893518518518518</v>
      </c>
      <c r="L1451" s="13" t="n">
        <v>0</v>
      </c>
    </row>
    <row r="1452">
      <c r="A1452" s="3" t="inlineStr">
        <is>
          <t>IncomingTrainPreparation</t>
        </is>
      </c>
      <c r="B1452" s="3" t="inlineStr">
        <is>
          <t>Act_ITP_10151_090416_703</t>
        </is>
      </c>
      <c r="C1452" s="3" t="inlineStr">
        <is>
          <t>10151</t>
        </is>
      </c>
      <c r="D1452" s="9" t="n">
        <v>417.5</v>
      </c>
      <c r="E1452" s="3" t="n"/>
      <c r="F1452" s="3" t="n"/>
      <c r="G1452" s="9" t="n"/>
      <c r="H1452" s="10" t="n">
        <v>45673.37796296296</v>
      </c>
      <c r="I1452" s="10" t="n">
        <v>45673.38074074074</v>
      </c>
      <c r="J1452" s="10" t="n">
        <v>45673.39422453703</v>
      </c>
      <c r="K1452" s="11" t="n">
        <v>0.0134837962962963</v>
      </c>
      <c r="L1452" s="13" t="n">
        <v>9</v>
      </c>
    </row>
    <row r="1453">
      <c r="A1453" s="3" t="inlineStr">
        <is>
          <t>IncomingTrainPreparation</t>
        </is>
      </c>
      <c r="B1453" s="3" t="inlineStr">
        <is>
          <t>Act_ITP_10152_090438_727</t>
        </is>
      </c>
      <c r="C1453" s="3" t="inlineStr">
        <is>
          <t>10152</t>
        </is>
      </c>
      <c r="D1453" s="9" t="n">
        <v>389.4</v>
      </c>
      <c r="E1453" s="3" t="n"/>
      <c r="F1453" s="3" t="n"/>
      <c r="G1453" s="9" t="n"/>
      <c r="H1453" s="10" t="n">
        <v>45673.3782175926</v>
      </c>
      <c r="I1453" s="10" t="n">
        <v>45673.38099537037</v>
      </c>
      <c r="J1453" s="10" t="n">
        <v>45673.38525462963</v>
      </c>
      <c r="K1453" s="11" t="n">
        <v>0.00425925925925926</v>
      </c>
      <c r="L1453" s="13" t="n">
        <v>1</v>
      </c>
    </row>
    <row r="1454">
      <c r="A1454" s="3" t="inlineStr">
        <is>
          <t>IncomingTrainPreparation</t>
        </is>
      </c>
      <c r="B1454" s="3" t="inlineStr">
        <is>
          <t>Act_ITP_10153_103845_703</t>
        </is>
      </c>
      <c r="C1454" s="3" t="inlineStr">
        <is>
          <t>10153</t>
        </is>
      </c>
      <c r="D1454" s="9" t="n">
        <v>359.3</v>
      </c>
      <c r="E1454" s="3" t="n"/>
      <c r="F1454" s="3" t="n"/>
      <c r="G1454" s="9" t="n"/>
      <c r="H1454" s="10" t="n">
        <v>45673.44357638889</v>
      </c>
      <c r="I1454" s="10" t="n">
        <v>45673.44635416667</v>
      </c>
      <c r="J1454" s="10" t="n">
        <v>45673.45034722222</v>
      </c>
      <c r="K1454" s="11" t="n">
        <v>0.003993055555555555</v>
      </c>
      <c r="L1454" s="13" t="n">
        <v>1</v>
      </c>
    </row>
    <row r="1455">
      <c r="A1455" s="3" t="inlineStr">
        <is>
          <t>IncomingTrainPreparation</t>
        </is>
      </c>
      <c r="B1455" s="3" t="inlineStr">
        <is>
          <t>Act_ITP_10154_124902_703</t>
        </is>
      </c>
      <c r="C1455" s="3" t="inlineStr">
        <is>
          <t>10154</t>
        </is>
      </c>
      <c r="D1455" s="9" t="n">
        <v>173</v>
      </c>
      <c r="E1455" s="3" t="n"/>
      <c r="F1455" s="3" t="n"/>
      <c r="G1455" s="9" t="n"/>
      <c r="H1455" s="10" t="n">
        <v>45673.53405092593</v>
      </c>
      <c r="I1455" s="10" t="n">
        <v>45673.53682870371</v>
      </c>
      <c r="J1455" s="10" t="n">
        <v>45673.538125</v>
      </c>
      <c r="K1455" s="11" t="n">
        <v>0.001296296296296296</v>
      </c>
      <c r="L1455" s="13" t="n">
        <v>0</v>
      </c>
    </row>
    <row r="1456">
      <c r="A1456" s="3" t="inlineStr">
        <is>
          <t>IncomingTrainPreparation</t>
        </is>
      </c>
      <c r="B1456" s="3" t="inlineStr">
        <is>
          <t>Act_ITP_10155_143406_703</t>
        </is>
      </c>
      <c r="C1456" s="3" t="inlineStr">
        <is>
          <t>10155</t>
        </is>
      </c>
      <c r="D1456" s="9" t="n">
        <v>233.9</v>
      </c>
      <c r="E1456" s="3" t="n"/>
      <c r="F1456" s="3" t="n"/>
      <c r="G1456" s="9" t="n"/>
      <c r="H1456" s="10" t="n">
        <v>45673.60701388889</v>
      </c>
      <c r="I1456" s="10" t="n">
        <v>45673.60979166667</v>
      </c>
      <c r="J1456" s="10" t="n">
        <v>45673.61168981482</v>
      </c>
      <c r="K1456" s="11" t="n">
        <v>0.001898148148148148</v>
      </c>
      <c r="L1456" s="13" t="n">
        <v>0</v>
      </c>
    </row>
    <row r="1457">
      <c r="A1457" s="3" t="inlineStr">
        <is>
          <t>IncomingTrainPreparation</t>
        </is>
      </c>
      <c r="B1457" s="3" t="inlineStr">
        <is>
          <t>Act_ITP_10156_144807_703</t>
        </is>
      </c>
      <c r="C1457" s="3" t="inlineStr">
        <is>
          <t>10156</t>
        </is>
      </c>
      <c r="D1457" s="9" t="n">
        <v>338.9</v>
      </c>
      <c r="E1457" s="3" t="n"/>
      <c r="F1457" s="3" t="n"/>
      <c r="G1457" s="9" t="n"/>
      <c r="H1457" s="10" t="n">
        <v>45673.61674768518</v>
      </c>
      <c r="I1457" s="10" t="n">
        <v>45673.61952546296</v>
      </c>
      <c r="J1457" s="10" t="n">
        <v>45673.62789351852</v>
      </c>
      <c r="K1457" s="11" t="n">
        <v>0.008368055555555556</v>
      </c>
      <c r="L1457" s="13" t="n">
        <v>6</v>
      </c>
    </row>
    <row r="1458">
      <c r="A1458" s="3" t="inlineStr">
        <is>
          <t>IncomingTrainPreparation</t>
        </is>
      </c>
      <c r="B1458" s="3" t="inlineStr">
        <is>
          <t>Act_ITP_10157_152843_731</t>
        </is>
      </c>
      <c r="C1458" s="3" t="inlineStr">
        <is>
          <t>10157</t>
        </is>
      </c>
      <c r="D1458" s="9" t="n">
        <v>63</v>
      </c>
      <c r="E1458" s="3" t="n"/>
      <c r="F1458" s="3" t="n"/>
      <c r="G1458" s="9" t="n"/>
      <c r="H1458" s="10" t="n">
        <v>45673.64494212963</v>
      </c>
      <c r="I1458" s="10" t="n">
        <v>45673.64771990741</v>
      </c>
      <c r="J1458" s="10" t="n">
        <v>45673.64822916667</v>
      </c>
      <c r="K1458" s="11" t="n">
        <v>0.0005092592592592592</v>
      </c>
      <c r="L1458" s="13" t="n">
        <v>0</v>
      </c>
    </row>
    <row r="1459">
      <c r="A1459" s="3" t="inlineStr">
        <is>
          <t>IncomingTrainPreparation</t>
        </is>
      </c>
      <c r="B1459" s="3" t="inlineStr">
        <is>
          <t>Act_ITP_10158_160820_703</t>
        </is>
      </c>
      <c r="C1459" s="3" t="inlineStr">
        <is>
          <t>10158</t>
        </is>
      </c>
      <c r="D1459" s="9" t="n">
        <v>119.3</v>
      </c>
      <c r="E1459" s="3" t="n"/>
      <c r="F1459" s="3" t="n"/>
      <c r="G1459" s="9" t="n"/>
      <c r="H1459" s="10" t="n">
        <v>45673.6724537037</v>
      </c>
      <c r="I1459" s="10" t="n">
        <v>45673.67523148148</v>
      </c>
      <c r="J1459" s="10" t="n">
        <v>45673.67709490741</v>
      </c>
      <c r="K1459" s="11" t="n">
        <v>0.001863425925925926</v>
      </c>
      <c r="L1459" s="13" t="n">
        <v>1</v>
      </c>
    </row>
    <row r="1460">
      <c r="A1460" s="3" t="inlineStr">
        <is>
          <t>IncomingTrainPreparation</t>
        </is>
      </c>
      <c r="B1460" s="3" t="inlineStr">
        <is>
          <t>Act_ITP_10159_173028_703</t>
        </is>
      </c>
      <c r="C1460" s="3" t="inlineStr">
        <is>
          <t>10159</t>
        </is>
      </c>
      <c r="D1460" s="9" t="n">
        <v>503.1</v>
      </c>
      <c r="E1460" s="3" t="n"/>
      <c r="F1460" s="3" t="n"/>
      <c r="G1460" s="9" t="n"/>
      <c r="H1460" s="10" t="n">
        <v>45673.72949074074</v>
      </c>
      <c r="I1460" s="10" t="n">
        <v>45673.73226851852</v>
      </c>
      <c r="J1460" s="10" t="n">
        <v>45673.74064814814</v>
      </c>
      <c r="K1460" s="11" t="n">
        <v>0.008379629629629629</v>
      </c>
      <c r="L1460" s="13" t="n">
        <v>4</v>
      </c>
    </row>
    <row r="1461">
      <c r="A1461" s="3" t="inlineStr">
        <is>
          <t>IncomingTrainPreparation</t>
        </is>
      </c>
      <c r="B1461" s="3" t="inlineStr">
        <is>
          <t>Act_ITP_10160_200538_703</t>
        </is>
      </c>
      <c r="C1461" s="3" t="inlineStr">
        <is>
          <t>10160</t>
        </is>
      </c>
      <c r="D1461" s="9" t="n">
        <v>221</v>
      </c>
      <c r="E1461" s="3" t="n"/>
      <c r="F1461" s="3" t="n"/>
      <c r="G1461" s="9" t="n"/>
      <c r="H1461" s="10" t="n">
        <v>45673.83724537037</v>
      </c>
      <c r="I1461" s="10" t="n">
        <v>45673.84002314815</v>
      </c>
      <c r="J1461" s="10" t="n">
        <v>45673.8475</v>
      </c>
      <c r="K1461" s="11" t="n">
        <v>0.007476851851851852</v>
      </c>
      <c r="L1461" s="13" t="n">
        <v>6</v>
      </c>
    </row>
    <row r="1462">
      <c r="A1462" s="3" t="inlineStr">
        <is>
          <t>IncomingTrainPreparation</t>
        </is>
      </c>
      <c r="B1462" s="3" t="inlineStr">
        <is>
          <t>Act_ITP_10161_024705_703</t>
        </is>
      </c>
      <c r="C1462" s="3" t="inlineStr">
        <is>
          <t>10161</t>
        </is>
      </c>
      <c r="D1462" s="9" t="n">
        <v>209.3</v>
      </c>
      <c r="E1462" s="3" t="n"/>
      <c r="F1462" s="3" t="n"/>
      <c r="G1462" s="9" t="n"/>
      <c r="H1462" s="10" t="n">
        <v>45674.11603009259</v>
      </c>
      <c r="I1462" s="10" t="n">
        <v>45674.11880787037</v>
      </c>
      <c r="J1462" s="10" t="n">
        <v>45674.12373842593</v>
      </c>
      <c r="K1462" s="11" t="n">
        <v>0.004930555555555555</v>
      </c>
      <c r="L1462" s="13" t="n">
        <v>3</v>
      </c>
    </row>
    <row r="1463">
      <c r="A1463" s="3" t="inlineStr">
        <is>
          <t>IncomingTrainPreparation</t>
        </is>
      </c>
      <c r="B1463" s="3" t="inlineStr">
        <is>
          <t>Act_ITP_10162_042928_703</t>
        </is>
      </c>
      <c r="C1463" s="3" t="inlineStr">
        <is>
          <t>10162</t>
        </is>
      </c>
      <c r="D1463" s="9" t="n">
        <v>513.3</v>
      </c>
      <c r="E1463" s="3" t="n"/>
      <c r="F1463" s="3" t="n"/>
      <c r="G1463" s="9" t="n"/>
      <c r="H1463" s="10" t="n">
        <v>45674.18712962963</v>
      </c>
      <c r="I1463" s="10" t="n">
        <v>45674.18990740741</v>
      </c>
      <c r="J1463" s="10" t="n">
        <v>45674.19373842593</v>
      </c>
      <c r="K1463" s="11" t="n">
        <v>0.003831018518518518</v>
      </c>
      <c r="L1463" s="13" t="n">
        <v>0</v>
      </c>
    </row>
    <row r="1464">
      <c r="A1464" s="3" t="inlineStr">
        <is>
          <t>IncomingTrainPreparation</t>
        </is>
      </c>
      <c r="B1464" s="3" t="inlineStr">
        <is>
          <t>Act_ITP_10163_063131_703</t>
        </is>
      </c>
      <c r="C1464" s="3" t="inlineStr">
        <is>
          <t>10163</t>
        </is>
      </c>
      <c r="D1464" s="9" t="n">
        <v>297</v>
      </c>
      <c r="E1464" s="3" t="n"/>
      <c r="F1464" s="3" t="n"/>
      <c r="G1464" s="9" t="n"/>
      <c r="H1464" s="10" t="n">
        <v>45674.27188657408</v>
      </c>
      <c r="I1464" s="10" t="n">
        <v>45674.27466435185</v>
      </c>
      <c r="J1464" s="10" t="n">
        <v>45674.27707175926</v>
      </c>
      <c r="K1464" s="11" t="n">
        <v>0.002407407407407408</v>
      </c>
      <c r="L1464" s="13" t="n">
        <v>0</v>
      </c>
    </row>
    <row r="1465">
      <c r="A1465" s="3" t="inlineStr">
        <is>
          <t>IncomingTrainPreparation</t>
        </is>
      </c>
      <c r="B1465" s="3" t="inlineStr">
        <is>
          <t>Act_ITP_10164_070103_703</t>
        </is>
      </c>
      <c r="C1465" s="3" t="inlineStr">
        <is>
          <t>10164</t>
        </is>
      </c>
      <c r="D1465" s="9" t="n">
        <v>492.3</v>
      </c>
      <c r="E1465" s="3" t="n"/>
      <c r="F1465" s="3" t="n"/>
      <c r="G1465" s="9" t="n"/>
      <c r="H1465" s="10" t="n">
        <v>45674.29239583333</v>
      </c>
      <c r="I1465" s="10" t="n">
        <v>45674.29517361111</v>
      </c>
      <c r="J1465" s="10" t="n">
        <v>45674.30662037037</v>
      </c>
      <c r="K1465" s="11" t="n">
        <v>0.01144675925925926</v>
      </c>
      <c r="L1465" s="13" t="n">
        <v>8</v>
      </c>
    </row>
    <row r="1466">
      <c r="A1466" s="3" t="inlineStr">
        <is>
          <t>IncomingTrainPreparation</t>
        </is>
      </c>
      <c r="B1466" s="3" t="inlineStr">
        <is>
          <t>Act_ITP_10165_073118_727</t>
        </is>
      </c>
      <c r="C1466" s="3" t="inlineStr">
        <is>
          <t>10165</t>
        </is>
      </c>
      <c r="D1466" s="9" t="n">
        <v>339.8</v>
      </c>
      <c r="E1466" s="3" t="n"/>
      <c r="F1466" s="3" t="n"/>
      <c r="G1466" s="9" t="n"/>
      <c r="H1466" s="10" t="n">
        <v>45674.31340277778</v>
      </c>
      <c r="I1466" s="10" t="n">
        <v>45674.31618055556</v>
      </c>
      <c r="J1466" s="10" t="n">
        <v>45674.31871527778</v>
      </c>
      <c r="K1466" s="11" t="n">
        <v>0.002534722222222222</v>
      </c>
      <c r="L1466" s="13" t="n">
        <v>0</v>
      </c>
    </row>
    <row r="1467">
      <c r="A1467" s="3" t="inlineStr">
        <is>
          <t>IncomingTrainPreparation</t>
        </is>
      </c>
      <c r="B1467" s="3" t="inlineStr">
        <is>
          <t>Act_ITP_10166_080144_703</t>
        </is>
      </c>
      <c r="C1467" s="3" t="inlineStr">
        <is>
          <t>10166</t>
        </is>
      </c>
      <c r="D1467" s="9" t="n">
        <v>287.9</v>
      </c>
      <c r="E1467" s="3" t="n"/>
      <c r="F1467" s="3" t="n"/>
      <c r="G1467" s="9" t="n"/>
      <c r="H1467" s="10" t="n">
        <v>45674.33453703704</v>
      </c>
      <c r="I1467" s="10" t="n">
        <v>45674.33731481482</v>
      </c>
      <c r="J1467" s="10" t="n">
        <v>45674.33962962963</v>
      </c>
      <c r="K1467" s="11" t="n">
        <v>0.002314814814814815</v>
      </c>
      <c r="L1467" s="13" t="n">
        <v>0</v>
      </c>
    </row>
    <row r="1468">
      <c r="A1468" s="3" t="inlineStr">
        <is>
          <t>IncomingTrainPreparation</t>
        </is>
      </c>
      <c r="B1468" s="3" t="inlineStr">
        <is>
          <t>Act_ITP_10167_084106_727</t>
        </is>
      </c>
      <c r="C1468" s="3" t="inlineStr">
        <is>
          <t>10167</t>
        </is>
      </c>
      <c r="D1468" s="9" t="n">
        <v>560.6</v>
      </c>
      <c r="E1468" s="3" t="n"/>
      <c r="F1468" s="3" t="n"/>
      <c r="G1468" s="9" t="n"/>
      <c r="H1468" s="10" t="n">
        <v>45674.361875</v>
      </c>
      <c r="I1468" s="10" t="n">
        <v>45674.36465277777</v>
      </c>
      <c r="J1468" s="10" t="n">
        <v>45674.37887731481</v>
      </c>
      <c r="K1468" s="11" t="n">
        <v>0.01422453703703704</v>
      </c>
      <c r="L1468" s="13" t="n">
        <v>9</v>
      </c>
    </row>
    <row r="1469">
      <c r="A1469" s="3" t="inlineStr">
        <is>
          <t>IncomingTrainPreparation</t>
        </is>
      </c>
      <c r="B1469" s="3" t="inlineStr">
        <is>
          <t>Act_ITP_10168_085103_703</t>
        </is>
      </c>
      <c r="C1469" s="3" t="inlineStr">
        <is>
          <t>10168</t>
        </is>
      </c>
      <c r="D1469" s="9" t="n">
        <v>336.5</v>
      </c>
      <c r="E1469" s="3" t="n"/>
      <c r="F1469" s="3" t="n"/>
      <c r="G1469" s="9" t="n"/>
      <c r="H1469" s="10" t="n">
        <v>45674.36878472222</v>
      </c>
      <c r="I1469" s="10" t="n">
        <v>45674.3715625</v>
      </c>
      <c r="J1469" s="10" t="n">
        <v>45674.3750462963</v>
      </c>
      <c r="K1469" s="11" t="n">
        <v>0.003483796296296296</v>
      </c>
      <c r="L1469" s="13" t="n">
        <v>1</v>
      </c>
    </row>
    <row r="1470">
      <c r="A1470" s="3" t="inlineStr">
        <is>
          <t>IncomingTrainPreparation</t>
        </is>
      </c>
      <c r="B1470" s="3" t="inlineStr">
        <is>
          <t>Act_ITP_10169_101256_703</t>
        </is>
      </c>
      <c r="C1470" s="3" t="inlineStr">
        <is>
          <t>10169</t>
        </is>
      </c>
      <c r="D1470" s="9" t="n">
        <v>443.2</v>
      </c>
      <c r="E1470" s="3" t="n"/>
      <c r="F1470" s="3" t="n"/>
      <c r="G1470" s="9" t="n"/>
      <c r="H1470" s="10" t="n">
        <v>45674.42564814815</v>
      </c>
      <c r="I1470" s="10" t="n">
        <v>45674.42842592593</v>
      </c>
      <c r="J1470" s="10" t="n">
        <v>45674.4334375</v>
      </c>
      <c r="K1470" s="11" t="n">
        <v>0.005011574074074074</v>
      </c>
      <c r="L1470" s="13" t="n">
        <v>1</v>
      </c>
    </row>
    <row r="1471">
      <c r="A1471" s="3" t="inlineStr">
        <is>
          <t>IncomingTrainPreparation</t>
        </is>
      </c>
      <c r="B1471" s="3" t="inlineStr">
        <is>
          <t>Act_ITP_10170_125232_703</t>
        </is>
      </c>
      <c r="C1471" s="3" t="inlineStr">
        <is>
          <t>10170</t>
        </is>
      </c>
      <c r="D1471" s="9" t="n">
        <v>238.4</v>
      </c>
      <c r="E1471" s="3" t="n"/>
      <c r="F1471" s="3" t="n"/>
      <c r="G1471" s="9" t="n"/>
      <c r="H1471" s="10" t="n">
        <v>45674.53648148148</v>
      </c>
      <c r="I1471" s="10" t="n">
        <v>45674.53925925926</v>
      </c>
      <c r="J1471" s="10" t="n">
        <v>45674.54107638889</v>
      </c>
      <c r="K1471" s="11" t="n">
        <v>0.00181712962962963</v>
      </c>
      <c r="L1471" s="13" t="n">
        <v>0</v>
      </c>
    </row>
    <row r="1472">
      <c r="A1472" s="3" t="inlineStr">
        <is>
          <t>IncomingTrainPreparation</t>
        </is>
      </c>
      <c r="B1472" s="3" t="inlineStr">
        <is>
          <t>Act_ITP_10171_153538_703</t>
        </is>
      </c>
      <c r="C1472" s="3" t="inlineStr">
        <is>
          <t>10171</t>
        </is>
      </c>
      <c r="D1472" s="9" t="n">
        <v>220.4</v>
      </c>
      <c r="E1472" s="3" t="n"/>
      <c r="F1472" s="3" t="n"/>
      <c r="G1472" s="9" t="n"/>
      <c r="H1472" s="10" t="n">
        <v>45674.64974537037</v>
      </c>
      <c r="I1472" s="10" t="n">
        <v>45674.65252314815</v>
      </c>
      <c r="J1472" s="10" t="n">
        <v>45674.65444444444</v>
      </c>
      <c r="K1472" s="11" t="n">
        <v>0.001921296296296296</v>
      </c>
      <c r="L1472" s="13" t="n">
        <v>0</v>
      </c>
    </row>
    <row r="1473">
      <c r="A1473" s="3" t="inlineStr">
        <is>
          <t>IncomingTrainPreparation</t>
        </is>
      </c>
      <c r="B1473" s="3" t="inlineStr">
        <is>
          <t>Act_ITP_10172_173311_703</t>
        </is>
      </c>
      <c r="C1473" s="3" t="inlineStr">
        <is>
          <t>10172</t>
        </is>
      </c>
      <c r="D1473" s="9" t="n">
        <v>302.1</v>
      </c>
      <c r="E1473" s="3" t="n"/>
      <c r="F1473" s="3" t="n"/>
      <c r="G1473" s="9" t="n"/>
      <c r="H1473" s="10" t="n">
        <v>45674.73137731481</v>
      </c>
      <c r="I1473" s="10" t="n">
        <v>45674.73415509259</v>
      </c>
      <c r="J1473" s="10" t="n">
        <v>45674.73645833333</v>
      </c>
      <c r="K1473" s="11" t="n">
        <v>0.002303240740740741</v>
      </c>
      <c r="L1473" s="13" t="n">
        <v>0</v>
      </c>
    </row>
    <row r="1474">
      <c r="A1474" s="3" t="inlineStr">
        <is>
          <t>IncomingTrainPreparation</t>
        </is>
      </c>
      <c r="B1474" s="3" t="inlineStr">
        <is>
          <t>Act_ITP_10173_180218_703</t>
        </is>
      </c>
      <c r="C1474" s="3" t="inlineStr">
        <is>
          <t>10173</t>
        </is>
      </c>
      <c r="D1474" s="9" t="n">
        <v>110.2</v>
      </c>
      <c r="E1474" s="3" t="n"/>
      <c r="F1474" s="3" t="n"/>
      <c r="G1474" s="9" t="n"/>
      <c r="H1474" s="10" t="n">
        <v>45674.75159722222</v>
      </c>
      <c r="I1474" s="10" t="n">
        <v>45674.754375</v>
      </c>
      <c r="J1474" s="10" t="n">
        <v>45674.75533564815</v>
      </c>
      <c r="K1474" s="11" t="n">
        <v>0.0009606481481481482</v>
      </c>
      <c r="L1474" s="13" t="n">
        <v>0</v>
      </c>
    </row>
    <row r="1475">
      <c r="A1475" s="3" t="inlineStr">
        <is>
          <t>IncomingTrainPreparation</t>
        </is>
      </c>
      <c r="B1475" s="3" t="inlineStr">
        <is>
          <t>Act_ITP_10174_200930_703</t>
        </is>
      </c>
      <c r="C1475" s="3" t="inlineStr">
        <is>
          <t>10174</t>
        </is>
      </c>
      <c r="D1475" s="9" t="n">
        <v>345</v>
      </c>
      <c r="E1475" s="3" t="n"/>
      <c r="F1475" s="3" t="n"/>
      <c r="G1475" s="9" t="n"/>
      <c r="H1475" s="10" t="n">
        <v>45674.83993055556</v>
      </c>
      <c r="I1475" s="10" t="n">
        <v>45674.84270833333</v>
      </c>
      <c r="J1475" s="10" t="n">
        <v>45674.85239583333</v>
      </c>
      <c r="K1475" s="11" t="n">
        <v>0.0096875</v>
      </c>
      <c r="L1475" s="13" t="n">
        <v>7</v>
      </c>
    </row>
    <row r="1476">
      <c r="A1476" s="3" t="inlineStr">
        <is>
          <t>IncomingTrainPreparation</t>
        </is>
      </c>
      <c r="B1476" s="3" t="inlineStr">
        <is>
          <t>Act_ITP_10175_002649_703</t>
        </is>
      </c>
      <c r="C1476" s="3" t="inlineStr">
        <is>
          <t>10175</t>
        </is>
      </c>
      <c r="D1476" s="9" t="n">
        <v>371.5</v>
      </c>
      <c r="E1476" s="3" t="n"/>
      <c r="F1476" s="3" t="n"/>
      <c r="G1476" s="9" t="n"/>
      <c r="H1476" s="10" t="n">
        <v>45675.01862268519</v>
      </c>
      <c r="I1476" s="10" t="n">
        <v>45675.02140046296</v>
      </c>
      <c r="J1476" s="10" t="n">
        <v>45675.0280787037</v>
      </c>
      <c r="K1476" s="11" t="n">
        <v>0.006678240740740741</v>
      </c>
      <c r="L1476" s="13" t="n">
        <v>3</v>
      </c>
    </row>
    <row r="1477">
      <c r="A1477" s="3" t="inlineStr">
        <is>
          <t>IncomingTrainPreparation</t>
        </is>
      </c>
      <c r="B1477" s="3" t="inlineStr">
        <is>
          <t>Act_ITP_10176_054614_703</t>
        </is>
      </c>
      <c r="C1477" s="3" t="inlineStr">
        <is>
          <t>10176</t>
        </is>
      </c>
      <c r="D1477" s="9" t="n">
        <v>413.1</v>
      </c>
      <c r="E1477" s="3" t="n"/>
      <c r="F1477" s="3" t="n"/>
      <c r="G1477" s="9" t="n"/>
      <c r="H1477" s="10" t="n">
        <v>45675.24043981481</v>
      </c>
      <c r="I1477" s="10" t="n">
        <v>45675.24321759259</v>
      </c>
      <c r="J1477" s="10" t="n">
        <v>45675.24837962963</v>
      </c>
      <c r="K1477" s="11" t="n">
        <v>0.005162037037037037</v>
      </c>
      <c r="L1477" s="13" t="n">
        <v>2</v>
      </c>
    </row>
    <row r="1478">
      <c r="A1478" s="3" t="inlineStr">
        <is>
          <t>IncomingTrainPreparation</t>
        </is>
      </c>
      <c r="B1478" s="3" t="inlineStr">
        <is>
          <t>Act_ITP_10177_062917_703</t>
        </is>
      </c>
      <c r="C1478" s="3" t="inlineStr">
        <is>
          <t>10177</t>
        </is>
      </c>
      <c r="D1478" s="9" t="n">
        <v>256.8</v>
      </c>
      <c r="E1478" s="3" t="n"/>
      <c r="F1478" s="3" t="n"/>
      <c r="G1478" s="9" t="n"/>
      <c r="H1478" s="10" t="n">
        <v>45675.27033564815</v>
      </c>
      <c r="I1478" s="10" t="n">
        <v>45675.27311342592</v>
      </c>
      <c r="J1478" s="10" t="n">
        <v>45675.28565972222</v>
      </c>
      <c r="K1478" s="11" t="n">
        <v>0.0125462962962963</v>
      </c>
      <c r="L1478" s="13" t="n">
        <v>9</v>
      </c>
    </row>
    <row r="1479">
      <c r="A1479" s="3" t="inlineStr">
        <is>
          <t>IncomingTrainPreparation</t>
        </is>
      </c>
      <c r="B1479" s="3" t="inlineStr">
        <is>
          <t>Act_ITP_10178_173425_727</t>
        </is>
      </c>
      <c r="C1479" s="3" t="inlineStr">
        <is>
          <t>10178</t>
        </is>
      </c>
      <c r="D1479" s="9" t="n">
        <v>592.2</v>
      </c>
      <c r="E1479" s="3" t="n"/>
      <c r="F1479" s="3" t="n"/>
      <c r="G1479" s="9" t="n"/>
      <c r="H1479" s="10" t="n">
        <v>45676.7322337963</v>
      </c>
      <c r="I1479" s="10" t="n">
        <v>45676.73501157408</v>
      </c>
      <c r="J1479" s="10" t="n">
        <v>45676.74054398148</v>
      </c>
      <c r="K1479" s="11" t="n">
        <v>0.005532407407407408</v>
      </c>
      <c r="L1479" s="13" t="n">
        <v>1</v>
      </c>
    </row>
    <row r="1480">
      <c r="A1480" s="3" t="inlineStr">
        <is>
          <t>IncomingTrainPreparation</t>
        </is>
      </c>
      <c r="B1480" s="3" t="inlineStr">
        <is>
          <t>Act_ITP_10179_201505_703</t>
        </is>
      </c>
      <c r="C1480" s="3" t="inlineStr">
        <is>
          <t>10179</t>
        </is>
      </c>
      <c r="D1480" s="9" t="n">
        <v>170.2</v>
      </c>
      <c r="E1480" s="3" t="n"/>
      <c r="F1480" s="3" t="n"/>
      <c r="G1480" s="9" t="n"/>
      <c r="H1480" s="10" t="n">
        <v>45676.84380787037</v>
      </c>
      <c r="I1480" s="10" t="n">
        <v>45676.84658564815</v>
      </c>
      <c r="J1480" s="10" t="n">
        <v>45676.84922453704</v>
      </c>
      <c r="K1480" s="11" t="n">
        <v>0.002638888888888889</v>
      </c>
      <c r="L1480" s="13" t="n">
        <v>1</v>
      </c>
    </row>
    <row r="1481">
      <c r="A1481" s="3" t="inlineStr">
        <is>
          <t>IncomingTrainPreparation</t>
        </is>
      </c>
      <c r="B1481" s="3" t="inlineStr">
        <is>
          <t>Act_ITP_10180_023053_703</t>
        </is>
      </c>
      <c r="C1481" s="3" t="inlineStr">
        <is>
          <t>10180</t>
        </is>
      </c>
      <c r="D1481" s="9" t="n">
        <v>260.7</v>
      </c>
      <c r="E1481" s="3" t="n"/>
      <c r="F1481" s="3" t="n"/>
      <c r="G1481" s="9" t="n"/>
      <c r="H1481" s="10" t="n">
        <v>45677.1047800926</v>
      </c>
      <c r="I1481" s="10" t="n">
        <v>45677.10755787037</v>
      </c>
      <c r="J1481" s="10" t="n">
        <v>45677.11255787037</v>
      </c>
      <c r="K1481" s="11" t="n">
        <v>0.005</v>
      </c>
      <c r="L1481" s="13" t="n">
        <v>3</v>
      </c>
    </row>
    <row r="1482">
      <c r="A1482" s="3" t="inlineStr">
        <is>
          <t>IncomingTrainPreparation</t>
        </is>
      </c>
      <c r="B1482" s="3" t="inlineStr">
        <is>
          <t>Act_ITP_10181_043410_703</t>
        </is>
      </c>
      <c r="C1482" s="3" t="inlineStr">
        <is>
          <t>10181</t>
        </is>
      </c>
      <c r="D1482" s="9" t="n">
        <v>329.7</v>
      </c>
      <c r="E1482" s="3" t="n"/>
      <c r="F1482" s="3" t="n"/>
      <c r="G1482" s="9" t="n"/>
      <c r="H1482" s="10" t="n">
        <v>45677.19039351852</v>
      </c>
      <c r="I1482" s="10" t="n">
        <v>45677.1931712963</v>
      </c>
      <c r="J1482" s="10" t="n">
        <v>45677.19605324074</v>
      </c>
      <c r="K1482" s="11" t="n">
        <v>0.002881944444444444</v>
      </c>
      <c r="L1482" s="13" t="n">
        <v>0</v>
      </c>
    </row>
    <row r="1483">
      <c r="A1483" s="3" t="inlineStr">
        <is>
          <t>IncomingTrainPreparation</t>
        </is>
      </c>
      <c r="B1483" s="3" t="inlineStr">
        <is>
          <t>Act_ITP_10182_055911_703</t>
        </is>
      </c>
      <c r="C1483" s="3" t="inlineStr">
        <is>
          <t>10182</t>
        </is>
      </c>
      <c r="D1483" s="9" t="n">
        <v>293.4</v>
      </c>
      <c r="E1483" s="3" t="n"/>
      <c r="F1483" s="3" t="n"/>
      <c r="G1483" s="9" t="n"/>
      <c r="H1483" s="10" t="n">
        <v>45677.24943287037</v>
      </c>
      <c r="I1483" s="10" t="n">
        <v>45677.25221064815</v>
      </c>
      <c r="J1483" s="10" t="n">
        <v>45677.25445601852</v>
      </c>
      <c r="K1483" s="11" t="n">
        <v>0.00224537037037037</v>
      </c>
      <c r="L1483" s="13" t="n">
        <v>0</v>
      </c>
    </row>
    <row r="1484">
      <c r="A1484" s="3" t="inlineStr">
        <is>
          <t>IncomingTrainPreparation</t>
        </is>
      </c>
      <c r="B1484" s="3" t="inlineStr">
        <is>
          <t>Act_ITP_10183_071834_725</t>
        </is>
      </c>
      <c r="C1484" s="3" t="inlineStr">
        <is>
          <t>10183</t>
        </is>
      </c>
      <c r="D1484" s="9" t="n">
        <v>594.3</v>
      </c>
      <c r="E1484" s="3" t="n"/>
      <c r="F1484" s="3" t="n"/>
      <c r="G1484" s="9" t="n"/>
      <c r="H1484" s="10" t="n">
        <v>45677.30456018518</v>
      </c>
      <c r="I1484" s="10" t="n">
        <v>45677.30733796296</v>
      </c>
      <c r="J1484" s="10" t="n">
        <v>45677.32971064815</v>
      </c>
      <c r="K1484" s="11" t="n">
        <v>0.02237268518518519</v>
      </c>
      <c r="L1484" s="13" t="n">
        <v>15</v>
      </c>
    </row>
    <row r="1485">
      <c r="A1485" s="3" t="inlineStr">
        <is>
          <t>IncomingTrainPreparation</t>
        </is>
      </c>
      <c r="B1485" s="3" t="inlineStr">
        <is>
          <t>Act_ITP_10184_072937_703</t>
        </is>
      </c>
      <c r="C1485" s="3" t="inlineStr">
        <is>
          <t>10184</t>
        </is>
      </c>
      <c r="D1485" s="9" t="n">
        <v>380.8</v>
      </c>
      <c r="E1485" s="3" t="n"/>
      <c r="F1485" s="3" t="n"/>
      <c r="G1485" s="9" t="n"/>
      <c r="H1485" s="10" t="n">
        <v>45677.3122337963</v>
      </c>
      <c r="I1485" s="10" t="n">
        <v>45677.31501157407</v>
      </c>
      <c r="J1485" s="10" t="n">
        <v>45677.31791666667</v>
      </c>
      <c r="K1485" s="11" t="n">
        <v>0.002905092592592593</v>
      </c>
      <c r="L1485" s="13" t="n">
        <v>0</v>
      </c>
    </row>
    <row r="1486">
      <c r="A1486" s="3" t="inlineStr">
        <is>
          <t>IncomingTrainPreparation</t>
        </is>
      </c>
      <c r="B1486" s="3" t="inlineStr">
        <is>
          <t>Act_ITP_10185_073256_727</t>
        </is>
      </c>
      <c r="C1486" s="3" t="inlineStr">
        <is>
          <t>10185</t>
        </is>
      </c>
      <c r="D1486" s="9" t="n">
        <v>330.8</v>
      </c>
      <c r="E1486" s="3" t="n"/>
      <c r="F1486" s="3" t="n"/>
      <c r="G1486" s="9" t="n"/>
      <c r="H1486" s="10" t="n">
        <v>45677.31453703704</v>
      </c>
      <c r="I1486" s="10" t="n">
        <v>45677.31731481481</v>
      </c>
      <c r="J1486" s="10" t="n">
        <v>45677.31978009259</v>
      </c>
      <c r="K1486" s="11" t="n">
        <v>0.002465277777777778</v>
      </c>
      <c r="L1486" s="13" t="n">
        <v>0</v>
      </c>
    </row>
    <row r="1487">
      <c r="A1487" s="3" t="inlineStr">
        <is>
          <t>IncomingTrainPreparation</t>
        </is>
      </c>
      <c r="B1487" s="3" t="inlineStr">
        <is>
          <t>Act_ITP_10186_084802_703</t>
        </is>
      </c>
      <c r="C1487" s="3" t="inlineStr">
        <is>
          <t>10186</t>
        </is>
      </c>
      <c r="D1487" s="9" t="n">
        <v>520.8</v>
      </c>
      <c r="E1487" s="3" t="n"/>
      <c r="F1487" s="3" t="n"/>
      <c r="G1487" s="9" t="n"/>
      <c r="H1487" s="10" t="n">
        <v>45677.36668981481</v>
      </c>
      <c r="I1487" s="10" t="n">
        <v>45677.36946759259</v>
      </c>
      <c r="J1487" s="10" t="n">
        <v>45677.38775462963</v>
      </c>
      <c r="K1487" s="11" t="n">
        <v>0.01828703703703704</v>
      </c>
      <c r="L1487" s="13" t="n">
        <v>12</v>
      </c>
    </row>
    <row r="1488">
      <c r="A1488" s="3" t="inlineStr">
        <is>
          <t>IncomingTrainPreparation</t>
        </is>
      </c>
      <c r="B1488" s="3" t="inlineStr">
        <is>
          <t>Act_ITP_10187_090203_727</t>
        </is>
      </c>
      <c r="C1488" s="3" t="inlineStr">
        <is>
          <t>10187</t>
        </is>
      </c>
      <c r="D1488" s="9" t="n">
        <v>386.4</v>
      </c>
      <c r="E1488" s="3" t="n"/>
      <c r="F1488" s="3" t="n"/>
      <c r="G1488" s="9" t="n"/>
      <c r="H1488" s="10" t="n">
        <v>45677.37642361111</v>
      </c>
      <c r="I1488" s="10" t="n">
        <v>45677.37920138889</v>
      </c>
      <c r="J1488" s="10" t="n">
        <v>45677.38333333333</v>
      </c>
      <c r="K1488" s="11" t="n">
        <v>0.004131944444444444</v>
      </c>
      <c r="L1488" s="13" t="n">
        <v>1</v>
      </c>
    </row>
    <row r="1489">
      <c r="A1489" s="3" t="inlineStr">
        <is>
          <t>IncomingTrainPreparation</t>
        </is>
      </c>
      <c r="B1489" s="3" t="inlineStr">
        <is>
          <t>Act_ITP_10188_103643_703</t>
        </is>
      </c>
      <c r="C1489" s="3" t="inlineStr">
        <is>
          <t>10188</t>
        </is>
      </c>
      <c r="D1489" s="9" t="n">
        <v>319.7</v>
      </c>
      <c r="E1489" s="3" t="n"/>
      <c r="F1489" s="3" t="n"/>
      <c r="G1489" s="9" t="n"/>
      <c r="H1489" s="10" t="n">
        <v>45677.44216435185</v>
      </c>
      <c r="I1489" s="10" t="n">
        <v>45677.44494212963</v>
      </c>
      <c r="J1489" s="10" t="n">
        <v>45677.44957175926</v>
      </c>
      <c r="K1489" s="11" t="n">
        <v>0.004629629629629629</v>
      </c>
      <c r="L1489" s="13" t="n">
        <v>2</v>
      </c>
    </row>
    <row r="1490">
      <c r="A1490" s="3" t="inlineStr">
        <is>
          <t>IncomingTrainPreparation</t>
        </is>
      </c>
      <c r="B1490" s="3" t="inlineStr">
        <is>
          <t>Act_ITP_10189_124652_703</t>
        </is>
      </c>
      <c r="C1490" s="3" t="inlineStr">
        <is>
          <t>10189</t>
        </is>
      </c>
      <c r="D1490" s="9" t="n">
        <v>105</v>
      </c>
      <c r="E1490" s="3" t="n"/>
      <c r="F1490" s="3" t="n"/>
      <c r="G1490" s="9" t="n"/>
      <c r="H1490" s="10" t="n">
        <v>45677.53254629629</v>
      </c>
      <c r="I1490" s="10" t="n">
        <v>45677.53532407407</v>
      </c>
      <c r="J1490" s="10" t="n">
        <v>45677.53621527777</v>
      </c>
      <c r="K1490" s="11" t="n">
        <v>0.0008912037037037037</v>
      </c>
      <c r="L1490" s="13" t="n">
        <v>0</v>
      </c>
    </row>
    <row r="1491">
      <c r="A1491" s="3" t="inlineStr">
        <is>
          <t>IncomingTrainPreparation</t>
        </is>
      </c>
      <c r="B1491" s="3" t="inlineStr">
        <is>
          <t>Act_ITP_10190_142639_703</t>
        </is>
      </c>
      <c r="C1491" s="3" t="inlineStr">
        <is>
          <t>10190</t>
        </is>
      </c>
      <c r="D1491" s="9" t="n">
        <v>389.1</v>
      </c>
      <c r="E1491" s="3" t="n"/>
      <c r="F1491" s="3" t="n"/>
      <c r="G1491" s="9" t="n"/>
      <c r="H1491" s="10" t="n">
        <v>45677.60184027778</v>
      </c>
      <c r="I1491" s="10" t="n">
        <v>45677.60461805556</v>
      </c>
      <c r="J1491" s="10" t="n">
        <v>45677.60759259259</v>
      </c>
      <c r="K1491" s="11" t="n">
        <v>0.002974537037037037</v>
      </c>
      <c r="L1491" s="13" t="n">
        <v>0</v>
      </c>
    </row>
    <row r="1492">
      <c r="A1492" s="3" t="inlineStr">
        <is>
          <t>IncomingTrainPreparation</t>
        </is>
      </c>
      <c r="B1492" s="3" t="inlineStr">
        <is>
          <t>Act_ITP_10191_151015_703</t>
        </is>
      </c>
      <c r="C1492" s="3" t="inlineStr">
        <is>
          <t>10191</t>
        </is>
      </c>
      <c r="D1492" s="9" t="n">
        <v>301.5</v>
      </c>
      <c r="E1492" s="3" t="n"/>
      <c r="F1492" s="3" t="n"/>
      <c r="G1492" s="9" t="n"/>
      <c r="H1492" s="10" t="n">
        <v>45677.63211805555</v>
      </c>
      <c r="I1492" s="10" t="n">
        <v>45677.63489583333</v>
      </c>
      <c r="J1492" s="10" t="n">
        <v>45677.64743055555</v>
      </c>
      <c r="K1492" s="11" t="n">
        <v>0.01253472222222222</v>
      </c>
      <c r="L1492" s="13" t="n">
        <v>9</v>
      </c>
    </row>
    <row r="1493">
      <c r="A1493" s="3" t="inlineStr">
        <is>
          <t>IncomingTrainPreparation</t>
        </is>
      </c>
      <c r="B1493" s="3" t="inlineStr">
        <is>
          <t>Act_ITP_10192_154909_727</t>
        </is>
      </c>
      <c r="C1493" s="3" t="inlineStr">
        <is>
          <t>10192</t>
        </is>
      </c>
      <c r="D1493" s="9" t="n">
        <v>229.6</v>
      </c>
      <c r="E1493" s="3" t="n"/>
      <c r="F1493" s="3" t="n"/>
      <c r="G1493" s="9" t="n"/>
      <c r="H1493" s="10" t="n">
        <v>45677.65913194444</v>
      </c>
      <c r="I1493" s="10" t="n">
        <v>45677.66190972222</v>
      </c>
      <c r="J1493" s="10" t="n">
        <v>45677.6649537037</v>
      </c>
      <c r="K1493" s="11" t="n">
        <v>0.003043981481481481</v>
      </c>
      <c r="L1493" s="13" t="n">
        <v>1</v>
      </c>
    </row>
    <row r="1494">
      <c r="A1494" s="3" t="inlineStr">
        <is>
          <t>IncomingTrainPreparation</t>
        </is>
      </c>
      <c r="B1494" s="3" t="inlineStr">
        <is>
          <t>Act_ITP_10193_155101_725</t>
        </is>
      </c>
      <c r="C1494" s="3" t="inlineStr">
        <is>
          <t>10193</t>
        </is>
      </c>
      <c r="D1494" s="9" t="n">
        <v>110.2</v>
      </c>
      <c r="E1494" s="3" t="n"/>
      <c r="F1494" s="3" t="n"/>
      <c r="G1494" s="9" t="n"/>
      <c r="H1494" s="10" t="n">
        <v>45677.66042824074</v>
      </c>
      <c r="I1494" s="10" t="n">
        <v>45677.66320601852</v>
      </c>
      <c r="J1494" s="10" t="n">
        <v>45677.66409722222</v>
      </c>
      <c r="K1494" s="11" t="n">
        <v>0.0008912037037037037</v>
      </c>
      <c r="L1494" s="13" t="n">
        <v>0</v>
      </c>
    </row>
    <row r="1495">
      <c r="A1495" s="3" t="inlineStr">
        <is>
          <t>IncomingTrainPreparation</t>
        </is>
      </c>
      <c r="B1495" s="3" t="inlineStr">
        <is>
          <t>Act_ITP_10194_170239_703</t>
        </is>
      </c>
      <c r="C1495" s="3" t="inlineStr">
        <is>
          <t>10194</t>
        </is>
      </c>
      <c r="D1495" s="9" t="n">
        <v>325.4</v>
      </c>
      <c r="E1495" s="3" t="n"/>
      <c r="F1495" s="3" t="n"/>
      <c r="G1495" s="9" t="n"/>
      <c r="H1495" s="10" t="n">
        <v>45677.71017361111</v>
      </c>
      <c r="I1495" s="10" t="n">
        <v>45677.71295138889</v>
      </c>
      <c r="J1495" s="10" t="n">
        <v>45677.71546296297</v>
      </c>
      <c r="K1495" s="11" t="n">
        <v>0.002511574074074074</v>
      </c>
      <c r="L1495" s="13" t="n">
        <v>0</v>
      </c>
    </row>
    <row r="1496">
      <c r="A1496" s="3" t="inlineStr">
        <is>
          <t>IncomingTrainPreparation</t>
        </is>
      </c>
      <c r="B1496" s="3" t="inlineStr">
        <is>
          <t>Act_ITP_10195_210410_703</t>
        </is>
      </c>
      <c r="C1496" s="3" t="inlineStr">
        <is>
          <t>10195</t>
        </is>
      </c>
      <c r="D1496" s="9" t="n">
        <v>398</v>
      </c>
      <c r="E1496" s="3" t="n"/>
      <c r="F1496" s="3" t="n"/>
      <c r="G1496" s="9" t="n"/>
      <c r="H1496" s="10" t="n">
        <v>45677.87789351852</v>
      </c>
      <c r="I1496" s="10" t="n">
        <v>45677.8806712963</v>
      </c>
      <c r="J1496" s="10" t="n">
        <v>45677.88381944445</v>
      </c>
      <c r="K1496" s="11" t="n">
        <v>0.003148148148148148</v>
      </c>
      <c r="L1496" s="13" t="n">
        <v>0</v>
      </c>
    </row>
    <row r="1497">
      <c r="A1497" s="3" t="inlineStr">
        <is>
          <t>IncomingTrainPreparation</t>
        </is>
      </c>
      <c r="B1497" s="3" t="inlineStr">
        <is>
          <t>Act_ITP_10196_025201_703</t>
        </is>
      </c>
      <c r="C1497" s="3" t="inlineStr">
        <is>
          <t>10196</t>
        </is>
      </c>
      <c r="D1497" s="9" t="n">
        <v>315.6</v>
      </c>
      <c r="E1497" s="3" t="n"/>
      <c r="F1497" s="3" t="n"/>
      <c r="G1497" s="9" t="n"/>
      <c r="H1497" s="10" t="n">
        <v>45678.11945601852</v>
      </c>
      <c r="I1497" s="10" t="n">
        <v>45678.1222337963</v>
      </c>
      <c r="J1497" s="10" t="n">
        <v>45678.12869212963</v>
      </c>
      <c r="K1497" s="11" t="n">
        <v>0.006458333333333333</v>
      </c>
      <c r="L1497" s="13" t="n">
        <v>4</v>
      </c>
    </row>
    <row r="1498">
      <c r="A1498" s="3" t="inlineStr">
        <is>
          <t>IncomingTrainPreparation</t>
        </is>
      </c>
      <c r="B1498" s="3" t="inlineStr">
        <is>
          <t>Act_ITP_10197_063848_703</t>
        </is>
      </c>
      <c r="C1498" s="3" t="inlineStr">
        <is>
          <t>10197</t>
        </is>
      </c>
      <c r="D1498" s="9" t="n">
        <v>233.1</v>
      </c>
      <c r="E1498" s="3" t="n"/>
      <c r="F1498" s="3" t="n"/>
      <c r="G1498" s="9" t="n"/>
      <c r="H1498" s="10" t="n">
        <v>45678.27694444444</v>
      </c>
      <c r="I1498" s="10" t="n">
        <v>45678.27972222222</v>
      </c>
      <c r="J1498" s="10" t="n">
        <v>45678.28157407408</v>
      </c>
      <c r="K1498" s="11" t="n">
        <v>0.001851851851851852</v>
      </c>
      <c r="L1498" s="13" t="n">
        <v>0</v>
      </c>
    </row>
    <row r="1499">
      <c r="A1499" s="3" t="inlineStr">
        <is>
          <t>IncomingTrainPreparation</t>
        </is>
      </c>
      <c r="B1499" s="3" t="inlineStr">
        <is>
          <t>Act_ITP_10198_071607_703</t>
        </is>
      </c>
      <c r="C1499" s="3" t="inlineStr">
        <is>
          <t>10198</t>
        </is>
      </c>
      <c r="D1499" s="9" t="n">
        <v>395</v>
      </c>
      <c r="E1499" s="3" t="n"/>
      <c r="F1499" s="3" t="n"/>
      <c r="G1499" s="9" t="n"/>
      <c r="H1499" s="10" t="n">
        <v>45678.3028587963</v>
      </c>
      <c r="I1499" s="10" t="n">
        <v>45678.30563657408</v>
      </c>
      <c r="J1499" s="10" t="n">
        <v>45678.31775462963</v>
      </c>
      <c r="K1499" s="11" t="n">
        <v>0.01211805555555556</v>
      </c>
      <c r="L1499" s="13" t="n">
        <v>9</v>
      </c>
    </row>
    <row r="1500">
      <c r="A1500" s="3" t="inlineStr">
        <is>
          <t>IncomingTrainPreparation</t>
        </is>
      </c>
      <c r="B1500" s="3" t="inlineStr">
        <is>
          <t>Act_ITP_10199_072331_727</t>
        </is>
      </c>
      <c r="C1500" s="3" t="inlineStr">
        <is>
          <t>10199</t>
        </is>
      </c>
      <c r="D1500" s="9" t="n">
        <v>381.6</v>
      </c>
      <c r="E1500" s="3" t="n"/>
      <c r="F1500" s="3" t="n"/>
      <c r="G1500" s="9" t="n"/>
      <c r="H1500" s="10" t="n">
        <v>45678.30799768519</v>
      </c>
      <c r="I1500" s="10" t="n">
        <v>45678.31077546296</v>
      </c>
      <c r="J1500" s="10" t="n">
        <v>45678.31379629629</v>
      </c>
      <c r="K1500" s="11" t="n">
        <v>0.003020833333333333</v>
      </c>
      <c r="L1500" s="13" t="n">
        <v>0</v>
      </c>
    </row>
    <row r="1501">
      <c r="A1501" s="3" t="inlineStr">
        <is>
          <t>IncomingTrainPreparation</t>
        </is>
      </c>
      <c r="B1501" s="3" t="inlineStr">
        <is>
          <t>Act_ITP_10200_073450_725</t>
        </is>
      </c>
      <c r="C1501" s="3" t="inlineStr">
        <is>
          <t>10200</t>
        </is>
      </c>
      <c r="D1501" s="9" t="n">
        <v>339.1</v>
      </c>
      <c r="E1501" s="3" t="n"/>
      <c r="F1501" s="3" t="n"/>
      <c r="G1501" s="9" t="n"/>
      <c r="H1501" s="10" t="n">
        <v>45678.31585648148</v>
      </c>
      <c r="I1501" s="10" t="n">
        <v>45678.31863425926</v>
      </c>
      <c r="J1501" s="10" t="n">
        <v>45678.32137731482</v>
      </c>
      <c r="K1501" s="11" t="n">
        <v>0.002743055555555555</v>
      </c>
      <c r="L1501" s="13" t="n">
        <v>0</v>
      </c>
    </row>
    <row r="1502">
      <c r="A1502" s="3" t="inlineStr">
        <is>
          <t>IncomingTrainPreparation</t>
        </is>
      </c>
      <c r="B1502" s="3" t="inlineStr">
        <is>
          <t>Act_ITP_10201_085021_703</t>
        </is>
      </c>
      <c r="C1502" s="3" t="inlineStr">
        <is>
          <t>10201</t>
        </is>
      </c>
      <c r="D1502" s="9" t="n">
        <v>469.5</v>
      </c>
      <c r="E1502" s="3" t="n"/>
      <c r="F1502" s="3" t="n"/>
      <c r="G1502" s="9" t="n"/>
      <c r="H1502" s="10" t="n">
        <v>45678.36829861111</v>
      </c>
      <c r="I1502" s="10" t="n">
        <v>45678.37107638889</v>
      </c>
      <c r="J1502" s="10" t="n">
        <v>45678.38348379629</v>
      </c>
      <c r="K1502" s="11" t="n">
        <v>0.01240740740740741</v>
      </c>
      <c r="L1502" s="13" t="n">
        <v>8</v>
      </c>
    </row>
    <row r="1503">
      <c r="A1503" s="3" t="inlineStr">
        <is>
          <t>IncomingTrainPreparation</t>
        </is>
      </c>
      <c r="B1503" s="3" t="inlineStr">
        <is>
          <t>Act_ITP_10202_090330_727</t>
        </is>
      </c>
      <c r="C1503" s="3" t="inlineStr">
        <is>
          <t>10202</t>
        </is>
      </c>
      <c r="D1503" s="9" t="n">
        <v>114.8</v>
      </c>
      <c r="E1503" s="3" t="n"/>
      <c r="F1503" s="3" t="n"/>
      <c r="G1503" s="9" t="n"/>
      <c r="H1503" s="10" t="n">
        <v>45678.37743055556</v>
      </c>
      <c r="I1503" s="10" t="n">
        <v>45678.38020833334</v>
      </c>
      <c r="J1503" s="10" t="n">
        <v>45678.38215277778</v>
      </c>
      <c r="K1503" s="11" t="n">
        <v>0.001944444444444444</v>
      </c>
      <c r="L1503" s="13" t="n">
        <v>1</v>
      </c>
    </row>
    <row r="1504">
      <c r="A1504" s="3" t="inlineStr">
        <is>
          <t>IncomingTrainPreparation</t>
        </is>
      </c>
      <c r="B1504" s="3" t="inlineStr">
        <is>
          <t>Act_ITP_10203_100639_703</t>
        </is>
      </c>
      <c r="C1504" s="3" t="inlineStr">
        <is>
          <t>10203</t>
        </is>
      </c>
      <c r="D1504" s="9" t="n">
        <v>418.4</v>
      </c>
      <c r="E1504" s="3" t="n"/>
      <c r="F1504" s="3" t="n"/>
      <c r="G1504" s="9" t="n"/>
      <c r="H1504" s="10" t="n">
        <v>45678.42128472222</v>
      </c>
      <c r="I1504" s="10" t="n">
        <v>45678.4240625</v>
      </c>
      <c r="J1504" s="10" t="n">
        <v>45678.42960648148</v>
      </c>
      <c r="K1504" s="11" t="n">
        <v>0.005543981481481481</v>
      </c>
      <c r="L1504" s="13" t="n">
        <v>2</v>
      </c>
    </row>
    <row r="1505">
      <c r="A1505" s="3" t="inlineStr">
        <is>
          <t>IncomingTrainPreparation</t>
        </is>
      </c>
      <c r="B1505" s="3" t="inlineStr">
        <is>
          <t>Act_ITP_10204_143041_703</t>
        </is>
      </c>
      <c r="C1505" s="3" t="inlineStr">
        <is>
          <t>10204</t>
        </is>
      </c>
      <c r="D1505" s="9" t="n">
        <v>398</v>
      </c>
      <c r="E1505" s="3" t="n"/>
      <c r="F1505" s="3" t="n"/>
      <c r="G1505" s="9" t="n"/>
      <c r="H1505" s="10" t="n">
        <v>45678.6046412037</v>
      </c>
      <c r="I1505" s="10" t="n">
        <v>45678.60741898148</v>
      </c>
      <c r="J1505" s="10" t="n">
        <v>45678.61047453704</v>
      </c>
      <c r="K1505" s="11" t="n">
        <v>0.003055555555555556</v>
      </c>
      <c r="L1505" s="13" t="n">
        <v>0</v>
      </c>
    </row>
    <row r="1506">
      <c r="A1506" s="3" t="inlineStr">
        <is>
          <t>IncomingTrainPreparation</t>
        </is>
      </c>
      <c r="B1506" s="3" t="inlineStr">
        <is>
          <t>Act_ITP_10205_144002_727</t>
        </is>
      </c>
      <c r="C1506" s="3" t="inlineStr">
        <is>
          <t>10205</t>
        </is>
      </c>
      <c r="D1506" s="9" t="n">
        <v>582.4</v>
      </c>
      <c r="E1506" s="3" t="n"/>
      <c r="F1506" s="3" t="n"/>
      <c r="G1506" s="9" t="n"/>
      <c r="H1506" s="10" t="n">
        <v>45678.61113425926</v>
      </c>
      <c r="I1506" s="10" t="n">
        <v>45678.61391203704</v>
      </c>
      <c r="J1506" s="10" t="n">
        <v>45678.62582175926</v>
      </c>
      <c r="K1506" s="11" t="n">
        <v>0.01190972222222222</v>
      </c>
      <c r="L1506" s="13" t="n">
        <v>7</v>
      </c>
    </row>
    <row r="1507">
      <c r="A1507" s="3" t="inlineStr">
        <is>
          <t>IncomingTrainPreparation</t>
        </is>
      </c>
      <c r="B1507" s="3" t="inlineStr">
        <is>
          <t>Act_ITP_10206_150320_703</t>
        </is>
      </c>
      <c r="C1507" s="3" t="inlineStr">
        <is>
          <t>10206</t>
        </is>
      </c>
      <c r="D1507" s="9" t="n">
        <v>125.9</v>
      </c>
      <c r="E1507" s="3" t="n"/>
      <c r="F1507" s="3" t="n"/>
      <c r="G1507" s="9" t="n"/>
      <c r="H1507" s="10" t="n">
        <v>45678.62731481482</v>
      </c>
      <c r="I1507" s="10" t="n">
        <v>45678.63009259259</v>
      </c>
      <c r="J1507" s="10" t="n">
        <v>45678.63108796296</v>
      </c>
      <c r="K1507" s="11" t="n">
        <v>0.0009953703703703704</v>
      </c>
      <c r="L1507" s="13" t="n">
        <v>0</v>
      </c>
    </row>
    <row r="1508">
      <c r="A1508" s="3" t="inlineStr">
        <is>
          <t>IncomingTrainPreparation</t>
        </is>
      </c>
      <c r="B1508" s="3" t="inlineStr">
        <is>
          <t>Act_ITP_10207_205313_703</t>
        </is>
      </c>
      <c r="C1508" s="3" t="inlineStr">
        <is>
          <t>10207</t>
        </is>
      </c>
      <c r="D1508" s="9" t="n">
        <v>187.4</v>
      </c>
      <c r="E1508" s="3" t="n"/>
      <c r="F1508" s="3" t="n"/>
      <c r="G1508" s="9" t="n"/>
      <c r="H1508" s="10" t="n">
        <v>45678.87028935185</v>
      </c>
      <c r="I1508" s="10" t="n">
        <v>45678.87306712963</v>
      </c>
      <c r="J1508" s="10" t="n">
        <v>45678.87454861111</v>
      </c>
      <c r="K1508" s="11" t="n">
        <v>0.001481481481481481</v>
      </c>
      <c r="L1508" s="13" t="n">
        <v>0</v>
      </c>
    </row>
    <row r="1509">
      <c r="A1509" s="3" t="inlineStr">
        <is>
          <t>IncomingTrainPreparation</t>
        </is>
      </c>
      <c r="B1509" s="3" t="inlineStr">
        <is>
          <t>Act_ITP_10208_023133_703</t>
        </is>
      </c>
      <c r="C1509" s="3" t="inlineStr">
        <is>
          <t>10208</t>
        </is>
      </c>
      <c r="D1509" s="9" t="n">
        <v>298.6</v>
      </c>
      <c r="E1509" s="3" t="n"/>
      <c r="F1509" s="3" t="n"/>
      <c r="G1509" s="9" t="n"/>
      <c r="H1509" s="10" t="n">
        <v>45679.10524305556</v>
      </c>
      <c r="I1509" s="10" t="n">
        <v>45679.10802083334</v>
      </c>
      <c r="J1509" s="10" t="n">
        <v>45679.11366898148</v>
      </c>
      <c r="K1509" s="11" t="n">
        <v>0.005648148148148148</v>
      </c>
      <c r="L1509" s="13" t="n">
        <v>3</v>
      </c>
    </row>
    <row r="1510">
      <c r="A1510" s="3" t="inlineStr">
        <is>
          <t>IncomingTrainPreparation</t>
        </is>
      </c>
      <c r="B1510" s="3" t="inlineStr">
        <is>
          <t>Act_ITP_10209_043658_703</t>
        </is>
      </c>
      <c r="C1510" s="3" t="inlineStr">
        <is>
          <t>10209</t>
        </is>
      </c>
      <c r="D1510" s="9" t="n">
        <v>366.6</v>
      </c>
      <c r="E1510" s="3" t="n"/>
      <c r="F1510" s="3" t="n"/>
      <c r="G1510" s="9" t="n"/>
      <c r="H1510" s="10" t="n">
        <v>45679.19233796297</v>
      </c>
      <c r="I1510" s="10" t="n">
        <v>45679.19511574074</v>
      </c>
      <c r="J1510" s="10" t="n">
        <v>45679.19802083333</v>
      </c>
      <c r="K1510" s="11" t="n">
        <v>0.002905092592592593</v>
      </c>
      <c r="L1510" s="13" t="n">
        <v>0</v>
      </c>
    </row>
    <row r="1511">
      <c r="A1511" s="3" t="inlineStr">
        <is>
          <t>IncomingTrainPreparation</t>
        </is>
      </c>
      <c r="B1511" s="3" t="inlineStr">
        <is>
          <t>Act_ITP_10210_062358_703</t>
        </is>
      </c>
      <c r="C1511" s="3" t="inlineStr">
        <is>
          <t>10210</t>
        </is>
      </c>
      <c r="D1511" s="9" t="n">
        <v>291.7</v>
      </c>
      <c r="E1511" s="3" t="n"/>
      <c r="F1511" s="3" t="n"/>
      <c r="G1511" s="9" t="n"/>
      <c r="H1511" s="10" t="n">
        <v>45679.26664351852</v>
      </c>
      <c r="I1511" s="10" t="n">
        <v>45679.2694212963</v>
      </c>
      <c r="J1511" s="10" t="n">
        <v>45679.27178240741</v>
      </c>
      <c r="K1511" s="11" t="n">
        <v>0.002361111111111111</v>
      </c>
      <c r="L1511" s="13" t="n">
        <v>0</v>
      </c>
    </row>
    <row r="1512">
      <c r="A1512" s="3" t="inlineStr">
        <is>
          <t>IncomingTrainPreparation</t>
        </is>
      </c>
      <c r="B1512" s="3" t="inlineStr">
        <is>
          <t>Act_ITP_10211_064942_703</t>
        </is>
      </c>
      <c r="C1512" s="3" t="inlineStr">
        <is>
          <t>10211</t>
        </is>
      </c>
      <c r="D1512" s="9" t="n">
        <v>467.5</v>
      </c>
      <c r="E1512" s="3" t="n"/>
      <c r="F1512" s="3" t="n"/>
      <c r="G1512" s="9" t="n"/>
      <c r="H1512" s="10" t="n">
        <v>45679.28451388889</v>
      </c>
      <c r="I1512" s="10" t="n">
        <v>45679.28729166667</v>
      </c>
      <c r="J1512" s="10" t="n">
        <v>45679.30141203704</v>
      </c>
      <c r="K1512" s="11" t="n">
        <v>0.01412037037037037</v>
      </c>
      <c r="L1512" s="13" t="n">
        <v>10</v>
      </c>
    </row>
    <row r="1513">
      <c r="A1513" s="3" t="inlineStr">
        <is>
          <t>IncomingTrainPreparation</t>
        </is>
      </c>
      <c r="B1513" s="3" t="inlineStr">
        <is>
          <t>Act_ITP_10212_073123_727</t>
        </is>
      </c>
      <c r="C1513" s="3" t="inlineStr">
        <is>
          <t>10212</t>
        </is>
      </c>
      <c r="D1513" s="9" t="n">
        <v>330.7</v>
      </c>
      <c r="E1513" s="3" t="n"/>
      <c r="F1513" s="3" t="n"/>
      <c r="G1513" s="9" t="n"/>
      <c r="H1513" s="10" t="n">
        <v>45679.31346064815</v>
      </c>
      <c r="I1513" s="10" t="n">
        <v>45679.31623842593</v>
      </c>
      <c r="J1513" s="10" t="n">
        <v>45679.31885416667</v>
      </c>
      <c r="K1513" s="11" t="n">
        <v>0.002615740740740741</v>
      </c>
      <c r="L1513" s="13" t="n">
        <v>0</v>
      </c>
    </row>
    <row r="1514">
      <c r="A1514" s="3" t="inlineStr">
        <is>
          <t>IncomingTrainPreparation</t>
        </is>
      </c>
      <c r="B1514" s="3" t="inlineStr">
        <is>
          <t>Act_ITP_10213_080028_703</t>
        </is>
      </c>
      <c r="C1514" s="3" t="inlineStr">
        <is>
          <t>10213</t>
        </is>
      </c>
      <c r="D1514" s="9" t="n">
        <v>295.4</v>
      </c>
      <c r="E1514" s="3" t="n"/>
      <c r="F1514" s="3" t="n"/>
      <c r="G1514" s="9" t="n"/>
      <c r="H1514" s="10" t="n">
        <v>45679.33365740741</v>
      </c>
      <c r="I1514" s="10" t="n">
        <v>45679.33643518519</v>
      </c>
      <c r="J1514" s="10" t="n">
        <v>45679.3390162037</v>
      </c>
      <c r="K1514" s="11" t="n">
        <v>0.002581018518518519</v>
      </c>
      <c r="L1514" s="13" t="n">
        <v>0</v>
      </c>
    </row>
    <row r="1515">
      <c r="A1515" s="3" t="inlineStr">
        <is>
          <t>IncomingTrainPreparation</t>
        </is>
      </c>
      <c r="B1515" s="3" t="inlineStr">
        <is>
          <t>Act_ITP_10214_082538_703</t>
        </is>
      </c>
      <c r="C1515" s="3" t="inlineStr">
        <is>
          <t>10214</t>
        </is>
      </c>
      <c r="D1515" s="9" t="n">
        <v>331.2</v>
      </c>
      <c r="E1515" s="3" t="n"/>
      <c r="F1515" s="3" t="n"/>
      <c r="G1515" s="9" t="n"/>
      <c r="H1515" s="10" t="n">
        <v>45679.35113425926</v>
      </c>
      <c r="I1515" s="10" t="n">
        <v>45679.35391203704</v>
      </c>
      <c r="J1515" s="10" t="n">
        <v>45679.35733796296</v>
      </c>
      <c r="K1515" s="11" t="n">
        <v>0.003425925925925926</v>
      </c>
      <c r="L1515" s="13" t="n">
        <v>1</v>
      </c>
    </row>
    <row r="1516">
      <c r="A1516" s="3" t="inlineStr">
        <is>
          <t>IncomingTrainPreparation</t>
        </is>
      </c>
      <c r="B1516" s="3" t="inlineStr">
        <is>
          <t>Act_ITP_10215_090954_703</t>
        </is>
      </c>
      <c r="C1516" s="3" t="inlineStr">
        <is>
          <t>10215</t>
        </is>
      </c>
      <c r="D1516" s="9" t="n">
        <v>515.2</v>
      </c>
      <c r="E1516" s="3" t="n"/>
      <c r="F1516" s="3" t="n"/>
      <c r="G1516" s="9" t="n"/>
      <c r="H1516" s="10" t="n">
        <v>45679.381875</v>
      </c>
      <c r="I1516" s="10" t="n">
        <v>45679.38465277778</v>
      </c>
      <c r="J1516" s="10" t="n">
        <v>45679.39945601852</v>
      </c>
      <c r="K1516" s="11" t="n">
        <v>0.01480324074074074</v>
      </c>
      <c r="L1516" s="13" t="n">
        <v>9</v>
      </c>
    </row>
    <row r="1517">
      <c r="A1517" s="3" t="inlineStr">
        <is>
          <t>IncomingTrainPreparation</t>
        </is>
      </c>
      <c r="B1517" s="3" t="inlineStr">
        <is>
          <t>Act_ITP_10216_102625_703</t>
        </is>
      </c>
      <c r="C1517" s="3" t="inlineStr">
        <is>
          <t>10216</t>
        </is>
      </c>
      <c r="D1517" s="9" t="n">
        <v>446.2</v>
      </c>
      <c r="E1517" s="3" t="n"/>
      <c r="F1517" s="3" t="n"/>
      <c r="G1517" s="9" t="n"/>
      <c r="H1517" s="10" t="n">
        <v>45679.43501157407</v>
      </c>
      <c r="I1517" s="10" t="n">
        <v>45679.43778935185</v>
      </c>
      <c r="J1517" s="10" t="n">
        <v>45679.44109953703</v>
      </c>
      <c r="K1517" s="11" t="n">
        <v>0.003310185185185185</v>
      </c>
      <c r="L1517" s="13" t="n">
        <v>0</v>
      </c>
    </row>
    <row r="1518">
      <c r="A1518" s="3" t="inlineStr">
        <is>
          <t>IncomingTrainPreparation</t>
        </is>
      </c>
      <c r="B1518" s="3" t="inlineStr">
        <is>
          <t>Act_ITP_10217_130138_731</t>
        </is>
      </c>
      <c r="C1518" s="3" t="inlineStr">
        <is>
          <t>10217</t>
        </is>
      </c>
      <c r="D1518" s="9" t="n">
        <v>33.9</v>
      </c>
      <c r="E1518" s="3" t="n"/>
      <c r="F1518" s="3" t="n"/>
      <c r="G1518" s="9" t="n"/>
      <c r="H1518" s="10" t="n">
        <v>45679.54280092593</v>
      </c>
      <c r="I1518" s="10" t="n">
        <v>45679.54557870371</v>
      </c>
      <c r="J1518" s="10" t="n">
        <v>45679.54586805555</v>
      </c>
      <c r="K1518" s="11" t="n">
        <v>0.0002893518518518518</v>
      </c>
      <c r="L1518" s="13" t="n">
        <v>0</v>
      </c>
    </row>
    <row r="1519">
      <c r="A1519" s="3" t="inlineStr">
        <is>
          <t>IncomingTrainPreparation</t>
        </is>
      </c>
      <c r="B1519" s="3" t="inlineStr">
        <is>
          <t>Act_ITP_10218_151354_731</t>
        </is>
      </c>
      <c r="C1519" s="3" t="inlineStr">
        <is>
          <t>10218</t>
        </is>
      </c>
      <c r="D1519" s="9" t="n">
        <v>63</v>
      </c>
      <c r="E1519" s="3" t="n"/>
      <c r="F1519" s="3" t="n"/>
      <c r="G1519" s="9" t="n"/>
      <c r="H1519" s="10" t="n">
        <v>45679.63465277778</v>
      </c>
      <c r="I1519" s="10" t="n">
        <v>45679.63743055556</v>
      </c>
      <c r="J1519" s="10" t="n">
        <v>45679.63789351852</v>
      </c>
      <c r="K1519" s="11" t="n">
        <v>0.000462962962962963</v>
      </c>
      <c r="L1519" s="13" t="n">
        <v>0</v>
      </c>
    </row>
    <row r="1520">
      <c r="A1520" s="3" t="inlineStr">
        <is>
          <t>IncomingTrainPreparation</t>
        </is>
      </c>
      <c r="B1520" s="3" t="inlineStr">
        <is>
          <t>Act_ITP_10219_172429_727</t>
        </is>
      </c>
      <c r="C1520" s="3" t="inlineStr">
        <is>
          <t>10219</t>
        </is>
      </c>
      <c r="D1520" s="9" t="n">
        <v>591.5</v>
      </c>
      <c r="E1520" s="3" t="n"/>
      <c r="F1520" s="3" t="n"/>
      <c r="G1520" s="9" t="n"/>
      <c r="H1520" s="10" t="n">
        <v>45679.72533564815</v>
      </c>
      <c r="I1520" s="10" t="n">
        <v>45679.72811342592</v>
      </c>
      <c r="J1520" s="10" t="n">
        <v>45679.74357638889</v>
      </c>
      <c r="K1520" s="11" t="n">
        <v>0.01546296296296296</v>
      </c>
      <c r="L1520" s="13" t="n">
        <v>9</v>
      </c>
    </row>
    <row r="1521">
      <c r="A1521" s="3" t="inlineStr">
        <is>
          <t>IncomingTrainPreparation</t>
        </is>
      </c>
      <c r="B1521" s="3" t="inlineStr">
        <is>
          <t>Act_ITP_10220_173609_703</t>
        </is>
      </c>
      <c r="C1521" s="3" t="inlineStr">
        <is>
          <t>10220</t>
        </is>
      </c>
      <c r="D1521" s="9" t="n">
        <v>325.4</v>
      </c>
      <c r="E1521" s="3" t="n"/>
      <c r="F1521" s="3" t="n"/>
      <c r="G1521" s="9" t="n"/>
      <c r="H1521" s="10" t="n">
        <v>45679.7334375</v>
      </c>
      <c r="I1521" s="10" t="n">
        <v>45679.73621527778</v>
      </c>
      <c r="J1521" s="10" t="n">
        <v>45679.73863425926</v>
      </c>
      <c r="K1521" s="11" t="n">
        <v>0.002418981481481482</v>
      </c>
      <c r="L1521" s="13" t="n">
        <v>0</v>
      </c>
    </row>
    <row r="1522">
      <c r="A1522" s="3" t="inlineStr">
        <is>
          <t>IncomingTrainPreparation</t>
        </is>
      </c>
      <c r="B1522" s="3" t="inlineStr">
        <is>
          <t>Act_ITP_10221_175055_703</t>
        </is>
      </c>
      <c r="C1522" s="3" t="inlineStr">
        <is>
          <t>10221</t>
        </is>
      </c>
      <c r="D1522" s="9" t="n">
        <v>74.59999999999999</v>
      </c>
      <c r="E1522" s="3" t="n"/>
      <c r="F1522" s="3" t="n"/>
      <c r="G1522" s="9" t="n"/>
      <c r="H1522" s="10" t="n">
        <v>45679.74369212963</v>
      </c>
      <c r="I1522" s="10" t="n">
        <v>45679.7464699074</v>
      </c>
      <c r="J1522" s="10" t="n">
        <v>45679.74702546297</v>
      </c>
      <c r="K1522" s="11" t="n">
        <v>0.0005555555555555556</v>
      </c>
      <c r="L1522" s="13" t="n">
        <v>0</v>
      </c>
    </row>
    <row r="1523">
      <c r="A1523" s="3" t="inlineStr">
        <is>
          <t>IncomingTrainPreparation</t>
        </is>
      </c>
      <c r="B1523" s="3" t="inlineStr">
        <is>
          <t>Act_ITP_10222_200543_703</t>
        </is>
      </c>
      <c r="C1523" s="3" t="inlineStr">
        <is>
          <t>10222</t>
        </is>
      </c>
      <c r="D1523" s="9" t="n">
        <v>298.7</v>
      </c>
      <c r="E1523" s="3" t="n"/>
      <c r="F1523" s="3" t="n"/>
      <c r="G1523" s="9" t="n"/>
      <c r="H1523" s="10" t="n">
        <v>45679.83730324074</v>
      </c>
      <c r="I1523" s="10" t="n">
        <v>45679.84008101852</v>
      </c>
      <c r="J1523" s="10" t="n">
        <v>45679.84912037037</v>
      </c>
      <c r="K1523" s="11" t="n">
        <v>0.009039351851851852</v>
      </c>
      <c r="L1523" s="13" t="n">
        <v>7</v>
      </c>
    </row>
    <row r="1524">
      <c r="A1524" s="3" t="inlineStr">
        <is>
          <t>IncomingTrainPreparation</t>
        </is>
      </c>
      <c r="B1524" s="3" t="inlineStr">
        <is>
          <t>Act_ITP_10223_024452_703</t>
        </is>
      </c>
      <c r="C1524" s="3" t="inlineStr">
        <is>
          <t>10223</t>
        </is>
      </c>
      <c r="D1524" s="9" t="n">
        <v>310.4</v>
      </c>
      <c r="E1524" s="3" t="n"/>
      <c r="F1524" s="3" t="n"/>
      <c r="G1524" s="9" t="n"/>
      <c r="H1524" s="10" t="n">
        <v>45680.11449074074</v>
      </c>
      <c r="I1524" s="10" t="n">
        <v>45680.11726851852</v>
      </c>
      <c r="J1524" s="10" t="n">
        <v>45680.12265046296</v>
      </c>
      <c r="K1524" s="11" t="n">
        <v>0.005381944444444444</v>
      </c>
      <c r="L1524" s="13" t="n">
        <v>3</v>
      </c>
    </row>
    <row r="1525">
      <c r="A1525" s="3" t="inlineStr">
        <is>
          <t>IncomingTrainPreparation</t>
        </is>
      </c>
      <c r="B1525" s="3" t="inlineStr">
        <is>
          <t>Act_ITP_10224_062147_703</t>
        </is>
      </c>
      <c r="C1525" s="3" t="inlineStr">
        <is>
          <t>10224</t>
        </is>
      </c>
      <c r="D1525" s="9" t="n">
        <v>144.4</v>
      </c>
      <c r="E1525" s="3" t="n"/>
      <c r="F1525" s="3" t="n"/>
      <c r="G1525" s="9" t="n"/>
      <c r="H1525" s="10" t="n">
        <v>45680.26512731481</v>
      </c>
      <c r="I1525" s="10" t="n">
        <v>45680.26790509259</v>
      </c>
      <c r="J1525" s="10" t="n">
        <v>45680.26899305556</v>
      </c>
      <c r="K1525" s="11" t="n">
        <v>0.001087962962962963</v>
      </c>
      <c r="L1525" s="13" t="n">
        <v>0</v>
      </c>
    </row>
    <row r="1526">
      <c r="A1526" s="3" t="inlineStr">
        <is>
          <t>IncomingTrainPreparation</t>
        </is>
      </c>
      <c r="B1526" s="3" t="inlineStr">
        <is>
          <t>Act_ITP_10225_064827_703</t>
        </is>
      </c>
      <c r="C1526" s="3" t="inlineStr">
        <is>
          <t>10225</t>
        </is>
      </c>
      <c r="D1526" s="9" t="n">
        <v>257.6</v>
      </c>
      <c r="E1526" s="3" t="n"/>
      <c r="F1526" s="3" t="n"/>
      <c r="G1526" s="9" t="n"/>
      <c r="H1526" s="10" t="n">
        <v>45680.28364583333</v>
      </c>
      <c r="I1526" s="10" t="n">
        <v>45680.28642361111</v>
      </c>
      <c r="J1526" s="10" t="n">
        <v>45680.29543981481</v>
      </c>
      <c r="K1526" s="11" t="n">
        <v>0.009016203703703703</v>
      </c>
      <c r="L1526" s="13" t="n">
        <v>7</v>
      </c>
    </row>
    <row r="1527">
      <c r="A1527" s="3" t="inlineStr">
        <is>
          <t>IncomingTrainPreparation</t>
        </is>
      </c>
      <c r="B1527" s="3" t="inlineStr">
        <is>
          <t>Act_ITP_10226_070732_727</t>
        </is>
      </c>
      <c r="C1527" s="3" t="inlineStr">
        <is>
          <t>10226</t>
        </is>
      </c>
      <c r="D1527" s="9" t="n">
        <v>205.5</v>
      </c>
      <c r="E1527" s="3" t="n"/>
      <c r="F1527" s="3" t="n"/>
      <c r="G1527" s="9" t="n"/>
      <c r="H1527" s="10" t="n">
        <v>45680.29689814815</v>
      </c>
      <c r="I1527" s="10" t="n">
        <v>45680.29967592593</v>
      </c>
      <c r="J1527" s="10" t="n">
        <v>45680.30123842593</v>
      </c>
      <c r="K1527" s="11" t="n">
        <v>0.0015625</v>
      </c>
      <c r="L1527" s="13" t="n">
        <v>0</v>
      </c>
    </row>
    <row r="1528">
      <c r="A1528" s="3" t="inlineStr">
        <is>
          <t>IncomingTrainPreparation</t>
        </is>
      </c>
      <c r="B1528" s="3" t="inlineStr">
        <is>
          <t>Act_ITP_10227_074306_703</t>
        </is>
      </c>
      <c r="C1528" s="3" t="inlineStr">
        <is>
          <t>10227</t>
        </is>
      </c>
      <c r="D1528" s="9" t="n">
        <v>397.3</v>
      </c>
      <c r="E1528" s="3" t="n"/>
      <c r="F1528" s="3" t="n"/>
      <c r="G1528" s="9" t="n"/>
      <c r="H1528" s="10" t="n">
        <v>45680.32159722222</v>
      </c>
      <c r="I1528" s="10" t="n">
        <v>45680.324375</v>
      </c>
      <c r="J1528" s="10" t="n">
        <v>45680.32756944445</v>
      </c>
      <c r="K1528" s="11" t="n">
        <v>0.003194444444444445</v>
      </c>
      <c r="L1528" s="13" t="n">
        <v>0</v>
      </c>
    </row>
    <row r="1529">
      <c r="A1529" s="3" t="inlineStr">
        <is>
          <t>IncomingTrainPreparation</t>
        </is>
      </c>
      <c r="B1529" s="3" t="inlineStr">
        <is>
          <t>Act_ITP_10228_084352_703</t>
        </is>
      </c>
      <c r="C1529" s="3" t="inlineStr">
        <is>
          <t>10228</t>
        </is>
      </c>
      <c r="D1529" s="9" t="n">
        <v>396.5</v>
      </c>
      <c r="E1529" s="3" t="n"/>
      <c r="F1529" s="3" t="n"/>
      <c r="G1529" s="9" t="n"/>
      <c r="H1529" s="10" t="n">
        <v>45680.3637962963</v>
      </c>
      <c r="I1529" s="10" t="n">
        <v>45680.36657407408</v>
      </c>
      <c r="J1529" s="10" t="n">
        <v>45680.37028935185</v>
      </c>
      <c r="K1529" s="11" t="n">
        <v>0.003715277777777778</v>
      </c>
      <c r="L1529" s="13" t="n">
        <v>1</v>
      </c>
    </row>
    <row r="1530">
      <c r="A1530" s="3" t="inlineStr">
        <is>
          <t>IncomingTrainPreparation</t>
        </is>
      </c>
      <c r="B1530" s="3" t="inlineStr">
        <is>
          <t>Act_ITP_10229_090527_727</t>
        </is>
      </c>
      <c r="C1530" s="3" t="inlineStr">
        <is>
          <t>10229</t>
        </is>
      </c>
      <c r="D1530" s="9" t="n">
        <v>543.9</v>
      </c>
      <c r="E1530" s="3" t="n"/>
      <c r="F1530" s="3" t="n"/>
      <c r="G1530" s="9" t="n"/>
      <c r="H1530" s="10" t="n">
        <v>45680.37878472222</v>
      </c>
      <c r="I1530" s="10" t="n">
        <v>45680.3815625</v>
      </c>
      <c r="J1530" s="10" t="n">
        <v>45680.39777777778</v>
      </c>
      <c r="K1530" s="11" t="n">
        <v>0.01621527777777778</v>
      </c>
      <c r="L1530" s="13" t="n">
        <v>11</v>
      </c>
    </row>
    <row r="1531">
      <c r="A1531" s="3" t="inlineStr">
        <is>
          <t>IncomingTrainPreparation</t>
        </is>
      </c>
      <c r="B1531" s="3" t="inlineStr">
        <is>
          <t>Act_ITP_10230_102952_703</t>
        </is>
      </c>
      <c r="C1531" s="3" t="inlineStr">
        <is>
          <t>10230</t>
        </is>
      </c>
      <c r="D1531" s="9" t="n">
        <v>448.7</v>
      </c>
      <c r="E1531" s="3" t="n"/>
      <c r="F1531" s="3" t="n"/>
      <c r="G1531" s="9" t="n"/>
      <c r="H1531" s="10" t="n">
        <v>45680.43740740741</v>
      </c>
      <c r="I1531" s="10" t="n">
        <v>45680.44018518519</v>
      </c>
      <c r="J1531" s="10" t="n">
        <v>45680.44787037037</v>
      </c>
      <c r="K1531" s="11" t="n">
        <v>0.007685185185185186</v>
      </c>
      <c r="L1531" s="13" t="n">
        <v>4</v>
      </c>
    </row>
    <row r="1532">
      <c r="A1532" s="3" t="inlineStr">
        <is>
          <t>IncomingTrainPreparation</t>
        </is>
      </c>
      <c r="B1532" s="3" t="inlineStr">
        <is>
          <t>Act_ITP_10231_143025_703</t>
        </is>
      </c>
      <c r="C1532" s="3" t="inlineStr">
        <is>
          <t>10231</t>
        </is>
      </c>
      <c r="D1532" s="9" t="n">
        <v>396.6</v>
      </c>
      <c r="E1532" s="3" t="n"/>
      <c r="F1532" s="3" t="n"/>
      <c r="G1532" s="9" t="n"/>
      <c r="H1532" s="10" t="n">
        <v>45680.60445601852</v>
      </c>
      <c r="I1532" s="10" t="n">
        <v>45680.6072337963</v>
      </c>
      <c r="J1532" s="10" t="n">
        <v>45680.61011574074</v>
      </c>
      <c r="K1532" s="11" t="n">
        <v>0.002881944444444444</v>
      </c>
      <c r="L1532" s="13" t="n">
        <v>0</v>
      </c>
    </row>
    <row r="1533">
      <c r="A1533" s="3" t="inlineStr">
        <is>
          <t>IncomingTrainPreparation</t>
        </is>
      </c>
      <c r="B1533" s="3" t="inlineStr">
        <is>
          <t>Act_ITP_10232_144321_727</t>
        </is>
      </c>
      <c r="C1533" s="3" t="inlineStr">
        <is>
          <t>10232</t>
        </is>
      </c>
      <c r="D1533" s="9" t="n">
        <v>318.4</v>
      </c>
      <c r="E1533" s="3" t="n"/>
      <c r="F1533" s="3" t="n"/>
      <c r="G1533" s="9" t="n"/>
      <c r="H1533" s="10" t="n">
        <v>45680.6134375</v>
      </c>
      <c r="I1533" s="10" t="n">
        <v>45680.61621527778</v>
      </c>
      <c r="J1533" s="10" t="n">
        <v>45680.62604166667</v>
      </c>
      <c r="K1533" s="11" t="n">
        <v>0.00982638888888889</v>
      </c>
      <c r="L1533" s="13" t="n">
        <v>8</v>
      </c>
    </row>
    <row r="1534">
      <c r="A1534" s="3" t="inlineStr">
        <is>
          <t>IncomingTrainPreparation</t>
        </is>
      </c>
      <c r="B1534" s="3" t="inlineStr">
        <is>
          <t>Act_ITP_10233_152825_703</t>
        </is>
      </c>
      <c r="C1534" s="3" t="inlineStr">
        <is>
          <t>10233</t>
        </is>
      </c>
      <c r="D1534" s="9" t="n">
        <v>94.40000000000001</v>
      </c>
      <c r="E1534" s="3" t="n"/>
      <c r="F1534" s="3" t="n"/>
      <c r="G1534" s="9" t="n"/>
      <c r="H1534" s="10" t="n">
        <v>45680.6447337963</v>
      </c>
      <c r="I1534" s="10" t="n">
        <v>45680.64751157408</v>
      </c>
      <c r="J1534" s="10" t="n">
        <v>45680.64825231482</v>
      </c>
      <c r="K1534" s="11" t="n">
        <v>0.0007407407407407407</v>
      </c>
      <c r="L1534" s="13" t="n">
        <v>0</v>
      </c>
    </row>
    <row r="1535">
      <c r="A1535" s="3" t="inlineStr">
        <is>
          <t>IncomingTrainPreparation</t>
        </is>
      </c>
      <c r="B1535" s="3" t="inlineStr">
        <is>
          <t>Act_ITP_10234_154553_703</t>
        </is>
      </c>
      <c r="C1535" s="3" t="inlineStr">
        <is>
          <t>10234</t>
        </is>
      </c>
      <c r="D1535" s="9" t="n">
        <v>144.4</v>
      </c>
      <c r="E1535" s="3" t="n"/>
      <c r="F1535" s="3" t="n"/>
      <c r="G1535" s="9" t="n"/>
      <c r="H1535" s="10" t="n">
        <v>45680.65686342592</v>
      </c>
      <c r="I1535" s="10" t="n">
        <v>45680.6596412037</v>
      </c>
      <c r="J1535" s="10" t="n">
        <v>45680.66163194444</v>
      </c>
      <c r="K1535" s="11" t="n">
        <v>0.001990740740740741</v>
      </c>
      <c r="L1535" s="13" t="n">
        <v>1</v>
      </c>
    </row>
    <row r="1536">
      <c r="A1536" s="3" t="inlineStr">
        <is>
          <t>IncomingTrainPreparation</t>
        </is>
      </c>
      <c r="B1536" s="3" t="inlineStr">
        <is>
          <t>Act_ITP_10235_170343_703</t>
        </is>
      </c>
      <c r="C1536" s="3" t="inlineStr">
        <is>
          <t>10235</t>
        </is>
      </c>
      <c r="D1536" s="9" t="n">
        <v>331.3</v>
      </c>
      <c r="E1536" s="3" t="n"/>
      <c r="F1536" s="3" t="n"/>
      <c r="G1536" s="9" t="n"/>
      <c r="H1536" s="10" t="n">
        <v>45680.71091435185</v>
      </c>
      <c r="I1536" s="10" t="n">
        <v>45680.71369212963</v>
      </c>
      <c r="J1536" s="10" t="n">
        <v>45680.72774305556</v>
      </c>
      <c r="K1536" s="11" t="n">
        <v>0.01405092592592593</v>
      </c>
      <c r="L1536" s="13" t="n">
        <v>11</v>
      </c>
    </row>
    <row r="1537">
      <c r="A1537" s="3" t="inlineStr">
        <is>
          <t>IncomingTrainPreparation</t>
        </is>
      </c>
      <c r="B1537" s="3" t="inlineStr">
        <is>
          <t>Act_ITP_10236_173749_731</t>
        </is>
      </c>
      <c r="C1537" s="3" t="inlineStr">
        <is>
          <t>10236</t>
        </is>
      </c>
      <c r="D1537" s="9" t="n">
        <v>54.7</v>
      </c>
      <c r="E1537" s="3" t="n"/>
      <c r="F1537" s="3" t="n"/>
      <c r="G1537" s="9" t="n"/>
      <c r="H1537" s="10" t="n">
        <v>45680.73459490741</v>
      </c>
      <c r="I1537" s="10" t="n">
        <v>45680.73737268519</v>
      </c>
      <c r="J1537" s="10" t="n">
        <v>45680.73780092593</v>
      </c>
      <c r="K1537" s="11" t="n">
        <v>0.0004282407407407408</v>
      </c>
      <c r="L1537" s="13" t="n">
        <v>0</v>
      </c>
    </row>
    <row r="1538">
      <c r="A1538" s="3" t="inlineStr">
        <is>
          <t>IncomingTrainPreparation</t>
        </is>
      </c>
      <c r="B1538" s="3" t="inlineStr">
        <is>
          <t>Act_ITP_10237_210015_703</t>
        </is>
      </c>
      <c r="C1538" s="3" t="inlineStr">
        <is>
          <t>10237</t>
        </is>
      </c>
      <c r="D1538" s="9" t="n">
        <v>85.5</v>
      </c>
      <c r="E1538" s="3" t="n"/>
      <c r="F1538" s="3" t="n"/>
      <c r="G1538" s="9" t="n"/>
      <c r="H1538" s="10" t="n">
        <v>45680.87517361111</v>
      </c>
      <c r="I1538" s="10" t="n">
        <v>45680.87795138889</v>
      </c>
      <c r="J1538" s="10" t="n">
        <v>45680.87859953703</v>
      </c>
      <c r="K1538" s="11" t="n">
        <v>0.0006481481481481481</v>
      </c>
      <c r="L1538" s="13" t="n">
        <v>0</v>
      </c>
    </row>
    <row r="1539">
      <c r="A1539" s="3" t="inlineStr">
        <is>
          <t>IncomingTrainPreparation</t>
        </is>
      </c>
      <c r="B1539" s="3" t="inlineStr">
        <is>
          <t>Act_ITP_10238_024225_703</t>
        </is>
      </c>
      <c r="C1539" s="3" t="inlineStr">
        <is>
          <t>10238</t>
        </is>
      </c>
      <c r="D1539" s="9" t="n">
        <v>295.2</v>
      </c>
      <c r="E1539" s="3" t="n"/>
      <c r="F1539" s="3" t="n"/>
      <c r="G1539" s="9" t="n"/>
      <c r="H1539" s="10" t="n">
        <v>45681.11278935185</v>
      </c>
      <c r="I1539" s="10" t="n">
        <v>45681.11556712963</v>
      </c>
      <c r="J1539" s="10" t="n">
        <v>45681.12167824074</v>
      </c>
      <c r="K1539" s="11" t="n">
        <v>0.006111111111111111</v>
      </c>
      <c r="L1539" s="13" t="n">
        <v>4</v>
      </c>
    </row>
    <row r="1540">
      <c r="A1540" s="3" t="inlineStr">
        <is>
          <t>IncomingTrainPreparation</t>
        </is>
      </c>
      <c r="B1540" s="3" t="inlineStr">
        <is>
          <t>Act_ITP_10239_043431_703</t>
        </is>
      </c>
      <c r="C1540" s="3" t="inlineStr">
        <is>
          <t>10239</t>
        </is>
      </c>
      <c r="D1540" s="9" t="n">
        <v>118.2</v>
      </c>
      <c r="E1540" s="3" t="n"/>
      <c r="F1540" s="3" t="n"/>
      <c r="G1540" s="9" t="n"/>
      <c r="H1540" s="10" t="n">
        <v>45681.19063657407</v>
      </c>
      <c r="I1540" s="10" t="n">
        <v>45681.19341435185</v>
      </c>
      <c r="J1540" s="10" t="n">
        <v>45681.19431712963</v>
      </c>
      <c r="K1540" s="11" t="n">
        <v>0.0009027777777777777</v>
      </c>
      <c r="L1540" s="13" t="n">
        <v>0</v>
      </c>
    </row>
    <row r="1541">
      <c r="A1541" s="3" t="inlineStr">
        <is>
          <t>IncomingTrainPreparation</t>
        </is>
      </c>
      <c r="B1541" s="3" t="inlineStr">
        <is>
          <t>Act_ITP_10240_061423_703</t>
        </is>
      </c>
      <c r="C1541" s="3" t="inlineStr">
        <is>
          <t>10240</t>
        </is>
      </c>
      <c r="D1541" s="9" t="n">
        <v>297</v>
      </c>
      <c r="E1541" s="3" t="n"/>
      <c r="F1541" s="3" t="n"/>
      <c r="G1541" s="9" t="n"/>
      <c r="H1541" s="10" t="n">
        <v>45681.25998842593</v>
      </c>
      <c r="I1541" s="10" t="n">
        <v>45681.2627662037</v>
      </c>
      <c r="J1541" s="10" t="n">
        <v>45681.26498842592</v>
      </c>
      <c r="K1541" s="11" t="n">
        <v>0.002222222222222222</v>
      </c>
      <c r="L1541" s="13" t="n">
        <v>0</v>
      </c>
    </row>
    <row r="1542">
      <c r="A1542" s="3" t="inlineStr">
        <is>
          <t>IncomingTrainPreparation</t>
        </is>
      </c>
      <c r="B1542" s="3" t="inlineStr">
        <is>
          <t>Act_ITP_10241_065945_703</t>
        </is>
      </c>
      <c r="C1542" s="3" t="inlineStr">
        <is>
          <t>10241</t>
        </is>
      </c>
      <c r="D1542" s="9" t="n">
        <v>240.4</v>
      </c>
      <c r="E1542" s="3" t="n"/>
      <c r="F1542" s="3" t="n"/>
      <c r="G1542" s="9" t="n"/>
      <c r="H1542" s="10" t="n">
        <v>45681.29149305556</v>
      </c>
      <c r="I1542" s="10" t="n">
        <v>45681.29427083334</v>
      </c>
      <c r="J1542" s="10" t="n">
        <v>45681.29608796296</v>
      </c>
      <c r="K1542" s="11" t="n">
        <v>0.00181712962962963</v>
      </c>
      <c r="L1542" s="13" t="n">
        <v>0</v>
      </c>
    </row>
    <row r="1543">
      <c r="A1543" s="3" t="inlineStr">
        <is>
          <t>IncomingTrainPreparation</t>
        </is>
      </c>
      <c r="B1543" s="3" t="inlineStr">
        <is>
          <t>Act_ITP_10242_071529_703</t>
        </is>
      </c>
      <c r="C1543" s="3" t="inlineStr">
        <is>
          <t>10242</t>
        </is>
      </c>
      <c r="D1543" s="9" t="n">
        <v>406.2</v>
      </c>
      <c r="E1543" s="3" t="n"/>
      <c r="F1543" s="3" t="n"/>
      <c r="G1543" s="9" t="n"/>
      <c r="H1543" s="10" t="n">
        <v>45681.30241898148</v>
      </c>
      <c r="I1543" s="10" t="n">
        <v>45681.30519675926</v>
      </c>
      <c r="J1543" s="10" t="n">
        <v>45681.31990740741</v>
      </c>
      <c r="K1543" s="11" t="n">
        <v>0.01471064814814815</v>
      </c>
      <c r="L1543" s="13" t="n">
        <v>12</v>
      </c>
    </row>
    <row r="1544">
      <c r="A1544" s="3" t="inlineStr">
        <is>
          <t>IncomingTrainPreparation</t>
        </is>
      </c>
      <c r="B1544" s="3" t="inlineStr">
        <is>
          <t>Act_ITP_10243_072055_727</t>
        </is>
      </c>
      <c r="C1544" s="3" t="inlineStr">
        <is>
          <t>10243</t>
        </is>
      </c>
      <c r="D1544" s="9" t="n">
        <v>390.5</v>
      </c>
      <c r="E1544" s="3" t="n"/>
      <c r="F1544" s="3" t="n"/>
      <c r="G1544" s="9" t="n"/>
      <c r="H1544" s="10" t="n">
        <v>45681.30619212963</v>
      </c>
      <c r="I1544" s="10" t="n">
        <v>45681.3089699074</v>
      </c>
      <c r="J1544" s="10" t="n">
        <v>45681.31193287037</v>
      </c>
      <c r="K1544" s="11" t="n">
        <v>0.002962962962962963</v>
      </c>
      <c r="L1544" s="13" t="n">
        <v>0</v>
      </c>
    </row>
    <row r="1545">
      <c r="A1545" s="3" t="inlineStr">
        <is>
          <t>IncomingTrainPreparation</t>
        </is>
      </c>
      <c r="B1545" s="3" t="inlineStr">
        <is>
          <t>Act_ITP_10244_084833_703</t>
        </is>
      </c>
      <c r="C1545" s="3" t="inlineStr">
        <is>
          <t>10244</t>
        </is>
      </c>
      <c r="D1545" s="9" t="n">
        <v>147.8</v>
      </c>
      <c r="E1545" s="3" t="n"/>
      <c r="F1545" s="3" t="n"/>
      <c r="G1545" s="9" t="n"/>
      <c r="H1545" s="10" t="n">
        <v>45681.36704861111</v>
      </c>
      <c r="I1545" s="10" t="n">
        <v>45681.36982638889</v>
      </c>
      <c r="J1545" s="10" t="n">
        <v>45681.3720949074</v>
      </c>
      <c r="K1545" s="11" t="n">
        <v>0.002268518518518519</v>
      </c>
      <c r="L1545" s="13" t="n">
        <v>1</v>
      </c>
    </row>
    <row r="1546">
      <c r="A1546" s="3" t="inlineStr">
        <is>
          <t>IncomingTrainPreparation</t>
        </is>
      </c>
      <c r="B1546" s="3" t="inlineStr">
        <is>
          <t>Act_ITP_10245_090315_727</t>
        </is>
      </c>
      <c r="C1546" s="3" t="inlineStr">
        <is>
          <t>10245</t>
        </is>
      </c>
      <c r="D1546" s="9" t="n">
        <v>318.8</v>
      </c>
      <c r="E1546" s="3" t="n"/>
      <c r="F1546" s="3" t="n"/>
      <c r="G1546" s="9" t="n"/>
      <c r="H1546" s="10" t="n">
        <v>45681.37725694444</v>
      </c>
      <c r="I1546" s="10" t="n">
        <v>45681.38003472222</v>
      </c>
      <c r="J1546" s="10" t="n">
        <v>45681.38989583333</v>
      </c>
      <c r="K1546" s="11" t="n">
        <v>0.00986111111111111</v>
      </c>
      <c r="L1546" s="13" t="n">
        <v>7</v>
      </c>
    </row>
    <row r="1547">
      <c r="A1547" s="3" t="inlineStr">
        <is>
          <t>IncomingTrainPreparation</t>
        </is>
      </c>
      <c r="B1547" s="3" t="inlineStr">
        <is>
          <t>Act_ITP_10246_095530_703</t>
        </is>
      </c>
      <c r="C1547" s="3" t="inlineStr">
        <is>
          <t>10246</t>
        </is>
      </c>
      <c r="D1547" s="9" t="n">
        <v>437.5</v>
      </c>
      <c r="E1547" s="3" t="n"/>
      <c r="F1547" s="3" t="n"/>
      <c r="G1547" s="9" t="n"/>
      <c r="H1547" s="10" t="n">
        <v>45681.41354166667</v>
      </c>
      <c r="I1547" s="10" t="n">
        <v>45681.41631944444</v>
      </c>
      <c r="J1547" s="10" t="n">
        <v>45681.4209375</v>
      </c>
      <c r="K1547" s="11" t="n">
        <v>0.004618055555555556</v>
      </c>
      <c r="L1547" s="13" t="n">
        <v>1</v>
      </c>
    </row>
    <row r="1548">
      <c r="A1548" s="3" t="inlineStr">
        <is>
          <t>IncomingTrainPreparation</t>
        </is>
      </c>
      <c r="B1548" s="3" t="inlineStr">
        <is>
          <t>Act_ITP_10247_130348_703</t>
        </is>
      </c>
      <c r="C1548" s="3" t="inlineStr">
        <is>
          <t>10247</t>
        </is>
      </c>
      <c r="D1548" s="9" t="n">
        <v>177.5</v>
      </c>
      <c r="E1548" s="3" t="n"/>
      <c r="F1548" s="3" t="n"/>
      <c r="G1548" s="9" t="n"/>
      <c r="H1548" s="10" t="n">
        <v>45681.54430555556</v>
      </c>
      <c r="I1548" s="10" t="n">
        <v>45681.54708333333</v>
      </c>
      <c r="J1548" s="10" t="n">
        <v>45681.54850694445</v>
      </c>
      <c r="K1548" s="11" t="n">
        <v>0.001423611111111111</v>
      </c>
      <c r="L1548" s="13" t="n">
        <v>0</v>
      </c>
    </row>
    <row r="1549">
      <c r="A1549" s="3" t="inlineStr">
        <is>
          <t>IncomingTrainPreparation</t>
        </is>
      </c>
      <c r="B1549" s="3" t="inlineStr">
        <is>
          <t>Act_ITP_10248_143111_703</t>
        </is>
      </c>
      <c r="C1549" s="3" t="inlineStr">
        <is>
          <t>10248</t>
        </is>
      </c>
      <c r="D1549" s="9" t="n">
        <v>296.1</v>
      </c>
      <c r="E1549" s="3" t="n"/>
      <c r="F1549" s="3" t="n"/>
      <c r="G1549" s="9" t="n"/>
      <c r="H1549" s="10" t="n">
        <v>45681.60498842593</v>
      </c>
      <c r="I1549" s="10" t="n">
        <v>45681.60776620371</v>
      </c>
      <c r="J1549" s="10" t="n">
        <v>45681.61016203704</v>
      </c>
      <c r="K1549" s="11" t="n">
        <v>0.002395833333333333</v>
      </c>
      <c r="L1549" s="13" t="n">
        <v>0</v>
      </c>
    </row>
    <row r="1550">
      <c r="A1550" s="3" t="inlineStr">
        <is>
          <t>IncomingTrainPreparation</t>
        </is>
      </c>
      <c r="B1550" s="3" t="inlineStr">
        <is>
          <t>Act_ITP_10249_145551_703</t>
        </is>
      </c>
      <c r="C1550" s="3" t="inlineStr">
        <is>
          <t>10249</t>
        </is>
      </c>
      <c r="D1550" s="9" t="n">
        <v>313</v>
      </c>
      <c r="E1550" s="3" t="n"/>
      <c r="F1550" s="3" t="n"/>
      <c r="G1550" s="9" t="n"/>
      <c r="H1550" s="10" t="n">
        <v>45681.62211805556</v>
      </c>
      <c r="I1550" s="10" t="n">
        <v>45681.62489583333</v>
      </c>
      <c r="J1550" s="10" t="n">
        <v>45681.63574074074</v>
      </c>
      <c r="K1550" s="11" t="n">
        <v>0.01084490740740741</v>
      </c>
      <c r="L1550" s="13" t="n">
        <v>8</v>
      </c>
    </row>
    <row r="1551">
      <c r="A1551" s="3" t="inlineStr">
        <is>
          <t>IncomingTrainPreparation</t>
        </is>
      </c>
      <c r="B1551" s="3" t="inlineStr">
        <is>
          <t>Act_ITP_10250_151255_731</t>
        </is>
      </c>
      <c r="C1551" s="3" t="inlineStr">
        <is>
          <t>10250</t>
        </is>
      </c>
      <c r="D1551" s="9" t="n">
        <v>15.7</v>
      </c>
      <c r="E1551" s="3" t="n"/>
      <c r="F1551" s="3" t="n"/>
      <c r="G1551" s="9" t="n"/>
      <c r="H1551" s="10" t="n">
        <v>45681.63396990741</v>
      </c>
      <c r="I1551" s="10" t="n">
        <v>45681.63674768519</v>
      </c>
      <c r="J1551" s="10" t="n">
        <v>45681.636875</v>
      </c>
      <c r="K1551" s="11" t="n">
        <v>0.0001273148148148148</v>
      </c>
      <c r="L1551" s="13" t="n">
        <v>0</v>
      </c>
    </row>
    <row r="1552">
      <c r="A1552" s="3" t="inlineStr">
        <is>
          <t>IncomingTrainPreparation</t>
        </is>
      </c>
      <c r="B1552" s="3" t="inlineStr">
        <is>
          <t>Act_ITP_10251_173204_703</t>
        </is>
      </c>
      <c r="C1552" s="3" t="inlineStr">
        <is>
          <t>10251</t>
        </is>
      </c>
      <c r="D1552" s="9" t="n">
        <v>232.4</v>
      </c>
      <c r="E1552" s="3" t="n"/>
      <c r="F1552" s="3" t="n"/>
      <c r="G1552" s="9" t="n"/>
      <c r="H1552" s="10" t="n">
        <v>45681.73060185185</v>
      </c>
      <c r="I1552" s="10" t="n">
        <v>45681.73337962963</v>
      </c>
      <c r="J1552" s="10" t="n">
        <v>45681.7352662037</v>
      </c>
      <c r="K1552" s="11" t="n">
        <v>0.001886574074074074</v>
      </c>
      <c r="L1552" s="13" t="n">
        <v>0</v>
      </c>
    </row>
    <row r="1553">
      <c r="A1553" s="3" t="inlineStr">
        <is>
          <t>IncomingTrainPreparation</t>
        </is>
      </c>
      <c r="B1553" s="3" t="inlineStr">
        <is>
          <t>Act_ITP_10252_173207_727</t>
        </is>
      </c>
      <c r="C1553" s="3" t="inlineStr">
        <is>
          <t>10252</t>
        </is>
      </c>
      <c r="D1553" s="9" t="n">
        <v>134.7</v>
      </c>
      <c r="E1553" s="3" t="n"/>
      <c r="F1553" s="3" t="n"/>
      <c r="G1553" s="9" t="n"/>
      <c r="H1553" s="10" t="n">
        <v>45681.73063657407</v>
      </c>
      <c r="I1553" s="10" t="n">
        <v>45681.73341435185</v>
      </c>
      <c r="J1553" s="10" t="n">
        <v>45681.73443287037</v>
      </c>
      <c r="K1553" s="11" t="n">
        <v>0.001018518518518518</v>
      </c>
      <c r="L1553" s="13" t="n">
        <v>0</v>
      </c>
    </row>
    <row r="1554">
      <c r="A1554" s="3" t="inlineStr">
        <is>
          <t>IncomingTrainPreparation</t>
        </is>
      </c>
      <c r="B1554" s="3" t="inlineStr">
        <is>
          <t>Act_ITP_10253_014403_727</t>
        </is>
      </c>
      <c r="C1554" s="3" t="inlineStr">
        <is>
          <t>10253</t>
        </is>
      </c>
      <c r="D1554" s="9" t="n">
        <v>582.5</v>
      </c>
      <c r="E1554" s="3" t="n"/>
      <c r="F1554" s="3" t="n"/>
      <c r="G1554" s="9" t="n"/>
      <c r="H1554" s="10" t="n">
        <v>45682.07225694445</v>
      </c>
      <c r="I1554" s="10" t="n">
        <v>45682.07503472222</v>
      </c>
      <c r="J1554" s="10" t="n">
        <v>45682.08190972222</v>
      </c>
      <c r="K1554" s="11" t="n">
        <v>0.006875</v>
      </c>
      <c r="L1554" s="13" t="n">
        <v>2</v>
      </c>
    </row>
    <row r="1555">
      <c r="A1555" s="3" t="inlineStr">
        <is>
          <t>IncomingTrainPreparation</t>
        </is>
      </c>
      <c r="B1555" s="3" t="inlineStr">
        <is>
          <t>Act_ITP_10254_174939_727</t>
        </is>
      </c>
      <c r="C1555" s="3" t="inlineStr">
        <is>
          <t>10254</t>
        </is>
      </c>
      <c r="D1555" s="9" t="n">
        <v>560</v>
      </c>
      <c r="E1555" s="3" t="n"/>
      <c r="F1555" s="3" t="n"/>
      <c r="G1555" s="9" t="n"/>
      <c r="H1555" s="10" t="n">
        <v>45683.7428125</v>
      </c>
      <c r="I1555" s="10" t="n">
        <v>45683.74559027778</v>
      </c>
      <c r="J1555" s="10" t="n">
        <v>45683.75217592593</v>
      </c>
      <c r="K1555" s="11" t="n">
        <v>0.006585648148148148</v>
      </c>
      <c r="L1555" s="13" t="n">
        <v>2</v>
      </c>
    </row>
    <row r="1556">
      <c r="A1556" s="3" t="inlineStr">
        <is>
          <t>IncomingTrainPreparation</t>
        </is>
      </c>
      <c r="B1556" s="3" t="inlineStr">
        <is>
          <t>Act_ITP_10255_023845_703</t>
        </is>
      </c>
      <c r="C1556" s="3" t="inlineStr">
        <is>
          <t>10255</t>
        </is>
      </c>
      <c r="D1556" s="9" t="n">
        <v>259</v>
      </c>
      <c r="E1556" s="3" t="n"/>
      <c r="F1556" s="3" t="n"/>
      <c r="G1556" s="9" t="n"/>
      <c r="H1556" s="10" t="n">
        <v>45684.11024305555</v>
      </c>
      <c r="I1556" s="10" t="n">
        <v>45684.11302083333</v>
      </c>
      <c r="J1556" s="10" t="n">
        <v>45684.11835648148</v>
      </c>
      <c r="K1556" s="11" t="n">
        <v>0.005335648148148148</v>
      </c>
      <c r="L1556" s="13" t="n">
        <v>3</v>
      </c>
    </row>
    <row r="1557">
      <c r="A1557" s="3" t="inlineStr">
        <is>
          <t>IncomingTrainPreparation</t>
        </is>
      </c>
      <c r="B1557" s="3" t="inlineStr">
        <is>
          <t>Act_ITP_10256_043450_703</t>
        </is>
      </c>
      <c r="C1557" s="3" t="inlineStr">
        <is>
          <t>10256</t>
        </is>
      </c>
      <c r="D1557" s="9" t="n">
        <v>298.2</v>
      </c>
      <c r="E1557" s="3" t="n"/>
      <c r="F1557" s="3" t="n"/>
      <c r="G1557" s="9" t="n"/>
      <c r="H1557" s="10" t="n">
        <v>45684.19085648148</v>
      </c>
      <c r="I1557" s="10" t="n">
        <v>45684.19363425926</v>
      </c>
      <c r="J1557" s="10" t="n">
        <v>45684.19603009259</v>
      </c>
      <c r="K1557" s="11" t="n">
        <v>0.002395833333333333</v>
      </c>
      <c r="L1557" s="13" t="n">
        <v>0</v>
      </c>
    </row>
    <row r="1558">
      <c r="A1558" s="3" t="inlineStr">
        <is>
          <t>IncomingTrainPreparation</t>
        </is>
      </c>
      <c r="B1558" s="3" t="inlineStr">
        <is>
          <t>Act_ITP_10257_063740_703</t>
        </is>
      </c>
      <c r="C1558" s="3" t="inlineStr">
        <is>
          <t>10257</t>
        </is>
      </c>
      <c r="D1558" s="9" t="n">
        <v>284.8</v>
      </c>
      <c r="E1558" s="3" t="n"/>
      <c r="F1558" s="3" t="n"/>
      <c r="G1558" s="9" t="n"/>
      <c r="H1558" s="10" t="n">
        <v>45684.27615740741</v>
      </c>
      <c r="I1558" s="10" t="n">
        <v>45684.27893518518</v>
      </c>
      <c r="J1558" s="10" t="n">
        <v>45684.28125</v>
      </c>
      <c r="K1558" s="11" t="n">
        <v>0.002314814814814815</v>
      </c>
      <c r="L1558" s="13" t="n">
        <v>0</v>
      </c>
    </row>
    <row r="1559">
      <c r="A1559" s="3" t="inlineStr">
        <is>
          <t>IncomingTrainPreparation</t>
        </is>
      </c>
      <c r="B1559" s="3" t="inlineStr">
        <is>
          <t>Act_ITP_10258_071030_727</t>
        </is>
      </c>
      <c r="C1559" s="3" t="inlineStr">
        <is>
          <t>10258</t>
        </is>
      </c>
      <c r="D1559" s="9" t="n">
        <v>589.2</v>
      </c>
      <c r="E1559" s="3" t="n"/>
      <c r="F1559" s="3" t="n"/>
      <c r="G1559" s="9" t="n"/>
      <c r="H1559" s="10" t="n">
        <v>45684.29895833333</v>
      </c>
      <c r="I1559" s="10" t="n">
        <v>45684.30173611111</v>
      </c>
      <c r="J1559" s="10" t="n">
        <v>45684.31375</v>
      </c>
      <c r="K1559" s="11" t="n">
        <v>0.01201388888888889</v>
      </c>
      <c r="L1559" s="13" t="n">
        <v>7</v>
      </c>
    </row>
    <row r="1560">
      <c r="A1560" s="3" t="inlineStr">
        <is>
          <t>IncomingTrainPreparation</t>
        </is>
      </c>
      <c r="B1560" s="3" t="inlineStr">
        <is>
          <t>Act_ITP_10259_073008_703</t>
        </is>
      </c>
      <c r="C1560" s="3" t="inlineStr">
        <is>
          <t>10259</t>
        </is>
      </c>
      <c r="D1560" s="9" t="n">
        <v>253.6</v>
      </c>
      <c r="E1560" s="3" t="n"/>
      <c r="F1560" s="3" t="n"/>
      <c r="G1560" s="9" t="n"/>
      <c r="H1560" s="10" t="n">
        <v>45684.31259259259</v>
      </c>
      <c r="I1560" s="10" t="n">
        <v>45684.31537037037</v>
      </c>
      <c r="J1560" s="10" t="n">
        <v>45684.31743055556</v>
      </c>
      <c r="K1560" s="11" t="n">
        <v>0.002060185185185185</v>
      </c>
      <c r="L1560" s="13" t="n">
        <v>0</v>
      </c>
    </row>
    <row r="1561">
      <c r="A1561" s="3" t="inlineStr">
        <is>
          <t>IncomingTrainPreparation</t>
        </is>
      </c>
      <c r="B1561" s="3" t="inlineStr">
        <is>
          <t>Act_ITP_10260_075652_703</t>
        </is>
      </c>
      <c r="C1561" s="3" t="inlineStr">
        <is>
          <t>10260</t>
        </is>
      </c>
      <c r="D1561" s="9" t="n">
        <v>389.1</v>
      </c>
      <c r="E1561" s="3" t="n"/>
      <c r="F1561" s="3" t="n"/>
      <c r="G1561" s="9" t="n"/>
      <c r="H1561" s="10" t="n">
        <v>45684.33115740741</v>
      </c>
      <c r="I1561" s="10" t="n">
        <v>45684.33393518518</v>
      </c>
      <c r="J1561" s="10" t="n">
        <v>45684.33708333333</v>
      </c>
      <c r="K1561" s="11" t="n">
        <v>0.003148148148148148</v>
      </c>
      <c r="L1561" s="13" t="n">
        <v>0</v>
      </c>
    </row>
    <row r="1562">
      <c r="A1562" s="3" t="inlineStr">
        <is>
          <t>IncomingTrainPreparation</t>
        </is>
      </c>
      <c r="B1562" s="3" t="inlineStr">
        <is>
          <t>Act_ITP_10261_083200_727</t>
        </is>
      </c>
      <c r="C1562" s="3" t="inlineStr">
        <is>
          <t>10261</t>
        </is>
      </c>
      <c r="D1562" s="9" t="n">
        <v>586.7</v>
      </c>
      <c r="E1562" s="3" t="n"/>
      <c r="F1562" s="3" t="n"/>
      <c r="G1562" s="9" t="n"/>
      <c r="H1562" s="10" t="n">
        <v>45684.35555555556</v>
      </c>
      <c r="I1562" s="10" t="n">
        <v>45684.35833333333</v>
      </c>
      <c r="J1562" s="10" t="n">
        <v>45684.37493055555</v>
      </c>
      <c r="K1562" s="11" t="n">
        <v>0.01659722222222222</v>
      </c>
      <c r="L1562" s="13" t="n">
        <v>11</v>
      </c>
    </row>
    <row r="1563">
      <c r="A1563" s="3" t="inlineStr">
        <is>
          <t>IncomingTrainPreparation</t>
        </is>
      </c>
      <c r="B1563" s="3" t="inlineStr">
        <is>
          <t>Act_ITP_10262_083226_703</t>
        </is>
      </c>
      <c r="C1563" s="3" t="inlineStr">
        <is>
          <t>10262</t>
        </is>
      </c>
      <c r="D1563" s="9" t="n">
        <v>390.5</v>
      </c>
      <c r="E1563" s="3" t="n"/>
      <c r="F1563" s="3" t="n"/>
      <c r="G1563" s="9" t="n"/>
      <c r="H1563" s="10" t="n">
        <v>45684.35585648148</v>
      </c>
      <c r="I1563" s="10" t="n">
        <v>45684.35863425926</v>
      </c>
      <c r="J1563" s="10" t="n">
        <v>45684.36260416666</v>
      </c>
      <c r="K1563" s="11" t="n">
        <v>0.003969907407407407</v>
      </c>
      <c r="L1563" s="13" t="n">
        <v>1</v>
      </c>
    </row>
    <row r="1564">
      <c r="A1564" s="3" t="inlineStr">
        <is>
          <t>IncomingTrainPreparation</t>
        </is>
      </c>
      <c r="B1564" s="3" t="inlineStr">
        <is>
          <t>Act_ITP_10263_103312_703</t>
        </is>
      </c>
      <c r="C1564" s="3" t="inlineStr">
        <is>
          <t>10263</t>
        </is>
      </c>
      <c r="D1564" s="9" t="n">
        <v>435.5</v>
      </c>
      <c r="E1564" s="3" t="n"/>
      <c r="F1564" s="3" t="n"/>
      <c r="G1564" s="9" t="n"/>
      <c r="H1564" s="10" t="n">
        <v>45684.43972222223</v>
      </c>
      <c r="I1564" s="10" t="n">
        <v>45684.4425</v>
      </c>
      <c r="J1564" s="10" t="n">
        <v>45684.44703703704</v>
      </c>
      <c r="K1564" s="11" t="n">
        <v>0.004537037037037037</v>
      </c>
      <c r="L1564" s="13" t="n">
        <v>1</v>
      </c>
    </row>
    <row r="1565">
      <c r="A1565" s="3" t="inlineStr">
        <is>
          <t>IncomingTrainPreparation</t>
        </is>
      </c>
      <c r="B1565" s="3" t="inlineStr">
        <is>
          <t>Act_ITP_10264_124412_703</t>
        </is>
      </c>
      <c r="C1565" s="3" t="inlineStr">
        <is>
          <t>10264</t>
        </is>
      </c>
      <c r="D1565" s="9" t="n">
        <v>212.1</v>
      </c>
      <c r="E1565" s="3" t="n"/>
      <c r="F1565" s="3" t="n"/>
      <c r="G1565" s="9" t="n"/>
      <c r="H1565" s="10" t="n">
        <v>45684.53069444445</v>
      </c>
      <c r="I1565" s="10" t="n">
        <v>45684.53347222223</v>
      </c>
      <c r="J1565" s="10" t="n">
        <v>45684.53518518519</v>
      </c>
      <c r="K1565" s="11" t="n">
        <v>0.001712962962962963</v>
      </c>
      <c r="L1565" s="13" t="n">
        <v>0</v>
      </c>
    </row>
    <row r="1566">
      <c r="A1566" s="3" t="inlineStr">
        <is>
          <t>IncomingTrainPreparation</t>
        </is>
      </c>
      <c r="B1566" s="3" t="inlineStr">
        <is>
          <t>Act_ITP_10265_142359_703</t>
        </is>
      </c>
      <c r="C1566" s="3" t="inlineStr">
        <is>
          <t>10265</t>
        </is>
      </c>
      <c r="D1566" s="9" t="n">
        <v>381.6</v>
      </c>
      <c r="E1566" s="3" t="n"/>
      <c r="F1566" s="3" t="n"/>
      <c r="G1566" s="9" t="n"/>
      <c r="H1566" s="10" t="n">
        <v>45684.59998842593</v>
      </c>
      <c r="I1566" s="10" t="n">
        <v>45684.6027662037</v>
      </c>
      <c r="J1566" s="10" t="n">
        <v>45684.60583333333</v>
      </c>
      <c r="K1566" s="11" t="n">
        <v>0.00306712962962963</v>
      </c>
      <c r="L1566" s="13" t="n">
        <v>0</v>
      </c>
    </row>
    <row r="1567">
      <c r="A1567" s="3" t="inlineStr">
        <is>
          <t>IncomingTrainPreparation</t>
        </is>
      </c>
      <c r="B1567" s="3" t="inlineStr">
        <is>
          <t>Act_ITP_10266_152748_731</t>
        </is>
      </c>
      <c r="C1567" s="3" t="inlineStr">
        <is>
          <t>10266</t>
        </is>
      </c>
      <c r="D1567" s="9" t="n">
        <v>15.7</v>
      </c>
      <c r="E1567" s="3" t="n"/>
      <c r="F1567" s="3" t="n"/>
      <c r="G1567" s="9" t="n"/>
      <c r="H1567" s="10" t="n">
        <v>45684.64430555556</v>
      </c>
      <c r="I1567" s="10" t="n">
        <v>45684.64708333334</v>
      </c>
      <c r="J1567" s="10" t="n">
        <v>45684.64721064815</v>
      </c>
      <c r="K1567" s="11" t="n">
        <v>0.0001273148148148148</v>
      </c>
      <c r="L1567" s="13" t="n">
        <v>0</v>
      </c>
    </row>
    <row r="1568">
      <c r="A1568" s="3" t="inlineStr">
        <is>
          <t>IncomingTrainPreparation</t>
        </is>
      </c>
      <c r="B1568" s="3" t="inlineStr">
        <is>
          <t>Act_ITP_10267_155803_703</t>
        </is>
      </c>
      <c r="C1568" s="3" t="inlineStr">
        <is>
          <t>10267</t>
        </is>
      </c>
      <c r="D1568" s="9" t="n">
        <v>383.1</v>
      </c>
      <c r="E1568" s="3" t="n"/>
      <c r="F1568" s="3" t="n"/>
      <c r="G1568" s="9" t="n"/>
      <c r="H1568" s="10" t="n">
        <v>45684.6653125</v>
      </c>
      <c r="I1568" s="10" t="n">
        <v>45684.66809027778</v>
      </c>
      <c r="J1568" s="10" t="n">
        <v>45684.67221064815</v>
      </c>
      <c r="K1568" s="11" t="n">
        <v>0.004120370370370371</v>
      </c>
      <c r="L1568" s="13" t="n">
        <v>1</v>
      </c>
    </row>
    <row r="1569">
      <c r="A1569" s="3" t="inlineStr">
        <is>
          <t>IncomingTrainPreparation</t>
        </is>
      </c>
      <c r="B1569" s="3" t="inlineStr">
        <is>
          <t>Act_ITP_10268_173432_703</t>
        </is>
      </c>
      <c r="C1569" s="3" t="inlineStr">
        <is>
          <t>10268</t>
        </is>
      </c>
      <c r="D1569" s="9" t="n">
        <v>232.4</v>
      </c>
      <c r="E1569" s="3" t="n"/>
      <c r="F1569" s="3" t="n"/>
      <c r="G1569" s="9" t="n"/>
      <c r="H1569" s="10" t="n">
        <v>45684.73231481481</v>
      </c>
      <c r="I1569" s="10" t="n">
        <v>45684.73509259259</v>
      </c>
      <c r="J1569" s="10" t="n">
        <v>45684.73697916666</v>
      </c>
      <c r="K1569" s="11" t="n">
        <v>0.001886574074074074</v>
      </c>
      <c r="L1569" s="13" t="n">
        <v>0</v>
      </c>
    </row>
    <row r="1570">
      <c r="A1570" s="3" t="inlineStr">
        <is>
          <t>IncomingTrainPreparation</t>
        </is>
      </c>
      <c r="B1570" s="3" t="inlineStr">
        <is>
          <t>Act_ITP_10269_174323_727</t>
        </is>
      </c>
      <c r="C1570" s="3" t="inlineStr">
        <is>
          <t>10269</t>
        </is>
      </c>
      <c r="D1570" s="9" t="n">
        <v>446</v>
      </c>
      <c r="E1570" s="3" t="n"/>
      <c r="F1570" s="3" t="n"/>
      <c r="G1570" s="9" t="n"/>
      <c r="H1570" s="10" t="n">
        <v>45684.73846064815</v>
      </c>
      <c r="I1570" s="10" t="n">
        <v>45684.74123842592</v>
      </c>
      <c r="J1570" s="10" t="n">
        <v>45684.74700231481</v>
      </c>
      <c r="K1570" s="11" t="n">
        <v>0.005763888888888889</v>
      </c>
      <c r="L1570" s="13" t="n">
        <v>2</v>
      </c>
    </row>
    <row r="1571">
      <c r="A1571" s="3" t="inlineStr">
        <is>
          <t>IncomingTrainPreparation</t>
        </is>
      </c>
      <c r="B1571" s="3" t="inlineStr">
        <is>
          <t>Act_ITP_10270_210207_703</t>
        </is>
      </c>
      <c r="C1571" s="3" t="inlineStr">
        <is>
          <t>10270</t>
        </is>
      </c>
      <c r="D1571" s="9" t="n">
        <v>397.3</v>
      </c>
      <c r="E1571" s="3" t="n"/>
      <c r="F1571" s="3" t="n"/>
      <c r="G1571" s="9" t="n"/>
      <c r="H1571" s="10" t="n">
        <v>45684.87646990741</v>
      </c>
      <c r="I1571" s="10" t="n">
        <v>45684.87924768519</v>
      </c>
      <c r="J1571" s="10" t="n">
        <v>45684.88243055555</v>
      </c>
      <c r="K1571" s="11" t="n">
        <v>0.00318287037037037</v>
      </c>
      <c r="L1571" s="13" t="n">
        <v>0</v>
      </c>
    </row>
    <row r="1572">
      <c r="A1572" s="3" t="inlineStr">
        <is>
          <t>IncomingTrainPreparation</t>
        </is>
      </c>
      <c r="B1572" s="3" t="inlineStr">
        <is>
          <t>Act_ITP_10271_025502_703</t>
        </is>
      </c>
      <c r="C1572" s="3" t="inlineStr">
        <is>
          <t>10271</t>
        </is>
      </c>
      <c r="D1572" s="9" t="n">
        <v>145.7</v>
      </c>
      <c r="E1572" s="3" t="n"/>
      <c r="F1572" s="3" t="n"/>
      <c r="G1572" s="9" t="n"/>
      <c r="H1572" s="10" t="n">
        <v>45685.12155092593</v>
      </c>
      <c r="I1572" s="10" t="n">
        <v>45685.12432870371</v>
      </c>
      <c r="J1572" s="10" t="n">
        <v>45685.12766203703</v>
      </c>
      <c r="K1572" s="11" t="n">
        <v>0.003333333333333334</v>
      </c>
      <c r="L1572" s="13" t="n">
        <v>2</v>
      </c>
    </row>
    <row r="1573">
      <c r="A1573" s="3" t="inlineStr">
        <is>
          <t>IncomingTrainPreparation</t>
        </is>
      </c>
      <c r="B1573" s="3" t="inlineStr">
        <is>
          <t>Act_ITP_10272_063220_703</t>
        </is>
      </c>
      <c r="C1573" s="3" t="inlineStr">
        <is>
          <t>10272</t>
        </is>
      </c>
      <c r="D1573" s="9" t="n">
        <v>297</v>
      </c>
      <c r="E1573" s="3" t="n"/>
      <c r="F1573" s="3" t="n"/>
      <c r="G1573" s="9" t="n"/>
      <c r="H1573" s="10" t="n">
        <v>45685.27245370371</v>
      </c>
      <c r="I1573" s="10" t="n">
        <v>45685.27523148148</v>
      </c>
      <c r="J1573" s="10" t="n">
        <v>45685.27760416667</v>
      </c>
      <c r="K1573" s="11" t="n">
        <v>0.002372685185185185</v>
      </c>
      <c r="L1573" s="13" t="n">
        <v>0</v>
      </c>
    </row>
    <row r="1574">
      <c r="A1574" s="3" t="inlineStr">
        <is>
          <t>IncomingTrainPreparation</t>
        </is>
      </c>
      <c r="B1574" s="3" t="inlineStr">
        <is>
          <t>Act_ITP_10273_071510_703</t>
        </is>
      </c>
      <c r="C1574" s="3" t="inlineStr">
        <is>
          <t>10273</t>
        </is>
      </c>
      <c r="D1574" s="9" t="n">
        <v>299.9</v>
      </c>
      <c r="E1574" s="3" t="n"/>
      <c r="F1574" s="3" t="n"/>
      <c r="G1574" s="9" t="n"/>
      <c r="H1574" s="10" t="n">
        <v>45685.30219907407</v>
      </c>
      <c r="I1574" s="10" t="n">
        <v>45685.30497685185</v>
      </c>
      <c r="J1574" s="10" t="n">
        <v>45685.31386574074</v>
      </c>
      <c r="K1574" s="11" t="n">
        <v>0.008888888888888889</v>
      </c>
      <c r="L1574" s="13" t="n">
        <v>6</v>
      </c>
    </row>
    <row r="1575">
      <c r="A1575" s="3" t="inlineStr">
        <is>
          <t>IncomingTrainPreparation</t>
        </is>
      </c>
      <c r="B1575" s="3" t="inlineStr">
        <is>
          <t>Act_ITP_10274_073341_727</t>
        </is>
      </c>
      <c r="C1575" s="3" t="inlineStr">
        <is>
          <t>10274</t>
        </is>
      </c>
      <c r="D1575" s="9" t="n">
        <v>157.5</v>
      </c>
      <c r="E1575" s="3" t="n"/>
      <c r="F1575" s="3" t="n"/>
      <c r="G1575" s="9" t="n"/>
      <c r="H1575" s="10" t="n">
        <v>45685.31505787037</v>
      </c>
      <c r="I1575" s="10" t="n">
        <v>45685.31783564815</v>
      </c>
      <c r="J1575" s="10" t="n">
        <v>45685.3191087963</v>
      </c>
      <c r="K1575" s="11" t="n">
        <v>0.001273148148148148</v>
      </c>
      <c r="L1575" s="13" t="n">
        <v>0</v>
      </c>
    </row>
    <row r="1576">
      <c r="A1576" s="3" t="inlineStr">
        <is>
          <t>IncomingTrainPreparation</t>
        </is>
      </c>
      <c r="B1576" s="3" t="inlineStr">
        <is>
          <t>Act_ITP_10275_074432_725</t>
        </is>
      </c>
      <c r="C1576" s="3" t="inlineStr">
        <is>
          <t>10275</t>
        </is>
      </c>
      <c r="D1576" s="9" t="n">
        <v>398</v>
      </c>
      <c r="E1576" s="3" t="n"/>
      <c r="F1576" s="3" t="n"/>
      <c r="G1576" s="9" t="n"/>
      <c r="H1576" s="10" t="n">
        <v>45685.32259259259</v>
      </c>
      <c r="I1576" s="10" t="n">
        <v>45685.32537037037</v>
      </c>
      <c r="J1576" s="10" t="n">
        <v>45685.32859953704</v>
      </c>
      <c r="K1576" s="11" t="n">
        <v>0.003229166666666667</v>
      </c>
      <c r="L1576" s="13" t="n">
        <v>0</v>
      </c>
    </row>
    <row r="1577">
      <c r="A1577" s="3" t="inlineStr">
        <is>
          <t>IncomingTrainPreparation</t>
        </is>
      </c>
      <c r="B1577" s="3" t="inlineStr">
        <is>
          <t>Act_ITP_10276_084903_727</t>
        </is>
      </c>
      <c r="C1577" s="3" t="inlineStr">
        <is>
          <t>10276</t>
        </is>
      </c>
      <c r="D1577" s="9" t="n">
        <v>584.2</v>
      </c>
      <c r="E1577" s="3" t="n"/>
      <c r="F1577" s="3" t="n"/>
      <c r="G1577" s="9" t="n"/>
      <c r="H1577" s="10" t="n">
        <v>45685.36739583333</v>
      </c>
      <c r="I1577" s="10" t="n">
        <v>45685.37017361111</v>
      </c>
      <c r="J1577" s="10" t="n">
        <v>45685.38888888889</v>
      </c>
      <c r="K1577" s="11" t="n">
        <v>0.01871527777777778</v>
      </c>
      <c r="L1577" s="13" t="n">
        <v>13</v>
      </c>
    </row>
    <row r="1578">
      <c r="A1578" s="3" t="inlineStr">
        <is>
          <t>IncomingTrainPreparation</t>
        </is>
      </c>
      <c r="B1578" s="3" t="inlineStr">
        <is>
          <t>Act_ITP_10277_090828_703</t>
        </is>
      </c>
      <c r="C1578" s="3" t="inlineStr">
        <is>
          <t>10277</t>
        </is>
      </c>
      <c r="D1578" s="9" t="n">
        <v>222.8</v>
      </c>
      <c r="E1578" s="3" t="n"/>
      <c r="F1578" s="3" t="n"/>
      <c r="G1578" s="9" t="n"/>
      <c r="H1578" s="10" t="n">
        <v>45685.38087962963</v>
      </c>
      <c r="I1578" s="10" t="n">
        <v>45685.38365740741</v>
      </c>
      <c r="J1578" s="10" t="n">
        <v>45685.38652777778</v>
      </c>
      <c r="K1578" s="11" t="n">
        <v>0.00287037037037037</v>
      </c>
      <c r="L1578" s="13" t="n">
        <v>1</v>
      </c>
    </row>
    <row r="1579">
      <c r="A1579" s="3" t="inlineStr">
        <is>
          <t>IncomingTrainPreparation</t>
        </is>
      </c>
      <c r="B1579" s="3" t="inlineStr">
        <is>
          <t>Act_ITP_10278_103254_703</t>
        </is>
      </c>
      <c r="C1579" s="3" t="inlineStr">
        <is>
          <t>10278</t>
        </is>
      </c>
      <c r="D1579" s="9" t="n">
        <v>273</v>
      </c>
      <c r="E1579" s="3" t="n"/>
      <c r="F1579" s="3" t="n"/>
      <c r="G1579" s="9" t="n"/>
      <c r="H1579" s="10" t="n">
        <v>45685.43951388889</v>
      </c>
      <c r="I1579" s="10" t="n">
        <v>45685.44229166667</v>
      </c>
      <c r="J1579" s="10" t="n">
        <v>45685.44681712963</v>
      </c>
      <c r="K1579" s="11" t="n">
        <v>0.004525462962962963</v>
      </c>
      <c r="L1579" s="13" t="n">
        <v>2</v>
      </c>
    </row>
    <row r="1580">
      <c r="A1580" s="3" t="inlineStr">
        <is>
          <t>IncomingTrainPreparation</t>
        </is>
      </c>
      <c r="B1580" s="3" t="inlineStr">
        <is>
          <t>Act_ITP_10279_125857_703</t>
        </is>
      </c>
      <c r="C1580" s="3" t="inlineStr">
        <is>
          <t>10279</t>
        </is>
      </c>
      <c r="D1580" s="9" t="n">
        <v>291.9</v>
      </c>
      <c r="E1580" s="3" t="n"/>
      <c r="F1580" s="3" t="n"/>
      <c r="G1580" s="9" t="n"/>
      <c r="H1580" s="10" t="n">
        <v>45685.5409375</v>
      </c>
      <c r="I1580" s="10" t="n">
        <v>45685.54371527778</v>
      </c>
      <c r="J1580" s="10" t="n">
        <v>45685.54584490741</v>
      </c>
      <c r="K1580" s="11" t="n">
        <v>0.00212962962962963</v>
      </c>
      <c r="L1580" s="13" t="n">
        <v>0</v>
      </c>
    </row>
    <row r="1581">
      <c r="A1581" s="3" t="inlineStr">
        <is>
          <t>IncomingTrainPreparation</t>
        </is>
      </c>
      <c r="B1581" s="3" t="inlineStr">
        <is>
          <t>Act_ITP_10280_141838_703</t>
        </is>
      </c>
      <c r="C1581" s="3" t="inlineStr">
        <is>
          <t>10280</t>
        </is>
      </c>
      <c r="D1581" s="9" t="n">
        <v>389.8</v>
      </c>
      <c r="E1581" s="3" t="n"/>
      <c r="F1581" s="3" t="n"/>
      <c r="G1581" s="9" t="n"/>
      <c r="H1581" s="10" t="n">
        <v>45685.59627314815</v>
      </c>
      <c r="I1581" s="10" t="n">
        <v>45685.59905092593</v>
      </c>
      <c r="J1581" s="10" t="n">
        <v>45685.60233796296</v>
      </c>
      <c r="K1581" s="11" t="n">
        <v>0.003287037037037037</v>
      </c>
      <c r="L1581" s="13" t="n">
        <v>0</v>
      </c>
    </row>
    <row r="1582">
      <c r="A1582" s="3" t="inlineStr">
        <is>
          <t>IncomingTrainPreparation</t>
        </is>
      </c>
      <c r="B1582" s="3" t="inlineStr">
        <is>
          <t>Act_ITP_10281_142849_727</t>
        </is>
      </c>
      <c r="C1582" s="3" t="inlineStr">
        <is>
          <t>10281</t>
        </is>
      </c>
      <c r="D1582" s="9" t="n">
        <v>558.1</v>
      </c>
      <c r="E1582" s="3" t="n"/>
      <c r="F1582" s="3" t="n"/>
      <c r="G1582" s="9" t="n"/>
      <c r="H1582" s="10" t="n">
        <v>45685.60334490741</v>
      </c>
      <c r="I1582" s="10" t="n">
        <v>45685.60612268518</v>
      </c>
      <c r="J1582" s="10" t="n">
        <v>45685.61972222223</v>
      </c>
      <c r="K1582" s="11" t="n">
        <v>0.01359953703703704</v>
      </c>
      <c r="L1582" s="13" t="n">
        <v>8</v>
      </c>
    </row>
    <row r="1583">
      <c r="A1583" s="3" t="inlineStr">
        <is>
          <t>IncomingTrainPreparation</t>
        </is>
      </c>
      <c r="B1583" s="3" t="inlineStr">
        <is>
          <t>Act_ITP_10282_153244_731</t>
        </is>
      </c>
      <c r="C1583" s="3" t="inlineStr">
        <is>
          <t>10282</t>
        </is>
      </c>
      <c r="D1583" s="9" t="n">
        <v>31.5</v>
      </c>
      <c r="E1583" s="3" t="n"/>
      <c r="F1583" s="3" t="n"/>
      <c r="G1583" s="9" t="n"/>
      <c r="H1583" s="10" t="n">
        <v>45685.64773148148</v>
      </c>
      <c r="I1583" s="10" t="n">
        <v>45685.65050925926</v>
      </c>
      <c r="J1583" s="10" t="n">
        <v>45685.65076388889</v>
      </c>
      <c r="K1583" s="11" t="n">
        <v>0.0002546296296296296</v>
      </c>
      <c r="L1583" s="13" t="n">
        <v>0</v>
      </c>
    </row>
    <row r="1584">
      <c r="A1584" s="3" t="inlineStr">
        <is>
          <t>IncomingTrainPreparation</t>
        </is>
      </c>
      <c r="B1584" s="3" t="inlineStr">
        <is>
          <t>Act_ITP_10283_193144_703</t>
        </is>
      </c>
      <c r="C1584" s="3" t="inlineStr">
        <is>
          <t>10283</t>
        </is>
      </c>
      <c r="D1584" s="9" t="n">
        <v>232.7</v>
      </c>
      <c r="E1584" s="3" t="n"/>
      <c r="F1584" s="3" t="n"/>
      <c r="G1584" s="9" t="n"/>
      <c r="H1584" s="10" t="n">
        <v>45685.8137037037</v>
      </c>
      <c r="I1584" s="10" t="n">
        <v>45685.81648148148</v>
      </c>
      <c r="J1584" s="10" t="n">
        <v>45685.81829861111</v>
      </c>
      <c r="K1584" s="11" t="n">
        <v>0.00181712962962963</v>
      </c>
      <c r="L1584" s="13" t="n">
        <v>0</v>
      </c>
    </row>
    <row r="1585">
      <c r="A1585" s="3" t="inlineStr">
        <is>
          <t>IncomingTrainPreparation</t>
        </is>
      </c>
      <c r="B1585" s="3" t="inlineStr">
        <is>
          <t>Act_ITP_10284_210216_703</t>
        </is>
      </c>
      <c r="C1585" s="3" t="inlineStr">
        <is>
          <t>10284</t>
        </is>
      </c>
      <c r="D1585" s="9" t="n">
        <v>397.3</v>
      </c>
      <c r="E1585" s="3" t="n"/>
      <c r="F1585" s="3" t="n"/>
      <c r="G1585" s="9" t="n"/>
      <c r="H1585" s="10" t="n">
        <v>45685.87657407407</v>
      </c>
      <c r="I1585" s="10" t="n">
        <v>45685.87935185185</v>
      </c>
      <c r="J1585" s="10" t="n">
        <v>45685.88246527778</v>
      </c>
      <c r="K1585" s="11" t="n">
        <v>0.003113425925925926</v>
      </c>
      <c r="L1585" s="13" t="n">
        <v>0</v>
      </c>
    </row>
    <row r="1586">
      <c r="A1586" s="3" t="inlineStr">
        <is>
          <t>IncomingTrainPreparation</t>
        </is>
      </c>
      <c r="B1586" s="3" t="inlineStr">
        <is>
          <t>Act_ITP_10285_024638_703</t>
        </is>
      </c>
      <c r="C1586" s="3" t="inlineStr">
        <is>
          <t>10285</t>
        </is>
      </c>
      <c r="D1586" s="9" t="n">
        <v>260.3</v>
      </c>
      <c r="E1586" s="3" t="n"/>
      <c r="F1586" s="3" t="n"/>
      <c r="G1586" s="9" t="n"/>
      <c r="H1586" s="10" t="n">
        <v>45686.11571759259</v>
      </c>
      <c r="I1586" s="10" t="n">
        <v>45686.11849537037</v>
      </c>
      <c r="J1586" s="10" t="n">
        <v>45686.12355324074</v>
      </c>
      <c r="K1586" s="11" t="n">
        <v>0.005057870370370371</v>
      </c>
      <c r="L1586" s="13" t="n">
        <v>3</v>
      </c>
    </row>
    <row r="1587">
      <c r="A1587" s="3" t="inlineStr">
        <is>
          <t>IncomingTrainPreparation</t>
        </is>
      </c>
      <c r="B1587" s="3" t="inlineStr">
        <is>
          <t>Act_ITP_10286_042112_703</t>
        </is>
      </c>
      <c r="C1587" s="3" t="inlineStr">
        <is>
          <t>10286</t>
        </is>
      </c>
      <c r="D1587" s="9" t="n">
        <v>106.9</v>
      </c>
      <c r="E1587" s="3" t="n"/>
      <c r="F1587" s="3" t="n"/>
      <c r="G1587" s="9" t="n"/>
      <c r="H1587" s="10" t="n">
        <v>45686.18138888889</v>
      </c>
      <c r="I1587" s="10" t="n">
        <v>45686.18416666667</v>
      </c>
      <c r="J1587" s="10" t="n">
        <v>45686.185</v>
      </c>
      <c r="K1587" s="11" t="n">
        <v>0.0008333333333333334</v>
      </c>
      <c r="L1587" s="13" t="n">
        <v>0</v>
      </c>
    </row>
    <row r="1588">
      <c r="A1588" s="3" t="inlineStr">
        <is>
          <t>IncomingTrainPreparation</t>
        </is>
      </c>
      <c r="B1588" s="3" t="inlineStr">
        <is>
          <t>Act_ITP_10287_061750_703</t>
        </is>
      </c>
      <c r="C1588" s="3" t="inlineStr">
        <is>
          <t>10287</t>
        </is>
      </c>
      <c r="D1588" s="9" t="n">
        <v>297</v>
      </c>
      <c r="E1588" s="3" t="n"/>
      <c r="F1588" s="3" t="n"/>
      <c r="G1588" s="9" t="n"/>
      <c r="H1588" s="10" t="n">
        <v>45686.26238425926</v>
      </c>
      <c r="I1588" s="10" t="n">
        <v>45686.26516203704</v>
      </c>
      <c r="J1588" s="10" t="n">
        <v>45686.26747685186</v>
      </c>
      <c r="K1588" s="11" t="n">
        <v>0.002314814814814815</v>
      </c>
      <c r="L1588" s="13" t="n">
        <v>0</v>
      </c>
    </row>
    <row r="1589">
      <c r="A1589" s="3" t="inlineStr">
        <is>
          <t>IncomingTrainPreparation</t>
        </is>
      </c>
      <c r="B1589" s="3" t="inlineStr">
        <is>
          <t>Act_ITP_10288_071955_703</t>
        </is>
      </c>
      <c r="C1589" s="3" t="inlineStr">
        <is>
          <t>10288</t>
        </is>
      </c>
      <c r="D1589" s="9" t="n">
        <v>397.3</v>
      </c>
      <c r="E1589" s="3" t="n"/>
      <c r="F1589" s="3" t="n"/>
      <c r="G1589" s="9" t="n"/>
      <c r="H1589" s="10" t="n">
        <v>45686.30549768519</v>
      </c>
      <c r="I1589" s="10" t="n">
        <v>45686.30827546296</v>
      </c>
      <c r="J1589" s="10" t="n">
        <v>45686.31138888889</v>
      </c>
      <c r="K1589" s="11" t="n">
        <v>0.003113425925925926</v>
      </c>
      <c r="L1589" s="13" t="n">
        <v>0</v>
      </c>
    </row>
    <row r="1590">
      <c r="A1590" s="3" t="inlineStr">
        <is>
          <t>IncomingTrainPreparation</t>
        </is>
      </c>
      <c r="B1590" s="3" t="inlineStr">
        <is>
          <t>Act_ITP_10289_073131_727</t>
        </is>
      </c>
      <c r="C1590" s="3" t="inlineStr">
        <is>
          <t>10289</t>
        </is>
      </c>
      <c r="D1590" s="9" t="n">
        <v>129.3</v>
      </c>
      <c r="E1590" s="3" t="n"/>
      <c r="F1590" s="3" t="n"/>
      <c r="G1590" s="9" t="n"/>
      <c r="H1590" s="10" t="n">
        <v>45686.31355324074</v>
      </c>
      <c r="I1590" s="10" t="n">
        <v>45686.31633101852</v>
      </c>
      <c r="J1590" s="10" t="n">
        <v>45686.31734953704</v>
      </c>
      <c r="K1590" s="11" t="n">
        <v>0.001018518518518518</v>
      </c>
      <c r="L1590" s="13" t="n">
        <v>0</v>
      </c>
    </row>
    <row r="1591">
      <c r="A1591" s="3" t="inlineStr">
        <is>
          <t>IncomingTrainPreparation</t>
        </is>
      </c>
      <c r="B1591" s="3" t="inlineStr">
        <is>
          <t>Act_ITP_10290_082109_703</t>
        </is>
      </c>
      <c r="C1591" s="3" t="inlineStr">
        <is>
          <t>10290</t>
        </is>
      </c>
      <c r="D1591" s="9" t="n">
        <v>79.5</v>
      </c>
      <c r="E1591" s="3" t="n"/>
      <c r="F1591" s="3" t="n"/>
      <c r="G1591" s="9" t="n"/>
      <c r="H1591" s="10" t="n">
        <v>45686.34802083333</v>
      </c>
      <c r="I1591" s="10" t="n">
        <v>45686.35079861111</v>
      </c>
      <c r="J1591" s="10" t="n">
        <v>45686.35241898148</v>
      </c>
      <c r="K1591" s="11" t="n">
        <v>0.00162037037037037</v>
      </c>
      <c r="L1591" s="13" t="n">
        <v>1</v>
      </c>
    </row>
    <row r="1592">
      <c r="A1592" s="3" t="inlineStr">
        <is>
          <t>IncomingTrainPreparation</t>
        </is>
      </c>
      <c r="B1592" s="3" t="inlineStr">
        <is>
          <t>Act_ITP_10291_090516_703</t>
        </is>
      </c>
      <c r="C1592" s="3" t="inlineStr">
        <is>
          <t>10291</t>
        </is>
      </c>
      <c r="D1592" s="9" t="n">
        <v>436</v>
      </c>
      <c r="E1592" s="3" t="n"/>
      <c r="F1592" s="3" t="n"/>
      <c r="G1592" s="9" t="n"/>
      <c r="H1592" s="10" t="n">
        <v>45686.3786574074</v>
      </c>
      <c r="I1592" s="10" t="n">
        <v>45686.38143518518</v>
      </c>
      <c r="J1592" s="10" t="n">
        <v>45686.39427083333</v>
      </c>
      <c r="K1592" s="11" t="n">
        <v>0.01283564814814815</v>
      </c>
      <c r="L1592" s="13" t="n">
        <v>9</v>
      </c>
    </row>
    <row r="1593">
      <c r="A1593" s="3" t="inlineStr">
        <is>
          <t>IncomingTrainPreparation</t>
        </is>
      </c>
      <c r="B1593" s="3" t="inlineStr">
        <is>
          <t>Act_ITP_10292_103256_703</t>
        </is>
      </c>
      <c r="C1593" s="3" t="inlineStr">
        <is>
          <t>10292</t>
        </is>
      </c>
      <c r="D1593" s="9" t="n">
        <v>241.3</v>
      </c>
      <c r="E1593" s="3" t="n"/>
      <c r="F1593" s="3" t="n"/>
      <c r="G1593" s="9" t="n"/>
      <c r="H1593" s="10" t="n">
        <v>45686.43953703704</v>
      </c>
      <c r="I1593" s="10" t="n">
        <v>45686.44231481481</v>
      </c>
      <c r="J1593" s="10" t="n">
        <v>45686.44517361111</v>
      </c>
      <c r="K1593" s="11" t="n">
        <v>0.002858796296296296</v>
      </c>
      <c r="L1593" s="13" t="n">
        <v>1</v>
      </c>
    </row>
    <row r="1594">
      <c r="A1594" s="3" t="inlineStr">
        <is>
          <t>IncomingTrainPreparation</t>
        </is>
      </c>
      <c r="B1594" s="3" t="inlineStr">
        <is>
          <t>Act_ITP_10293_130727_703</t>
        </is>
      </c>
      <c r="C1594" s="3" t="inlineStr">
        <is>
          <t>10293</t>
        </is>
      </c>
      <c r="D1594" s="9" t="n">
        <v>259.7</v>
      </c>
      <c r="E1594" s="3" t="n"/>
      <c r="F1594" s="3" t="n"/>
      <c r="G1594" s="9" t="n"/>
      <c r="H1594" s="10" t="n">
        <v>45686.54684027778</v>
      </c>
      <c r="I1594" s="10" t="n">
        <v>45686.54961805556</v>
      </c>
      <c r="J1594" s="10" t="n">
        <v>45686.55168981481</v>
      </c>
      <c r="K1594" s="11" t="n">
        <v>0.002071759259259259</v>
      </c>
      <c r="L1594" s="13" t="n">
        <v>0</v>
      </c>
    </row>
    <row r="1595">
      <c r="A1595" s="3" t="inlineStr">
        <is>
          <t>IncomingTrainPreparation</t>
        </is>
      </c>
      <c r="B1595" s="3" t="inlineStr">
        <is>
          <t>Act_ITP_10294_143227_703</t>
        </is>
      </c>
      <c r="C1595" s="3" t="inlineStr">
        <is>
          <t>10294</t>
        </is>
      </c>
      <c r="D1595" s="9" t="n">
        <v>398</v>
      </c>
      <c r="E1595" s="3" t="n"/>
      <c r="F1595" s="3" t="n"/>
      <c r="G1595" s="9" t="n"/>
      <c r="H1595" s="10" t="n">
        <v>45686.60586805556</v>
      </c>
      <c r="I1595" s="10" t="n">
        <v>45686.60864583333</v>
      </c>
      <c r="J1595" s="10" t="n">
        <v>45686.61170138889</v>
      </c>
      <c r="K1595" s="11" t="n">
        <v>0.003055555555555556</v>
      </c>
      <c r="L1595" s="13" t="n">
        <v>0</v>
      </c>
    </row>
    <row r="1596">
      <c r="A1596" s="3" t="inlineStr">
        <is>
          <t>IncomingTrainPreparation</t>
        </is>
      </c>
      <c r="B1596" s="3" t="inlineStr">
        <is>
          <t>Act_ITP_10295_145347_703</t>
        </is>
      </c>
      <c r="C1596" s="3" t="inlineStr">
        <is>
          <t>10295</t>
        </is>
      </c>
      <c r="D1596" s="9" t="n">
        <v>504.1</v>
      </c>
      <c r="E1596" s="3" t="n"/>
      <c r="F1596" s="3" t="n"/>
      <c r="G1596" s="9" t="n"/>
      <c r="H1596" s="10" t="n">
        <v>45686.62068287037</v>
      </c>
      <c r="I1596" s="10" t="n">
        <v>45686.62346064814</v>
      </c>
      <c r="J1596" s="10" t="n">
        <v>45686.63789351852</v>
      </c>
      <c r="K1596" s="11" t="n">
        <v>0.01443287037037037</v>
      </c>
      <c r="L1596" s="13" t="n">
        <v>10</v>
      </c>
    </row>
    <row r="1597">
      <c r="A1597" s="3" t="inlineStr">
        <is>
          <t>IncomingTrainPreparation</t>
        </is>
      </c>
      <c r="B1597" s="3" t="inlineStr">
        <is>
          <t>Act_ITP_10296_155005_731</t>
        </is>
      </c>
      <c r="C1597" s="3" t="inlineStr">
        <is>
          <t>10296</t>
        </is>
      </c>
      <c r="D1597" s="9" t="n">
        <v>15.7</v>
      </c>
      <c r="E1597" s="3" t="n"/>
      <c r="F1597" s="3" t="n"/>
      <c r="G1597" s="9" t="n"/>
      <c r="H1597" s="10" t="n">
        <v>45686.6597800926</v>
      </c>
      <c r="I1597" s="10" t="n">
        <v>45686.66255787037</v>
      </c>
      <c r="J1597" s="10" t="n">
        <v>45686.66269675926</v>
      </c>
      <c r="K1597" s="11" t="n">
        <v>0.0001388888888888889</v>
      </c>
      <c r="L1597" s="13" t="n">
        <v>0</v>
      </c>
    </row>
    <row r="1598">
      <c r="A1598" s="3" t="inlineStr">
        <is>
          <t>IncomingTrainPreparation</t>
        </is>
      </c>
      <c r="B1598" s="3" t="inlineStr">
        <is>
          <t>Act_ITP_10297_173221_703</t>
        </is>
      </c>
      <c r="C1598" s="3" t="inlineStr">
        <is>
          <t>10297</t>
        </is>
      </c>
      <c r="D1598" s="9" t="n">
        <v>302.1</v>
      </c>
      <c r="E1598" s="3" t="n"/>
      <c r="F1598" s="3" t="n"/>
      <c r="G1598" s="9" t="n"/>
      <c r="H1598" s="10" t="n">
        <v>45686.73079861111</v>
      </c>
      <c r="I1598" s="10" t="n">
        <v>45686.73357638889</v>
      </c>
      <c r="J1598" s="10" t="n">
        <v>45686.73579861111</v>
      </c>
      <c r="K1598" s="11" t="n">
        <v>0.002222222222222222</v>
      </c>
      <c r="L1598" s="13" t="n">
        <v>0</v>
      </c>
    </row>
    <row r="1599">
      <c r="A1599" s="3" t="inlineStr">
        <is>
          <t>IncomingTrainPreparation</t>
        </is>
      </c>
      <c r="B1599" s="3" t="inlineStr">
        <is>
          <t>Act_ITP_10298_173853_727</t>
        </is>
      </c>
      <c r="C1599" s="3" t="inlineStr">
        <is>
          <t>10298</t>
        </is>
      </c>
      <c r="D1599" s="9" t="n">
        <v>377.4</v>
      </c>
      <c r="E1599" s="3" t="n"/>
      <c r="F1599" s="3" t="n"/>
      <c r="G1599" s="9" t="n"/>
      <c r="H1599" s="10" t="n">
        <v>45686.73533564815</v>
      </c>
      <c r="I1599" s="10" t="n">
        <v>45686.73811342593</v>
      </c>
      <c r="J1599" s="10" t="n">
        <v>45686.75237268519</v>
      </c>
      <c r="K1599" s="11" t="n">
        <v>0.01425925925925926</v>
      </c>
      <c r="L1599" s="13" t="n">
        <v>10</v>
      </c>
    </row>
    <row r="1600">
      <c r="A1600" s="3" t="inlineStr">
        <is>
          <t>IncomingTrainPreparation</t>
        </is>
      </c>
      <c r="B1600" s="3" t="inlineStr">
        <is>
          <t>Act_ITP_10299_204917_703</t>
        </is>
      </c>
      <c r="C1600" s="3" t="inlineStr">
        <is>
          <t>10299</t>
        </is>
      </c>
      <c r="D1600" s="9" t="n">
        <v>380.8</v>
      </c>
      <c r="E1600" s="3" t="n"/>
      <c r="F1600" s="3" t="n"/>
      <c r="G1600" s="9" t="n"/>
      <c r="H1600" s="10" t="n">
        <v>45686.86755787037</v>
      </c>
      <c r="I1600" s="10" t="n">
        <v>45686.87033564815</v>
      </c>
      <c r="J1600" s="10" t="n">
        <v>45686.87364583334</v>
      </c>
      <c r="K1600" s="11" t="n">
        <v>0.003310185185185185</v>
      </c>
      <c r="L1600" s="13" t="n">
        <v>0</v>
      </c>
    </row>
    <row r="1601">
      <c r="A1601" s="3" t="inlineStr">
        <is>
          <t>IncomingTrainPreparation</t>
        </is>
      </c>
      <c r="B1601" s="3" t="inlineStr">
        <is>
          <t>Act_ITP_10300_024435_703</t>
        </is>
      </c>
      <c r="C1601" s="3" t="inlineStr">
        <is>
          <t>10300</t>
        </is>
      </c>
      <c r="D1601" s="9" t="n">
        <v>136.9</v>
      </c>
      <c r="E1601" s="3" t="n"/>
      <c r="F1601" s="3" t="n"/>
      <c r="G1601" s="9" t="n"/>
      <c r="H1601" s="10" t="n">
        <v>45687.11429398148</v>
      </c>
      <c r="I1601" s="10" t="n">
        <v>45687.11707175926</v>
      </c>
      <c r="J1601" s="10" t="n">
        <v>45687.12230324074</v>
      </c>
      <c r="K1601" s="11" t="n">
        <v>0.005231481481481481</v>
      </c>
      <c r="L1601" s="13" t="n">
        <v>4</v>
      </c>
    </row>
    <row r="1602">
      <c r="A1602" s="3" t="inlineStr">
        <is>
          <t>IncomingTrainPreparation</t>
        </is>
      </c>
      <c r="B1602" s="3" t="inlineStr">
        <is>
          <t>Act_ITP_10301_062020_703</t>
        </is>
      </c>
      <c r="C1602" s="3" t="inlineStr">
        <is>
          <t>10301</t>
        </is>
      </c>
      <c r="D1602" s="9" t="n">
        <v>297</v>
      </c>
      <c r="E1602" s="3" t="n"/>
      <c r="F1602" s="3" t="n"/>
      <c r="G1602" s="9" t="n"/>
      <c r="H1602" s="10" t="n">
        <v>45687.26412037037</v>
      </c>
      <c r="I1602" s="10" t="n">
        <v>45687.26689814815</v>
      </c>
      <c r="J1602" s="10" t="n">
        <v>45687.26949074074</v>
      </c>
      <c r="K1602" s="11" t="n">
        <v>0.002592592592592593</v>
      </c>
      <c r="L1602" s="13" t="n">
        <v>0</v>
      </c>
    </row>
    <row r="1603">
      <c r="A1603" s="3" t="inlineStr">
        <is>
          <t>IncomingTrainPreparation</t>
        </is>
      </c>
      <c r="B1603" s="3" t="inlineStr">
        <is>
          <t>Act_ITP_10302_065910_703</t>
        </is>
      </c>
      <c r="C1603" s="3" t="inlineStr">
        <is>
          <t>10302</t>
        </is>
      </c>
      <c r="D1603" s="9" t="n">
        <v>336.5</v>
      </c>
      <c r="E1603" s="3" t="n"/>
      <c r="F1603" s="3" t="n"/>
      <c r="G1603" s="9" t="n"/>
      <c r="H1603" s="10" t="n">
        <v>45687.29108796296</v>
      </c>
      <c r="I1603" s="10" t="n">
        <v>45687.29386574074</v>
      </c>
      <c r="J1603" s="10" t="n">
        <v>45687.29646990741</v>
      </c>
      <c r="K1603" s="11" t="n">
        <v>0.002604166666666667</v>
      </c>
      <c r="L1603" s="13" t="n">
        <v>0</v>
      </c>
    </row>
    <row r="1604">
      <c r="A1604" s="3" t="inlineStr">
        <is>
          <t>IncomingTrainPreparation</t>
        </is>
      </c>
      <c r="B1604" s="3" t="inlineStr">
        <is>
          <t>Act_ITP_10303_071529_725</t>
        </is>
      </c>
      <c r="C1604" s="3" t="inlineStr">
        <is>
          <t>10303</t>
        </is>
      </c>
      <c r="D1604" s="9" t="n">
        <v>598.9</v>
      </c>
      <c r="E1604" s="3" t="n"/>
      <c r="F1604" s="3" t="n"/>
      <c r="G1604" s="9" t="n"/>
      <c r="H1604" s="10" t="n">
        <v>45687.30241898148</v>
      </c>
      <c r="I1604" s="10" t="n">
        <v>45687.30519675926</v>
      </c>
      <c r="J1604" s="10" t="n">
        <v>45687.32302083333</v>
      </c>
      <c r="K1604" s="11" t="n">
        <v>0.01782407407407408</v>
      </c>
      <c r="L1604" s="13" t="n">
        <v>11</v>
      </c>
    </row>
    <row r="1605">
      <c r="A1605" s="3" t="inlineStr">
        <is>
          <t>IncomingTrainPreparation</t>
        </is>
      </c>
      <c r="B1605" s="3" t="inlineStr">
        <is>
          <t>Act_ITP_10304_075509_703</t>
        </is>
      </c>
      <c r="C1605" s="3" t="inlineStr">
        <is>
          <t>10304</t>
        </is>
      </c>
      <c r="D1605" s="9" t="n">
        <v>380.8</v>
      </c>
      <c r="E1605" s="3" t="n"/>
      <c r="F1605" s="3" t="n"/>
      <c r="G1605" s="9" t="n"/>
      <c r="H1605" s="10" t="n">
        <v>45687.32996527778</v>
      </c>
      <c r="I1605" s="10" t="n">
        <v>45687.33274305556</v>
      </c>
      <c r="J1605" s="10" t="n">
        <v>45687.33605324074</v>
      </c>
      <c r="K1605" s="11" t="n">
        <v>0.003310185185185185</v>
      </c>
      <c r="L1605" s="13" t="n">
        <v>0</v>
      </c>
    </row>
    <row r="1606">
      <c r="A1606" s="3" t="inlineStr">
        <is>
          <t>IncomingTrainPreparation</t>
        </is>
      </c>
      <c r="B1606" s="3" t="inlineStr">
        <is>
          <t>Act_ITP_10305_082441_703</t>
        </is>
      </c>
      <c r="C1606" s="3" t="inlineStr">
        <is>
          <t>10305</t>
        </is>
      </c>
      <c r="D1606" s="9" t="n">
        <v>213.1</v>
      </c>
      <c r="E1606" s="3" t="n"/>
      <c r="F1606" s="3" t="n"/>
      <c r="G1606" s="9" t="n"/>
      <c r="H1606" s="10" t="n">
        <v>45687.35047453704</v>
      </c>
      <c r="I1606" s="10" t="n">
        <v>45687.35325231482</v>
      </c>
      <c r="J1606" s="10" t="n">
        <v>45687.35740740741</v>
      </c>
      <c r="K1606" s="11" t="n">
        <v>0.004155092592592592</v>
      </c>
      <c r="L1606" s="13" t="n">
        <v>2</v>
      </c>
    </row>
    <row r="1607">
      <c r="A1607" s="3" t="inlineStr">
        <is>
          <t>IncomingTrainPreparation</t>
        </is>
      </c>
      <c r="B1607" s="3" t="inlineStr">
        <is>
          <t>Act_ITP_10306_091107_703</t>
        </is>
      </c>
      <c r="C1607" s="3" t="inlineStr">
        <is>
          <t>10306</t>
        </is>
      </c>
      <c r="D1607" s="9" t="n">
        <v>355.8</v>
      </c>
      <c r="E1607" s="3" t="n"/>
      <c r="F1607" s="3" t="n"/>
      <c r="G1607" s="9" t="n"/>
      <c r="H1607" s="10" t="n">
        <v>45687.38271990741</v>
      </c>
      <c r="I1607" s="10" t="n">
        <v>45687.38549768519</v>
      </c>
      <c r="J1607" s="10" t="n">
        <v>45687.39346064815</v>
      </c>
      <c r="K1607" s="11" t="n">
        <v>0.007962962962962963</v>
      </c>
      <c r="L1607" s="13" t="n">
        <v>5</v>
      </c>
    </row>
    <row r="1608">
      <c r="A1608" s="3" t="inlineStr">
        <is>
          <t>IncomingTrainPreparation</t>
        </is>
      </c>
      <c r="B1608" s="3" t="inlineStr">
        <is>
          <t>Act_ITP_10307_095549_703</t>
        </is>
      </c>
      <c r="C1608" s="3" t="inlineStr">
        <is>
          <t>10307</t>
        </is>
      </c>
      <c r="D1608" s="9" t="n">
        <v>435.1</v>
      </c>
      <c r="E1608" s="3" t="n"/>
      <c r="F1608" s="3" t="n"/>
      <c r="G1608" s="9" t="n"/>
      <c r="H1608" s="10" t="n">
        <v>45687.41376157408</v>
      </c>
      <c r="I1608" s="10" t="n">
        <v>45687.41653935185</v>
      </c>
      <c r="J1608" s="10" t="n">
        <v>45687.42262731482</v>
      </c>
      <c r="K1608" s="11" t="n">
        <v>0.006087962962962963</v>
      </c>
      <c r="L1608" s="13" t="n">
        <v>2</v>
      </c>
    </row>
    <row r="1609">
      <c r="A1609" s="3" t="inlineStr">
        <is>
          <t>IncomingTrainPreparation</t>
        </is>
      </c>
      <c r="B1609" s="3" t="inlineStr">
        <is>
          <t>Act_ITP_10308_125950_703</t>
        </is>
      </c>
      <c r="C1609" s="3" t="inlineStr">
        <is>
          <t>10308</t>
        </is>
      </c>
      <c r="D1609" s="9" t="n">
        <v>291.7</v>
      </c>
      <c r="E1609" s="3" t="n"/>
      <c r="F1609" s="3" t="n"/>
      <c r="G1609" s="9" t="n"/>
      <c r="H1609" s="10" t="n">
        <v>45687.54155092593</v>
      </c>
      <c r="I1609" s="10" t="n">
        <v>45687.54432870371</v>
      </c>
      <c r="J1609" s="10" t="n">
        <v>45687.54658564815</v>
      </c>
      <c r="K1609" s="11" t="n">
        <v>0.002256944444444444</v>
      </c>
      <c r="L1609" s="13" t="n">
        <v>0</v>
      </c>
    </row>
    <row r="1610">
      <c r="A1610" s="3" t="inlineStr">
        <is>
          <t>IncomingTrainPreparation</t>
        </is>
      </c>
      <c r="B1610" s="3" t="inlineStr">
        <is>
          <t>Act_ITP_10309_143227_703</t>
        </is>
      </c>
      <c r="C1610" s="3" t="inlineStr">
        <is>
          <t>10309</t>
        </is>
      </c>
      <c r="D1610" s="9" t="n">
        <v>388.3</v>
      </c>
      <c r="E1610" s="3" t="n"/>
      <c r="F1610" s="3" t="n"/>
      <c r="G1610" s="9" t="n"/>
      <c r="H1610" s="10" t="n">
        <v>45687.60586805556</v>
      </c>
      <c r="I1610" s="10" t="n">
        <v>45687.60864583333</v>
      </c>
      <c r="J1610" s="10" t="n">
        <v>45687.61203703703</v>
      </c>
      <c r="K1610" s="11" t="n">
        <v>0.003391203703703704</v>
      </c>
      <c r="L1610" s="13" t="n">
        <v>0</v>
      </c>
    </row>
    <row r="1611">
      <c r="A1611" s="3" t="inlineStr">
        <is>
          <t>IncomingTrainPreparation</t>
        </is>
      </c>
      <c r="B1611" s="3" t="inlineStr">
        <is>
          <t>Act_ITP_10310_145430_703</t>
        </is>
      </c>
      <c r="C1611" s="3" t="inlineStr">
        <is>
          <t>10310</t>
        </is>
      </c>
      <c r="D1611" s="9" t="n">
        <v>267.5</v>
      </c>
      <c r="E1611" s="3" t="n"/>
      <c r="F1611" s="3" t="n"/>
      <c r="G1611" s="9" t="n"/>
      <c r="H1611" s="10" t="n">
        <v>45687.62118055556</v>
      </c>
      <c r="I1611" s="10" t="n">
        <v>45687.62395833333</v>
      </c>
      <c r="J1611" s="10" t="n">
        <v>45687.63332175926</v>
      </c>
      <c r="K1611" s="11" t="n">
        <v>0.009363425925925926</v>
      </c>
      <c r="L1611" s="13" t="n">
        <v>7</v>
      </c>
    </row>
    <row r="1612">
      <c r="A1612" s="3" t="inlineStr">
        <is>
          <t>IncomingTrainPreparation</t>
        </is>
      </c>
      <c r="B1612" s="3" t="inlineStr">
        <is>
          <t>Act_ITP_10311_153434_731</t>
        </is>
      </c>
      <c r="C1612" s="3" t="inlineStr">
        <is>
          <t>10311</t>
        </is>
      </c>
      <c r="D1612" s="9" t="n">
        <v>15.7</v>
      </c>
      <c r="E1612" s="3" t="n"/>
      <c r="F1612" s="3" t="n"/>
      <c r="G1612" s="9" t="n"/>
      <c r="H1612" s="10" t="n">
        <v>45687.64900462963</v>
      </c>
      <c r="I1612" s="10" t="n">
        <v>45687.65178240741</v>
      </c>
      <c r="J1612" s="10" t="n">
        <v>45687.6519212963</v>
      </c>
      <c r="K1612" s="11" t="n">
        <v>0.0001388888888888889</v>
      </c>
      <c r="L1612" s="13" t="n">
        <v>0</v>
      </c>
    </row>
    <row r="1613">
      <c r="A1613" s="3" t="inlineStr">
        <is>
          <t>IncomingTrainPreparation</t>
        </is>
      </c>
      <c r="B1613" s="3" t="inlineStr">
        <is>
          <t>Act_ITP_10312_172402_731</t>
        </is>
      </c>
      <c r="C1613" s="3" t="inlineStr">
        <is>
          <t>10312</t>
        </is>
      </c>
      <c r="D1613" s="9" t="n">
        <v>47.2</v>
      </c>
      <c r="E1613" s="3" t="n"/>
      <c r="F1613" s="3" t="n"/>
      <c r="G1613" s="9" t="n"/>
      <c r="H1613" s="10" t="n">
        <v>45687.72502314814</v>
      </c>
      <c r="I1613" s="10" t="n">
        <v>45687.72780092592</v>
      </c>
      <c r="J1613" s="10" t="n">
        <v>45687.72815972222</v>
      </c>
      <c r="K1613" s="11" t="n">
        <v>0.0003587962962962963</v>
      </c>
      <c r="L1613" s="13" t="n">
        <v>0</v>
      </c>
    </row>
    <row r="1614">
      <c r="A1614" s="3" t="inlineStr">
        <is>
          <t>IncomingTrainPreparation</t>
        </is>
      </c>
      <c r="B1614" s="3" t="inlineStr">
        <is>
          <t>Act_ITP_10313_194525_703</t>
        </is>
      </c>
      <c r="C1614" s="3" t="inlineStr">
        <is>
          <t>10313</t>
        </is>
      </c>
      <c r="D1614" s="9" t="n">
        <v>135.1</v>
      </c>
      <c r="E1614" s="3" t="n"/>
      <c r="F1614" s="3" t="n"/>
      <c r="G1614" s="9" t="n"/>
      <c r="H1614" s="10" t="n">
        <v>45687.82320601852</v>
      </c>
      <c r="I1614" s="10" t="n">
        <v>45687.8259837963</v>
      </c>
      <c r="J1614" s="10" t="n">
        <v>45687.82716435185</v>
      </c>
      <c r="K1614" s="11" t="n">
        <v>0.001180555555555556</v>
      </c>
      <c r="L1614" s="13" t="n">
        <v>0</v>
      </c>
    </row>
    <row r="1615">
      <c r="A1615" s="3" t="inlineStr">
        <is>
          <t>IncomingTrainPreparation</t>
        </is>
      </c>
      <c r="B1615" s="3" t="inlineStr">
        <is>
          <t>Act_ITP_10314_202854_703</t>
        </is>
      </c>
      <c r="C1615" s="3" t="inlineStr">
        <is>
          <t>10314</t>
        </is>
      </c>
      <c r="D1615" s="9" t="n">
        <v>389.1</v>
      </c>
      <c r="E1615" s="3" t="n"/>
      <c r="F1615" s="3" t="n"/>
      <c r="G1615" s="9" t="n"/>
      <c r="H1615" s="10" t="n">
        <v>45687.85340277778</v>
      </c>
      <c r="I1615" s="10" t="n">
        <v>45687.85618055556</v>
      </c>
      <c r="J1615" s="10" t="n">
        <v>45687.85920138889</v>
      </c>
      <c r="K1615" s="11" t="n">
        <v>0.003020833333333333</v>
      </c>
      <c r="L1615" s="13" t="n">
        <v>0</v>
      </c>
    </row>
    <row r="1616">
      <c r="A1616" s="3" t="inlineStr">
        <is>
          <t>IncomingTrainPreparation</t>
        </is>
      </c>
      <c r="B1616" s="3" t="inlineStr">
        <is>
          <t>Act_ITP_10315_024928_703</t>
        </is>
      </c>
      <c r="C1616" s="3" t="inlineStr">
        <is>
          <t>10315</t>
        </is>
      </c>
      <c r="D1616" s="9" t="n">
        <v>199.9</v>
      </c>
      <c r="E1616" s="3" t="n"/>
      <c r="F1616" s="3" t="n"/>
      <c r="G1616" s="9" t="n"/>
      <c r="H1616" s="10" t="n">
        <v>45688.11768518519</v>
      </c>
      <c r="I1616" s="10" t="n">
        <v>45688.12046296296</v>
      </c>
      <c r="J1616" s="10" t="n">
        <v>45688.12679398148</v>
      </c>
      <c r="K1616" s="11" t="n">
        <v>0.006331018518518519</v>
      </c>
      <c r="L1616" s="13" t="n">
        <v>4</v>
      </c>
    </row>
    <row r="1617">
      <c r="A1617" s="3" t="inlineStr">
        <is>
          <t>IncomingTrainPreparation</t>
        </is>
      </c>
      <c r="B1617" s="3" t="inlineStr">
        <is>
          <t>Act_ITP_10316_042926_703</t>
        </is>
      </c>
      <c r="C1617" s="3" t="inlineStr">
        <is>
          <t>10316</t>
        </is>
      </c>
      <c r="D1617" s="9" t="n">
        <v>238.6</v>
      </c>
      <c r="E1617" s="3" t="n"/>
      <c r="F1617" s="3" t="n"/>
      <c r="G1617" s="9" t="n"/>
      <c r="H1617" s="10" t="n">
        <v>45688.18710648148</v>
      </c>
      <c r="I1617" s="10" t="n">
        <v>45688.18988425926</v>
      </c>
      <c r="J1617" s="10" t="n">
        <v>45688.19173611111</v>
      </c>
      <c r="K1617" s="11" t="n">
        <v>0.001851851851851852</v>
      </c>
      <c r="L1617" s="13" t="n">
        <v>0</v>
      </c>
    </row>
    <row r="1618">
      <c r="A1618" s="3" t="inlineStr">
        <is>
          <t>IncomingTrainPreparation</t>
        </is>
      </c>
      <c r="B1618" s="3" t="inlineStr">
        <is>
          <t>Act_ITP_10317_055944_703</t>
        </is>
      </c>
      <c r="C1618" s="3" t="inlineStr">
        <is>
          <t>10317</t>
        </is>
      </c>
      <c r="D1618" s="9" t="n">
        <v>297</v>
      </c>
      <c r="E1618" s="3" t="n"/>
      <c r="F1618" s="3" t="n"/>
      <c r="G1618" s="9" t="n"/>
      <c r="H1618" s="10" t="n">
        <v>45688.24981481482</v>
      </c>
      <c r="I1618" s="10" t="n">
        <v>45688.25259259259</v>
      </c>
      <c r="J1618" s="10" t="n">
        <v>45688.25518518518</v>
      </c>
      <c r="K1618" s="11" t="n">
        <v>0.002592592592592593</v>
      </c>
      <c r="L1618" s="13" t="n">
        <v>0</v>
      </c>
    </row>
    <row r="1619">
      <c r="A1619" s="3" t="inlineStr">
        <is>
          <t>IncomingTrainPreparation</t>
        </is>
      </c>
      <c r="B1619" s="3" t="inlineStr">
        <is>
          <t>Act_ITP_10318_070151_703</t>
        </is>
      </c>
      <c r="C1619" s="3" t="inlineStr">
        <is>
          <t>10318</t>
        </is>
      </c>
      <c r="D1619" s="9" t="n">
        <v>74.59999999999999</v>
      </c>
      <c r="E1619" s="3" t="n"/>
      <c r="F1619" s="3" t="n"/>
      <c r="G1619" s="9" t="n"/>
      <c r="H1619" s="10" t="n">
        <v>45688.29295138889</v>
      </c>
      <c r="I1619" s="10" t="n">
        <v>45688.29572916667</v>
      </c>
      <c r="J1619" s="10" t="n">
        <v>45688.29630787037</v>
      </c>
      <c r="K1619" s="11" t="n">
        <v>0.0005787037037037037</v>
      </c>
      <c r="L1619" s="13" t="n">
        <v>0</v>
      </c>
    </row>
    <row r="1620">
      <c r="A1620" s="3" t="inlineStr">
        <is>
          <t>IncomingTrainPreparation</t>
        </is>
      </c>
      <c r="B1620" s="3" t="inlineStr">
        <is>
          <t>Act_ITP_10319_070705_727</t>
        </is>
      </c>
      <c r="C1620" s="3" t="inlineStr">
        <is>
          <t>10319</t>
        </is>
      </c>
      <c r="D1620" s="9" t="n">
        <v>585.3</v>
      </c>
      <c r="E1620" s="3" t="n"/>
      <c r="F1620" s="3" t="n"/>
      <c r="G1620" s="9" t="n"/>
      <c r="H1620" s="10" t="n">
        <v>45688.29658564815</v>
      </c>
      <c r="I1620" s="10" t="n">
        <v>45688.29936342593</v>
      </c>
      <c r="J1620" s="10" t="n">
        <v>45688.31304398148</v>
      </c>
      <c r="K1620" s="11" t="n">
        <v>0.01368055555555556</v>
      </c>
      <c r="L1620" s="13" t="n">
        <v>10</v>
      </c>
    </row>
    <row r="1621">
      <c r="A1621" s="3" t="inlineStr">
        <is>
          <t>IncomingTrainPreparation</t>
        </is>
      </c>
      <c r="B1621" s="3" t="inlineStr">
        <is>
          <t>Act_ITP_10320_080413_703</t>
        </is>
      </c>
      <c r="C1621" s="3" t="inlineStr">
        <is>
          <t>10320</t>
        </is>
      </c>
      <c r="D1621" s="9" t="n">
        <v>381.6</v>
      </c>
      <c r="E1621" s="3" t="n"/>
      <c r="F1621" s="3" t="n"/>
      <c r="G1621" s="9" t="n"/>
      <c r="H1621" s="10" t="n">
        <v>45688.33626157408</v>
      </c>
      <c r="I1621" s="10" t="n">
        <v>45688.33903935185</v>
      </c>
      <c r="J1621" s="10" t="n">
        <v>45688.34184027778</v>
      </c>
      <c r="K1621" s="11" t="n">
        <v>0.002800925925925926</v>
      </c>
      <c r="L1621" s="13" t="n">
        <v>0</v>
      </c>
    </row>
    <row r="1622">
      <c r="A1622" s="3" t="inlineStr">
        <is>
          <t>IncomingTrainPreparation</t>
        </is>
      </c>
      <c r="B1622" s="3" t="inlineStr">
        <is>
          <t>Act_ITP_10321_085456_703</t>
        </is>
      </c>
      <c r="C1622" s="3" t="inlineStr">
        <is>
          <t>10321</t>
        </is>
      </c>
      <c r="D1622" s="9" t="n">
        <v>237.1</v>
      </c>
      <c r="E1622" s="3" t="n"/>
      <c r="F1622" s="3" t="n"/>
      <c r="G1622" s="9" t="n"/>
      <c r="H1622" s="10" t="n">
        <v>45688.37148148148</v>
      </c>
      <c r="I1622" s="10" t="n">
        <v>45688.37425925926</v>
      </c>
      <c r="J1622" s="10" t="n">
        <v>45688.37717592593</v>
      </c>
      <c r="K1622" s="11" t="n">
        <v>0.002916666666666667</v>
      </c>
      <c r="L1622" s="13" t="n">
        <v>1</v>
      </c>
    </row>
    <row r="1623">
      <c r="A1623" s="3" t="inlineStr">
        <is>
          <t>IncomingTrainPreparation</t>
        </is>
      </c>
      <c r="B1623" s="3" t="inlineStr">
        <is>
          <t>Act_ITP_10322_090224_727</t>
        </is>
      </c>
      <c r="C1623" s="3" t="inlineStr">
        <is>
          <t>10322</t>
        </is>
      </c>
      <c r="D1623" s="9" t="n">
        <v>376.6</v>
      </c>
      <c r="E1623" s="3" t="n"/>
      <c r="F1623" s="3" t="n"/>
      <c r="G1623" s="9" t="n"/>
      <c r="H1623" s="10" t="n">
        <v>45688.37666666666</v>
      </c>
      <c r="I1623" s="10" t="n">
        <v>45688.37944444444</v>
      </c>
      <c r="J1623" s="10" t="n">
        <v>45688.38976851852</v>
      </c>
      <c r="K1623" s="11" t="n">
        <v>0.01032407407407407</v>
      </c>
      <c r="L1623" s="13" t="n">
        <v>7</v>
      </c>
    </row>
    <row r="1624">
      <c r="A1624" s="3" t="inlineStr">
        <is>
          <t>IncomingTrainPreparation</t>
        </is>
      </c>
      <c r="B1624" s="3" t="inlineStr">
        <is>
          <t>Act_ITP_10323_103603_703</t>
        </is>
      </c>
      <c r="C1624" s="3" t="inlineStr">
        <is>
          <t>10323</t>
        </is>
      </c>
      <c r="D1624" s="9" t="n">
        <v>445.4</v>
      </c>
      <c r="E1624" s="3" t="n"/>
      <c r="F1624" s="3" t="n"/>
      <c r="G1624" s="9" t="n"/>
      <c r="H1624" s="10" t="n">
        <v>45688.44170138889</v>
      </c>
      <c r="I1624" s="10" t="n">
        <v>45688.44447916667</v>
      </c>
      <c r="J1624" s="10" t="n">
        <v>45688.45041666667</v>
      </c>
      <c r="K1624" s="11" t="n">
        <v>0.0059375</v>
      </c>
      <c r="L1624" s="13" t="n">
        <v>2</v>
      </c>
    </row>
    <row r="1625">
      <c r="A1625" s="3" t="inlineStr">
        <is>
          <t>IncomingTrainPreparation</t>
        </is>
      </c>
      <c r="B1625" s="3" t="inlineStr">
        <is>
          <t>Act_ITP_10324_122953_703</t>
        </is>
      </c>
      <c r="C1625" s="3" t="inlineStr">
        <is>
          <t>10324</t>
        </is>
      </c>
      <c r="D1625" s="9" t="n">
        <v>247.3</v>
      </c>
      <c r="E1625" s="3" t="n"/>
      <c r="F1625" s="3" t="n"/>
      <c r="G1625" s="9" t="n"/>
      <c r="H1625" s="10" t="n">
        <v>45688.52075231481</v>
      </c>
      <c r="I1625" s="10" t="n">
        <v>45688.52353009259</v>
      </c>
      <c r="J1625" s="10" t="n">
        <v>45688.52538194445</v>
      </c>
      <c r="K1625" s="11" t="n">
        <v>0.001851851851851852</v>
      </c>
      <c r="L1625" s="13" t="n">
        <v>0</v>
      </c>
    </row>
    <row r="1626">
      <c r="A1626" s="3" t="inlineStr">
        <is>
          <t>IncomingTrainPreparation</t>
        </is>
      </c>
      <c r="B1626" s="3" t="inlineStr">
        <is>
          <t>Act_ITP_10325_141438_703</t>
        </is>
      </c>
      <c r="C1626" s="3" t="inlineStr">
        <is>
          <t>10325</t>
        </is>
      </c>
      <c r="D1626" s="9" t="n">
        <v>186.7</v>
      </c>
      <c r="E1626" s="3" t="n"/>
      <c r="F1626" s="3" t="n"/>
      <c r="G1626" s="9" t="n"/>
      <c r="H1626" s="10" t="n">
        <v>45688.59349537037</v>
      </c>
      <c r="I1626" s="10" t="n">
        <v>45688.59627314815</v>
      </c>
      <c r="J1626" s="10" t="n">
        <v>45688.59782407407</v>
      </c>
      <c r="K1626" s="11" t="n">
        <v>0.001550925925925926</v>
      </c>
      <c r="L1626" s="13" t="n">
        <v>0</v>
      </c>
    </row>
    <row r="1627">
      <c r="A1627" s="3" t="inlineStr">
        <is>
          <t>IncomingTrainPreparation</t>
        </is>
      </c>
      <c r="B1627" s="3" t="inlineStr">
        <is>
          <t>Act_ITP_10326_150428_703</t>
        </is>
      </c>
      <c r="C1627" s="3" t="inlineStr">
        <is>
          <t>10326</t>
        </is>
      </c>
      <c r="D1627" s="9" t="n">
        <v>332.5</v>
      </c>
      <c r="E1627" s="3" t="n"/>
      <c r="F1627" s="3" t="n"/>
      <c r="G1627" s="9" t="n"/>
      <c r="H1627" s="10" t="n">
        <v>45688.62810185185</v>
      </c>
      <c r="I1627" s="10" t="n">
        <v>45688.63087962963</v>
      </c>
      <c r="J1627" s="10" t="n">
        <v>45688.64017361111</v>
      </c>
      <c r="K1627" s="11" t="n">
        <v>0.009293981481481481</v>
      </c>
      <c r="L1627" s="13" t="n">
        <v>7</v>
      </c>
    </row>
    <row r="1628">
      <c r="A1628" s="3" t="inlineStr">
        <is>
          <t>IncomingTrainPreparation</t>
        </is>
      </c>
      <c r="B1628" s="3" t="inlineStr">
        <is>
          <t>Act_ITP_10327_152142_727</t>
        </is>
      </c>
      <c r="C1628" s="3" t="inlineStr">
        <is>
          <t>10327</t>
        </is>
      </c>
      <c r="D1628" s="9" t="n">
        <v>420.6</v>
      </c>
      <c r="E1628" s="3" t="n"/>
      <c r="F1628" s="3" t="n"/>
      <c r="G1628" s="9" t="n"/>
      <c r="H1628" s="10" t="n">
        <v>45688.64006944445</v>
      </c>
      <c r="I1628" s="10" t="n">
        <v>45688.64284722223</v>
      </c>
      <c r="J1628" s="10" t="n">
        <v>45688.65746527778</v>
      </c>
      <c r="K1628" s="11" t="n">
        <v>0.01461805555555556</v>
      </c>
      <c r="L1628" s="13" t="n">
        <v>10</v>
      </c>
    </row>
    <row r="1629">
      <c r="A1629" s="3" t="inlineStr">
        <is>
          <t>IncomingTrainPreparation</t>
        </is>
      </c>
      <c r="B1629" s="3" t="inlineStr">
        <is>
          <t>Act_ITP_10328_153412_731</t>
        </is>
      </c>
      <c r="C1629" s="3" t="inlineStr">
        <is>
          <t>10328</t>
        </is>
      </c>
      <c r="D1629" s="9" t="n">
        <v>47.2</v>
      </c>
      <c r="E1629" s="3" t="n"/>
      <c r="F1629" s="3" t="n"/>
      <c r="G1629" s="9" t="n"/>
      <c r="H1629" s="10" t="n">
        <v>45688.64875</v>
      </c>
      <c r="I1629" s="10" t="n">
        <v>45688.65152777778</v>
      </c>
      <c r="J1629" s="10" t="n">
        <v>45688.651875</v>
      </c>
      <c r="K1629" s="11" t="n">
        <v>0.0003472222222222222</v>
      </c>
      <c r="L1629" s="13" t="n">
        <v>0</v>
      </c>
    </row>
    <row r="1630">
      <c r="A1630" s="3" t="inlineStr">
        <is>
          <t>IncomingTrainPreparation</t>
        </is>
      </c>
      <c r="B1630" s="3" t="inlineStr">
        <is>
          <t>Act_ITP_10329_173410_703</t>
        </is>
      </c>
      <c r="C1630" s="3" t="inlineStr">
        <is>
          <t>10329</t>
        </is>
      </c>
      <c r="D1630" s="9" t="n">
        <v>302.1</v>
      </c>
      <c r="E1630" s="3" t="n"/>
      <c r="F1630" s="3" t="n"/>
      <c r="G1630" s="9" t="n"/>
      <c r="H1630" s="10" t="n">
        <v>45688.73206018518</v>
      </c>
      <c r="I1630" s="10" t="n">
        <v>45688.73483796296</v>
      </c>
      <c r="J1630" s="10" t="n">
        <v>45688.73734953703</v>
      </c>
      <c r="K1630" s="11" t="n">
        <v>0.002511574074074074</v>
      </c>
      <c r="L1630" s="13" t="n">
        <v>0</v>
      </c>
    </row>
    <row r="1631">
      <c r="A1631" s="3" t="inlineStr">
        <is>
          <t>IncomingTrainPreparation</t>
        </is>
      </c>
      <c r="B1631" s="3" t="inlineStr">
        <is>
          <t>Act_ITP_10330_174750_727</t>
        </is>
      </c>
      <c r="C1631" s="3" t="inlineStr">
        <is>
          <t>10330</t>
        </is>
      </c>
      <c r="D1631" s="9" t="n">
        <v>193.1</v>
      </c>
      <c r="E1631" s="3" t="n"/>
      <c r="F1631" s="3" t="n"/>
      <c r="G1631" s="9" t="n"/>
      <c r="H1631" s="10" t="n">
        <v>45688.74155092592</v>
      </c>
      <c r="I1631" s="10" t="n">
        <v>45688.7443287037</v>
      </c>
      <c r="J1631" s="10" t="n">
        <v>45688.74583333333</v>
      </c>
      <c r="K1631" s="11" t="n">
        <v>0.00150462962962963</v>
      </c>
      <c r="L1631" s="13" t="n">
        <v>0</v>
      </c>
    </row>
    <row r="1632">
      <c r="A1632" s="3" t="inlineStr">
        <is>
          <t>IncomingTrainPreparation</t>
        </is>
      </c>
      <c r="B1632" s="3" t="inlineStr">
        <is>
          <t>Act_ITP_10331_200804_703</t>
        </is>
      </c>
      <c r="C1632" s="3" t="inlineStr">
        <is>
          <t>10331</t>
        </is>
      </c>
      <c r="D1632" s="9" t="n">
        <v>351</v>
      </c>
      <c r="E1632" s="3" t="n"/>
      <c r="F1632" s="3" t="n"/>
      <c r="G1632" s="9" t="n"/>
      <c r="H1632" s="10" t="n">
        <v>45688.83893518519</v>
      </c>
      <c r="I1632" s="10" t="n">
        <v>45688.84171296296</v>
      </c>
      <c r="J1632" s="10" t="n">
        <v>45688.85017361111</v>
      </c>
      <c r="K1632" s="11" t="n">
        <v>0.008460648148148148</v>
      </c>
      <c r="L1632" s="13" t="n">
        <v>5</v>
      </c>
    </row>
    <row r="1633">
      <c r="A1633" s="3" t="inlineStr">
        <is>
          <t>OutboundTrainPreparation</t>
        </is>
      </c>
      <c r="B1633" s="3" t="inlineStr">
        <is>
          <t>Act_OBTP_OBT020125030112-Neunkirchen (loading tracks)_030112_613</t>
        </is>
      </c>
      <c r="C1633" s="3" t="inlineStr">
        <is>
          <t>OBT020125030112-Neunkirchen (loading tracks)</t>
        </is>
      </c>
      <c r="D1633" s="9" t="n">
        <v>103.9</v>
      </c>
      <c r="E1633" s="3" t="n"/>
      <c r="F1633" s="3" t="n"/>
      <c r="G1633" s="9" t="n"/>
      <c r="H1633" s="10" t="n">
        <v>45659.12583333333</v>
      </c>
      <c r="I1633" s="10" t="n">
        <v>45659.12670138889</v>
      </c>
      <c r="J1633" s="10" t="n">
        <v>45659.1447337963</v>
      </c>
      <c r="K1633" s="11" t="n">
        <v>0.01803240740740741</v>
      </c>
      <c r="L1633" s="13" t="n"/>
    </row>
    <row r="1634">
      <c r="A1634" s="3" t="inlineStr">
        <is>
          <t>OutboundTrainPreparation</t>
        </is>
      </c>
      <c r="B1634" s="3" t="inlineStr">
        <is>
          <t>Act_OBTP_OBT020125064334-Wien Kledering_064334_613</t>
        </is>
      </c>
      <c r="C1634" s="3" t="inlineStr">
        <is>
          <t>OBT020125064334-Wien Kledering</t>
        </is>
      </c>
      <c r="D1634" s="9" t="n">
        <v>182.7</v>
      </c>
      <c r="E1634" s="3" t="n"/>
      <c r="F1634" s="3" t="n"/>
      <c r="G1634" s="9" t="n"/>
      <c r="H1634" s="10" t="n">
        <v>45659.28025462963</v>
      </c>
      <c r="I1634" s="10" t="n">
        <v>45659.28109953704</v>
      </c>
      <c r="J1634" s="10" t="n">
        <v>45659.3128125</v>
      </c>
      <c r="K1634" s="11" t="n">
        <v>0.03171296296296296</v>
      </c>
      <c r="L1634" s="13" t="n"/>
    </row>
    <row r="1635">
      <c r="A1635" s="3" t="inlineStr">
        <is>
          <t>OutboundTrainPreparation</t>
        </is>
      </c>
      <c r="B1635" s="3" t="inlineStr">
        <is>
          <t>Act_OBTP_OBT020125073857-Wien Kledering_073857_621</t>
        </is>
      </c>
      <c r="C1635" s="3" t="inlineStr">
        <is>
          <t>OBT020125073857-Wien Kledering</t>
        </is>
      </c>
      <c r="D1635" s="9" t="n">
        <v>189</v>
      </c>
      <c r="E1635" s="3" t="n"/>
      <c r="F1635" s="3" t="n"/>
      <c r="G1635" s="9" t="n"/>
      <c r="H1635" s="10" t="n">
        <v>45659.31871527778</v>
      </c>
      <c r="I1635" s="10" t="n">
        <v>45659.31954861111</v>
      </c>
      <c r="J1635" s="10" t="n">
        <v>45659.35234953704</v>
      </c>
      <c r="K1635" s="11" t="n">
        <v>0.03280092592592593</v>
      </c>
      <c r="L1635" s="13" t="n"/>
    </row>
    <row r="1636">
      <c r="A1636" s="3" t="inlineStr">
        <is>
          <t>OutboundTrainPreparation</t>
        </is>
      </c>
      <c r="B1636" s="3" t="inlineStr">
        <is>
          <t>Act_OBTP_OBT020125074750-Pitten (Hamburger)_074750_605</t>
        </is>
      </c>
      <c r="C1636" s="3" t="inlineStr">
        <is>
          <t>OBT020125074750-Pitten (Hamburger)</t>
        </is>
      </c>
      <c r="D1636" s="9" t="n">
        <v>264.6</v>
      </c>
      <c r="E1636" s="3" t="n"/>
      <c r="F1636" s="3" t="n"/>
      <c r="G1636" s="9" t="n"/>
      <c r="H1636" s="10" t="n">
        <v>45659.32488425926</v>
      </c>
      <c r="I1636" s="10" t="n">
        <v>45659.32586805556</v>
      </c>
      <c r="J1636" s="10" t="n">
        <v>45659.37180555556</v>
      </c>
      <c r="K1636" s="11" t="n">
        <v>0.0459375</v>
      </c>
      <c r="L1636" s="13" t="n"/>
    </row>
    <row r="1637">
      <c r="A1637" s="3" t="inlineStr">
        <is>
          <t>OutboundTrainPreparation</t>
        </is>
      </c>
      <c r="B1637" s="3" t="inlineStr">
        <is>
          <t>Act_OBTP_OBT020125082044-Wien Kledering_082044_613</t>
        </is>
      </c>
      <c r="C1637" s="3" t="inlineStr">
        <is>
          <t>OBT020125082044-Wien Kledering</t>
        </is>
      </c>
      <c r="D1637" s="9" t="n">
        <v>396.6</v>
      </c>
      <c r="E1637" s="3" t="n"/>
      <c r="F1637" s="3" t="n"/>
      <c r="G1637" s="9" t="n"/>
      <c r="H1637" s="10" t="n">
        <v>45659.34773148148</v>
      </c>
      <c r="I1637" s="10" t="n">
        <v>45659.34944444444</v>
      </c>
      <c r="J1637" s="10" t="n">
        <v>45659.41829861111</v>
      </c>
      <c r="K1637" s="11" t="n">
        <v>0.06885416666666666</v>
      </c>
      <c r="L1637" s="13" t="n"/>
    </row>
    <row r="1638">
      <c r="A1638" s="3" t="inlineStr">
        <is>
          <t>OutboundTrainPreparation</t>
        </is>
      </c>
      <c r="B1638" s="3" t="inlineStr">
        <is>
          <t>Act_OBTP_OBT020125092035-Wien Kledering_092035_629</t>
        </is>
      </c>
      <c r="C1638" s="3" t="inlineStr">
        <is>
          <t>OBT020125092035-Wien Kledering</t>
        </is>
      </c>
      <c r="D1638" s="9" t="n">
        <v>142.2</v>
      </c>
      <c r="E1638" s="3" t="n"/>
      <c r="F1638" s="3" t="n"/>
      <c r="G1638" s="9" t="n"/>
      <c r="H1638" s="10" t="n">
        <v>45659.38929398148</v>
      </c>
      <c r="I1638" s="10" t="n">
        <v>45659.39012731481</v>
      </c>
      <c r="J1638" s="10" t="n">
        <v>45659.41481481482</v>
      </c>
      <c r="K1638" s="11" t="n">
        <v>0.0246875</v>
      </c>
      <c r="L1638" s="13" t="n"/>
    </row>
    <row r="1639">
      <c r="A1639" s="3" t="inlineStr">
        <is>
          <t>OutboundTrainPreparation</t>
        </is>
      </c>
      <c r="B1639" s="3" t="inlineStr">
        <is>
          <t>Act_OBTP_OBT020125093208-Other sidings north_093208_619</t>
        </is>
      </c>
      <c r="C1639" s="3" t="inlineStr">
        <is>
          <t>OBT020125093208-Other sidings north</t>
        </is>
      </c>
      <c r="D1639" s="9" t="n">
        <v>134.2</v>
      </c>
      <c r="E1639" s="3" t="n"/>
      <c r="F1639" s="3" t="n"/>
      <c r="G1639" s="9" t="n"/>
      <c r="H1639" s="10" t="n">
        <v>45659.39731481481</v>
      </c>
      <c r="I1639" s="10" t="n">
        <v>45659.41431712963</v>
      </c>
      <c r="J1639" s="10" t="n">
        <v>45659.43761574074</v>
      </c>
      <c r="K1639" s="11" t="n">
        <v>0.02329861111111111</v>
      </c>
      <c r="L1639" s="13" t="n"/>
    </row>
    <row r="1640">
      <c r="A1640" s="3" t="inlineStr">
        <is>
          <t>OutboundTrainPreparation</t>
        </is>
      </c>
      <c r="B1640" s="3" t="inlineStr">
        <is>
          <t>Act_OBTP_OBT020125093825-Wr. Neustadt (Hödlmayr)_093825_609</t>
        </is>
      </c>
      <c r="C1640" s="3" t="inlineStr">
        <is>
          <t>OBT020125093825-Wr. Neustadt (Hödlmayr)</t>
        </is>
      </c>
      <c r="D1640" s="9" t="n">
        <v>108</v>
      </c>
      <c r="E1640" s="3" t="n"/>
      <c r="F1640" s="3" t="n"/>
      <c r="G1640" s="9" t="n"/>
      <c r="H1640" s="10" t="n">
        <v>45659.40167824074</v>
      </c>
      <c r="I1640" s="10" t="n">
        <v>45659.41649305556</v>
      </c>
      <c r="J1640" s="10" t="n">
        <v>45659.43524305556</v>
      </c>
      <c r="K1640" s="11" t="n">
        <v>0.01875</v>
      </c>
      <c r="L1640" s="13" t="n"/>
    </row>
    <row r="1641">
      <c r="A1641" s="3" t="inlineStr">
        <is>
          <t>OutboundTrainPreparation</t>
        </is>
      </c>
      <c r="B1641" s="3" t="inlineStr">
        <is>
          <t>Act_OBTP_OBT020125094857-Pitten (Hamburger)_094857_629</t>
        </is>
      </c>
      <c r="C1641" s="3" t="inlineStr">
        <is>
          <t>OBT020125094857-Pitten (Hamburger)</t>
        </is>
      </c>
      <c r="D1641" s="9" t="n">
        <v>194.2</v>
      </c>
      <c r="E1641" s="3" t="n"/>
      <c r="F1641" s="3" t="n"/>
      <c r="G1641" s="9" t="n"/>
      <c r="H1641" s="10" t="n">
        <v>45659.40899305556</v>
      </c>
      <c r="I1641" s="10" t="n">
        <v>45659.42003472222</v>
      </c>
      <c r="J1641" s="10" t="n">
        <v>45659.45373842592</v>
      </c>
      <c r="K1641" s="11" t="n">
        <v>0.0337037037037037</v>
      </c>
      <c r="L1641" s="13" t="n"/>
    </row>
    <row r="1642">
      <c r="A1642" s="3" t="inlineStr">
        <is>
          <t>OutboundTrainPreparation</t>
        </is>
      </c>
      <c r="B1642" s="3" t="inlineStr">
        <is>
          <t>Act_OBTP_OBT020125105809-Wien Kledering_105809_613</t>
        </is>
      </c>
      <c r="C1642" s="3" t="inlineStr">
        <is>
          <t>OBT020125105809-Wien Kledering</t>
        </is>
      </c>
      <c r="D1642" s="9" t="n">
        <v>367.2</v>
      </c>
      <c r="E1642" s="3" t="n"/>
      <c r="F1642" s="3" t="n"/>
      <c r="G1642" s="9" t="n"/>
      <c r="H1642" s="10" t="n">
        <v>45659.45704861111</v>
      </c>
      <c r="I1642" s="10" t="n">
        <v>45659.45791666667</v>
      </c>
      <c r="J1642" s="10" t="n">
        <v>45659.52166666667</v>
      </c>
      <c r="K1642" s="11" t="n">
        <v>0.06375</v>
      </c>
      <c r="L1642" s="13" t="n"/>
    </row>
    <row r="1643">
      <c r="A1643" s="3" t="inlineStr">
        <is>
          <t>OutboundTrainPreparation</t>
        </is>
      </c>
      <c r="B1643" s="3" t="inlineStr">
        <is>
          <t>Act_OBTP_OBT020125145206-Wien Kledering_145206_613</t>
        </is>
      </c>
      <c r="C1643" s="3" t="inlineStr">
        <is>
          <t>OBT020125145206-Wien Kledering</t>
        </is>
      </c>
      <c r="D1643" s="9" t="n">
        <v>287.1</v>
      </c>
      <c r="E1643" s="3" t="n"/>
      <c r="F1643" s="3" t="n"/>
      <c r="G1643" s="9" t="n"/>
      <c r="H1643" s="10" t="n">
        <v>45659.61951388889</v>
      </c>
      <c r="I1643" s="10" t="n">
        <v>45659.62038194444</v>
      </c>
      <c r="J1643" s="10" t="n">
        <v>45659.67023148148</v>
      </c>
      <c r="K1643" s="11" t="n">
        <v>0.04984953703703704</v>
      </c>
      <c r="L1643" s="13" t="n"/>
    </row>
    <row r="1644">
      <c r="A1644" s="3" t="inlineStr">
        <is>
          <t>OutboundTrainPreparation</t>
        </is>
      </c>
      <c r="B1644" s="3" t="inlineStr">
        <is>
          <t>Act_OBTP_OBT020125152222-Ternitz (Schoeller-Bleckmann)_152222_627</t>
        </is>
      </c>
      <c r="C1644" s="3" t="inlineStr">
        <is>
          <t>OBT020125152222-Ternitz (Schoeller-Bleckmann)</t>
        </is>
      </c>
      <c r="D1644" s="9" t="n">
        <v>363.4</v>
      </c>
      <c r="E1644" s="3" t="n"/>
      <c r="F1644" s="3" t="n"/>
      <c r="G1644" s="9" t="n"/>
      <c r="H1644" s="10" t="n">
        <v>45659.64053240741</v>
      </c>
      <c r="I1644" s="10" t="n">
        <v>45659.64138888889</v>
      </c>
      <c r="J1644" s="10" t="n">
        <v>45659.70447916666</v>
      </c>
      <c r="K1644" s="11" t="n">
        <v>0.06309027777777777</v>
      </c>
      <c r="L1644" s="13" t="n"/>
    </row>
    <row r="1645">
      <c r="A1645" s="3" t="inlineStr">
        <is>
          <t>OutboundTrainPreparation</t>
        </is>
      </c>
      <c r="B1645" s="3" t="inlineStr">
        <is>
          <t>Act_OBTP_OBT020125154035-Neudörfl (FunderMax)_154035_606</t>
        </is>
      </c>
      <c r="C1645" s="3" t="inlineStr">
        <is>
          <t>OBT020125154035-Neudörfl (FunderMax)</t>
        </is>
      </c>
      <c r="D1645" s="9" t="n">
        <v>114.8</v>
      </c>
      <c r="E1645" s="3" t="n"/>
      <c r="F1645" s="3" t="n"/>
      <c r="G1645" s="9" t="n"/>
      <c r="H1645" s="10" t="n">
        <v>45659.65318287037</v>
      </c>
      <c r="I1645" s="10" t="n">
        <v>45659.66200231481</v>
      </c>
      <c r="J1645" s="10" t="n">
        <v>45659.68193287037</v>
      </c>
      <c r="K1645" s="11" t="n">
        <v>0.01993055555555556</v>
      </c>
      <c r="L1645" s="13" t="n"/>
    </row>
    <row r="1646">
      <c r="A1646" s="3" t="inlineStr">
        <is>
          <t>OutboundTrainPreparation</t>
        </is>
      </c>
      <c r="B1646" s="3" t="inlineStr">
        <is>
          <t>Act_OBTP_OBT020125154208-Pitten (Hamburger)_154208_629</t>
        </is>
      </c>
      <c r="C1646" s="3" t="inlineStr">
        <is>
          <t>OBT020125154208-Pitten (Hamburger)</t>
        </is>
      </c>
      <c r="D1646" s="9" t="n">
        <v>257.1</v>
      </c>
      <c r="E1646" s="3" t="n"/>
      <c r="F1646" s="3" t="n"/>
      <c r="G1646" s="9" t="n"/>
      <c r="H1646" s="10" t="n">
        <v>45659.65425925926</v>
      </c>
      <c r="I1646" s="10" t="n">
        <v>45659.67196759259</v>
      </c>
      <c r="J1646" s="10" t="n">
        <v>45659.7166087963</v>
      </c>
      <c r="K1646" s="11" t="n">
        <v>0.0446412037037037</v>
      </c>
      <c r="L1646" s="13" t="n"/>
    </row>
    <row r="1647">
      <c r="A1647" s="3" t="inlineStr">
        <is>
          <t>OutboundTrainPreparation</t>
        </is>
      </c>
      <c r="B1647" s="3" t="inlineStr">
        <is>
          <t>Act_OBTP_OBT020125155102-Other sidings north_155102_629</t>
        </is>
      </c>
      <c r="C1647" s="3" t="inlineStr">
        <is>
          <t>OBT020125155102-Other sidings north</t>
        </is>
      </c>
      <c r="D1647" s="9" t="n">
        <v>117.8</v>
      </c>
      <c r="E1647" s="3" t="n"/>
      <c r="F1647" s="3" t="n"/>
      <c r="G1647" s="9" t="n"/>
      <c r="H1647" s="10" t="n">
        <v>45659.66043981481</v>
      </c>
      <c r="I1647" s="10" t="n">
        <v>45659.68350694444</v>
      </c>
      <c r="J1647" s="10" t="n">
        <v>45659.70394675926</v>
      </c>
      <c r="K1647" s="11" t="n">
        <v>0.02043981481481481</v>
      </c>
      <c r="L1647" s="13" t="n"/>
    </row>
    <row r="1648">
      <c r="A1648" s="3" t="inlineStr">
        <is>
          <t>OutboundTrainPreparation</t>
        </is>
      </c>
      <c r="B1648" s="3" t="inlineStr">
        <is>
          <t>Act_OBTP_OBT020125183042-Wr. Neustadt (Hödlmayr)_183042_619</t>
        </is>
      </c>
      <c r="C1648" s="3" t="inlineStr">
        <is>
          <t>OBT020125183042-Wr. Neustadt (Hödlmayr)</t>
        </is>
      </c>
      <c r="D1648" s="9" t="n">
        <v>216</v>
      </c>
      <c r="E1648" s="3" t="n"/>
      <c r="F1648" s="3" t="n"/>
      <c r="G1648" s="9" t="n"/>
      <c r="H1648" s="10" t="n">
        <v>45659.77131944444</v>
      </c>
      <c r="I1648" s="10" t="n">
        <v>45659.77215277778</v>
      </c>
      <c r="J1648" s="10" t="n">
        <v>45659.80965277777</v>
      </c>
      <c r="K1648" s="11" t="n">
        <v>0.0375</v>
      </c>
      <c r="L1648" s="13" t="n"/>
    </row>
    <row r="1649">
      <c r="A1649" s="3" t="inlineStr">
        <is>
          <t>OutboundTrainPreparation</t>
        </is>
      </c>
      <c r="B1649" s="3" t="inlineStr">
        <is>
          <t>Act_OBTP_OBT020125183645-Pitten (Hamburger)_183645_627</t>
        </is>
      </c>
      <c r="C1649" s="3" t="inlineStr">
        <is>
          <t>OBT020125183645-Pitten (Hamburger)</t>
        </is>
      </c>
      <c r="D1649" s="9" t="n">
        <v>194.2</v>
      </c>
      <c r="E1649" s="3" t="n"/>
      <c r="F1649" s="3" t="n"/>
      <c r="G1649" s="9" t="n"/>
      <c r="H1649" s="10" t="n">
        <v>45659.77552083333</v>
      </c>
      <c r="I1649" s="10" t="n">
        <v>45659.77638888889</v>
      </c>
      <c r="J1649" s="10" t="n">
        <v>45659.81009259259</v>
      </c>
      <c r="K1649" s="11" t="n">
        <v>0.0337037037037037</v>
      </c>
      <c r="L1649" s="13" t="n"/>
    </row>
    <row r="1650">
      <c r="A1650" s="3" t="inlineStr">
        <is>
          <t>OutboundTrainPreparation</t>
        </is>
      </c>
      <c r="B1650" s="3" t="inlineStr">
        <is>
          <t>Act_OBTP_OBT020125184418-Neunkirchen (loading tracks)_184418_623</t>
        </is>
      </c>
      <c r="C1650" s="3" t="inlineStr">
        <is>
          <t>OBT020125184418-Neunkirchen (loading tracks)</t>
        </is>
      </c>
      <c r="D1650" s="9" t="n">
        <v>102.8</v>
      </c>
      <c r="E1650" s="3" t="n"/>
      <c r="F1650" s="3" t="n"/>
      <c r="G1650" s="9" t="n"/>
      <c r="H1650" s="10" t="n">
        <v>45659.78076388889</v>
      </c>
      <c r="I1650" s="10" t="n">
        <v>45659.78405092593</v>
      </c>
      <c r="J1650" s="10" t="n">
        <v>45659.80189814815</v>
      </c>
      <c r="K1650" s="11" t="n">
        <v>0.01784722222222222</v>
      </c>
      <c r="L1650" s="13" t="n"/>
    </row>
    <row r="1651">
      <c r="A1651" s="3" t="inlineStr">
        <is>
          <t>OutboundTrainPreparation</t>
        </is>
      </c>
      <c r="B1651" s="3" t="inlineStr">
        <is>
          <t>Act_OBTP_OBT020125205242-Ebenfurth (beet loading)_205242_611</t>
        </is>
      </c>
      <c r="C1651" s="3" t="inlineStr">
        <is>
          <t>OBT020125205242-Ebenfurth (beet loading)</t>
        </is>
      </c>
      <c r="D1651" s="9" t="n">
        <v>157.4</v>
      </c>
      <c r="E1651" s="3" t="n"/>
      <c r="F1651" s="3" t="n"/>
      <c r="G1651" s="9" t="n"/>
      <c r="H1651" s="10" t="n">
        <v>45659.86993055556</v>
      </c>
      <c r="I1651" s="10" t="n">
        <v>45659.87079861111</v>
      </c>
      <c r="J1651" s="10" t="n">
        <v>45659.898125</v>
      </c>
      <c r="K1651" s="11" t="n">
        <v>0.02732638888888889</v>
      </c>
      <c r="L1651" s="13" t="n"/>
    </row>
    <row r="1652">
      <c r="A1652" s="3" t="inlineStr">
        <is>
          <t>OutboundTrainPreparation</t>
        </is>
      </c>
      <c r="B1652" s="3" t="inlineStr">
        <is>
          <t>Act_OBTP_OBT020125210324-Other sidings north_210324_629</t>
        </is>
      </c>
      <c r="C1652" s="3" t="inlineStr">
        <is>
          <t>OBT020125210324-Other sidings north</t>
        </is>
      </c>
      <c r="D1652" s="9" t="n">
        <v>117.8</v>
      </c>
      <c r="E1652" s="3" t="n"/>
      <c r="F1652" s="3" t="n"/>
      <c r="G1652" s="9" t="n"/>
      <c r="H1652" s="10" t="n">
        <v>45659.87736111111</v>
      </c>
      <c r="I1652" s="10" t="n">
        <v>45659.8790625</v>
      </c>
      <c r="J1652" s="10" t="n">
        <v>45659.89950231482</v>
      </c>
      <c r="K1652" s="11" t="n">
        <v>0.02043981481481481</v>
      </c>
      <c r="L1652" s="13" t="n"/>
    </row>
    <row r="1653">
      <c r="A1653" s="3" t="inlineStr">
        <is>
          <t>OutboundTrainPreparation</t>
        </is>
      </c>
      <c r="B1653" s="3" t="inlineStr">
        <is>
          <t>Act_OBTP_OBT020125210709-Neudörfl (FunderMax)_210709_613</t>
        </is>
      </c>
      <c r="C1653" s="3" t="inlineStr">
        <is>
          <t>OBT020125210709-Neudörfl (FunderMax)</t>
        </is>
      </c>
      <c r="D1653" s="9" t="n">
        <v>101.7</v>
      </c>
      <c r="E1653" s="3" t="n"/>
      <c r="F1653" s="3" t="n"/>
      <c r="G1653" s="9" t="n"/>
      <c r="H1653" s="10" t="n">
        <v>45659.87996527777</v>
      </c>
      <c r="I1653" s="10" t="n">
        <v>45659.88170138889</v>
      </c>
      <c r="J1653" s="10" t="n">
        <v>45659.89935185185</v>
      </c>
      <c r="K1653" s="11" t="n">
        <v>0.01765046296296296</v>
      </c>
      <c r="L1653" s="13" t="n"/>
    </row>
    <row r="1654">
      <c r="A1654" s="3" t="inlineStr">
        <is>
          <t>OutboundTrainPreparation</t>
        </is>
      </c>
      <c r="B1654" s="3" t="inlineStr">
        <is>
          <t>Act_OBTP_OBT030125030120-Pitten (Hamburger)_030120_627</t>
        </is>
      </c>
      <c r="C1654" s="3" t="inlineStr">
        <is>
          <t>OBT030125030120-Pitten (Hamburger)</t>
        </is>
      </c>
      <c r="D1654" s="9" t="n">
        <v>134.4</v>
      </c>
      <c r="E1654" s="3" t="n"/>
      <c r="F1654" s="3" t="n"/>
      <c r="G1654" s="9" t="n"/>
      <c r="H1654" s="10" t="n">
        <v>45660.12592592592</v>
      </c>
      <c r="I1654" s="10" t="n">
        <v>45660.12675925926</v>
      </c>
      <c r="J1654" s="10" t="n">
        <v>45660.15010416666</v>
      </c>
      <c r="K1654" s="11" t="n">
        <v>0.02334490740740741</v>
      </c>
      <c r="L1654" s="13" t="n"/>
    </row>
    <row r="1655">
      <c r="A1655" s="3" t="inlineStr">
        <is>
          <t>OutboundTrainPreparation</t>
        </is>
      </c>
      <c r="B1655" s="3" t="inlineStr">
        <is>
          <t>Act_OBTP_OBT030125045529-Neudörfl (FunderMax)_045529_613</t>
        </is>
      </c>
      <c r="C1655" s="3" t="inlineStr">
        <is>
          <t>OBT030125045529-Neudörfl (FunderMax)</t>
        </is>
      </c>
      <c r="D1655" s="9" t="n">
        <v>497</v>
      </c>
      <c r="E1655" s="3" t="n"/>
      <c r="F1655" s="3" t="n"/>
      <c r="G1655" s="9" t="n"/>
      <c r="H1655" s="10" t="n">
        <v>45660.20519675926</v>
      </c>
      <c r="I1655" s="10" t="n">
        <v>45660.20606481482</v>
      </c>
      <c r="J1655" s="10" t="n">
        <v>45660.29234953703</v>
      </c>
      <c r="K1655" s="11" t="n">
        <v>0.08628472222222222</v>
      </c>
      <c r="L1655" s="13" t="n"/>
    </row>
    <row r="1656">
      <c r="A1656" s="3" t="inlineStr">
        <is>
          <t>OutboundTrainPreparation</t>
        </is>
      </c>
      <c r="B1656" s="3" t="inlineStr">
        <is>
          <t>Act_OBTP_OBT030125061555-Other sidings south_061555_615</t>
        </is>
      </c>
      <c r="C1656" s="3" t="inlineStr">
        <is>
          <t>OBT030125061555-Other sidings south</t>
        </is>
      </c>
      <c r="D1656" s="9" t="n">
        <v>102.8</v>
      </c>
      <c r="E1656" s="3" t="n"/>
      <c r="F1656" s="3" t="n"/>
      <c r="G1656" s="9" t="n"/>
      <c r="H1656" s="10" t="n">
        <v>45660.26105324074</v>
      </c>
      <c r="I1656" s="10" t="n">
        <v>45660.26269675926</v>
      </c>
      <c r="J1656" s="10" t="n">
        <v>45660.28053240741</v>
      </c>
      <c r="K1656" s="11" t="n">
        <v>0.01783564814814815</v>
      </c>
      <c r="L1656" s="13" t="n"/>
    </row>
    <row r="1657">
      <c r="A1657" s="3" t="inlineStr">
        <is>
          <t>OutboundTrainPreparation</t>
        </is>
      </c>
      <c r="B1657" s="3" t="inlineStr">
        <is>
          <t>Act_OBTP_OBT030125063005-Gloggnitz_063005_625</t>
        </is>
      </c>
      <c r="C1657" s="3" t="inlineStr">
        <is>
          <t>OBT030125063005-Gloggnitz</t>
        </is>
      </c>
      <c r="D1657" s="9" t="n">
        <v>204.6</v>
      </c>
      <c r="E1657" s="3" t="n"/>
      <c r="F1657" s="3" t="n"/>
      <c r="G1657" s="9" t="n"/>
      <c r="H1657" s="10" t="n">
        <v>45660.27089120371</v>
      </c>
      <c r="I1657" s="10" t="n">
        <v>45660.27732638889</v>
      </c>
      <c r="J1657" s="10" t="n">
        <v>45660.31285879629</v>
      </c>
      <c r="K1657" s="11" t="n">
        <v>0.03553240740740741</v>
      </c>
      <c r="L1657" s="13" t="n"/>
    </row>
    <row r="1658">
      <c r="A1658" s="3" t="inlineStr">
        <is>
          <t>OutboundTrainPreparation</t>
        </is>
      </c>
      <c r="B1658" s="3" t="inlineStr">
        <is>
          <t>Act_OBTP_OBT030125063320-Ternitz (Schoeller-Bleckmann)_063320_627</t>
        </is>
      </c>
      <c r="C1658" s="3" t="inlineStr">
        <is>
          <t>OBT030125063320-Ternitz (Schoeller-Bleckmann)</t>
        </is>
      </c>
      <c r="D1658" s="9" t="n">
        <v>144.3</v>
      </c>
      <c r="E1658" s="3" t="n"/>
      <c r="F1658" s="3" t="n"/>
      <c r="G1658" s="9" t="n"/>
      <c r="H1658" s="10" t="n">
        <v>45660.27314814815</v>
      </c>
      <c r="I1658" s="10" t="n">
        <v>45660.28226851852</v>
      </c>
      <c r="J1658" s="10" t="n">
        <v>45660.30732638889</v>
      </c>
      <c r="K1658" s="11" t="n">
        <v>0.02505787037037037</v>
      </c>
      <c r="L1658" s="13" t="n"/>
    </row>
    <row r="1659">
      <c r="A1659" s="3" t="inlineStr">
        <is>
          <t>OutboundTrainPreparation</t>
        </is>
      </c>
      <c r="B1659" s="3" t="inlineStr">
        <is>
          <t>Act_OBTP_OBT030125063655-Wr. Neustadt (Hödlmayr)_063655_619</t>
        </is>
      </c>
      <c r="C1659" s="3" t="inlineStr">
        <is>
          <t>OBT030125063655-Wr. Neustadt (Hödlmayr)</t>
        </is>
      </c>
      <c r="D1659" s="9" t="n">
        <v>108</v>
      </c>
      <c r="E1659" s="3" t="n"/>
      <c r="F1659" s="3" t="n"/>
      <c r="G1659" s="9" t="n"/>
      <c r="H1659" s="10" t="n">
        <v>45660.27563657407</v>
      </c>
      <c r="I1659" s="10" t="n">
        <v>45660.29878472222</v>
      </c>
      <c r="J1659" s="10" t="n">
        <v>45660.31753472222</v>
      </c>
      <c r="K1659" s="11" t="n">
        <v>0.01875</v>
      </c>
      <c r="L1659" s="13" t="n"/>
    </row>
    <row r="1660">
      <c r="A1660" s="3" t="inlineStr">
        <is>
          <t>OutboundTrainPreparation</t>
        </is>
      </c>
      <c r="B1660" s="3" t="inlineStr">
        <is>
          <t>Act_OBTP_OBT030125070748-Neunkirchen (loading tracks)_070748_623</t>
        </is>
      </c>
      <c r="C1660" s="3" t="inlineStr">
        <is>
          <t>OBT030125070748-Neunkirchen (loading tracks)</t>
        </is>
      </c>
      <c r="D1660" s="9" t="n">
        <v>358.9</v>
      </c>
      <c r="E1660" s="3" t="n"/>
      <c r="F1660" s="3" t="n"/>
      <c r="G1660" s="9" t="n"/>
      <c r="H1660" s="10" t="n">
        <v>45660.29708333333</v>
      </c>
      <c r="I1660" s="10" t="n">
        <v>45660.3090625</v>
      </c>
      <c r="J1660" s="10" t="n">
        <v>45660.37137731481</v>
      </c>
      <c r="K1660" s="11" t="n">
        <v>0.06231481481481482</v>
      </c>
      <c r="L1660" s="13" t="n"/>
    </row>
    <row r="1661">
      <c r="A1661" s="3" t="inlineStr">
        <is>
          <t>OutboundTrainPreparation</t>
        </is>
      </c>
      <c r="B1661" s="3" t="inlineStr">
        <is>
          <t>Act_OBTP_OBT030125075311-Felixdorf/Sollenau (Bundesheer, Maba)_075311_621</t>
        </is>
      </c>
      <c r="C1661" s="3" t="inlineStr">
        <is>
          <t>OBT030125075311-Felixdorf/Sollenau (Bundesheer, Maba)</t>
        </is>
      </c>
      <c r="D1661" s="9" t="n">
        <v>184.1</v>
      </c>
      <c r="E1661" s="3" t="n"/>
      <c r="F1661" s="3" t="n"/>
      <c r="G1661" s="9" t="n"/>
      <c r="H1661" s="10" t="n">
        <v>45660.32859953704</v>
      </c>
      <c r="I1661" s="10" t="n">
        <v>45660.33030092593</v>
      </c>
      <c r="J1661" s="10" t="n">
        <v>45660.36226851852</v>
      </c>
      <c r="K1661" s="11" t="n">
        <v>0.0319675925925926</v>
      </c>
      <c r="L1661" s="13" t="n"/>
    </row>
    <row r="1662">
      <c r="A1662" s="3" t="inlineStr">
        <is>
          <t>OutboundTrainPreparation</t>
        </is>
      </c>
      <c r="B1662" s="3" t="inlineStr">
        <is>
          <t>Act_OBTP_OBT030125080046-Wien Kledering_080046_627</t>
        </is>
      </c>
      <c r="C1662" s="3" t="inlineStr">
        <is>
          <t>OBT030125080046-Wien Kledering</t>
        </is>
      </c>
      <c r="D1662" s="9" t="n">
        <v>256.9</v>
      </c>
      <c r="E1662" s="3" t="n"/>
      <c r="F1662" s="3" t="n"/>
      <c r="G1662" s="9" t="n"/>
      <c r="H1662" s="10" t="n">
        <v>45660.33386574074</v>
      </c>
      <c r="I1662" s="10" t="n">
        <v>45660.33550925926</v>
      </c>
      <c r="J1662" s="10" t="n">
        <v>45660.38010416667</v>
      </c>
      <c r="K1662" s="11" t="n">
        <v>0.04459490740740741</v>
      </c>
      <c r="L1662" s="13" t="n"/>
    </row>
    <row r="1663">
      <c r="A1663" s="3" t="inlineStr">
        <is>
          <t>OutboundTrainPreparation</t>
        </is>
      </c>
      <c r="B1663" s="3" t="inlineStr">
        <is>
          <t>Act_OBTP_OBT030125084617-Wien Kledering_084617_625</t>
        </is>
      </c>
      <c r="C1663" s="3" t="inlineStr">
        <is>
          <t>OBT030125084617-Wien Kledering</t>
        </is>
      </c>
      <c r="D1663" s="9" t="n">
        <v>396.6</v>
      </c>
      <c r="E1663" s="3" t="n"/>
      <c r="F1663" s="3" t="n"/>
      <c r="G1663" s="9" t="n"/>
      <c r="H1663" s="10" t="n">
        <v>45660.36547453704</v>
      </c>
      <c r="I1663" s="10" t="n">
        <v>45660.36717592592</v>
      </c>
      <c r="J1663" s="10" t="n">
        <v>45660.43603009259</v>
      </c>
      <c r="K1663" s="11" t="n">
        <v>0.06885416666666666</v>
      </c>
      <c r="L1663" s="13" t="n"/>
    </row>
    <row r="1664">
      <c r="A1664" s="3" t="inlineStr">
        <is>
          <t>OutboundTrainPreparation</t>
        </is>
      </c>
      <c r="B1664" s="3" t="inlineStr">
        <is>
          <t>Act_OBTP_OBT030125090715-St. Veit an der Glan_090715_605</t>
        </is>
      </c>
      <c r="C1664" s="3" t="inlineStr">
        <is>
          <t>OBT030125090715-St. Veit an der Glan</t>
        </is>
      </c>
      <c r="D1664" s="9" t="n">
        <v>221.7</v>
      </c>
      <c r="E1664" s="3" t="n"/>
      <c r="F1664" s="3" t="n"/>
      <c r="G1664" s="9" t="n"/>
      <c r="H1664" s="10" t="n">
        <v>45660.38003472222</v>
      </c>
      <c r="I1664" s="10" t="n">
        <v>45660.38177083333</v>
      </c>
      <c r="J1664" s="10" t="n">
        <v>45660.42026620371</v>
      </c>
      <c r="K1664" s="11" t="n">
        <v>0.03849537037037037</v>
      </c>
      <c r="L1664" s="13" t="n"/>
    </row>
    <row r="1665">
      <c r="A1665" s="3" t="inlineStr">
        <is>
          <t>OutboundTrainPreparation</t>
        </is>
      </c>
      <c r="B1665" s="3" t="inlineStr">
        <is>
          <t>Act_OBTP_OBT030125090958-Ebenfurth (beet loading)_090958_619</t>
        </is>
      </c>
      <c r="C1665" s="3" t="inlineStr">
        <is>
          <t>OBT030125090958-Ebenfurth (beet loading)</t>
        </is>
      </c>
      <c r="D1665" s="9" t="n">
        <v>210.8</v>
      </c>
      <c r="E1665" s="3" t="n"/>
      <c r="F1665" s="3" t="n"/>
      <c r="G1665" s="9" t="n"/>
      <c r="H1665" s="10" t="n">
        <v>45660.3819212963</v>
      </c>
      <c r="I1665" s="10" t="n">
        <v>45660.38354166667</v>
      </c>
      <c r="J1665" s="10" t="n">
        <v>45660.42012731481</v>
      </c>
      <c r="K1665" s="11" t="n">
        <v>0.03658564814814814</v>
      </c>
      <c r="L1665" s="13" t="n"/>
    </row>
    <row r="1666">
      <c r="A1666" s="3" t="inlineStr">
        <is>
          <t>OutboundTrainPreparation</t>
        </is>
      </c>
      <c r="B1666" s="3" t="inlineStr">
        <is>
          <t>Act_OBTP_OBT030125105420-Wien Kledering_105420_627</t>
        </is>
      </c>
      <c r="C1666" s="3" t="inlineStr">
        <is>
          <t>OBT030125105420-Wien Kledering</t>
        </is>
      </c>
      <c r="D1666" s="9" t="n">
        <v>266.4</v>
      </c>
      <c r="E1666" s="3" t="n"/>
      <c r="F1666" s="3" t="n"/>
      <c r="G1666" s="9" t="n"/>
      <c r="H1666" s="10" t="n">
        <v>45660.45439814815</v>
      </c>
      <c r="I1666" s="10" t="n">
        <v>45660.45524305556</v>
      </c>
      <c r="J1666" s="10" t="n">
        <v>45660.50149305556</v>
      </c>
      <c r="K1666" s="11" t="n">
        <v>0.04625</v>
      </c>
      <c r="L1666" s="13" t="n"/>
    </row>
    <row r="1667">
      <c r="A1667" s="3" t="inlineStr">
        <is>
          <t>OutboundTrainPreparation</t>
        </is>
      </c>
      <c r="B1667" s="3" t="inlineStr">
        <is>
          <t>Act_OBTP_OBT030125110012-Wien Kledering_110012_605</t>
        </is>
      </c>
      <c r="C1667" s="3" t="inlineStr">
        <is>
          <t>OBT030125110012-Wien Kledering</t>
        </is>
      </c>
      <c r="D1667" s="9" t="n">
        <v>146.3</v>
      </c>
      <c r="E1667" s="3" t="n"/>
      <c r="F1667" s="3" t="n"/>
      <c r="G1667" s="9" t="n"/>
      <c r="H1667" s="10" t="n">
        <v>45660.45847222222</v>
      </c>
      <c r="I1667" s="10" t="n">
        <v>45660.45934027778</v>
      </c>
      <c r="J1667" s="10" t="n">
        <v>45660.48473379629</v>
      </c>
      <c r="K1667" s="11" t="n">
        <v>0.02539351851851852</v>
      </c>
      <c r="L1667" s="13" t="n"/>
    </row>
    <row r="1668">
      <c r="A1668" s="3" t="inlineStr">
        <is>
          <t>OutboundTrainPreparation</t>
        </is>
      </c>
      <c r="B1668" s="3" t="inlineStr">
        <is>
          <t>Act_OBTP_OBT030125131727-Wien Kledering_131727_627</t>
        </is>
      </c>
      <c r="C1668" s="3" t="inlineStr">
        <is>
          <t>OBT030125131727-Wien Kledering</t>
        </is>
      </c>
      <c r="D1668" s="9" t="n">
        <v>278</v>
      </c>
      <c r="E1668" s="3" t="n"/>
      <c r="F1668" s="3" t="n"/>
      <c r="G1668" s="9" t="n"/>
      <c r="H1668" s="10" t="n">
        <v>45660.55378472222</v>
      </c>
      <c r="I1668" s="10" t="n">
        <v>45660.55465277778</v>
      </c>
      <c r="J1668" s="10" t="n">
        <v>45660.60292824074</v>
      </c>
      <c r="K1668" s="11" t="n">
        <v>0.04827546296296296</v>
      </c>
      <c r="L1668" s="13" t="n"/>
    </row>
    <row r="1669">
      <c r="A1669" s="3" t="inlineStr">
        <is>
          <t>OutboundTrainPreparation</t>
        </is>
      </c>
      <c r="B1669" s="3" t="inlineStr">
        <is>
          <t>Act_OBTP_OBT030125154014-Pitten (Hamburger)_154014_627</t>
        </is>
      </c>
      <c r="C1669" s="3" t="inlineStr">
        <is>
          <t>OBT030125154014-Pitten (Hamburger)</t>
        </is>
      </c>
      <c r="D1669" s="9" t="n">
        <v>164.2</v>
      </c>
      <c r="E1669" s="3" t="n"/>
      <c r="F1669" s="3" t="n"/>
      <c r="G1669" s="9" t="n"/>
      <c r="H1669" s="10" t="n">
        <v>45660.65293981481</v>
      </c>
      <c r="I1669" s="10" t="n">
        <v>45660.65377314815</v>
      </c>
      <c r="J1669" s="10" t="n">
        <v>45660.68226851852</v>
      </c>
      <c r="K1669" s="11" t="n">
        <v>0.02849537037037037</v>
      </c>
      <c r="L1669" s="13" t="n"/>
    </row>
    <row r="1670">
      <c r="A1670" s="3" t="inlineStr">
        <is>
          <t>OutboundTrainPreparation</t>
        </is>
      </c>
      <c r="B1670" s="3" t="inlineStr">
        <is>
          <t>Act_OBTP_OBT030125160132-Wr. Neustadt Ausfahrbf (Furtenbach)_160132_617</t>
        </is>
      </c>
      <c r="C1670" s="3" t="inlineStr">
        <is>
          <t>OBT030125160132-Wr. Neustadt Ausfahrbf (Furtenbach)</t>
        </is>
      </c>
      <c r="D1670" s="9" t="n">
        <v>119.4</v>
      </c>
      <c r="E1670" s="3" t="n"/>
      <c r="F1670" s="3" t="n"/>
      <c r="G1670" s="9" t="n"/>
      <c r="H1670" s="10" t="n">
        <v>45660.66773148148</v>
      </c>
      <c r="I1670" s="10" t="n">
        <v>45660.66859953704</v>
      </c>
      <c r="J1670" s="10" t="n">
        <v>45660.6893287037</v>
      </c>
      <c r="K1670" s="11" t="n">
        <v>0.02072916666666667</v>
      </c>
      <c r="L1670" s="13" t="n"/>
    </row>
    <row r="1671">
      <c r="A1671" s="3" t="inlineStr">
        <is>
          <t>OutboundTrainPreparation</t>
        </is>
      </c>
      <c r="B1671" s="3" t="inlineStr">
        <is>
          <t>Act_OBTP_OBT030125160747-Wien Kledering_160747_605</t>
        </is>
      </c>
      <c r="C1671" s="3" t="inlineStr">
        <is>
          <t>OBT030125160747-Wien Kledering</t>
        </is>
      </c>
      <c r="D1671" s="9" t="n">
        <v>125.9</v>
      </c>
      <c r="E1671" s="3" t="n"/>
      <c r="F1671" s="3" t="n"/>
      <c r="G1671" s="9" t="n"/>
      <c r="H1671" s="10" t="n">
        <v>45660.67207175926</v>
      </c>
      <c r="I1671" s="10" t="n">
        <v>45660.67371527778</v>
      </c>
      <c r="J1671" s="10" t="n">
        <v>45660.69556712963</v>
      </c>
      <c r="K1671" s="11" t="n">
        <v>0.02185185185185185</v>
      </c>
      <c r="L1671" s="13" t="n"/>
    </row>
    <row r="1672">
      <c r="A1672" s="3" t="inlineStr">
        <is>
          <t>OutboundTrainPreparation</t>
        </is>
      </c>
      <c r="B1672" s="3" t="inlineStr">
        <is>
          <t>Act_OBTP_OBT030125173012-Wien Kledering_173012_627</t>
        </is>
      </c>
      <c r="C1672" s="3" t="inlineStr">
        <is>
          <t>OBT030125173012-Wien Kledering</t>
        </is>
      </c>
      <c r="D1672" s="9" t="n">
        <v>278.9</v>
      </c>
      <c r="E1672" s="3" t="n"/>
      <c r="F1672" s="3" t="n"/>
      <c r="G1672" s="9" t="n"/>
      <c r="H1672" s="10" t="n">
        <v>45660.72930555556</v>
      </c>
      <c r="I1672" s="10" t="n">
        <v>45660.73015046296</v>
      </c>
      <c r="J1672" s="10" t="n">
        <v>45660.77856481481</v>
      </c>
      <c r="K1672" s="11" t="n">
        <v>0.04841435185185185</v>
      </c>
      <c r="L1672" s="13" t="n"/>
    </row>
    <row r="1673">
      <c r="A1673" s="3" t="inlineStr">
        <is>
          <t>OutboundTrainPreparation</t>
        </is>
      </c>
      <c r="B1673" s="3" t="inlineStr">
        <is>
          <t>Act_OBTP_OBT030125203217-Other sidings north_203217_629</t>
        </is>
      </c>
      <c r="C1673" s="3" t="inlineStr">
        <is>
          <t>OBT030125203217-Other sidings north</t>
        </is>
      </c>
      <c r="D1673" s="9" t="n">
        <v>110.3</v>
      </c>
      <c r="E1673" s="3" t="n"/>
      <c r="F1673" s="3" t="n"/>
      <c r="G1673" s="9" t="n"/>
      <c r="H1673" s="10" t="n">
        <v>45660.85575231481</v>
      </c>
      <c r="I1673" s="10" t="n">
        <v>45660.85662037037</v>
      </c>
      <c r="J1673" s="10" t="n">
        <v>45660.87576388889</v>
      </c>
      <c r="K1673" s="11" t="n">
        <v>0.01914351851851852</v>
      </c>
      <c r="L1673" s="13" t="n"/>
    </row>
    <row r="1674">
      <c r="A1674" s="3" t="inlineStr">
        <is>
          <t>OutboundTrainPreparation</t>
        </is>
      </c>
      <c r="B1674" s="3" t="inlineStr">
        <is>
          <t>Act_OBTP_OBT030125203727-Wr. Neustadt (Hödlmayr)_203727_613</t>
        </is>
      </c>
      <c r="C1674" s="3" t="inlineStr">
        <is>
          <t>OBT030125203727-Wr. Neustadt (Hödlmayr)</t>
        </is>
      </c>
      <c r="D1674" s="9" t="n">
        <v>189</v>
      </c>
      <c r="E1674" s="3" t="n"/>
      <c r="F1674" s="3" t="n"/>
      <c r="G1674" s="9" t="n"/>
      <c r="H1674" s="10" t="n">
        <v>45660.85934027778</v>
      </c>
      <c r="I1674" s="10" t="n">
        <v>45660.86020833333</v>
      </c>
      <c r="J1674" s="10" t="n">
        <v>45660.89302083333</v>
      </c>
      <c r="K1674" s="11" t="n">
        <v>0.0328125</v>
      </c>
      <c r="L1674" s="13" t="n"/>
    </row>
    <row r="1675">
      <c r="A1675" s="3" t="inlineStr">
        <is>
          <t>OutboundTrainPreparation</t>
        </is>
      </c>
      <c r="B1675" s="3" t="inlineStr">
        <is>
          <t>Act_OBTP_OBT030125204417-Ebenfurth (beet loading)_204417_619</t>
        </is>
      </c>
      <c r="C1675" s="3" t="inlineStr">
        <is>
          <t>OBT030125204417-Ebenfurth (beet loading)</t>
        </is>
      </c>
      <c r="D1675" s="9" t="n">
        <v>173.1</v>
      </c>
      <c r="E1675" s="3" t="n"/>
      <c r="F1675" s="3" t="n"/>
      <c r="G1675" s="9" t="n"/>
      <c r="H1675" s="10" t="n">
        <v>45660.86408564815</v>
      </c>
      <c r="I1675" s="10" t="n">
        <v>45660.87092592593</v>
      </c>
      <c r="J1675" s="10" t="n">
        <v>45660.90098379629</v>
      </c>
      <c r="K1675" s="11" t="n">
        <v>0.03005787037037037</v>
      </c>
      <c r="L1675" s="13" t="n"/>
    </row>
    <row r="1676">
      <c r="A1676" s="3" t="inlineStr">
        <is>
          <t>OutboundTrainPreparation</t>
        </is>
      </c>
      <c r="B1676" s="3" t="inlineStr">
        <is>
          <t>Act_OBTP_OBT030125204535-Pitten (Hamburger)_204535_627</t>
        </is>
      </c>
      <c r="C1676" s="3" t="inlineStr">
        <is>
          <t>OBT030125204535-Pitten (Hamburger)</t>
        </is>
      </c>
      <c r="D1676" s="9" t="n">
        <v>186.7</v>
      </c>
      <c r="E1676" s="3" t="n"/>
      <c r="F1676" s="3" t="n"/>
      <c r="G1676" s="9" t="n"/>
      <c r="H1676" s="10" t="n">
        <v>45660.86498842593</v>
      </c>
      <c r="I1676" s="10" t="n">
        <v>45660.8775</v>
      </c>
      <c r="J1676" s="10" t="n">
        <v>45660.9099074074</v>
      </c>
      <c r="K1676" s="11" t="n">
        <v>0.03240740740740741</v>
      </c>
      <c r="L1676" s="13" t="n"/>
    </row>
    <row r="1677">
      <c r="A1677" s="3" t="inlineStr">
        <is>
          <t>OutboundTrainPreparation</t>
        </is>
      </c>
      <c r="B1677" s="3" t="inlineStr">
        <is>
          <t>Act_OBTP_OBT030125205107-Other sidings local_205107_607</t>
        </is>
      </c>
      <c r="C1677" s="3" t="inlineStr">
        <is>
          <t>OBT030125205107-Other sidings local</t>
        </is>
      </c>
      <c r="D1677" s="9" t="n">
        <v>115</v>
      </c>
      <c r="E1677" s="3" t="n"/>
      <c r="F1677" s="3" t="n"/>
      <c r="G1677" s="9" t="n"/>
      <c r="H1677" s="10" t="n">
        <v>45660.86883101852</v>
      </c>
      <c r="I1677" s="10" t="n">
        <v>45660.89475694444</v>
      </c>
      <c r="J1677" s="10" t="n">
        <v>45660.91472222222</v>
      </c>
      <c r="K1677" s="11" t="n">
        <v>0.01996527777777778</v>
      </c>
      <c r="L1677" s="13" t="n"/>
    </row>
    <row r="1678">
      <c r="A1678" s="3" t="inlineStr">
        <is>
          <t>OutboundTrainPreparation</t>
        </is>
      </c>
      <c r="B1678" s="3" t="inlineStr">
        <is>
          <t>Act_OBTP_OBT030125220232-Neudörfl (FunderMax)_220232_611</t>
        </is>
      </c>
      <c r="C1678" s="3" t="inlineStr">
        <is>
          <t>OBT030125220232-Neudörfl (FunderMax)</t>
        </is>
      </c>
      <c r="D1678" s="9" t="n">
        <v>110.3</v>
      </c>
      <c r="E1678" s="3" t="n"/>
      <c r="F1678" s="3" t="n"/>
      <c r="G1678" s="9" t="n"/>
      <c r="H1678" s="10" t="n">
        <v>45660.91842592593</v>
      </c>
      <c r="I1678" s="10" t="n">
        <v>45660.91929398148</v>
      </c>
      <c r="J1678" s="10" t="n">
        <v>45660.9384375</v>
      </c>
      <c r="K1678" s="11" t="n">
        <v>0.01914351851851852</v>
      </c>
      <c r="L1678" s="13" t="n"/>
    </row>
    <row r="1679">
      <c r="A1679" s="3" t="inlineStr">
        <is>
          <t>OutboundTrainPreparation</t>
        </is>
      </c>
      <c r="B1679" s="3" t="inlineStr">
        <is>
          <t>Act_OBTP_OBT030125220353-Other sidings south_220353_615</t>
        </is>
      </c>
      <c r="C1679" s="3" t="inlineStr">
        <is>
          <t>OBT030125220353-Other sidings south</t>
        </is>
      </c>
      <c r="D1679" s="9" t="n">
        <v>150</v>
      </c>
      <c r="E1679" s="3" t="n"/>
      <c r="F1679" s="3" t="n"/>
      <c r="G1679" s="9" t="n"/>
      <c r="H1679" s="10" t="n">
        <v>45660.91936342593</v>
      </c>
      <c r="I1679" s="10" t="n">
        <v>45660.92020833334</v>
      </c>
      <c r="J1679" s="10" t="n">
        <v>45660.94625</v>
      </c>
      <c r="K1679" s="11" t="n">
        <v>0.02604166666666667</v>
      </c>
      <c r="L1679" s="13" t="n"/>
    </row>
    <row r="1680">
      <c r="A1680" s="3" t="inlineStr">
        <is>
          <t>OutboundTrainPreparation</t>
        </is>
      </c>
      <c r="B1680" s="3" t="inlineStr">
        <is>
          <t>Act_OBTP_OBT040125055908-Ebenfurth (beet loading)_055908_615</t>
        </is>
      </c>
      <c r="C1680" s="3" t="inlineStr">
        <is>
          <t>OBT040125055908-Ebenfurth (beet loading)</t>
        </is>
      </c>
      <c r="D1680" s="9" t="n">
        <v>220.4</v>
      </c>
      <c r="E1680" s="3" t="n"/>
      <c r="F1680" s="3" t="n"/>
      <c r="G1680" s="9" t="n"/>
      <c r="H1680" s="10" t="n">
        <v>45661.24939814815</v>
      </c>
      <c r="I1680" s="10" t="n">
        <v>45661.25024305555</v>
      </c>
      <c r="J1680" s="10" t="n">
        <v>45661.28849537037</v>
      </c>
      <c r="K1680" s="11" t="n">
        <v>0.03825231481481482</v>
      </c>
      <c r="L1680" s="13" t="n"/>
    </row>
    <row r="1681">
      <c r="A1681" s="3" t="inlineStr">
        <is>
          <t>OutboundTrainPreparation</t>
        </is>
      </c>
      <c r="B1681" s="3" t="inlineStr">
        <is>
          <t>Act_OBTP_OBT050125180143-Pitten (Hamburger)_180143_619</t>
        </is>
      </c>
      <c r="C1681" s="3" t="inlineStr">
        <is>
          <t>OBT050125180143-Pitten (Hamburger)</t>
        </is>
      </c>
      <c r="D1681" s="9" t="n">
        <v>397.3</v>
      </c>
      <c r="E1681" s="3" t="n"/>
      <c r="F1681" s="3" t="n"/>
      <c r="G1681" s="9" t="n"/>
      <c r="H1681" s="10" t="n">
        <v>45662.75119212963</v>
      </c>
      <c r="I1681" s="10" t="n">
        <v>45662.75206018519</v>
      </c>
      <c r="J1681" s="10" t="n">
        <v>45662.82103009259</v>
      </c>
      <c r="K1681" s="11" t="n">
        <v>0.06896990740740741</v>
      </c>
      <c r="L1681" s="13" t="n"/>
    </row>
    <row r="1682">
      <c r="A1682" s="3" t="inlineStr">
        <is>
          <t>OutboundTrainPreparation</t>
        </is>
      </c>
      <c r="B1682" s="3" t="inlineStr">
        <is>
          <t>Act_OBTP_OBT050125180350-Neudörfl (FunderMax)_180350_613</t>
        </is>
      </c>
      <c r="C1682" s="3" t="inlineStr">
        <is>
          <t>OBT050125180350-Neudörfl (FunderMax)</t>
        </is>
      </c>
      <c r="D1682" s="9" t="n">
        <v>118.2</v>
      </c>
      <c r="E1682" s="3" t="n"/>
      <c r="F1682" s="3" t="n"/>
      <c r="G1682" s="9" t="n"/>
      <c r="H1682" s="10" t="n">
        <v>45662.75266203703</v>
      </c>
      <c r="I1682" s="10" t="n">
        <v>45662.75349537037</v>
      </c>
      <c r="J1682" s="10" t="n">
        <v>45662.7740162037</v>
      </c>
      <c r="K1682" s="11" t="n">
        <v>0.02052083333333333</v>
      </c>
      <c r="L1682" s="13" t="n"/>
    </row>
    <row r="1683">
      <c r="A1683" s="3" t="inlineStr">
        <is>
          <t>OutboundTrainPreparation</t>
        </is>
      </c>
      <c r="B1683" s="3" t="inlineStr">
        <is>
          <t>Act_OBTP_OBT050125203113-Pitten (Hamburger)_203113_613</t>
        </is>
      </c>
      <c r="C1683" s="3" t="inlineStr">
        <is>
          <t>OBT050125203113-Pitten (Hamburger)</t>
        </is>
      </c>
      <c r="D1683" s="9" t="n">
        <v>428.8</v>
      </c>
      <c r="E1683" s="3" t="n"/>
      <c r="F1683" s="3" t="n"/>
      <c r="G1683" s="9" t="n"/>
      <c r="H1683" s="10" t="n">
        <v>45662.85501157407</v>
      </c>
      <c r="I1683" s="10" t="n">
        <v>45662.8558449074</v>
      </c>
      <c r="J1683" s="10" t="n">
        <v>45662.93028935185</v>
      </c>
      <c r="K1683" s="11" t="n">
        <v>0.07444444444444444</v>
      </c>
      <c r="L1683" s="13" t="n"/>
    </row>
    <row r="1684">
      <c r="A1684" s="3" t="inlineStr">
        <is>
          <t>OutboundTrainPreparation</t>
        </is>
      </c>
      <c r="B1684" s="3" t="inlineStr">
        <is>
          <t>Act_OBTP_OBT050125203708-Pitten (Hamburger)_203708_619</t>
        </is>
      </c>
      <c r="C1684" s="3" t="inlineStr">
        <is>
          <t>OBT050125203708-Pitten (Hamburger)</t>
        </is>
      </c>
      <c r="D1684" s="9" t="n">
        <v>101.2</v>
      </c>
      <c r="E1684" s="3" t="n"/>
      <c r="F1684" s="3" t="n"/>
      <c r="G1684" s="9" t="n"/>
      <c r="H1684" s="10" t="n">
        <v>45662.85912037037</v>
      </c>
      <c r="I1684" s="10" t="n">
        <v>45662.85998842592</v>
      </c>
      <c r="J1684" s="10" t="n">
        <v>45662.87755787037</v>
      </c>
      <c r="K1684" s="11" t="n">
        <v>0.01756944444444444</v>
      </c>
      <c r="L1684" s="13" t="n"/>
    </row>
    <row r="1685">
      <c r="A1685" s="3" t="inlineStr">
        <is>
          <t>OutboundTrainPreparation</t>
        </is>
      </c>
      <c r="B1685" s="3" t="inlineStr">
        <is>
          <t>Act_OBTP_OBT060125175612-Pitten (Hamburger)_175612_613</t>
        </is>
      </c>
      <c r="C1685" s="3" t="inlineStr">
        <is>
          <t>OBT060125175612-Pitten (Hamburger)</t>
        </is>
      </c>
      <c r="D1685" s="9" t="n">
        <v>241.4</v>
      </c>
      <c r="E1685" s="3" t="n"/>
      <c r="F1685" s="3" t="n"/>
      <c r="G1685" s="9" t="n"/>
      <c r="H1685" s="10" t="n">
        <v>45663.74736111111</v>
      </c>
      <c r="I1685" s="10" t="n">
        <v>45663.74822916667</v>
      </c>
      <c r="J1685" s="10" t="n">
        <v>45663.79013888889</v>
      </c>
      <c r="K1685" s="11" t="n">
        <v>0.04190972222222222</v>
      </c>
      <c r="L1685" s="13" t="n"/>
    </row>
    <row r="1686">
      <c r="A1686" s="3" t="inlineStr">
        <is>
          <t>OutboundTrainPreparation</t>
        </is>
      </c>
      <c r="B1686" s="3" t="inlineStr">
        <is>
          <t>Act_OBTP_OBT070125031735-Neunkirchen (loading tracks)_031735_623</t>
        </is>
      </c>
      <c r="C1686" s="3" t="inlineStr">
        <is>
          <t>OBT070125031735-Neunkirchen (loading tracks)</t>
        </is>
      </c>
      <c r="D1686" s="9" t="n">
        <v>267.5</v>
      </c>
      <c r="E1686" s="3" t="n"/>
      <c r="F1686" s="3" t="n"/>
      <c r="G1686" s="9" t="n"/>
      <c r="H1686" s="10" t="n">
        <v>45664.13721064815</v>
      </c>
      <c r="I1686" s="10" t="n">
        <v>45664.13804398148</v>
      </c>
      <c r="J1686" s="10" t="n">
        <v>45664.18449074074</v>
      </c>
      <c r="K1686" s="11" t="n">
        <v>0.04644675925925926</v>
      </c>
      <c r="L1686" s="13" t="n"/>
    </row>
    <row r="1687">
      <c r="A1687" s="3" t="inlineStr">
        <is>
          <t>OutboundTrainPreparation</t>
        </is>
      </c>
      <c r="B1687" s="3" t="inlineStr">
        <is>
          <t>Act_OBTP_OBT070125031850-Ebenfurth (beet loading)_031850_615</t>
        </is>
      </c>
      <c r="C1687" s="3" t="inlineStr">
        <is>
          <t>OBT070125031850-Ebenfurth (beet loading)</t>
        </is>
      </c>
      <c r="D1687" s="9" t="n">
        <v>137.6</v>
      </c>
      <c r="E1687" s="3" t="n"/>
      <c r="F1687" s="3" t="n"/>
      <c r="G1687" s="9" t="n"/>
      <c r="H1687" s="10" t="n">
        <v>45664.13807870371</v>
      </c>
      <c r="I1687" s="10" t="n">
        <v>45664.13894675926</v>
      </c>
      <c r="J1687" s="10" t="n">
        <v>45664.16282407408</v>
      </c>
      <c r="K1687" s="11" t="n">
        <v>0.02387731481481482</v>
      </c>
      <c r="L1687" s="13" t="n"/>
    </row>
    <row r="1688">
      <c r="A1688" s="3" t="inlineStr">
        <is>
          <t>OutboundTrainPreparation</t>
        </is>
      </c>
      <c r="B1688" s="3" t="inlineStr">
        <is>
          <t>Act_OBTP_OBT070125064820-Wien Kledering_064820_615</t>
        </is>
      </c>
      <c r="C1688" s="3" t="inlineStr">
        <is>
          <t>OBT070125064820-Wien Kledering</t>
        </is>
      </c>
      <c r="D1688" s="9" t="n">
        <v>297</v>
      </c>
      <c r="E1688" s="3" t="n"/>
      <c r="F1688" s="3" t="n"/>
      <c r="G1688" s="9" t="n"/>
      <c r="H1688" s="10" t="n">
        <v>45664.28356481482</v>
      </c>
      <c r="I1688" s="10" t="n">
        <v>45664.28443287037</v>
      </c>
      <c r="J1688" s="10" t="n">
        <v>45664.33599537037</v>
      </c>
      <c r="K1688" s="11" t="n">
        <v>0.0515625</v>
      </c>
      <c r="L1688" s="13" t="n"/>
    </row>
    <row r="1689">
      <c r="A1689" s="3" t="inlineStr">
        <is>
          <t>OutboundTrainPreparation</t>
        </is>
      </c>
      <c r="B1689" s="3" t="inlineStr">
        <is>
          <t>Act_OBTP_OBT070125074225-Wien Kledering_074225_619</t>
        </is>
      </c>
      <c r="C1689" s="3" t="inlineStr">
        <is>
          <t>OBT070125074225-Wien Kledering</t>
        </is>
      </c>
      <c r="D1689" s="9" t="n">
        <v>396.6</v>
      </c>
      <c r="E1689" s="3" t="n"/>
      <c r="F1689" s="3" t="n"/>
      <c r="G1689" s="9" t="n"/>
      <c r="H1689" s="10" t="n">
        <v>45664.32112268519</v>
      </c>
      <c r="I1689" s="10" t="n">
        <v>45664.32196759259</v>
      </c>
      <c r="J1689" s="10" t="n">
        <v>45664.39082175926</v>
      </c>
      <c r="K1689" s="11" t="n">
        <v>0.06885416666666666</v>
      </c>
      <c r="L1689" s="13" t="n"/>
    </row>
    <row r="1690">
      <c r="A1690" s="3" t="inlineStr">
        <is>
          <t>OutboundTrainPreparation</t>
        </is>
      </c>
      <c r="B1690" s="3" t="inlineStr">
        <is>
          <t>Act_OBTP_OBT070125074625-Wien Kledering_074625_607</t>
        </is>
      </c>
      <c r="C1690" s="3" t="inlineStr">
        <is>
          <t>OBT070125074625-Wien Kledering</t>
        </is>
      </c>
      <c r="D1690" s="9" t="n">
        <v>189.9</v>
      </c>
      <c r="E1690" s="3" t="n"/>
      <c r="F1690" s="3" t="n"/>
      <c r="G1690" s="9" t="n"/>
      <c r="H1690" s="10" t="n">
        <v>45664.32390046296</v>
      </c>
      <c r="I1690" s="10" t="n">
        <v>45664.33782407407</v>
      </c>
      <c r="J1690" s="10" t="n">
        <v>45664.37078703703</v>
      </c>
      <c r="K1690" s="11" t="n">
        <v>0.03296296296296296</v>
      </c>
      <c r="L1690" s="13" t="n"/>
    </row>
    <row r="1691">
      <c r="A1691" s="3" t="inlineStr">
        <is>
          <t>OutboundTrainPreparation</t>
        </is>
      </c>
      <c r="B1691" s="3" t="inlineStr">
        <is>
          <t>Act_OBTP_OBT070125075235-Neudörfl (FunderMax)_075235_627</t>
        </is>
      </c>
      <c r="C1691" s="3" t="inlineStr">
        <is>
          <t>OBT070125075235-Neudörfl (FunderMax)</t>
        </is>
      </c>
      <c r="D1691" s="9" t="n">
        <v>113.7</v>
      </c>
      <c r="E1691" s="3" t="n"/>
      <c r="F1691" s="3" t="n"/>
      <c r="G1691" s="9" t="n"/>
      <c r="H1691" s="10" t="n">
        <v>45664.32818287037</v>
      </c>
      <c r="I1691" s="10" t="n">
        <v>45664.34056712963</v>
      </c>
      <c r="J1691" s="10" t="n">
        <v>45664.3603125</v>
      </c>
      <c r="K1691" s="11" t="n">
        <v>0.01974537037037037</v>
      </c>
      <c r="L1691" s="13" t="n"/>
    </row>
    <row r="1692">
      <c r="A1692" s="3" t="inlineStr">
        <is>
          <t>OutboundTrainPreparation</t>
        </is>
      </c>
      <c r="B1692" s="3" t="inlineStr">
        <is>
          <t>Act_OBTP_OBT070125080206-Other sidings north_080206_617</t>
        </is>
      </c>
      <c r="C1692" s="3" t="inlineStr">
        <is>
          <t>OBT070125080206-Other sidings north</t>
        </is>
      </c>
      <c r="D1692" s="9" t="n">
        <v>214.1</v>
      </c>
      <c r="E1692" s="3" t="n"/>
      <c r="F1692" s="3" t="n"/>
      <c r="G1692" s="9" t="n"/>
      <c r="H1692" s="10" t="n">
        <v>45664.33479166667</v>
      </c>
      <c r="I1692" s="10" t="n">
        <v>45664.36684027778</v>
      </c>
      <c r="J1692" s="10" t="n">
        <v>45664.40400462963</v>
      </c>
      <c r="K1692" s="11" t="n">
        <v>0.03716435185185185</v>
      </c>
      <c r="L1692" s="13" t="n"/>
    </row>
    <row r="1693">
      <c r="A1693" s="3" t="inlineStr">
        <is>
          <t>OutboundTrainPreparation</t>
        </is>
      </c>
      <c r="B1693" s="3" t="inlineStr">
        <is>
          <t>Act_OBTP_OBT070125084304-Wien Kledering_084304_615</t>
        </is>
      </c>
      <c r="C1693" s="3" t="inlineStr">
        <is>
          <t>OBT070125084304-Wien Kledering</t>
        </is>
      </c>
      <c r="D1693" s="9" t="n">
        <v>281.4</v>
      </c>
      <c r="E1693" s="3" t="n"/>
      <c r="F1693" s="3" t="n"/>
      <c r="G1693" s="9" t="n"/>
      <c r="H1693" s="10" t="n">
        <v>45664.36324074074</v>
      </c>
      <c r="I1693" s="10" t="n">
        <v>45664.37252314815</v>
      </c>
      <c r="J1693" s="10" t="n">
        <v>45664.42137731481</v>
      </c>
      <c r="K1693" s="11" t="n">
        <v>0.04885416666666666</v>
      </c>
      <c r="L1693" s="13" t="n"/>
    </row>
    <row r="1694">
      <c r="A1694" s="3" t="inlineStr">
        <is>
          <t>OutboundTrainPreparation</t>
        </is>
      </c>
      <c r="B1694" s="3" t="inlineStr">
        <is>
          <t>Act_OBTP_OBT070125084545-St. Veit an der Glan_084545_625</t>
        </is>
      </c>
      <c r="C1694" s="3" t="inlineStr">
        <is>
          <t>OBT070125084545-St. Veit an der Glan</t>
        </is>
      </c>
      <c r="D1694" s="9" t="n">
        <v>180.7</v>
      </c>
      <c r="E1694" s="3" t="n"/>
      <c r="F1694" s="3" t="n"/>
      <c r="G1694" s="9" t="n"/>
      <c r="H1694" s="10" t="n">
        <v>45664.36510416667</v>
      </c>
      <c r="I1694" s="10" t="n">
        <v>45664.40565972222</v>
      </c>
      <c r="J1694" s="10" t="n">
        <v>45664.43702546296</v>
      </c>
      <c r="K1694" s="11" t="n">
        <v>0.03136574074074074</v>
      </c>
      <c r="L1694" s="13" t="n"/>
    </row>
    <row r="1695">
      <c r="A1695" s="3" t="inlineStr">
        <is>
          <t>OutboundTrainPreparation</t>
        </is>
      </c>
      <c r="B1695" s="3" t="inlineStr">
        <is>
          <t>Act_OBTP_OBT070125105541-Wien Kledering_105541_615</t>
        </is>
      </c>
      <c r="C1695" s="3" t="inlineStr">
        <is>
          <t>OBT070125105541-Wien Kledering</t>
        </is>
      </c>
      <c r="D1695" s="9" t="n">
        <v>292.9</v>
      </c>
      <c r="E1695" s="3" t="n"/>
      <c r="F1695" s="3" t="n"/>
      <c r="G1695" s="9" t="n"/>
      <c r="H1695" s="10" t="n">
        <v>45664.45533564815</v>
      </c>
      <c r="I1695" s="10" t="n">
        <v>45664.45618055556</v>
      </c>
      <c r="J1695" s="10" t="n">
        <v>45664.50702546296</v>
      </c>
      <c r="K1695" s="11" t="n">
        <v>0.05084490740740741</v>
      </c>
      <c r="L1695" s="13" t="n"/>
    </row>
    <row r="1696">
      <c r="A1696" s="3" t="inlineStr">
        <is>
          <t>OutboundTrainPreparation</t>
        </is>
      </c>
      <c r="B1696" s="3" t="inlineStr">
        <is>
          <t>Act_OBTP_OBT070125131825-Wien Kledering_131825_625</t>
        </is>
      </c>
      <c r="C1696" s="3" t="inlineStr">
        <is>
          <t>OBT070125131825-Wien Kledering</t>
        </is>
      </c>
      <c r="D1696" s="9" t="n">
        <v>264.3</v>
      </c>
      <c r="E1696" s="3" t="n"/>
      <c r="F1696" s="3" t="n"/>
      <c r="G1696" s="9" t="n"/>
      <c r="H1696" s="10" t="n">
        <v>45664.55445601852</v>
      </c>
      <c r="I1696" s="10" t="n">
        <v>45664.55532407408</v>
      </c>
      <c r="J1696" s="10" t="n">
        <v>45664.60120370371</v>
      </c>
      <c r="K1696" s="11" t="n">
        <v>0.04587962962962963</v>
      </c>
      <c r="L1696" s="13" t="n"/>
    </row>
    <row r="1697">
      <c r="A1697" s="3" t="inlineStr">
        <is>
          <t>OutboundTrainPreparation</t>
        </is>
      </c>
      <c r="B1697" s="3" t="inlineStr">
        <is>
          <t>Act_OBTP_OBT070125143346-Wien Kledering_143346_615</t>
        </is>
      </c>
      <c r="C1697" s="3" t="inlineStr">
        <is>
          <t>OBT070125143346-Wien Kledering</t>
        </is>
      </c>
      <c r="D1697" s="9" t="n">
        <v>398</v>
      </c>
      <c r="E1697" s="3" t="n"/>
      <c r="F1697" s="3" t="n"/>
      <c r="G1697" s="9" t="n"/>
      <c r="H1697" s="10" t="n">
        <v>45664.60678240741</v>
      </c>
      <c r="I1697" s="10" t="n">
        <v>45664.60762731481</v>
      </c>
      <c r="J1697" s="10" t="n">
        <v>45664.67672453704</v>
      </c>
      <c r="K1697" s="11" t="n">
        <v>0.06909722222222223</v>
      </c>
      <c r="L1697" s="13" t="n"/>
    </row>
    <row r="1698">
      <c r="A1698" s="3" t="inlineStr">
        <is>
          <t>OutboundTrainPreparation</t>
        </is>
      </c>
      <c r="B1698" s="3" t="inlineStr">
        <is>
          <t>Act_OBTP_OBT070125154136-Wr. Neustadt (Hödlmayr)_154136_629</t>
        </is>
      </c>
      <c r="C1698" s="3" t="inlineStr">
        <is>
          <t>OBT070125154136-Wr. Neustadt (Hödlmayr)</t>
        </is>
      </c>
      <c r="D1698" s="9" t="n">
        <v>135</v>
      </c>
      <c r="E1698" s="3" t="n"/>
      <c r="F1698" s="3" t="n"/>
      <c r="G1698" s="9" t="n"/>
      <c r="H1698" s="10" t="n">
        <v>45664.65388888889</v>
      </c>
      <c r="I1698" s="10" t="n">
        <v>45664.65876157407</v>
      </c>
      <c r="J1698" s="10" t="n">
        <v>45664.68219907407</v>
      </c>
      <c r="K1698" s="11" t="n">
        <v>0.0234375</v>
      </c>
      <c r="L1698" s="13" t="n"/>
    </row>
    <row r="1699">
      <c r="A1699" s="3" t="inlineStr">
        <is>
          <t>OutboundTrainPreparation</t>
        </is>
      </c>
      <c r="B1699" s="3" t="inlineStr">
        <is>
          <t>Act_OBTP_OBT070125154601-Other sidings north_154601_617</t>
        </is>
      </c>
      <c r="C1699" s="3" t="inlineStr">
        <is>
          <t>OBT070125154601-Other sidings north</t>
        </is>
      </c>
      <c r="D1699" s="9" t="n">
        <v>101.9</v>
      </c>
      <c r="E1699" s="3" t="n"/>
      <c r="F1699" s="3" t="n"/>
      <c r="G1699" s="9" t="n"/>
      <c r="H1699" s="10" t="n">
        <v>45664.65695601852</v>
      </c>
      <c r="I1699" s="10" t="n">
        <v>45664.66853009259</v>
      </c>
      <c r="J1699" s="10" t="n">
        <v>45664.68622685185</v>
      </c>
      <c r="K1699" s="11" t="n">
        <v>0.01769675925925926</v>
      </c>
      <c r="L1699" s="13" t="n"/>
    </row>
    <row r="1700">
      <c r="A1700" s="3" t="inlineStr">
        <is>
          <t>OutboundTrainPreparation</t>
        </is>
      </c>
      <c r="B1700" s="3" t="inlineStr">
        <is>
          <t>Act_OBTP_OBT070125155207-Pitten (Hamburger)_155207_613</t>
        </is>
      </c>
      <c r="C1700" s="3" t="inlineStr">
        <is>
          <t>OBT070125155207-Pitten (Hamburger)</t>
        </is>
      </c>
      <c r="D1700" s="9" t="n">
        <v>120</v>
      </c>
      <c r="E1700" s="3" t="n"/>
      <c r="F1700" s="3" t="n"/>
      <c r="G1700" s="9" t="n"/>
      <c r="H1700" s="10" t="n">
        <v>45664.66119212963</v>
      </c>
      <c r="I1700" s="10" t="n">
        <v>45664.68381944444</v>
      </c>
      <c r="J1700" s="10" t="n">
        <v>45664.7046412037</v>
      </c>
      <c r="K1700" s="11" t="n">
        <v>0.02082175925925926</v>
      </c>
      <c r="L1700" s="13" t="n"/>
    </row>
    <row r="1701">
      <c r="A1701" s="3" t="inlineStr">
        <is>
          <t>OutboundTrainPreparation</t>
        </is>
      </c>
      <c r="B1701" s="3" t="inlineStr">
        <is>
          <t>Act_OBTP_OBT070125160018-Wien Kledering_160018_619</t>
        </is>
      </c>
      <c r="C1701" s="3" t="inlineStr">
        <is>
          <t>OBT070125160018-Wien Kledering</t>
        </is>
      </c>
      <c r="D1701" s="9" t="n">
        <v>393.5</v>
      </c>
      <c r="E1701" s="3" t="n"/>
      <c r="F1701" s="3" t="n"/>
      <c r="G1701" s="9" t="n"/>
      <c r="H1701" s="10" t="n">
        <v>45664.666875</v>
      </c>
      <c r="I1701" s="10" t="n">
        <v>45664.68393518519</v>
      </c>
      <c r="J1701" s="10" t="n">
        <v>45664.75224537037</v>
      </c>
      <c r="K1701" s="11" t="n">
        <v>0.06831018518518518</v>
      </c>
      <c r="L1701" s="13" t="n"/>
    </row>
    <row r="1702">
      <c r="A1702" s="3" t="inlineStr">
        <is>
          <t>OutboundTrainPreparation</t>
        </is>
      </c>
      <c r="B1702" s="3" t="inlineStr">
        <is>
          <t>Act_OBTP_OBT070125162217-St. Veit an der Glan_162217_627</t>
        </is>
      </c>
      <c r="C1702" s="3" t="inlineStr">
        <is>
          <t>OBT070125162217-St. Veit an der Glan</t>
        </is>
      </c>
      <c r="D1702" s="9" t="n">
        <v>100.5</v>
      </c>
      <c r="E1702" s="3" t="n"/>
      <c r="F1702" s="3" t="n"/>
      <c r="G1702" s="9" t="n"/>
      <c r="H1702" s="10" t="n">
        <v>45664.6821412037</v>
      </c>
      <c r="I1702" s="10" t="n">
        <v>45664.68796296296</v>
      </c>
      <c r="J1702" s="10" t="n">
        <v>45664.70540509259</v>
      </c>
      <c r="K1702" s="11" t="n">
        <v>0.01744212962962963</v>
      </c>
      <c r="L1702" s="13" t="n"/>
    </row>
    <row r="1703">
      <c r="A1703" s="3" t="inlineStr">
        <is>
          <t>OutboundTrainPreparation</t>
        </is>
      </c>
      <c r="B1703" s="3" t="inlineStr">
        <is>
          <t>Act_OBTP_OBT070125180657-Wr. Neustadt Ausfahrbf (Furtenbach)_180657_605</t>
        </is>
      </c>
      <c r="C1703" s="3" t="inlineStr">
        <is>
          <t>OBT070125180657-Wr. Neustadt Ausfahrbf (Furtenbach)</t>
        </is>
      </c>
      <c r="D1703" s="9" t="n">
        <v>139.3</v>
      </c>
      <c r="E1703" s="3" t="n"/>
      <c r="F1703" s="3" t="n"/>
      <c r="G1703" s="9" t="n"/>
      <c r="H1703" s="10" t="n">
        <v>45664.75482638889</v>
      </c>
      <c r="I1703" s="10" t="n">
        <v>45664.75568287037</v>
      </c>
      <c r="J1703" s="10" t="n">
        <v>45664.77986111111</v>
      </c>
      <c r="K1703" s="11" t="n">
        <v>0.02417824074074074</v>
      </c>
      <c r="L1703" s="13" t="n"/>
    </row>
    <row r="1704">
      <c r="A1704" s="3" t="inlineStr">
        <is>
          <t>OutboundTrainPreparation</t>
        </is>
      </c>
      <c r="B1704" s="3" t="inlineStr">
        <is>
          <t>Act_OBTP_OBT070125180725-Wr. Neustadt (Hödlmayr)_180725_613</t>
        </is>
      </c>
      <c r="C1704" s="3" t="inlineStr">
        <is>
          <t>OBT070125180725-Wr. Neustadt (Hödlmayr)</t>
        </is>
      </c>
      <c r="D1704" s="9" t="n">
        <v>108</v>
      </c>
      <c r="E1704" s="3" t="n"/>
      <c r="F1704" s="3" t="n"/>
      <c r="G1704" s="9" t="n"/>
      <c r="H1704" s="10" t="n">
        <v>45664.75515046297</v>
      </c>
      <c r="I1704" s="10" t="n">
        <v>45664.75641203704</v>
      </c>
      <c r="J1704" s="10" t="n">
        <v>45664.77516203704</v>
      </c>
      <c r="K1704" s="11" t="n">
        <v>0.01875</v>
      </c>
      <c r="L1704" s="13" t="n"/>
    </row>
    <row r="1705">
      <c r="A1705" s="3" t="inlineStr">
        <is>
          <t>OutboundTrainPreparation</t>
        </is>
      </c>
      <c r="B1705" s="3" t="inlineStr">
        <is>
          <t>Act_OBTP_OBT070125183432-Wien Kledering_183432_607</t>
        </is>
      </c>
      <c r="C1705" s="3" t="inlineStr">
        <is>
          <t>OBT070125183432-Wien Kledering</t>
        </is>
      </c>
      <c r="D1705" s="9" t="n">
        <v>305.8</v>
      </c>
      <c r="E1705" s="3" t="n"/>
      <c r="F1705" s="3" t="n"/>
      <c r="G1705" s="9" t="n"/>
      <c r="H1705" s="10" t="n">
        <v>45664.77398148148</v>
      </c>
      <c r="I1705" s="10" t="n">
        <v>45664.77571759259</v>
      </c>
      <c r="J1705" s="10" t="n">
        <v>45664.82879629629</v>
      </c>
      <c r="K1705" s="11" t="n">
        <v>0.0530787037037037</v>
      </c>
      <c r="L1705" s="13" t="n"/>
    </row>
    <row r="1706">
      <c r="A1706" s="3" t="inlineStr">
        <is>
          <t>OutboundTrainPreparation</t>
        </is>
      </c>
      <c r="B1706" s="3" t="inlineStr">
        <is>
          <t>Act_OBTP_OBT070125212007-Wien Kledering_212007_613</t>
        </is>
      </c>
      <c r="C1706" s="3" t="inlineStr">
        <is>
          <t>OBT070125212007-Wien Kledering</t>
        </is>
      </c>
      <c r="D1706" s="9" t="n">
        <v>389.1</v>
      </c>
      <c r="E1706" s="3" t="n"/>
      <c r="F1706" s="3" t="n"/>
      <c r="G1706" s="9" t="n"/>
      <c r="H1706" s="10" t="n">
        <v>45664.88896990741</v>
      </c>
      <c r="I1706" s="10" t="n">
        <v>45664.88983796296</v>
      </c>
      <c r="J1706" s="10" t="n">
        <v>45664.95738425926</v>
      </c>
      <c r="K1706" s="11" t="n">
        <v>0.0675462962962963</v>
      </c>
      <c r="L1706" s="13" t="n"/>
    </row>
    <row r="1707">
      <c r="A1707" s="3" t="inlineStr">
        <is>
          <t>OutboundTrainPreparation</t>
        </is>
      </c>
      <c r="B1707" s="3" t="inlineStr">
        <is>
          <t>Act_OBTP_OBT080125031418-Pitten (Hamburger)_031418_627</t>
        </is>
      </c>
      <c r="C1707" s="3" t="inlineStr">
        <is>
          <t>OBT080125031418-Pitten (Hamburger)</t>
        </is>
      </c>
      <c r="D1707" s="9" t="n">
        <v>102.9</v>
      </c>
      <c r="E1707" s="3" t="n"/>
      <c r="F1707" s="3" t="n"/>
      <c r="G1707" s="9" t="n"/>
      <c r="H1707" s="10" t="n">
        <v>45665.13493055556</v>
      </c>
      <c r="I1707" s="10" t="n">
        <v>45665.13576388889</v>
      </c>
      <c r="J1707" s="10" t="n">
        <v>45665.15362268518</v>
      </c>
      <c r="K1707" s="11" t="n">
        <v>0.0178587962962963</v>
      </c>
      <c r="L1707" s="13" t="n"/>
    </row>
    <row r="1708">
      <c r="A1708" s="3" t="inlineStr">
        <is>
          <t>OutboundTrainPreparation</t>
        </is>
      </c>
      <c r="B1708" s="3" t="inlineStr">
        <is>
          <t>Act_OBTP_OBT080125031718-Other sidings local_031718_625</t>
        </is>
      </c>
      <c r="C1708" s="3" t="inlineStr">
        <is>
          <t>OBT080125031718-Other sidings local</t>
        </is>
      </c>
      <c r="D1708" s="9" t="n">
        <v>114.3</v>
      </c>
      <c r="E1708" s="3" t="n"/>
      <c r="F1708" s="3" t="n"/>
      <c r="G1708" s="9" t="n"/>
      <c r="H1708" s="10" t="n">
        <v>45665.13701388889</v>
      </c>
      <c r="I1708" s="10" t="n">
        <v>45665.13884259259</v>
      </c>
      <c r="J1708" s="10" t="n">
        <v>45665.15869212963</v>
      </c>
      <c r="K1708" s="11" t="n">
        <v>0.01984953703703704</v>
      </c>
      <c r="L1708" s="13" t="n"/>
    </row>
    <row r="1709">
      <c r="A1709" s="3" t="inlineStr">
        <is>
          <t>OutboundTrainPreparation</t>
        </is>
      </c>
      <c r="B1709" s="3" t="inlineStr">
        <is>
          <t>Act_OBTP_OBT080125031726-Neunkirchen (loading tracks)_031726_613</t>
        </is>
      </c>
      <c r="C1709" s="3" t="inlineStr">
        <is>
          <t>OBT080125031726-Neunkirchen (loading tracks)</t>
        </is>
      </c>
      <c r="D1709" s="9" t="n">
        <v>166.9</v>
      </c>
      <c r="E1709" s="3" t="n"/>
      <c r="F1709" s="3" t="n"/>
      <c r="G1709" s="9" t="n"/>
      <c r="H1709" s="10" t="n">
        <v>45665.13710648148</v>
      </c>
      <c r="I1709" s="10" t="n">
        <v>45665.1421412037</v>
      </c>
      <c r="J1709" s="10" t="n">
        <v>45665.17112268518</v>
      </c>
      <c r="K1709" s="11" t="n">
        <v>0.02898148148148148</v>
      </c>
      <c r="L1709" s="13" t="n"/>
    </row>
    <row r="1710">
      <c r="A1710" s="3" t="inlineStr">
        <is>
          <t>OutboundTrainPreparation</t>
        </is>
      </c>
      <c r="B1710" s="3" t="inlineStr">
        <is>
          <t>Act_OBTP_OBT080125032215-Other sidings south_032215_623</t>
        </is>
      </c>
      <c r="C1710" s="3" t="inlineStr">
        <is>
          <t>OBT080125032215-Other sidings south</t>
        </is>
      </c>
      <c r="D1710" s="9" t="n">
        <v>141.7</v>
      </c>
      <c r="E1710" s="3" t="n"/>
      <c r="F1710" s="3" t="n"/>
      <c r="G1710" s="9" t="n"/>
      <c r="H1710" s="10" t="n">
        <v>45665.14045138889</v>
      </c>
      <c r="I1710" s="10" t="n">
        <v>45665.15530092592</v>
      </c>
      <c r="J1710" s="10" t="n">
        <v>45665.17990740741</v>
      </c>
      <c r="K1710" s="11" t="n">
        <v>0.02460648148148148</v>
      </c>
      <c r="L1710" s="13" t="n"/>
    </row>
    <row r="1711">
      <c r="A1711" s="3" t="inlineStr">
        <is>
          <t>OutboundTrainPreparation</t>
        </is>
      </c>
      <c r="B1711" s="3" t="inlineStr">
        <is>
          <t>Act_OBTP_OBT080125041024-Neudörfl (FunderMax)_041024_611</t>
        </is>
      </c>
      <c r="C1711" s="3" t="inlineStr">
        <is>
          <t>OBT080125041024-Neudörfl (FunderMax)</t>
        </is>
      </c>
      <c r="D1711" s="9" t="n">
        <v>592.7</v>
      </c>
      <c r="E1711" s="3" t="n"/>
      <c r="F1711" s="3" t="n"/>
      <c r="G1711" s="9" t="n"/>
      <c r="H1711" s="10" t="n">
        <v>45665.17388888889</v>
      </c>
      <c r="I1711" s="10" t="n">
        <v>45665.1747337963</v>
      </c>
      <c r="J1711" s="10" t="n">
        <v>45665.27763888889</v>
      </c>
      <c r="K1711" s="11" t="n">
        <v>0.1029050925925926</v>
      </c>
      <c r="L1711" s="13" t="n"/>
    </row>
    <row r="1712">
      <c r="A1712" s="3" t="inlineStr">
        <is>
          <t>OutboundTrainPreparation</t>
        </is>
      </c>
      <c r="B1712" s="3" t="inlineStr">
        <is>
          <t>Act_OBTP_OBT080125061845-Wien Kledering_061845_613</t>
        </is>
      </c>
      <c r="C1712" s="3" t="inlineStr">
        <is>
          <t>OBT080125061845-Wien Kledering</t>
        </is>
      </c>
      <c r="D1712" s="9" t="n">
        <v>297</v>
      </c>
      <c r="E1712" s="3" t="n"/>
      <c r="F1712" s="3" t="n"/>
      <c r="G1712" s="9" t="n"/>
      <c r="H1712" s="10" t="n">
        <v>45665.26302083334</v>
      </c>
      <c r="I1712" s="10" t="n">
        <v>45665.26388888889</v>
      </c>
      <c r="J1712" s="10" t="n">
        <v>45665.31545138889</v>
      </c>
      <c r="K1712" s="11" t="n">
        <v>0.0515625</v>
      </c>
      <c r="L1712" s="13" t="n"/>
    </row>
    <row r="1713">
      <c r="A1713" s="3" t="inlineStr">
        <is>
          <t>OutboundTrainPreparation</t>
        </is>
      </c>
      <c r="B1713" s="3" t="inlineStr">
        <is>
          <t>Act_OBTP_OBT080125073527-Wien Kledering_073527_611</t>
        </is>
      </c>
      <c r="C1713" s="3" t="inlineStr">
        <is>
          <t>OBT080125073527-Wien Kledering</t>
        </is>
      </c>
      <c r="D1713" s="9" t="n">
        <v>156.7</v>
      </c>
      <c r="E1713" s="3" t="n"/>
      <c r="F1713" s="3" t="n"/>
      <c r="G1713" s="9" t="n"/>
      <c r="H1713" s="10" t="n">
        <v>45665.31628472222</v>
      </c>
      <c r="I1713" s="10" t="n">
        <v>45665.31712962963</v>
      </c>
      <c r="J1713" s="10" t="n">
        <v>45665.34434027778</v>
      </c>
      <c r="K1713" s="11" t="n">
        <v>0.02721064814814815</v>
      </c>
      <c r="L1713" s="13" t="n"/>
    </row>
    <row r="1714">
      <c r="A1714" s="3" t="inlineStr">
        <is>
          <t>OutboundTrainPreparation</t>
        </is>
      </c>
      <c r="B1714" s="3" t="inlineStr">
        <is>
          <t>Act_OBTP_OBT080125081724-Other sidings north_081724_615</t>
        </is>
      </c>
      <c r="C1714" s="3" t="inlineStr">
        <is>
          <t>OBT080125081724-Other sidings north</t>
        </is>
      </c>
      <c r="D1714" s="9" t="n">
        <v>130.1</v>
      </c>
      <c r="E1714" s="3" t="n"/>
      <c r="F1714" s="3" t="n"/>
      <c r="G1714" s="9" t="n"/>
      <c r="H1714" s="10" t="n">
        <v>45665.34541666666</v>
      </c>
      <c r="I1714" s="10" t="n">
        <v>45665.34628472223</v>
      </c>
      <c r="J1714" s="10" t="n">
        <v>45665.36886574074</v>
      </c>
      <c r="K1714" s="11" t="n">
        <v>0.02258101851851852</v>
      </c>
      <c r="L1714" s="13" t="n"/>
    </row>
    <row r="1715">
      <c r="A1715" s="3" t="inlineStr">
        <is>
          <t>OutboundTrainPreparation</t>
        </is>
      </c>
      <c r="B1715" s="3" t="inlineStr">
        <is>
          <t>Act_OBTP_OBT080125082044-Wr. Neustadt (Hödlmayr)_082044_619</t>
        </is>
      </c>
      <c r="C1715" s="3" t="inlineStr">
        <is>
          <t>OBT080125082044-Wr. Neustadt (Hödlmayr)</t>
        </is>
      </c>
      <c r="D1715" s="9" t="n">
        <v>108</v>
      </c>
      <c r="E1715" s="3" t="n"/>
      <c r="F1715" s="3" t="n"/>
      <c r="G1715" s="9" t="n"/>
      <c r="H1715" s="10" t="n">
        <v>45665.34773148148</v>
      </c>
      <c r="I1715" s="10" t="n">
        <v>45665.34859953704</v>
      </c>
      <c r="J1715" s="10" t="n">
        <v>45665.36734953704</v>
      </c>
      <c r="K1715" s="11" t="n">
        <v>0.01875</v>
      </c>
      <c r="L1715" s="13" t="n"/>
    </row>
    <row r="1716">
      <c r="A1716" s="3" t="inlineStr">
        <is>
          <t>OutboundTrainPreparation</t>
        </is>
      </c>
      <c r="B1716" s="3" t="inlineStr">
        <is>
          <t>Act_OBTP_OBT080125083220-Pitten (Hamburger)_083220_627</t>
        </is>
      </c>
      <c r="C1716" s="3" t="inlineStr">
        <is>
          <t>OBT080125083220-Pitten (Hamburger)</t>
        </is>
      </c>
      <c r="D1716" s="9" t="n">
        <v>124.4</v>
      </c>
      <c r="E1716" s="3" t="n"/>
      <c r="F1716" s="3" t="n"/>
      <c r="G1716" s="9" t="n"/>
      <c r="H1716" s="10" t="n">
        <v>45665.35578703704</v>
      </c>
      <c r="I1716" s="10" t="n">
        <v>45665.36579861111</v>
      </c>
      <c r="J1716" s="10" t="n">
        <v>45665.3874074074</v>
      </c>
      <c r="K1716" s="11" t="n">
        <v>0.0216087962962963</v>
      </c>
      <c r="L1716" s="13" t="n"/>
    </row>
    <row r="1717">
      <c r="A1717" s="3" t="inlineStr">
        <is>
          <t>OutboundTrainPreparation</t>
        </is>
      </c>
      <c r="B1717" s="3" t="inlineStr">
        <is>
          <t>Act_OBTP_OBT080125084420-Ternitz (Schoeller-Bleckmann)_084420_613</t>
        </is>
      </c>
      <c r="C1717" s="3" t="inlineStr">
        <is>
          <t>OBT080125084420-Ternitz (Schoeller-Bleckmann)</t>
        </is>
      </c>
      <c r="D1717" s="9" t="n">
        <v>401.8</v>
      </c>
      <c r="E1717" s="3" t="n"/>
      <c r="F1717" s="3" t="n"/>
      <c r="G1717" s="9" t="n"/>
      <c r="H1717" s="10" t="n">
        <v>45665.36412037037</v>
      </c>
      <c r="I1717" s="10" t="n">
        <v>45665.36908564815</v>
      </c>
      <c r="J1717" s="10" t="n">
        <v>45665.43884259259</v>
      </c>
      <c r="K1717" s="11" t="n">
        <v>0.06975694444444444</v>
      </c>
      <c r="L1717" s="13" t="n"/>
    </row>
    <row r="1718">
      <c r="A1718" s="3" t="inlineStr">
        <is>
          <t>OutboundTrainPreparation</t>
        </is>
      </c>
      <c r="B1718" s="3" t="inlineStr">
        <is>
          <t>Act_OBTP_OBT080125091709-Wien Kledering_091709_615</t>
        </is>
      </c>
      <c r="C1718" s="3" t="inlineStr">
        <is>
          <t>OBT080125091709-Wien Kledering</t>
        </is>
      </c>
      <c r="D1718" s="9" t="n">
        <v>114.8</v>
      </c>
      <c r="E1718" s="3" t="n"/>
      <c r="F1718" s="3" t="n"/>
      <c r="G1718" s="9" t="n"/>
      <c r="H1718" s="10" t="n">
        <v>45665.38690972222</v>
      </c>
      <c r="I1718" s="10" t="n">
        <v>45665.3891087963</v>
      </c>
      <c r="J1718" s="10" t="n">
        <v>45665.40903935185</v>
      </c>
      <c r="K1718" s="11" t="n">
        <v>0.01993055555555556</v>
      </c>
      <c r="L1718" s="13" t="n"/>
    </row>
    <row r="1719">
      <c r="A1719" s="3" t="inlineStr">
        <is>
          <t>OutboundTrainPreparation</t>
        </is>
      </c>
      <c r="B1719" s="3" t="inlineStr">
        <is>
          <t>Act_OBTP_OBT080125092000-St. Veit an der Glan_092000_619</t>
        </is>
      </c>
      <c r="C1719" s="3" t="inlineStr">
        <is>
          <t>OBT080125092000-St. Veit an der Glan</t>
        </is>
      </c>
      <c r="D1719" s="9" t="n">
        <v>120.4</v>
      </c>
      <c r="E1719" s="3" t="n"/>
      <c r="F1719" s="3" t="n"/>
      <c r="G1719" s="9" t="n"/>
      <c r="H1719" s="10" t="n">
        <v>45665.38888888889</v>
      </c>
      <c r="I1719" s="10" t="n">
        <v>45665.39052083333</v>
      </c>
      <c r="J1719" s="10" t="n">
        <v>45665.41142361111</v>
      </c>
      <c r="K1719" s="11" t="n">
        <v>0.02090277777777778</v>
      </c>
      <c r="L1719" s="13" t="n"/>
    </row>
    <row r="1720">
      <c r="A1720" s="3" t="inlineStr">
        <is>
          <t>OutboundTrainPreparation</t>
        </is>
      </c>
      <c r="B1720" s="3" t="inlineStr">
        <is>
          <t>Act_OBTP_OBT080125103559-Wien Kledering_103559_615</t>
        </is>
      </c>
      <c r="C1720" s="3" t="inlineStr">
        <is>
          <t>OBT080125103559-Wien Kledering</t>
        </is>
      </c>
      <c r="D1720" s="9" t="n">
        <v>124.9</v>
      </c>
      <c r="E1720" s="3" t="n"/>
      <c r="F1720" s="3" t="n"/>
      <c r="G1720" s="9" t="n"/>
      <c r="H1720" s="10" t="n">
        <v>45665.4416550926</v>
      </c>
      <c r="I1720" s="10" t="n">
        <v>45665.44252314815</v>
      </c>
      <c r="J1720" s="10" t="n">
        <v>45665.46420138889</v>
      </c>
      <c r="K1720" s="11" t="n">
        <v>0.02167824074074074</v>
      </c>
      <c r="L1720" s="13" t="n"/>
    </row>
    <row r="1721">
      <c r="A1721" s="3" t="inlineStr">
        <is>
          <t>OutboundTrainPreparation</t>
        </is>
      </c>
      <c r="B1721" s="3" t="inlineStr">
        <is>
          <t>Act_OBTP_OBT080125104132-Wien Kledering_104132_613</t>
        </is>
      </c>
      <c r="C1721" s="3" t="inlineStr">
        <is>
          <t>OBT080125104132-Wien Kledering</t>
        </is>
      </c>
      <c r="D1721" s="9" t="n">
        <v>297.3</v>
      </c>
      <c r="E1721" s="3" t="n"/>
      <c r="F1721" s="3" t="n"/>
      <c r="G1721" s="9" t="n"/>
      <c r="H1721" s="10" t="n">
        <v>45665.44550925926</v>
      </c>
      <c r="I1721" s="10" t="n">
        <v>45665.44629629629</v>
      </c>
      <c r="J1721" s="10" t="n">
        <v>45665.49790509259</v>
      </c>
      <c r="K1721" s="11" t="n">
        <v>0.0516087962962963</v>
      </c>
      <c r="L1721" s="13" t="n"/>
    </row>
    <row r="1722">
      <c r="A1722" s="3" t="inlineStr">
        <is>
          <t>OutboundTrainPreparation</t>
        </is>
      </c>
      <c r="B1722" s="3" t="inlineStr">
        <is>
          <t>Act_OBTP_OBT080125130420-Wien Kledering_130420_615</t>
        </is>
      </c>
      <c r="C1722" s="3" t="inlineStr">
        <is>
          <t>OBT080125130420-Wien Kledering</t>
        </is>
      </c>
      <c r="D1722" s="9" t="n">
        <v>296.8</v>
      </c>
      <c r="E1722" s="3" t="n"/>
      <c r="F1722" s="3" t="n"/>
      <c r="G1722" s="9" t="n"/>
      <c r="H1722" s="10" t="n">
        <v>45665.54467592593</v>
      </c>
      <c r="I1722" s="10" t="n">
        <v>45665.54554398148</v>
      </c>
      <c r="J1722" s="10" t="n">
        <v>45665.59707175926</v>
      </c>
      <c r="K1722" s="11" t="n">
        <v>0.05152777777777778</v>
      </c>
      <c r="L1722" s="13" t="n"/>
    </row>
    <row r="1723">
      <c r="A1723" s="3" t="inlineStr">
        <is>
          <t>OutboundTrainPreparation</t>
        </is>
      </c>
      <c r="B1723" s="3" t="inlineStr">
        <is>
          <t>Act_OBTP_OBT080125144539-Wien Kledering_144539_615</t>
        </is>
      </c>
      <c r="C1723" s="3" t="inlineStr">
        <is>
          <t>OBT080125144539-Wien Kledering</t>
        </is>
      </c>
      <c r="D1723" s="9" t="n">
        <v>365.8</v>
      </c>
      <c r="E1723" s="3" t="n"/>
      <c r="F1723" s="3" t="n"/>
      <c r="G1723" s="9" t="n"/>
      <c r="H1723" s="10" t="n">
        <v>45665.61503472222</v>
      </c>
      <c r="I1723" s="10" t="n">
        <v>45665.61582175926</v>
      </c>
      <c r="J1723" s="10" t="n">
        <v>45665.67934027778</v>
      </c>
      <c r="K1723" s="11" t="n">
        <v>0.06351851851851852</v>
      </c>
      <c r="L1723" s="13" t="n"/>
    </row>
    <row r="1724">
      <c r="A1724" s="3" t="inlineStr">
        <is>
          <t>OutboundTrainPreparation</t>
        </is>
      </c>
      <c r="B1724" s="3" t="inlineStr">
        <is>
          <t>Act_OBTP_OBT080125153109-Felixdorf/Sollenau (Bundesheer, Maba)_153109_621</t>
        </is>
      </c>
      <c r="C1724" s="3" t="inlineStr">
        <is>
          <t>OBT080125153109-Felixdorf/Sollenau (Bundesheer, Maba)</t>
        </is>
      </c>
      <c r="D1724" s="9" t="n">
        <v>139.3</v>
      </c>
      <c r="E1724" s="3" t="n"/>
      <c r="F1724" s="3" t="n"/>
      <c r="G1724" s="9" t="n"/>
      <c r="H1724" s="10" t="n">
        <v>45665.64663194444</v>
      </c>
      <c r="I1724" s="10" t="n">
        <v>45665.64836805555</v>
      </c>
      <c r="J1724" s="10" t="n">
        <v>45665.67254629629</v>
      </c>
      <c r="K1724" s="11" t="n">
        <v>0.02417824074074074</v>
      </c>
      <c r="L1724" s="13" t="n"/>
    </row>
    <row r="1725">
      <c r="A1725" s="3" t="inlineStr">
        <is>
          <t>OutboundTrainPreparation</t>
        </is>
      </c>
      <c r="B1725" s="3" t="inlineStr">
        <is>
          <t>Act_OBTP_OBT080125160042-Wien Kledering_160042_617</t>
        </is>
      </c>
      <c r="C1725" s="3" t="inlineStr">
        <is>
          <t>OBT080125160042-Wien Kledering</t>
        </is>
      </c>
      <c r="D1725" s="9" t="n">
        <v>362</v>
      </c>
      <c r="E1725" s="3" t="n"/>
      <c r="F1725" s="3" t="n"/>
      <c r="G1725" s="9" t="n"/>
      <c r="H1725" s="10" t="n">
        <v>45665.66715277778</v>
      </c>
      <c r="I1725" s="10" t="n">
        <v>45665.66885416667</v>
      </c>
      <c r="J1725" s="10" t="n">
        <v>45665.73170138889</v>
      </c>
      <c r="K1725" s="11" t="n">
        <v>0.06284722222222222</v>
      </c>
      <c r="L1725" s="13" t="n"/>
    </row>
    <row r="1726">
      <c r="A1726" s="3" t="inlineStr">
        <is>
          <t>OutboundTrainPreparation</t>
        </is>
      </c>
      <c r="B1726" s="3" t="inlineStr">
        <is>
          <t>Act_OBTP_OBT080125173713-Wien Kledering_173713_615</t>
        </is>
      </c>
      <c r="C1726" s="3" t="inlineStr">
        <is>
          <t>OBT080125173713-Wien Kledering</t>
        </is>
      </c>
      <c r="D1726" s="9" t="n">
        <v>209.2</v>
      </c>
      <c r="E1726" s="3" t="n"/>
      <c r="F1726" s="3" t="n"/>
      <c r="G1726" s="9" t="n"/>
      <c r="H1726" s="10" t="n">
        <v>45665.73417824074</v>
      </c>
      <c r="I1726" s="10" t="n">
        <v>45665.73501157408</v>
      </c>
      <c r="J1726" s="10" t="n">
        <v>45665.77131944444</v>
      </c>
      <c r="K1726" s="11" t="n">
        <v>0.03630787037037037</v>
      </c>
      <c r="L1726" s="13" t="n"/>
    </row>
    <row r="1727">
      <c r="A1727" s="3" t="inlineStr">
        <is>
          <t>OutboundTrainPreparation</t>
        </is>
      </c>
      <c r="B1727" s="3" t="inlineStr">
        <is>
          <t>Act_OBTP_OBT080125203302-Wien Kledering_203302_617</t>
        </is>
      </c>
      <c r="C1727" s="3" t="inlineStr">
        <is>
          <t>OBT080125203302-Wien Kledering</t>
        </is>
      </c>
      <c r="D1727" s="9" t="n">
        <v>115.2</v>
      </c>
      <c r="E1727" s="3" t="n"/>
      <c r="F1727" s="3" t="n"/>
      <c r="G1727" s="9" t="n"/>
      <c r="H1727" s="10" t="n">
        <v>45665.85627314815</v>
      </c>
      <c r="I1727" s="10" t="n">
        <v>45665.85714120371</v>
      </c>
      <c r="J1727" s="10" t="n">
        <v>45665.8771412037</v>
      </c>
      <c r="K1727" s="11" t="n">
        <v>0.02</v>
      </c>
      <c r="L1727" s="13" t="n"/>
    </row>
    <row r="1728">
      <c r="A1728" s="3" t="inlineStr">
        <is>
          <t>OutboundTrainPreparation</t>
        </is>
      </c>
      <c r="B1728" s="3" t="inlineStr">
        <is>
          <t>Act_OBTP_OBT090125030658-Wr. Neustadt (Hödlmayr)_030658_613</t>
        </is>
      </c>
      <c r="C1728" s="3" t="inlineStr">
        <is>
          <t>OBT090125030658-Wr. Neustadt (Hödlmayr)</t>
        </is>
      </c>
      <c r="D1728" s="9" t="n">
        <v>110</v>
      </c>
      <c r="E1728" s="3" t="n"/>
      <c r="F1728" s="3" t="n"/>
      <c r="G1728" s="9" t="n"/>
      <c r="H1728" s="10" t="n">
        <v>45666.12983796297</v>
      </c>
      <c r="I1728" s="10" t="n">
        <v>45666.130625</v>
      </c>
      <c r="J1728" s="10" t="n">
        <v>45666.14973379629</v>
      </c>
      <c r="K1728" s="11" t="n">
        <v>0.0191087962962963</v>
      </c>
      <c r="L1728" s="13" t="n"/>
    </row>
    <row r="1729">
      <c r="A1729" s="3" t="inlineStr">
        <is>
          <t>OutboundTrainPreparation</t>
        </is>
      </c>
      <c r="B1729" s="3" t="inlineStr">
        <is>
          <t>Act_OBTP_OBT090125031241-Neunkirchen (loading tracks)_031241_625</t>
        </is>
      </c>
      <c r="C1729" s="3" t="inlineStr">
        <is>
          <t>OBT090125031241-Neunkirchen (loading tracks)</t>
        </is>
      </c>
      <c r="D1729" s="9" t="n">
        <v>197</v>
      </c>
      <c r="E1729" s="3" t="n"/>
      <c r="F1729" s="3" t="n"/>
      <c r="G1729" s="9" t="n"/>
      <c r="H1729" s="10" t="n">
        <v>45666.13380787037</v>
      </c>
      <c r="I1729" s="10" t="n">
        <v>45666.13467592592</v>
      </c>
      <c r="J1729" s="10" t="n">
        <v>45666.16887731481</v>
      </c>
      <c r="K1729" s="11" t="n">
        <v>0.03420138888888889</v>
      </c>
      <c r="L1729" s="13" t="n"/>
    </row>
    <row r="1730">
      <c r="A1730" s="3" t="inlineStr">
        <is>
          <t>OutboundTrainPreparation</t>
        </is>
      </c>
      <c r="B1730" s="3" t="inlineStr">
        <is>
          <t>Act_OBTP_OBT090125063820-Ebenfurth (beet loading)_063820_615</t>
        </is>
      </c>
      <c r="C1730" s="3" t="inlineStr">
        <is>
          <t>OBT090125063820-Ebenfurth (beet loading)</t>
        </is>
      </c>
      <c r="D1730" s="9" t="n">
        <v>141.7</v>
      </c>
      <c r="E1730" s="3" t="n"/>
      <c r="F1730" s="3" t="n"/>
      <c r="G1730" s="9" t="n"/>
      <c r="H1730" s="10" t="n">
        <v>45666.27662037037</v>
      </c>
      <c r="I1730" s="10" t="n">
        <v>45666.27746527778</v>
      </c>
      <c r="J1730" s="10" t="n">
        <v>45666.30206018518</v>
      </c>
      <c r="K1730" s="11" t="n">
        <v>0.02459490740740741</v>
      </c>
      <c r="L1730" s="13" t="n"/>
    </row>
    <row r="1731">
      <c r="A1731" s="3" t="inlineStr">
        <is>
          <t>OutboundTrainPreparation</t>
        </is>
      </c>
      <c r="B1731" s="3" t="inlineStr">
        <is>
          <t>Act_OBTP_OBT090125064202-Other sidings north_064202_619</t>
        </is>
      </c>
      <c r="C1731" s="3" t="inlineStr">
        <is>
          <t>OBT090125064202-Other sidings north</t>
        </is>
      </c>
      <c r="D1731" s="9" t="n">
        <v>175.8</v>
      </c>
      <c r="E1731" s="3" t="n"/>
      <c r="F1731" s="3" t="n"/>
      <c r="G1731" s="9" t="n"/>
      <c r="H1731" s="10" t="n">
        <v>45666.27918981481</v>
      </c>
      <c r="I1731" s="10" t="n">
        <v>45666.28068287037</v>
      </c>
      <c r="J1731" s="10" t="n">
        <v>45666.31120370371</v>
      </c>
      <c r="K1731" s="11" t="n">
        <v>0.03052083333333333</v>
      </c>
      <c r="L1731" s="13" t="n"/>
    </row>
    <row r="1732">
      <c r="A1732" s="3" t="inlineStr">
        <is>
          <t>OutboundTrainPreparation</t>
        </is>
      </c>
      <c r="B1732" s="3" t="inlineStr">
        <is>
          <t>Act_OBTP_OBT090125070004-Wien Kledering_070004_629</t>
        </is>
      </c>
      <c r="C1732" s="3" t="inlineStr">
        <is>
          <t>OBT090125070004-Wien Kledering</t>
        </is>
      </c>
      <c r="D1732" s="9" t="n">
        <v>185.9</v>
      </c>
      <c r="E1732" s="3" t="n"/>
      <c r="F1732" s="3" t="n"/>
      <c r="G1732" s="9" t="n"/>
      <c r="H1732" s="10" t="n">
        <v>45666.29171296296</v>
      </c>
      <c r="I1732" s="10" t="n">
        <v>45666.29377314815</v>
      </c>
      <c r="J1732" s="10" t="n">
        <v>45666.32604166667</v>
      </c>
      <c r="K1732" s="11" t="n">
        <v>0.03226851851851852</v>
      </c>
      <c r="L1732" s="13" t="n"/>
    </row>
    <row r="1733">
      <c r="A1733" s="3" t="inlineStr">
        <is>
          <t>OutboundTrainPreparation</t>
        </is>
      </c>
      <c r="B1733" s="3" t="inlineStr">
        <is>
          <t>Act_OBTP_OBT090125074546-Wr. Neustadt (Brenntag)_074546_609</t>
        </is>
      </c>
      <c r="C1733" s="3" t="inlineStr">
        <is>
          <t>OBT090125074546-Wr. Neustadt (Brenntag)</t>
        </is>
      </c>
      <c r="D1733" s="9" t="n">
        <v>409</v>
      </c>
      <c r="E1733" s="3" t="n"/>
      <c r="F1733" s="3" t="n"/>
      <c r="G1733" s="9" t="n"/>
      <c r="H1733" s="10" t="n">
        <v>45666.32344907407</v>
      </c>
      <c r="I1733" s="10" t="n">
        <v>45666.32508101852</v>
      </c>
      <c r="J1733" s="10" t="n">
        <v>45666.39607638889</v>
      </c>
      <c r="K1733" s="11" t="n">
        <v>0.07099537037037038</v>
      </c>
      <c r="L1733" s="13" t="n"/>
    </row>
    <row r="1734">
      <c r="A1734" s="3" t="inlineStr">
        <is>
          <t>OutboundTrainPreparation</t>
        </is>
      </c>
      <c r="B1734" s="3" t="inlineStr">
        <is>
          <t>Act_OBTP_OBT090125075111-Pitten (Hamburger)_075111_611</t>
        </is>
      </c>
      <c r="C1734" s="3" t="inlineStr">
        <is>
          <t>OBT090125075111-Pitten (Hamburger)</t>
        </is>
      </c>
      <c r="D1734" s="9" t="n">
        <v>133.4</v>
      </c>
      <c r="E1734" s="3" t="n"/>
      <c r="F1734" s="3" t="n"/>
      <c r="G1734" s="9" t="n"/>
      <c r="H1734" s="10" t="n">
        <v>45666.32721064815</v>
      </c>
      <c r="I1734" s="10" t="n">
        <v>45666.33197916667</v>
      </c>
      <c r="J1734" s="10" t="n">
        <v>45666.35515046296</v>
      </c>
      <c r="K1734" s="11" t="n">
        <v>0.0231712962962963</v>
      </c>
      <c r="L1734" s="13" t="n"/>
    </row>
    <row r="1735">
      <c r="A1735" s="3" t="inlineStr">
        <is>
          <t>OutboundTrainPreparation</t>
        </is>
      </c>
      <c r="B1735" s="3" t="inlineStr">
        <is>
          <t>Act_OBTP_OBT090125075601-Wr. Neustadt Ausfahrbf (Furtenbach)_075601_605</t>
        </is>
      </c>
      <c r="C1735" s="3" t="inlineStr">
        <is>
          <t>OBT090125075601-Wr. Neustadt Ausfahrbf (Furtenbach)</t>
        </is>
      </c>
      <c r="D1735" s="9" t="n">
        <v>119.4</v>
      </c>
      <c r="E1735" s="3" t="n"/>
      <c r="F1735" s="3" t="n"/>
      <c r="G1735" s="9" t="n"/>
      <c r="H1735" s="10" t="n">
        <v>45666.33056712963</v>
      </c>
      <c r="I1735" s="10" t="n">
        <v>45666.33230324074</v>
      </c>
      <c r="J1735" s="10" t="n">
        <v>45666.35303240741</v>
      </c>
      <c r="K1735" s="11" t="n">
        <v>0.02072916666666667</v>
      </c>
      <c r="L1735" s="13" t="n"/>
    </row>
    <row r="1736">
      <c r="A1736" s="3" t="inlineStr">
        <is>
          <t>OutboundTrainPreparation</t>
        </is>
      </c>
      <c r="B1736" s="3" t="inlineStr">
        <is>
          <t>Act_OBTP_OBT090125083304-Wien Kledering_083304_619</t>
        </is>
      </c>
      <c r="C1736" s="3" t="inlineStr">
        <is>
          <t>OBT090125083304-Wien Kledering</t>
        </is>
      </c>
      <c r="D1736" s="9" t="n">
        <v>381.6</v>
      </c>
      <c r="E1736" s="3" t="n"/>
      <c r="F1736" s="3" t="n"/>
      <c r="G1736" s="9" t="n"/>
      <c r="H1736" s="10" t="n">
        <v>45666.3562962963</v>
      </c>
      <c r="I1736" s="10" t="n">
        <v>45666.35714120371</v>
      </c>
      <c r="J1736" s="10" t="n">
        <v>45666.42337962963</v>
      </c>
      <c r="K1736" s="11" t="n">
        <v>0.06623842592592592</v>
      </c>
      <c r="L1736" s="13" t="n"/>
    </row>
    <row r="1737">
      <c r="A1737" s="3" t="inlineStr">
        <is>
          <t>OutboundTrainPreparation</t>
        </is>
      </c>
      <c r="B1737" s="3" t="inlineStr">
        <is>
          <t>Act_OBTP_OBT090125090557-Wien Kledering_090557_605</t>
        </is>
      </c>
      <c r="C1737" s="3" t="inlineStr">
        <is>
          <t>OBT090125090557-Wien Kledering</t>
        </is>
      </c>
      <c r="D1737" s="9" t="n">
        <v>118.2</v>
      </c>
      <c r="E1737" s="3" t="n"/>
      <c r="F1737" s="3" t="n"/>
      <c r="G1737" s="9" t="n"/>
      <c r="H1737" s="10" t="n">
        <v>45666.37913194444</v>
      </c>
      <c r="I1737" s="10" t="n">
        <v>45666.38483796296</v>
      </c>
      <c r="J1737" s="10" t="n">
        <v>45666.4053587963</v>
      </c>
      <c r="K1737" s="11" t="n">
        <v>0.02052083333333333</v>
      </c>
      <c r="L1737" s="13" t="n"/>
    </row>
    <row r="1738">
      <c r="A1738" s="3" t="inlineStr">
        <is>
          <t>OutboundTrainPreparation</t>
        </is>
      </c>
      <c r="B1738" s="3" t="inlineStr">
        <is>
          <t>Act_OBTP_OBT090125091140-St. Veit an der Glan_091140_627</t>
        </is>
      </c>
      <c r="C1738" s="3" t="inlineStr">
        <is>
          <t>OBT090125091140-St. Veit an der Glan</t>
        </is>
      </c>
      <c r="D1738" s="9" t="n">
        <v>264.8</v>
      </c>
      <c r="E1738" s="3" t="n"/>
      <c r="F1738" s="3" t="n"/>
      <c r="G1738" s="9" t="n"/>
      <c r="H1738" s="10" t="n">
        <v>45666.38310185185</v>
      </c>
      <c r="I1738" s="10" t="n">
        <v>45666.39775462963</v>
      </c>
      <c r="J1738" s="10" t="n">
        <v>45666.44372685185</v>
      </c>
      <c r="K1738" s="11" t="n">
        <v>0.04597222222222222</v>
      </c>
      <c r="L1738" s="13" t="n"/>
    </row>
    <row r="1739">
      <c r="A1739" s="3" t="inlineStr">
        <is>
          <t>OutboundTrainPreparation</t>
        </is>
      </c>
      <c r="B1739" s="3" t="inlineStr">
        <is>
          <t>Act_OBTP_OBT090125111603-Wien Kledering_111603_605</t>
        </is>
      </c>
      <c r="C1739" s="3" t="inlineStr">
        <is>
          <t>OBT090125111603-Wien Kledering</t>
        </is>
      </c>
      <c r="D1739" s="9" t="n">
        <v>414.7</v>
      </c>
      <c r="E1739" s="3" t="n"/>
      <c r="F1739" s="3" t="n"/>
      <c r="G1739" s="9" t="n"/>
      <c r="H1739" s="10" t="n">
        <v>45666.46947916667</v>
      </c>
      <c r="I1739" s="10" t="n">
        <v>45666.47032407407</v>
      </c>
      <c r="J1739" s="10" t="n">
        <v>45666.54231481482</v>
      </c>
      <c r="K1739" s="11" t="n">
        <v>0.07199074074074074</v>
      </c>
      <c r="L1739" s="13" t="n"/>
    </row>
    <row r="1740">
      <c r="A1740" s="3" t="inlineStr">
        <is>
          <t>OutboundTrainPreparation</t>
        </is>
      </c>
      <c r="B1740" s="3" t="inlineStr">
        <is>
          <t>Act_OBTP_OBT090125145115-Wien Kledering_145115_605</t>
        </is>
      </c>
      <c r="C1740" s="3" t="inlineStr">
        <is>
          <t>OBT090125145115-Wien Kledering</t>
        </is>
      </c>
      <c r="D1740" s="9" t="n">
        <v>241.4</v>
      </c>
      <c r="E1740" s="3" t="n"/>
      <c r="F1740" s="3" t="n"/>
      <c r="G1740" s="9" t="n"/>
      <c r="H1740" s="10" t="n">
        <v>45666.61892361111</v>
      </c>
      <c r="I1740" s="10" t="n">
        <v>45666.61979166666</v>
      </c>
      <c r="J1740" s="10" t="n">
        <v>45666.66170138889</v>
      </c>
      <c r="K1740" s="11" t="n">
        <v>0.04190972222222222</v>
      </c>
      <c r="L1740" s="13" t="n"/>
    </row>
    <row r="1741">
      <c r="A1741" s="3" t="inlineStr">
        <is>
          <t>OutboundTrainPreparation</t>
        </is>
      </c>
      <c r="B1741" s="3" t="inlineStr">
        <is>
          <t>Act_OBTP_OBT090125152828-Neudörfl (FunderMax)_152828_621</t>
        </is>
      </c>
      <c r="C1741" s="3" t="inlineStr">
        <is>
          <t>OBT090125152828-Neudörfl (FunderMax)</t>
        </is>
      </c>
      <c r="D1741" s="9" t="n">
        <v>117</v>
      </c>
      <c r="E1741" s="3" t="n"/>
      <c r="F1741" s="3" t="n"/>
      <c r="G1741" s="9" t="n"/>
      <c r="H1741" s="10" t="n">
        <v>45666.64476851852</v>
      </c>
      <c r="I1741" s="10" t="n">
        <v>45666.64561342593</v>
      </c>
      <c r="J1741" s="10" t="n">
        <v>45666.66592592592</v>
      </c>
      <c r="K1741" s="11" t="n">
        <v>0.0203125</v>
      </c>
      <c r="L1741" s="13" t="n"/>
    </row>
    <row r="1742">
      <c r="A1742" s="3" t="inlineStr">
        <is>
          <t>OutboundTrainPreparation</t>
        </is>
      </c>
      <c r="B1742" s="3" t="inlineStr">
        <is>
          <t>Act_OBTP_OBT090125153241-Pitten (Hamburger)_153241_611</t>
        </is>
      </c>
      <c r="C1742" s="3" t="inlineStr">
        <is>
          <t>OBT090125153241-Pitten (Hamburger)</t>
        </is>
      </c>
      <c r="D1742" s="9" t="n">
        <v>131.9</v>
      </c>
      <c r="E1742" s="3" t="n"/>
      <c r="F1742" s="3" t="n"/>
      <c r="G1742" s="9" t="n"/>
      <c r="H1742" s="10" t="n">
        <v>45666.64769675926</v>
      </c>
      <c r="I1742" s="10" t="n">
        <v>45666.65365740741</v>
      </c>
      <c r="J1742" s="10" t="n">
        <v>45666.6765625</v>
      </c>
      <c r="K1742" s="11" t="n">
        <v>0.02290509259259259</v>
      </c>
      <c r="L1742" s="13" t="n"/>
    </row>
    <row r="1743">
      <c r="A1743" s="3" t="inlineStr">
        <is>
          <t>OutboundTrainPreparation</t>
        </is>
      </c>
      <c r="B1743" s="3" t="inlineStr">
        <is>
          <t>Act_OBTP_OBT090125153646-Ebenfurth (beet loading)_153646_615</t>
        </is>
      </c>
      <c r="C1743" s="3" t="inlineStr">
        <is>
          <t>OBT090125153646-Ebenfurth (beet loading)</t>
        </is>
      </c>
      <c r="D1743" s="9" t="n">
        <v>173.1</v>
      </c>
      <c r="E1743" s="3" t="n"/>
      <c r="F1743" s="3" t="n"/>
      <c r="G1743" s="9" t="n"/>
      <c r="H1743" s="10" t="n">
        <v>45666.65053240741</v>
      </c>
      <c r="I1743" s="10" t="n">
        <v>45666.66660879629</v>
      </c>
      <c r="J1743" s="10" t="n">
        <v>45666.69666666666</v>
      </c>
      <c r="K1743" s="11" t="n">
        <v>0.03005787037037037</v>
      </c>
      <c r="L1743" s="13" t="n"/>
    </row>
    <row r="1744">
      <c r="A1744" s="3" t="inlineStr">
        <is>
          <t>OutboundTrainPreparation</t>
        </is>
      </c>
      <c r="B1744" s="3" t="inlineStr">
        <is>
          <t>Act_OBTP_OBT090125155728-Wien Kledering_155728_609</t>
        </is>
      </c>
      <c r="C1744" s="3" t="inlineStr">
        <is>
          <t>OBT090125155728-Wien Kledering</t>
        </is>
      </c>
      <c r="D1744" s="9" t="n">
        <v>314.8</v>
      </c>
      <c r="E1744" s="3" t="n"/>
      <c r="F1744" s="3" t="n"/>
      <c r="G1744" s="9" t="n"/>
      <c r="H1744" s="10" t="n">
        <v>45666.66490740741</v>
      </c>
      <c r="I1744" s="10" t="n">
        <v>45666.66761574074</v>
      </c>
      <c r="J1744" s="10" t="n">
        <v>45666.72226851852</v>
      </c>
      <c r="K1744" s="11" t="n">
        <v>0.05465277777777778</v>
      </c>
      <c r="L1744" s="13" t="n"/>
    </row>
    <row r="1745">
      <c r="A1745" s="3" t="inlineStr">
        <is>
          <t>OutboundTrainPreparation</t>
        </is>
      </c>
      <c r="B1745" s="3" t="inlineStr">
        <is>
          <t>Act_OBTP_OBT090125182121-Pitten (Hamburger)_182121_615</t>
        </is>
      </c>
      <c r="C1745" s="3" t="inlineStr">
        <is>
          <t>OBT090125182121-Pitten (Hamburger)</t>
        </is>
      </c>
      <c r="D1745" s="9" t="n">
        <v>116.9</v>
      </c>
      <c r="E1745" s="3" t="n"/>
      <c r="F1745" s="3" t="n"/>
      <c r="G1745" s="9" t="n"/>
      <c r="H1745" s="10" t="n">
        <v>45666.76482638889</v>
      </c>
      <c r="I1745" s="10" t="n">
        <v>45666.7656712963</v>
      </c>
      <c r="J1745" s="10" t="n">
        <v>45666.78597222222</v>
      </c>
      <c r="K1745" s="11" t="n">
        <v>0.02030092592592593</v>
      </c>
      <c r="L1745" s="13" t="n"/>
    </row>
    <row r="1746">
      <c r="A1746" s="3" t="inlineStr">
        <is>
          <t>OutboundTrainPreparation</t>
        </is>
      </c>
      <c r="B1746" s="3" t="inlineStr">
        <is>
          <t>Act_OBTP_OBT090125182601-Other sidings north_182601_619</t>
        </is>
      </c>
      <c r="C1746" s="3" t="inlineStr">
        <is>
          <t>OBT090125182601-Other sidings north</t>
        </is>
      </c>
      <c r="D1746" s="9" t="n">
        <v>154.1</v>
      </c>
      <c r="E1746" s="3" t="n"/>
      <c r="F1746" s="3" t="n"/>
      <c r="G1746" s="9" t="n"/>
      <c r="H1746" s="10" t="n">
        <v>45666.76806712963</v>
      </c>
      <c r="I1746" s="10" t="n">
        <v>45666.76969907407</v>
      </c>
      <c r="J1746" s="10" t="n">
        <v>45666.79645833333</v>
      </c>
      <c r="K1746" s="11" t="n">
        <v>0.02675925925925926</v>
      </c>
      <c r="L1746" s="13" t="n"/>
    </row>
    <row r="1747">
      <c r="A1747" s="3" t="inlineStr">
        <is>
          <t>OutboundTrainPreparation</t>
        </is>
      </c>
      <c r="B1747" s="3" t="inlineStr">
        <is>
          <t>Act_OBTP_OBT090125182822-Neunkirchen (loading tracks)_182822_613</t>
        </is>
      </c>
      <c r="C1747" s="3" t="inlineStr">
        <is>
          <t>OBT090125182822-Neunkirchen (loading tracks)</t>
        </is>
      </c>
      <c r="D1747" s="9" t="n">
        <v>107.7</v>
      </c>
      <c r="E1747" s="3" t="n"/>
      <c r="F1747" s="3" t="n"/>
      <c r="G1747" s="9" t="n"/>
      <c r="H1747" s="10" t="n">
        <v>45666.76969907407</v>
      </c>
      <c r="I1747" s="10" t="n">
        <v>45666.79081018519</v>
      </c>
      <c r="J1747" s="10" t="n">
        <v>45666.80951388889</v>
      </c>
      <c r="K1747" s="11" t="n">
        <v>0.01870370370370371</v>
      </c>
      <c r="L1747" s="13" t="n"/>
    </row>
    <row r="1748">
      <c r="A1748" s="3" t="inlineStr">
        <is>
          <t>OutboundTrainPreparation</t>
        </is>
      </c>
      <c r="B1748" s="3" t="inlineStr">
        <is>
          <t>Act_OBTP_OBT090125184210-Steinabrückl/Wöllersdorf_184210_606</t>
        </is>
      </c>
      <c r="C1748" s="3" t="inlineStr">
        <is>
          <t>OBT090125184210-Steinabrückl/Wöllersdorf</t>
        </is>
      </c>
      <c r="D1748" s="9" t="n">
        <v>110.2</v>
      </c>
      <c r="E1748" s="3" t="n"/>
      <c r="F1748" s="3" t="n"/>
      <c r="G1748" s="9" t="n"/>
      <c r="H1748" s="10" t="n">
        <v>45666.77928240741</v>
      </c>
      <c r="I1748" s="10" t="n">
        <v>45666.79709490741</v>
      </c>
      <c r="J1748" s="10" t="n">
        <v>45666.81622685185</v>
      </c>
      <c r="K1748" s="11" t="n">
        <v>0.01913194444444444</v>
      </c>
      <c r="L1748" s="13" t="n"/>
    </row>
    <row r="1749">
      <c r="A1749" s="3" t="inlineStr">
        <is>
          <t>OutboundTrainPreparation</t>
        </is>
      </c>
      <c r="B1749" s="3" t="inlineStr">
        <is>
          <t>Act_OBTP_OBT090125184904-Obereggendorf (Hofer)_184904_607</t>
        </is>
      </c>
      <c r="C1749" s="3" t="inlineStr">
        <is>
          <t>OBT090125184904-Obereggendorf (Hofer)</t>
        </is>
      </c>
      <c r="D1749" s="9" t="n">
        <v>101.9</v>
      </c>
      <c r="E1749" s="3" t="n"/>
      <c r="F1749" s="3" t="n"/>
      <c r="G1749" s="9" t="n"/>
      <c r="H1749" s="10" t="n">
        <v>45666.78407407407</v>
      </c>
      <c r="I1749" s="10" t="n">
        <v>45666.79814814815</v>
      </c>
      <c r="J1749" s="10" t="n">
        <v>45666.81584490741</v>
      </c>
      <c r="K1749" s="11" t="n">
        <v>0.01769675925925926</v>
      </c>
      <c r="L1749" s="13" t="n"/>
    </row>
    <row r="1750">
      <c r="A1750" s="3" t="inlineStr">
        <is>
          <t>OutboundTrainPreparation</t>
        </is>
      </c>
      <c r="B1750" s="3" t="inlineStr">
        <is>
          <t>Act_OBTP_OBT090125185836-Wr. Neustadt (Brenntag)_185836_609</t>
        </is>
      </c>
      <c r="C1750" s="3" t="inlineStr">
        <is>
          <t>OBT090125185836-Wr. Neustadt (Brenntag)</t>
        </is>
      </c>
      <c r="D1750" s="9" t="n">
        <v>120.7</v>
      </c>
      <c r="E1750" s="3" t="n"/>
      <c r="F1750" s="3" t="n"/>
      <c r="G1750" s="9" t="n"/>
      <c r="H1750" s="10" t="n">
        <v>45666.79069444445</v>
      </c>
      <c r="I1750" s="10" t="n">
        <v>45666.81125</v>
      </c>
      <c r="J1750" s="10" t="n">
        <v>45666.83219907407</v>
      </c>
      <c r="K1750" s="11" t="n">
        <v>0.02094907407407407</v>
      </c>
      <c r="L1750" s="13" t="n"/>
    </row>
    <row r="1751">
      <c r="A1751" s="3" t="inlineStr">
        <is>
          <t>OutboundTrainPreparation</t>
        </is>
      </c>
      <c r="B1751" s="3" t="inlineStr">
        <is>
          <t>Act_OBTP_OBT090125190525-Neudörfl (FunderMax)_190525_605</t>
        </is>
      </c>
      <c r="C1751" s="3" t="inlineStr">
        <is>
          <t>OBT090125190525-Neudörfl (FunderMax)</t>
        </is>
      </c>
      <c r="D1751" s="9" t="n">
        <v>137.3</v>
      </c>
      <c r="E1751" s="3" t="n"/>
      <c r="F1751" s="3" t="n"/>
      <c r="G1751" s="9" t="n"/>
      <c r="H1751" s="10" t="n">
        <v>45666.79542824074</v>
      </c>
      <c r="I1751" s="10" t="n">
        <v>45666.8175462963</v>
      </c>
      <c r="J1751" s="10" t="n">
        <v>45666.84138888889</v>
      </c>
      <c r="K1751" s="11" t="n">
        <v>0.02384259259259259</v>
      </c>
      <c r="L1751" s="13" t="n"/>
    </row>
    <row r="1752">
      <c r="A1752" s="3" t="inlineStr">
        <is>
          <t>OutboundTrainPreparation</t>
        </is>
      </c>
      <c r="B1752" s="3" t="inlineStr">
        <is>
          <t>Act_OBTP_OBT090125204342-Felixdorf/Sollenau (Bundesheer, Maba)_204342_625</t>
        </is>
      </c>
      <c r="C1752" s="3" t="inlineStr">
        <is>
          <t>OBT090125204342-Felixdorf/Sollenau (Bundesheer, Maba)</t>
        </is>
      </c>
      <c r="D1752" s="9" t="n">
        <v>122.7</v>
      </c>
      <c r="E1752" s="3" t="n"/>
      <c r="F1752" s="3" t="n"/>
      <c r="G1752" s="9" t="n"/>
      <c r="H1752" s="10" t="n">
        <v>45666.86368055556</v>
      </c>
      <c r="I1752" s="10" t="n">
        <v>45666.86454861111</v>
      </c>
      <c r="J1752" s="10" t="n">
        <v>45666.88584490741</v>
      </c>
      <c r="K1752" s="11" t="n">
        <v>0.0212962962962963</v>
      </c>
      <c r="L1752" s="13" t="n"/>
    </row>
    <row r="1753">
      <c r="A1753" s="3" t="inlineStr">
        <is>
          <t>OutboundTrainPreparation</t>
        </is>
      </c>
      <c r="B1753" s="3" t="inlineStr">
        <is>
          <t>Act_OBTP_OBT090125204925-Other sidings north_204925_629</t>
        </is>
      </c>
      <c r="C1753" s="3" t="inlineStr">
        <is>
          <t>OBT090125204925-Other sidings north</t>
        </is>
      </c>
      <c r="D1753" s="9" t="n">
        <v>126</v>
      </c>
      <c r="E1753" s="3" t="n"/>
      <c r="F1753" s="3" t="n"/>
      <c r="G1753" s="9" t="n"/>
      <c r="H1753" s="10" t="n">
        <v>45666.86765046296</v>
      </c>
      <c r="I1753" s="10" t="n">
        <v>45666.86848379629</v>
      </c>
      <c r="J1753" s="10" t="n">
        <v>45666.8903587963</v>
      </c>
      <c r="K1753" s="11" t="n">
        <v>0.021875</v>
      </c>
      <c r="L1753" s="13" t="n"/>
    </row>
    <row r="1754">
      <c r="A1754" s="3" t="inlineStr">
        <is>
          <t>OutboundTrainPreparation</t>
        </is>
      </c>
      <c r="B1754" s="3" t="inlineStr">
        <is>
          <t>Act_OBTP_OBT100125031244-Neunkirchen (loading tracks)_031244_621</t>
        </is>
      </c>
      <c r="C1754" s="3" t="inlineStr">
        <is>
          <t>OBT100125031244-Neunkirchen (loading tracks)</t>
        </is>
      </c>
      <c r="D1754" s="9" t="n">
        <v>222.2</v>
      </c>
      <c r="E1754" s="3" t="n"/>
      <c r="F1754" s="3" t="n"/>
      <c r="G1754" s="9" t="n"/>
      <c r="H1754" s="10" t="n">
        <v>45667.13384259259</v>
      </c>
      <c r="I1754" s="10" t="n">
        <v>45667.1346875</v>
      </c>
      <c r="J1754" s="10" t="n">
        <v>45667.17326388889</v>
      </c>
      <c r="K1754" s="11" t="n">
        <v>0.03857638888888889</v>
      </c>
      <c r="L1754" s="13" t="n"/>
    </row>
    <row r="1755">
      <c r="A1755" s="3" t="inlineStr">
        <is>
          <t>OutboundTrainPreparation</t>
        </is>
      </c>
      <c r="B1755" s="3" t="inlineStr">
        <is>
          <t>Act_OBTP_OBT100125031522-Other sidings south_031522_623</t>
        </is>
      </c>
      <c r="C1755" s="3" t="inlineStr">
        <is>
          <t>OBT100125031522-Other sidings south</t>
        </is>
      </c>
      <c r="D1755" s="9" t="n">
        <v>130.2</v>
      </c>
      <c r="E1755" s="3" t="n"/>
      <c r="F1755" s="3" t="n"/>
      <c r="G1755" s="9" t="n"/>
      <c r="H1755" s="10" t="n">
        <v>45667.1356712963</v>
      </c>
      <c r="I1755" s="10" t="n">
        <v>45667.13653935185</v>
      </c>
      <c r="J1755" s="10" t="n">
        <v>45667.15913194444</v>
      </c>
      <c r="K1755" s="11" t="n">
        <v>0.02259259259259259</v>
      </c>
      <c r="L1755" s="13" t="n"/>
    </row>
    <row r="1756">
      <c r="A1756" s="3" t="inlineStr">
        <is>
          <t>OutboundTrainPreparation</t>
        </is>
      </c>
      <c r="B1756" s="3" t="inlineStr">
        <is>
          <t>Act_OBTP_OBT100125045052-Neudörfl (FunderMax)_045052_615</t>
        </is>
      </c>
      <c r="C1756" s="3" t="inlineStr">
        <is>
          <t>OBT100125045052-Neudörfl (FunderMax)</t>
        </is>
      </c>
      <c r="D1756" s="9" t="n">
        <v>240.5</v>
      </c>
      <c r="E1756" s="3" t="n"/>
      <c r="F1756" s="3" t="n"/>
      <c r="G1756" s="9" t="n"/>
      <c r="H1756" s="10" t="n">
        <v>45667.20199074074</v>
      </c>
      <c r="I1756" s="10" t="n">
        <v>45667.2028587963</v>
      </c>
      <c r="J1756" s="10" t="n">
        <v>45667.24460648148</v>
      </c>
      <c r="K1756" s="11" t="n">
        <v>0.04174768518518519</v>
      </c>
      <c r="L1756" s="13" t="n"/>
    </row>
    <row r="1757">
      <c r="A1757" s="3" t="inlineStr">
        <is>
          <t>OutboundTrainPreparation</t>
        </is>
      </c>
      <c r="B1757" s="3" t="inlineStr">
        <is>
          <t>Act_OBTP_OBT100125060642-Wien Kledering_060642_611</t>
        </is>
      </c>
      <c r="C1757" s="3" t="inlineStr">
        <is>
          <t>OBT100125060642-Wien Kledering</t>
        </is>
      </c>
      <c r="D1757" s="9" t="n">
        <v>345.2</v>
      </c>
      <c r="E1757" s="3" t="n"/>
      <c r="F1757" s="3" t="n"/>
      <c r="G1757" s="9" t="n"/>
      <c r="H1757" s="10" t="n">
        <v>45667.25465277778</v>
      </c>
      <c r="I1757" s="10" t="n">
        <v>45667.25549768518</v>
      </c>
      <c r="J1757" s="10" t="n">
        <v>45667.31542824074</v>
      </c>
      <c r="K1757" s="11" t="n">
        <v>0.05993055555555556</v>
      </c>
      <c r="L1757" s="13" t="n"/>
    </row>
    <row r="1758">
      <c r="A1758" s="3" t="inlineStr">
        <is>
          <t>OutboundTrainPreparation</t>
        </is>
      </c>
      <c r="B1758" s="3" t="inlineStr">
        <is>
          <t>Act_OBTP_OBT100125071706-Wr. Neustadt (Hödlmayr)_071706_613</t>
        </is>
      </c>
      <c r="C1758" s="3" t="inlineStr">
        <is>
          <t>OBT100125071706-Wr. Neustadt (Hödlmayr)</t>
        </is>
      </c>
      <c r="D1758" s="9" t="n">
        <v>152.9</v>
      </c>
      <c r="E1758" s="3" t="n"/>
      <c r="F1758" s="3" t="n"/>
      <c r="G1758" s="9" t="n"/>
      <c r="H1758" s="10" t="n">
        <v>45667.30354166667</v>
      </c>
      <c r="I1758" s="10" t="n">
        <v>45667.30527777778</v>
      </c>
      <c r="J1758" s="10" t="n">
        <v>45667.33181712963</v>
      </c>
      <c r="K1758" s="11" t="n">
        <v>0.02653935185185185</v>
      </c>
      <c r="L1758" s="13" t="n"/>
    </row>
    <row r="1759">
      <c r="A1759" s="3" t="inlineStr">
        <is>
          <t>OutboundTrainPreparation</t>
        </is>
      </c>
      <c r="B1759" s="3" t="inlineStr">
        <is>
          <t>Act_OBTP_OBT100125071957-Pitten (Hamburger)_071957_605</t>
        </is>
      </c>
      <c r="C1759" s="3" t="inlineStr">
        <is>
          <t>OBT100125071957-Pitten (Hamburger)</t>
        </is>
      </c>
      <c r="D1759" s="9" t="n">
        <v>186.7</v>
      </c>
      <c r="E1759" s="3" t="n"/>
      <c r="F1759" s="3" t="n"/>
      <c r="G1759" s="9" t="n"/>
      <c r="H1759" s="10" t="n">
        <v>45667.30552083333</v>
      </c>
      <c r="I1759" s="10" t="n">
        <v>45667.31530092593</v>
      </c>
      <c r="J1759" s="10" t="n">
        <v>45667.34769675926</v>
      </c>
      <c r="K1759" s="11" t="n">
        <v>0.03239583333333333</v>
      </c>
      <c r="L1759" s="13" t="n"/>
    </row>
    <row r="1760">
      <c r="A1760" s="3" t="inlineStr">
        <is>
          <t>OutboundTrainPreparation</t>
        </is>
      </c>
      <c r="B1760" s="3" t="inlineStr">
        <is>
          <t>Act_OBTP_OBT100125074357-Wien Kledering_074357_619</t>
        </is>
      </c>
      <c r="C1760" s="3" t="inlineStr">
        <is>
          <t>OBT100125074357-Wien Kledering</t>
        </is>
      </c>
      <c r="D1760" s="9" t="n">
        <v>193.1</v>
      </c>
      <c r="E1760" s="3" t="n"/>
      <c r="F1760" s="3" t="n"/>
      <c r="G1760" s="9" t="n"/>
      <c r="H1760" s="10" t="n">
        <v>45667.3221875</v>
      </c>
      <c r="I1760" s="10" t="n">
        <v>45667.32388888889</v>
      </c>
      <c r="J1760" s="10" t="n">
        <v>45667.35741898148</v>
      </c>
      <c r="K1760" s="11" t="n">
        <v>0.03353009259259259</v>
      </c>
      <c r="L1760" s="13" t="n"/>
    </row>
    <row r="1761">
      <c r="A1761" s="3" t="inlineStr">
        <is>
          <t>OutboundTrainPreparation</t>
        </is>
      </c>
      <c r="B1761" s="3" t="inlineStr">
        <is>
          <t>Act_OBTP_OBT100125081531-Wien Kledering_081531_606</t>
        </is>
      </c>
      <c r="C1761" s="3" t="inlineStr">
        <is>
          <t>OBT100125081531-Wien Kledering</t>
        </is>
      </c>
      <c r="D1761" s="9" t="n">
        <v>380.8</v>
      </c>
      <c r="E1761" s="3" t="n"/>
      <c r="F1761" s="3" t="n"/>
      <c r="G1761" s="9" t="n"/>
      <c r="H1761" s="10" t="n">
        <v>45667.34410879629</v>
      </c>
      <c r="I1761" s="10" t="n">
        <v>45667.34584490741</v>
      </c>
      <c r="J1761" s="10" t="n">
        <v>45667.41195601852</v>
      </c>
      <c r="K1761" s="11" t="n">
        <v>0.06611111111111111</v>
      </c>
      <c r="L1761" s="13" t="n"/>
    </row>
    <row r="1762">
      <c r="A1762" s="3" t="inlineStr">
        <is>
          <t>OutboundTrainPreparation</t>
        </is>
      </c>
      <c r="B1762" s="3" t="inlineStr">
        <is>
          <t>Act_OBTP_OBT100125092212-St. Veit an der Glan_092212_627</t>
        </is>
      </c>
      <c r="C1762" s="3" t="inlineStr">
        <is>
          <t>OBT100125092212-St. Veit an der Glan</t>
        </is>
      </c>
      <c r="D1762" s="9" t="n">
        <v>137.2</v>
      </c>
      <c r="E1762" s="3" t="n"/>
      <c r="F1762" s="3" t="n"/>
      <c r="G1762" s="9" t="n"/>
      <c r="H1762" s="10" t="n">
        <v>45667.39041666667</v>
      </c>
      <c r="I1762" s="10" t="n">
        <v>45667.39128472222</v>
      </c>
      <c r="J1762" s="10" t="n">
        <v>45667.41510416667</v>
      </c>
      <c r="K1762" s="11" t="n">
        <v>0.02381944444444445</v>
      </c>
      <c r="L1762" s="13" t="n"/>
    </row>
    <row r="1763">
      <c r="A1763" s="3" t="inlineStr">
        <is>
          <t>OutboundTrainPreparation</t>
        </is>
      </c>
      <c r="B1763" s="3" t="inlineStr">
        <is>
          <t>Act_OBTP_OBT100125092457-Wien Kledering_092457_611</t>
        </is>
      </c>
      <c r="C1763" s="3" t="inlineStr">
        <is>
          <t>OBT100125092457-Wien Kledering</t>
        </is>
      </c>
      <c r="D1763" s="9" t="n">
        <v>168.8</v>
      </c>
      <c r="E1763" s="3" t="n"/>
      <c r="F1763" s="3" t="n"/>
      <c r="G1763" s="9" t="n"/>
      <c r="H1763" s="10" t="n">
        <v>45667.39232638889</v>
      </c>
      <c r="I1763" s="10" t="n">
        <v>45667.41369212963</v>
      </c>
      <c r="J1763" s="10" t="n">
        <v>45667.44299768518</v>
      </c>
      <c r="K1763" s="11" t="n">
        <v>0.02930555555555556</v>
      </c>
      <c r="L1763" s="13" t="n"/>
    </row>
    <row r="1764">
      <c r="A1764" s="3" t="inlineStr">
        <is>
          <t>OutboundTrainPreparation</t>
        </is>
      </c>
      <c r="B1764" s="3" t="inlineStr">
        <is>
          <t>Act_OBTP_OBT100125092935-Ebenfurth (beet loading)_092935_613</t>
        </is>
      </c>
      <c r="C1764" s="3" t="inlineStr">
        <is>
          <t>OBT100125092935-Ebenfurth (beet loading)</t>
        </is>
      </c>
      <c r="D1764" s="9" t="n">
        <v>141.7</v>
      </c>
      <c r="E1764" s="3" t="n"/>
      <c r="F1764" s="3" t="n"/>
      <c r="G1764" s="9" t="n"/>
      <c r="H1764" s="10" t="n">
        <v>45667.39554398148</v>
      </c>
      <c r="I1764" s="10" t="n">
        <v>45667.41666666666</v>
      </c>
      <c r="J1764" s="10" t="n">
        <v>45667.44126157407</v>
      </c>
      <c r="K1764" s="11" t="n">
        <v>0.02459490740740741</v>
      </c>
      <c r="L1764" s="13" t="n"/>
    </row>
    <row r="1765">
      <c r="A1765" s="3" t="inlineStr">
        <is>
          <t>OutboundTrainPreparation</t>
        </is>
      </c>
      <c r="B1765" s="3" t="inlineStr">
        <is>
          <t>Act_OBTP_OBT100125094326-Other sidings north_094326_605</t>
        </is>
      </c>
      <c r="C1765" s="3" t="inlineStr">
        <is>
          <t>OBT100125094326-Other sidings north</t>
        </is>
      </c>
      <c r="D1765" s="9" t="n">
        <v>129.3</v>
      </c>
      <c r="E1765" s="3" t="n"/>
      <c r="F1765" s="3" t="n"/>
      <c r="G1765" s="9" t="n"/>
      <c r="H1765" s="10" t="n">
        <v>45667.40516203704</v>
      </c>
      <c r="I1765" s="10" t="n">
        <v>45667.41795138889</v>
      </c>
      <c r="J1765" s="10" t="n">
        <v>45667.4404050926</v>
      </c>
      <c r="K1765" s="11" t="n">
        <v>0.0224537037037037</v>
      </c>
      <c r="L1765" s="13" t="n"/>
    </row>
    <row r="1766">
      <c r="A1766" s="3" t="inlineStr">
        <is>
          <t>OutboundTrainPreparation</t>
        </is>
      </c>
      <c r="B1766" s="3" t="inlineStr">
        <is>
          <t>Act_OBTP_OBT100125095359-Felixdorf/Sollenau (Bundesheer, Maba)_095359_625</t>
        </is>
      </c>
      <c r="C1766" s="3" t="inlineStr">
        <is>
          <t>OBT100125095359-Felixdorf/Sollenau (Bundesheer, Maba)</t>
        </is>
      </c>
      <c r="D1766" s="9" t="n">
        <v>114.8</v>
      </c>
      <c r="E1766" s="3" t="n"/>
      <c r="F1766" s="3" t="n"/>
      <c r="G1766" s="9" t="n"/>
      <c r="H1766" s="10" t="n">
        <v>45667.41248842593</v>
      </c>
      <c r="I1766" s="10" t="n">
        <v>45667.44290509259</v>
      </c>
      <c r="J1766" s="10" t="n">
        <v>45667.46283564815</v>
      </c>
      <c r="K1766" s="11" t="n">
        <v>0.01993055555555556</v>
      </c>
      <c r="L1766" s="13" t="n"/>
    </row>
    <row r="1767">
      <c r="A1767" s="3" t="inlineStr">
        <is>
          <t>OutboundTrainPreparation</t>
        </is>
      </c>
      <c r="B1767" s="3" t="inlineStr">
        <is>
          <t>Act_OBTP_OBT100125103849-Wien Kledering_103849_627</t>
        </is>
      </c>
      <c r="C1767" s="3" t="inlineStr">
        <is>
          <t>OBT100125103849-Wien Kledering</t>
        </is>
      </c>
      <c r="D1767" s="9" t="n">
        <v>259.7</v>
      </c>
      <c r="E1767" s="3" t="n"/>
      <c r="F1767" s="3" t="n"/>
      <c r="G1767" s="9" t="n"/>
      <c r="H1767" s="10" t="n">
        <v>45667.44362268518</v>
      </c>
      <c r="I1767" s="10" t="n">
        <v>45667.44466435185</v>
      </c>
      <c r="J1767" s="10" t="n">
        <v>45667.48974537037</v>
      </c>
      <c r="K1767" s="11" t="n">
        <v>0.04508101851851852</v>
      </c>
      <c r="L1767" s="13" t="n"/>
    </row>
    <row r="1768">
      <c r="A1768" s="3" t="inlineStr">
        <is>
          <t>OutboundTrainPreparation</t>
        </is>
      </c>
      <c r="B1768" s="3" t="inlineStr">
        <is>
          <t>Act_OBTP_OBT100125142646-Wien Kledering_142646_613</t>
        </is>
      </c>
      <c r="C1768" s="3" t="inlineStr">
        <is>
          <t>OBT100125142646-Wien Kledering</t>
        </is>
      </c>
      <c r="D1768" s="9" t="n">
        <v>118.6</v>
      </c>
      <c r="E1768" s="3" t="n"/>
      <c r="F1768" s="3" t="n"/>
      <c r="G1768" s="9" t="n"/>
      <c r="H1768" s="10" t="n">
        <v>45667.60192129629</v>
      </c>
      <c r="I1768" s="10" t="n">
        <v>45667.60278935185</v>
      </c>
      <c r="J1768" s="10" t="n">
        <v>45667.62337962963</v>
      </c>
      <c r="K1768" s="11" t="n">
        <v>0.02059027777777778</v>
      </c>
      <c r="L1768" s="13" t="n"/>
    </row>
    <row r="1769">
      <c r="A1769" s="3" t="inlineStr">
        <is>
          <t>OutboundTrainPreparation</t>
        </is>
      </c>
      <c r="B1769" s="3" t="inlineStr">
        <is>
          <t>Act_OBTP_OBT100125150940-Wien Kledering_150940_627</t>
        </is>
      </c>
      <c r="C1769" s="3" t="inlineStr">
        <is>
          <t>OBT100125150940-Wien Kledering</t>
        </is>
      </c>
      <c r="D1769" s="9" t="n">
        <v>393.5</v>
      </c>
      <c r="E1769" s="3" t="n"/>
      <c r="F1769" s="3" t="n"/>
      <c r="G1769" s="9" t="n"/>
      <c r="H1769" s="10" t="n">
        <v>45667.63171296296</v>
      </c>
      <c r="I1769" s="10" t="n">
        <v>45667.6325462963</v>
      </c>
      <c r="J1769" s="10" t="n">
        <v>45667.70086805556</v>
      </c>
      <c r="K1769" s="11" t="n">
        <v>0.06832175925925926</v>
      </c>
      <c r="L1769" s="13" t="n"/>
    </row>
    <row r="1770">
      <c r="A1770" s="3" t="inlineStr">
        <is>
          <t>OutboundTrainPreparation</t>
        </is>
      </c>
      <c r="B1770" s="3" t="inlineStr">
        <is>
          <t>Act_OBTP_OBT100125174706-Wien Kledering_174706_613</t>
        </is>
      </c>
      <c r="C1770" s="3" t="inlineStr">
        <is>
          <t>OBT100125174706-Wien Kledering</t>
        </is>
      </c>
      <c r="D1770" s="9" t="n">
        <v>302.1</v>
      </c>
      <c r="E1770" s="3" t="n"/>
      <c r="F1770" s="3" t="n"/>
      <c r="G1770" s="9" t="n"/>
      <c r="H1770" s="10" t="n">
        <v>45667.74104166667</v>
      </c>
      <c r="I1770" s="10" t="n">
        <v>45667.74190972222</v>
      </c>
      <c r="J1770" s="10" t="n">
        <v>45667.79436342593</v>
      </c>
      <c r="K1770" s="11" t="n">
        <v>0.0524537037037037</v>
      </c>
      <c r="L1770" s="13" t="n"/>
    </row>
    <row r="1771">
      <c r="A1771" s="3" t="inlineStr">
        <is>
          <t>OutboundTrainPreparation</t>
        </is>
      </c>
      <c r="B1771" s="3" t="inlineStr">
        <is>
          <t>Act_OBTP_OBT100125182130-Pitten (Hamburger)_182130_627</t>
        </is>
      </c>
      <c r="C1771" s="3" t="inlineStr">
        <is>
          <t>OBT100125182130-Pitten (Hamburger)</t>
        </is>
      </c>
      <c r="D1771" s="9" t="n">
        <v>218.1</v>
      </c>
      <c r="E1771" s="3" t="n"/>
      <c r="F1771" s="3" t="n"/>
      <c r="G1771" s="9" t="n"/>
      <c r="H1771" s="10" t="n">
        <v>45667.76493055555</v>
      </c>
      <c r="I1771" s="10" t="n">
        <v>45667.76601851852</v>
      </c>
      <c r="J1771" s="10" t="n">
        <v>45667.80388888889</v>
      </c>
      <c r="K1771" s="11" t="n">
        <v>0.03787037037037037</v>
      </c>
      <c r="L1771" s="13" t="n"/>
    </row>
    <row r="1772">
      <c r="A1772" s="3" t="inlineStr">
        <is>
          <t>OutboundTrainPreparation</t>
        </is>
      </c>
      <c r="B1772" s="3" t="inlineStr">
        <is>
          <t>Act_OBTP_OBT100125183202-Other sidings north_183202_605</t>
        </is>
      </c>
      <c r="C1772" s="3" t="inlineStr">
        <is>
          <t>OBT100125183202-Other sidings north</t>
        </is>
      </c>
      <c r="D1772" s="9" t="n">
        <v>110.2</v>
      </c>
      <c r="E1772" s="3" t="n"/>
      <c r="F1772" s="3" t="n"/>
      <c r="G1772" s="9" t="n"/>
      <c r="H1772" s="10" t="n">
        <v>45667.77224537037</v>
      </c>
      <c r="I1772" s="10" t="n">
        <v>45667.78793981481</v>
      </c>
      <c r="J1772" s="10" t="n">
        <v>45667.80707175926</v>
      </c>
      <c r="K1772" s="11" t="n">
        <v>0.01913194444444444</v>
      </c>
      <c r="L1772" s="13" t="n"/>
    </row>
    <row r="1773">
      <c r="A1773" s="3" t="inlineStr">
        <is>
          <t>OutboundTrainPreparation</t>
        </is>
      </c>
      <c r="B1773" s="3" t="inlineStr">
        <is>
          <t>Act_OBTP_OBT100125183853-Wr. Neustadt Ausfahrbf (Furtenbach)_183853_609</t>
        </is>
      </c>
      <c r="C1773" s="3" t="inlineStr">
        <is>
          <t>OBT100125183853-Wr. Neustadt Ausfahrbf (Furtenbach)</t>
        </is>
      </c>
      <c r="D1773" s="9" t="n">
        <v>133.4</v>
      </c>
      <c r="E1773" s="3" t="n"/>
      <c r="F1773" s="3" t="n"/>
      <c r="G1773" s="9" t="n"/>
      <c r="H1773" s="10" t="n">
        <v>45667.77700231481</v>
      </c>
      <c r="I1773" s="10" t="n">
        <v>45667.79609953704</v>
      </c>
      <c r="J1773" s="10" t="n">
        <v>45667.81925925926</v>
      </c>
      <c r="K1773" s="11" t="n">
        <v>0.02315972222222222</v>
      </c>
      <c r="L1773" s="13" t="n"/>
    </row>
    <row r="1774">
      <c r="A1774" s="3" t="inlineStr">
        <is>
          <t>OutboundTrainPreparation</t>
        </is>
      </c>
      <c r="B1774" s="3" t="inlineStr">
        <is>
          <t>Act_OBTP_OBT100125185219-Neunkirchen (loading tracks)_185219_619</t>
        </is>
      </c>
      <c r="C1774" s="3" t="inlineStr">
        <is>
          <t>OBT100125185219-Neunkirchen (loading tracks)</t>
        </is>
      </c>
      <c r="D1774" s="9" t="n">
        <v>142.6</v>
      </c>
      <c r="E1774" s="3" t="n"/>
      <c r="F1774" s="3" t="n"/>
      <c r="G1774" s="9" t="n"/>
      <c r="H1774" s="10" t="n">
        <v>45667.78633101852</v>
      </c>
      <c r="I1774" s="10" t="n">
        <v>45667.805625</v>
      </c>
      <c r="J1774" s="10" t="n">
        <v>45667.83038194444</v>
      </c>
      <c r="K1774" s="11" t="n">
        <v>0.02475694444444445</v>
      </c>
      <c r="L1774" s="13" t="n"/>
    </row>
    <row r="1775">
      <c r="A1775" s="3" t="inlineStr">
        <is>
          <t>OutboundTrainPreparation</t>
        </is>
      </c>
      <c r="B1775" s="3" t="inlineStr">
        <is>
          <t>Act_OBTP_OBT100125205103-Pitten (Hamburger)_205103_613</t>
        </is>
      </c>
      <c r="C1775" s="3" t="inlineStr">
        <is>
          <t>OBT100125205103-Pitten (Hamburger)</t>
        </is>
      </c>
      <c r="D1775" s="9" t="n">
        <v>112.5</v>
      </c>
      <c r="E1775" s="3" t="n"/>
      <c r="F1775" s="3" t="n"/>
      <c r="G1775" s="9" t="n"/>
      <c r="H1775" s="10" t="n">
        <v>45667.86878472222</v>
      </c>
      <c r="I1775" s="10" t="n">
        <v>45667.86965277778</v>
      </c>
      <c r="J1775" s="10" t="n">
        <v>45667.88917824074</v>
      </c>
      <c r="K1775" s="11" t="n">
        <v>0.01952546296296296</v>
      </c>
      <c r="L1775" s="13" t="n"/>
    </row>
    <row r="1776">
      <c r="A1776" s="3" t="inlineStr">
        <is>
          <t>OutboundTrainPreparation</t>
        </is>
      </c>
      <c r="B1776" s="3" t="inlineStr">
        <is>
          <t>Act_OBTP_OBT100125205342-Other sidings south_205342_623</t>
        </is>
      </c>
      <c r="C1776" s="3" t="inlineStr">
        <is>
          <t>OBT100125205342-Other sidings south</t>
        </is>
      </c>
      <c r="D1776" s="9" t="n">
        <v>114.4</v>
      </c>
      <c r="E1776" s="3" t="n"/>
      <c r="F1776" s="3" t="n"/>
      <c r="G1776" s="9" t="n"/>
      <c r="H1776" s="10" t="n">
        <v>45667.870625</v>
      </c>
      <c r="I1776" s="10" t="n">
        <v>45667.87236111111</v>
      </c>
      <c r="J1776" s="10" t="n">
        <v>45667.89222222222</v>
      </c>
      <c r="K1776" s="11" t="n">
        <v>0.01986111111111111</v>
      </c>
      <c r="L1776" s="13" t="n"/>
    </row>
    <row r="1777">
      <c r="A1777" s="3" t="inlineStr">
        <is>
          <t>OutboundTrainPreparation</t>
        </is>
      </c>
      <c r="B1777" s="3" t="inlineStr">
        <is>
          <t>Act_OBTP_OBT110125052224-Ebenfurth (beet loading)_052224_619</t>
        </is>
      </c>
      <c r="C1777" s="3" t="inlineStr">
        <is>
          <t>OBT110125052224-Ebenfurth (beet loading)</t>
        </is>
      </c>
      <c r="D1777" s="9" t="n">
        <v>110.2</v>
      </c>
      <c r="E1777" s="3" t="n"/>
      <c r="F1777" s="3" t="n"/>
      <c r="G1777" s="9" t="n"/>
      <c r="H1777" s="10" t="n">
        <v>45668.22388888889</v>
      </c>
      <c r="I1777" s="10" t="n">
        <v>45668.2247337963</v>
      </c>
      <c r="J1777" s="10" t="n">
        <v>45668.24385416666</v>
      </c>
      <c r="K1777" s="11" t="n">
        <v>0.01912037037037037</v>
      </c>
      <c r="L1777" s="13" t="n"/>
    </row>
    <row r="1778">
      <c r="A1778" s="3" t="inlineStr">
        <is>
          <t>OutboundTrainPreparation</t>
        </is>
      </c>
      <c r="B1778" s="3" t="inlineStr">
        <is>
          <t>Act_OBTP_OBT110125052552-Pitten (Hamburger)_052552_613</t>
        </is>
      </c>
      <c r="C1778" s="3" t="inlineStr">
        <is>
          <t>OBT110125052552-Pitten (Hamburger)</t>
        </is>
      </c>
      <c r="D1778" s="9" t="n">
        <v>302.9</v>
      </c>
      <c r="E1778" s="3" t="n"/>
      <c r="F1778" s="3" t="n"/>
      <c r="G1778" s="9" t="n"/>
      <c r="H1778" s="10" t="n">
        <v>45668.2262962963</v>
      </c>
      <c r="I1778" s="10" t="n">
        <v>45668.22716435185</v>
      </c>
      <c r="J1778" s="10" t="n">
        <v>45668.27974537037</v>
      </c>
      <c r="K1778" s="11" t="n">
        <v>0.05258101851851852</v>
      </c>
      <c r="L1778" s="13" t="n"/>
    </row>
    <row r="1779">
      <c r="A1779" s="3" t="inlineStr">
        <is>
          <t>OutboundTrainPreparation</t>
        </is>
      </c>
      <c r="B1779" s="3" t="inlineStr">
        <is>
          <t>Act_OBTP_OBT110125055616-Ebenfurth (beet loading)_055616_623</t>
        </is>
      </c>
      <c r="C1779" s="3" t="inlineStr">
        <is>
          <t>OBT110125055616-Ebenfurth (beet loading)</t>
        </is>
      </c>
      <c r="D1779" s="9" t="n">
        <v>110.2</v>
      </c>
      <c r="E1779" s="3" t="n"/>
      <c r="F1779" s="3" t="n"/>
      <c r="G1779" s="9" t="n"/>
      <c r="H1779" s="10" t="n">
        <v>45668.24740740741</v>
      </c>
      <c r="I1779" s="10" t="n">
        <v>45668.24881944444</v>
      </c>
      <c r="J1779" s="10" t="n">
        <v>45668.26795138889</v>
      </c>
      <c r="K1779" s="11" t="n">
        <v>0.01913194444444444</v>
      </c>
      <c r="L1779" s="13" t="n"/>
    </row>
    <row r="1780">
      <c r="A1780" s="3" t="inlineStr">
        <is>
          <t>OutboundTrainPreparation</t>
        </is>
      </c>
      <c r="B1780" s="3" t="inlineStr">
        <is>
          <t>Act_OBTP_OBT110125055912-Pitten (Hamburger)_055912_611</t>
        </is>
      </c>
      <c r="C1780" s="3" t="inlineStr">
        <is>
          <t>OBT110125055912-Pitten (Hamburger)</t>
        </is>
      </c>
      <c r="D1780" s="9" t="n">
        <v>210.6</v>
      </c>
      <c r="E1780" s="3" t="n"/>
      <c r="F1780" s="3" t="n"/>
      <c r="G1780" s="9" t="n"/>
      <c r="H1780" s="10" t="n">
        <v>45668.24944444445</v>
      </c>
      <c r="I1780" s="10" t="n">
        <v>45668.25430555556</v>
      </c>
      <c r="J1780" s="10" t="n">
        <v>45668.29087962963</v>
      </c>
      <c r="K1780" s="11" t="n">
        <v>0.03657407407407407</v>
      </c>
      <c r="L1780" s="13" t="n"/>
    </row>
    <row r="1781">
      <c r="A1781" s="3" t="inlineStr">
        <is>
          <t>OutboundTrainPreparation</t>
        </is>
      </c>
      <c r="B1781" s="3" t="inlineStr">
        <is>
          <t>Act_OBTP_OBT120125180841-Neudörfl (FunderMax)_180841_625</t>
        </is>
      </c>
      <c r="C1781" s="3" t="inlineStr">
        <is>
          <t>OBT120125180841-Neudörfl (FunderMax)</t>
        </is>
      </c>
      <c r="D1781" s="9" t="n">
        <v>268.2</v>
      </c>
      <c r="E1781" s="3" t="n"/>
      <c r="F1781" s="3" t="n"/>
      <c r="G1781" s="9" t="n"/>
      <c r="H1781" s="10" t="n">
        <v>45669.75603009259</v>
      </c>
      <c r="I1781" s="10" t="n">
        <v>45669.75689814815</v>
      </c>
      <c r="J1781" s="10" t="n">
        <v>45669.80346064815</v>
      </c>
      <c r="K1781" s="11" t="n">
        <v>0.0465625</v>
      </c>
      <c r="L1781" s="13" t="n"/>
    </row>
    <row r="1782">
      <c r="A1782" s="3" t="inlineStr">
        <is>
          <t>OutboundTrainPreparation</t>
        </is>
      </c>
      <c r="B1782" s="3" t="inlineStr">
        <is>
          <t>Act_OBTP_OBT120125180921-Pitten (Hamburger)_180921_613</t>
        </is>
      </c>
      <c r="C1782" s="3" t="inlineStr">
        <is>
          <t>OBT120125180921-Pitten (Hamburger)</t>
        </is>
      </c>
      <c r="D1782" s="9" t="n">
        <v>349.3</v>
      </c>
      <c r="E1782" s="3" t="n"/>
      <c r="F1782" s="3" t="n"/>
      <c r="G1782" s="9" t="n"/>
      <c r="H1782" s="10" t="n">
        <v>45669.75649305555</v>
      </c>
      <c r="I1782" s="10" t="n">
        <v>45669.7577662037</v>
      </c>
      <c r="J1782" s="10" t="n">
        <v>45669.81841435185</v>
      </c>
      <c r="K1782" s="11" t="n">
        <v>0.06064814814814815</v>
      </c>
      <c r="L1782" s="13" t="n"/>
    </row>
    <row r="1783">
      <c r="A1783" s="3" t="inlineStr">
        <is>
          <t>OutboundTrainPreparation</t>
        </is>
      </c>
      <c r="B1783" s="3" t="inlineStr">
        <is>
          <t>Act_OBTP_OBT120125201952-Neudörfl (FunderMax)_201952_613</t>
        </is>
      </c>
      <c r="C1783" s="3" t="inlineStr">
        <is>
          <t>OBT120125201952-Neudörfl (FunderMax)</t>
        </is>
      </c>
      <c r="D1783" s="9" t="n">
        <v>106.9</v>
      </c>
      <c r="E1783" s="3" t="n"/>
      <c r="F1783" s="3" t="n"/>
      <c r="G1783" s="9" t="n"/>
      <c r="H1783" s="10" t="n">
        <v>45669.84712962963</v>
      </c>
      <c r="I1783" s="10" t="n">
        <v>45669.84799768519</v>
      </c>
      <c r="J1783" s="10" t="n">
        <v>45669.86655092592</v>
      </c>
      <c r="K1783" s="11" t="n">
        <v>0.01855324074074074</v>
      </c>
      <c r="L1783" s="13" t="n"/>
    </row>
    <row r="1784">
      <c r="A1784" s="3" t="inlineStr">
        <is>
          <t>OutboundTrainPreparation</t>
        </is>
      </c>
      <c r="B1784" s="3" t="inlineStr">
        <is>
          <t>Act_OBTP_OBT120125202320-Pitten (Hamburger)_202320_625</t>
        </is>
      </c>
      <c r="C1784" s="3" t="inlineStr">
        <is>
          <t>OBT120125202320-Pitten (Hamburger)</t>
        </is>
      </c>
      <c r="D1784" s="9" t="n">
        <v>101.2</v>
      </c>
      <c r="E1784" s="3" t="n"/>
      <c r="F1784" s="3" t="n"/>
      <c r="G1784" s="9" t="n"/>
      <c r="H1784" s="10" t="n">
        <v>45669.84953703704</v>
      </c>
      <c r="I1784" s="10" t="n">
        <v>45669.85032407408</v>
      </c>
      <c r="J1784" s="10" t="n">
        <v>45669.86789351852</v>
      </c>
      <c r="K1784" s="11" t="n">
        <v>0.01756944444444444</v>
      </c>
      <c r="L1784" s="13" t="n"/>
    </row>
    <row r="1785">
      <c r="A1785" s="3" t="inlineStr">
        <is>
          <t>OutboundTrainPreparation</t>
        </is>
      </c>
      <c r="B1785" s="3" t="inlineStr">
        <is>
          <t>Act_OBTP_OBT130125024918-Neunkirchen (loading tracks)_024918_605</t>
        </is>
      </c>
      <c r="C1785" s="3" t="inlineStr">
        <is>
          <t>OBT130125024918-Neunkirchen (loading tracks)</t>
        </is>
      </c>
      <c r="D1785" s="9" t="n">
        <v>186.8</v>
      </c>
      <c r="E1785" s="3" t="n"/>
      <c r="F1785" s="3" t="n"/>
      <c r="G1785" s="9" t="n"/>
      <c r="H1785" s="10" t="n">
        <v>45670.11756944445</v>
      </c>
      <c r="I1785" s="10" t="n">
        <v>45670.1184375</v>
      </c>
      <c r="J1785" s="10" t="n">
        <v>45670.15086805556</v>
      </c>
      <c r="K1785" s="11" t="n">
        <v>0.03243055555555555</v>
      </c>
      <c r="L1785" s="13" t="n"/>
    </row>
    <row r="1786">
      <c r="A1786" s="3" t="inlineStr">
        <is>
          <t>OutboundTrainPreparation</t>
        </is>
      </c>
      <c r="B1786" s="3" t="inlineStr">
        <is>
          <t>Act_OBTP_OBT130125044756-Neudörfl (FunderMax)_044756_625</t>
        </is>
      </c>
      <c r="C1786" s="3" t="inlineStr">
        <is>
          <t>OBT130125044756-Neudörfl (FunderMax)</t>
        </is>
      </c>
      <c r="D1786" s="9" t="n">
        <v>301.2</v>
      </c>
      <c r="E1786" s="3" t="n"/>
      <c r="F1786" s="3" t="n"/>
      <c r="G1786" s="9" t="n"/>
      <c r="H1786" s="10" t="n">
        <v>45670.1999537037</v>
      </c>
      <c r="I1786" s="10" t="n">
        <v>45670.20079861111</v>
      </c>
      <c r="J1786" s="10" t="n">
        <v>45670.25309027778</v>
      </c>
      <c r="K1786" s="11" t="n">
        <v>0.05229166666666667</v>
      </c>
      <c r="L1786" s="13" t="n"/>
    </row>
    <row r="1787">
      <c r="A1787" s="3" t="inlineStr">
        <is>
          <t>OutboundTrainPreparation</t>
        </is>
      </c>
      <c r="B1787" s="3" t="inlineStr">
        <is>
          <t>Act_OBTP_OBT130125062348-Wien Kledering_062348_625</t>
        </is>
      </c>
      <c r="C1787" s="3" t="inlineStr">
        <is>
          <t>OBT130125062348-Wien Kledering</t>
        </is>
      </c>
      <c r="D1787" s="9" t="n">
        <v>298</v>
      </c>
      <c r="E1787" s="3" t="n"/>
      <c r="F1787" s="3" t="n"/>
      <c r="G1787" s="9" t="n"/>
      <c r="H1787" s="10" t="n">
        <v>45670.26652777778</v>
      </c>
      <c r="I1787" s="10" t="n">
        <v>45670.26739583333</v>
      </c>
      <c r="J1787" s="10" t="n">
        <v>45670.31913194444</v>
      </c>
      <c r="K1787" s="11" t="n">
        <v>0.05173611111111111</v>
      </c>
      <c r="L1787" s="13" t="n"/>
    </row>
    <row r="1788">
      <c r="A1788" s="3" t="inlineStr">
        <is>
          <t>OutboundTrainPreparation</t>
        </is>
      </c>
      <c r="B1788" s="3" t="inlineStr">
        <is>
          <t>Act_OBTP_OBT130125071902-Wien Kledering_071902_605</t>
        </is>
      </c>
      <c r="C1788" s="3" t="inlineStr">
        <is>
          <t>OBT130125071902-Wien Kledering</t>
        </is>
      </c>
      <c r="D1788" s="9" t="n">
        <v>205.5</v>
      </c>
      <c r="E1788" s="3" t="n"/>
      <c r="F1788" s="3" t="n"/>
      <c r="G1788" s="9" t="n"/>
      <c r="H1788" s="10" t="n">
        <v>45670.30488425926</v>
      </c>
      <c r="I1788" s="10" t="n">
        <v>45670.30571759259</v>
      </c>
      <c r="J1788" s="10" t="n">
        <v>45670.34140046296</v>
      </c>
      <c r="K1788" s="11" t="n">
        <v>0.03568287037037037</v>
      </c>
      <c r="L1788" s="13" t="n"/>
    </row>
    <row r="1789">
      <c r="A1789" s="3" t="inlineStr">
        <is>
          <t>OutboundTrainPreparation</t>
        </is>
      </c>
      <c r="B1789" s="3" t="inlineStr">
        <is>
          <t>Act_OBTP_OBT130125073501-Wien Kledering_073501_619</t>
        </is>
      </c>
      <c r="C1789" s="3" t="inlineStr">
        <is>
          <t>OBT130125073501-Wien Kledering</t>
        </is>
      </c>
      <c r="D1789" s="9" t="n">
        <v>397.3</v>
      </c>
      <c r="E1789" s="3" t="n"/>
      <c r="F1789" s="3" t="n"/>
      <c r="G1789" s="9" t="n"/>
      <c r="H1789" s="10" t="n">
        <v>45670.3159837963</v>
      </c>
      <c r="I1789" s="10" t="n">
        <v>45670.31762731481</v>
      </c>
      <c r="J1789" s="10" t="n">
        <v>45670.3866087963</v>
      </c>
      <c r="K1789" s="11" t="n">
        <v>0.06898148148148148</v>
      </c>
      <c r="L1789" s="13" t="n"/>
    </row>
    <row r="1790">
      <c r="A1790" s="3" t="inlineStr">
        <is>
          <t>OutboundTrainPreparation</t>
        </is>
      </c>
      <c r="B1790" s="3" t="inlineStr">
        <is>
          <t>Act_OBTP_OBT130125082326-Wr. Neustadt (Hödlmayr)_082326_606</t>
        </is>
      </c>
      <c r="C1790" s="3" t="inlineStr">
        <is>
          <t>OBT130125082326-Wr. Neustadt (Hödlmayr)</t>
        </is>
      </c>
      <c r="D1790" s="9" t="n">
        <v>162</v>
      </c>
      <c r="E1790" s="3" t="n"/>
      <c r="F1790" s="3" t="n"/>
      <c r="G1790" s="9" t="n"/>
      <c r="H1790" s="10" t="n">
        <v>45670.34960648148</v>
      </c>
      <c r="I1790" s="10" t="n">
        <v>45670.35333333333</v>
      </c>
      <c r="J1790" s="10" t="n">
        <v>45670.38145833334</v>
      </c>
      <c r="K1790" s="11" t="n">
        <v>0.028125</v>
      </c>
      <c r="L1790" s="13" t="n"/>
    </row>
    <row r="1791">
      <c r="A1791" s="3" t="inlineStr">
        <is>
          <t>OutboundTrainPreparation</t>
        </is>
      </c>
      <c r="B1791" s="3" t="inlineStr">
        <is>
          <t>Act_OBTP_OBT130125092157-Wien Kledering_092157_625</t>
        </is>
      </c>
      <c r="C1791" s="3" t="inlineStr">
        <is>
          <t>OBT130125092157-Wien Kledering</t>
        </is>
      </c>
      <c r="D1791" s="9" t="n">
        <v>279</v>
      </c>
      <c r="E1791" s="3" t="n"/>
      <c r="F1791" s="3" t="n"/>
      <c r="G1791" s="9" t="n"/>
      <c r="H1791" s="10" t="n">
        <v>45670.39024305555</v>
      </c>
      <c r="I1791" s="10" t="n">
        <v>45670.39111111111</v>
      </c>
      <c r="J1791" s="10" t="n">
        <v>45670.43954861111</v>
      </c>
      <c r="K1791" s="11" t="n">
        <v>0.0484375</v>
      </c>
      <c r="L1791" s="13" t="n"/>
    </row>
    <row r="1792">
      <c r="A1792" s="3" t="inlineStr">
        <is>
          <t>OutboundTrainPreparation</t>
        </is>
      </c>
      <c r="B1792" s="3" t="inlineStr">
        <is>
          <t>Act_OBTP_OBT130125092620-Ternitz (Schoeller-Bleckmann)_092620_617</t>
        </is>
      </c>
      <c r="C1792" s="3" t="inlineStr">
        <is>
          <t>OBT130125092620-Ternitz (Schoeller-Bleckmann)</t>
        </is>
      </c>
      <c r="D1792" s="9" t="n">
        <v>182.9</v>
      </c>
      <c r="E1792" s="3" t="n"/>
      <c r="F1792" s="3" t="n"/>
      <c r="G1792" s="9" t="n"/>
      <c r="H1792" s="10" t="n">
        <v>45670.39328703703</v>
      </c>
      <c r="I1792" s="10" t="n">
        <v>45670.3941550926</v>
      </c>
      <c r="J1792" s="10" t="n">
        <v>45670.42590277778</v>
      </c>
      <c r="K1792" s="11" t="n">
        <v>0.03174768518518518</v>
      </c>
      <c r="L1792" s="13" t="n"/>
    </row>
    <row r="1793">
      <c r="A1793" s="3" t="inlineStr">
        <is>
          <t>OutboundTrainPreparation</t>
        </is>
      </c>
      <c r="B1793" s="3" t="inlineStr">
        <is>
          <t>Act_OBTP_OBT130125093830-Other sidings local_093830_615</t>
        </is>
      </c>
      <c r="C1793" s="3" t="inlineStr">
        <is>
          <t>OBT130125093830-Other sidings local</t>
        </is>
      </c>
      <c r="D1793" s="9" t="n">
        <v>100.6</v>
      </c>
      <c r="E1793" s="3" t="n"/>
      <c r="F1793" s="3" t="n"/>
      <c r="G1793" s="9" t="n"/>
      <c r="H1793" s="10" t="n">
        <v>45670.40173611111</v>
      </c>
      <c r="I1793" s="10" t="n">
        <v>45670.42009259259</v>
      </c>
      <c r="J1793" s="10" t="n">
        <v>45670.43755787037</v>
      </c>
      <c r="K1793" s="11" t="n">
        <v>0.01746527777777778</v>
      </c>
      <c r="L1793" s="13" t="n"/>
    </row>
    <row r="1794">
      <c r="A1794" s="3" t="inlineStr">
        <is>
          <t>OutboundTrainPreparation</t>
        </is>
      </c>
      <c r="B1794" s="3" t="inlineStr">
        <is>
          <t>Act_OBTP_OBT130125094410-Other sidings south_094410_613</t>
        </is>
      </c>
      <c r="C1794" s="3" t="inlineStr">
        <is>
          <t>OBT130125094410-Other sidings south</t>
        </is>
      </c>
      <c r="D1794" s="9" t="n">
        <v>125.3</v>
      </c>
      <c r="E1794" s="3" t="n"/>
      <c r="F1794" s="3" t="n"/>
      <c r="G1794" s="9" t="n"/>
      <c r="H1794" s="10" t="n">
        <v>45670.4056712963</v>
      </c>
      <c r="I1794" s="10" t="n">
        <v>45670.42763888889</v>
      </c>
      <c r="J1794" s="10" t="n">
        <v>45670.44938657407</v>
      </c>
      <c r="K1794" s="11" t="n">
        <v>0.02174768518518519</v>
      </c>
      <c r="L1794" s="13" t="n"/>
    </row>
    <row r="1795">
      <c r="A1795" s="3" t="inlineStr">
        <is>
          <t>OutboundTrainPreparation</t>
        </is>
      </c>
      <c r="B1795" s="3" t="inlineStr">
        <is>
          <t>Act_OBTP_OBT130125095519-Other sidings north_095519_605</t>
        </is>
      </c>
      <c r="C1795" s="3" t="inlineStr">
        <is>
          <t>OBT130125095519-Other sidings north</t>
        </is>
      </c>
      <c r="D1795" s="9" t="n">
        <v>147</v>
      </c>
      <c r="E1795" s="3" t="n"/>
      <c r="F1795" s="3" t="n"/>
      <c r="G1795" s="9" t="n"/>
      <c r="H1795" s="10" t="n">
        <v>45670.41341435185</v>
      </c>
      <c r="I1795" s="10" t="n">
        <v>45670.44217592593</v>
      </c>
      <c r="J1795" s="10" t="n">
        <v>45670.46769675926</v>
      </c>
      <c r="K1795" s="11" t="n">
        <v>0.02552083333333333</v>
      </c>
      <c r="L1795" s="13" t="n"/>
    </row>
    <row r="1796">
      <c r="A1796" s="3" t="inlineStr">
        <is>
          <t>OutboundTrainPreparation</t>
        </is>
      </c>
      <c r="B1796" s="3" t="inlineStr">
        <is>
          <t>Act_OBTP_OBT130125095539-Pitten (Hamburger)_095539_611</t>
        </is>
      </c>
      <c r="C1796" s="3" t="inlineStr">
        <is>
          <t>OBT130125095539-Pitten (Hamburger)</t>
        </is>
      </c>
      <c r="D1796" s="9" t="n">
        <v>218.1</v>
      </c>
      <c r="E1796" s="3" t="n"/>
      <c r="F1796" s="3" t="n"/>
      <c r="G1796" s="9" t="n"/>
      <c r="H1796" s="10" t="n">
        <v>45670.41364583333</v>
      </c>
      <c r="I1796" s="10" t="n">
        <v>45670.44409722222</v>
      </c>
      <c r="J1796" s="10" t="n">
        <v>45670.48196759259</v>
      </c>
      <c r="K1796" s="11" t="n">
        <v>0.03787037037037037</v>
      </c>
      <c r="L1796" s="13" t="n"/>
    </row>
    <row r="1797">
      <c r="A1797" s="3" t="inlineStr">
        <is>
          <t>OutboundTrainPreparation</t>
        </is>
      </c>
      <c r="B1797" s="3" t="inlineStr">
        <is>
          <t>Act_OBTP_OBT130125103421-Wien Kledering_103421_619</t>
        </is>
      </c>
      <c r="C1797" s="3" t="inlineStr">
        <is>
          <t>OBT130125103421-Wien Kledering</t>
        </is>
      </c>
      <c r="D1797" s="9" t="n">
        <v>267.5</v>
      </c>
      <c r="E1797" s="3" t="n"/>
      <c r="F1797" s="3" t="n"/>
      <c r="G1797" s="9" t="n"/>
      <c r="H1797" s="10" t="n">
        <v>45670.44052083333</v>
      </c>
      <c r="I1797" s="10" t="n">
        <v>45670.45112268518</v>
      </c>
      <c r="J1797" s="10" t="n">
        <v>45670.49756944444</v>
      </c>
      <c r="K1797" s="11" t="n">
        <v>0.04644675925925926</v>
      </c>
      <c r="L1797" s="13" t="n"/>
    </row>
    <row r="1798">
      <c r="A1798" s="3" t="inlineStr">
        <is>
          <t>OutboundTrainPreparation</t>
        </is>
      </c>
      <c r="B1798" s="3" t="inlineStr">
        <is>
          <t>Act_OBTP_OBT130125123545-Wien Kledering_123545_617</t>
        </is>
      </c>
      <c r="C1798" s="3" t="inlineStr">
        <is>
          <t>OBT130125123545-Wien Kledering</t>
        </is>
      </c>
      <c r="D1798" s="9" t="n">
        <v>334.4</v>
      </c>
      <c r="E1798" s="3" t="n"/>
      <c r="F1798" s="3" t="n"/>
      <c r="G1798" s="9" t="n"/>
      <c r="H1798" s="10" t="n">
        <v>45670.52482638889</v>
      </c>
      <c r="I1798" s="10" t="n">
        <v>45670.52567129629</v>
      </c>
      <c r="J1798" s="10" t="n">
        <v>45670.58372685185</v>
      </c>
      <c r="K1798" s="11" t="n">
        <v>0.05805555555555555</v>
      </c>
      <c r="L1798" s="13" t="n"/>
    </row>
    <row r="1799">
      <c r="A1799" s="3" t="inlineStr">
        <is>
          <t>OutboundTrainPreparation</t>
        </is>
      </c>
      <c r="B1799" s="3" t="inlineStr">
        <is>
          <t>Act_OBTP_OBT130125144644-Wien Kledering_144644_615</t>
        </is>
      </c>
      <c r="C1799" s="3" t="inlineStr">
        <is>
          <t>OBT130125144644-Wien Kledering</t>
        </is>
      </c>
      <c r="D1799" s="9" t="n">
        <v>388.3</v>
      </c>
      <c r="E1799" s="3" t="n"/>
      <c r="F1799" s="3" t="n"/>
      <c r="G1799" s="9" t="n"/>
      <c r="H1799" s="10" t="n">
        <v>45670.61578703704</v>
      </c>
      <c r="I1799" s="10" t="n">
        <v>45670.61665509259</v>
      </c>
      <c r="J1799" s="10" t="n">
        <v>45670.68407407407</v>
      </c>
      <c r="K1799" s="11" t="n">
        <v>0.06741898148148148</v>
      </c>
      <c r="L1799" s="13" t="n"/>
    </row>
    <row r="1800">
      <c r="A1800" s="3" t="inlineStr">
        <is>
          <t>OutboundTrainPreparation</t>
        </is>
      </c>
      <c r="B1800" s="3" t="inlineStr">
        <is>
          <t>Act_OBTP_OBT130125152935-Wr. Neustadt (Hödlmayr)_152935_625</t>
        </is>
      </c>
      <c r="C1800" s="3" t="inlineStr">
        <is>
          <t>OBT130125152935-Wr. Neustadt (Hödlmayr)</t>
        </is>
      </c>
      <c r="D1800" s="9" t="n">
        <v>100.9</v>
      </c>
      <c r="E1800" s="3" t="n"/>
      <c r="F1800" s="3" t="n"/>
      <c r="G1800" s="9" t="n"/>
      <c r="H1800" s="10" t="n">
        <v>45670.64554398148</v>
      </c>
      <c r="I1800" s="10" t="n">
        <v>45670.64724537037</v>
      </c>
      <c r="J1800" s="10" t="n">
        <v>45670.66475694445</v>
      </c>
      <c r="K1800" s="11" t="n">
        <v>0.01751157407407408</v>
      </c>
      <c r="L1800" s="13" t="n"/>
    </row>
    <row r="1801">
      <c r="A1801" s="3" t="inlineStr">
        <is>
          <t>OutboundTrainPreparation</t>
        </is>
      </c>
      <c r="B1801" s="3" t="inlineStr">
        <is>
          <t>Act_OBTP_OBT130125155039-Wr. Neustadt Ausfahrbf (Furtenbach)_155039_609</t>
        </is>
      </c>
      <c r="C1801" s="3" t="inlineStr">
        <is>
          <t>OBT130125155039-Wr. Neustadt Ausfahrbf (Furtenbach)</t>
        </is>
      </c>
      <c r="D1801" s="9" t="n">
        <v>119.4</v>
      </c>
      <c r="E1801" s="3" t="n"/>
      <c r="F1801" s="3" t="n"/>
      <c r="G1801" s="9" t="n"/>
      <c r="H1801" s="10" t="n">
        <v>45670.66017361111</v>
      </c>
      <c r="I1801" s="10" t="n">
        <v>45670.66203703704</v>
      </c>
      <c r="J1801" s="10" t="n">
        <v>45670.6827662037</v>
      </c>
      <c r="K1801" s="11" t="n">
        <v>0.02072916666666667</v>
      </c>
      <c r="L1801" s="13" t="n"/>
    </row>
    <row r="1802">
      <c r="A1802" s="3" t="inlineStr">
        <is>
          <t>OutboundTrainPreparation</t>
        </is>
      </c>
      <c r="B1802" s="3" t="inlineStr">
        <is>
          <t>Act_OBTP_OBT130125155053-Wien Kledering_155053_611</t>
        </is>
      </c>
      <c r="C1802" s="3" t="inlineStr">
        <is>
          <t>OBT130125155053-Wien Kledering</t>
        </is>
      </c>
      <c r="D1802" s="9" t="n">
        <v>393.5</v>
      </c>
      <c r="E1802" s="3" t="n"/>
      <c r="F1802" s="3" t="n"/>
      <c r="G1802" s="9" t="n"/>
      <c r="H1802" s="10" t="n">
        <v>45670.66033564815</v>
      </c>
      <c r="I1802" s="10" t="n">
        <v>45670.66645833333</v>
      </c>
      <c r="J1802" s="10" t="n">
        <v>45670.73476851852</v>
      </c>
      <c r="K1802" s="11" t="n">
        <v>0.06831018518518518</v>
      </c>
      <c r="L1802" s="13" t="n"/>
    </row>
    <row r="1803">
      <c r="A1803" s="3" t="inlineStr">
        <is>
          <t>OutboundTrainPreparation</t>
        </is>
      </c>
      <c r="B1803" s="3" t="inlineStr">
        <is>
          <t>Act_OBTP_OBT130125162753-Wien Kledering_162753_625</t>
        </is>
      </c>
      <c r="C1803" s="3" t="inlineStr">
        <is>
          <t>OBT130125162753-Wien Kledering</t>
        </is>
      </c>
      <c r="D1803" s="9" t="n">
        <v>229.7</v>
      </c>
      <c r="E1803" s="3" t="n"/>
      <c r="F1803" s="3" t="n"/>
      <c r="G1803" s="9" t="n"/>
      <c r="H1803" s="10" t="n">
        <v>45670.68603009259</v>
      </c>
      <c r="I1803" s="10" t="n">
        <v>45670.68689814815</v>
      </c>
      <c r="J1803" s="10" t="n">
        <v>45670.72678240741</v>
      </c>
      <c r="K1803" s="11" t="n">
        <v>0.03988425925925926</v>
      </c>
      <c r="L1803" s="13" t="n"/>
    </row>
    <row r="1804">
      <c r="A1804" s="3" t="inlineStr">
        <is>
          <t>OutboundTrainPreparation</t>
        </is>
      </c>
      <c r="B1804" s="3" t="inlineStr">
        <is>
          <t>Act_OBTP_OBT130125163000-St. Veit an der Glan_163000_606</t>
        </is>
      </c>
      <c r="C1804" s="3" t="inlineStr">
        <is>
          <t>OBT130125163000-St. Veit an der Glan</t>
        </is>
      </c>
      <c r="D1804" s="9" t="n">
        <v>198.8</v>
      </c>
      <c r="E1804" s="3" t="n"/>
      <c r="F1804" s="3" t="n"/>
      <c r="G1804" s="9" t="n"/>
      <c r="H1804" s="10" t="n">
        <v>45670.6875</v>
      </c>
      <c r="I1804" s="10" t="n">
        <v>45670.68920138889</v>
      </c>
      <c r="J1804" s="10" t="n">
        <v>45670.72371527777</v>
      </c>
      <c r="K1804" s="11" t="n">
        <v>0.03451388888888889</v>
      </c>
      <c r="L1804" s="13" t="n"/>
    </row>
    <row r="1805">
      <c r="A1805" s="3" t="inlineStr">
        <is>
          <t>OutboundTrainPreparation</t>
        </is>
      </c>
      <c r="B1805" s="3" t="inlineStr">
        <is>
          <t>Act_OBTP_OBT130125174233-Wien Kledering_174233_615</t>
        </is>
      </c>
      <c r="C1805" s="3" t="inlineStr">
        <is>
          <t>OBT130125174233-Wien Kledering</t>
        </is>
      </c>
      <c r="D1805" s="9" t="n">
        <v>185.9</v>
      </c>
      <c r="E1805" s="3" t="n"/>
      <c r="F1805" s="3" t="n"/>
      <c r="G1805" s="9" t="n"/>
      <c r="H1805" s="10" t="n">
        <v>45670.73788194444</v>
      </c>
      <c r="I1805" s="10" t="n">
        <v>45670.73875</v>
      </c>
      <c r="J1805" s="10" t="n">
        <v>45670.77103009259</v>
      </c>
      <c r="K1805" s="11" t="n">
        <v>0.03228009259259259</v>
      </c>
      <c r="L1805" s="13" t="n"/>
    </row>
    <row r="1806">
      <c r="A1806" s="3" t="inlineStr">
        <is>
          <t>OutboundTrainPreparation</t>
        </is>
      </c>
      <c r="B1806" s="3" t="inlineStr">
        <is>
          <t>Act_OBTP_OBT130125212354-Wien Kledering_212354_615</t>
        </is>
      </c>
      <c r="C1806" s="3" t="inlineStr">
        <is>
          <t>OBT130125212354-Wien Kledering</t>
        </is>
      </c>
      <c r="D1806" s="9" t="n">
        <v>389.1</v>
      </c>
      <c r="E1806" s="3" t="n"/>
      <c r="F1806" s="3" t="n"/>
      <c r="G1806" s="9" t="n"/>
      <c r="H1806" s="10" t="n">
        <v>45670.89159722222</v>
      </c>
      <c r="I1806" s="10" t="n">
        <v>45670.89246527778</v>
      </c>
      <c r="J1806" s="10" t="n">
        <v>45670.96001157408</v>
      </c>
      <c r="K1806" s="11" t="n">
        <v>0.0675462962962963</v>
      </c>
      <c r="L1806" s="13" t="n"/>
    </row>
    <row r="1807">
      <c r="A1807" s="3" t="inlineStr">
        <is>
          <t>OutboundTrainPreparation</t>
        </is>
      </c>
      <c r="B1807" s="3" t="inlineStr">
        <is>
          <t>Act_OBTP_OBT140125024930-Neunkirchen (loading tracks)_024930_605</t>
        </is>
      </c>
      <c r="C1807" s="3" t="inlineStr">
        <is>
          <t>OBT140125024930-Neunkirchen (loading tracks)</t>
        </is>
      </c>
      <c r="D1807" s="9" t="n">
        <v>124.9</v>
      </c>
      <c r="E1807" s="3" t="n"/>
      <c r="F1807" s="3" t="n"/>
      <c r="G1807" s="9" t="n"/>
      <c r="H1807" s="10" t="n">
        <v>45671.11770833333</v>
      </c>
      <c r="I1807" s="10" t="n">
        <v>45671.11855324074</v>
      </c>
      <c r="J1807" s="10" t="n">
        <v>45671.14023148148</v>
      </c>
      <c r="K1807" s="11" t="n">
        <v>0.02167824074074074</v>
      </c>
      <c r="L1807" s="13" t="n"/>
    </row>
    <row r="1808">
      <c r="A1808" s="3" t="inlineStr">
        <is>
          <t>OutboundTrainPreparation</t>
        </is>
      </c>
      <c r="B1808" s="3" t="inlineStr">
        <is>
          <t>Act_OBTP_OBT140125064740-Wien Kledering_064740_615</t>
        </is>
      </c>
      <c r="C1808" s="3" t="inlineStr">
        <is>
          <t>OBT140125064740-Wien Kledering</t>
        </is>
      </c>
      <c r="D1808" s="9" t="n">
        <v>297</v>
      </c>
      <c r="E1808" s="3" t="n"/>
      <c r="F1808" s="3" t="n"/>
      <c r="G1808" s="9" t="n"/>
      <c r="H1808" s="10" t="n">
        <v>45671.28310185186</v>
      </c>
      <c r="I1808" s="10" t="n">
        <v>45671.28396990741</v>
      </c>
      <c r="J1808" s="10" t="n">
        <v>45671.33553240741</v>
      </c>
      <c r="K1808" s="11" t="n">
        <v>0.0515625</v>
      </c>
      <c r="L1808" s="13" t="n"/>
    </row>
    <row r="1809">
      <c r="A1809" s="3" t="inlineStr">
        <is>
          <t>OutboundTrainPreparation</t>
        </is>
      </c>
      <c r="B1809" s="3" t="inlineStr">
        <is>
          <t>Act_OBTP_OBT140125070727-Neudörfl (FunderMax)_070727_629</t>
        </is>
      </c>
      <c r="C1809" s="3" t="inlineStr">
        <is>
          <t>OBT140125070727-Neudörfl (FunderMax)</t>
        </is>
      </c>
      <c r="D1809" s="9" t="n">
        <v>187.6</v>
      </c>
      <c r="E1809" s="3" t="n"/>
      <c r="F1809" s="3" t="n"/>
      <c r="G1809" s="9" t="n"/>
      <c r="H1809" s="10" t="n">
        <v>45671.29684027778</v>
      </c>
      <c r="I1809" s="10" t="n">
        <v>45671.29853009259</v>
      </c>
      <c r="J1809" s="10" t="n">
        <v>45671.33109953703</v>
      </c>
      <c r="K1809" s="11" t="n">
        <v>0.03256944444444444</v>
      </c>
      <c r="L1809" s="13" t="n"/>
    </row>
    <row r="1810">
      <c r="A1810" s="3" t="inlineStr">
        <is>
          <t>OutboundTrainPreparation</t>
        </is>
      </c>
      <c r="B1810" s="3" t="inlineStr">
        <is>
          <t>Act_OBTP_OBT140125070928-Pitten (Hamburger)_070928_613</t>
        </is>
      </c>
      <c r="C1810" s="3" t="inlineStr">
        <is>
          <t>OBT140125070928-Pitten (Hamburger)</t>
        </is>
      </c>
      <c r="D1810" s="9" t="n">
        <v>101.9</v>
      </c>
      <c r="E1810" s="3" t="n"/>
      <c r="F1810" s="3" t="n"/>
      <c r="G1810" s="9" t="n"/>
      <c r="H1810" s="10" t="n">
        <v>45671.29824074074</v>
      </c>
      <c r="I1810" s="10" t="n">
        <v>45671.30900462963</v>
      </c>
      <c r="J1810" s="10" t="n">
        <v>45671.32670138889</v>
      </c>
      <c r="K1810" s="11" t="n">
        <v>0.01769675925925926</v>
      </c>
      <c r="L1810" s="13" t="n"/>
    </row>
    <row r="1811">
      <c r="A1811" s="3" t="inlineStr">
        <is>
          <t>OutboundTrainPreparation</t>
        </is>
      </c>
      <c r="B1811" s="3" t="inlineStr">
        <is>
          <t>Act_OBTP_OBT140125075443-Wien Kledering_075443_606</t>
        </is>
      </c>
      <c r="C1811" s="3" t="inlineStr">
        <is>
          <t>OBT140125075443-Wien Kledering</t>
        </is>
      </c>
      <c r="D1811" s="9" t="n">
        <v>213.8</v>
      </c>
      <c r="E1811" s="3" t="n"/>
      <c r="F1811" s="3" t="n"/>
      <c r="G1811" s="9" t="n"/>
      <c r="H1811" s="10" t="n">
        <v>45671.32966435186</v>
      </c>
      <c r="I1811" s="10" t="n">
        <v>45671.33133101852</v>
      </c>
      <c r="J1811" s="10" t="n">
        <v>45671.36844907407</v>
      </c>
      <c r="K1811" s="11" t="n">
        <v>0.03711805555555556</v>
      </c>
      <c r="L1811" s="13" t="n"/>
    </row>
    <row r="1812">
      <c r="A1812" s="3" t="inlineStr">
        <is>
          <t>OutboundTrainPreparation</t>
        </is>
      </c>
      <c r="B1812" s="3" t="inlineStr">
        <is>
          <t>Act_OBTP_OBT140125081951-Wien Kledering_081951_613</t>
        </is>
      </c>
      <c r="C1812" s="3" t="inlineStr">
        <is>
          <t>OBT140125081951-Wien Kledering</t>
        </is>
      </c>
      <c r="D1812" s="9" t="n">
        <v>389.8</v>
      </c>
      <c r="E1812" s="3" t="n"/>
      <c r="F1812" s="3" t="n"/>
      <c r="G1812" s="9" t="n"/>
      <c r="H1812" s="10" t="n">
        <v>45671.34711805556</v>
      </c>
      <c r="I1812" s="10" t="n">
        <v>45671.34798611111</v>
      </c>
      <c r="J1812" s="10" t="n">
        <v>45671.41565972222</v>
      </c>
      <c r="K1812" s="11" t="n">
        <v>0.06767361111111111</v>
      </c>
      <c r="L1812" s="13" t="n"/>
    </row>
    <row r="1813">
      <c r="A1813" s="3" t="inlineStr">
        <is>
          <t>OutboundTrainPreparation</t>
        </is>
      </c>
      <c r="B1813" s="3" t="inlineStr">
        <is>
          <t>Act_OBTP_OBT140125093209-Obereggendorf (Hofer)_093209_607</t>
        </is>
      </c>
      <c r="C1813" s="3" t="inlineStr">
        <is>
          <t>OBT140125093209-Obereggendorf (Hofer)</t>
        </is>
      </c>
      <c r="D1813" s="9" t="n">
        <v>343.5</v>
      </c>
      <c r="E1813" s="3" t="n"/>
      <c r="F1813" s="3" t="n"/>
      <c r="G1813" s="9" t="n"/>
      <c r="H1813" s="10" t="n">
        <v>45671.39732638889</v>
      </c>
      <c r="I1813" s="10" t="n">
        <v>45671.39819444445</v>
      </c>
      <c r="J1813" s="10" t="n">
        <v>45671.45782407407</v>
      </c>
      <c r="K1813" s="11" t="n">
        <v>0.05962962962962963</v>
      </c>
      <c r="L1813" s="13" t="n"/>
    </row>
    <row r="1814">
      <c r="A1814" s="3" t="inlineStr">
        <is>
          <t>OutboundTrainPreparation</t>
        </is>
      </c>
      <c r="B1814" s="3" t="inlineStr">
        <is>
          <t>Act_OBTP_OBT140125093437-St. Veit an der Glan_093437_629</t>
        </is>
      </c>
      <c r="C1814" s="3" t="inlineStr">
        <is>
          <t>OBT140125093437-St. Veit an der Glan</t>
        </is>
      </c>
      <c r="D1814" s="9" t="n">
        <v>129.1</v>
      </c>
      <c r="E1814" s="3" t="n"/>
      <c r="F1814" s="3" t="n"/>
      <c r="G1814" s="9" t="n"/>
      <c r="H1814" s="10" t="n">
        <v>45671.39903935185</v>
      </c>
      <c r="I1814" s="10" t="n">
        <v>45671.40067129629</v>
      </c>
      <c r="J1814" s="10" t="n">
        <v>45671.42309027778</v>
      </c>
      <c r="K1814" s="11" t="n">
        <v>0.02241898148148148</v>
      </c>
      <c r="L1814" s="13" t="n"/>
    </row>
    <row r="1815">
      <c r="A1815" s="3" t="inlineStr">
        <is>
          <t>OutboundTrainPreparation</t>
        </is>
      </c>
      <c r="B1815" s="3" t="inlineStr">
        <is>
          <t>Act_OBTP_OBT140125101210-Wr. Neustadt (Hödlmayr)_101210_625</t>
        </is>
      </c>
      <c r="C1815" s="3" t="inlineStr">
        <is>
          <t>OBT140125101210-Wr. Neustadt (Hödlmayr)</t>
        </is>
      </c>
      <c r="D1815" s="9" t="n">
        <v>189</v>
      </c>
      <c r="E1815" s="3" t="n"/>
      <c r="F1815" s="3" t="n"/>
      <c r="G1815" s="9" t="n"/>
      <c r="H1815" s="10" t="n">
        <v>45671.42511574074</v>
      </c>
      <c r="I1815" s="10" t="n">
        <v>45671.43638888889</v>
      </c>
      <c r="J1815" s="10" t="n">
        <v>45671.46920138889</v>
      </c>
      <c r="K1815" s="11" t="n">
        <v>0.0328125</v>
      </c>
      <c r="L1815" s="13" t="n"/>
    </row>
    <row r="1816">
      <c r="A1816" s="3" t="inlineStr">
        <is>
          <t>OutboundTrainPreparation</t>
        </is>
      </c>
      <c r="B1816" s="3" t="inlineStr">
        <is>
          <t>Act_OBTP_OBT140125101947-Other sidings north_101947_605</t>
        </is>
      </c>
      <c r="C1816" s="3" t="inlineStr">
        <is>
          <t>OBT140125101947-Other sidings north</t>
        </is>
      </c>
      <c r="D1816" s="9" t="n">
        <v>109.4</v>
      </c>
      <c r="E1816" s="3" t="n"/>
      <c r="F1816" s="3" t="n"/>
      <c r="G1816" s="9" t="n"/>
      <c r="H1816" s="10" t="n">
        <v>45671.43040509259</v>
      </c>
      <c r="I1816" s="10" t="n">
        <v>45671.43829861111</v>
      </c>
      <c r="J1816" s="10" t="n">
        <v>45671.45730324074</v>
      </c>
      <c r="K1816" s="11" t="n">
        <v>0.01900462962962963</v>
      </c>
      <c r="L1816" s="13" t="n"/>
    </row>
    <row r="1817">
      <c r="A1817" s="3" t="inlineStr">
        <is>
          <t>OutboundTrainPreparation</t>
        </is>
      </c>
      <c r="B1817" s="3" t="inlineStr">
        <is>
          <t>Act_OBTP_OBT140125102734-Pitten (Hamburger)_102734_611</t>
        </is>
      </c>
      <c r="C1817" s="3" t="inlineStr">
        <is>
          <t>OBT140125102734-Pitten (Hamburger)</t>
        </is>
      </c>
      <c r="D1817" s="9" t="n">
        <v>651.8</v>
      </c>
      <c r="E1817" s="3" t="n"/>
      <c r="F1817" s="3" t="n"/>
      <c r="G1817" s="9" t="n"/>
      <c r="H1817" s="10" t="n">
        <v>45671.43581018518</v>
      </c>
      <c r="I1817" s="10" t="n">
        <v>45671.45903935185</v>
      </c>
      <c r="J1817" s="10" t="n">
        <v>45671.57219907407</v>
      </c>
      <c r="K1817" s="11" t="n">
        <v>0.1131597222222222</v>
      </c>
      <c r="L1817" s="13" t="n"/>
    </row>
    <row r="1818">
      <c r="A1818" s="3" t="inlineStr">
        <is>
          <t>OutboundTrainPreparation</t>
        </is>
      </c>
      <c r="B1818" s="3" t="inlineStr">
        <is>
          <t>Act_OBTP_OBT140125102839-Wr. Neustadt (Brenntag)_102839_627</t>
        </is>
      </c>
      <c r="C1818" s="3" t="inlineStr">
        <is>
          <t>OBT140125102839-Wr. Neustadt (Brenntag)</t>
        </is>
      </c>
      <c r="D1818" s="9" t="n">
        <v>117.2</v>
      </c>
      <c r="E1818" s="3" t="n"/>
      <c r="F1818" s="3" t="n"/>
      <c r="G1818" s="9" t="n"/>
      <c r="H1818" s="10" t="n">
        <v>45671.4365625</v>
      </c>
      <c r="I1818" s="10" t="n">
        <v>45671.45956018518</v>
      </c>
      <c r="J1818" s="10" t="n">
        <v>45671.47991898148</v>
      </c>
      <c r="K1818" s="11" t="n">
        <v>0.02035879629629629</v>
      </c>
      <c r="L1818" s="13" t="n"/>
    </row>
    <row r="1819">
      <c r="A1819" s="3" t="inlineStr">
        <is>
          <t>OutboundTrainPreparation</t>
        </is>
      </c>
      <c r="B1819" s="3" t="inlineStr">
        <is>
          <t>Act_OBTP_OBT140125130928-Wien Kledering_130928_611</t>
        </is>
      </c>
      <c r="C1819" s="3" t="inlineStr">
        <is>
          <t>OBT140125130928-Wien Kledering</t>
        </is>
      </c>
      <c r="D1819" s="9" t="n">
        <v>297.8</v>
      </c>
      <c r="E1819" s="3" t="n"/>
      <c r="F1819" s="3" t="n"/>
      <c r="G1819" s="9" t="n"/>
      <c r="H1819" s="10" t="n">
        <v>45671.54824074074</v>
      </c>
      <c r="I1819" s="10" t="n">
        <v>45671.54907407407</v>
      </c>
      <c r="J1819" s="10" t="n">
        <v>45671.60077546296</v>
      </c>
      <c r="K1819" s="11" t="n">
        <v>0.05170138888888889</v>
      </c>
      <c r="L1819" s="13" t="n"/>
    </row>
    <row r="1820">
      <c r="A1820" s="3" t="inlineStr">
        <is>
          <t>OutboundTrainPreparation</t>
        </is>
      </c>
      <c r="B1820" s="3" t="inlineStr">
        <is>
          <t>Act_OBTP_OBT140125144027-Wien Kledering_144027_611</t>
        </is>
      </c>
      <c r="C1820" s="3" t="inlineStr">
        <is>
          <t>OBT140125144027-Wien Kledering</t>
        </is>
      </c>
      <c r="D1820" s="9" t="n">
        <v>225.6</v>
      </c>
      <c r="E1820" s="3" t="n"/>
      <c r="F1820" s="3" t="n"/>
      <c r="G1820" s="9" t="n"/>
      <c r="H1820" s="10" t="n">
        <v>45671.61142361111</v>
      </c>
      <c r="I1820" s="10" t="n">
        <v>45671.61225694444</v>
      </c>
      <c r="J1820" s="10" t="n">
        <v>45671.65143518519</v>
      </c>
      <c r="K1820" s="11" t="n">
        <v>0.03917824074074074</v>
      </c>
      <c r="L1820" s="13" t="n"/>
    </row>
    <row r="1821">
      <c r="A1821" s="3" t="inlineStr">
        <is>
          <t>OutboundTrainPreparation</t>
        </is>
      </c>
      <c r="B1821" s="3" t="inlineStr">
        <is>
          <t>Act_OBTP_OBT140125153402-Felixdorf/Sollenau (Bundesheer, Maba)_153402_609</t>
        </is>
      </c>
      <c r="C1821" s="3" t="inlineStr">
        <is>
          <t>OBT140125153402-Felixdorf/Sollenau (Bundesheer, Maba)</t>
        </is>
      </c>
      <c r="D1821" s="9" t="n">
        <v>100.6</v>
      </c>
      <c r="E1821" s="3" t="n"/>
      <c r="F1821" s="3" t="n"/>
      <c r="G1821" s="9" t="n"/>
      <c r="H1821" s="10" t="n">
        <v>45671.64863425926</v>
      </c>
      <c r="I1821" s="10" t="n">
        <v>45671.65034722222</v>
      </c>
      <c r="J1821" s="10" t="n">
        <v>45671.6678125</v>
      </c>
      <c r="K1821" s="11" t="n">
        <v>0.01746527777777778</v>
      </c>
      <c r="L1821" s="13" t="n"/>
    </row>
    <row r="1822">
      <c r="A1822" s="3" t="inlineStr">
        <is>
          <t>OutboundTrainPreparation</t>
        </is>
      </c>
      <c r="B1822" s="3" t="inlineStr">
        <is>
          <t>Act_OBTP_OBT140125153639-Ebenfurth (beet loading)_153639_623</t>
        </is>
      </c>
      <c r="C1822" s="3" t="inlineStr">
        <is>
          <t>OBT140125153639-Ebenfurth (beet loading)</t>
        </is>
      </c>
      <c r="D1822" s="9" t="n">
        <v>141.7</v>
      </c>
      <c r="E1822" s="3" t="n"/>
      <c r="F1822" s="3" t="n"/>
      <c r="G1822" s="9" t="n"/>
      <c r="H1822" s="10" t="n">
        <v>45671.65045138889</v>
      </c>
      <c r="I1822" s="10" t="n">
        <v>45671.65310185185</v>
      </c>
      <c r="J1822" s="10" t="n">
        <v>45671.67769675926</v>
      </c>
      <c r="K1822" s="11" t="n">
        <v>0.02459490740740741</v>
      </c>
      <c r="L1822" s="13" t="n"/>
    </row>
    <row r="1823">
      <c r="A1823" s="3" t="inlineStr">
        <is>
          <t>OutboundTrainPreparation</t>
        </is>
      </c>
      <c r="B1823" s="3" t="inlineStr">
        <is>
          <t>Act_OBTP_OBT140125153802-Neudörfl (FunderMax)_153802_615</t>
        </is>
      </c>
      <c r="C1823" s="3" t="inlineStr">
        <is>
          <t>OBT140125153802-Neudörfl (FunderMax)</t>
        </is>
      </c>
      <c r="D1823" s="9" t="n">
        <v>132.4</v>
      </c>
      <c r="E1823" s="3" t="n"/>
      <c r="F1823" s="3" t="n"/>
      <c r="G1823" s="9" t="n"/>
      <c r="H1823" s="10" t="n">
        <v>45671.65141203703</v>
      </c>
      <c r="I1823" s="10" t="n">
        <v>45671.66950231481</v>
      </c>
      <c r="J1823" s="10" t="n">
        <v>45671.69248842593</v>
      </c>
      <c r="K1823" s="11" t="n">
        <v>0.02298611111111111</v>
      </c>
      <c r="L1823" s="13" t="n"/>
    </row>
    <row r="1824">
      <c r="A1824" s="3" t="inlineStr">
        <is>
          <t>OutboundTrainPreparation</t>
        </is>
      </c>
      <c r="B1824" s="3" t="inlineStr">
        <is>
          <t>Act_OBTP_OBT140125154219-Pitten (Hamburger)_154219_613</t>
        </is>
      </c>
      <c r="C1824" s="3" t="inlineStr">
        <is>
          <t>OBT140125154219-Pitten (Hamburger)</t>
        </is>
      </c>
      <c r="D1824" s="9" t="n">
        <v>163.4</v>
      </c>
      <c r="E1824" s="3" t="n"/>
      <c r="F1824" s="3" t="n"/>
      <c r="G1824" s="9" t="n"/>
      <c r="H1824" s="10" t="n">
        <v>45671.65438657408</v>
      </c>
      <c r="I1824" s="10" t="n">
        <v>45671.6715625</v>
      </c>
      <c r="J1824" s="10" t="n">
        <v>45671.69993055556</v>
      </c>
      <c r="K1824" s="11" t="n">
        <v>0.02836805555555556</v>
      </c>
      <c r="L1824" s="13" t="n"/>
    </row>
    <row r="1825">
      <c r="A1825" s="3" t="inlineStr">
        <is>
          <t>OutboundTrainPreparation</t>
        </is>
      </c>
      <c r="B1825" s="3" t="inlineStr">
        <is>
          <t>Act_OBTP_OBT140125155553-Gloggnitz_155553_627</t>
        </is>
      </c>
      <c r="C1825" s="3" t="inlineStr">
        <is>
          <t>OBT140125155553-Gloggnitz</t>
        </is>
      </c>
      <c r="D1825" s="9" t="n">
        <v>139.5</v>
      </c>
      <c r="E1825" s="3" t="n"/>
      <c r="F1825" s="3" t="n"/>
      <c r="G1825" s="9" t="n"/>
      <c r="H1825" s="10" t="n">
        <v>45671.66380787037</v>
      </c>
      <c r="I1825" s="10" t="n">
        <v>45671.679375</v>
      </c>
      <c r="J1825" s="10" t="n">
        <v>45671.70358796296</v>
      </c>
      <c r="K1825" s="11" t="n">
        <v>0.02421296296296296</v>
      </c>
      <c r="L1825" s="13" t="n"/>
    </row>
    <row r="1826">
      <c r="A1826" s="3" t="inlineStr">
        <is>
          <t>OutboundTrainPreparation</t>
        </is>
      </c>
      <c r="B1826" s="3" t="inlineStr">
        <is>
          <t>Act_OBTP_OBT140125160010-Wien Kledering_160010_605</t>
        </is>
      </c>
      <c r="C1826" s="3" t="inlineStr">
        <is>
          <t>OBT140125160010-Wien Kledering</t>
        </is>
      </c>
      <c r="D1826" s="9" t="n">
        <v>173.1</v>
      </c>
      <c r="E1826" s="3" t="n"/>
      <c r="F1826" s="3" t="n"/>
      <c r="G1826" s="9" t="n"/>
      <c r="H1826" s="10" t="n">
        <v>45671.66678240741</v>
      </c>
      <c r="I1826" s="10" t="n">
        <v>45671.69418981481</v>
      </c>
      <c r="J1826" s="10" t="n">
        <v>45671.72424768518</v>
      </c>
      <c r="K1826" s="11" t="n">
        <v>0.03005787037037037</v>
      </c>
      <c r="L1826" s="13" t="n"/>
    </row>
    <row r="1827">
      <c r="A1827" s="3" t="inlineStr">
        <is>
          <t>OutboundTrainPreparation</t>
        </is>
      </c>
      <c r="B1827" s="3" t="inlineStr">
        <is>
          <t>Act_OBTP_OBT140125180846-Wien Kledering_180846_607</t>
        </is>
      </c>
      <c r="C1827" s="3" t="inlineStr">
        <is>
          <t>OBT140125180846-Wien Kledering</t>
        </is>
      </c>
      <c r="D1827" s="9" t="n">
        <v>103.9</v>
      </c>
      <c r="E1827" s="3" t="n"/>
      <c r="F1827" s="3" t="n"/>
      <c r="G1827" s="9" t="n"/>
      <c r="H1827" s="10" t="n">
        <v>45671.75608796296</v>
      </c>
      <c r="I1827" s="10" t="n">
        <v>45671.75695601852</v>
      </c>
      <c r="J1827" s="10" t="n">
        <v>45671.77498842592</v>
      </c>
      <c r="K1827" s="11" t="n">
        <v>0.01803240740740741</v>
      </c>
      <c r="L1827" s="13" t="n"/>
    </row>
    <row r="1828">
      <c r="A1828" s="3" t="inlineStr">
        <is>
          <t>OutboundTrainPreparation</t>
        </is>
      </c>
      <c r="B1828" s="3" t="inlineStr">
        <is>
          <t>Act_OBTP_OBT140125181221-Wr. Neustadt (Hödlmayr)_181221_615</t>
        </is>
      </c>
      <c r="C1828" s="3" t="inlineStr">
        <is>
          <t>OBT140125181221-Wr. Neustadt (Hödlmayr)</t>
        </is>
      </c>
      <c r="D1828" s="9" t="n">
        <v>108</v>
      </c>
      <c r="E1828" s="3" t="n"/>
      <c r="F1828" s="3" t="n"/>
      <c r="G1828" s="9" t="n"/>
      <c r="H1828" s="10" t="n">
        <v>45671.75857638889</v>
      </c>
      <c r="I1828" s="10" t="n">
        <v>45671.76021990741</v>
      </c>
      <c r="J1828" s="10" t="n">
        <v>45671.77896990741</v>
      </c>
      <c r="K1828" s="11" t="n">
        <v>0.01875</v>
      </c>
      <c r="L1828" s="13" t="n"/>
    </row>
    <row r="1829">
      <c r="A1829" s="3" t="inlineStr">
        <is>
          <t>OutboundTrainPreparation</t>
        </is>
      </c>
      <c r="B1829" s="3" t="inlineStr">
        <is>
          <t>Act_OBTP_OBT140125181252-Steinabrückl/Wöllersdorf_181252_621</t>
        </is>
      </c>
      <c r="C1829" s="3" t="inlineStr">
        <is>
          <t>OBT140125181252-Steinabrückl/Wöllersdorf</t>
        </is>
      </c>
      <c r="D1829" s="9" t="n">
        <v>125.9</v>
      </c>
      <c r="E1829" s="3" t="n"/>
      <c r="F1829" s="3" t="n"/>
      <c r="G1829" s="9" t="n"/>
      <c r="H1829" s="10" t="n">
        <v>45671.75893518519</v>
      </c>
      <c r="I1829" s="10" t="n">
        <v>45671.77648148148</v>
      </c>
      <c r="J1829" s="10" t="n">
        <v>45671.79834490741</v>
      </c>
      <c r="K1829" s="11" t="n">
        <v>0.02186342592592593</v>
      </c>
      <c r="L1829" s="13" t="n"/>
    </row>
    <row r="1830">
      <c r="A1830" s="3" t="inlineStr">
        <is>
          <t>OutboundTrainPreparation</t>
        </is>
      </c>
      <c r="B1830" s="3" t="inlineStr">
        <is>
          <t>Act_OBTP_OBT140125181642-Ternitz (Schoeller-Bleckmann)_181642_617</t>
        </is>
      </c>
      <c r="C1830" s="3" t="inlineStr">
        <is>
          <t>OBT140125181642-Ternitz (Schoeller-Bleckmann)</t>
        </is>
      </c>
      <c r="D1830" s="9" t="n">
        <v>103.7</v>
      </c>
      <c r="E1830" s="3" t="n"/>
      <c r="F1830" s="3" t="n"/>
      <c r="G1830" s="9" t="n"/>
      <c r="H1830" s="10" t="n">
        <v>45671.76159722222</v>
      </c>
      <c r="I1830" s="10" t="n">
        <v>45671.77672453703</v>
      </c>
      <c r="J1830" s="10" t="n">
        <v>45671.79472222222</v>
      </c>
      <c r="K1830" s="11" t="n">
        <v>0.01799768518518519</v>
      </c>
      <c r="L1830" s="13" t="n"/>
    </row>
    <row r="1831">
      <c r="A1831" s="3" t="inlineStr">
        <is>
          <t>OutboundTrainPreparation</t>
        </is>
      </c>
      <c r="B1831" s="3" t="inlineStr">
        <is>
          <t>Act_OBTP_OBT140125182854-Neudörfl (FunderMax)_182854_623</t>
        </is>
      </c>
      <c r="C1831" s="3" t="inlineStr">
        <is>
          <t>OBT140125182854-Neudörfl (FunderMax)</t>
        </is>
      </c>
      <c r="D1831" s="9" t="n">
        <v>111.4</v>
      </c>
      <c r="E1831" s="3" t="n"/>
      <c r="F1831" s="3" t="n"/>
      <c r="G1831" s="9" t="n"/>
      <c r="H1831" s="10" t="n">
        <v>45671.77006944444</v>
      </c>
      <c r="I1831" s="10" t="n">
        <v>45671.78070601852</v>
      </c>
      <c r="J1831" s="10" t="n">
        <v>45671.8000462963</v>
      </c>
      <c r="K1831" s="11" t="n">
        <v>0.01934027777777778</v>
      </c>
      <c r="L1831" s="13" t="n"/>
    </row>
    <row r="1832">
      <c r="A1832" s="3" t="inlineStr">
        <is>
          <t>OutboundTrainPreparation</t>
        </is>
      </c>
      <c r="B1832" s="3" t="inlineStr">
        <is>
          <t>Act_OBTP_OBT140125183542-Pitten (Hamburger)_183542_605</t>
        </is>
      </c>
      <c r="C1832" s="3" t="inlineStr">
        <is>
          <t>OBT140125183542-Pitten (Hamburger)</t>
        </is>
      </c>
      <c r="D1832" s="9" t="n">
        <v>132.7</v>
      </c>
      <c r="E1832" s="3" t="n"/>
      <c r="F1832" s="3" t="n"/>
      <c r="G1832" s="9" t="n"/>
      <c r="H1832" s="10" t="n">
        <v>45671.77479166666</v>
      </c>
      <c r="I1832" s="10" t="n">
        <v>45671.79645833333</v>
      </c>
      <c r="J1832" s="10" t="n">
        <v>45671.81949074074</v>
      </c>
      <c r="K1832" s="11" t="n">
        <v>0.02303240740740741</v>
      </c>
      <c r="L1832" s="13" t="n"/>
    </row>
    <row r="1833">
      <c r="A1833" s="3" t="inlineStr">
        <is>
          <t>OutboundTrainPreparation</t>
        </is>
      </c>
      <c r="B1833" s="3" t="inlineStr">
        <is>
          <t>Act_OBTP_OBT150125024833-Neunkirchen (loading tracks)_024833_606</t>
        </is>
      </c>
      <c r="C1833" s="3" t="inlineStr">
        <is>
          <t>OBT150125024833-Neunkirchen (loading tracks)</t>
        </is>
      </c>
      <c r="D1833" s="9" t="n">
        <v>208.9</v>
      </c>
      <c r="E1833" s="3" t="n"/>
      <c r="F1833" s="3" t="n"/>
      <c r="G1833" s="9" t="n"/>
      <c r="H1833" s="10" t="n">
        <v>45672.11704861111</v>
      </c>
      <c r="I1833" s="10" t="n">
        <v>45672.11791666667</v>
      </c>
      <c r="J1833" s="10" t="n">
        <v>45672.15417824074</v>
      </c>
      <c r="K1833" s="11" t="n">
        <v>0.03626157407407407</v>
      </c>
      <c r="L1833" s="13" t="n"/>
    </row>
    <row r="1834">
      <c r="A1834" s="3" t="inlineStr">
        <is>
          <t>OutboundTrainPreparation</t>
        </is>
      </c>
      <c r="B1834" s="3" t="inlineStr">
        <is>
          <t>Act_OBTP_OBT150125025656-Other sidings south_025656_619</t>
        </is>
      </c>
      <c r="C1834" s="3" t="inlineStr">
        <is>
          <t>OBT150125025656-Other sidings south</t>
        </is>
      </c>
      <c r="D1834" s="9" t="n">
        <v>177.4</v>
      </c>
      <c r="E1834" s="3" t="n"/>
      <c r="F1834" s="3" t="n"/>
      <c r="G1834" s="9" t="n"/>
      <c r="H1834" s="10" t="n">
        <v>45672.12287037037</v>
      </c>
      <c r="I1834" s="10" t="n">
        <v>45672.12370370371</v>
      </c>
      <c r="J1834" s="10" t="n">
        <v>45672.15450231481</v>
      </c>
      <c r="K1834" s="11" t="n">
        <v>0.03079861111111111</v>
      </c>
      <c r="L1834" s="13" t="n"/>
    </row>
    <row r="1835">
      <c r="A1835" s="3" t="inlineStr">
        <is>
          <t>OutboundTrainPreparation</t>
        </is>
      </c>
      <c r="B1835" s="3" t="inlineStr">
        <is>
          <t>Act_OBTP_OBT150125045827-Neudörfl (FunderMax)_045827_623</t>
        </is>
      </c>
      <c r="C1835" s="3" t="inlineStr">
        <is>
          <t>OBT150125045827-Neudörfl (FunderMax)</t>
        </is>
      </c>
      <c r="D1835" s="9" t="n">
        <v>521.9</v>
      </c>
      <c r="E1835" s="3" t="n"/>
      <c r="F1835" s="3" t="n"/>
      <c r="G1835" s="9" t="n"/>
      <c r="H1835" s="10" t="n">
        <v>45672.20725694444</v>
      </c>
      <c r="I1835" s="10" t="n">
        <v>45672.20810185185</v>
      </c>
      <c r="J1835" s="10" t="n">
        <v>45672.2987037037</v>
      </c>
      <c r="K1835" s="11" t="n">
        <v>0.09060185185185185</v>
      </c>
      <c r="L1835" s="13" t="n"/>
    </row>
    <row r="1836">
      <c r="A1836" s="3" t="inlineStr">
        <is>
          <t>OutboundTrainPreparation</t>
        </is>
      </c>
      <c r="B1836" s="3" t="inlineStr">
        <is>
          <t>Act_OBTP_OBT150125064840-Wien Kledering_064840_615</t>
        </is>
      </c>
      <c r="C1836" s="3" t="inlineStr">
        <is>
          <t>OBT150125064840-Wien Kledering</t>
        </is>
      </c>
      <c r="D1836" s="9" t="n">
        <v>313.7</v>
      </c>
      <c r="E1836" s="3" t="n"/>
      <c r="F1836" s="3" t="n"/>
      <c r="G1836" s="9" t="n"/>
      <c r="H1836" s="10" t="n">
        <v>45672.28379629629</v>
      </c>
      <c r="I1836" s="10" t="n">
        <v>45672.28466435185</v>
      </c>
      <c r="J1836" s="10" t="n">
        <v>45672.33913194444</v>
      </c>
      <c r="K1836" s="11" t="n">
        <v>0.0544675925925926</v>
      </c>
      <c r="L1836" s="13" t="n"/>
    </row>
    <row r="1837">
      <c r="A1837" s="3" t="inlineStr">
        <is>
          <t>OutboundTrainPreparation</t>
        </is>
      </c>
      <c r="B1837" s="3" t="inlineStr">
        <is>
          <t>Act_OBTP_OBT150125074216-Ebenfurth (beet loading)_074216_627</t>
        </is>
      </c>
      <c r="C1837" s="3" t="inlineStr">
        <is>
          <t>OBT150125074216-Ebenfurth (beet loading)</t>
        </is>
      </c>
      <c r="D1837" s="9" t="n">
        <v>110.2</v>
      </c>
      <c r="E1837" s="3" t="n"/>
      <c r="F1837" s="3" t="n"/>
      <c r="G1837" s="9" t="n"/>
      <c r="H1837" s="10" t="n">
        <v>45672.32101851852</v>
      </c>
      <c r="I1837" s="10" t="n">
        <v>45672.32188657407</v>
      </c>
      <c r="J1837" s="10" t="n">
        <v>45672.34101851852</v>
      </c>
      <c r="K1837" s="11" t="n">
        <v>0.01913194444444444</v>
      </c>
      <c r="L1837" s="13" t="n"/>
    </row>
    <row r="1838">
      <c r="A1838" s="3" t="inlineStr">
        <is>
          <t>OutboundTrainPreparation</t>
        </is>
      </c>
      <c r="B1838" s="3" t="inlineStr">
        <is>
          <t>Act_OBTP_OBT150125075736-Other sidings north_075736_625</t>
        </is>
      </c>
      <c r="C1838" s="3" t="inlineStr">
        <is>
          <t>OBT150125075736-Other sidings north</t>
        </is>
      </c>
      <c r="D1838" s="9" t="n">
        <v>145.1</v>
      </c>
      <c r="E1838" s="3" t="n"/>
      <c r="F1838" s="3" t="n"/>
      <c r="G1838" s="9" t="n"/>
      <c r="H1838" s="10" t="n">
        <v>45672.33166666667</v>
      </c>
      <c r="I1838" s="10" t="n">
        <v>45672.33923611111</v>
      </c>
      <c r="J1838" s="10" t="n">
        <v>45672.3644212963</v>
      </c>
      <c r="K1838" s="11" t="n">
        <v>0.02518518518518519</v>
      </c>
      <c r="L1838" s="13" t="n"/>
    </row>
    <row r="1839">
      <c r="A1839" s="3" t="inlineStr">
        <is>
          <t>OutboundTrainPreparation</t>
        </is>
      </c>
      <c r="B1839" s="3" t="inlineStr">
        <is>
          <t>Act_OBTP_OBT150125080153-Wr. Neustadt (Hödlmayr)_080153_617</t>
        </is>
      </c>
      <c r="C1839" s="3" t="inlineStr">
        <is>
          <t>OBT150125080153-Wr. Neustadt (Hödlmayr)</t>
        </is>
      </c>
      <c r="D1839" s="9" t="n">
        <v>108</v>
      </c>
      <c r="E1839" s="3" t="n"/>
      <c r="F1839" s="3" t="n"/>
      <c r="G1839" s="9" t="n"/>
      <c r="H1839" s="10" t="n">
        <v>45672.33464120371</v>
      </c>
      <c r="I1839" s="10" t="n">
        <v>45672.34086805556</v>
      </c>
      <c r="J1839" s="10" t="n">
        <v>45672.35961805555</v>
      </c>
      <c r="K1839" s="11" t="n">
        <v>0.01875</v>
      </c>
      <c r="L1839" s="13" t="n"/>
    </row>
    <row r="1840">
      <c r="A1840" s="3" t="inlineStr">
        <is>
          <t>OutboundTrainPreparation</t>
        </is>
      </c>
      <c r="B1840" s="3" t="inlineStr">
        <is>
          <t>Act_OBTP_OBT150125080609-Wien Kledering_080609_623</t>
        </is>
      </c>
      <c r="C1840" s="3" t="inlineStr">
        <is>
          <t>OBT150125080609-Wien Kledering</t>
        </is>
      </c>
      <c r="D1840" s="9" t="n">
        <v>257</v>
      </c>
      <c r="E1840" s="3" t="n"/>
      <c r="F1840" s="3" t="n"/>
      <c r="G1840" s="9" t="n"/>
      <c r="H1840" s="10" t="n">
        <v>45672.33760416666</v>
      </c>
      <c r="I1840" s="10" t="n">
        <v>45672.34275462963</v>
      </c>
      <c r="J1840" s="10" t="n">
        <v>45672.38737268518</v>
      </c>
      <c r="K1840" s="11" t="n">
        <v>0.04461805555555556</v>
      </c>
      <c r="L1840" s="13" t="n"/>
    </row>
    <row r="1841">
      <c r="A1841" s="3" t="inlineStr">
        <is>
          <t>OutboundTrainPreparation</t>
        </is>
      </c>
      <c r="B1841" s="3" t="inlineStr">
        <is>
          <t>Act_OBTP_OBT150125084204-Wien Kledering_084204_621</t>
        </is>
      </c>
      <c r="C1841" s="3" t="inlineStr">
        <is>
          <t>OBT150125084204-Wien Kledering</t>
        </is>
      </c>
      <c r="D1841" s="9" t="n">
        <v>374.1</v>
      </c>
      <c r="E1841" s="3" t="n"/>
      <c r="F1841" s="3" t="n"/>
      <c r="G1841" s="9" t="n"/>
      <c r="H1841" s="10" t="n">
        <v>45672.3625462963</v>
      </c>
      <c r="I1841" s="10" t="n">
        <v>45672.36418981481</v>
      </c>
      <c r="J1841" s="10" t="n">
        <v>45672.42913194445</v>
      </c>
      <c r="K1841" s="11" t="n">
        <v>0.06494212962962963</v>
      </c>
      <c r="L1841" s="13" t="n"/>
    </row>
    <row r="1842">
      <c r="A1842" s="3" t="inlineStr">
        <is>
          <t>OutboundTrainPreparation</t>
        </is>
      </c>
      <c r="B1842" s="3" t="inlineStr">
        <is>
          <t>Act_OBTP_OBT150125092356-Pitten (Hamburger)_092356_619</t>
        </is>
      </c>
      <c r="C1842" s="3" t="inlineStr">
        <is>
          <t>OBT150125092356-Pitten (Hamburger)</t>
        </is>
      </c>
      <c r="D1842" s="9" t="n">
        <v>108.7</v>
      </c>
      <c r="E1842" s="3" t="n"/>
      <c r="F1842" s="3" t="n"/>
      <c r="G1842" s="9" t="n"/>
      <c r="H1842" s="10" t="n">
        <v>45672.39162037037</v>
      </c>
      <c r="I1842" s="10" t="n">
        <v>45672.39465277778</v>
      </c>
      <c r="J1842" s="10" t="n">
        <v>45672.41353009259</v>
      </c>
      <c r="K1842" s="11" t="n">
        <v>0.01887731481481482</v>
      </c>
      <c r="L1842" s="13" t="n"/>
    </row>
    <row r="1843">
      <c r="A1843" s="3" t="inlineStr">
        <is>
          <t>OutboundTrainPreparation</t>
        </is>
      </c>
      <c r="B1843" s="3" t="inlineStr">
        <is>
          <t>Act_OBTP_OBT150125094220-Wien Kledering_094220_617</t>
        </is>
      </c>
      <c r="C1843" s="3" t="inlineStr">
        <is>
          <t>OBT150125094220-Wien Kledering</t>
        </is>
      </c>
      <c r="D1843" s="9" t="n">
        <v>281.4</v>
      </c>
      <c r="E1843" s="3" t="n"/>
      <c r="F1843" s="3" t="n"/>
      <c r="G1843" s="9" t="n"/>
      <c r="H1843" s="10" t="n">
        <v>45672.40439814814</v>
      </c>
      <c r="I1843" s="10" t="n">
        <v>45672.41065972222</v>
      </c>
      <c r="J1843" s="10" t="n">
        <v>45672.45951388889</v>
      </c>
      <c r="K1843" s="11" t="n">
        <v>0.04885416666666666</v>
      </c>
      <c r="L1843" s="13" t="n"/>
    </row>
    <row r="1844">
      <c r="A1844" s="3" t="inlineStr">
        <is>
          <t>OutboundTrainPreparation</t>
        </is>
      </c>
      <c r="B1844" s="3" t="inlineStr">
        <is>
          <t>Act_OBTP_OBT150125101800-Felixdorf/Sollenau (Bundesheer, Maba)_101800_609</t>
        </is>
      </c>
      <c r="C1844" s="3" t="inlineStr">
        <is>
          <t>OBT150125101800-Felixdorf/Sollenau (Bundesheer, Maba)</t>
        </is>
      </c>
      <c r="D1844" s="9" t="n">
        <v>114.8</v>
      </c>
      <c r="E1844" s="3" t="n"/>
      <c r="F1844" s="3" t="n"/>
      <c r="G1844" s="9" t="n"/>
      <c r="H1844" s="10" t="n">
        <v>45672.42916666667</v>
      </c>
      <c r="I1844" s="10" t="n">
        <v>45672.43086805556</v>
      </c>
      <c r="J1844" s="10" t="n">
        <v>45672.45079861111</v>
      </c>
      <c r="K1844" s="11" t="n">
        <v>0.01993055555555556</v>
      </c>
      <c r="L1844" s="13" t="n"/>
    </row>
    <row r="1845">
      <c r="A1845" s="3" t="inlineStr">
        <is>
          <t>OutboundTrainPreparation</t>
        </is>
      </c>
      <c r="B1845" s="3" t="inlineStr">
        <is>
          <t>Act_OBTP_OBT150125101848-Wien Kledering_101848_623</t>
        </is>
      </c>
      <c r="C1845" s="3" t="inlineStr">
        <is>
          <t>OBT150125101848-Wien Kledering</t>
        </is>
      </c>
      <c r="D1845" s="9" t="n">
        <v>252.6</v>
      </c>
      <c r="E1845" s="3" t="n"/>
      <c r="F1845" s="3" t="n"/>
      <c r="G1845" s="9" t="n"/>
      <c r="H1845" s="10" t="n">
        <v>45672.42972222222</v>
      </c>
      <c r="I1845" s="10" t="n">
        <v>45672.43137731482</v>
      </c>
      <c r="J1845" s="10" t="n">
        <v>45672.47523148148</v>
      </c>
      <c r="K1845" s="11" t="n">
        <v>0.04385416666666667</v>
      </c>
      <c r="L1845" s="13" t="n"/>
    </row>
    <row r="1846">
      <c r="A1846" s="3" t="inlineStr">
        <is>
          <t>OutboundTrainPreparation</t>
        </is>
      </c>
      <c r="B1846" s="3" t="inlineStr">
        <is>
          <t>Act_OBTP_OBT150125131431-Wien Kledering_131431_623</t>
        </is>
      </c>
      <c r="C1846" s="3" t="inlineStr">
        <is>
          <t>OBT150125131431-Wien Kledering</t>
        </is>
      </c>
      <c r="D1846" s="9" t="n">
        <v>120.9</v>
      </c>
      <c r="E1846" s="3" t="n"/>
      <c r="F1846" s="3" t="n"/>
      <c r="G1846" s="9" t="n"/>
      <c r="H1846" s="10" t="n">
        <v>45672.55174768518</v>
      </c>
      <c r="I1846" s="10" t="n">
        <v>45672.55261574074</v>
      </c>
      <c r="J1846" s="10" t="n">
        <v>45672.57359953703</v>
      </c>
      <c r="K1846" s="11" t="n">
        <v>0.0209837962962963</v>
      </c>
      <c r="L1846" s="13" t="n"/>
    </row>
    <row r="1847">
      <c r="A1847" s="3" t="inlineStr">
        <is>
          <t>OutboundTrainPreparation</t>
        </is>
      </c>
      <c r="B1847" s="3" t="inlineStr">
        <is>
          <t>Act_OBTP_OBT150125154642-Wr. Neustadt (Hödlmayr)_154642_625</t>
        </is>
      </c>
      <c r="C1847" s="3" t="inlineStr">
        <is>
          <t>OBT150125154642-Wr. Neustadt (Hödlmayr)</t>
        </is>
      </c>
      <c r="D1847" s="9" t="n">
        <v>189</v>
      </c>
      <c r="E1847" s="3" t="n"/>
      <c r="F1847" s="3" t="n"/>
      <c r="G1847" s="9" t="n"/>
      <c r="H1847" s="10" t="n">
        <v>45672.65743055556</v>
      </c>
      <c r="I1847" s="10" t="n">
        <v>45672.65829861111</v>
      </c>
      <c r="J1847" s="10" t="n">
        <v>45672.69111111111</v>
      </c>
      <c r="K1847" s="11" t="n">
        <v>0.0328125</v>
      </c>
      <c r="L1847" s="13" t="n"/>
    </row>
    <row r="1848">
      <c r="A1848" s="3" t="inlineStr">
        <is>
          <t>OutboundTrainPreparation</t>
        </is>
      </c>
      <c r="B1848" s="3" t="inlineStr">
        <is>
          <t>Act_OBTP_OBT150125155826-Other sidings north_155826_615</t>
        </is>
      </c>
      <c r="C1848" s="3" t="inlineStr">
        <is>
          <t>OBT150125155826-Other sidings north</t>
        </is>
      </c>
      <c r="D1848" s="9" t="n">
        <v>102.8</v>
      </c>
      <c r="E1848" s="3" t="n"/>
      <c r="F1848" s="3" t="n"/>
      <c r="G1848" s="9" t="n"/>
      <c r="H1848" s="10" t="n">
        <v>45672.6655787037</v>
      </c>
      <c r="I1848" s="10" t="n">
        <v>45672.66721064815</v>
      </c>
      <c r="J1848" s="10" t="n">
        <v>45672.68505787037</v>
      </c>
      <c r="K1848" s="11" t="n">
        <v>0.01784722222222222</v>
      </c>
      <c r="L1848" s="13" t="n"/>
    </row>
    <row r="1849">
      <c r="A1849" s="3" t="inlineStr">
        <is>
          <t>OutboundTrainPreparation</t>
        </is>
      </c>
      <c r="B1849" s="3" t="inlineStr">
        <is>
          <t>Act_OBTP_OBT150125160356-Neudörfl (FunderMax)_160356_606</t>
        </is>
      </c>
      <c r="C1849" s="3" t="inlineStr">
        <is>
          <t>OBT150125160356-Neudörfl (FunderMax)</t>
        </is>
      </c>
      <c r="D1849" s="9" t="n">
        <v>223.9</v>
      </c>
      <c r="E1849" s="3" t="n"/>
      <c r="F1849" s="3" t="n"/>
      <c r="G1849" s="9" t="n"/>
      <c r="H1849" s="10" t="n">
        <v>45672.66939814815</v>
      </c>
      <c r="I1849" s="10" t="n">
        <v>45672.67197916667</v>
      </c>
      <c r="J1849" s="10" t="n">
        <v>45672.71085648148</v>
      </c>
      <c r="K1849" s="11" t="n">
        <v>0.03887731481481482</v>
      </c>
      <c r="L1849" s="13" t="n"/>
    </row>
    <row r="1850">
      <c r="A1850" s="3" t="inlineStr">
        <is>
          <t>OutboundTrainPreparation</t>
        </is>
      </c>
      <c r="B1850" s="3" t="inlineStr">
        <is>
          <t>Act_OBTP_OBT150125160509-Wien Kledering_160509_617</t>
        </is>
      </c>
      <c r="C1850" s="3" t="inlineStr">
        <is>
          <t>OBT150125160509-Wien Kledering</t>
        </is>
      </c>
      <c r="D1850" s="9" t="n">
        <v>110.2</v>
      </c>
      <c r="E1850" s="3" t="n"/>
      <c r="F1850" s="3" t="n"/>
      <c r="G1850" s="9" t="n"/>
      <c r="H1850" s="10" t="n">
        <v>45672.67024305555</v>
      </c>
      <c r="I1850" s="10" t="n">
        <v>45672.68674768518</v>
      </c>
      <c r="J1850" s="10" t="n">
        <v>45672.70587962963</v>
      </c>
      <c r="K1850" s="11" t="n">
        <v>0.01913194444444444</v>
      </c>
      <c r="L1850" s="13" t="n"/>
    </row>
    <row r="1851">
      <c r="A1851" s="3" t="inlineStr">
        <is>
          <t>OutboundTrainPreparation</t>
        </is>
      </c>
      <c r="B1851" s="3" t="inlineStr">
        <is>
          <t>Act_OBTP_OBT150125173247-Wien Kledering_173247_615</t>
        </is>
      </c>
      <c r="C1851" s="3" t="inlineStr">
        <is>
          <t>OBT150125173247-Wien Kledering</t>
        </is>
      </c>
      <c r="D1851" s="9" t="n">
        <v>325.4</v>
      </c>
      <c r="E1851" s="3" t="n"/>
      <c r="F1851" s="3" t="n"/>
      <c r="G1851" s="9" t="n"/>
      <c r="H1851" s="10" t="n">
        <v>45672.73109953704</v>
      </c>
      <c r="I1851" s="10" t="n">
        <v>45672.73196759259</v>
      </c>
      <c r="J1851" s="10" t="n">
        <v>45672.78846064815</v>
      </c>
      <c r="K1851" s="11" t="n">
        <v>0.05649305555555555</v>
      </c>
      <c r="L1851" s="13" t="n"/>
    </row>
    <row r="1852">
      <c r="A1852" s="3" t="inlineStr">
        <is>
          <t>OutboundTrainPreparation</t>
        </is>
      </c>
      <c r="B1852" s="3" t="inlineStr">
        <is>
          <t>Act_OBTP_OBT150125181910-Pitten (Hamburger)_181910_619</t>
        </is>
      </c>
      <c r="C1852" s="3" t="inlineStr">
        <is>
          <t>OBT150125181910-Pitten (Hamburger)</t>
        </is>
      </c>
      <c r="D1852" s="9" t="n">
        <v>116.9</v>
      </c>
      <c r="E1852" s="3" t="n"/>
      <c r="F1852" s="3" t="n"/>
      <c r="G1852" s="9" t="n"/>
      <c r="H1852" s="10" t="n">
        <v>45672.76331018518</v>
      </c>
      <c r="I1852" s="10" t="n">
        <v>45672.76415509259</v>
      </c>
      <c r="J1852" s="10" t="n">
        <v>45672.78445601852</v>
      </c>
      <c r="K1852" s="11" t="n">
        <v>0.02030092592592593</v>
      </c>
      <c r="L1852" s="13" t="n"/>
    </row>
    <row r="1853">
      <c r="A1853" s="3" t="inlineStr">
        <is>
          <t>OutboundTrainPreparation</t>
        </is>
      </c>
      <c r="B1853" s="3" t="inlineStr">
        <is>
          <t>Act_OBTP_OBT150125182201-Neunkirchen (loading tracks)_182201_607</t>
        </is>
      </c>
      <c r="C1853" s="3" t="inlineStr">
        <is>
          <t>OBT150125182201-Neunkirchen (loading tracks)</t>
        </is>
      </c>
      <c r="D1853" s="9" t="n">
        <v>118.5</v>
      </c>
      <c r="E1853" s="3" t="n"/>
      <c r="F1853" s="3" t="n"/>
      <c r="G1853" s="9" t="n"/>
      <c r="H1853" s="10" t="n">
        <v>45672.76528935185</v>
      </c>
      <c r="I1853" s="10" t="n">
        <v>45672.7783449074</v>
      </c>
      <c r="J1853" s="10" t="n">
        <v>45672.79892361111</v>
      </c>
      <c r="K1853" s="11" t="n">
        <v>0.0205787037037037</v>
      </c>
      <c r="L1853" s="13" t="n"/>
    </row>
    <row r="1854">
      <c r="A1854" s="3" t="inlineStr">
        <is>
          <t>OutboundTrainPreparation</t>
        </is>
      </c>
      <c r="B1854" s="3" t="inlineStr">
        <is>
          <t>Act_OBTP_OBT150125183815-Ebenfurth (beet loading)_183815_627</t>
        </is>
      </c>
      <c r="C1854" s="3" t="inlineStr">
        <is>
          <t>OBT150125183815-Ebenfurth (beet loading)</t>
        </is>
      </c>
      <c r="D1854" s="9" t="n">
        <v>125.9</v>
      </c>
      <c r="E1854" s="3" t="n"/>
      <c r="F1854" s="3" t="n"/>
      <c r="G1854" s="9" t="n"/>
      <c r="H1854" s="10" t="n">
        <v>45672.7765625</v>
      </c>
      <c r="I1854" s="10" t="n">
        <v>45672.7861574074</v>
      </c>
      <c r="J1854" s="10" t="n">
        <v>45672.80800925926</v>
      </c>
      <c r="K1854" s="11" t="n">
        <v>0.02185185185185185</v>
      </c>
      <c r="L1854" s="13" t="n"/>
    </row>
    <row r="1855">
      <c r="A1855" s="3" t="inlineStr">
        <is>
          <t>OutboundTrainPreparation</t>
        </is>
      </c>
      <c r="B1855" s="3" t="inlineStr">
        <is>
          <t>Act_OBTP_OBT160125025835-Neunkirchen (loading tracks)_025835_615</t>
        </is>
      </c>
      <c r="C1855" s="3" t="inlineStr">
        <is>
          <t>OBT160125025835-Neunkirchen (loading tracks)</t>
        </is>
      </c>
      <c r="D1855" s="9" t="n">
        <v>144.8</v>
      </c>
      <c r="E1855" s="3" t="n"/>
      <c r="F1855" s="3" t="n"/>
      <c r="G1855" s="9" t="n"/>
      <c r="H1855" s="10" t="n">
        <v>45673.12401620371</v>
      </c>
      <c r="I1855" s="10" t="n">
        <v>45673.12480324074</v>
      </c>
      <c r="J1855" s="10" t="n">
        <v>45673.14994212963</v>
      </c>
      <c r="K1855" s="11" t="n">
        <v>0.02513888888888889</v>
      </c>
      <c r="L1855" s="13" t="n"/>
    </row>
    <row r="1856">
      <c r="A1856" s="3" t="inlineStr">
        <is>
          <t>OutboundTrainPreparation</t>
        </is>
      </c>
      <c r="B1856" s="3" t="inlineStr">
        <is>
          <t>Act_OBTP_OBT160125063851-Wien Kledering_063851_615</t>
        </is>
      </c>
      <c r="C1856" s="3" t="inlineStr">
        <is>
          <t>OBT160125063851-Wien Kledering</t>
        </is>
      </c>
      <c r="D1856" s="9" t="n">
        <v>297</v>
      </c>
      <c r="E1856" s="3" t="n"/>
      <c r="F1856" s="3" t="n"/>
      <c r="G1856" s="9" t="n"/>
      <c r="H1856" s="10" t="n">
        <v>45673.27697916667</v>
      </c>
      <c r="I1856" s="10" t="n">
        <v>45673.27784722222</v>
      </c>
      <c r="J1856" s="10" t="n">
        <v>45673.32940972222</v>
      </c>
      <c r="K1856" s="11" t="n">
        <v>0.0515625</v>
      </c>
      <c r="L1856" s="13" t="n"/>
    </row>
    <row r="1857">
      <c r="A1857" s="3" t="inlineStr">
        <is>
          <t>OutboundTrainPreparation</t>
        </is>
      </c>
      <c r="B1857" s="3" t="inlineStr">
        <is>
          <t>Act_OBTP_OBT160125072923-Wien Kledering_072923_619</t>
        </is>
      </c>
      <c r="C1857" s="3" t="inlineStr">
        <is>
          <t>OBT160125072923-Wien Kledering</t>
        </is>
      </c>
      <c r="D1857" s="9" t="n">
        <v>126</v>
      </c>
      <c r="E1857" s="3" t="n"/>
      <c r="F1857" s="3" t="n"/>
      <c r="G1857" s="9" t="n"/>
      <c r="H1857" s="10" t="n">
        <v>45673.31207175926</v>
      </c>
      <c r="I1857" s="10" t="n">
        <v>45673.31290509259</v>
      </c>
      <c r="J1857" s="10" t="n">
        <v>45673.33478009259</v>
      </c>
      <c r="K1857" s="11" t="n">
        <v>0.021875</v>
      </c>
      <c r="L1857" s="13" t="n"/>
    </row>
    <row r="1858">
      <c r="A1858" s="3" t="inlineStr">
        <is>
          <t>OutboundTrainPreparation</t>
        </is>
      </c>
      <c r="B1858" s="3" t="inlineStr">
        <is>
          <t>Act_OBTP_OBT160125075109-Pitten (Hamburger)_075109_621</t>
        </is>
      </c>
      <c r="C1858" s="3" t="inlineStr">
        <is>
          <t>OBT160125075109-Pitten (Hamburger)</t>
        </is>
      </c>
      <c r="D1858" s="9" t="n">
        <v>124.4</v>
      </c>
      <c r="E1858" s="3" t="n"/>
      <c r="F1858" s="3" t="n"/>
      <c r="G1858" s="9" t="n"/>
      <c r="H1858" s="10" t="n">
        <v>45673.3271875</v>
      </c>
      <c r="I1858" s="10" t="n">
        <v>45673.33552083333</v>
      </c>
      <c r="J1858" s="10" t="n">
        <v>45673.35712962963</v>
      </c>
      <c r="K1858" s="11" t="n">
        <v>0.0216087962962963</v>
      </c>
      <c r="L1858" s="13" t="n"/>
    </row>
    <row r="1859">
      <c r="A1859" s="3" t="inlineStr">
        <is>
          <t>OutboundTrainPreparation</t>
        </is>
      </c>
      <c r="B1859" s="3" t="inlineStr">
        <is>
          <t>Act_OBTP_OBT160125081022-Ternitz (Schoeller-Bleckmann)_081022_605</t>
        </is>
      </c>
      <c r="C1859" s="3" t="inlineStr">
        <is>
          <t>OBT160125081022-Ternitz (Schoeller-Bleckmann)</t>
        </is>
      </c>
      <c r="D1859" s="9" t="n">
        <v>107.9</v>
      </c>
      <c r="E1859" s="3" t="n"/>
      <c r="F1859" s="3" t="n"/>
      <c r="G1859" s="9" t="n"/>
      <c r="H1859" s="10" t="n">
        <v>45673.3405324074</v>
      </c>
      <c r="I1859" s="10" t="n">
        <v>45673.34136574074</v>
      </c>
      <c r="J1859" s="10" t="n">
        <v>45673.36009259259</v>
      </c>
      <c r="K1859" s="11" t="n">
        <v>0.01872685185185185</v>
      </c>
      <c r="L1859" s="13" t="n"/>
    </row>
    <row r="1860">
      <c r="A1860" s="3" t="inlineStr">
        <is>
          <t>OutboundTrainPreparation</t>
        </is>
      </c>
      <c r="B1860" s="3" t="inlineStr">
        <is>
          <t>Act_OBTP_OBT160125081516-Wien Kledering_081516_615</t>
        </is>
      </c>
      <c r="C1860" s="3" t="inlineStr">
        <is>
          <t>OBT160125081516-Wien Kledering</t>
        </is>
      </c>
      <c r="D1860" s="9" t="n">
        <v>396.6</v>
      </c>
      <c r="E1860" s="3" t="n"/>
      <c r="F1860" s="3" t="n"/>
      <c r="G1860" s="9" t="n"/>
      <c r="H1860" s="10" t="n">
        <v>45673.34393518518</v>
      </c>
      <c r="I1860" s="10" t="n">
        <v>45673.34567129629</v>
      </c>
      <c r="J1860" s="10" t="n">
        <v>45673.41452546296</v>
      </c>
      <c r="K1860" s="11" t="n">
        <v>0.06885416666666666</v>
      </c>
      <c r="L1860" s="13" t="n"/>
    </row>
    <row r="1861">
      <c r="A1861" s="3" t="inlineStr">
        <is>
          <t>OutboundTrainPreparation</t>
        </is>
      </c>
      <c r="B1861" s="3" t="inlineStr">
        <is>
          <t>Act_OBTP_OBT160125092224-St. Veit an der Glan_092224_605</t>
        </is>
      </c>
      <c r="C1861" s="3" t="inlineStr">
        <is>
          <t>OBT160125092224-St. Veit an der Glan</t>
        </is>
      </c>
      <c r="D1861" s="9" t="n">
        <v>208.6</v>
      </c>
      <c r="E1861" s="3" t="n"/>
      <c r="F1861" s="3" t="n"/>
      <c r="G1861" s="9" t="n"/>
      <c r="H1861" s="10" t="n">
        <v>45673.39055555555</v>
      </c>
      <c r="I1861" s="10" t="n">
        <v>45673.39140046296</v>
      </c>
      <c r="J1861" s="10" t="n">
        <v>45673.42761574074</v>
      </c>
      <c r="K1861" s="11" t="n">
        <v>0.03621527777777778</v>
      </c>
      <c r="L1861" s="13" t="n"/>
    </row>
    <row r="1862">
      <c r="A1862" s="3" t="inlineStr">
        <is>
          <t>OutboundTrainPreparation</t>
        </is>
      </c>
      <c r="B1862" s="3" t="inlineStr">
        <is>
          <t>Act_OBTP_OBT160125092526-Wien Kledering_092526_619</t>
        </is>
      </c>
      <c r="C1862" s="3" t="inlineStr">
        <is>
          <t>OBT160125092526-Wien Kledering</t>
        </is>
      </c>
      <c r="D1862" s="9" t="n">
        <v>180.8</v>
      </c>
      <c r="E1862" s="3" t="n"/>
      <c r="F1862" s="3" t="n"/>
      <c r="G1862" s="9" t="n"/>
      <c r="H1862" s="10" t="n">
        <v>45673.39266203704</v>
      </c>
      <c r="I1862" s="10" t="n">
        <v>45673.39427083333</v>
      </c>
      <c r="J1862" s="10" t="n">
        <v>45673.42565972222</v>
      </c>
      <c r="K1862" s="11" t="n">
        <v>0.03138888888888889</v>
      </c>
      <c r="L1862" s="13" t="n"/>
    </row>
    <row r="1863">
      <c r="A1863" s="3" t="inlineStr">
        <is>
          <t>OutboundTrainPreparation</t>
        </is>
      </c>
      <c r="B1863" s="3" t="inlineStr">
        <is>
          <t>Act_OBTP_OBT160125101737-Wr. Neustadt (Hödlmayr)_101737_625</t>
        </is>
      </c>
      <c r="C1863" s="3" t="inlineStr">
        <is>
          <t>OBT160125101737-Wr. Neustadt (Hödlmayr)</t>
        </is>
      </c>
      <c r="D1863" s="9" t="n">
        <v>108</v>
      </c>
      <c r="E1863" s="3" t="n"/>
      <c r="F1863" s="3" t="n"/>
      <c r="G1863" s="9" t="n"/>
      <c r="H1863" s="10" t="n">
        <v>45673.42890046296</v>
      </c>
      <c r="I1863" s="10" t="n">
        <v>45673.43063657408</v>
      </c>
      <c r="J1863" s="10" t="n">
        <v>45673.44938657407</v>
      </c>
      <c r="K1863" s="11" t="n">
        <v>0.01875</v>
      </c>
      <c r="L1863" s="13" t="n"/>
    </row>
    <row r="1864">
      <c r="A1864" s="3" t="inlineStr">
        <is>
          <t>OutboundTrainPreparation</t>
        </is>
      </c>
      <c r="B1864" s="3" t="inlineStr">
        <is>
          <t>Act_OBTP_OBT160125101737-Neudörfl (FunderMax)_101737_617</t>
        </is>
      </c>
      <c r="C1864" s="3" t="inlineStr">
        <is>
          <t>OBT160125101737-Neudörfl (FunderMax)</t>
        </is>
      </c>
      <c r="D1864" s="9" t="n">
        <v>100.5</v>
      </c>
      <c r="E1864" s="3" t="n"/>
      <c r="F1864" s="3" t="n"/>
      <c r="G1864" s="9" t="n"/>
      <c r="H1864" s="10" t="n">
        <v>45673.42890046296</v>
      </c>
      <c r="I1864" s="10" t="n">
        <v>45673.4565162037</v>
      </c>
      <c r="J1864" s="10" t="n">
        <v>45673.47396990741</v>
      </c>
      <c r="K1864" s="11" t="n">
        <v>0.0174537037037037</v>
      </c>
      <c r="L1864" s="13" t="n"/>
    </row>
    <row r="1865">
      <c r="A1865" s="3" t="inlineStr">
        <is>
          <t>OutboundTrainPreparation</t>
        </is>
      </c>
      <c r="B1865" s="3" t="inlineStr">
        <is>
          <t>Act_OBTP_OBT160125102340-Wr. Neustadt Ausfahrbf (Furtenbach)_102340_613</t>
        </is>
      </c>
      <c r="C1865" s="3" t="inlineStr">
        <is>
          <t>OBT160125102340-Wr. Neustadt Ausfahrbf (Furtenbach)</t>
        </is>
      </c>
      <c r="D1865" s="9" t="n">
        <v>317.6</v>
      </c>
      <c r="E1865" s="3" t="n"/>
      <c r="F1865" s="3" t="n"/>
      <c r="G1865" s="9" t="n"/>
      <c r="H1865" s="10" t="n">
        <v>45673.43310185185</v>
      </c>
      <c r="I1865" s="10" t="n">
        <v>45673.543125</v>
      </c>
      <c r="J1865" s="10" t="n">
        <v>45673.59827546297</v>
      </c>
      <c r="K1865" s="11" t="n">
        <v>0.05515046296296296</v>
      </c>
      <c r="L1865" s="13" t="n"/>
    </row>
    <row r="1866">
      <c r="A1866" s="3" t="inlineStr">
        <is>
          <t>OutboundTrainPreparation</t>
        </is>
      </c>
      <c r="B1866" s="3" t="inlineStr">
        <is>
          <t>Act_OBTP_OBT160125105820-Wien Kledering_105820_605</t>
        </is>
      </c>
      <c r="C1866" s="3" t="inlineStr">
        <is>
          <t>OBT160125105820-Wien Kledering</t>
        </is>
      </c>
      <c r="D1866" s="9" t="n">
        <v>338.3</v>
      </c>
      <c r="E1866" s="3" t="n"/>
      <c r="F1866" s="3" t="n"/>
      <c r="G1866" s="9" t="n"/>
      <c r="H1866" s="10" t="n">
        <v>45673.45717592593</v>
      </c>
      <c r="I1866" s="10" t="n">
        <v>45673.61599537037</v>
      </c>
      <c r="J1866" s="10" t="n">
        <v>45673.6747337963</v>
      </c>
      <c r="K1866" s="11" t="n">
        <v>0.05873842592592592</v>
      </c>
      <c r="L1866" s="13" t="n"/>
    </row>
    <row r="1867">
      <c r="A1867" s="3" t="inlineStr">
        <is>
          <t>OutboundTrainPreparation</t>
        </is>
      </c>
      <c r="B1867" s="3" t="inlineStr">
        <is>
          <t>Act_OBTP_OBT160125130303-Wien Kledering_130303_625</t>
        </is>
      </c>
      <c r="C1867" s="3" t="inlineStr">
        <is>
          <t>OBT160125130303-Wien Kledering</t>
        </is>
      </c>
      <c r="D1867" s="9" t="n">
        <v>173</v>
      </c>
      <c r="E1867" s="3" t="n"/>
      <c r="F1867" s="3" t="n"/>
      <c r="G1867" s="9" t="n"/>
      <c r="H1867" s="10" t="n">
        <v>45673.54378472222</v>
      </c>
      <c r="I1867" s="10" t="n">
        <v>45673.6430787037</v>
      </c>
      <c r="J1867" s="10" t="n">
        <v>45673.67310185185</v>
      </c>
      <c r="K1867" s="11" t="n">
        <v>0.03002314814814815</v>
      </c>
      <c r="L1867" s="13" t="n"/>
    </row>
    <row r="1868">
      <c r="A1868" s="3" t="inlineStr">
        <is>
          <t>OutboundTrainPreparation</t>
        </is>
      </c>
      <c r="B1868" s="3" t="inlineStr">
        <is>
          <t>Act_OBTP_OBT160125144759-Wien Kledering_144759_613</t>
        </is>
      </c>
      <c r="C1868" s="3" t="inlineStr">
        <is>
          <t>OBT160125144759-Wien Kledering</t>
        </is>
      </c>
      <c r="D1868" s="9" t="n">
        <v>233.9</v>
      </c>
      <c r="E1868" s="3" t="n"/>
      <c r="F1868" s="3" t="n"/>
      <c r="G1868" s="9" t="n"/>
      <c r="H1868" s="10" t="n">
        <v>45673.61665509259</v>
      </c>
      <c r="I1868" s="10" t="n">
        <v>45673.65523148148</v>
      </c>
      <c r="J1868" s="10" t="n">
        <v>45673.69584490741</v>
      </c>
      <c r="K1868" s="11" t="n">
        <v>0.04061342592592593</v>
      </c>
      <c r="L1868" s="13" t="n"/>
    </row>
    <row r="1869">
      <c r="A1869" s="3" t="inlineStr">
        <is>
          <t>OutboundTrainPreparation</t>
        </is>
      </c>
      <c r="B1869" s="3" t="inlineStr">
        <is>
          <t>Act_OBTP_OBT160125151346-Pitten (Hamburger)_151346_613</t>
        </is>
      </c>
      <c r="C1869" s="3" t="inlineStr">
        <is>
          <t>OBT160125151346-Pitten (Hamburger)</t>
        </is>
      </c>
      <c r="D1869" s="9" t="n">
        <v>171.7</v>
      </c>
      <c r="E1869" s="3" t="n"/>
      <c r="F1869" s="3" t="n"/>
      <c r="G1869" s="9" t="n"/>
      <c r="H1869" s="10" t="n">
        <v>45673.63456018519</v>
      </c>
      <c r="I1869" s="10" t="n">
        <v>45673.68303240741</v>
      </c>
      <c r="J1869" s="10" t="n">
        <v>45673.71283564815</v>
      </c>
      <c r="K1869" s="11" t="n">
        <v>0.02980324074074074</v>
      </c>
      <c r="L1869" s="13" t="n"/>
    </row>
    <row r="1870">
      <c r="A1870" s="3" t="inlineStr">
        <is>
          <t>OutboundTrainPreparation</t>
        </is>
      </c>
      <c r="B1870" s="3" t="inlineStr">
        <is>
          <t>Act_OBTP_OBT160125162643-Wien Kledering_162643_621</t>
        </is>
      </c>
      <c r="C1870" s="3" t="inlineStr">
        <is>
          <t>OBT160125162643-Wien Kledering</t>
        </is>
      </c>
      <c r="D1870" s="9" t="n">
        <v>120.4</v>
      </c>
      <c r="E1870" s="3" t="n"/>
      <c r="F1870" s="3" t="n"/>
      <c r="G1870" s="9" t="n"/>
      <c r="H1870" s="10" t="n">
        <v>45673.68521990741</v>
      </c>
      <c r="I1870" s="10" t="n">
        <v>45673.75186342592</v>
      </c>
      <c r="J1870" s="10" t="n">
        <v>45673.77275462963</v>
      </c>
      <c r="K1870" s="11" t="n">
        <v>0.0208912037037037</v>
      </c>
      <c r="L1870" s="13" t="n"/>
    </row>
    <row r="1871">
      <c r="A1871" s="3" t="inlineStr">
        <is>
          <t>OutboundTrainPreparation</t>
        </is>
      </c>
      <c r="B1871" s="3" t="inlineStr">
        <is>
          <t>Act_OBTP_OBT160125175803-Neunkirchen (loading tracks)_175803_629</t>
        </is>
      </c>
      <c r="C1871" s="3" t="inlineStr">
        <is>
          <t>OBT160125175803-Neunkirchen (loading tracks)</t>
        </is>
      </c>
      <c r="D1871" s="9" t="n">
        <v>126</v>
      </c>
      <c r="E1871" s="3" t="n"/>
      <c r="F1871" s="3" t="n"/>
      <c r="G1871" s="9" t="n"/>
      <c r="H1871" s="10" t="n">
        <v>45673.74864583334</v>
      </c>
      <c r="I1871" s="10" t="n">
        <v>45673.86166666666</v>
      </c>
      <c r="J1871" s="10" t="n">
        <v>45673.88354166667</v>
      </c>
      <c r="K1871" s="11" t="n">
        <v>0.021875</v>
      </c>
      <c r="L1871" s="13" t="n"/>
    </row>
    <row r="1872">
      <c r="A1872" s="3" t="inlineStr">
        <is>
          <t>OutboundTrainPreparation</t>
        </is>
      </c>
      <c r="B1872" s="3" t="inlineStr">
        <is>
          <t>Act_OBTP_OBT160125175833-Pitten (Hamburger)_175833_613</t>
        </is>
      </c>
      <c r="C1872" s="3" t="inlineStr">
        <is>
          <t>OBT160125175833-Pitten (Hamburger)</t>
        </is>
      </c>
      <c r="D1872" s="9" t="n">
        <v>373.3</v>
      </c>
      <c r="E1872" s="3" t="n"/>
      <c r="F1872" s="3" t="n"/>
      <c r="G1872" s="9" t="n"/>
      <c r="H1872" s="10" t="n">
        <v>45673.74899305555</v>
      </c>
      <c r="I1872" s="10" t="n">
        <v>45674.13369212963</v>
      </c>
      <c r="J1872" s="10" t="n">
        <v>45674.19850694444</v>
      </c>
      <c r="K1872" s="11" t="n">
        <v>0.06481481481481481</v>
      </c>
      <c r="L1872" s="13" t="n"/>
    </row>
    <row r="1873">
      <c r="A1873" s="3" t="inlineStr">
        <is>
          <t>OutboundTrainPreparation</t>
        </is>
      </c>
      <c r="B1873" s="3" t="inlineStr">
        <is>
          <t>Act_OBTP_OBT160125203020-Pitten (Hamburger)_203020_625</t>
        </is>
      </c>
      <c r="C1873" s="3" t="inlineStr">
        <is>
          <t>OBT160125203020-Pitten (Hamburger)</t>
        </is>
      </c>
      <c r="D1873" s="9" t="n">
        <v>108.7</v>
      </c>
      <c r="E1873" s="3" t="n"/>
      <c r="F1873" s="3" t="n"/>
      <c r="G1873" s="9" t="n"/>
      <c r="H1873" s="10" t="n">
        <v>45673.85439814815</v>
      </c>
      <c r="I1873" s="10" t="n">
        <v>45674.19945601852</v>
      </c>
      <c r="J1873" s="10" t="n">
        <v>45674.21833333333</v>
      </c>
      <c r="K1873" s="11" t="n">
        <v>0.01887731481481482</v>
      </c>
      <c r="L1873" s="13" t="n"/>
    </row>
    <row r="1874">
      <c r="A1874" s="3" t="inlineStr">
        <is>
          <t>OutboundTrainPreparation</t>
        </is>
      </c>
      <c r="B1874" s="3" t="inlineStr">
        <is>
          <t>Act_OBTP_OBT160125203907-Wr. Neustadt (Hödlmayr)_203907_617</t>
        </is>
      </c>
      <c r="C1874" s="3" t="inlineStr">
        <is>
          <t>OBT160125203907-Wr. Neustadt (Hödlmayr)</t>
        </is>
      </c>
      <c r="D1874" s="9" t="n">
        <v>108</v>
      </c>
      <c r="E1874" s="3" t="n"/>
      <c r="F1874" s="3" t="n"/>
      <c r="G1874" s="9" t="n"/>
      <c r="H1874" s="10" t="n">
        <v>45673.86049768519</v>
      </c>
      <c r="I1874" s="10" t="n">
        <v>45674.2815162037</v>
      </c>
      <c r="J1874" s="10" t="n">
        <v>45674.3002662037</v>
      </c>
      <c r="K1874" s="11" t="n">
        <v>0.01875</v>
      </c>
      <c r="L1874" s="13" t="n"/>
    </row>
    <row r="1875">
      <c r="A1875" s="3" t="inlineStr">
        <is>
          <t>OutboundTrainPreparation</t>
        </is>
      </c>
      <c r="B1875" s="3" t="inlineStr">
        <is>
          <t>Act_OBTP_OBT160125204054-Ebenfurth (beet loading)_204054_607</t>
        </is>
      </c>
      <c r="C1875" s="3" t="inlineStr">
        <is>
          <t>OBT160125204054-Ebenfurth (beet loading)</t>
        </is>
      </c>
      <c r="D1875" s="9" t="n">
        <v>110.2</v>
      </c>
      <c r="E1875" s="3" t="n"/>
      <c r="F1875" s="3" t="n"/>
      <c r="G1875" s="9" t="n"/>
      <c r="H1875" s="10" t="n">
        <v>45673.86173611111</v>
      </c>
      <c r="I1875" s="10" t="n">
        <v>45674.32607638889</v>
      </c>
      <c r="J1875" s="10" t="n">
        <v>45674.34520833333</v>
      </c>
      <c r="K1875" s="11" t="n">
        <v>0.01913194444444444</v>
      </c>
      <c r="L1875" s="13" t="n"/>
    </row>
    <row r="1876">
      <c r="A1876" s="3" t="inlineStr">
        <is>
          <t>OutboundTrainPreparation</t>
        </is>
      </c>
      <c r="B1876" s="3" t="inlineStr">
        <is>
          <t>Act_OBTP_OBT170125030753-Neunkirchen (loading tracks)_030753_605</t>
        </is>
      </c>
      <c r="C1876" s="3" t="inlineStr">
        <is>
          <t>OBT170125030753-Neunkirchen (loading tracks)</t>
        </is>
      </c>
      <c r="D1876" s="9" t="n">
        <v>165.8</v>
      </c>
      <c r="E1876" s="3" t="n"/>
      <c r="F1876" s="3" t="n"/>
      <c r="G1876" s="9" t="n"/>
      <c r="H1876" s="10" t="n">
        <v>45674.13047453704</v>
      </c>
      <c r="I1876" s="10" t="n">
        <v>45674.32890046296</v>
      </c>
      <c r="J1876" s="10" t="n">
        <v>45674.35768518518</v>
      </c>
      <c r="K1876" s="11" t="n">
        <v>0.02878472222222222</v>
      </c>
      <c r="L1876" s="13" t="n"/>
    </row>
    <row r="1877">
      <c r="A1877" s="3" t="inlineStr">
        <is>
          <t>OutboundTrainPreparation</t>
        </is>
      </c>
      <c r="B1877" s="3" t="inlineStr">
        <is>
          <t>Act_OBTP_OBT170125031540-Other sidings south_031540_609</t>
        </is>
      </c>
      <c r="C1877" s="3" t="inlineStr">
        <is>
          <t>OBT170125031540-Other sidings south</t>
        </is>
      </c>
      <c r="D1877" s="9" t="n">
        <v>134.3</v>
      </c>
      <c r="E1877" s="3" t="n"/>
      <c r="F1877" s="3" t="n"/>
      <c r="G1877" s="9" t="n"/>
      <c r="H1877" s="10" t="n">
        <v>45674.13587962963</v>
      </c>
      <c r="I1877" s="10" t="n">
        <v>45674.34686342593</v>
      </c>
      <c r="J1877" s="10" t="n">
        <v>45674.37018518519</v>
      </c>
      <c r="K1877" s="11" t="n">
        <v>0.02332175925925926</v>
      </c>
      <c r="L1877" s="13" t="n"/>
    </row>
    <row r="1878">
      <c r="A1878" s="3" t="inlineStr">
        <is>
          <t>OutboundTrainPreparation</t>
        </is>
      </c>
      <c r="B1878" s="3" t="inlineStr">
        <is>
          <t>Act_OBTP_OBT170125044950-Neudörfl (FunderMax)_044950_619</t>
        </is>
      </c>
      <c r="C1878" s="3" t="inlineStr">
        <is>
          <t>OBT170125044950-Neudörfl (FunderMax)</t>
        </is>
      </c>
      <c r="D1878" s="9" t="n">
        <v>574.1</v>
      </c>
      <c r="E1878" s="3" t="n"/>
      <c r="F1878" s="3" t="n"/>
      <c r="G1878" s="9" t="n"/>
      <c r="H1878" s="10" t="n">
        <v>45674.20127314814</v>
      </c>
      <c r="I1878" s="10" t="n">
        <v>45674.37914351852</v>
      </c>
      <c r="J1878" s="10" t="n">
        <v>45674.47880787037</v>
      </c>
      <c r="K1878" s="11" t="n">
        <v>0.09966435185185185</v>
      </c>
      <c r="L1878" s="13" t="n"/>
    </row>
    <row r="1879">
      <c r="A1879" s="3" t="inlineStr">
        <is>
          <t>OutboundTrainPreparation</t>
        </is>
      </c>
      <c r="B1879" s="3" t="inlineStr">
        <is>
          <t>Act_OBTP_OBT170125064600-Wien Kledering_064600_613</t>
        </is>
      </c>
      <c r="C1879" s="3" t="inlineStr">
        <is>
          <t>OBT170125064600-Wien Kledering</t>
        </is>
      </c>
      <c r="D1879" s="9" t="n">
        <v>297</v>
      </c>
      <c r="E1879" s="3" t="n"/>
      <c r="F1879" s="3" t="n"/>
      <c r="G1879" s="9" t="n"/>
      <c r="H1879" s="10" t="n">
        <v>45674.28194444445</v>
      </c>
      <c r="I1879" s="10" t="n">
        <v>45674.39969907407</v>
      </c>
      <c r="J1879" s="10" t="n">
        <v>45674.45126157408</v>
      </c>
      <c r="K1879" s="11" t="n">
        <v>0.0515625</v>
      </c>
      <c r="L1879" s="13" t="n"/>
    </row>
    <row r="1880">
      <c r="A1880" s="3" t="inlineStr">
        <is>
          <t>OutboundTrainPreparation</t>
        </is>
      </c>
      <c r="B1880" s="3" t="inlineStr">
        <is>
          <t>Act_OBTP_OBT170125073030-Other sidings north_073030_606</t>
        </is>
      </c>
      <c r="C1880" s="3" t="inlineStr">
        <is>
          <t>OBT170125073030-Other sidings north</t>
        </is>
      </c>
      <c r="D1880" s="9" t="n">
        <v>134.3</v>
      </c>
      <c r="E1880" s="3" t="n"/>
      <c r="F1880" s="3" t="n"/>
      <c r="G1880" s="9" t="n"/>
      <c r="H1880" s="10" t="n">
        <v>45674.31284722222</v>
      </c>
      <c r="I1880" s="10" t="n">
        <v>45674.43931712963</v>
      </c>
      <c r="J1880" s="10" t="n">
        <v>45674.46262731482</v>
      </c>
      <c r="K1880" s="11" t="n">
        <v>0.02331018518518518</v>
      </c>
      <c r="L1880" s="13" t="n"/>
    </row>
    <row r="1881">
      <c r="A1881" s="3" t="inlineStr">
        <is>
          <t>OutboundTrainPreparation</t>
        </is>
      </c>
      <c r="B1881" s="3" t="inlineStr">
        <is>
          <t>Act_OBTP_OBT170125073211-Pitten (Hamburger)_073211_625</t>
        </is>
      </c>
      <c r="C1881" s="3" t="inlineStr">
        <is>
          <t>OBT170125073211-Pitten (Hamburger)</t>
        </is>
      </c>
      <c r="D1881" s="9" t="n">
        <v>147.7</v>
      </c>
      <c r="E1881" s="3" t="n"/>
      <c r="F1881" s="3" t="n"/>
      <c r="G1881" s="9" t="n"/>
      <c r="H1881" s="10" t="n">
        <v>45674.3140162037</v>
      </c>
      <c r="I1881" s="10" t="n">
        <v>45674.54545138889</v>
      </c>
      <c r="J1881" s="10" t="n">
        <v>45674.57109953704</v>
      </c>
      <c r="K1881" s="11" t="n">
        <v>0.02564814814814815</v>
      </c>
      <c r="L1881" s="13" t="n"/>
    </row>
    <row r="1882">
      <c r="A1882" s="3" t="inlineStr">
        <is>
          <t>OutboundTrainPreparation</t>
        </is>
      </c>
      <c r="B1882" s="3" t="inlineStr">
        <is>
          <t>Act_OBTP_OBT170125073842-St. Veit an der Glan_073842_615</t>
        </is>
      </c>
      <c r="C1882" s="3" t="inlineStr">
        <is>
          <t>OBT170125073842-St. Veit an der Glan</t>
        </is>
      </c>
      <c r="D1882" s="9" t="n">
        <v>134.3</v>
      </c>
      <c r="E1882" s="3" t="n"/>
      <c r="F1882" s="3" t="n"/>
      <c r="G1882" s="9" t="n"/>
      <c r="H1882" s="10" t="n">
        <v>45674.31854166667</v>
      </c>
      <c r="I1882" s="10" t="n">
        <v>45674.65956018519</v>
      </c>
      <c r="J1882" s="10" t="n">
        <v>45674.68287037037</v>
      </c>
      <c r="K1882" s="11" t="n">
        <v>0.02331018518518518</v>
      </c>
      <c r="L1882" s="13" t="n"/>
    </row>
    <row r="1883">
      <c r="A1883" s="3" t="inlineStr">
        <is>
          <t>OutboundTrainPreparation</t>
        </is>
      </c>
      <c r="B1883" s="3" t="inlineStr">
        <is>
          <t>Act_OBTP_OBT170125075244-Ternitz (Schoeller-Bleckmann)_075244_621</t>
        </is>
      </c>
      <c r="C1883" s="3" t="inlineStr">
        <is>
          <t>OBT170125075244-Ternitz (Schoeller-Bleckmann)</t>
        </is>
      </c>
      <c r="D1883" s="9" t="n">
        <v>141</v>
      </c>
      <c r="E1883" s="3" t="n"/>
      <c r="F1883" s="3" t="n"/>
      <c r="G1883" s="9" t="n"/>
      <c r="H1883" s="10" t="n">
        <v>45674.32828703704</v>
      </c>
      <c r="I1883" s="10" t="n">
        <v>45674.74086805555</v>
      </c>
      <c r="J1883" s="10" t="n">
        <v>45674.76534722222</v>
      </c>
      <c r="K1883" s="11" t="n">
        <v>0.02447916666666667</v>
      </c>
      <c r="L1883" s="13" t="n"/>
    </row>
    <row r="1884">
      <c r="A1884" s="3" t="inlineStr">
        <is>
          <t>OutboundTrainPreparation</t>
        </is>
      </c>
      <c r="B1884" s="3" t="inlineStr">
        <is>
          <t>Act_OBTP_OBT170125075431-Wien Kledering_075431_617</t>
        </is>
      </c>
      <c r="C1884" s="3" t="inlineStr">
        <is>
          <t>OBT170125075431-Wien Kledering</t>
        </is>
      </c>
      <c r="D1884" s="9" t="n">
        <v>339.8</v>
      </c>
      <c r="E1884" s="3" t="n"/>
      <c r="F1884" s="3" t="n"/>
      <c r="G1884" s="9" t="n"/>
      <c r="H1884" s="10" t="n">
        <v>45674.32952546296</v>
      </c>
      <c r="I1884" s="10" t="n">
        <v>45674.76011574074</v>
      </c>
      <c r="J1884" s="10" t="n">
        <v>45674.81912037037</v>
      </c>
      <c r="K1884" s="11" t="n">
        <v>0.05900462962962963</v>
      </c>
      <c r="L1884" s="13" t="n"/>
    </row>
    <row r="1885">
      <c r="A1885" s="3" t="inlineStr">
        <is>
          <t>OutboundTrainPreparation</t>
        </is>
      </c>
      <c r="B1885" s="3" t="inlineStr">
        <is>
          <t>Act_OBTP_OBT170125081922-Steinabrückl/Wöllersdorf_081922_623</t>
        </is>
      </c>
      <c r="C1885" s="3" t="inlineStr">
        <is>
          <t>OBT170125081922-Steinabrückl/Wöllersdorf</t>
        </is>
      </c>
      <c r="D1885" s="9" t="n">
        <v>350.8</v>
      </c>
      <c r="E1885" s="3" t="n"/>
      <c r="F1885" s="3" t="n"/>
      <c r="G1885" s="9" t="n"/>
      <c r="H1885" s="10" t="n">
        <v>45674.34678240741</v>
      </c>
      <c r="I1885" s="10" t="n">
        <v>45674.86785879629</v>
      </c>
      <c r="J1885" s="10" t="n">
        <v>45674.92876157408</v>
      </c>
      <c r="K1885" s="11" t="n">
        <v>0.06090277777777778</v>
      </c>
      <c r="L1885" s="13" t="n"/>
    </row>
    <row r="1886">
      <c r="A1886" s="3" t="inlineStr">
        <is>
          <t>OutboundTrainPreparation</t>
        </is>
      </c>
      <c r="B1886" s="3" t="inlineStr">
        <is>
          <t>Act_OBTP_OBT170125090658-St. Veit an der Glan_090658_615</t>
        </is>
      </c>
      <c r="C1886" s="3" t="inlineStr">
        <is>
          <t>OBT170125090658-St. Veit an der Glan</t>
        </is>
      </c>
      <c r="D1886" s="9" t="n">
        <v>173.3</v>
      </c>
      <c r="E1886" s="3" t="n"/>
      <c r="F1886" s="3" t="n"/>
      <c r="G1886" s="9" t="n"/>
      <c r="H1886" s="10" t="n">
        <v>45674.37983796297</v>
      </c>
      <c r="I1886" s="10" t="n">
        <v>45675.03643518518</v>
      </c>
      <c r="J1886" s="10" t="n">
        <v>45675.0665162037</v>
      </c>
      <c r="K1886" s="11" t="n">
        <v>0.03008101851851852</v>
      </c>
      <c r="L1886" s="13" t="n"/>
    </row>
    <row r="1887">
      <c r="A1887" s="3" t="inlineStr">
        <is>
          <t>OutboundTrainPreparation</t>
        </is>
      </c>
      <c r="B1887" s="3" t="inlineStr">
        <is>
          <t>Act_OBTP_OBT170125091546-Pitten (Hamburger)_091546_607</t>
        </is>
      </c>
      <c r="C1887" s="3" t="inlineStr">
        <is>
          <t>OBT170125091546-Pitten (Hamburger)</t>
        </is>
      </c>
      <c r="D1887" s="9" t="n">
        <v>240.6</v>
      </c>
      <c r="E1887" s="3" t="n"/>
      <c r="F1887" s="3" t="n"/>
      <c r="G1887" s="9" t="n"/>
      <c r="H1887" s="10" t="n">
        <v>45674.38594907407</v>
      </c>
      <c r="I1887" s="10" t="n">
        <v>45675.25440972222</v>
      </c>
      <c r="J1887" s="10" t="n">
        <v>45675.29618055555</v>
      </c>
      <c r="K1887" s="11" t="n">
        <v>0.04177083333333333</v>
      </c>
      <c r="L1887" s="13" t="n"/>
    </row>
    <row r="1888">
      <c r="A1888" s="3" t="inlineStr">
        <is>
          <t>OutboundTrainPreparation</t>
        </is>
      </c>
      <c r="B1888" s="3" t="inlineStr">
        <is>
          <t>Act_OBTP_OBT170125093600-Gloggnitz_093600_627</t>
        </is>
      </c>
      <c r="C1888" s="3" t="inlineStr">
        <is>
          <t>OBT170125093600-Gloggnitz</t>
        </is>
      </c>
      <c r="D1888" s="9" t="n">
        <v>159.7</v>
      </c>
      <c r="E1888" s="3" t="n"/>
      <c r="F1888" s="3" t="n"/>
      <c r="G1888" s="9" t="n"/>
      <c r="H1888" s="10" t="n">
        <v>45674.4</v>
      </c>
      <c r="I1888" s="10" t="n">
        <v>45675.30059027778</v>
      </c>
      <c r="J1888" s="10" t="n">
        <v>45675.32832175926</v>
      </c>
      <c r="K1888" s="11" t="n">
        <v>0.02773148148148148</v>
      </c>
      <c r="L1888" s="13" t="n"/>
    </row>
    <row r="1889">
      <c r="A1889" s="3" t="inlineStr">
        <is>
          <t>OutboundTrainPreparation</t>
        </is>
      </c>
      <c r="B1889" s="3" t="inlineStr">
        <is>
          <t>Act_OBTP_OBT170125093812-Neudörfl (FunderMax)_093812_629</t>
        </is>
      </c>
      <c r="C1889" s="3" t="inlineStr">
        <is>
          <t>OBT170125093812-Neudörfl (FunderMax)</t>
        </is>
      </c>
      <c r="D1889" s="9" t="n">
        <v>184.5</v>
      </c>
      <c r="E1889" s="3" t="n"/>
      <c r="F1889" s="3" t="n"/>
      <c r="G1889" s="9" t="n"/>
      <c r="H1889" s="10" t="n">
        <v>45674.40152777778</v>
      </c>
      <c r="I1889" s="10" t="n">
        <v>45676.74791666667</v>
      </c>
      <c r="J1889" s="10" t="n">
        <v>45676.77996527778</v>
      </c>
      <c r="K1889" s="11" t="n">
        <v>0.03204861111111111</v>
      </c>
      <c r="L1889" s="13" t="n"/>
    </row>
    <row r="1890">
      <c r="A1890" s="3" t="inlineStr">
        <is>
          <t>OutboundTrainPreparation</t>
        </is>
      </c>
      <c r="B1890" s="3" t="inlineStr">
        <is>
          <t>Act_OBTP_OBT170125130627-Wien Kledering_130627_613</t>
        </is>
      </c>
      <c r="C1890" s="3" t="inlineStr">
        <is>
          <t>OBT170125130627-Wien Kledering</t>
        </is>
      </c>
      <c r="D1890" s="9" t="n">
        <v>238.4</v>
      </c>
      <c r="E1890" s="3" t="n"/>
      <c r="F1890" s="3" t="n"/>
      <c r="G1890" s="9" t="n"/>
      <c r="H1890" s="10" t="n">
        <v>45674.54614583333</v>
      </c>
      <c r="I1890" s="10" t="n">
        <v>45676.8556712963</v>
      </c>
      <c r="J1890" s="10" t="n">
        <v>45676.89707175926</v>
      </c>
      <c r="K1890" s="11" t="n">
        <v>0.04140046296296297</v>
      </c>
      <c r="L1890" s="13" t="n"/>
    </row>
    <row r="1891">
      <c r="A1891" s="3" t="inlineStr">
        <is>
          <t>OutboundTrainPreparation</t>
        </is>
      </c>
      <c r="B1891" s="3" t="inlineStr">
        <is>
          <t>Act_OBTP_OBT170125155040-Wien Kledering_155040_625</t>
        </is>
      </c>
      <c r="C1891" s="3" t="inlineStr">
        <is>
          <t>OBT170125155040-Wien Kledering</t>
        </is>
      </c>
      <c r="D1891" s="9" t="n">
        <v>220.4</v>
      </c>
      <c r="E1891" s="3" t="n"/>
      <c r="F1891" s="3" t="n"/>
      <c r="G1891" s="9" t="n"/>
      <c r="H1891" s="10" t="n">
        <v>45674.66018518519</v>
      </c>
      <c r="I1891" s="10" t="n">
        <v>45677.12273148148</v>
      </c>
      <c r="J1891" s="10" t="n">
        <v>45677.1609837963</v>
      </c>
      <c r="K1891" s="11" t="n">
        <v>0.03825231481481482</v>
      </c>
      <c r="L1891" s="13" t="n"/>
    </row>
    <row r="1892">
      <c r="A1892" s="3" t="inlineStr">
        <is>
          <t>OutboundTrainPreparation</t>
        </is>
      </c>
      <c r="B1892" s="3" t="inlineStr">
        <is>
          <t>Act_OBTP_OBT170125174751-Wien Kledering_174751_615</t>
        </is>
      </c>
      <c r="C1892" s="3" t="inlineStr">
        <is>
          <t>OBT170125174751-Wien Kledering</t>
        </is>
      </c>
      <c r="D1892" s="9" t="n">
        <v>302.1</v>
      </c>
      <c r="E1892" s="3" t="n"/>
      <c r="F1892" s="3" t="n"/>
      <c r="G1892" s="9" t="n"/>
      <c r="H1892" s="10" t="n">
        <v>45674.7415625</v>
      </c>
      <c r="I1892" s="10" t="n">
        <v>45677.20133101852</v>
      </c>
      <c r="J1892" s="10" t="n">
        <v>45677.25378472222</v>
      </c>
      <c r="K1892" s="11" t="n">
        <v>0.0524537037037037</v>
      </c>
      <c r="L1892" s="13" t="n"/>
    </row>
    <row r="1893">
      <c r="A1893" s="3" t="inlineStr">
        <is>
          <t>OutboundTrainPreparation</t>
        </is>
      </c>
      <c r="B1893" s="3" t="inlineStr">
        <is>
          <t>Act_OBTP_OBT170125181531-Wien Kledering_181531_619</t>
        </is>
      </c>
      <c r="C1893" s="3" t="inlineStr">
        <is>
          <t>OBT170125181531-Wien Kledering</t>
        </is>
      </c>
      <c r="D1893" s="9" t="n">
        <v>110.2</v>
      </c>
      <c r="E1893" s="3" t="n"/>
      <c r="F1893" s="3" t="n"/>
      <c r="G1893" s="9" t="n"/>
      <c r="H1893" s="10" t="n">
        <v>45674.76077546296</v>
      </c>
      <c r="I1893" s="10" t="n">
        <v>45677.25707175926</v>
      </c>
      <c r="J1893" s="10" t="n">
        <v>45677.27619212963</v>
      </c>
      <c r="K1893" s="11" t="n">
        <v>0.01912037037037037</v>
      </c>
      <c r="L1893" s="13" t="n"/>
    </row>
    <row r="1894">
      <c r="A1894" s="3" t="inlineStr">
        <is>
          <t>OutboundTrainPreparation</t>
        </is>
      </c>
      <c r="B1894" s="3" t="inlineStr">
        <is>
          <t>Act_OBTP_OBT170125205009-Ternitz (Schoeller-Bleckmann)_205009_621</t>
        </is>
      </c>
      <c r="C1894" s="3" t="inlineStr">
        <is>
          <t>OBT170125205009-Ternitz (Schoeller-Bleckmann)</t>
        </is>
      </c>
      <c r="D1894" s="9" t="n">
        <v>175.8</v>
      </c>
      <c r="E1894" s="3" t="n"/>
      <c r="F1894" s="3" t="n"/>
      <c r="G1894" s="9" t="n"/>
      <c r="H1894" s="10" t="n">
        <v>45674.86815972222</v>
      </c>
      <c r="I1894" s="10" t="n">
        <v>45677.32125</v>
      </c>
      <c r="J1894" s="10" t="n">
        <v>45677.35177083333</v>
      </c>
      <c r="K1894" s="11" t="n">
        <v>0.03052083333333333</v>
      </c>
      <c r="L1894" s="13" t="n"/>
    </row>
    <row r="1895">
      <c r="A1895" s="3" t="inlineStr">
        <is>
          <t>OutboundTrainPreparation</t>
        </is>
      </c>
      <c r="B1895" s="3" t="inlineStr">
        <is>
          <t>Act_OBTP_OBT180125004751-Pitten (Hamburger)_004751_623</t>
        </is>
      </c>
      <c r="C1895" s="3" t="inlineStr">
        <is>
          <t>OBT180125004751-Pitten (Hamburger)</t>
        </is>
      </c>
      <c r="D1895" s="9" t="n">
        <v>179.2</v>
      </c>
      <c r="E1895" s="3" t="n"/>
      <c r="F1895" s="3" t="n"/>
      <c r="G1895" s="9" t="n"/>
      <c r="H1895" s="10" t="n">
        <v>45675.03322916666</v>
      </c>
      <c r="I1895" s="10" t="n">
        <v>45677.3228125</v>
      </c>
      <c r="J1895" s="10" t="n">
        <v>45677.35392361111</v>
      </c>
      <c r="K1895" s="11" t="n">
        <v>0.03111111111111111</v>
      </c>
      <c r="L1895" s="13" t="n"/>
    </row>
    <row r="1896">
      <c r="A1896" s="3" t="inlineStr">
        <is>
          <t>OutboundTrainPreparation</t>
        </is>
      </c>
      <c r="B1896" s="3" t="inlineStr">
        <is>
          <t>Act_OBTP_OBT180125005504-Neudörfl (FunderMax)_005504_606</t>
        </is>
      </c>
      <c r="C1896" s="3" t="inlineStr">
        <is>
          <t>OBT180125005504-Neudörfl (FunderMax)</t>
        </is>
      </c>
      <c r="D1896" s="9" t="n">
        <v>143.3</v>
      </c>
      <c r="E1896" s="3" t="n"/>
      <c r="F1896" s="3" t="n"/>
      <c r="G1896" s="9" t="n"/>
      <c r="H1896" s="10" t="n">
        <v>45675.03824074074</v>
      </c>
      <c r="I1896" s="10" t="n">
        <v>45677.35517361111</v>
      </c>
      <c r="J1896" s="10" t="n">
        <v>45677.38005787037</v>
      </c>
      <c r="K1896" s="11" t="n">
        <v>0.02488425925925926</v>
      </c>
      <c r="L1896" s="13" t="n"/>
    </row>
    <row r="1897">
      <c r="A1897" s="3" t="inlineStr">
        <is>
          <t>OutboundTrainPreparation</t>
        </is>
      </c>
      <c r="B1897" s="3" t="inlineStr">
        <is>
          <t>Act_OBTP_OBT180125071607-Neudörfl (FunderMax)_071607_615</t>
        </is>
      </c>
      <c r="C1897" s="3" t="inlineStr">
        <is>
          <t>OBT180125071607-Neudörfl (FunderMax)</t>
        </is>
      </c>
      <c r="D1897" s="9" t="n">
        <v>110.3</v>
      </c>
      <c r="E1897" s="3" t="n"/>
      <c r="F1897" s="3" t="n"/>
      <c r="G1897" s="9" t="n"/>
      <c r="H1897" s="10" t="n">
        <v>45675.3028587963</v>
      </c>
      <c r="I1897" s="10" t="n">
        <v>45677.38726851852</v>
      </c>
      <c r="J1897" s="10" t="n">
        <v>45677.40641203704</v>
      </c>
      <c r="K1897" s="11" t="n">
        <v>0.01914351851851852</v>
      </c>
      <c r="L1897" s="13" t="n"/>
    </row>
    <row r="1898">
      <c r="A1898" s="3" t="inlineStr">
        <is>
          <t>OutboundTrainPreparation</t>
        </is>
      </c>
      <c r="B1898" s="3" t="inlineStr">
        <is>
          <t>Act_OBTP_OBT190125175511-Pitten (Hamburger)_175511_627</t>
        </is>
      </c>
      <c r="C1898" s="3" t="inlineStr">
        <is>
          <t>OBT190125175511-Pitten (Hamburger)</t>
        </is>
      </c>
      <c r="D1898" s="9" t="n">
        <v>521.7</v>
      </c>
      <c r="E1898" s="3" t="n"/>
      <c r="F1898" s="3" t="n"/>
      <c r="G1898" s="9" t="n"/>
      <c r="H1898" s="10" t="n">
        <v>45676.74665509259</v>
      </c>
      <c r="I1898" s="10" t="n">
        <v>45677.40931712963</v>
      </c>
      <c r="J1898" s="10" t="n">
        <v>45677.49989583333</v>
      </c>
      <c r="K1898" s="11" t="n">
        <v>0.0905787037037037</v>
      </c>
      <c r="L1898" s="13" t="n"/>
    </row>
    <row r="1899">
      <c r="A1899" s="3" t="inlineStr">
        <is>
          <t>OutboundTrainPreparation</t>
        </is>
      </c>
      <c r="B1899" s="3" t="inlineStr">
        <is>
          <t>Act_OBTP_OBT190125203024-Pitten (Hamburger)_203024_629</t>
        </is>
      </c>
      <c r="C1899" s="3" t="inlineStr">
        <is>
          <t>OBT190125203024-Pitten (Hamburger)</t>
        </is>
      </c>
      <c r="D1899" s="9" t="n">
        <v>132.7</v>
      </c>
      <c r="E1899" s="3" t="n"/>
      <c r="F1899" s="3" t="n"/>
      <c r="G1899" s="9" t="n"/>
      <c r="H1899" s="10" t="n">
        <v>45676.85444444444</v>
      </c>
      <c r="I1899" s="10" t="n">
        <v>45677.4568287037</v>
      </c>
      <c r="J1899" s="10" t="n">
        <v>45677.47986111111</v>
      </c>
      <c r="K1899" s="11" t="n">
        <v>0.02303240740740741</v>
      </c>
      <c r="L1899" s="13" t="n"/>
    </row>
    <row r="1900">
      <c r="A1900" s="3" t="inlineStr">
        <is>
          <t>OutboundTrainPreparation</t>
        </is>
      </c>
      <c r="B1900" s="3" t="inlineStr">
        <is>
          <t>Act_OBTP_OBT190125203519-Neudörfl (FunderMax)_203519_607</t>
        </is>
      </c>
      <c r="C1900" s="3" t="inlineStr">
        <is>
          <t>OBT190125203519-Neudörfl (FunderMax)</t>
        </is>
      </c>
      <c r="D1900" s="9" t="n">
        <v>108</v>
      </c>
      <c r="E1900" s="3" t="n"/>
      <c r="F1900" s="3" t="n"/>
      <c r="G1900" s="9" t="n"/>
      <c r="H1900" s="10" t="n">
        <v>45676.8578587963</v>
      </c>
      <c r="I1900" s="10" t="n">
        <v>45677.54091435186</v>
      </c>
      <c r="J1900" s="10" t="n">
        <v>45677.55966435185</v>
      </c>
      <c r="K1900" s="11" t="n">
        <v>0.01875</v>
      </c>
      <c r="L1900" s="13" t="n"/>
    </row>
    <row r="1901">
      <c r="A1901" s="3" t="inlineStr">
        <is>
          <t>OutboundTrainPreparation</t>
        </is>
      </c>
      <c r="B1901" s="3" t="inlineStr">
        <is>
          <t>Act_OBTP_OBT200125025157-Neunkirchen (loading tracks)_025157_613</t>
        </is>
      </c>
      <c r="C1901" s="3" t="inlineStr">
        <is>
          <t>OBT200125025157-Neunkirchen (loading tracks)</t>
        </is>
      </c>
      <c r="D1901" s="9" t="n">
        <v>165.8</v>
      </c>
      <c r="E1901" s="3" t="n"/>
      <c r="F1901" s="3" t="n"/>
      <c r="G1901" s="9" t="n"/>
      <c r="H1901" s="10" t="n">
        <v>45677.11940972223</v>
      </c>
      <c r="I1901" s="10" t="n">
        <v>45677.61266203703</v>
      </c>
      <c r="J1901" s="10" t="n">
        <v>45677.64144675926</v>
      </c>
      <c r="K1901" s="11" t="n">
        <v>0.02878472222222222</v>
      </c>
      <c r="L1901" s="13" t="n"/>
    </row>
    <row r="1902">
      <c r="A1902" s="3" t="inlineStr">
        <is>
          <t>OutboundTrainPreparation</t>
        </is>
      </c>
      <c r="B1902" s="3" t="inlineStr">
        <is>
          <t>Act_OBTP_OBT200125045059-Neudörfl (FunderMax)_045059_625</t>
        </is>
      </c>
      <c r="C1902" s="3" t="inlineStr">
        <is>
          <t>OBT200125045059-Neudörfl (FunderMax)</t>
        </is>
      </c>
      <c r="D1902" s="9" t="n">
        <v>329.7</v>
      </c>
      <c r="E1902" s="3" t="n"/>
      <c r="F1902" s="3" t="n"/>
      <c r="G1902" s="9" t="n"/>
      <c r="H1902" s="10" t="n">
        <v>45677.20207175926</v>
      </c>
      <c r="I1902" s="10" t="n">
        <v>45677.66603009259</v>
      </c>
      <c r="J1902" s="10" t="n">
        <v>45677.72326388889</v>
      </c>
      <c r="K1902" s="11" t="n">
        <v>0.0572337962962963</v>
      </c>
      <c r="L1902" s="13" t="n"/>
    </row>
    <row r="1903">
      <c r="A1903" s="3" t="inlineStr">
        <is>
          <t>OutboundTrainPreparation</t>
        </is>
      </c>
      <c r="B1903" s="3" t="inlineStr">
        <is>
          <t>Act_OBTP_OBT200125080054-Neunkirchen (loading tracks)_080054_615</t>
        </is>
      </c>
      <c r="C1903" s="3" t="inlineStr">
        <is>
          <t>OBT200125080054-Neunkirchen (loading tracks)</t>
        </is>
      </c>
      <c r="D1903" s="9" t="n">
        <v>102.8</v>
      </c>
      <c r="E1903" s="3" t="n"/>
      <c r="F1903" s="3" t="n"/>
      <c r="G1903" s="9" t="n"/>
      <c r="H1903" s="10" t="n">
        <v>45677.33395833334</v>
      </c>
      <c r="I1903" s="10" t="n">
        <v>45677.66756944444</v>
      </c>
      <c r="J1903" s="10" t="n">
        <v>45677.68541666667</v>
      </c>
      <c r="K1903" s="11" t="n">
        <v>0.01784722222222222</v>
      </c>
      <c r="L1903" s="13" t="n"/>
    </row>
    <row r="1904">
      <c r="A1904" s="3" t="inlineStr">
        <is>
          <t>OutboundTrainPreparation</t>
        </is>
      </c>
      <c r="B1904" s="3" t="inlineStr">
        <is>
          <t>Act_OBTP_OBT200125080717-Wr. Neustadt (Hödlmayr)_080717_617</t>
        </is>
      </c>
      <c r="C1904" s="3" t="inlineStr">
        <is>
          <t>OBT200125080717-Wr. Neustadt (Hödlmayr)</t>
        </is>
      </c>
      <c r="D1904" s="9" t="n">
        <v>135</v>
      </c>
      <c r="E1904" s="3" t="n"/>
      <c r="F1904" s="3" t="n"/>
      <c r="G1904" s="9" t="n"/>
      <c r="H1904" s="10" t="n">
        <v>45677.3383912037</v>
      </c>
      <c r="I1904" s="10" t="n">
        <v>45677.67223379629</v>
      </c>
      <c r="J1904" s="10" t="n">
        <v>45677.69567129629</v>
      </c>
      <c r="K1904" s="11" t="n">
        <v>0.0234375</v>
      </c>
      <c r="L1904" s="13" t="n"/>
    </row>
    <row r="1905">
      <c r="A1905" s="3" t="inlineStr">
        <is>
          <t>OutboundTrainPreparation</t>
        </is>
      </c>
      <c r="B1905" s="3" t="inlineStr">
        <is>
          <t>Act_OBTP_OBT200125083327-Wr. Neustadt (Brenntag)_083327_611</t>
        </is>
      </c>
      <c r="C1905" s="3" t="inlineStr">
        <is>
          <t>OBT200125083327-Wr. Neustadt (Brenntag)</t>
        </is>
      </c>
      <c r="D1905" s="9" t="n">
        <v>126</v>
      </c>
      <c r="E1905" s="3" t="n"/>
      <c r="F1905" s="3" t="n"/>
      <c r="G1905" s="9" t="n"/>
      <c r="H1905" s="10" t="n">
        <v>45677.3565625</v>
      </c>
      <c r="I1905" s="10" t="n">
        <v>45677.7199537037</v>
      </c>
      <c r="J1905" s="10" t="n">
        <v>45677.74182870371</v>
      </c>
      <c r="K1905" s="11" t="n">
        <v>0.021875</v>
      </c>
      <c r="L1905" s="13" t="n"/>
    </row>
    <row r="1906">
      <c r="A1906" s="3" t="inlineStr">
        <is>
          <t>OutboundTrainPreparation</t>
        </is>
      </c>
      <c r="B1906" s="3" t="inlineStr">
        <is>
          <t>Act_OBTP_OBT200125091839-St. Veit an der Glan_091839_615</t>
        </is>
      </c>
      <c r="C1906" s="3" t="inlineStr">
        <is>
          <t>OBT200125091839-St. Veit an der Glan</t>
        </is>
      </c>
      <c r="D1906" s="9" t="n">
        <v>145.6</v>
      </c>
      <c r="E1906" s="3" t="n"/>
      <c r="F1906" s="3" t="n"/>
      <c r="G1906" s="9" t="n"/>
      <c r="H1906" s="10" t="n">
        <v>45677.38795138889</v>
      </c>
      <c r="I1906" s="10" t="n">
        <v>45677.88935185185</v>
      </c>
      <c r="J1906" s="10" t="n">
        <v>45677.91462962963</v>
      </c>
      <c r="K1906" s="11" t="n">
        <v>0.02527777777777778</v>
      </c>
      <c r="L1906" s="13" t="n"/>
    </row>
    <row r="1907">
      <c r="A1907" s="3" t="inlineStr">
        <is>
          <t>OutboundTrainPreparation</t>
        </is>
      </c>
      <c r="B1907" s="3" t="inlineStr">
        <is>
          <t>Act_OBTP_OBT200125093149-Wr. Neustadt (Hödlmayr)_093149_621</t>
        </is>
      </c>
      <c r="C1907" s="3" t="inlineStr">
        <is>
          <t>OBT200125093149-Wr. Neustadt (Hödlmayr)</t>
        </is>
      </c>
      <c r="D1907" s="9" t="n">
        <v>135</v>
      </c>
      <c r="E1907" s="3" t="n"/>
      <c r="F1907" s="3" t="n"/>
      <c r="G1907" s="9" t="n"/>
      <c r="H1907" s="10" t="n">
        <v>45677.39709490741</v>
      </c>
      <c r="I1907" s="10" t="n">
        <v>45678.1406712963</v>
      </c>
      <c r="J1907" s="10" t="n">
        <v>45678.1641087963</v>
      </c>
      <c r="K1907" s="11" t="n">
        <v>0.0234375</v>
      </c>
      <c r="L1907" s="13" t="n"/>
    </row>
    <row r="1908">
      <c r="A1908" s="3" t="inlineStr">
        <is>
          <t>OutboundTrainPreparation</t>
        </is>
      </c>
      <c r="B1908" s="3" t="inlineStr">
        <is>
          <t>Act_OBTP_OBT200125094944-Neudörfl (FunderMax)_094944_619</t>
        </is>
      </c>
      <c r="C1908" s="3" t="inlineStr">
        <is>
          <t>OBT200125094944-Neudörfl (FunderMax)</t>
        </is>
      </c>
      <c r="D1908" s="9" t="n">
        <v>136.2</v>
      </c>
      <c r="E1908" s="3" t="n"/>
      <c r="F1908" s="3" t="n"/>
      <c r="G1908" s="9" t="n"/>
      <c r="H1908" s="10" t="n">
        <v>45677.40953703703</v>
      </c>
      <c r="I1908" s="10" t="n">
        <v>45678.28607638889</v>
      </c>
      <c r="J1908" s="10" t="n">
        <v>45678.30972222222</v>
      </c>
      <c r="K1908" s="11" t="n">
        <v>0.02364583333333333</v>
      </c>
      <c r="L1908" s="13" t="n"/>
    </row>
    <row r="1909">
      <c r="A1909" s="3" t="inlineStr">
        <is>
          <t>OutboundTrainPreparation</t>
        </is>
      </c>
      <c r="B1909" s="3" t="inlineStr">
        <is>
          <t>Act_OBTP_OBT200125105804-Wien Kledering_105804_615</t>
        </is>
      </c>
      <c r="C1909" s="3" t="inlineStr">
        <is>
          <t>OBT200125105804-Wien Kledering</t>
        </is>
      </c>
      <c r="D1909" s="9" t="n">
        <v>165.8</v>
      </c>
      <c r="E1909" s="3" t="n"/>
      <c r="F1909" s="3" t="n"/>
      <c r="G1909" s="9" t="n"/>
      <c r="H1909" s="10" t="n">
        <v>45677.45699074074</v>
      </c>
      <c r="I1909" s="10" t="n">
        <v>45678.31637731481</v>
      </c>
      <c r="J1909" s="10" t="n">
        <v>45678.34516203704</v>
      </c>
      <c r="K1909" s="11" t="n">
        <v>0.02878472222222222</v>
      </c>
      <c r="L1909" s="13" t="n"/>
    </row>
    <row r="1910">
      <c r="A1910" s="3" t="inlineStr">
        <is>
          <t>OutboundTrainPreparation</t>
        </is>
      </c>
      <c r="B1910" s="3" t="inlineStr">
        <is>
          <t>Act_OBTP_OBT200125105846-Wien Kledering_105846_606</t>
        </is>
      </c>
      <c r="C1910" s="3" t="inlineStr">
        <is>
          <t>OBT200125105846-Wien Kledering</t>
        </is>
      </c>
      <c r="D1910" s="9" t="n">
        <v>153.9</v>
      </c>
      <c r="E1910" s="3" t="n"/>
      <c r="F1910" s="3" t="n"/>
      <c r="G1910" s="9" t="n"/>
      <c r="H1910" s="10" t="n">
        <v>45677.45747685185</v>
      </c>
      <c r="I1910" s="10" t="n">
        <v>45678.33471064815</v>
      </c>
      <c r="J1910" s="10" t="n">
        <v>45678.36142361111</v>
      </c>
      <c r="K1910" s="11" t="n">
        <v>0.02671296296296296</v>
      </c>
      <c r="L1910" s="13" t="n"/>
    </row>
    <row r="1911">
      <c r="A1911" s="3" t="inlineStr">
        <is>
          <t>OutboundTrainPreparation</t>
        </is>
      </c>
      <c r="B1911" s="3" t="inlineStr">
        <is>
          <t>Act_OBTP_OBT200125125954-Wien Kledering_125954_627</t>
        </is>
      </c>
      <c r="C1911" s="3" t="inlineStr">
        <is>
          <t>OBT200125125954-Wien Kledering</t>
        </is>
      </c>
      <c r="D1911" s="9" t="n">
        <v>105</v>
      </c>
      <c r="E1911" s="3" t="n"/>
      <c r="F1911" s="3" t="n"/>
      <c r="G1911" s="9" t="n"/>
      <c r="H1911" s="10" t="n">
        <v>45677.54159722223</v>
      </c>
      <c r="I1911" s="10" t="n">
        <v>45678.3405324074</v>
      </c>
      <c r="J1911" s="10" t="n">
        <v>45678.35875</v>
      </c>
      <c r="K1911" s="11" t="n">
        <v>0.01821759259259259</v>
      </c>
      <c r="L1911" s="13" t="n"/>
    </row>
    <row r="1912">
      <c r="A1912" s="3" t="inlineStr">
        <is>
          <t>OutboundTrainPreparation</t>
        </is>
      </c>
      <c r="B1912" s="3" t="inlineStr">
        <is>
          <t>Act_OBTP_OBT200125144313-Wien Kledering_144313_607</t>
        </is>
      </c>
      <c r="C1912" s="3" t="inlineStr">
        <is>
          <t>OBT200125144313-Wien Kledering</t>
        </is>
      </c>
      <c r="D1912" s="9" t="n">
        <v>389.1</v>
      </c>
      <c r="E1912" s="3" t="n"/>
      <c r="F1912" s="3" t="n"/>
      <c r="G1912" s="9" t="n"/>
      <c r="H1912" s="10" t="n">
        <v>45677.6133449074</v>
      </c>
      <c r="I1912" s="10" t="n">
        <v>45678.38799768518</v>
      </c>
      <c r="J1912" s="10" t="n">
        <v>45678.45554398148</v>
      </c>
      <c r="K1912" s="11" t="n">
        <v>0.0675462962962963</v>
      </c>
      <c r="L1912" s="13" t="n"/>
    </row>
    <row r="1913">
      <c r="A1913" s="3" t="inlineStr">
        <is>
          <t>OutboundTrainPreparation</t>
        </is>
      </c>
      <c r="B1913" s="3" t="inlineStr">
        <is>
          <t>Act_OBTP_OBT200125155402-Pitten (Hamburger)_155402_623</t>
        </is>
      </c>
      <c r="C1913" s="3" t="inlineStr">
        <is>
          <t>OBT200125155402-Pitten (Hamburger)</t>
        </is>
      </c>
      <c r="D1913" s="9" t="n">
        <v>140.2</v>
      </c>
      <c r="E1913" s="3" t="n"/>
      <c r="F1913" s="3" t="n"/>
      <c r="G1913" s="9" t="n"/>
      <c r="H1913" s="10" t="n">
        <v>45677.66252314814</v>
      </c>
      <c r="I1913" s="10" t="n">
        <v>45678.4019212963</v>
      </c>
      <c r="J1913" s="10" t="n">
        <v>45678.42626157407</v>
      </c>
      <c r="K1913" s="11" t="n">
        <v>0.02434027777777778</v>
      </c>
      <c r="L1913" s="13" t="n"/>
    </row>
    <row r="1914">
      <c r="A1914" s="3" t="inlineStr">
        <is>
          <t>OutboundTrainPreparation</t>
        </is>
      </c>
      <c r="B1914" s="3" t="inlineStr">
        <is>
          <t>Act_OBTP_OBT200125160533-St. Veit an der Glan_160533_615</t>
        </is>
      </c>
      <c r="C1914" s="3" t="inlineStr">
        <is>
          <t>OBT200125160533-St. Veit an der Glan</t>
        </is>
      </c>
      <c r="D1914" s="9" t="n">
        <v>152.3</v>
      </c>
      <c r="E1914" s="3" t="n"/>
      <c r="F1914" s="3" t="n"/>
      <c r="G1914" s="9" t="n"/>
      <c r="H1914" s="10" t="n">
        <v>45677.67052083334</v>
      </c>
      <c r="I1914" s="10" t="n">
        <v>45678.43840277778</v>
      </c>
      <c r="J1914" s="10" t="n">
        <v>45678.46484953703</v>
      </c>
      <c r="K1914" s="11" t="n">
        <v>0.02644675925925926</v>
      </c>
      <c r="L1914" s="13" t="n"/>
    </row>
    <row r="1915">
      <c r="A1915" s="3" t="inlineStr">
        <is>
          <t>OutboundTrainPreparation</t>
        </is>
      </c>
      <c r="B1915" s="3" t="inlineStr">
        <is>
          <t>Act_OBTP_OBT200125171741-Wien Kledering_171741_615</t>
        </is>
      </c>
      <c r="C1915" s="3" t="inlineStr">
        <is>
          <t>OBT200125171741-Wien Kledering</t>
        </is>
      </c>
      <c r="D1915" s="9" t="n">
        <v>325.4</v>
      </c>
      <c r="E1915" s="3" t="n"/>
      <c r="F1915" s="3" t="n"/>
      <c r="G1915" s="9" t="n"/>
      <c r="H1915" s="10" t="n">
        <v>45677.72061342592</v>
      </c>
      <c r="I1915" s="10" t="n">
        <v>45678.6159375</v>
      </c>
      <c r="J1915" s="10" t="n">
        <v>45678.67241898148</v>
      </c>
      <c r="K1915" s="11" t="n">
        <v>0.05648148148148148</v>
      </c>
      <c r="L1915" s="13" t="n"/>
    </row>
    <row r="1916">
      <c r="A1916" s="3" t="inlineStr">
        <is>
          <t>OutboundTrainPreparation</t>
        </is>
      </c>
      <c r="B1916" s="3" t="inlineStr">
        <is>
          <t>Act_OBTP_OBT200125212137-Wien Kledering_212137_625</t>
        </is>
      </c>
      <c r="C1916" s="3" t="inlineStr">
        <is>
          <t>OBT200125212137-Wien Kledering</t>
        </is>
      </c>
      <c r="D1916" s="9" t="n">
        <v>398</v>
      </c>
      <c r="E1916" s="3" t="n"/>
      <c r="F1916" s="3" t="n"/>
      <c r="G1916" s="9" t="n"/>
      <c r="H1916" s="10" t="n">
        <v>45677.89001157408</v>
      </c>
      <c r="I1916" s="10" t="n">
        <v>45678.64188657407</v>
      </c>
      <c r="J1916" s="10" t="n">
        <v>45678.7109837963</v>
      </c>
      <c r="K1916" s="11" t="n">
        <v>0.06909722222222223</v>
      </c>
      <c r="L1916" s="13" t="n"/>
    </row>
    <row r="1917">
      <c r="A1917" s="3" t="inlineStr">
        <is>
          <t>OutboundTrainPreparation</t>
        </is>
      </c>
      <c r="B1917" s="3" t="inlineStr">
        <is>
          <t>Act_OBTP_OBT210125032545-Neunkirchen (loading tracks)_032545_629</t>
        </is>
      </c>
      <c r="C1917" s="3" t="inlineStr">
        <is>
          <t>OBT210125032545-Neunkirchen (loading tracks)</t>
        </is>
      </c>
      <c r="D1917" s="9" t="n">
        <v>295.7</v>
      </c>
      <c r="E1917" s="3" t="n"/>
      <c r="F1917" s="3" t="n"/>
      <c r="G1917" s="9" t="n"/>
      <c r="H1917" s="10" t="n">
        <v>45678.14288194444</v>
      </c>
      <c r="I1917" s="10" t="n">
        <v>45678.64737268518</v>
      </c>
      <c r="J1917" s="10" t="n">
        <v>45678.6987037037</v>
      </c>
      <c r="K1917" s="11" t="n">
        <v>0.05133101851851852</v>
      </c>
      <c r="L1917" s="13" t="n"/>
    </row>
    <row r="1918">
      <c r="A1918" s="3" t="inlineStr">
        <is>
          <t>OutboundTrainPreparation</t>
        </is>
      </c>
      <c r="B1918" s="3" t="inlineStr">
        <is>
          <t>Act_OBTP_OBT210125065252-Wien Kledering_065252_611</t>
        </is>
      </c>
      <c r="C1918" s="3" t="inlineStr">
        <is>
          <t>OBT210125065252-Wien Kledering</t>
        </is>
      </c>
      <c r="D1918" s="9" t="n">
        <v>233.1</v>
      </c>
      <c r="E1918" s="3" t="n"/>
      <c r="F1918" s="3" t="n"/>
      <c r="G1918" s="9" t="n"/>
      <c r="H1918" s="10" t="n">
        <v>45678.28671296296</v>
      </c>
      <c r="I1918" s="10" t="n">
        <v>45678.87943287037</v>
      </c>
      <c r="J1918" s="10" t="n">
        <v>45678.91990740741</v>
      </c>
      <c r="K1918" s="11" t="n">
        <v>0.04047453703703704</v>
      </c>
      <c r="L1918" s="13" t="n"/>
    </row>
    <row r="1919">
      <c r="A1919" s="3" t="inlineStr">
        <is>
          <t>OutboundTrainPreparation</t>
        </is>
      </c>
      <c r="B1919" s="3" t="inlineStr">
        <is>
          <t>Act_OBTP_OBT210125075153-Pitten (Hamburger)_075153_621</t>
        </is>
      </c>
      <c r="C1919" s="3" t="inlineStr">
        <is>
          <t>OBT210125075153-Pitten (Hamburger)</t>
        </is>
      </c>
      <c r="D1919" s="9" t="n">
        <v>116.9</v>
      </c>
      <c r="E1919" s="3" t="n"/>
      <c r="F1919" s="3" t="n"/>
      <c r="G1919" s="9" t="n"/>
      <c r="H1919" s="10" t="n">
        <v>45678.32769675926</v>
      </c>
      <c r="I1919" s="10" t="n">
        <v>45679.12300925926</v>
      </c>
      <c r="J1919" s="10" t="n">
        <v>45679.14331018519</v>
      </c>
      <c r="K1919" s="11" t="n">
        <v>0.02030092592592593</v>
      </c>
      <c r="L1919" s="13" t="n"/>
    </row>
    <row r="1920">
      <c r="A1920" s="3" t="inlineStr">
        <is>
          <t>OutboundTrainPreparation</t>
        </is>
      </c>
      <c r="B1920" s="3" t="inlineStr">
        <is>
          <t>Act_OBTP_OBT210125080256-Neudörfl (FunderMax)_080256_619</t>
        </is>
      </c>
      <c r="C1920" s="3" t="inlineStr">
        <is>
          <t>OBT210125080256-Neudörfl (FunderMax)</t>
        </is>
      </c>
      <c r="D1920" s="9" t="n">
        <v>117.1</v>
      </c>
      <c r="E1920" s="3" t="n"/>
      <c r="F1920" s="3" t="n"/>
      <c r="G1920" s="9" t="n"/>
      <c r="H1920" s="10" t="n">
        <v>45678.33537037037</v>
      </c>
      <c r="I1920" s="10" t="n">
        <v>45679.20344907408</v>
      </c>
      <c r="J1920" s="10" t="n">
        <v>45679.22378472222</v>
      </c>
      <c r="K1920" s="11" t="n">
        <v>0.02033564814814815</v>
      </c>
      <c r="L1920" s="13" t="n"/>
    </row>
    <row r="1921">
      <c r="A1921" s="3" t="inlineStr">
        <is>
          <t>OutboundTrainPreparation</t>
        </is>
      </c>
      <c r="B1921" s="3" t="inlineStr">
        <is>
          <t>Act_OBTP_OBT210125080752-Wien Kledering_080752_619</t>
        </is>
      </c>
      <c r="C1921" s="3" t="inlineStr">
        <is>
          <t>OBT210125080752-Wien Kledering</t>
        </is>
      </c>
      <c r="D1921" s="9" t="n">
        <v>339.1</v>
      </c>
      <c r="E1921" s="3" t="n"/>
      <c r="F1921" s="3" t="n"/>
      <c r="G1921" s="9" t="n"/>
      <c r="H1921" s="10" t="n">
        <v>45678.3387962963</v>
      </c>
      <c r="I1921" s="10" t="n">
        <v>45679.27695601852</v>
      </c>
      <c r="J1921" s="10" t="n">
        <v>45679.33583333333</v>
      </c>
      <c r="K1921" s="11" t="n">
        <v>0.05887731481481481</v>
      </c>
      <c r="L1921" s="13" t="n"/>
    </row>
    <row r="1922">
      <c r="A1922" s="3" t="inlineStr">
        <is>
          <t>OutboundTrainPreparation</t>
        </is>
      </c>
      <c r="B1922" s="3" t="inlineStr">
        <is>
          <t>Act_OBTP_OBT210125092833-St. Veit an der Glan_092833_615</t>
        </is>
      </c>
      <c r="C1922" s="3" t="inlineStr">
        <is>
          <t>OBT210125092833-St. Veit an der Glan</t>
        </is>
      </c>
      <c r="D1922" s="9" t="n">
        <v>143.6</v>
      </c>
      <c r="E1922" s="3" t="n"/>
      <c r="F1922" s="3" t="n"/>
      <c r="G1922" s="9" t="n"/>
      <c r="H1922" s="10" t="n">
        <v>45678.39482638889</v>
      </c>
      <c r="I1922" s="10" t="n">
        <v>45679.32265046296</v>
      </c>
      <c r="J1922" s="10" t="n">
        <v>45679.34758101852</v>
      </c>
      <c r="K1922" s="11" t="n">
        <v>0.02493055555555556</v>
      </c>
      <c r="L1922" s="13" t="n"/>
    </row>
    <row r="1923">
      <c r="A1923" s="3" t="inlineStr">
        <is>
          <t>OutboundTrainPreparation</t>
        </is>
      </c>
      <c r="B1923" s="3" t="inlineStr">
        <is>
          <t>Act_OBTP_OBT210125093211-Wr. Neustadt (Hödlmayr)_093211_606</t>
        </is>
      </c>
      <c r="C1923" s="3" t="inlineStr">
        <is>
          <t>OBT210125093211-Wr. Neustadt (Hödlmayr)</t>
        </is>
      </c>
      <c r="D1923" s="9" t="n">
        <v>108</v>
      </c>
      <c r="E1923" s="3" t="n"/>
      <c r="F1923" s="3" t="n"/>
      <c r="G1923" s="9" t="n"/>
      <c r="H1923" s="10" t="n">
        <v>45678.39734953704</v>
      </c>
      <c r="I1923" s="10" t="n">
        <v>45679.32489583334</v>
      </c>
      <c r="J1923" s="10" t="n">
        <v>45679.34364583333</v>
      </c>
      <c r="K1923" s="11" t="n">
        <v>0.01875</v>
      </c>
      <c r="L1923" s="13" t="n"/>
    </row>
    <row r="1924">
      <c r="A1924" s="3" t="inlineStr">
        <is>
          <t>OutboundTrainPreparation</t>
        </is>
      </c>
      <c r="B1924" s="3" t="inlineStr">
        <is>
          <t>Act_OBTP_OBT210125093910-Neudörfl (FunderMax)_093910_627</t>
        </is>
      </c>
      <c r="C1924" s="3" t="inlineStr">
        <is>
          <t>OBT210125093910-Neudörfl (FunderMax)</t>
        </is>
      </c>
      <c r="D1924" s="9" t="n">
        <v>111.4</v>
      </c>
      <c r="E1924" s="3" t="n"/>
      <c r="F1924" s="3" t="n"/>
      <c r="G1924" s="9" t="n"/>
      <c r="H1924" s="10" t="n">
        <v>45678.40219907407</v>
      </c>
      <c r="I1924" s="10" t="n">
        <v>45679.34151620371</v>
      </c>
      <c r="J1924" s="10" t="n">
        <v>45679.36085648148</v>
      </c>
      <c r="K1924" s="11" t="n">
        <v>0.01934027777777778</v>
      </c>
      <c r="L1924" s="13" t="n"/>
    </row>
    <row r="1925">
      <c r="A1925" s="3" t="inlineStr">
        <is>
          <t>OutboundTrainPreparation</t>
        </is>
      </c>
      <c r="B1925" s="3" t="inlineStr">
        <is>
          <t>Act_OBTP_OBT210125103404-Wien Kledering_103404_619</t>
        </is>
      </c>
      <c r="C1925" s="3" t="inlineStr">
        <is>
          <t>OBT210125103404-Wien Kledering</t>
        </is>
      </c>
      <c r="D1925" s="9" t="n">
        <v>454.8</v>
      </c>
      <c r="E1925" s="3" t="n"/>
      <c r="F1925" s="3" t="n"/>
      <c r="G1925" s="9" t="n"/>
      <c r="H1925" s="10" t="n">
        <v>45678.44032407407</v>
      </c>
      <c r="I1925" s="10" t="n">
        <v>45679.36295138889</v>
      </c>
      <c r="J1925" s="10" t="n">
        <v>45679.44189814815</v>
      </c>
      <c r="K1925" s="11" t="n">
        <v>0.07894675925925926</v>
      </c>
      <c r="L1925" s="13" t="n"/>
    </row>
    <row r="1926">
      <c r="A1926" s="3" t="inlineStr">
        <is>
          <t>OutboundTrainPreparation</t>
        </is>
      </c>
      <c r="B1926" s="3" t="inlineStr">
        <is>
          <t>Act_OBTP_OBT210125144735-Wien Kledering_144735_619</t>
        </is>
      </c>
      <c r="C1926" s="3" t="inlineStr">
        <is>
          <t>OBT210125144735-Wien Kledering</t>
        </is>
      </c>
      <c r="D1926" s="9" t="n">
        <v>398</v>
      </c>
      <c r="E1926" s="3" t="n"/>
      <c r="F1926" s="3" t="n"/>
      <c r="G1926" s="9" t="n"/>
      <c r="H1926" s="10" t="n">
        <v>45678.61637731481</v>
      </c>
      <c r="I1926" s="10" t="n">
        <v>45679.42063657408</v>
      </c>
      <c r="J1926" s="10" t="n">
        <v>45679.48974537037</v>
      </c>
      <c r="K1926" s="11" t="n">
        <v>0.06910879629629629</v>
      </c>
      <c r="L1926" s="13" t="n"/>
    </row>
    <row r="1927">
      <c r="A1927" s="3" t="inlineStr">
        <is>
          <t>OutboundTrainPreparation</t>
        </is>
      </c>
      <c r="B1927" s="3" t="inlineStr">
        <is>
          <t>Act_OBTP_OBT210125150922-Neunkirchen (loading tracks)_150922_617</t>
        </is>
      </c>
      <c r="C1927" s="3" t="inlineStr">
        <is>
          <t>OBT210125150922-Neunkirchen (loading tracks)</t>
        </is>
      </c>
      <c r="D1927" s="9" t="n">
        <v>101.7</v>
      </c>
      <c r="E1927" s="3" t="n"/>
      <c r="F1927" s="3" t="n"/>
      <c r="G1927" s="9" t="n"/>
      <c r="H1927" s="10" t="n">
        <v>45678.63150462963</v>
      </c>
      <c r="I1927" s="10" t="n">
        <v>45679.44578703704</v>
      </c>
      <c r="J1927" s="10" t="n">
        <v>45679.46344907407</v>
      </c>
      <c r="K1927" s="11" t="n">
        <v>0.01766203703703704</v>
      </c>
      <c r="L1927" s="13" t="n"/>
    </row>
    <row r="1928">
      <c r="A1928" s="3" t="inlineStr">
        <is>
          <t>OutboundTrainPreparation</t>
        </is>
      </c>
      <c r="B1928" s="3" t="inlineStr">
        <is>
          <t>Act_OBTP_OBT210125151409-Neudörfl (FunderMax)_151409_615</t>
        </is>
      </c>
      <c r="C1928" s="3" t="inlineStr">
        <is>
          <t>OBT210125151409-Neudörfl (FunderMax)</t>
        </is>
      </c>
      <c r="D1928" s="9" t="n">
        <v>173.3</v>
      </c>
      <c r="E1928" s="3" t="n"/>
      <c r="F1928" s="3" t="n"/>
      <c r="G1928" s="9" t="n"/>
      <c r="H1928" s="10" t="n">
        <v>45678.63482638889</v>
      </c>
      <c r="I1928" s="10" t="n">
        <v>45679.54993055556</v>
      </c>
      <c r="J1928" s="10" t="n">
        <v>45679.58002314815</v>
      </c>
      <c r="K1928" s="11" t="n">
        <v>0.03009259259259259</v>
      </c>
      <c r="L1928" s="13" t="n"/>
    </row>
    <row r="1929">
      <c r="A1929" s="3" t="inlineStr">
        <is>
          <t>OutboundTrainPreparation</t>
        </is>
      </c>
      <c r="B1929" s="3" t="inlineStr">
        <is>
          <t>Act_OBTP_OBT210125151926-Steinabrückl/Wöllersdorf_151926_623</t>
        </is>
      </c>
      <c r="C1929" s="3" t="inlineStr">
        <is>
          <t>OBT210125151926-Steinabrückl/Wöllersdorf</t>
        </is>
      </c>
      <c r="D1929" s="9" t="n">
        <v>123.7</v>
      </c>
      <c r="E1929" s="3" t="n"/>
      <c r="F1929" s="3" t="n"/>
      <c r="G1929" s="9" t="n"/>
      <c r="H1929" s="10" t="n">
        <v>45678.63849537037</v>
      </c>
      <c r="I1929" s="10" t="n">
        <v>45679.64212962963</v>
      </c>
      <c r="J1929" s="10" t="n">
        <v>45679.66361111111</v>
      </c>
      <c r="K1929" s="11" t="n">
        <v>0.02148148148148148</v>
      </c>
      <c r="L1929" s="13" t="n"/>
    </row>
    <row r="1930">
      <c r="A1930" s="3" t="inlineStr">
        <is>
          <t>OutboundTrainPreparation</t>
        </is>
      </c>
      <c r="B1930" s="3" t="inlineStr">
        <is>
          <t>Act_OBTP_OBT210125152253-Pitten (Hamburger)_152253_607</t>
        </is>
      </c>
      <c r="C1930" s="3" t="inlineStr">
        <is>
          <t>OBT210125152253-Pitten (Hamburger)</t>
        </is>
      </c>
      <c r="D1930" s="9" t="n">
        <v>209.9</v>
      </c>
      <c r="E1930" s="3" t="n"/>
      <c r="F1930" s="3" t="n"/>
      <c r="G1930" s="9" t="n"/>
      <c r="H1930" s="10" t="n">
        <v>45678.6408912037</v>
      </c>
      <c r="I1930" s="10" t="n">
        <v>45679.74309027778</v>
      </c>
      <c r="J1930" s="10" t="n">
        <v>45679.77953703704</v>
      </c>
      <c r="K1930" s="11" t="n">
        <v>0.03644675925925926</v>
      </c>
      <c r="L1930" s="13" t="n"/>
    </row>
    <row r="1931">
      <c r="A1931" s="3" t="inlineStr">
        <is>
          <t>OutboundTrainPreparation</t>
        </is>
      </c>
      <c r="B1931" s="3" t="inlineStr">
        <is>
          <t>Act_OBTP_OBT210125152947-Wien Kledering_152947_619</t>
        </is>
      </c>
      <c r="C1931" s="3" t="inlineStr">
        <is>
          <t>OBT210125152947-Wien Kledering</t>
        </is>
      </c>
      <c r="D1931" s="9" t="n">
        <v>125.9</v>
      </c>
      <c r="E1931" s="3" t="n"/>
      <c r="F1931" s="3" t="n"/>
      <c r="G1931" s="9" t="n"/>
      <c r="H1931" s="10" t="n">
        <v>45678.64568287037</v>
      </c>
      <c r="I1931" s="10" t="n">
        <v>45679.76295138889</v>
      </c>
      <c r="J1931" s="10" t="n">
        <v>45679.78480324074</v>
      </c>
      <c r="K1931" s="11" t="n">
        <v>0.02185185185185185</v>
      </c>
      <c r="L1931" s="13" t="n"/>
    </row>
    <row r="1932">
      <c r="A1932" s="3" t="inlineStr">
        <is>
          <t>OutboundTrainPreparation</t>
        </is>
      </c>
      <c r="B1932" s="3" t="inlineStr">
        <is>
          <t>Act_OBTP_OBT210125210727-Wien Kledering_210727_619</t>
        </is>
      </c>
      <c r="C1932" s="3" t="inlineStr">
        <is>
          <t>OBT210125210727-Wien Kledering</t>
        </is>
      </c>
      <c r="D1932" s="9" t="n">
        <v>187.4</v>
      </c>
      <c r="E1932" s="3" t="n"/>
      <c r="F1932" s="3" t="n"/>
      <c r="G1932" s="9" t="n"/>
      <c r="H1932" s="10" t="n">
        <v>45678.88017361111</v>
      </c>
      <c r="I1932" s="10" t="n">
        <v>45679.76534722222</v>
      </c>
      <c r="J1932" s="10" t="n">
        <v>45679.79788194445</v>
      </c>
      <c r="K1932" s="11" t="n">
        <v>0.03253472222222222</v>
      </c>
      <c r="L1932" s="13" t="n"/>
    </row>
    <row r="1933">
      <c r="A1933" s="3" t="inlineStr">
        <is>
          <t>OutboundTrainPreparation</t>
        </is>
      </c>
      <c r="B1933" s="3" t="inlineStr">
        <is>
          <t>Act_OBTP_OBT220125025432-Other sidings south_025432_615</t>
        </is>
      </c>
      <c r="C1933" s="3" t="inlineStr">
        <is>
          <t>OBT220125025432-Other sidings south</t>
        </is>
      </c>
      <c r="D1933" s="9" t="n">
        <v>219.4</v>
      </c>
      <c r="E1933" s="3" t="n"/>
      <c r="F1933" s="3" t="n"/>
      <c r="G1933" s="9" t="n"/>
      <c r="H1933" s="10" t="n">
        <v>45679.1212037037</v>
      </c>
      <c r="I1933" s="10" t="n">
        <v>45679.86597222222</v>
      </c>
      <c r="J1933" s="10" t="n">
        <v>45679.9040625</v>
      </c>
      <c r="K1933" s="11" t="n">
        <v>0.03809027777777778</v>
      </c>
      <c r="L1933" s="13" t="n"/>
    </row>
    <row r="1934">
      <c r="A1934" s="3" t="inlineStr">
        <is>
          <t>OutboundTrainPreparation</t>
        </is>
      </c>
      <c r="B1934" s="3" t="inlineStr">
        <is>
          <t>Act_OBTP_OBT220125045357-Neudörfl (FunderMax)_045357_625</t>
        </is>
      </c>
      <c r="C1934" s="3" t="inlineStr">
        <is>
          <t>OBT220125045357-Neudörfl (FunderMax)</t>
        </is>
      </c>
      <c r="D1934" s="9" t="n">
        <v>366.6</v>
      </c>
      <c r="E1934" s="3" t="n"/>
      <c r="F1934" s="3" t="n"/>
      <c r="G1934" s="9" t="n"/>
      <c r="H1934" s="10" t="n">
        <v>45679.20413194445</v>
      </c>
      <c r="I1934" s="10" t="n">
        <v>45680.1319212963</v>
      </c>
      <c r="J1934" s="10" t="n">
        <v>45680.19556712963</v>
      </c>
      <c r="K1934" s="11" t="n">
        <v>0.06364583333333333</v>
      </c>
      <c r="L1934" s="13" t="n"/>
    </row>
    <row r="1935">
      <c r="A1935" s="3" t="inlineStr">
        <is>
          <t>OutboundTrainPreparation</t>
        </is>
      </c>
      <c r="B1935" s="3" t="inlineStr">
        <is>
          <t>Act_OBTP_OBT220125063948-Wien Kledering_063948_619</t>
        </is>
      </c>
      <c r="C1935" s="3" t="inlineStr">
        <is>
          <t>OBT220125063948-Wien Kledering</t>
        </is>
      </c>
      <c r="D1935" s="9" t="n">
        <v>291.7</v>
      </c>
      <c r="E1935" s="3" t="n"/>
      <c r="F1935" s="3" t="n"/>
      <c r="G1935" s="9" t="n"/>
      <c r="H1935" s="10" t="n">
        <v>45679.27763888889</v>
      </c>
      <c r="I1935" s="10" t="n">
        <v>45680.27384259259</v>
      </c>
      <c r="J1935" s="10" t="n">
        <v>45680.32447916667</v>
      </c>
      <c r="K1935" s="11" t="n">
        <v>0.05063657407407408</v>
      </c>
      <c r="L1935" s="13" t="n"/>
    </row>
    <row r="1936">
      <c r="A1936" s="3" t="inlineStr">
        <is>
          <t>OutboundTrainPreparation</t>
        </is>
      </c>
      <c r="B1936" s="3" t="inlineStr">
        <is>
          <t>Act_OBTP_OBT220125073335-Other sidings local_073335_605</t>
        </is>
      </c>
      <c r="C1936" s="3" t="inlineStr">
        <is>
          <t>OBT220125073335-Other sidings local</t>
        </is>
      </c>
      <c r="D1936" s="9" t="n">
        <v>106.9</v>
      </c>
      <c r="E1936" s="3" t="n"/>
      <c r="F1936" s="3" t="n"/>
      <c r="G1936" s="9" t="n"/>
      <c r="H1936" s="10" t="n">
        <v>45679.31498842593</v>
      </c>
      <c r="I1936" s="10" t="n">
        <v>45680.30650462963</v>
      </c>
      <c r="J1936" s="10" t="n">
        <v>45680.32506944444</v>
      </c>
      <c r="K1936" s="11" t="n">
        <v>0.01856481481481482</v>
      </c>
      <c r="L1936" s="13" t="n"/>
    </row>
    <row r="1937">
      <c r="A1937" s="3" t="inlineStr">
        <is>
          <t>OutboundTrainPreparation</t>
        </is>
      </c>
      <c r="B1937" s="3" t="inlineStr">
        <is>
          <t>Act_OBTP_OBT220125084547-St. Veit an der Glan_084547_615</t>
        </is>
      </c>
      <c r="C1937" s="3" t="inlineStr">
        <is>
          <t>OBT220125084547-St. Veit an der Glan</t>
        </is>
      </c>
      <c r="D1937" s="9" t="n">
        <v>331.2</v>
      </c>
      <c r="E1937" s="3" t="n"/>
      <c r="F1937" s="3" t="n"/>
      <c r="G1937" s="9" t="n"/>
      <c r="H1937" s="10" t="n">
        <v>45679.36512731481</v>
      </c>
      <c r="I1937" s="10" t="n">
        <v>45680.31045138889</v>
      </c>
      <c r="J1937" s="10" t="n">
        <v>45680.36795138889</v>
      </c>
      <c r="K1937" s="11" t="n">
        <v>0.0575</v>
      </c>
      <c r="L1937" s="13" t="n"/>
    </row>
    <row r="1938">
      <c r="A1938" s="3" t="inlineStr">
        <is>
          <t>OutboundTrainPreparation</t>
        </is>
      </c>
      <c r="B1938" s="3" t="inlineStr">
        <is>
          <t>Act_OBTP_OBT220125094552-Pitten (Hamburger)_094552_627</t>
        </is>
      </c>
      <c r="C1938" s="3" t="inlineStr">
        <is>
          <t>OBT220125094552-Pitten (Hamburger)</t>
        </is>
      </c>
      <c r="D1938" s="9" t="n">
        <v>179.2</v>
      </c>
      <c r="E1938" s="3" t="n"/>
      <c r="F1938" s="3" t="n"/>
      <c r="G1938" s="9" t="n"/>
      <c r="H1938" s="10" t="n">
        <v>45679.40685185185</v>
      </c>
      <c r="I1938" s="10" t="n">
        <v>45680.33</v>
      </c>
      <c r="J1938" s="10" t="n">
        <v>45680.36111111111</v>
      </c>
      <c r="K1938" s="11" t="n">
        <v>0.03111111111111111</v>
      </c>
      <c r="L1938" s="13" t="n"/>
    </row>
    <row r="1939">
      <c r="A1939" s="3" t="inlineStr">
        <is>
          <t>OutboundTrainPreparation</t>
        </is>
      </c>
      <c r="B1939" s="3" t="inlineStr">
        <is>
          <t>Act_OBTP_OBT220125095350-Neunkirchen (loading tracks)_095350_621</t>
        </is>
      </c>
      <c r="C1939" s="3" t="inlineStr">
        <is>
          <t>OBT220125095350-Neunkirchen (loading tracks)</t>
        </is>
      </c>
      <c r="D1939" s="9" t="n">
        <v>114.8</v>
      </c>
      <c r="E1939" s="3" t="n"/>
      <c r="F1939" s="3" t="n"/>
      <c r="G1939" s="9" t="n"/>
      <c r="H1939" s="10" t="n">
        <v>45679.41238425926</v>
      </c>
      <c r="I1939" s="10" t="n">
        <v>45680.37738425926</v>
      </c>
      <c r="J1939" s="10" t="n">
        <v>45680.39731481481</v>
      </c>
      <c r="K1939" s="11" t="n">
        <v>0.01993055555555556</v>
      </c>
      <c r="L1939" s="13" t="n"/>
    </row>
    <row r="1940">
      <c r="A1940" s="3" t="inlineStr">
        <is>
          <t>OutboundTrainPreparation</t>
        </is>
      </c>
      <c r="B1940" s="3" t="inlineStr">
        <is>
          <t>Act_OBTP_OBT220125095549-Wr. Neustadt (Hödlmayr)_095549_611</t>
        </is>
      </c>
      <c r="C1940" s="3" t="inlineStr">
        <is>
          <t>OBT220125095549-Wr. Neustadt (Hödlmayr)</t>
        </is>
      </c>
      <c r="D1940" s="9" t="n">
        <v>108</v>
      </c>
      <c r="E1940" s="3" t="n"/>
      <c r="F1940" s="3" t="n"/>
      <c r="G1940" s="9" t="n"/>
      <c r="H1940" s="10" t="n">
        <v>45679.41376157408</v>
      </c>
      <c r="I1940" s="10" t="n">
        <v>45680.41893518518</v>
      </c>
      <c r="J1940" s="10" t="n">
        <v>45680.43768518518</v>
      </c>
      <c r="K1940" s="11" t="n">
        <v>0.01875</v>
      </c>
      <c r="L1940" s="13" t="n"/>
    </row>
    <row r="1941">
      <c r="A1941" s="3" t="inlineStr">
        <is>
          <t>OutboundTrainPreparation</t>
        </is>
      </c>
      <c r="B1941" s="3" t="inlineStr">
        <is>
          <t>Act_OBTP_OBT220125100316-Neudörfl (FunderMax)_100316_629</t>
        </is>
      </c>
      <c r="C1941" s="3" t="inlineStr">
        <is>
          <t>OBT220125100316-Neudörfl (FunderMax)</t>
        </is>
      </c>
      <c r="D1941" s="9" t="n">
        <v>132.8</v>
      </c>
      <c r="E1941" s="3" t="n"/>
      <c r="F1941" s="3" t="n"/>
      <c r="G1941" s="9" t="n"/>
      <c r="H1941" s="10" t="n">
        <v>45679.41893518518</v>
      </c>
      <c r="I1941" s="10" t="n">
        <v>45680.45319444445</v>
      </c>
      <c r="J1941" s="10" t="n">
        <v>45680.47625</v>
      </c>
      <c r="K1941" s="11" t="n">
        <v>0.02305555555555555</v>
      </c>
      <c r="L1941" s="13" t="n"/>
    </row>
    <row r="1942">
      <c r="A1942" s="3" t="inlineStr">
        <is>
          <t>OutboundTrainPreparation</t>
        </is>
      </c>
      <c r="B1942" s="3" t="inlineStr">
        <is>
          <t>Act_OBTP_OBT220125104258-Wien Kledering_104258_615</t>
        </is>
      </c>
      <c r="C1942" s="3" t="inlineStr">
        <is>
          <t>OBT220125104258-Wien Kledering</t>
        </is>
      </c>
      <c r="D1942" s="9" t="n">
        <v>446.2</v>
      </c>
      <c r="E1942" s="3" t="n"/>
      <c r="F1942" s="3" t="n"/>
      <c r="G1942" s="9" t="n"/>
      <c r="H1942" s="10" t="n">
        <v>45679.44650462963</v>
      </c>
      <c r="I1942" s="10" t="n">
        <v>45680.61497685185</v>
      </c>
      <c r="J1942" s="10" t="n">
        <v>45680.69244212963</v>
      </c>
      <c r="K1942" s="11" t="n">
        <v>0.07746527777777777</v>
      </c>
      <c r="L1942" s="13" t="n"/>
    </row>
    <row r="1943">
      <c r="A1943" s="3" t="inlineStr">
        <is>
          <t>OutboundTrainPreparation</t>
        </is>
      </c>
      <c r="B1943" s="3" t="inlineStr">
        <is>
          <t>Act_OBTP_OBT220125175314-Wien Kledering_175314_615</t>
        </is>
      </c>
      <c r="C1943" s="3" t="inlineStr">
        <is>
          <t>OBT220125175314-Wien Kledering</t>
        </is>
      </c>
      <c r="D1943" s="9" t="n">
        <v>388.3</v>
      </c>
      <c r="E1943" s="3" t="n"/>
      <c r="F1943" s="3" t="n"/>
      <c r="G1943" s="9" t="n"/>
      <c r="H1943" s="10" t="n">
        <v>45679.74530092593</v>
      </c>
      <c r="I1943" s="10" t="n">
        <v>45680.64006944445</v>
      </c>
      <c r="J1943" s="10" t="n">
        <v>45680.70748842593</v>
      </c>
      <c r="K1943" s="11" t="n">
        <v>0.06741898148148148</v>
      </c>
      <c r="L1943" s="13" t="n"/>
    </row>
    <row r="1944">
      <c r="A1944" s="3" t="inlineStr">
        <is>
          <t>OutboundTrainPreparation</t>
        </is>
      </c>
      <c r="B1944" s="3" t="inlineStr">
        <is>
          <t>Act_OBTP_OBT220125180146-Felixdorf/Sollenau (Bundesheer, Maba)_180146_609</t>
        </is>
      </c>
      <c r="C1944" s="3" t="inlineStr">
        <is>
          <t>OBT220125180146-Felixdorf/Sollenau (Bundesheer, Maba)</t>
        </is>
      </c>
      <c r="D1944" s="9" t="n">
        <v>119.4</v>
      </c>
      <c r="E1944" s="3" t="n"/>
      <c r="F1944" s="3" t="n"/>
      <c r="G1944" s="9" t="n"/>
      <c r="H1944" s="10" t="n">
        <v>45679.75122685185</v>
      </c>
      <c r="I1944" s="10" t="n">
        <v>45680.65077546296</v>
      </c>
      <c r="J1944" s="10" t="n">
        <v>45680.67150462963</v>
      </c>
      <c r="K1944" s="11" t="n">
        <v>0.02072916666666667</v>
      </c>
      <c r="L1944" s="13" t="n"/>
    </row>
    <row r="1945">
      <c r="A1945" s="3" t="inlineStr">
        <is>
          <t>OutboundTrainPreparation</t>
        </is>
      </c>
      <c r="B1945" s="3" t="inlineStr">
        <is>
          <t>Act_OBTP_OBT220125180607-Wr. Neustadt Ausfahrbf (Furtenbach)_180607_613</t>
        </is>
      </c>
      <c r="C1945" s="3" t="inlineStr">
        <is>
          <t>OBT220125180607-Wr. Neustadt Ausfahrbf (Furtenbach)</t>
        </is>
      </c>
      <c r="D1945" s="9" t="n">
        <v>159.2</v>
      </c>
      <c r="E1945" s="3" t="n"/>
      <c r="F1945" s="3" t="n"/>
      <c r="G1945" s="9" t="n"/>
      <c r="H1945" s="10" t="n">
        <v>45679.75424768519</v>
      </c>
      <c r="I1945" s="10" t="n">
        <v>45680.67324074074</v>
      </c>
      <c r="J1945" s="10" t="n">
        <v>45680.70087962963</v>
      </c>
      <c r="K1945" s="11" t="n">
        <v>0.02763888888888889</v>
      </c>
      <c r="L1945" s="13" t="n"/>
    </row>
    <row r="1946">
      <c r="A1946" s="3" t="inlineStr">
        <is>
          <t>OutboundTrainPreparation</t>
        </is>
      </c>
      <c r="B1946" s="3" t="inlineStr">
        <is>
          <t>Act_OBTP_OBT220125181516-Pitten (Hamburger)_181516_619</t>
        </is>
      </c>
      <c r="C1946" s="3" t="inlineStr">
        <is>
          <t>OBT220125181516-Pitten (Hamburger)</t>
        </is>
      </c>
      <c r="D1946" s="9" t="n">
        <v>295.4</v>
      </c>
      <c r="E1946" s="3" t="n"/>
      <c r="F1946" s="3" t="n"/>
      <c r="G1946" s="9" t="n"/>
      <c r="H1946" s="10" t="n">
        <v>45679.76060185185</v>
      </c>
      <c r="I1946" s="10" t="n">
        <v>45680.75005787037</v>
      </c>
      <c r="J1946" s="10" t="n">
        <v>45680.80133101852</v>
      </c>
      <c r="K1946" s="11" t="n">
        <v>0.05127314814814815</v>
      </c>
      <c r="L1946" s="13" t="n"/>
    </row>
    <row r="1947">
      <c r="A1947" s="3" t="inlineStr">
        <is>
          <t>OutboundTrainPreparation</t>
        </is>
      </c>
      <c r="B1947" s="3" t="inlineStr">
        <is>
          <t>Act_OBTP_OBT220125203751-Pitten (Hamburger)_203751_619</t>
        </is>
      </c>
      <c r="C1947" s="3" t="inlineStr">
        <is>
          <t>OBT220125203751-Pitten (Hamburger)</t>
        </is>
      </c>
      <c r="D1947" s="9" t="n">
        <v>107</v>
      </c>
      <c r="E1947" s="3" t="n"/>
      <c r="F1947" s="3" t="n"/>
      <c r="G1947" s="9" t="n"/>
      <c r="H1947" s="10" t="n">
        <v>45679.85961805555</v>
      </c>
      <c r="I1947" s="10" t="n">
        <v>45680.7528587963</v>
      </c>
      <c r="J1947" s="10" t="n">
        <v>45680.77143518518</v>
      </c>
      <c r="K1947" s="11" t="n">
        <v>0.01857638888888889</v>
      </c>
      <c r="L1947" s="13" t="n"/>
    </row>
    <row r="1948">
      <c r="A1948" s="3" t="inlineStr">
        <is>
          <t>OutboundTrainPreparation</t>
        </is>
      </c>
      <c r="B1948" s="3" t="inlineStr">
        <is>
          <t>Act_OBTP_OBT220125204226-Neunkirchen (loading tracks)_204226_623</t>
        </is>
      </c>
      <c r="C1948" s="3" t="inlineStr">
        <is>
          <t>OBT220125204226-Neunkirchen (loading tracks)</t>
        </is>
      </c>
      <c r="D1948" s="9" t="n">
        <v>102.8</v>
      </c>
      <c r="E1948" s="3" t="n"/>
      <c r="F1948" s="3" t="n"/>
      <c r="G1948" s="9" t="n"/>
      <c r="H1948" s="10" t="n">
        <v>45679.86280092593</v>
      </c>
      <c r="I1948" s="10" t="n">
        <v>45680.8828587963</v>
      </c>
      <c r="J1948" s="10" t="n">
        <v>45680.90070601852</v>
      </c>
      <c r="K1948" s="11" t="n">
        <v>0.01784722222222222</v>
      </c>
      <c r="L1948" s="13" t="n"/>
    </row>
    <row r="1949">
      <c r="A1949" s="3" t="inlineStr">
        <is>
          <t>OutboundTrainPreparation</t>
        </is>
      </c>
      <c r="B1949" s="3" t="inlineStr">
        <is>
          <t>Act_OBTP_OBT220125205009-Other sidings local_205009_606</t>
        </is>
      </c>
      <c r="C1949" s="3" t="inlineStr">
        <is>
          <t>OBT220125205009-Other sidings local</t>
        </is>
      </c>
      <c r="D1949" s="9" t="n">
        <v>113.3</v>
      </c>
      <c r="E1949" s="3" t="n"/>
      <c r="F1949" s="3" t="n"/>
      <c r="G1949" s="9" t="n"/>
      <c r="H1949" s="10" t="n">
        <v>45679.86815972222</v>
      </c>
      <c r="I1949" s="10" t="n">
        <v>45681.13284722222</v>
      </c>
      <c r="J1949" s="10" t="n">
        <v>45681.15251157407</v>
      </c>
      <c r="K1949" s="11" t="n">
        <v>0.01966435185185185</v>
      </c>
      <c r="L1949" s="13" t="n"/>
    </row>
    <row r="1950">
      <c r="A1950" s="3" t="inlineStr">
        <is>
          <t>OutboundTrainPreparation</t>
        </is>
      </c>
      <c r="B1950" s="3" t="inlineStr">
        <is>
          <t>Act_OBTP_OBT230125030314-Neunkirchen (loading tracks)_030314_615</t>
        </is>
      </c>
      <c r="C1950" s="3" t="inlineStr">
        <is>
          <t>OBT230125030314-Neunkirchen (loading tracks)</t>
        </is>
      </c>
      <c r="D1950" s="9" t="n">
        <v>123.8</v>
      </c>
      <c r="E1950" s="3" t="n"/>
      <c r="F1950" s="3" t="n"/>
      <c r="G1950" s="9" t="n"/>
      <c r="H1950" s="10" t="n">
        <v>45680.12724537037</v>
      </c>
      <c r="I1950" s="10" t="n">
        <v>45681.19891203703</v>
      </c>
      <c r="J1950" s="10" t="n">
        <v>45681.22040509259</v>
      </c>
      <c r="K1950" s="11" t="n">
        <v>0.02149305555555556</v>
      </c>
      <c r="L1950" s="13" t="n"/>
    </row>
    <row r="1951">
      <c r="A1951" s="3" t="inlineStr">
        <is>
          <t>OutboundTrainPreparation</t>
        </is>
      </c>
      <c r="B1951" s="3" t="inlineStr">
        <is>
          <t>Act_OBTP_OBT230125030603-Ternitz (Schoeller-Bleckmann)_030603_621</t>
        </is>
      </c>
      <c r="C1951" s="3" t="inlineStr">
        <is>
          <t>OBT230125030603-Ternitz (Schoeller-Bleckmann)</t>
        </is>
      </c>
      <c r="D1951" s="9" t="n">
        <v>107.9</v>
      </c>
      <c r="E1951" s="3" t="n"/>
      <c r="F1951" s="3" t="n"/>
      <c r="G1951" s="9" t="n"/>
      <c r="H1951" s="10" t="n">
        <v>45680.12920138889</v>
      </c>
      <c r="I1951" s="10" t="n">
        <v>45681.2693287037</v>
      </c>
      <c r="J1951" s="10" t="n">
        <v>45681.28805555555</v>
      </c>
      <c r="K1951" s="11" t="n">
        <v>0.01872685185185185</v>
      </c>
      <c r="L1951" s="13" t="n"/>
    </row>
    <row r="1952">
      <c r="A1952" s="3" t="inlineStr">
        <is>
          <t>OutboundTrainPreparation</t>
        </is>
      </c>
      <c r="B1952" s="3" t="inlineStr">
        <is>
          <t>Act_OBTP_OBT230125063522-Wien Kledering_063522_625</t>
        </is>
      </c>
      <c r="C1952" s="3" t="inlineStr">
        <is>
          <t>OBT230125063522-Wien Kledering</t>
        </is>
      </c>
      <c r="D1952" s="9" t="n">
        <v>144.4</v>
      </c>
      <c r="E1952" s="3" t="n"/>
      <c r="F1952" s="3" t="n"/>
      <c r="G1952" s="9" t="n"/>
      <c r="H1952" s="10" t="n">
        <v>45680.27456018519</v>
      </c>
      <c r="I1952" s="10" t="n">
        <v>45681.3009375</v>
      </c>
      <c r="J1952" s="10" t="n">
        <v>45681.32601851852</v>
      </c>
      <c r="K1952" s="11" t="n">
        <v>0.02508101851851852</v>
      </c>
      <c r="L1952" s="13" t="n"/>
    </row>
    <row r="1953">
      <c r="A1953" s="3" t="inlineStr">
        <is>
          <t>OutboundTrainPreparation</t>
        </is>
      </c>
      <c r="B1953" s="3" t="inlineStr">
        <is>
          <t>Act_OBTP_OBT230125071649-Other sidings south_071649_615</t>
        </is>
      </c>
      <c r="C1953" s="3" t="inlineStr">
        <is>
          <t>OBT230125071649-Other sidings south</t>
        </is>
      </c>
      <c r="D1953" s="9" t="n">
        <v>117.8</v>
      </c>
      <c r="E1953" s="3" t="n"/>
      <c r="F1953" s="3" t="n"/>
      <c r="G1953" s="9" t="n"/>
      <c r="H1953" s="10" t="n">
        <v>45680.30334490741</v>
      </c>
      <c r="I1953" s="10" t="n">
        <v>45681.31454861111</v>
      </c>
      <c r="J1953" s="10" t="n">
        <v>45681.335</v>
      </c>
      <c r="K1953" s="11" t="n">
        <v>0.02045138888888889</v>
      </c>
      <c r="L1953" s="13" t="n"/>
    </row>
    <row r="1954">
      <c r="A1954" s="3" t="inlineStr">
        <is>
          <t>OutboundTrainPreparation</t>
        </is>
      </c>
      <c r="B1954" s="3" t="inlineStr">
        <is>
          <t>Act_OBTP_OBT230125090110-Wien Kledering_090110_627</t>
        </is>
      </c>
      <c r="C1954" s="3" t="inlineStr">
        <is>
          <t>OBT230125090110-Wien Kledering</t>
        </is>
      </c>
      <c r="D1954" s="9" t="n">
        <v>177.8</v>
      </c>
      <c r="E1954" s="3" t="n"/>
      <c r="F1954" s="3" t="n"/>
      <c r="G1954" s="9" t="n"/>
      <c r="H1954" s="10" t="n">
        <v>45680.37581018519</v>
      </c>
      <c r="I1954" s="10" t="n">
        <v>45681.33265046297</v>
      </c>
      <c r="J1954" s="10" t="n">
        <v>45681.36351851852</v>
      </c>
      <c r="K1954" s="11" t="n">
        <v>0.03086805555555555</v>
      </c>
      <c r="L1954" s="13" t="n"/>
    </row>
    <row r="1955">
      <c r="A1955" s="3" t="inlineStr">
        <is>
          <t>OutboundTrainPreparation</t>
        </is>
      </c>
      <c r="B1955" s="3" t="inlineStr">
        <is>
          <t>Act_OBTP_OBT230125090423-St. Veit an der Glan_090423_605</t>
        </is>
      </c>
      <c r="C1955" s="3" t="inlineStr">
        <is>
          <t>OBT230125090423-St. Veit an der Glan</t>
        </is>
      </c>
      <c r="D1955" s="9" t="n">
        <v>218.7</v>
      </c>
      <c r="E1955" s="3" t="n"/>
      <c r="F1955" s="3" t="n"/>
      <c r="G1955" s="9" t="n"/>
      <c r="H1955" s="10" t="n">
        <v>45680.37804398148</v>
      </c>
      <c r="I1955" s="10" t="n">
        <v>45681.37797453703</v>
      </c>
      <c r="J1955" s="10" t="n">
        <v>45681.41594907407</v>
      </c>
      <c r="K1955" s="11" t="n">
        <v>0.03797453703703704</v>
      </c>
      <c r="L1955" s="13" t="n"/>
    </row>
    <row r="1956">
      <c r="A1956" s="3" t="inlineStr">
        <is>
          <t>OutboundTrainPreparation</t>
        </is>
      </c>
      <c r="B1956" s="3" t="inlineStr">
        <is>
          <t>Act_OBTP_OBT230125095448-Neudörfl (FunderMax)_095448_617</t>
        </is>
      </c>
      <c r="C1956" s="3" t="inlineStr">
        <is>
          <t>OBT230125095448-Neudörfl (FunderMax)</t>
        </is>
      </c>
      <c r="D1956" s="9" t="n">
        <v>152.3</v>
      </c>
      <c r="E1956" s="3" t="n"/>
      <c r="F1956" s="3" t="n"/>
      <c r="G1956" s="9" t="n"/>
      <c r="H1956" s="10" t="n">
        <v>45680.41305555555</v>
      </c>
      <c r="I1956" s="10" t="n">
        <v>45681.40077546296</v>
      </c>
      <c r="J1956" s="10" t="n">
        <v>45681.42721064815</v>
      </c>
      <c r="K1956" s="11" t="n">
        <v>0.02643518518518519</v>
      </c>
      <c r="L1956" s="13" t="n"/>
    </row>
    <row r="1957">
      <c r="A1957" s="3" t="inlineStr">
        <is>
          <t>OutboundTrainPreparation</t>
        </is>
      </c>
      <c r="B1957" s="3" t="inlineStr">
        <is>
          <t>Act_OBTP_OBT230125095729-Other sidings north_095729_629</t>
        </is>
      </c>
      <c r="C1957" s="3" t="inlineStr">
        <is>
          <t>OBT230125095729-Other sidings north</t>
        </is>
      </c>
      <c r="D1957" s="9" t="n">
        <v>165</v>
      </c>
      <c r="E1957" s="3" t="n"/>
      <c r="F1957" s="3" t="n"/>
      <c r="G1957" s="9" t="n"/>
      <c r="H1957" s="10" t="n">
        <v>45680.41491898148</v>
      </c>
      <c r="I1957" s="10" t="n">
        <v>45681.42479166666</v>
      </c>
      <c r="J1957" s="10" t="n">
        <v>45681.4534375</v>
      </c>
      <c r="K1957" s="11" t="n">
        <v>0.02864583333333333</v>
      </c>
      <c r="L1957" s="13" t="n"/>
    </row>
    <row r="1958">
      <c r="A1958" s="3" t="inlineStr">
        <is>
          <t>OutboundTrainPreparation</t>
        </is>
      </c>
      <c r="B1958" s="3" t="inlineStr">
        <is>
          <t>Act_OBTP_OBT230125100554-Pitten (Hamburger)_100554_619</t>
        </is>
      </c>
      <c r="C1958" s="3" t="inlineStr">
        <is>
          <t>OBT230125100554-Pitten (Hamburger)</t>
        </is>
      </c>
      <c r="D1958" s="9" t="n">
        <v>176.9</v>
      </c>
      <c r="E1958" s="3" t="n"/>
      <c r="F1958" s="3" t="n"/>
      <c r="G1958" s="9" t="n"/>
      <c r="H1958" s="10" t="n">
        <v>45680.42076388889</v>
      </c>
      <c r="I1958" s="10" t="n">
        <v>45681.55319444444</v>
      </c>
      <c r="J1958" s="10" t="n">
        <v>45681.58391203704</v>
      </c>
      <c r="K1958" s="11" t="n">
        <v>0.03071759259259259</v>
      </c>
      <c r="L1958" s="13" t="n"/>
    </row>
    <row r="1959">
      <c r="A1959" s="3" t="inlineStr">
        <is>
          <t>OutboundTrainPreparation</t>
        </is>
      </c>
      <c r="B1959" s="3" t="inlineStr">
        <is>
          <t>Act_OBTP_OBT230125105334-Wien Kledering_105334_621</t>
        </is>
      </c>
      <c r="C1959" s="3" t="inlineStr">
        <is>
          <t>OBT230125105334-Wien Kledering</t>
        </is>
      </c>
      <c r="D1959" s="9" t="n">
        <v>407.8</v>
      </c>
      <c r="E1959" s="3" t="n"/>
      <c r="F1959" s="3" t="n"/>
      <c r="G1959" s="9" t="n"/>
      <c r="H1959" s="10" t="n">
        <v>45680.45386574074</v>
      </c>
      <c r="I1959" s="10" t="n">
        <v>45681.61537037037</v>
      </c>
      <c r="J1959" s="10" t="n">
        <v>45681.68616898148</v>
      </c>
      <c r="K1959" s="11" t="n">
        <v>0.07079861111111112</v>
      </c>
      <c r="L1959" s="13" t="n"/>
    </row>
    <row r="1960">
      <c r="A1960" s="3" t="inlineStr">
        <is>
          <t>OutboundTrainPreparation</t>
        </is>
      </c>
      <c r="B1960" s="3" t="inlineStr">
        <is>
          <t>Act_OBTP_OBT230125144630-Wien Kledering_144630_611</t>
        </is>
      </c>
      <c r="C1960" s="3" t="inlineStr">
        <is>
          <t>OBT230125144630-Wien Kledering</t>
        </is>
      </c>
      <c r="D1960" s="9" t="n">
        <v>396.6</v>
      </c>
      <c r="E1960" s="3" t="n"/>
      <c r="F1960" s="3" t="n"/>
      <c r="G1960" s="9" t="n"/>
      <c r="H1960" s="10" t="n">
        <v>45680.615625</v>
      </c>
      <c r="I1960" s="10" t="n">
        <v>45681.65070601852</v>
      </c>
      <c r="J1960" s="10" t="n">
        <v>45681.71954861111</v>
      </c>
      <c r="K1960" s="11" t="n">
        <v>0.06884259259259259</v>
      </c>
      <c r="L1960" s="13" t="n"/>
    </row>
    <row r="1961">
      <c r="A1961" s="3" t="inlineStr">
        <is>
          <t>OutboundTrainPreparation</t>
        </is>
      </c>
      <c r="B1961" s="3" t="inlineStr">
        <is>
          <t>Act_OBTP_OBT230125174306-Other sidings north_174306_629</t>
        </is>
      </c>
      <c r="C1961" s="3" t="inlineStr">
        <is>
          <t>OBT230125174306-Other sidings north</t>
        </is>
      </c>
      <c r="D1961" s="9" t="n">
        <v>130.2</v>
      </c>
      <c r="E1961" s="3" t="n"/>
      <c r="F1961" s="3" t="n"/>
      <c r="G1961" s="9" t="n"/>
      <c r="H1961" s="10" t="n">
        <v>45680.73826388889</v>
      </c>
      <c r="I1961" s="10" t="n">
        <v>45681.65447916667</v>
      </c>
      <c r="J1961" s="10" t="n">
        <v>45681.67707175926</v>
      </c>
      <c r="K1961" s="11" t="n">
        <v>0.02259259259259259</v>
      </c>
      <c r="L1961" s="13" t="n"/>
    </row>
    <row r="1962">
      <c r="A1962" s="3" t="inlineStr">
        <is>
          <t>OutboundTrainPreparation</t>
        </is>
      </c>
      <c r="B1962" s="3" t="inlineStr">
        <is>
          <t>Act_OBTP_OBT230125175458-Wr. Neustadt Ausfahrbf (Furtenbach)_175458_607</t>
        </is>
      </c>
      <c r="C1962" s="3" t="inlineStr">
        <is>
          <t>OBT230125175458-Wr. Neustadt Ausfahrbf (Furtenbach)</t>
        </is>
      </c>
      <c r="D1962" s="9" t="n">
        <v>106.9</v>
      </c>
      <c r="E1962" s="3" t="n"/>
      <c r="F1962" s="3" t="n"/>
      <c r="G1962" s="9" t="n"/>
      <c r="H1962" s="10" t="n">
        <v>45680.74650462963</v>
      </c>
      <c r="I1962" s="10" t="n">
        <v>45681.73866898148</v>
      </c>
      <c r="J1962" s="10" t="n">
        <v>45681.7572337963</v>
      </c>
      <c r="K1962" s="11" t="n">
        <v>0.01856481481481482</v>
      </c>
      <c r="L1962" s="13" t="n"/>
    </row>
    <row r="1963">
      <c r="A1963" s="3" t="inlineStr">
        <is>
          <t>OutboundTrainPreparation</t>
        </is>
      </c>
      <c r="B1963" s="3" t="inlineStr">
        <is>
          <t>Act_OBTP_OBT230125175919-Pitten (Hamburger)_175919_613</t>
        </is>
      </c>
      <c r="C1963" s="3" t="inlineStr">
        <is>
          <t>OBT230125175919-Pitten (Hamburger)</t>
        </is>
      </c>
      <c r="D1963" s="9" t="n">
        <v>117.7</v>
      </c>
      <c r="E1963" s="3" t="n"/>
      <c r="F1963" s="3" t="n"/>
      <c r="G1963" s="9" t="n"/>
      <c r="H1963" s="10" t="n">
        <v>45680.74952546296</v>
      </c>
      <c r="I1963" s="10" t="n">
        <v>45681.74197916667</v>
      </c>
      <c r="J1963" s="10" t="n">
        <v>45681.7624074074</v>
      </c>
      <c r="K1963" s="11" t="n">
        <v>0.02042824074074074</v>
      </c>
      <c r="L1963" s="13" t="n"/>
    </row>
    <row r="1964">
      <c r="A1964" s="3" t="inlineStr">
        <is>
          <t>OutboundTrainPreparation</t>
        </is>
      </c>
      <c r="B1964" s="3" t="inlineStr">
        <is>
          <t>Act_OBTP_OBT230125211356-Wien Kledering_211356_609</t>
        </is>
      </c>
      <c r="C1964" s="3" t="inlineStr">
        <is>
          <t>OBT230125211356-Wien Kledering</t>
        </is>
      </c>
      <c r="D1964" s="9" t="n">
        <v>140.2</v>
      </c>
      <c r="E1964" s="3" t="n"/>
      <c r="F1964" s="3" t="n"/>
      <c r="G1964" s="9" t="n"/>
      <c r="H1964" s="10" t="n">
        <v>45680.88467592592</v>
      </c>
      <c r="I1964" s="10" t="n">
        <v>45682.09043981481</v>
      </c>
      <c r="J1964" s="10" t="n">
        <v>45682.11478009259</v>
      </c>
      <c r="K1964" s="11" t="n">
        <v>0.02434027777777778</v>
      </c>
      <c r="L1964" s="13" t="n"/>
    </row>
    <row r="1965">
      <c r="A1965" s="3" t="inlineStr">
        <is>
          <t>OutboundTrainPreparation</t>
        </is>
      </c>
      <c r="B1965" s="3" t="inlineStr">
        <is>
          <t>Act_OBTP_OBT240125030555-Neunkirchen (loading tracks)_030555_619</t>
        </is>
      </c>
      <c r="C1965" s="3" t="inlineStr">
        <is>
          <t>OBT240125030555-Neunkirchen (loading tracks)</t>
        </is>
      </c>
      <c r="D1965" s="9" t="n">
        <v>164.7</v>
      </c>
      <c r="E1965" s="3" t="n"/>
      <c r="F1965" s="3" t="n"/>
      <c r="G1965" s="9" t="n"/>
      <c r="H1965" s="10" t="n">
        <v>45681.1291087963</v>
      </c>
      <c r="I1965" s="10" t="n">
        <v>45683.76060185185</v>
      </c>
      <c r="J1965" s="10" t="n">
        <v>45683.78920138889</v>
      </c>
      <c r="K1965" s="11" t="n">
        <v>0.02859953703703704</v>
      </c>
      <c r="L1965" s="13" t="n"/>
    </row>
    <row r="1966">
      <c r="A1966" s="3" t="inlineStr">
        <is>
          <t>OutboundTrainPreparation</t>
        </is>
      </c>
      <c r="B1966" s="3" t="inlineStr">
        <is>
          <t>Act_OBTP_OBT240125031427-Wr. Neustadt (Hödlmayr)_031427_615</t>
        </is>
      </c>
      <c r="C1966" s="3" t="inlineStr">
        <is>
          <t>OBT240125031427-Wr. Neustadt (Hödlmayr)</t>
        </is>
      </c>
      <c r="D1966" s="9" t="n">
        <v>143.8</v>
      </c>
      <c r="E1966" s="3" t="n"/>
      <c r="F1966" s="3" t="n"/>
      <c r="G1966" s="9" t="n"/>
      <c r="H1966" s="10" t="n">
        <v>45681.13503472223</v>
      </c>
      <c r="I1966" s="10" t="n">
        <v>45684.1284837963</v>
      </c>
      <c r="J1966" s="10" t="n">
        <v>45684.1534375</v>
      </c>
      <c r="K1966" s="11" t="n">
        <v>0.0249537037037037</v>
      </c>
      <c r="L1966" s="13" t="n"/>
    </row>
    <row r="1967">
      <c r="A1967" s="3" t="inlineStr">
        <is>
          <t>OutboundTrainPreparation</t>
        </is>
      </c>
      <c r="B1967" s="3" t="inlineStr">
        <is>
          <t>Act_OBTP_OBT240125044723-Neudörfl (FunderMax)_044723_623</t>
        </is>
      </c>
      <c r="C1967" s="3" t="inlineStr">
        <is>
          <t>OBT240125044723-Neudörfl (FunderMax)</t>
        </is>
      </c>
      <c r="D1967" s="9" t="n">
        <v>118.2</v>
      </c>
      <c r="E1967" s="3" t="n"/>
      <c r="F1967" s="3" t="n"/>
      <c r="G1967" s="9" t="n"/>
      <c r="H1967" s="10" t="n">
        <v>45681.19957175926</v>
      </c>
      <c r="I1967" s="10" t="n">
        <v>45684.20037037037</v>
      </c>
      <c r="J1967" s="10" t="n">
        <v>45684.2208912037</v>
      </c>
      <c r="K1967" s="11" t="n">
        <v>0.02052083333333333</v>
      </c>
      <c r="L1967" s="13" t="n"/>
    </row>
    <row r="1968">
      <c r="A1968" s="3" t="inlineStr">
        <is>
          <t>OutboundTrainPreparation</t>
        </is>
      </c>
      <c r="B1968" s="3" t="inlineStr">
        <is>
          <t>Act_OBTP_OBT240125062847-Wien Kledering_062847_615</t>
        </is>
      </c>
      <c r="C1968" s="3" t="inlineStr">
        <is>
          <t>OBT240125062847-Wien Kledering</t>
        </is>
      </c>
      <c r="D1968" s="9" t="n">
        <v>297</v>
      </c>
      <c r="E1968" s="3" t="n"/>
      <c r="F1968" s="3" t="n"/>
      <c r="G1968" s="9" t="n"/>
      <c r="H1968" s="10" t="n">
        <v>45681.26998842593</v>
      </c>
      <c r="I1968" s="10" t="n">
        <v>45684.28619212963</v>
      </c>
      <c r="J1968" s="10" t="n">
        <v>45684.33775462963</v>
      </c>
      <c r="K1968" s="11" t="n">
        <v>0.0515625</v>
      </c>
      <c r="L1968" s="13" t="n"/>
    </row>
    <row r="1969">
      <c r="A1969" s="3" t="inlineStr">
        <is>
          <t>OutboundTrainPreparation</t>
        </is>
      </c>
      <c r="B1969" s="3" t="inlineStr">
        <is>
          <t>Act_OBTP_OBT240125071418-Wien Kledering_071418_606</t>
        </is>
      </c>
      <c r="C1969" s="3" t="inlineStr">
        <is>
          <t>OBT240125071418-Wien Kledering</t>
        </is>
      </c>
      <c r="D1969" s="9" t="n">
        <v>240.4</v>
      </c>
      <c r="E1969" s="3" t="n"/>
      <c r="F1969" s="3" t="n"/>
      <c r="G1969" s="9" t="n"/>
      <c r="H1969" s="10" t="n">
        <v>45681.30159722222</v>
      </c>
      <c r="I1969" s="10" t="n">
        <v>45684.32334490741</v>
      </c>
      <c r="J1969" s="10" t="n">
        <v>45684.36508101852</v>
      </c>
      <c r="K1969" s="11" t="n">
        <v>0.04173611111111111</v>
      </c>
      <c r="L1969" s="13" t="n"/>
    </row>
    <row r="1970">
      <c r="A1970" s="3" t="inlineStr">
        <is>
          <t>OutboundTrainPreparation</t>
        </is>
      </c>
      <c r="B1970" s="3" t="inlineStr">
        <is>
          <t>Act_OBTP_OBT240125090519-Wien Kledering_090519_627</t>
        </is>
      </c>
      <c r="C1970" s="3" t="inlineStr">
        <is>
          <t>OBT240125090519-Wien Kledering</t>
        </is>
      </c>
      <c r="D1970" s="9" t="n">
        <v>111.4</v>
      </c>
      <c r="E1970" s="3" t="n"/>
      <c r="F1970" s="3" t="n"/>
      <c r="G1970" s="9" t="n"/>
      <c r="H1970" s="10" t="n">
        <v>45681.37869212963</v>
      </c>
      <c r="I1970" s="10" t="n">
        <v>45684.32550925926</v>
      </c>
      <c r="J1970" s="10" t="n">
        <v>45684.34484953704</v>
      </c>
      <c r="K1970" s="11" t="n">
        <v>0.01934027777777778</v>
      </c>
      <c r="L1970" s="13" t="n"/>
    </row>
    <row r="1971">
      <c r="A1971" s="3" t="inlineStr">
        <is>
          <t>OutboundTrainPreparation</t>
        </is>
      </c>
      <c r="B1971" s="3" t="inlineStr">
        <is>
          <t>Act_OBTP_OBT240125093343-Pitten (Hamburger)_093343_625</t>
        </is>
      </c>
      <c r="C1971" s="3" t="inlineStr">
        <is>
          <t>OBT240125093343-Pitten (Hamburger)</t>
        </is>
      </c>
      <c r="D1971" s="9" t="n">
        <v>178.4</v>
      </c>
      <c r="E1971" s="3" t="n"/>
      <c r="F1971" s="3" t="n"/>
      <c r="G1971" s="9" t="n"/>
      <c r="H1971" s="10" t="n">
        <v>45681.39841435185</v>
      </c>
      <c r="I1971" s="10" t="n">
        <v>45684.33965277778</v>
      </c>
      <c r="J1971" s="10" t="n">
        <v>45684.370625</v>
      </c>
      <c r="K1971" s="11" t="n">
        <v>0.03097222222222222</v>
      </c>
      <c r="L1971" s="13" t="n"/>
    </row>
    <row r="1972">
      <c r="A1972" s="3" t="inlineStr">
        <is>
          <t>OutboundTrainPreparation</t>
        </is>
      </c>
      <c r="B1972" s="3" t="inlineStr">
        <is>
          <t>Act_OBTP_OBT240125101450-St. Veit an der Glan_101450_615</t>
        </is>
      </c>
      <c r="C1972" s="3" t="inlineStr">
        <is>
          <t>OBT240125101450-St. Veit an der Glan</t>
        </is>
      </c>
      <c r="D1972" s="9" t="n">
        <v>139.3</v>
      </c>
      <c r="E1972" s="3" t="n"/>
      <c r="F1972" s="3" t="n"/>
      <c r="G1972" s="9" t="n"/>
      <c r="H1972" s="10" t="n">
        <v>45681.42696759259</v>
      </c>
      <c r="I1972" s="10" t="n">
        <v>45684.36520833334</v>
      </c>
      <c r="J1972" s="10" t="n">
        <v>45684.38939814815</v>
      </c>
      <c r="K1972" s="11" t="n">
        <v>0.02418981481481481</v>
      </c>
      <c r="L1972" s="13" t="n"/>
    </row>
    <row r="1973">
      <c r="A1973" s="3" t="inlineStr">
        <is>
          <t>OutboundTrainPreparation</t>
        </is>
      </c>
      <c r="B1973" s="3" t="inlineStr">
        <is>
          <t>Act_OBTP_OBT240125131735-Wien Kledering_131735_605</t>
        </is>
      </c>
      <c r="C1973" s="3" t="inlineStr">
        <is>
          <t>OBT240125131735-Wien Kledering</t>
        </is>
      </c>
      <c r="D1973" s="9" t="n">
        <v>177.5</v>
      </c>
      <c r="E1973" s="3" t="n"/>
      <c r="F1973" s="3" t="n"/>
      <c r="G1973" s="9" t="n"/>
      <c r="H1973" s="10" t="n">
        <v>45681.55387731481</v>
      </c>
      <c r="I1973" s="10" t="n">
        <v>45684.39259259259</v>
      </c>
      <c r="J1973" s="10" t="n">
        <v>45684.42341435186</v>
      </c>
      <c r="K1973" s="11" t="n">
        <v>0.03082175925925926</v>
      </c>
      <c r="L1973" s="13" t="n"/>
    </row>
    <row r="1974">
      <c r="A1974" s="3" t="inlineStr">
        <is>
          <t>OutboundTrainPreparation</t>
        </is>
      </c>
      <c r="B1974" s="3" t="inlineStr">
        <is>
          <t>Act_OBTP_OBT240125144703-Wien Kledering_144703_619</t>
        </is>
      </c>
      <c r="C1974" s="3" t="inlineStr">
        <is>
          <t>OBT240125144703-Wien Kledering</t>
        </is>
      </c>
      <c r="D1974" s="9" t="n">
        <v>296.1</v>
      </c>
      <c r="E1974" s="3" t="n"/>
      <c r="F1974" s="3" t="n"/>
      <c r="G1974" s="9" t="n"/>
      <c r="H1974" s="10" t="n">
        <v>45681.61600694444</v>
      </c>
      <c r="I1974" s="10" t="n">
        <v>45684.45369212963</v>
      </c>
      <c r="J1974" s="10" t="n">
        <v>45684.50509259259</v>
      </c>
      <c r="K1974" s="11" t="n">
        <v>0.05140046296296296</v>
      </c>
      <c r="L1974" s="13" t="n"/>
    </row>
    <row r="1975">
      <c r="A1975" s="3" t="inlineStr">
        <is>
          <t>OutboundTrainPreparation</t>
        </is>
      </c>
      <c r="B1975" s="3" t="inlineStr">
        <is>
          <t>Act_OBTP_OBT240125152920-Pitten (Hamburger)_152920_629</t>
        </is>
      </c>
      <c r="C1975" s="3" t="inlineStr">
        <is>
          <t>OBT240125152920-Pitten (Hamburger)</t>
        </is>
      </c>
      <c r="D1975" s="9" t="n">
        <v>101.9</v>
      </c>
      <c r="E1975" s="3" t="n"/>
      <c r="F1975" s="3" t="n"/>
      <c r="G1975" s="9" t="n"/>
      <c r="H1975" s="10" t="n">
        <v>45681.64537037037</v>
      </c>
      <c r="I1975" s="10" t="n">
        <v>45684.53989583333</v>
      </c>
      <c r="J1975" s="10" t="n">
        <v>45684.5575925926</v>
      </c>
      <c r="K1975" s="11" t="n">
        <v>0.01769675925925926</v>
      </c>
      <c r="L1975" s="13" t="n"/>
    </row>
    <row r="1976">
      <c r="A1976" s="3" t="inlineStr">
        <is>
          <t>OutboundTrainPreparation</t>
        </is>
      </c>
      <c r="B1976" s="3" t="inlineStr">
        <is>
          <t>Act_OBTP_OBT240125174436-Wien Kledering_174436_611</t>
        </is>
      </c>
      <c r="C1976" s="3" t="inlineStr">
        <is>
          <t>OBT240125174436-Wien Kledering</t>
        </is>
      </c>
      <c r="D1976" s="9" t="n">
        <v>134.7</v>
      </c>
      <c r="E1976" s="3" t="n"/>
      <c r="F1976" s="3" t="n"/>
      <c r="G1976" s="9" t="n"/>
      <c r="H1976" s="10" t="n">
        <v>45681.73930555556</v>
      </c>
      <c r="I1976" s="10" t="n">
        <v>45684.61123842592</v>
      </c>
      <c r="J1976" s="10" t="n">
        <v>45684.63461805556</v>
      </c>
      <c r="K1976" s="11" t="n">
        <v>0.02337962962962963</v>
      </c>
      <c r="L1976" s="13" t="n"/>
    </row>
    <row r="1977">
      <c r="A1977" s="3" t="inlineStr">
        <is>
          <t>OutboundTrainPreparation</t>
        </is>
      </c>
      <c r="B1977" s="3" t="inlineStr">
        <is>
          <t>Act_OBTP_OBT240125174924-Wien Kledering_174924_621</t>
        </is>
      </c>
      <c r="C1977" s="3" t="inlineStr">
        <is>
          <t>OBT240125174924-Wien Kledering</t>
        </is>
      </c>
      <c r="D1977" s="9" t="n">
        <v>232.4</v>
      </c>
      <c r="E1977" s="3" t="n"/>
      <c r="F1977" s="3" t="n"/>
      <c r="G1977" s="9" t="n"/>
      <c r="H1977" s="10" t="n">
        <v>45681.74263888889</v>
      </c>
      <c r="I1977" s="10" t="n">
        <v>45684.65190972222</v>
      </c>
      <c r="J1977" s="10" t="n">
        <v>45684.69225694444</v>
      </c>
      <c r="K1977" s="11" t="n">
        <v>0.04034722222222222</v>
      </c>
      <c r="L1977" s="13" t="n"/>
    </row>
    <row r="1978">
      <c r="A1978" s="3" t="inlineStr">
        <is>
          <t>OutboundTrainPreparation</t>
        </is>
      </c>
      <c r="B1978" s="3" t="inlineStr">
        <is>
          <t>Act_OBTP_OBT250125020542-Pitten (Hamburger)_020542_613</t>
        </is>
      </c>
      <c r="C1978" s="3" t="inlineStr">
        <is>
          <t>OBT250125020542-Pitten (Hamburger)</t>
        </is>
      </c>
      <c r="D1978" s="9" t="n">
        <v>389.1</v>
      </c>
      <c r="E1978" s="3" t="n"/>
      <c r="F1978" s="3" t="n"/>
      <c r="G1978" s="9" t="n"/>
      <c r="H1978" s="10" t="n">
        <v>45682.08729166666</v>
      </c>
      <c r="I1978" s="10" t="n">
        <v>45684.67938657408</v>
      </c>
      <c r="J1978" s="10" t="n">
        <v>45684.74693287037</v>
      </c>
      <c r="K1978" s="11" t="n">
        <v>0.0675462962962963</v>
      </c>
      <c r="L1978" s="13" t="n"/>
    </row>
    <row r="1979">
      <c r="A1979" s="3" t="inlineStr">
        <is>
          <t>OutboundTrainPreparation</t>
        </is>
      </c>
      <c r="B1979" s="3" t="inlineStr">
        <is>
          <t>Act_OBTP_OBT250125021114-Pitten (Hamburger)_021114_629</t>
        </is>
      </c>
      <c r="C1979" s="3" t="inlineStr">
        <is>
          <t>OBT250125021114-Pitten (Hamburger)</t>
        </is>
      </c>
      <c r="D1979" s="9" t="n">
        <v>155.9</v>
      </c>
      <c r="E1979" s="3" t="n"/>
      <c r="F1979" s="3" t="n"/>
      <c r="G1979" s="9" t="n"/>
      <c r="H1979" s="10" t="n">
        <v>45682.09113425926</v>
      </c>
      <c r="I1979" s="10" t="n">
        <v>45684.74144675926</v>
      </c>
      <c r="J1979" s="10" t="n">
        <v>45684.76851851852</v>
      </c>
      <c r="K1979" s="11" t="n">
        <v>0.02707175925925926</v>
      </c>
      <c r="L1979" s="13" t="n"/>
    </row>
    <row r="1980">
      <c r="A1980" s="3" t="inlineStr">
        <is>
          <t>OutboundTrainPreparation</t>
        </is>
      </c>
      <c r="B1980" s="3" t="inlineStr">
        <is>
          <t>Act_OBTP_OBT260125181348-Pitten (Hamburger)_181348_609</t>
        </is>
      </c>
      <c r="C1980" s="3" t="inlineStr">
        <is>
          <t>OBT260125181348-Pitten (Hamburger)</t>
        </is>
      </c>
      <c r="D1980" s="9" t="n">
        <v>459.5</v>
      </c>
      <c r="E1980" s="3" t="n"/>
      <c r="F1980" s="3" t="n"/>
      <c r="G1980" s="9" t="n"/>
      <c r="H1980" s="10" t="n">
        <v>45683.75958333333</v>
      </c>
      <c r="I1980" s="10" t="n">
        <v>45684.75555555556</v>
      </c>
      <c r="J1980" s="10" t="n">
        <v>45684.83533564815</v>
      </c>
      <c r="K1980" s="11" t="n">
        <v>0.0797800925925926</v>
      </c>
      <c r="L1980" s="13" t="n"/>
    </row>
    <row r="1981">
      <c r="A1981" s="3" t="inlineStr">
        <is>
          <t>OutboundTrainPreparation</t>
        </is>
      </c>
      <c r="B1981" s="3" t="inlineStr">
        <is>
          <t>Act_OBTP_OBT260125181754-Neudörfl (FunderMax)_181754_607</t>
        </is>
      </c>
      <c r="C1981" s="3" t="inlineStr">
        <is>
          <t>OBT260125181754-Neudörfl (FunderMax)</t>
        </is>
      </c>
      <c r="D1981" s="9" t="n">
        <v>138</v>
      </c>
      <c r="E1981" s="3" t="n"/>
      <c r="F1981" s="3" t="n"/>
      <c r="G1981" s="9" t="n"/>
      <c r="H1981" s="10" t="n">
        <v>45683.76243055556</v>
      </c>
      <c r="I1981" s="10" t="n">
        <v>45684.88719907407</v>
      </c>
      <c r="J1981" s="10" t="n">
        <v>45684.9111574074</v>
      </c>
      <c r="K1981" s="11" t="n">
        <v>0.02395833333333333</v>
      </c>
      <c r="L1981" s="13" t="n"/>
    </row>
    <row r="1982">
      <c r="A1982" s="3" t="inlineStr">
        <is>
          <t>OutboundTrainPreparation</t>
        </is>
      </c>
      <c r="B1982" s="3" t="inlineStr">
        <is>
          <t>Act_OBTP_OBT270125030450-Neunkirchen (loading tracks)_030450_617</t>
        </is>
      </c>
      <c r="C1982" s="3" t="inlineStr">
        <is>
          <t>OBT270125030450-Neunkirchen (loading tracks)</t>
        </is>
      </c>
      <c r="D1982" s="9" t="n">
        <v>225.5</v>
      </c>
      <c r="E1982" s="3" t="n"/>
      <c r="F1982" s="3" t="n"/>
      <c r="G1982" s="9" t="n"/>
      <c r="H1982" s="10" t="n">
        <v>45684.12835648148</v>
      </c>
      <c r="I1982" s="10" t="n">
        <v>45685.13552083333</v>
      </c>
      <c r="J1982" s="10" t="n">
        <v>45685.17467592593</v>
      </c>
      <c r="K1982" s="11" t="n">
        <v>0.0391550925925926</v>
      </c>
      <c r="L1982" s="13" t="n"/>
    </row>
    <row r="1983">
      <c r="A1983" s="3" t="inlineStr">
        <is>
          <t>OutboundTrainPreparation</t>
        </is>
      </c>
      <c r="B1983" s="3" t="inlineStr">
        <is>
          <t>Act_OBTP_OBT270125044934-Neudörfl (FunderMax)_044934_615</t>
        </is>
      </c>
      <c r="C1983" s="3" t="inlineStr">
        <is>
          <t>OBT270125044934-Neudörfl (FunderMax)</t>
        </is>
      </c>
      <c r="D1983" s="9" t="n">
        <v>298.2</v>
      </c>
      <c r="E1983" s="3" t="n"/>
      <c r="F1983" s="3" t="n"/>
      <c r="G1983" s="9" t="n"/>
      <c r="H1983" s="10" t="n">
        <v>45684.20108796296</v>
      </c>
      <c r="I1983" s="10" t="n">
        <v>45685.28248842592</v>
      </c>
      <c r="J1983" s="10" t="n">
        <v>45685.33425925926</v>
      </c>
      <c r="K1983" s="11" t="n">
        <v>0.05177083333333334</v>
      </c>
      <c r="L1983" s="13" t="n"/>
    </row>
    <row r="1984">
      <c r="A1984" s="3" t="inlineStr">
        <is>
          <t>OutboundTrainPreparation</t>
        </is>
      </c>
      <c r="B1984" s="3" t="inlineStr">
        <is>
          <t>Act_OBTP_OBT270125065248-Wien Kledering_065248_623</t>
        </is>
      </c>
      <c r="C1984" s="3" t="inlineStr">
        <is>
          <t>OBT270125065248-Wien Kledering</t>
        </is>
      </c>
      <c r="D1984" s="9" t="n">
        <v>284.8</v>
      </c>
      <c r="E1984" s="3" t="n"/>
      <c r="F1984" s="3" t="n"/>
      <c r="G1984" s="9" t="n"/>
      <c r="H1984" s="10" t="n">
        <v>45684.28666666667</v>
      </c>
      <c r="I1984" s="10" t="n">
        <v>45685.32569444444</v>
      </c>
      <c r="J1984" s="10" t="n">
        <v>45685.37513888889</v>
      </c>
      <c r="K1984" s="11" t="n">
        <v>0.04944444444444444</v>
      </c>
      <c r="L1984" s="13" t="n"/>
    </row>
    <row r="1985">
      <c r="A1985" s="3" t="inlineStr">
        <is>
          <t>OutboundTrainPreparation</t>
        </is>
      </c>
      <c r="B1985" s="3" t="inlineStr">
        <is>
          <t>Act_OBTP_OBT270125074356-Other sidings local_074356_629</t>
        </is>
      </c>
      <c r="C1985" s="3" t="inlineStr">
        <is>
          <t>OBT270125074356-Other sidings local</t>
        </is>
      </c>
      <c r="D1985" s="9" t="n">
        <v>106.9</v>
      </c>
      <c r="E1985" s="3" t="n"/>
      <c r="F1985" s="3" t="n"/>
      <c r="G1985" s="9" t="n"/>
      <c r="H1985" s="10" t="n">
        <v>45684.32217592592</v>
      </c>
      <c r="I1985" s="10" t="n">
        <v>45685.32960648148</v>
      </c>
      <c r="J1985" s="10" t="n">
        <v>45685.3481712963</v>
      </c>
      <c r="K1985" s="11" t="n">
        <v>0.01856481481481482</v>
      </c>
      <c r="L1985" s="13" t="n"/>
    </row>
    <row r="1986">
      <c r="A1986" s="3" t="inlineStr">
        <is>
          <t>OutboundTrainPreparation</t>
        </is>
      </c>
      <c r="B1986" s="3" t="inlineStr">
        <is>
          <t>Act_OBTP_OBT270125092111-Pitten (Hamburger)_092111_627</t>
        </is>
      </c>
      <c r="C1986" s="3" t="inlineStr">
        <is>
          <t>OBT270125092111-Pitten (Hamburger)</t>
        </is>
      </c>
      <c r="D1986" s="9" t="n">
        <v>194.9</v>
      </c>
      <c r="E1986" s="3" t="n"/>
      <c r="F1986" s="3" t="n"/>
      <c r="G1986" s="9" t="n"/>
      <c r="H1986" s="10" t="n">
        <v>45684.38971064815</v>
      </c>
      <c r="I1986" s="10" t="n">
        <v>45685.33599537037</v>
      </c>
      <c r="J1986" s="10" t="n">
        <v>45685.36983796296</v>
      </c>
      <c r="K1986" s="11" t="n">
        <v>0.03384259259259259</v>
      </c>
      <c r="L1986" s="13" t="n"/>
    </row>
    <row r="1987">
      <c r="A1987" s="3" t="inlineStr">
        <is>
          <t>OutboundTrainPreparation</t>
        </is>
      </c>
      <c r="B1987" s="3" t="inlineStr">
        <is>
          <t>Act_OBTP_OBT270125105122-Wien Kledering_105122_615</t>
        </is>
      </c>
      <c r="C1987" s="3" t="inlineStr">
        <is>
          <t>OBT270125105122-Wien Kledering</t>
        </is>
      </c>
      <c r="D1987" s="9" t="n">
        <v>394.6</v>
      </c>
      <c r="E1987" s="3" t="n"/>
      <c r="F1987" s="3" t="n"/>
      <c r="G1987" s="9" t="n"/>
      <c r="H1987" s="10" t="n">
        <v>45684.45233796296</v>
      </c>
      <c r="I1987" s="10" t="n">
        <v>45685.39344907407</v>
      </c>
      <c r="J1987" s="10" t="n">
        <v>45685.46195601852</v>
      </c>
      <c r="K1987" s="11" t="n">
        <v>0.06850694444444444</v>
      </c>
      <c r="L1987" s="13" t="n"/>
    </row>
    <row r="1988">
      <c r="A1988" s="3" t="inlineStr">
        <is>
          <t>OutboundTrainPreparation</t>
        </is>
      </c>
      <c r="B1988" s="3" t="inlineStr">
        <is>
          <t>Act_OBTP_OBT270125125831-Wien Kledering_125831_605</t>
        </is>
      </c>
      <c r="C1988" s="3" t="inlineStr">
        <is>
          <t>OBT270125125831-Wien Kledering</t>
        </is>
      </c>
      <c r="D1988" s="9" t="n">
        <v>212.1</v>
      </c>
      <c r="E1988" s="3" t="n"/>
      <c r="F1988" s="3" t="n"/>
      <c r="G1988" s="9" t="n"/>
      <c r="H1988" s="10" t="n">
        <v>45684.54063657407</v>
      </c>
      <c r="I1988" s="10" t="n">
        <v>45685.41371527778</v>
      </c>
      <c r="J1988" s="10" t="n">
        <v>45685.45054398148</v>
      </c>
      <c r="K1988" s="11" t="n">
        <v>0.0368287037037037</v>
      </c>
      <c r="L1988" s="13" t="n"/>
    </row>
    <row r="1989">
      <c r="A1989" s="3" t="inlineStr">
        <is>
          <t>OutboundTrainPreparation</t>
        </is>
      </c>
      <c r="B1989" s="3" t="inlineStr">
        <is>
          <t>Act_OBTP_OBT270125144049-Wien Kledering_144049_619</t>
        </is>
      </c>
      <c r="C1989" s="3" t="inlineStr">
        <is>
          <t>OBT270125144049-Wien Kledering</t>
        </is>
      </c>
      <c r="D1989" s="9" t="n">
        <v>381.6</v>
      </c>
      <c r="E1989" s="3" t="n"/>
      <c r="F1989" s="3" t="n"/>
      <c r="G1989" s="9" t="n"/>
      <c r="H1989" s="10" t="n">
        <v>45684.61167824074</v>
      </c>
      <c r="I1989" s="10" t="n">
        <v>45685.45540509259</v>
      </c>
      <c r="J1989" s="10" t="n">
        <v>45685.52165509259</v>
      </c>
      <c r="K1989" s="11" t="n">
        <v>0.06625</v>
      </c>
      <c r="L1989" s="13" t="n"/>
    </row>
    <row r="1990">
      <c r="A1990" s="3" t="inlineStr">
        <is>
          <t>OutboundTrainPreparation</t>
        </is>
      </c>
      <c r="B1990" s="3" t="inlineStr">
        <is>
          <t>Act_OBTP_OBT270125161730-St. Veit an der Glan_161730_625</t>
        </is>
      </c>
      <c r="C1990" s="3" t="inlineStr">
        <is>
          <t>OBT270125161730-St. Veit an der Glan</t>
        </is>
      </c>
      <c r="D1990" s="9" t="n">
        <v>118.2</v>
      </c>
      <c r="E1990" s="3" t="n"/>
      <c r="F1990" s="3" t="n"/>
      <c r="G1990" s="9" t="n"/>
      <c r="H1990" s="10" t="n">
        <v>45684.67881944445</v>
      </c>
      <c r="I1990" s="10" t="n">
        <v>45685.55023148148</v>
      </c>
      <c r="J1990" s="10" t="n">
        <v>45685.57075231482</v>
      </c>
      <c r="K1990" s="11" t="n">
        <v>0.02052083333333333</v>
      </c>
      <c r="L1990" s="13" t="n"/>
    </row>
    <row r="1991">
      <c r="A1991" s="3" t="inlineStr">
        <is>
          <t>OutboundTrainPreparation</t>
        </is>
      </c>
      <c r="B1991" s="3" t="inlineStr">
        <is>
          <t>Act_OBTP_OBT270125162126-Wien Kledering_162126_606</t>
        </is>
      </c>
      <c r="C1991" s="3" t="inlineStr">
        <is>
          <t>OBT270125162126-Wien Kledering</t>
        </is>
      </c>
      <c r="D1991" s="9" t="n">
        <v>321.5</v>
      </c>
      <c r="E1991" s="3" t="n"/>
      <c r="F1991" s="3" t="n"/>
      <c r="G1991" s="9" t="n"/>
      <c r="H1991" s="10" t="n">
        <v>45684.68155092592</v>
      </c>
      <c r="I1991" s="10" t="n">
        <v>45685.60773148148</v>
      </c>
      <c r="J1991" s="10" t="n">
        <v>45685.66355324074</v>
      </c>
      <c r="K1991" s="11" t="n">
        <v>0.05582175925925926</v>
      </c>
      <c r="L1991" s="13" t="n"/>
    </row>
    <row r="1992">
      <c r="A1992" s="3" t="inlineStr">
        <is>
          <t>OutboundTrainPreparation</t>
        </is>
      </c>
      <c r="B1992" s="3" t="inlineStr">
        <is>
          <t>Act_OBTP_OBT270125174840-Wien Kledering_174840_611</t>
        </is>
      </c>
      <c r="C1992" s="3" t="inlineStr">
        <is>
          <t>OBT270125174840-Wien Kledering</t>
        </is>
      </c>
      <c r="D1992" s="9" t="n">
        <v>232.4</v>
      </c>
      <c r="E1992" s="3" t="n"/>
      <c r="F1992" s="3" t="n"/>
      <c r="G1992" s="9" t="n"/>
      <c r="H1992" s="10" t="n">
        <v>45684.74212962963</v>
      </c>
      <c r="I1992" s="10" t="n">
        <v>45685.63396990741</v>
      </c>
      <c r="J1992" s="10" t="n">
        <v>45685.67431712963</v>
      </c>
      <c r="K1992" s="11" t="n">
        <v>0.04034722222222222</v>
      </c>
      <c r="L1992" s="13" t="n"/>
    </row>
    <row r="1993">
      <c r="A1993" s="3" t="inlineStr">
        <is>
          <t>OutboundTrainPreparation</t>
        </is>
      </c>
      <c r="B1993" s="3" t="inlineStr">
        <is>
          <t>Act_OBTP_OBT270125180405-Wien Kledering_180405_629</t>
        </is>
      </c>
      <c r="C1993" s="3" t="inlineStr">
        <is>
          <t>OBT270125180405-Wien Kledering</t>
        </is>
      </c>
      <c r="D1993" s="9" t="n">
        <v>310.6</v>
      </c>
      <c r="E1993" s="3" t="n"/>
      <c r="F1993" s="3" t="n"/>
      <c r="G1993" s="9" t="n"/>
      <c r="H1993" s="10" t="n">
        <v>45684.75283564815</v>
      </c>
      <c r="I1993" s="10" t="n">
        <v>45685.6533449074</v>
      </c>
      <c r="J1993" s="10" t="n">
        <v>45685.70726851852</v>
      </c>
      <c r="K1993" s="11" t="n">
        <v>0.05392361111111111</v>
      </c>
      <c r="L1993" s="13" t="n"/>
    </row>
    <row r="1994">
      <c r="A1994" s="3" t="inlineStr">
        <is>
          <t>OutboundTrainPreparation</t>
        </is>
      </c>
      <c r="B1994" s="3" t="inlineStr">
        <is>
          <t>Act_OBTP_OBT270125212041-Wien Kledering_212041_613</t>
        </is>
      </c>
      <c r="C1994" s="3" t="inlineStr">
        <is>
          <t>OBT270125212041-Wien Kledering</t>
        </is>
      </c>
      <c r="D1994" s="9" t="n">
        <v>448.7</v>
      </c>
      <c r="E1994" s="3" t="n"/>
      <c r="F1994" s="3" t="n"/>
      <c r="G1994" s="9" t="n"/>
      <c r="H1994" s="10" t="n">
        <v>45684.88936342593</v>
      </c>
      <c r="I1994" s="10" t="n">
        <v>45685.823125</v>
      </c>
      <c r="J1994" s="10" t="n">
        <v>45685.90101851852</v>
      </c>
      <c r="K1994" s="11" t="n">
        <v>0.07789351851851851</v>
      </c>
      <c r="L1994" s="13" t="n"/>
    </row>
    <row r="1995">
      <c r="A1995" s="3" t="inlineStr">
        <is>
          <t>OutboundTrainPreparation</t>
        </is>
      </c>
      <c r="B1995" s="3" t="inlineStr">
        <is>
          <t>Act_OBTP_OBT280125031301-Neunkirchen (loading tracks)_031301_615</t>
        </is>
      </c>
      <c r="C1995" s="3" t="inlineStr">
        <is>
          <t>OBT280125031301-Neunkirchen (loading tracks)</t>
        </is>
      </c>
      <c r="D1995" s="9" t="n">
        <v>101.7</v>
      </c>
      <c r="E1995" s="3" t="n"/>
      <c r="F1995" s="3" t="n"/>
      <c r="G1995" s="9" t="n"/>
      <c r="H1995" s="10" t="n">
        <v>45685.13403935185</v>
      </c>
      <c r="I1995" s="10" t="n">
        <v>45685.88734953704</v>
      </c>
      <c r="J1995" s="10" t="n">
        <v>45685.905</v>
      </c>
      <c r="K1995" s="11" t="n">
        <v>0.01765046296296296</v>
      </c>
      <c r="L1995" s="13" t="n"/>
    </row>
    <row r="1996">
      <c r="A1996" s="3" t="inlineStr">
        <is>
          <t>OutboundTrainPreparation</t>
        </is>
      </c>
      <c r="B1996" s="3" t="inlineStr">
        <is>
          <t>Act_OBTP_OBT280125031334-St. Veit an der Glan_031334_621</t>
        </is>
      </c>
      <c r="C1996" s="3" t="inlineStr">
        <is>
          <t>OBT280125031334-St. Veit an der Glan</t>
        </is>
      </c>
      <c r="D1996" s="9" t="n">
        <v>108.1</v>
      </c>
      <c r="E1996" s="3" t="n"/>
      <c r="F1996" s="3" t="n"/>
      <c r="G1996" s="9" t="n"/>
      <c r="H1996" s="10" t="n">
        <v>45685.13442129629</v>
      </c>
      <c r="I1996" s="10" t="n">
        <v>45686.13351851852</v>
      </c>
      <c r="J1996" s="10" t="n">
        <v>45686.15229166667</v>
      </c>
      <c r="K1996" s="11" t="n">
        <v>0.01877314814814815</v>
      </c>
      <c r="L1996" s="13" t="n"/>
    </row>
    <row r="1997">
      <c r="A1997" s="3" t="inlineStr">
        <is>
          <t>OutboundTrainPreparation</t>
        </is>
      </c>
      <c r="B1997" s="3" t="inlineStr">
        <is>
          <t>Act_OBTP_OBT280125064741-Wien Kledering_064741_607</t>
        </is>
      </c>
      <c r="C1997" s="3" t="inlineStr">
        <is>
          <t>OBT280125064741-Wien Kledering</t>
        </is>
      </c>
      <c r="D1997" s="9" t="n">
        <v>297</v>
      </c>
      <c r="E1997" s="3" t="n"/>
      <c r="F1997" s="3" t="n"/>
      <c r="G1997" s="9" t="n"/>
      <c r="H1997" s="10" t="n">
        <v>45685.28311342592</v>
      </c>
      <c r="I1997" s="10" t="n">
        <v>45686.18910879629</v>
      </c>
      <c r="J1997" s="10" t="n">
        <v>45686.2406712963</v>
      </c>
      <c r="K1997" s="11" t="n">
        <v>0.0515625</v>
      </c>
      <c r="L1997" s="13" t="n"/>
    </row>
    <row r="1998">
      <c r="A1998" s="3" t="inlineStr">
        <is>
          <t>OutboundTrainPreparation</t>
        </is>
      </c>
      <c r="B1998" s="3" t="inlineStr">
        <is>
          <t>Act_OBTP_OBT280125075210-Pitten (Hamburger)_075210_629</t>
        </is>
      </c>
      <c r="C1998" s="3" t="inlineStr">
        <is>
          <t>OBT280125075210-Pitten (Hamburger)</t>
        </is>
      </c>
      <c r="D1998" s="9" t="n">
        <v>115.2</v>
      </c>
      <c r="E1998" s="3" t="n"/>
      <c r="F1998" s="3" t="n"/>
      <c r="G1998" s="9" t="n"/>
      <c r="H1998" s="10" t="n">
        <v>45685.32789351852</v>
      </c>
      <c r="I1998" s="10" t="n">
        <v>45686.27232638889</v>
      </c>
      <c r="J1998" s="10" t="n">
        <v>45686.29232638889</v>
      </c>
      <c r="K1998" s="11" t="n">
        <v>0.02</v>
      </c>
      <c r="L1998" s="13" t="n"/>
    </row>
    <row r="1999">
      <c r="A1999" s="3" t="inlineStr">
        <is>
          <t>OutboundTrainPreparation</t>
        </is>
      </c>
      <c r="B1999" s="3" t="inlineStr">
        <is>
          <t>Act_OBTP_OBT280125092731-St. Veit an der Glan_092731_621</t>
        </is>
      </c>
      <c r="C1999" s="3" t="inlineStr">
        <is>
          <t>OBT280125092731-St. Veit an der Glan</t>
        </is>
      </c>
      <c r="D1999" s="9" t="n">
        <v>148.9</v>
      </c>
      <c r="E1999" s="3" t="n"/>
      <c r="F1999" s="3" t="n"/>
      <c r="G1999" s="9" t="n"/>
      <c r="H1999" s="10" t="n">
        <v>45685.3941087963</v>
      </c>
      <c r="I1999" s="10" t="n">
        <v>45686.31684027778</v>
      </c>
      <c r="J1999" s="10" t="n">
        <v>45686.34268518518</v>
      </c>
      <c r="K1999" s="11" t="n">
        <v>0.02584490740740741</v>
      </c>
      <c r="L1999" s="13" t="n"/>
    </row>
    <row r="2000">
      <c r="A2000" s="3" t="inlineStr">
        <is>
          <t>OutboundTrainPreparation</t>
        </is>
      </c>
      <c r="B2000" s="3" t="inlineStr">
        <is>
          <t>Act_OBTP_OBT280125095318-Wr. Neustadt (Hödlmayr)_095318_615</t>
        </is>
      </c>
      <c r="C2000" s="3" t="inlineStr">
        <is>
          <t>OBT280125095318-Wr. Neustadt (Hödlmayr)</t>
        </is>
      </c>
      <c r="D2000" s="9" t="n">
        <v>110.6</v>
      </c>
      <c r="E2000" s="3" t="n"/>
      <c r="F2000" s="3" t="n"/>
      <c r="G2000" s="9" t="n"/>
      <c r="H2000" s="10" t="n">
        <v>45685.41201388889</v>
      </c>
      <c r="I2000" s="10" t="n">
        <v>45686.32211805556</v>
      </c>
      <c r="J2000" s="10" t="n">
        <v>45686.34131944444</v>
      </c>
      <c r="K2000" s="11" t="n">
        <v>0.01920138888888889</v>
      </c>
      <c r="L2000" s="13" t="n"/>
    </row>
    <row r="2001">
      <c r="A2001" s="3" t="inlineStr">
        <is>
          <t>OutboundTrainPreparation</t>
        </is>
      </c>
      <c r="B2001" s="3" t="inlineStr">
        <is>
          <t>Act_OBTP_OBT280125095752-Neudörfl (FunderMax)_095752_609</t>
        </is>
      </c>
      <c r="C2001" s="3" t="inlineStr">
        <is>
          <t>OBT280125095752-Neudörfl (FunderMax)</t>
        </is>
      </c>
      <c r="D2001" s="9" t="n">
        <v>119.3</v>
      </c>
      <c r="E2001" s="3" t="n"/>
      <c r="F2001" s="3" t="n"/>
      <c r="G2001" s="9" t="n"/>
      <c r="H2001" s="10" t="n">
        <v>45685.41518518519</v>
      </c>
      <c r="I2001" s="10" t="n">
        <v>45686.35826388889</v>
      </c>
      <c r="J2001" s="10" t="n">
        <v>45686.3789699074</v>
      </c>
      <c r="K2001" s="11" t="n">
        <v>0.02070601851851852</v>
      </c>
      <c r="L2001" s="13" t="n"/>
    </row>
    <row r="2002">
      <c r="A2002" s="3" t="inlineStr">
        <is>
          <t>OutboundTrainPreparation</t>
        </is>
      </c>
      <c r="B2002" s="3" t="inlineStr">
        <is>
          <t>Act_OBTP_OBT280125105241-Wien Kledering_105241_627</t>
        </is>
      </c>
      <c r="C2002" s="3" t="inlineStr">
        <is>
          <t>OBT280125105241-Wien Kledering</t>
        </is>
      </c>
      <c r="D2002" s="9" t="n">
        <v>194.6</v>
      </c>
      <c r="E2002" s="3" t="n"/>
      <c r="F2002" s="3" t="n"/>
      <c r="G2002" s="9" t="n"/>
      <c r="H2002" s="10" t="n">
        <v>45685.45325231482</v>
      </c>
      <c r="I2002" s="10" t="n">
        <v>45686.40908564815</v>
      </c>
      <c r="J2002" s="10" t="n">
        <v>45686.44287037037</v>
      </c>
      <c r="K2002" s="11" t="n">
        <v>0.03378472222222222</v>
      </c>
      <c r="L2002" s="13" t="n"/>
    </row>
    <row r="2003">
      <c r="A2003" s="3" t="inlineStr">
        <is>
          <t>OutboundTrainPreparation</t>
        </is>
      </c>
      <c r="B2003" s="3" t="inlineStr">
        <is>
          <t>Act_OBTP_OBT280125105646-Wien Kledering_105646_605</t>
        </is>
      </c>
      <c r="C2003" s="3" t="inlineStr">
        <is>
          <t>OBT280125105646-Wien Kledering</t>
        </is>
      </c>
      <c r="D2003" s="9" t="n">
        <v>147</v>
      </c>
      <c r="E2003" s="3" t="n"/>
      <c r="F2003" s="3" t="n"/>
      <c r="G2003" s="9" t="n"/>
      <c r="H2003" s="10" t="n">
        <v>45685.45608796296</v>
      </c>
      <c r="I2003" s="10" t="n">
        <v>45686.45136574074</v>
      </c>
      <c r="J2003" s="10" t="n">
        <v>45686.47688657408</v>
      </c>
      <c r="K2003" s="11" t="n">
        <v>0.02552083333333333</v>
      </c>
      <c r="L2003" s="13" t="n"/>
    </row>
    <row r="2004">
      <c r="A2004" s="3" t="inlineStr">
        <is>
          <t>OutboundTrainPreparation</t>
        </is>
      </c>
      <c r="B2004" s="3" t="inlineStr">
        <is>
          <t>Act_OBTP_OBT280125131319-Wien Kledering_131319_615</t>
        </is>
      </c>
      <c r="C2004" s="3" t="inlineStr">
        <is>
          <t>OBT280125131319-Wien Kledering</t>
        </is>
      </c>
      <c r="D2004" s="9" t="n">
        <v>291.9</v>
      </c>
      <c r="E2004" s="3" t="n"/>
      <c r="F2004" s="3" t="n"/>
      <c r="G2004" s="9" t="n"/>
      <c r="H2004" s="10" t="n">
        <v>45685.55091435185</v>
      </c>
      <c r="I2004" s="10" t="n">
        <v>45686.55601851852</v>
      </c>
      <c r="J2004" s="10" t="n">
        <v>45686.60668981481</v>
      </c>
      <c r="K2004" s="11" t="n">
        <v>0.0506712962962963</v>
      </c>
      <c r="L2004" s="13" t="n"/>
    </row>
    <row r="2005">
      <c r="A2005" s="3" t="inlineStr">
        <is>
          <t>OutboundTrainPreparation</t>
        </is>
      </c>
      <c r="B2005" s="3" t="inlineStr">
        <is>
          <t>Act_OBTP_OBT280125143604-Wien Kledering_143604_625</t>
        </is>
      </c>
      <c r="C2005" s="3" t="inlineStr">
        <is>
          <t>OBT280125143604-Wien Kledering</t>
        </is>
      </c>
      <c r="D2005" s="9" t="n">
        <v>389.8</v>
      </c>
      <c r="E2005" s="3" t="n"/>
      <c r="F2005" s="3" t="n"/>
      <c r="G2005" s="9" t="n"/>
      <c r="H2005" s="10" t="n">
        <v>45685.60837962963</v>
      </c>
      <c r="I2005" s="10" t="n">
        <v>45686.61636574074</v>
      </c>
      <c r="J2005" s="10" t="n">
        <v>45686.68403935185</v>
      </c>
      <c r="K2005" s="11" t="n">
        <v>0.06767361111111111</v>
      </c>
      <c r="L2005" s="13" t="n"/>
    </row>
    <row r="2006">
      <c r="A2006" s="3" t="inlineStr">
        <is>
          <t>OutboundTrainPreparation</t>
        </is>
      </c>
      <c r="B2006" s="3" t="inlineStr">
        <is>
          <t>Act_OBTP_OBT280125151006-Other sidings local_151006_629</t>
        </is>
      </c>
      <c r="C2006" s="3" t="inlineStr">
        <is>
          <t>OBT280125151006-Other sidings local</t>
        </is>
      </c>
      <c r="D2006" s="9" t="n">
        <v>122.9</v>
      </c>
      <c r="E2006" s="3" t="n"/>
      <c r="F2006" s="3" t="n"/>
      <c r="G2006" s="9" t="n"/>
      <c r="H2006" s="10" t="n">
        <v>45685.63201388889</v>
      </c>
      <c r="I2006" s="10" t="n">
        <v>45686.65686342592</v>
      </c>
      <c r="J2006" s="10" t="n">
        <v>45686.67820601852</v>
      </c>
      <c r="K2006" s="11" t="n">
        <v>0.02134259259259259</v>
      </c>
      <c r="L2006" s="13" t="n"/>
    </row>
    <row r="2007">
      <c r="A2007" s="3" t="inlineStr">
        <is>
          <t>OutboundTrainPreparation</t>
        </is>
      </c>
      <c r="B2007" s="3" t="inlineStr">
        <is>
          <t>Act_OBTP_OBT280125151602-Neunkirchen (loading tracks)_151602_615</t>
        </is>
      </c>
      <c r="C2007" s="3" t="inlineStr">
        <is>
          <t>OBT280125151602-Neunkirchen (loading tracks)</t>
        </is>
      </c>
      <c r="D2007" s="9" t="n">
        <v>156</v>
      </c>
      <c r="E2007" s="3" t="n"/>
      <c r="F2007" s="3" t="n"/>
      <c r="G2007" s="9" t="n"/>
      <c r="H2007" s="10" t="n">
        <v>45685.63613425926</v>
      </c>
      <c r="I2007" s="10" t="n">
        <v>45686.66518518519</v>
      </c>
      <c r="J2007" s="10" t="n">
        <v>45686.69226851852</v>
      </c>
      <c r="K2007" s="11" t="n">
        <v>0.02708333333333333</v>
      </c>
      <c r="L2007" s="13" t="n"/>
    </row>
    <row r="2008">
      <c r="A2008" s="3" t="inlineStr">
        <is>
          <t>OutboundTrainPreparation</t>
        </is>
      </c>
      <c r="B2008" s="3" t="inlineStr">
        <is>
          <t>Act_OBTP_OBT280125194613-Wien Kledering_194613_606</t>
        </is>
      </c>
      <c r="C2008" s="3" t="inlineStr">
        <is>
          <t>OBT280125194613-Wien Kledering</t>
        </is>
      </c>
      <c r="D2008" s="9" t="n">
        <v>232.7</v>
      </c>
      <c r="E2008" s="3" t="n"/>
      <c r="F2008" s="3" t="n"/>
      <c r="G2008" s="9" t="n"/>
      <c r="H2008" s="10" t="n">
        <v>45685.82376157407</v>
      </c>
      <c r="I2008" s="10" t="n">
        <v>45686.74023148148</v>
      </c>
      <c r="J2008" s="10" t="n">
        <v>45686.780625</v>
      </c>
      <c r="K2008" s="11" t="n">
        <v>0.04039351851851852</v>
      </c>
      <c r="L2008" s="13" t="n"/>
    </row>
    <row r="2009">
      <c r="A2009" s="3" t="inlineStr">
        <is>
          <t>OutboundTrainPreparation</t>
        </is>
      </c>
      <c r="B2009" s="3" t="inlineStr">
        <is>
          <t>Act_OBTP_OBT280125211842-Wien Kledering_211842_611</t>
        </is>
      </c>
      <c r="C2009" s="3" t="inlineStr">
        <is>
          <t>OBT280125211842-Wien Kledering</t>
        </is>
      </c>
      <c r="D2009" s="9" t="n">
        <v>397.3</v>
      </c>
      <c r="E2009" s="3" t="n"/>
      <c r="F2009" s="3" t="n"/>
      <c r="G2009" s="9" t="n"/>
      <c r="H2009" s="10" t="n">
        <v>45685.88798611111</v>
      </c>
      <c r="I2009" s="10" t="n">
        <v>45686.773125</v>
      </c>
      <c r="J2009" s="10" t="n">
        <v>45686.84210648148</v>
      </c>
      <c r="K2009" s="11" t="n">
        <v>0.06898148148148148</v>
      </c>
      <c r="L2009" s="13" t="n"/>
    </row>
    <row r="2010">
      <c r="A2010" s="3" t="inlineStr">
        <is>
          <t>OutboundTrainPreparation</t>
        </is>
      </c>
      <c r="B2010" s="3" t="inlineStr">
        <is>
          <t>Act_OBTP_OBT290125030733-Neunkirchen (loading tracks)_030733_615</t>
        </is>
      </c>
      <c r="C2010" s="3" t="inlineStr">
        <is>
          <t>OBT290125030733-Neunkirchen (loading tracks)</t>
        </is>
      </c>
      <c r="D2010" s="9" t="n">
        <v>165.8</v>
      </c>
      <c r="E2010" s="3" t="n"/>
      <c r="F2010" s="3" t="n"/>
      <c r="G2010" s="9" t="n"/>
      <c r="H2010" s="10" t="n">
        <v>45686.13024305556</v>
      </c>
      <c r="I2010" s="10" t="n">
        <v>45686.87881944444</v>
      </c>
      <c r="J2010" s="10" t="n">
        <v>45686.90760416666</v>
      </c>
      <c r="K2010" s="11" t="n">
        <v>0.02878472222222222</v>
      </c>
      <c r="L2010" s="13" t="n"/>
    </row>
    <row r="2011">
      <c r="A2011" s="3" t="inlineStr">
        <is>
          <t>OutboundTrainPreparation</t>
        </is>
      </c>
      <c r="B2011" s="3" t="inlineStr">
        <is>
          <t>Act_OBTP_OBT290125043313-Neudörfl (FunderMax)_043313_613</t>
        </is>
      </c>
      <c r="C2011" s="3" t="inlineStr">
        <is>
          <t>OBT290125043313-Neudörfl (FunderMax)</t>
        </is>
      </c>
      <c r="D2011" s="9" t="n">
        <v>106.9</v>
      </c>
      <c r="E2011" s="3" t="n"/>
      <c r="F2011" s="3" t="n"/>
      <c r="G2011" s="9" t="n"/>
      <c r="H2011" s="10" t="n">
        <v>45686.18973379629</v>
      </c>
      <c r="I2011" s="10" t="n">
        <v>45687.13313657408</v>
      </c>
      <c r="J2011" s="10" t="n">
        <v>45687.15170138889</v>
      </c>
      <c r="K2011" s="11" t="n">
        <v>0.01856481481481482</v>
      </c>
      <c r="L2011" s="13" t="n"/>
    </row>
    <row r="2012">
      <c r="A2012" s="3" t="inlineStr">
        <is>
          <t>OutboundTrainPreparation</t>
        </is>
      </c>
      <c r="B2012" s="3" t="inlineStr">
        <is>
          <t>Act_OBTP_OBT290125063308-Wien Kledering_063308_607</t>
        </is>
      </c>
      <c r="C2012" s="3" t="inlineStr">
        <is>
          <t>OBT290125063308-Wien Kledering</t>
        </is>
      </c>
      <c r="D2012" s="9" t="n">
        <v>297</v>
      </c>
      <c r="E2012" s="3" t="n"/>
      <c r="F2012" s="3" t="n"/>
      <c r="G2012" s="9" t="n"/>
      <c r="H2012" s="10" t="n">
        <v>45686.27300925926</v>
      </c>
      <c r="I2012" s="10" t="n">
        <v>45687.2740162037</v>
      </c>
      <c r="J2012" s="10" t="n">
        <v>45687.32557870371</v>
      </c>
      <c r="K2012" s="11" t="n">
        <v>0.0515625</v>
      </c>
      <c r="L2012" s="13" t="n"/>
    </row>
    <row r="2013">
      <c r="A2013" s="3" t="inlineStr">
        <is>
          <t>OutboundTrainPreparation</t>
        </is>
      </c>
      <c r="B2013" s="3" t="inlineStr">
        <is>
          <t>Act_OBTP_OBT290125073710-Wien Kledering_073710_621</t>
        </is>
      </c>
      <c r="C2013" s="3" t="inlineStr">
        <is>
          <t>OBT290125073710-Wien Kledering</t>
        </is>
      </c>
      <c r="D2013" s="9" t="n">
        <v>397.3</v>
      </c>
      <c r="E2013" s="3" t="n"/>
      <c r="F2013" s="3" t="n"/>
      <c r="G2013" s="9" t="n"/>
      <c r="H2013" s="10" t="n">
        <v>45686.31747685185</v>
      </c>
      <c r="I2013" s="10" t="n">
        <v>45687.29908564815</v>
      </c>
      <c r="J2013" s="10" t="n">
        <v>45687.36805555555</v>
      </c>
      <c r="K2013" s="11" t="n">
        <v>0.06896990740740741</v>
      </c>
      <c r="L2013" s="13" t="n"/>
    </row>
    <row r="2014">
      <c r="A2014" s="3" t="inlineStr">
        <is>
          <t>OutboundTrainPreparation</t>
        </is>
      </c>
      <c r="B2014" s="3" t="inlineStr">
        <is>
          <t>Act_OBTP_OBT290125074446-Wien Kledering_074446_629</t>
        </is>
      </c>
      <c r="C2014" s="3" t="inlineStr">
        <is>
          <t>OBT290125074446-Wien Kledering</t>
        </is>
      </c>
      <c r="D2014" s="9" t="n">
        <v>129.3</v>
      </c>
      <c r="E2014" s="3" t="n"/>
      <c r="F2014" s="3" t="n"/>
      <c r="G2014" s="9" t="n"/>
      <c r="H2014" s="10" t="n">
        <v>45686.32275462963</v>
      </c>
      <c r="I2014" s="10" t="n">
        <v>45687.34200231481</v>
      </c>
      <c r="J2014" s="10" t="n">
        <v>45687.36445601852</v>
      </c>
      <c r="K2014" s="11" t="n">
        <v>0.0224537037037037</v>
      </c>
      <c r="L2014" s="13" t="n"/>
    </row>
    <row r="2015">
      <c r="A2015" s="3" t="inlineStr">
        <is>
          <t>OutboundTrainPreparation</t>
        </is>
      </c>
      <c r="B2015" s="3" t="inlineStr">
        <is>
          <t>Act_OBTP_OBT290125093729-Other sidings south_093729_619</t>
        </is>
      </c>
      <c r="C2015" s="3" t="inlineStr">
        <is>
          <t>OBT290125093729-Other sidings south</t>
        </is>
      </c>
      <c r="D2015" s="9" t="n">
        <v>110.3</v>
      </c>
      <c r="E2015" s="3" t="n"/>
      <c r="F2015" s="3" t="n"/>
      <c r="G2015" s="9" t="n"/>
      <c r="H2015" s="10" t="n">
        <v>45686.40103009259</v>
      </c>
      <c r="I2015" s="10" t="n">
        <v>45687.34841435185</v>
      </c>
      <c r="J2015" s="10" t="n">
        <v>45687.36755787037</v>
      </c>
      <c r="K2015" s="11" t="n">
        <v>0.01914351851851852</v>
      </c>
      <c r="L2015" s="13" t="n"/>
    </row>
    <row r="2016">
      <c r="A2016" s="3" t="inlineStr">
        <is>
          <t>OutboundTrainPreparation</t>
        </is>
      </c>
      <c r="B2016" s="3" t="inlineStr">
        <is>
          <t>Act_OBTP_OBT290125094134-Wien Kledering_094134_615</t>
        </is>
      </c>
      <c r="C2016" s="3" t="inlineStr">
        <is>
          <t>OBT290125094134-Wien Kledering</t>
        </is>
      </c>
      <c r="D2016" s="9" t="n">
        <v>252</v>
      </c>
      <c r="E2016" s="3" t="n"/>
      <c r="F2016" s="3" t="n"/>
      <c r="G2016" s="9" t="n"/>
      <c r="H2016" s="10" t="n">
        <v>45686.40386574074</v>
      </c>
      <c r="I2016" s="10" t="n">
        <v>45687.36918981482</v>
      </c>
      <c r="J2016" s="10" t="n">
        <v>45687.41293981481</v>
      </c>
      <c r="K2016" s="11" t="n">
        <v>0.04375</v>
      </c>
      <c r="L2016" s="13" t="n"/>
    </row>
    <row r="2017">
      <c r="A2017" s="3" t="inlineStr">
        <is>
          <t>OutboundTrainPreparation</t>
        </is>
      </c>
      <c r="B2017" s="3" t="inlineStr">
        <is>
          <t>Act_OBTP_OBT290125105057-Wien Kledering_105057_615</t>
        </is>
      </c>
      <c r="C2017" s="3" t="inlineStr">
        <is>
          <t>OBT290125105057-Wien Kledering</t>
        </is>
      </c>
      <c r="D2017" s="9" t="n">
        <v>220.3</v>
      </c>
      <c r="E2017" s="3" t="n"/>
      <c r="F2017" s="3" t="n"/>
      <c r="G2017" s="9" t="n"/>
      <c r="H2017" s="10" t="n">
        <v>45686.45204861111</v>
      </c>
      <c r="I2017" s="10" t="n">
        <v>45687.40633101852</v>
      </c>
      <c r="J2017" s="10" t="n">
        <v>45687.44457175926</v>
      </c>
      <c r="K2017" s="11" t="n">
        <v>0.03824074074074074</v>
      </c>
      <c r="L2017" s="13" t="n"/>
    </row>
    <row r="2018">
      <c r="A2018" s="3" t="inlineStr">
        <is>
          <t>OutboundTrainPreparation</t>
        </is>
      </c>
      <c r="B2018" s="3" t="inlineStr">
        <is>
          <t>Act_OBTP_OBT290125132135-Wien Kledering_132135_615</t>
        </is>
      </c>
      <c r="C2018" s="3" t="inlineStr">
        <is>
          <t>OBT290125132135-Wien Kledering</t>
        </is>
      </c>
      <c r="D2018" s="9" t="n">
        <v>259.7</v>
      </c>
      <c r="E2018" s="3" t="n"/>
      <c r="F2018" s="3" t="n"/>
      <c r="G2018" s="9" t="n"/>
      <c r="H2018" s="10" t="n">
        <v>45686.55665509259</v>
      </c>
      <c r="I2018" s="10" t="n">
        <v>45687.42520833333</v>
      </c>
      <c r="J2018" s="10" t="n">
        <v>45687.47028935186</v>
      </c>
      <c r="K2018" s="11" t="n">
        <v>0.04508101851851852</v>
      </c>
      <c r="L2018" s="13" t="n"/>
    </row>
    <row r="2019">
      <c r="A2019" s="3" t="inlineStr">
        <is>
          <t>OutboundTrainPreparation</t>
        </is>
      </c>
      <c r="B2019" s="3" t="inlineStr">
        <is>
          <t>Act_OBTP_OBT290125144829-Wien Kledering_144829_615</t>
        </is>
      </c>
      <c r="C2019" s="3" t="inlineStr">
        <is>
          <t>OBT290125144829-Wien Kledering</t>
        </is>
      </c>
      <c r="D2019" s="9" t="n">
        <v>398</v>
      </c>
      <c r="E2019" s="3" t="n"/>
      <c r="F2019" s="3" t="n"/>
      <c r="G2019" s="9" t="n"/>
      <c r="H2019" s="10" t="n">
        <v>45686.61700231482</v>
      </c>
      <c r="I2019" s="10" t="n">
        <v>45687.5509837963</v>
      </c>
      <c r="J2019" s="10" t="n">
        <v>45687.62008101852</v>
      </c>
      <c r="K2019" s="11" t="n">
        <v>0.06909722222222223</v>
      </c>
      <c r="L2019" s="13" t="n"/>
    </row>
    <row r="2020">
      <c r="A2020" s="3" t="inlineStr">
        <is>
          <t>OutboundTrainPreparation</t>
        </is>
      </c>
      <c r="B2020" s="3" t="inlineStr">
        <is>
          <t>Act_OBTP_OBT290125152804-Other sidings north_152804_623</t>
        </is>
      </c>
      <c r="C2020" s="3" t="inlineStr">
        <is>
          <t>OBT290125152804-Other sidings north</t>
        </is>
      </c>
      <c r="D2020" s="9" t="n">
        <v>110.3</v>
      </c>
      <c r="E2020" s="3" t="n"/>
      <c r="F2020" s="3" t="n"/>
      <c r="G2020" s="9" t="n"/>
      <c r="H2020" s="10" t="n">
        <v>45686.64449074074</v>
      </c>
      <c r="I2020" s="10" t="n">
        <v>45687.61464120371</v>
      </c>
      <c r="J2020" s="10" t="n">
        <v>45687.63377314815</v>
      </c>
      <c r="K2020" s="11" t="n">
        <v>0.01913194444444444</v>
      </c>
      <c r="L2020" s="13" t="n"/>
    </row>
    <row r="2021">
      <c r="A2021" s="3" t="inlineStr">
        <is>
          <t>OutboundTrainPreparation</t>
        </is>
      </c>
      <c r="B2021" s="3" t="inlineStr">
        <is>
          <t>Act_OBTP_OBT290125154754-Wr. Neustadt (Hödlmayr)_154754_627</t>
        </is>
      </c>
      <c r="C2021" s="3" t="inlineStr">
        <is>
          <t>OBT290125154754-Wr. Neustadt (Hödlmayr)</t>
        </is>
      </c>
      <c r="D2021" s="9" t="n">
        <v>112.5</v>
      </c>
      <c r="E2021" s="3" t="n"/>
      <c r="F2021" s="3" t="n"/>
      <c r="G2021" s="9" t="n"/>
      <c r="H2021" s="10" t="n">
        <v>45686.65826388889</v>
      </c>
      <c r="I2021" s="10" t="n">
        <v>45687.64940972222</v>
      </c>
      <c r="J2021" s="10" t="n">
        <v>45687.66893518518</v>
      </c>
      <c r="K2021" s="11" t="n">
        <v>0.01952546296296296</v>
      </c>
      <c r="L2021" s="13" t="n"/>
    </row>
    <row r="2022">
      <c r="A2022" s="3" t="inlineStr">
        <is>
          <t>OutboundTrainPreparation</t>
        </is>
      </c>
      <c r="B2022" s="3" t="inlineStr">
        <is>
          <t>Act_OBTP_OBT290125174650-Wien Kledering_174650_615</t>
        </is>
      </c>
      <c r="C2022" s="3" t="inlineStr">
        <is>
          <t>OBT290125174650-Wien Kledering</t>
        </is>
      </c>
      <c r="D2022" s="9" t="n">
        <v>302.1</v>
      </c>
      <c r="E2022" s="3" t="n"/>
      <c r="F2022" s="3" t="n"/>
      <c r="G2022" s="9" t="n"/>
      <c r="H2022" s="10" t="n">
        <v>45686.74085648148</v>
      </c>
      <c r="I2022" s="10" t="n">
        <v>45687.65604166667</v>
      </c>
      <c r="J2022" s="10" t="n">
        <v>45687.70849537037</v>
      </c>
      <c r="K2022" s="11" t="n">
        <v>0.0524537037037037</v>
      </c>
      <c r="L2022" s="13" t="n"/>
    </row>
    <row r="2023">
      <c r="A2023" s="3" t="inlineStr">
        <is>
          <t>OutboundTrainPreparation</t>
        </is>
      </c>
      <c r="B2023" s="3" t="inlineStr">
        <is>
          <t>Act_OBTP_OBT290125182252-Pitten (Hamburger)_182252_609</t>
        </is>
      </c>
      <c r="C2023" s="3" t="inlineStr">
        <is>
          <t>OBT290125182252-Pitten (Hamburger)</t>
        </is>
      </c>
      <c r="D2023" s="9" t="n">
        <v>187.4</v>
      </c>
      <c r="E2023" s="3" t="n"/>
      <c r="F2023" s="3" t="n"/>
      <c r="G2023" s="9" t="n"/>
      <c r="H2023" s="10" t="n">
        <v>45686.76587962963</v>
      </c>
      <c r="I2023" s="10" t="n">
        <v>45687.73236111111</v>
      </c>
      <c r="J2023" s="10" t="n">
        <v>45687.76489583333</v>
      </c>
      <c r="K2023" s="11" t="n">
        <v>0.03253472222222222</v>
      </c>
      <c r="L2023" s="13" t="n"/>
    </row>
    <row r="2024">
      <c r="A2024" s="3" t="inlineStr">
        <is>
          <t>OutboundTrainPreparation</t>
        </is>
      </c>
      <c r="B2024" s="3" t="inlineStr">
        <is>
          <t>Act_OBTP_OBT290125210626-Wien Kledering_210626_606</t>
        </is>
      </c>
      <c r="C2024" s="3" t="inlineStr">
        <is>
          <t>OBT290125210626-Wien Kledering</t>
        </is>
      </c>
      <c r="D2024" s="9" t="n">
        <v>380.8</v>
      </c>
      <c r="E2024" s="3" t="n"/>
      <c r="F2024" s="3" t="n"/>
      <c r="G2024" s="9" t="n"/>
      <c r="H2024" s="10" t="n">
        <v>45686.87946759259</v>
      </c>
      <c r="I2024" s="10" t="n">
        <v>45687.8312037037</v>
      </c>
      <c r="J2024" s="10" t="n">
        <v>45687.89732638889</v>
      </c>
      <c r="K2024" s="11" t="n">
        <v>0.06612268518518519</v>
      </c>
      <c r="L2024" s="13" t="n"/>
    </row>
    <row r="2025">
      <c r="A2025" s="3" t="inlineStr">
        <is>
          <t>OutboundTrainPreparation</t>
        </is>
      </c>
      <c r="B2025" s="3" t="inlineStr">
        <is>
          <t>Act_OBTP_OBT300125030547-Neunkirchen (loading tracks)_030547_629</t>
        </is>
      </c>
      <c r="C2025" s="3" t="inlineStr">
        <is>
          <t>OBT300125030547-Neunkirchen (loading tracks)</t>
        </is>
      </c>
      <c r="D2025" s="9" t="n">
        <v>102.8</v>
      </c>
      <c r="E2025" s="3" t="n"/>
      <c r="F2025" s="3" t="n"/>
      <c r="G2025" s="9" t="n"/>
      <c r="H2025" s="10" t="n">
        <v>45687.1290162037</v>
      </c>
      <c r="I2025" s="10" t="n">
        <v>45687.86457175926</v>
      </c>
      <c r="J2025" s="10" t="n">
        <v>45687.88241898148</v>
      </c>
      <c r="K2025" s="11" t="n">
        <v>0.01784722222222222</v>
      </c>
      <c r="L2025" s="13" t="n"/>
    </row>
    <row r="2026">
      <c r="A2026" s="3" t="inlineStr">
        <is>
          <t>OutboundTrainPreparation</t>
        </is>
      </c>
      <c r="B2026" s="3" t="inlineStr">
        <is>
          <t>Act_OBTP_OBT300125063532-Wien Kledering_063532_613</t>
        </is>
      </c>
      <c r="C2026" s="3" t="inlineStr">
        <is>
          <t>OBT300125063532-Wien Kledering</t>
        </is>
      </c>
      <c r="D2026" s="9" t="n">
        <v>297</v>
      </c>
      <c r="E2026" s="3" t="n"/>
      <c r="F2026" s="3" t="n"/>
      <c r="G2026" s="9" t="n"/>
      <c r="H2026" s="10" t="n">
        <v>45687.27467592592</v>
      </c>
      <c r="I2026" s="10" t="n">
        <v>45688.1371412037</v>
      </c>
      <c r="J2026" s="10" t="n">
        <v>45688.1887037037</v>
      </c>
      <c r="K2026" s="11" t="n">
        <v>0.0515625</v>
      </c>
      <c r="L2026" s="13" t="n"/>
    </row>
    <row r="2027">
      <c r="A2027" s="3" t="inlineStr">
        <is>
          <t>OutboundTrainPreparation</t>
        </is>
      </c>
      <c r="B2027" s="3" t="inlineStr">
        <is>
          <t>Act_OBTP_OBT300125075751-Wr. Neustadt (Hödlmayr)_075751_627</t>
        </is>
      </c>
      <c r="C2027" s="3" t="inlineStr">
        <is>
          <t>OBT300125075751-Wr. Neustadt (Hödlmayr)</t>
        </is>
      </c>
      <c r="D2027" s="9" t="n">
        <v>297</v>
      </c>
      <c r="E2027" s="3" t="n"/>
      <c r="F2027" s="3" t="n"/>
      <c r="G2027" s="9" t="n"/>
      <c r="H2027" s="10" t="n">
        <v>45687.33184027778</v>
      </c>
      <c r="I2027" s="10" t="n">
        <v>45688.19435185185</v>
      </c>
      <c r="J2027" s="10" t="n">
        <v>45688.24591435185</v>
      </c>
      <c r="K2027" s="11" t="n">
        <v>0.0515625</v>
      </c>
      <c r="L2027" s="13" t="n"/>
    </row>
    <row r="2028">
      <c r="A2028" s="3" t="inlineStr">
        <is>
          <t>OutboundTrainPreparation</t>
        </is>
      </c>
      <c r="B2028" s="3" t="inlineStr">
        <is>
          <t>Act_OBTP_OBT300125080541-Neunkirchen (loading tracks)_080541_611</t>
        </is>
      </c>
      <c r="C2028" s="3" t="inlineStr">
        <is>
          <t>OBT300125080541-Neunkirchen (loading tracks)</t>
        </is>
      </c>
      <c r="D2028" s="9" t="n">
        <v>101.7</v>
      </c>
      <c r="E2028" s="3" t="n"/>
      <c r="F2028" s="3" t="n"/>
      <c r="G2028" s="9" t="n"/>
      <c r="H2028" s="10" t="n">
        <v>45687.33728009259</v>
      </c>
      <c r="I2028" s="10" t="n">
        <v>45688.25971064815</v>
      </c>
      <c r="J2028" s="10" t="n">
        <v>45688.27736111111</v>
      </c>
      <c r="K2028" s="11" t="n">
        <v>0.01765046296296296</v>
      </c>
      <c r="L2028" s="13" t="n"/>
    </row>
    <row r="2029">
      <c r="A2029" s="3" t="inlineStr">
        <is>
          <t>OutboundTrainPreparation</t>
        </is>
      </c>
      <c r="B2029" s="3" t="inlineStr">
        <is>
          <t>Act_OBTP_OBT300125081010-Wr. Neustadt (Brenntag)_081010_617</t>
        </is>
      </c>
      <c r="C2029" s="3" t="inlineStr">
        <is>
          <t>OBT300125081010-Wr. Neustadt (Brenntag)</t>
        </is>
      </c>
      <c r="D2029" s="9" t="n">
        <v>140</v>
      </c>
      <c r="E2029" s="3" t="n"/>
      <c r="F2029" s="3" t="n"/>
      <c r="G2029" s="9" t="n"/>
      <c r="H2029" s="10" t="n">
        <v>45687.34039351852</v>
      </c>
      <c r="I2029" s="10" t="n">
        <v>45688.30097222222</v>
      </c>
      <c r="J2029" s="10" t="n">
        <v>45688.32527777777</v>
      </c>
      <c r="K2029" s="11" t="n">
        <v>0.02430555555555556</v>
      </c>
      <c r="L2029" s="13" t="n"/>
    </row>
    <row r="2030">
      <c r="A2030" s="3" t="inlineStr">
        <is>
          <t>OutboundTrainPreparation</t>
        </is>
      </c>
      <c r="B2030" s="3" t="inlineStr">
        <is>
          <t>Act_OBTP_OBT300125081913-Wr. Neustadt Ausfahrbf (Furtenbach)_081913_607</t>
        </is>
      </c>
      <c r="C2030" s="3" t="inlineStr">
        <is>
          <t>OBT300125081913-Wr. Neustadt Ausfahrbf (Furtenbach)</t>
        </is>
      </c>
      <c r="D2030" s="9" t="n">
        <v>420.6</v>
      </c>
      <c r="E2030" s="3" t="n"/>
      <c r="F2030" s="3" t="n"/>
      <c r="G2030" s="9" t="n"/>
      <c r="H2030" s="10" t="n">
        <v>45687.34667824074</v>
      </c>
      <c r="I2030" s="10" t="n">
        <v>45688.33234953704</v>
      </c>
      <c r="J2030" s="10" t="n">
        <v>45688.40537037037</v>
      </c>
      <c r="K2030" s="11" t="n">
        <v>0.07302083333333333</v>
      </c>
      <c r="L2030" s="13" t="n"/>
    </row>
    <row r="2031">
      <c r="A2031" s="3" t="inlineStr">
        <is>
          <t>OutboundTrainPreparation</t>
        </is>
      </c>
      <c r="B2031" s="3" t="inlineStr">
        <is>
          <t>Act_OBTP_OBT300125085102-St. Veit an der Glan_085102_621</t>
        </is>
      </c>
      <c r="C2031" s="3" t="inlineStr">
        <is>
          <t>OBT300125085102-St. Veit an der Glan</t>
        </is>
      </c>
      <c r="D2031" s="9" t="n">
        <v>126.4</v>
      </c>
      <c r="E2031" s="3" t="n"/>
      <c r="F2031" s="3" t="n"/>
      <c r="G2031" s="9" t="n"/>
      <c r="H2031" s="10" t="n">
        <v>45687.36877314815</v>
      </c>
      <c r="I2031" s="10" t="n">
        <v>45688.34722222222</v>
      </c>
      <c r="J2031" s="10" t="n">
        <v>45688.36916666666</v>
      </c>
      <c r="K2031" s="11" t="n">
        <v>0.02194444444444444</v>
      </c>
      <c r="L2031" s="13" t="n"/>
    </row>
    <row r="2032">
      <c r="A2032" s="3" t="inlineStr">
        <is>
          <t>OutboundTrainPreparation</t>
        </is>
      </c>
      <c r="B2032" s="3" t="inlineStr">
        <is>
          <t>Act_OBTP_OBT300125093406-Wr. Neustadt (Hödlmayr)_093406_627</t>
        </is>
      </c>
      <c r="C2032" s="3" t="inlineStr">
        <is>
          <t>OBT300125093406-Wr. Neustadt (Hödlmayr)</t>
        </is>
      </c>
      <c r="D2032" s="9" t="n">
        <v>135</v>
      </c>
      <c r="E2032" s="3" t="n"/>
      <c r="F2032" s="3" t="n"/>
      <c r="G2032" s="9" t="n"/>
      <c r="H2032" s="10" t="n">
        <v>45687.39868055555</v>
      </c>
      <c r="I2032" s="10" t="n">
        <v>45688.38344907408</v>
      </c>
      <c r="J2032" s="10" t="n">
        <v>45688.40688657408</v>
      </c>
      <c r="K2032" s="11" t="n">
        <v>0.0234375</v>
      </c>
      <c r="L2032" s="13" t="n"/>
    </row>
    <row r="2033">
      <c r="A2033" s="3" t="inlineStr">
        <is>
          <t>OutboundTrainPreparation</t>
        </is>
      </c>
      <c r="B2033" s="3" t="inlineStr">
        <is>
          <t>Act_OBTP_OBT300125131403-Wien Kledering_131403_615</t>
        </is>
      </c>
      <c r="C2033" s="3" t="inlineStr">
        <is>
          <t>OBT300125131403-Wien Kledering</t>
        </is>
      </c>
      <c r="D2033" s="9" t="n">
        <v>291.7</v>
      </c>
      <c r="E2033" s="3" t="n"/>
      <c r="F2033" s="3" t="n"/>
      <c r="G2033" s="9" t="n"/>
      <c r="H2033" s="10" t="n">
        <v>45687.55142361111</v>
      </c>
      <c r="I2033" s="10" t="n">
        <v>45688.40701388889</v>
      </c>
      <c r="J2033" s="10" t="n">
        <v>45688.45766203704</v>
      </c>
      <c r="K2033" s="11" t="n">
        <v>0.05064814814814815</v>
      </c>
      <c r="L2033" s="13" t="n"/>
    </row>
    <row r="2034">
      <c r="A2034" s="3" t="inlineStr">
        <is>
          <t>OutboundTrainPreparation</t>
        </is>
      </c>
      <c r="B2034" s="3" t="inlineStr">
        <is>
          <t>Act_OBTP_OBT300125153249-Neudörfl (FunderMax)_153249_621</t>
        </is>
      </c>
      <c r="C2034" s="3" t="inlineStr">
        <is>
          <t>OBT300125153249-Neudörfl (FunderMax)</t>
        </is>
      </c>
      <c r="D2034" s="9" t="n">
        <v>148.1</v>
      </c>
      <c r="E2034" s="3" t="n"/>
      <c r="F2034" s="3" t="n"/>
      <c r="G2034" s="9" t="n"/>
      <c r="H2034" s="10" t="n">
        <v>45687.64778935185</v>
      </c>
      <c r="I2034" s="10" t="n">
        <v>45688.45875</v>
      </c>
      <c r="J2034" s="10" t="n">
        <v>45688.48446759259</v>
      </c>
      <c r="K2034" s="11" t="n">
        <v>0.02571759259259259</v>
      </c>
      <c r="L2034" s="13" t="n"/>
    </row>
    <row r="2035">
      <c r="A2035" s="3" t="inlineStr">
        <is>
          <t>OutboundTrainPreparation</t>
        </is>
      </c>
      <c r="B2035" s="3" t="inlineStr">
        <is>
          <t>Act_OBTP_OBT300125153454-Other sidings south_153454_605</t>
        </is>
      </c>
      <c r="C2035" s="3" t="inlineStr">
        <is>
          <t>OBT300125153454-Other sidings south</t>
        </is>
      </c>
      <c r="D2035" s="9" t="n">
        <v>141.7</v>
      </c>
      <c r="E2035" s="3" t="n"/>
      <c r="F2035" s="3" t="n"/>
      <c r="G2035" s="9" t="n"/>
      <c r="H2035" s="10" t="n">
        <v>45687.64923611111</v>
      </c>
      <c r="I2035" s="10" t="n">
        <v>45688.53015046296</v>
      </c>
      <c r="J2035" s="10" t="n">
        <v>45688.55475694445</v>
      </c>
      <c r="K2035" s="11" t="n">
        <v>0.02460648148148148</v>
      </c>
      <c r="L2035" s="13" t="n"/>
    </row>
    <row r="2036">
      <c r="A2036" s="3" t="inlineStr">
        <is>
          <t>OutboundTrainPreparation</t>
        </is>
      </c>
      <c r="B2036" s="3" t="inlineStr">
        <is>
          <t>Act_OBTP_OBT300125200005-Wien Kledering_200005_615</t>
        </is>
      </c>
      <c r="C2036" s="3" t="inlineStr">
        <is>
          <t>OBT300125200005-Wien Kledering</t>
        </is>
      </c>
      <c r="D2036" s="9" t="n">
        <v>182.4</v>
      </c>
      <c r="E2036" s="3" t="n"/>
      <c r="F2036" s="3" t="n"/>
      <c r="G2036" s="9" t="n"/>
      <c r="H2036" s="10" t="n">
        <v>45687.83339120371</v>
      </c>
      <c r="I2036" s="10" t="n">
        <v>45688.60199074074</v>
      </c>
      <c r="J2036" s="10" t="n">
        <v>45688.63364583333</v>
      </c>
      <c r="K2036" s="11" t="n">
        <v>0.0316550925925926</v>
      </c>
      <c r="L2036" s="13" t="n"/>
    </row>
    <row r="2037">
      <c r="A2037" s="3" t="inlineStr">
        <is>
          <t>OutboundTrainPreparation</t>
        </is>
      </c>
      <c r="B2037" s="3" t="inlineStr">
        <is>
          <t>Act_OBTP_OBT300125204557-Wien Kledering_204557_627</t>
        </is>
      </c>
      <c r="C2037" s="3" t="inlineStr">
        <is>
          <t>OBT300125204557-Wien Kledering</t>
        </is>
      </c>
      <c r="D2037" s="9" t="n">
        <v>389.1</v>
      </c>
      <c r="E2037" s="3" t="n"/>
      <c r="F2037" s="3" t="n"/>
      <c r="G2037" s="9" t="n"/>
      <c r="H2037" s="10" t="n">
        <v>45687.86524305555</v>
      </c>
      <c r="I2037" s="10" t="n">
        <v>45688.65584490741</v>
      </c>
      <c r="J2037" s="10" t="n">
        <v>45688.7233912037</v>
      </c>
      <c r="K2037" s="11" t="n">
        <v>0.0675462962962963</v>
      </c>
      <c r="L2037" s="13" t="n"/>
    </row>
    <row r="2038">
      <c r="A2038" s="3" t="inlineStr">
        <is>
          <t>OutboundTrainPreparation</t>
        </is>
      </c>
      <c r="B2038" s="3" t="inlineStr">
        <is>
          <t>Act_OBTP_OBT310125061436-Wien Kledering_061436_613</t>
        </is>
      </c>
      <c r="C2038" s="3" t="inlineStr">
        <is>
          <t>OBT310125061436-Wien Kledering</t>
        </is>
      </c>
      <c r="D2038" s="9" t="n">
        <v>297</v>
      </c>
      <c r="E2038" s="3" t="n"/>
      <c r="F2038" s="3" t="n"/>
      <c r="G2038" s="9" t="n"/>
      <c r="H2038" s="10" t="n">
        <v>45688.26013888889</v>
      </c>
      <c r="I2038" s="10" t="n">
        <v>45688.65667824074</v>
      </c>
      <c r="J2038" s="10" t="n">
        <v>45688.70824074074</v>
      </c>
      <c r="K2038" s="11" t="n">
        <v>0.0515625</v>
      </c>
      <c r="L2038" s="13" t="n"/>
    </row>
    <row r="2039">
      <c r="A2039" s="3" t="inlineStr">
        <is>
          <t>OutboundTrainPreparation</t>
        </is>
      </c>
      <c r="B2039" s="3" t="inlineStr">
        <is>
          <t>Act_OBTP_OBT310125074214-Wien Kledering_074214_627</t>
        </is>
      </c>
      <c r="C2039" s="3" t="inlineStr">
        <is>
          <t>OBT310125074214-Wien Kledering</t>
        </is>
      </c>
      <c r="D2039" s="9" t="n">
        <v>182.6</v>
      </c>
      <c r="E2039" s="3" t="n"/>
      <c r="F2039" s="3" t="n"/>
      <c r="G2039" s="9" t="n"/>
      <c r="H2039" s="10" t="n">
        <v>45688.32099537037</v>
      </c>
      <c r="I2039" s="10" t="n">
        <v>45688.68502314815</v>
      </c>
      <c r="J2039" s="10" t="n">
        <v>45688.71672453704</v>
      </c>
      <c r="K2039" s="11" t="n">
        <v>0.03170138888888889</v>
      </c>
      <c r="L2039" s="13" t="n"/>
    </row>
    <row r="2040">
      <c r="A2040" s="3" t="inlineStr">
        <is>
          <t>OutboundTrainPreparation</t>
        </is>
      </c>
      <c r="B2040" s="3" t="inlineStr">
        <is>
          <t>Act_OBTP_OBT310125075536-Neunkirchen (loading tracks)_075536_606</t>
        </is>
      </c>
      <c r="C2040" s="3" t="inlineStr">
        <is>
          <t>OBT310125075536-Neunkirchen (loading tracks)</t>
        </is>
      </c>
      <c r="D2040" s="9" t="n">
        <v>224.4</v>
      </c>
      <c r="E2040" s="3" t="n"/>
      <c r="F2040" s="3" t="n"/>
      <c r="G2040" s="9" t="n"/>
      <c r="H2040" s="10" t="n">
        <v>45688.33027777778</v>
      </c>
      <c r="I2040" s="10" t="n">
        <v>45688.74189814815</v>
      </c>
      <c r="J2040" s="10" t="n">
        <v>45688.78085648148</v>
      </c>
      <c r="K2040" s="11" t="n">
        <v>0.03895833333333333</v>
      </c>
      <c r="L2040" s="13" t="n"/>
    </row>
    <row r="2041">
      <c r="A2041" s="3" t="inlineStr">
        <is>
          <t>OutboundTrainPreparation</t>
        </is>
      </c>
      <c r="B2041" s="3" t="inlineStr">
        <is>
          <t>Act_OBTP_OBT310125075821-Ternitz (Schoeller-Bleckmann)_075821_629</t>
        </is>
      </c>
      <c r="C2041" s="3" t="inlineStr">
        <is>
          <t>OBT310125075821-Ternitz (Schoeller-Bleckmann)</t>
        </is>
      </c>
      <c r="D2041" s="9" t="n">
        <v>119</v>
      </c>
      <c r="E2041" s="3" t="n"/>
      <c r="F2041" s="3" t="n"/>
      <c r="G2041" s="9" t="n"/>
      <c r="H2041" s="10" t="n">
        <v>45688.3321875</v>
      </c>
      <c r="I2041" s="10" t="n">
        <v>45688.75071759259</v>
      </c>
      <c r="J2041" s="10" t="n">
        <v>45688.77137731481</v>
      </c>
      <c r="K2041" s="11" t="n">
        <v>0.02065972222222222</v>
      </c>
      <c r="L2041" s="13" t="n"/>
    </row>
    <row r="2042">
      <c r="A2042" s="3" t="inlineStr">
        <is>
          <t>OutboundTrainPreparation</t>
        </is>
      </c>
      <c r="B2042" s="3" t="inlineStr">
        <is>
          <t>Act_OBTP_OBT310125080145-Wr. Neustadt (Brenntag)_080145_619</t>
        </is>
      </c>
      <c r="C2042" s="3" t="inlineStr">
        <is>
          <t>OBT310125080145-Wr. Neustadt (Brenntag)</t>
        </is>
      </c>
      <c r="D2042" s="9" t="n">
        <v>115.7</v>
      </c>
      <c r="E2042" s="3" t="n"/>
      <c r="F2042" s="3" t="n"/>
      <c r="G2042" s="9" t="n"/>
      <c r="H2042" s="10" t="n">
        <v>45688.33454861111</v>
      </c>
      <c r="I2042" s="10" t="n">
        <v>45688.86421296297</v>
      </c>
      <c r="J2042" s="10" t="n">
        <v>45688.88429398148</v>
      </c>
      <c r="K2042" s="11" t="n">
        <v>0.02008101851851852</v>
      </c>
      <c r="L2042" s="13" t="n"/>
    </row>
    <row r="2043">
      <c r="A2043" s="3" t="inlineStr">
        <is>
          <t>PushOff</t>
        </is>
      </c>
      <c r="B2043" s="3" t="inlineStr">
        <is>
          <t>Act_PO_10001_025300_703</t>
        </is>
      </c>
      <c r="C2043" s="3" t="inlineStr">
        <is>
          <t>10001</t>
        </is>
      </c>
      <c r="D2043" s="9" t="n">
        <v>227</v>
      </c>
      <c r="E2043" s="3" t="n"/>
      <c r="F2043" s="3" t="n"/>
      <c r="G2043" s="9" t="n"/>
      <c r="H2043" s="10" t="n">
        <v>45659.12013888889</v>
      </c>
      <c r="I2043" s="10" t="n">
        <v>45659.12101851852</v>
      </c>
      <c r="J2043" s="10" t="n">
        <v>45659.12777777778</v>
      </c>
      <c r="K2043" s="11" t="n">
        <v>0.006759259259259259</v>
      </c>
      <c r="L2043" s="13" t="n"/>
    </row>
    <row r="2044">
      <c r="A2044" s="3" t="inlineStr">
        <is>
          <t>PushOff</t>
        </is>
      </c>
      <c r="B2044" s="3" t="inlineStr">
        <is>
          <t>Act_PO_10002_063635_703</t>
        </is>
      </c>
      <c r="C2044" s="3" t="inlineStr">
        <is>
          <t>10002</t>
        </is>
      </c>
      <c r="D2044" s="9" t="n">
        <v>182.7</v>
      </c>
      <c r="E2044" s="3" t="n"/>
      <c r="F2044" s="3" t="n"/>
      <c r="G2044" s="9" t="n"/>
      <c r="H2044" s="10" t="n">
        <v>45659.27540509259</v>
      </c>
      <c r="I2044" s="10" t="n">
        <v>45659.27619212963</v>
      </c>
      <c r="J2044" s="10" t="n">
        <v>45659.2778587963</v>
      </c>
      <c r="K2044" s="11" t="n">
        <v>0.001666666666666667</v>
      </c>
      <c r="L2044" s="13" t="n"/>
    </row>
    <row r="2045">
      <c r="A2045" s="3" t="inlineStr">
        <is>
          <t>PushOff</t>
        </is>
      </c>
      <c r="B2045" s="3" t="inlineStr">
        <is>
          <t>Act_PO_10004_073051_703</t>
        </is>
      </c>
      <c r="C2045" s="3" t="inlineStr">
        <is>
          <t>10004</t>
        </is>
      </c>
      <c r="D2045" s="9" t="n">
        <v>189</v>
      </c>
      <c r="E2045" s="3" t="n"/>
      <c r="F2045" s="3" t="n"/>
      <c r="G2045" s="9" t="n"/>
      <c r="H2045" s="10" t="n">
        <v>45659.31309027778</v>
      </c>
      <c r="I2045" s="10" t="n">
        <v>45659.31395833333</v>
      </c>
      <c r="J2045" s="10" t="n">
        <v>45659.31631944444</v>
      </c>
      <c r="K2045" s="11" t="n">
        <v>0.002361111111111111</v>
      </c>
      <c r="L2045" s="13" t="n"/>
    </row>
    <row r="2046">
      <c r="A2046" s="3" t="inlineStr">
        <is>
          <t>PushOff</t>
        </is>
      </c>
      <c r="B2046" s="3" t="inlineStr">
        <is>
          <t>Act_PO_10003_073813_727</t>
        </is>
      </c>
      <c r="C2046" s="3" t="inlineStr">
        <is>
          <t>10003</t>
        </is>
      </c>
      <c r="D2046" s="9" t="n">
        <v>578.2</v>
      </c>
      <c r="E2046" s="3" t="n"/>
      <c r="F2046" s="3" t="n"/>
      <c r="G2046" s="9" t="n"/>
      <c r="H2046" s="10" t="n">
        <v>45659.31820601852</v>
      </c>
      <c r="I2046" s="10" t="n">
        <v>45659.31907407408</v>
      </c>
      <c r="J2046" s="10" t="n">
        <v>45659.33913194444</v>
      </c>
      <c r="K2046" s="11" t="n">
        <v>0.02005787037037037</v>
      </c>
      <c r="L2046" s="13" t="n"/>
    </row>
    <row r="2047">
      <c r="A2047" s="3" t="inlineStr">
        <is>
          <t>PushOff</t>
        </is>
      </c>
      <c r="B2047" s="3" t="inlineStr">
        <is>
          <t>Act_PO_10005_081257_703</t>
        </is>
      </c>
      <c r="C2047" s="3" t="inlineStr">
        <is>
          <t>10005</t>
        </is>
      </c>
      <c r="D2047" s="9" t="n">
        <v>396.6</v>
      </c>
      <c r="E2047" s="3" t="n"/>
      <c r="F2047" s="3" t="n"/>
      <c r="G2047" s="9" t="n"/>
      <c r="H2047" s="10" t="n">
        <v>45659.34232638889</v>
      </c>
      <c r="I2047" s="10" t="n">
        <v>45659.34319444445</v>
      </c>
      <c r="J2047" s="10" t="n">
        <v>45659.34535879629</v>
      </c>
      <c r="K2047" s="11" t="n">
        <v>0.002164351851851852</v>
      </c>
      <c r="L2047" s="13" t="n"/>
    </row>
    <row r="2048">
      <c r="A2048" s="3" t="inlineStr">
        <is>
          <t>PushOff</t>
        </is>
      </c>
      <c r="B2048" s="3" t="inlineStr">
        <is>
          <t>Act_PO_10007_091007_727</t>
        </is>
      </c>
      <c r="C2048" s="3" t="inlineStr">
        <is>
          <t>10007</t>
        </is>
      </c>
      <c r="D2048" s="9" t="n">
        <v>212.7</v>
      </c>
      <c r="E2048" s="3" t="n"/>
      <c r="F2048" s="3" t="n"/>
      <c r="G2048" s="9" t="n"/>
      <c r="H2048" s="10" t="n">
        <v>45659.38202546296</v>
      </c>
      <c r="I2048" s="10" t="n">
        <v>45659.38289351852</v>
      </c>
      <c r="J2048" s="10" t="n">
        <v>45659.38689814815</v>
      </c>
      <c r="K2048" s="11" t="n">
        <v>0.00400462962962963</v>
      </c>
      <c r="L2048" s="13" t="n"/>
    </row>
    <row r="2049">
      <c r="A2049" s="3" t="inlineStr">
        <is>
          <t>PushOff</t>
        </is>
      </c>
      <c r="B2049" s="3" t="inlineStr">
        <is>
          <t>Act_PO_10006_091603_703</t>
        </is>
      </c>
      <c r="C2049" s="3" t="inlineStr">
        <is>
          <t>10006</t>
        </is>
      </c>
      <c r="D2049" s="9" t="n">
        <v>440.3</v>
      </c>
      <c r="E2049" s="3" t="n"/>
      <c r="F2049" s="3" t="n"/>
      <c r="G2049" s="9" t="n"/>
      <c r="H2049" s="10" t="n">
        <v>45659.38614583333</v>
      </c>
      <c r="I2049" s="10" t="n">
        <v>45659.38766203704</v>
      </c>
      <c r="J2049" s="10" t="n">
        <v>45659.40601851852</v>
      </c>
      <c r="K2049" s="11" t="n">
        <v>0.01835648148148148</v>
      </c>
      <c r="L2049" s="13" t="n"/>
    </row>
    <row r="2050">
      <c r="A2050" s="3" t="inlineStr">
        <is>
          <t>PushOff</t>
        </is>
      </c>
      <c r="B2050" s="3" t="inlineStr">
        <is>
          <t>Act_PO_10008_104357_703</t>
        </is>
      </c>
      <c r="C2050" s="3" t="inlineStr">
        <is>
          <t>10008</t>
        </is>
      </c>
      <c r="D2050" s="9" t="n">
        <v>387.1</v>
      </c>
      <c r="E2050" s="3" t="n"/>
      <c r="F2050" s="3" t="n"/>
      <c r="G2050" s="9" t="n"/>
      <c r="H2050" s="10" t="n">
        <v>45659.4471875</v>
      </c>
      <c r="I2050" s="10" t="n">
        <v>45659.44806712963</v>
      </c>
      <c r="J2050" s="10" t="n">
        <v>45659.453125</v>
      </c>
      <c r="K2050" s="11" t="n">
        <v>0.005057870370370371</v>
      </c>
      <c r="L2050" s="13" t="n"/>
    </row>
    <row r="2051">
      <c r="A2051" s="3" t="inlineStr">
        <is>
          <t>PushOff</t>
        </is>
      </c>
      <c r="B2051" s="3" t="inlineStr">
        <is>
          <t>Act_PO_10009_144458_703</t>
        </is>
      </c>
      <c r="C2051" s="3" t="inlineStr">
        <is>
          <t>10009</t>
        </is>
      </c>
      <c r="D2051" s="9" t="n">
        <v>287.1</v>
      </c>
      <c r="E2051" s="3" t="n"/>
      <c r="F2051" s="3" t="n"/>
      <c r="G2051" s="9" t="n"/>
      <c r="H2051" s="10" t="n">
        <v>45659.61456018518</v>
      </c>
      <c r="I2051" s="10" t="n">
        <v>45659.61542824074</v>
      </c>
      <c r="J2051" s="10" t="n">
        <v>45659.61733796296</v>
      </c>
      <c r="K2051" s="11" t="n">
        <v>0.001909722222222222</v>
      </c>
      <c r="L2051" s="13" t="n"/>
    </row>
    <row r="2052">
      <c r="A2052" s="3" t="inlineStr">
        <is>
          <t>PushOff</t>
        </is>
      </c>
      <c r="B2052" s="3" t="inlineStr">
        <is>
          <t>Act_PO_10011_151224_703</t>
        </is>
      </c>
      <c r="C2052" s="3" t="inlineStr">
        <is>
          <t>10011</t>
        </is>
      </c>
      <c r="D2052" s="9" t="n">
        <v>267.6</v>
      </c>
      <c r="E2052" s="3" t="n"/>
      <c r="F2052" s="3" t="n"/>
      <c r="G2052" s="9" t="n"/>
      <c r="H2052" s="10" t="n">
        <v>45659.63361111111</v>
      </c>
      <c r="I2052" s="10" t="n">
        <v>45659.63447916666</v>
      </c>
      <c r="J2052" s="10" t="n">
        <v>45659.6369675926</v>
      </c>
      <c r="K2052" s="11" t="n">
        <v>0.002488425925925926</v>
      </c>
      <c r="L2052" s="13" t="n"/>
    </row>
    <row r="2053">
      <c r="A2053" s="3" t="inlineStr">
        <is>
          <t>PushOff</t>
        </is>
      </c>
      <c r="B2053" s="3" t="inlineStr">
        <is>
          <t>Act_PO_10010_152359_727</t>
        </is>
      </c>
      <c r="C2053" s="3" t="inlineStr">
        <is>
          <t>10010</t>
        </is>
      </c>
      <c r="D2053" s="9" t="n">
        <v>571.9</v>
      </c>
      <c r="E2053" s="3" t="n"/>
      <c r="F2053" s="3" t="n"/>
      <c r="G2053" s="9" t="n"/>
      <c r="H2053" s="10" t="n">
        <v>45659.64165509259</v>
      </c>
      <c r="I2053" s="10" t="n">
        <v>45659.64252314815</v>
      </c>
      <c r="J2053" s="10" t="n">
        <v>45659.65738425926</v>
      </c>
      <c r="K2053" s="11" t="n">
        <v>0.01486111111111111</v>
      </c>
      <c r="L2053" s="13" t="n"/>
    </row>
    <row r="2054">
      <c r="A2054" s="3" t="inlineStr">
        <is>
          <t>PushOff</t>
        </is>
      </c>
      <c r="B2054" s="3" t="inlineStr">
        <is>
          <t>Act_PO_10012_181212_727</t>
        </is>
      </c>
      <c r="C2054" s="3" t="inlineStr">
        <is>
          <t>10012</t>
        </is>
      </c>
      <c r="D2054" s="9" t="n">
        <v>581</v>
      </c>
      <c r="E2054" s="3" t="n"/>
      <c r="F2054" s="3" t="n"/>
      <c r="G2054" s="9" t="n"/>
      <c r="H2054" s="10" t="n">
        <v>45659.75847222222</v>
      </c>
      <c r="I2054" s="10" t="n">
        <v>45659.75923611111</v>
      </c>
      <c r="J2054" s="10" t="n">
        <v>45659.77873842593</v>
      </c>
      <c r="K2054" s="11" t="n">
        <v>0.01950231481481482</v>
      </c>
      <c r="L2054" s="13" t="n"/>
    </row>
    <row r="2055">
      <c r="A2055" s="3" t="inlineStr">
        <is>
          <t>PushOff</t>
        </is>
      </c>
      <c r="B2055" s="3" t="inlineStr">
        <is>
          <t>Act_PO_10013_203344_703</t>
        </is>
      </c>
      <c r="C2055" s="3" t="inlineStr">
        <is>
          <t>10013</t>
        </is>
      </c>
      <c r="D2055" s="9" t="n">
        <v>350.4</v>
      </c>
      <c r="E2055" s="3" t="n"/>
      <c r="F2055" s="3" t="n"/>
      <c r="G2055" s="9" t="n"/>
      <c r="H2055" s="10" t="n">
        <v>45659.85675925926</v>
      </c>
      <c r="I2055" s="10" t="n">
        <v>45659.85762731481</v>
      </c>
      <c r="J2055" s="10" t="n">
        <v>45659.87604166667</v>
      </c>
      <c r="K2055" s="11" t="n">
        <v>0.01841435185185185</v>
      </c>
      <c r="L2055" s="13" t="n"/>
    </row>
    <row r="2056">
      <c r="A2056" s="3" t="inlineStr">
        <is>
          <t>PushOff</t>
        </is>
      </c>
      <c r="B2056" s="3" t="inlineStr">
        <is>
          <t>Act_PO_10014_025157_703</t>
        </is>
      </c>
      <c r="C2056" s="3" t="inlineStr">
        <is>
          <t>10014</t>
        </is>
      </c>
      <c r="D2056" s="9" t="n">
        <v>140.4</v>
      </c>
      <c r="E2056" s="3" t="n"/>
      <c r="F2056" s="3" t="n"/>
      <c r="G2056" s="9" t="n"/>
      <c r="H2056" s="10" t="n">
        <v>45660.11940972223</v>
      </c>
      <c r="I2056" s="10" t="n">
        <v>45660.12027777778</v>
      </c>
      <c r="J2056" s="10" t="n">
        <v>45660.12644675926</v>
      </c>
      <c r="K2056" s="11" t="n">
        <v>0.006168981481481482</v>
      </c>
      <c r="L2056" s="13" t="n"/>
    </row>
    <row r="2057">
      <c r="A2057" s="3" t="inlineStr">
        <is>
          <t>PushOff</t>
        </is>
      </c>
      <c r="B2057" s="3" t="inlineStr">
        <is>
          <t>Act_PO_10015_044722_703</t>
        </is>
      </c>
      <c r="C2057" s="3" t="inlineStr">
        <is>
          <t>10015</t>
        </is>
      </c>
      <c r="D2057" s="9" t="n">
        <v>497</v>
      </c>
      <c r="E2057" s="3" t="n"/>
      <c r="F2057" s="3" t="n"/>
      <c r="G2057" s="9" t="n"/>
      <c r="H2057" s="10" t="n">
        <v>45660.19956018519</v>
      </c>
      <c r="I2057" s="10" t="n">
        <v>45660.20042824074</v>
      </c>
      <c r="J2057" s="10" t="n">
        <v>45660.20282407408</v>
      </c>
      <c r="K2057" s="11" t="n">
        <v>0.002395833333333333</v>
      </c>
      <c r="L2057" s="13" t="n"/>
    </row>
    <row r="2058">
      <c r="A2058" s="3" t="inlineStr">
        <is>
          <t>PushOff</t>
        </is>
      </c>
      <c r="B2058" s="3" t="inlineStr">
        <is>
          <t>Act_PO_10016_060015_703</t>
        </is>
      </c>
      <c r="C2058" s="3" t="inlineStr">
        <is>
          <t>10016</t>
        </is>
      </c>
      <c r="D2058" s="9" t="n">
        <v>412</v>
      </c>
      <c r="E2058" s="3" t="n"/>
      <c r="F2058" s="3" t="n"/>
      <c r="G2058" s="9" t="n"/>
      <c r="H2058" s="10" t="n">
        <v>45660.25017361111</v>
      </c>
      <c r="I2058" s="10" t="n">
        <v>45660.25104166667</v>
      </c>
      <c r="J2058" s="10" t="n">
        <v>45660.27108796296</v>
      </c>
      <c r="K2058" s="11" t="n">
        <v>0.02004629629629629</v>
      </c>
      <c r="L2058" s="13" t="n"/>
    </row>
    <row r="2059">
      <c r="A2059" s="3" t="inlineStr">
        <is>
          <t>PushOff</t>
        </is>
      </c>
      <c r="B2059" s="3" t="inlineStr">
        <is>
          <t>Act_PO_10017_064208_703</t>
        </is>
      </c>
      <c r="C2059" s="3" t="inlineStr">
        <is>
          <t>10017</t>
        </is>
      </c>
      <c r="D2059" s="9" t="n">
        <v>297</v>
      </c>
      <c r="E2059" s="3" t="n"/>
      <c r="F2059" s="3" t="n"/>
      <c r="G2059" s="9" t="n"/>
      <c r="H2059" s="10" t="n">
        <v>45660.27925925926</v>
      </c>
      <c r="I2059" s="10" t="n">
        <v>45660.28012731481</v>
      </c>
      <c r="J2059" s="10" t="n">
        <v>45660.28252314815</v>
      </c>
      <c r="K2059" s="11" t="n">
        <v>0.002395833333333333</v>
      </c>
      <c r="L2059" s="13" t="n"/>
    </row>
    <row r="2060">
      <c r="A2060" s="3" t="inlineStr">
        <is>
          <t>PushOff</t>
        </is>
      </c>
      <c r="B2060" s="3" t="inlineStr">
        <is>
          <t>Act_PO_10018_073413_703</t>
        </is>
      </c>
      <c r="C2060" s="3" t="inlineStr">
        <is>
          <t>10018</t>
        </is>
      </c>
      <c r="D2060" s="9" t="n">
        <v>306.7</v>
      </c>
      <c r="E2060" s="3" t="n"/>
      <c r="F2060" s="3" t="n"/>
      <c r="G2060" s="9" t="n"/>
      <c r="H2060" s="10" t="n">
        <v>45660.31542824074</v>
      </c>
      <c r="I2060" s="10" t="n">
        <v>45660.31630787037</v>
      </c>
      <c r="J2060" s="10" t="n">
        <v>45660.32837962963</v>
      </c>
      <c r="K2060" s="11" t="n">
        <v>0.01207175925925926</v>
      </c>
      <c r="L2060" s="13" t="n"/>
    </row>
    <row r="2061">
      <c r="A2061" s="3" t="inlineStr">
        <is>
          <t>PushOff</t>
        </is>
      </c>
      <c r="B2061" s="3" t="inlineStr">
        <is>
          <t>Act_PO_10019_073604_727</t>
        </is>
      </c>
      <c r="C2061" s="3" t="inlineStr">
        <is>
          <t>10019</t>
        </is>
      </c>
      <c r="D2061" s="9" t="n">
        <v>256.9</v>
      </c>
      <c r="E2061" s="3" t="n"/>
      <c r="F2061" s="3" t="n"/>
      <c r="G2061" s="9" t="n"/>
      <c r="H2061" s="10" t="n">
        <v>45660.31671296297</v>
      </c>
      <c r="I2061" s="10" t="n">
        <v>45660.32924768519</v>
      </c>
      <c r="J2061" s="10" t="n">
        <v>45660.33168981481</v>
      </c>
      <c r="K2061" s="11" t="n">
        <v>0.00244212962962963</v>
      </c>
      <c r="L2061" s="13" t="n"/>
    </row>
    <row r="2062">
      <c r="A2062" s="3" t="inlineStr">
        <is>
          <t>PushOff</t>
        </is>
      </c>
      <c r="B2062" s="3" t="inlineStr">
        <is>
          <t>Act_PO_10020_080953_703</t>
        </is>
      </c>
      <c r="C2062" s="3" t="inlineStr">
        <is>
          <t>10020</t>
        </is>
      </c>
      <c r="D2062" s="9" t="n">
        <v>396.6</v>
      </c>
      <c r="E2062" s="3" t="n"/>
      <c r="F2062" s="3" t="n"/>
      <c r="G2062" s="9" t="n"/>
      <c r="H2062" s="10" t="n">
        <v>45660.34019675926</v>
      </c>
      <c r="I2062" s="10" t="n">
        <v>45660.34096064815</v>
      </c>
      <c r="J2062" s="10" t="n">
        <v>45660.34387731482</v>
      </c>
      <c r="K2062" s="11" t="n">
        <v>0.002916666666666667</v>
      </c>
      <c r="L2062" s="13" t="n"/>
    </row>
    <row r="2063">
      <c r="A2063" s="3" t="inlineStr">
        <is>
          <t>PushOff</t>
        </is>
      </c>
      <c r="B2063" s="3" t="inlineStr">
        <is>
          <t>Act_PO_10021_085728_703</t>
        </is>
      </c>
      <c r="C2063" s="3" t="inlineStr">
        <is>
          <t>10021</t>
        </is>
      </c>
      <c r="D2063" s="9" t="n">
        <v>279.1</v>
      </c>
      <c r="E2063" s="3" t="n"/>
      <c r="F2063" s="3" t="n"/>
      <c r="G2063" s="9" t="n"/>
      <c r="H2063" s="10" t="n">
        <v>45660.37324074074</v>
      </c>
      <c r="I2063" s="10" t="n">
        <v>45660.37412037037</v>
      </c>
      <c r="J2063" s="10" t="n">
        <v>45660.37836805556</v>
      </c>
      <c r="K2063" s="11" t="n">
        <v>0.004247685185185185</v>
      </c>
      <c r="L2063" s="13" t="n"/>
    </row>
    <row r="2064">
      <c r="A2064" s="3" t="inlineStr">
        <is>
          <t>PushOff</t>
        </is>
      </c>
      <c r="B2064" s="3" t="inlineStr">
        <is>
          <t>Act_PO_10022_104612_703</t>
        </is>
      </c>
      <c r="C2064" s="3" t="inlineStr">
        <is>
          <t>10022</t>
        </is>
      </c>
      <c r="D2064" s="9" t="n">
        <v>433.7</v>
      </c>
      <c r="E2064" s="3" t="n"/>
      <c r="F2064" s="3" t="n"/>
      <c r="G2064" s="9" t="n"/>
      <c r="H2064" s="10" t="n">
        <v>45660.44875</v>
      </c>
      <c r="I2064" s="10" t="n">
        <v>45660.44951388889</v>
      </c>
      <c r="J2064" s="10" t="n">
        <v>45660.45607638889</v>
      </c>
      <c r="K2064" s="11" t="n">
        <v>0.0065625</v>
      </c>
      <c r="L2064" s="13" t="n"/>
    </row>
    <row r="2065">
      <c r="A2065" s="3" t="inlineStr">
        <is>
          <t>PushOff</t>
        </is>
      </c>
      <c r="B2065" s="3" t="inlineStr">
        <is>
          <t>Act_PO_10023_130909_703</t>
        </is>
      </c>
      <c r="C2065" s="3" t="inlineStr">
        <is>
          <t>10023</t>
        </is>
      </c>
      <c r="D2065" s="9" t="n">
        <v>278</v>
      </c>
      <c r="E2065" s="3" t="n"/>
      <c r="F2065" s="3" t="n"/>
      <c r="G2065" s="9" t="n"/>
      <c r="H2065" s="10" t="n">
        <v>45660.54802083333</v>
      </c>
      <c r="I2065" s="10" t="n">
        <v>45660.54890046296</v>
      </c>
      <c r="J2065" s="10" t="n">
        <v>45660.55142361111</v>
      </c>
      <c r="K2065" s="11" t="n">
        <v>0.002523148148148148</v>
      </c>
      <c r="L2065" s="13" t="n"/>
    </row>
    <row r="2066">
      <c r="A2066" s="3" t="inlineStr">
        <is>
          <t>PushOff</t>
        </is>
      </c>
      <c r="B2066" s="3" t="inlineStr">
        <is>
          <t>Act_PO_10024_142554_731</t>
        </is>
      </c>
      <c r="C2066" s="3" t="inlineStr">
        <is>
          <t>10024</t>
        </is>
      </c>
      <c r="D2066" s="9" t="n">
        <v>63</v>
      </c>
      <c r="E2066" s="3" t="n"/>
      <c r="F2066" s="3" t="n"/>
      <c r="G2066" s="9" t="n"/>
      <c r="H2066" s="10" t="n">
        <v>45660.60131944445</v>
      </c>
      <c r="I2066" s="10" t="n">
        <v>45660.60208333333</v>
      </c>
      <c r="J2066" s="10" t="n">
        <v>45660.60427083333</v>
      </c>
      <c r="K2066" s="11" t="n">
        <v>0.0021875</v>
      </c>
      <c r="L2066" s="13" t="n"/>
    </row>
    <row r="2067">
      <c r="A2067" s="3" t="inlineStr">
        <is>
          <t>PushOff</t>
        </is>
      </c>
      <c r="B2067" s="3" t="inlineStr">
        <is>
          <t>Act_PO_10025_152929_703</t>
        </is>
      </c>
      <c r="C2067" s="3" t="inlineStr">
        <is>
          <t>10025</t>
        </is>
      </c>
      <c r="D2067" s="9" t="n">
        <v>399.8</v>
      </c>
      <c r="E2067" s="3" t="n"/>
      <c r="F2067" s="3" t="n"/>
      <c r="G2067" s="9" t="n"/>
      <c r="H2067" s="10" t="n">
        <v>45660.64547453704</v>
      </c>
      <c r="I2067" s="10" t="n">
        <v>45660.64635416667</v>
      </c>
      <c r="J2067" s="10" t="n">
        <v>45660.66556712963</v>
      </c>
      <c r="K2067" s="11" t="n">
        <v>0.01921296296296296</v>
      </c>
      <c r="L2067" s="13" t="n"/>
    </row>
    <row r="2068">
      <c r="A2068" s="3" t="inlineStr">
        <is>
          <t>PushOff</t>
        </is>
      </c>
      <c r="B2068" s="3" t="inlineStr">
        <is>
          <t>Act_PO_10026_154111_731</t>
        </is>
      </c>
      <c r="C2068" s="3" t="inlineStr">
        <is>
          <t>10026</t>
        </is>
      </c>
      <c r="D2068" s="9" t="n">
        <v>63</v>
      </c>
      <c r="E2068" s="3" t="n"/>
      <c r="F2068" s="3" t="n"/>
      <c r="G2068" s="9" t="n"/>
      <c r="H2068" s="10" t="n">
        <v>45660.65359953704</v>
      </c>
      <c r="I2068" s="10" t="n">
        <v>45660.66633101852</v>
      </c>
      <c r="J2068" s="10" t="n">
        <v>45660.66851851852</v>
      </c>
      <c r="K2068" s="11" t="n">
        <v>0.0021875</v>
      </c>
      <c r="L2068" s="13" t="n"/>
    </row>
    <row r="2069">
      <c r="A2069" s="3" t="inlineStr">
        <is>
          <t>PushOff</t>
        </is>
      </c>
      <c r="B2069" s="3" t="inlineStr">
        <is>
          <t>Act_PO_10027_172201_703</t>
        </is>
      </c>
      <c r="C2069" s="3" t="inlineStr">
        <is>
          <t>10027</t>
        </is>
      </c>
      <c r="D2069" s="9" t="n">
        <v>278.9</v>
      </c>
      <c r="E2069" s="3" t="n"/>
      <c r="F2069" s="3" t="n"/>
      <c r="G2069" s="9" t="n"/>
      <c r="H2069" s="10" t="n">
        <v>45660.72362268518</v>
      </c>
      <c r="I2069" s="10" t="n">
        <v>45660.72438657407</v>
      </c>
      <c r="J2069" s="10" t="n">
        <v>45660.72690972222</v>
      </c>
      <c r="K2069" s="11" t="n">
        <v>0.002523148148148148</v>
      </c>
      <c r="L2069" s="13" t="n"/>
    </row>
    <row r="2070">
      <c r="A2070" s="3" t="inlineStr">
        <is>
          <t>PushOff</t>
        </is>
      </c>
      <c r="B2070" s="3" t="inlineStr">
        <is>
          <t>Act_PO_10028_202313_725</t>
        </is>
      </c>
      <c r="C2070" s="3" t="inlineStr">
        <is>
          <t>10028</t>
        </is>
      </c>
      <c r="D2070" s="9" t="n">
        <v>595.9</v>
      </c>
      <c r="E2070" s="3" t="n"/>
      <c r="F2070" s="3" t="n"/>
      <c r="G2070" s="9" t="n"/>
      <c r="H2070" s="10" t="n">
        <v>45660.84945601852</v>
      </c>
      <c r="I2070" s="10" t="n">
        <v>45660.85033564815</v>
      </c>
      <c r="J2070" s="10" t="n">
        <v>45660.86420138889</v>
      </c>
      <c r="K2070" s="11" t="n">
        <v>0.01386574074074074</v>
      </c>
      <c r="L2070" s="13" t="n"/>
    </row>
    <row r="2071">
      <c r="A2071" s="3" t="inlineStr">
        <is>
          <t>PushOff</t>
        </is>
      </c>
      <c r="B2071" s="3" t="inlineStr">
        <is>
          <t>Act_PO_10029_212556_727</t>
        </is>
      </c>
      <c r="C2071" s="3" t="inlineStr">
        <is>
          <t>10029</t>
        </is>
      </c>
      <c r="D2071" s="9" t="n">
        <v>541.1</v>
      </c>
      <c r="E2071" s="3" t="n"/>
      <c r="F2071" s="3" t="n"/>
      <c r="G2071" s="9" t="n"/>
      <c r="H2071" s="10" t="n">
        <v>45660.89300925926</v>
      </c>
      <c r="I2071" s="10" t="n">
        <v>45660.89387731482</v>
      </c>
      <c r="J2071" s="10" t="n">
        <v>45660.91327546296</v>
      </c>
      <c r="K2071" s="11" t="n">
        <v>0.01939814814814815</v>
      </c>
      <c r="L2071" s="13" t="n"/>
    </row>
    <row r="2072">
      <c r="A2072" s="3" t="inlineStr">
        <is>
          <t>PushOff</t>
        </is>
      </c>
      <c r="B2072" s="3" t="inlineStr">
        <is>
          <t>Act_PO_10030_055206_703</t>
        </is>
      </c>
      <c r="C2072" s="3" t="inlineStr">
        <is>
          <t>10030</t>
        </is>
      </c>
      <c r="D2072" s="9" t="n">
        <v>295</v>
      </c>
      <c r="E2072" s="3" t="n"/>
      <c r="F2072" s="3" t="n"/>
      <c r="G2072" s="9" t="n"/>
      <c r="H2072" s="10" t="n">
        <v>45661.24451388889</v>
      </c>
      <c r="I2072" s="10" t="n">
        <v>45661.24539351852</v>
      </c>
      <c r="J2072" s="10" t="n">
        <v>45661.25035879629</v>
      </c>
      <c r="K2072" s="11" t="n">
        <v>0.004965277777777778</v>
      </c>
      <c r="L2072" s="13" t="n"/>
    </row>
    <row r="2073">
      <c r="A2073" s="3" t="inlineStr">
        <is>
          <t>PushOff</t>
        </is>
      </c>
      <c r="B2073" s="3" t="inlineStr">
        <is>
          <t>Act_PO_10031_174906_727</t>
        </is>
      </c>
      <c r="C2073" s="3" t="inlineStr">
        <is>
          <t>10031</t>
        </is>
      </c>
      <c r="D2073" s="9" t="n">
        <v>535.3</v>
      </c>
      <c r="E2073" s="3" t="n"/>
      <c r="F2073" s="3" t="n"/>
      <c r="G2073" s="9" t="n"/>
      <c r="H2073" s="10" t="n">
        <v>45662.74243055555</v>
      </c>
      <c r="I2073" s="10" t="n">
        <v>45662.74329861111</v>
      </c>
      <c r="J2073" s="10" t="n">
        <v>45662.74873842593</v>
      </c>
      <c r="K2073" s="11" t="n">
        <v>0.005439814814814815</v>
      </c>
      <c r="L2073" s="13" t="n"/>
    </row>
    <row r="2074">
      <c r="A2074" s="3" t="inlineStr">
        <is>
          <t>PushOff</t>
        </is>
      </c>
      <c r="B2074" s="3" t="inlineStr">
        <is>
          <t>Act_PO_10032_202319_727</t>
        </is>
      </c>
      <c r="C2074" s="3" t="inlineStr">
        <is>
          <t>10032</t>
        </is>
      </c>
      <c r="D2074" s="9" t="n">
        <v>590.8</v>
      </c>
      <c r="E2074" s="3" t="n"/>
      <c r="F2074" s="3" t="n"/>
      <c r="G2074" s="9" t="n"/>
      <c r="H2074" s="10" t="n">
        <v>45662.84952546296</v>
      </c>
      <c r="I2074" s="10" t="n">
        <v>45662.85040509259</v>
      </c>
      <c r="J2074" s="10" t="n">
        <v>45662.85672453704</v>
      </c>
      <c r="K2074" s="11" t="n">
        <v>0.006319444444444444</v>
      </c>
      <c r="L2074" s="13" t="n"/>
    </row>
    <row r="2075">
      <c r="A2075" s="3" t="inlineStr">
        <is>
          <t>PushOff</t>
        </is>
      </c>
      <c r="B2075" s="3" t="inlineStr">
        <is>
          <t>Act_PO_10033_174857_703</t>
        </is>
      </c>
      <c r="C2075" s="3" t="inlineStr">
        <is>
          <t>10033</t>
        </is>
      </c>
      <c r="D2075" s="9" t="n">
        <v>241.4</v>
      </c>
      <c r="E2075" s="3" t="n"/>
      <c r="F2075" s="3" t="n"/>
      <c r="G2075" s="9" t="n"/>
      <c r="H2075" s="10" t="n">
        <v>45663.74232638889</v>
      </c>
      <c r="I2075" s="10" t="n">
        <v>45663.74319444445</v>
      </c>
      <c r="J2075" s="10" t="n">
        <v>45663.745</v>
      </c>
      <c r="K2075" s="11" t="n">
        <v>0.001805555555555555</v>
      </c>
      <c r="L2075" s="13" t="n"/>
    </row>
    <row r="2076">
      <c r="A2076" s="3" t="inlineStr">
        <is>
          <t>PushOff</t>
        </is>
      </c>
      <c r="B2076" s="3" t="inlineStr">
        <is>
          <t>Act_PO_10034_025906_703</t>
        </is>
      </c>
      <c r="C2076" s="3" t="inlineStr">
        <is>
          <t>10034</t>
        </is>
      </c>
      <c r="D2076" s="9" t="n">
        <v>291.2</v>
      </c>
      <c r="E2076" s="3" t="n"/>
      <c r="F2076" s="3" t="n"/>
      <c r="G2076" s="9" t="n"/>
      <c r="H2076" s="10" t="n">
        <v>45664.124375</v>
      </c>
      <c r="I2076" s="10" t="n">
        <v>45664.12525462963</v>
      </c>
      <c r="J2076" s="10" t="n">
        <v>45664.13451388889</v>
      </c>
      <c r="K2076" s="11" t="n">
        <v>0.009259259259259259</v>
      </c>
      <c r="L2076" s="13" t="n"/>
    </row>
    <row r="2077">
      <c r="A2077" s="3" t="inlineStr">
        <is>
          <t>PushOff</t>
        </is>
      </c>
      <c r="B2077" s="3" t="inlineStr">
        <is>
          <t>Act_PO_10035_064104_703</t>
        </is>
      </c>
      <c r="C2077" s="3" t="inlineStr">
        <is>
          <t>10035</t>
        </is>
      </c>
      <c r="D2077" s="9" t="n">
        <v>297</v>
      </c>
      <c r="E2077" s="3" t="n"/>
      <c r="F2077" s="3" t="n"/>
      <c r="G2077" s="9" t="n"/>
      <c r="H2077" s="10" t="n">
        <v>45664.27851851852</v>
      </c>
      <c r="I2077" s="10" t="n">
        <v>45664.27938657408</v>
      </c>
      <c r="J2077" s="10" t="n">
        <v>45664.28119212963</v>
      </c>
      <c r="K2077" s="11" t="n">
        <v>0.001805555555555555</v>
      </c>
      <c r="L2077" s="13" t="n"/>
    </row>
    <row r="2078">
      <c r="A2078" s="3" t="inlineStr">
        <is>
          <t>PushOff</t>
        </is>
      </c>
      <c r="B2078" s="3" t="inlineStr">
        <is>
          <t>Act_PO_10037_073228_727</t>
        </is>
      </c>
      <c r="C2078" s="3" t="inlineStr">
        <is>
          <t>10037</t>
        </is>
      </c>
      <c r="D2078" s="9" t="n">
        <v>396.6</v>
      </c>
      <c r="E2078" s="3" t="n"/>
      <c r="F2078" s="3" t="n"/>
      <c r="G2078" s="9" t="n"/>
      <c r="H2078" s="10" t="n">
        <v>45664.31421296296</v>
      </c>
      <c r="I2078" s="10" t="n">
        <v>45664.31594907407</v>
      </c>
      <c r="J2078" s="10" t="n">
        <v>45664.31876157408</v>
      </c>
      <c r="K2078" s="11" t="n">
        <v>0.0028125</v>
      </c>
      <c r="L2078" s="13" t="n"/>
    </row>
    <row r="2079">
      <c r="A2079" s="3" t="inlineStr">
        <is>
          <t>PushOff</t>
        </is>
      </c>
      <c r="B2079" s="3" t="inlineStr">
        <is>
          <t>Act_PO_10038_073250_725</t>
        </is>
      </c>
      <c r="C2079" s="3" t="inlineStr">
        <is>
          <t>10038</t>
        </is>
      </c>
      <c r="D2079" s="9" t="n">
        <v>189.9</v>
      </c>
      <c r="E2079" s="3" t="n"/>
      <c r="F2079" s="3" t="n"/>
      <c r="G2079" s="9" t="n"/>
      <c r="H2079" s="10" t="n">
        <v>45664.31446759259</v>
      </c>
      <c r="I2079" s="10" t="n">
        <v>45664.31962962963</v>
      </c>
      <c r="J2079" s="10" t="n">
        <v>45664.32150462963</v>
      </c>
      <c r="K2079" s="11" t="n">
        <v>0.001875</v>
      </c>
      <c r="L2079" s="13" t="n"/>
    </row>
    <row r="2080">
      <c r="A2080" s="3" t="inlineStr">
        <is>
          <t>PushOff</t>
        </is>
      </c>
      <c r="B2080" s="3" t="inlineStr">
        <is>
          <t>Act_PO_10036_073326_703</t>
        </is>
      </c>
      <c r="C2080" s="3" t="inlineStr">
        <is>
          <t>10036</t>
        </is>
      </c>
      <c r="D2080" s="9" t="n">
        <v>268.5</v>
      </c>
      <c r="E2080" s="3" t="n"/>
      <c r="F2080" s="3" t="n"/>
      <c r="G2080" s="9" t="n"/>
      <c r="H2080" s="10" t="n">
        <v>45664.31488425926</v>
      </c>
      <c r="I2080" s="10" t="n">
        <v>45664.32237268519</v>
      </c>
      <c r="J2080" s="10" t="n">
        <v>45664.33313657407</v>
      </c>
      <c r="K2080" s="11" t="n">
        <v>0.01076388888888889</v>
      </c>
      <c r="L2080" s="13" t="n"/>
    </row>
    <row r="2081">
      <c r="A2081" s="3" t="inlineStr">
        <is>
          <t>PushOff</t>
        </is>
      </c>
      <c r="B2081" s="3" t="inlineStr">
        <is>
          <t>Act_PO_10039_083027_703</t>
        </is>
      </c>
      <c r="C2081" s="3" t="inlineStr">
        <is>
          <t>10039</t>
        </is>
      </c>
      <c r="D2081" s="9" t="n">
        <v>393.9</v>
      </c>
      <c r="E2081" s="3" t="n"/>
      <c r="F2081" s="3" t="n"/>
      <c r="G2081" s="9" t="n"/>
      <c r="H2081" s="10" t="n">
        <v>45664.35447916666</v>
      </c>
      <c r="I2081" s="10" t="n">
        <v>45664.35524305556</v>
      </c>
      <c r="J2081" s="10" t="n">
        <v>45664.35927083333</v>
      </c>
      <c r="K2081" s="11" t="n">
        <v>0.004027777777777778</v>
      </c>
      <c r="L2081" s="13" t="n"/>
    </row>
    <row r="2082">
      <c r="A2082" s="3" t="inlineStr">
        <is>
          <t>PushOff</t>
        </is>
      </c>
      <c r="B2082" s="3" t="inlineStr">
        <is>
          <t>Act_PO_10040_085622_727</t>
        </is>
      </c>
      <c r="C2082" s="3" t="inlineStr">
        <is>
          <t>10040</t>
        </is>
      </c>
      <c r="D2082" s="9" t="n">
        <v>297</v>
      </c>
      <c r="E2082" s="3" t="n"/>
      <c r="F2082" s="3" t="n"/>
      <c r="G2082" s="9" t="n"/>
      <c r="H2082" s="10" t="n">
        <v>45664.37247685185</v>
      </c>
      <c r="I2082" s="10" t="n">
        <v>45664.37334490741</v>
      </c>
      <c r="J2082" s="10" t="n">
        <v>45664.38528935185</v>
      </c>
      <c r="K2082" s="11" t="n">
        <v>0.01194444444444445</v>
      </c>
      <c r="L2082" s="13" t="n"/>
    </row>
    <row r="2083">
      <c r="A2083" s="3" t="inlineStr">
        <is>
          <t>PushOff</t>
        </is>
      </c>
      <c r="B2083" s="3" t="inlineStr">
        <is>
          <t>Act_PO_10041_104833_703</t>
        </is>
      </c>
      <c r="C2083" s="3" t="inlineStr">
        <is>
          <t>10041</t>
        </is>
      </c>
      <c r="D2083" s="9" t="n">
        <v>448.6</v>
      </c>
      <c r="E2083" s="3" t="n"/>
      <c r="F2083" s="3" t="n"/>
      <c r="G2083" s="9" t="n"/>
      <c r="H2083" s="10" t="n">
        <v>45664.45038194444</v>
      </c>
      <c r="I2083" s="10" t="n">
        <v>45664.45114583334</v>
      </c>
      <c r="J2083" s="10" t="n">
        <v>45664.45717592593</v>
      </c>
      <c r="K2083" s="11" t="n">
        <v>0.006030092592592593</v>
      </c>
      <c r="L2083" s="13" t="n"/>
    </row>
    <row r="2084">
      <c r="A2084" s="3" t="inlineStr">
        <is>
          <t>PushOff</t>
        </is>
      </c>
      <c r="B2084" s="3" t="inlineStr">
        <is>
          <t>Act_PO_10042_130831_703</t>
        </is>
      </c>
      <c r="C2084" s="3" t="inlineStr">
        <is>
          <t>10042</t>
        </is>
      </c>
      <c r="D2084" s="9" t="n">
        <v>192.5</v>
      </c>
      <c r="E2084" s="3" t="n"/>
      <c r="F2084" s="3" t="n"/>
      <c r="G2084" s="9" t="n"/>
      <c r="H2084" s="10" t="n">
        <v>45664.54758101852</v>
      </c>
      <c r="I2084" s="10" t="n">
        <v>45664.54844907407</v>
      </c>
      <c r="J2084" s="10" t="n">
        <v>45664.55087962963</v>
      </c>
      <c r="K2084" s="11" t="n">
        <v>0.002430555555555556</v>
      </c>
      <c r="L2084" s="13" t="n"/>
    </row>
    <row r="2085">
      <c r="A2085" s="3" t="inlineStr">
        <is>
          <t>PushOff</t>
        </is>
      </c>
      <c r="B2085" s="3" t="inlineStr">
        <is>
          <t>Act_PO_10043_142636_703</t>
        </is>
      </c>
      <c r="C2085" s="3" t="inlineStr">
        <is>
          <t>10043</t>
        </is>
      </c>
      <c r="D2085" s="9" t="n">
        <v>398</v>
      </c>
      <c r="E2085" s="3" t="n"/>
      <c r="F2085" s="3" t="n"/>
      <c r="G2085" s="9" t="n"/>
      <c r="H2085" s="10" t="n">
        <v>45664.60180555555</v>
      </c>
      <c r="I2085" s="10" t="n">
        <v>45664.60255787037</v>
      </c>
      <c r="J2085" s="10" t="n">
        <v>45664.60460648148</v>
      </c>
      <c r="K2085" s="11" t="n">
        <v>0.002048611111111111</v>
      </c>
      <c r="L2085" s="13" t="n"/>
    </row>
    <row r="2086">
      <c r="A2086" s="3" t="inlineStr">
        <is>
          <t>PushOff</t>
        </is>
      </c>
      <c r="B2086" s="3" t="inlineStr">
        <is>
          <t>Act_PO_10044_152514_703</t>
        </is>
      </c>
      <c r="C2086" s="3" t="inlineStr">
        <is>
          <t>10044</t>
        </is>
      </c>
      <c r="D2086" s="9" t="n">
        <v>321.1</v>
      </c>
      <c r="E2086" s="3" t="n"/>
      <c r="F2086" s="3" t="n"/>
      <c r="G2086" s="9" t="n"/>
      <c r="H2086" s="10" t="n">
        <v>45664.64252314815</v>
      </c>
      <c r="I2086" s="10" t="n">
        <v>45664.6433912037</v>
      </c>
      <c r="J2086" s="10" t="n">
        <v>45664.66076388889</v>
      </c>
      <c r="K2086" s="11" t="n">
        <v>0.01737268518518519</v>
      </c>
      <c r="L2086" s="13" t="n"/>
    </row>
    <row r="2087">
      <c r="A2087" s="3" t="inlineStr">
        <is>
          <t>PushOff</t>
        </is>
      </c>
      <c r="B2087" s="3" t="inlineStr">
        <is>
          <t>Act_PO_10045_153250_727</t>
        </is>
      </c>
      <c r="C2087" s="3" t="inlineStr">
        <is>
          <t>10045</t>
        </is>
      </c>
      <c r="D2087" s="9" t="n">
        <v>393.5</v>
      </c>
      <c r="E2087" s="3" t="n"/>
      <c r="F2087" s="3" t="n"/>
      <c r="G2087" s="9" t="n"/>
      <c r="H2087" s="10" t="n">
        <v>45664.64780092592</v>
      </c>
      <c r="I2087" s="10" t="n">
        <v>45664.66163194444</v>
      </c>
      <c r="J2087" s="10" t="n">
        <v>45664.66443287037</v>
      </c>
      <c r="K2087" s="11" t="n">
        <v>0.002800925925925926</v>
      </c>
      <c r="L2087" s="13" t="n"/>
    </row>
    <row r="2088">
      <c r="A2088" s="3" t="inlineStr">
        <is>
          <t>PushOff</t>
        </is>
      </c>
      <c r="B2088" s="3" t="inlineStr">
        <is>
          <t>Act_PO_10046_161015_703</t>
        </is>
      </c>
      <c r="C2088" s="3" t="inlineStr">
        <is>
          <t>10046</t>
        </is>
      </c>
      <c r="D2088" s="9" t="n">
        <v>110.3</v>
      </c>
      <c r="E2088" s="3" t="n"/>
      <c r="F2088" s="3" t="n"/>
      <c r="G2088" s="9" t="n"/>
      <c r="H2088" s="10" t="n">
        <v>45664.67378472222</v>
      </c>
      <c r="I2088" s="10" t="n">
        <v>45664.67453703703</v>
      </c>
      <c r="J2088" s="10" t="n">
        <v>45664.67825231481</v>
      </c>
      <c r="K2088" s="11" t="n">
        <v>0.003715277777777778</v>
      </c>
      <c r="L2088" s="13" t="n"/>
    </row>
    <row r="2089">
      <c r="A2089" s="3" t="inlineStr">
        <is>
          <t>PushOff</t>
        </is>
      </c>
      <c r="B2089" s="3" t="inlineStr">
        <is>
          <t>Act_PO_10047_174848_703</t>
        </is>
      </c>
      <c r="C2089" s="3" t="inlineStr">
        <is>
          <t>10047</t>
        </is>
      </c>
      <c r="D2089" s="9" t="n">
        <v>424.5</v>
      </c>
      <c r="E2089" s="3" t="n"/>
      <c r="F2089" s="3" t="n"/>
      <c r="G2089" s="9" t="n"/>
      <c r="H2089" s="10" t="n">
        <v>45664.74222222222</v>
      </c>
      <c r="I2089" s="10" t="n">
        <v>45664.74309027778</v>
      </c>
      <c r="J2089" s="10" t="n">
        <v>45664.76478009259</v>
      </c>
      <c r="K2089" s="11" t="n">
        <v>0.02168981481481481</v>
      </c>
      <c r="L2089" s="13" t="n"/>
    </row>
    <row r="2090">
      <c r="A2090" s="3" t="inlineStr">
        <is>
          <t>PushOff</t>
        </is>
      </c>
      <c r="B2090" s="3" t="inlineStr">
        <is>
          <t>Act_PO_10048_181242_727</t>
        </is>
      </c>
      <c r="C2090" s="3" t="inlineStr">
        <is>
          <t>10048</t>
        </is>
      </c>
      <c r="D2090" s="9" t="n">
        <v>212</v>
      </c>
      <c r="E2090" s="3" t="n"/>
      <c r="F2090" s="3" t="n"/>
      <c r="G2090" s="9" t="n"/>
      <c r="H2090" s="10" t="n">
        <v>45664.75881944445</v>
      </c>
      <c r="I2090" s="10" t="n">
        <v>45664.76554398148</v>
      </c>
      <c r="J2090" s="10" t="n">
        <v>45664.76758101852</v>
      </c>
      <c r="K2090" s="11" t="n">
        <v>0.002037037037037037</v>
      </c>
      <c r="L2090" s="13" t="n"/>
    </row>
    <row r="2091">
      <c r="A2091" s="3" t="inlineStr">
        <is>
          <t>PushOff</t>
        </is>
      </c>
      <c r="B2091" s="3" t="inlineStr">
        <is>
          <t>Act_PO_10049_211227_703</t>
        </is>
      </c>
      <c r="C2091" s="3" t="inlineStr">
        <is>
          <t>10049</t>
        </is>
      </c>
      <c r="D2091" s="9" t="n">
        <v>389.1</v>
      </c>
      <c r="E2091" s="3" t="n"/>
      <c r="F2091" s="3" t="n"/>
      <c r="G2091" s="9" t="n"/>
      <c r="H2091" s="10" t="n">
        <v>45664.88364583333</v>
      </c>
      <c r="I2091" s="10" t="n">
        <v>45664.88443287037</v>
      </c>
      <c r="J2091" s="10" t="n">
        <v>45664.88657407407</v>
      </c>
      <c r="K2091" s="11" t="n">
        <v>0.002141203703703704</v>
      </c>
      <c r="L2091" s="13" t="n"/>
    </row>
    <row r="2092">
      <c r="A2092" s="3" t="inlineStr">
        <is>
          <t>PushOff</t>
        </is>
      </c>
      <c r="B2092" s="3" t="inlineStr">
        <is>
          <t>Act_PO_10050_030139_703</t>
        </is>
      </c>
      <c r="C2092" s="3" t="inlineStr">
        <is>
          <t>10050</t>
        </is>
      </c>
      <c r="D2092" s="9" t="n">
        <v>325.2</v>
      </c>
      <c r="E2092" s="3" t="n"/>
      <c r="F2092" s="3" t="n"/>
      <c r="G2092" s="9" t="n"/>
      <c r="H2092" s="10" t="n">
        <v>45665.12614583333</v>
      </c>
      <c r="I2092" s="10" t="n">
        <v>45665.12701388889</v>
      </c>
      <c r="J2092" s="10" t="n">
        <v>45665.1378125</v>
      </c>
      <c r="K2092" s="11" t="n">
        <v>0.01079861111111111</v>
      </c>
      <c r="L2092" s="13" t="n"/>
    </row>
    <row r="2093">
      <c r="A2093" s="3" t="inlineStr">
        <is>
          <t>PushOff</t>
        </is>
      </c>
      <c r="B2093" s="3" t="inlineStr">
        <is>
          <t>Act_PO_10051_040000_703</t>
        </is>
      </c>
      <c r="C2093" s="3" t="inlineStr">
        <is>
          <t>10051</t>
        </is>
      </c>
      <c r="D2093" s="9" t="n">
        <v>514.3</v>
      </c>
      <c r="E2093" s="3" t="n"/>
      <c r="F2093" s="3" t="n"/>
      <c r="G2093" s="9" t="n"/>
      <c r="H2093" s="10" t="n">
        <v>45665.16666666666</v>
      </c>
      <c r="I2093" s="10" t="n">
        <v>45665.16743055556</v>
      </c>
      <c r="J2093" s="10" t="n">
        <v>45665.16996527778</v>
      </c>
      <c r="K2093" s="11" t="n">
        <v>0.002534722222222222</v>
      </c>
      <c r="L2093" s="13" t="n"/>
    </row>
    <row r="2094">
      <c r="A2094" s="3" t="inlineStr">
        <is>
          <t>PushOff</t>
        </is>
      </c>
      <c r="B2094" s="3" t="inlineStr">
        <is>
          <t>Act_PO_10052_061136_703</t>
        </is>
      </c>
      <c r="C2094" s="3" t="inlineStr">
        <is>
          <t>10052</t>
        </is>
      </c>
      <c r="D2094" s="9" t="n">
        <v>297</v>
      </c>
      <c r="E2094" s="3" t="n"/>
      <c r="F2094" s="3" t="n"/>
      <c r="G2094" s="9" t="n"/>
      <c r="H2094" s="10" t="n">
        <v>45665.25805555555</v>
      </c>
      <c r="I2094" s="10" t="n">
        <v>45665.25892361111</v>
      </c>
      <c r="J2094" s="10" t="n">
        <v>45665.26084490741</v>
      </c>
      <c r="K2094" s="11" t="n">
        <v>0.001921296296296296</v>
      </c>
      <c r="L2094" s="13" t="n"/>
    </row>
    <row r="2095">
      <c r="A2095" s="3" t="inlineStr">
        <is>
          <t>PushOff</t>
        </is>
      </c>
      <c r="B2095" s="3" t="inlineStr">
        <is>
          <t>Act_PO_10054_072837_703</t>
        </is>
      </c>
      <c r="C2095" s="3" t="inlineStr">
        <is>
          <t>10054</t>
        </is>
      </c>
      <c r="D2095" s="9" t="n">
        <v>156.7</v>
      </c>
      <c r="E2095" s="3" t="n"/>
      <c r="F2095" s="3" t="n"/>
      <c r="G2095" s="9" t="n"/>
      <c r="H2095" s="10" t="n">
        <v>45665.31153935185</v>
      </c>
      <c r="I2095" s="10" t="n">
        <v>45665.31240740741</v>
      </c>
      <c r="J2095" s="10" t="n">
        <v>45665.31413194445</v>
      </c>
      <c r="K2095" s="11" t="n">
        <v>0.001724537037037037</v>
      </c>
      <c r="L2095" s="13" t="n"/>
    </row>
    <row r="2096">
      <c r="A2096" s="3" t="inlineStr">
        <is>
          <t>PushOff</t>
        </is>
      </c>
      <c r="B2096" s="3" t="inlineStr">
        <is>
          <t>Act_PO_10053_075314_727</t>
        </is>
      </c>
      <c r="C2096" s="3" t="inlineStr">
        <is>
          <t>10053</t>
        </is>
      </c>
      <c r="D2096" s="9" t="n">
        <v>572</v>
      </c>
      <c r="E2096" s="3" t="n"/>
      <c r="F2096" s="3" t="n"/>
      <c r="G2096" s="9" t="n"/>
      <c r="H2096" s="10" t="n">
        <v>45665.32863425926</v>
      </c>
      <c r="I2096" s="10" t="n">
        <v>45665.32950231482</v>
      </c>
      <c r="J2096" s="10" t="n">
        <v>45665.35546296297</v>
      </c>
      <c r="K2096" s="11" t="n">
        <v>0.02596064814814815</v>
      </c>
      <c r="L2096" s="13" t="n"/>
    </row>
    <row r="2097">
      <c r="A2097" s="3" t="inlineStr">
        <is>
          <t>PushOff</t>
        </is>
      </c>
      <c r="B2097" s="3" t="inlineStr">
        <is>
          <t>Act_PO_10055_081346_703</t>
        </is>
      </c>
      <c r="C2097" s="3" t="inlineStr">
        <is>
          <t>10055</t>
        </is>
      </c>
      <c r="D2097" s="9" t="n">
        <v>389.8</v>
      </c>
      <c r="E2097" s="3" t="n"/>
      <c r="F2097" s="3" t="n"/>
      <c r="G2097" s="9" t="n"/>
      <c r="H2097" s="10" t="n">
        <v>45665.34289351852</v>
      </c>
      <c r="I2097" s="10" t="n">
        <v>45665.35633101852</v>
      </c>
      <c r="J2097" s="10" t="n">
        <v>45665.3584837963</v>
      </c>
      <c r="K2097" s="11" t="n">
        <v>0.002152777777777778</v>
      </c>
      <c r="L2097" s="13" t="n"/>
    </row>
    <row r="2098">
      <c r="A2098" s="3" t="inlineStr">
        <is>
          <t>PushOff</t>
        </is>
      </c>
      <c r="B2098" s="3" t="inlineStr">
        <is>
          <t>Act_PO_10056_091027_703</t>
        </is>
      </c>
      <c r="C2098" s="3" t="inlineStr">
        <is>
          <t>10056</t>
        </is>
      </c>
      <c r="D2098" s="9" t="n">
        <v>235.2</v>
      </c>
      <c r="E2098" s="3" t="n"/>
      <c r="F2098" s="3" t="n"/>
      <c r="G2098" s="9" t="n"/>
      <c r="H2098" s="10" t="n">
        <v>45665.38225694445</v>
      </c>
      <c r="I2098" s="10" t="n">
        <v>45665.383125</v>
      </c>
      <c r="J2098" s="10" t="n">
        <v>45665.38671296297</v>
      </c>
      <c r="K2098" s="11" t="n">
        <v>0.003587962962962963</v>
      </c>
      <c r="L2098" s="13" t="n"/>
    </row>
    <row r="2099">
      <c r="A2099" s="3" t="inlineStr">
        <is>
          <t>PushOff</t>
        </is>
      </c>
      <c r="B2099" s="3" t="inlineStr">
        <is>
          <t>Act_PO_10057_102916_703</t>
        </is>
      </c>
      <c r="C2099" s="3" t="inlineStr">
        <is>
          <t>10057</t>
        </is>
      </c>
      <c r="D2099" s="9" t="n">
        <v>443.2</v>
      </c>
      <c r="E2099" s="3" t="n"/>
      <c r="F2099" s="3" t="n"/>
      <c r="G2099" s="9" t="n"/>
      <c r="H2099" s="10" t="n">
        <v>45665.43699074074</v>
      </c>
      <c r="I2099" s="10" t="n">
        <v>45665.43785879629</v>
      </c>
      <c r="J2099" s="10" t="n">
        <v>45665.443125</v>
      </c>
      <c r="K2099" s="11" t="n">
        <v>0.005266203703703703</v>
      </c>
      <c r="L2099" s="13" t="n"/>
    </row>
    <row r="2100">
      <c r="A2100" s="3" t="inlineStr">
        <is>
          <t>PushOff</t>
        </is>
      </c>
      <c r="B2100" s="3" t="inlineStr">
        <is>
          <t>Act_PO_10058_125720_703</t>
        </is>
      </c>
      <c r="C2100" s="3" t="inlineStr">
        <is>
          <t>10058</t>
        </is>
      </c>
      <c r="D2100" s="9" t="n">
        <v>296.8</v>
      </c>
      <c r="E2100" s="3" t="n"/>
      <c r="F2100" s="3" t="n"/>
      <c r="G2100" s="9" t="n"/>
      <c r="H2100" s="10" t="n">
        <v>45665.53981481482</v>
      </c>
      <c r="I2100" s="10" t="n">
        <v>45665.54068287037</v>
      </c>
      <c r="J2100" s="10" t="n">
        <v>45665.5425</v>
      </c>
      <c r="K2100" s="11" t="n">
        <v>0.00181712962962963</v>
      </c>
      <c r="L2100" s="13" t="n"/>
    </row>
    <row r="2101">
      <c r="A2101" s="3" t="inlineStr">
        <is>
          <t>PushOff</t>
        </is>
      </c>
      <c r="B2101" s="3" t="inlineStr">
        <is>
          <t>Act_PO_10059_143807_703</t>
        </is>
      </c>
      <c r="C2101" s="3" t="inlineStr">
        <is>
          <t>10059</t>
        </is>
      </c>
      <c r="D2101" s="9" t="n">
        <v>365.8</v>
      </c>
      <c r="E2101" s="3" t="n"/>
      <c r="F2101" s="3" t="n"/>
      <c r="G2101" s="9" t="n"/>
      <c r="H2101" s="10" t="n">
        <v>45665.60980324074</v>
      </c>
      <c r="I2101" s="10" t="n">
        <v>45665.61067129629</v>
      </c>
      <c r="J2101" s="10" t="n">
        <v>45665.61263888889</v>
      </c>
      <c r="K2101" s="11" t="n">
        <v>0.001967592592592592</v>
      </c>
      <c r="L2101" s="13" t="n"/>
    </row>
    <row r="2102">
      <c r="A2102" s="3" t="inlineStr">
        <is>
          <t>PushOff</t>
        </is>
      </c>
      <c r="B2102" s="3" t="inlineStr">
        <is>
          <t>Act_PO_10060_152130_703</t>
        </is>
      </c>
      <c r="C2102" s="3" t="inlineStr">
        <is>
          <t>10060</t>
        </is>
      </c>
      <c r="D2102" s="9" t="n">
        <v>316.6</v>
      </c>
      <c r="E2102" s="3" t="n"/>
      <c r="F2102" s="3" t="n"/>
      <c r="G2102" s="9" t="n"/>
      <c r="H2102" s="10" t="n">
        <v>45665.63993055555</v>
      </c>
      <c r="I2102" s="10" t="n">
        <v>45665.64069444445</v>
      </c>
      <c r="J2102" s="10" t="n">
        <v>45665.65857638889</v>
      </c>
      <c r="K2102" s="11" t="n">
        <v>0.01788194444444444</v>
      </c>
      <c r="L2102" s="13" t="n"/>
    </row>
    <row r="2103">
      <c r="A2103" s="3" t="inlineStr">
        <is>
          <t>PushOff</t>
        </is>
      </c>
      <c r="B2103" s="3" t="inlineStr">
        <is>
          <t>Act_PO_10061_152240_727</t>
        </is>
      </c>
      <c r="C2103" s="3" t="inlineStr">
        <is>
          <t>10061</t>
        </is>
      </c>
      <c r="D2103" s="9" t="n">
        <v>362</v>
      </c>
      <c r="E2103" s="3" t="n"/>
      <c r="F2103" s="3" t="n"/>
      <c r="G2103" s="9" t="n"/>
      <c r="H2103" s="10" t="n">
        <v>45665.64074074074</v>
      </c>
      <c r="I2103" s="10" t="n">
        <v>45665.65944444444</v>
      </c>
      <c r="J2103" s="10" t="n">
        <v>45665.66150462963</v>
      </c>
      <c r="K2103" s="11" t="n">
        <v>0.002060185185185185</v>
      </c>
      <c r="L2103" s="13" t="n"/>
    </row>
    <row r="2104">
      <c r="A2104" s="3" t="inlineStr">
        <is>
          <t>PushOff</t>
        </is>
      </c>
      <c r="B2104" s="3" t="inlineStr">
        <is>
          <t>Act_PO_10062_173039_703</t>
        </is>
      </c>
      <c r="C2104" s="3" t="inlineStr">
        <is>
          <t>10062</t>
        </is>
      </c>
      <c r="D2104" s="9" t="n">
        <v>209.2</v>
      </c>
      <c r="E2104" s="3" t="n"/>
      <c r="F2104" s="3" t="n"/>
      <c r="G2104" s="9" t="n"/>
      <c r="H2104" s="10" t="n">
        <v>45665.72961805556</v>
      </c>
      <c r="I2104" s="10" t="n">
        <v>45665.73038194444</v>
      </c>
      <c r="J2104" s="10" t="n">
        <v>45665.73199074074</v>
      </c>
      <c r="K2104" s="11" t="n">
        <v>0.001608796296296296</v>
      </c>
      <c r="L2104" s="13" t="n"/>
    </row>
    <row r="2105">
      <c r="A2105" s="3" t="inlineStr">
        <is>
          <t>PushOff</t>
        </is>
      </c>
      <c r="B2105" s="3" t="inlineStr">
        <is>
          <t>Act_PO_10063_180547_731</t>
        </is>
      </c>
      <c r="C2105" s="3" t="inlineStr">
        <is>
          <t>10063</t>
        </is>
      </c>
      <c r="D2105" s="9" t="n">
        <v>15.7</v>
      </c>
      <c r="E2105" s="3" t="n"/>
      <c r="F2105" s="3" t="n"/>
      <c r="G2105" s="9" t="n"/>
      <c r="H2105" s="10" t="n">
        <v>45665.7540162037</v>
      </c>
      <c r="I2105" s="10" t="n">
        <v>45665.75488425926</v>
      </c>
      <c r="J2105" s="10" t="n">
        <v>45665.75652777778</v>
      </c>
      <c r="K2105" s="11" t="n">
        <v>0.001643518518518519</v>
      </c>
      <c r="L2105" s="13" t="n"/>
    </row>
    <row r="2106">
      <c r="A2106" s="3" t="inlineStr">
        <is>
          <t>PushOff</t>
        </is>
      </c>
      <c r="B2106" s="3" t="inlineStr">
        <is>
          <t>Act_PO_10064_200217_703</t>
        </is>
      </c>
      <c r="C2106" s="3" t="inlineStr">
        <is>
          <t>10064</t>
        </is>
      </c>
      <c r="D2106" s="9" t="n">
        <v>244.1</v>
      </c>
      <c r="E2106" s="3" t="n"/>
      <c r="F2106" s="3" t="n"/>
      <c r="G2106" s="9" t="n"/>
      <c r="H2106" s="10" t="n">
        <v>45665.83491898148</v>
      </c>
      <c r="I2106" s="10" t="n">
        <v>45665.83568287037</v>
      </c>
      <c r="J2106" s="10" t="n">
        <v>45665.85040509259</v>
      </c>
      <c r="K2106" s="11" t="n">
        <v>0.01472222222222222</v>
      </c>
      <c r="L2106" s="13" t="n"/>
    </row>
    <row r="2107">
      <c r="A2107" s="3" t="inlineStr">
        <is>
          <t>PushOff</t>
        </is>
      </c>
      <c r="B2107" s="3" t="inlineStr">
        <is>
          <t>Act_PO_10065_201107_727</t>
        </is>
      </c>
      <c r="C2107" s="3" t="inlineStr">
        <is>
          <t>10065</t>
        </is>
      </c>
      <c r="D2107" s="9" t="n">
        <v>99.5</v>
      </c>
      <c r="E2107" s="3" t="n"/>
      <c r="F2107" s="3" t="n"/>
      <c r="G2107" s="9" t="n"/>
      <c r="H2107" s="10" t="n">
        <v>45665.84105324074</v>
      </c>
      <c r="I2107" s="10" t="n">
        <v>45665.85127314815</v>
      </c>
      <c r="J2107" s="10" t="n">
        <v>45665.85271990741</v>
      </c>
      <c r="K2107" s="11" t="n">
        <v>0.001446759259259259</v>
      </c>
      <c r="L2107" s="13" t="n"/>
    </row>
    <row r="2108">
      <c r="A2108" s="3" t="inlineStr">
        <is>
          <t>PushOff</t>
        </is>
      </c>
      <c r="B2108" s="3" t="inlineStr">
        <is>
          <t>Act_PO_10066_025808_703</t>
        </is>
      </c>
      <c r="C2108" s="3" t="inlineStr">
        <is>
          <t>10066</t>
        </is>
      </c>
      <c r="D2108" s="9" t="n">
        <v>164.5</v>
      </c>
      <c r="E2108" s="3" t="n"/>
      <c r="F2108" s="3" t="n"/>
      <c r="G2108" s="9" t="n"/>
      <c r="H2108" s="10" t="n">
        <v>45666.12370370371</v>
      </c>
      <c r="I2108" s="10" t="n">
        <v>45666.12457175926</v>
      </c>
      <c r="J2108" s="10" t="n">
        <v>45666.1299074074</v>
      </c>
      <c r="K2108" s="11" t="n">
        <v>0.005335648148148148</v>
      </c>
      <c r="L2108" s="13" t="n"/>
    </row>
    <row r="2109">
      <c r="A2109" s="3" t="inlineStr">
        <is>
          <t>PushOff</t>
        </is>
      </c>
      <c r="B2109" s="3" t="inlineStr">
        <is>
          <t>Act_PO_10067_063017_703</t>
        </is>
      </c>
      <c r="C2109" s="3" t="inlineStr">
        <is>
          <t>10067</t>
        </is>
      </c>
      <c r="D2109" s="9" t="n">
        <v>376.1</v>
      </c>
      <c r="E2109" s="3" t="n"/>
      <c r="F2109" s="3" t="n"/>
      <c r="G2109" s="9" t="n"/>
      <c r="H2109" s="10" t="n">
        <v>45666.27103009259</v>
      </c>
      <c r="I2109" s="10" t="n">
        <v>45666.27179398148</v>
      </c>
      <c r="J2109" s="10" t="n">
        <v>45666.28641203704</v>
      </c>
      <c r="K2109" s="11" t="n">
        <v>0.01461805555555556</v>
      </c>
      <c r="L2109" s="13" t="n"/>
    </row>
    <row r="2110">
      <c r="A2110" s="3" t="inlineStr">
        <is>
          <t>PushOff</t>
        </is>
      </c>
      <c r="B2110" s="3" t="inlineStr">
        <is>
          <t>Act_PO_10068_064021_727</t>
        </is>
      </c>
      <c r="C2110" s="3" t="inlineStr">
        <is>
          <t>10068</t>
        </is>
      </c>
      <c r="D2110" s="9" t="n">
        <v>185.9</v>
      </c>
      <c r="E2110" s="3" t="n"/>
      <c r="F2110" s="3" t="n"/>
      <c r="G2110" s="9" t="n"/>
      <c r="H2110" s="10" t="n">
        <v>45666.27802083334</v>
      </c>
      <c r="I2110" s="10" t="n">
        <v>45666.28728009259</v>
      </c>
      <c r="J2110" s="10" t="n">
        <v>45666.28954861111</v>
      </c>
      <c r="K2110" s="11" t="n">
        <v>0.002268518518518519</v>
      </c>
      <c r="L2110" s="13" t="n"/>
    </row>
    <row r="2111">
      <c r="A2111" s="3" t="inlineStr">
        <is>
          <t>PushOff</t>
        </is>
      </c>
      <c r="B2111" s="3" t="inlineStr">
        <is>
          <t>Act_PO_10070_073107_727</t>
        </is>
      </c>
      <c r="C2111" s="3" t="inlineStr">
        <is>
          <t>10070</t>
        </is>
      </c>
      <c r="D2111" s="9" t="n">
        <v>325</v>
      </c>
      <c r="E2111" s="3" t="n"/>
      <c r="F2111" s="3" t="n"/>
      <c r="G2111" s="9" t="n"/>
      <c r="H2111" s="10" t="n">
        <v>45666.31327546296</v>
      </c>
      <c r="I2111" s="10" t="n">
        <v>45666.31414351852</v>
      </c>
      <c r="J2111" s="10" t="n">
        <v>45666.31633101852</v>
      </c>
      <c r="K2111" s="11" t="n">
        <v>0.0021875</v>
      </c>
      <c r="L2111" s="13" t="n"/>
    </row>
    <row r="2112">
      <c r="A2112" s="3" t="inlineStr">
        <is>
          <t>PushOff</t>
        </is>
      </c>
      <c r="B2112" s="3" t="inlineStr">
        <is>
          <t>Act_PO_10069_073156_703</t>
        </is>
      </c>
      <c r="C2112" s="3" t="inlineStr">
        <is>
          <t>10069</t>
        </is>
      </c>
      <c r="D2112" s="9" t="n">
        <v>278.7</v>
      </c>
      <c r="E2112" s="3" t="n"/>
      <c r="F2112" s="3" t="n"/>
      <c r="G2112" s="9" t="n"/>
      <c r="H2112" s="10" t="n">
        <v>45666.31384259259</v>
      </c>
      <c r="I2112" s="10" t="n">
        <v>45666.31711805556</v>
      </c>
      <c r="J2112" s="10" t="n">
        <v>45666.32789351852</v>
      </c>
      <c r="K2112" s="11" t="n">
        <v>0.01077546296296296</v>
      </c>
      <c r="L2112" s="13" t="n"/>
    </row>
    <row r="2113">
      <c r="A2113" s="3" t="inlineStr">
        <is>
          <t>PushOff</t>
        </is>
      </c>
      <c r="B2113" s="3" t="inlineStr">
        <is>
          <t>Act_PO_10071_080302_727</t>
        </is>
      </c>
      <c r="C2113" s="3" t="inlineStr">
        <is>
          <t>10071</t>
        </is>
      </c>
      <c r="D2113" s="9" t="n">
        <v>381.6</v>
      </c>
      <c r="E2113" s="3" t="n"/>
      <c r="F2113" s="3" t="n"/>
      <c r="G2113" s="9" t="n"/>
      <c r="H2113" s="10" t="n">
        <v>45666.33543981481</v>
      </c>
      <c r="I2113" s="10" t="n">
        <v>45666.33622685185</v>
      </c>
      <c r="J2113" s="10" t="n">
        <v>45666.33900462963</v>
      </c>
      <c r="K2113" s="11" t="n">
        <v>0.002777777777777778</v>
      </c>
      <c r="L2113" s="13" t="n"/>
    </row>
    <row r="2114">
      <c r="A2114" s="3" t="inlineStr">
        <is>
          <t>PushOff</t>
        </is>
      </c>
      <c r="B2114" s="3" t="inlineStr">
        <is>
          <t>Act_PO_10072_085825_703</t>
        </is>
      </c>
      <c r="C2114" s="3" t="inlineStr">
        <is>
          <t>10072</t>
        </is>
      </c>
      <c r="D2114" s="9" t="n">
        <v>362</v>
      </c>
      <c r="E2114" s="3" t="n"/>
      <c r="F2114" s="3" t="n"/>
      <c r="G2114" s="9" t="n"/>
      <c r="H2114" s="10" t="n">
        <v>45666.37390046296</v>
      </c>
      <c r="I2114" s="10" t="n">
        <v>45666.37476851852</v>
      </c>
      <c r="J2114" s="10" t="n">
        <v>45666.37917824074</v>
      </c>
      <c r="K2114" s="11" t="n">
        <v>0.004409722222222222</v>
      </c>
      <c r="L2114" s="13" t="n"/>
    </row>
    <row r="2115">
      <c r="A2115" s="3" t="inlineStr">
        <is>
          <t>PushOff</t>
        </is>
      </c>
      <c r="B2115" s="3" t="inlineStr">
        <is>
          <t>Act_PO_10073_110446_703</t>
        </is>
      </c>
      <c r="C2115" s="3" t="inlineStr">
        <is>
          <t>10073</t>
        </is>
      </c>
      <c r="D2115" s="9" t="n">
        <v>435.7</v>
      </c>
      <c r="E2115" s="3" t="n"/>
      <c r="F2115" s="3" t="n"/>
      <c r="G2115" s="9" t="n"/>
      <c r="H2115" s="10" t="n">
        <v>45666.46164351852</v>
      </c>
      <c r="I2115" s="10" t="n">
        <v>45666.46251157407</v>
      </c>
      <c r="J2115" s="10" t="n">
        <v>45666.46708333334</v>
      </c>
      <c r="K2115" s="11" t="n">
        <v>0.004571759259259259</v>
      </c>
      <c r="L2115" s="13" t="n"/>
    </row>
    <row r="2116">
      <c r="A2116" s="3" t="inlineStr">
        <is>
          <t>PushOff</t>
        </is>
      </c>
      <c r="B2116" s="3" t="inlineStr">
        <is>
          <t>Act_PO_10074_144339_703</t>
        </is>
      </c>
      <c r="C2116" s="3" t="inlineStr">
        <is>
          <t>10074</t>
        </is>
      </c>
      <c r="D2116" s="9" t="n">
        <v>241.4</v>
      </c>
      <c r="E2116" s="3" t="n"/>
      <c r="F2116" s="3" t="n"/>
      <c r="G2116" s="9" t="n"/>
      <c r="H2116" s="10" t="n">
        <v>45666.61364583333</v>
      </c>
      <c r="I2116" s="10" t="n">
        <v>45666.61451388889</v>
      </c>
      <c r="J2116" s="10" t="n">
        <v>45666.61677083333</v>
      </c>
      <c r="K2116" s="11" t="n">
        <v>0.002256944444444444</v>
      </c>
      <c r="L2116" s="13" t="n"/>
    </row>
    <row r="2117">
      <c r="A2117" s="3" t="inlineStr">
        <is>
          <t>PushOff</t>
        </is>
      </c>
      <c r="B2117" s="3" t="inlineStr">
        <is>
          <t>Act_PO_10075_151909_703</t>
        </is>
      </c>
      <c r="C2117" s="3" t="inlineStr">
        <is>
          <t>10075</t>
        </is>
      </c>
      <c r="D2117" s="9" t="n">
        <v>407.5</v>
      </c>
      <c r="E2117" s="3" t="n"/>
      <c r="F2117" s="3" t="n"/>
      <c r="G2117" s="9" t="n"/>
      <c r="H2117" s="10" t="n">
        <v>45666.63829861111</v>
      </c>
      <c r="I2117" s="10" t="n">
        <v>45666.63916666667</v>
      </c>
      <c r="J2117" s="10" t="n">
        <v>45666.64798611111</v>
      </c>
      <c r="K2117" s="11" t="n">
        <v>0.008819444444444444</v>
      </c>
      <c r="L2117" s="13" t="n"/>
    </row>
    <row r="2118">
      <c r="A2118" s="3" t="inlineStr">
        <is>
          <t>PushOff</t>
        </is>
      </c>
      <c r="B2118" s="3" t="inlineStr">
        <is>
          <t>Act_PO_10076_153719_727</t>
        </is>
      </c>
      <c r="C2118" s="3" t="inlineStr">
        <is>
          <t>10076</t>
        </is>
      </c>
      <c r="D2118" s="9" t="n">
        <v>314.8</v>
      </c>
      <c r="E2118" s="3" t="n"/>
      <c r="F2118" s="3" t="n"/>
      <c r="G2118" s="9" t="n"/>
      <c r="H2118" s="10" t="n">
        <v>45666.65091435185</v>
      </c>
      <c r="I2118" s="10" t="n">
        <v>45666.65178240741</v>
      </c>
      <c r="J2118" s="10" t="n">
        <v>45666.65394675926</v>
      </c>
      <c r="K2118" s="11" t="n">
        <v>0.002164351851851852</v>
      </c>
      <c r="L2118" s="13" t="n"/>
    </row>
    <row r="2119">
      <c r="A2119" s="3" t="inlineStr">
        <is>
          <t>PushOff</t>
        </is>
      </c>
      <c r="B2119" s="3" t="inlineStr">
        <is>
          <t>Act_PO_10078_175205_731</t>
        </is>
      </c>
      <c r="C2119" s="3" t="inlineStr">
        <is>
          <t>10078</t>
        </is>
      </c>
      <c r="D2119" s="9" t="n">
        <v>47.2</v>
      </c>
      <c r="E2119" s="3" t="n"/>
      <c r="F2119" s="3" t="n"/>
      <c r="G2119" s="9" t="n"/>
      <c r="H2119" s="10" t="n">
        <v>45666.74450231482</v>
      </c>
      <c r="I2119" s="10" t="n">
        <v>45666.74613425926</v>
      </c>
      <c r="J2119" s="10" t="n">
        <v>45666.74795138889</v>
      </c>
      <c r="K2119" s="11" t="n">
        <v>0.00181712962962963</v>
      </c>
      <c r="L2119" s="13" t="n"/>
    </row>
    <row r="2120">
      <c r="A2120" s="3" t="inlineStr">
        <is>
          <t>PushOff</t>
        </is>
      </c>
      <c r="B2120" s="3" t="inlineStr">
        <is>
          <t>Act_PO_10077_180722_703</t>
        </is>
      </c>
      <c r="C2120" s="3" t="inlineStr">
        <is>
          <t>10077</t>
        </is>
      </c>
      <c r="D2120" s="9" t="n">
        <v>319</v>
      </c>
      <c r="E2120" s="3" t="n"/>
      <c r="F2120" s="3" t="n"/>
      <c r="G2120" s="9" t="n"/>
      <c r="H2120" s="10" t="n">
        <v>45666.75511574074</v>
      </c>
      <c r="I2120" s="10" t="n">
        <v>45666.75599537037</v>
      </c>
      <c r="J2120" s="10" t="n">
        <v>45666.77054398148</v>
      </c>
      <c r="K2120" s="11" t="n">
        <v>0.01454861111111111</v>
      </c>
      <c r="L2120" s="13" t="n"/>
    </row>
    <row r="2121">
      <c r="A2121" s="3" t="inlineStr">
        <is>
          <t>PushOff</t>
        </is>
      </c>
      <c r="B2121" s="3" t="inlineStr">
        <is>
          <t>Act_PO_10079_181249_727</t>
        </is>
      </c>
      <c r="C2121" s="3" t="inlineStr">
        <is>
          <t>10079</t>
        </is>
      </c>
      <c r="D2121" s="9" t="n">
        <v>417.5</v>
      </c>
      <c r="E2121" s="3" t="n"/>
      <c r="F2121" s="3" t="n"/>
      <c r="G2121" s="9" t="n"/>
      <c r="H2121" s="10" t="n">
        <v>45666.75890046296</v>
      </c>
      <c r="I2121" s="10" t="n">
        <v>45666.77141203704</v>
      </c>
      <c r="J2121" s="10" t="n">
        <v>45666.79045138889</v>
      </c>
      <c r="K2121" s="11" t="n">
        <v>0.01903935185185185</v>
      </c>
      <c r="L2121" s="13" t="n"/>
    </row>
    <row r="2122">
      <c r="A2122" s="3" t="inlineStr">
        <is>
          <t>PushOff</t>
        </is>
      </c>
      <c r="B2122" s="3" t="inlineStr">
        <is>
          <t>Act_PO_10080_202313_703</t>
        </is>
      </c>
      <c r="C2122" s="3" t="inlineStr">
        <is>
          <t>10080</t>
        </is>
      </c>
      <c r="D2122" s="9" t="n">
        <v>291.7</v>
      </c>
      <c r="E2122" s="3" t="n"/>
      <c r="F2122" s="3" t="n"/>
      <c r="G2122" s="9" t="n"/>
      <c r="H2122" s="10" t="n">
        <v>45666.84945601852</v>
      </c>
      <c r="I2122" s="10" t="n">
        <v>45666.85032407408</v>
      </c>
      <c r="J2122" s="10" t="n">
        <v>45666.86372685185</v>
      </c>
      <c r="K2122" s="11" t="n">
        <v>0.01340277777777778</v>
      </c>
      <c r="L2122" s="13" t="n"/>
    </row>
    <row r="2123">
      <c r="A2123" s="3" t="inlineStr">
        <is>
          <t>PushOff</t>
        </is>
      </c>
      <c r="B2123" s="3" t="inlineStr">
        <is>
          <t>Act_PO_10081_025751_703</t>
        </is>
      </c>
      <c r="C2123" s="3" t="inlineStr">
        <is>
          <t>10081</t>
        </is>
      </c>
      <c r="D2123" s="9" t="n">
        <v>309.2</v>
      </c>
      <c r="E2123" s="3" t="n"/>
      <c r="F2123" s="3" t="n"/>
      <c r="G2123" s="9" t="n"/>
      <c r="H2123" s="10" t="n">
        <v>45667.12350694444</v>
      </c>
      <c r="I2123" s="10" t="n">
        <v>45667.12427083333</v>
      </c>
      <c r="J2123" s="10" t="n">
        <v>45667.13174768518</v>
      </c>
      <c r="K2123" s="11" t="n">
        <v>0.007476851851851852</v>
      </c>
      <c r="L2123" s="13" t="n"/>
    </row>
    <row r="2124">
      <c r="A2124" s="3" t="inlineStr">
        <is>
          <t>PushOff</t>
        </is>
      </c>
      <c r="B2124" s="3" t="inlineStr">
        <is>
          <t>Act_PO_10082_044137_703</t>
        </is>
      </c>
      <c r="C2124" s="3" t="inlineStr">
        <is>
          <t>10082</t>
        </is>
      </c>
      <c r="D2124" s="9" t="n">
        <v>219.5</v>
      </c>
      <c r="E2124" s="3" t="n"/>
      <c r="F2124" s="3" t="n"/>
      <c r="G2124" s="9" t="n"/>
      <c r="H2124" s="10" t="n">
        <v>45667.19556712963</v>
      </c>
      <c r="I2124" s="10" t="n">
        <v>45667.19644675926</v>
      </c>
      <c r="J2124" s="10" t="n">
        <v>45667.1980787037</v>
      </c>
      <c r="K2124" s="11" t="n">
        <v>0.001631944444444445</v>
      </c>
      <c r="L2124" s="13" t="n"/>
    </row>
    <row r="2125">
      <c r="A2125" s="3" t="inlineStr">
        <is>
          <t>PushOff</t>
        </is>
      </c>
      <c r="B2125" s="3" t="inlineStr">
        <is>
          <t>Act_PO_10083_055700_703</t>
        </is>
      </c>
      <c r="C2125" s="3" t="inlineStr">
        <is>
          <t>10083</t>
        </is>
      </c>
      <c r="D2125" s="9" t="n">
        <v>298</v>
      </c>
      <c r="E2125" s="3" t="n"/>
      <c r="F2125" s="3" t="n"/>
      <c r="G2125" s="9" t="n"/>
      <c r="H2125" s="10" t="n">
        <v>45667.24791666667</v>
      </c>
      <c r="I2125" s="10" t="n">
        <v>45667.24868055555</v>
      </c>
      <c r="J2125" s="10" t="n">
        <v>45667.25072916667</v>
      </c>
      <c r="K2125" s="11" t="n">
        <v>0.002048611111111111</v>
      </c>
      <c r="L2125" s="13" t="n"/>
    </row>
    <row r="2126">
      <c r="A2126" s="3" t="inlineStr">
        <is>
          <t>PushOff</t>
        </is>
      </c>
      <c r="B2126" s="3" t="inlineStr">
        <is>
          <t>Act_PO_10084_070223_703</t>
        </is>
      </c>
      <c r="C2126" s="3" t="inlineStr">
        <is>
          <t>10084</t>
        </is>
      </c>
      <c r="D2126" s="9" t="n">
        <v>386.3</v>
      </c>
      <c r="E2126" s="3" t="n"/>
      <c r="F2126" s="3" t="n"/>
      <c r="G2126" s="9" t="n"/>
      <c r="H2126" s="10" t="n">
        <v>45667.29332175926</v>
      </c>
      <c r="I2126" s="10" t="n">
        <v>45667.29420138889</v>
      </c>
      <c r="J2126" s="10" t="n">
        <v>45667.31010416667</v>
      </c>
      <c r="K2126" s="11" t="n">
        <v>0.01590277777777778</v>
      </c>
      <c r="L2126" s="13" t="n"/>
    </row>
    <row r="2127">
      <c r="A2127" s="3" t="inlineStr">
        <is>
          <t>PushOff</t>
        </is>
      </c>
      <c r="B2127" s="3" t="inlineStr">
        <is>
          <t>Act_PO_10085_073553_703</t>
        </is>
      </c>
      <c r="C2127" s="3" t="inlineStr">
        <is>
          <t>10085</t>
        </is>
      </c>
      <c r="D2127" s="9" t="n">
        <v>193.1</v>
      </c>
      <c r="E2127" s="3" t="n"/>
      <c r="F2127" s="3" t="n"/>
      <c r="G2127" s="9" t="n"/>
      <c r="H2127" s="10" t="n">
        <v>45667.31658564815</v>
      </c>
      <c r="I2127" s="10" t="n">
        <v>45667.3174537037</v>
      </c>
      <c r="J2127" s="10" t="n">
        <v>45667.31981481481</v>
      </c>
      <c r="K2127" s="11" t="n">
        <v>0.002361111111111111</v>
      </c>
      <c r="L2127" s="13" t="n"/>
    </row>
    <row r="2128">
      <c r="A2128" s="3" t="inlineStr">
        <is>
          <t>PushOff</t>
        </is>
      </c>
      <c r="B2128" s="3" t="inlineStr">
        <is>
          <t>Act_PO_10086_080706_703</t>
        </is>
      </c>
      <c r="C2128" s="3" t="inlineStr">
        <is>
          <t>10086</t>
        </is>
      </c>
      <c r="D2128" s="9" t="n">
        <v>380.8</v>
      </c>
      <c r="E2128" s="3" t="n"/>
      <c r="F2128" s="3" t="n"/>
      <c r="G2128" s="9" t="n"/>
      <c r="H2128" s="10" t="n">
        <v>45667.33826388889</v>
      </c>
      <c r="I2128" s="10" t="n">
        <v>45667.33914351852</v>
      </c>
      <c r="J2128" s="10" t="n">
        <v>45667.34171296296</v>
      </c>
      <c r="K2128" s="11" t="n">
        <v>0.002569444444444445</v>
      </c>
      <c r="L2128" s="13" t="n"/>
    </row>
    <row r="2129">
      <c r="A2129" s="3" t="inlineStr">
        <is>
          <t>PushOff</t>
        </is>
      </c>
      <c r="B2129" s="3" t="inlineStr">
        <is>
          <t>Act_PO_10088_091048_703</t>
        </is>
      </c>
      <c r="C2129" s="3" t="inlineStr">
        <is>
          <t>10088</t>
        </is>
      </c>
      <c r="D2129" s="9" t="n">
        <v>206.3</v>
      </c>
      <c r="E2129" s="3" t="n"/>
      <c r="F2129" s="3" t="n"/>
      <c r="G2129" s="9" t="n"/>
      <c r="H2129" s="10" t="n">
        <v>45667.3825</v>
      </c>
      <c r="I2129" s="10" t="n">
        <v>45667.38336805555</v>
      </c>
      <c r="J2129" s="10" t="n">
        <v>45667.38842592593</v>
      </c>
      <c r="K2129" s="11" t="n">
        <v>0.005057870370370371</v>
      </c>
      <c r="L2129" s="13" t="n"/>
    </row>
    <row r="2130">
      <c r="A2130" s="3" t="inlineStr">
        <is>
          <t>PushOff</t>
        </is>
      </c>
      <c r="B2130" s="3" t="inlineStr">
        <is>
          <t>Act_PO_10087_091741_727</t>
        </is>
      </c>
      <c r="C2130" s="3" t="inlineStr">
        <is>
          <t>10087</t>
        </is>
      </c>
      <c r="D2130" s="9" t="n">
        <v>588.4</v>
      </c>
      <c r="E2130" s="3" t="n"/>
      <c r="F2130" s="3" t="n"/>
      <c r="G2130" s="9" t="n"/>
      <c r="H2130" s="10" t="n">
        <v>45667.38728009259</v>
      </c>
      <c r="I2130" s="10" t="n">
        <v>45667.38930555555</v>
      </c>
      <c r="J2130" s="10" t="n">
        <v>45667.40922453703</v>
      </c>
      <c r="K2130" s="11" t="n">
        <v>0.01991898148148148</v>
      </c>
      <c r="L2130" s="13" t="n"/>
    </row>
    <row r="2131">
      <c r="A2131" s="3" t="inlineStr">
        <is>
          <t>PushOff</t>
        </is>
      </c>
      <c r="B2131" s="3" t="inlineStr">
        <is>
          <t>Act_PO_10089_102905_703</t>
        </is>
      </c>
      <c r="C2131" s="3" t="inlineStr">
        <is>
          <t>10089</t>
        </is>
      </c>
      <c r="D2131" s="9" t="n">
        <v>259.7</v>
      </c>
      <c r="E2131" s="3" t="n"/>
      <c r="F2131" s="3" t="n"/>
      <c r="G2131" s="9" t="n"/>
      <c r="H2131" s="10" t="n">
        <v>45667.43686342592</v>
      </c>
      <c r="I2131" s="10" t="n">
        <v>45667.43765046296</v>
      </c>
      <c r="J2131" s="10" t="n">
        <v>45667.44012731482</v>
      </c>
      <c r="K2131" s="11" t="n">
        <v>0.002476851851851852</v>
      </c>
      <c r="L2131" s="13" t="n"/>
    </row>
    <row r="2132">
      <c r="A2132" s="3" t="inlineStr">
        <is>
          <t>PushOff</t>
        </is>
      </c>
      <c r="B2132" s="3" t="inlineStr">
        <is>
          <t>Act_PO_10090_131225_703</t>
        </is>
      </c>
      <c r="C2132" s="3" t="inlineStr">
        <is>
          <t>10090</t>
        </is>
      </c>
      <c r="D2132" s="9" t="n">
        <v>95.3</v>
      </c>
      <c r="E2132" s="3" t="n"/>
      <c r="F2132" s="3" t="n"/>
      <c r="G2132" s="9" t="n"/>
      <c r="H2132" s="10" t="n">
        <v>45667.55028935185</v>
      </c>
      <c r="I2132" s="10" t="n">
        <v>45667.55116898148</v>
      </c>
      <c r="J2132" s="10" t="n">
        <v>45667.55262731481</v>
      </c>
      <c r="K2132" s="11" t="n">
        <v>0.001458333333333333</v>
      </c>
      <c r="L2132" s="13" t="n"/>
    </row>
    <row r="2133">
      <c r="A2133" s="3" t="inlineStr">
        <is>
          <t>PushOff</t>
        </is>
      </c>
      <c r="B2133" s="3" t="inlineStr">
        <is>
          <t>Act_PO_10091_141739_731</t>
        </is>
      </c>
      <c r="C2133" s="3" t="inlineStr">
        <is>
          <t>10091</t>
        </is>
      </c>
      <c r="D2133" s="9" t="n">
        <v>23.2</v>
      </c>
      <c r="E2133" s="3" t="n"/>
      <c r="F2133" s="3" t="n"/>
      <c r="G2133" s="9" t="n"/>
      <c r="H2133" s="10" t="n">
        <v>45667.59559027778</v>
      </c>
      <c r="I2133" s="10" t="n">
        <v>45667.59638888889</v>
      </c>
      <c r="J2133" s="10" t="n">
        <v>45667.5980324074</v>
      </c>
      <c r="K2133" s="11" t="n">
        <v>0.001643518518518519</v>
      </c>
      <c r="L2133" s="13" t="n"/>
    </row>
    <row r="2134">
      <c r="A2134" s="3" t="inlineStr">
        <is>
          <t>PushOff</t>
        </is>
      </c>
      <c r="B2134" s="3" t="inlineStr">
        <is>
          <t>Act_PO_10092_150056_703</t>
        </is>
      </c>
      <c r="C2134" s="3" t="inlineStr">
        <is>
          <t>10092</t>
        </is>
      </c>
      <c r="D2134" s="9" t="n">
        <v>393.5</v>
      </c>
      <c r="E2134" s="3" t="n"/>
      <c r="F2134" s="3" t="n"/>
      <c r="G2134" s="9" t="n"/>
      <c r="H2134" s="10" t="n">
        <v>45667.62564814815</v>
      </c>
      <c r="I2134" s="10" t="n">
        <v>45667.62652777778</v>
      </c>
      <c r="J2134" s="10" t="n">
        <v>45667.62931712963</v>
      </c>
      <c r="K2134" s="11" t="n">
        <v>0.002789351851851852</v>
      </c>
      <c r="L2134" s="13" t="n"/>
    </row>
    <row r="2135">
      <c r="A2135" s="3" t="inlineStr">
        <is>
          <t>PushOff</t>
        </is>
      </c>
      <c r="B2135" s="3" t="inlineStr">
        <is>
          <t>Act_PO_10093_173946_703</t>
        </is>
      </c>
      <c r="C2135" s="3" t="inlineStr">
        <is>
          <t>10093</t>
        </is>
      </c>
      <c r="D2135" s="9" t="n">
        <v>302.1</v>
      </c>
      <c r="E2135" s="3" t="n"/>
      <c r="F2135" s="3" t="n"/>
      <c r="G2135" s="9" t="n"/>
      <c r="H2135" s="10" t="n">
        <v>45667.73594907407</v>
      </c>
      <c r="I2135" s="10" t="n">
        <v>45667.73674768519</v>
      </c>
      <c r="J2135" s="10" t="n">
        <v>45667.73868055556</v>
      </c>
      <c r="K2135" s="11" t="n">
        <v>0.00193287037037037</v>
      </c>
      <c r="L2135" s="13" t="n"/>
    </row>
    <row r="2136">
      <c r="A2136" s="3" t="inlineStr">
        <is>
          <t>PushOff</t>
        </is>
      </c>
      <c r="B2136" s="3" t="inlineStr">
        <is>
          <t>Act_PO_10094_181140_727</t>
        </is>
      </c>
      <c r="C2136" s="3" t="inlineStr">
        <is>
          <t>10094</t>
        </is>
      </c>
      <c r="D2136" s="9" t="n">
        <v>577.6</v>
      </c>
      <c r="E2136" s="3" t="n"/>
      <c r="F2136" s="3" t="n"/>
      <c r="G2136" s="9" t="n"/>
      <c r="H2136" s="10" t="n">
        <v>45667.75810185185</v>
      </c>
      <c r="I2136" s="10" t="n">
        <v>45667.75888888889</v>
      </c>
      <c r="J2136" s="10" t="n">
        <v>45667.77939814814</v>
      </c>
      <c r="K2136" s="11" t="n">
        <v>0.02050925925925926</v>
      </c>
      <c r="L2136" s="13" t="n"/>
    </row>
    <row r="2137">
      <c r="A2137" s="3" t="inlineStr">
        <is>
          <t>PushOff</t>
        </is>
      </c>
      <c r="B2137" s="3" t="inlineStr">
        <is>
          <t>Act_PO_10095_203249_703</t>
        </is>
      </c>
      <c r="C2137" s="3" t="inlineStr">
        <is>
          <t>10095</t>
        </is>
      </c>
      <c r="D2137" s="9" t="n">
        <v>300.5</v>
      </c>
      <c r="E2137" s="3" t="n"/>
      <c r="F2137" s="3" t="n"/>
      <c r="G2137" s="9" t="n"/>
      <c r="H2137" s="10" t="n">
        <v>45667.85612268518</v>
      </c>
      <c r="I2137" s="10" t="n">
        <v>45667.85699074074</v>
      </c>
      <c r="J2137" s="10" t="n">
        <v>45667.87052083333</v>
      </c>
      <c r="K2137" s="11" t="n">
        <v>0.01353009259259259</v>
      </c>
      <c r="L2137" s="13" t="n"/>
    </row>
    <row r="2138">
      <c r="A2138" s="3" t="inlineStr">
        <is>
          <t>PushOff</t>
        </is>
      </c>
      <c r="B2138" s="3" t="inlineStr">
        <is>
          <t>Act_PO_10096_051234_703</t>
        </is>
      </c>
      <c r="C2138" s="3" t="inlineStr">
        <is>
          <t>10096</t>
        </is>
      </c>
      <c r="D2138" s="9" t="n">
        <v>366.6</v>
      </c>
      <c r="E2138" s="3" t="n"/>
      <c r="F2138" s="3" t="n"/>
      <c r="G2138" s="9" t="n"/>
      <c r="H2138" s="10" t="n">
        <v>45668.21706018518</v>
      </c>
      <c r="I2138" s="10" t="n">
        <v>45668.21792824074</v>
      </c>
      <c r="J2138" s="10" t="n">
        <v>45668.22392361111</v>
      </c>
      <c r="K2138" s="11" t="n">
        <v>0.005995370370370371</v>
      </c>
      <c r="L2138" s="13" t="n"/>
    </row>
    <row r="2139">
      <c r="A2139" s="3" t="inlineStr">
        <is>
          <t>PushOff</t>
        </is>
      </c>
      <c r="B2139" s="3" t="inlineStr">
        <is>
          <t>Act_PO_10097_054602_703</t>
        </is>
      </c>
      <c r="C2139" s="3" t="inlineStr">
        <is>
          <t>10097</t>
        </is>
      </c>
      <c r="D2139" s="9" t="n">
        <v>382.7</v>
      </c>
      <c r="E2139" s="3" t="n"/>
      <c r="F2139" s="3" t="n"/>
      <c r="G2139" s="9" t="n"/>
      <c r="H2139" s="10" t="n">
        <v>45668.24030092593</v>
      </c>
      <c r="I2139" s="10" t="n">
        <v>45668.24116898148</v>
      </c>
      <c r="J2139" s="10" t="n">
        <v>45668.2491087963</v>
      </c>
      <c r="K2139" s="11" t="n">
        <v>0.007939814814814814</v>
      </c>
      <c r="L2139" s="13" t="n"/>
    </row>
    <row r="2140">
      <c r="A2140" s="3" t="inlineStr">
        <is>
          <t>PushOff</t>
        </is>
      </c>
      <c r="B2140" s="3" t="inlineStr">
        <is>
          <t>Act_PO_10098_175822_727</t>
        </is>
      </c>
      <c r="C2140" s="3" t="inlineStr">
        <is>
          <t>10098</t>
        </is>
      </c>
      <c r="D2140" s="9" t="n">
        <v>554.1</v>
      </c>
      <c r="E2140" s="3" t="n"/>
      <c r="F2140" s="3" t="n"/>
      <c r="G2140" s="9" t="n"/>
      <c r="H2140" s="10" t="n">
        <v>45669.74886574074</v>
      </c>
      <c r="I2140" s="10" t="n">
        <v>45669.74974537037</v>
      </c>
      <c r="J2140" s="10" t="n">
        <v>45669.75589120371</v>
      </c>
      <c r="K2140" s="11" t="n">
        <v>0.006145833333333333</v>
      </c>
      <c r="L2140" s="13" t="n"/>
    </row>
    <row r="2141">
      <c r="A2141" s="3" t="inlineStr">
        <is>
          <t>PushOff</t>
        </is>
      </c>
      <c r="B2141" s="3" t="inlineStr">
        <is>
          <t>Act_PO_10099_201320_703</t>
        </is>
      </c>
      <c r="C2141" s="3" t="inlineStr">
        <is>
          <t>10099</t>
        </is>
      </c>
      <c r="D2141" s="9" t="n">
        <v>208.1</v>
      </c>
      <c r="E2141" s="3" t="n"/>
      <c r="F2141" s="3" t="n"/>
      <c r="G2141" s="9" t="n"/>
      <c r="H2141" s="10" t="n">
        <v>45669.84259259259</v>
      </c>
      <c r="I2141" s="10" t="n">
        <v>45669.84346064815</v>
      </c>
      <c r="J2141" s="10" t="n">
        <v>45669.84717592593</v>
      </c>
      <c r="K2141" s="11" t="n">
        <v>0.003715277777777778</v>
      </c>
      <c r="L2141" s="13" t="n"/>
    </row>
    <row r="2142">
      <c r="A2142" s="3" t="inlineStr">
        <is>
          <t>PushOff</t>
        </is>
      </c>
      <c r="B2142" s="3" t="inlineStr">
        <is>
          <t>Act_PO_10100_023925_703</t>
        </is>
      </c>
      <c r="C2142" s="3" t="inlineStr">
        <is>
          <t>10100</t>
        </is>
      </c>
      <c r="D2142" s="9" t="n">
        <v>181.5</v>
      </c>
      <c r="E2142" s="3" t="n"/>
      <c r="F2142" s="3" t="n"/>
      <c r="G2142" s="9" t="n"/>
      <c r="H2142" s="10" t="n">
        <v>45670.11070601852</v>
      </c>
      <c r="I2142" s="10" t="n">
        <v>45670.11158564815</v>
      </c>
      <c r="J2142" s="10" t="n">
        <v>45670.11494212963</v>
      </c>
      <c r="K2142" s="11" t="n">
        <v>0.003356481481481482</v>
      </c>
      <c r="L2142" s="13" t="n"/>
    </row>
    <row r="2143">
      <c r="A2143" s="3" t="inlineStr">
        <is>
          <t>PushOff</t>
        </is>
      </c>
      <c r="B2143" s="3" t="inlineStr">
        <is>
          <t>Act_PO_10101_043922_703</t>
        </is>
      </c>
      <c r="C2143" s="3" t="inlineStr">
        <is>
          <t>10101</t>
        </is>
      </c>
      <c r="D2143" s="9" t="n">
        <v>301.2</v>
      </c>
      <c r="E2143" s="3" t="n"/>
      <c r="F2143" s="3" t="n"/>
      <c r="G2143" s="9" t="n"/>
      <c r="H2143" s="10" t="n">
        <v>45670.19400462963</v>
      </c>
      <c r="I2143" s="10" t="n">
        <v>45670.19487268518</v>
      </c>
      <c r="J2143" s="10" t="n">
        <v>45670.19755787037</v>
      </c>
      <c r="K2143" s="11" t="n">
        <v>0.002685185185185185</v>
      </c>
      <c r="L2143" s="13" t="n"/>
    </row>
    <row r="2144">
      <c r="A2144" s="3" t="inlineStr">
        <is>
          <t>PushOff</t>
        </is>
      </c>
      <c r="B2144" s="3" t="inlineStr">
        <is>
          <t>Act_PO_10102_061533_703</t>
        </is>
      </c>
      <c r="C2144" s="3" t="inlineStr">
        <is>
          <t>10102</t>
        </is>
      </c>
      <c r="D2144" s="9" t="n">
        <v>298</v>
      </c>
      <c r="E2144" s="3" t="n"/>
      <c r="F2144" s="3" t="n"/>
      <c r="G2144" s="9" t="n"/>
      <c r="H2144" s="10" t="n">
        <v>45670.26079861111</v>
      </c>
      <c r="I2144" s="10" t="n">
        <v>45670.26167824074</v>
      </c>
      <c r="J2144" s="10" t="n">
        <v>45670.26436342593</v>
      </c>
      <c r="K2144" s="11" t="n">
        <v>0.002685185185185185</v>
      </c>
      <c r="L2144" s="13" t="n"/>
    </row>
    <row r="2145">
      <c r="A2145" s="3" t="inlineStr">
        <is>
          <t>PushOff</t>
        </is>
      </c>
      <c r="B2145" s="3" t="inlineStr">
        <is>
          <t>Act_PO_10103_071133_703</t>
        </is>
      </c>
      <c r="C2145" s="3" t="inlineStr">
        <is>
          <t>10103</t>
        </is>
      </c>
      <c r="D2145" s="9" t="n">
        <v>205.5</v>
      </c>
      <c r="E2145" s="3" t="n"/>
      <c r="F2145" s="3" t="n"/>
      <c r="G2145" s="9" t="n"/>
      <c r="H2145" s="10" t="n">
        <v>45670.2996875</v>
      </c>
      <c r="I2145" s="10" t="n">
        <v>45670.30055555556</v>
      </c>
      <c r="J2145" s="10" t="n">
        <v>45670.30271990741</v>
      </c>
      <c r="K2145" s="11" t="n">
        <v>0.002164351851851852</v>
      </c>
      <c r="L2145" s="13" t="n"/>
    </row>
    <row r="2146">
      <c r="A2146" s="3" t="inlineStr">
        <is>
          <t>PushOff</t>
        </is>
      </c>
      <c r="B2146" s="3" t="inlineStr">
        <is>
          <t>Act_PO_10104_072637_727</t>
        </is>
      </c>
      <c r="C2146" s="3" t="inlineStr">
        <is>
          <t>10104</t>
        </is>
      </c>
      <c r="D2146" s="9" t="n">
        <v>397.3</v>
      </c>
      <c r="E2146" s="3" t="n"/>
      <c r="F2146" s="3" t="n"/>
      <c r="G2146" s="9" t="n"/>
      <c r="H2146" s="10" t="n">
        <v>45670.31015046296</v>
      </c>
      <c r="I2146" s="10" t="n">
        <v>45670.31101851852</v>
      </c>
      <c r="J2146" s="10" t="n">
        <v>45670.31383101852</v>
      </c>
      <c r="K2146" s="11" t="n">
        <v>0.0028125</v>
      </c>
      <c r="L2146" s="13" t="n"/>
    </row>
    <row r="2147">
      <c r="A2147" s="3" t="inlineStr">
        <is>
          <t>PushOff</t>
        </is>
      </c>
      <c r="B2147" s="3" t="inlineStr">
        <is>
          <t>Act_PO_10105_075223_703</t>
        </is>
      </c>
      <c r="C2147" s="3" t="inlineStr">
        <is>
          <t>10105</t>
        </is>
      </c>
      <c r="D2147" s="9" t="n">
        <v>497.3</v>
      </c>
      <c r="E2147" s="3" t="n"/>
      <c r="F2147" s="3" t="n"/>
      <c r="G2147" s="9" t="n"/>
      <c r="H2147" s="10" t="n">
        <v>45670.32804398148</v>
      </c>
      <c r="I2147" s="10" t="n">
        <v>45670.32891203704</v>
      </c>
      <c r="J2147" s="10" t="n">
        <v>45670.35166666667</v>
      </c>
      <c r="K2147" s="11" t="n">
        <v>0.02275462962962963</v>
      </c>
      <c r="L2147" s="13" t="n"/>
    </row>
    <row r="2148">
      <c r="A2148" s="3" t="inlineStr">
        <is>
          <t>PushOff</t>
        </is>
      </c>
      <c r="B2148" s="3" t="inlineStr">
        <is>
          <t>Act_PO_10106_091330_703</t>
        </is>
      </c>
      <c r="C2148" s="3" t="inlineStr">
        <is>
          <t>10106</t>
        </is>
      </c>
      <c r="D2148" s="9" t="n">
        <v>393.8</v>
      </c>
      <c r="E2148" s="3" t="n"/>
      <c r="F2148" s="3" t="n"/>
      <c r="G2148" s="9" t="n"/>
      <c r="H2148" s="10" t="n">
        <v>45670.384375</v>
      </c>
      <c r="I2148" s="10" t="n">
        <v>45670.38524305556</v>
      </c>
      <c r="J2148" s="10" t="n">
        <v>45670.38938657408</v>
      </c>
      <c r="K2148" s="11" t="n">
        <v>0.004143518518518519</v>
      </c>
      <c r="L2148" s="13" t="n"/>
    </row>
    <row r="2149">
      <c r="A2149" s="3" t="inlineStr">
        <is>
          <t>PushOff</t>
        </is>
      </c>
      <c r="B2149" s="3" t="inlineStr">
        <is>
          <t>Act_PO_10107_092745_727</t>
        </is>
      </c>
      <c r="C2149" s="3" t="inlineStr">
        <is>
          <t>10107</t>
        </is>
      </c>
      <c r="D2149" s="9" t="n">
        <v>445.3</v>
      </c>
      <c r="E2149" s="3" t="n"/>
      <c r="F2149" s="3" t="n"/>
      <c r="G2149" s="9" t="n"/>
      <c r="H2149" s="10" t="n">
        <v>45670.39427083333</v>
      </c>
      <c r="I2149" s="10" t="n">
        <v>45670.39513888889</v>
      </c>
      <c r="J2149" s="10" t="n">
        <v>45670.41101851852</v>
      </c>
      <c r="K2149" s="11" t="n">
        <v>0.01587962962962963</v>
      </c>
      <c r="L2149" s="13" t="n"/>
    </row>
    <row r="2150">
      <c r="A2150" s="3" t="inlineStr">
        <is>
          <t>PushOff</t>
        </is>
      </c>
      <c r="B2150" s="3" t="inlineStr">
        <is>
          <t>Act_PO_10108_101909_703</t>
        </is>
      </c>
      <c r="C2150" s="3" t="inlineStr">
        <is>
          <t>10108</t>
        </is>
      </c>
      <c r="D2150" s="9" t="n">
        <v>407.9</v>
      </c>
      <c r="E2150" s="3" t="n"/>
      <c r="F2150" s="3" t="n"/>
      <c r="G2150" s="9" t="n"/>
      <c r="H2150" s="10" t="n">
        <v>45670.42996527778</v>
      </c>
      <c r="I2150" s="10" t="n">
        <v>45670.43083333333</v>
      </c>
      <c r="J2150" s="10" t="n">
        <v>45670.43663194445</v>
      </c>
      <c r="K2150" s="11" t="n">
        <v>0.005798611111111111</v>
      </c>
      <c r="L2150" s="13" t="n"/>
    </row>
    <row r="2151">
      <c r="A2151" s="3" t="inlineStr">
        <is>
          <t>PushOff</t>
        </is>
      </c>
      <c r="B2151" s="3" t="inlineStr">
        <is>
          <t>Act_PO_10109_122616_703</t>
        </is>
      </c>
      <c r="C2151" s="3" t="inlineStr">
        <is>
          <t>10109</t>
        </is>
      </c>
      <c r="D2151" s="9" t="n">
        <v>234.9</v>
      </c>
      <c r="E2151" s="3" t="n"/>
      <c r="F2151" s="3" t="n"/>
      <c r="G2151" s="9" t="n"/>
      <c r="H2151" s="10" t="n">
        <v>45670.51824074074</v>
      </c>
      <c r="I2151" s="10" t="n">
        <v>45670.5191087963</v>
      </c>
      <c r="J2151" s="10" t="n">
        <v>45670.52090277777</v>
      </c>
      <c r="K2151" s="11" t="n">
        <v>0.001793981481481481</v>
      </c>
      <c r="L2151" s="13" t="n"/>
    </row>
    <row r="2152">
      <c r="A2152" s="3" t="inlineStr">
        <is>
          <t>PushOff</t>
        </is>
      </c>
      <c r="B2152" s="3" t="inlineStr">
        <is>
          <t>Act_PO_10110_143910_703</t>
        </is>
      </c>
      <c r="C2152" s="3" t="inlineStr">
        <is>
          <t>10110</t>
        </is>
      </c>
      <c r="D2152" s="9" t="n">
        <v>388.3</v>
      </c>
      <c r="E2152" s="3" t="n"/>
      <c r="F2152" s="3" t="n"/>
      <c r="G2152" s="9" t="n"/>
      <c r="H2152" s="10" t="n">
        <v>45670.61053240741</v>
      </c>
      <c r="I2152" s="10" t="n">
        <v>45670.61140046296</v>
      </c>
      <c r="J2152" s="10" t="n">
        <v>45670.61342592593</v>
      </c>
      <c r="K2152" s="11" t="n">
        <v>0.002025462962962963</v>
      </c>
      <c r="L2152" s="13" t="n"/>
    </row>
    <row r="2153">
      <c r="A2153" s="3" t="inlineStr">
        <is>
          <t>PushOff</t>
        </is>
      </c>
      <c r="B2153" s="3" t="inlineStr">
        <is>
          <t>Act_PO_10111_151220_703</t>
        </is>
      </c>
      <c r="C2153" s="3" t="inlineStr">
        <is>
          <t>10111</t>
        </is>
      </c>
      <c r="D2153" s="9" t="n">
        <v>367.5</v>
      </c>
      <c r="E2153" s="3" t="n"/>
      <c r="F2153" s="3" t="n"/>
      <c r="G2153" s="9" t="n"/>
      <c r="H2153" s="10" t="n">
        <v>45670.63356481482</v>
      </c>
      <c r="I2153" s="10" t="n">
        <v>45670.63443287037</v>
      </c>
      <c r="J2153" s="10" t="n">
        <v>45670.65453703704</v>
      </c>
      <c r="K2153" s="11" t="n">
        <v>0.02010416666666667</v>
      </c>
      <c r="L2153" s="13" t="n"/>
    </row>
    <row r="2154">
      <c r="A2154" s="3" t="inlineStr">
        <is>
          <t>PushOff</t>
        </is>
      </c>
      <c r="B2154" s="3" t="inlineStr">
        <is>
          <t>Act_PO_10112_153206_727</t>
        </is>
      </c>
      <c r="C2154" s="3" t="inlineStr">
        <is>
          <t>10112</t>
        </is>
      </c>
      <c r="D2154" s="9" t="n">
        <v>393.5</v>
      </c>
      <c r="E2154" s="3" t="n"/>
      <c r="F2154" s="3" t="n"/>
      <c r="G2154" s="9" t="n"/>
      <c r="H2154" s="10" t="n">
        <v>45670.64729166667</v>
      </c>
      <c r="I2154" s="10" t="n">
        <v>45670.65540509259</v>
      </c>
      <c r="J2154" s="10" t="n">
        <v>45670.65763888889</v>
      </c>
      <c r="K2154" s="11" t="n">
        <v>0.002233796296296296</v>
      </c>
      <c r="L2154" s="13" t="n"/>
    </row>
    <row r="2155">
      <c r="A2155" s="3" t="inlineStr">
        <is>
          <t>PushOff</t>
        </is>
      </c>
      <c r="B2155" s="3" t="inlineStr">
        <is>
          <t>Act_PO_10113_161435_703</t>
        </is>
      </c>
      <c r="C2155" s="3" t="inlineStr">
        <is>
          <t>10113</t>
        </is>
      </c>
      <c r="D2155" s="9" t="n">
        <v>387.6</v>
      </c>
      <c r="E2155" s="3" t="n"/>
      <c r="F2155" s="3" t="n"/>
      <c r="G2155" s="9" t="n"/>
      <c r="H2155" s="10" t="n">
        <v>45670.67679398148</v>
      </c>
      <c r="I2155" s="10" t="n">
        <v>45670.67766203704</v>
      </c>
      <c r="J2155" s="10" t="n">
        <v>45670.68224537037</v>
      </c>
      <c r="K2155" s="11" t="n">
        <v>0.004583333333333333</v>
      </c>
      <c r="L2155" s="13" t="n"/>
    </row>
    <row r="2156">
      <c r="A2156" s="3" t="inlineStr">
        <is>
          <t>PushOff</t>
        </is>
      </c>
      <c r="B2156" s="3" t="inlineStr">
        <is>
          <t>Act_PO_10114_173537_703</t>
        </is>
      </c>
      <c r="C2156" s="3" t="inlineStr">
        <is>
          <t>10114</t>
        </is>
      </c>
      <c r="D2156" s="9" t="n">
        <v>185.9</v>
      </c>
      <c r="E2156" s="3" t="n"/>
      <c r="F2156" s="3" t="n"/>
      <c r="G2156" s="9" t="n"/>
      <c r="H2156" s="10" t="n">
        <v>45670.73306712963</v>
      </c>
      <c r="I2156" s="10" t="n">
        <v>45670.73393518518</v>
      </c>
      <c r="J2156" s="10" t="n">
        <v>45670.73548611111</v>
      </c>
      <c r="K2156" s="11" t="n">
        <v>0.001550925925925926</v>
      </c>
      <c r="L2156" s="13" t="n"/>
    </row>
    <row r="2157">
      <c r="A2157" s="3" t="inlineStr">
        <is>
          <t>PushOff</t>
        </is>
      </c>
      <c r="B2157" s="3" t="inlineStr">
        <is>
          <t>Act_PO_10115_211617_703</t>
        </is>
      </c>
      <c r="C2157" s="3" t="inlineStr">
        <is>
          <t>10115</t>
        </is>
      </c>
      <c r="D2157" s="9" t="n">
        <v>389.1</v>
      </c>
      <c r="E2157" s="3" t="n"/>
      <c r="F2157" s="3" t="n"/>
      <c r="G2157" s="9" t="n"/>
      <c r="H2157" s="10" t="n">
        <v>45670.88630787037</v>
      </c>
      <c r="I2157" s="10" t="n">
        <v>45670.88717592593</v>
      </c>
      <c r="J2157" s="10" t="n">
        <v>45670.88920138889</v>
      </c>
      <c r="K2157" s="11" t="n">
        <v>0.002025462962962963</v>
      </c>
      <c r="L2157" s="13" t="n"/>
    </row>
    <row r="2158">
      <c r="A2158" s="3" t="inlineStr">
        <is>
          <t>PushOff</t>
        </is>
      </c>
      <c r="B2158" s="3" t="inlineStr">
        <is>
          <t>Act_PO_10116_024020_703</t>
        </is>
      </c>
      <c r="C2158" s="3" t="inlineStr">
        <is>
          <t>10116</t>
        </is>
      </c>
      <c r="D2158" s="9" t="n">
        <v>147.4</v>
      </c>
      <c r="E2158" s="3" t="n"/>
      <c r="F2158" s="3" t="n"/>
      <c r="G2158" s="9" t="n"/>
      <c r="H2158" s="10" t="n">
        <v>45671.11134259259</v>
      </c>
      <c r="I2158" s="10" t="n">
        <v>45671.11221064815</v>
      </c>
      <c r="J2158" s="10" t="n">
        <v>45671.11928240741</v>
      </c>
      <c r="K2158" s="11" t="n">
        <v>0.007071759259259259</v>
      </c>
      <c r="L2158" s="13" t="n"/>
    </row>
    <row r="2159">
      <c r="A2159" s="3" t="inlineStr">
        <is>
          <t>PushOff</t>
        </is>
      </c>
      <c r="B2159" s="3" t="inlineStr">
        <is>
          <t>Act_PO_10117_064023_703</t>
        </is>
      </c>
      <c r="C2159" s="3" t="inlineStr">
        <is>
          <t>10117</t>
        </is>
      </c>
      <c r="D2159" s="9" t="n">
        <v>297</v>
      </c>
      <c r="E2159" s="3" t="n"/>
      <c r="F2159" s="3" t="n"/>
      <c r="G2159" s="9" t="n"/>
      <c r="H2159" s="10" t="n">
        <v>45671.27804398148</v>
      </c>
      <c r="I2159" s="10" t="n">
        <v>45671.27891203704</v>
      </c>
      <c r="J2159" s="10" t="n">
        <v>45671.28072916667</v>
      </c>
      <c r="K2159" s="11" t="n">
        <v>0.00181712962962963</v>
      </c>
      <c r="L2159" s="13" t="n"/>
    </row>
    <row r="2160">
      <c r="A2160" s="3" t="inlineStr">
        <is>
          <t>PushOff</t>
        </is>
      </c>
      <c r="B2160" s="3" t="inlineStr">
        <is>
          <t>Act_PO_10118_065733_727</t>
        </is>
      </c>
      <c r="C2160" s="3" t="inlineStr">
        <is>
          <t>10118</t>
        </is>
      </c>
      <c r="D2160" s="9" t="n">
        <v>363.8</v>
      </c>
      <c r="E2160" s="3" t="n"/>
      <c r="F2160" s="3" t="n"/>
      <c r="G2160" s="9" t="n"/>
      <c r="H2160" s="10" t="n">
        <v>45671.28996527778</v>
      </c>
      <c r="I2160" s="10" t="n">
        <v>45671.29083333333</v>
      </c>
      <c r="J2160" s="10" t="n">
        <v>45671.30319444444</v>
      </c>
      <c r="K2160" s="11" t="n">
        <v>0.01236111111111111</v>
      </c>
      <c r="L2160" s="13" t="n"/>
    </row>
    <row r="2161">
      <c r="A2161" s="3" t="inlineStr">
        <is>
          <t>PushOff</t>
        </is>
      </c>
      <c r="B2161" s="3" t="inlineStr">
        <is>
          <t>Act_PO_10119_072916_703</t>
        </is>
      </c>
      <c r="C2161" s="3" t="inlineStr">
        <is>
          <t>10119</t>
        </is>
      </c>
      <c r="D2161" s="9" t="n">
        <v>213.8</v>
      </c>
      <c r="E2161" s="3" t="n"/>
      <c r="F2161" s="3" t="n"/>
      <c r="G2161" s="9" t="n"/>
      <c r="H2161" s="10" t="n">
        <v>45671.31199074074</v>
      </c>
      <c r="I2161" s="10" t="n">
        <v>45671.31271990741</v>
      </c>
      <c r="J2161" s="10" t="n">
        <v>45671.31490740741</v>
      </c>
      <c r="K2161" s="11" t="n">
        <v>0.0021875</v>
      </c>
      <c r="L2161" s="13" t="n"/>
    </row>
    <row r="2162">
      <c r="A2162" s="3" t="inlineStr">
        <is>
          <t>PushOff</t>
        </is>
      </c>
      <c r="B2162" s="3" t="inlineStr">
        <is>
          <t>Act_PO_10120_081205_703</t>
        </is>
      </c>
      <c r="C2162" s="3" t="inlineStr">
        <is>
          <t>10120</t>
        </is>
      </c>
      <c r="D2162" s="9" t="n">
        <v>389.8</v>
      </c>
      <c r="E2162" s="3" t="n"/>
      <c r="F2162" s="3" t="n"/>
      <c r="G2162" s="9" t="n"/>
      <c r="H2162" s="10" t="n">
        <v>45671.34172453704</v>
      </c>
      <c r="I2162" s="10" t="n">
        <v>45671.34260416667</v>
      </c>
      <c r="J2162" s="10" t="n">
        <v>45671.34474537037</v>
      </c>
      <c r="K2162" s="11" t="n">
        <v>0.002141203703703704</v>
      </c>
      <c r="L2162" s="13" t="n"/>
    </row>
    <row r="2163">
      <c r="A2163" s="3" t="inlineStr">
        <is>
          <t>PushOff</t>
        </is>
      </c>
      <c r="B2163" s="3" t="inlineStr">
        <is>
          <t>Act_PO_10122_091914_703</t>
        </is>
      </c>
      <c r="C2163" s="3" t="inlineStr">
        <is>
          <t>10122</t>
        </is>
      </c>
      <c r="D2163" s="9" t="n">
        <v>393.9</v>
      </c>
      <c r="E2163" s="3" t="n"/>
      <c r="F2163" s="3" t="n"/>
      <c r="G2163" s="9" t="n"/>
      <c r="H2163" s="10" t="n">
        <v>45671.38835648148</v>
      </c>
      <c r="I2163" s="10" t="n">
        <v>45671.38922453704</v>
      </c>
      <c r="J2163" s="10" t="n">
        <v>45671.39546296297</v>
      </c>
      <c r="K2163" s="11" t="n">
        <v>0.006238425925925926</v>
      </c>
      <c r="L2163" s="13" t="n"/>
    </row>
    <row r="2164">
      <c r="A2164" s="3" t="inlineStr">
        <is>
          <t>PushOff</t>
        </is>
      </c>
      <c r="B2164" s="3" t="inlineStr">
        <is>
          <t>Act_PO_10121_093221_727</t>
        </is>
      </c>
      <c r="C2164" s="3" t="inlineStr">
        <is>
          <t>10121</t>
        </is>
      </c>
      <c r="D2164" s="9" t="n">
        <v>591.6</v>
      </c>
      <c r="E2164" s="3" t="n"/>
      <c r="F2164" s="3" t="n"/>
      <c r="G2164" s="9" t="n"/>
      <c r="H2164" s="10" t="n">
        <v>45671.39746527778</v>
      </c>
      <c r="I2164" s="10" t="n">
        <v>45671.39833333333</v>
      </c>
      <c r="J2164" s="10" t="n">
        <v>45671.42071759259</v>
      </c>
      <c r="K2164" s="11" t="n">
        <v>0.02238425925925926</v>
      </c>
      <c r="L2164" s="13" t="n"/>
    </row>
    <row r="2165">
      <c r="A2165" s="3" t="inlineStr">
        <is>
          <t>PushOff</t>
        </is>
      </c>
      <c r="B2165" s="3" t="inlineStr">
        <is>
          <t>Act_PO_10123_100332_703</t>
        </is>
      </c>
      <c r="C2165" s="3" t="inlineStr">
        <is>
          <t>10123</t>
        </is>
      </c>
      <c r="D2165" s="9" t="n">
        <v>439.7</v>
      </c>
      <c r="E2165" s="3" t="n"/>
      <c r="F2165" s="3" t="n"/>
      <c r="G2165" s="9" t="n"/>
      <c r="H2165" s="10" t="n">
        <v>45671.41912037037</v>
      </c>
      <c r="I2165" s="10" t="n">
        <v>45671.42158564815</v>
      </c>
      <c r="J2165" s="10" t="n">
        <v>45671.42541666667</v>
      </c>
      <c r="K2165" s="11" t="n">
        <v>0.003831018518518518</v>
      </c>
      <c r="L2165" s="13" t="n"/>
    </row>
    <row r="2166">
      <c r="A2166" s="3" t="inlineStr">
        <is>
          <t>PushOff</t>
        </is>
      </c>
      <c r="B2166" s="3" t="inlineStr">
        <is>
          <t>Act_PO_10124_130150_703</t>
        </is>
      </c>
      <c r="C2166" s="3" t="inlineStr">
        <is>
          <t>10124</t>
        </is>
      </c>
      <c r="D2166" s="9" t="n">
        <v>297.8</v>
      </c>
      <c r="E2166" s="3" t="n"/>
      <c r="F2166" s="3" t="n"/>
      <c r="G2166" s="9" t="n"/>
      <c r="H2166" s="10" t="n">
        <v>45671.54293981481</v>
      </c>
      <c r="I2166" s="10" t="n">
        <v>45671.54380787037</v>
      </c>
      <c r="J2166" s="10" t="n">
        <v>45671.54584490741</v>
      </c>
      <c r="K2166" s="11" t="n">
        <v>0.002037037037037037</v>
      </c>
      <c r="L2166" s="13" t="n"/>
    </row>
    <row r="2167">
      <c r="A2167" s="3" t="inlineStr">
        <is>
          <t>PushOff</t>
        </is>
      </c>
      <c r="B2167" s="3" t="inlineStr">
        <is>
          <t>Act_PO_10125_143303_703</t>
        </is>
      </c>
      <c r="C2167" s="3" t="inlineStr">
        <is>
          <t>10125</t>
        </is>
      </c>
      <c r="D2167" s="9" t="n">
        <v>225.6</v>
      </c>
      <c r="E2167" s="3" t="n"/>
      <c r="F2167" s="3" t="n"/>
      <c r="G2167" s="9" t="n"/>
      <c r="H2167" s="10" t="n">
        <v>45671.60628472222</v>
      </c>
      <c r="I2167" s="10" t="n">
        <v>45671.60715277777</v>
      </c>
      <c r="J2167" s="10" t="n">
        <v>45671.60902777778</v>
      </c>
      <c r="K2167" s="11" t="n">
        <v>0.001875</v>
      </c>
      <c r="L2167" s="13" t="n"/>
    </row>
    <row r="2168">
      <c r="A2168" s="3" t="inlineStr">
        <is>
          <t>PushOff</t>
        </is>
      </c>
      <c r="B2168" s="3" t="inlineStr">
        <is>
          <t>Act_PO_10126_152305_727</t>
        </is>
      </c>
      <c r="C2168" s="3" t="inlineStr">
        <is>
          <t>10126</t>
        </is>
      </c>
      <c r="D2168" s="9" t="n">
        <v>584.6</v>
      </c>
      <c r="E2168" s="3" t="n"/>
      <c r="F2168" s="3" t="n"/>
      <c r="G2168" s="9" t="n"/>
      <c r="H2168" s="10" t="n">
        <v>45671.64103009259</v>
      </c>
      <c r="I2168" s="10" t="n">
        <v>45671.64189814815</v>
      </c>
      <c r="J2168" s="10" t="n">
        <v>45671.66046296297</v>
      </c>
      <c r="K2168" s="11" t="n">
        <v>0.01856481481481482</v>
      </c>
      <c r="L2168" s="13" t="n"/>
    </row>
    <row r="2169">
      <c r="A2169" s="3" t="inlineStr">
        <is>
          <t>PushOff</t>
        </is>
      </c>
      <c r="B2169" s="3" t="inlineStr">
        <is>
          <t>Act_PO_10127_153619_703</t>
        </is>
      </c>
      <c r="C2169" s="3" t="inlineStr">
        <is>
          <t>10127</t>
        </is>
      </c>
      <c r="D2169" s="9" t="n">
        <v>173.1</v>
      </c>
      <c r="E2169" s="3" t="n"/>
      <c r="F2169" s="3" t="n"/>
      <c r="G2169" s="9" t="n"/>
      <c r="H2169" s="10" t="n">
        <v>45671.65021990741</v>
      </c>
      <c r="I2169" s="10" t="n">
        <v>45671.66133101852</v>
      </c>
      <c r="J2169" s="10" t="n">
        <v>45671.66342592592</v>
      </c>
      <c r="K2169" s="11" t="n">
        <v>0.002094907407407407</v>
      </c>
      <c r="L2169" s="13" t="n"/>
    </row>
    <row r="2170">
      <c r="A2170" s="3" t="inlineStr">
        <is>
          <t>PushOff</t>
        </is>
      </c>
      <c r="B2170" s="3" t="inlineStr">
        <is>
          <t>Act_PO_10128_154530_731</t>
        </is>
      </c>
      <c r="C2170" s="3" t="inlineStr">
        <is>
          <t>10128</t>
        </is>
      </c>
      <c r="D2170" s="9" t="n">
        <v>40.9</v>
      </c>
      <c r="E2170" s="3" t="n"/>
      <c r="F2170" s="3" t="n"/>
      <c r="G2170" s="9" t="n"/>
      <c r="H2170" s="10" t="n">
        <v>45671.65659722222</v>
      </c>
      <c r="I2170" s="10" t="n">
        <v>45671.66429398148</v>
      </c>
      <c r="J2170" s="10" t="n">
        <v>45671.66631944444</v>
      </c>
      <c r="K2170" s="11" t="n">
        <v>0.002025462962962963</v>
      </c>
      <c r="L2170" s="13" t="n"/>
    </row>
    <row r="2171">
      <c r="A2171" s="3" t="inlineStr">
        <is>
          <t>PushOff</t>
        </is>
      </c>
      <c r="B2171" s="3" t="inlineStr">
        <is>
          <t>Act_PO_10130_175853_731</t>
        </is>
      </c>
      <c r="C2171" s="3" t="inlineStr">
        <is>
          <t>10130</t>
        </is>
      </c>
      <c r="D2171" s="9" t="n">
        <v>63</v>
      </c>
      <c r="E2171" s="3" t="n"/>
      <c r="F2171" s="3" t="n"/>
      <c r="G2171" s="9" t="n"/>
      <c r="H2171" s="10" t="n">
        <v>45671.74922453704</v>
      </c>
      <c r="I2171" s="10" t="n">
        <v>45671.75010416667</v>
      </c>
      <c r="J2171" s="10" t="n">
        <v>45671.7521875</v>
      </c>
      <c r="K2171" s="11" t="n">
        <v>0.002083333333333333</v>
      </c>
      <c r="L2171" s="13" t="n"/>
    </row>
    <row r="2172">
      <c r="A2172" s="3" t="inlineStr">
        <is>
          <t>PushOff</t>
        </is>
      </c>
      <c r="B2172" s="3" t="inlineStr">
        <is>
          <t>Act_PO_10129_175929_703</t>
        </is>
      </c>
      <c r="C2172" s="3" t="inlineStr">
        <is>
          <t>10129</t>
        </is>
      </c>
      <c r="D2172" s="9" t="n">
        <v>490.1</v>
      </c>
      <c r="E2172" s="3" t="n"/>
      <c r="F2172" s="3" t="n"/>
      <c r="G2172" s="9" t="n"/>
      <c r="H2172" s="10" t="n">
        <v>45671.74964120371</v>
      </c>
      <c r="I2172" s="10" t="n">
        <v>45671.75305555556</v>
      </c>
      <c r="J2172" s="10" t="n">
        <v>45671.77013888889</v>
      </c>
      <c r="K2172" s="11" t="n">
        <v>0.01708333333333333</v>
      </c>
      <c r="L2172" s="13" t="n"/>
    </row>
    <row r="2173">
      <c r="A2173" s="3" t="inlineStr">
        <is>
          <t>PushOff</t>
        </is>
      </c>
      <c r="B2173" s="3" t="inlineStr">
        <is>
          <t>Act_PO_10131_195340_731</t>
        </is>
      </c>
      <c r="C2173" s="3" t="inlineStr">
        <is>
          <t>10131</t>
        </is>
      </c>
      <c r="D2173" s="9" t="n">
        <v>15.7</v>
      </c>
      <c r="E2173" s="3" t="n"/>
      <c r="F2173" s="3" t="n"/>
      <c r="G2173" s="9" t="n"/>
      <c r="H2173" s="10" t="n">
        <v>45671.82893518519</v>
      </c>
      <c r="I2173" s="10" t="n">
        <v>45671.82981481482</v>
      </c>
      <c r="J2173" s="10" t="n">
        <v>45671.83133101852</v>
      </c>
      <c r="K2173" s="11" t="n">
        <v>0.001516203703703704</v>
      </c>
      <c r="L2173" s="13" t="n"/>
    </row>
    <row r="2174">
      <c r="A2174" s="3" t="inlineStr">
        <is>
          <t>PushOff</t>
        </is>
      </c>
      <c r="B2174" s="3" t="inlineStr">
        <is>
          <t>Act_PO_10132_023842_703</t>
        </is>
      </c>
      <c r="C2174" s="3" t="inlineStr">
        <is>
          <t>10132</t>
        </is>
      </c>
      <c r="D2174" s="9" t="n">
        <v>313.2</v>
      </c>
      <c r="E2174" s="3" t="n"/>
      <c r="F2174" s="3" t="n"/>
      <c r="G2174" s="9" t="n"/>
      <c r="H2174" s="10" t="n">
        <v>45672.11020833333</v>
      </c>
      <c r="I2174" s="10" t="n">
        <v>45672.11107638889</v>
      </c>
      <c r="J2174" s="10" t="n">
        <v>45672.11896990741</v>
      </c>
      <c r="K2174" s="11" t="n">
        <v>0.007893518518518518</v>
      </c>
      <c r="L2174" s="13" t="n"/>
    </row>
    <row r="2175">
      <c r="A2175" s="3" t="inlineStr">
        <is>
          <t>PushOff</t>
        </is>
      </c>
      <c r="B2175" s="3" t="inlineStr">
        <is>
          <t>Act_PO_10133_044934_703</t>
        </is>
      </c>
      <c r="C2175" s="3" t="inlineStr">
        <is>
          <t>10133</t>
        </is>
      </c>
      <c r="D2175" s="9" t="n">
        <v>521.9</v>
      </c>
      <c r="E2175" s="3" t="n"/>
      <c r="F2175" s="3" t="n"/>
      <c r="G2175" s="9" t="n"/>
      <c r="H2175" s="10" t="n">
        <v>45672.20108796296</v>
      </c>
      <c r="I2175" s="10" t="n">
        <v>45672.20196759259</v>
      </c>
      <c r="J2175" s="10" t="n">
        <v>45672.20488425926</v>
      </c>
      <c r="K2175" s="11" t="n">
        <v>0.002916666666666667</v>
      </c>
      <c r="L2175" s="13" t="n"/>
    </row>
    <row r="2176">
      <c r="A2176" s="3" t="inlineStr">
        <is>
          <t>PushOff</t>
        </is>
      </c>
      <c r="B2176" s="3" t="inlineStr">
        <is>
          <t>Act_PO_10134_063912_703</t>
        </is>
      </c>
      <c r="C2176" s="3" t="inlineStr">
        <is>
          <t>10134</t>
        </is>
      </c>
      <c r="D2176" s="9" t="n">
        <v>298</v>
      </c>
      <c r="E2176" s="3" t="n"/>
      <c r="F2176" s="3" t="n"/>
      <c r="G2176" s="9" t="n"/>
      <c r="H2176" s="10" t="n">
        <v>45672.27722222222</v>
      </c>
      <c r="I2176" s="10" t="n">
        <v>45672.27809027778</v>
      </c>
      <c r="J2176" s="10" t="n">
        <v>45672.27989583334</v>
      </c>
      <c r="K2176" s="11" t="n">
        <v>0.001805555555555555</v>
      </c>
      <c r="L2176" s="13" t="n"/>
    </row>
    <row r="2177">
      <c r="A2177" s="3" t="inlineStr">
        <is>
          <t>PushOff</t>
        </is>
      </c>
      <c r="B2177" s="3" t="inlineStr">
        <is>
          <t>Act_PO_10135_073302_703</t>
        </is>
      </c>
      <c r="C2177" s="3" t="inlineStr">
        <is>
          <t>10135</t>
        </is>
      </c>
      <c r="D2177" s="9" t="n">
        <v>406.3</v>
      </c>
      <c r="E2177" s="3" t="n"/>
      <c r="F2177" s="3" t="n"/>
      <c r="G2177" s="9" t="n"/>
      <c r="H2177" s="10" t="n">
        <v>45672.31460648148</v>
      </c>
      <c r="I2177" s="10" t="n">
        <v>45672.31547453703</v>
      </c>
      <c r="J2177" s="10" t="n">
        <v>45672.33166666667</v>
      </c>
      <c r="K2177" s="11" t="n">
        <v>0.01619212962962963</v>
      </c>
      <c r="L2177" s="13" t="n"/>
    </row>
    <row r="2178">
      <c r="A2178" s="3" t="inlineStr">
        <is>
          <t>PushOff</t>
        </is>
      </c>
      <c r="B2178" s="3" t="inlineStr">
        <is>
          <t>Act_PO_10136_073756_727</t>
        </is>
      </c>
      <c r="C2178" s="3" t="inlineStr">
        <is>
          <t>10136</t>
        </is>
      </c>
      <c r="D2178" s="9" t="n">
        <v>257</v>
      </c>
      <c r="E2178" s="3" t="n"/>
      <c r="F2178" s="3" t="n"/>
      <c r="G2178" s="9" t="n"/>
      <c r="H2178" s="10" t="n">
        <v>45672.31800925926</v>
      </c>
      <c r="I2178" s="10" t="n">
        <v>45672.3325462963</v>
      </c>
      <c r="J2178" s="10" t="n">
        <v>45672.33482638889</v>
      </c>
      <c r="K2178" s="11" t="n">
        <v>0.002280092592592593</v>
      </c>
      <c r="L2178" s="13" t="n"/>
    </row>
    <row r="2179">
      <c r="A2179" s="3" t="inlineStr">
        <is>
          <t>PushOff</t>
        </is>
      </c>
      <c r="B2179" s="3" t="inlineStr">
        <is>
          <t>Act_PO_10137_081433_703</t>
        </is>
      </c>
      <c r="C2179" s="3" t="inlineStr">
        <is>
          <t>10137</t>
        </is>
      </c>
      <c r="D2179" s="9" t="n">
        <v>374.1</v>
      </c>
      <c r="E2179" s="3" t="n"/>
      <c r="F2179" s="3" t="n"/>
      <c r="G2179" s="9" t="n"/>
      <c r="H2179" s="10" t="n">
        <v>45672.3434375</v>
      </c>
      <c r="I2179" s="10" t="n">
        <v>45672.34431712963</v>
      </c>
      <c r="J2179" s="10" t="n">
        <v>45672.34710648148</v>
      </c>
      <c r="K2179" s="11" t="n">
        <v>0.002789351851851852</v>
      </c>
      <c r="L2179" s="13" t="n"/>
    </row>
    <row r="2180">
      <c r="A2180" s="3" t="inlineStr">
        <is>
          <t>PushOff</t>
        </is>
      </c>
      <c r="B2180" s="3" t="inlineStr">
        <is>
          <t>Act_PO_10138_091415_703</t>
        </is>
      </c>
      <c r="C2180" s="3" t="inlineStr">
        <is>
          <t>10138</t>
        </is>
      </c>
      <c r="D2180" s="9" t="n">
        <v>285.7</v>
      </c>
      <c r="E2180" s="3" t="n"/>
      <c r="F2180" s="3" t="n"/>
      <c r="G2180" s="9" t="n"/>
      <c r="H2180" s="10" t="n">
        <v>45672.38489583333</v>
      </c>
      <c r="I2180" s="10" t="n">
        <v>45672.38576388889</v>
      </c>
      <c r="J2180" s="10" t="n">
        <v>45672.39929398148</v>
      </c>
      <c r="K2180" s="11" t="n">
        <v>0.01353009259259259</v>
      </c>
      <c r="L2180" s="13" t="n"/>
    </row>
    <row r="2181">
      <c r="A2181" s="3" t="inlineStr">
        <is>
          <t>PushOff</t>
        </is>
      </c>
      <c r="B2181" s="3" t="inlineStr">
        <is>
          <t>Act_PO_10139_091728_727</t>
        </is>
      </c>
      <c r="C2181" s="3" t="inlineStr">
        <is>
          <t>10139</t>
        </is>
      </c>
      <c r="D2181" s="9" t="n">
        <v>355.3</v>
      </c>
      <c r="E2181" s="3" t="n"/>
      <c r="F2181" s="3" t="n"/>
      <c r="G2181" s="9" t="n"/>
      <c r="H2181" s="10" t="n">
        <v>45672.38712962963</v>
      </c>
      <c r="I2181" s="10" t="n">
        <v>45672.40016203704</v>
      </c>
      <c r="J2181" s="10" t="n">
        <v>45672.40363425926</v>
      </c>
      <c r="K2181" s="11" t="n">
        <v>0.003472222222222222</v>
      </c>
      <c r="L2181" s="13" t="n"/>
    </row>
    <row r="2182">
      <c r="A2182" s="3" t="inlineStr">
        <is>
          <t>PushOff</t>
        </is>
      </c>
      <c r="B2182" s="3" t="inlineStr">
        <is>
          <t>Act_PO_10140_100855_703</t>
        </is>
      </c>
      <c r="C2182" s="3" t="inlineStr">
        <is>
          <t>10140</t>
        </is>
      </c>
      <c r="D2182" s="9" t="n">
        <v>273.6</v>
      </c>
      <c r="E2182" s="3" t="n"/>
      <c r="F2182" s="3" t="n"/>
      <c r="G2182" s="9" t="n"/>
      <c r="H2182" s="10" t="n">
        <v>45672.42285879629</v>
      </c>
      <c r="I2182" s="10" t="n">
        <v>45672.42372685186</v>
      </c>
      <c r="J2182" s="10" t="n">
        <v>45672.42753472222</v>
      </c>
      <c r="K2182" s="11" t="n">
        <v>0.00380787037037037</v>
      </c>
      <c r="L2182" s="13" t="n"/>
    </row>
    <row r="2183">
      <c r="A2183" s="3" t="inlineStr">
        <is>
          <t>PushOff</t>
        </is>
      </c>
      <c r="B2183" s="3" t="inlineStr">
        <is>
          <t>Act_PO_10141_130658_703</t>
        </is>
      </c>
      <c r="C2183" s="3" t="inlineStr">
        <is>
          <t>10141</t>
        </is>
      </c>
      <c r="D2183" s="9" t="n">
        <v>120.9</v>
      </c>
      <c r="E2183" s="3" t="n"/>
      <c r="F2183" s="3" t="n"/>
      <c r="G2183" s="9" t="n"/>
      <c r="H2183" s="10" t="n">
        <v>45672.54650462963</v>
      </c>
      <c r="I2183" s="10" t="n">
        <v>45672.54737268519</v>
      </c>
      <c r="J2183" s="10" t="n">
        <v>45672.54936342593</v>
      </c>
      <c r="K2183" s="11" t="n">
        <v>0.001990740740740741</v>
      </c>
      <c r="L2183" s="13" t="n"/>
    </row>
    <row r="2184">
      <c r="A2184" s="3" t="inlineStr">
        <is>
          <t>PushOff</t>
        </is>
      </c>
      <c r="B2184" s="3" t="inlineStr">
        <is>
          <t>Act_PO_10142_153126_703</t>
        </is>
      </c>
      <c r="C2184" s="3" t="inlineStr">
        <is>
          <t>10142</t>
        </is>
      </c>
      <c r="D2184" s="9" t="n">
        <v>515.6</v>
      </c>
      <c r="E2184" s="3" t="n"/>
      <c r="F2184" s="3" t="n"/>
      <c r="G2184" s="9" t="n"/>
      <c r="H2184" s="10" t="n">
        <v>45672.64682870371</v>
      </c>
      <c r="I2184" s="10" t="n">
        <v>45672.64769675926</v>
      </c>
      <c r="J2184" s="10" t="n">
        <v>45672.66550925926</v>
      </c>
      <c r="K2184" s="11" t="n">
        <v>0.0178125</v>
      </c>
      <c r="L2184" s="13" t="n"/>
    </row>
    <row r="2185">
      <c r="A2185" s="3" t="inlineStr">
        <is>
          <t>PushOff</t>
        </is>
      </c>
      <c r="B2185" s="3" t="inlineStr">
        <is>
          <t>Act_PO_10143_154006_727</t>
        </is>
      </c>
      <c r="C2185" s="3" t="inlineStr">
        <is>
          <t>10143</t>
        </is>
      </c>
      <c r="D2185" s="9" t="n">
        <v>110.2</v>
      </c>
      <c r="E2185" s="3" t="n"/>
      <c r="F2185" s="3" t="n"/>
      <c r="G2185" s="9" t="n"/>
      <c r="H2185" s="10" t="n">
        <v>45672.65284722222</v>
      </c>
      <c r="I2185" s="10" t="n">
        <v>45672.66637731482</v>
      </c>
      <c r="J2185" s="10" t="n">
        <v>45672.66784722222</v>
      </c>
      <c r="K2185" s="11" t="n">
        <v>0.001469907407407407</v>
      </c>
      <c r="L2185" s="13" t="n"/>
    </row>
    <row r="2186">
      <c r="A2186" s="3" t="inlineStr">
        <is>
          <t>PushOff</t>
        </is>
      </c>
      <c r="B2186" s="3" t="inlineStr">
        <is>
          <t>Act_PO_10144_172523_703</t>
        </is>
      </c>
      <c r="C2186" s="3" t="inlineStr">
        <is>
          <t>10144</t>
        </is>
      </c>
      <c r="D2186" s="9" t="n">
        <v>325.4</v>
      </c>
      <c r="E2186" s="3" t="n"/>
      <c r="F2186" s="3" t="n"/>
      <c r="G2186" s="9" t="n"/>
      <c r="H2186" s="10" t="n">
        <v>45672.72596064815</v>
      </c>
      <c r="I2186" s="10" t="n">
        <v>45672.7268287037</v>
      </c>
      <c r="J2186" s="10" t="n">
        <v>45672.7287037037</v>
      </c>
      <c r="K2186" s="11" t="n">
        <v>0.001875</v>
      </c>
      <c r="L2186" s="13" t="n"/>
    </row>
    <row r="2187">
      <c r="A2187" s="3" t="inlineStr">
        <is>
          <t>PushOff</t>
        </is>
      </c>
      <c r="B2187" s="3" t="inlineStr">
        <is>
          <t>Act_PO_10145_180512_703</t>
        </is>
      </c>
      <c r="C2187" s="3" t="inlineStr">
        <is>
          <t>10145</t>
        </is>
      </c>
      <c r="D2187" s="9" t="n">
        <v>296.6</v>
      </c>
      <c r="E2187" s="3" t="n"/>
      <c r="F2187" s="3" t="n"/>
      <c r="G2187" s="9" t="n"/>
      <c r="H2187" s="10" t="n">
        <v>45672.75361111111</v>
      </c>
      <c r="I2187" s="10" t="n">
        <v>45672.75447916667</v>
      </c>
      <c r="J2187" s="10" t="n">
        <v>45672.77318287037</v>
      </c>
      <c r="K2187" s="11" t="n">
        <v>0.01870370370370371</v>
      </c>
      <c r="L2187" s="13" t="n"/>
    </row>
    <row r="2188">
      <c r="A2188" s="3" t="inlineStr">
        <is>
          <t>PushOff</t>
        </is>
      </c>
      <c r="B2188" s="3" t="inlineStr">
        <is>
          <t>Act_PO_10146_025154_703</t>
        </is>
      </c>
      <c r="C2188" s="3" t="inlineStr">
        <is>
          <t>10146</t>
        </is>
      </c>
      <c r="D2188" s="9" t="n">
        <v>200.3</v>
      </c>
      <c r="E2188" s="3" t="n"/>
      <c r="F2188" s="3" t="n"/>
      <c r="G2188" s="9" t="n"/>
      <c r="H2188" s="10" t="n">
        <v>45673.119375</v>
      </c>
      <c r="I2188" s="10" t="n">
        <v>45673.12016203703</v>
      </c>
      <c r="J2188" s="10" t="n">
        <v>45673.1253125</v>
      </c>
      <c r="K2188" s="11" t="n">
        <v>0.005150462962962963</v>
      </c>
      <c r="L2188" s="13" t="n"/>
    </row>
    <row r="2189">
      <c r="A2189" s="3" t="inlineStr">
        <is>
          <t>PushOff</t>
        </is>
      </c>
      <c r="B2189" s="3" t="inlineStr">
        <is>
          <t>Act_PO_10147_063135_703</t>
        </is>
      </c>
      <c r="C2189" s="3" t="inlineStr">
        <is>
          <t>10147</t>
        </is>
      </c>
      <c r="D2189" s="9" t="n">
        <v>297</v>
      </c>
      <c r="E2189" s="3" t="n"/>
      <c r="F2189" s="3" t="n"/>
      <c r="G2189" s="9" t="n"/>
      <c r="H2189" s="10" t="n">
        <v>45673.27193287037</v>
      </c>
      <c r="I2189" s="10" t="n">
        <v>45673.27280092592</v>
      </c>
      <c r="J2189" s="10" t="n">
        <v>45673.27460648148</v>
      </c>
      <c r="K2189" s="11" t="n">
        <v>0.001805555555555555</v>
      </c>
      <c r="L2189" s="13" t="n"/>
    </row>
    <row r="2190">
      <c r="A2190" s="3" t="inlineStr">
        <is>
          <t>PushOff</t>
        </is>
      </c>
      <c r="B2190" s="3" t="inlineStr">
        <is>
          <t>Act_PO_10149_072133_727</t>
        </is>
      </c>
      <c r="C2190" s="3" t="inlineStr">
        <is>
          <t>10149</t>
        </is>
      </c>
      <c r="D2190" s="9" t="n">
        <v>126</v>
      </c>
      <c r="E2190" s="3" t="n"/>
      <c r="F2190" s="3" t="n"/>
      <c r="G2190" s="9" t="n"/>
      <c r="H2190" s="10" t="n">
        <v>45673.30663194445</v>
      </c>
      <c r="I2190" s="10" t="n">
        <v>45673.30751157407</v>
      </c>
      <c r="J2190" s="10" t="n">
        <v>45673.30969907407</v>
      </c>
      <c r="K2190" s="11" t="n">
        <v>0.0021875</v>
      </c>
      <c r="L2190" s="13" t="n"/>
    </row>
    <row r="2191">
      <c r="A2191" s="3" t="inlineStr">
        <is>
          <t>PushOff</t>
        </is>
      </c>
      <c r="B2191" s="3" t="inlineStr">
        <is>
          <t>Act_PO_10148_073842_703</t>
        </is>
      </c>
      <c r="C2191" s="3" t="inlineStr">
        <is>
          <t>10148</t>
        </is>
      </c>
      <c r="D2191" s="9" t="n">
        <v>390.7</v>
      </c>
      <c r="E2191" s="3" t="n"/>
      <c r="F2191" s="3" t="n"/>
      <c r="G2191" s="9" t="n"/>
      <c r="H2191" s="10" t="n">
        <v>45673.31854166667</v>
      </c>
      <c r="I2191" s="10" t="n">
        <v>45673.3194212963</v>
      </c>
      <c r="J2191" s="10" t="n">
        <v>45673.33865740741</v>
      </c>
      <c r="K2191" s="11" t="n">
        <v>0.01923611111111111</v>
      </c>
      <c r="L2191" s="13" t="n"/>
    </row>
    <row r="2192">
      <c r="A2192" s="3" t="inlineStr">
        <is>
          <t>PushOff</t>
        </is>
      </c>
      <c r="B2192" s="3" t="inlineStr">
        <is>
          <t>Act_PO_10150_080733_727</t>
        </is>
      </c>
      <c r="C2192" s="3" t="inlineStr">
        <is>
          <t>10150</t>
        </is>
      </c>
      <c r="D2192" s="9" t="n">
        <v>396.6</v>
      </c>
      <c r="E2192" s="3" t="n"/>
      <c r="F2192" s="3" t="n"/>
      <c r="G2192" s="9" t="n"/>
      <c r="H2192" s="10" t="n">
        <v>45673.33857638889</v>
      </c>
      <c r="I2192" s="10" t="n">
        <v>45673.33952546296</v>
      </c>
      <c r="J2192" s="10" t="n">
        <v>45673.34153935185</v>
      </c>
      <c r="K2192" s="11" t="n">
        <v>0.002013888888888889</v>
      </c>
      <c r="L2192" s="13" t="n"/>
    </row>
    <row r="2193">
      <c r="A2193" s="3" t="inlineStr">
        <is>
          <t>PushOff</t>
        </is>
      </c>
      <c r="B2193" s="3" t="inlineStr">
        <is>
          <t>Act_PO_10152_091446_727</t>
        </is>
      </c>
      <c r="C2193" s="3" t="inlineStr">
        <is>
          <t>10152</t>
        </is>
      </c>
      <c r="D2193" s="9" t="n">
        <v>389.4</v>
      </c>
      <c r="E2193" s="3" t="n"/>
      <c r="F2193" s="3" t="n"/>
      <c r="G2193" s="9" t="n"/>
      <c r="H2193" s="10" t="n">
        <v>45673.38525462963</v>
      </c>
      <c r="I2193" s="10" t="n">
        <v>45673.38605324074</v>
      </c>
      <c r="J2193" s="10" t="n">
        <v>45673.39049768518</v>
      </c>
      <c r="K2193" s="11" t="n">
        <v>0.004444444444444444</v>
      </c>
      <c r="L2193" s="13" t="n"/>
    </row>
    <row r="2194">
      <c r="A2194" s="3" t="inlineStr">
        <is>
          <t>PushOff</t>
        </is>
      </c>
      <c r="B2194" s="3" t="inlineStr">
        <is>
          <t>Act_PO_10151_092741_703</t>
        </is>
      </c>
      <c r="C2194" s="3" t="inlineStr">
        <is>
          <t>10151</t>
        </is>
      </c>
      <c r="D2194" s="9" t="n">
        <v>417.5</v>
      </c>
      <c r="E2194" s="3" t="n"/>
      <c r="F2194" s="3" t="n"/>
      <c r="G2194" s="9" t="n"/>
      <c r="H2194" s="10" t="n">
        <v>45673.39422453703</v>
      </c>
      <c r="I2194" s="10" t="n">
        <v>45673.39501157407</v>
      </c>
      <c r="J2194" s="10" t="n">
        <v>45673.41155092593</v>
      </c>
      <c r="K2194" s="11" t="n">
        <v>0.01653935185185185</v>
      </c>
      <c r="L2194" s="13" t="n"/>
    </row>
    <row r="2195">
      <c r="A2195" s="3" t="inlineStr">
        <is>
          <t>PushOff</t>
        </is>
      </c>
      <c r="B2195" s="3" t="inlineStr">
        <is>
          <t>Act_PO_10153_104830_703</t>
        </is>
      </c>
      <c r="C2195" s="3" t="inlineStr">
        <is>
          <t>10153</t>
        </is>
      </c>
      <c r="D2195" s="9" t="n">
        <v>359.3</v>
      </c>
      <c r="E2195" s="3" t="n"/>
      <c r="F2195" s="3" t="n"/>
      <c r="G2195" s="9" t="n"/>
      <c r="H2195" s="10" t="n">
        <v>45673.45034722222</v>
      </c>
      <c r="I2195" s="10" t="n">
        <v>45673.45113425926</v>
      </c>
      <c r="J2195" s="10" t="n">
        <v>45673.45478009259</v>
      </c>
      <c r="K2195" s="11" t="n">
        <v>0.003645833333333333</v>
      </c>
      <c r="L2195" s="13" t="n"/>
    </row>
    <row r="2196">
      <c r="A2196" s="3" t="inlineStr">
        <is>
          <t>PushOff</t>
        </is>
      </c>
      <c r="B2196" s="3" t="inlineStr">
        <is>
          <t>Act_PO_10154_125454_703</t>
        </is>
      </c>
      <c r="C2196" s="3" t="inlineStr">
        <is>
          <t>10154</t>
        </is>
      </c>
      <c r="D2196" s="9" t="n">
        <v>173</v>
      </c>
      <c r="E2196" s="3" t="n"/>
      <c r="F2196" s="3" t="n"/>
      <c r="G2196" s="9" t="n"/>
      <c r="H2196" s="10" t="n">
        <v>45673.538125</v>
      </c>
      <c r="I2196" s="10" t="n">
        <v>45673.53900462963</v>
      </c>
      <c r="J2196" s="10" t="n">
        <v>45673.54138888889</v>
      </c>
      <c r="K2196" s="11" t="n">
        <v>0.002384259259259259</v>
      </c>
      <c r="L2196" s="13" t="n"/>
    </row>
    <row r="2197">
      <c r="A2197" s="3" t="inlineStr">
        <is>
          <t>PushOff</t>
        </is>
      </c>
      <c r="B2197" s="3" t="inlineStr">
        <is>
          <t>Act_PO_10155_144050_703</t>
        </is>
      </c>
      <c r="C2197" s="3" t="inlineStr">
        <is>
          <t>10155</t>
        </is>
      </c>
      <c r="D2197" s="9" t="n">
        <v>233.9</v>
      </c>
      <c r="E2197" s="3" t="n"/>
      <c r="F2197" s="3" t="n"/>
      <c r="G2197" s="9" t="n"/>
      <c r="H2197" s="10" t="n">
        <v>45673.61168981482</v>
      </c>
      <c r="I2197" s="10" t="n">
        <v>45673.61247685185</v>
      </c>
      <c r="J2197" s="10" t="n">
        <v>45673.61425925926</v>
      </c>
      <c r="K2197" s="11" t="n">
        <v>0.001782407407407407</v>
      </c>
      <c r="L2197" s="13" t="n"/>
    </row>
    <row r="2198">
      <c r="A2198" s="3" t="inlineStr">
        <is>
          <t>PushOff</t>
        </is>
      </c>
      <c r="B2198" s="3" t="inlineStr">
        <is>
          <t>Act_PO_10156_150410_703</t>
        </is>
      </c>
      <c r="C2198" s="3" t="inlineStr">
        <is>
          <t>10156</t>
        </is>
      </c>
      <c r="D2198" s="9" t="n">
        <v>338.9</v>
      </c>
      <c r="E2198" s="3" t="n"/>
      <c r="F2198" s="3" t="n"/>
      <c r="G2198" s="9" t="n"/>
      <c r="H2198" s="10" t="n">
        <v>45673.62789351852</v>
      </c>
      <c r="I2198" s="10" t="n">
        <v>45673.62877314815</v>
      </c>
      <c r="J2198" s="10" t="n">
        <v>45673.64075231482</v>
      </c>
      <c r="K2198" s="11" t="n">
        <v>0.01197916666666667</v>
      </c>
      <c r="L2198" s="13" t="n"/>
    </row>
    <row r="2199">
      <c r="A2199" s="3" t="inlineStr">
        <is>
          <t>PushOff</t>
        </is>
      </c>
      <c r="B2199" s="3" t="inlineStr">
        <is>
          <t>Act_PO_10157_153327_731</t>
        </is>
      </c>
      <c r="C2199" s="3" t="inlineStr">
        <is>
          <t>10157</t>
        </is>
      </c>
      <c r="D2199" s="9" t="n">
        <v>63</v>
      </c>
      <c r="E2199" s="3" t="n"/>
      <c r="F2199" s="3" t="n"/>
      <c r="G2199" s="9" t="n"/>
      <c r="H2199" s="10" t="n">
        <v>45673.64822916667</v>
      </c>
      <c r="I2199" s="10" t="n">
        <v>45673.6490162037</v>
      </c>
      <c r="J2199" s="10" t="n">
        <v>45673.65143518519</v>
      </c>
      <c r="K2199" s="11" t="n">
        <v>0.002418981481481482</v>
      </c>
      <c r="L2199" s="13" t="n"/>
    </row>
    <row r="2200">
      <c r="A2200" s="3" t="inlineStr">
        <is>
          <t>PushOff</t>
        </is>
      </c>
      <c r="B2200" s="3" t="inlineStr">
        <is>
          <t>Act_PO_10158_161501_703</t>
        </is>
      </c>
      <c r="C2200" s="3" t="inlineStr">
        <is>
          <t>10158</t>
        </is>
      </c>
      <c r="D2200" s="9" t="n">
        <v>119.3</v>
      </c>
      <c r="E2200" s="3" t="n"/>
      <c r="F2200" s="3" t="n"/>
      <c r="G2200" s="9" t="n"/>
      <c r="H2200" s="10" t="n">
        <v>45673.67709490741</v>
      </c>
      <c r="I2200" s="10" t="n">
        <v>45673.67797453704</v>
      </c>
      <c r="J2200" s="10" t="n">
        <v>45673.68129629629</v>
      </c>
      <c r="K2200" s="11" t="n">
        <v>0.003321759259259259</v>
      </c>
      <c r="L2200" s="13" t="n"/>
    </row>
    <row r="2201">
      <c r="A2201" s="3" t="inlineStr">
        <is>
          <t>PushOff</t>
        </is>
      </c>
      <c r="B2201" s="3" t="inlineStr">
        <is>
          <t>Act_PO_10159_174632_703</t>
        </is>
      </c>
      <c r="C2201" s="3" t="inlineStr">
        <is>
          <t>10159</t>
        </is>
      </c>
      <c r="D2201" s="9" t="n">
        <v>503.1</v>
      </c>
      <c r="E2201" s="3" t="n"/>
      <c r="F2201" s="3" t="n"/>
      <c r="G2201" s="9" t="n"/>
      <c r="H2201" s="10" t="n">
        <v>45673.74064814814</v>
      </c>
      <c r="I2201" s="10" t="n">
        <v>45673.74144675926</v>
      </c>
      <c r="J2201" s="10" t="n">
        <v>45673.75012731482</v>
      </c>
      <c r="K2201" s="11" t="n">
        <v>0.008680555555555556</v>
      </c>
      <c r="L2201" s="13" t="n"/>
    </row>
    <row r="2202">
      <c r="A2202" s="3" t="inlineStr">
        <is>
          <t>PushOff</t>
        </is>
      </c>
      <c r="B2202" s="3" t="inlineStr">
        <is>
          <t>Act_PO_10160_202024_703</t>
        </is>
      </c>
      <c r="C2202" s="3" t="inlineStr">
        <is>
          <t>10160</t>
        </is>
      </c>
      <c r="D2202" s="9" t="n">
        <v>221</v>
      </c>
      <c r="E2202" s="3" t="n"/>
      <c r="F2202" s="3" t="n"/>
      <c r="G2202" s="9" t="n"/>
      <c r="H2202" s="10" t="n">
        <v>45673.8475</v>
      </c>
      <c r="I2202" s="10" t="n">
        <v>45673.84837962963</v>
      </c>
      <c r="J2202" s="10" t="n">
        <v>45673.85993055555</v>
      </c>
      <c r="K2202" s="11" t="n">
        <v>0.01155092592592593</v>
      </c>
      <c r="L2202" s="13" t="n"/>
    </row>
    <row r="2203">
      <c r="A2203" s="3" t="inlineStr">
        <is>
          <t>PushOff</t>
        </is>
      </c>
      <c r="B2203" s="3" t="inlineStr">
        <is>
          <t>Act_PO_10161_025811_703</t>
        </is>
      </c>
      <c r="C2203" s="3" t="inlineStr">
        <is>
          <t>10161</t>
        </is>
      </c>
      <c r="D2203" s="9" t="n">
        <v>209.3</v>
      </c>
      <c r="E2203" s="3" t="n"/>
      <c r="F2203" s="3" t="n"/>
      <c r="G2203" s="9" t="n"/>
      <c r="H2203" s="10" t="n">
        <v>45674.12373842593</v>
      </c>
      <c r="I2203" s="10" t="n">
        <v>45674.12452546296</v>
      </c>
      <c r="J2203" s="10" t="n">
        <v>45674.13195601852</v>
      </c>
      <c r="K2203" s="11" t="n">
        <v>0.007430555555555556</v>
      </c>
      <c r="L2203" s="13" t="n"/>
    </row>
    <row r="2204">
      <c r="A2204" s="3" t="inlineStr">
        <is>
          <t>PushOff</t>
        </is>
      </c>
      <c r="B2204" s="3" t="inlineStr">
        <is>
          <t>Act_PO_10162_043859_703</t>
        </is>
      </c>
      <c r="C2204" s="3" t="inlineStr">
        <is>
          <t>10162</t>
        </is>
      </c>
      <c r="D2204" s="9" t="n">
        <v>513.3</v>
      </c>
      <c r="E2204" s="3" t="n"/>
      <c r="F2204" s="3" t="n"/>
      <c r="G2204" s="9" t="n"/>
      <c r="H2204" s="10" t="n">
        <v>45674.19373842593</v>
      </c>
      <c r="I2204" s="10" t="n">
        <v>45674.19461805555</v>
      </c>
      <c r="J2204" s="10" t="n">
        <v>45674.19771990741</v>
      </c>
      <c r="K2204" s="11" t="n">
        <v>0.003101851851851852</v>
      </c>
      <c r="L2204" s="13" t="n"/>
    </row>
    <row r="2205">
      <c r="A2205" s="3" t="inlineStr">
        <is>
          <t>PushOff</t>
        </is>
      </c>
      <c r="B2205" s="3" t="inlineStr">
        <is>
          <t>Act_PO_10163_063859_703</t>
        </is>
      </c>
      <c r="C2205" s="3" t="inlineStr">
        <is>
          <t>10163</t>
        </is>
      </c>
      <c r="D2205" s="9" t="n">
        <v>297</v>
      </c>
      <c r="E2205" s="3" t="n"/>
      <c r="F2205" s="3" t="n"/>
      <c r="G2205" s="9" t="n"/>
      <c r="H2205" s="10" t="n">
        <v>45674.27707175926</v>
      </c>
      <c r="I2205" s="10" t="n">
        <v>45674.2778587963</v>
      </c>
      <c r="J2205" s="10" t="n">
        <v>45674.27978009259</v>
      </c>
      <c r="K2205" s="11" t="n">
        <v>0.001921296296296296</v>
      </c>
      <c r="L2205" s="13" t="n"/>
    </row>
    <row r="2206">
      <c r="A2206" s="3" t="inlineStr">
        <is>
          <t>PushOff</t>
        </is>
      </c>
      <c r="B2206" s="3" t="inlineStr">
        <is>
          <t>Act_PO_10164_072132_703</t>
        </is>
      </c>
      <c r="C2206" s="3" t="inlineStr">
        <is>
          <t>10164</t>
        </is>
      </c>
      <c r="D2206" s="9" t="n">
        <v>492.3</v>
      </c>
      <c r="E2206" s="3" t="n"/>
      <c r="F2206" s="3" t="n"/>
      <c r="G2206" s="9" t="n"/>
      <c r="H2206" s="10" t="n">
        <v>45674.30662037037</v>
      </c>
      <c r="I2206" s="10" t="n">
        <v>45674.3075</v>
      </c>
      <c r="J2206" s="10" t="n">
        <v>45674.32436342593</v>
      </c>
      <c r="K2206" s="11" t="n">
        <v>0.01686342592592593</v>
      </c>
      <c r="L2206" s="13" t="n"/>
    </row>
    <row r="2207">
      <c r="A2207" s="3" t="inlineStr">
        <is>
          <t>PushOff</t>
        </is>
      </c>
      <c r="B2207" s="3" t="inlineStr">
        <is>
          <t>Act_PO_10165_073857_727</t>
        </is>
      </c>
      <c r="C2207" s="3" t="inlineStr">
        <is>
          <t>10165</t>
        </is>
      </c>
      <c r="D2207" s="9" t="n">
        <v>339.8</v>
      </c>
      <c r="E2207" s="3" t="n"/>
      <c r="F2207" s="3" t="n"/>
      <c r="G2207" s="9" t="n"/>
      <c r="H2207" s="10" t="n">
        <v>45674.31871527778</v>
      </c>
      <c r="I2207" s="10" t="n">
        <v>45674.32516203704</v>
      </c>
      <c r="J2207" s="10" t="n">
        <v>45674.32716435185</v>
      </c>
      <c r="K2207" s="11" t="n">
        <v>0.002002314814814815</v>
      </c>
      <c r="L2207" s="13" t="n"/>
    </row>
    <row r="2208">
      <c r="A2208" s="3" t="inlineStr">
        <is>
          <t>PushOff</t>
        </is>
      </c>
      <c r="B2208" s="3" t="inlineStr">
        <is>
          <t>Act_PO_10166_080904_703</t>
        </is>
      </c>
      <c r="C2208" s="3" t="inlineStr">
        <is>
          <t>10166</t>
        </is>
      </c>
      <c r="D2208" s="9" t="n">
        <v>287.9</v>
      </c>
      <c r="E2208" s="3" t="n"/>
      <c r="F2208" s="3" t="n"/>
      <c r="G2208" s="9" t="n"/>
      <c r="H2208" s="10" t="n">
        <v>45674.33962962963</v>
      </c>
      <c r="I2208" s="10" t="n">
        <v>45674.34050925926</v>
      </c>
      <c r="J2208" s="10" t="n">
        <v>45674.34289351852</v>
      </c>
      <c r="K2208" s="11" t="n">
        <v>0.002384259259259259</v>
      </c>
      <c r="L2208" s="13" t="n"/>
    </row>
    <row r="2209">
      <c r="A2209" s="3" t="inlineStr">
        <is>
          <t>PushOff</t>
        </is>
      </c>
      <c r="B2209" s="3" t="inlineStr">
        <is>
          <t>Act_PO_10168_090004_703</t>
        </is>
      </c>
      <c r="C2209" s="3" t="inlineStr">
        <is>
          <t>10168</t>
        </is>
      </c>
      <c r="D2209" s="9" t="n">
        <v>336.5</v>
      </c>
      <c r="E2209" s="3" t="n"/>
      <c r="F2209" s="3" t="n"/>
      <c r="G2209" s="9" t="n"/>
      <c r="H2209" s="10" t="n">
        <v>45674.3750462963</v>
      </c>
      <c r="I2209" s="10" t="n">
        <v>45674.37591435185</v>
      </c>
      <c r="J2209" s="10" t="n">
        <v>45674.37744212963</v>
      </c>
      <c r="K2209" s="11" t="n">
        <v>0.001527777777777778</v>
      </c>
      <c r="L2209" s="13" t="n"/>
    </row>
    <row r="2210">
      <c r="A2210" s="3" t="inlineStr">
        <is>
          <t>PushOff</t>
        </is>
      </c>
      <c r="B2210" s="3" t="inlineStr">
        <is>
          <t>Act_PO_10167_090535_727</t>
        </is>
      </c>
      <c r="C2210" s="3" t="inlineStr">
        <is>
          <t>10167</t>
        </is>
      </c>
      <c r="D2210" s="9" t="n">
        <v>560.6</v>
      </c>
      <c r="E2210" s="3" t="n"/>
      <c r="F2210" s="3" t="n"/>
      <c r="G2210" s="9" t="n"/>
      <c r="H2210" s="10" t="n">
        <v>45674.37887731481</v>
      </c>
      <c r="I2210" s="10" t="n">
        <v>45674.37974537037</v>
      </c>
      <c r="J2210" s="10" t="n">
        <v>45674.39795138889</v>
      </c>
      <c r="K2210" s="11" t="n">
        <v>0.01820601851851852</v>
      </c>
      <c r="L2210" s="13" t="n"/>
    </row>
    <row r="2211">
      <c r="A2211" s="3" t="inlineStr">
        <is>
          <t>PushOff</t>
        </is>
      </c>
      <c r="B2211" s="3" t="inlineStr">
        <is>
          <t>Act_PO_10169_102409_703</t>
        </is>
      </c>
      <c r="C2211" s="3" t="inlineStr">
        <is>
          <t>10169</t>
        </is>
      </c>
      <c r="D2211" s="9" t="n">
        <v>443.2</v>
      </c>
      <c r="E2211" s="3" t="n"/>
      <c r="F2211" s="3" t="n"/>
      <c r="G2211" s="9" t="n"/>
      <c r="H2211" s="10" t="n">
        <v>45674.4334375</v>
      </c>
      <c r="I2211" s="10" t="n">
        <v>45674.43430555556</v>
      </c>
      <c r="J2211" s="10" t="n">
        <v>45674.43547453704</v>
      </c>
      <c r="K2211" s="11" t="n">
        <v>0.001168981481481482</v>
      </c>
      <c r="L2211" s="13" t="n"/>
    </row>
    <row r="2212">
      <c r="A2212" s="3" t="inlineStr">
        <is>
          <t>PushOff</t>
        </is>
      </c>
      <c r="B2212" s="3" t="inlineStr">
        <is>
          <t>Act_PO_10170_125909_703</t>
        </is>
      </c>
      <c r="C2212" s="3" t="inlineStr">
        <is>
          <t>10170</t>
        </is>
      </c>
      <c r="D2212" s="9" t="n">
        <v>238.4</v>
      </c>
      <c r="E2212" s="3" t="n"/>
      <c r="F2212" s="3" t="n"/>
      <c r="G2212" s="9" t="n"/>
      <c r="H2212" s="10" t="n">
        <v>45674.54107638889</v>
      </c>
      <c r="I2212" s="10" t="n">
        <v>45674.54195601852</v>
      </c>
      <c r="J2212" s="10" t="n">
        <v>45674.54375</v>
      </c>
      <c r="K2212" s="11" t="n">
        <v>0.001793981481481481</v>
      </c>
      <c r="L2212" s="13" t="n"/>
    </row>
    <row r="2213">
      <c r="A2213" s="3" t="inlineStr">
        <is>
          <t>PushOff</t>
        </is>
      </c>
      <c r="B2213" s="3" t="inlineStr">
        <is>
          <t>Act_PO_10171_154224_703</t>
        </is>
      </c>
      <c r="C2213" s="3" t="inlineStr">
        <is>
          <t>10171</t>
        </is>
      </c>
      <c r="D2213" s="9" t="n">
        <v>220.4</v>
      </c>
      <c r="E2213" s="3" t="n"/>
      <c r="F2213" s="3" t="n"/>
      <c r="G2213" s="9" t="n"/>
      <c r="H2213" s="10" t="n">
        <v>45674.65444444444</v>
      </c>
      <c r="I2213" s="10" t="n">
        <v>45674.6553125</v>
      </c>
      <c r="J2213" s="10" t="n">
        <v>45674.65782407407</v>
      </c>
      <c r="K2213" s="11" t="n">
        <v>0.002511574074074074</v>
      </c>
      <c r="L2213" s="13" t="n"/>
    </row>
    <row r="2214">
      <c r="A2214" s="3" t="inlineStr">
        <is>
          <t>PushOff</t>
        </is>
      </c>
      <c r="B2214" s="3" t="inlineStr">
        <is>
          <t>Act_PO_10172_174030_703</t>
        </is>
      </c>
      <c r="C2214" s="3" t="inlineStr">
        <is>
          <t>10172</t>
        </is>
      </c>
      <c r="D2214" s="9" t="n">
        <v>302.1</v>
      </c>
      <c r="E2214" s="3" t="n"/>
      <c r="F2214" s="3" t="n"/>
      <c r="G2214" s="9" t="n"/>
      <c r="H2214" s="10" t="n">
        <v>45674.73645833333</v>
      </c>
      <c r="I2214" s="10" t="n">
        <v>45674.73733796296</v>
      </c>
      <c r="J2214" s="10" t="n">
        <v>45674.73916666667</v>
      </c>
      <c r="K2214" s="11" t="n">
        <v>0.001828703703703704</v>
      </c>
      <c r="L2214" s="13" t="n"/>
    </row>
    <row r="2215">
      <c r="A2215" s="3" t="inlineStr">
        <is>
          <t>PushOff</t>
        </is>
      </c>
      <c r="B2215" s="3" t="inlineStr">
        <is>
          <t>Act_PO_10173_180741_703</t>
        </is>
      </c>
      <c r="C2215" s="3" t="inlineStr">
        <is>
          <t>10173</t>
        </is>
      </c>
      <c r="D2215" s="9" t="n">
        <v>110.2</v>
      </c>
      <c r="E2215" s="3" t="n"/>
      <c r="F2215" s="3" t="n"/>
      <c r="G2215" s="9" t="n"/>
      <c r="H2215" s="10" t="n">
        <v>45674.75533564815</v>
      </c>
      <c r="I2215" s="10" t="n">
        <v>45674.75620370371</v>
      </c>
      <c r="J2215" s="10" t="n">
        <v>45674.75837962963</v>
      </c>
      <c r="K2215" s="11" t="n">
        <v>0.002175925925925926</v>
      </c>
      <c r="L2215" s="13" t="n"/>
    </row>
    <row r="2216">
      <c r="A2216" s="3" t="inlineStr">
        <is>
          <t>PushOff</t>
        </is>
      </c>
      <c r="B2216" s="3" t="inlineStr">
        <is>
          <t>Act_PO_10174_202727_703</t>
        </is>
      </c>
      <c r="C2216" s="3" t="inlineStr">
        <is>
          <t>10174</t>
        </is>
      </c>
      <c r="D2216" s="9" t="n">
        <v>345</v>
      </c>
      <c r="E2216" s="3" t="n"/>
      <c r="F2216" s="3" t="n"/>
      <c r="G2216" s="9" t="n"/>
      <c r="H2216" s="10" t="n">
        <v>45674.85239583333</v>
      </c>
      <c r="I2216" s="10" t="n">
        <v>45674.85327546296</v>
      </c>
      <c r="J2216" s="10" t="n">
        <v>45674.86612268518</v>
      </c>
      <c r="K2216" s="11" t="n">
        <v>0.01284722222222222</v>
      </c>
      <c r="L2216" s="13" t="n"/>
    </row>
    <row r="2217">
      <c r="A2217" s="3" t="inlineStr">
        <is>
          <t>PushOff</t>
        </is>
      </c>
      <c r="B2217" s="3" t="inlineStr">
        <is>
          <t>Act_PO_10175_004026_703</t>
        </is>
      </c>
      <c r="C2217" s="3" t="inlineStr">
        <is>
          <t>10175</t>
        </is>
      </c>
      <c r="D2217" s="9" t="n">
        <v>371.5</v>
      </c>
      <c r="E2217" s="3" t="n"/>
      <c r="F2217" s="3" t="n"/>
      <c r="G2217" s="9" t="n"/>
      <c r="H2217" s="10" t="n">
        <v>45675.0280787037</v>
      </c>
      <c r="I2217" s="10" t="n">
        <v>45675.02894675926</v>
      </c>
      <c r="J2217" s="10" t="n">
        <v>45675.03469907407</v>
      </c>
      <c r="K2217" s="11" t="n">
        <v>0.005752314814814815</v>
      </c>
      <c r="L2217" s="13" t="n"/>
    </row>
    <row r="2218">
      <c r="A2218" s="3" t="inlineStr">
        <is>
          <t>PushOff</t>
        </is>
      </c>
      <c r="B2218" s="3" t="inlineStr">
        <is>
          <t>Act_PO_10176_055740_703</t>
        </is>
      </c>
      <c r="C2218" s="3" t="inlineStr">
        <is>
          <t>10176</t>
        </is>
      </c>
      <c r="D2218" s="9" t="n">
        <v>413.1</v>
      </c>
      <c r="E2218" s="3" t="n"/>
      <c r="F2218" s="3" t="n"/>
      <c r="G2218" s="9" t="n"/>
      <c r="H2218" s="10" t="n">
        <v>45675.24837962963</v>
      </c>
      <c r="I2218" s="10" t="n">
        <v>45675.24925925926</v>
      </c>
      <c r="J2218" s="10" t="n">
        <v>45675.25267361111</v>
      </c>
      <c r="K2218" s="11" t="n">
        <v>0.003414351851851852</v>
      </c>
      <c r="L2218" s="13" t="n"/>
    </row>
    <row r="2219">
      <c r="A2219" s="3" t="inlineStr">
        <is>
          <t>PushOff</t>
        </is>
      </c>
      <c r="B2219" s="3" t="inlineStr">
        <is>
          <t>Act_PO_10177_065121_703</t>
        </is>
      </c>
      <c r="C2219" s="3" t="inlineStr">
        <is>
          <t>10177</t>
        </is>
      </c>
      <c r="D2219" s="9" t="n">
        <v>256.8</v>
      </c>
      <c r="E2219" s="3" t="n"/>
      <c r="F2219" s="3" t="n"/>
      <c r="G2219" s="9" t="n"/>
      <c r="H2219" s="10" t="n">
        <v>45675.28565972222</v>
      </c>
      <c r="I2219" s="10" t="n">
        <v>45675.28652777777</v>
      </c>
      <c r="J2219" s="10" t="n">
        <v>45675.29893518519</v>
      </c>
      <c r="K2219" s="11" t="n">
        <v>0.01240740740740741</v>
      </c>
      <c r="L2219" s="13" t="n"/>
    </row>
    <row r="2220">
      <c r="A2220" s="3" t="inlineStr">
        <is>
          <t>PushOff</t>
        </is>
      </c>
      <c r="B2220" s="3" t="inlineStr">
        <is>
          <t>Act_PO_10178_174623_727</t>
        </is>
      </c>
      <c r="C2220" s="3" t="inlineStr">
        <is>
          <t>10178</t>
        </is>
      </c>
      <c r="D2220" s="9" t="n">
        <v>592.2</v>
      </c>
      <c r="E2220" s="3" t="n"/>
      <c r="F2220" s="3" t="n"/>
      <c r="G2220" s="9" t="n"/>
      <c r="H2220" s="10" t="n">
        <v>45676.74054398148</v>
      </c>
      <c r="I2220" s="10" t="n">
        <v>45676.74142361111</v>
      </c>
      <c r="J2220" s="10" t="n">
        <v>45676.74618055556</v>
      </c>
      <c r="K2220" s="11" t="n">
        <v>0.004756944444444445</v>
      </c>
      <c r="L2220" s="13" t="n"/>
    </row>
    <row r="2221">
      <c r="A2221" s="3" t="inlineStr">
        <is>
          <t>PushOff</t>
        </is>
      </c>
      <c r="B2221" s="3" t="inlineStr">
        <is>
          <t>Act_PO_10179_202253_703</t>
        </is>
      </c>
      <c r="C2221" s="3" t="inlineStr">
        <is>
          <t>10179</t>
        </is>
      </c>
      <c r="D2221" s="9" t="n">
        <v>170.2</v>
      </c>
      <c r="E2221" s="3" t="n"/>
      <c r="F2221" s="3" t="n"/>
      <c r="G2221" s="9" t="n"/>
      <c r="H2221" s="10" t="n">
        <v>45676.84922453704</v>
      </c>
      <c r="I2221" s="10" t="n">
        <v>45676.85009259259</v>
      </c>
      <c r="J2221" s="10" t="n">
        <v>45676.85393518519</v>
      </c>
      <c r="K2221" s="11" t="n">
        <v>0.003842592592592593</v>
      </c>
      <c r="L2221" s="13" t="n"/>
    </row>
    <row r="2222">
      <c r="A2222" s="3" t="inlineStr">
        <is>
          <t>PushOff</t>
        </is>
      </c>
      <c r="B2222" s="3" t="inlineStr">
        <is>
          <t>Act_PO_10180_024205_703</t>
        </is>
      </c>
      <c r="C2222" s="3" t="inlineStr">
        <is>
          <t>10180</t>
        </is>
      </c>
      <c r="D2222" s="9" t="n">
        <v>260.7</v>
      </c>
      <c r="E2222" s="3" t="n"/>
      <c r="F2222" s="3" t="n"/>
      <c r="G2222" s="9" t="n"/>
      <c r="H2222" s="10" t="n">
        <v>45677.11255787037</v>
      </c>
      <c r="I2222" s="10" t="n">
        <v>45677.1134375</v>
      </c>
      <c r="J2222" s="10" t="n">
        <v>45677.12099537037</v>
      </c>
      <c r="K2222" s="11" t="n">
        <v>0.00755787037037037</v>
      </c>
      <c r="L2222" s="13" t="n"/>
    </row>
    <row r="2223">
      <c r="A2223" s="3" t="inlineStr">
        <is>
          <t>PushOff</t>
        </is>
      </c>
      <c r="B2223" s="3" t="inlineStr">
        <is>
          <t>Act_PO_10181_044219_703</t>
        </is>
      </c>
      <c r="C2223" s="3" t="inlineStr">
        <is>
          <t>10181</t>
        </is>
      </c>
      <c r="D2223" s="9" t="n">
        <v>329.7</v>
      </c>
      <c r="E2223" s="3" t="n"/>
      <c r="F2223" s="3" t="n"/>
      <c r="G2223" s="9" t="n"/>
      <c r="H2223" s="10" t="n">
        <v>45677.19605324074</v>
      </c>
      <c r="I2223" s="10" t="n">
        <v>45677.19692129629</v>
      </c>
      <c r="J2223" s="10" t="n">
        <v>45677.19967592593</v>
      </c>
      <c r="K2223" s="11" t="n">
        <v>0.002754629629629629</v>
      </c>
      <c r="L2223" s="13" t="n"/>
    </row>
    <row r="2224">
      <c r="A2224" s="3" t="inlineStr">
        <is>
          <t>PushOff</t>
        </is>
      </c>
      <c r="B2224" s="3" t="inlineStr">
        <is>
          <t>Act_PO_10182_060625_703</t>
        </is>
      </c>
      <c r="C2224" s="3" t="inlineStr">
        <is>
          <t>10182</t>
        </is>
      </c>
      <c r="D2224" s="9" t="n">
        <v>293.4</v>
      </c>
      <c r="E2224" s="3" t="n"/>
      <c r="F2224" s="3" t="n"/>
      <c r="G2224" s="9" t="n"/>
      <c r="H2224" s="10" t="n">
        <v>45677.25445601852</v>
      </c>
      <c r="I2224" s="10" t="n">
        <v>45677.25533564815</v>
      </c>
      <c r="J2224" s="10" t="n">
        <v>45677.25533564815</v>
      </c>
      <c r="K2224" s="11" t="n">
        <v>0</v>
      </c>
      <c r="L2224" s="13" t="n"/>
    </row>
    <row r="2225">
      <c r="A2225" s="3" t="inlineStr">
        <is>
          <t>PushOff</t>
        </is>
      </c>
      <c r="B2225" s="3" t="inlineStr">
        <is>
          <t>Act_PO_10184_073748_703</t>
        </is>
      </c>
      <c r="C2225" s="3" t="inlineStr">
        <is>
          <t>10184</t>
        </is>
      </c>
      <c r="D2225" s="9" t="n">
        <v>380.8</v>
      </c>
      <c r="E2225" s="3" t="n"/>
      <c r="F2225" s="3" t="n"/>
      <c r="G2225" s="9" t="n"/>
      <c r="H2225" s="10" t="n">
        <v>45677.31791666667</v>
      </c>
      <c r="I2225" s="10" t="n">
        <v>45677.31951388889</v>
      </c>
      <c r="J2225" s="10" t="n">
        <v>45677.31951388889</v>
      </c>
      <c r="K2225" s="11" t="n">
        <v>0</v>
      </c>
      <c r="L2225" s="13" t="n"/>
    </row>
    <row r="2226">
      <c r="A2226" s="3" t="inlineStr">
        <is>
          <t>PushOff</t>
        </is>
      </c>
      <c r="B2226" s="3" t="inlineStr">
        <is>
          <t>Act_PO_10185_074029_727</t>
        </is>
      </c>
      <c r="C2226" s="3" t="inlineStr">
        <is>
          <t>10185</t>
        </is>
      </c>
      <c r="D2226" s="9" t="n">
        <v>330.8</v>
      </c>
      <c r="E2226" s="3" t="n"/>
      <c r="F2226" s="3" t="n"/>
      <c r="G2226" s="9" t="n"/>
      <c r="H2226" s="10" t="n">
        <v>45677.31978009259</v>
      </c>
      <c r="I2226" s="10" t="n">
        <v>45677.32111111111</v>
      </c>
      <c r="J2226" s="10" t="n">
        <v>45677.32111111111</v>
      </c>
      <c r="K2226" s="11" t="n">
        <v>0</v>
      </c>
      <c r="L2226" s="13" t="n"/>
    </row>
    <row r="2227">
      <c r="A2227" s="3" t="inlineStr">
        <is>
          <t>PushOff</t>
        </is>
      </c>
      <c r="B2227" s="3" t="inlineStr">
        <is>
          <t>Act_PO_10183_075447_725</t>
        </is>
      </c>
      <c r="C2227" s="3" t="inlineStr">
        <is>
          <t>10183</t>
        </is>
      </c>
      <c r="D2227" s="9" t="n">
        <v>594.3</v>
      </c>
      <c r="E2227" s="3" t="n"/>
      <c r="F2227" s="3" t="n"/>
      <c r="G2227" s="9" t="n"/>
      <c r="H2227" s="10" t="n">
        <v>45677.32971064815</v>
      </c>
      <c r="I2227" s="10" t="n">
        <v>45677.3305787037</v>
      </c>
      <c r="J2227" s="10" t="n">
        <v>45677.35186342592</v>
      </c>
      <c r="K2227" s="11" t="n">
        <v>0.02128472222222222</v>
      </c>
      <c r="L2227" s="13" t="n"/>
    </row>
    <row r="2228">
      <c r="A2228" s="3" t="inlineStr">
        <is>
          <t>PushOff</t>
        </is>
      </c>
      <c r="B2228" s="3" t="inlineStr">
        <is>
          <t>Act_PO_10187_091200_727</t>
        </is>
      </c>
      <c r="C2228" s="3" t="inlineStr">
        <is>
          <t>10187</t>
        </is>
      </c>
      <c r="D2228" s="9" t="n">
        <v>386.4</v>
      </c>
      <c r="E2228" s="3" t="n"/>
      <c r="F2228" s="3" t="n"/>
      <c r="G2228" s="9" t="n"/>
      <c r="H2228" s="10" t="n">
        <v>45677.38333333333</v>
      </c>
      <c r="I2228" s="10" t="n">
        <v>45677.38413194445</v>
      </c>
      <c r="J2228" s="10" t="n">
        <v>45677.38555555556</v>
      </c>
      <c r="K2228" s="11" t="n">
        <v>0.001423611111111111</v>
      </c>
      <c r="L2228" s="13" t="n"/>
    </row>
    <row r="2229">
      <c r="A2229" s="3" t="inlineStr">
        <is>
          <t>PushOff</t>
        </is>
      </c>
      <c r="B2229" s="3" t="inlineStr">
        <is>
          <t>Act_PO_10186_091822_703</t>
        </is>
      </c>
      <c r="C2229" s="3" t="inlineStr">
        <is>
          <t>10186</t>
        </is>
      </c>
      <c r="D2229" s="9" t="n">
        <v>520.8</v>
      </c>
      <c r="E2229" s="3" t="n"/>
      <c r="F2229" s="3" t="n"/>
      <c r="G2229" s="9" t="n"/>
      <c r="H2229" s="10" t="n">
        <v>45677.38775462963</v>
      </c>
      <c r="I2229" s="10" t="n">
        <v>45677.38854166667</v>
      </c>
      <c r="J2229" s="10" t="n">
        <v>45677.40758101852</v>
      </c>
      <c r="K2229" s="11" t="n">
        <v>0.01903935185185185</v>
      </c>
      <c r="L2229" s="13" t="n"/>
    </row>
    <row r="2230">
      <c r="A2230" s="3" t="inlineStr">
        <is>
          <t>PushOff</t>
        </is>
      </c>
      <c r="B2230" s="3" t="inlineStr">
        <is>
          <t>Act_PO_10188_104723_703</t>
        </is>
      </c>
      <c r="C2230" s="3" t="inlineStr">
        <is>
          <t>10188</t>
        </is>
      </c>
      <c r="D2230" s="9" t="n">
        <v>319.7</v>
      </c>
      <c r="E2230" s="3" t="n"/>
      <c r="F2230" s="3" t="n"/>
      <c r="G2230" s="9" t="n"/>
      <c r="H2230" s="10" t="n">
        <v>45677.44957175926</v>
      </c>
      <c r="I2230" s="10" t="n">
        <v>45677.45043981481</v>
      </c>
      <c r="J2230" s="10" t="n">
        <v>45677.45511574074</v>
      </c>
      <c r="K2230" s="11" t="n">
        <v>0.004675925925925926</v>
      </c>
      <c r="L2230" s="13" t="n"/>
    </row>
    <row r="2231">
      <c r="A2231" s="3" t="inlineStr">
        <is>
          <t>PushOff</t>
        </is>
      </c>
      <c r="B2231" s="3" t="inlineStr">
        <is>
          <t>Act_PO_10189_125209_703</t>
        </is>
      </c>
      <c r="C2231" s="3" t="inlineStr">
        <is>
          <t>10189</t>
        </is>
      </c>
      <c r="D2231" s="9" t="n">
        <v>105</v>
      </c>
      <c r="E2231" s="3" t="n"/>
      <c r="F2231" s="3" t="n"/>
      <c r="G2231" s="9" t="n"/>
      <c r="H2231" s="10" t="n">
        <v>45677.53621527777</v>
      </c>
      <c r="I2231" s="10" t="n">
        <v>45677.53708333334</v>
      </c>
      <c r="J2231" s="10" t="n">
        <v>45677.53920138889</v>
      </c>
      <c r="K2231" s="11" t="n">
        <v>0.002118055555555556</v>
      </c>
      <c r="L2231" s="13" t="n"/>
    </row>
    <row r="2232">
      <c r="A2232" s="3" t="inlineStr">
        <is>
          <t>PushOff</t>
        </is>
      </c>
      <c r="B2232" s="3" t="inlineStr">
        <is>
          <t>Act_PO_10190_143456_703</t>
        </is>
      </c>
      <c r="C2232" s="3" t="inlineStr">
        <is>
          <t>10190</t>
        </is>
      </c>
      <c r="D2232" s="9" t="n">
        <v>389.1</v>
      </c>
      <c r="E2232" s="3" t="n"/>
      <c r="F2232" s="3" t="n"/>
      <c r="G2232" s="9" t="n"/>
      <c r="H2232" s="10" t="n">
        <v>45677.60759259259</v>
      </c>
      <c r="I2232" s="10" t="n">
        <v>45677.60847222222</v>
      </c>
      <c r="J2232" s="10" t="n">
        <v>45677.61094907407</v>
      </c>
      <c r="K2232" s="11" t="n">
        <v>0.002476851851851852</v>
      </c>
      <c r="L2232" s="13" t="n"/>
    </row>
    <row r="2233">
      <c r="A2233" s="3" t="inlineStr">
        <is>
          <t>PushOff</t>
        </is>
      </c>
      <c r="B2233" s="3" t="inlineStr">
        <is>
          <t>Act_PO_10191_153218_703</t>
        </is>
      </c>
      <c r="C2233" s="3" t="inlineStr">
        <is>
          <t>10191</t>
        </is>
      </c>
      <c r="D2233" s="9" t="n">
        <v>301.5</v>
      </c>
      <c r="E2233" s="3" t="n"/>
      <c r="F2233" s="3" t="n"/>
      <c r="G2233" s="9" t="n"/>
      <c r="H2233" s="10" t="n">
        <v>45677.64743055555</v>
      </c>
      <c r="I2233" s="10" t="n">
        <v>45677.64829861111</v>
      </c>
      <c r="J2233" s="10" t="n">
        <v>45677.664375</v>
      </c>
      <c r="K2233" s="11" t="n">
        <v>0.01607638888888889</v>
      </c>
      <c r="L2233" s="13" t="n"/>
    </row>
    <row r="2234">
      <c r="A2234" s="3" t="inlineStr">
        <is>
          <t>PushOff</t>
        </is>
      </c>
      <c r="B2234" s="3" t="inlineStr">
        <is>
          <t>Act_PO_10193_155618_725</t>
        </is>
      </c>
      <c r="C2234" s="3" t="inlineStr">
        <is>
          <t>10193</t>
        </is>
      </c>
      <c r="D2234" s="9" t="n">
        <v>110.2</v>
      </c>
      <c r="E2234" s="3" t="n"/>
      <c r="F2234" s="3" t="n"/>
      <c r="G2234" s="9" t="n"/>
      <c r="H2234" s="10" t="n">
        <v>45677.66409722222</v>
      </c>
      <c r="I2234" s="10" t="n">
        <v>45677.66583333333</v>
      </c>
      <c r="J2234" s="10" t="n">
        <v>45677.66583333333</v>
      </c>
      <c r="K2234" s="11" t="n">
        <v>0</v>
      </c>
      <c r="L2234" s="13" t="n"/>
    </row>
    <row r="2235">
      <c r="A2235" s="3" t="inlineStr">
        <is>
          <t>PushOff</t>
        </is>
      </c>
      <c r="B2235" s="3" t="inlineStr">
        <is>
          <t>Act_PO_10192_155732_727</t>
        </is>
      </c>
      <c r="C2235" s="3" t="inlineStr">
        <is>
          <t>10192</t>
        </is>
      </c>
      <c r="D2235" s="9" t="n">
        <v>229.6</v>
      </c>
      <c r="E2235" s="3" t="n"/>
      <c r="F2235" s="3" t="n"/>
      <c r="G2235" s="9" t="n"/>
      <c r="H2235" s="10" t="n">
        <v>45677.6649537037</v>
      </c>
      <c r="I2235" s="10" t="n">
        <v>45677.66670138889</v>
      </c>
      <c r="J2235" s="10" t="n">
        <v>45677.66814814815</v>
      </c>
      <c r="K2235" s="11" t="n">
        <v>0.001446759259259259</v>
      </c>
      <c r="L2235" s="13" t="n"/>
    </row>
    <row r="2236">
      <c r="A2236" s="3" t="inlineStr">
        <is>
          <t>PushOff</t>
        </is>
      </c>
      <c r="B2236" s="3" t="inlineStr">
        <is>
          <t>Act_PO_10194_171016_703</t>
        </is>
      </c>
      <c r="C2236" s="3" t="inlineStr">
        <is>
          <t>10194</t>
        </is>
      </c>
      <c r="D2236" s="9" t="n">
        <v>325.4</v>
      </c>
      <c r="E2236" s="3" t="n"/>
      <c r="F2236" s="3" t="n"/>
      <c r="G2236" s="9" t="n"/>
      <c r="H2236" s="10" t="n">
        <v>45677.71546296297</v>
      </c>
      <c r="I2236" s="10" t="n">
        <v>45677.71633101852</v>
      </c>
      <c r="J2236" s="10" t="n">
        <v>45677.71821759259</v>
      </c>
      <c r="K2236" s="11" t="n">
        <v>0.001886574074074074</v>
      </c>
      <c r="L2236" s="13" t="n"/>
    </row>
    <row r="2237">
      <c r="A2237" s="3" t="inlineStr">
        <is>
          <t>PushOff</t>
        </is>
      </c>
      <c r="B2237" s="3" t="inlineStr">
        <is>
          <t>Act_PO_10195_211242_703</t>
        </is>
      </c>
      <c r="C2237" s="3" t="inlineStr">
        <is>
          <t>10195</t>
        </is>
      </c>
      <c r="D2237" s="9" t="n">
        <v>398</v>
      </c>
      <c r="E2237" s="3" t="n"/>
      <c r="F2237" s="3" t="n"/>
      <c r="G2237" s="9" t="n"/>
      <c r="H2237" s="10" t="n">
        <v>45677.88381944445</v>
      </c>
      <c r="I2237" s="10" t="n">
        <v>45677.88469907407</v>
      </c>
      <c r="J2237" s="10" t="n">
        <v>45677.88761574074</v>
      </c>
      <c r="K2237" s="11" t="n">
        <v>0.002916666666666667</v>
      </c>
      <c r="L2237" s="13" t="n"/>
    </row>
    <row r="2238">
      <c r="A2238" s="3" t="inlineStr">
        <is>
          <t>PushOff</t>
        </is>
      </c>
      <c r="B2238" s="3" t="inlineStr">
        <is>
          <t>Act_PO_10196_030519_703</t>
        </is>
      </c>
      <c r="C2238" s="3" t="inlineStr">
        <is>
          <t>10196</t>
        </is>
      </c>
      <c r="D2238" s="9" t="n">
        <v>315.6</v>
      </c>
      <c r="E2238" s="3" t="n"/>
      <c r="F2238" s="3" t="n"/>
      <c r="G2238" s="9" t="n"/>
      <c r="H2238" s="10" t="n">
        <v>45678.12869212963</v>
      </c>
      <c r="I2238" s="10" t="n">
        <v>45678.12956018518</v>
      </c>
      <c r="J2238" s="10" t="n">
        <v>45678.13895833334</v>
      </c>
      <c r="K2238" s="11" t="n">
        <v>0.009398148148148149</v>
      </c>
      <c r="L2238" s="13" t="n"/>
    </row>
    <row r="2239">
      <c r="A2239" s="3" t="inlineStr">
        <is>
          <t>PushOff</t>
        </is>
      </c>
      <c r="B2239" s="3" t="inlineStr">
        <is>
          <t>Act_PO_10197_064528_703</t>
        </is>
      </c>
      <c r="C2239" s="3" t="inlineStr">
        <is>
          <t>10197</t>
        </is>
      </c>
      <c r="D2239" s="9" t="n">
        <v>233.1</v>
      </c>
      <c r="E2239" s="3" t="n"/>
      <c r="F2239" s="3" t="n"/>
      <c r="G2239" s="9" t="n"/>
      <c r="H2239" s="10" t="n">
        <v>45678.28157407408</v>
      </c>
      <c r="I2239" s="10" t="n">
        <v>45678.2824537037</v>
      </c>
      <c r="J2239" s="10" t="n">
        <v>45678.28434027778</v>
      </c>
      <c r="K2239" s="11" t="n">
        <v>0.001886574074074074</v>
      </c>
      <c r="L2239" s="13" t="n"/>
    </row>
    <row r="2240">
      <c r="A2240" s="3" t="inlineStr">
        <is>
          <t>PushOff</t>
        </is>
      </c>
      <c r="B2240" s="3" t="inlineStr">
        <is>
          <t>Act_PO_10199_073152_727</t>
        </is>
      </c>
      <c r="C2240" s="3" t="inlineStr">
        <is>
          <t>10199</t>
        </is>
      </c>
      <c r="D2240" s="9" t="n">
        <v>381.6</v>
      </c>
      <c r="E2240" s="3" t="n"/>
      <c r="F2240" s="3" t="n"/>
      <c r="G2240" s="9" t="n"/>
      <c r="H2240" s="10" t="n">
        <v>45678.31379629629</v>
      </c>
      <c r="I2240" s="10" t="n">
        <v>45678.31466435185</v>
      </c>
      <c r="J2240" s="10" t="n">
        <v>45678.31466435185</v>
      </c>
      <c r="K2240" s="11" t="n">
        <v>0</v>
      </c>
      <c r="L2240" s="13" t="n"/>
    </row>
    <row r="2241">
      <c r="A2241" s="3" t="inlineStr">
        <is>
          <t>PushOff</t>
        </is>
      </c>
      <c r="B2241" s="3" t="inlineStr">
        <is>
          <t>Act_PO_10198_073734_703</t>
        </is>
      </c>
      <c r="C2241" s="3" t="inlineStr">
        <is>
          <t>10198</t>
        </is>
      </c>
      <c r="D2241" s="9" t="n">
        <v>395</v>
      </c>
      <c r="E2241" s="3" t="n"/>
      <c r="F2241" s="3" t="n"/>
      <c r="G2241" s="9" t="n"/>
      <c r="H2241" s="10" t="n">
        <v>45678.31775462963</v>
      </c>
      <c r="I2241" s="10" t="n">
        <v>45678.31862268518</v>
      </c>
      <c r="J2241" s="10" t="n">
        <v>45678.33297453704</v>
      </c>
      <c r="K2241" s="11" t="n">
        <v>0.01435185185185185</v>
      </c>
      <c r="L2241" s="13" t="n"/>
    </row>
    <row r="2242">
      <c r="A2242" s="3" t="inlineStr">
        <is>
          <t>PushOff</t>
        </is>
      </c>
      <c r="B2242" s="3" t="inlineStr">
        <is>
          <t>Act_PO_10200_074247_725</t>
        </is>
      </c>
      <c r="C2242" s="3" t="inlineStr">
        <is>
          <t>10200</t>
        </is>
      </c>
      <c r="D2242" s="9" t="n">
        <v>339.1</v>
      </c>
      <c r="E2242" s="3" t="n"/>
      <c r="F2242" s="3" t="n"/>
      <c r="G2242" s="9" t="n"/>
      <c r="H2242" s="10" t="n">
        <v>45678.32137731482</v>
      </c>
      <c r="I2242" s="10" t="n">
        <v>45678.33384259259</v>
      </c>
      <c r="J2242" s="10" t="n">
        <v>45678.33640046296</v>
      </c>
      <c r="K2242" s="11" t="n">
        <v>0.002557870370370371</v>
      </c>
      <c r="L2242" s="13" t="n"/>
    </row>
    <row r="2243">
      <c r="A2243" s="3" t="inlineStr">
        <is>
          <t>PushOff</t>
        </is>
      </c>
      <c r="B2243" s="3" t="inlineStr">
        <is>
          <t>Act_PO_10202_091018_727</t>
        </is>
      </c>
      <c r="C2243" s="3" t="inlineStr">
        <is>
          <t>10202</t>
        </is>
      </c>
      <c r="D2243" s="9" t="n">
        <v>114.8</v>
      </c>
      <c r="E2243" s="3" t="n"/>
      <c r="F2243" s="3" t="n"/>
      <c r="G2243" s="9" t="n"/>
      <c r="H2243" s="10" t="n">
        <v>45678.38215277778</v>
      </c>
      <c r="I2243" s="10" t="n">
        <v>45678.38303240741</v>
      </c>
      <c r="J2243" s="10" t="n">
        <v>45678.38628472222</v>
      </c>
      <c r="K2243" s="11" t="n">
        <v>0.003252314814814815</v>
      </c>
      <c r="L2243" s="13" t="n"/>
    </row>
    <row r="2244">
      <c r="A2244" s="3" t="inlineStr">
        <is>
          <t>PushOff</t>
        </is>
      </c>
      <c r="B2244" s="3" t="inlineStr">
        <is>
          <t>Act_PO_10201_091213_703</t>
        </is>
      </c>
      <c r="C2244" s="3" t="inlineStr">
        <is>
          <t>10201</t>
        </is>
      </c>
      <c r="D2244" s="9" t="n">
        <v>469.5</v>
      </c>
      <c r="E2244" s="3" t="n"/>
      <c r="F2244" s="3" t="n"/>
      <c r="G2244" s="9" t="n"/>
      <c r="H2244" s="10" t="n">
        <v>45678.38348379629</v>
      </c>
      <c r="I2244" s="10" t="n">
        <v>45678.38715277778</v>
      </c>
      <c r="J2244" s="10" t="n">
        <v>45678.40018518519</v>
      </c>
      <c r="K2244" s="11" t="n">
        <v>0.01303240740740741</v>
      </c>
      <c r="L2244" s="13" t="n"/>
    </row>
    <row r="2245">
      <c r="A2245" s="3" t="inlineStr">
        <is>
          <t>PushOff</t>
        </is>
      </c>
      <c r="B2245" s="3" t="inlineStr">
        <is>
          <t>Act_PO_10203_101838_703</t>
        </is>
      </c>
      <c r="C2245" s="3" t="inlineStr">
        <is>
          <t>10203</t>
        </is>
      </c>
      <c r="D2245" s="9" t="n">
        <v>418.4</v>
      </c>
      <c r="E2245" s="3" t="n"/>
      <c r="F2245" s="3" t="n"/>
      <c r="G2245" s="9" t="n"/>
      <c r="H2245" s="10" t="n">
        <v>45678.42960648148</v>
      </c>
      <c r="I2245" s="10" t="n">
        <v>45678.43047453704</v>
      </c>
      <c r="J2245" s="10" t="n">
        <v>45678.43640046296</v>
      </c>
      <c r="K2245" s="11" t="n">
        <v>0.005925925925925926</v>
      </c>
      <c r="L2245" s="13" t="n"/>
    </row>
    <row r="2246">
      <c r="A2246" s="3" t="inlineStr">
        <is>
          <t>PushOff</t>
        </is>
      </c>
      <c r="B2246" s="3" t="inlineStr">
        <is>
          <t>Act_PO_10204_143905_703</t>
        </is>
      </c>
      <c r="C2246" s="3" t="inlineStr">
        <is>
          <t>10204</t>
        </is>
      </c>
      <c r="D2246" s="9" t="n">
        <v>398</v>
      </c>
      <c r="E2246" s="3" t="n"/>
      <c r="F2246" s="3" t="n"/>
      <c r="G2246" s="9" t="n"/>
      <c r="H2246" s="10" t="n">
        <v>45678.61047453704</v>
      </c>
      <c r="I2246" s="10" t="n">
        <v>45678.61135416666</v>
      </c>
      <c r="J2246" s="10" t="n">
        <v>45678.61420138889</v>
      </c>
      <c r="K2246" s="11" t="n">
        <v>0.002847222222222222</v>
      </c>
      <c r="L2246" s="13" t="n"/>
    </row>
    <row r="2247">
      <c r="A2247" s="3" t="inlineStr">
        <is>
          <t>PushOff</t>
        </is>
      </c>
      <c r="B2247" s="3" t="inlineStr">
        <is>
          <t>Act_PO_10205_150111_727</t>
        </is>
      </c>
      <c r="C2247" s="3" t="inlineStr">
        <is>
          <t>10205</t>
        </is>
      </c>
      <c r="D2247" s="9" t="n">
        <v>582.4</v>
      </c>
      <c r="E2247" s="3" t="n"/>
      <c r="F2247" s="3" t="n"/>
      <c r="G2247" s="9" t="n"/>
      <c r="H2247" s="10" t="n">
        <v>45678.62582175926</v>
      </c>
      <c r="I2247" s="10" t="n">
        <v>45678.62670138889</v>
      </c>
      <c r="J2247" s="10" t="n">
        <v>45678.64023148148</v>
      </c>
      <c r="K2247" s="11" t="n">
        <v>0.01353009259259259</v>
      </c>
      <c r="L2247" s="13" t="n"/>
    </row>
    <row r="2248">
      <c r="A2248" s="3" t="inlineStr">
        <is>
          <t>PushOff</t>
        </is>
      </c>
      <c r="B2248" s="3" t="inlineStr">
        <is>
          <t>Act_PO_10206_150846_703</t>
        </is>
      </c>
      <c r="C2248" s="3" t="inlineStr">
        <is>
          <t>10206</t>
        </is>
      </c>
      <c r="D2248" s="9" t="n">
        <v>125.9</v>
      </c>
      <c r="E2248" s="3" t="n"/>
      <c r="F2248" s="3" t="n"/>
      <c r="G2248" s="9" t="n"/>
      <c r="H2248" s="10" t="n">
        <v>45678.63108796296</v>
      </c>
      <c r="I2248" s="10" t="n">
        <v>45678.64109953704</v>
      </c>
      <c r="J2248" s="10" t="n">
        <v>45678.64329861111</v>
      </c>
      <c r="K2248" s="11" t="n">
        <v>0.002199074074074074</v>
      </c>
      <c r="L2248" s="13" t="n"/>
    </row>
    <row r="2249">
      <c r="A2249" s="3" t="inlineStr">
        <is>
          <t>PushOff</t>
        </is>
      </c>
      <c r="B2249" s="3" t="inlineStr">
        <is>
          <t>Act_PO_10207_205921_703</t>
        </is>
      </c>
      <c r="C2249" s="3" t="inlineStr">
        <is>
          <t>10207</t>
        </is>
      </c>
      <c r="D2249" s="9" t="n">
        <v>187.4</v>
      </c>
      <c r="E2249" s="3" t="n"/>
      <c r="F2249" s="3" t="n"/>
      <c r="G2249" s="9" t="n"/>
      <c r="H2249" s="10" t="n">
        <v>45678.87454861111</v>
      </c>
      <c r="I2249" s="10" t="n">
        <v>45678.87542824074</v>
      </c>
      <c r="J2249" s="10" t="n">
        <v>45678.87777777778</v>
      </c>
      <c r="K2249" s="11" t="n">
        <v>0.002349537037037037</v>
      </c>
      <c r="L2249" s="13" t="n"/>
    </row>
    <row r="2250">
      <c r="A2250" s="3" t="inlineStr">
        <is>
          <t>PushOff</t>
        </is>
      </c>
      <c r="B2250" s="3" t="inlineStr">
        <is>
          <t>Act_PO_10208_024341_703</t>
        </is>
      </c>
      <c r="C2250" s="3" t="inlineStr">
        <is>
          <t>10208</t>
        </is>
      </c>
      <c r="D2250" s="9" t="n">
        <v>298.6</v>
      </c>
      <c r="E2250" s="3" t="n"/>
      <c r="F2250" s="3" t="n"/>
      <c r="G2250" s="9" t="n"/>
      <c r="H2250" s="10" t="n">
        <v>45679.11366898148</v>
      </c>
      <c r="I2250" s="10" t="n">
        <v>45679.11453703704</v>
      </c>
      <c r="J2250" s="10" t="n">
        <v>45679.12127314815</v>
      </c>
      <c r="K2250" s="11" t="n">
        <v>0.006736111111111111</v>
      </c>
      <c r="L2250" s="13" t="n"/>
    </row>
    <row r="2251">
      <c r="A2251" s="3" t="inlineStr">
        <is>
          <t>PushOff</t>
        </is>
      </c>
      <c r="B2251" s="3" t="inlineStr">
        <is>
          <t>Act_PO_10209_044509_703</t>
        </is>
      </c>
      <c r="C2251" s="3" t="inlineStr">
        <is>
          <t>10209</t>
        </is>
      </c>
      <c r="D2251" s="9" t="n">
        <v>366.6</v>
      </c>
      <c r="E2251" s="3" t="n"/>
      <c r="F2251" s="3" t="n"/>
      <c r="G2251" s="9" t="n"/>
      <c r="H2251" s="10" t="n">
        <v>45679.19802083333</v>
      </c>
      <c r="I2251" s="10" t="n">
        <v>45679.19890046296</v>
      </c>
      <c r="J2251" s="10" t="n">
        <v>45679.20173611111</v>
      </c>
      <c r="K2251" s="11" t="n">
        <v>0.002835648148148148</v>
      </c>
      <c r="L2251" s="13" t="n"/>
    </row>
    <row r="2252">
      <c r="A2252" s="3" t="inlineStr">
        <is>
          <t>PushOff</t>
        </is>
      </c>
      <c r="B2252" s="3" t="inlineStr">
        <is>
          <t>Act_PO_10210_063122_703</t>
        </is>
      </c>
      <c r="C2252" s="3" t="inlineStr">
        <is>
          <t>10210</t>
        </is>
      </c>
      <c r="D2252" s="9" t="n">
        <v>291.7</v>
      </c>
      <c r="E2252" s="3" t="n"/>
      <c r="F2252" s="3" t="n"/>
      <c r="G2252" s="9" t="n"/>
      <c r="H2252" s="10" t="n">
        <v>45679.27178240741</v>
      </c>
      <c r="I2252" s="10" t="n">
        <v>45679.27265046296</v>
      </c>
      <c r="J2252" s="10" t="n">
        <v>45679.27524305556</v>
      </c>
      <c r="K2252" s="11" t="n">
        <v>0.002592592592592593</v>
      </c>
      <c r="L2252" s="13" t="n"/>
    </row>
    <row r="2253">
      <c r="A2253" s="3" t="inlineStr">
        <is>
          <t>PushOff</t>
        </is>
      </c>
      <c r="B2253" s="3" t="inlineStr">
        <is>
          <t>Act_PO_10211_071402_703</t>
        </is>
      </c>
      <c r="C2253" s="3" t="inlineStr">
        <is>
          <t>10211</t>
        </is>
      </c>
      <c r="D2253" s="9" t="n">
        <v>467.5</v>
      </c>
      <c r="E2253" s="3" t="n"/>
      <c r="F2253" s="3" t="n"/>
      <c r="G2253" s="9" t="n"/>
      <c r="H2253" s="10" t="n">
        <v>45679.30141203704</v>
      </c>
      <c r="I2253" s="10" t="n">
        <v>45679.30229166667</v>
      </c>
      <c r="J2253" s="10" t="n">
        <v>45679.32076388889</v>
      </c>
      <c r="K2253" s="11" t="n">
        <v>0.01847222222222222</v>
      </c>
      <c r="L2253" s="13" t="n"/>
    </row>
    <row r="2254">
      <c r="A2254" s="3" t="inlineStr">
        <is>
          <t>PushOff</t>
        </is>
      </c>
      <c r="B2254" s="3" t="inlineStr">
        <is>
          <t>Act_PO_10212_073909_727</t>
        </is>
      </c>
      <c r="C2254" s="3" t="inlineStr">
        <is>
          <t>10212</t>
        </is>
      </c>
      <c r="D2254" s="9" t="n">
        <v>330.7</v>
      </c>
      <c r="E2254" s="3" t="n"/>
      <c r="F2254" s="3" t="n"/>
      <c r="G2254" s="9" t="n"/>
      <c r="H2254" s="10" t="n">
        <v>45679.31885416667</v>
      </c>
      <c r="I2254" s="10" t="n">
        <v>45679.32163194445</v>
      </c>
      <c r="J2254" s="10" t="n">
        <v>45679.32163194445</v>
      </c>
      <c r="K2254" s="11" t="n">
        <v>0</v>
      </c>
      <c r="L2254" s="13" t="n"/>
    </row>
    <row r="2255">
      <c r="A2255" s="3" t="inlineStr">
        <is>
          <t>PushOff</t>
        </is>
      </c>
      <c r="B2255" s="3" t="inlineStr">
        <is>
          <t>Act_PO_10213_080811_703</t>
        </is>
      </c>
      <c r="C2255" s="3" t="inlineStr">
        <is>
          <t>10213</t>
        </is>
      </c>
      <c r="D2255" s="9" t="n">
        <v>295.4</v>
      </c>
      <c r="E2255" s="3" t="n"/>
      <c r="F2255" s="3" t="n"/>
      <c r="G2255" s="9" t="n"/>
      <c r="H2255" s="10" t="n">
        <v>45679.3390162037</v>
      </c>
      <c r="I2255" s="10" t="n">
        <v>45679.33980324074</v>
      </c>
      <c r="J2255" s="10" t="n">
        <v>45679.33980324074</v>
      </c>
      <c r="K2255" s="11" t="n">
        <v>0</v>
      </c>
      <c r="L2255" s="13" t="n"/>
    </row>
    <row r="2256">
      <c r="A2256" s="3" t="inlineStr">
        <is>
          <t>PushOff</t>
        </is>
      </c>
      <c r="B2256" s="3" t="inlineStr">
        <is>
          <t>Act_PO_10214_083434_703</t>
        </is>
      </c>
      <c r="C2256" s="3" t="inlineStr">
        <is>
          <t>10214</t>
        </is>
      </c>
      <c r="D2256" s="9" t="n">
        <v>331.2</v>
      </c>
      <c r="E2256" s="3" t="n"/>
      <c r="F2256" s="3" t="n"/>
      <c r="G2256" s="9" t="n"/>
      <c r="H2256" s="10" t="n">
        <v>45679.35733796296</v>
      </c>
      <c r="I2256" s="10" t="n">
        <v>45679.35821759259</v>
      </c>
      <c r="J2256" s="10" t="n">
        <v>45679.36122685186</v>
      </c>
      <c r="K2256" s="11" t="n">
        <v>0.003009259259259259</v>
      </c>
      <c r="L2256" s="13" t="n"/>
    </row>
    <row r="2257">
      <c r="A2257" s="3" t="inlineStr">
        <is>
          <t>PushOff</t>
        </is>
      </c>
      <c r="B2257" s="3" t="inlineStr">
        <is>
          <t>Act_PO_10215_093513_703</t>
        </is>
      </c>
      <c r="C2257" s="3" t="inlineStr">
        <is>
          <t>10215</t>
        </is>
      </c>
      <c r="D2257" s="9" t="n">
        <v>515.2</v>
      </c>
      <c r="E2257" s="3" t="n"/>
      <c r="F2257" s="3" t="n"/>
      <c r="G2257" s="9" t="n"/>
      <c r="H2257" s="10" t="n">
        <v>45679.39945601852</v>
      </c>
      <c r="I2257" s="10" t="n">
        <v>45679.40025462963</v>
      </c>
      <c r="J2257" s="10" t="n">
        <v>45679.41890046297</v>
      </c>
      <c r="K2257" s="11" t="n">
        <v>0.01864583333333333</v>
      </c>
      <c r="L2257" s="13" t="n"/>
    </row>
    <row r="2258">
      <c r="A2258" s="3" t="inlineStr">
        <is>
          <t>PushOff</t>
        </is>
      </c>
      <c r="B2258" s="3" t="inlineStr">
        <is>
          <t>Act_PO_10216_103511_703</t>
        </is>
      </c>
      <c r="C2258" s="3" t="inlineStr">
        <is>
          <t>10216</t>
        </is>
      </c>
      <c r="D2258" s="9" t="n">
        <v>446.2</v>
      </c>
      <c r="E2258" s="3" t="n"/>
      <c r="F2258" s="3" t="n"/>
      <c r="G2258" s="9" t="n"/>
      <c r="H2258" s="10" t="n">
        <v>45679.44109953703</v>
      </c>
      <c r="I2258" s="10" t="n">
        <v>45679.44196759259</v>
      </c>
      <c r="J2258" s="10" t="n">
        <v>45679.44413194444</v>
      </c>
      <c r="K2258" s="11" t="n">
        <v>0.002164351851851852</v>
      </c>
      <c r="L2258" s="13" t="n"/>
    </row>
    <row r="2259">
      <c r="A2259" s="3" t="inlineStr">
        <is>
          <t>PushOff</t>
        </is>
      </c>
      <c r="B2259" s="3" t="inlineStr">
        <is>
          <t>Act_PO_10217_130603_731</t>
        </is>
      </c>
      <c r="C2259" s="3" t="inlineStr">
        <is>
          <t>10217</t>
        </is>
      </c>
      <c r="D2259" s="9" t="n">
        <v>33.9</v>
      </c>
      <c r="E2259" s="3" t="n"/>
      <c r="F2259" s="3" t="n"/>
      <c r="G2259" s="9" t="n"/>
      <c r="H2259" s="10" t="n">
        <v>45679.54586805555</v>
      </c>
      <c r="I2259" s="10" t="n">
        <v>45679.54666666667</v>
      </c>
      <c r="J2259" s="10" t="n">
        <v>45679.54821759259</v>
      </c>
      <c r="K2259" s="11" t="n">
        <v>0.001550925925925926</v>
      </c>
      <c r="L2259" s="13" t="n"/>
    </row>
    <row r="2260">
      <c r="A2260" s="3" t="inlineStr">
        <is>
          <t>PushOff</t>
        </is>
      </c>
      <c r="B2260" s="3" t="inlineStr">
        <is>
          <t>Act_PO_10218_151834_731</t>
        </is>
      </c>
      <c r="C2260" s="3" t="inlineStr">
        <is>
          <t>10218</t>
        </is>
      </c>
      <c r="D2260" s="9" t="n">
        <v>63</v>
      </c>
      <c r="E2260" s="3" t="n"/>
      <c r="F2260" s="3" t="n"/>
      <c r="G2260" s="9" t="n"/>
      <c r="H2260" s="10" t="n">
        <v>45679.63789351852</v>
      </c>
      <c r="I2260" s="10" t="n">
        <v>45679.63877314814</v>
      </c>
      <c r="J2260" s="10" t="n">
        <v>45679.64039351852</v>
      </c>
      <c r="K2260" s="11" t="n">
        <v>0.00162037037037037</v>
      </c>
      <c r="L2260" s="13" t="n"/>
    </row>
    <row r="2261">
      <c r="A2261" s="3" t="inlineStr">
        <is>
          <t>PushOff</t>
        </is>
      </c>
      <c r="B2261" s="3" t="inlineStr">
        <is>
          <t>Act_PO_10220_174338_703</t>
        </is>
      </c>
      <c r="C2261" s="3" t="inlineStr">
        <is>
          <t>10220</t>
        </is>
      </c>
      <c r="D2261" s="9" t="n">
        <v>325.4</v>
      </c>
      <c r="E2261" s="3" t="n"/>
      <c r="F2261" s="3" t="n"/>
      <c r="G2261" s="9" t="n"/>
      <c r="H2261" s="10" t="n">
        <v>45679.73863425926</v>
      </c>
      <c r="I2261" s="10" t="n">
        <v>45679.73950231481</v>
      </c>
      <c r="J2261" s="10" t="n">
        <v>45679.74137731481</v>
      </c>
      <c r="K2261" s="11" t="n">
        <v>0.001875</v>
      </c>
      <c r="L2261" s="13" t="n"/>
    </row>
    <row r="2262">
      <c r="A2262" s="3" t="inlineStr">
        <is>
          <t>PushOff</t>
        </is>
      </c>
      <c r="B2262" s="3" t="inlineStr">
        <is>
          <t>Act_PO_10219_175045_727</t>
        </is>
      </c>
      <c r="C2262" s="3" t="inlineStr">
        <is>
          <t>10219</t>
        </is>
      </c>
      <c r="D2262" s="9" t="n">
        <v>591.5</v>
      </c>
      <c r="E2262" s="3" t="n"/>
      <c r="F2262" s="3" t="n"/>
      <c r="G2262" s="9" t="n"/>
      <c r="H2262" s="10" t="n">
        <v>45679.74357638889</v>
      </c>
      <c r="I2262" s="10" t="n">
        <v>45679.74444444444</v>
      </c>
      <c r="J2262" s="10" t="n">
        <v>45679.76121527778</v>
      </c>
      <c r="K2262" s="11" t="n">
        <v>0.01677083333333333</v>
      </c>
      <c r="L2262" s="13" t="n"/>
    </row>
    <row r="2263">
      <c r="A2263" s="3" t="inlineStr">
        <is>
          <t>PushOff</t>
        </is>
      </c>
      <c r="B2263" s="3" t="inlineStr">
        <is>
          <t>Act_PO_10221_175543_703</t>
        </is>
      </c>
      <c r="C2263" s="3" t="inlineStr">
        <is>
          <t>10221</t>
        </is>
      </c>
      <c r="D2263" s="9" t="n">
        <v>74.59999999999999</v>
      </c>
      <c r="E2263" s="3" t="n"/>
      <c r="F2263" s="3" t="n"/>
      <c r="G2263" s="9" t="n"/>
      <c r="H2263" s="10" t="n">
        <v>45679.74702546297</v>
      </c>
      <c r="I2263" s="10" t="n">
        <v>45679.76200231481</v>
      </c>
      <c r="J2263" s="10" t="n">
        <v>45679.76200231481</v>
      </c>
      <c r="K2263" s="11" t="n">
        <v>0</v>
      </c>
      <c r="L2263" s="13" t="n"/>
    </row>
    <row r="2264">
      <c r="A2264" s="3" t="inlineStr">
        <is>
          <t>PushOff</t>
        </is>
      </c>
      <c r="B2264" s="3" t="inlineStr">
        <is>
          <t>Act_PO_10222_202244_703</t>
        </is>
      </c>
      <c r="C2264" s="3" t="inlineStr">
        <is>
          <t>10222</t>
        </is>
      </c>
      <c r="D2264" s="9" t="n">
        <v>298.7</v>
      </c>
      <c r="E2264" s="3" t="n"/>
      <c r="F2264" s="3" t="n"/>
      <c r="G2264" s="9" t="n"/>
      <c r="H2264" s="10" t="n">
        <v>45679.84912037037</v>
      </c>
      <c r="I2264" s="10" t="n">
        <v>45679.84998842593</v>
      </c>
      <c r="J2264" s="10" t="n">
        <v>45679.86423611111</v>
      </c>
      <c r="K2264" s="11" t="n">
        <v>0.01424768518518518</v>
      </c>
      <c r="L2264" s="13" t="n"/>
    </row>
    <row r="2265">
      <c r="A2265" s="3" t="inlineStr">
        <is>
          <t>PushOff</t>
        </is>
      </c>
      <c r="B2265" s="3" t="inlineStr">
        <is>
          <t>Act_PO_10223_025637_703</t>
        </is>
      </c>
      <c r="C2265" s="3" t="inlineStr">
        <is>
          <t>10223</t>
        </is>
      </c>
      <c r="D2265" s="9" t="n">
        <v>310.4</v>
      </c>
      <c r="E2265" s="3" t="n"/>
      <c r="F2265" s="3" t="n"/>
      <c r="G2265" s="9" t="n"/>
      <c r="H2265" s="10" t="n">
        <v>45680.12265046296</v>
      </c>
      <c r="I2265" s="10" t="n">
        <v>45680.1234375</v>
      </c>
      <c r="J2265" s="10" t="n">
        <v>45680.13020833334</v>
      </c>
      <c r="K2265" s="11" t="n">
        <v>0.006770833333333334</v>
      </c>
      <c r="L2265" s="13" t="n"/>
    </row>
    <row r="2266">
      <c r="A2266" s="3" t="inlineStr">
        <is>
          <t>PushOff</t>
        </is>
      </c>
      <c r="B2266" s="3" t="inlineStr">
        <is>
          <t>Act_PO_10224_062721_703</t>
        </is>
      </c>
      <c r="C2266" s="3" t="inlineStr">
        <is>
          <t>10224</t>
        </is>
      </c>
      <c r="D2266" s="9" t="n">
        <v>144.4</v>
      </c>
      <c r="E2266" s="3" t="n"/>
      <c r="F2266" s="3" t="n"/>
      <c r="G2266" s="9" t="n"/>
      <c r="H2266" s="10" t="n">
        <v>45680.26899305556</v>
      </c>
      <c r="I2266" s="10" t="n">
        <v>45680.26986111111</v>
      </c>
      <c r="J2266" s="10" t="n">
        <v>45680.27217592593</v>
      </c>
      <c r="K2266" s="11" t="n">
        <v>0.002314814814814815</v>
      </c>
      <c r="L2266" s="13" t="n"/>
    </row>
    <row r="2267">
      <c r="A2267" s="3" t="inlineStr">
        <is>
          <t>PushOff</t>
        </is>
      </c>
      <c r="B2267" s="3" t="inlineStr">
        <is>
          <t>Act_PO_10225_070526_703</t>
        </is>
      </c>
      <c r="C2267" s="3" t="inlineStr">
        <is>
          <t>10225</t>
        </is>
      </c>
      <c r="D2267" s="9" t="n">
        <v>257.6</v>
      </c>
      <c r="E2267" s="3" t="n"/>
      <c r="F2267" s="3" t="n"/>
      <c r="G2267" s="9" t="n"/>
      <c r="H2267" s="10" t="n">
        <v>45680.29543981481</v>
      </c>
      <c r="I2267" s="10" t="n">
        <v>45680.29622685185</v>
      </c>
      <c r="J2267" s="10" t="n">
        <v>45680.30479166667</v>
      </c>
      <c r="K2267" s="11" t="n">
        <v>0.008564814814814815</v>
      </c>
      <c r="L2267" s="13" t="n"/>
    </row>
    <row r="2268">
      <c r="A2268" s="3" t="inlineStr">
        <is>
          <t>PushOff</t>
        </is>
      </c>
      <c r="B2268" s="3" t="inlineStr">
        <is>
          <t>Act_PO_10226_071347_727</t>
        </is>
      </c>
      <c r="C2268" s="3" t="inlineStr">
        <is>
          <t>10226</t>
        </is>
      </c>
      <c r="D2268" s="9" t="n">
        <v>205.5</v>
      </c>
      <c r="E2268" s="3" t="n"/>
      <c r="F2268" s="3" t="n"/>
      <c r="G2268" s="9" t="n"/>
      <c r="H2268" s="10" t="n">
        <v>45680.30123842593</v>
      </c>
      <c r="I2268" s="10" t="n">
        <v>45680.30565972222</v>
      </c>
      <c r="J2268" s="10" t="n">
        <v>45680.30565972222</v>
      </c>
      <c r="K2268" s="11" t="n">
        <v>0</v>
      </c>
      <c r="L2268" s="13" t="n"/>
    </row>
    <row r="2269">
      <c r="A2269" s="3" t="inlineStr">
        <is>
          <t>PushOff</t>
        </is>
      </c>
      <c r="B2269" s="3" t="inlineStr">
        <is>
          <t>Act_PO_10227_075142_703</t>
        </is>
      </c>
      <c r="C2269" s="3" t="inlineStr">
        <is>
          <t>10227</t>
        </is>
      </c>
      <c r="D2269" s="9" t="n">
        <v>397.3</v>
      </c>
      <c r="E2269" s="3" t="n"/>
      <c r="F2269" s="3" t="n"/>
      <c r="G2269" s="9" t="n"/>
      <c r="H2269" s="10" t="n">
        <v>45680.32756944445</v>
      </c>
      <c r="I2269" s="10" t="n">
        <v>45680.32829861111</v>
      </c>
      <c r="J2269" s="10" t="n">
        <v>45680.32829861111</v>
      </c>
      <c r="K2269" s="11" t="n">
        <v>0</v>
      </c>
      <c r="L2269" s="13" t="n"/>
    </row>
    <row r="2270">
      <c r="A2270" s="3" t="inlineStr">
        <is>
          <t>PushOff</t>
        </is>
      </c>
      <c r="B2270" s="3" t="inlineStr">
        <is>
          <t>Act_PO_10228_085313_703</t>
        </is>
      </c>
      <c r="C2270" s="3" t="inlineStr">
        <is>
          <t>10228</t>
        </is>
      </c>
      <c r="D2270" s="9" t="n">
        <v>396.5</v>
      </c>
      <c r="E2270" s="3" t="n"/>
      <c r="F2270" s="3" t="n"/>
      <c r="G2270" s="9" t="n"/>
      <c r="H2270" s="10" t="n">
        <v>45680.37028935185</v>
      </c>
      <c r="I2270" s="10" t="n">
        <v>45680.3711574074</v>
      </c>
      <c r="J2270" s="10" t="n">
        <v>45680.37564814815</v>
      </c>
      <c r="K2270" s="11" t="n">
        <v>0.00449074074074074</v>
      </c>
      <c r="L2270" s="13" t="n"/>
    </row>
    <row r="2271">
      <c r="A2271" s="3" t="inlineStr">
        <is>
          <t>PushOff</t>
        </is>
      </c>
      <c r="B2271" s="3" t="inlineStr">
        <is>
          <t>Act_PO_10229_093248_727</t>
        </is>
      </c>
      <c r="C2271" s="3" t="inlineStr">
        <is>
          <t>10229</t>
        </is>
      </c>
      <c r="D2271" s="9" t="n">
        <v>543.9</v>
      </c>
      <c r="E2271" s="3" t="n"/>
      <c r="F2271" s="3" t="n"/>
      <c r="G2271" s="9" t="n"/>
      <c r="H2271" s="10" t="n">
        <v>45680.39777777778</v>
      </c>
      <c r="I2271" s="10" t="n">
        <v>45680.39851851852</v>
      </c>
      <c r="J2271" s="10" t="n">
        <v>45680.41721064815</v>
      </c>
      <c r="K2271" s="11" t="n">
        <v>0.01869212962962963</v>
      </c>
      <c r="L2271" s="13" t="n"/>
    </row>
    <row r="2272">
      <c r="A2272" s="3" t="inlineStr">
        <is>
          <t>PushOff</t>
        </is>
      </c>
      <c r="B2272" s="3" t="inlineStr">
        <is>
          <t>Act_PO_10230_104456_703</t>
        </is>
      </c>
      <c r="C2272" s="3" t="inlineStr">
        <is>
          <t>10230</t>
        </is>
      </c>
      <c r="D2272" s="9" t="n">
        <v>448.7</v>
      </c>
      <c r="E2272" s="3" t="n"/>
      <c r="F2272" s="3" t="n"/>
      <c r="G2272" s="9" t="n"/>
      <c r="H2272" s="10" t="n">
        <v>45680.44787037037</v>
      </c>
      <c r="I2272" s="10" t="n">
        <v>45680.44863425926</v>
      </c>
      <c r="J2272" s="10" t="n">
        <v>45680.45149305555</v>
      </c>
      <c r="K2272" s="11" t="n">
        <v>0.002858796296296296</v>
      </c>
      <c r="L2272" s="13" t="n"/>
    </row>
    <row r="2273">
      <c r="A2273" s="3" t="inlineStr">
        <is>
          <t>PushOff</t>
        </is>
      </c>
      <c r="B2273" s="3" t="inlineStr">
        <is>
          <t>Act_PO_10231_143834_703</t>
        </is>
      </c>
      <c r="C2273" s="3" t="inlineStr">
        <is>
          <t>10231</t>
        </is>
      </c>
      <c r="D2273" s="9" t="n">
        <v>396.6</v>
      </c>
      <c r="E2273" s="3" t="n"/>
      <c r="F2273" s="3" t="n"/>
      <c r="G2273" s="9" t="n"/>
      <c r="H2273" s="10" t="n">
        <v>45680.61011574074</v>
      </c>
      <c r="I2273" s="10" t="n">
        <v>45680.61098379629</v>
      </c>
      <c r="J2273" s="10" t="n">
        <v>45680.61325231481</v>
      </c>
      <c r="K2273" s="11" t="n">
        <v>0.002268518518518519</v>
      </c>
      <c r="L2273" s="13" t="n"/>
    </row>
    <row r="2274">
      <c r="A2274" s="3" t="inlineStr">
        <is>
          <t>PushOff</t>
        </is>
      </c>
      <c r="B2274" s="3" t="inlineStr">
        <is>
          <t>Act_PO_10232_150130_727</t>
        </is>
      </c>
      <c r="C2274" s="3" t="inlineStr">
        <is>
          <t>10232</t>
        </is>
      </c>
      <c r="D2274" s="9" t="n">
        <v>318.4</v>
      </c>
      <c r="E2274" s="3" t="n"/>
      <c r="F2274" s="3" t="n"/>
      <c r="G2274" s="9" t="n"/>
      <c r="H2274" s="10" t="n">
        <v>45680.62604166667</v>
      </c>
      <c r="I2274" s="10" t="n">
        <v>45680.62690972222</v>
      </c>
      <c r="J2274" s="10" t="n">
        <v>45680.63822916667</v>
      </c>
      <c r="K2274" s="11" t="n">
        <v>0.01131944444444444</v>
      </c>
      <c r="L2274" s="13" t="n"/>
    </row>
    <row r="2275">
      <c r="A2275" s="3" t="inlineStr">
        <is>
          <t>PushOff</t>
        </is>
      </c>
      <c r="B2275" s="3" t="inlineStr">
        <is>
          <t>Act_PO_10233_153329_703</t>
        </is>
      </c>
      <c r="C2275" s="3" t="inlineStr">
        <is>
          <t>10233</t>
        </is>
      </c>
      <c r="D2275" s="9" t="n">
        <v>94.40000000000001</v>
      </c>
      <c r="E2275" s="3" t="n"/>
      <c r="F2275" s="3" t="n"/>
      <c r="G2275" s="9" t="n"/>
      <c r="H2275" s="10" t="n">
        <v>45680.64825231482</v>
      </c>
      <c r="I2275" s="10" t="n">
        <v>45680.64903935185</v>
      </c>
      <c r="J2275" s="10" t="n">
        <v>45680.64903935185</v>
      </c>
      <c r="K2275" s="11" t="n">
        <v>0</v>
      </c>
      <c r="L2275" s="13" t="n"/>
    </row>
    <row r="2276">
      <c r="A2276" s="3" t="inlineStr">
        <is>
          <t>PushOff</t>
        </is>
      </c>
      <c r="B2276" s="3" t="inlineStr">
        <is>
          <t>Act_PO_10234_155245_703</t>
        </is>
      </c>
      <c r="C2276" s="3" t="inlineStr">
        <is>
          <t>10234</t>
        </is>
      </c>
      <c r="D2276" s="9" t="n">
        <v>144.4</v>
      </c>
      <c r="E2276" s="3" t="n"/>
      <c r="F2276" s="3" t="n"/>
      <c r="G2276" s="9" t="n"/>
      <c r="H2276" s="10" t="n">
        <v>45680.66163194444</v>
      </c>
      <c r="I2276" s="10" t="n">
        <v>45680.6625</v>
      </c>
      <c r="J2276" s="10" t="n">
        <v>45680.6625</v>
      </c>
      <c r="K2276" s="11" t="n">
        <v>0</v>
      </c>
      <c r="L2276" s="13" t="n"/>
    </row>
    <row r="2277">
      <c r="A2277" s="3" t="inlineStr">
        <is>
          <t>PushOff</t>
        </is>
      </c>
      <c r="B2277" s="3" t="inlineStr">
        <is>
          <t>Act_PO_10235_172757_703</t>
        </is>
      </c>
      <c r="C2277" s="3" t="inlineStr">
        <is>
          <t>10235</t>
        </is>
      </c>
      <c r="D2277" s="9" t="n">
        <v>331.3</v>
      </c>
      <c r="E2277" s="3" t="n"/>
      <c r="F2277" s="3" t="n"/>
      <c r="G2277" s="9" t="n"/>
      <c r="H2277" s="10" t="n">
        <v>45680.72774305556</v>
      </c>
      <c r="I2277" s="10" t="n">
        <v>45680.72853009259</v>
      </c>
      <c r="J2277" s="10" t="n">
        <v>45680.74832175926</v>
      </c>
      <c r="K2277" s="11" t="n">
        <v>0.01979166666666667</v>
      </c>
      <c r="L2277" s="13" t="n"/>
    </row>
    <row r="2278">
      <c r="A2278" s="3" t="inlineStr">
        <is>
          <t>PushOff</t>
        </is>
      </c>
      <c r="B2278" s="3" t="inlineStr">
        <is>
          <t>Act_PO_10236_174226_731</t>
        </is>
      </c>
      <c r="C2278" s="3" t="inlineStr">
        <is>
          <t>10236</t>
        </is>
      </c>
      <c r="D2278" s="9" t="n">
        <v>54.7</v>
      </c>
      <c r="E2278" s="3" t="n"/>
      <c r="F2278" s="3" t="n"/>
      <c r="G2278" s="9" t="n"/>
      <c r="H2278" s="10" t="n">
        <v>45680.73780092593</v>
      </c>
      <c r="I2278" s="10" t="n">
        <v>45680.74918981481</v>
      </c>
      <c r="J2278" s="10" t="n">
        <v>45680.75112268519</v>
      </c>
      <c r="K2278" s="11" t="n">
        <v>0.00193287037037037</v>
      </c>
      <c r="L2278" s="13" t="n"/>
    </row>
    <row r="2279">
      <c r="A2279" s="3" t="inlineStr">
        <is>
          <t>PushOff</t>
        </is>
      </c>
      <c r="B2279" s="3" t="inlineStr">
        <is>
          <t>Act_PO_10237_210511_703</t>
        </is>
      </c>
      <c r="C2279" s="3" t="inlineStr">
        <is>
          <t>10237</t>
        </is>
      </c>
      <c r="D2279" s="9" t="n">
        <v>85.5</v>
      </c>
      <c r="E2279" s="3" t="n"/>
      <c r="F2279" s="3" t="n"/>
      <c r="G2279" s="9" t="n"/>
      <c r="H2279" s="10" t="n">
        <v>45680.87859953703</v>
      </c>
      <c r="I2279" s="10" t="n">
        <v>45680.87946759259</v>
      </c>
      <c r="J2279" s="10" t="n">
        <v>45680.88112268518</v>
      </c>
      <c r="K2279" s="11" t="n">
        <v>0.001655092592592593</v>
      </c>
      <c r="L2279" s="13" t="n"/>
    </row>
    <row r="2280">
      <c r="A2280" s="3" t="inlineStr">
        <is>
          <t>PushOff</t>
        </is>
      </c>
      <c r="B2280" s="3" t="inlineStr">
        <is>
          <t>Act_PO_10238_025513_703</t>
        </is>
      </c>
      <c r="C2280" s="3" t="inlineStr">
        <is>
          <t>10238</t>
        </is>
      </c>
      <c r="D2280" s="9" t="n">
        <v>295.2</v>
      </c>
      <c r="E2280" s="3" t="n"/>
      <c r="F2280" s="3" t="n"/>
      <c r="G2280" s="9" t="n"/>
      <c r="H2280" s="10" t="n">
        <v>45681.12167824074</v>
      </c>
      <c r="I2280" s="10" t="n">
        <v>45681.12246527777</v>
      </c>
      <c r="J2280" s="10" t="n">
        <v>45681.13111111111</v>
      </c>
      <c r="K2280" s="11" t="n">
        <v>0.008645833333333333</v>
      </c>
      <c r="L2280" s="13" t="n"/>
    </row>
    <row r="2281">
      <c r="A2281" s="3" t="inlineStr">
        <is>
          <t>PushOff</t>
        </is>
      </c>
      <c r="B2281" s="3" t="inlineStr">
        <is>
          <t>Act_PO_10239_043949_703</t>
        </is>
      </c>
      <c r="C2281" s="3" t="inlineStr">
        <is>
          <t>10239</t>
        </is>
      </c>
      <c r="D2281" s="9" t="n">
        <v>118.2</v>
      </c>
      <c r="E2281" s="3" t="n"/>
      <c r="F2281" s="3" t="n"/>
      <c r="G2281" s="9" t="n"/>
      <c r="H2281" s="10" t="n">
        <v>45681.19431712963</v>
      </c>
      <c r="I2281" s="10" t="n">
        <v>45681.19518518518</v>
      </c>
      <c r="J2281" s="10" t="n">
        <v>45681.19717592592</v>
      </c>
      <c r="K2281" s="11" t="n">
        <v>0.001990740740740741</v>
      </c>
      <c r="L2281" s="13" t="n"/>
    </row>
    <row r="2282">
      <c r="A2282" s="3" t="inlineStr">
        <is>
          <t>PushOff</t>
        </is>
      </c>
      <c r="B2282" s="3" t="inlineStr">
        <is>
          <t>Act_PO_10240_062135_703</t>
        </is>
      </c>
      <c r="C2282" s="3" t="inlineStr">
        <is>
          <t>10240</t>
        </is>
      </c>
      <c r="D2282" s="9" t="n">
        <v>297</v>
      </c>
      <c r="E2282" s="3" t="n"/>
      <c r="F2282" s="3" t="n"/>
      <c r="G2282" s="9" t="n"/>
      <c r="H2282" s="10" t="n">
        <v>45681.26498842592</v>
      </c>
      <c r="I2282" s="10" t="n">
        <v>45681.26577546296</v>
      </c>
      <c r="J2282" s="10" t="n">
        <v>45681.26759259259</v>
      </c>
      <c r="K2282" s="11" t="n">
        <v>0.00181712962962963</v>
      </c>
      <c r="L2282" s="13" t="n"/>
    </row>
    <row r="2283">
      <c r="A2283" s="3" t="inlineStr">
        <is>
          <t>PushOff</t>
        </is>
      </c>
      <c r="B2283" s="3" t="inlineStr">
        <is>
          <t>Act_PO_10241_070622_703</t>
        </is>
      </c>
      <c r="C2283" s="3" t="inlineStr">
        <is>
          <t>10241</t>
        </is>
      </c>
      <c r="D2283" s="9" t="n">
        <v>240.4</v>
      </c>
      <c r="E2283" s="3" t="n"/>
      <c r="F2283" s="3" t="n"/>
      <c r="G2283" s="9" t="n"/>
      <c r="H2283" s="10" t="n">
        <v>45681.29608796296</v>
      </c>
      <c r="I2283" s="10" t="n">
        <v>45681.29695601852</v>
      </c>
      <c r="J2283" s="10" t="n">
        <v>45681.29920138889</v>
      </c>
      <c r="K2283" s="11" t="n">
        <v>0.00224537037037037</v>
      </c>
      <c r="L2283" s="13" t="n"/>
    </row>
    <row r="2284">
      <c r="A2284" s="3" t="inlineStr">
        <is>
          <t>PushOff</t>
        </is>
      </c>
      <c r="B2284" s="3" t="inlineStr">
        <is>
          <t>Act_PO_10243_072911_727</t>
        </is>
      </c>
      <c r="C2284" s="3" t="inlineStr">
        <is>
          <t>10243</t>
        </is>
      </c>
      <c r="D2284" s="9" t="n">
        <v>390.5</v>
      </c>
      <c r="E2284" s="3" t="n"/>
      <c r="F2284" s="3" t="n"/>
      <c r="G2284" s="9" t="n"/>
      <c r="H2284" s="10" t="n">
        <v>45681.31193287037</v>
      </c>
      <c r="I2284" s="10" t="n">
        <v>45681.3128125</v>
      </c>
      <c r="J2284" s="10" t="n">
        <v>45681.3128125</v>
      </c>
      <c r="K2284" s="11" t="n">
        <v>0</v>
      </c>
      <c r="L2284" s="13" t="n"/>
    </row>
    <row r="2285">
      <c r="A2285" s="3" t="inlineStr">
        <is>
          <t>PushOff</t>
        </is>
      </c>
      <c r="B2285" s="3" t="inlineStr">
        <is>
          <t>Act_PO_10242_074040_703</t>
        </is>
      </c>
      <c r="C2285" s="3" t="inlineStr">
        <is>
          <t>10242</t>
        </is>
      </c>
      <c r="D2285" s="9" t="n">
        <v>406.2</v>
      </c>
      <c r="E2285" s="3" t="n"/>
      <c r="F2285" s="3" t="n"/>
      <c r="G2285" s="9" t="n"/>
      <c r="H2285" s="10" t="n">
        <v>45681.31990740741</v>
      </c>
      <c r="I2285" s="10" t="n">
        <v>45681.32078703704</v>
      </c>
      <c r="J2285" s="10" t="n">
        <v>45681.33050925926</v>
      </c>
      <c r="K2285" s="11" t="n">
        <v>0.009722222222222222</v>
      </c>
      <c r="L2285" s="13" t="n"/>
    </row>
    <row r="2286">
      <c r="A2286" s="3" t="inlineStr">
        <is>
          <t>PushOff</t>
        </is>
      </c>
      <c r="B2286" s="3" t="inlineStr">
        <is>
          <t>Act_PO_10244_085549_703</t>
        </is>
      </c>
      <c r="C2286" s="3" t="inlineStr">
        <is>
          <t>10244</t>
        </is>
      </c>
      <c r="D2286" s="9" t="n">
        <v>147.8</v>
      </c>
      <c r="E2286" s="3" t="n"/>
      <c r="F2286" s="3" t="n"/>
      <c r="G2286" s="9" t="n"/>
      <c r="H2286" s="10" t="n">
        <v>45681.3720949074</v>
      </c>
      <c r="I2286" s="10" t="n">
        <v>45681.37297453704</v>
      </c>
      <c r="J2286" s="10" t="n">
        <v>45681.37631944445</v>
      </c>
      <c r="K2286" s="11" t="n">
        <v>0.003344907407407408</v>
      </c>
      <c r="L2286" s="13" t="n"/>
    </row>
    <row r="2287">
      <c r="A2287" s="3" t="inlineStr">
        <is>
          <t>PushOff</t>
        </is>
      </c>
      <c r="B2287" s="3" t="inlineStr">
        <is>
          <t>Act_PO_10245_092127_727</t>
        </is>
      </c>
      <c r="C2287" s="3" t="inlineStr">
        <is>
          <t>10245</t>
        </is>
      </c>
      <c r="D2287" s="9" t="n">
        <v>318.8</v>
      </c>
      <c r="E2287" s="3" t="n"/>
      <c r="F2287" s="3" t="n"/>
      <c r="G2287" s="9" t="n"/>
      <c r="H2287" s="10" t="n">
        <v>45681.38989583333</v>
      </c>
      <c r="I2287" s="10" t="n">
        <v>45681.39076388889</v>
      </c>
      <c r="J2287" s="10" t="n">
        <v>45681.39903935185</v>
      </c>
      <c r="K2287" s="11" t="n">
        <v>0.008275462962962964</v>
      </c>
      <c r="L2287" s="13" t="n"/>
    </row>
    <row r="2288">
      <c r="A2288" s="3" t="inlineStr">
        <is>
          <t>PushOff</t>
        </is>
      </c>
      <c r="B2288" s="3" t="inlineStr">
        <is>
          <t>Act_PO_10246_100609_703</t>
        </is>
      </c>
      <c r="C2288" s="3" t="inlineStr">
        <is>
          <t>10246</t>
        </is>
      </c>
      <c r="D2288" s="9" t="n">
        <v>437.5</v>
      </c>
      <c r="E2288" s="3" t="n"/>
      <c r="F2288" s="3" t="n"/>
      <c r="G2288" s="9" t="n"/>
      <c r="H2288" s="10" t="n">
        <v>45681.4209375</v>
      </c>
      <c r="I2288" s="10" t="n">
        <v>45681.42180555555</v>
      </c>
      <c r="J2288" s="10" t="n">
        <v>45681.4230787037</v>
      </c>
      <c r="K2288" s="11" t="n">
        <v>0.001273148148148148</v>
      </c>
      <c r="L2288" s="13" t="n"/>
    </row>
    <row r="2289">
      <c r="A2289" s="3" t="inlineStr">
        <is>
          <t>PushOff</t>
        </is>
      </c>
      <c r="B2289" s="3" t="inlineStr">
        <is>
          <t>Act_PO_10247_130951_703</t>
        </is>
      </c>
      <c r="C2289" s="3" t="inlineStr">
        <is>
          <t>10247</t>
        </is>
      </c>
      <c r="D2289" s="9" t="n">
        <v>177.5</v>
      </c>
      <c r="E2289" s="3" t="n"/>
      <c r="F2289" s="3" t="n"/>
      <c r="G2289" s="9" t="n"/>
      <c r="H2289" s="10" t="n">
        <v>45681.54850694445</v>
      </c>
      <c r="I2289" s="10" t="n">
        <v>45681.54938657407</v>
      </c>
      <c r="J2289" s="10" t="n">
        <v>45681.55148148148</v>
      </c>
      <c r="K2289" s="11" t="n">
        <v>0.002094907407407407</v>
      </c>
      <c r="L2289" s="13" t="n"/>
    </row>
    <row r="2290">
      <c r="A2290" s="3" t="inlineStr">
        <is>
          <t>PushOff</t>
        </is>
      </c>
      <c r="B2290" s="3" t="inlineStr">
        <is>
          <t>Act_PO_10248_143838_703</t>
        </is>
      </c>
      <c r="C2290" s="3" t="inlineStr">
        <is>
          <t>10248</t>
        </is>
      </c>
      <c r="D2290" s="9" t="n">
        <v>296.1</v>
      </c>
      <c r="E2290" s="3" t="n"/>
      <c r="F2290" s="3" t="n"/>
      <c r="G2290" s="9" t="n"/>
      <c r="H2290" s="10" t="n">
        <v>45681.61016203704</v>
      </c>
      <c r="I2290" s="10" t="n">
        <v>45681.61103009259</v>
      </c>
      <c r="J2290" s="10" t="n">
        <v>45681.61363425926</v>
      </c>
      <c r="K2290" s="11" t="n">
        <v>0.002604166666666667</v>
      </c>
      <c r="L2290" s="13" t="n"/>
    </row>
    <row r="2291">
      <c r="A2291" s="3" t="inlineStr">
        <is>
          <t>PushOff</t>
        </is>
      </c>
      <c r="B2291" s="3" t="inlineStr">
        <is>
          <t>Act_PO_10249_151528_703</t>
        </is>
      </c>
      <c r="C2291" s="3" t="inlineStr">
        <is>
          <t>10249</t>
        </is>
      </c>
      <c r="D2291" s="9" t="n">
        <v>313</v>
      </c>
      <c r="E2291" s="3" t="n"/>
      <c r="F2291" s="3" t="n"/>
      <c r="G2291" s="9" t="n"/>
      <c r="H2291" s="10" t="n">
        <v>45681.63574074074</v>
      </c>
      <c r="I2291" s="10" t="n">
        <v>45681.63652777778</v>
      </c>
      <c r="J2291" s="10" t="n">
        <v>45681.64881944445</v>
      </c>
      <c r="K2291" s="11" t="n">
        <v>0.01229166666666667</v>
      </c>
      <c r="L2291" s="13" t="n"/>
    </row>
    <row r="2292">
      <c r="A2292" s="3" t="inlineStr">
        <is>
          <t>PushOff</t>
        </is>
      </c>
      <c r="B2292" s="3" t="inlineStr">
        <is>
          <t>Act_PO_10250_151706_731</t>
        </is>
      </c>
      <c r="C2292" s="3" t="inlineStr">
        <is>
          <t>10250</t>
        </is>
      </c>
      <c r="D2292" s="9" t="n">
        <v>15.7</v>
      </c>
      <c r="E2292" s="3" t="n"/>
      <c r="F2292" s="3" t="n"/>
      <c r="G2292" s="9" t="n"/>
      <c r="H2292" s="10" t="n">
        <v>45681.636875</v>
      </c>
      <c r="I2292" s="10" t="n">
        <v>45681.64969907407</v>
      </c>
      <c r="J2292" s="10" t="n">
        <v>45681.64969907407</v>
      </c>
      <c r="K2292" s="11" t="n">
        <v>0</v>
      </c>
      <c r="L2292" s="13" t="n"/>
    </row>
    <row r="2293">
      <c r="A2293" s="3" t="inlineStr">
        <is>
          <t>PushOff</t>
        </is>
      </c>
      <c r="B2293" s="3" t="inlineStr">
        <is>
          <t>Act_PO_10252_173735_727</t>
        </is>
      </c>
      <c r="C2293" s="3" t="inlineStr">
        <is>
          <t>10252</t>
        </is>
      </c>
      <c r="D2293" s="9" t="n">
        <v>134.7</v>
      </c>
      <c r="E2293" s="3" t="n"/>
      <c r="F2293" s="3" t="n"/>
      <c r="G2293" s="9" t="n"/>
      <c r="H2293" s="10" t="n">
        <v>45681.73443287037</v>
      </c>
      <c r="I2293" s="10" t="n">
        <v>45681.73530092592</v>
      </c>
      <c r="J2293" s="10" t="n">
        <v>45681.73693287037</v>
      </c>
      <c r="K2293" s="11" t="n">
        <v>0.001631944444444445</v>
      </c>
      <c r="L2293" s="13" t="n"/>
    </row>
    <row r="2294">
      <c r="A2294" s="3" t="inlineStr">
        <is>
          <t>PushOff</t>
        </is>
      </c>
      <c r="B2294" s="3" t="inlineStr">
        <is>
          <t>Act_PO_10251_173847_703</t>
        </is>
      </c>
      <c r="C2294" s="3" t="inlineStr">
        <is>
          <t>10251</t>
        </is>
      </c>
      <c r="D2294" s="9" t="n">
        <v>232.4</v>
      </c>
      <c r="E2294" s="3" t="n"/>
      <c r="F2294" s="3" t="n"/>
      <c r="G2294" s="9" t="n"/>
      <c r="H2294" s="10" t="n">
        <v>45681.7352662037</v>
      </c>
      <c r="I2294" s="10" t="n">
        <v>45681.7378125</v>
      </c>
      <c r="J2294" s="10" t="n">
        <v>45681.74026620371</v>
      </c>
      <c r="K2294" s="11" t="n">
        <v>0.002453703703703704</v>
      </c>
      <c r="L2294" s="13" t="n"/>
    </row>
    <row r="2295">
      <c r="A2295" s="3" t="inlineStr">
        <is>
          <t>PushOff</t>
        </is>
      </c>
      <c r="B2295" s="3" t="inlineStr">
        <is>
          <t>Act_PO_10253_015757_727</t>
        </is>
      </c>
      <c r="C2295" s="3" t="inlineStr">
        <is>
          <t>10253</t>
        </is>
      </c>
      <c r="D2295" s="9" t="n">
        <v>582.5</v>
      </c>
      <c r="E2295" s="3" t="n"/>
      <c r="F2295" s="3" t="n"/>
      <c r="G2295" s="9" t="n"/>
      <c r="H2295" s="10" t="n">
        <v>45682.08190972222</v>
      </c>
      <c r="I2295" s="10" t="n">
        <v>45682.08277777778</v>
      </c>
      <c r="J2295" s="10" t="n">
        <v>45682.08873842593</v>
      </c>
      <c r="K2295" s="11" t="n">
        <v>0.005960648148148148</v>
      </c>
      <c r="L2295" s="13" t="n"/>
    </row>
    <row r="2296">
      <c r="A2296" s="3" t="inlineStr">
        <is>
          <t>PushOff</t>
        </is>
      </c>
      <c r="B2296" s="3" t="inlineStr">
        <is>
          <t>Act_PO_10254_180308_727</t>
        </is>
      </c>
      <c r="C2296" s="3" t="inlineStr">
        <is>
          <t>10254</t>
        </is>
      </c>
      <c r="D2296" s="9" t="n">
        <v>560</v>
      </c>
      <c r="E2296" s="3" t="n"/>
      <c r="F2296" s="3" t="n"/>
      <c r="G2296" s="9" t="n"/>
      <c r="H2296" s="10" t="n">
        <v>45683.75217592593</v>
      </c>
      <c r="I2296" s="10" t="n">
        <v>45683.75304398148</v>
      </c>
      <c r="J2296" s="10" t="n">
        <v>45683.75886574074</v>
      </c>
      <c r="K2296" s="11" t="n">
        <v>0.005821759259259259</v>
      </c>
      <c r="L2296" s="13" t="n"/>
    </row>
    <row r="2297">
      <c r="A2297" s="3" t="inlineStr">
        <is>
          <t>PushOff</t>
        </is>
      </c>
      <c r="B2297" s="3" t="inlineStr">
        <is>
          <t>Act_PO_10255_025026_703</t>
        </is>
      </c>
      <c r="C2297" s="3" t="inlineStr">
        <is>
          <t>10255</t>
        </is>
      </c>
      <c r="D2297" s="9" t="n">
        <v>259</v>
      </c>
      <c r="E2297" s="3" t="n"/>
      <c r="F2297" s="3" t="n"/>
      <c r="G2297" s="9" t="n"/>
      <c r="H2297" s="10" t="n">
        <v>45684.11835648148</v>
      </c>
      <c r="I2297" s="10" t="n">
        <v>45684.11922453704</v>
      </c>
      <c r="J2297" s="10" t="n">
        <v>45684.12677083333</v>
      </c>
      <c r="K2297" s="11" t="n">
        <v>0.007546296296296297</v>
      </c>
      <c r="L2297" s="13" t="n"/>
    </row>
    <row r="2298">
      <c r="A2298" s="3" t="inlineStr">
        <is>
          <t>PushOff</t>
        </is>
      </c>
      <c r="B2298" s="3" t="inlineStr">
        <is>
          <t>Act_PO_10256_044217_703</t>
        </is>
      </c>
      <c r="C2298" s="3" t="inlineStr">
        <is>
          <t>10256</t>
        </is>
      </c>
      <c r="D2298" s="9" t="n">
        <v>298.2</v>
      </c>
      <c r="E2298" s="3" t="n"/>
      <c r="F2298" s="3" t="n"/>
      <c r="G2298" s="9" t="n"/>
      <c r="H2298" s="10" t="n">
        <v>45684.19603009259</v>
      </c>
      <c r="I2298" s="10" t="n">
        <v>45684.19689814815</v>
      </c>
      <c r="J2298" s="10" t="n">
        <v>45684.19871527778</v>
      </c>
      <c r="K2298" s="11" t="n">
        <v>0.00181712962962963</v>
      </c>
      <c r="L2298" s="13" t="n"/>
    </row>
    <row r="2299">
      <c r="A2299" s="3" t="inlineStr">
        <is>
          <t>PushOff</t>
        </is>
      </c>
      <c r="B2299" s="3" t="inlineStr">
        <is>
          <t>Act_PO_10257_064500_703</t>
        </is>
      </c>
      <c r="C2299" s="3" t="inlineStr">
        <is>
          <t>10257</t>
        </is>
      </c>
      <c r="D2299" s="9" t="n">
        <v>284.8</v>
      </c>
      <c r="E2299" s="3" t="n"/>
      <c r="F2299" s="3" t="n"/>
      <c r="G2299" s="9" t="n"/>
      <c r="H2299" s="10" t="n">
        <v>45684.28125</v>
      </c>
      <c r="I2299" s="10" t="n">
        <v>45684.28211805555</v>
      </c>
      <c r="J2299" s="10" t="n">
        <v>45684.28449074074</v>
      </c>
      <c r="K2299" s="11" t="n">
        <v>0.002372685185185185</v>
      </c>
      <c r="L2299" s="13" t="n"/>
    </row>
    <row r="2300">
      <c r="A2300" s="3" t="inlineStr">
        <is>
          <t>PushOff</t>
        </is>
      </c>
      <c r="B2300" s="3" t="inlineStr">
        <is>
          <t>Act_PO_10258_073148_727</t>
        </is>
      </c>
      <c r="C2300" s="3" t="inlineStr">
        <is>
          <t>10258</t>
        </is>
      </c>
      <c r="D2300" s="9" t="n">
        <v>589.2</v>
      </c>
      <c r="E2300" s="3" t="n"/>
      <c r="F2300" s="3" t="n"/>
      <c r="G2300" s="9" t="n"/>
      <c r="H2300" s="10" t="n">
        <v>45684.31375</v>
      </c>
      <c r="I2300" s="10" t="n">
        <v>45684.31454861111</v>
      </c>
      <c r="J2300" s="10" t="n">
        <v>45684.32141203704</v>
      </c>
      <c r="K2300" s="11" t="n">
        <v>0.006863425925925926</v>
      </c>
      <c r="L2300" s="13" t="n"/>
    </row>
    <row r="2301">
      <c r="A2301" s="3" t="inlineStr">
        <is>
          <t>PushOff</t>
        </is>
      </c>
      <c r="B2301" s="3" t="inlineStr">
        <is>
          <t>Act_PO_10259_073706_703</t>
        </is>
      </c>
      <c r="C2301" s="3" t="inlineStr">
        <is>
          <t>10259</t>
        </is>
      </c>
      <c r="D2301" s="9" t="n">
        <v>253.6</v>
      </c>
      <c r="E2301" s="3" t="n"/>
      <c r="F2301" s="3" t="n"/>
      <c r="G2301" s="9" t="n"/>
      <c r="H2301" s="10" t="n">
        <v>45684.31743055556</v>
      </c>
      <c r="I2301" s="10" t="n">
        <v>45684.32229166666</v>
      </c>
      <c r="J2301" s="10" t="n">
        <v>45684.32229166666</v>
      </c>
      <c r="K2301" s="11" t="n">
        <v>0</v>
      </c>
      <c r="L2301" s="13" t="n"/>
    </row>
    <row r="2302">
      <c r="A2302" s="3" t="inlineStr">
        <is>
          <t>PushOff</t>
        </is>
      </c>
      <c r="B2302" s="3" t="inlineStr">
        <is>
          <t>Act_PO_10260_080524_703</t>
        </is>
      </c>
      <c r="C2302" s="3" t="inlineStr">
        <is>
          <t>10260</t>
        </is>
      </c>
      <c r="D2302" s="9" t="n">
        <v>389.1</v>
      </c>
      <c r="E2302" s="3" t="n"/>
      <c r="F2302" s="3" t="n"/>
      <c r="G2302" s="9" t="n"/>
      <c r="H2302" s="10" t="n">
        <v>45684.33708333333</v>
      </c>
      <c r="I2302" s="10" t="n">
        <v>45684.33795138889</v>
      </c>
      <c r="J2302" s="10" t="n">
        <v>45684.33795138889</v>
      </c>
      <c r="K2302" s="11" t="n">
        <v>0</v>
      </c>
      <c r="L2302" s="13" t="n"/>
    </row>
    <row r="2303">
      <c r="A2303" s="3" t="inlineStr">
        <is>
          <t>PushOff</t>
        </is>
      </c>
      <c r="B2303" s="3" t="inlineStr">
        <is>
          <t>Act_PO_10262_084209_703</t>
        </is>
      </c>
      <c r="C2303" s="3" t="inlineStr">
        <is>
          <t>10262</t>
        </is>
      </c>
      <c r="D2303" s="9" t="n">
        <v>390.5</v>
      </c>
      <c r="E2303" s="3" t="n"/>
      <c r="F2303" s="3" t="n"/>
      <c r="G2303" s="9" t="n"/>
      <c r="H2303" s="10" t="n">
        <v>45684.36260416666</v>
      </c>
      <c r="I2303" s="10" t="n">
        <v>45684.36347222222</v>
      </c>
      <c r="J2303" s="10" t="n">
        <v>45684.36347222222</v>
      </c>
      <c r="K2303" s="11" t="n">
        <v>0</v>
      </c>
      <c r="L2303" s="13" t="n"/>
    </row>
    <row r="2304">
      <c r="A2304" s="3" t="inlineStr">
        <is>
          <t>PushOff</t>
        </is>
      </c>
      <c r="B2304" s="3" t="inlineStr">
        <is>
          <t>Act_PO_10261_085954_727</t>
        </is>
      </c>
      <c r="C2304" s="3" t="inlineStr">
        <is>
          <t>10261</t>
        </is>
      </c>
      <c r="D2304" s="9" t="n">
        <v>586.7</v>
      </c>
      <c r="E2304" s="3" t="n"/>
      <c r="F2304" s="3" t="n"/>
      <c r="G2304" s="9" t="n"/>
      <c r="H2304" s="10" t="n">
        <v>45684.37493055555</v>
      </c>
      <c r="I2304" s="10" t="n">
        <v>45684.37579861111</v>
      </c>
      <c r="J2304" s="10" t="n">
        <v>45684.39085648148</v>
      </c>
      <c r="K2304" s="11" t="n">
        <v>0.01505787037037037</v>
      </c>
      <c r="L2304" s="13" t="n"/>
    </row>
    <row r="2305">
      <c r="A2305" s="3" t="inlineStr">
        <is>
          <t>PushOff</t>
        </is>
      </c>
      <c r="B2305" s="3" t="inlineStr">
        <is>
          <t>Act_PO_10263_104344_703</t>
        </is>
      </c>
      <c r="C2305" s="3" t="inlineStr">
        <is>
          <t>10263</t>
        </is>
      </c>
      <c r="D2305" s="9" t="n">
        <v>435.5</v>
      </c>
      <c r="E2305" s="3" t="n"/>
      <c r="F2305" s="3" t="n"/>
      <c r="G2305" s="9" t="n"/>
      <c r="H2305" s="10" t="n">
        <v>45684.44703703704</v>
      </c>
      <c r="I2305" s="10" t="n">
        <v>45684.44790509259</v>
      </c>
      <c r="J2305" s="10" t="n">
        <v>45684.45202546296</v>
      </c>
      <c r="K2305" s="11" t="n">
        <v>0.004120370370370371</v>
      </c>
      <c r="L2305" s="13" t="n"/>
    </row>
    <row r="2306">
      <c r="A2306" s="3" t="inlineStr">
        <is>
          <t>PushOff</t>
        </is>
      </c>
      <c r="B2306" s="3" t="inlineStr">
        <is>
          <t>Act_PO_10264_125040_703</t>
        </is>
      </c>
      <c r="C2306" s="3" t="inlineStr">
        <is>
          <t>10264</t>
        </is>
      </c>
      <c r="D2306" s="9" t="n">
        <v>212.1</v>
      </c>
      <c r="E2306" s="3" t="n"/>
      <c r="F2306" s="3" t="n"/>
      <c r="G2306" s="9" t="n"/>
      <c r="H2306" s="10" t="n">
        <v>45684.53518518519</v>
      </c>
      <c r="I2306" s="10" t="n">
        <v>45684.53606481481</v>
      </c>
      <c r="J2306" s="10" t="n">
        <v>45684.53824074074</v>
      </c>
      <c r="K2306" s="11" t="n">
        <v>0.002175925925925926</v>
      </c>
      <c r="L2306" s="13" t="n"/>
    </row>
    <row r="2307">
      <c r="A2307" s="3" t="inlineStr">
        <is>
          <t>PushOff</t>
        </is>
      </c>
      <c r="B2307" s="3" t="inlineStr">
        <is>
          <t>Act_PO_10265_143224_703</t>
        </is>
      </c>
      <c r="C2307" s="3" t="inlineStr">
        <is>
          <t>10265</t>
        </is>
      </c>
      <c r="D2307" s="9" t="n">
        <v>381.6</v>
      </c>
      <c r="E2307" s="3" t="n"/>
      <c r="F2307" s="3" t="n"/>
      <c r="G2307" s="9" t="n"/>
      <c r="H2307" s="10" t="n">
        <v>45684.60583333333</v>
      </c>
      <c r="I2307" s="10" t="n">
        <v>45684.60670138889</v>
      </c>
      <c r="J2307" s="10" t="n">
        <v>45684.60950231482</v>
      </c>
      <c r="K2307" s="11" t="n">
        <v>0.002800925925925926</v>
      </c>
      <c r="L2307" s="13" t="n"/>
    </row>
    <row r="2308">
      <c r="A2308" s="3" t="inlineStr">
        <is>
          <t>PushOff</t>
        </is>
      </c>
      <c r="B2308" s="3" t="inlineStr">
        <is>
          <t>Act_PO_10266_153159_731</t>
        </is>
      </c>
      <c r="C2308" s="3" t="inlineStr">
        <is>
          <t>10266</t>
        </is>
      </c>
      <c r="D2308" s="9" t="n">
        <v>15.7</v>
      </c>
      <c r="E2308" s="3" t="n"/>
      <c r="F2308" s="3" t="n"/>
      <c r="G2308" s="9" t="n"/>
      <c r="H2308" s="10" t="n">
        <v>45684.64721064815</v>
      </c>
      <c r="I2308" s="10" t="n">
        <v>45684.64809027778</v>
      </c>
      <c r="J2308" s="10" t="n">
        <v>45684.65017361111</v>
      </c>
      <c r="K2308" s="11" t="n">
        <v>0.002083333333333333</v>
      </c>
      <c r="L2308" s="13" t="n"/>
    </row>
    <row r="2309">
      <c r="A2309" s="3" t="inlineStr">
        <is>
          <t>PushOff</t>
        </is>
      </c>
      <c r="B2309" s="3" t="inlineStr">
        <is>
          <t>Act_PO_10267_160759_703</t>
        </is>
      </c>
      <c r="C2309" s="3" t="inlineStr">
        <is>
          <t>10267</t>
        </is>
      </c>
      <c r="D2309" s="9" t="n">
        <v>383.1</v>
      </c>
      <c r="E2309" s="3" t="n"/>
      <c r="F2309" s="3" t="n"/>
      <c r="G2309" s="9" t="n"/>
      <c r="H2309" s="10" t="n">
        <v>45684.67221064815</v>
      </c>
      <c r="I2309" s="10" t="n">
        <v>45684.6730787037</v>
      </c>
      <c r="J2309" s="10" t="n">
        <v>45684.67765046296</v>
      </c>
      <c r="K2309" s="11" t="n">
        <v>0.004571759259259259</v>
      </c>
      <c r="L2309" s="13" t="n"/>
    </row>
    <row r="2310">
      <c r="A2310" s="3" t="inlineStr">
        <is>
          <t>PushOff</t>
        </is>
      </c>
      <c r="B2310" s="3" t="inlineStr">
        <is>
          <t>Act_PO_10268_174115_703</t>
        </is>
      </c>
      <c r="C2310" s="3" t="inlineStr">
        <is>
          <t>10268</t>
        </is>
      </c>
      <c r="D2310" s="9" t="n">
        <v>232.4</v>
      </c>
      <c r="E2310" s="3" t="n"/>
      <c r="F2310" s="3" t="n"/>
      <c r="G2310" s="9" t="n"/>
      <c r="H2310" s="10" t="n">
        <v>45684.73697916666</v>
      </c>
      <c r="I2310" s="10" t="n">
        <v>45684.73784722222</v>
      </c>
      <c r="J2310" s="10" t="n">
        <v>45684.7397337963</v>
      </c>
      <c r="K2310" s="11" t="n">
        <v>0.001886574074074074</v>
      </c>
      <c r="L2310" s="13" t="n"/>
    </row>
    <row r="2311">
      <c r="A2311" s="3" t="inlineStr">
        <is>
          <t>PushOff</t>
        </is>
      </c>
      <c r="B2311" s="3" t="inlineStr">
        <is>
          <t>Act_PO_10269_175541_727</t>
        </is>
      </c>
      <c r="C2311" s="3" t="inlineStr">
        <is>
          <t>10269</t>
        </is>
      </c>
      <c r="D2311" s="9" t="n">
        <v>446</v>
      </c>
      <c r="E2311" s="3" t="n"/>
      <c r="F2311" s="3" t="n"/>
      <c r="G2311" s="9" t="n"/>
      <c r="H2311" s="10" t="n">
        <v>45684.74700231481</v>
      </c>
      <c r="I2311" s="10" t="n">
        <v>45684.74787037037</v>
      </c>
      <c r="J2311" s="10" t="n">
        <v>45684.75385416667</v>
      </c>
      <c r="K2311" s="11" t="n">
        <v>0.005983796296296296</v>
      </c>
      <c r="L2311" s="13" t="n"/>
    </row>
    <row r="2312">
      <c r="A2312" s="3" t="inlineStr">
        <is>
          <t>PushOff</t>
        </is>
      </c>
      <c r="B2312" s="3" t="inlineStr">
        <is>
          <t>Act_PO_10270_211042_703</t>
        </is>
      </c>
      <c r="C2312" s="3" t="inlineStr">
        <is>
          <t>10270</t>
        </is>
      </c>
      <c r="D2312" s="9" t="n">
        <v>397.3</v>
      </c>
      <c r="E2312" s="3" t="n"/>
      <c r="F2312" s="3" t="n"/>
      <c r="G2312" s="9" t="n"/>
      <c r="H2312" s="10" t="n">
        <v>45684.88243055555</v>
      </c>
      <c r="I2312" s="10" t="n">
        <v>45684.88331018519</v>
      </c>
      <c r="J2312" s="10" t="n">
        <v>45684.88546296296</v>
      </c>
      <c r="K2312" s="11" t="n">
        <v>0.002152777777777778</v>
      </c>
      <c r="L2312" s="13" t="n"/>
    </row>
    <row r="2313">
      <c r="A2313" s="3" t="inlineStr">
        <is>
          <t>PushOff</t>
        </is>
      </c>
      <c r="B2313" s="3" t="inlineStr">
        <is>
          <t>Act_PO_10271_030350_703</t>
        </is>
      </c>
      <c r="C2313" s="3" t="inlineStr">
        <is>
          <t>10271</t>
        </is>
      </c>
      <c r="D2313" s="9" t="n">
        <v>145.7</v>
      </c>
      <c r="E2313" s="3" t="n"/>
      <c r="F2313" s="3" t="n"/>
      <c r="G2313" s="9" t="n"/>
      <c r="H2313" s="10" t="n">
        <v>45685.12766203703</v>
      </c>
      <c r="I2313" s="10" t="n">
        <v>45685.1285300926</v>
      </c>
      <c r="J2313" s="10" t="n">
        <v>45685.13381944445</v>
      </c>
      <c r="K2313" s="11" t="n">
        <v>0.005289351851851852</v>
      </c>
      <c r="L2313" s="13" t="n"/>
    </row>
    <row r="2314">
      <c r="A2314" s="3" t="inlineStr">
        <is>
          <t>PushOff</t>
        </is>
      </c>
      <c r="B2314" s="3" t="inlineStr">
        <is>
          <t>Act_PO_10272_063945_703</t>
        </is>
      </c>
      <c r="C2314" s="3" t="inlineStr">
        <is>
          <t>10272</t>
        </is>
      </c>
      <c r="D2314" s="9" t="n">
        <v>297</v>
      </c>
      <c r="E2314" s="3" t="n"/>
      <c r="F2314" s="3" t="n"/>
      <c r="G2314" s="9" t="n"/>
      <c r="H2314" s="10" t="n">
        <v>45685.27760416667</v>
      </c>
      <c r="I2314" s="10" t="n">
        <v>45685.2784837963</v>
      </c>
      <c r="J2314" s="10" t="n">
        <v>45685.28075231481</v>
      </c>
      <c r="K2314" s="11" t="n">
        <v>0.002268518518518519</v>
      </c>
      <c r="L2314" s="13" t="n"/>
    </row>
    <row r="2315">
      <c r="A2315" s="3" t="inlineStr">
        <is>
          <t>PushOff</t>
        </is>
      </c>
      <c r="B2315" s="3" t="inlineStr">
        <is>
          <t>Act_PO_10273_073158_703</t>
        </is>
      </c>
      <c r="C2315" s="3" t="inlineStr">
        <is>
          <t>10273</t>
        </is>
      </c>
      <c r="D2315" s="9" t="n">
        <v>299.9</v>
      </c>
      <c r="E2315" s="3" t="n"/>
      <c r="F2315" s="3" t="n"/>
      <c r="G2315" s="9" t="n"/>
      <c r="H2315" s="10" t="n">
        <v>45685.31386574074</v>
      </c>
      <c r="I2315" s="10" t="n">
        <v>45685.31473379629</v>
      </c>
      <c r="J2315" s="10" t="n">
        <v>45685.32399305556</v>
      </c>
      <c r="K2315" s="11" t="n">
        <v>0.009259259259259259</v>
      </c>
      <c r="L2315" s="13" t="n"/>
    </row>
    <row r="2316">
      <c r="A2316" s="3" t="inlineStr">
        <is>
          <t>PushOff</t>
        </is>
      </c>
      <c r="B2316" s="3" t="inlineStr">
        <is>
          <t>Act_PO_10274_073931_727</t>
        </is>
      </c>
      <c r="C2316" s="3" t="inlineStr">
        <is>
          <t>10274</t>
        </is>
      </c>
      <c r="D2316" s="9" t="n">
        <v>157.5</v>
      </c>
      <c r="E2316" s="3" t="n"/>
      <c r="F2316" s="3" t="n"/>
      <c r="G2316" s="9" t="n"/>
      <c r="H2316" s="10" t="n">
        <v>45685.3191087963</v>
      </c>
      <c r="I2316" s="10" t="n">
        <v>45685.32478009259</v>
      </c>
      <c r="J2316" s="10" t="n">
        <v>45685.32478009259</v>
      </c>
      <c r="K2316" s="11" t="n">
        <v>0</v>
      </c>
      <c r="L2316" s="13" t="n"/>
    </row>
    <row r="2317">
      <c r="A2317" s="3" t="inlineStr">
        <is>
          <t>PushOff</t>
        </is>
      </c>
      <c r="B2317" s="3" t="inlineStr">
        <is>
          <t>Act_PO_10275_075311_725</t>
        </is>
      </c>
      <c r="C2317" s="3" t="inlineStr">
        <is>
          <t>10275</t>
        </is>
      </c>
      <c r="D2317" s="9" t="n">
        <v>398</v>
      </c>
      <c r="E2317" s="3" t="n"/>
      <c r="F2317" s="3" t="n"/>
      <c r="G2317" s="9" t="n"/>
      <c r="H2317" s="10" t="n">
        <v>45685.32859953704</v>
      </c>
      <c r="I2317" s="10" t="n">
        <v>45685.32946759259</v>
      </c>
      <c r="J2317" s="10" t="n">
        <v>45685.32946759259</v>
      </c>
      <c r="K2317" s="11" t="n">
        <v>0</v>
      </c>
      <c r="L2317" s="13" t="n"/>
    </row>
    <row r="2318">
      <c r="A2318" s="3" t="inlineStr">
        <is>
          <t>PushOff</t>
        </is>
      </c>
      <c r="B2318" s="3" t="inlineStr">
        <is>
          <t>Act_PO_10277_091636_703</t>
        </is>
      </c>
      <c r="C2318" s="3" t="inlineStr">
        <is>
          <t>10277</t>
        </is>
      </c>
      <c r="D2318" s="9" t="n">
        <v>222.8</v>
      </c>
      <c r="E2318" s="3" t="n"/>
      <c r="F2318" s="3" t="n"/>
      <c r="G2318" s="9" t="n"/>
      <c r="H2318" s="10" t="n">
        <v>45685.38652777778</v>
      </c>
      <c r="I2318" s="10" t="n">
        <v>45685.38739583334</v>
      </c>
      <c r="J2318" s="10" t="n">
        <v>45685.39171296296</v>
      </c>
      <c r="K2318" s="11" t="n">
        <v>0.00431712962962963</v>
      </c>
      <c r="L2318" s="13" t="n"/>
    </row>
    <row r="2319">
      <c r="A2319" s="3" t="inlineStr">
        <is>
          <t>PushOff</t>
        </is>
      </c>
      <c r="B2319" s="3" t="inlineStr">
        <is>
          <t>Act_PO_10276_092000_727</t>
        </is>
      </c>
      <c r="C2319" s="3" t="inlineStr">
        <is>
          <t>10276</t>
        </is>
      </c>
      <c r="D2319" s="9" t="n">
        <v>584.2</v>
      </c>
      <c r="E2319" s="3" t="n"/>
      <c r="F2319" s="3" t="n"/>
      <c r="G2319" s="9" t="n"/>
      <c r="H2319" s="10" t="n">
        <v>45685.38888888889</v>
      </c>
      <c r="I2319" s="10" t="n">
        <v>45685.39259259259</v>
      </c>
      <c r="J2319" s="10" t="n">
        <v>45685.41163194444</v>
      </c>
      <c r="K2319" s="11" t="n">
        <v>0.01903935185185185</v>
      </c>
      <c r="L2319" s="13" t="n"/>
    </row>
    <row r="2320">
      <c r="A2320" s="3" t="inlineStr">
        <is>
          <t>PushOff</t>
        </is>
      </c>
      <c r="B2320" s="3" t="inlineStr">
        <is>
          <t>Act_PO_10278_104325_703</t>
        </is>
      </c>
      <c r="C2320" s="3" t="inlineStr">
        <is>
          <t>10278</t>
        </is>
      </c>
      <c r="D2320" s="9" t="n">
        <v>273</v>
      </c>
      <c r="E2320" s="3" t="n"/>
      <c r="F2320" s="3" t="n"/>
      <c r="G2320" s="9" t="n"/>
      <c r="H2320" s="10" t="n">
        <v>45685.44681712963</v>
      </c>
      <c r="I2320" s="10" t="n">
        <v>45685.44758101852</v>
      </c>
      <c r="J2320" s="10" t="n">
        <v>45685.45369212963</v>
      </c>
      <c r="K2320" s="11" t="n">
        <v>0.006111111111111111</v>
      </c>
      <c r="L2320" s="13" t="n"/>
    </row>
    <row r="2321">
      <c r="A2321" s="3" t="inlineStr">
        <is>
          <t>PushOff</t>
        </is>
      </c>
      <c r="B2321" s="3" t="inlineStr">
        <is>
          <t>Act_PO_10279_130601_703</t>
        </is>
      </c>
      <c r="C2321" s="3" t="inlineStr">
        <is>
          <t>10279</t>
        </is>
      </c>
      <c r="D2321" s="9" t="n">
        <v>291.9</v>
      </c>
      <c r="E2321" s="3" t="n"/>
      <c r="F2321" s="3" t="n"/>
      <c r="G2321" s="9" t="n"/>
      <c r="H2321" s="10" t="n">
        <v>45685.54584490741</v>
      </c>
      <c r="I2321" s="10" t="n">
        <v>45685.54671296296</v>
      </c>
      <c r="J2321" s="10" t="n">
        <v>45685.54851851852</v>
      </c>
      <c r="K2321" s="11" t="n">
        <v>0.001805555555555555</v>
      </c>
      <c r="L2321" s="13" t="n"/>
    </row>
    <row r="2322">
      <c r="A2322" s="3" t="inlineStr">
        <is>
          <t>PushOff</t>
        </is>
      </c>
      <c r="B2322" s="3" t="inlineStr">
        <is>
          <t>Act_PO_10280_142722_703</t>
        </is>
      </c>
      <c r="C2322" s="3" t="inlineStr">
        <is>
          <t>10280</t>
        </is>
      </c>
      <c r="D2322" s="9" t="n">
        <v>389.8</v>
      </c>
      <c r="E2322" s="3" t="n"/>
      <c r="F2322" s="3" t="n"/>
      <c r="G2322" s="9" t="n"/>
      <c r="H2322" s="10" t="n">
        <v>45685.60233796296</v>
      </c>
      <c r="I2322" s="10" t="n">
        <v>45685.60310185186</v>
      </c>
      <c r="J2322" s="10" t="n">
        <v>45685.60599537037</v>
      </c>
      <c r="K2322" s="11" t="n">
        <v>0.002893518518518518</v>
      </c>
      <c r="L2322" s="13" t="n"/>
    </row>
    <row r="2323">
      <c r="A2323" s="3" t="inlineStr">
        <is>
          <t>PushOff</t>
        </is>
      </c>
      <c r="B2323" s="3" t="inlineStr">
        <is>
          <t>Act_PO_10281_145224_727</t>
        </is>
      </c>
      <c r="C2323" s="3" t="inlineStr">
        <is>
          <t>10281</t>
        </is>
      </c>
      <c r="D2323" s="9" t="n">
        <v>558.1</v>
      </c>
      <c r="E2323" s="3" t="n"/>
      <c r="F2323" s="3" t="n"/>
      <c r="G2323" s="9" t="n"/>
      <c r="H2323" s="10" t="n">
        <v>45685.61972222223</v>
      </c>
      <c r="I2323" s="10" t="n">
        <v>45685.62048611111</v>
      </c>
      <c r="J2323" s="10" t="n">
        <v>45685.6322337963</v>
      </c>
      <c r="K2323" s="11" t="n">
        <v>0.01174768518518519</v>
      </c>
      <c r="L2323" s="13" t="n"/>
    </row>
    <row r="2324">
      <c r="A2324" s="3" t="inlineStr">
        <is>
          <t>PushOff</t>
        </is>
      </c>
      <c r="B2324" s="3" t="inlineStr">
        <is>
          <t>Act_PO_10282_153706_731</t>
        </is>
      </c>
      <c r="C2324" s="3" t="inlineStr">
        <is>
          <t>10282</t>
        </is>
      </c>
      <c r="D2324" s="9" t="n">
        <v>31.5</v>
      </c>
      <c r="E2324" s="3" t="n"/>
      <c r="F2324" s="3" t="n"/>
      <c r="G2324" s="9" t="n"/>
      <c r="H2324" s="10" t="n">
        <v>45685.65076388889</v>
      </c>
      <c r="I2324" s="10" t="n">
        <v>45685.65163194444</v>
      </c>
      <c r="J2324" s="10" t="n">
        <v>45685.65163194444</v>
      </c>
      <c r="K2324" s="11" t="n">
        <v>0</v>
      </c>
      <c r="L2324" s="13" t="n"/>
    </row>
    <row r="2325">
      <c r="A2325" s="3" t="inlineStr">
        <is>
          <t>PushOff</t>
        </is>
      </c>
      <c r="B2325" s="3" t="inlineStr">
        <is>
          <t>Act_PO_10283_193821_703</t>
        </is>
      </c>
      <c r="C2325" s="3" t="inlineStr">
        <is>
          <t>10283</t>
        </is>
      </c>
      <c r="D2325" s="9" t="n">
        <v>232.7</v>
      </c>
      <c r="E2325" s="3" t="n"/>
      <c r="F2325" s="3" t="n"/>
      <c r="G2325" s="9" t="n"/>
      <c r="H2325" s="10" t="n">
        <v>45685.81829861111</v>
      </c>
      <c r="I2325" s="10" t="n">
        <v>45685.81916666667</v>
      </c>
      <c r="J2325" s="10" t="n">
        <v>45685.82138888889</v>
      </c>
      <c r="K2325" s="11" t="n">
        <v>0.002222222222222222</v>
      </c>
      <c r="L2325" s="13" t="n"/>
    </row>
    <row r="2326">
      <c r="A2326" s="3" t="inlineStr">
        <is>
          <t>PushOff</t>
        </is>
      </c>
      <c r="B2326" s="3" t="inlineStr">
        <is>
          <t>Act_PO_10284_211045_703</t>
        </is>
      </c>
      <c r="C2326" s="3" t="inlineStr">
        <is>
          <t>10284</t>
        </is>
      </c>
      <c r="D2326" s="9" t="n">
        <v>397.3</v>
      </c>
      <c r="E2326" s="3" t="n"/>
      <c r="F2326" s="3" t="n"/>
      <c r="G2326" s="9" t="n"/>
      <c r="H2326" s="10" t="n">
        <v>45685.88246527778</v>
      </c>
      <c r="I2326" s="10" t="n">
        <v>45685.88334490741</v>
      </c>
      <c r="J2326" s="10" t="n">
        <v>45685.88561342593</v>
      </c>
      <c r="K2326" s="11" t="n">
        <v>0.002268518518518519</v>
      </c>
      <c r="L2326" s="13" t="n"/>
    </row>
    <row r="2327">
      <c r="A2327" s="3" t="inlineStr">
        <is>
          <t>PushOff</t>
        </is>
      </c>
      <c r="B2327" s="3" t="inlineStr">
        <is>
          <t>Act_PO_10285_025755_703</t>
        </is>
      </c>
      <c r="C2327" s="3" t="inlineStr">
        <is>
          <t>10285</t>
        </is>
      </c>
      <c r="D2327" s="9" t="n">
        <v>260.3</v>
      </c>
      <c r="E2327" s="3" t="n"/>
      <c r="F2327" s="3" t="n"/>
      <c r="G2327" s="9" t="n"/>
      <c r="H2327" s="10" t="n">
        <v>45686.12355324074</v>
      </c>
      <c r="I2327" s="10" t="n">
        <v>45686.1244212963</v>
      </c>
      <c r="J2327" s="10" t="n">
        <v>45686.13181712963</v>
      </c>
      <c r="K2327" s="11" t="n">
        <v>0.007395833333333333</v>
      </c>
      <c r="L2327" s="13" t="n"/>
    </row>
    <row r="2328">
      <c r="A2328" s="3" t="inlineStr">
        <is>
          <t>PushOff</t>
        </is>
      </c>
      <c r="B2328" s="3" t="inlineStr">
        <is>
          <t>Act_PO_10286_042624_703</t>
        </is>
      </c>
      <c r="C2328" s="3" t="inlineStr">
        <is>
          <t>10286</t>
        </is>
      </c>
      <c r="D2328" s="9" t="n">
        <v>106.9</v>
      </c>
      <c r="E2328" s="3" t="n"/>
      <c r="F2328" s="3" t="n"/>
      <c r="G2328" s="9" t="n"/>
      <c r="H2328" s="10" t="n">
        <v>45686.185</v>
      </c>
      <c r="I2328" s="10" t="n">
        <v>45686.18587962963</v>
      </c>
      <c r="J2328" s="10" t="n">
        <v>45686.18737268518</v>
      </c>
      <c r="K2328" s="11" t="n">
        <v>0.001493055555555556</v>
      </c>
      <c r="L2328" s="13" t="n"/>
    </row>
    <row r="2329">
      <c r="A2329" s="3" t="inlineStr">
        <is>
          <t>PushOff</t>
        </is>
      </c>
      <c r="B2329" s="3" t="inlineStr">
        <is>
          <t>Act_PO_10287_062510_703</t>
        </is>
      </c>
      <c r="C2329" s="3" t="inlineStr">
        <is>
          <t>10287</t>
        </is>
      </c>
      <c r="D2329" s="9" t="n">
        <v>297</v>
      </c>
      <c r="E2329" s="3" t="n"/>
      <c r="F2329" s="3" t="n"/>
      <c r="G2329" s="9" t="n"/>
      <c r="H2329" s="10" t="n">
        <v>45686.26747685186</v>
      </c>
      <c r="I2329" s="10" t="n">
        <v>45686.26834490741</v>
      </c>
      <c r="J2329" s="10" t="n">
        <v>45686.27061342593</v>
      </c>
      <c r="K2329" s="11" t="n">
        <v>0.002268518518518519</v>
      </c>
      <c r="L2329" s="13" t="n"/>
    </row>
    <row r="2330">
      <c r="A2330" s="3" t="inlineStr">
        <is>
          <t>PushOff</t>
        </is>
      </c>
      <c r="B2330" s="3" t="inlineStr">
        <is>
          <t>Act_PO_10288_072824_703</t>
        </is>
      </c>
      <c r="C2330" s="3" t="inlineStr">
        <is>
          <t>10288</t>
        </is>
      </c>
      <c r="D2330" s="9" t="n">
        <v>397.3</v>
      </c>
      <c r="E2330" s="3" t="n"/>
      <c r="F2330" s="3" t="n"/>
      <c r="G2330" s="9" t="n"/>
      <c r="H2330" s="10" t="n">
        <v>45686.31138888889</v>
      </c>
      <c r="I2330" s="10" t="n">
        <v>45686.31226851852</v>
      </c>
      <c r="J2330" s="10" t="n">
        <v>45686.31510416666</v>
      </c>
      <c r="K2330" s="11" t="n">
        <v>0.002835648148148148</v>
      </c>
      <c r="L2330" s="13" t="n"/>
    </row>
    <row r="2331">
      <c r="A2331" s="3" t="inlineStr">
        <is>
          <t>PushOff</t>
        </is>
      </c>
      <c r="B2331" s="3" t="inlineStr">
        <is>
          <t>Act_PO_10289_073659_727</t>
        </is>
      </c>
      <c r="C2331" s="3" t="inlineStr">
        <is>
          <t>10289</t>
        </is>
      </c>
      <c r="D2331" s="9" t="n">
        <v>129.3</v>
      </c>
      <c r="E2331" s="3" t="n"/>
      <c r="F2331" s="3" t="n"/>
      <c r="G2331" s="9" t="n"/>
      <c r="H2331" s="10" t="n">
        <v>45686.31734953704</v>
      </c>
      <c r="I2331" s="10" t="n">
        <v>45686.31822916667</v>
      </c>
      <c r="J2331" s="10" t="n">
        <v>45686.32038194445</v>
      </c>
      <c r="K2331" s="11" t="n">
        <v>0.002152777777777778</v>
      </c>
      <c r="L2331" s="13" t="n"/>
    </row>
    <row r="2332">
      <c r="A2332" s="3" t="inlineStr">
        <is>
          <t>PushOff</t>
        </is>
      </c>
      <c r="B2332" s="3" t="inlineStr">
        <is>
          <t>Act_PO_10290_082729_703</t>
        </is>
      </c>
      <c r="C2332" s="3" t="inlineStr">
        <is>
          <t>10290</t>
        </is>
      </c>
      <c r="D2332" s="9" t="n">
        <v>79.5</v>
      </c>
      <c r="E2332" s="3" t="n"/>
      <c r="F2332" s="3" t="n"/>
      <c r="G2332" s="9" t="n"/>
      <c r="H2332" s="10" t="n">
        <v>45686.35241898148</v>
      </c>
      <c r="I2332" s="10" t="n">
        <v>45686.35329861111</v>
      </c>
      <c r="J2332" s="10" t="n">
        <v>45686.35652777777</v>
      </c>
      <c r="K2332" s="11" t="n">
        <v>0.003229166666666667</v>
      </c>
      <c r="L2332" s="13" t="n"/>
    </row>
    <row r="2333">
      <c r="A2333" s="3" t="inlineStr">
        <is>
          <t>PushOff</t>
        </is>
      </c>
      <c r="B2333" s="3" t="inlineStr">
        <is>
          <t>Act_PO_10291_092745_703</t>
        </is>
      </c>
      <c r="C2333" s="3" t="inlineStr">
        <is>
          <t>10291</t>
        </is>
      </c>
      <c r="D2333" s="9" t="n">
        <v>436</v>
      </c>
      <c r="E2333" s="3" t="n"/>
      <c r="F2333" s="3" t="n"/>
      <c r="G2333" s="9" t="n"/>
      <c r="H2333" s="10" t="n">
        <v>45686.39427083333</v>
      </c>
      <c r="I2333" s="10" t="n">
        <v>45686.39513888889</v>
      </c>
      <c r="J2333" s="10" t="n">
        <v>45686.40734953704</v>
      </c>
      <c r="K2333" s="11" t="n">
        <v>0.01221064814814815</v>
      </c>
      <c r="L2333" s="13" t="n"/>
    </row>
    <row r="2334">
      <c r="A2334" s="3" t="inlineStr">
        <is>
          <t>PushOff</t>
        </is>
      </c>
      <c r="B2334" s="3" t="inlineStr">
        <is>
          <t>Act_PO_10292_104103_703</t>
        </is>
      </c>
      <c r="C2334" s="3" t="inlineStr">
        <is>
          <t>10292</t>
        </is>
      </c>
      <c r="D2334" s="9" t="n">
        <v>241.3</v>
      </c>
      <c r="E2334" s="3" t="n"/>
      <c r="F2334" s="3" t="n"/>
      <c r="G2334" s="9" t="n"/>
      <c r="H2334" s="10" t="n">
        <v>45686.44517361111</v>
      </c>
      <c r="I2334" s="10" t="n">
        <v>45686.44605324074</v>
      </c>
      <c r="J2334" s="10" t="n">
        <v>45686.44965277778</v>
      </c>
      <c r="K2334" s="11" t="n">
        <v>0.003599537037037037</v>
      </c>
      <c r="L2334" s="13" t="n"/>
    </row>
    <row r="2335">
      <c r="A2335" s="3" t="inlineStr">
        <is>
          <t>PushOff</t>
        </is>
      </c>
      <c r="B2335" s="3" t="inlineStr">
        <is>
          <t>Act_PO_10293_131426_703</t>
        </is>
      </c>
      <c r="C2335" s="3" t="inlineStr">
        <is>
          <t>10293</t>
        </is>
      </c>
      <c r="D2335" s="9" t="n">
        <v>259.7</v>
      </c>
      <c r="E2335" s="3" t="n"/>
      <c r="F2335" s="3" t="n"/>
      <c r="G2335" s="9" t="n"/>
      <c r="H2335" s="10" t="n">
        <v>45686.55168981481</v>
      </c>
      <c r="I2335" s="10" t="n">
        <v>45686.55255787037</v>
      </c>
      <c r="J2335" s="10" t="n">
        <v>45686.55428240741</v>
      </c>
      <c r="K2335" s="11" t="n">
        <v>0.001724537037037037</v>
      </c>
      <c r="L2335" s="13" t="n"/>
    </row>
    <row r="2336">
      <c r="A2336" s="3" t="inlineStr">
        <is>
          <t>PushOff</t>
        </is>
      </c>
      <c r="B2336" s="3" t="inlineStr">
        <is>
          <t>Act_PO_10294_144051_703</t>
        </is>
      </c>
      <c r="C2336" s="3" t="inlineStr">
        <is>
          <t>10294</t>
        </is>
      </c>
      <c r="D2336" s="9" t="n">
        <v>398</v>
      </c>
      <c r="E2336" s="3" t="n"/>
      <c r="F2336" s="3" t="n"/>
      <c r="G2336" s="9" t="n"/>
      <c r="H2336" s="10" t="n">
        <v>45686.61170138889</v>
      </c>
      <c r="I2336" s="10" t="n">
        <v>45686.61258101852</v>
      </c>
      <c r="J2336" s="10" t="n">
        <v>45686.61462962963</v>
      </c>
      <c r="K2336" s="11" t="n">
        <v>0.002048611111111111</v>
      </c>
      <c r="L2336" s="13" t="n"/>
    </row>
    <row r="2337">
      <c r="A2337" s="3" t="inlineStr">
        <is>
          <t>PushOff</t>
        </is>
      </c>
      <c r="B2337" s="3" t="inlineStr">
        <is>
          <t>Act_PO_10295_151834_703</t>
        </is>
      </c>
      <c r="C2337" s="3" t="inlineStr">
        <is>
          <t>10295</t>
        </is>
      </c>
      <c r="D2337" s="9" t="n">
        <v>504.1</v>
      </c>
      <c r="E2337" s="3" t="n"/>
      <c r="F2337" s="3" t="n"/>
      <c r="G2337" s="9" t="n"/>
      <c r="H2337" s="10" t="n">
        <v>45686.63789351852</v>
      </c>
      <c r="I2337" s="10" t="n">
        <v>45686.63876157408</v>
      </c>
      <c r="J2337" s="10" t="n">
        <v>45686.65472222222</v>
      </c>
      <c r="K2337" s="11" t="n">
        <v>0.01596064814814815</v>
      </c>
      <c r="L2337" s="13" t="n"/>
    </row>
    <row r="2338">
      <c r="A2338" s="3" t="inlineStr">
        <is>
          <t>PushOff</t>
        </is>
      </c>
      <c r="B2338" s="3" t="inlineStr">
        <is>
          <t>Act_PO_10296_155417_731</t>
        </is>
      </c>
      <c r="C2338" s="3" t="inlineStr">
        <is>
          <t>10296</t>
        </is>
      </c>
      <c r="D2338" s="9" t="n">
        <v>15.7</v>
      </c>
      <c r="E2338" s="3" t="n"/>
      <c r="F2338" s="3" t="n"/>
      <c r="G2338" s="9" t="n"/>
      <c r="H2338" s="10" t="n">
        <v>45686.66269675926</v>
      </c>
      <c r="I2338" s="10" t="n">
        <v>45686.6634837963</v>
      </c>
      <c r="J2338" s="10" t="n">
        <v>45686.6634837963</v>
      </c>
      <c r="K2338" s="11" t="n">
        <v>0</v>
      </c>
      <c r="L2338" s="13" t="n"/>
    </row>
    <row r="2339">
      <c r="A2339" s="3" t="inlineStr">
        <is>
          <t>PushOff</t>
        </is>
      </c>
      <c r="B2339" s="3" t="inlineStr">
        <is>
          <t>Act_PO_10297_173933_703</t>
        </is>
      </c>
      <c r="C2339" s="3" t="inlineStr">
        <is>
          <t>10297</t>
        </is>
      </c>
      <c r="D2339" s="9" t="n">
        <v>302.1</v>
      </c>
      <c r="E2339" s="3" t="n"/>
      <c r="F2339" s="3" t="n"/>
      <c r="G2339" s="9" t="n"/>
      <c r="H2339" s="10" t="n">
        <v>45686.73579861111</v>
      </c>
      <c r="I2339" s="10" t="n">
        <v>45686.73666666666</v>
      </c>
      <c r="J2339" s="10" t="n">
        <v>45686.73849537037</v>
      </c>
      <c r="K2339" s="11" t="n">
        <v>0.001828703703703704</v>
      </c>
      <c r="L2339" s="13" t="n"/>
    </row>
    <row r="2340">
      <c r="A2340" s="3" t="inlineStr">
        <is>
          <t>PushOff</t>
        </is>
      </c>
      <c r="B2340" s="3" t="inlineStr">
        <is>
          <t>Act_PO_10298_180325_727</t>
        </is>
      </c>
      <c r="C2340" s="3" t="inlineStr">
        <is>
          <t>10298</t>
        </is>
      </c>
      <c r="D2340" s="9" t="n">
        <v>377.4</v>
      </c>
      <c r="E2340" s="3" t="n"/>
      <c r="F2340" s="3" t="n"/>
      <c r="G2340" s="9" t="n"/>
      <c r="H2340" s="10" t="n">
        <v>45686.75237268519</v>
      </c>
      <c r="I2340" s="10" t="n">
        <v>45686.75324074074</v>
      </c>
      <c r="J2340" s="10" t="n">
        <v>45686.77116898148</v>
      </c>
      <c r="K2340" s="11" t="n">
        <v>0.01792824074074074</v>
      </c>
      <c r="L2340" s="13" t="n"/>
    </row>
    <row r="2341">
      <c r="A2341" s="3" t="inlineStr">
        <is>
          <t>PushOff</t>
        </is>
      </c>
      <c r="B2341" s="3" t="inlineStr">
        <is>
          <t>Act_PO_10299_205803_703</t>
        </is>
      </c>
      <c r="C2341" s="3" t="inlineStr">
        <is>
          <t>10299</t>
        </is>
      </c>
      <c r="D2341" s="9" t="n">
        <v>380.8</v>
      </c>
      <c r="E2341" s="3" t="n"/>
      <c r="F2341" s="3" t="n"/>
      <c r="G2341" s="9" t="n"/>
      <c r="H2341" s="10" t="n">
        <v>45686.87364583334</v>
      </c>
      <c r="I2341" s="10" t="n">
        <v>45686.87451388889</v>
      </c>
      <c r="J2341" s="10" t="n">
        <v>45686.87708333333</v>
      </c>
      <c r="K2341" s="11" t="n">
        <v>0.002569444444444445</v>
      </c>
      <c r="L2341" s="13" t="n"/>
    </row>
    <row r="2342">
      <c r="A2342" s="3" t="inlineStr">
        <is>
          <t>PushOff</t>
        </is>
      </c>
      <c r="B2342" s="3" t="inlineStr">
        <is>
          <t>Act_PO_10300_025607_703</t>
        </is>
      </c>
      <c r="C2342" s="3" t="inlineStr">
        <is>
          <t>10300</t>
        </is>
      </c>
      <c r="D2342" s="9" t="n">
        <v>136.9</v>
      </c>
      <c r="E2342" s="3" t="n"/>
      <c r="F2342" s="3" t="n"/>
      <c r="G2342" s="9" t="n"/>
      <c r="H2342" s="10" t="n">
        <v>45687.12230324074</v>
      </c>
      <c r="I2342" s="10" t="n">
        <v>45687.1231712963</v>
      </c>
      <c r="J2342" s="10" t="n">
        <v>45687.13140046296</v>
      </c>
      <c r="K2342" s="11" t="n">
        <v>0.008229166666666666</v>
      </c>
      <c r="L2342" s="13" t="n"/>
    </row>
    <row r="2343">
      <c r="A2343" s="3" t="inlineStr">
        <is>
          <t>PushOff</t>
        </is>
      </c>
      <c r="B2343" s="3" t="inlineStr">
        <is>
          <t>Act_PO_10301_062804_703</t>
        </is>
      </c>
      <c r="C2343" s="3" t="inlineStr">
        <is>
          <t>10301</t>
        </is>
      </c>
      <c r="D2343" s="9" t="n">
        <v>297</v>
      </c>
      <c r="E2343" s="3" t="n"/>
      <c r="F2343" s="3" t="n"/>
      <c r="G2343" s="9" t="n"/>
      <c r="H2343" s="10" t="n">
        <v>45687.26949074074</v>
      </c>
      <c r="I2343" s="10" t="n">
        <v>45687.2703587963</v>
      </c>
      <c r="J2343" s="10" t="n">
        <v>45687.27228009259</v>
      </c>
      <c r="K2343" s="11" t="n">
        <v>0.001921296296296296</v>
      </c>
      <c r="L2343" s="13" t="n"/>
    </row>
    <row r="2344">
      <c r="A2344" s="3" t="inlineStr">
        <is>
          <t>PushOff</t>
        </is>
      </c>
      <c r="B2344" s="3" t="inlineStr">
        <is>
          <t>Act_PO_10302_070655_703</t>
        </is>
      </c>
      <c r="C2344" s="3" t="inlineStr">
        <is>
          <t>10302</t>
        </is>
      </c>
      <c r="D2344" s="9" t="n">
        <v>336.5</v>
      </c>
      <c r="E2344" s="3" t="n"/>
      <c r="F2344" s="3" t="n"/>
      <c r="G2344" s="9" t="n"/>
      <c r="H2344" s="10" t="n">
        <v>45687.29646990741</v>
      </c>
      <c r="I2344" s="10" t="n">
        <v>45687.29734953704</v>
      </c>
      <c r="J2344" s="10" t="n">
        <v>45687.29734953704</v>
      </c>
      <c r="K2344" s="11" t="n">
        <v>0</v>
      </c>
      <c r="L2344" s="13" t="n"/>
    </row>
    <row r="2345">
      <c r="A2345" s="3" t="inlineStr">
        <is>
          <t>PushOff</t>
        </is>
      </c>
      <c r="B2345" s="3" t="inlineStr">
        <is>
          <t>Act_PO_10303_074509_725</t>
        </is>
      </c>
      <c r="C2345" s="3" t="inlineStr">
        <is>
          <t>10303</t>
        </is>
      </c>
      <c r="D2345" s="9" t="n">
        <v>598.9</v>
      </c>
      <c r="E2345" s="3" t="n"/>
      <c r="F2345" s="3" t="n"/>
      <c r="G2345" s="9" t="n"/>
      <c r="H2345" s="10" t="n">
        <v>45687.32302083333</v>
      </c>
      <c r="I2345" s="10" t="n">
        <v>45687.32388888889</v>
      </c>
      <c r="J2345" s="10" t="n">
        <v>45687.3394212963</v>
      </c>
      <c r="K2345" s="11" t="n">
        <v>0.01553240740740741</v>
      </c>
      <c r="L2345" s="13" t="n"/>
    </row>
    <row r="2346">
      <c r="A2346" s="3" t="inlineStr">
        <is>
          <t>PushOff</t>
        </is>
      </c>
      <c r="B2346" s="3" t="inlineStr">
        <is>
          <t>Act_PO_10304_080355_703</t>
        </is>
      </c>
      <c r="C2346" s="3" t="inlineStr">
        <is>
          <t>10304</t>
        </is>
      </c>
      <c r="D2346" s="9" t="n">
        <v>380.8</v>
      </c>
      <c r="E2346" s="3" t="n"/>
      <c r="F2346" s="3" t="n"/>
      <c r="G2346" s="9" t="n"/>
      <c r="H2346" s="10" t="n">
        <v>45687.33605324074</v>
      </c>
      <c r="I2346" s="10" t="n">
        <v>45687.34030092593</v>
      </c>
      <c r="J2346" s="10" t="n">
        <v>45687.34275462963</v>
      </c>
      <c r="K2346" s="11" t="n">
        <v>0.002453703703703704</v>
      </c>
      <c r="L2346" s="13" t="n"/>
    </row>
    <row r="2347">
      <c r="A2347" s="3" t="inlineStr">
        <is>
          <t>PushOff</t>
        </is>
      </c>
      <c r="B2347" s="3" t="inlineStr">
        <is>
          <t>Act_PO_10305_083440_703</t>
        </is>
      </c>
      <c r="C2347" s="3" t="inlineStr">
        <is>
          <t>10305</t>
        </is>
      </c>
      <c r="D2347" s="9" t="n">
        <v>213.1</v>
      </c>
      <c r="E2347" s="3" t="n"/>
      <c r="F2347" s="3" t="n"/>
      <c r="G2347" s="9" t="n"/>
      <c r="H2347" s="10" t="n">
        <v>45687.35740740741</v>
      </c>
      <c r="I2347" s="10" t="n">
        <v>45687.35827546296</v>
      </c>
      <c r="J2347" s="10" t="n">
        <v>45687.36032407408</v>
      </c>
      <c r="K2347" s="11" t="n">
        <v>0.002048611111111111</v>
      </c>
      <c r="L2347" s="13" t="n"/>
    </row>
    <row r="2348">
      <c r="A2348" s="3" t="inlineStr">
        <is>
          <t>PushOff</t>
        </is>
      </c>
      <c r="B2348" s="3" t="inlineStr">
        <is>
          <t>Act_PO_10306_092635_703</t>
        </is>
      </c>
      <c r="C2348" s="3" t="inlineStr">
        <is>
          <t>10306</t>
        </is>
      </c>
      <c r="D2348" s="9" t="n">
        <v>355.8</v>
      </c>
      <c r="E2348" s="3" t="n"/>
      <c r="F2348" s="3" t="n"/>
      <c r="G2348" s="9" t="n"/>
      <c r="H2348" s="10" t="n">
        <v>45687.39346064815</v>
      </c>
      <c r="I2348" s="10" t="n">
        <v>45687.39434027778</v>
      </c>
      <c r="J2348" s="10" t="n">
        <v>45687.40459490741</v>
      </c>
      <c r="K2348" s="11" t="n">
        <v>0.01025462962962963</v>
      </c>
      <c r="L2348" s="13" t="n"/>
    </row>
    <row r="2349">
      <c r="A2349" s="3" t="inlineStr">
        <is>
          <t>PushOff</t>
        </is>
      </c>
      <c r="B2349" s="3" t="inlineStr">
        <is>
          <t>Act_PO_10307_100835_703</t>
        </is>
      </c>
      <c r="C2349" s="3" t="inlineStr">
        <is>
          <t>10307</t>
        </is>
      </c>
      <c r="D2349" s="9" t="n">
        <v>435.1</v>
      </c>
      <c r="E2349" s="3" t="n"/>
      <c r="F2349" s="3" t="n"/>
      <c r="G2349" s="9" t="n"/>
      <c r="H2349" s="10" t="n">
        <v>45687.42262731482</v>
      </c>
      <c r="I2349" s="10" t="n">
        <v>45687.42349537037</v>
      </c>
      <c r="J2349" s="10" t="n">
        <v>45687.42349537037</v>
      </c>
      <c r="K2349" s="11" t="n">
        <v>0</v>
      </c>
      <c r="L2349" s="13" t="n"/>
    </row>
    <row r="2350">
      <c r="A2350" s="3" t="inlineStr">
        <is>
          <t>PushOff</t>
        </is>
      </c>
      <c r="B2350" s="3" t="inlineStr">
        <is>
          <t>Act_PO_10308_130705_703</t>
        </is>
      </c>
      <c r="C2350" s="3" t="inlineStr">
        <is>
          <t>10308</t>
        </is>
      </c>
      <c r="D2350" s="9" t="n">
        <v>291.7</v>
      </c>
      <c r="E2350" s="3" t="n"/>
      <c r="F2350" s="3" t="n"/>
      <c r="G2350" s="9" t="n"/>
      <c r="H2350" s="10" t="n">
        <v>45687.54658564815</v>
      </c>
      <c r="I2350" s="10" t="n">
        <v>45687.54746527778</v>
      </c>
      <c r="J2350" s="10" t="n">
        <v>45687.54925925926</v>
      </c>
      <c r="K2350" s="11" t="n">
        <v>0.001793981481481481</v>
      </c>
      <c r="L2350" s="13" t="n"/>
    </row>
    <row r="2351">
      <c r="A2351" s="3" t="inlineStr">
        <is>
          <t>PushOff</t>
        </is>
      </c>
      <c r="B2351" s="3" t="inlineStr">
        <is>
          <t>Act_PO_10309_144120_703</t>
        </is>
      </c>
      <c r="C2351" s="3" t="inlineStr">
        <is>
          <t>10309</t>
        </is>
      </c>
      <c r="D2351" s="9" t="n">
        <v>388.3</v>
      </c>
      <c r="E2351" s="3" t="n"/>
      <c r="F2351" s="3" t="n"/>
      <c r="G2351" s="9" t="n"/>
      <c r="H2351" s="10" t="n">
        <v>45687.61203703703</v>
      </c>
      <c r="I2351" s="10" t="n">
        <v>45687.6129050926</v>
      </c>
      <c r="J2351" s="10" t="n">
        <v>45687.6129050926</v>
      </c>
      <c r="K2351" s="11" t="n">
        <v>0</v>
      </c>
      <c r="L2351" s="13" t="n"/>
    </row>
    <row r="2352">
      <c r="A2352" s="3" t="inlineStr">
        <is>
          <t>PushOff</t>
        </is>
      </c>
      <c r="B2352" s="3" t="inlineStr">
        <is>
          <t>Act_PO_10310_151159_703</t>
        </is>
      </c>
      <c r="C2352" s="3" t="inlineStr">
        <is>
          <t>10310</t>
        </is>
      </c>
      <c r="D2352" s="9" t="n">
        <v>267.5</v>
      </c>
      <c r="E2352" s="3" t="n"/>
      <c r="F2352" s="3" t="n"/>
      <c r="G2352" s="9" t="n"/>
      <c r="H2352" s="10" t="n">
        <v>45687.63332175926</v>
      </c>
      <c r="I2352" s="10" t="n">
        <v>45687.63420138889</v>
      </c>
      <c r="J2352" s="10" t="n">
        <v>45687.64767361111</v>
      </c>
      <c r="K2352" s="11" t="n">
        <v>0.01347222222222222</v>
      </c>
      <c r="L2352" s="13" t="n"/>
    </row>
    <row r="2353">
      <c r="A2353" s="3" t="inlineStr">
        <is>
          <t>PushOff</t>
        </is>
      </c>
      <c r="B2353" s="3" t="inlineStr">
        <is>
          <t>Act_PO_10311_153846_731</t>
        </is>
      </c>
      <c r="C2353" s="3" t="inlineStr">
        <is>
          <t>10311</t>
        </is>
      </c>
      <c r="D2353" s="9" t="n">
        <v>15.7</v>
      </c>
      <c r="E2353" s="3" t="n"/>
      <c r="F2353" s="3" t="n"/>
      <c r="G2353" s="9" t="n"/>
      <c r="H2353" s="10" t="n">
        <v>45687.6519212963</v>
      </c>
      <c r="I2353" s="10" t="n">
        <v>45687.65278935185</v>
      </c>
      <c r="J2353" s="10" t="n">
        <v>45687.65430555555</v>
      </c>
      <c r="K2353" s="11" t="n">
        <v>0.001516203703703704</v>
      </c>
      <c r="L2353" s="13" t="n"/>
    </row>
    <row r="2354">
      <c r="A2354" s="3" t="inlineStr">
        <is>
          <t>PushOff</t>
        </is>
      </c>
      <c r="B2354" s="3" t="inlineStr">
        <is>
          <t>Act_PO_10312_172833_731</t>
        </is>
      </c>
      <c r="C2354" s="3" t="inlineStr">
        <is>
          <t>10312</t>
        </is>
      </c>
      <c r="D2354" s="9" t="n">
        <v>47.2</v>
      </c>
      <c r="E2354" s="3" t="n"/>
      <c r="F2354" s="3" t="n"/>
      <c r="G2354" s="9" t="n"/>
      <c r="H2354" s="10" t="n">
        <v>45687.72815972222</v>
      </c>
      <c r="I2354" s="10" t="n">
        <v>45687.72903935185</v>
      </c>
      <c r="J2354" s="10" t="n">
        <v>45687.730625</v>
      </c>
      <c r="K2354" s="11" t="n">
        <v>0.001585648148148148</v>
      </c>
      <c r="L2354" s="13" t="n"/>
    </row>
    <row r="2355">
      <c r="A2355" s="3" t="inlineStr">
        <is>
          <t>PushOff</t>
        </is>
      </c>
      <c r="B2355" s="3" t="inlineStr">
        <is>
          <t>Act_PO_10313_195107_703</t>
        </is>
      </c>
      <c r="C2355" s="3" t="inlineStr">
        <is>
          <t>10313</t>
        </is>
      </c>
      <c r="D2355" s="9" t="n">
        <v>135.1</v>
      </c>
      <c r="E2355" s="3" t="n"/>
      <c r="F2355" s="3" t="n"/>
      <c r="G2355" s="9" t="n"/>
      <c r="H2355" s="10" t="n">
        <v>45687.82716435185</v>
      </c>
      <c r="I2355" s="10" t="n">
        <v>45687.82803240741</v>
      </c>
      <c r="J2355" s="10" t="n">
        <v>45687.82946759259</v>
      </c>
      <c r="K2355" s="11" t="n">
        <v>0.001435185185185185</v>
      </c>
      <c r="L2355" s="13" t="n"/>
    </row>
    <row r="2356">
      <c r="A2356" s="3" t="inlineStr">
        <is>
          <t>PushOff</t>
        </is>
      </c>
      <c r="B2356" s="3" t="inlineStr">
        <is>
          <t>Act_PO_10314_203715_703</t>
        </is>
      </c>
      <c r="C2356" s="3" t="inlineStr">
        <is>
          <t>10314</t>
        </is>
      </c>
      <c r="D2356" s="9" t="n">
        <v>389.1</v>
      </c>
      <c r="E2356" s="3" t="n"/>
      <c r="F2356" s="3" t="n"/>
      <c r="G2356" s="9" t="n"/>
      <c r="H2356" s="10" t="n">
        <v>45687.85920138889</v>
      </c>
      <c r="I2356" s="10" t="n">
        <v>45687.86008101852</v>
      </c>
      <c r="J2356" s="10" t="n">
        <v>45687.86284722222</v>
      </c>
      <c r="K2356" s="11" t="n">
        <v>0.002766203703703704</v>
      </c>
      <c r="L2356" s="13" t="n"/>
    </row>
    <row r="2357">
      <c r="A2357" s="3" t="inlineStr">
        <is>
          <t>PushOff</t>
        </is>
      </c>
      <c r="B2357" s="3" t="inlineStr">
        <is>
          <t>Act_PO_10315_030235_703</t>
        </is>
      </c>
      <c r="C2357" s="3" t="inlineStr">
        <is>
          <t>10315</t>
        </is>
      </c>
      <c r="D2357" s="9" t="n">
        <v>199.9</v>
      </c>
      <c r="E2357" s="3" t="n"/>
      <c r="F2357" s="3" t="n"/>
      <c r="G2357" s="9" t="n"/>
      <c r="H2357" s="10" t="n">
        <v>45688.12679398148</v>
      </c>
      <c r="I2357" s="10" t="n">
        <v>45688.12766203703</v>
      </c>
      <c r="J2357" s="10" t="n">
        <v>45688.13540509259</v>
      </c>
      <c r="K2357" s="11" t="n">
        <v>0.007743055555555556</v>
      </c>
      <c r="L2357" s="13" t="n"/>
    </row>
    <row r="2358">
      <c r="A2358" s="3" t="inlineStr">
        <is>
          <t>PushOff</t>
        </is>
      </c>
      <c r="B2358" s="3" t="inlineStr">
        <is>
          <t>Act_PO_10316_043606_703</t>
        </is>
      </c>
      <c r="C2358" s="3" t="inlineStr">
        <is>
          <t>10316</t>
        </is>
      </c>
      <c r="D2358" s="9" t="n">
        <v>238.6</v>
      </c>
      <c r="E2358" s="3" t="n"/>
      <c r="F2358" s="3" t="n"/>
      <c r="G2358" s="9" t="n"/>
      <c r="H2358" s="10" t="n">
        <v>45688.19173611111</v>
      </c>
      <c r="I2358" s="10" t="n">
        <v>45688.19261574074</v>
      </c>
      <c r="J2358" s="10" t="n">
        <v>45688.19261574074</v>
      </c>
      <c r="K2358" s="11" t="n">
        <v>0</v>
      </c>
      <c r="L2358" s="13" t="n"/>
    </row>
    <row r="2359">
      <c r="A2359" s="3" t="inlineStr">
        <is>
          <t>PushOff</t>
        </is>
      </c>
      <c r="B2359" s="3" t="inlineStr">
        <is>
          <t>Act_PO_10317_060728_703</t>
        </is>
      </c>
      <c r="C2359" s="3" t="inlineStr">
        <is>
          <t>10317</t>
        </is>
      </c>
      <c r="D2359" s="9" t="n">
        <v>297</v>
      </c>
      <c r="E2359" s="3" t="n"/>
      <c r="F2359" s="3" t="n"/>
      <c r="G2359" s="9" t="n"/>
      <c r="H2359" s="10" t="n">
        <v>45688.25518518518</v>
      </c>
      <c r="I2359" s="10" t="n">
        <v>45688.25605324074</v>
      </c>
      <c r="J2359" s="10" t="n">
        <v>45688.25797453704</v>
      </c>
      <c r="K2359" s="11" t="n">
        <v>0.001921296296296296</v>
      </c>
      <c r="L2359" s="13" t="n"/>
    </row>
    <row r="2360">
      <c r="A2360" s="3" t="inlineStr">
        <is>
          <t>PushOff</t>
        </is>
      </c>
      <c r="B2360" s="3" t="inlineStr">
        <is>
          <t>Act_PO_10318_070641_703</t>
        </is>
      </c>
      <c r="C2360" s="3" t="inlineStr">
        <is>
          <t>10318</t>
        </is>
      </c>
      <c r="D2360" s="9" t="n">
        <v>74.59999999999999</v>
      </c>
      <c r="E2360" s="3" t="n"/>
      <c r="F2360" s="3" t="n"/>
      <c r="G2360" s="9" t="n"/>
      <c r="H2360" s="10" t="n">
        <v>45688.29630787037</v>
      </c>
      <c r="I2360" s="10" t="n">
        <v>45688.2971875</v>
      </c>
      <c r="J2360" s="10" t="n">
        <v>45688.29923611111</v>
      </c>
      <c r="K2360" s="11" t="n">
        <v>0.002048611111111111</v>
      </c>
      <c r="L2360" s="13" t="n"/>
    </row>
    <row r="2361">
      <c r="A2361" s="3" t="inlineStr">
        <is>
          <t>PushOff</t>
        </is>
      </c>
      <c r="B2361" s="3" t="inlineStr">
        <is>
          <t>Act_PO_10319_073047_727</t>
        </is>
      </c>
      <c r="C2361" s="3" t="inlineStr">
        <is>
          <t>10319</t>
        </is>
      </c>
      <c r="D2361" s="9" t="n">
        <v>585.3</v>
      </c>
      <c r="E2361" s="3" t="n"/>
      <c r="F2361" s="3" t="n"/>
      <c r="G2361" s="9" t="n"/>
      <c r="H2361" s="10" t="n">
        <v>45688.31304398148</v>
      </c>
      <c r="I2361" s="10" t="n">
        <v>45688.31392361111</v>
      </c>
      <c r="J2361" s="10" t="n">
        <v>45688.33064814815</v>
      </c>
      <c r="K2361" s="11" t="n">
        <v>0.01672453703703704</v>
      </c>
      <c r="L2361" s="13" t="n"/>
    </row>
    <row r="2362">
      <c r="A2362" s="3" t="inlineStr">
        <is>
          <t>PushOff</t>
        </is>
      </c>
      <c r="B2362" s="3" t="inlineStr">
        <is>
          <t>Act_PO_10320_081215_703</t>
        </is>
      </c>
      <c r="C2362" s="3" t="inlineStr">
        <is>
          <t>10320</t>
        </is>
      </c>
      <c r="D2362" s="9" t="n">
        <v>381.6</v>
      </c>
      <c r="E2362" s="3" t="n"/>
      <c r="F2362" s="3" t="n"/>
      <c r="G2362" s="9" t="n"/>
      <c r="H2362" s="10" t="n">
        <v>45688.34184027778</v>
      </c>
      <c r="I2362" s="10" t="n">
        <v>45688.34271990741</v>
      </c>
      <c r="J2362" s="10" t="n">
        <v>45688.34548611111</v>
      </c>
      <c r="K2362" s="11" t="n">
        <v>0.002766203703703704</v>
      </c>
      <c r="L2362" s="13" t="n"/>
    </row>
    <row r="2363">
      <c r="A2363" s="3" t="inlineStr">
        <is>
          <t>PushOff</t>
        </is>
      </c>
      <c r="B2363" s="3" t="inlineStr">
        <is>
          <t>Act_PO_10321_090308_703</t>
        </is>
      </c>
      <c r="C2363" s="3" t="inlineStr">
        <is>
          <t>10321</t>
        </is>
      </c>
      <c r="D2363" s="9" t="n">
        <v>237.1</v>
      </c>
      <c r="E2363" s="3" t="n"/>
      <c r="F2363" s="3" t="n"/>
      <c r="G2363" s="9" t="n"/>
      <c r="H2363" s="10" t="n">
        <v>45688.37717592593</v>
      </c>
      <c r="I2363" s="10" t="n">
        <v>45688.37804398148</v>
      </c>
      <c r="J2363" s="10" t="n">
        <v>45688.38171296296</v>
      </c>
      <c r="K2363" s="11" t="n">
        <v>0.003668981481481481</v>
      </c>
      <c r="L2363" s="13" t="n"/>
    </row>
    <row r="2364">
      <c r="A2364" s="3" t="inlineStr">
        <is>
          <t>PushOff</t>
        </is>
      </c>
      <c r="B2364" s="3" t="inlineStr">
        <is>
          <t>Act_PO_10322_092116_727</t>
        </is>
      </c>
      <c r="C2364" s="3" t="inlineStr">
        <is>
          <t>10322</t>
        </is>
      </c>
      <c r="D2364" s="9" t="n">
        <v>376.6</v>
      </c>
      <c r="E2364" s="3" t="n"/>
      <c r="F2364" s="3" t="n"/>
      <c r="G2364" s="9" t="n"/>
      <c r="H2364" s="10" t="n">
        <v>45688.38976851852</v>
      </c>
      <c r="I2364" s="10" t="n">
        <v>45688.39063657408</v>
      </c>
      <c r="J2364" s="10" t="n">
        <v>45688.40158564815</v>
      </c>
      <c r="K2364" s="11" t="n">
        <v>0.01094907407407407</v>
      </c>
      <c r="L2364" s="13" t="n"/>
    </row>
    <row r="2365">
      <c r="A2365" s="3" t="inlineStr">
        <is>
          <t>PushOff</t>
        </is>
      </c>
      <c r="B2365" s="3" t="inlineStr">
        <is>
          <t>Act_PO_10323_104836_703</t>
        </is>
      </c>
      <c r="C2365" s="3" t="inlineStr">
        <is>
          <t>10323</t>
        </is>
      </c>
      <c r="D2365" s="9" t="n">
        <v>445.4</v>
      </c>
      <c r="E2365" s="3" t="n"/>
      <c r="F2365" s="3" t="n"/>
      <c r="G2365" s="9" t="n"/>
      <c r="H2365" s="10" t="n">
        <v>45688.45041666667</v>
      </c>
      <c r="I2365" s="10" t="n">
        <v>45688.45128472222</v>
      </c>
      <c r="J2365" s="10" t="n">
        <v>45688.45701388889</v>
      </c>
      <c r="K2365" s="11" t="n">
        <v>0.005729166666666666</v>
      </c>
      <c r="L2365" s="13" t="n"/>
    </row>
    <row r="2366">
      <c r="A2366" s="3" t="inlineStr">
        <is>
          <t>PushOff</t>
        </is>
      </c>
      <c r="B2366" s="3" t="inlineStr">
        <is>
          <t>Act_PO_10324_123633_703</t>
        </is>
      </c>
      <c r="C2366" s="3" t="inlineStr">
        <is>
          <t>10324</t>
        </is>
      </c>
      <c r="D2366" s="9" t="n">
        <v>247.3</v>
      </c>
      <c r="E2366" s="3" t="n"/>
      <c r="F2366" s="3" t="n"/>
      <c r="G2366" s="9" t="n"/>
      <c r="H2366" s="10" t="n">
        <v>45688.52538194445</v>
      </c>
      <c r="I2366" s="10" t="n">
        <v>45688.52626157407</v>
      </c>
      <c r="J2366" s="10" t="n">
        <v>45688.52841435185</v>
      </c>
      <c r="K2366" s="11" t="n">
        <v>0.002152777777777778</v>
      </c>
      <c r="L2366" s="13" t="n"/>
    </row>
    <row r="2367">
      <c r="A2367" s="3" t="inlineStr">
        <is>
          <t>PushOff</t>
        </is>
      </c>
      <c r="B2367" s="3" t="inlineStr">
        <is>
          <t>Act_PO_10325_142052_703</t>
        </is>
      </c>
      <c r="C2367" s="3" t="inlineStr">
        <is>
          <t>10325</t>
        </is>
      </c>
      <c r="D2367" s="9" t="n">
        <v>186.7</v>
      </c>
      <c r="E2367" s="3" t="n"/>
      <c r="F2367" s="3" t="n"/>
      <c r="G2367" s="9" t="n"/>
      <c r="H2367" s="10" t="n">
        <v>45688.59782407407</v>
      </c>
      <c r="I2367" s="10" t="n">
        <v>45688.59869212963</v>
      </c>
      <c r="J2367" s="10" t="n">
        <v>45688.60025462963</v>
      </c>
      <c r="K2367" s="11" t="n">
        <v>0.0015625</v>
      </c>
      <c r="L2367" s="13" t="n"/>
    </row>
    <row r="2368">
      <c r="A2368" s="3" t="inlineStr">
        <is>
          <t>PushOff</t>
        </is>
      </c>
      <c r="B2368" s="3" t="inlineStr">
        <is>
          <t>Act_PO_10326_152151_703</t>
        </is>
      </c>
      <c r="C2368" s="3" t="inlineStr">
        <is>
          <t>10326</t>
        </is>
      </c>
      <c r="D2368" s="9" t="n">
        <v>332.5</v>
      </c>
      <c r="E2368" s="3" t="n"/>
      <c r="F2368" s="3" t="n"/>
      <c r="G2368" s="9" t="n"/>
      <c r="H2368" s="10" t="n">
        <v>45688.64017361111</v>
      </c>
      <c r="I2368" s="10" t="n">
        <v>45688.64104166667</v>
      </c>
      <c r="J2368" s="10" t="n">
        <v>45688.6541087963</v>
      </c>
      <c r="K2368" s="11" t="n">
        <v>0.01306712962962963</v>
      </c>
      <c r="L2368" s="13" t="n"/>
    </row>
    <row r="2369">
      <c r="A2369" s="3" t="inlineStr">
        <is>
          <t>PushOff</t>
        </is>
      </c>
      <c r="B2369" s="3" t="inlineStr">
        <is>
          <t>Act_PO_10328_153842_731</t>
        </is>
      </c>
      <c r="C2369" s="3" t="inlineStr">
        <is>
          <t>10328</t>
        </is>
      </c>
      <c r="D2369" s="9" t="n">
        <v>47.2</v>
      </c>
      <c r="E2369" s="3" t="n"/>
      <c r="F2369" s="3" t="n"/>
      <c r="G2369" s="9" t="n"/>
      <c r="H2369" s="10" t="n">
        <v>45688.651875</v>
      </c>
      <c r="I2369" s="10" t="n">
        <v>45688.65497685185</v>
      </c>
      <c r="J2369" s="10" t="n">
        <v>45688.65497685185</v>
      </c>
      <c r="K2369" s="11" t="n">
        <v>0</v>
      </c>
      <c r="L2369" s="13" t="n"/>
    </row>
    <row r="2370">
      <c r="A2370" s="3" t="inlineStr">
        <is>
          <t>PushOff</t>
        </is>
      </c>
      <c r="B2370" s="3" t="inlineStr">
        <is>
          <t>Act_PO_10327_154645_727</t>
        </is>
      </c>
      <c r="C2370" s="3" t="inlineStr">
        <is>
          <t>10327</t>
        </is>
      </c>
      <c r="D2370" s="9" t="n">
        <v>420.6</v>
      </c>
      <c r="E2370" s="3" t="n"/>
      <c r="F2370" s="3" t="n"/>
      <c r="G2370" s="9" t="n"/>
      <c r="H2370" s="10" t="n">
        <v>45688.65746527778</v>
      </c>
      <c r="I2370" s="10" t="n">
        <v>45688.65833333333</v>
      </c>
      <c r="J2370" s="10" t="n">
        <v>45688.67579861111</v>
      </c>
      <c r="K2370" s="11" t="n">
        <v>0.01746527777777778</v>
      </c>
      <c r="L2370" s="13" t="n"/>
    </row>
    <row r="2371">
      <c r="A2371" s="3" t="inlineStr">
        <is>
          <t>PushOff</t>
        </is>
      </c>
      <c r="B2371" s="3" t="inlineStr">
        <is>
          <t>Act_PO_10329_174147_703</t>
        </is>
      </c>
      <c r="C2371" s="3" t="inlineStr">
        <is>
          <t>10329</t>
        </is>
      </c>
      <c r="D2371" s="9" t="n">
        <v>302.1</v>
      </c>
      <c r="E2371" s="3" t="n"/>
      <c r="F2371" s="3" t="n"/>
      <c r="G2371" s="9" t="n"/>
      <c r="H2371" s="10" t="n">
        <v>45688.73734953703</v>
      </c>
      <c r="I2371" s="10" t="n">
        <v>45688.7382175926</v>
      </c>
      <c r="J2371" s="10" t="n">
        <v>45688.74016203704</v>
      </c>
      <c r="K2371" s="11" t="n">
        <v>0.001944444444444444</v>
      </c>
      <c r="L2371" s="13" t="n"/>
    </row>
    <row r="2372">
      <c r="A2372" s="3" t="inlineStr">
        <is>
          <t>PushOff</t>
        </is>
      </c>
      <c r="B2372" s="3" t="inlineStr">
        <is>
          <t>Act_PO_10330_175400_727</t>
        </is>
      </c>
      <c r="C2372" s="3" t="inlineStr">
        <is>
          <t>10330</t>
        </is>
      </c>
      <c r="D2372" s="9" t="n">
        <v>193.1</v>
      </c>
      <c r="E2372" s="3" t="n"/>
      <c r="F2372" s="3" t="n"/>
      <c r="G2372" s="9" t="n"/>
      <c r="H2372" s="10" t="n">
        <v>45688.74583333333</v>
      </c>
      <c r="I2372" s="10" t="n">
        <v>45688.74671296297</v>
      </c>
      <c r="J2372" s="10" t="n">
        <v>45688.74900462963</v>
      </c>
      <c r="K2372" s="11" t="n">
        <v>0.002291666666666667</v>
      </c>
      <c r="L2372" s="13" t="n"/>
    </row>
    <row r="2373">
      <c r="A2373" s="3" t="inlineStr">
        <is>
          <t>PushOff</t>
        </is>
      </c>
      <c r="B2373" s="3" t="inlineStr">
        <is>
          <t>Act_PO_10331_202415_703</t>
        </is>
      </c>
      <c r="C2373" s="3" t="inlineStr">
        <is>
          <t>10331</t>
        </is>
      </c>
      <c r="D2373" s="9" t="n">
        <v>351</v>
      </c>
      <c r="E2373" s="3" t="n"/>
      <c r="F2373" s="3" t="n"/>
      <c r="G2373" s="9" t="n"/>
      <c r="H2373" s="10" t="n">
        <v>45688.85017361111</v>
      </c>
      <c r="I2373" s="10" t="n">
        <v>45688.85105324074</v>
      </c>
      <c r="J2373" s="10" t="n">
        <v>45688.86248842593</v>
      </c>
      <c r="K2373" s="11" t="n">
        <v>0.01143518518518519</v>
      </c>
      <c r="L2373" s="13" t="n"/>
    </row>
    <row r="2374">
      <c r="A2374" s="3" t="inlineStr">
        <is>
          <t>PushOffDrive</t>
        </is>
      </c>
      <c r="B2374" s="3" t="inlineStr">
        <is>
          <t>Act_POD_1000101_025416_615</t>
        </is>
      </c>
      <c r="C2374" s="3" t="inlineStr">
        <is>
          <t>1000101</t>
        </is>
      </c>
      <c r="D2374" s="9" t="n">
        <v>19.9</v>
      </c>
      <c r="E2374" s="3" t="inlineStr">
        <is>
          <t>703</t>
        </is>
      </c>
      <c r="F2374" s="3" t="inlineStr">
        <is>
          <t>615</t>
        </is>
      </c>
      <c r="G2374" s="9" t="n">
        <v>269.92</v>
      </c>
      <c r="H2374" s="10" t="n">
        <v>45659.12101851852</v>
      </c>
      <c r="I2374" s="10" t="n">
        <v>45659.12101851852</v>
      </c>
      <c r="J2374" s="10" t="n">
        <v>45659.1221875</v>
      </c>
      <c r="K2374" s="11" t="n">
        <v>0.001168981481481482</v>
      </c>
      <c r="L2374" s="13" t="n"/>
    </row>
    <row r="2375">
      <c r="A2375" s="3" t="inlineStr">
        <is>
          <t>PushOffDrive</t>
        </is>
      </c>
      <c r="B2375" s="3" t="inlineStr">
        <is>
          <t>Act_POD_1000102_025557_613</t>
        </is>
      </c>
      <c r="C2375" s="3" t="inlineStr">
        <is>
          <t>1000102</t>
        </is>
      </c>
      <c r="D2375" s="9" t="n">
        <v>103.9</v>
      </c>
      <c r="E2375" s="3" t="inlineStr">
        <is>
          <t>703</t>
        </is>
      </c>
      <c r="F2375" s="3" t="inlineStr">
        <is>
          <t>613</t>
        </is>
      </c>
      <c r="G2375" s="9" t="n">
        <v>297.43</v>
      </c>
      <c r="H2375" s="10" t="n">
        <v>45659.1221875</v>
      </c>
      <c r="I2375" s="10" t="n">
        <v>45659.1221875</v>
      </c>
      <c r="J2375" s="10" t="n">
        <v>45659.12366898148</v>
      </c>
      <c r="K2375" s="11" t="n">
        <v>0.001481481481481481</v>
      </c>
      <c r="L2375" s="13" t="n"/>
    </row>
    <row r="2376">
      <c r="A2376" s="3" t="inlineStr">
        <is>
          <t>PushOffDrive</t>
        </is>
      </c>
      <c r="B2376" s="3" t="inlineStr">
        <is>
          <t>Act_POD_1000103_025805_627</t>
        </is>
      </c>
      <c r="C2376" s="3" t="inlineStr">
        <is>
          <t>1000103</t>
        </is>
      </c>
      <c r="D2376" s="9" t="n">
        <v>71.7</v>
      </c>
      <c r="E2376" s="3" t="inlineStr">
        <is>
          <t>703</t>
        </is>
      </c>
      <c r="F2376" s="3" t="inlineStr">
        <is>
          <t>627</t>
        </is>
      </c>
      <c r="G2376" s="9" t="n">
        <v>450.42</v>
      </c>
      <c r="H2376" s="10" t="n">
        <v>45659.12366898148</v>
      </c>
      <c r="I2376" s="10" t="n">
        <v>45659.12366898148</v>
      </c>
      <c r="J2376" s="10" t="n">
        <v>45659.12571759259</v>
      </c>
      <c r="K2376" s="11" t="n">
        <v>0.002048611111111111</v>
      </c>
      <c r="L2376" s="13" t="n"/>
    </row>
    <row r="2377">
      <c r="A2377" s="3" t="inlineStr">
        <is>
          <t>PushOffDrive</t>
        </is>
      </c>
      <c r="B2377" s="3" t="inlineStr">
        <is>
          <t>Act_POD_1000104_030102_625</t>
        </is>
      </c>
      <c r="C2377" s="3" t="inlineStr">
        <is>
          <t>1000104</t>
        </is>
      </c>
      <c r="D2377" s="9" t="n">
        <v>31.5</v>
      </c>
      <c r="E2377" s="3" t="inlineStr">
        <is>
          <t>703</t>
        </is>
      </c>
      <c r="F2377" s="3" t="inlineStr">
        <is>
          <t>625</t>
        </is>
      </c>
      <c r="G2377" s="9" t="n">
        <v>477.75</v>
      </c>
      <c r="H2377" s="10" t="n">
        <v>45659.12571759259</v>
      </c>
      <c r="I2377" s="10" t="n">
        <v>45659.12571759259</v>
      </c>
      <c r="J2377" s="10" t="n">
        <v>45659.12777777778</v>
      </c>
      <c r="K2377" s="11" t="n">
        <v>0.002060185185185185</v>
      </c>
      <c r="L2377" s="13" t="n"/>
    </row>
    <row r="2378">
      <c r="A2378" s="3" t="inlineStr">
        <is>
          <t>PushOffDrive</t>
        </is>
      </c>
      <c r="B2378" s="3" t="inlineStr">
        <is>
          <t>Act_POD_1000201_063743_613</t>
        </is>
      </c>
      <c r="C2378" s="3" t="inlineStr">
        <is>
          <t>1000201</t>
        </is>
      </c>
      <c r="D2378" s="9" t="n">
        <v>182.7</v>
      </c>
      <c r="E2378" s="3" t="inlineStr">
        <is>
          <t>703</t>
        </is>
      </c>
      <c r="F2378" s="3" t="inlineStr">
        <is>
          <t>613</t>
        </is>
      </c>
      <c r="G2378" s="9" t="n">
        <v>297.43</v>
      </c>
      <c r="H2378" s="10" t="n">
        <v>45659.27619212963</v>
      </c>
      <c r="I2378" s="10" t="n">
        <v>45659.27619212963</v>
      </c>
      <c r="J2378" s="10" t="n">
        <v>45659.2778587963</v>
      </c>
      <c r="K2378" s="11" t="n">
        <v>0.001666666666666667</v>
      </c>
      <c r="L2378" s="13" t="n"/>
    </row>
    <row r="2379">
      <c r="A2379" s="3" t="inlineStr">
        <is>
          <t>PushOffDrive</t>
        </is>
      </c>
      <c r="B2379" s="3" t="inlineStr">
        <is>
          <t>Act_POD_1000401_073206_621</t>
        </is>
      </c>
      <c r="C2379" s="3" t="inlineStr">
        <is>
          <t>1000401</t>
        </is>
      </c>
      <c r="D2379" s="9" t="n">
        <v>189</v>
      </c>
      <c r="E2379" s="3" t="inlineStr">
        <is>
          <t>703</t>
        </is>
      </c>
      <c r="F2379" s="3" t="inlineStr">
        <is>
          <t>621</t>
        </is>
      </c>
      <c r="G2379" s="9" t="n">
        <v>459.96</v>
      </c>
      <c r="H2379" s="10" t="n">
        <v>45659.31395833333</v>
      </c>
      <c r="I2379" s="10" t="n">
        <v>45659.31395833333</v>
      </c>
      <c r="J2379" s="10" t="n">
        <v>45659.31631944444</v>
      </c>
      <c r="K2379" s="11" t="n">
        <v>0.002361111111111111</v>
      </c>
      <c r="L2379" s="13" t="n"/>
    </row>
    <row r="2380">
      <c r="A2380" s="3" t="inlineStr">
        <is>
          <t>PushOffDrive</t>
        </is>
      </c>
      <c r="B2380" s="3" t="inlineStr">
        <is>
          <t>Act_POD_1000301_073928_615</t>
        </is>
      </c>
      <c r="C2380" s="3" t="inlineStr">
        <is>
          <t>1000301</t>
        </is>
      </c>
      <c r="D2380" s="9" t="n">
        <v>15.7</v>
      </c>
      <c r="E2380" s="3" t="inlineStr">
        <is>
          <t>727</t>
        </is>
      </c>
      <c r="F2380" s="3" t="inlineStr">
        <is>
          <t>615</t>
        </is>
      </c>
      <c r="G2380" s="9" t="n">
        <v>263.09</v>
      </c>
      <c r="H2380" s="10" t="n">
        <v>45659.31907407408</v>
      </c>
      <c r="I2380" s="10" t="n">
        <v>45659.31907407408</v>
      </c>
      <c r="J2380" s="10" t="n">
        <v>45659.32020833333</v>
      </c>
      <c r="K2380" s="11" t="n">
        <v>0.001134259259259259</v>
      </c>
      <c r="L2380" s="13" t="n"/>
    </row>
    <row r="2381">
      <c r="A2381" s="3" t="inlineStr">
        <is>
          <t>PushOffDrive</t>
        </is>
      </c>
      <c r="B2381" s="3" t="inlineStr">
        <is>
          <t>Act_POD_1000302_074106_605</t>
        </is>
      </c>
      <c r="C2381" s="3" t="inlineStr">
        <is>
          <t>1000302</t>
        </is>
      </c>
      <c r="D2381" s="9" t="n">
        <v>264.6</v>
      </c>
      <c r="E2381" s="3" t="inlineStr">
        <is>
          <t>727</t>
        </is>
      </c>
      <c r="F2381" s="3" t="inlineStr">
        <is>
          <t>605</t>
        </is>
      </c>
      <c r="G2381" s="9" t="n">
        <v>398.6</v>
      </c>
      <c r="H2381" s="10" t="n">
        <v>45659.32020833333</v>
      </c>
      <c r="I2381" s="10" t="n">
        <v>45659.32020833333</v>
      </c>
      <c r="J2381" s="10" t="n">
        <v>45659.32248842593</v>
      </c>
      <c r="K2381" s="11" t="n">
        <v>0.002280092592592593</v>
      </c>
      <c r="L2381" s="13" t="n"/>
    </row>
    <row r="2382">
      <c r="A2382" s="3" t="inlineStr">
        <is>
          <t>PushOffDrive</t>
        </is>
      </c>
      <c r="B2382" s="3" t="inlineStr">
        <is>
          <t>Act_POD_1000303_074423_623</t>
        </is>
      </c>
      <c r="C2382" s="3" t="inlineStr">
        <is>
          <t>1000303</t>
        </is>
      </c>
      <c r="D2382" s="9" t="n">
        <v>21</v>
      </c>
      <c r="E2382" s="3" t="inlineStr">
        <is>
          <t>727</t>
        </is>
      </c>
      <c r="F2382" s="3" t="inlineStr">
        <is>
          <t>623</t>
        </is>
      </c>
      <c r="G2382" s="9" t="n">
        <v>405.22</v>
      </c>
      <c r="H2382" s="10" t="n">
        <v>45659.32248842593</v>
      </c>
      <c r="I2382" s="10" t="n">
        <v>45659.32248842593</v>
      </c>
      <c r="J2382" s="10" t="n">
        <v>45659.32422453703</v>
      </c>
      <c r="K2382" s="11" t="n">
        <v>0.001736111111111111</v>
      </c>
      <c r="L2382" s="13" t="n"/>
    </row>
    <row r="2383">
      <c r="A2383" s="3" t="inlineStr">
        <is>
          <t>PushOffDrive</t>
        </is>
      </c>
      <c r="B2383" s="3" t="inlineStr">
        <is>
          <t>Act_POD_1000304_074653_627</t>
        </is>
      </c>
      <c r="C2383" s="3" t="inlineStr">
        <is>
          <t>1000304</t>
        </is>
      </c>
      <c r="D2383" s="9" t="n">
        <v>12</v>
      </c>
      <c r="E2383" s="3" t="inlineStr">
        <is>
          <t>727</t>
        </is>
      </c>
      <c r="F2383" s="3" t="inlineStr">
        <is>
          <t>627</t>
        </is>
      </c>
      <c r="G2383" s="9" t="n">
        <v>443.59</v>
      </c>
      <c r="H2383" s="10" t="n">
        <v>45659.32422453703</v>
      </c>
      <c r="I2383" s="10" t="n">
        <v>45659.32422453703</v>
      </c>
      <c r="J2383" s="10" t="n">
        <v>45659.32609953704</v>
      </c>
      <c r="K2383" s="11" t="n">
        <v>0.001875</v>
      </c>
      <c r="L2383" s="13" t="n"/>
    </row>
    <row r="2384">
      <c r="A2384" s="3" t="inlineStr">
        <is>
          <t>PushOffDrive</t>
        </is>
      </c>
      <c r="B2384" s="3" t="inlineStr">
        <is>
          <t>Act_POD_1000305_074935_619</t>
        </is>
      </c>
      <c r="C2384" s="3" t="inlineStr">
        <is>
          <t>1000305</t>
        </is>
      </c>
      <c r="D2384" s="9" t="n">
        <v>98.59999999999999</v>
      </c>
      <c r="E2384" s="3" t="inlineStr">
        <is>
          <t>727</t>
        </is>
      </c>
      <c r="F2384" s="3" t="inlineStr">
        <is>
          <t>619</t>
        </is>
      </c>
      <c r="G2384" s="9" t="n">
        <v>453.13</v>
      </c>
      <c r="H2384" s="10" t="n">
        <v>45659.32609953704</v>
      </c>
      <c r="I2384" s="10" t="n">
        <v>45659.32609953704</v>
      </c>
      <c r="J2384" s="10" t="n">
        <v>45659.32821759259</v>
      </c>
      <c r="K2384" s="11" t="n">
        <v>0.002118055555555556</v>
      </c>
      <c r="L2384" s="13" t="n"/>
    </row>
    <row r="2385">
      <c r="A2385" s="3" t="inlineStr">
        <is>
          <t>PushOffDrive</t>
        </is>
      </c>
      <c r="B2385" s="3" t="inlineStr">
        <is>
          <t>Act_POD_1000306_075238_606</t>
        </is>
      </c>
      <c r="C2385" s="3" t="inlineStr">
        <is>
          <t>1000306</t>
        </is>
      </c>
      <c r="D2385" s="9" t="n">
        <v>21</v>
      </c>
      <c r="E2385" s="3" t="inlineStr">
        <is>
          <t>727</t>
        </is>
      </c>
      <c r="F2385" s="3" t="inlineStr">
        <is>
          <t>606</t>
        </is>
      </c>
      <c r="G2385" s="9" t="n">
        <v>398.2</v>
      </c>
      <c r="H2385" s="10" t="n">
        <v>45659.32821759259</v>
      </c>
      <c r="I2385" s="10" t="n">
        <v>45659.32821759259</v>
      </c>
      <c r="J2385" s="10" t="n">
        <v>45659.32991898148</v>
      </c>
      <c r="K2385" s="11" t="n">
        <v>0.001701388888888889</v>
      </c>
      <c r="L2385" s="13" t="n"/>
    </row>
    <row r="2386">
      <c r="A2386" s="3" t="inlineStr">
        <is>
          <t>PushOffDrive</t>
        </is>
      </c>
      <c r="B2386" s="3" t="inlineStr">
        <is>
          <t>Act_POD_1000307_075505_607</t>
        </is>
      </c>
      <c r="C2386" s="3" t="inlineStr">
        <is>
          <t>1000307</t>
        </is>
      </c>
      <c r="D2386" s="9" t="n">
        <v>15.7</v>
      </c>
      <c r="E2386" s="3" t="inlineStr">
        <is>
          <t>727</t>
        </is>
      </c>
      <c r="F2386" s="3" t="inlineStr">
        <is>
          <t>607</t>
        </is>
      </c>
      <c r="G2386" s="9" t="n">
        <v>371.57</v>
      </c>
      <c r="H2386" s="10" t="n">
        <v>45659.32991898148</v>
      </c>
      <c r="I2386" s="10" t="n">
        <v>45659.32991898148</v>
      </c>
      <c r="J2386" s="10" t="n">
        <v>45659.33150462963</v>
      </c>
      <c r="K2386" s="11" t="n">
        <v>0.001585648148148148</v>
      </c>
      <c r="L2386" s="13" t="n"/>
    </row>
    <row r="2387">
      <c r="A2387" s="3" t="inlineStr">
        <is>
          <t>PushOffDrive</t>
        </is>
      </c>
      <c r="B2387" s="3" t="inlineStr">
        <is>
          <t>Act_POD_1000308_075722_609</t>
        </is>
      </c>
      <c r="C2387" s="3" t="inlineStr">
        <is>
          <t>1000308</t>
        </is>
      </c>
      <c r="D2387" s="9" t="n">
        <v>54</v>
      </c>
      <c r="E2387" s="3" t="inlineStr">
        <is>
          <t>727</t>
        </is>
      </c>
      <c r="F2387" s="3" t="inlineStr">
        <is>
          <t>609</t>
        </is>
      </c>
      <c r="G2387" s="9" t="n">
        <v>344.04</v>
      </c>
      <c r="H2387" s="10" t="n">
        <v>45659.33150462963</v>
      </c>
      <c r="I2387" s="10" t="n">
        <v>45659.33150462963</v>
      </c>
      <c r="J2387" s="10" t="n">
        <v>45659.33306712963</v>
      </c>
      <c r="K2387" s="11" t="n">
        <v>0.0015625</v>
      </c>
      <c r="L2387" s="13" t="n"/>
    </row>
    <row r="2388">
      <c r="A2388" s="3" t="inlineStr">
        <is>
          <t>PushOffDrive</t>
        </is>
      </c>
      <c r="B2388" s="3" t="inlineStr">
        <is>
          <t>Act_POD_1000309_075937_623</t>
        </is>
      </c>
      <c r="C2388" s="3" t="inlineStr">
        <is>
          <t>1000309</t>
        </is>
      </c>
      <c r="D2388" s="9" t="n">
        <v>19.9</v>
      </c>
      <c r="E2388" s="3" t="inlineStr">
        <is>
          <t>727</t>
        </is>
      </c>
      <c r="F2388" s="3" t="inlineStr">
        <is>
          <t>623</t>
        </is>
      </c>
      <c r="G2388" s="9" t="n">
        <v>405.22</v>
      </c>
      <c r="H2388" s="10" t="n">
        <v>45659.33306712963</v>
      </c>
      <c r="I2388" s="10" t="n">
        <v>45659.33306712963</v>
      </c>
      <c r="J2388" s="10" t="n">
        <v>45659.33480324074</v>
      </c>
      <c r="K2388" s="11" t="n">
        <v>0.001736111111111111</v>
      </c>
      <c r="L2388" s="13" t="n"/>
    </row>
    <row r="2389">
      <c r="A2389" s="3" t="inlineStr">
        <is>
          <t>PushOffDrive</t>
        </is>
      </c>
      <c r="B2389" s="3" t="inlineStr">
        <is>
          <t>Act_POD_1000310_080207_611</t>
        </is>
      </c>
      <c r="C2389" s="3" t="inlineStr">
        <is>
          <t>1000310</t>
        </is>
      </c>
      <c r="D2389" s="9" t="n">
        <v>15.7</v>
      </c>
      <c r="E2389" s="3" t="inlineStr">
        <is>
          <t>727</t>
        </is>
      </c>
      <c r="F2389" s="3" t="inlineStr">
        <is>
          <t>611</t>
        </is>
      </c>
      <c r="G2389" s="9" t="n">
        <v>317.52</v>
      </c>
      <c r="H2389" s="10" t="n">
        <v>45659.33480324074</v>
      </c>
      <c r="I2389" s="10" t="n">
        <v>45659.33480324074</v>
      </c>
      <c r="J2389" s="10" t="n">
        <v>45659.33615740741</v>
      </c>
      <c r="K2389" s="11" t="n">
        <v>0.001354166666666667</v>
      </c>
      <c r="L2389" s="13" t="n"/>
    </row>
    <row r="2390">
      <c r="A2390" s="3" t="inlineStr">
        <is>
          <t>PushOffDrive</t>
        </is>
      </c>
      <c r="B2390" s="3" t="inlineStr">
        <is>
          <t>Act_POD_1000311_080404_606</t>
        </is>
      </c>
      <c r="C2390" s="3" t="inlineStr">
        <is>
          <t>1000311</t>
        </is>
      </c>
      <c r="D2390" s="9" t="n">
        <v>19.9</v>
      </c>
      <c r="E2390" s="3" t="inlineStr">
        <is>
          <t>727</t>
        </is>
      </c>
      <c r="F2390" s="3" t="inlineStr">
        <is>
          <t>606</t>
        </is>
      </c>
      <c r="G2390" s="9" t="n">
        <v>398.2</v>
      </c>
      <c r="H2390" s="10" t="n">
        <v>45659.33615740741</v>
      </c>
      <c r="I2390" s="10" t="n">
        <v>45659.33615740741</v>
      </c>
      <c r="J2390" s="10" t="n">
        <v>45659.33785879629</v>
      </c>
      <c r="K2390" s="11" t="n">
        <v>0.001701388888888889</v>
      </c>
      <c r="L2390" s="13" t="n"/>
    </row>
    <row r="2391">
      <c r="A2391" s="3" t="inlineStr">
        <is>
          <t>PushOffDrive</t>
        </is>
      </c>
      <c r="B2391" s="3" t="inlineStr">
        <is>
          <t>Act_POD_1000312_080631_617</t>
        </is>
      </c>
      <c r="C2391" s="3" t="inlineStr">
        <is>
          <t>1000312</t>
        </is>
      </c>
      <c r="D2391" s="9" t="n">
        <v>19.9</v>
      </c>
      <c r="E2391" s="3" t="inlineStr">
        <is>
          <t>727</t>
        </is>
      </c>
      <c r="F2391" s="3" t="inlineStr">
        <is>
          <t>617</t>
        </is>
      </c>
      <c r="G2391" s="9" t="n">
        <v>292.28</v>
      </c>
      <c r="H2391" s="10" t="n">
        <v>45659.33785879629</v>
      </c>
      <c r="I2391" s="10" t="n">
        <v>45659.33785879629</v>
      </c>
      <c r="J2391" s="10" t="n">
        <v>45659.33913194444</v>
      </c>
      <c r="K2391" s="11" t="n">
        <v>0.001273148148148148</v>
      </c>
      <c r="L2391" s="13" t="n"/>
    </row>
    <row r="2392">
      <c r="A2392" s="3" t="inlineStr">
        <is>
          <t>PushOffDrive</t>
        </is>
      </c>
      <c r="B2392" s="3" t="inlineStr">
        <is>
          <t>Act_POD_1000501_081412_613</t>
        </is>
      </c>
      <c r="C2392" s="3" t="inlineStr">
        <is>
          <t>1000501</t>
        </is>
      </c>
      <c r="D2392" s="9" t="n">
        <v>396.6</v>
      </c>
      <c r="E2392" s="3" t="inlineStr">
        <is>
          <t>703</t>
        </is>
      </c>
      <c r="F2392" s="3" t="inlineStr">
        <is>
          <t>613</t>
        </is>
      </c>
      <c r="G2392" s="9" t="n">
        <v>297.43</v>
      </c>
      <c r="H2392" s="10" t="n">
        <v>45659.34319444445</v>
      </c>
      <c r="I2392" s="10" t="n">
        <v>45659.34319444445</v>
      </c>
      <c r="J2392" s="10" t="n">
        <v>45659.34535879629</v>
      </c>
      <c r="K2392" s="11" t="n">
        <v>0.002164351851851852</v>
      </c>
      <c r="L2392" s="13" t="n"/>
    </row>
    <row r="2393">
      <c r="A2393" s="3" t="inlineStr">
        <is>
          <t>PushOffDrive</t>
        </is>
      </c>
      <c r="B2393" s="3" t="inlineStr">
        <is>
          <t>Act_POD_1000701_091122_605</t>
        </is>
      </c>
      <c r="C2393" s="3" t="inlineStr">
        <is>
          <t>1000701</t>
        </is>
      </c>
      <c r="D2393" s="9" t="n">
        <v>70.5</v>
      </c>
      <c r="E2393" s="3" t="inlineStr">
        <is>
          <t>727</t>
        </is>
      </c>
      <c r="F2393" s="3" t="inlineStr">
        <is>
          <t>605</t>
        </is>
      </c>
      <c r="G2393" s="9" t="n">
        <v>398.6</v>
      </c>
      <c r="H2393" s="10" t="n">
        <v>45659.38289351852</v>
      </c>
      <c r="I2393" s="10" t="n">
        <v>45659.38289351852</v>
      </c>
      <c r="J2393" s="10" t="n">
        <v>45659.38472222222</v>
      </c>
      <c r="K2393" s="11" t="n">
        <v>0.001828703703703704</v>
      </c>
      <c r="L2393" s="13" t="n"/>
    </row>
    <row r="2394">
      <c r="A2394" s="3" t="inlineStr">
        <is>
          <t>PushOffDrive</t>
        </is>
      </c>
      <c r="B2394" s="3" t="inlineStr">
        <is>
          <t>Act_POD_1000702_091400_629</t>
        </is>
      </c>
      <c r="C2394" s="3" t="inlineStr">
        <is>
          <t>1000702</t>
        </is>
      </c>
      <c r="D2394" s="9" t="n">
        <v>142.2</v>
      </c>
      <c r="E2394" s="3" t="inlineStr">
        <is>
          <t>727</t>
        </is>
      </c>
      <c r="F2394" s="3" t="inlineStr">
        <is>
          <t>629</t>
        </is>
      </c>
      <c r="G2394" s="9" t="n">
        <v>443.59</v>
      </c>
      <c r="H2394" s="10" t="n">
        <v>45659.38472222222</v>
      </c>
      <c r="I2394" s="10" t="n">
        <v>45659.38472222222</v>
      </c>
      <c r="J2394" s="10" t="n">
        <v>45659.38689814815</v>
      </c>
      <c r="K2394" s="11" t="n">
        <v>0.002175925925925926</v>
      </c>
      <c r="L2394" s="13" t="n"/>
    </row>
    <row r="2395">
      <c r="A2395" s="3" t="inlineStr">
        <is>
          <t>PushOffDrive</t>
        </is>
      </c>
      <c r="B2395" s="3" t="inlineStr">
        <is>
          <t>Act_POD_1000601_091814_606</t>
        </is>
      </c>
      <c r="C2395" s="3" t="inlineStr">
        <is>
          <t>1000601</t>
        </is>
      </c>
      <c r="D2395" s="9" t="n">
        <v>21</v>
      </c>
      <c r="E2395" s="3" t="inlineStr">
        <is>
          <t>703</t>
        </is>
      </c>
      <c r="F2395" s="3" t="inlineStr">
        <is>
          <t>606</t>
        </is>
      </c>
      <c r="G2395" s="9" t="n">
        <v>405.03</v>
      </c>
      <c r="H2395" s="10" t="n">
        <v>45659.38766203704</v>
      </c>
      <c r="I2395" s="10" t="n">
        <v>45659.38766203704</v>
      </c>
      <c r="J2395" s="10" t="n">
        <v>45659.38939814815</v>
      </c>
      <c r="K2395" s="11" t="n">
        <v>0.001736111111111111</v>
      </c>
      <c r="L2395" s="13" t="n"/>
    </row>
    <row r="2396">
      <c r="A2396" s="3" t="inlineStr">
        <is>
          <t>PushOffDrive</t>
        </is>
      </c>
      <c r="B2396" s="3" t="inlineStr">
        <is>
          <t>Act_POD_1000602_092044_607</t>
        </is>
      </c>
      <c r="C2396" s="3" t="inlineStr">
        <is>
          <t>1000602</t>
        </is>
      </c>
      <c r="D2396" s="9" t="n">
        <v>19.9</v>
      </c>
      <c r="E2396" s="3" t="inlineStr">
        <is>
          <t>703</t>
        </is>
      </c>
      <c r="F2396" s="3" t="inlineStr">
        <is>
          <t>607</t>
        </is>
      </c>
      <c r="G2396" s="9" t="n">
        <v>378.4</v>
      </c>
      <c r="H2396" s="10" t="n">
        <v>45659.38939814815</v>
      </c>
      <c r="I2396" s="10" t="n">
        <v>45659.38939814815</v>
      </c>
      <c r="J2396" s="10" t="n">
        <v>45659.39101851852</v>
      </c>
      <c r="K2396" s="11" t="n">
        <v>0.00162037037037037</v>
      </c>
      <c r="L2396" s="13" t="n"/>
    </row>
    <row r="2397">
      <c r="A2397" s="3" t="inlineStr">
        <is>
          <t>PushOffDrive</t>
        </is>
      </c>
      <c r="B2397" s="3" t="inlineStr">
        <is>
          <t>Act_POD_1000603_092304_619</t>
        </is>
      </c>
      <c r="C2397" s="3" t="inlineStr">
        <is>
          <t>1000603</t>
        </is>
      </c>
      <c r="D2397" s="9" t="n">
        <v>35.6</v>
      </c>
      <c r="E2397" s="3" t="inlineStr">
        <is>
          <t>703</t>
        </is>
      </c>
      <c r="F2397" s="3" t="inlineStr">
        <is>
          <t>619</t>
        </is>
      </c>
      <c r="G2397" s="9" t="n">
        <v>459.96</v>
      </c>
      <c r="H2397" s="10" t="n">
        <v>45659.39101851852</v>
      </c>
      <c r="I2397" s="10" t="n">
        <v>45659.39101851852</v>
      </c>
      <c r="J2397" s="10" t="n">
        <v>45659.39302083333</v>
      </c>
      <c r="K2397" s="11" t="n">
        <v>0.002002314814814815</v>
      </c>
      <c r="L2397" s="13" t="n"/>
    </row>
    <row r="2398">
      <c r="A2398" s="3" t="inlineStr">
        <is>
          <t>PushOffDrive</t>
        </is>
      </c>
      <c r="B2398" s="3" t="inlineStr">
        <is>
          <t>Act_POD_1000604_092557_606</t>
        </is>
      </c>
      <c r="C2398" s="3" t="inlineStr">
        <is>
          <t>1000604</t>
        </is>
      </c>
      <c r="D2398" s="9" t="n">
        <v>36.4</v>
      </c>
      <c r="E2398" s="3" t="inlineStr">
        <is>
          <t>703</t>
        </is>
      </c>
      <c r="F2398" s="3" t="inlineStr">
        <is>
          <t>606</t>
        </is>
      </c>
      <c r="G2398" s="9" t="n">
        <v>405.03</v>
      </c>
      <c r="H2398" s="10" t="n">
        <v>45659.39302083333</v>
      </c>
      <c r="I2398" s="10" t="n">
        <v>45659.39302083333</v>
      </c>
      <c r="J2398" s="10" t="n">
        <v>45659.39479166667</v>
      </c>
      <c r="K2398" s="11" t="n">
        <v>0.001770833333333333</v>
      </c>
      <c r="L2398" s="13" t="n"/>
    </row>
    <row r="2399">
      <c r="A2399" s="3" t="inlineStr">
        <is>
          <t>PushOffDrive</t>
        </is>
      </c>
      <c r="B2399" s="3" t="inlineStr">
        <is>
          <t>Act_POD_1000605_092830_609</t>
        </is>
      </c>
      <c r="C2399" s="3" t="inlineStr">
        <is>
          <t>1000605</t>
        </is>
      </c>
      <c r="D2399" s="9" t="n">
        <v>54</v>
      </c>
      <c r="E2399" s="3" t="inlineStr">
        <is>
          <t>703</t>
        </is>
      </c>
      <c r="F2399" s="3" t="inlineStr">
        <is>
          <t>609</t>
        </is>
      </c>
      <c r="G2399" s="9" t="n">
        <v>350.87</v>
      </c>
      <c r="H2399" s="10" t="n">
        <v>45659.39479166667</v>
      </c>
      <c r="I2399" s="10" t="n">
        <v>45659.39479166667</v>
      </c>
      <c r="J2399" s="10" t="n">
        <v>45659.39637731481</v>
      </c>
      <c r="K2399" s="11" t="n">
        <v>0.001585648148148148</v>
      </c>
      <c r="L2399" s="13" t="n"/>
    </row>
    <row r="2400">
      <c r="A2400" s="3" t="inlineStr">
        <is>
          <t>PushOffDrive</t>
        </is>
      </c>
      <c r="B2400" s="3" t="inlineStr">
        <is>
          <t>Act_POD_1000606_093047_627</t>
        </is>
      </c>
      <c r="C2400" s="3" t="inlineStr">
        <is>
          <t>1000606</t>
        </is>
      </c>
      <c r="D2400" s="9" t="n">
        <v>12</v>
      </c>
      <c r="E2400" s="3" t="inlineStr">
        <is>
          <t>703</t>
        </is>
      </c>
      <c r="F2400" s="3" t="inlineStr">
        <is>
          <t>627</t>
        </is>
      </c>
      <c r="G2400" s="9" t="n">
        <v>450.42</v>
      </c>
      <c r="H2400" s="10" t="n">
        <v>45659.39637731481</v>
      </c>
      <c r="I2400" s="10" t="n">
        <v>45659.39637731481</v>
      </c>
      <c r="J2400" s="10" t="n">
        <v>45659.39827546296</v>
      </c>
      <c r="K2400" s="11" t="n">
        <v>0.001898148148148148</v>
      </c>
      <c r="L2400" s="13" t="n"/>
    </row>
    <row r="2401">
      <c r="A2401" s="3" t="inlineStr">
        <is>
          <t>PushOffDrive</t>
        </is>
      </c>
      <c r="B2401" s="3" t="inlineStr">
        <is>
          <t>Act_POD_1000607_093331_611</t>
        </is>
      </c>
      <c r="C2401" s="3" t="inlineStr">
        <is>
          <t>1000607</t>
        </is>
      </c>
      <c r="D2401" s="9" t="n">
        <v>31.5</v>
      </c>
      <c r="E2401" s="3" t="inlineStr">
        <is>
          <t>703</t>
        </is>
      </c>
      <c r="F2401" s="3" t="inlineStr">
        <is>
          <t>611</t>
        </is>
      </c>
      <c r="G2401" s="9" t="n">
        <v>324.35</v>
      </c>
      <c r="H2401" s="10" t="n">
        <v>45659.39827546296</v>
      </c>
      <c r="I2401" s="10" t="n">
        <v>45659.39827546296</v>
      </c>
      <c r="J2401" s="10" t="n">
        <v>45659.39969907407</v>
      </c>
      <c r="K2401" s="11" t="n">
        <v>0.001423611111111111</v>
      </c>
      <c r="L2401" s="13" t="n"/>
    </row>
    <row r="2402">
      <c r="A2402" s="3" t="inlineStr">
        <is>
          <t>PushOffDrive</t>
        </is>
      </c>
      <c r="B2402" s="3" t="inlineStr">
        <is>
          <t>Act_POD_1000608_093534_621</t>
        </is>
      </c>
      <c r="C2402" s="3" t="inlineStr">
        <is>
          <t>1000608</t>
        </is>
      </c>
      <c r="D2402" s="9" t="n">
        <v>19.9</v>
      </c>
      <c r="E2402" s="3" t="inlineStr">
        <is>
          <t>703</t>
        </is>
      </c>
      <c r="F2402" s="3" t="inlineStr">
        <is>
          <t>621</t>
        </is>
      </c>
      <c r="G2402" s="9" t="n">
        <v>459.96</v>
      </c>
      <c r="H2402" s="10" t="n">
        <v>45659.39969907407</v>
      </c>
      <c r="I2402" s="10" t="n">
        <v>45659.39969907407</v>
      </c>
      <c r="J2402" s="10" t="n">
        <v>45659.40166666666</v>
      </c>
      <c r="K2402" s="11" t="n">
        <v>0.001967592592592592</v>
      </c>
      <c r="L2402" s="13" t="n"/>
    </row>
    <row r="2403">
      <c r="A2403" s="3" t="inlineStr">
        <is>
          <t>PushOffDrive</t>
        </is>
      </c>
      <c r="B2403" s="3" t="inlineStr">
        <is>
          <t>Act_POD_1000609_093824_629</t>
        </is>
      </c>
      <c r="C2403" s="3" t="inlineStr">
        <is>
          <t>1000609</t>
        </is>
      </c>
      <c r="D2403" s="9" t="n">
        <v>194.2</v>
      </c>
      <c r="E2403" s="3" t="inlineStr">
        <is>
          <t>703</t>
        </is>
      </c>
      <c r="F2403" s="3" t="inlineStr">
        <is>
          <t>629</t>
        </is>
      </c>
      <c r="G2403" s="9" t="n">
        <v>450.42</v>
      </c>
      <c r="H2403" s="10" t="n">
        <v>45659.40166666666</v>
      </c>
      <c r="I2403" s="10" t="n">
        <v>45659.40166666666</v>
      </c>
      <c r="J2403" s="10" t="n">
        <v>45659.40399305556</v>
      </c>
      <c r="K2403" s="11" t="n">
        <v>0.002326388888888889</v>
      </c>
      <c r="L2403" s="13" t="n"/>
    </row>
    <row r="2404">
      <c r="A2404" s="3" t="inlineStr">
        <is>
          <t>PushOffDrive</t>
        </is>
      </c>
      <c r="B2404" s="3" t="inlineStr">
        <is>
          <t>Act_POD_1000610_094145_625</t>
        </is>
      </c>
      <c r="C2404" s="3" t="inlineStr">
        <is>
          <t>1000610</t>
        </is>
      </c>
      <c r="D2404" s="9" t="n">
        <v>15.7</v>
      </c>
      <c r="E2404" s="3" t="inlineStr">
        <is>
          <t>703</t>
        </is>
      </c>
      <c r="F2404" s="3" t="inlineStr">
        <is>
          <t>625</t>
        </is>
      </c>
      <c r="G2404" s="9" t="n">
        <v>477.75</v>
      </c>
      <c r="H2404" s="10" t="n">
        <v>45659.40399305556</v>
      </c>
      <c r="I2404" s="10" t="n">
        <v>45659.40399305556</v>
      </c>
      <c r="J2404" s="10" t="n">
        <v>45659.40601851852</v>
      </c>
      <c r="K2404" s="11" t="n">
        <v>0.002025462962962963</v>
      </c>
      <c r="L2404" s="13" t="n"/>
    </row>
    <row r="2405">
      <c r="A2405" s="3" t="inlineStr">
        <is>
          <t>PushOffDrive</t>
        </is>
      </c>
      <c r="B2405" s="3" t="inlineStr">
        <is>
          <t>Act_POD_1000801_104513_613</t>
        </is>
      </c>
      <c r="C2405" s="3" t="inlineStr">
        <is>
          <t>1000801</t>
        </is>
      </c>
      <c r="D2405" s="9" t="n">
        <v>39.8</v>
      </c>
      <c r="E2405" s="3" t="inlineStr">
        <is>
          <t>703</t>
        </is>
      </c>
      <c r="F2405" s="3" t="inlineStr">
        <is>
          <t>613</t>
        </is>
      </c>
      <c r="G2405" s="9" t="n">
        <v>297.43</v>
      </c>
      <c r="H2405" s="10" t="n">
        <v>45659.44806712963</v>
      </c>
      <c r="I2405" s="10" t="n">
        <v>45659.44806712963</v>
      </c>
      <c r="J2405" s="10" t="n">
        <v>45659.44939814815</v>
      </c>
      <c r="K2405" s="11" t="n">
        <v>0.001331018518518518</v>
      </c>
      <c r="L2405" s="13" t="n"/>
    </row>
    <row r="2406">
      <c r="A2406" s="3" t="inlineStr">
        <is>
          <t>PushOffDrive</t>
        </is>
      </c>
      <c r="B2406" s="3" t="inlineStr">
        <is>
          <t>Act_POD_1000802_104708_605</t>
        </is>
      </c>
      <c r="C2406" s="3" t="inlineStr">
        <is>
          <t>1000802</t>
        </is>
      </c>
      <c r="D2406" s="9" t="n">
        <v>19.9</v>
      </c>
      <c r="E2406" s="3" t="inlineStr">
        <is>
          <t>703</t>
        </is>
      </c>
      <c r="F2406" s="3" t="inlineStr">
        <is>
          <t>605</t>
        </is>
      </c>
      <c r="G2406" s="9" t="n">
        <v>405.43</v>
      </c>
      <c r="H2406" s="10" t="n">
        <v>45659.44939814815</v>
      </c>
      <c r="I2406" s="10" t="n">
        <v>45659.44939814815</v>
      </c>
      <c r="J2406" s="10" t="n">
        <v>45659.45113425926</v>
      </c>
      <c r="K2406" s="11" t="n">
        <v>0.001736111111111111</v>
      </c>
      <c r="L2406" s="13" t="n"/>
    </row>
    <row r="2407">
      <c r="A2407" s="3" t="inlineStr">
        <is>
          <t>PushOffDrive</t>
        </is>
      </c>
      <c r="B2407" s="3" t="inlineStr">
        <is>
          <t>Act_POD_1000803_104938_613</t>
        </is>
      </c>
      <c r="C2407" s="3" t="inlineStr">
        <is>
          <t>1000803</t>
        </is>
      </c>
      <c r="D2407" s="9" t="n">
        <v>327.4</v>
      </c>
      <c r="E2407" s="3" t="inlineStr">
        <is>
          <t>703</t>
        </is>
      </c>
      <c r="F2407" s="3" t="inlineStr">
        <is>
          <t>613</t>
        </is>
      </c>
      <c r="G2407" s="9" t="n">
        <v>297.43</v>
      </c>
      <c r="H2407" s="10" t="n">
        <v>45659.45113425926</v>
      </c>
      <c r="I2407" s="10" t="n">
        <v>45659.45113425926</v>
      </c>
      <c r="J2407" s="10" t="n">
        <v>45659.453125</v>
      </c>
      <c r="K2407" s="11" t="n">
        <v>0.001990740740740741</v>
      </c>
      <c r="L2407" s="13" t="n"/>
    </row>
    <row r="2408">
      <c r="A2408" s="3" t="inlineStr">
        <is>
          <t>PushOffDrive</t>
        </is>
      </c>
      <c r="B2408" s="3" t="inlineStr">
        <is>
          <t>Act_POD_1000901_144613_613</t>
        </is>
      </c>
      <c r="C2408" s="3" t="inlineStr">
        <is>
          <t>1000901</t>
        </is>
      </c>
      <c r="D2408" s="9" t="n">
        <v>287.1</v>
      </c>
      <c r="E2408" s="3" t="inlineStr">
        <is>
          <t>703</t>
        </is>
      </c>
      <c r="F2408" s="3" t="inlineStr">
        <is>
          <t>613</t>
        </is>
      </c>
      <c r="G2408" s="9" t="n">
        <v>297.43</v>
      </c>
      <c r="H2408" s="10" t="n">
        <v>45659.61542824074</v>
      </c>
      <c r="I2408" s="10" t="n">
        <v>45659.61542824074</v>
      </c>
      <c r="J2408" s="10" t="n">
        <v>45659.61733796296</v>
      </c>
      <c r="K2408" s="11" t="n">
        <v>0.001909722222222222</v>
      </c>
      <c r="L2408" s="13" t="n"/>
    </row>
    <row r="2409">
      <c r="A2409" s="3" t="inlineStr">
        <is>
          <t>PushOffDrive</t>
        </is>
      </c>
      <c r="B2409" s="3" t="inlineStr">
        <is>
          <t>Act_POD_1001101_151339_627</t>
        </is>
      </c>
      <c r="C2409" s="3" t="inlineStr">
        <is>
          <t>1001101</t>
        </is>
      </c>
      <c r="D2409" s="9" t="n">
        <v>267.6</v>
      </c>
      <c r="E2409" s="3" t="inlineStr">
        <is>
          <t>703</t>
        </is>
      </c>
      <c r="F2409" s="3" t="inlineStr">
        <is>
          <t>627</t>
        </is>
      </c>
      <c r="G2409" s="9" t="n">
        <v>450.42</v>
      </c>
      <c r="H2409" s="10" t="n">
        <v>45659.63447916666</v>
      </c>
      <c r="I2409" s="10" t="n">
        <v>45659.63447916666</v>
      </c>
      <c r="J2409" s="10" t="n">
        <v>45659.6369675926</v>
      </c>
      <c r="K2409" s="11" t="n">
        <v>0.002488425925925926</v>
      </c>
      <c r="L2409" s="13" t="n"/>
    </row>
    <row r="2410">
      <c r="A2410" s="3" t="inlineStr">
        <is>
          <t>PushOffDrive</t>
        </is>
      </c>
      <c r="B2410" s="3" t="inlineStr">
        <is>
          <t>Act_POD_1001001_152514_619</t>
        </is>
      </c>
      <c r="C2410" s="3" t="inlineStr">
        <is>
          <t>1001001</t>
        </is>
      </c>
      <c r="D2410" s="9" t="n">
        <v>81</v>
      </c>
      <c r="E2410" s="3" t="inlineStr">
        <is>
          <t>727</t>
        </is>
      </c>
      <c r="F2410" s="3" t="inlineStr">
        <is>
          <t>619</t>
        </is>
      </c>
      <c r="G2410" s="9" t="n">
        <v>453.13</v>
      </c>
      <c r="H2410" s="10" t="n">
        <v>45659.64252314815</v>
      </c>
      <c r="I2410" s="10" t="n">
        <v>45659.64252314815</v>
      </c>
      <c r="J2410" s="10" t="n">
        <v>45659.6445949074</v>
      </c>
      <c r="K2410" s="11" t="n">
        <v>0.002071759259259259</v>
      </c>
      <c r="L2410" s="13" t="n"/>
    </row>
    <row r="2411">
      <c r="A2411" s="3" t="inlineStr">
        <is>
          <t>PushOffDrive</t>
        </is>
      </c>
      <c r="B2411" s="3" t="inlineStr">
        <is>
          <t>Act_POD_1001002_152813_627</t>
        </is>
      </c>
      <c r="C2411" s="3" t="inlineStr">
        <is>
          <t>1001002</t>
        </is>
      </c>
      <c r="D2411" s="9" t="n">
        <v>12</v>
      </c>
      <c r="E2411" s="3" t="inlineStr">
        <is>
          <t>727</t>
        </is>
      </c>
      <c r="F2411" s="3" t="inlineStr">
        <is>
          <t>627</t>
        </is>
      </c>
      <c r="G2411" s="9" t="n">
        <v>443.59</v>
      </c>
      <c r="H2411" s="10" t="n">
        <v>45659.6445949074</v>
      </c>
      <c r="I2411" s="10" t="n">
        <v>45659.6445949074</v>
      </c>
      <c r="J2411" s="10" t="n">
        <v>45659.64646990741</v>
      </c>
      <c r="K2411" s="11" t="n">
        <v>0.001875</v>
      </c>
      <c r="L2411" s="13" t="n"/>
    </row>
    <row r="2412">
      <c r="A2412" s="3" t="inlineStr">
        <is>
          <t>PushOffDrive</t>
        </is>
      </c>
      <c r="B2412" s="3" t="inlineStr">
        <is>
          <t>Act_POD_1001003_153055_609</t>
        </is>
      </c>
      <c r="C2412" s="3" t="inlineStr">
        <is>
          <t>1001003</t>
        </is>
      </c>
      <c r="D2412" s="9" t="n">
        <v>14</v>
      </c>
      <c r="E2412" s="3" t="inlineStr">
        <is>
          <t>727</t>
        </is>
      </c>
      <c r="F2412" s="3" t="inlineStr">
        <is>
          <t>609</t>
        </is>
      </c>
      <c r="G2412" s="9" t="n">
        <v>344.04</v>
      </c>
      <c r="H2412" s="10" t="n">
        <v>45659.64646990741</v>
      </c>
      <c r="I2412" s="10" t="n">
        <v>45659.64646990741</v>
      </c>
      <c r="J2412" s="10" t="n">
        <v>45659.64793981481</v>
      </c>
      <c r="K2412" s="11" t="n">
        <v>0.001469907407407407</v>
      </c>
      <c r="L2412" s="13" t="n"/>
    </row>
    <row r="2413">
      <c r="A2413" s="3" t="inlineStr">
        <is>
          <t>PushOffDrive</t>
        </is>
      </c>
      <c r="B2413" s="3" t="inlineStr">
        <is>
          <t>Act_POD_1001004_153302_606</t>
        </is>
      </c>
      <c r="C2413" s="3" t="inlineStr">
        <is>
          <t>1001004</t>
        </is>
      </c>
      <c r="D2413" s="9" t="n">
        <v>16.5</v>
      </c>
      <c r="E2413" s="3" t="inlineStr">
        <is>
          <t>727</t>
        </is>
      </c>
      <c r="F2413" s="3" t="inlineStr">
        <is>
          <t>606</t>
        </is>
      </c>
      <c r="G2413" s="9" t="n">
        <v>398.2</v>
      </c>
      <c r="H2413" s="10" t="n">
        <v>45659.64793981481</v>
      </c>
      <c r="I2413" s="10" t="n">
        <v>45659.64793981481</v>
      </c>
      <c r="J2413" s="10" t="n">
        <v>45659.64962962963</v>
      </c>
      <c r="K2413" s="11" t="n">
        <v>0.001689814814814815</v>
      </c>
      <c r="L2413" s="13" t="n"/>
    </row>
    <row r="2414">
      <c r="A2414" s="3" t="inlineStr">
        <is>
          <t>PushOffDrive</t>
        </is>
      </c>
      <c r="B2414" s="3" t="inlineStr">
        <is>
          <t>Act_POD_1001005_153528_629</t>
        </is>
      </c>
      <c r="C2414" s="3" t="inlineStr">
        <is>
          <t>1001005</t>
        </is>
      </c>
      <c r="D2414" s="9" t="n">
        <v>257.1</v>
      </c>
      <c r="E2414" s="3" t="inlineStr">
        <is>
          <t>727</t>
        </is>
      </c>
      <c r="F2414" s="3" t="inlineStr">
        <is>
          <t>629</t>
        </is>
      </c>
      <c r="G2414" s="9" t="n">
        <v>443.59</v>
      </c>
      <c r="H2414" s="10" t="n">
        <v>45659.64962962963</v>
      </c>
      <c r="I2414" s="10" t="n">
        <v>45659.64962962963</v>
      </c>
      <c r="J2414" s="10" t="n">
        <v>45659.65208333333</v>
      </c>
      <c r="K2414" s="11" t="n">
        <v>0.002453703703703704</v>
      </c>
      <c r="L2414" s="13" t="n"/>
    </row>
    <row r="2415">
      <c r="A2415" s="3" t="inlineStr">
        <is>
          <t>PushOffDrive</t>
        </is>
      </c>
      <c r="B2415" s="3" t="inlineStr">
        <is>
          <t>Act_POD_1001006_153900_611</t>
        </is>
      </c>
      <c r="C2415" s="3" t="inlineStr">
        <is>
          <t>1001006</t>
        </is>
      </c>
      <c r="D2415" s="9" t="n">
        <v>31.5</v>
      </c>
      <c r="E2415" s="3" t="inlineStr">
        <is>
          <t>727</t>
        </is>
      </c>
      <c r="F2415" s="3" t="inlineStr">
        <is>
          <t>611</t>
        </is>
      </c>
      <c r="G2415" s="9" t="n">
        <v>317.52</v>
      </c>
      <c r="H2415" s="10" t="n">
        <v>45659.65208333333</v>
      </c>
      <c r="I2415" s="10" t="n">
        <v>45659.65208333333</v>
      </c>
      <c r="J2415" s="10" t="n">
        <v>45659.65347222222</v>
      </c>
      <c r="K2415" s="11" t="n">
        <v>0.001388888888888889</v>
      </c>
      <c r="L2415" s="13" t="n"/>
    </row>
    <row r="2416">
      <c r="A2416" s="3" t="inlineStr">
        <is>
          <t>PushOffDrive</t>
        </is>
      </c>
      <c r="B2416" s="3" t="inlineStr">
        <is>
          <t>Act_POD_1001007_154100_623</t>
        </is>
      </c>
      <c r="C2416" s="3" t="inlineStr">
        <is>
          <t>1001007</t>
        </is>
      </c>
      <c r="D2416" s="9" t="n">
        <v>42</v>
      </c>
      <c r="E2416" s="3" t="inlineStr">
        <is>
          <t>727</t>
        </is>
      </c>
      <c r="F2416" s="3" t="inlineStr">
        <is>
          <t>623</t>
        </is>
      </c>
      <c r="G2416" s="9" t="n">
        <v>405.22</v>
      </c>
      <c r="H2416" s="10" t="n">
        <v>45659.65347222222</v>
      </c>
      <c r="I2416" s="10" t="n">
        <v>45659.65347222222</v>
      </c>
      <c r="J2416" s="10" t="n">
        <v>45659.65525462963</v>
      </c>
      <c r="K2416" s="11" t="n">
        <v>0.001782407407407407</v>
      </c>
      <c r="L2416" s="13" t="n"/>
    </row>
    <row r="2417">
      <c r="A2417" s="3" t="inlineStr">
        <is>
          <t>PushOffDrive</t>
        </is>
      </c>
      <c r="B2417" s="3" t="inlineStr">
        <is>
          <t>Act_POD_1001008_154334_629</t>
        </is>
      </c>
      <c r="C2417" s="3" t="inlineStr">
        <is>
          <t>1001008</t>
        </is>
      </c>
      <c r="D2417" s="9" t="n">
        <v>117.8</v>
      </c>
      <c r="E2417" s="3" t="inlineStr">
        <is>
          <t>727</t>
        </is>
      </c>
      <c r="F2417" s="3" t="inlineStr">
        <is>
          <t>629</t>
        </is>
      </c>
      <c r="G2417" s="9" t="n">
        <v>443.59</v>
      </c>
      <c r="H2417" s="10" t="n">
        <v>45659.65525462963</v>
      </c>
      <c r="I2417" s="10" t="n">
        <v>45659.65525462963</v>
      </c>
      <c r="J2417" s="10" t="n">
        <v>45659.65738425926</v>
      </c>
      <c r="K2417" s="11" t="n">
        <v>0.00212962962962963</v>
      </c>
      <c r="L2417" s="13" t="n"/>
    </row>
    <row r="2418">
      <c r="A2418" s="3" t="inlineStr">
        <is>
          <t>PushOffDrive</t>
        </is>
      </c>
      <c r="B2418" s="3" t="inlineStr">
        <is>
          <t>Act_POD_1001201_181318_615</t>
        </is>
      </c>
      <c r="C2418" s="3" t="inlineStr">
        <is>
          <t>1001201</t>
        </is>
      </c>
      <c r="D2418" s="9" t="n">
        <v>15.7</v>
      </c>
      <c r="E2418" s="3" t="inlineStr">
        <is>
          <t>727</t>
        </is>
      </c>
      <c r="F2418" s="3" t="inlineStr">
        <is>
          <t>615</t>
        </is>
      </c>
      <c r="G2418" s="9" t="n">
        <v>263.09</v>
      </c>
      <c r="H2418" s="10" t="n">
        <v>45659.75923611111</v>
      </c>
      <c r="I2418" s="10" t="n">
        <v>45659.75923611111</v>
      </c>
      <c r="J2418" s="10" t="n">
        <v>45659.76037037037</v>
      </c>
      <c r="K2418" s="11" t="n">
        <v>0.001134259259259259</v>
      </c>
      <c r="L2418" s="13" t="n"/>
    </row>
    <row r="2419">
      <c r="A2419" s="3" t="inlineStr">
        <is>
          <t>PushOffDrive</t>
        </is>
      </c>
      <c r="B2419" s="3" t="inlineStr">
        <is>
          <t>Act_POD_1001202_181456_625</t>
        </is>
      </c>
      <c r="C2419" s="3" t="inlineStr">
        <is>
          <t>1001202</t>
        </is>
      </c>
      <c r="D2419" s="9" t="n">
        <v>15.7</v>
      </c>
      <c r="E2419" s="3" t="inlineStr">
        <is>
          <t>727</t>
        </is>
      </c>
      <c r="F2419" s="3" t="inlineStr">
        <is>
          <t>625</t>
        </is>
      </c>
      <c r="G2419" s="9" t="n">
        <v>470.92</v>
      </c>
      <c r="H2419" s="10" t="n">
        <v>45659.76037037037</v>
      </c>
      <c r="I2419" s="10" t="n">
        <v>45659.76037037037</v>
      </c>
      <c r="J2419" s="10" t="n">
        <v>45659.76237268518</v>
      </c>
      <c r="K2419" s="11" t="n">
        <v>0.002002314814814815</v>
      </c>
      <c r="L2419" s="13" t="n"/>
    </row>
    <row r="2420">
      <c r="A2420" s="3" t="inlineStr">
        <is>
          <t>PushOffDrive</t>
        </is>
      </c>
      <c r="B2420" s="3" t="inlineStr">
        <is>
          <t>Act_POD_1001203_181749_613</t>
        </is>
      </c>
      <c r="C2420" s="3" t="inlineStr">
        <is>
          <t>1001203</t>
        </is>
      </c>
      <c r="D2420" s="9" t="n">
        <v>21</v>
      </c>
      <c r="E2420" s="3" t="inlineStr">
        <is>
          <t>727</t>
        </is>
      </c>
      <c r="F2420" s="3" t="inlineStr">
        <is>
          <t>613</t>
        </is>
      </c>
      <c r="G2420" s="9" t="n">
        <v>290.6</v>
      </c>
      <c r="H2420" s="10" t="n">
        <v>45659.76237268518</v>
      </c>
      <c r="I2420" s="10" t="n">
        <v>45659.76237268518</v>
      </c>
      <c r="J2420" s="10" t="n">
        <v>45659.76363425926</v>
      </c>
      <c r="K2420" s="11" t="n">
        <v>0.001261574074074074</v>
      </c>
      <c r="L2420" s="13" t="n"/>
    </row>
    <row r="2421">
      <c r="A2421" s="3" t="inlineStr">
        <is>
          <t>PushOffDrive</t>
        </is>
      </c>
      <c r="B2421" s="3" t="inlineStr">
        <is>
          <t>Act_POD_1001204_181938_607</t>
        </is>
      </c>
      <c r="C2421" s="3" t="inlineStr">
        <is>
          <t>1001204</t>
        </is>
      </c>
      <c r="D2421" s="9" t="n">
        <v>14</v>
      </c>
      <c r="E2421" s="3" t="inlineStr">
        <is>
          <t>727</t>
        </is>
      </c>
      <c r="F2421" s="3" t="inlineStr">
        <is>
          <t>607</t>
        </is>
      </c>
      <c r="G2421" s="9" t="n">
        <v>371.57</v>
      </c>
      <c r="H2421" s="10" t="n">
        <v>45659.76363425926</v>
      </c>
      <c r="I2421" s="10" t="n">
        <v>45659.76363425926</v>
      </c>
      <c r="J2421" s="10" t="n">
        <v>45659.76520833333</v>
      </c>
      <c r="K2421" s="11" t="n">
        <v>0.001574074074074074</v>
      </c>
      <c r="L2421" s="13" t="n"/>
    </row>
    <row r="2422">
      <c r="A2422" s="3" t="inlineStr">
        <is>
          <t>PushOffDrive</t>
        </is>
      </c>
      <c r="B2422" s="3" t="inlineStr">
        <is>
          <t>Act_POD_1001205_182154_619</t>
        </is>
      </c>
      <c r="C2422" s="3" t="inlineStr">
        <is>
          <t>1001205</t>
        </is>
      </c>
      <c r="D2422" s="9" t="n">
        <v>135</v>
      </c>
      <c r="E2422" s="3" t="inlineStr">
        <is>
          <t>727</t>
        </is>
      </c>
      <c r="F2422" s="3" t="inlineStr">
        <is>
          <t>619</t>
        </is>
      </c>
      <c r="G2422" s="9" t="n">
        <v>453.13</v>
      </c>
      <c r="H2422" s="10" t="n">
        <v>45659.76520833333</v>
      </c>
      <c r="I2422" s="10" t="n">
        <v>45659.76520833333</v>
      </c>
      <c r="J2422" s="10" t="n">
        <v>45659.76740740741</v>
      </c>
      <c r="K2422" s="11" t="n">
        <v>0.002199074074074074</v>
      </c>
      <c r="L2422" s="13" t="n"/>
    </row>
    <row r="2423">
      <c r="A2423" s="3" t="inlineStr">
        <is>
          <t>PushOffDrive</t>
        </is>
      </c>
      <c r="B2423" s="3" t="inlineStr">
        <is>
          <t>Act_POD_1001206_182504_611</t>
        </is>
      </c>
      <c r="C2423" s="3" t="inlineStr">
        <is>
          <t>1001206</t>
        </is>
      </c>
      <c r="D2423" s="9" t="n">
        <v>15.7</v>
      </c>
      <c r="E2423" s="3" t="inlineStr">
        <is>
          <t>727</t>
        </is>
      </c>
      <c r="F2423" s="3" t="inlineStr">
        <is>
          <t>611</t>
        </is>
      </c>
      <c r="G2423" s="9" t="n">
        <v>317.52</v>
      </c>
      <c r="H2423" s="10" t="n">
        <v>45659.76740740741</v>
      </c>
      <c r="I2423" s="10" t="n">
        <v>45659.76740740741</v>
      </c>
      <c r="J2423" s="10" t="n">
        <v>45659.76877314815</v>
      </c>
      <c r="K2423" s="11" t="n">
        <v>0.001365740740740741</v>
      </c>
      <c r="L2423" s="13" t="n"/>
    </row>
    <row r="2424">
      <c r="A2424" s="3" t="inlineStr">
        <is>
          <t>PushOffDrive</t>
        </is>
      </c>
      <c r="B2424" s="3" t="inlineStr">
        <is>
          <t>Act_POD_1001207_182702_629</t>
        </is>
      </c>
      <c r="C2424" s="3" t="inlineStr">
        <is>
          <t>1001207</t>
        </is>
      </c>
      <c r="D2424" s="9" t="n">
        <v>97.90000000000001</v>
      </c>
      <c r="E2424" s="3" t="inlineStr">
        <is>
          <t>727</t>
        </is>
      </c>
      <c r="F2424" s="3" t="inlineStr">
        <is>
          <t>629</t>
        </is>
      </c>
      <c r="G2424" s="9" t="n">
        <v>443.59</v>
      </c>
      <c r="H2424" s="10" t="n">
        <v>45659.76877314815</v>
      </c>
      <c r="I2424" s="10" t="n">
        <v>45659.76877314815</v>
      </c>
      <c r="J2424" s="10" t="n">
        <v>45659.77084490741</v>
      </c>
      <c r="K2424" s="11" t="n">
        <v>0.002071759259259259</v>
      </c>
      <c r="L2424" s="13" t="n"/>
    </row>
    <row r="2425">
      <c r="A2425" s="3" t="inlineStr">
        <is>
          <t>PushOffDrive</t>
        </is>
      </c>
      <c r="B2425" s="3" t="inlineStr">
        <is>
          <t>Act_POD_1001208_183001_627</t>
        </is>
      </c>
      <c r="C2425" s="3" t="inlineStr">
        <is>
          <t>1001208</t>
        </is>
      </c>
      <c r="D2425" s="9" t="n">
        <v>194.2</v>
      </c>
      <c r="E2425" s="3" t="inlineStr">
        <is>
          <t>727</t>
        </is>
      </c>
      <c r="F2425" s="3" t="inlineStr">
        <is>
          <t>627</t>
        </is>
      </c>
      <c r="G2425" s="9" t="n">
        <v>443.59</v>
      </c>
      <c r="H2425" s="10" t="n">
        <v>45659.77084490741</v>
      </c>
      <c r="I2425" s="10" t="n">
        <v>45659.77084490741</v>
      </c>
      <c r="J2425" s="10" t="n">
        <v>45659.77314814815</v>
      </c>
      <c r="K2425" s="11" t="n">
        <v>0.002303240740740741</v>
      </c>
      <c r="L2425" s="13" t="n"/>
    </row>
    <row r="2426">
      <c r="A2426" s="3" t="inlineStr">
        <is>
          <t>PushOffDrive</t>
        </is>
      </c>
      <c r="B2426" s="3" t="inlineStr">
        <is>
          <t>Act_POD_1001209_183320_621</t>
        </is>
      </c>
      <c r="C2426" s="3" t="inlineStr">
        <is>
          <t>1001209</t>
        </is>
      </c>
      <c r="D2426" s="9" t="n">
        <v>39.8</v>
      </c>
      <c r="E2426" s="3" t="inlineStr">
        <is>
          <t>727</t>
        </is>
      </c>
      <c r="F2426" s="3" t="inlineStr">
        <is>
          <t>621</t>
        </is>
      </c>
      <c r="G2426" s="9" t="n">
        <v>453.13</v>
      </c>
      <c r="H2426" s="10" t="n">
        <v>45659.77314814815</v>
      </c>
      <c r="I2426" s="10" t="n">
        <v>45659.77314814815</v>
      </c>
      <c r="J2426" s="10" t="n">
        <v>45659.77512731482</v>
      </c>
      <c r="K2426" s="11" t="n">
        <v>0.001979166666666667</v>
      </c>
      <c r="L2426" s="13" t="n"/>
    </row>
    <row r="2427">
      <c r="A2427" s="3" t="inlineStr">
        <is>
          <t>PushOffDrive</t>
        </is>
      </c>
      <c r="B2427" s="3" t="inlineStr">
        <is>
          <t>Act_POD_1001210_183611_623</t>
        </is>
      </c>
      <c r="C2427" s="3" t="inlineStr">
        <is>
          <t>1001210</t>
        </is>
      </c>
      <c r="D2427" s="9" t="n">
        <v>19.9</v>
      </c>
      <c r="E2427" s="3" t="inlineStr">
        <is>
          <t>727</t>
        </is>
      </c>
      <c r="F2427" s="3" t="inlineStr">
        <is>
          <t>623</t>
        </is>
      </c>
      <c r="G2427" s="9" t="n">
        <v>405.22</v>
      </c>
      <c r="H2427" s="10" t="n">
        <v>45659.77512731482</v>
      </c>
      <c r="I2427" s="10" t="n">
        <v>45659.77512731482</v>
      </c>
      <c r="J2427" s="10" t="n">
        <v>45659.77686342593</v>
      </c>
      <c r="K2427" s="11" t="n">
        <v>0.001736111111111111</v>
      </c>
      <c r="L2427" s="13" t="n"/>
    </row>
    <row r="2428">
      <c r="A2428" s="3" t="inlineStr">
        <is>
          <t>PushOffDrive</t>
        </is>
      </c>
      <c r="B2428" s="3" t="inlineStr">
        <is>
          <t>Act_POD_1001211_183841_627</t>
        </is>
      </c>
      <c r="C2428" s="3" t="inlineStr">
        <is>
          <t>1001211</t>
        </is>
      </c>
      <c r="D2428" s="9" t="n">
        <v>12</v>
      </c>
      <c r="E2428" s="3" t="inlineStr">
        <is>
          <t>727</t>
        </is>
      </c>
      <c r="F2428" s="3" t="inlineStr">
        <is>
          <t>627</t>
        </is>
      </c>
      <c r="G2428" s="9" t="n">
        <v>443.59</v>
      </c>
      <c r="H2428" s="10" t="n">
        <v>45659.77686342593</v>
      </c>
      <c r="I2428" s="10" t="n">
        <v>45659.77686342593</v>
      </c>
      <c r="J2428" s="10" t="n">
        <v>45659.77873842593</v>
      </c>
      <c r="K2428" s="11" t="n">
        <v>0.001875</v>
      </c>
      <c r="L2428" s="13" t="n"/>
    </row>
    <row r="2429">
      <c r="A2429" s="3" t="inlineStr">
        <is>
          <t>PushOffDrive</t>
        </is>
      </c>
      <c r="B2429" s="3" t="inlineStr">
        <is>
          <t>Act_POD_1001301_203459_627</t>
        </is>
      </c>
      <c r="C2429" s="3" t="inlineStr">
        <is>
          <t>1001301</t>
        </is>
      </c>
      <c r="D2429" s="9" t="n">
        <v>46.5</v>
      </c>
      <c r="E2429" s="3" t="inlineStr">
        <is>
          <t>703</t>
        </is>
      </c>
      <c r="F2429" s="3" t="inlineStr">
        <is>
          <t>627</t>
        </is>
      </c>
      <c r="G2429" s="9" t="n">
        <v>450.42</v>
      </c>
      <c r="H2429" s="10" t="n">
        <v>45659.85762731481</v>
      </c>
      <c r="I2429" s="10" t="n">
        <v>45659.85762731481</v>
      </c>
      <c r="J2429" s="10" t="n">
        <v>45659.85960648148</v>
      </c>
      <c r="K2429" s="11" t="n">
        <v>0.001979166666666667</v>
      </c>
      <c r="L2429" s="13" t="n"/>
    </row>
    <row r="2430">
      <c r="A2430" s="3" t="inlineStr">
        <is>
          <t>PushOffDrive</t>
        </is>
      </c>
      <c r="B2430" s="3" t="inlineStr">
        <is>
          <t>Act_POD_1001302_203750_625</t>
        </is>
      </c>
      <c r="C2430" s="3" t="inlineStr">
        <is>
          <t>1001302</t>
        </is>
      </c>
      <c r="D2430" s="9" t="n">
        <v>15.7</v>
      </c>
      <c r="E2430" s="3" t="inlineStr">
        <is>
          <t>703</t>
        </is>
      </c>
      <c r="F2430" s="3" t="inlineStr">
        <is>
          <t>625</t>
        </is>
      </c>
      <c r="G2430" s="9" t="n">
        <v>477.75</v>
      </c>
      <c r="H2430" s="10" t="n">
        <v>45659.85960648148</v>
      </c>
      <c r="I2430" s="10" t="n">
        <v>45659.85960648148</v>
      </c>
      <c r="J2430" s="10" t="n">
        <v>45659.86164351852</v>
      </c>
      <c r="K2430" s="11" t="n">
        <v>0.002037037037037037</v>
      </c>
      <c r="L2430" s="13" t="n"/>
    </row>
    <row r="2431">
      <c r="A2431" s="3" t="inlineStr">
        <is>
          <t>PushOffDrive</t>
        </is>
      </c>
      <c r="B2431" s="3" t="inlineStr">
        <is>
          <t>Act_POD_1001303_204046_609</t>
        </is>
      </c>
      <c r="C2431" s="3" t="inlineStr">
        <is>
          <t>1001303</t>
        </is>
      </c>
      <c r="D2431" s="9" t="n">
        <v>14</v>
      </c>
      <c r="E2431" s="3" t="inlineStr">
        <is>
          <t>703</t>
        </is>
      </c>
      <c r="F2431" s="3" t="inlineStr">
        <is>
          <t>609</t>
        </is>
      </c>
      <c r="G2431" s="9" t="n">
        <v>350.87</v>
      </c>
      <c r="H2431" s="10" t="n">
        <v>45659.86164351852</v>
      </c>
      <c r="I2431" s="10" t="n">
        <v>45659.86164351852</v>
      </c>
      <c r="J2431" s="10" t="n">
        <v>45659.86313657407</v>
      </c>
      <c r="K2431" s="11" t="n">
        <v>0.001493055555555556</v>
      </c>
      <c r="L2431" s="13" t="n"/>
    </row>
    <row r="2432">
      <c r="A2432" s="3" t="inlineStr">
        <is>
          <t>PushOffDrive</t>
        </is>
      </c>
      <c r="B2432" s="3" t="inlineStr">
        <is>
          <t>Act_POD_1001304_204255_613</t>
        </is>
      </c>
      <c r="C2432" s="3" t="inlineStr">
        <is>
          <t>1001304</t>
        </is>
      </c>
      <c r="D2432" s="9" t="n">
        <v>60.8</v>
      </c>
      <c r="E2432" s="3" t="inlineStr">
        <is>
          <t>703</t>
        </is>
      </c>
      <c r="F2432" s="3" t="inlineStr">
        <is>
          <t>613</t>
        </is>
      </c>
      <c r="G2432" s="9" t="n">
        <v>297.43</v>
      </c>
      <c r="H2432" s="10" t="n">
        <v>45659.86313657407</v>
      </c>
      <c r="I2432" s="10" t="n">
        <v>45659.86313657407</v>
      </c>
      <c r="J2432" s="10" t="n">
        <v>45659.86451388889</v>
      </c>
      <c r="K2432" s="11" t="n">
        <v>0.001377314814814815</v>
      </c>
      <c r="L2432" s="13" t="n"/>
    </row>
    <row r="2433">
      <c r="A2433" s="3" t="inlineStr">
        <is>
          <t>PushOffDrive</t>
        </is>
      </c>
      <c r="B2433" s="3" t="inlineStr">
        <is>
          <t>Act_POD_1001305_204454_611</t>
        </is>
      </c>
      <c r="C2433" s="3" t="inlineStr">
        <is>
          <t>1001305</t>
        </is>
      </c>
      <c r="D2433" s="9" t="n">
        <v>63</v>
      </c>
      <c r="E2433" s="3" t="inlineStr">
        <is>
          <t>703</t>
        </is>
      </c>
      <c r="F2433" s="3" t="inlineStr">
        <is>
          <t>611</t>
        </is>
      </c>
      <c r="G2433" s="9" t="n">
        <v>324.35</v>
      </c>
      <c r="H2433" s="10" t="n">
        <v>45659.86451388889</v>
      </c>
      <c r="I2433" s="10" t="n">
        <v>45659.86451388889</v>
      </c>
      <c r="J2433" s="10" t="n">
        <v>45659.86600694444</v>
      </c>
      <c r="K2433" s="11" t="n">
        <v>0.001493055555555556</v>
      </c>
      <c r="L2433" s="13" t="n"/>
    </row>
    <row r="2434">
      <c r="A2434" s="3" t="inlineStr">
        <is>
          <t>PushOffDrive</t>
        </is>
      </c>
      <c r="B2434" s="3" t="inlineStr">
        <is>
          <t>Act_POD_1001306_204703_623</t>
        </is>
      </c>
      <c r="C2434" s="3" t="inlineStr">
        <is>
          <t>1001306</t>
        </is>
      </c>
      <c r="D2434" s="9" t="n">
        <v>21</v>
      </c>
      <c r="E2434" s="3" t="inlineStr">
        <is>
          <t>703</t>
        </is>
      </c>
      <c r="F2434" s="3" t="inlineStr">
        <is>
          <t>623</t>
        </is>
      </c>
      <c r="G2434" s="9" t="n">
        <v>412.05</v>
      </c>
      <c r="H2434" s="10" t="n">
        <v>45659.86600694444</v>
      </c>
      <c r="I2434" s="10" t="n">
        <v>45659.86600694444</v>
      </c>
      <c r="J2434" s="10" t="n">
        <v>45659.86777777778</v>
      </c>
      <c r="K2434" s="11" t="n">
        <v>0.001770833333333333</v>
      </c>
      <c r="L2434" s="13" t="n"/>
    </row>
    <row r="2435">
      <c r="A2435" s="3" t="inlineStr">
        <is>
          <t>PushOffDrive</t>
        </is>
      </c>
      <c r="B2435" s="3" t="inlineStr">
        <is>
          <t>Act_POD_1001307_204936_619</t>
        </is>
      </c>
      <c r="C2435" s="3" t="inlineStr">
        <is>
          <t>1001307</t>
        </is>
      </c>
      <c r="D2435" s="9" t="n">
        <v>54</v>
      </c>
      <c r="E2435" s="3" t="inlineStr">
        <is>
          <t>703</t>
        </is>
      </c>
      <c r="F2435" s="3" t="inlineStr">
        <is>
          <t>619</t>
        </is>
      </c>
      <c r="G2435" s="9" t="n">
        <v>459.96</v>
      </c>
      <c r="H2435" s="10" t="n">
        <v>45659.86777777778</v>
      </c>
      <c r="I2435" s="10" t="n">
        <v>45659.86777777778</v>
      </c>
      <c r="J2435" s="10" t="n">
        <v>45659.86981481482</v>
      </c>
      <c r="K2435" s="11" t="n">
        <v>0.002037037037037037</v>
      </c>
      <c r="L2435" s="13" t="n"/>
    </row>
    <row r="2436">
      <c r="A2436" s="3" t="inlineStr">
        <is>
          <t>PushOffDrive</t>
        </is>
      </c>
      <c r="B2436" s="3" t="inlineStr">
        <is>
          <t>Act_POD_1001308_205232_606</t>
        </is>
      </c>
      <c r="C2436" s="3" t="inlineStr">
        <is>
          <t>1001308</t>
        </is>
      </c>
      <c r="D2436" s="9" t="n">
        <v>15.7</v>
      </c>
      <c r="E2436" s="3" t="inlineStr">
        <is>
          <t>703</t>
        </is>
      </c>
      <c r="F2436" s="3" t="inlineStr">
        <is>
          <t>606</t>
        </is>
      </c>
      <c r="G2436" s="9" t="n">
        <v>405.03</v>
      </c>
      <c r="H2436" s="10" t="n">
        <v>45659.86981481482</v>
      </c>
      <c r="I2436" s="10" t="n">
        <v>45659.86981481482</v>
      </c>
      <c r="J2436" s="10" t="n">
        <v>45659.87153935185</v>
      </c>
      <c r="K2436" s="11" t="n">
        <v>0.001724537037037037</v>
      </c>
      <c r="L2436" s="13" t="n"/>
    </row>
    <row r="2437">
      <c r="A2437" s="3" t="inlineStr">
        <is>
          <t>PushOffDrive</t>
        </is>
      </c>
      <c r="B2437" s="3" t="inlineStr">
        <is>
          <t>Act_POD_1001309_205501_629</t>
        </is>
      </c>
      <c r="C2437" s="3" t="inlineStr">
        <is>
          <t>1001309</t>
        </is>
      </c>
      <c r="D2437" s="9" t="n">
        <v>19.9</v>
      </c>
      <c r="E2437" s="3" t="inlineStr">
        <is>
          <t>703</t>
        </is>
      </c>
      <c r="F2437" s="3" t="inlineStr">
        <is>
          <t>629</t>
        </is>
      </c>
      <c r="G2437" s="9" t="n">
        <v>450.42</v>
      </c>
      <c r="H2437" s="10" t="n">
        <v>45659.87153935185</v>
      </c>
      <c r="I2437" s="10" t="n">
        <v>45659.87153935185</v>
      </c>
      <c r="J2437" s="10" t="n">
        <v>45659.87346064814</v>
      </c>
      <c r="K2437" s="11" t="n">
        <v>0.001921296296296296</v>
      </c>
      <c r="L2437" s="13" t="n"/>
    </row>
    <row r="2438">
      <c r="A2438" s="3" t="inlineStr">
        <is>
          <t>PushOffDrive</t>
        </is>
      </c>
      <c r="B2438" s="3" t="inlineStr">
        <is>
          <t>Act_POD_1001310_205747_617</t>
        </is>
      </c>
      <c r="C2438" s="3" t="inlineStr">
        <is>
          <t>1001310</t>
        </is>
      </c>
      <c r="D2438" s="9" t="n">
        <v>19.9</v>
      </c>
      <c r="E2438" s="3" t="inlineStr">
        <is>
          <t>703</t>
        </is>
      </c>
      <c r="F2438" s="3" t="inlineStr">
        <is>
          <t>617</t>
        </is>
      </c>
      <c r="G2438" s="9" t="n">
        <v>299.11</v>
      </c>
      <c r="H2438" s="10" t="n">
        <v>45659.87346064814</v>
      </c>
      <c r="I2438" s="10" t="n">
        <v>45659.87346064814</v>
      </c>
      <c r="J2438" s="10" t="n">
        <v>45659.87475694445</v>
      </c>
      <c r="K2438" s="11" t="n">
        <v>0.001296296296296296</v>
      </c>
      <c r="L2438" s="13" t="n"/>
    </row>
    <row r="2439">
      <c r="A2439" s="3" t="inlineStr">
        <is>
          <t>PushOffDrive</t>
        </is>
      </c>
      <c r="B2439" s="3" t="inlineStr">
        <is>
          <t>Act_POD_1001311_205939_613</t>
        </is>
      </c>
      <c r="C2439" s="3" t="inlineStr">
        <is>
          <t>1001311</t>
        </is>
      </c>
      <c r="D2439" s="9" t="n">
        <v>19.9</v>
      </c>
      <c r="E2439" s="3" t="inlineStr">
        <is>
          <t>703</t>
        </is>
      </c>
      <c r="F2439" s="3" t="inlineStr">
        <is>
          <t>613</t>
        </is>
      </c>
      <c r="G2439" s="9" t="n">
        <v>297.43</v>
      </c>
      <c r="H2439" s="10" t="n">
        <v>45659.87475694445</v>
      </c>
      <c r="I2439" s="10" t="n">
        <v>45659.87475694445</v>
      </c>
      <c r="J2439" s="10" t="n">
        <v>45659.87604166667</v>
      </c>
      <c r="K2439" s="11" t="n">
        <v>0.001284722222222222</v>
      </c>
      <c r="L2439" s="13" t="n"/>
    </row>
    <row r="2440">
      <c r="A2440" s="3" t="inlineStr">
        <is>
          <t>PushOffDrive</t>
        </is>
      </c>
      <c r="B2440" s="3" t="inlineStr">
        <is>
          <t>Act_POD_1001401_025312_627</t>
        </is>
      </c>
      <c r="C2440" s="3" t="inlineStr">
        <is>
          <t>1001401</t>
        </is>
      </c>
      <c r="D2440" s="9" t="n">
        <v>88</v>
      </c>
      <c r="E2440" s="3" t="inlineStr">
        <is>
          <t>703</t>
        </is>
      </c>
      <c r="F2440" s="3" t="inlineStr">
        <is>
          <t>627</t>
        </is>
      </c>
      <c r="G2440" s="9" t="n">
        <v>450.42</v>
      </c>
      <c r="H2440" s="10" t="n">
        <v>45660.12027777778</v>
      </c>
      <c r="I2440" s="10" t="n">
        <v>45660.12027777778</v>
      </c>
      <c r="J2440" s="10" t="n">
        <v>45660.12236111111</v>
      </c>
      <c r="K2440" s="11" t="n">
        <v>0.002083333333333333</v>
      </c>
      <c r="L2440" s="13" t="n"/>
    </row>
    <row r="2441">
      <c r="A2441" s="3" t="inlineStr">
        <is>
          <t>PushOffDrive</t>
        </is>
      </c>
      <c r="B2441" s="3" t="inlineStr">
        <is>
          <t>Act_POD_1001402_025612_615</t>
        </is>
      </c>
      <c r="C2441" s="3" t="inlineStr">
        <is>
          <t>1001402</t>
        </is>
      </c>
      <c r="D2441" s="9" t="n">
        <v>15.7</v>
      </c>
      <c r="E2441" s="3" t="inlineStr">
        <is>
          <t>703</t>
        </is>
      </c>
      <c r="F2441" s="3" t="inlineStr">
        <is>
          <t>615</t>
        </is>
      </c>
      <c r="G2441" s="9" t="n">
        <v>269.92</v>
      </c>
      <c r="H2441" s="10" t="n">
        <v>45660.12236111111</v>
      </c>
      <c r="I2441" s="10" t="n">
        <v>45660.12236111111</v>
      </c>
      <c r="J2441" s="10" t="n">
        <v>45660.12351851852</v>
      </c>
      <c r="K2441" s="11" t="n">
        <v>0.001157407407407407</v>
      </c>
      <c r="L2441" s="13" t="n"/>
    </row>
    <row r="2442">
      <c r="A2442" s="3" t="inlineStr">
        <is>
          <t>PushOffDrive</t>
        </is>
      </c>
      <c r="B2442" s="3" t="inlineStr">
        <is>
          <t>Act_POD_1001403_025752_623</t>
        </is>
      </c>
      <c r="C2442" s="3" t="inlineStr">
        <is>
          <t>1001403</t>
        </is>
      </c>
      <c r="D2442" s="9" t="n">
        <v>21</v>
      </c>
      <c r="E2442" s="3" t="inlineStr">
        <is>
          <t>703</t>
        </is>
      </c>
      <c r="F2442" s="3" t="inlineStr">
        <is>
          <t>623</t>
        </is>
      </c>
      <c r="G2442" s="9" t="n">
        <v>412.05</v>
      </c>
      <c r="H2442" s="10" t="n">
        <v>45660.12351851852</v>
      </c>
      <c r="I2442" s="10" t="n">
        <v>45660.12351851852</v>
      </c>
      <c r="J2442" s="10" t="n">
        <v>45660.12527777778</v>
      </c>
      <c r="K2442" s="11" t="n">
        <v>0.001759259259259259</v>
      </c>
      <c r="L2442" s="13" t="n"/>
    </row>
    <row r="2443">
      <c r="A2443" s="3" t="inlineStr">
        <is>
          <t>PushOffDrive</t>
        </is>
      </c>
      <c r="B2443" s="3" t="inlineStr">
        <is>
          <t>Act_POD_1001404_030024_615</t>
        </is>
      </c>
      <c r="C2443" s="3" t="inlineStr">
        <is>
          <t>1001404</t>
        </is>
      </c>
      <c r="D2443" s="9" t="n">
        <v>15.7</v>
      </c>
      <c r="E2443" s="3" t="inlineStr">
        <is>
          <t>703</t>
        </is>
      </c>
      <c r="F2443" s="3" t="inlineStr">
        <is>
          <t>615</t>
        </is>
      </c>
      <c r="G2443" s="9" t="n">
        <v>269.92</v>
      </c>
      <c r="H2443" s="10" t="n">
        <v>45660.12527777778</v>
      </c>
      <c r="I2443" s="10" t="n">
        <v>45660.12527777778</v>
      </c>
      <c r="J2443" s="10" t="n">
        <v>45660.12644675926</v>
      </c>
      <c r="K2443" s="11" t="n">
        <v>0.001168981481481482</v>
      </c>
      <c r="L2443" s="13" t="n"/>
    </row>
    <row r="2444">
      <c r="A2444" s="3" t="inlineStr">
        <is>
          <t>PushOffDrive</t>
        </is>
      </c>
      <c r="B2444" s="3" t="inlineStr">
        <is>
          <t>Act_POD_1001501_044837_613</t>
        </is>
      </c>
      <c r="C2444" s="3" t="inlineStr">
        <is>
          <t>1001501</t>
        </is>
      </c>
      <c r="D2444" s="9" t="n">
        <v>497</v>
      </c>
      <c r="E2444" s="3" t="inlineStr">
        <is>
          <t>703</t>
        </is>
      </c>
      <c r="F2444" s="3" t="inlineStr">
        <is>
          <t>613</t>
        </is>
      </c>
      <c r="G2444" s="9" t="n">
        <v>297.43</v>
      </c>
      <c r="H2444" s="10" t="n">
        <v>45660.20042824074</v>
      </c>
      <c r="I2444" s="10" t="n">
        <v>45660.20042824074</v>
      </c>
      <c r="J2444" s="10" t="n">
        <v>45660.20282407408</v>
      </c>
      <c r="K2444" s="11" t="n">
        <v>0.002395833333333333</v>
      </c>
      <c r="L2444" s="13" t="n"/>
    </row>
    <row r="2445">
      <c r="A2445" s="3" t="inlineStr">
        <is>
          <t>PushOffDrive</t>
        </is>
      </c>
      <c r="B2445" s="3" t="inlineStr">
        <is>
          <t>Act_POD_1001601_060130_607</t>
        </is>
      </c>
      <c r="C2445" s="3" t="inlineStr">
        <is>
          <t>1001601</t>
        </is>
      </c>
      <c r="D2445" s="9" t="n">
        <v>15.7</v>
      </c>
      <c r="E2445" s="3" t="inlineStr">
        <is>
          <t>703</t>
        </is>
      </c>
      <c r="F2445" s="3" t="inlineStr">
        <is>
          <t>607</t>
        </is>
      </c>
      <c r="G2445" s="9" t="n">
        <v>378.4</v>
      </c>
      <c r="H2445" s="10" t="n">
        <v>45660.25104166667</v>
      </c>
      <c r="I2445" s="10" t="n">
        <v>45660.25104166667</v>
      </c>
      <c r="J2445" s="10" t="n">
        <v>45660.25265046296</v>
      </c>
      <c r="K2445" s="11" t="n">
        <v>0.001608796296296296</v>
      </c>
      <c r="L2445" s="13" t="n"/>
    </row>
    <row r="2446">
      <c r="A2446" s="3" t="inlineStr">
        <is>
          <t>PushOffDrive</t>
        </is>
      </c>
      <c r="B2446" s="3" t="inlineStr">
        <is>
          <t>Act_POD_1001602_060349_627</t>
        </is>
      </c>
      <c r="C2446" s="3" t="inlineStr">
        <is>
          <t>1001602</t>
        </is>
      </c>
      <c r="D2446" s="9" t="n">
        <v>19.9</v>
      </c>
      <c r="E2446" s="3" t="inlineStr">
        <is>
          <t>703</t>
        </is>
      </c>
      <c r="F2446" s="3" t="inlineStr">
        <is>
          <t>627</t>
        </is>
      </c>
      <c r="G2446" s="9" t="n">
        <v>450.42</v>
      </c>
      <c r="H2446" s="10" t="n">
        <v>45660.25265046296</v>
      </c>
      <c r="I2446" s="10" t="n">
        <v>45660.25265046296</v>
      </c>
      <c r="J2446" s="10" t="n">
        <v>45660.25457175926</v>
      </c>
      <c r="K2446" s="11" t="n">
        <v>0.001921296296296296</v>
      </c>
      <c r="L2446" s="13" t="n"/>
    </row>
    <row r="2447">
      <c r="A2447" s="3" t="inlineStr">
        <is>
          <t>PushOffDrive</t>
        </is>
      </c>
      <c r="B2447" s="3" t="inlineStr">
        <is>
          <t>Act_POD_1001603_060635_623</t>
        </is>
      </c>
      <c r="C2447" s="3" t="inlineStr">
        <is>
          <t>1001603</t>
        </is>
      </c>
      <c r="D2447" s="9" t="n">
        <v>19.9</v>
      </c>
      <c r="E2447" s="3" t="inlineStr">
        <is>
          <t>703</t>
        </is>
      </c>
      <c r="F2447" s="3" t="inlineStr">
        <is>
          <t>623</t>
        </is>
      </c>
      <c r="G2447" s="9" t="n">
        <v>412.05</v>
      </c>
      <c r="H2447" s="10" t="n">
        <v>45660.25457175926</v>
      </c>
      <c r="I2447" s="10" t="n">
        <v>45660.25457175926</v>
      </c>
      <c r="J2447" s="10" t="n">
        <v>45660.25633101852</v>
      </c>
      <c r="K2447" s="11" t="n">
        <v>0.001759259259259259</v>
      </c>
      <c r="L2447" s="13" t="n"/>
    </row>
    <row r="2448">
      <c r="A2448" s="3" t="inlineStr">
        <is>
          <t>PushOffDrive</t>
        </is>
      </c>
      <c r="B2448" s="3" t="inlineStr">
        <is>
          <t>Act_POD_1001604_060907_615</t>
        </is>
      </c>
      <c r="C2448" s="3" t="inlineStr">
        <is>
          <t>1001604</t>
        </is>
      </c>
      <c r="D2448" s="9" t="n">
        <v>19.9</v>
      </c>
      <c r="E2448" s="3" t="inlineStr">
        <is>
          <t>703</t>
        </is>
      </c>
      <c r="F2448" s="3" t="inlineStr">
        <is>
          <t>615</t>
        </is>
      </c>
      <c r="G2448" s="9" t="n">
        <v>269.92</v>
      </c>
      <c r="H2448" s="10" t="n">
        <v>45660.25633101852</v>
      </c>
      <c r="I2448" s="10" t="n">
        <v>45660.25633101852</v>
      </c>
      <c r="J2448" s="10" t="n">
        <v>45660.25751157408</v>
      </c>
      <c r="K2448" s="11" t="n">
        <v>0.001180555555555556</v>
      </c>
      <c r="L2448" s="13" t="n"/>
    </row>
    <row r="2449">
      <c r="A2449" s="3" t="inlineStr">
        <is>
          <t>PushOffDrive</t>
        </is>
      </c>
      <c r="B2449" s="3" t="inlineStr">
        <is>
          <t>Act_POD_1001605_061049_611</t>
        </is>
      </c>
      <c r="C2449" s="3" t="inlineStr">
        <is>
          <t>1001605</t>
        </is>
      </c>
      <c r="D2449" s="9" t="n">
        <v>16.5</v>
      </c>
      <c r="E2449" s="3" t="inlineStr">
        <is>
          <t>703</t>
        </is>
      </c>
      <c r="F2449" s="3" t="inlineStr">
        <is>
          <t>611</t>
        </is>
      </c>
      <c r="G2449" s="9" t="n">
        <v>324.35</v>
      </c>
      <c r="H2449" s="10" t="n">
        <v>45660.25751157408</v>
      </c>
      <c r="I2449" s="10" t="n">
        <v>45660.25751157408</v>
      </c>
      <c r="J2449" s="10" t="n">
        <v>45660.25890046296</v>
      </c>
      <c r="K2449" s="11" t="n">
        <v>0.001388888888888889</v>
      </c>
      <c r="L2449" s="13" t="n"/>
    </row>
    <row r="2450">
      <c r="A2450" s="3" t="inlineStr">
        <is>
          <t>PushOffDrive</t>
        </is>
      </c>
      <c r="B2450" s="3" t="inlineStr">
        <is>
          <t>Act_POD_1001606_061249_619</t>
        </is>
      </c>
      <c r="C2450" s="3" t="inlineStr">
        <is>
          <t>1001606</t>
        </is>
      </c>
      <c r="D2450" s="9" t="n">
        <v>27</v>
      </c>
      <c r="E2450" s="3" t="inlineStr">
        <is>
          <t>703</t>
        </is>
      </c>
      <c r="F2450" s="3" t="inlineStr">
        <is>
          <t>619</t>
        </is>
      </c>
      <c r="G2450" s="9" t="n">
        <v>459.96</v>
      </c>
      <c r="H2450" s="10" t="n">
        <v>45660.25890046296</v>
      </c>
      <c r="I2450" s="10" t="n">
        <v>45660.25890046296</v>
      </c>
      <c r="J2450" s="10" t="n">
        <v>45660.26087962963</v>
      </c>
      <c r="K2450" s="11" t="n">
        <v>0.001979166666666667</v>
      </c>
      <c r="L2450" s="13" t="n"/>
    </row>
    <row r="2451">
      <c r="A2451" s="3" t="inlineStr">
        <is>
          <t>PushOffDrive</t>
        </is>
      </c>
      <c r="B2451" s="3" t="inlineStr">
        <is>
          <t>Act_POD_1001607_061540_629</t>
        </is>
      </c>
      <c r="C2451" s="3" t="inlineStr">
        <is>
          <t>1001607</t>
        </is>
      </c>
      <c r="D2451" s="9" t="n">
        <v>15.7</v>
      </c>
      <c r="E2451" s="3" t="inlineStr">
        <is>
          <t>703</t>
        </is>
      </c>
      <c r="F2451" s="3" t="inlineStr">
        <is>
          <t>629</t>
        </is>
      </c>
      <c r="G2451" s="9" t="n">
        <v>450.42</v>
      </c>
      <c r="H2451" s="10" t="n">
        <v>45660.26087962963</v>
      </c>
      <c r="I2451" s="10" t="n">
        <v>45660.26087962963</v>
      </c>
      <c r="J2451" s="10" t="n">
        <v>45660.26278935185</v>
      </c>
      <c r="K2451" s="11" t="n">
        <v>0.001909722222222222</v>
      </c>
      <c r="L2451" s="13" t="n"/>
    </row>
    <row r="2452">
      <c r="A2452" s="3" t="inlineStr">
        <is>
          <t>PushOffDrive</t>
        </is>
      </c>
      <c r="B2452" s="3" t="inlineStr">
        <is>
          <t>Act_POD_1001608_061825_627</t>
        </is>
      </c>
      <c r="C2452" s="3" t="inlineStr">
        <is>
          <t>1001608</t>
        </is>
      </c>
      <c r="D2452" s="9" t="n">
        <v>15.7</v>
      </c>
      <c r="E2452" s="3" t="inlineStr">
        <is>
          <t>703</t>
        </is>
      </c>
      <c r="F2452" s="3" t="inlineStr">
        <is>
          <t>627</t>
        </is>
      </c>
      <c r="G2452" s="9" t="n">
        <v>450.42</v>
      </c>
      <c r="H2452" s="10" t="n">
        <v>45660.26278935185</v>
      </c>
      <c r="I2452" s="10" t="n">
        <v>45660.26278935185</v>
      </c>
      <c r="J2452" s="10" t="n">
        <v>45660.26469907408</v>
      </c>
      <c r="K2452" s="11" t="n">
        <v>0.001909722222222222</v>
      </c>
      <c r="L2452" s="13" t="n"/>
    </row>
    <row r="2453">
      <c r="A2453" s="3" t="inlineStr">
        <is>
          <t>PushOffDrive</t>
        </is>
      </c>
      <c r="B2453" s="3" t="inlineStr">
        <is>
          <t>Act_POD_1001609_062110_625</t>
        </is>
      </c>
      <c r="C2453" s="3" t="inlineStr">
        <is>
          <t>1001609</t>
        </is>
      </c>
      <c r="D2453" s="9" t="n">
        <v>125.9</v>
      </c>
      <c r="E2453" s="3" t="inlineStr">
        <is>
          <t>703</t>
        </is>
      </c>
      <c r="F2453" s="3" t="inlineStr">
        <is>
          <t>625</t>
        </is>
      </c>
      <c r="G2453" s="9" t="n">
        <v>477.75</v>
      </c>
      <c r="H2453" s="10" t="n">
        <v>45660.26469907408</v>
      </c>
      <c r="I2453" s="10" t="n">
        <v>45660.26469907408</v>
      </c>
      <c r="J2453" s="10" t="n">
        <v>45660.26697916666</v>
      </c>
      <c r="K2453" s="11" t="n">
        <v>0.002280092592592593</v>
      </c>
      <c r="L2453" s="13" t="n"/>
    </row>
    <row r="2454">
      <c r="A2454" s="3" t="inlineStr">
        <is>
          <t>PushOffDrive</t>
        </is>
      </c>
      <c r="B2454" s="3" t="inlineStr">
        <is>
          <t>Act_POD_1001610_062427_627</t>
        </is>
      </c>
      <c r="C2454" s="3" t="inlineStr">
        <is>
          <t>1001610</t>
        </is>
      </c>
      <c r="D2454" s="9" t="n">
        <v>108.7</v>
      </c>
      <c r="E2454" s="3" t="inlineStr">
        <is>
          <t>703</t>
        </is>
      </c>
      <c r="F2454" s="3" t="inlineStr">
        <is>
          <t>627</t>
        </is>
      </c>
      <c r="G2454" s="9" t="n">
        <v>450.42</v>
      </c>
      <c r="H2454" s="10" t="n">
        <v>45660.26697916666</v>
      </c>
      <c r="I2454" s="10" t="n">
        <v>45660.26697916666</v>
      </c>
      <c r="J2454" s="10" t="n">
        <v>45660.2691087963</v>
      </c>
      <c r="K2454" s="11" t="n">
        <v>0.00212962962962963</v>
      </c>
      <c r="L2454" s="13" t="n"/>
    </row>
    <row r="2455">
      <c r="A2455" s="3" t="inlineStr">
        <is>
          <t>PushOffDrive</t>
        </is>
      </c>
      <c r="B2455" s="3" t="inlineStr">
        <is>
          <t>Act_POD_1001611_062731_619</t>
        </is>
      </c>
      <c r="C2455" s="3" t="inlineStr">
        <is>
          <t>1001611</t>
        </is>
      </c>
      <c r="D2455" s="9" t="n">
        <v>27</v>
      </c>
      <c r="E2455" s="3" t="inlineStr">
        <is>
          <t>703</t>
        </is>
      </c>
      <c r="F2455" s="3" t="inlineStr">
        <is>
          <t>619</t>
        </is>
      </c>
      <c r="G2455" s="9" t="n">
        <v>459.96</v>
      </c>
      <c r="H2455" s="10" t="n">
        <v>45660.2691087963</v>
      </c>
      <c r="I2455" s="10" t="n">
        <v>45660.2691087963</v>
      </c>
      <c r="J2455" s="10" t="n">
        <v>45660.27108796296</v>
      </c>
      <c r="K2455" s="11" t="n">
        <v>0.001979166666666667</v>
      </c>
      <c r="L2455" s="13" t="n"/>
    </row>
    <row r="2456">
      <c r="A2456" s="3" t="inlineStr">
        <is>
          <t>PushOffDrive</t>
        </is>
      </c>
      <c r="B2456" s="3" t="inlineStr">
        <is>
          <t>Act_POD_1001701_064323_623</t>
        </is>
      </c>
      <c r="C2456" s="3" t="inlineStr">
        <is>
          <t>1001701</t>
        </is>
      </c>
      <c r="D2456" s="9" t="n">
        <v>297</v>
      </c>
      <c r="E2456" s="3" t="inlineStr">
        <is>
          <t>703</t>
        </is>
      </c>
      <c r="F2456" s="3" t="inlineStr">
        <is>
          <t>623</t>
        </is>
      </c>
      <c r="G2456" s="9" t="n">
        <v>412.05</v>
      </c>
      <c r="H2456" s="10" t="n">
        <v>45660.28012731481</v>
      </c>
      <c r="I2456" s="10" t="n">
        <v>45660.28012731481</v>
      </c>
      <c r="J2456" s="10" t="n">
        <v>45660.28252314815</v>
      </c>
      <c r="K2456" s="11" t="n">
        <v>0.002395833333333333</v>
      </c>
      <c r="L2456" s="13" t="n"/>
    </row>
    <row r="2457">
      <c r="A2457" s="3" t="inlineStr">
        <is>
          <t>PushOffDrive</t>
        </is>
      </c>
      <c r="B2457" s="3" t="inlineStr">
        <is>
          <t>Act_POD_1001801_073529_629</t>
        </is>
      </c>
      <c r="C2457" s="3" t="inlineStr">
        <is>
          <t>1001801</t>
        </is>
      </c>
      <c r="D2457" s="9" t="n">
        <v>15.7</v>
      </c>
      <c r="E2457" s="3" t="inlineStr">
        <is>
          <t>703</t>
        </is>
      </c>
      <c r="F2457" s="3" t="inlineStr">
        <is>
          <t>629</t>
        </is>
      </c>
      <c r="G2457" s="9" t="n">
        <v>450.42</v>
      </c>
      <c r="H2457" s="10" t="n">
        <v>45660.31630787037</v>
      </c>
      <c r="I2457" s="10" t="n">
        <v>45660.31630787037</v>
      </c>
      <c r="J2457" s="10" t="n">
        <v>45660.31821759259</v>
      </c>
      <c r="K2457" s="11" t="n">
        <v>0.001909722222222222</v>
      </c>
      <c r="L2457" s="13" t="n"/>
    </row>
    <row r="2458">
      <c r="A2458" s="3" t="inlineStr">
        <is>
          <t>PushOffDrive</t>
        </is>
      </c>
      <c r="B2458" s="3" t="inlineStr">
        <is>
          <t>Act_POD_1001802_073814_615</t>
        </is>
      </c>
      <c r="C2458" s="3" t="inlineStr">
        <is>
          <t>1001802</t>
        </is>
      </c>
      <c r="D2458" s="9" t="n">
        <v>19.9</v>
      </c>
      <c r="E2458" s="3" t="inlineStr">
        <is>
          <t>703</t>
        </is>
      </c>
      <c r="F2458" s="3" t="inlineStr">
        <is>
          <t>615</t>
        </is>
      </c>
      <c r="G2458" s="9" t="n">
        <v>269.92</v>
      </c>
      <c r="H2458" s="10" t="n">
        <v>45660.31821759259</v>
      </c>
      <c r="I2458" s="10" t="n">
        <v>45660.31821759259</v>
      </c>
      <c r="J2458" s="10" t="n">
        <v>45660.31938657408</v>
      </c>
      <c r="K2458" s="11" t="n">
        <v>0.001168981481481482</v>
      </c>
      <c r="L2458" s="13" t="n"/>
    </row>
    <row r="2459">
      <c r="A2459" s="3" t="inlineStr">
        <is>
          <t>PushOffDrive</t>
        </is>
      </c>
      <c r="B2459" s="3" t="inlineStr">
        <is>
          <t>Act_POD_1001803_073955_623</t>
        </is>
      </c>
      <c r="C2459" s="3" t="inlineStr">
        <is>
          <t>1001803</t>
        </is>
      </c>
      <c r="D2459" s="9" t="n">
        <v>40.9</v>
      </c>
      <c r="E2459" s="3" t="inlineStr">
        <is>
          <t>703</t>
        </is>
      </c>
      <c r="F2459" s="3" t="inlineStr">
        <is>
          <t>623</t>
        </is>
      </c>
      <c r="G2459" s="9" t="n">
        <v>412.05</v>
      </c>
      <c r="H2459" s="10" t="n">
        <v>45660.31938657408</v>
      </c>
      <c r="I2459" s="10" t="n">
        <v>45660.31938657408</v>
      </c>
      <c r="J2459" s="10" t="n">
        <v>45660.3212037037</v>
      </c>
      <c r="K2459" s="11" t="n">
        <v>0.00181712962962963</v>
      </c>
      <c r="L2459" s="13" t="n"/>
    </row>
    <row r="2460">
      <c r="A2460" s="3" t="inlineStr">
        <is>
          <t>PushOffDrive</t>
        </is>
      </c>
      <c r="B2460" s="3" t="inlineStr">
        <is>
          <t>Act_POD_1001804_074232_613</t>
        </is>
      </c>
      <c r="C2460" s="3" t="inlineStr">
        <is>
          <t>1001804</t>
        </is>
      </c>
      <c r="D2460" s="9" t="n">
        <v>27</v>
      </c>
      <c r="E2460" s="3" t="inlineStr">
        <is>
          <t>703</t>
        </is>
      </c>
      <c r="F2460" s="3" t="inlineStr">
        <is>
          <t>613</t>
        </is>
      </c>
      <c r="G2460" s="9" t="n">
        <v>297.43</v>
      </c>
      <c r="H2460" s="10" t="n">
        <v>45660.3212037037</v>
      </c>
      <c r="I2460" s="10" t="n">
        <v>45660.3212037037</v>
      </c>
      <c r="J2460" s="10" t="n">
        <v>45660.3225</v>
      </c>
      <c r="K2460" s="11" t="n">
        <v>0.001296296296296296</v>
      </c>
      <c r="L2460" s="13" t="n"/>
    </row>
    <row r="2461">
      <c r="A2461" s="3" t="inlineStr">
        <is>
          <t>PushOffDrive</t>
        </is>
      </c>
      <c r="B2461" s="3" t="inlineStr">
        <is>
          <t>Act_POD_1001805_074424_621</t>
        </is>
      </c>
      <c r="C2461" s="3" t="inlineStr">
        <is>
          <t>1001805</t>
        </is>
      </c>
      <c r="D2461" s="9" t="n">
        <v>124.4</v>
      </c>
      <c r="E2461" s="3" t="inlineStr">
        <is>
          <t>703</t>
        </is>
      </c>
      <c r="F2461" s="3" t="inlineStr">
        <is>
          <t>621</t>
        </is>
      </c>
      <c r="G2461" s="9" t="n">
        <v>459.96</v>
      </c>
      <c r="H2461" s="10" t="n">
        <v>45660.3225</v>
      </c>
      <c r="I2461" s="10" t="n">
        <v>45660.3225</v>
      </c>
      <c r="J2461" s="10" t="n">
        <v>45660.32471064815</v>
      </c>
      <c r="K2461" s="11" t="n">
        <v>0.002210648148148148</v>
      </c>
      <c r="L2461" s="13" t="n"/>
    </row>
    <row r="2462">
      <c r="A2462" s="3" t="inlineStr">
        <is>
          <t>PushOffDrive</t>
        </is>
      </c>
      <c r="B2462" s="3" t="inlineStr">
        <is>
          <t>Act_POD_1001806_074735_619</t>
        </is>
      </c>
      <c r="C2462" s="3" t="inlineStr">
        <is>
          <t>1001806</t>
        </is>
      </c>
      <c r="D2462" s="9" t="n">
        <v>63</v>
      </c>
      <c r="E2462" s="3" t="inlineStr">
        <is>
          <t>703</t>
        </is>
      </c>
      <c r="F2462" s="3" t="inlineStr">
        <is>
          <t>619</t>
        </is>
      </c>
      <c r="G2462" s="9" t="n">
        <v>459.96</v>
      </c>
      <c r="H2462" s="10" t="n">
        <v>45660.32471064815</v>
      </c>
      <c r="I2462" s="10" t="n">
        <v>45660.32471064815</v>
      </c>
      <c r="J2462" s="10" t="n">
        <v>45660.32677083334</v>
      </c>
      <c r="K2462" s="11" t="n">
        <v>0.002060185185185185</v>
      </c>
      <c r="L2462" s="13" t="n"/>
    </row>
    <row r="2463">
      <c r="A2463" s="3" t="inlineStr">
        <is>
          <t>PushOffDrive</t>
        </is>
      </c>
      <c r="B2463" s="3" t="inlineStr">
        <is>
          <t>Act_POD_1001807_075033_607</t>
        </is>
      </c>
      <c r="C2463" s="3" t="inlineStr">
        <is>
          <t>1001807</t>
        </is>
      </c>
      <c r="D2463" s="9" t="n">
        <v>15.7</v>
      </c>
      <c r="E2463" s="3" t="inlineStr">
        <is>
          <t>703</t>
        </is>
      </c>
      <c r="F2463" s="3" t="inlineStr">
        <is>
          <t>607</t>
        </is>
      </c>
      <c r="G2463" s="9" t="n">
        <v>378.4</v>
      </c>
      <c r="H2463" s="10" t="n">
        <v>45660.32677083334</v>
      </c>
      <c r="I2463" s="10" t="n">
        <v>45660.32677083334</v>
      </c>
      <c r="J2463" s="10" t="n">
        <v>45660.32837962963</v>
      </c>
      <c r="K2463" s="11" t="n">
        <v>0.001608796296296296</v>
      </c>
      <c r="L2463" s="13" t="n"/>
    </row>
    <row r="2464">
      <c r="A2464" s="3" t="inlineStr">
        <is>
          <t>PushOffDrive</t>
        </is>
      </c>
      <c r="B2464" s="3" t="inlineStr">
        <is>
          <t>Act_POD_1001901_075407_627</t>
        </is>
      </c>
      <c r="C2464" s="3" t="inlineStr">
        <is>
          <t>1001901</t>
        </is>
      </c>
      <c r="D2464" s="9" t="n">
        <v>256.9</v>
      </c>
      <c r="E2464" s="3" t="inlineStr">
        <is>
          <t>727</t>
        </is>
      </c>
      <c r="F2464" s="3" t="inlineStr">
        <is>
          <t>627</t>
        </is>
      </c>
      <c r="G2464" s="9" t="n">
        <v>443.59</v>
      </c>
      <c r="H2464" s="10" t="n">
        <v>45660.32924768519</v>
      </c>
      <c r="I2464" s="10" t="n">
        <v>45660.32924768519</v>
      </c>
      <c r="J2464" s="10" t="n">
        <v>45660.33168981481</v>
      </c>
      <c r="K2464" s="11" t="n">
        <v>0.00244212962962963</v>
      </c>
      <c r="L2464" s="13" t="n"/>
    </row>
    <row r="2465">
      <c r="A2465" s="3" t="inlineStr">
        <is>
          <t>PushOffDrive</t>
        </is>
      </c>
      <c r="B2465" s="3" t="inlineStr">
        <is>
          <t>Act_POD_1002001_081059_625</t>
        </is>
      </c>
      <c r="C2465" s="3" t="inlineStr">
        <is>
          <t>1002001</t>
        </is>
      </c>
      <c r="D2465" s="9" t="n">
        <v>396.6</v>
      </c>
      <c r="E2465" s="3" t="inlineStr">
        <is>
          <t>703</t>
        </is>
      </c>
      <c r="F2465" s="3" t="inlineStr">
        <is>
          <t>625</t>
        </is>
      </c>
      <c r="G2465" s="9" t="n">
        <v>477.75</v>
      </c>
      <c r="H2465" s="10" t="n">
        <v>45660.34096064815</v>
      </c>
      <c r="I2465" s="10" t="n">
        <v>45660.34096064815</v>
      </c>
      <c r="J2465" s="10" t="n">
        <v>45660.34387731482</v>
      </c>
      <c r="K2465" s="11" t="n">
        <v>0.002916666666666667</v>
      </c>
      <c r="L2465" s="13" t="n"/>
    </row>
    <row r="2466">
      <c r="A2466" s="3" t="inlineStr">
        <is>
          <t>PushOffDrive</t>
        </is>
      </c>
      <c r="B2466" s="3" t="inlineStr">
        <is>
          <t>Act_POD_1002101_085844_605</t>
        </is>
      </c>
      <c r="C2466" s="3" t="inlineStr">
        <is>
          <t>1002101</t>
        </is>
      </c>
      <c r="D2466" s="9" t="n">
        <v>131.3</v>
      </c>
      <c r="E2466" s="3" t="inlineStr">
        <is>
          <t>703</t>
        </is>
      </c>
      <c r="F2466" s="3" t="inlineStr">
        <is>
          <t>605</t>
        </is>
      </c>
      <c r="G2466" s="9" t="n">
        <v>405.43</v>
      </c>
      <c r="H2466" s="10" t="n">
        <v>45660.37412037037</v>
      </c>
      <c r="I2466" s="10" t="n">
        <v>45660.37412037037</v>
      </c>
      <c r="J2466" s="10" t="n">
        <v>45660.37611111111</v>
      </c>
      <c r="K2466" s="11" t="n">
        <v>0.001990740740740741</v>
      </c>
      <c r="L2466" s="13" t="n"/>
    </row>
    <row r="2467">
      <c r="A2467" s="3" t="inlineStr">
        <is>
          <t>PushOffDrive</t>
        </is>
      </c>
      <c r="B2467" s="3" t="inlineStr">
        <is>
          <t>Act_POD_1002102_090136_619</t>
        </is>
      </c>
      <c r="C2467" s="3" t="inlineStr">
        <is>
          <t>1002102</t>
        </is>
      </c>
      <c r="D2467" s="9" t="n">
        <v>147.8</v>
      </c>
      <c r="E2467" s="3" t="inlineStr">
        <is>
          <t>703</t>
        </is>
      </c>
      <c r="F2467" s="3" t="inlineStr">
        <is>
          <t>619</t>
        </is>
      </c>
      <c r="G2467" s="9" t="n">
        <v>459.96</v>
      </c>
      <c r="H2467" s="10" t="n">
        <v>45660.37611111111</v>
      </c>
      <c r="I2467" s="10" t="n">
        <v>45660.37611111111</v>
      </c>
      <c r="J2467" s="10" t="n">
        <v>45660.37836805556</v>
      </c>
      <c r="K2467" s="11" t="n">
        <v>0.002256944444444444</v>
      </c>
      <c r="L2467" s="13" t="n"/>
    </row>
    <row r="2468">
      <c r="A2468" s="3" t="inlineStr">
        <is>
          <t>PushOffDrive</t>
        </is>
      </c>
      <c r="B2468" s="3" t="inlineStr">
        <is>
          <t>Act_POD_1002201_104718_627</t>
        </is>
      </c>
      <c r="C2468" s="3" t="inlineStr">
        <is>
          <t>1002201</t>
        </is>
      </c>
      <c r="D2468" s="9" t="n">
        <v>266.4</v>
      </c>
      <c r="E2468" s="3" t="inlineStr">
        <is>
          <t>703</t>
        </is>
      </c>
      <c r="F2468" s="3" t="inlineStr">
        <is>
          <t>627</t>
        </is>
      </c>
      <c r="G2468" s="9" t="n">
        <v>450.42</v>
      </c>
      <c r="H2468" s="10" t="n">
        <v>45660.44951388889</v>
      </c>
      <c r="I2468" s="10" t="n">
        <v>45660.44951388889</v>
      </c>
      <c r="J2468" s="10" t="n">
        <v>45660.45200231481</v>
      </c>
      <c r="K2468" s="11" t="n">
        <v>0.002488425925925926</v>
      </c>
      <c r="L2468" s="13" t="n"/>
    </row>
    <row r="2469">
      <c r="A2469" s="3" t="inlineStr">
        <is>
          <t>PushOffDrive</t>
        </is>
      </c>
      <c r="B2469" s="3" t="inlineStr">
        <is>
          <t>Act_POD_1002202_105053_625</t>
        </is>
      </c>
      <c r="C2469" s="3" t="inlineStr">
        <is>
          <t>1002202</t>
        </is>
      </c>
      <c r="D2469" s="9" t="n">
        <v>21</v>
      </c>
      <c r="E2469" s="3" t="inlineStr">
        <is>
          <t>703</t>
        </is>
      </c>
      <c r="F2469" s="3" t="inlineStr">
        <is>
          <t>625</t>
        </is>
      </c>
      <c r="G2469" s="9" t="n">
        <v>477.75</v>
      </c>
      <c r="H2469" s="10" t="n">
        <v>45660.45200231481</v>
      </c>
      <c r="I2469" s="10" t="n">
        <v>45660.45200231481</v>
      </c>
      <c r="J2469" s="10" t="n">
        <v>45660.45403935185</v>
      </c>
      <c r="K2469" s="11" t="n">
        <v>0.002037037037037037</v>
      </c>
      <c r="L2469" s="13" t="n"/>
    </row>
    <row r="2470">
      <c r="A2470" s="3" t="inlineStr">
        <is>
          <t>PushOffDrive</t>
        </is>
      </c>
      <c r="B2470" s="3" t="inlineStr">
        <is>
          <t>Act_POD_1002203_105349_605</t>
        </is>
      </c>
      <c r="C2470" s="3" t="inlineStr">
        <is>
          <t>1002203</t>
        </is>
      </c>
      <c r="D2470" s="9" t="n">
        <v>146.3</v>
      </c>
      <c r="E2470" s="3" t="inlineStr">
        <is>
          <t>703</t>
        </is>
      </c>
      <c r="F2470" s="3" t="inlineStr">
        <is>
          <t>605</t>
        </is>
      </c>
      <c r="G2470" s="9" t="n">
        <v>405.43</v>
      </c>
      <c r="H2470" s="10" t="n">
        <v>45660.45403935185</v>
      </c>
      <c r="I2470" s="10" t="n">
        <v>45660.45403935185</v>
      </c>
      <c r="J2470" s="10" t="n">
        <v>45660.45607638889</v>
      </c>
      <c r="K2470" s="11" t="n">
        <v>0.002037037037037037</v>
      </c>
      <c r="L2470" s="13" t="n"/>
    </row>
    <row r="2471">
      <c r="A2471" s="3" t="inlineStr">
        <is>
          <t>PushOffDrive</t>
        </is>
      </c>
      <c r="B2471" s="3" t="inlineStr">
        <is>
          <t>Act_POD_1002301_131025_627</t>
        </is>
      </c>
      <c r="C2471" s="3" t="inlineStr">
        <is>
          <t>1002301</t>
        </is>
      </c>
      <c r="D2471" s="9" t="n">
        <v>278</v>
      </c>
      <c r="E2471" s="3" t="inlineStr">
        <is>
          <t>703</t>
        </is>
      </c>
      <c r="F2471" s="3" t="inlineStr">
        <is>
          <t>627</t>
        </is>
      </c>
      <c r="G2471" s="9" t="n">
        <v>450.42</v>
      </c>
      <c r="H2471" s="10" t="n">
        <v>45660.54890046296</v>
      </c>
      <c r="I2471" s="10" t="n">
        <v>45660.54890046296</v>
      </c>
      <c r="J2471" s="10" t="n">
        <v>45660.55142361111</v>
      </c>
      <c r="K2471" s="11" t="n">
        <v>0.002523148148148148</v>
      </c>
      <c r="L2471" s="13" t="n"/>
    </row>
    <row r="2472">
      <c r="A2472" s="3" t="inlineStr">
        <is>
          <t>PushOffDrive</t>
        </is>
      </c>
      <c r="B2472" s="3" t="inlineStr">
        <is>
          <t>Act_POD_1002401_142700_605</t>
        </is>
      </c>
      <c r="C2472" s="3" t="inlineStr">
        <is>
          <t>1002401</t>
        </is>
      </c>
      <c r="D2472" s="9" t="n">
        <v>63</v>
      </c>
      <c r="E2472" s="3" t="inlineStr">
        <is>
          <t>731</t>
        </is>
      </c>
      <c r="F2472" s="3" t="inlineStr">
        <is>
          <t>605</t>
        </is>
      </c>
      <c r="G2472" s="9" t="n">
        <v>490.3200000000001</v>
      </c>
      <c r="H2472" s="10" t="n">
        <v>45660.60208333333</v>
      </c>
      <c r="I2472" s="10" t="n">
        <v>45660.60208333333</v>
      </c>
      <c r="J2472" s="10" t="n">
        <v>45660.60427083333</v>
      </c>
      <c r="K2472" s="11" t="n">
        <v>0.0021875</v>
      </c>
      <c r="L2472" s="13" t="n"/>
    </row>
    <row r="2473">
      <c r="A2473" s="3" t="inlineStr">
        <is>
          <t>PushOffDrive</t>
        </is>
      </c>
      <c r="B2473" s="3" t="inlineStr">
        <is>
          <t>Act_POD_1002501_153045_619</t>
        </is>
      </c>
      <c r="C2473" s="3" t="inlineStr">
        <is>
          <t>1002501</t>
        </is>
      </c>
      <c r="D2473" s="9" t="n">
        <v>15.7</v>
      </c>
      <c r="E2473" s="3" t="inlineStr">
        <is>
          <t>703</t>
        </is>
      </c>
      <c r="F2473" s="3" t="inlineStr">
        <is>
          <t>619</t>
        </is>
      </c>
      <c r="G2473" s="9" t="n">
        <v>459.96</v>
      </c>
      <c r="H2473" s="10" t="n">
        <v>45660.64635416667</v>
      </c>
      <c r="I2473" s="10" t="n">
        <v>45660.64635416667</v>
      </c>
      <c r="J2473" s="10" t="n">
        <v>45660.64829861111</v>
      </c>
      <c r="K2473" s="11" t="n">
        <v>0.001944444444444444</v>
      </c>
      <c r="L2473" s="13" t="n"/>
    </row>
    <row r="2474">
      <c r="A2474" s="3" t="inlineStr">
        <is>
          <t>PushOffDrive</t>
        </is>
      </c>
      <c r="B2474" s="3" t="inlineStr">
        <is>
          <t>Act_POD_1002502_153333_627</t>
        </is>
      </c>
      <c r="C2474" s="3" t="inlineStr">
        <is>
          <t>1002502</t>
        </is>
      </c>
      <c r="D2474" s="9" t="n">
        <v>164.2</v>
      </c>
      <c r="E2474" s="3" t="inlineStr">
        <is>
          <t>703</t>
        </is>
      </c>
      <c r="F2474" s="3" t="inlineStr">
        <is>
          <t>627</t>
        </is>
      </c>
      <c r="G2474" s="9" t="n">
        <v>450.42</v>
      </c>
      <c r="H2474" s="10" t="n">
        <v>45660.64829861111</v>
      </c>
      <c r="I2474" s="10" t="n">
        <v>45660.64829861111</v>
      </c>
      <c r="J2474" s="10" t="n">
        <v>45660.65055555556</v>
      </c>
      <c r="K2474" s="11" t="n">
        <v>0.002256944444444444</v>
      </c>
      <c r="L2474" s="13" t="n"/>
    </row>
    <row r="2475">
      <c r="A2475" s="3" t="inlineStr">
        <is>
          <t>PushOffDrive</t>
        </is>
      </c>
      <c r="B2475" s="3" t="inlineStr">
        <is>
          <t>Act_POD_1002503_153648_613</t>
        </is>
      </c>
      <c r="C2475" s="3" t="inlineStr">
        <is>
          <t>1002503</t>
        </is>
      </c>
      <c r="D2475" s="9" t="n">
        <v>27</v>
      </c>
      <c r="E2475" s="3" t="inlineStr">
        <is>
          <t>703</t>
        </is>
      </c>
      <c r="F2475" s="3" t="inlineStr">
        <is>
          <t>613</t>
        </is>
      </c>
      <c r="G2475" s="9" t="n">
        <v>297.43</v>
      </c>
      <c r="H2475" s="10" t="n">
        <v>45660.65055555556</v>
      </c>
      <c r="I2475" s="10" t="n">
        <v>45660.65055555556</v>
      </c>
      <c r="J2475" s="10" t="n">
        <v>45660.65186342593</v>
      </c>
      <c r="K2475" s="11" t="n">
        <v>0.00130787037037037</v>
      </c>
      <c r="L2475" s="13" t="n"/>
    </row>
    <row r="2476">
      <c r="A2476" s="3" t="inlineStr">
        <is>
          <t>PushOffDrive</t>
        </is>
      </c>
      <c r="B2476" s="3" t="inlineStr">
        <is>
          <t>Act_POD_1002504_153841_619</t>
        </is>
      </c>
      <c r="C2476" s="3" t="inlineStr">
        <is>
          <t>1002504</t>
        </is>
      </c>
      <c r="D2476" s="9" t="n">
        <v>15.7</v>
      </c>
      <c r="E2476" s="3" t="inlineStr">
        <is>
          <t>703</t>
        </is>
      </c>
      <c r="F2476" s="3" t="inlineStr">
        <is>
          <t>619</t>
        </is>
      </c>
      <c r="G2476" s="9" t="n">
        <v>459.96</v>
      </c>
      <c r="H2476" s="10" t="n">
        <v>45660.65186342593</v>
      </c>
      <c r="I2476" s="10" t="n">
        <v>45660.65186342593</v>
      </c>
      <c r="J2476" s="10" t="n">
        <v>45660.65381944444</v>
      </c>
      <c r="K2476" s="11" t="n">
        <v>0.001956018518518518</v>
      </c>
      <c r="L2476" s="13" t="n"/>
    </row>
    <row r="2477">
      <c r="A2477" s="3" t="inlineStr">
        <is>
          <t>PushOffDrive</t>
        </is>
      </c>
      <c r="B2477" s="3" t="inlineStr">
        <is>
          <t>Act_POD_1002505_154130_611</t>
        </is>
      </c>
      <c r="C2477" s="3" t="inlineStr">
        <is>
          <t>1002505</t>
        </is>
      </c>
      <c r="D2477" s="9" t="n">
        <v>21</v>
      </c>
      <c r="E2477" s="3" t="inlineStr">
        <is>
          <t>703</t>
        </is>
      </c>
      <c r="F2477" s="3" t="inlineStr">
        <is>
          <t>611</t>
        </is>
      </c>
      <c r="G2477" s="9" t="n">
        <v>324.35</v>
      </c>
      <c r="H2477" s="10" t="n">
        <v>45660.65381944444</v>
      </c>
      <c r="I2477" s="10" t="n">
        <v>45660.65381944444</v>
      </c>
      <c r="J2477" s="10" t="n">
        <v>45660.65521990741</v>
      </c>
      <c r="K2477" s="11" t="n">
        <v>0.001400462962962963</v>
      </c>
      <c r="L2477" s="13" t="n"/>
    </row>
    <row r="2478">
      <c r="A2478" s="3" t="inlineStr">
        <is>
          <t>PushOffDrive</t>
        </is>
      </c>
      <c r="B2478" s="3" t="inlineStr">
        <is>
          <t>Act_POD_1002506_154331_621</t>
        </is>
      </c>
      <c r="C2478" s="3" t="inlineStr">
        <is>
          <t>1002506</t>
        </is>
      </c>
      <c r="D2478" s="9" t="n">
        <v>19.9</v>
      </c>
      <c r="E2478" s="3" t="inlineStr">
        <is>
          <t>703</t>
        </is>
      </c>
      <c r="F2478" s="3" t="inlineStr">
        <is>
          <t>621</t>
        </is>
      </c>
      <c r="G2478" s="9" t="n">
        <v>459.96</v>
      </c>
      <c r="H2478" s="10" t="n">
        <v>45660.65521990741</v>
      </c>
      <c r="I2478" s="10" t="n">
        <v>45660.65521990741</v>
      </c>
      <c r="J2478" s="10" t="n">
        <v>45660.65717592592</v>
      </c>
      <c r="K2478" s="11" t="n">
        <v>0.001956018518518518</v>
      </c>
      <c r="L2478" s="13" t="n"/>
    </row>
    <row r="2479">
      <c r="A2479" s="3" t="inlineStr">
        <is>
          <t>PushOffDrive</t>
        </is>
      </c>
      <c r="B2479" s="3" t="inlineStr">
        <is>
          <t>Act_POD_1002507_154620_629</t>
        </is>
      </c>
      <c r="C2479" s="3" t="inlineStr">
        <is>
          <t>1002507</t>
        </is>
      </c>
      <c r="D2479" s="9" t="n">
        <v>19.9</v>
      </c>
      <c r="E2479" s="3" t="inlineStr">
        <is>
          <t>703</t>
        </is>
      </c>
      <c r="F2479" s="3" t="inlineStr">
        <is>
          <t>629</t>
        </is>
      </c>
      <c r="G2479" s="9" t="n">
        <v>450.42</v>
      </c>
      <c r="H2479" s="10" t="n">
        <v>45660.65717592592</v>
      </c>
      <c r="I2479" s="10" t="n">
        <v>45660.65717592592</v>
      </c>
      <c r="J2479" s="10" t="n">
        <v>45660.65909722223</v>
      </c>
      <c r="K2479" s="11" t="n">
        <v>0.001921296296296296</v>
      </c>
      <c r="L2479" s="13" t="n"/>
    </row>
    <row r="2480">
      <c r="A2480" s="3" t="inlineStr">
        <is>
          <t>PushOffDrive</t>
        </is>
      </c>
      <c r="B2480" s="3" t="inlineStr">
        <is>
          <t>Act_POD_1002508_154906_617</t>
        </is>
      </c>
      <c r="C2480" s="3" t="inlineStr">
        <is>
          <t>1002508</t>
        </is>
      </c>
      <c r="D2480" s="9" t="n">
        <v>19.9</v>
      </c>
      <c r="E2480" s="3" t="inlineStr">
        <is>
          <t>703</t>
        </is>
      </c>
      <c r="F2480" s="3" t="inlineStr">
        <is>
          <t>617</t>
        </is>
      </c>
      <c r="G2480" s="9" t="n">
        <v>299.11</v>
      </c>
      <c r="H2480" s="10" t="n">
        <v>45660.65909722223</v>
      </c>
      <c r="I2480" s="10" t="n">
        <v>45660.65909722223</v>
      </c>
      <c r="J2480" s="10" t="n">
        <v>45660.66039351852</v>
      </c>
      <c r="K2480" s="11" t="n">
        <v>0.001296296296296296</v>
      </c>
      <c r="L2480" s="13" t="n"/>
    </row>
    <row r="2481">
      <c r="A2481" s="3" t="inlineStr">
        <is>
          <t>PushOffDrive</t>
        </is>
      </c>
      <c r="B2481" s="3" t="inlineStr">
        <is>
          <t>Act_POD_1002509_155058_625</t>
        </is>
      </c>
      <c r="C2481" s="3" t="inlineStr">
        <is>
          <t>1002509</t>
        </is>
      </c>
      <c r="D2481" s="9" t="n">
        <v>15.7</v>
      </c>
      <c r="E2481" s="3" t="inlineStr">
        <is>
          <t>703</t>
        </is>
      </c>
      <c r="F2481" s="3" t="inlineStr">
        <is>
          <t>625</t>
        </is>
      </c>
      <c r="G2481" s="9" t="n">
        <v>477.75</v>
      </c>
      <c r="H2481" s="10" t="n">
        <v>45660.66039351852</v>
      </c>
      <c r="I2481" s="10" t="n">
        <v>45660.66039351852</v>
      </c>
      <c r="J2481" s="10" t="n">
        <v>45660.66241898148</v>
      </c>
      <c r="K2481" s="11" t="n">
        <v>0.002025462962962963</v>
      </c>
      <c r="L2481" s="13" t="n"/>
    </row>
    <row r="2482">
      <c r="A2482" s="3" t="inlineStr">
        <is>
          <t>PushOffDrive</t>
        </is>
      </c>
      <c r="B2482" s="3" t="inlineStr">
        <is>
          <t>Act_POD_1002510_155353_617</t>
        </is>
      </c>
      <c r="C2482" s="3" t="inlineStr">
        <is>
          <t>1002510</t>
        </is>
      </c>
      <c r="D2482" s="9" t="n">
        <v>59.7</v>
      </c>
      <c r="E2482" s="3" t="inlineStr">
        <is>
          <t>703</t>
        </is>
      </c>
      <c r="F2482" s="3" t="inlineStr">
        <is>
          <t>617</t>
        </is>
      </c>
      <c r="G2482" s="9" t="n">
        <v>299.11</v>
      </c>
      <c r="H2482" s="10" t="n">
        <v>45660.66241898148</v>
      </c>
      <c r="I2482" s="10" t="n">
        <v>45660.66241898148</v>
      </c>
      <c r="J2482" s="10" t="n">
        <v>45660.66380787037</v>
      </c>
      <c r="K2482" s="11" t="n">
        <v>0.001388888888888889</v>
      </c>
      <c r="L2482" s="13" t="n"/>
    </row>
    <row r="2483">
      <c r="A2483" s="3" t="inlineStr">
        <is>
          <t>PushOffDrive</t>
        </is>
      </c>
      <c r="B2483" s="3" t="inlineStr">
        <is>
          <t>Act_POD_1002511_155553_623</t>
        </is>
      </c>
      <c r="C2483" s="3" t="inlineStr">
        <is>
          <t>1002511</t>
        </is>
      </c>
      <c r="D2483" s="9" t="n">
        <v>21</v>
      </c>
      <c r="E2483" s="3" t="inlineStr">
        <is>
          <t>703</t>
        </is>
      </c>
      <c r="F2483" s="3" t="inlineStr">
        <is>
          <t>623</t>
        </is>
      </c>
      <c r="G2483" s="9" t="n">
        <v>412.05</v>
      </c>
      <c r="H2483" s="10" t="n">
        <v>45660.66380787037</v>
      </c>
      <c r="I2483" s="10" t="n">
        <v>45660.66380787037</v>
      </c>
      <c r="J2483" s="10" t="n">
        <v>45660.66556712963</v>
      </c>
      <c r="K2483" s="11" t="n">
        <v>0.001759259259259259</v>
      </c>
      <c r="L2483" s="13" t="n"/>
    </row>
    <row r="2484">
      <c r="A2484" s="3" t="inlineStr">
        <is>
          <t>PushOffDrive</t>
        </is>
      </c>
      <c r="B2484" s="3" t="inlineStr">
        <is>
          <t>Act_POD_1002601_155931_605</t>
        </is>
      </c>
      <c r="C2484" s="3" t="inlineStr">
        <is>
          <t>1002601</t>
        </is>
      </c>
      <c r="D2484" s="9" t="n">
        <v>63</v>
      </c>
      <c r="E2484" s="3" t="inlineStr">
        <is>
          <t>731</t>
        </is>
      </c>
      <c r="F2484" s="3" t="inlineStr">
        <is>
          <t>605</t>
        </is>
      </c>
      <c r="G2484" s="9" t="n">
        <v>490.3200000000001</v>
      </c>
      <c r="H2484" s="10" t="n">
        <v>45660.66633101852</v>
      </c>
      <c r="I2484" s="10" t="n">
        <v>45660.66633101852</v>
      </c>
      <c r="J2484" s="10" t="n">
        <v>45660.66851851852</v>
      </c>
      <c r="K2484" s="11" t="n">
        <v>0.0021875</v>
      </c>
      <c r="L2484" s="13" t="n"/>
    </row>
    <row r="2485">
      <c r="A2485" s="3" t="inlineStr">
        <is>
          <t>PushOffDrive</t>
        </is>
      </c>
      <c r="B2485" s="3" t="inlineStr">
        <is>
          <t>Act_POD_1002701_172307_627</t>
        </is>
      </c>
      <c r="C2485" s="3" t="inlineStr">
        <is>
          <t>1002701</t>
        </is>
      </c>
      <c r="D2485" s="9" t="n">
        <v>278.9</v>
      </c>
      <c r="E2485" s="3" t="inlineStr">
        <is>
          <t>703</t>
        </is>
      </c>
      <c r="F2485" s="3" t="inlineStr">
        <is>
          <t>627</t>
        </is>
      </c>
      <c r="G2485" s="9" t="n">
        <v>450.42</v>
      </c>
      <c r="H2485" s="10" t="n">
        <v>45660.72438657407</v>
      </c>
      <c r="I2485" s="10" t="n">
        <v>45660.72438657407</v>
      </c>
      <c r="J2485" s="10" t="n">
        <v>45660.72690972222</v>
      </c>
      <c r="K2485" s="11" t="n">
        <v>0.002523148148148148</v>
      </c>
      <c r="L2485" s="13" t="n"/>
    </row>
    <row r="2486">
      <c r="A2486" s="3" t="inlineStr">
        <is>
          <t>PushOffDrive</t>
        </is>
      </c>
      <c r="B2486" s="3" t="inlineStr">
        <is>
          <t>Act_POD_1002801_202429_629</t>
        </is>
      </c>
      <c r="C2486" s="3" t="inlineStr">
        <is>
          <t>1002801</t>
        </is>
      </c>
      <c r="D2486" s="9" t="n">
        <v>58.9</v>
      </c>
      <c r="E2486" s="3" t="inlineStr">
        <is>
          <t>725</t>
        </is>
      </c>
      <c r="F2486" s="3" t="inlineStr">
        <is>
          <t>629</t>
        </is>
      </c>
      <c r="G2486" s="9" t="n">
        <v>416.23</v>
      </c>
      <c r="H2486" s="10" t="n">
        <v>45660.85033564815</v>
      </c>
      <c r="I2486" s="10" t="n">
        <v>45660.85033564815</v>
      </c>
      <c r="J2486" s="10" t="n">
        <v>45660.85221064815</v>
      </c>
      <c r="K2486" s="11" t="n">
        <v>0.001875</v>
      </c>
      <c r="L2486" s="13" t="n"/>
    </row>
    <row r="2487">
      <c r="A2487" s="3" t="inlineStr">
        <is>
          <t>PushOffDrive</t>
        </is>
      </c>
      <c r="B2487" s="3" t="inlineStr">
        <is>
          <t>Act_POD_1002802_202711_621</t>
        </is>
      </c>
      <c r="C2487" s="3" t="inlineStr">
        <is>
          <t>1002802</t>
        </is>
      </c>
      <c r="D2487" s="9" t="n">
        <v>19.9</v>
      </c>
      <c r="E2487" s="3" t="inlineStr">
        <is>
          <t>725</t>
        </is>
      </c>
      <c r="F2487" s="3" t="inlineStr">
        <is>
          <t>621</t>
        </is>
      </c>
      <c r="G2487" s="9" t="n">
        <v>425.77</v>
      </c>
      <c r="H2487" s="10" t="n">
        <v>45660.85221064815</v>
      </c>
      <c r="I2487" s="10" t="n">
        <v>45660.85221064815</v>
      </c>
      <c r="J2487" s="10" t="n">
        <v>45660.85402777778</v>
      </c>
      <c r="K2487" s="11" t="n">
        <v>0.00181712962962963</v>
      </c>
      <c r="L2487" s="13" t="n"/>
    </row>
    <row r="2488">
      <c r="A2488" s="3" t="inlineStr">
        <is>
          <t>PushOffDrive</t>
        </is>
      </c>
      <c r="B2488" s="3" t="inlineStr">
        <is>
          <t>Act_POD_1002803_202948_613</t>
        </is>
      </c>
      <c r="C2488" s="3" t="inlineStr">
        <is>
          <t>1002803</t>
        </is>
      </c>
      <c r="D2488" s="9" t="n">
        <v>135</v>
      </c>
      <c r="E2488" s="3" t="inlineStr">
        <is>
          <t>725</t>
        </is>
      </c>
      <c r="F2488" s="3" t="inlineStr">
        <is>
          <t>613</t>
        </is>
      </c>
      <c r="G2488" s="9" t="n">
        <v>263.24</v>
      </c>
      <c r="H2488" s="10" t="n">
        <v>45660.85402777778</v>
      </c>
      <c r="I2488" s="10" t="n">
        <v>45660.85402777778</v>
      </c>
      <c r="J2488" s="10" t="n">
        <v>45660.85543981481</v>
      </c>
      <c r="K2488" s="11" t="n">
        <v>0.001412037037037037</v>
      </c>
      <c r="L2488" s="13" t="n"/>
    </row>
    <row r="2489">
      <c r="A2489" s="3" t="inlineStr">
        <is>
          <t>PushOffDrive</t>
        </is>
      </c>
      <c r="B2489" s="3" t="inlineStr">
        <is>
          <t>Act_POD_1002804_203150_627</t>
        </is>
      </c>
      <c r="C2489" s="3" t="inlineStr">
        <is>
          <t>1002804</t>
        </is>
      </c>
      <c r="D2489" s="9" t="n">
        <v>78</v>
      </c>
      <c r="E2489" s="3" t="inlineStr">
        <is>
          <t>725</t>
        </is>
      </c>
      <c r="F2489" s="3" t="inlineStr">
        <is>
          <t>627</t>
        </is>
      </c>
      <c r="G2489" s="9" t="n">
        <v>416.23</v>
      </c>
      <c r="H2489" s="10" t="n">
        <v>45660.85543981481</v>
      </c>
      <c r="I2489" s="10" t="n">
        <v>45660.85543981481</v>
      </c>
      <c r="J2489" s="10" t="n">
        <v>45660.85734953704</v>
      </c>
      <c r="K2489" s="11" t="n">
        <v>0.001909722222222222</v>
      </c>
      <c r="L2489" s="13" t="n"/>
    </row>
    <row r="2490">
      <c r="A2490" s="3" t="inlineStr">
        <is>
          <t>PushOffDrive</t>
        </is>
      </c>
      <c r="B2490" s="3" t="inlineStr">
        <is>
          <t>Act_POD_1002805_203435_619</t>
        </is>
      </c>
      <c r="C2490" s="3" t="inlineStr">
        <is>
          <t>1002805</t>
        </is>
      </c>
      <c r="D2490" s="9" t="n">
        <v>141.7</v>
      </c>
      <c r="E2490" s="3" t="inlineStr">
        <is>
          <t>725</t>
        </is>
      </c>
      <c r="F2490" s="3" t="inlineStr">
        <is>
          <t>619</t>
        </is>
      </c>
      <c r="G2490" s="9" t="n">
        <v>425.77</v>
      </c>
      <c r="H2490" s="10" t="n">
        <v>45660.85734953704</v>
      </c>
      <c r="I2490" s="10" t="n">
        <v>45660.85734953704</v>
      </c>
      <c r="J2490" s="10" t="n">
        <v>45660.85945601852</v>
      </c>
      <c r="K2490" s="11" t="n">
        <v>0.002106481481481481</v>
      </c>
      <c r="L2490" s="13" t="n"/>
    </row>
    <row r="2491">
      <c r="A2491" s="3" t="inlineStr">
        <is>
          <t>PushOffDrive</t>
        </is>
      </c>
      <c r="B2491" s="3" t="inlineStr">
        <is>
          <t>Act_POD_1002806_203737_627</t>
        </is>
      </c>
      <c r="C2491" s="3" t="inlineStr">
        <is>
          <t>1002806</t>
        </is>
      </c>
      <c r="D2491" s="9" t="n">
        <v>108.7</v>
      </c>
      <c r="E2491" s="3" t="inlineStr">
        <is>
          <t>725</t>
        </is>
      </c>
      <c r="F2491" s="3" t="inlineStr">
        <is>
          <t>627</t>
        </is>
      </c>
      <c r="G2491" s="9" t="n">
        <v>416.23</v>
      </c>
      <c r="H2491" s="10" t="n">
        <v>45660.85945601852</v>
      </c>
      <c r="I2491" s="10" t="n">
        <v>45660.85945601852</v>
      </c>
      <c r="J2491" s="10" t="n">
        <v>45660.86143518519</v>
      </c>
      <c r="K2491" s="11" t="n">
        <v>0.001979166666666667</v>
      </c>
      <c r="L2491" s="13" t="n"/>
    </row>
    <row r="2492">
      <c r="A2492" s="3" t="inlineStr">
        <is>
          <t>PushOffDrive</t>
        </is>
      </c>
      <c r="B2492" s="3" t="inlineStr">
        <is>
          <t>Act_POD_1002807_204028_607</t>
        </is>
      </c>
      <c r="C2492" s="3" t="inlineStr">
        <is>
          <t>1002807</t>
        </is>
      </c>
      <c r="D2492" s="9" t="n">
        <v>33.9</v>
      </c>
      <c r="E2492" s="3" t="inlineStr">
        <is>
          <t>725</t>
        </is>
      </c>
      <c r="F2492" s="3" t="inlineStr">
        <is>
          <t>607</t>
        </is>
      </c>
      <c r="G2492" s="9" t="n">
        <v>344.21</v>
      </c>
      <c r="H2492" s="10" t="n">
        <v>45660.86143518519</v>
      </c>
      <c r="I2492" s="10" t="n">
        <v>45660.86143518519</v>
      </c>
      <c r="J2492" s="10" t="n">
        <v>45660.86295138889</v>
      </c>
      <c r="K2492" s="11" t="n">
        <v>0.001516203703703704</v>
      </c>
      <c r="L2492" s="13" t="n"/>
    </row>
    <row r="2493">
      <c r="A2493" s="3" t="inlineStr">
        <is>
          <t>PushOffDrive</t>
        </is>
      </c>
      <c r="B2493" s="3" t="inlineStr">
        <is>
          <t>Act_POD_1002808_204239_611</t>
        </is>
      </c>
      <c r="C2493" s="3" t="inlineStr">
        <is>
          <t>1002808</t>
        </is>
      </c>
      <c r="D2493" s="9" t="n">
        <v>19.9</v>
      </c>
      <c r="E2493" s="3" t="inlineStr">
        <is>
          <t>725</t>
        </is>
      </c>
      <c r="F2493" s="3" t="inlineStr">
        <is>
          <t>611</t>
        </is>
      </c>
      <c r="G2493" s="9" t="n">
        <v>290.16</v>
      </c>
      <c r="H2493" s="10" t="n">
        <v>45660.86295138889</v>
      </c>
      <c r="I2493" s="10" t="n">
        <v>45660.86295138889</v>
      </c>
      <c r="J2493" s="10" t="n">
        <v>45660.86420138889</v>
      </c>
      <c r="K2493" s="11" t="n">
        <v>0.00125</v>
      </c>
      <c r="L2493" s="13" t="n"/>
    </row>
    <row r="2494">
      <c r="A2494" s="3" t="inlineStr">
        <is>
          <t>PushOffDrive</t>
        </is>
      </c>
      <c r="B2494" s="3" t="inlineStr">
        <is>
          <t>Act_POD_1002901_212711_605</t>
        </is>
      </c>
      <c r="C2494" s="3" t="inlineStr">
        <is>
          <t>1002901</t>
        </is>
      </c>
      <c r="D2494" s="9" t="n">
        <v>19.9</v>
      </c>
      <c r="E2494" s="3" t="inlineStr">
        <is>
          <t>727</t>
        </is>
      </c>
      <c r="F2494" s="3" t="inlineStr">
        <is>
          <t>605</t>
        </is>
      </c>
      <c r="G2494" s="9" t="n">
        <v>398.6</v>
      </c>
      <c r="H2494" s="10" t="n">
        <v>45660.89387731482</v>
      </c>
      <c r="I2494" s="10" t="n">
        <v>45660.89387731482</v>
      </c>
      <c r="J2494" s="10" t="n">
        <v>45660.89559027777</v>
      </c>
      <c r="K2494" s="11" t="n">
        <v>0.001712962962962963</v>
      </c>
      <c r="L2494" s="13" t="n"/>
    </row>
    <row r="2495">
      <c r="A2495" s="3" t="inlineStr">
        <is>
          <t>PushOffDrive</t>
        </is>
      </c>
      <c r="B2495" s="3" t="inlineStr">
        <is>
          <t>Act_POD_1002902_212939_619</t>
        </is>
      </c>
      <c r="C2495" s="3" t="inlineStr">
        <is>
          <t>1002902</t>
        </is>
      </c>
      <c r="D2495" s="9" t="n">
        <v>69.7</v>
      </c>
      <c r="E2495" s="3" t="inlineStr">
        <is>
          <t>727</t>
        </is>
      </c>
      <c r="F2495" s="3" t="inlineStr">
        <is>
          <t>619</t>
        </is>
      </c>
      <c r="G2495" s="9" t="n">
        <v>453.13</v>
      </c>
      <c r="H2495" s="10" t="n">
        <v>45660.89559027777</v>
      </c>
      <c r="I2495" s="10" t="n">
        <v>45660.89559027777</v>
      </c>
      <c r="J2495" s="10" t="n">
        <v>45660.89763888889</v>
      </c>
      <c r="K2495" s="11" t="n">
        <v>0.002048611111111111</v>
      </c>
      <c r="L2495" s="13" t="n"/>
    </row>
    <row r="2496">
      <c r="A2496" s="3" t="inlineStr">
        <is>
          <t>PushOffDrive</t>
        </is>
      </c>
      <c r="B2496" s="3" t="inlineStr">
        <is>
          <t>Act_POD_1002903_213236_627</t>
        </is>
      </c>
      <c r="C2496" s="3" t="inlineStr">
        <is>
          <t>1002903</t>
        </is>
      </c>
      <c r="D2496" s="9" t="n">
        <v>12</v>
      </c>
      <c r="E2496" s="3" t="inlineStr">
        <is>
          <t>727</t>
        </is>
      </c>
      <c r="F2496" s="3" t="inlineStr">
        <is>
          <t>627</t>
        </is>
      </c>
      <c r="G2496" s="9" t="n">
        <v>443.59</v>
      </c>
      <c r="H2496" s="10" t="n">
        <v>45660.89763888889</v>
      </c>
      <c r="I2496" s="10" t="n">
        <v>45660.89763888889</v>
      </c>
      <c r="J2496" s="10" t="n">
        <v>45660.89951388889</v>
      </c>
      <c r="K2496" s="11" t="n">
        <v>0.001875</v>
      </c>
      <c r="L2496" s="13" t="n"/>
    </row>
    <row r="2497">
      <c r="A2497" s="3" t="inlineStr">
        <is>
          <t>PushOffDrive</t>
        </is>
      </c>
      <c r="B2497" s="3" t="inlineStr">
        <is>
          <t>Act_POD_1002904_213518_619</t>
        </is>
      </c>
      <c r="C2497" s="3" t="inlineStr">
        <is>
          <t>1002904</t>
        </is>
      </c>
      <c r="D2497" s="9" t="n">
        <v>78</v>
      </c>
      <c r="E2497" s="3" t="inlineStr">
        <is>
          <t>727</t>
        </is>
      </c>
      <c r="F2497" s="3" t="inlineStr">
        <is>
          <t>619</t>
        </is>
      </c>
      <c r="G2497" s="9" t="n">
        <v>453.13</v>
      </c>
      <c r="H2497" s="10" t="n">
        <v>45660.89951388889</v>
      </c>
      <c r="I2497" s="10" t="n">
        <v>45660.89951388889</v>
      </c>
      <c r="J2497" s="10" t="n">
        <v>45660.90158564815</v>
      </c>
      <c r="K2497" s="11" t="n">
        <v>0.002071759259259259</v>
      </c>
      <c r="L2497" s="13" t="n"/>
    </row>
    <row r="2498">
      <c r="A2498" s="3" t="inlineStr">
        <is>
          <t>PushOffDrive</t>
        </is>
      </c>
      <c r="B2498" s="3" t="inlineStr">
        <is>
          <t>Act_POD_1002905_213817_617</t>
        </is>
      </c>
      <c r="C2498" s="3" t="inlineStr">
        <is>
          <t>1002905</t>
        </is>
      </c>
      <c r="D2498" s="9" t="n">
        <v>15.7</v>
      </c>
      <c r="E2498" s="3" t="inlineStr">
        <is>
          <t>727</t>
        </is>
      </c>
      <c r="F2498" s="3" t="inlineStr">
        <is>
          <t>617</t>
        </is>
      </c>
      <c r="G2498" s="9" t="n">
        <v>292.28</v>
      </c>
      <c r="H2498" s="10" t="n">
        <v>45660.90158564815</v>
      </c>
      <c r="I2498" s="10" t="n">
        <v>45660.90158564815</v>
      </c>
      <c r="J2498" s="10" t="n">
        <v>45660.90283564815</v>
      </c>
      <c r="K2498" s="11" t="n">
        <v>0.00125</v>
      </c>
      <c r="L2498" s="13" t="n"/>
    </row>
    <row r="2499">
      <c r="A2499" s="3" t="inlineStr">
        <is>
          <t>PushOffDrive</t>
        </is>
      </c>
      <c r="B2499" s="3" t="inlineStr">
        <is>
          <t>Act_POD_1002906_214005_617</t>
        </is>
      </c>
      <c r="C2499" s="3" t="inlineStr">
        <is>
          <t>1002906</t>
        </is>
      </c>
      <c r="D2499" s="9" t="n">
        <v>81</v>
      </c>
      <c r="E2499" s="3" t="inlineStr">
        <is>
          <t>727</t>
        </is>
      </c>
      <c r="F2499" s="3" t="inlineStr">
        <is>
          <t>617</t>
        </is>
      </c>
      <c r="G2499" s="9" t="n">
        <v>292.28</v>
      </c>
      <c r="H2499" s="10" t="n">
        <v>45660.90283564815</v>
      </c>
      <c r="I2499" s="10" t="n">
        <v>45660.90283564815</v>
      </c>
      <c r="J2499" s="10" t="n">
        <v>45660.90424768518</v>
      </c>
      <c r="K2499" s="11" t="n">
        <v>0.001412037037037037</v>
      </c>
      <c r="L2499" s="13" t="n"/>
    </row>
    <row r="2500">
      <c r="A2500" s="3" t="inlineStr">
        <is>
          <t>PushOffDrive</t>
        </is>
      </c>
      <c r="B2500" s="3" t="inlineStr">
        <is>
          <t>Act_POD_1002907_214207_611</t>
        </is>
      </c>
      <c r="C2500" s="3" t="inlineStr">
        <is>
          <t>1002907</t>
        </is>
      </c>
      <c r="D2500" s="9" t="n">
        <v>16.5</v>
      </c>
      <c r="E2500" s="3" t="inlineStr">
        <is>
          <t>727</t>
        </is>
      </c>
      <c r="F2500" s="3" t="inlineStr">
        <is>
          <t>611</t>
        </is>
      </c>
      <c r="G2500" s="9" t="n">
        <v>317.52</v>
      </c>
      <c r="H2500" s="10" t="n">
        <v>45660.90424768518</v>
      </c>
      <c r="I2500" s="10" t="n">
        <v>45660.90424768518</v>
      </c>
      <c r="J2500" s="10" t="n">
        <v>45660.90560185185</v>
      </c>
      <c r="K2500" s="11" t="n">
        <v>0.001354166666666667</v>
      </c>
      <c r="L2500" s="13" t="n"/>
    </row>
    <row r="2501">
      <c r="A2501" s="3" t="inlineStr">
        <is>
          <t>PushOffDrive</t>
        </is>
      </c>
      <c r="B2501" s="3" t="inlineStr">
        <is>
          <t>Act_POD_1002908_214404_623</t>
        </is>
      </c>
      <c r="C2501" s="3" t="inlineStr">
        <is>
          <t>1002908</t>
        </is>
      </c>
      <c r="D2501" s="9" t="n">
        <v>61.9</v>
      </c>
      <c r="E2501" s="3" t="inlineStr">
        <is>
          <t>727</t>
        </is>
      </c>
      <c r="F2501" s="3" t="inlineStr">
        <is>
          <t>623</t>
        </is>
      </c>
      <c r="G2501" s="9" t="n">
        <v>405.22</v>
      </c>
      <c r="H2501" s="10" t="n">
        <v>45660.90560185185</v>
      </c>
      <c r="I2501" s="10" t="n">
        <v>45660.90560185185</v>
      </c>
      <c r="J2501" s="10" t="n">
        <v>45660.90743055556</v>
      </c>
      <c r="K2501" s="11" t="n">
        <v>0.001828703703703704</v>
      </c>
      <c r="L2501" s="13" t="n"/>
    </row>
    <row r="2502">
      <c r="A2502" s="3" t="inlineStr">
        <is>
          <t>PushOffDrive</t>
        </is>
      </c>
      <c r="B2502" s="3" t="inlineStr">
        <is>
          <t>Act_POD_1002909_214642_621</t>
        </is>
      </c>
      <c r="C2502" s="3" t="inlineStr">
        <is>
          <t>1002909</t>
        </is>
      </c>
      <c r="D2502" s="9" t="n">
        <v>19.9</v>
      </c>
      <c r="E2502" s="3" t="inlineStr">
        <is>
          <t>727</t>
        </is>
      </c>
      <c r="F2502" s="3" t="inlineStr">
        <is>
          <t>621</t>
        </is>
      </c>
      <c r="G2502" s="9" t="n">
        <v>453.13</v>
      </c>
      <c r="H2502" s="10" t="n">
        <v>45660.90743055556</v>
      </c>
      <c r="I2502" s="10" t="n">
        <v>45660.90743055556</v>
      </c>
      <c r="J2502" s="10" t="n">
        <v>45660.909375</v>
      </c>
      <c r="K2502" s="11" t="n">
        <v>0.001944444444444444</v>
      </c>
      <c r="L2502" s="13" t="n"/>
    </row>
    <row r="2503">
      <c r="A2503" s="3" t="inlineStr">
        <is>
          <t>PushOffDrive</t>
        </is>
      </c>
      <c r="B2503" s="3" t="inlineStr">
        <is>
          <t>Act_POD_1002910_214930_615</t>
        </is>
      </c>
      <c r="C2503" s="3" t="inlineStr">
        <is>
          <t>1002910</t>
        </is>
      </c>
      <c r="D2503" s="9" t="n">
        <v>110.2</v>
      </c>
      <c r="E2503" s="3" t="inlineStr">
        <is>
          <t>727</t>
        </is>
      </c>
      <c r="F2503" s="3" t="inlineStr">
        <is>
          <t>615</t>
        </is>
      </c>
      <c r="G2503" s="9" t="n">
        <v>263.09</v>
      </c>
      <c r="H2503" s="10" t="n">
        <v>45660.909375</v>
      </c>
      <c r="I2503" s="10" t="n">
        <v>45660.909375</v>
      </c>
      <c r="J2503" s="10" t="n">
        <v>45660.91071759259</v>
      </c>
      <c r="K2503" s="11" t="n">
        <v>0.001342592592592592</v>
      </c>
      <c r="L2503" s="13" t="n"/>
    </row>
    <row r="2504">
      <c r="A2504" s="3" t="inlineStr">
        <is>
          <t>PushOffDrive</t>
        </is>
      </c>
      <c r="B2504" s="3" t="inlineStr">
        <is>
          <t>Act_POD_1002911_215126_611</t>
        </is>
      </c>
      <c r="C2504" s="3" t="inlineStr">
        <is>
          <t>1002911</t>
        </is>
      </c>
      <c r="D2504" s="9" t="n">
        <v>36.4</v>
      </c>
      <c r="E2504" s="3" t="inlineStr">
        <is>
          <t>727</t>
        </is>
      </c>
      <c r="F2504" s="3" t="inlineStr">
        <is>
          <t>611</t>
        </is>
      </c>
      <c r="G2504" s="9" t="n">
        <v>317.52</v>
      </c>
      <c r="H2504" s="10" t="n">
        <v>45660.91071759259</v>
      </c>
      <c r="I2504" s="10" t="n">
        <v>45660.91071759259</v>
      </c>
      <c r="J2504" s="10" t="n">
        <v>45660.91212962963</v>
      </c>
      <c r="K2504" s="11" t="n">
        <v>0.001412037037037037</v>
      </c>
      <c r="L2504" s="13" t="n"/>
    </row>
    <row r="2505">
      <c r="A2505" s="3" t="inlineStr">
        <is>
          <t>PushOffDrive</t>
        </is>
      </c>
      <c r="B2505" s="3" t="inlineStr">
        <is>
          <t>Act_POD_1002912_215328_615</t>
        </is>
      </c>
      <c r="C2505" s="3" t="inlineStr">
        <is>
          <t>1002912</t>
        </is>
      </c>
      <c r="D2505" s="9" t="n">
        <v>19.9</v>
      </c>
      <c r="E2505" s="3" t="inlineStr">
        <is>
          <t>727</t>
        </is>
      </c>
      <c r="F2505" s="3" t="inlineStr">
        <is>
          <t>615</t>
        </is>
      </c>
      <c r="G2505" s="9" t="n">
        <v>263.09</v>
      </c>
      <c r="H2505" s="10" t="n">
        <v>45660.91212962963</v>
      </c>
      <c r="I2505" s="10" t="n">
        <v>45660.91212962963</v>
      </c>
      <c r="J2505" s="10" t="n">
        <v>45660.91327546296</v>
      </c>
      <c r="K2505" s="11" t="n">
        <v>0.001145833333333333</v>
      </c>
      <c r="L2505" s="13" t="n"/>
    </row>
    <row r="2506">
      <c r="A2506" s="3" t="inlineStr">
        <is>
          <t>PushOffDrive</t>
        </is>
      </c>
      <c r="B2506" s="3" t="inlineStr">
        <is>
          <t>Act_POD_1003001_055322_615</t>
        </is>
      </c>
      <c r="C2506" s="3" t="inlineStr">
        <is>
          <t>1003001</t>
        </is>
      </c>
      <c r="D2506" s="9" t="n">
        <v>220.4</v>
      </c>
      <c r="E2506" s="3" t="inlineStr">
        <is>
          <t>703</t>
        </is>
      </c>
      <c r="F2506" s="3" t="inlineStr">
        <is>
          <t>615</t>
        </is>
      </c>
      <c r="G2506" s="9" t="n">
        <v>269.92</v>
      </c>
      <c r="H2506" s="10" t="n">
        <v>45661.24539351852</v>
      </c>
      <c r="I2506" s="10" t="n">
        <v>45661.24539351852</v>
      </c>
      <c r="J2506" s="10" t="n">
        <v>45661.24702546297</v>
      </c>
      <c r="K2506" s="11" t="n">
        <v>0.001631944444444445</v>
      </c>
      <c r="L2506" s="13" t="n"/>
    </row>
    <row r="2507">
      <c r="A2507" s="3" t="inlineStr">
        <is>
          <t>PushOffDrive</t>
        </is>
      </c>
      <c r="B2507" s="3" t="inlineStr">
        <is>
          <t>Act_POD_1003002_055543_613</t>
        </is>
      </c>
      <c r="C2507" s="3" t="inlineStr">
        <is>
          <t>1003002</t>
        </is>
      </c>
      <c r="D2507" s="9" t="n">
        <v>19.9</v>
      </c>
      <c r="E2507" s="3" t="inlineStr">
        <is>
          <t>703</t>
        </is>
      </c>
      <c r="F2507" s="3" t="inlineStr">
        <is>
          <t>613</t>
        </is>
      </c>
      <c r="G2507" s="9" t="n">
        <v>297.43</v>
      </c>
      <c r="H2507" s="10" t="n">
        <v>45661.24702546297</v>
      </c>
      <c r="I2507" s="10" t="n">
        <v>45661.24702546297</v>
      </c>
      <c r="J2507" s="10" t="n">
        <v>45661.24831018518</v>
      </c>
      <c r="K2507" s="11" t="n">
        <v>0.001284722222222222</v>
      </c>
      <c r="L2507" s="13" t="n"/>
    </row>
    <row r="2508">
      <c r="A2508" s="3" t="inlineStr">
        <is>
          <t>PushOffDrive</t>
        </is>
      </c>
      <c r="B2508" s="3" t="inlineStr">
        <is>
          <t>Act_POD_1003003_055734_619</t>
        </is>
      </c>
      <c r="C2508" s="3" t="inlineStr">
        <is>
          <t>1003003</t>
        </is>
      </c>
      <c r="D2508" s="9" t="n">
        <v>54.7</v>
      </c>
      <c r="E2508" s="3" t="inlineStr">
        <is>
          <t>703</t>
        </is>
      </c>
      <c r="F2508" s="3" t="inlineStr">
        <is>
          <t>619</t>
        </is>
      </c>
      <c r="G2508" s="9" t="n">
        <v>459.96</v>
      </c>
      <c r="H2508" s="10" t="n">
        <v>45661.24831018518</v>
      </c>
      <c r="I2508" s="10" t="n">
        <v>45661.24831018518</v>
      </c>
      <c r="J2508" s="10" t="n">
        <v>45661.25035879629</v>
      </c>
      <c r="K2508" s="11" t="n">
        <v>0.002048611111111111</v>
      </c>
      <c r="L2508" s="13" t="n"/>
    </row>
    <row r="2509">
      <c r="A2509" s="3" t="inlineStr">
        <is>
          <t>PushOffDrive</t>
        </is>
      </c>
      <c r="B2509" s="3" t="inlineStr">
        <is>
          <t>Act_POD_1003101_175021_615</t>
        </is>
      </c>
      <c r="C2509" s="3" t="inlineStr">
        <is>
          <t>1003101</t>
        </is>
      </c>
      <c r="D2509" s="9" t="n">
        <v>94.40000000000001</v>
      </c>
      <c r="E2509" s="3" t="inlineStr">
        <is>
          <t>727</t>
        </is>
      </c>
      <c r="F2509" s="3" t="inlineStr">
        <is>
          <t>615</t>
        </is>
      </c>
      <c r="G2509" s="9" t="n">
        <v>263.09</v>
      </c>
      <c r="H2509" s="10" t="n">
        <v>45662.74329861111</v>
      </c>
      <c r="I2509" s="10" t="n">
        <v>45662.74329861111</v>
      </c>
      <c r="J2509" s="10" t="n">
        <v>45662.74461805556</v>
      </c>
      <c r="K2509" s="11" t="n">
        <v>0.001319444444444444</v>
      </c>
      <c r="L2509" s="13" t="n"/>
    </row>
    <row r="2510">
      <c r="A2510" s="3" t="inlineStr">
        <is>
          <t>PushOffDrive</t>
        </is>
      </c>
      <c r="B2510" s="3" t="inlineStr">
        <is>
          <t>Act_POD_1003102_175215_619</t>
        </is>
      </c>
      <c r="C2510" s="3" t="inlineStr">
        <is>
          <t>1003102</t>
        </is>
      </c>
      <c r="D2510" s="9" t="n">
        <v>342.6</v>
      </c>
      <c r="E2510" s="3" t="inlineStr">
        <is>
          <t>727</t>
        </is>
      </c>
      <c r="F2510" s="3" t="inlineStr">
        <is>
          <t>619</t>
        </is>
      </c>
      <c r="G2510" s="9" t="n">
        <v>453.13</v>
      </c>
      <c r="H2510" s="10" t="n">
        <v>45662.74461805556</v>
      </c>
      <c r="I2510" s="10" t="n">
        <v>45662.74461805556</v>
      </c>
      <c r="J2510" s="10" t="n">
        <v>45662.74729166667</v>
      </c>
      <c r="K2510" s="11" t="n">
        <v>0.002673611111111111</v>
      </c>
      <c r="L2510" s="13" t="n"/>
    </row>
    <row r="2511">
      <c r="A2511" s="3" t="inlineStr">
        <is>
          <t>PushOffDrive</t>
        </is>
      </c>
      <c r="B2511" s="3" t="inlineStr">
        <is>
          <t>Act_POD_1003103_175606_613</t>
        </is>
      </c>
      <c r="C2511" s="3" t="inlineStr">
        <is>
          <t>1003103</t>
        </is>
      </c>
      <c r="D2511" s="9" t="n">
        <v>98.3</v>
      </c>
      <c r="E2511" s="3" t="inlineStr">
        <is>
          <t>727</t>
        </is>
      </c>
      <c r="F2511" s="3" t="inlineStr">
        <is>
          <t>613</t>
        </is>
      </c>
      <c r="G2511" s="9" t="n">
        <v>290.6</v>
      </c>
      <c r="H2511" s="10" t="n">
        <v>45662.74729166667</v>
      </c>
      <c r="I2511" s="10" t="n">
        <v>45662.74729166667</v>
      </c>
      <c r="J2511" s="10" t="n">
        <v>45662.74873842593</v>
      </c>
      <c r="K2511" s="11" t="n">
        <v>0.001446759259259259</v>
      </c>
      <c r="L2511" s="13" t="n"/>
    </row>
    <row r="2512">
      <c r="A2512" s="3" t="inlineStr">
        <is>
          <t>PushOffDrive</t>
        </is>
      </c>
      <c r="B2512" s="3" t="inlineStr">
        <is>
          <t>Act_POD_1003201_202435_613</t>
        </is>
      </c>
      <c r="C2512" s="3" t="inlineStr">
        <is>
          <t>1003201</t>
        </is>
      </c>
      <c r="D2512" s="9" t="n">
        <v>428.8</v>
      </c>
      <c r="E2512" s="3" t="inlineStr">
        <is>
          <t>727</t>
        </is>
      </c>
      <c r="F2512" s="3" t="inlineStr">
        <is>
          <t>613</t>
        </is>
      </c>
      <c r="G2512" s="9" t="n">
        <v>290.6</v>
      </c>
      <c r="H2512" s="10" t="n">
        <v>45662.85040509259</v>
      </c>
      <c r="I2512" s="10" t="n">
        <v>45662.85040509259</v>
      </c>
      <c r="J2512" s="10" t="n">
        <v>45662.85261574074</v>
      </c>
      <c r="K2512" s="11" t="n">
        <v>0.002210648148148148</v>
      </c>
      <c r="L2512" s="13" t="n"/>
    </row>
    <row r="2513">
      <c r="A2513" s="3" t="inlineStr">
        <is>
          <t>PushOffDrive</t>
        </is>
      </c>
      <c r="B2513" s="3" t="inlineStr">
        <is>
          <t>Act_POD_1003202_202746_627</t>
        </is>
      </c>
      <c r="C2513" s="3" t="inlineStr">
        <is>
          <t>1003202</t>
        </is>
      </c>
      <c r="D2513" s="9" t="n">
        <v>60.8</v>
      </c>
      <c r="E2513" s="3" t="inlineStr">
        <is>
          <t>727</t>
        </is>
      </c>
      <c r="F2513" s="3" t="inlineStr">
        <is>
          <t>627</t>
        </is>
      </c>
      <c r="G2513" s="9" t="n">
        <v>443.59</v>
      </c>
      <c r="H2513" s="10" t="n">
        <v>45662.85261574074</v>
      </c>
      <c r="I2513" s="10" t="n">
        <v>45662.85261574074</v>
      </c>
      <c r="J2513" s="10" t="n">
        <v>45662.85459490741</v>
      </c>
      <c r="K2513" s="11" t="n">
        <v>0.001979166666666667</v>
      </c>
      <c r="L2513" s="13" t="n"/>
    </row>
    <row r="2514">
      <c r="A2514" s="3" t="inlineStr">
        <is>
          <t>PushOffDrive</t>
        </is>
      </c>
      <c r="B2514" s="3" t="inlineStr">
        <is>
          <t>Act_POD_1003203_203037_619</t>
        </is>
      </c>
      <c r="C2514" s="3" t="inlineStr">
        <is>
          <t>1003203</t>
        </is>
      </c>
      <c r="D2514" s="9" t="n">
        <v>101.2</v>
      </c>
      <c r="E2514" s="3" t="inlineStr">
        <is>
          <t>727</t>
        </is>
      </c>
      <c r="F2514" s="3" t="inlineStr">
        <is>
          <t>619</t>
        </is>
      </c>
      <c r="G2514" s="9" t="n">
        <v>453.13</v>
      </c>
      <c r="H2514" s="10" t="n">
        <v>45662.85459490741</v>
      </c>
      <c r="I2514" s="10" t="n">
        <v>45662.85459490741</v>
      </c>
      <c r="J2514" s="10" t="n">
        <v>45662.85672453704</v>
      </c>
      <c r="K2514" s="11" t="n">
        <v>0.00212962962962963</v>
      </c>
      <c r="L2514" s="13" t="n"/>
    </row>
    <row r="2515">
      <c r="A2515" s="3" t="inlineStr">
        <is>
          <t>PushOffDrive</t>
        </is>
      </c>
      <c r="B2515" s="3" t="inlineStr">
        <is>
          <t>Act_POD_1003301_175012_613</t>
        </is>
      </c>
      <c r="C2515" s="3" t="inlineStr">
        <is>
          <t>1003301</t>
        </is>
      </c>
      <c r="D2515" s="9" t="n">
        <v>241.4</v>
      </c>
      <c r="E2515" s="3" t="inlineStr">
        <is>
          <t>703</t>
        </is>
      </c>
      <c r="F2515" s="3" t="inlineStr">
        <is>
          <t>613</t>
        </is>
      </c>
      <c r="G2515" s="9" t="n">
        <v>297.43</v>
      </c>
      <c r="H2515" s="10" t="n">
        <v>45663.74319444445</v>
      </c>
      <c r="I2515" s="10" t="n">
        <v>45663.74319444445</v>
      </c>
      <c r="J2515" s="10" t="n">
        <v>45663.745</v>
      </c>
      <c r="K2515" s="11" t="n">
        <v>0.001805555555555555</v>
      </c>
      <c r="L2515" s="13" t="n"/>
    </row>
    <row r="2516">
      <c r="A2516" s="3" t="inlineStr">
        <is>
          <t>PushOffDrive</t>
        </is>
      </c>
      <c r="B2516" s="3" t="inlineStr">
        <is>
          <t>Act_POD_1003401_030022_627</t>
        </is>
      </c>
      <c r="C2516" s="3" t="inlineStr">
        <is>
          <t>1003401</t>
        </is>
      </c>
      <c r="D2516" s="9" t="n">
        <v>19.9</v>
      </c>
      <c r="E2516" s="3" t="inlineStr">
        <is>
          <t>703</t>
        </is>
      </c>
      <c r="F2516" s="3" t="inlineStr">
        <is>
          <t>627</t>
        </is>
      </c>
      <c r="G2516" s="9" t="n">
        <v>450.42</v>
      </c>
      <c r="H2516" s="10" t="n">
        <v>45664.12525462963</v>
      </c>
      <c r="I2516" s="10" t="n">
        <v>45664.12525462963</v>
      </c>
      <c r="J2516" s="10" t="n">
        <v>45664.12717592593</v>
      </c>
      <c r="K2516" s="11" t="n">
        <v>0.001921296296296296</v>
      </c>
      <c r="L2516" s="13" t="n"/>
    </row>
    <row r="2517">
      <c r="A2517" s="3" t="inlineStr">
        <is>
          <t>PushOffDrive</t>
        </is>
      </c>
      <c r="B2517" s="3" t="inlineStr">
        <is>
          <t>Act_POD_1003402_030308_625</t>
        </is>
      </c>
      <c r="C2517" s="3" t="inlineStr">
        <is>
          <t>1003402</t>
        </is>
      </c>
      <c r="D2517" s="9" t="n">
        <v>31.5</v>
      </c>
      <c r="E2517" s="3" t="inlineStr">
        <is>
          <t>703</t>
        </is>
      </c>
      <c r="F2517" s="3" t="inlineStr">
        <is>
          <t>625</t>
        </is>
      </c>
      <c r="G2517" s="9" t="n">
        <v>477.75</v>
      </c>
      <c r="H2517" s="10" t="n">
        <v>45664.12717592593</v>
      </c>
      <c r="I2517" s="10" t="n">
        <v>45664.12717592593</v>
      </c>
      <c r="J2517" s="10" t="n">
        <v>45664.12923611111</v>
      </c>
      <c r="K2517" s="11" t="n">
        <v>0.002060185185185185</v>
      </c>
      <c r="L2517" s="13" t="n"/>
    </row>
    <row r="2518">
      <c r="A2518" s="3" t="inlineStr">
        <is>
          <t>PushOffDrive</t>
        </is>
      </c>
      <c r="B2518" s="3" t="inlineStr">
        <is>
          <t>Act_POD_1003403_030606_627</t>
        </is>
      </c>
      <c r="C2518" s="3" t="inlineStr">
        <is>
          <t>1003403</t>
        </is>
      </c>
      <c r="D2518" s="9" t="n">
        <v>12</v>
      </c>
      <c r="E2518" s="3" t="inlineStr">
        <is>
          <t>703</t>
        </is>
      </c>
      <c r="F2518" s="3" t="inlineStr">
        <is>
          <t>627</t>
        </is>
      </c>
      <c r="G2518" s="9" t="n">
        <v>450.42</v>
      </c>
      <c r="H2518" s="10" t="n">
        <v>45664.12923611111</v>
      </c>
      <c r="I2518" s="10" t="n">
        <v>45664.12923611111</v>
      </c>
      <c r="J2518" s="10" t="n">
        <v>45664.13114583334</v>
      </c>
      <c r="K2518" s="11" t="n">
        <v>0.001909722222222222</v>
      </c>
      <c r="L2518" s="13" t="n"/>
    </row>
    <row r="2519">
      <c r="A2519" s="3" t="inlineStr">
        <is>
          <t>PushOffDrive</t>
        </is>
      </c>
      <c r="B2519" s="3" t="inlineStr">
        <is>
          <t>Act_POD_1003404_030851_623</t>
        </is>
      </c>
      <c r="C2519" s="3" t="inlineStr">
        <is>
          <t>1003404</t>
        </is>
      </c>
      <c r="D2519" s="9" t="n">
        <v>184.6</v>
      </c>
      <c r="E2519" s="3" t="inlineStr">
        <is>
          <t>703</t>
        </is>
      </c>
      <c r="F2519" s="3" t="inlineStr">
        <is>
          <t>623</t>
        </is>
      </c>
      <c r="G2519" s="9" t="n">
        <v>412.05</v>
      </c>
      <c r="H2519" s="10" t="n">
        <v>45664.13114583334</v>
      </c>
      <c r="I2519" s="10" t="n">
        <v>45664.13114583334</v>
      </c>
      <c r="J2519" s="10" t="n">
        <v>45664.13328703704</v>
      </c>
      <c r="K2519" s="11" t="n">
        <v>0.002141203703703704</v>
      </c>
      <c r="L2519" s="13" t="n"/>
    </row>
    <row r="2520">
      <c r="A2520" s="3" t="inlineStr">
        <is>
          <t>PushOffDrive</t>
        </is>
      </c>
      <c r="B2520" s="3" t="inlineStr">
        <is>
          <t>Act_POD_1003405_031156_615</t>
        </is>
      </c>
      <c r="C2520" s="3" t="inlineStr">
        <is>
          <t>1003405</t>
        </is>
      </c>
      <c r="D2520" s="9" t="n">
        <v>43.1</v>
      </c>
      <c r="E2520" s="3" t="inlineStr">
        <is>
          <t>703</t>
        </is>
      </c>
      <c r="F2520" s="3" t="inlineStr">
        <is>
          <t>615</t>
        </is>
      </c>
      <c r="G2520" s="9" t="n">
        <v>269.92</v>
      </c>
      <c r="H2520" s="10" t="n">
        <v>45664.13328703704</v>
      </c>
      <c r="I2520" s="10" t="n">
        <v>45664.13328703704</v>
      </c>
      <c r="J2520" s="10" t="n">
        <v>45664.13451388889</v>
      </c>
      <c r="K2520" s="11" t="n">
        <v>0.001226851851851852</v>
      </c>
      <c r="L2520" s="13" t="n"/>
    </row>
    <row r="2521">
      <c r="A2521" s="3" t="inlineStr">
        <is>
          <t>PushOffDrive</t>
        </is>
      </c>
      <c r="B2521" s="3" t="inlineStr">
        <is>
          <t>Act_POD_1003501_064219_615</t>
        </is>
      </c>
      <c r="C2521" s="3" t="inlineStr">
        <is>
          <t>1003501</t>
        </is>
      </c>
      <c r="D2521" s="9" t="n">
        <v>297</v>
      </c>
      <c r="E2521" s="3" t="inlineStr">
        <is>
          <t>703</t>
        </is>
      </c>
      <c r="F2521" s="3" t="inlineStr">
        <is>
          <t>615</t>
        </is>
      </c>
      <c r="G2521" s="9" t="n">
        <v>269.92</v>
      </c>
      <c r="H2521" s="10" t="n">
        <v>45664.27938657408</v>
      </c>
      <c r="I2521" s="10" t="n">
        <v>45664.27938657408</v>
      </c>
      <c r="J2521" s="10" t="n">
        <v>45664.28119212963</v>
      </c>
      <c r="K2521" s="11" t="n">
        <v>0.001805555555555555</v>
      </c>
      <c r="L2521" s="13" t="n"/>
    </row>
    <row r="2522">
      <c r="A2522" s="3" t="inlineStr">
        <is>
          <t>PushOffDrive</t>
        </is>
      </c>
      <c r="B2522" s="3" t="inlineStr">
        <is>
          <t>Act_POD_1003701_073458_619</t>
        </is>
      </c>
      <c r="C2522" s="3" t="inlineStr">
        <is>
          <t>1003701</t>
        </is>
      </c>
      <c r="D2522" s="9" t="n">
        <v>396.6</v>
      </c>
      <c r="E2522" s="3" t="inlineStr">
        <is>
          <t>727</t>
        </is>
      </c>
      <c r="F2522" s="3" t="inlineStr">
        <is>
          <t>619</t>
        </is>
      </c>
      <c r="G2522" s="9" t="n">
        <v>453.13</v>
      </c>
      <c r="H2522" s="10" t="n">
        <v>45664.31594907407</v>
      </c>
      <c r="I2522" s="10" t="n">
        <v>45664.31594907407</v>
      </c>
      <c r="J2522" s="10" t="n">
        <v>45664.31876157408</v>
      </c>
      <c r="K2522" s="11" t="n">
        <v>0.0028125</v>
      </c>
      <c r="L2522" s="13" t="n"/>
    </row>
    <row r="2523">
      <c r="A2523" s="3" t="inlineStr">
        <is>
          <t>PushOffDrive</t>
        </is>
      </c>
      <c r="B2523" s="3" t="inlineStr">
        <is>
          <t>Act_POD_1003801_074016_607</t>
        </is>
      </c>
      <c r="C2523" s="3" t="inlineStr">
        <is>
          <t>1003801</t>
        </is>
      </c>
      <c r="D2523" s="9" t="n">
        <v>189.9</v>
      </c>
      <c r="E2523" s="3" t="inlineStr">
        <is>
          <t>725</t>
        </is>
      </c>
      <c r="F2523" s="3" t="inlineStr">
        <is>
          <t>607</t>
        </is>
      </c>
      <c r="G2523" s="9" t="n">
        <v>344.21</v>
      </c>
      <c r="H2523" s="10" t="n">
        <v>45664.31962962963</v>
      </c>
      <c r="I2523" s="10" t="n">
        <v>45664.31962962963</v>
      </c>
      <c r="J2523" s="10" t="n">
        <v>45664.32150462963</v>
      </c>
      <c r="K2523" s="11" t="n">
        <v>0.001875</v>
      </c>
      <c r="L2523" s="13" t="n"/>
    </row>
    <row r="2524">
      <c r="A2524" s="3" t="inlineStr">
        <is>
          <t>PushOffDrive</t>
        </is>
      </c>
      <c r="B2524" s="3" t="inlineStr">
        <is>
          <t>Act_POD_1003601_074413_627</t>
        </is>
      </c>
      <c r="C2524" s="3" t="inlineStr">
        <is>
          <t>1003601</t>
        </is>
      </c>
      <c r="D2524" s="9" t="n">
        <v>21</v>
      </c>
      <c r="E2524" s="3" t="inlineStr">
        <is>
          <t>703</t>
        </is>
      </c>
      <c r="F2524" s="3" t="inlineStr">
        <is>
          <t>627</t>
        </is>
      </c>
      <c r="G2524" s="9" t="n">
        <v>450.42</v>
      </c>
      <c r="H2524" s="10" t="n">
        <v>45664.32237268519</v>
      </c>
      <c r="I2524" s="10" t="n">
        <v>45664.32237268519</v>
      </c>
      <c r="J2524" s="10" t="n">
        <v>45664.32429398148</v>
      </c>
      <c r="K2524" s="11" t="n">
        <v>0.001921296296296296</v>
      </c>
      <c r="L2524" s="13" t="n"/>
    </row>
    <row r="2525">
      <c r="A2525" s="3" t="inlineStr">
        <is>
          <t>PushOffDrive</t>
        </is>
      </c>
      <c r="B2525" s="3" t="inlineStr">
        <is>
          <t>Act_POD_1003602_074659_605</t>
        </is>
      </c>
      <c r="C2525" s="3" t="inlineStr">
        <is>
          <t>1003602</t>
        </is>
      </c>
      <c r="D2525" s="9" t="n">
        <v>39.8</v>
      </c>
      <c r="E2525" s="3" t="inlineStr">
        <is>
          <t>703</t>
        </is>
      </c>
      <c r="F2525" s="3" t="inlineStr">
        <is>
          <t>605</t>
        </is>
      </c>
      <c r="G2525" s="9" t="n">
        <v>405.43</v>
      </c>
      <c r="H2525" s="10" t="n">
        <v>45664.32429398148</v>
      </c>
      <c r="I2525" s="10" t="n">
        <v>45664.32429398148</v>
      </c>
      <c r="J2525" s="10" t="n">
        <v>45664.32607638889</v>
      </c>
      <c r="K2525" s="11" t="n">
        <v>0.001782407407407407</v>
      </c>
      <c r="L2525" s="13" t="n"/>
    </row>
    <row r="2526">
      <c r="A2526" s="3" t="inlineStr">
        <is>
          <t>PushOffDrive</t>
        </is>
      </c>
      <c r="B2526" s="3" t="inlineStr">
        <is>
          <t>Act_POD_1003603_074933_617</t>
        </is>
      </c>
      <c r="C2526" s="3" t="inlineStr">
        <is>
          <t>1003603</t>
        </is>
      </c>
      <c r="D2526" s="9" t="n">
        <v>27</v>
      </c>
      <c r="E2526" s="3" t="inlineStr">
        <is>
          <t>703</t>
        </is>
      </c>
      <c r="F2526" s="3" t="inlineStr">
        <is>
          <t>617</t>
        </is>
      </c>
      <c r="G2526" s="9" t="n">
        <v>299.11</v>
      </c>
      <c r="H2526" s="10" t="n">
        <v>45664.32607638889</v>
      </c>
      <c r="I2526" s="10" t="n">
        <v>45664.32607638889</v>
      </c>
      <c r="J2526" s="10" t="n">
        <v>45664.32738425926</v>
      </c>
      <c r="K2526" s="11" t="n">
        <v>0.00130787037037037</v>
      </c>
      <c r="L2526" s="13" t="n"/>
    </row>
    <row r="2527">
      <c r="A2527" s="3" t="inlineStr">
        <is>
          <t>PushOffDrive</t>
        </is>
      </c>
      <c r="B2527" s="3" t="inlineStr">
        <is>
          <t>Act_POD_1003604_075126_617</t>
        </is>
      </c>
      <c r="C2527" s="3" t="inlineStr">
        <is>
          <t>1003604</t>
        </is>
      </c>
      <c r="D2527" s="9" t="n">
        <v>90.40000000000001</v>
      </c>
      <c r="E2527" s="3" t="inlineStr">
        <is>
          <t>703</t>
        </is>
      </c>
      <c r="F2527" s="3" t="inlineStr">
        <is>
          <t>617</t>
        </is>
      </c>
      <c r="G2527" s="9" t="n">
        <v>299.11</v>
      </c>
      <c r="H2527" s="10" t="n">
        <v>45664.32738425926</v>
      </c>
      <c r="I2527" s="10" t="n">
        <v>45664.32738425926</v>
      </c>
      <c r="J2527" s="10" t="n">
        <v>45664.32884259259</v>
      </c>
      <c r="K2527" s="11" t="n">
        <v>0.001458333333333333</v>
      </c>
      <c r="L2527" s="13" t="n"/>
    </row>
    <row r="2528">
      <c r="A2528" s="3" t="inlineStr">
        <is>
          <t>PushOffDrive</t>
        </is>
      </c>
      <c r="B2528" s="3" t="inlineStr">
        <is>
          <t>Act_POD_1003605_075332_613</t>
        </is>
      </c>
      <c r="C2528" s="3" t="inlineStr">
        <is>
          <t>1003605</t>
        </is>
      </c>
      <c r="D2528" s="9" t="n">
        <v>39</v>
      </c>
      <c r="E2528" s="3" t="inlineStr">
        <is>
          <t>703</t>
        </is>
      </c>
      <c r="F2528" s="3" t="inlineStr">
        <is>
          <t>613</t>
        </is>
      </c>
      <c r="G2528" s="9" t="n">
        <v>297.43</v>
      </c>
      <c r="H2528" s="10" t="n">
        <v>45664.32884259259</v>
      </c>
      <c r="I2528" s="10" t="n">
        <v>45664.32884259259</v>
      </c>
      <c r="J2528" s="10" t="n">
        <v>45664.33017361111</v>
      </c>
      <c r="K2528" s="11" t="n">
        <v>0.001331018518518518</v>
      </c>
      <c r="L2528" s="13" t="n"/>
    </row>
    <row r="2529">
      <c r="A2529" s="3" t="inlineStr">
        <is>
          <t>PushOffDrive</t>
        </is>
      </c>
      <c r="B2529" s="3" t="inlineStr">
        <is>
          <t>Act_POD_1003606_075527_615</t>
        </is>
      </c>
      <c r="C2529" s="3" t="inlineStr">
        <is>
          <t>1003606</t>
        </is>
      </c>
      <c r="D2529" s="9" t="n">
        <v>15.7</v>
      </c>
      <c r="E2529" s="3" t="inlineStr">
        <is>
          <t>703</t>
        </is>
      </c>
      <c r="F2529" s="3" t="inlineStr">
        <is>
          <t>615</t>
        </is>
      </c>
      <c r="G2529" s="9" t="n">
        <v>269.92</v>
      </c>
      <c r="H2529" s="10" t="n">
        <v>45664.33017361111</v>
      </c>
      <c r="I2529" s="10" t="n">
        <v>45664.33017361111</v>
      </c>
      <c r="J2529" s="10" t="n">
        <v>45664.33133101852</v>
      </c>
      <c r="K2529" s="11" t="n">
        <v>0.001157407407407407</v>
      </c>
      <c r="L2529" s="13" t="n"/>
    </row>
    <row r="2530">
      <c r="A2530" s="3" t="inlineStr">
        <is>
          <t>PushOffDrive</t>
        </is>
      </c>
      <c r="B2530" s="3" t="inlineStr">
        <is>
          <t>Act_POD_1003607_075707_623</t>
        </is>
      </c>
      <c r="C2530" s="3" t="inlineStr">
        <is>
          <t>1003607</t>
        </is>
      </c>
      <c r="D2530" s="9" t="n">
        <v>35.6</v>
      </c>
      <c r="E2530" s="3" t="inlineStr">
        <is>
          <t>703</t>
        </is>
      </c>
      <c r="F2530" s="3" t="inlineStr">
        <is>
          <t>623</t>
        </is>
      </c>
      <c r="G2530" s="9" t="n">
        <v>412.05</v>
      </c>
      <c r="H2530" s="10" t="n">
        <v>45664.33133101852</v>
      </c>
      <c r="I2530" s="10" t="n">
        <v>45664.33133101852</v>
      </c>
      <c r="J2530" s="10" t="n">
        <v>45664.33313657407</v>
      </c>
      <c r="K2530" s="11" t="n">
        <v>0.001805555555555555</v>
      </c>
      <c r="L2530" s="13" t="n"/>
    </row>
    <row r="2531">
      <c r="A2531" s="3" t="inlineStr">
        <is>
          <t>PushOffDrive</t>
        </is>
      </c>
      <c r="B2531" s="3" t="inlineStr">
        <is>
          <t>Act_POD_1003901_083133_615</t>
        </is>
      </c>
      <c r="C2531" s="3" t="inlineStr">
        <is>
          <t>1003901</t>
        </is>
      </c>
      <c r="D2531" s="9" t="n">
        <v>281.4</v>
      </c>
      <c r="E2531" s="3" t="inlineStr">
        <is>
          <t>703</t>
        </is>
      </c>
      <c r="F2531" s="3" t="inlineStr">
        <is>
          <t>615</t>
        </is>
      </c>
      <c r="G2531" s="9" t="n">
        <v>269.92</v>
      </c>
      <c r="H2531" s="10" t="n">
        <v>45664.35524305556</v>
      </c>
      <c r="I2531" s="10" t="n">
        <v>45664.35524305556</v>
      </c>
      <c r="J2531" s="10" t="n">
        <v>45664.35701388889</v>
      </c>
      <c r="K2531" s="11" t="n">
        <v>0.001770833333333333</v>
      </c>
      <c r="L2531" s="13" t="n"/>
    </row>
    <row r="2532">
      <c r="A2532" s="3" t="inlineStr">
        <is>
          <t>PushOffDrive</t>
        </is>
      </c>
      <c r="B2532" s="3" t="inlineStr">
        <is>
          <t>Act_POD_1003902_083406_625</t>
        </is>
      </c>
      <c r="C2532" s="3" t="inlineStr">
        <is>
          <t>1003902</t>
        </is>
      </c>
      <c r="D2532" s="9" t="n">
        <v>112.5</v>
      </c>
      <c r="E2532" s="3" t="inlineStr">
        <is>
          <t>703</t>
        </is>
      </c>
      <c r="F2532" s="3" t="inlineStr">
        <is>
          <t>625</t>
        </is>
      </c>
      <c r="G2532" s="9" t="n">
        <v>477.75</v>
      </c>
      <c r="H2532" s="10" t="n">
        <v>45664.35701388889</v>
      </c>
      <c r="I2532" s="10" t="n">
        <v>45664.35701388889</v>
      </c>
      <c r="J2532" s="10" t="n">
        <v>45664.35927083333</v>
      </c>
      <c r="K2532" s="11" t="n">
        <v>0.002256944444444444</v>
      </c>
      <c r="L2532" s="13" t="n"/>
    </row>
    <row r="2533">
      <c r="A2533" s="3" t="inlineStr">
        <is>
          <t>PushOffDrive</t>
        </is>
      </c>
      <c r="B2533" s="3" t="inlineStr">
        <is>
          <t>Act_POD_1004001_085737_611</t>
        </is>
      </c>
      <c r="C2533" s="3" t="inlineStr">
        <is>
          <t>1004001</t>
        </is>
      </c>
      <c r="D2533" s="9" t="n">
        <v>37.5</v>
      </c>
      <c r="E2533" s="3" t="inlineStr">
        <is>
          <t>727</t>
        </is>
      </c>
      <c r="F2533" s="3" t="inlineStr">
        <is>
          <t>611</t>
        </is>
      </c>
      <c r="G2533" s="9" t="n">
        <v>317.52</v>
      </c>
      <c r="H2533" s="10" t="n">
        <v>45664.37334490741</v>
      </c>
      <c r="I2533" s="10" t="n">
        <v>45664.37334490741</v>
      </c>
      <c r="J2533" s="10" t="n">
        <v>45664.37475694445</v>
      </c>
      <c r="K2533" s="11" t="n">
        <v>0.001412037037037037</v>
      </c>
      <c r="L2533" s="13" t="n"/>
    </row>
    <row r="2534">
      <c r="A2534" s="3" t="inlineStr">
        <is>
          <t>PushOffDrive</t>
        </is>
      </c>
      <c r="B2534" s="3" t="inlineStr">
        <is>
          <t>Act_POD_1004002_085939_613</t>
        </is>
      </c>
      <c r="C2534" s="3" t="inlineStr">
        <is>
          <t>1004002</t>
        </is>
      </c>
      <c r="D2534" s="9" t="n">
        <v>15.7</v>
      </c>
      <c r="E2534" s="3" t="inlineStr">
        <is>
          <t>727</t>
        </is>
      </c>
      <c r="F2534" s="3" t="inlineStr">
        <is>
          <t>613</t>
        </is>
      </c>
      <c r="G2534" s="9" t="n">
        <v>290.6</v>
      </c>
      <c r="H2534" s="10" t="n">
        <v>45664.37475694445</v>
      </c>
      <c r="I2534" s="10" t="n">
        <v>45664.37475694445</v>
      </c>
      <c r="J2534" s="10" t="n">
        <v>45664.37600694445</v>
      </c>
      <c r="K2534" s="11" t="n">
        <v>0.00125</v>
      </c>
      <c r="L2534" s="13" t="n"/>
    </row>
    <row r="2535">
      <c r="A2535" s="3" t="inlineStr">
        <is>
          <t>PushOffDrive</t>
        </is>
      </c>
      <c r="B2535" s="3" t="inlineStr">
        <is>
          <t>Act_POD_1004003_090127_615</t>
        </is>
      </c>
      <c r="C2535" s="3" t="inlineStr">
        <is>
          <t>1004003</t>
        </is>
      </c>
      <c r="D2535" s="9" t="n">
        <v>63</v>
      </c>
      <c r="E2535" s="3" t="inlineStr">
        <is>
          <t>727</t>
        </is>
      </c>
      <c r="F2535" s="3" t="inlineStr">
        <is>
          <t>615</t>
        </is>
      </c>
      <c r="G2535" s="9" t="n">
        <v>263.09</v>
      </c>
      <c r="H2535" s="10" t="n">
        <v>45664.37600694445</v>
      </c>
      <c r="I2535" s="10" t="n">
        <v>45664.37600694445</v>
      </c>
      <c r="J2535" s="10" t="n">
        <v>45664.37724537037</v>
      </c>
      <c r="K2535" s="11" t="n">
        <v>0.001238425925925926</v>
      </c>
      <c r="L2535" s="13" t="n"/>
    </row>
    <row r="2536">
      <c r="A2536" s="3" t="inlineStr">
        <is>
          <t>PushOffDrive</t>
        </is>
      </c>
      <c r="B2536" s="3" t="inlineStr">
        <is>
          <t>Act_POD_1004004_090314_623</t>
        </is>
      </c>
      <c r="C2536" s="3" t="inlineStr">
        <is>
          <t>1004004</t>
        </is>
      </c>
      <c r="D2536" s="9" t="n">
        <v>15.7</v>
      </c>
      <c r="E2536" s="3" t="inlineStr">
        <is>
          <t>727</t>
        </is>
      </c>
      <c r="F2536" s="3" t="inlineStr">
        <is>
          <t>623</t>
        </is>
      </c>
      <c r="G2536" s="9" t="n">
        <v>405.22</v>
      </c>
      <c r="H2536" s="10" t="n">
        <v>45664.37724537037</v>
      </c>
      <c r="I2536" s="10" t="n">
        <v>45664.37724537037</v>
      </c>
      <c r="J2536" s="10" t="n">
        <v>45664.3789699074</v>
      </c>
      <c r="K2536" s="11" t="n">
        <v>0.001724537037037037</v>
      </c>
      <c r="L2536" s="13" t="n"/>
    </row>
    <row r="2537">
      <c r="A2537" s="3" t="inlineStr">
        <is>
          <t>PushOffDrive</t>
        </is>
      </c>
      <c r="B2537" s="3" t="inlineStr">
        <is>
          <t>Act_POD_1004005_090543_605</t>
        </is>
      </c>
      <c r="C2537" s="3" t="inlineStr">
        <is>
          <t>1004005</t>
        </is>
      </c>
      <c r="D2537" s="9" t="n">
        <v>19.9</v>
      </c>
      <c r="E2537" s="3" t="inlineStr">
        <is>
          <t>727</t>
        </is>
      </c>
      <c r="F2537" s="3" t="inlineStr">
        <is>
          <t>605</t>
        </is>
      </c>
      <c r="G2537" s="9" t="n">
        <v>398.6</v>
      </c>
      <c r="H2537" s="10" t="n">
        <v>45664.3789699074</v>
      </c>
      <c r="I2537" s="10" t="n">
        <v>45664.3789699074</v>
      </c>
      <c r="J2537" s="10" t="n">
        <v>45664.38068287037</v>
      </c>
      <c r="K2537" s="11" t="n">
        <v>0.001712962962962963</v>
      </c>
      <c r="L2537" s="13" t="n"/>
    </row>
    <row r="2538">
      <c r="A2538" s="3" t="inlineStr">
        <is>
          <t>PushOffDrive</t>
        </is>
      </c>
      <c r="B2538" s="3" t="inlineStr">
        <is>
          <t>Act_POD_1004006_090811_617</t>
        </is>
      </c>
      <c r="C2538" s="3" t="inlineStr">
        <is>
          <t>1004006</t>
        </is>
      </c>
      <c r="D2538" s="9" t="n">
        <v>43.1</v>
      </c>
      <c r="E2538" s="3" t="inlineStr">
        <is>
          <t>727</t>
        </is>
      </c>
      <c r="F2538" s="3" t="inlineStr">
        <is>
          <t>617</t>
        </is>
      </c>
      <c r="G2538" s="9" t="n">
        <v>292.28</v>
      </c>
      <c r="H2538" s="10" t="n">
        <v>45664.38068287037</v>
      </c>
      <c r="I2538" s="10" t="n">
        <v>45664.38068287037</v>
      </c>
      <c r="J2538" s="10" t="n">
        <v>45664.38199074074</v>
      </c>
      <c r="K2538" s="11" t="n">
        <v>0.00130787037037037</v>
      </c>
      <c r="L2538" s="13" t="n"/>
    </row>
    <row r="2539">
      <c r="A2539" s="3" t="inlineStr">
        <is>
          <t>PushOffDrive</t>
        </is>
      </c>
      <c r="B2539" s="3" t="inlineStr">
        <is>
          <t>Act_POD_1004007_091004_629</t>
        </is>
      </c>
      <c r="C2539" s="3" t="inlineStr">
        <is>
          <t>1004007</t>
        </is>
      </c>
      <c r="D2539" s="9" t="n">
        <v>81</v>
      </c>
      <c r="E2539" s="3" t="inlineStr">
        <is>
          <t>727</t>
        </is>
      </c>
      <c r="F2539" s="3" t="inlineStr">
        <is>
          <t>629</t>
        </is>
      </c>
      <c r="G2539" s="9" t="n">
        <v>443.59</v>
      </c>
      <c r="H2539" s="10" t="n">
        <v>45664.38199074074</v>
      </c>
      <c r="I2539" s="10" t="n">
        <v>45664.38199074074</v>
      </c>
      <c r="J2539" s="10" t="n">
        <v>45664.38402777778</v>
      </c>
      <c r="K2539" s="11" t="n">
        <v>0.002037037037037037</v>
      </c>
      <c r="L2539" s="13" t="n"/>
    </row>
    <row r="2540">
      <c r="A2540" s="3" t="inlineStr">
        <is>
          <t>PushOffDrive</t>
        </is>
      </c>
      <c r="B2540" s="3" t="inlineStr">
        <is>
          <t>Act_POD_1004008_091300_613</t>
        </is>
      </c>
      <c r="C2540" s="3" t="inlineStr">
        <is>
          <t>1004008</t>
        </is>
      </c>
      <c r="D2540" s="9" t="n">
        <v>21</v>
      </c>
      <c r="E2540" s="3" t="inlineStr">
        <is>
          <t>727</t>
        </is>
      </c>
      <c r="F2540" s="3" t="inlineStr">
        <is>
          <t>613</t>
        </is>
      </c>
      <c r="G2540" s="9" t="n">
        <v>290.6</v>
      </c>
      <c r="H2540" s="10" t="n">
        <v>45664.38402777778</v>
      </c>
      <c r="I2540" s="10" t="n">
        <v>45664.38402777778</v>
      </c>
      <c r="J2540" s="10" t="n">
        <v>45664.38528935185</v>
      </c>
      <c r="K2540" s="11" t="n">
        <v>0.001261574074074074</v>
      </c>
      <c r="L2540" s="13" t="n"/>
    </row>
    <row r="2541">
      <c r="A2541" s="3" t="inlineStr">
        <is>
          <t>PushOffDrive</t>
        </is>
      </c>
      <c r="B2541" s="3" t="inlineStr">
        <is>
          <t>Act_POD_1004101_104939_615</t>
        </is>
      </c>
      <c r="C2541" s="3" t="inlineStr">
        <is>
          <t>1004101</t>
        </is>
      </c>
      <c r="D2541" s="9" t="n">
        <v>292.9</v>
      </c>
      <c r="E2541" s="3" t="inlineStr">
        <is>
          <t>703</t>
        </is>
      </c>
      <c r="F2541" s="3" t="inlineStr">
        <is>
          <t>615</t>
        </is>
      </c>
      <c r="G2541" s="9" t="n">
        <v>269.92</v>
      </c>
      <c r="H2541" s="10" t="n">
        <v>45664.45114583334</v>
      </c>
      <c r="I2541" s="10" t="n">
        <v>45664.45114583334</v>
      </c>
      <c r="J2541" s="10" t="n">
        <v>45664.45293981482</v>
      </c>
      <c r="K2541" s="11" t="n">
        <v>0.001793981481481481</v>
      </c>
      <c r="L2541" s="13" t="n"/>
    </row>
    <row r="2542">
      <c r="A2542" s="3" t="inlineStr">
        <is>
          <t>PushOffDrive</t>
        </is>
      </c>
      <c r="B2542" s="3" t="inlineStr">
        <is>
          <t>Act_POD_1004102_105214_627</t>
        </is>
      </c>
      <c r="C2542" s="3" t="inlineStr">
        <is>
          <t>1004102</t>
        </is>
      </c>
      <c r="D2542" s="9" t="n">
        <v>84</v>
      </c>
      <c r="E2542" s="3" t="inlineStr">
        <is>
          <t>703</t>
        </is>
      </c>
      <c r="F2542" s="3" t="inlineStr">
        <is>
          <t>627</t>
        </is>
      </c>
      <c r="G2542" s="9" t="n">
        <v>450.42</v>
      </c>
      <c r="H2542" s="10" t="n">
        <v>45664.45293981482</v>
      </c>
      <c r="I2542" s="10" t="n">
        <v>45664.45293981482</v>
      </c>
      <c r="J2542" s="10" t="n">
        <v>45664.45501157407</v>
      </c>
      <c r="K2542" s="11" t="n">
        <v>0.002071759259259259</v>
      </c>
      <c r="L2542" s="13" t="n"/>
    </row>
    <row r="2543">
      <c r="A2543" s="3" t="inlineStr">
        <is>
          <t>PushOffDrive</t>
        </is>
      </c>
      <c r="B2543" s="3" t="inlineStr">
        <is>
          <t>Act_POD_1004103_105513_625</t>
        </is>
      </c>
      <c r="C2543" s="3" t="inlineStr">
        <is>
          <t>1004103</t>
        </is>
      </c>
      <c r="D2543" s="9" t="n">
        <v>71.7</v>
      </c>
      <c r="E2543" s="3" t="inlineStr">
        <is>
          <t>703</t>
        </is>
      </c>
      <c r="F2543" s="3" t="inlineStr">
        <is>
          <t>625</t>
        </is>
      </c>
      <c r="G2543" s="9" t="n">
        <v>477.75</v>
      </c>
      <c r="H2543" s="10" t="n">
        <v>45664.45501157407</v>
      </c>
      <c r="I2543" s="10" t="n">
        <v>45664.45501157407</v>
      </c>
      <c r="J2543" s="10" t="n">
        <v>45664.45717592593</v>
      </c>
      <c r="K2543" s="11" t="n">
        <v>0.002164351851851852</v>
      </c>
      <c r="L2543" s="13" t="n"/>
    </row>
    <row r="2544">
      <c r="A2544" s="3" t="inlineStr">
        <is>
          <t>PushOffDrive</t>
        </is>
      </c>
      <c r="B2544" s="3" t="inlineStr">
        <is>
          <t>Act_POD_1004201_130946_625</t>
        </is>
      </c>
      <c r="C2544" s="3" t="inlineStr">
        <is>
          <t>1004201</t>
        </is>
      </c>
      <c r="D2544" s="9" t="n">
        <v>192.5</v>
      </c>
      <c r="E2544" s="3" t="inlineStr">
        <is>
          <t>703</t>
        </is>
      </c>
      <c r="F2544" s="3" t="inlineStr">
        <is>
          <t>625</t>
        </is>
      </c>
      <c r="G2544" s="9" t="n">
        <v>477.75</v>
      </c>
      <c r="H2544" s="10" t="n">
        <v>45664.54844907407</v>
      </c>
      <c r="I2544" s="10" t="n">
        <v>45664.54844907407</v>
      </c>
      <c r="J2544" s="10" t="n">
        <v>45664.55087962963</v>
      </c>
      <c r="K2544" s="11" t="n">
        <v>0.002430555555555556</v>
      </c>
      <c r="L2544" s="13" t="n"/>
    </row>
    <row r="2545">
      <c r="A2545" s="3" t="inlineStr">
        <is>
          <t>PushOffDrive</t>
        </is>
      </c>
      <c r="B2545" s="3" t="inlineStr">
        <is>
          <t>Act_POD_1004301_142741_615</t>
        </is>
      </c>
      <c r="C2545" s="3" t="inlineStr">
        <is>
          <t>1004301</t>
        </is>
      </c>
      <c r="D2545" s="9" t="n">
        <v>398</v>
      </c>
      <c r="E2545" s="3" t="inlineStr">
        <is>
          <t>703</t>
        </is>
      </c>
      <c r="F2545" s="3" t="inlineStr">
        <is>
          <t>615</t>
        </is>
      </c>
      <c r="G2545" s="9" t="n">
        <v>269.92</v>
      </c>
      <c r="H2545" s="10" t="n">
        <v>45664.60255787037</v>
      </c>
      <c r="I2545" s="10" t="n">
        <v>45664.60255787037</v>
      </c>
      <c r="J2545" s="10" t="n">
        <v>45664.60460648148</v>
      </c>
      <c r="K2545" s="11" t="n">
        <v>0.002048611111111111</v>
      </c>
      <c r="L2545" s="13" t="n"/>
    </row>
    <row r="2546">
      <c r="A2546" s="3" t="inlineStr">
        <is>
          <t>PushOffDrive</t>
        </is>
      </c>
      <c r="B2546" s="3" t="inlineStr">
        <is>
          <t>Act_POD_1004401_152629_625</t>
        </is>
      </c>
      <c r="C2546" s="3" t="inlineStr">
        <is>
          <t>1004401</t>
        </is>
      </c>
      <c r="D2546" s="9" t="n">
        <v>19.9</v>
      </c>
      <c r="E2546" s="3" t="inlineStr">
        <is>
          <t>703</t>
        </is>
      </c>
      <c r="F2546" s="3" t="inlineStr">
        <is>
          <t>625</t>
        </is>
      </c>
      <c r="G2546" s="9" t="n">
        <v>477.75</v>
      </c>
      <c r="H2546" s="10" t="n">
        <v>45664.6433912037</v>
      </c>
      <c r="I2546" s="10" t="n">
        <v>45664.6433912037</v>
      </c>
      <c r="J2546" s="10" t="n">
        <v>45664.64542824074</v>
      </c>
      <c r="K2546" s="11" t="n">
        <v>0.002037037037037037</v>
      </c>
      <c r="L2546" s="13" t="n"/>
    </row>
    <row r="2547">
      <c r="A2547" s="3" t="inlineStr">
        <is>
          <t>PushOffDrive</t>
        </is>
      </c>
      <c r="B2547" s="3" t="inlineStr">
        <is>
          <t>Act_POD_1004402_152925_606</t>
        </is>
      </c>
      <c r="C2547" s="3" t="inlineStr">
        <is>
          <t>1004402</t>
        </is>
      </c>
      <c r="D2547" s="9" t="n">
        <v>15.7</v>
      </c>
      <c r="E2547" s="3" t="inlineStr">
        <is>
          <t>703</t>
        </is>
      </c>
      <c r="F2547" s="3" t="inlineStr">
        <is>
          <t>606</t>
        </is>
      </c>
      <c r="G2547" s="9" t="n">
        <v>405.03</v>
      </c>
      <c r="H2547" s="10" t="n">
        <v>45664.64542824074</v>
      </c>
      <c r="I2547" s="10" t="n">
        <v>45664.64542824074</v>
      </c>
      <c r="J2547" s="10" t="n">
        <v>45664.64715277778</v>
      </c>
      <c r="K2547" s="11" t="n">
        <v>0.001724537037037037</v>
      </c>
      <c r="L2547" s="13" t="n"/>
    </row>
    <row r="2548">
      <c r="A2548" s="3" t="inlineStr">
        <is>
          <t>PushOffDrive</t>
        </is>
      </c>
      <c r="B2548" s="3" t="inlineStr">
        <is>
          <t>Act_POD_1004403_153154_615</t>
        </is>
      </c>
      <c r="C2548" s="3" t="inlineStr">
        <is>
          <t>1004403</t>
        </is>
      </c>
      <c r="D2548" s="9" t="n">
        <v>15.7</v>
      </c>
      <c r="E2548" s="3" t="inlineStr">
        <is>
          <t>703</t>
        </is>
      </c>
      <c r="F2548" s="3" t="inlineStr">
        <is>
          <t>615</t>
        </is>
      </c>
      <c r="G2548" s="9" t="n">
        <v>269.92</v>
      </c>
      <c r="H2548" s="10" t="n">
        <v>45664.64715277778</v>
      </c>
      <c r="I2548" s="10" t="n">
        <v>45664.64715277778</v>
      </c>
      <c r="J2548" s="10" t="n">
        <v>45664.64832175926</v>
      </c>
      <c r="K2548" s="11" t="n">
        <v>0.001168981481481482</v>
      </c>
      <c r="L2548" s="13" t="n"/>
    </row>
    <row r="2549">
      <c r="A2549" s="3" t="inlineStr">
        <is>
          <t>PushOffDrive</t>
        </is>
      </c>
      <c r="B2549" s="3" t="inlineStr">
        <is>
          <t>Act_POD_1004404_153335_629</t>
        </is>
      </c>
      <c r="C2549" s="3" t="inlineStr">
        <is>
          <t>1004404</t>
        </is>
      </c>
      <c r="D2549" s="9" t="n">
        <v>54</v>
      </c>
      <c r="E2549" s="3" t="inlineStr">
        <is>
          <t>703</t>
        </is>
      </c>
      <c r="F2549" s="3" t="inlineStr">
        <is>
          <t>629</t>
        </is>
      </c>
      <c r="G2549" s="9" t="n">
        <v>450.42</v>
      </c>
      <c r="H2549" s="10" t="n">
        <v>45664.64832175926</v>
      </c>
      <c r="I2549" s="10" t="n">
        <v>45664.64832175926</v>
      </c>
      <c r="J2549" s="10" t="n">
        <v>45664.6503125</v>
      </c>
      <c r="K2549" s="11" t="n">
        <v>0.001990740740740741</v>
      </c>
      <c r="L2549" s="13" t="n"/>
    </row>
    <row r="2550">
      <c r="A2550" s="3" t="inlineStr">
        <is>
          <t>PushOffDrive</t>
        </is>
      </c>
      <c r="B2550" s="3" t="inlineStr">
        <is>
          <t>Act_POD_1004405_153627_613</t>
        </is>
      </c>
      <c r="C2550" s="3" t="inlineStr">
        <is>
          <t>1004405</t>
        </is>
      </c>
      <c r="D2550" s="9" t="n">
        <v>21</v>
      </c>
      <c r="E2550" s="3" t="inlineStr">
        <is>
          <t>703</t>
        </is>
      </c>
      <c r="F2550" s="3" t="inlineStr">
        <is>
          <t>613</t>
        </is>
      </c>
      <c r="G2550" s="9" t="n">
        <v>297.43</v>
      </c>
      <c r="H2550" s="10" t="n">
        <v>45664.6503125</v>
      </c>
      <c r="I2550" s="10" t="n">
        <v>45664.6503125</v>
      </c>
      <c r="J2550" s="10" t="n">
        <v>45664.6516087963</v>
      </c>
      <c r="K2550" s="11" t="n">
        <v>0.001296296296296296</v>
      </c>
      <c r="L2550" s="13" t="n"/>
    </row>
    <row r="2551">
      <c r="A2551" s="3" t="inlineStr">
        <is>
          <t>PushOffDrive</t>
        </is>
      </c>
      <c r="B2551" s="3" t="inlineStr">
        <is>
          <t>Act_POD_1004406_153819_609</t>
        </is>
      </c>
      <c r="C2551" s="3" t="inlineStr">
        <is>
          <t>1004406</t>
        </is>
      </c>
      <c r="D2551" s="9" t="n">
        <v>14</v>
      </c>
      <c r="E2551" s="3" t="inlineStr">
        <is>
          <t>703</t>
        </is>
      </c>
      <c r="F2551" s="3" t="inlineStr">
        <is>
          <t>609</t>
        </is>
      </c>
      <c r="G2551" s="9" t="n">
        <v>350.87</v>
      </c>
      <c r="H2551" s="10" t="n">
        <v>45664.6516087963</v>
      </c>
      <c r="I2551" s="10" t="n">
        <v>45664.6516087963</v>
      </c>
      <c r="J2551" s="10" t="n">
        <v>45664.65310185185</v>
      </c>
      <c r="K2551" s="11" t="n">
        <v>0.001493055555555556</v>
      </c>
      <c r="L2551" s="13" t="n"/>
    </row>
    <row r="2552">
      <c r="A2552" s="3" t="inlineStr">
        <is>
          <t>PushOffDrive</t>
        </is>
      </c>
      <c r="B2552" s="3" t="inlineStr">
        <is>
          <t>Act_POD_1004407_154028_617</t>
        </is>
      </c>
      <c r="C2552" s="3" t="inlineStr">
        <is>
          <t>1004407</t>
        </is>
      </c>
      <c r="D2552" s="9" t="n">
        <v>101.9</v>
      </c>
      <c r="E2552" s="3" t="inlineStr">
        <is>
          <t>703</t>
        </is>
      </c>
      <c r="F2552" s="3" t="inlineStr">
        <is>
          <t>617</t>
        </is>
      </c>
      <c r="G2552" s="9" t="n">
        <v>299.11</v>
      </c>
      <c r="H2552" s="10" t="n">
        <v>45664.65310185185</v>
      </c>
      <c r="I2552" s="10" t="n">
        <v>45664.65310185185</v>
      </c>
      <c r="J2552" s="10" t="n">
        <v>45664.65458333334</v>
      </c>
      <c r="K2552" s="11" t="n">
        <v>0.001481481481481481</v>
      </c>
      <c r="L2552" s="13" t="n"/>
    </row>
    <row r="2553">
      <c r="A2553" s="3" t="inlineStr">
        <is>
          <t>PushOffDrive</t>
        </is>
      </c>
      <c r="B2553" s="3" t="inlineStr">
        <is>
          <t>Act_POD_1004408_154236_611</t>
        </is>
      </c>
      <c r="C2553" s="3" t="inlineStr">
        <is>
          <t>1004408</t>
        </is>
      </c>
      <c r="D2553" s="9" t="n">
        <v>19.9</v>
      </c>
      <c r="E2553" s="3" t="inlineStr">
        <is>
          <t>703</t>
        </is>
      </c>
      <c r="F2553" s="3" t="inlineStr">
        <is>
          <t>611</t>
        </is>
      </c>
      <c r="G2553" s="9" t="n">
        <v>324.35</v>
      </c>
      <c r="H2553" s="10" t="n">
        <v>45664.65458333334</v>
      </c>
      <c r="I2553" s="10" t="n">
        <v>45664.65458333334</v>
      </c>
      <c r="J2553" s="10" t="n">
        <v>45664.6559837963</v>
      </c>
      <c r="K2553" s="11" t="n">
        <v>0.001400462962962963</v>
      </c>
      <c r="L2553" s="13" t="n"/>
    </row>
    <row r="2554">
      <c r="A2554" s="3" t="inlineStr">
        <is>
          <t>PushOffDrive</t>
        </is>
      </c>
      <c r="B2554" s="3" t="inlineStr">
        <is>
          <t>Act_POD_1004409_154437_613</t>
        </is>
      </c>
      <c r="C2554" s="3" t="inlineStr">
        <is>
          <t>1004409</t>
        </is>
      </c>
      <c r="D2554" s="9" t="n">
        <v>23.2</v>
      </c>
      <c r="E2554" s="3" t="inlineStr">
        <is>
          <t>703</t>
        </is>
      </c>
      <c r="F2554" s="3" t="inlineStr">
        <is>
          <t>613</t>
        </is>
      </c>
      <c r="G2554" s="9" t="n">
        <v>297.43</v>
      </c>
      <c r="H2554" s="10" t="n">
        <v>45664.6559837963</v>
      </c>
      <c r="I2554" s="10" t="n">
        <v>45664.6559837963</v>
      </c>
      <c r="J2554" s="10" t="n">
        <v>45664.65726851852</v>
      </c>
      <c r="K2554" s="11" t="n">
        <v>0.001284722222222222</v>
      </c>
      <c r="L2554" s="13" t="n"/>
    </row>
    <row r="2555">
      <c r="A2555" s="3" t="inlineStr">
        <is>
          <t>PushOffDrive</t>
        </is>
      </c>
      <c r="B2555" s="3" t="inlineStr">
        <is>
          <t>Act_POD_1004410_154628_623</t>
        </is>
      </c>
      <c r="C2555" s="3" t="inlineStr">
        <is>
          <t>1004410</t>
        </is>
      </c>
      <c r="D2555" s="9" t="n">
        <v>15.7</v>
      </c>
      <c r="E2555" s="3" t="inlineStr">
        <is>
          <t>703</t>
        </is>
      </c>
      <c r="F2555" s="3" t="inlineStr">
        <is>
          <t>623</t>
        </is>
      </c>
      <c r="G2555" s="9" t="n">
        <v>412.05</v>
      </c>
      <c r="H2555" s="10" t="n">
        <v>45664.65726851852</v>
      </c>
      <c r="I2555" s="10" t="n">
        <v>45664.65726851852</v>
      </c>
      <c r="J2555" s="10" t="n">
        <v>45664.65902777778</v>
      </c>
      <c r="K2555" s="11" t="n">
        <v>0.001759259259259259</v>
      </c>
      <c r="L2555" s="13" t="n"/>
    </row>
    <row r="2556">
      <c r="A2556" s="3" t="inlineStr">
        <is>
          <t>PushOffDrive</t>
        </is>
      </c>
      <c r="B2556" s="3" t="inlineStr">
        <is>
          <t>Act_POD_1004411_154900_605</t>
        </is>
      </c>
      <c r="C2556" s="3" t="inlineStr">
        <is>
          <t>1004411</t>
        </is>
      </c>
      <c r="D2556" s="9" t="n">
        <v>19.9</v>
      </c>
      <c r="E2556" s="3" t="inlineStr">
        <is>
          <t>703</t>
        </is>
      </c>
      <c r="F2556" s="3" t="inlineStr">
        <is>
          <t>605</t>
        </is>
      </c>
      <c r="G2556" s="9" t="n">
        <v>405.43</v>
      </c>
      <c r="H2556" s="10" t="n">
        <v>45664.65902777778</v>
      </c>
      <c r="I2556" s="10" t="n">
        <v>45664.65902777778</v>
      </c>
      <c r="J2556" s="10" t="n">
        <v>45664.66076388889</v>
      </c>
      <c r="K2556" s="11" t="n">
        <v>0.001736111111111111</v>
      </c>
      <c r="L2556" s="13" t="n"/>
    </row>
    <row r="2557">
      <c r="A2557" s="3" t="inlineStr">
        <is>
          <t>PushOffDrive</t>
        </is>
      </c>
      <c r="B2557" s="3" t="inlineStr">
        <is>
          <t>Act_POD_1004501_155245_619</t>
        </is>
      </c>
      <c r="C2557" s="3" t="inlineStr">
        <is>
          <t>1004501</t>
        </is>
      </c>
      <c r="D2557" s="9" t="n">
        <v>393.5</v>
      </c>
      <c r="E2557" s="3" t="inlineStr">
        <is>
          <t>727</t>
        </is>
      </c>
      <c r="F2557" s="3" t="inlineStr">
        <is>
          <t>619</t>
        </is>
      </c>
      <c r="G2557" s="9" t="n">
        <v>453.13</v>
      </c>
      <c r="H2557" s="10" t="n">
        <v>45664.66163194444</v>
      </c>
      <c r="I2557" s="10" t="n">
        <v>45664.66163194444</v>
      </c>
      <c r="J2557" s="10" t="n">
        <v>45664.66443287037</v>
      </c>
      <c r="K2557" s="11" t="n">
        <v>0.002800925925925926</v>
      </c>
      <c r="L2557" s="13" t="n"/>
    </row>
    <row r="2558">
      <c r="A2558" s="3" t="inlineStr">
        <is>
          <t>PushOffDrive</t>
        </is>
      </c>
      <c r="B2558" s="3" t="inlineStr">
        <is>
          <t>Act_POD_1004601_161120_607</t>
        </is>
      </c>
      <c r="C2558" s="3" t="inlineStr">
        <is>
          <t>1004601</t>
        </is>
      </c>
      <c r="D2558" s="9" t="n">
        <v>93.8</v>
      </c>
      <c r="E2558" s="3" t="inlineStr">
        <is>
          <t>703</t>
        </is>
      </c>
      <c r="F2558" s="3" t="inlineStr">
        <is>
          <t>607</t>
        </is>
      </c>
      <c r="G2558" s="9" t="n">
        <v>378.4</v>
      </c>
      <c r="H2558" s="10" t="n">
        <v>45664.67453703703</v>
      </c>
      <c r="I2558" s="10" t="n">
        <v>45664.67453703703</v>
      </c>
      <c r="J2558" s="10" t="n">
        <v>45664.67633101852</v>
      </c>
      <c r="K2558" s="11" t="n">
        <v>0.001793981481481481</v>
      </c>
      <c r="L2558" s="13" t="n"/>
    </row>
    <row r="2559">
      <c r="A2559" s="3" t="inlineStr">
        <is>
          <t>PushOffDrive</t>
        </is>
      </c>
      <c r="B2559" s="3" t="inlineStr">
        <is>
          <t>Act_POD_1004602_161355_627</t>
        </is>
      </c>
      <c r="C2559" s="3" t="inlineStr">
        <is>
          <t>1004602</t>
        </is>
      </c>
      <c r="D2559" s="9" t="n">
        <v>16.5</v>
      </c>
      <c r="E2559" s="3" t="inlineStr">
        <is>
          <t>703</t>
        </is>
      </c>
      <c r="F2559" s="3" t="inlineStr">
        <is>
          <t>627</t>
        </is>
      </c>
      <c r="G2559" s="9" t="n">
        <v>450.42</v>
      </c>
      <c r="H2559" s="10" t="n">
        <v>45664.67633101852</v>
      </c>
      <c r="I2559" s="10" t="n">
        <v>45664.67633101852</v>
      </c>
      <c r="J2559" s="10" t="n">
        <v>45664.67825231481</v>
      </c>
      <c r="K2559" s="11" t="n">
        <v>0.001921296296296296</v>
      </c>
      <c r="L2559" s="13" t="n"/>
    </row>
    <row r="2560">
      <c r="A2560" s="3" t="inlineStr">
        <is>
          <t>PushOffDrive</t>
        </is>
      </c>
      <c r="B2560" s="3" t="inlineStr">
        <is>
          <t>Act_POD_1004701_175003_611</t>
        </is>
      </c>
      <c r="C2560" s="3" t="inlineStr">
        <is>
          <t>1004701</t>
        </is>
      </c>
      <c r="D2560" s="9" t="n">
        <v>21</v>
      </c>
      <c r="E2560" s="3" t="inlineStr">
        <is>
          <t>703</t>
        </is>
      </c>
      <c r="F2560" s="3" t="inlineStr">
        <is>
          <t>611</t>
        </is>
      </c>
      <c r="G2560" s="9" t="n">
        <v>324.35</v>
      </c>
      <c r="H2560" s="10" t="n">
        <v>45664.74309027778</v>
      </c>
      <c r="I2560" s="10" t="n">
        <v>45664.74309027778</v>
      </c>
      <c r="J2560" s="10" t="n">
        <v>45664.74449074074</v>
      </c>
      <c r="K2560" s="11" t="n">
        <v>0.001400462962962963</v>
      </c>
      <c r="L2560" s="13" t="n"/>
    </row>
    <row r="2561">
      <c r="A2561" s="3" t="inlineStr">
        <is>
          <t>PushOffDrive</t>
        </is>
      </c>
      <c r="B2561" s="3" t="inlineStr">
        <is>
          <t>Act_POD_1004702_175204_625</t>
        </is>
      </c>
      <c r="C2561" s="3" t="inlineStr">
        <is>
          <t>1004702</t>
        </is>
      </c>
      <c r="D2561" s="9" t="n">
        <v>15.7</v>
      </c>
      <c r="E2561" s="3" t="inlineStr">
        <is>
          <t>703</t>
        </is>
      </c>
      <c r="F2561" s="3" t="inlineStr">
        <is>
          <t>625</t>
        </is>
      </c>
      <c r="G2561" s="9" t="n">
        <v>477.75</v>
      </c>
      <c r="H2561" s="10" t="n">
        <v>45664.74449074074</v>
      </c>
      <c r="I2561" s="10" t="n">
        <v>45664.74449074074</v>
      </c>
      <c r="J2561" s="10" t="n">
        <v>45664.7465162037</v>
      </c>
      <c r="K2561" s="11" t="n">
        <v>0.002025462962962963</v>
      </c>
      <c r="L2561" s="13" t="n"/>
    </row>
    <row r="2562">
      <c r="A2562" s="3" t="inlineStr">
        <is>
          <t>PushOffDrive</t>
        </is>
      </c>
      <c r="B2562" s="3" t="inlineStr">
        <is>
          <t>Act_POD_1004703_175459_623</t>
        </is>
      </c>
      <c r="C2562" s="3" t="inlineStr">
        <is>
          <t>1004703</t>
        </is>
      </c>
      <c r="D2562" s="9" t="n">
        <v>23.2</v>
      </c>
      <c r="E2562" s="3" t="inlineStr">
        <is>
          <t>703</t>
        </is>
      </c>
      <c r="F2562" s="3" t="inlineStr">
        <is>
          <t>623</t>
        </is>
      </c>
      <c r="G2562" s="9" t="n">
        <v>412.05</v>
      </c>
      <c r="H2562" s="10" t="n">
        <v>45664.7465162037</v>
      </c>
      <c r="I2562" s="10" t="n">
        <v>45664.7465162037</v>
      </c>
      <c r="J2562" s="10" t="n">
        <v>45664.74828703704</v>
      </c>
      <c r="K2562" s="11" t="n">
        <v>0.001770833333333333</v>
      </c>
      <c r="L2562" s="13" t="n"/>
    </row>
    <row r="2563">
      <c r="A2563" s="3" t="inlineStr">
        <is>
          <t>PushOffDrive</t>
        </is>
      </c>
      <c r="B2563" s="3" t="inlineStr">
        <is>
          <t>Act_POD_1004704_175732_615</t>
        </is>
      </c>
      <c r="C2563" s="3" t="inlineStr">
        <is>
          <t>1004704</t>
        </is>
      </c>
      <c r="D2563" s="9" t="n">
        <v>31.5</v>
      </c>
      <c r="E2563" s="3" t="inlineStr">
        <is>
          <t>703</t>
        </is>
      </c>
      <c r="F2563" s="3" t="inlineStr">
        <is>
          <t>615</t>
        </is>
      </c>
      <c r="G2563" s="9" t="n">
        <v>269.92</v>
      </c>
      <c r="H2563" s="10" t="n">
        <v>45664.74828703704</v>
      </c>
      <c r="I2563" s="10" t="n">
        <v>45664.74828703704</v>
      </c>
      <c r="J2563" s="10" t="n">
        <v>45664.74947916667</v>
      </c>
      <c r="K2563" s="11" t="n">
        <v>0.00119212962962963</v>
      </c>
      <c r="L2563" s="13" t="n"/>
    </row>
    <row r="2564">
      <c r="A2564" s="3" t="inlineStr">
        <is>
          <t>PushOffDrive</t>
        </is>
      </c>
      <c r="B2564" s="3" t="inlineStr">
        <is>
          <t>Act_POD_1004705_175915_605</t>
        </is>
      </c>
      <c r="C2564" s="3" t="inlineStr">
        <is>
          <t>1004705</t>
        </is>
      </c>
      <c r="D2564" s="9" t="n">
        <v>39.8</v>
      </c>
      <c r="E2564" s="3" t="inlineStr">
        <is>
          <t>703</t>
        </is>
      </c>
      <c r="F2564" s="3" t="inlineStr">
        <is>
          <t>605</t>
        </is>
      </c>
      <c r="G2564" s="9" t="n">
        <v>405.43</v>
      </c>
      <c r="H2564" s="10" t="n">
        <v>45664.74947916667</v>
      </c>
      <c r="I2564" s="10" t="n">
        <v>45664.74947916667</v>
      </c>
      <c r="J2564" s="10" t="n">
        <v>45664.75126157407</v>
      </c>
      <c r="K2564" s="11" t="n">
        <v>0.001782407407407407</v>
      </c>
      <c r="L2564" s="13" t="n"/>
    </row>
    <row r="2565">
      <c r="A2565" s="3" t="inlineStr">
        <is>
          <t>PushOffDrive</t>
        </is>
      </c>
      <c r="B2565" s="3" t="inlineStr">
        <is>
          <t>Act_POD_1004706_180149_613</t>
        </is>
      </c>
      <c r="C2565" s="3" t="inlineStr">
        <is>
          <t>1004706</t>
        </is>
      </c>
      <c r="D2565" s="9" t="n">
        <v>108</v>
      </c>
      <c r="E2565" s="3" t="inlineStr">
        <is>
          <t>703</t>
        </is>
      </c>
      <c r="F2565" s="3" t="inlineStr">
        <is>
          <t>613</t>
        </is>
      </c>
      <c r="G2565" s="9" t="n">
        <v>297.43</v>
      </c>
      <c r="H2565" s="10" t="n">
        <v>45664.75126157407</v>
      </c>
      <c r="I2565" s="10" t="n">
        <v>45664.75126157407</v>
      </c>
      <c r="J2565" s="10" t="n">
        <v>45664.75275462963</v>
      </c>
      <c r="K2565" s="11" t="n">
        <v>0.001493055555555556</v>
      </c>
      <c r="L2565" s="13" t="n"/>
    </row>
    <row r="2566">
      <c r="A2566" s="3" t="inlineStr">
        <is>
          <t>PushOffDrive</t>
        </is>
      </c>
      <c r="B2566" s="3" t="inlineStr">
        <is>
          <t>Act_POD_1004707_180358_625</t>
        </is>
      </c>
      <c r="C2566" s="3" t="inlineStr">
        <is>
          <t>1004707</t>
        </is>
      </c>
      <c r="D2566" s="9" t="n">
        <v>15.7</v>
      </c>
      <c r="E2566" s="3" t="inlineStr">
        <is>
          <t>703</t>
        </is>
      </c>
      <c r="F2566" s="3" t="inlineStr">
        <is>
          <t>625</t>
        </is>
      </c>
      <c r="G2566" s="9" t="n">
        <v>477.75</v>
      </c>
      <c r="H2566" s="10" t="n">
        <v>45664.75275462963</v>
      </c>
      <c r="I2566" s="10" t="n">
        <v>45664.75275462963</v>
      </c>
      <c r="J2566" s="10" t="n">
        <v>45664.75478009259</v>
      </c>
      <c r="K2566" s="11" t="n">
        <v>0.002025462962962963</v>
      </c>
      <c r="L2566" s="13" t="n"/>
    </row>
    <row r="2567">
      <c r="A2567" s="3" t="inlineStr">
        <is>
          <t>PushOffDrive</t>
        </is>
      </c>
      <c r="B2567" s="3" t="inlineStr">
        <is>
          <t>Act_POD_1004708_180653_627</t>
        </is>
      </c>
      <c r="C2567" s="3" t="inlineStr">
        <is>
          <t>1004708</t>
        </is>
      </c>
      <c r="D2567" s="9" t="n">
        <v>39</v>
      </c>
      <c r="E2567" s="3" t="inlineStr">
        <is>
          <t>703</t>
        </is>
      </c>
      <c r="F2567" s="3" t="inlineStr">
        <is>
          <t>627</t>
        </is>
      </c>
      <c r="G2567" s="9" t="n">
        <v>450.42</v>
      </c>
      <c r="H2567" s="10" t="n">
        <v>45664.75478009259</v>
      </c>
      <c r="I2567" s="10" t="n">
        <v>45664.75478009259</v>
      </c>
      <c r="J2567" s="10" t="n">
        <v>45664.75674768518</v>
      </c>
      <c r="K2567" s="11" t="n">
        <v>0.001967592592592592</v>
      </c>
      <c r="L2567" s="13" t="n"/>
    </row>
    <row r="2568">
      <c r="A2568" s="3" t="inlineStr">
        <is>
          <t>PushOffDrive</t>
        </is>
      </c>
      <c r="B2568" s="3" t="inlineStr">
        <is>
          <t>Act_POD_1004709_180943_621</t>
        </is>
      </c>
      <c r="C2568" s="3" t="inlineStr">
        <is>
          <t>1004709</t>
        </is>
      </c>
      <c r="D2568" s="9" t="n">
        <v>19.9</v>
      </c>
      <c r="E2568" s="3" t="inlineStr">
        <is>
          <t>703</t>
        </is>
      </c>
      <c r="F2568" s="3" t="inlineStr">
        <is>
          <t>621</t>
        </is>
      </c>
      <c r="G2568" s="9" t="n">
        <v>459.96</v>
      </c>
      <c r="H2568" s="10" t="n">
        <v>45664.75674768518</v>
      </c>
      <c r="I2568" s="10" t="n">
        <v>45664.75674768518</v>
      </c>
      <c r="J2568" s="10" t="n">
        <v>45664.75871527778</v>
      </c>
      <c r="K2568" s="11" t="n">
        <v>0.001967592592592592</v>
      </c>
      <c r="L2568" s="13" t="n"/>
    </row>
    <row r="2569">
      <c r="A2569" s="3" t="inlineStr">
        <is>
          <t>PushOffDrive</t>
        </is>
      </c>
      <c r="B2569" s="3" t="inlineStr">
        <is>
          <t>Act_POD_1004710_181233_606</t>
        </is>
      </c>
      <c r="C2569" s="3" t="inlineStr">
        <is>
          <t>1004710</t>
        </is>
      </c>
      <c r="D2569" s="9" t="n">
        <v>31.5</v>
      </c>
      <c r="E2569" s="3" t="inlineStr">
        <is>
          <t>703</t>
        </is>
      </c>
      <c r="F2569" s="3" t="inlineStr">
        <is>
          <t>606</t>
        </is>
      </c>
      <c r="G2569" s="9" t="n">
        <v>405.03</v>
      </c>
      <c r="H2569" s="10" t="n">
        <v>45664.75871527778</v>
      </c>
      <c r="I2569" s="10" t="n">
        <v>45664.75871527778</v>
      </c>
      <c r="J2569" s="10" t="n">
        <v>45664.76047453703</v>
      </c>
      <c r="K2569" s="11" t="n">
        <v>0.001759259259259259</v>
      </c>
      <c r="L2569" s="13" t="n"/>
    </row>
    <row r="2570">
      <c r="A2570" s="3" t="inlineStr">
        <is>
          <t>PushOffDrive</t>
        </is>
      </c>
      <c r="B2570" s="3" t="inlineStr">
        <is>
          <t>Act_POD_1004711_181505_627</t>
        </is>
      </c>
      <c r="C2570" s="3" t="inlineStr">
        <is>
          <t>1004711</t>
        </is>
      </c>
      <c r="D2570" s="9" t="n">
        <v>31.9</v>
      </c>
      <c r="E2570" s="3" t="inlineStr">
        <is>
          <t>703</t>
        </is>
      </c>
      <c r="F2570" s="3" t="inlineStr">
        <is>
          <t>627</t>
        </is>
      </c>
      <c r="G2570" s="9" t="n">
        <v>450.42</v>
      </c>
      <c r="H2570" s="10" t="n">
        <v>45664.76047453703</v>
      </c>
      <c r="I2570" s="10" t="n">
        <v>45664.76047453703</v>
      </c>
      <c r="J2570" s="10" t="n">
        <v>45664.76241898148</v>
      </c>
      <c r="K2570" s="11" t="n">
        <v>0.001944444444444444</v>
      </c>
      <c r="L2570" s="13" t="n"/>
    </row>
    <row r="2571">
      <c r="A2571" s="3" t="inlineStr">
        <is>
          <t>PushOffDrive</t>
        </is>
      </c>
      <c r="B2571" s="3" t="inlineStr">
        <is>
          <t>Act_POD_1004712_181753_615</t>
        </is>
      </c>
      <c r="C2571" s="3" t="inlineStr">
        <is>
          <t>1004712</t>
        </is>
      </c>
      <c r="D2571" s="9" t="n">
        <v>15.7</v>
      </c>
      <c r="E2571" s="3" t="inlineStr">
        <is>
          <t>703</t>
        </is>
      </c>
      <c r="F2571" s="3" t="inlineStr">
        <is>
          <t>615</t>
        </is>
      </c>
      <c r="G2571" s="9" t="n">
        <v>269.92</v>
      </c>
      <c r="H2571" s="10" t="n">
        <v>45664.76241898148</v>
      </c>
      <c r="I2571" s="10" t="n">
        <v>45664.76241898148</v>
      </c>
      <c r="J2571" s="10" t="n">
        <v>45664.76357638889</v>
      </c>
      <c r="K2571" s="11" t="n">
        <v>0.001157407407407407</v>
      </c>
      <c r="L2571" s="13" t="n"/>
    </row>
    <row r="2572">
      <c r="A2572" s="3" t="inlineStr">
        <is>
          <t>PushOffDrive</t>
        </is>
      </c>
      <c r="B2572" s="3" t="inlineStr">
        <is>
          <t>Act_POD_1004713_181933_615</t>
        </is>
      </c>
      <c r="C2572" s="3" t="inlineStr">
        <is>
          <t>1004713</t>
        </is>
      </c>
      <c r="D2572" s="9" t="n">
        <v>31.5</v>
      </c>
      <c r="E2572" s="3" t="inlineStr">
        <is>
          <t>703</t>
        </is>
      </c>
      <c r="F2572" s="3" t="inlineStr">
        <is>
          <t>615</t>
        </is>
      </c>
      <c r="G2572" s="9" t="n">
        <v>269.92</v>
      </c>
      <c r="H2572" s="10" t="n">
        <v>45664.76357638889</v>
      </c>
      <c r="I2572" s="10" t="n">
        <v>45664.76357638889</v>
      </c>
      <c r="J2572" s="10" t="n">
        <v>45664.76478009259</v>
      </c>
      <c r="K2572" s="11" t="n">
        <v>0.001203703703703704</v>
      </c>
      <c r="L2572" s="13" t="n"/>
    </row>
    <row r="2573">
      <c r="A2573" s="3" t="inlineStr">
        <is>
          <t>PushOffDrive</t>
        </is>
      </c>
      <c r="B2573" s="3" t="inlineStr">
        <is>
          <t>Act_POD_1004801_182223_607</t>
        </is>
      </c>
      <c r="C2573" s="3" t="inlineStr">
        <is>
          <t>1004801</t>
        </is>
      </c>
      <c r="D2573" s="9" t="n">
        <v>212</v>
      </c>
      <c r="E2573" s="3" t="inlineStr">
        <is>
          <t>727</t>
        </is>
      </c>
      <c r="F2573" s="3" t="inlineStr">
        <is>
          <t>607</t>
        </is>
      </c>
      <c r="G2573" s="9" t="n">
        <v>371.57</v>
      </c>
      <c r="H2573" s="10" t="n">
        <v>45664.76554398148</v>
      </c>
      <c r="I2573" s="10" t="n">
        <v>45664.76554398148</v>
      </c>
      <c r="J2573" s="10" t="n">
        <v>45664.76758101852</v>
      </c>
      <c r="K2573" s="11" t="n">
        <v>0.002037037037037037</v>
      </c>
      <c r="L2573" s="13" t="n"/>
    </row>
    <row r="2574">
      <c r="A2574" s="3" t="inlineStr">
        <is>
          <t>PushOffDrive</t>
        </is>
      </c>
      <c r="B2574" s="3" t="inlineStr">
        <is>
          <t>Act_POD_1004901_211335_613</t>
        </is>
      </c>
      <c r="C2574" s="3" t="inlineStr">
        <is>
          <t>1004901</t>
        </is>
      </c>
      <c r="D2574" s="9" t="n">
        <v>389.1</v>
      </c>
      <c r="E2574" s="3" t="inlineStr">
        <is>
          <t>703</t>
        </is>
      </c>
      <c r="F2574" s="3" t="inlineStr">
        <is>
          <t>613</t>
        </is>
      </c>
      <c r="G2574" s="9" t="n">
        <v>297.43</v>
      </c>
      <c r="H2574" s="10" t="n">
        <v>45664.88443287037</v>
      </c>
      <c r="I2574" s="10" t="n">
        <v>45664.88443287037</v>
      </c>
      <c r="J2574" s="10" t="n">
        <v>45664.88657407407</v>
      </c>
      <c r="K2574" s="11" t="n">
        <v>0.002141203703703704</v>
      </c>
      <c r="L2574" s="13" t="n"/>
    </row>
    <row r="2575">
      <c r="A2575" s="3" t="inlineStr">
        <is>
          <t>PushOffDrive</t>
        </is>
      </c>
      <c r="B2575" s="3" t="inlineStr">
        <is>
          <t>Act_POD_1005001_030254_625</t>
        </is>
      </c>
      <c r="C2575" s="3" t="inlineStr">
        <is>
          <t>1005001</t>
        </is>
      </c>
      <c r="D2575" s="9" t="n">
        <v>31.5</v>
      </c>
      <c r="E2575" s="3" t="inlineStr">
        <is>
          <t>703</t>
        </is>
      </c>
      <c r="F2575" s="3" t="inlineStr">
        <is>
          <t>625</t>
        </is>
      </c>
      <c r="G2575" s="9" t="n">
        <v>477.75</v>
      </c>
      <c r="H2575" s="10" t="n">
        <v>45665.12701388889</v>
      </c>
      <c r="I2575" s="10" t="n">
        <v>45665.12701388889</v>
      </c>
      <c r="J2575" s="10" t="n">
        <v>45665.12907407407</v>
      </c>
      <c r="K2575" s="11" t="n">
        <v>0.002060185185185185</v>
      </c>
      <c r="L2575" s="13" t="n"/>
    </row>
    <row r="2576">
      <c r="A2576" s="3" t="inlineStr">
        <is>
          <t>PushOffDrive</t>
        </is>
      </c>
      <c r="B2576" s="3" t="inlineStr">
        <is>
          <t>Act_POD_1005002_030552_627</t>
        </is>
      </c>
      <c r="C2576" s="3" t="inlineStr">
        <is>
          <t>1005002</t>
        </is>
      </c>
      <c r="D2576" s="9" t="n">
        <v>31.9</v>
      </c>
      <c r="E2576" s="3" t="inlineStr">
        <is>
          <t>703</t>
        </is>
      </c>
      <c r="F2576" s="3" t="inlineStr">
        <is>
          <t>627</t>
        </is>
      </c>
      <c r="G2576" s="9" t="n">
        <v>450.42</v>
      </c>
      <c r="H2576" s="10" t="n">
        <v>45665.12907407407</v>
      </c>
      <c r="I2576" s="10" t="n">
        <v>45665.12907407407</v>
      </c>
      <c r="J2576" s="10" t="n">
        <v>45665.13103009259</v>
      </c>
      <c r="K2576" s="11" t="n">
        <v>0.001956018518518518</v>
      </c>
      <c r="L2576" s="13" t="n"/>
    </row>
    <row r="2577">
      <c r="A2577" s="3" t="inlineStr">
        <is>
          <t>PushOffDrive</t>
        </is>
      </c>
      <c r="B2577" s="3" t="inlineStr">
        <is>
          <t>Act_POD_1005003_030841_625</t>
        </is>
      </c>
      <c r="C2577" s="3" t="inlineStr">
        <is>
          <t>1005003</t>
        </is>
      </c>
      <c r="D2577" s="9" t="n">
        <v>31.5</v>
      </c>
      <c r="E2577" s="3" t="inlineStr">
        <is>
          <t>703</t>
        </is>
      </c>
      <c r="F2577" s="3" t="inlineStr">
        <is>
          <t>625</t>
        </is>
      </c>
      <c r="G2577" s="9" t="n">
        <v>477.75</v>
      </c>
      <c r="H2577" s="10" t="n">
        <v>45665.13103009259</v>
      </c>
      <c r="I2577" s="10" t="n">
        <v>45665.13103009259</v>
      </c>
      <c r="J2577" s="10" t="n">
        <v>45665.13309027778</v>
      </c>
      <c r="K2577" s="11" t="n">
        <v>0.002060185185185185</v>
      </c>
      <c r="L2577" s="13" t="n"/>
    </row>
    <row r="2578">
      <c r="A2578" s="3" t="inlineStr">
        <is>
          <t>PushOffDrive</t>
        </is>
      </c>
      <c r="B2578" s="3" t="inlineStr">
        <is>
          <t>Act_POD_1005004_031139_613</t>
        </is>
      </c>
      <c r="C2578" s="3" t="inlineStr">
        <is>
          <t>1005004</t>
        </is>
      </c>
      <c r="D2578" s="9" t="n">
        <v>166.9</v>
      </c>
      <c r="E2578" s="3" t="inlineStr">
        <is>
          <t>703</t>
        </is>
      </c>
      <c r="F2578" s="3" t="inlineStr">
        <is>
          <t>613</t>
        </is>
      </c>
      <c r="G2578" s="9" t="n">
        <v>297.43</v>
      </c>
      <c r="H2578" s="10" t="n">
        <v>45665.13309027778</v>
      </c>
      <c r="I2578" s="10" t="n">
        <v>45665.13309027778</v>
      </c>
      <c r="J2578" s="10" t="n">
        <v>45665.13471064815</v>
      </c>
      <c r="K2578" s="11" t="n">
        <v>0.00162037037037037</v>
      </c>
      <c r="L2578" s="13" t="n"/>
    </row>
    <row r="2579">
      <c r="A2579" s="3" t="inlineStr">
        <is>
          <t>PushOffDrive</t>
        </is>
      </c>
      <c r="B2579" s="3" t="inlineStr">
        <is>
          <t>Act_POD_1005005_031359_623</t>
        </is>
      </c>
      <c r="C2579" s="3" t="inlineStr">
        <is>
          <t>1005005</t>
        </is>
      </c>
      <c r="D2579" s="9" t="n">
        <v>51.4</v>
      </c>
      <c r="E2579" s="3" t="inlineStr">
        <is>
          <t>703</t>
        </is>
      </c>
      <c r="F2579" s="3" t="inlineStr">
        <is>
          <t>623</t>
        </is>
      </c>
      <c r="G2579" s="9" t="n">
        <v>412.05</v>
      </c>
      <c r="H2579" s="10" t="n">
        <v>45665.13471064815</v>
      </c>
      <c r="I2579" s="10" t="n">
        <v>45665.13471064815</v>
      </c>
      <c r="J2579" s="10" t="n">
        <v>45665.13655092593</v>
      </c>
      <c r="K2579" s="11" t="n">
        <v>0.001840277777777778</v>
      </c>
      <c r="L2579" s="13" t="n"/>
    </row>
    <row r="2580">
      <c r="A2580" s="3" t="inlineStr">
        <is>
          <t>PushOffDrive</t>
        </is>
      </c>
      <c r="B2580" s="3" t="inlineStr">
        <is>
          <t>Act_POD_1005006_031638_613</t>
        </is>
      </c>
      <c r="C2580" s="3" t="inlineStr">
        <is>
          <t>1005006</t>
        </is>
      </c>
      <c r="D2580" s="9" t="n">
        <v>12</v>
      </c>
      <c r="E2580" s="3" t="inlineStr">
        <is>
          <t>703</t>
        </is>
      </c>
      <c r="F2580" s="3" t="inlineStr">
        <is>
          <t>613</t>
        </is>
      </c>
      <c r="G2580" s="9" t="n">
        <v>297.43</v>
      </c>
      <c r="H2580" s="10" t="n">
        <v>45665.13655092593</v>
      </c>
      <c r="I2580" s="10" t="n">
        <v>45665.13655092593</v>
      </c>
      <c r="J2580" s="10" t="n">
        <v>45665.1378125</v>
      </c>
      <c r="K2580" s="11" t="n">
        <v>0.001261574074074074</v>
      </c>
      <c r="L2580" s="13" t="n"/>
    </row>
    <row r="2581">
      <c r="A2581" s="3" t="inlineStr">
        <is>
          <t>PushOffDrive</t>
        </is>
      </c>
      <c r="B2581" s="3" t="inlineStr">
        <is>
          <t>Act_POD_1005101_040106_611</t>
        </is>
      </c>
      <c r="C2581" s="3" t="inlineStr">
        <is>
          <t>1005101</t>
        </is>
      </c>
      <c r="D2581" s="9" t="n">
        <v>514.3</v>
      </c>
      <c r="E2581" s="3" t="inlineStr">
        <is>
          <t>703</t>
        </is>
      </c>
      <c r="F2581" s="3" t="inlineStr">
        <is>
          <t>611</t>
        </is>
      </c>
      <c r="G2581" s="9" t="n">
        <v>324.35</v>
      </c>
      <c r="H2581" s="10" t="n">
        <v>45665.16743055556</v>
      </c>
      <c r="I2581" s="10" t="n">
        <v>45665.16743055556</v>
      </c>
      <c r="J2581" s="10" t="n">
        <v>45665.16996527778</v>
      </c>
      <c r="K2581" s="11" t="n">
        <v>0.002534722222222222</v>
      </c>
      <c r="L2581" s="13" t="n"/>
    </row>
    <row r="2582">
      <c r="A2582" s="3" t="inlineStr">
        <is>
          <t>PushOffDrive</t>
        </is>
      </c>
      <c r="B2582" s="3" t="inlineStr">
        <is>
          <t>Act_POD_1005201_061251_613</t>
        </is>
      </c>
      <c r="C2582" s="3" t="inlineStr">
        <is>
          <t>1005201</t>
        </is>
      </c>
      <c r="D2582" s="9" t="n">
        <v>297</v>
      </c>
      <c r="E2582" s="3" t="inlineStr">
        <is>
          <t>703</t>
        </is>
      </c>
      <c r="F2582" s="3" t="inlineStr">
        <is>
          <t>613</t>
        </is>
      </c>
      <c r="G2582" s="9" t="n">
        <v>297.43</v>
      </c>
      <c r="H2582" s="10" t="n">
        <v>45665.25892361111</v>
      </c>
      <c r="I2582" s="10" t="n">
        <v>45665.25892361111</v>
      </c>
      <c r="J2582" s="10" t="n">
        <v>45665.26084490741</v>
      </c>
      <c r="K2582" s="11" t="n">
        <v>0.001921296296296296</v>
      </c>
      <c r="L2582" s="13" t="n"/>
    </row>
    <row r="2583">
      <c r="A2583" s="3" t="inlineStr">
        <is>
          <t>PushOffDrive</t>
        </is>
      </c>
      <c r="B2583" s="3" t="inlineStr">
        <is>
          <t>Act_POD_1005401_072952_611</t>
        </is>
      </c>
      <c r="C2583" s="3" t="inlineStr">
        <is>
          <t>1005401</t>
        </is>
      </c>
      <c r="D2583" s="9" t="n">
        <v>156.7</v>
      </c>
      <c r="E2583" s="3" t="inlineStr">
        <is>
          <t>703</t>
        </is>
      </c>
      <c r="F2583" s="3" t="inlineStr">
        <is>
          <t>611</t>
        </is>
      </c>
      <c r="G2583" s="9" t="n">
        <v>324.35</v>
      </c>
      <c r="H2583" s="10" t="n">
        <v>45665.31240740741</v>
      </c>
      <c r="I2583" s="10" t="n">
        <v>45665.31240740741</v>
      </c>
      <c r="J2583" s="10" t="n">
        <v>45665.31413194445</v>
      </c>
      <c r="K2583" s="11" t="n">
        <v>0.001724537037037037</v>
      </c>
      <c r="L2583" s="13" t="n"/>
    </row>
    <row r="2584">
      <c r="A2584" s="3" t="inlineStr">
        <is>
          <t>PushOffDrive</t>
        </is>
      </c>
      <c r="B2584" s="3" t="inlineStr">
        <is>
          <t>Act_POD_1005301_075429_627</t>
        </is>
      </c>
      <c r="C2584" s="3" t="inlineStr">
        <is>
          <t>1005301</t>
        </is>
      </c>
      <c r="D2584" s="9" t="n">
        <v>23.2</v>
      </c>
      <c r="E2584" s="3" t="inlineStr">
        <is>
          <t>727</t>
        </is>
      </c>
      <c r="F2584" s="3" t="inlineStr">
        <is>
          <t>627</t>
        </is>
      </c>
      <c r="G2584" s="9" t="n">
        <v>443.59</v>
      </c>
      <c r="H2584" s="10" t="n">
        <v>45665.32950231482</v>
      </c>
      <c r="I2584" s="10" t="n">
        <v>45665.32950231482</v>
      </c>
      <c r="J2584" s="10" t="n">
        <v>45665.33141203703</v>
      </c>
      <c r="K2584" s="11" t="n">
        <v>0.001909722222222222</v>
      </c>
      <c r="L2584" s="13" t="n"/>
    </row>
    <row r="2585">
      <c r="A2585" s="3" t="inlineStr">
        <is>
          <t>PushOffDrive</t>
        </is>
      </c>
      <c r="B2585" s="3" t="inlineStr">
        <is>
          <t>Act_POD_1005302_075714_621</t>
        </is>
      </c>
      <c r="C2585" s="3" t="inlineStr">
        <is>
          <t>1005302</t>
        </is>
      </c>
      <c r="D2585" s="9" t="n">
        <v>19.9</v>
      </c>
      <c r="E2585" s="3" t="inlineStr">
        <is>
          <t>727</t>
        </is>
      </c>
      <c r="F2585" s="3" t="inlineStr">
        <is>
          <t>621</t>
        </is>
      </c>
      <c r="G2585" s="9" t="n">
        <v>453.13</v>
      </c>
      <c r="H2585" s="10" t="n">
        <v>45665.33141203703</v>
      </c>
      <c r="I2585" s="10" t="n">
        <v>45665.33141203703</v>
      </c>
      <c r="J2585" s="10" t="n">
        <v>45665.33334490741</v>
      </c>
      <c r="K2585" s="11" t="n">
        <v>0.00193287037037037</v>
      </c>
      <c r="L2585" s="13" t="n"/>
    </row>
    <row r="2586">
      <c r="A2586" s="3" t="inlineStr">
        <is>
          <t>PushOffDrive</t>
        </is>
      </c>
      <c r="B2586" s="3" t="inlineStr">
        <is>
          <t>Act_POD_1005303_080001_627</t>
        </is>
      </c>
      <c r="C2586" s="3" t="inlineStr">
        <is>
          <t>1005303</t>
        </is>
      </c>
      <c r="D2586" s="9" t="n">
        <v>15.7</v>
      </c>
      <c r="E2586" s="3" t="inlineStr">
        <is>
          <t>727</t>
        </is>
      </c>
      <c r="F2586" s="3" t="inlineStr">
        <is>
          <t>627</t>
        </is>
      </c>
      <c r="G2586" s="9" t="n">
        <v>443.59</v>
      </c>
      <c r="H2586" s="10" t="n">
        <v>45665.33334490741</v>
      </c>
      <c r="I2586" s="10" t="n">
        <v>45665.33334490741</v>
      </c>
      <c r="J2586" s="10" t="n">
        <v>45665.33521990741</v>
      </c>
      <c r="K2586" s="11" t="n">
        <v>0.001875</v>
      </c>
      <c r="L2586" s="13" t="n"/>
    </row>
    <row r="2587">
      <c r="A2587" s="3" t="inlineStr">
        <is>
          <t>PushOffDrive</t>
        </is>
      </c>
      <c r="B2587" s="3" t="inlineStr">
        <is>
          <t>Act_POD_1005304_080243_625</t>
        </is>
      </c>
      <c r="C2587" s="3" t="inlineStr">
        <is>
          <t>1005304</t>
        </is>
      </c>
      <c r="D2587" s="9" t="n">
        <v>60.8</v>
      </c>
      <c r="E2587" s="3" t="inlineStr">
        <is>
          <t>727</t>
        </is>
      </c>
      <c r="F2587" s="3" t="inlineStr">
        <is>
          <t>625</t>
        </is>
      </c>
      <c r="G2587" s="9" t="n">
        <v>470.92</v>
      </c>
      <c r="H2587" s="10" t="n">
        <v>45665.33521990741</v>
      </c>
      <c r="I2587" s="10" t="n">
        <v>45665.33521990741</v>
      </c>
      <c r="J2587" s="10" t="n">
        <v>45665.33732638889</v>
      </c>
      <c r="K2587" s="11" t="n">
        <v>0.002106481481481481</v>
      </c>
      <c r="L2587" s="13" t="n"/>
    </row>
    <row r="2588">
      <c r="A2588" s="3" t="inlineStr">
        <is>
          <t>PushOffDrive</t>
        </is>
      </c>
      <c r="B2588" s="3" t="inlineStr">
        <is>
          <t>Act_POD_1005305_080545_605</t>
        </is>
      </c>
      <c r="C2588" s="3" t="inlineStr">
        <is>
          <t>1005305</t>
        </is>
      </c>
      <c r="D2588" s="9" t="n">
        <v>19.9</v>
      </c>
      <c r="E2588" s="3" t="inlineStr">
        <is>
          <t>727</t>
        </is>
      </c>
      <c r="F2588" s="3" t="inlineStr">
        <is>
          <t>605</t>
        </is>
      </c>
      <c r="G2588" s="9" t="n">
        <v>398.6</v>
      </c>
      <c r="H2588" s="10" t="n">
        <v>45665.33732638889</v>
      </c>
      <c r="I2588" s="10" t="n">
        <v>45665.33732638889</v>
      </c>
      <c r="J2588" s="10" t="n">
        <v>45665.33903935185</v>
      </c>
      <c r="K2588" s="11" t="n">
        <v>0.001712962962962963</v>
      </c>
      <c r="L2588" s="13" t="n"/>
    </row>
    <row r="2589">
      <c r="A2589" s="3" t="inlineStr">
        <is>
          <t>PushOffDrive</t>
        </is>
      </c>
      <c r="B2589" s="3" t="inlineStr">
        <is>
          <t>Act_POD_1005306_080813_613</t>
        </is>
      </c>
      <c r="C2589" s="3" t="inlineStr">
        <is>
          <t>1005306</t>
        </is>
      </c>
      <c r="D2589" s="9" t="n">
        <v>12</v>
      </c>
      <c r="E2589" s="3" t="inlineStr">
        <is>
          <t>727</t>
        </is>
      </c>
      <c r="F2589" s="3" t="inlineStr">
        <is>
          <t>613</t>
        </is>
      </c>
      <c r="G2589" s="9" t="n">
        <v>290.6</v>
      </c>
      <c r="H2589" s="10" t="n">
        <v>45665.33903935185</v>
      </c>
      <c r="I2589" s="10" t="n">
        <v>45665.33903935185</v>
      </c>
      <c r="J2589" s="10" t="n">
        <v>45665.34027777778</v>
      </c>
      <c r="K2589" s="11" t="n">
        <v>0.001238425925925926</v>
      </c>
      <c r="L2589" s="13" t="n"/>
    </row>
    <row r="2590">
      <c r="A2590" s="3" t="inlineStr">
        <is>
          <t>PushOffDrive</t>
        </is>
      </c>
      <c r="B2590" s="3" t="inlineStr">
        <is>
          <t>Act_POD_1005307_081000_615</t>
        </is>
      </c>
      <c r="C2590" s="3" t="inlineStr">
        <is>
          <t>1005307</t>
        </is>
      </c>
      <c r="D2590" s="9" t="n">
        <v>51.4</v>
      </c>
      <c r="E2590" s="3" t="inlineStr">
        <is>
          <t>727</t>
        </is>
      </c>
      <c r="F2590" s="3" t="inlineStr">
        <is>
          <t>615</t>
        </is>
      </c>
      <c r="G2590" s="9" t="n">
        <v>263.09</v>
      </c>
      <c r="H2590" s="10" t="n">
        <v>45665.34027777778</v>
      </c>
      <c r="I2590" s="10" t="n">
        <v>45665.34027777778</v>
      </c>
      <c r="J2590" s="10" t="n">
        <v>45665.34149305556</v>
      </c>
      <c r="K2590" s="11" t="n">
        <v>0.001215277777777778</v>
      </c>
      <c r="L2590" s="13" t="n"/>
    </row>
    <row r="2591">
      <c r="A2591" s="3" t="inlineStr">
        <is>
          <t>PushOffDrive</t>
        </is>
      </c>
      <c r="B2591" s="3" t="inlineStr">
        <is>
          <t>Act_POD_1005308_081145_623</t>
        </is>
      </c>
      <c r="C2591" s="3" t="inlineStr">
        <is>
          <t>1005308</t>
        </is>
      </c>
      <c r="D2591" s="9" t="n">
        <v>15.7</v>
      </c>
      <c r="E2591" s="3" t="inlineStr">
        <is>
          <t>727</t>
        </is>
      </c>
      <c r="F2591" s="3" t="inlineStr">
        <is>
          <t>623</t>
        </is>
      </c>
      <c r="G2591" s="9" t="n">
        <v>405.22</v>
      </c>
      <c r="H2591" s="10" t="n">
        <v>45665.34149305556</v>
      </c>
      <c r="I2591" s="10" t="n">
        <v>45665.34149305556</v>
      </c>
      <c r="J2591" s="10" t="n">
        <v>45665.34321759259</v>
      </c>
      <c r="K2591" s="11" t="n">
        <v>0.001724537037037037</v>
      </c>
      <c r="L2591" s="13" t="n"/>
    </row>
    <row r="2592">
      <c r="A2592" s="3" t="inlineStr">
        <is>
          <t>PushOffDrive</t>
        </is>
      </c>
      <c r="B2592" s="3" t="inlineStr">
        <is>
          <t>Act_POD_1005309_081414_619</t>
        </is>
      </c>
      <c r="C2592" s="3" t="inlineStr">
        <is>
          <t>1005309</t>
        </is>
      </c>
      <c r="D2592" s="9" t="n">
        <v>108</v>
      </c>
      <c r="E2592" s="3" t="inlineStr">
        <is>
          <t>727</t>
        </is>
      </c>
      <c r="F2592" s="3" t="inlineStr">
        <is>
          <t>619</t>
        </is>
      </c>
      <c r="G2592" s="9" t="n">
        <v>453.13</v>
      </c>
      <c r="H2592" s="10" t="n">
        <v>45665.34321759259</v>
      </c>
      <c r="I2592" s="10" t="n">
        <v>45665.34321759259</v>
      </c>
      <c r="J2592" s="10" t="n">
        <v>45665.34534722222</v>
      </c>
      <c r="K2592" s="11" t="n">
        <v>0.00212962962962963</v>
      </c>
      <c r="L2592" s="13" t="n"/>
    </row>
    <row r="2593">
      <c r="A2593" s="3" t="inlineStr">
        <is>
          <t>PushOffDrive</t>
        </is>
      </c>
      <c r="B2593" s="3" t="inlineStr">
        <is>
          <t>Act_POD_1005310_081718_625</t>
        </is>
      </c>
      <c r="C2593" s="3" t="inlineStr">
        <is>
          <t>1005310</t>
        </is>
      </c>
      <c r="D2593" s="9" t="n">
        <v>15.7</v>
      </c>
      <c r="E2593" s="3" t="inlineStr">
        <is>
          <t>727</t>
        </is>
      </c>
      <c r="F2593" s="3" t="inlineStr">
        <is>
          <t>625</t>
        </is>
      </c>
      <c r="G2593" s="9" t="n">
        <v>470.92</v>
      </c>
      <c r="H2593" s="10" t="n">
        <v>45665.34534722222</v>
      </c>
      <c r="I2593" s="10" t="n">
        <v>45665.34534722222</v>
      </c>
      <c r="J2593" s="10" t="n">
        <v>45665.34734953703</v>
      </c>
      <c r="K2593" s="11" t="n">
        <v>0.002002314814814815</v>
      </c>
      <c r="L2593" s="13" t="n"/>
    </row>
    <row r="2594">
      <c r="A2594" s="3" t="inlineStr">
        <is>
          <t>PushOffDrive</t>
        </is>
      </c>
      <c r="B2594" s="3" t="inlineStr">
        <is>
          <t>Act_POD_1005311_082011_615</t>
        </is>
      </c>
      <c r="C2594" s="3" t="inlineStr">
        <is>
          <t>1005311</t>
        </is>
      </c>
      <c r="D2594" s="9" t="n">
        <v>94.40000000000001</v>
      </c>
      <c r="E2594" s="3" t="inlineStr">
        <is>
          <t>727</t>
        </is>
      </c>
      <c r="F2594" s="3" t="inlineStr">
        <is>
          <t>615</t>
        </is>
      </c>
      <c r="G2594" s="9" t="n">
        <v>263.09</v>
      </c>
      <c r="H2594" s="10" t="n">
        <v>45665.34734953703</v>
      </c>
      <c r="I2594" s="10" t="n">
        <v>45665.34734953703</v>
      </c>
      <c r="J2594" s="10" t="n">
        <v>45665.34866898148</v>
      </c>
      <c r="K2594" s="11" t="n">
        <v>0.001319444444444444</v>
      </c>
      <c r="L2594" s="13" t="n"/>
    </row>
    <row r="2595">
      <c r="A2595" s="3" t="inlineStr">
        <is>
          <t>PushOffDrive</t>
        </is>
      </c>
      <c r="B2595" s="3" t="inlineStr">
        <is>
          <t>Act_POD_1005312_082205_627</t>
        </is>
      </c>
      <c r="C2595" s="3" t="inlineStr">
        <is>
          <t>1005312</t>
        </is>
      </c>
      <c r="D2595" s="9" t="n">
        <v>85.5</v>
      </c>
      <c r="E2595" s="3" t="inlineStr">
        <is>
          <t>727</t>
        </is>
      </c>
      <c r="F2595" s="3" t="inlineStr">
        <is>
          <t>627</t>
        </is>
      </c>
      <c r="G2595" s="9" t="n">
        <v>443.59</v>
      </c>
      <c r="H2595" s="10" t="n">
        <v>45665.34866898148</v>
      </c>
      <c r="I2595" s="10" t="n">
        <v>45665.34866898148</v>
      </c>
      <c r="J2595" s="10" t="n">
        <v>45665.35070601852</v>
      </c>
      <c r="K2595" s="11" t="n">
        <v>0.002037037037037037</v>
      </c>
      <c r="L2595" s="13" t="n"/>
    </row>
    <row r="2596">
      <c r="A2596" s="3" t="inlineStr">
        <is>
          <t>PushOffDrive</t>
        </is>
      </c>
      <c r="B2596" s="3" t="inlineStr">
        <is>
          <t>Act_POD_1005313_082501_607</t>
        </is>
      </c>
      <c r="C2596" s="3" t="inlineStr">
        <is>
          <t>1005313</t>
        </is>
      </c>
      <c r="D2596" s="9" t="n">
        <v>15.7</v>
      </c>
      <c r="E2596" s="3" t="inlineStr">
        <is>
          <t>727</t>
        </is>
      </c>
      <c r="F2596" s="3" t="inlineStr">
        <is>
          <t>607</t>
        </is>
      </c>
      <c r="G2596" s="9" t="n">
        <v>371.57</v>
      </c>
      <c r="H2596" s="10" t="n">
        <v>45665.35070601852</v>
      </c>
      <c r="I2596" s="10" t="n">
        <v>45665.35070601852</v>
      </c>
      <c r="J2596" s="10" t="n">
        <v>45665.35229166667</v>
      </c>
      <c r="K2596" s="11" t="n">
        <v>0.001585648148148148</v>
      </c>
      <c r="L2596" s="13" t="n"/>
    </row>
    <row r="2597">
      <c r="A2597" s="3" t="inlineStr">
        <is>
          <t>PushOffDrive</t>
        </is>
      </c>
      <c r="B2597" s="3" t="inlineStr">
        <is>
          <t>Act_POD_1005314_082718_605</t>
        </is>
      </c>
      <c r="C2597" s="3" t="inlineStr">
        <is>
          <t>1005314</t>
        </is>
      </c>
      <c r="D2597" s="9" t="n">
        <v>19.9</v>
      </c>
      <c r="E2597" s="3" t="inlineStr">
        <is>
          <t>727</t>
        </is>
      </c>
      <c r="F2597" s="3" t="inlineStr">
        <is>
          <t>605</t>
        </is>
      </c>
      <c r="G2597" s="9" t="n">
        <v>398.6</v>
      </c>
      <c r="H2597" s="10" t="n">
        <v>45665.35229166667</v>
      </c>
      <c r="I2597" s="10" t="n">
        <v>45665.35229166667</v>
      </c>
      <c r="J2597" s="10" t="n">
        <v>45665.35400462963</v>
      </c>
      <c r="K2597" s="11" t="n">
        <v>0.001712962962962963</v>
      </c>
      <c r="L2597" s="13" t="n"/>
    </row>
    <row r="2598">
      <c r="A2598" s="3" t="inlineStr">
        <is>
          <t>PushOffDrive</t>
        </is>
      </c>
      <c r="B2598" s="3" t="inlineStr">
        <is>
          <t>Act_POD_1005315_082946_609</t>
        </is>
      </c>
      <c r="C2598" s="3" t="inlineStr">
        <is>
          <t>1005315</t>
        </is>
      </c>
      <c r="D2598" s="9" t="n">
        <v>14</v>
      </c>
      <c r="E2598" s="3" t="inlineStr">
        <is>
          <t>727</t>
        </is>
      </c>
      <c r="F2598" s="3" t="inlineStr">
        <is>
          <t>609</t>
        </is>
      </c>
      <c r="G2598" s="9" t="n">
        <v>344.04</v>
      </c>
      <c r="H2598" s="10" t="n">
        <v>45665.35400462963</v>
      </c>
      <c r="I2598" s="10" t="n">
        <v>45665.35400462963</v>
      </c>
      <c r="J2598" s="10" t="n">
        <v>45665.35546296297</v>
      </c>
      <c r="K2598" s="11" t="n">
        <v>0.001458333333333333</v>
      </c>
      <c r="L2598" s="13" t="n"/>
    </row>
    <row r="2599">
      <c r="A2599" s="3" t="inlineStr">
        <is>
          <t>PushOffDrive</t>
        </is>
      </c>
      <c r="B2599" s="3" t="inlineStr">
        <is>
          <t>Act_POD_1005501_083307_613</t>
        </is>
      </c>
      <c r="C2599" s="3" t="inlineStr">
        <is>
          <t>1005501</t>
        </is>
      </c>
      <c r="D2599" s="9" t="n">
        <v>389.8</v>
      </c>
      <c r="E2599" s="3" t="inlineStr">
        <is>
          <t>703</t>
        </is>
      </c>
      <c r="F2599" s="3" t="inlineStr">
        <is>
          <t>613</t>
        </is>
      </c>
      <c r="G2599" s="9" t="n">
        <v>297.43</v>
      </c>
      <c r="H2599" s="10" t="n">
        <v>45665.35633101852</v>
      </c>
      <c r="I2599" s="10" t="n">
        <v>45665.35633101852</v>
      </c>
      <c r="J2599" s="10" t="n">
        <v>45665.3584837963</v>
      </c>
      <c r="K2599" s="11" t="n">
        <v>0.002152777777777778</v>
      </c>
      <c r="L2599" s="13" t="n"/>
    </row>
    <row r="2600">
      <c r="A2600" s="3" t="inlineStr">
        <is>
          <t>PushOffDrive</t>
        </is>
      </c>
      <c r="B2600" s="3" t="inlineStr">
        <is>
          <t>Act_POD_1005601_091142_615</t>
        </is>
      </c>
      <c r="C2600" s="3" t="inlineStr">
        <is>
          <t>1005601</t>
        </is>
      </c>
      <c r="D2600" s="9" t="n">
        <v>114.8</v>
      </c>
      <c r="E2600" s="3" t="inlineStr">
        <is>
          <t>703</t>
        </is>
      </c>
      <c r="F2600" s="3" t="inlineStr">
        <is>
          <t>615</t>
        </is>
      </c>
      <c r="G2600" s="9" t="n">
        <v>269.92</v>
      </c>
      <c r="H2600" s="10" t="n">
        <v>45665.383125</v>
      </c>
      <c r="I2600" s="10" t="n">
        <v>45665.383125</v>
      </c>
      <c r="J2600" s="10" t="n">
        <v>45665.38451388889</v>
      </c>
      <c r="K2600" s="11" t="n">
        <v>0.001388888888888889</v>
      </c>
      <c r="L2600" s="13" t="n"/>
    </row>
    <row r="2601">
      <c r="A2601" s="3" t="inlineStr">
        <is>
          <t>PushOffDrive</t>
        </is>
      </c>
      <c r="B2601" s="3" t="inlineStr">
        <is>
          <t>Act_POD_1005602_091342_619</t>
        </is>
      </c>
      <c r="C2601" s="3" t="inlineStr">
        <is>
          <t>1005602</t>
        </is>
      </c>
      <c r="D2601" s="9" t="n">
        <v>120.4</v>
      </c>
      <c r="E2601" s="3" t="inlineStr">
        <is>
          <t>703</t>
        </is>
      </c>
      <c r="F2601" s="3" t="inlineStr">
        <is>
          <t>619</t>
        </is>
      </c>
      <c r="G2601" s="9" t="n">
        <v>459.96</v>
      </c>
      <c r="H2601" s="10" t="n">
        <v>45665.38451388889</v>
      </c>
      <c r="I2601" s="10" t="n">
        <v>45665.38451388889</v>
      </c>
      <c r="J2601" s="10" t="n">
        <v>45665.38671296297</v>
      </c>
      <c r="K2601" s="11" t="n">
        <v>0.002199074074074074</v>
      </c>
      <c r="L2601" s="13" t="n"/>
    </row>
    <row r="2602">
      <c r="A2602" s="3" t="inlineStr">
        <is>
          <t>PushOffDrive</t>
        </is>
      </c>
      <c r="B2602" s="3" t="inlineStr">
        <is>
          <t>Act_POD_1005701_103031_615</t>
        </is>
      </c>
      <c r="C2602" s="3" t="inlineStr">
        <is>
          <t>1005701</t>
        </is>
      </c>
      <c r="D2602" s="9" t="n">
        <v>124.9</v>
      </c>
      <c r="E2602" s="3" t="inlineStr">
        <is>
          <t>703</t>
        </is>
      </c>
      <c r="F2602" s="3" t="inlineStr">
        <is>
          <t>615</t>
        </is>
      </c>
      <c r="G2602" s="9" t="n">
        <v>269.92</v>
      </c>
      <c r="H2602" s="10" t="n">
        <v>45665.43785879629</v>
      </c>
      <c r="I2602" s="10" t="n">
        <v>45665.43785879629</v>
      </c>
      <c r="J2602" s="10" t="n">
        <v>45665.43928240741</v>
      </c>
      <c r="K2602" s="11" t="n">
        <v>0.001423611111111111</v>
      </c>
      <c r="L2602" s="13" t="n"/>
    </row>
    <row r="2603">
      <c r="A2603" s="3" t="inlineStr">
        <is>
          <t>PushOffDrive</t>
        </is>
      </c>
      <c r="B2603" s="3" t="inlineStr">
        <is>
          <t>Act_POD_1005702_103234_627</t>
        </is>
      </c>
      <c r="C2603" s="3" t="inlineStr">
        <is>
          <t>1005702</t>
        </is>
      </c>
      <c r="D2603" s="9" t="n">
        <v>21</v>
      </c>
      <c r="E2603" s="3" t="inlineStr">
        <is>
          <t>703</t>
        </is>
      </c>
      <c r="F2603" s="3" t="inlineStr">
        <is>
          <t>627</t>
        </is>
      </c>
      <c r="G2603" s="9" t="n">
        <v>450.42</v>
      </c>
      <c r="H2603" s="10" t="n">
        <v>45665.43928240741</v>
      </c>
      <c r="I2603" s="10" t="n">
        <v>45665.43928240741</v>
      </c>
      <c r="J2603" s="10" t="n">
        <v>45665.4412037037</v>
      </c>
      <c r="K2603" s="11" t="n">
        <v>0.001921296296296296</v>
      </c>
      <c r="L2603" s="13" t="n"/>
    </row>
    <row r="2604">
      <c r="A2604" s="3" t="inlineStr">
        <is>
          <t>PushOffDrive</t>
        </is>
      </c>
      <c r="B2604" s="3" t="inlineStr">
        <is>
          <t>Act_POD_1005703_103520_613</t>
        </is>
      </c>
      <c r="C2604" s="3" t="inlineStr">
        <is>
          <t>1005703</t>
        </is>
      </c>
      <c r="D2604" s="9" t="n">
        <v>297.3</v>
      </c>
      <c r="E2604" s="3" t="inlineStr">
        <is>
          <t>703</t>
        </is>
      </c>
      <c r="F2604" s="3" t="inlineStr">
        <is>
          <t>613</t>
        </is>
      </c>
      <c r="G2604" s="9" t="n">
        <v>297.43</v>
      </c>
      <c r="H2604" s="10" t="n">
        <v>45665.4412037037</v>
      </c>
      <c r="I2604" s="10" t="n">
        <v>45665.4412037037</v>
      </c>
      <c r="J2604" s="10" t="n">
        <v>45665.443125</v>
      </c>
      <c r="K2604" s="11" t="n">
        <v>0.001921296296296296</v>
      </c>
      <c r="L2604" s="13" t="n"/>
    </row>
    <row r="2605">
      <c r="A2605" s="3" t="inlineStr">
        <is>
          <t>PushOffDrive</t>
        </is>
      </c>
      <c r="B2605" s="3" t="inlineStr">
        <is>
          <t>Act_POD_1005801_125835_615</t>
        </is>
      </c>
      <c r="C2605" s="3" t="inlineStr">
        <is>
          <t>1005801</t>
        </is>
      </c>
      <c r="D2605" s="9" t="n">
        <v>296.8</v>
      </c>
      <c r="E2605" s="3" t="inlineStr">
        <is>
          <t>703</t>
        </is>
      </c>
      <c r="F2605" s="3" t="inlineStr">
        <is>
          <t>615</t>
        </is>
      </c>
      <c r="G2605" s="9" t="n">
        <v>269.92</v>
      </c>
      <c r="H2605" s="10" t="n">
        <v>45665.54068287037</v>
      </c>
      <c r="I2605" s="10" t="n">
        <v>45665.54068287037</v>
      </c>
      <c r="J2605" s="10" t="n">
        <v>45665.5425</v>
      </c>
      <c r="K2605" s="11" t="n">
        <v>0.00181712962962963</v>
      </c>
      <c r="L2605" s="13" t="n"/>
    </row>
    <row r="2606">
      <c r="A2606" s="3" t="inlineStr">
        <is>
          <t>PushOffDrive</t>
        </is>
      </c>
      <c r="B2606" s="3" t="inlineStr">
        <is>
          <t>Act_POD_1005901_143922_615</t>
        </is>
      </c>
      <c r="C2606" s="3" t="inlineStr">
        <is>
          <t>1005901</t>
        </is>
      </c>
      <c r="D2606" s="9" t="n">
        <v>365.8</v>
      </c>
      <c r="E2606" s="3" t="inlineStr">
        <is>
          <t>703</t>
        </is>
      </c>
      <c r="F2606" s="3" t="inlineStr">
        <is>
          <t>615</t>
        </is>
      </c>
      <c r="G2606" s="9" t="n">
        <v>269.92</v>
      </c>
      <c r="H2606" s="10" t="n">
        <v>45665.61067129629</v>
      </c>
      <c r="I2606" s="10" t="n">
        <v>45665.61067129629</v>
      </c>
      <c r="J2606" s="10" t="n">
        <v>45665.61263888889</v>
      </c>
      <c r="K2606" s="11" t="n">
        <v>0.001967592592592592</v>
      </c>
      <c r="L2606" s="13" t="n"/>
    </row>
    <row r="2607">
      <c r="A2607" s="3" t="inlineStr">
        <is>
          <t>PushOffDrive</t>
        </is>
      </c>
      <c r="B2607" s="3" t="inlineStr">
        <is>
          <t>Act_POD_1006001_152236_621</t>
        </is>
      </c>
      <c r="C2607" s="3" t="inlineStr">
        <is>
          <t>1006001</t>
        </is>
      </c>
      <c r="D2607" s="9" t="n">
        <v>39.8</v>
      </c>
      <c r="E2607" s="3" t="inlineStr">
        <is>
          <t>703</t>
        </is>
      </c>
      <c r="F2607" s="3" t="inlineStr">
        <is>
          <t>621</t>
        </is>
      </c>
      <c r="G2607" s="9" t="n">
        <v>459.96</v>
      </c>
      <c r="H2607" s="10" t="n">
        <v>45665.64069444445</v>
      </c>
      <c r="I2607" s="10" t="n">
        <v>45665.64069444445</v>
      </c>
      <c r="J2607" s="10" t="n">
        <v>45665.64270833333</v>
      </c>
      <c r="K2607" s="11" t="n">
        <v>0.002013888888888889</v>
      </c>
      <c r="L2607" s="13" t="n"/>
    </row>
    <row r="2608">
      <c r="A2608" s="3" t="inlineStr">
        <is>
          <t>PushOffDrive</t>
        </is>
      </c>
      <c r="B2608" s="3" t="inlineStr">
        <is>
          <t>Act_POD_1006002_152530_607</t>
        </is>
      </c>
      <c r="C2608" s="3" t="inlineStr">
        <is>
          <t>1006002</t>
        </is>
      </c>
      <c r="D2608" s="9" t="n">
        <v>15.7</v>
      </c>
      <c r="E2608" s="3" t="inlineStr">
        <is>
          <t>703</t>
        </is>
      </c>
      <c r="F2608" s="3" t="inlineStr">
        <is>
          <t>607</t>
        </is>
      </c>
      <c r="G2608" s="9" t="n">
        <v>378.4</v>
      </c>
      <c r="H2608" s="10" t="n">
        <v>45665.64270833333</v>
      </c>
      <c r="I2608" s="10" t="n">
        <v>45665.64270833333</v>
      </c>
      <c r="J2608" s="10" t="n">
        <v>45665.64431712963</v>
      </c>
      <c r="K2608" s="11" t="n">
        <v>0.001608796296296296</v>
      </c>
      <c r="L2608" s="13" t="n"/>
    </row>
    <row r="2609">
      <c r="A2609" s="3" t="inlineStr">
        <is>
          <t>PushOffDrive</t>
        </is>
      </c>
      <c r="B2609" s="3" t="inlineStr">
        <is>
          <t>Act_POD_1006003_152749_613</t>
        </is>
      </c>
      <c r="C2609" s="3" t="inlineStr">
        <is>
          <t>1006003</t>
        </is>
      </c>
      <c r="D2609" s="9" t="n">
        <v>27</v>
      </c>
      <c r="E2609" s="3" t="inlineStr">
        <is>
          <t>703</t>
        </is>
      </c>
      <c r="F2609" s="3" t="inlineStr">
        <is>
          <t>613</t>
        </is>
      </c>
      <c r="G2609" s="9" t="n">
        <v>297.43</v>
      </c>
      <c r="H2609" s="10" t="n">
        <v>45665.64431712963</v>
      </c>
      <c r="I2609" s="10" t="n">
        <v>45665.64431712963</v>
      </c>
      <c r="J2609" s="10" t="n">
        <v>45665.645625</v>
      </c>
      <c r="K2609" s="11" t="n">
        <v>0.00130787037037037</v>
      </c>
      <c r="L2609" s="13" t="n"/>
    </row>
    <row r="2610">
      <c r="A2610" s="3" t="inlineStr">
        <is>
          <t>PushOffDrive</t>
        </is>
      </c>
      <c r="B2610" s="3" t="inlineStr">
        <is>
          <t>Act_POD_1006004_152942_619</t>
        </is>
      </c>
      <c r="C2610" s="3" t="inlineStr">
        <is>
          <t>1006004</t>
        </is>
      </c>
      <c r="D2610" s="9" t="n">
        <v>15.7</v>
      </c>
      <c r="E2610" s="3" t="inlineStr">
        <is>
          <t>703</t>
        </is>
      </c>
      <c r="F2610" s="3" t="inlineStr">
        <is>
          <t>619</t>
        </is>
      </c>
      <c r="G2610" s="9" t="n">
        <v>459.96</v>
      </c>
      <c r="H2610" s="10" t="n">
        <v>45665.645625</v>
      </c>
      <c r="I2610" s="10" t="n">
        <v>45665.645625</v>
      </c>
      <c r="J2610" s="10" t="n">
        <v>45665.64756944445</v>
      </c>
      <c r="K2610" s="11" t="n">
        <v>0.001944444444444444</v>
      </c>
      <c r="L2610" s="13" t="n"/>
    </row>
    <row r="2611">
      <c r="A2611" s="3" t="inlineStr">
        <is>
          <t>PushOffDrive</t>
        </is>
      </c>
      <c r="B2611" s="3" t="inlineStr">
        <is>
          <t>Act_POD_1006005_153230_623</t>
        </is>
      </c>
      <c r="C2611" s="3" t="inlineStr">
        <is>
          <t>1006005</t>
        </is>
      </c>
      <c r="D2611" s="9" t="n">
        <v>15.7</v>
      </c>
      <c r="E2611" s="3" t="inlineStr">
        <is>
          <t>703</t>
        </is>
      </c>
      <c r="F2611" s="3" t="inlineStr">
        <is>
          <t>623</t>
        </is>
      </c>
      <c r="G2611" s="9" t="n">
        <v>412.05</v>
      </c>
      <c r="H2611" s="10" t="n">
        <v>45665.64756944445</v>
      </c>
      <c r="I2611" s="10" t="n">
        <v>45665.64756944445</v>
      </c>
      <c r="J2611" s="10" t="n">
        <v>45665.6493287037</v>
      </c>
      <c r="K2611" s="11" t="n">
        <v>0.001759259259259259</v>
      </c>
      <c r="L2611" s="13" t="n"/>
    </row>
    <row r="2612">
      <c r="A2612" s="3" t="inlineStr">
        <is>
          <t>PushOffDrive</t>
        </is>
      </c>
      <c r="B2612" s="3" t="inlineStr">
        <is>
          <t>Act_POD_1006006_153502_615</t>
        </is>
      </c>
      <c r="C2612" s="3" t="inlineStr">
        <is>
          <t>1006006</t>
        </is>
      </c>
      <c r="D2612" s="9" t="n">
        <v>94.40000000000001</v>
      </c>
      <c r="E2612" s="3" t="inlineStr">
        <is>
          <t>703</t>
        </is>
      </c>
      <c r="F2612" s="3" t="inlineStr">
        <is>
          <t>615</t>
        </is>
      </c>
      <c r="G2612" s="9" t="n">
        <v>269.92</v>
      </c>
      <c r="H2612" s="10" t="n">
        <v>45665.6493287037</v>
      </c>
      <c r="I2612" s="10" t="n">
        <v>45665.6493287037</v>
      </c>
      <c r="J2612" s="10" t="n">
        <v>45665.65067129629</v>
      </c>
      <c r="K2612" s="11" t="n">
        <v>0.001342592592592592</v>
      </c>
      <c r="L2612" s="13" t="n"/>
    </row>
    <row r="2613">
      <c r="A2613" s="3" t="inlineStr">
        <is>
          <t>PushOffDrive</t>
        </is>
      </c>
      <c r="B2613" s="3" t="inlineStr">
        <is>
          <t>Act_POD_1006007_153658_613</t>
        </is>
      </c>
      <c r="C2613" s="3" t="inlineStr">
        <is>
          <t>1006007</t>
        </is>
      </c>
      <c r="D2613" s="9" t="n">
        <v>12</v>
      </c>
      <c r="E2613" s="3" t="inlineStr">
        <is>
          <t>703</t>
        </is>
      </c>
      <c r="F2613" s="3" t="inlineStr">
        <is>
          <t>613</t>
        </is>
      </c>
      <c r="G2613" s="9" t="n">
        <v>297.43</v>
      </c>
      <c r="H2613" s="10" t="n">
        <v>45665.65067129629</v>
      </c>
      <c r="I2613" s="10" t="n">
        <v>45665.65067129629</v>
      </c>
      <c r="J2613" s="10" t="n">
        <v>45665.65193287037</v>
      </c>
      <c r="K2613" s="11" t="n">
        <v>0.001261574074074074</v>
      </c>
      <c r="L2613" s="13" t="n"/>
    </row>
    <row r="2614">
      <c r="A2614" s="3" t="inlineStr">
        <is>
          <t>PushOffDrive</t>
        </is>
      </c>
      <c r="B2614" s="3" t="inlineStr">
        <is>
          <t>Act_POD_1006008_153847_605</t>
        </is>
      </c>
      <c r="C2614" s="3" t="inlineStr">
        <is>
          <t>1006008</t>
        </is>
      </c>
      <c r="D2614" s="9" t="n">
        <v>19.9</v>
      </c>
      <c r="E2614" s="3" t="inlineStr">
        <is>
          <t>703</t>
        </is>
      </c>
      <c r="F2614" s="3" t="inlineStr">
        <is>
          <t>605</t>
        </is>
      </c>
      <c r="G2614" s="9" t="n">
        <v>405.43</v>
      </c>
      <c r="H2614" s="10" t="n">
        <v>45665.65193287037</v>
      </c>
      <c r="I2614" s="10" t="n">
        <v>45665.65193287037</v>
      </c>
      <c r="J2614" s="10" t="n">
        <v>45665.65366898148</v>
      </c>
      <c r="K2614" s="11" t="n">
        <v>0.001736111111111111</v>
      </c>
      <c r="L2614" s="13" t="n"/>
    </row>
    <row r="2615">
      <c r="A2615" s="3" t="inlineStr">
        <is>
          <t>PushOffDrive</t>
        </is>
      </c>
      <c r="B2615" s="3" t="inlineStr">
        <is>
          <t>Act_POD_1006009_154117_611</t>
        </is>
      </c>
      <c r="C2615" s="3" t="inlineStr">
        <is>
          <t>1006009</t>
        </is>
      </c>
      <c r="D2615" s="9" t="n">
        <v>39</v>
      </c>
      <c r="E2615" s="3" t="inlineStr">
        <is>
          <t>703</t>
        </is>
      </c>
      <c r="F2615" s="3" t="inlineStr">
        <is>
          <t>611</t>
        </is>
      </c>
      <c r="G2615" s="9" t="n">
        <v>324.35</v>
      </c>
      <c r="H2615" s="10" t="n">
        <v>45665.65366898148</v>
      </c>
      <c r="I2615" s="10" t="n">
        <v>45665.65366898148</v>
      </c>
      <c r="J2615" s="10" t="n">
        <v>45665.65511574074</v>
      </c>
      <c r="K2615" s="11" t="n">
        <v>0.001446759259259259</v>
      </c>
      <c r="L2615" s="13" t="n"/>
    </row>
    <row r="2616">
      <c r="A2616" s="3" t="inlineStr">
        <is>
          <t>PushOffDrive</t>
        </is>
      </c>
      <c r="B2616" s="3" t="inlineStr">
        <is>
          <t>Act_POD_1006010_154322_619</t>
        </is>
      </c>
      <c r="C2616" s="3" t="inlineStr">
        <is>
          <t>1006010</t>
        </is>
      </c>
      <c r="D2616" s="9" t="n">
        <v>23.2</v>
      </c>
      <c r="E2616" s="3" t="inlineStr">
        <is>
          <t>703</t>
        </is>
      </c>
      <c r="F2616" s="3" t="inlineStr">
        <is>
          <t>619</t>
        </is>
      </c>
      <c r="G2616" s="9" t="n">
        <v>459.96</v>
      </c>
      <c r="H2616" s="10" t="n">
        <v>45665.65511574074</v>
      </c>
      <c r="I2616" s="10" t="n">
        <v>45665.65511574074</v>
      </c>
      <c r="J2616" s="10" t="n">
        <v>45665.65708333333</v>
      </c>
      <c r="K2616" s="11" t="n">
        <v>0.001967592592592592</v>
      </c>
      <c r="L2616" s="13" t="n"/>
    </row>
    <row r="2617">
      <c r="A2617" s="3" t="inlineStr">
        <is>
          <t>PushOffDrive</t>
        </is>
      </c>
      <c r="B2617" s="3" t="inlineStr">
        <is>
          <t>Act_POD_1006011_154612_609</t>
        </is>
      </c>
      <c r="C2617" s="3" t="inlineStr">
        <is>
          <t>1006011</t>
        </is>
      </c>
      <c r="D2617" s="9" t="n">
        <v>14</v>
      </c>
      <c r="E2617" s="3" t="inlineStr">
        <is>
          <t>703</t>
        </is>
      </c>
      <c r="F2617" s="3" t="inlineStr">
        <is>
          <t>609</t>
        </is>
      </c>
      <c r="G2617" s="9" t="n">
        <v>350.87</v>
      </c>
      <c r="H2617" s="10" t="n">
        <v>45665.65708333333</v>
      </c>
      <c r="I2617" s="10" t="n">
        <v>45665.65708333333</v>
      </c>
      <c r="J2617" s="10" t="n">
        <v>45665.65857638889</v>
      </c>
      <c r="K2617" s="11" t="n">
        <v>0.001493055555555556</v>
      </c>
      <c r="L2617" s="13" t="n"/>
    </row>
    <row r="2618">
      <c r="A2618" s="3" t="inlineStr">
        <is>
          <t>PushOffDrive</t>
        </is>
      </c>
      <c r="B2618" s="3" t="inlineStr">
        <is>
          <t>Act_POD_1006101_154936_617</t>
        </is>
      </c>
      <c r="C2618" s="3" t="inlineStr">
        <is>
          <t>1006101</t>
        </is>
      </c>
      <c r="D2618" s="9" t="n">
        <v>362</v>
      </c>
      <c r="E2618" s="3" t="inlineStr">
        <is>
          <t>727</t>
        </is>
      </c>
      <c r="F2618" s="3" t="inlineStr">
        <is>
          <t>617</t>
        </is>
      </c>
      <c r="G2618" s="9" t="n">
        <v>292.28</v>
      </c>
      <c r="H2618" s="10" t="n">
        <v>45665.65944444444</v>
      </c>
      <c r="I2618" s="10" t="n">
        <v>45665.65944444444</v>
      </c>
      <c r="J2618" s="10" t="n">
        <v>45665.66150462963</v>
      </c>
      <c r="K2618" s="11" t="n">
        <v>0.002060185185185185</v>
      </c>
      <c r="L2618" s="13" t="n"/>
    </row>
    <row r="2619">
      <c r="A2619" s="3" t="inlineStr">
        <is>
          <t>PushOffDrive</t>
        </is>
      </c>
      <c r="B2619" s="3" t="inlineStr">
        <is>
          <t>Act_POD_1006201_173145_615</t>
        </is>
      </c>
      <c r="C2619" s="3" t="inlineStr">
        <is>
          <t>1006201</t>
        </is>
      </c>
      <c r="D2619" s="9" t="n">
        <v>209.2</v>
      </c>
      <c r="E2619" s="3" t="inlineStr">
        <is>
          <t>703</t>
        </is>
      </c>
      <c r="F2619" s="3" t="inlineStr">
        <is>
          <t>615</t>
        </is>
      </c>
      <c r="G2619" s="9" t="n">
        <v>269.92</v>
      </c>
      <c r="H2619" s="10" t="n">
        <v>45665.73038194444</v>
      </c>
      <c r="I2619" s="10" t="n">
        <v>45665.73038194444</v>
      </c>
      <c r="J2619" s="10" t="n">
        <v>45665.73199074074</v>
      </c>
      <c r="K2619" s="11" t="n">
        <v>0.001608796296296296</v>
      </c>
      <c r="L2619" s="13" t="n"/>
    </row>
    <row r="2620">
      <c r="A2620" s="3" t="inlineStr">
        <is>
          <t>PushOffDrive</t>
        </is>
      </c>
      <c r="B2620" s="3" t="inlineStr">
        <is>
          <t>Act_POD_1006301_180702_617</t>
        </is>
      </c>
      <c r="C2620" s="3" t="inlineStr">
        <is>
          <t>1006301</t>
        </is>
      </c>
      <c r="D2620" s="9" t="n">
        <v>15.7</v>
      </c>
      <c r="E2620" s="3" t="inlineStr">
        <is>
          <t>731</t>
        </is>
      </c>
      <c r="F2620" s="3" t="inlineStr">
        <is>
          <t>617</t>
        </is>
      </c>
      <c r="G2620" s="9" t="n">
        <v>384</v>
      </c>
      <c r="H2620" s="10" t="n">
        <v>45665.75488425926</v>
      </c>
      <c r="I2620" s="10" t="n">
        <v>45665.75488425926</v>
      </c>
      <c r="J2620" s="10" t="n">
        <v>45665.75652777778</v>
      </c>
      <c r="K2620" s="11" t="n">
        <v>0.001643518518518519</v>
      </c>
      <c r="L2620" s="13" t="n"/>
    </row>
    <row r="2621">
      <c r="A2621" s="3" t="inlineStr">
        <is>
          <t>PushOffDrive</t>
        </is>
      </c>
      <c r="B2621" s="3" t="inlineStr">
        <is>
          <t>Act_POD_1006401_200323_611</t>
        </is>
      </c>
      <c r="C2621" s="3" t="inlineStr">
        <is>
          <t>1006401</t>
        </is>
      </c>
      <c r="D2621" s="9" t="n">
        <v>15.7</v>
      </c>
      <c r="E2621" s="3" t="inlineStr">
        <is>
          <t>703</t>
        </is>
      </c>
      <c r="F2621" s="3" t="inlineStr">
        <is>
          <t>611</t>
        </is>
      </c>
      <c r="G2621" s="9" t="n">
        <v>324.35</v>
      </c>
      <c r="H2621" s="10" t="n">
        <v>45665.83568287037</v>
      </c>
      <c r="I2621" s="10" t="n">
        <v>45665.83568287037</v>
      </c>
      <c r="J2621" s="10" t="n">
        <v>45665.83707175926</v>
      </c>
      <c r="K2621" s="11" t="n">
        <v>0.001388888888888889</v>
      </c>
      <c r="L2621" s="13" t="n"/>
    </row>
    <row r="2622">
      <c r="A2622" s="3" t="inlineStr">
        <is>
          <t>PushOffDrive</t>
        </is>
      </c>
      <c r="B2622" s="3" t="inlineStr">
        <is>
          <t>Act_POD_1006402_200523_607</t>
        </is>
      </c>
      <c r="C2622" s="3" t="inlineStr">
        <is>
          <t>1006402</t>
        </is>
      </c>
      <c r="D2622" s="9" t="n">
        <v>15.7</v>
      </c>
      <c r="E2622" s="3" t="inlineStr">
        <is>
          <t>703</t>
        </is>
      </c>
      <c r="F2622" s="3" t="inlineStr">
        <is>
          <t>607</t>
        </is>
      </c>
      <c r="G2622" s="9" t="n">
        <v>378.4</v>
      </c>
      <c r="H2622" s="10" t="n">
        <v>45665.83707175926</v>
      </c>
      <c r="I2622" s="10" t="n">
        <v>45665.83707175926</v>
      </c>
      <c r="J2622" s="10" t="n">
        <v>45665.83869212963</v>
      </c>
      <c r="K2622" s="11" t="n">
        <v>0.00162037037037037</v>
      </c>
      <c r="L2622" s="13" t="n"/>
    </row>
    <row r="2623">
      <c r="A2623" s="3" t="inlineStr">
        <is>
          <t>PushOffDrive</t>
        </is>
      </c>
      <c r="B2623" s="3" t="inlineStr">
        <is>
          <t>Act_POD_1006403_200743_606</t>
        </is>
      </c>
      <c r="C2623" s="3" t="inlineStr">
        <is>
          <t>1006403</t>
        </is>
      </c>
      <c r="D2623" s="9" t="n">
        <v>15.7</v>
      </c>
      <c r="E2623" s="3" t="inlineStr">
        <is>
          <t>703</t>
        </is>
      </c>
      <c r="F2623" s="3" t="inlineStr">
        <is>
          <t>606</t>
        </is>
      </c>
      <c r="G2623" s="9" t="n">
        <v>405.03</v>
      </c>
      <c r="H2623" s="10" t="n">
        <v>45665.83869212963</v>
      </c>
      <c r="I2623" s="10" t="n">
        <v>45665.83869212963</v>
      </c>
      <c r="J2623" s="10" t="n">
        <v>45665.84040509259</v>
      </c>
      <c r="K2623" s="11" t="n">
        <v>0.001712962962962963</v>
      </c>
      <c r="L2623" s="13" t="n"/>
    </row>
    <row r="2624">
      <c r="A2624" s="3" t="inlineStr">
        <is>
          <t>PushOffDrive</t>
        </is>
      </c>
      <c r="B2624" s="3" t="inlineStr">
        <is>
          <t>Act_POD_1006404_201011_625</t>
        </is>
      </c>
      <c r="C2624" s="3" t="inlineStr">
        <is>
          <t>1006404</t>
        </is>
      </c>
      <c r="D2624" s="9" t="n">
        <v>19.9</v>
      </c>
      <c r="E2624" s="3" t="inlineStr">
        <is>
          <t>703</t>
        </is>
      </c>
      <c r="F2624" s="3" t="inlineStr">
        <is>
          <t>625</t>
        </is>
      </c>
      <c r="G2624" s="9" t="n">
        <v>477.75</v>
      </c>
      <c r="H2624" s="10" t="n">
        <v>45665.84040509259</v>
      </c>
      <c r="I2624" s="10" t="n">
        <v>45665.84040509259</v>
      </c>
      <c r="J2624" s="10" t="n">
        <v>45665.84244212963</v>
      </c>
      <c r="K2624" s="11" t="n">
        <v>0.002037037037037037</v>
      </c>
      <c r="L2624" s="13" t="n"/>
    </row>
    <row r="2625">
      <c r="A2625" s="3" t="inlineStr">
        <is>
          <t>PushOffDrive</t>
        </is>
      </c>
      <c r="B2625" s="3" t="inlineStr">
        <is>
          <t>Act_POD_1006405_201307_615</t>
        </is>
      </c>
      <c r="C2625" s="3" t="inlineStr">
        <is>
          <t>1006405</t>
        </is>
      </c>
      <c r="D2625" s="9" t="n">
        <v>78.7</v>
      </c>
      <c r="E2625" s="3" t="inlineStr">
        <is>
          <t>703</t>
        </is>
      </c>
      <c r="F2625" s="3" t="inlineStr">
        <is>
          <t>615</t>
        </is>
      </c>
      <c r="G2625" s="9" t="n">
        <v>269.92</v>
      </c>
      <c r="H2625" s="10" t="n">
        <v>45665.84244212963</v>
      </c>
      <c r="I2625" s="10" t="n">
        <v>45665.84244212963</v>
      </c>
      <c r="J2625" s="10" t="n">
        <v>45665.84375</v>
      </c>
      <c r="K2625" s="11" t="n">
        <v>0.00130787037037037</v>
      </c>
      <c r="L2625" s="13" t="n"/>
    </row>
    <row r="2626">
      <c r="A2626" s="3" t="inlineStr">
        <is>
          <t>PushOffDrive</t>
        </is>
      </c>
      <c r="B2626" s="3" t="inlineStr">
        <is>
          <t>Act_POD_1006406_201500_613</t>
        </is>
      </c>
      <c r="C2626" s="3" t="inlineStr">
        <is>
          <t>1006406</t>
        </is>
      </c>
      <c r="D2626" s="9" t="n">
        <v>27</v>
      </c>
      <c r="E2626" s="3" t="inlineStr">
        <is>
          <t>703</t>
        </is>
      </c>
      <c r="F2626" s="3" t="inlineStr">
        <is>
          <t>613</t>
        </is>
      </c>
      <c r="G2626" s="9" t="n">
        <v>297.43</v>
      </c>
      <c r="H2626" s="10" t="n">
        <v>45665.84375</v>
      </c>
      <c r="I2626" s="10" t="n">
        <v>45665.84375</v>
      </c>
      <c r="J2626" s="10" t="n">
        <v>45665.84505787037</v>
      </c>
      <c r="K2626" s="11" t="n">
        <v>0.00130787037037037</v>
      </c>
      <c r="L2626" s="13" t="n"/>
    </row>
    <row r="2627">
      <c r="A2627" s="3" t="inlineStr">
        <is>
          <t>PushOffDrive</t>
        </is>
      </c>
      <c r="B2627" s="3" t="inlineStr">
        <is>
          <t>Act_POD_1006407_201653_619</t>
        </is>
      </c>
      <c r="C2627" s="3" t="inlineStr">
        <is>
          <t>1006407</t>
        </is>
      </c>
      <c r="D2627" s="9" t="n">
        <v>15.7</v>
      </c>
      <c r="E2627" s="3" t="inlineStr">
        <is>
          <t>703</t>
        </is>
      </c>
      <c r="F2627" s="3" t="inlineStr">
        <is>
          <t>619</t>
        </is>
      </c>
      <c r="G2627" s="9" t="n">
        <v>459.96</v>
      </c>
      <c r="H2627" s="10" t="n">
        <v>45665.84505787037</v>
      </c>
      <c r="I2627" s="10" t="n">
        <v>45665.84505787037</v>
      </c>
      <c r="J2627" s="10" t="n">
        <v>45665.84701388889</v>
      </c>
      <c r="K2627" s="11" t="n">
        <v>0.001956018518518518</v>
      </c>
      <c r="L2627" s="13" t="n"/>
    </row>
    <row r="2628">
      <c r="A2628" s="3" t="inlineStr">
        <is>
          <t>PushOffDrive</t>
        </is>
      </c>
      <c r="B2628" s="3" t="inlineStr">
        <is>
          <t>Act_POD_1006408_201942_605</t>
        </is>
      </c>
      <c r="C2628" s="3" t="inlineStr">
        <is>
          <t>1006408</t>
        </is>
      </c>
      <c r="D2628" s="9" t="n">
        <v>39.8</v>
      </c>
      <c r="E2628" s="3" t="inlineStr">
        <is>
          <t>703</t>
        </is>
      </c>
      <c r="F2628" s="3" t="inlineStr">
        <is>
          <t>605</t>
        </is>
      </c>
      <c r="G2628" s="9" t="n">
        <v>405.43</v>
      </c>
      <c r="H2628" s="10" t="n">
        <v>45665.84701388889</v>
      </c>
      <c r="I2628" s="10" t="n">
        <v>45665.84701388889</v>
      </c>
      <c r="J2628" s="10" t="n">
        <v>45665.84878472222</v>
      </c>
      <c r="K2628" s="11" t="n">
        <v>0.001770833333333333</v>
      </c>
      <c r="L2628" s="13" t="n"/>
    </row>
    <row r="2629">
      <c r="A2629" s="3" t="inlineStr">
        <is>
          <t>PushOffDrive</t>
        </is>
      </c>
      <c r="B2629" s="3" t="inlineStr">
        <is>
          <t>Act_POD_1006409_202215_607</t>
        </is>
      </c>
      <c r="C2629" s="3" t="inlineStr">
        <is>
          <t>1006409</t>
        </is>
      </c>
      <c r="D2629" s="9" t="n">
        <v>15.7</v>
      </c>
      <c r="E2629" s="3" t="inlineStr">
        <is>
          <t>703</t>
        </is>
      </c>
      <c r="F2629" s="3" t="inlineStr">
        <is>
          <t>607</t>
        </is>
      </c>
      <c r="G2629" s="9" t="n">
        <v>378.4</v>
      </c>
      <c r="H2629" s="10" t="n">
        <v>45665.84878472222</v>
      </c>
      <c r="I2629" s="10" t="n">
        <v>45665.84878472222</v>
      </c>
      <c r="J2629" s="10" t="n">
        <v>45665.85040509259</v>
      </c>
      <c r="K2629" s="11" t="n">
        <v>0.00162037037037037</v>
      </c>
      <c r="L2629" s="13" t="n"/>
    </row>
    <row r="2630">
      <c r="A2630" s="3" t="inlineStr">
        <is>
          <t>PushOffDrive</t>
        </is>
      </c>
      <c r="B2630" s="3" t="inlineStr">
        <is>
          <t>Act_POD_1006501_202550_617</t>
        </is>
      </c>
      <c r="C2630" s="3" t="inlineStr">
        <is>
          <t>1006501</t>
        </is>
      </c>
      <c r="D2630" s="9" t="n">
        <v>99.5</v>
      </c>
      <c r="E2630" s="3" t="inlineStr">
        <is>
          <t>727</t>
        </is>
      </c>
      <c r="F2630" s="3" t="inlineStr">
        <is>
          <t>617</t>
        </is>
      </c>
      <c r="G2630" s="9" t="n">
        <v>292.28</v>
      </c>
      <c r="H2630" s="10" t="n">
        <v>45665.85127314815</v>
      </c>
      <c r="I2630" s="10" t="n">
        <v>45665.85127314815</v>
      </c>
      <c r="J2630" s="10" t="n">
        <v>45665.85271990741</v>
      </c>
      <c r="K2630" s="11" t="n">
        <v>0.001446759259259259</v>
      </c>
      <c r="L2630" s="13" t="n"/>
    </row>
    <row r="2631">
      <c r="A2631" s="3" t="inlineStr">
        <is>
          <t>PushOffDrive</t>
        </is>
      </c>
      <c r="B2631" s="3" t="inlineStr">
        <is>
          <t>Act_POD_1006601_025923_613</t>
        </is>
      </c>
      <c r="C2631" s="3" t="inlineStr">
        <is>
          <t>1006601</t>
        </is>
      </c>
      <c r="D2631" s="9" t="n">
        <v>44</v>
      </c>
      <c r="E2631" s="3" t="inlineStr">
        <is>
          <t>703</t>
        </is>
      </c>
      <c r="F2631" s="3" t="inlineStr">
        <is>
          <t>613</t>
        </is>
      </c>
      <c r="G2631" s="9" t="n">
        <v>297.43</v>
      </c>
      <c r="H2631" s="10" t="n">
        <v>45666.12457175926</v>
      </c>
      <c r="I2631" s="10" t="n">
        <v>45666.12457175926</v>
      </c>
      <c r="J2631" s="10" t="n">
        <v>45666.12591435185</v>
      </c>
      <c r="K2631" s="11" t="n">
        <v>0.001342592592592592</v>
      </c>
      <c r="L2631" s="13" t="n"/>
    </row>
    <row r="2632">
      <c r="A2632" s="3" t="inlineStr">
        <is>
          <t>PushOffDrive</t>
        </is>
      </c>
      <c r="B2632" s="3" t="inlineStr">
        <is>
          <t>Act_POD_1006602_030119_623</t>
        </is>
      </c>
      <c r="C2632" s="3" t="inlineStr">
        <is>
          <t>1006602</t>
        </is>
      </c>
      <c r="D2632" s="9" t="n">
        <v>19.9</v>
      </c>
      <c r="E2632" s="3" t="inlineStr">
        <is>
          <t>703</t>
        </is>
      </c>
      <c r="F2632" s="3" t="inlineStr">
        <is>
          <t>623</t>
        </is>
      </c>
      <c r="G2632" s="9" t="n">
        <v>412.05</v>
      </c>
      <c r="H2632" s="10" t="n">
        <v>45666.12591435185</v>
      </c>
      <c r="I2632" s="10" t="n">
        <v>45666.12591435185</v>
      </c>
      <c r="J2632" s="10" t="n">
        <v>45666.12768518519</v>
      </c>
      <c r="K2632" s="11" t="n">
        <v>0.001770833333333333</v>
      </c>
      <c r="L2632" s="13" t="n"/>
    </row>
    <row r="2633">
      <c r="A2633" s="3" t="inlineStr">
        <is>
          <t>PushOffDrive</t>
        </is>
      </c>
      <c r="B2633" s="3" t="inlineStr">
        <is>
          <t>Act_POD_1006603_030352_625</t>
        </is>
      </c>
      <c r="C2633" s="3" t="inlineStr">
        <is>
          <t>1006603</t>
        </is>
      </c>
      <c r="D2633" s="9" t="n">
        <v>100.6</v>
      </c>
      <c r="E2633" s="3" t="inlineStr">
        <is>
          <t>703</t>
        </is>
      </c>
      <c r="F2633" s="3" t="inlineStr">
        <is>
          <t>625</t>
        </is>
      </c>
      <c r="G2633" s="9" t="n">
        <v>477.75</v>
      </c>
      <c r="H2633" s="10" t="n">
        <v>45666.12768518519</v>
      </c>
      <c r="I2633" s="10" t="n">
        <v>45666.12768518519</v>
      </c>
      <c r="J2633" s="10" t="n">
        <v>45666.1299074074</v>
      </c>
      <c r="K2633" s="11" t="n">
        <v>0.002222222222222222</v>
      </c>
      <c r="L2633" s="13" t="n"/>
    </row>
    <row r="2634">
      <c r="A2634" s="3" t="inlineStr">
        <is>
          <t>PushOffDrive</t>
        </is>
      </c>
      <c r="B2634" s="3" t="inlineStr">
        <is>
          <t>Act_POD_1006701_063123_615</t>
        </is>
      </c>
      <c r="C2634" s="3" t="inlineStr">
        <is>
          <t>1006701</t>
        </is>
      </c>
      <c r="D2634" s="9" t="n">
        <v>63</v>
      </c>
      <c r="E2634" s="3" t="inlineStr">
        <is>
          <t>703</t>
        </is>
      </c>
      <c r="F2634" s="3" t="inlineStr">
        <is>
          <t>615</t>
        </is>
      </c>
      <c r="G2634" s="9" t="n">
        <v>269.92</v>
      </c>
      <c r="H2634" s="10" t="n">
        <v>45666.27179398148</v>
      </c>
      <c r="I2634" s="10" t="n">
        <v>45666.27179398148</v>
      </c>
      <c r="J2634" s="10" t="n">
        <v>45666.27306712963</v>
      </c>
      <c r="K2634" s="11" t="n">
        <v>0.001273148148148148</v>
      </c>
      <c r="L2634" s="13" t="n"/>
    </row>
    <row r="2635">
      <c r="A2635" s="3" t="inlineStr">
        <is>
          <t>PushOffDrive</t>
        </is>
      </c>
      <c r="B2635" s="3" t="inlineStr">
        <is>
          <t>Act_POD_1006702_063313_619</t>
        </is>
      </c>
      <c r="C2635" s="3" t="inlineStr">
        <is>
          <t>1006702</t>
        </is>
      </c>
      <c r="D2635" s="9" t="n">
        <v>121.1</v>
      </c>
      <c r="E2635" s="3" t="inlineStr">
        <is>
          <t>703</t>
        </is>
      </c>
      <c r="F2635" s="3" t="inlineStr">
        <is>
          <t>619</t>
        </is>
      </c>
      <c r="G2635" s="9" t="n">
        <v>459.96</v>
      </c>
      <c r="H2635" s="10" t="n">
        <v>45666.27306712963</v>
      </c>
      <c r="I2635" s="10" t="n">
        <v>45666.27306712963</v>
      </c>
      <c r="J2635" s="10" t="n">
        <v>45666.2752662037</v>
      </c>
      <c r="K2635" s="11" t="n">
        <v>0.002199074074074074</v>
      </c>
      <c r="L2635" s="13" t="n"/>
    </row>
    <row r="2636">
      <c r="A2636" s="3" t="inlineStr">
        <is>
          <t>PushOffDrive</t>
        </is>
      </c>
      <c r="B2636" s="3" t="inlineStr">
        <is>
          <t>Act_POD_1006703_063623_613</t>
        </is>
      </c>
      <c r="C2636" s="3" t="inlineStr">
        <is>
          <t>1006703</t>
        </is>
      </c>
      <c r="D2636" s="9" t="n">
        <v>21</v>
      </c>
      <c r="E2636" s="3" t="inlineStr">
        <is>
          <t>703</t>
        </is>
      </c>
      <c r="F2636" s="3" t="inlineStr">
        <is>
          <t>613</t>
        </is>
      </c>
      <c r="G2636" s="9" t="n">
        <v>297.43</v>
      </c>
      <c r="H2636" s="10" t="n">
        <v>45666.2752662037</v>
      </c>
      <c r="I2636" s="10" t="n">
        <v>45666.2752662037</v>
      </c>
      <c r="J2636" s="10" t="n">
        <v>45666.27655092593</v>
      </c>
      <c r="K2636" s="11" t="n">
        <v>0.001284722222222222</v>
      </c>
      <c r="L2636" s="13" t="n"/>
    </row>
    <row r="2637">
      <c r="A2637" s="3" t="inlineStr">
        <is>
          <t>PushOffDrive</t>
        </is>
      </c>
      <c r="B2637" s="3" t="inlineStr">
        <is>
          <t>Act_POD_1006704_063814_625</t>
        </is>
      </c>
      <c r="C2637" s="3" t="inlineStr">
        <is>
          <t>1006704</t>
        </is>
      </c>
      <c r="D2637" s="9" t="n">
        <v>19.9</v>
      </c>
      <c r="E2637" s="3" t="inlineStr">
        <is>
          <t>703</t>
        </is>
      </c>
      <c r="F2637" s="3" t="inlineStr">
        <is>
          <t>625</t>
        </is>
      </c>
      <c r="G2637" s="9" t="n">
        <v>477.75</v>
      </c>
      <c r="H2637" s="10" t="n">
        <v>45666.27655092593</v>
      </c>
      <c r="I2637" s="10" t="n">
        <v>45666.27655092593</v>
      </c>
      <c r="J2637" s="10" t="n">
        <v>45666.27858796297</v>
      </c>
      <c r="K2637" s="11" t="n">
        <v>0.002037037037037037</v>
      </c>
      <c r="L2637" s="13" t="n"/>
    </row>
    <row r="2638">
      <c r="A2638" s="3" t="inlineStr">
        <is>
          <t>PushOffDrive</t>
        </is>
      </c>
      <c r="B2638" s="3" t="inlineStr">
        <is>
          <t>Act_POD_1006705_064110_613</t>
        </is>
      </c>
      <c r="C2638" s="3" t="inlineStr">
        <is>
          <t>1006705</t>
        </is>
      </c>
      <c r="D2638" s="9" t="n">
        <v>27</v>
      </c>
      <c r="E2638" s="3" t="inlineStr">
        <is>
          <t>703</t>
        </is>
      </c>
      <c r="F2638" s="3" t="inlineStr">
        <is>
          <t>613</t>
        </is>
      </c>
      <c r="G2638" s="9" t="n">
        <v>297.43</v>
      </c>
      <c r="H2638" s="10" t="n">
        <v>45666.27858796297</v>
      </c>
      <c r="I2638" s="10" t="n">
        <v>45666.27858796297</v>
      </c>
      <c r="J2638" s="10" t="n">
        <v>45666.27988425926</v>
      </c>
      <c r="K2638" s="11" t="n">
        <v>0.001296296296296296</v>
      </c>
      <c r="L2638" s="13" t="n"/>
    </row>
    <row r="2639">
      <c r="A2639" s="3" t="inlineStr">
        <is>
          <t>PushOffDrive</t>
        </is>
      </c>
      <c r="B2639" s="3" t="inlineStr">
        <is>
          <t>Act_POD_1006706_064302_617</t>
        </is>
      </c>
      <c r="C2639" s="3" t="inlineStr">
        <is>
          <t>1006706</t>
        </is>
      </c>
      <c r="D2639" s="9" t="n">
        <v>12</v>
      </c>
      <c r="E2639" s="3" t="inlineStr">
        <is>
          <t>703</t>
        </is>
      </c>
      <c r="F2639" s="3" t="inlineStr">
        <is>
          <t>617</t>
        </is>
      </c>
      <c r="G2639" s="9" t="n">
        <v>299.11</v>
      </c>
      <c r="H2639" s="10" t="n">
        <v>45666.27988425926</v>
      </c>
      <c r="I2639" s="10" t="n">
        <v>45666.27988425926</v>
      </c>
      <c r="J2639" s="10" t="n">
        <v>45666.28115740741</v>
      </c>
      <c r="K2639" s="11" t="n">
        <v>0.001273148148148148</v>
      </c>
      <c r="L2639" s="13" t="n"/>
    </row>
    <row r="2640">
      <c r="A2640" s="3" t="inlineStr">
        <is>
          <t>PushOffDrive</t>
        </is>
      </c>
      <c r="B2640" s="3" t="inlineStr">
        <is>
          <t>Act_POD_1006707_064452_611</t>
        </is>
      </c>
      <c r="C2640" s="3" t="inlineStr">
        <is>
          <t>1006707</t>
        </is>
      </c>
      <c r="D2640" s="9" t="n">
        <v>31.5</v>
      </c>
      <c r="E2640" s="3" t="inlineStr">
        <is>
          <t>703</t>
        </is>
      </c>
      <c r="F2640" s="3" t="inlineStr">
        <is>
          <t>611</t>
        </is>
      </c>
      <c r="G2640" s="9" t="n">
        <v>324.35</v>
      </c>
      <c r="H2640" s="10" t="n">
        <v>45666.28115740741</v>
      </c>
      <c r="I2640" s="10" t="n">
        <v>45666.28115740741</v>
      </c>
      <c r="J2640" s="10" t="n">
        <v>45666.28259259259</v>
      </c>
      <c r="K2640" s="11" t="n">
        <v>0.001435185185185185</v>
      </c>
      <c r="L2640" s="13" t="n"/>
    </row>
    <row r="2641">
      <c r="A2641" s="3" t="inlineStr">
        <is>
          <t>PushOffDrive</t>
        </is>
      </c>
      <c r="B2641" s="3" t="inlineStr">
        <is>
          <t>Act_POD_1006708_064656_621</t>
        </is>
      </c>
      <c r="C2641" s="3" t="inlineStr">
        <is>
          <t>1006708</t>
        </is>
      </c>
      <c r="D2641" s="9" t="n">
        <v>37.5</v>
      </c>
      <c r="E2641" s="3" t="inlineStr">
        <is>
          <t>703</t>
        </is>
      </c>
      <c r="F2641" s="3" t="inlineStr">
        <is>
          <t>621</t>
        </is>
      </c>
      <c r="G2641" s="9" t="n">
        <v>459.96</v>
      </c>
      <c r="H2641" s="10" t="n">
        <v>45666.28259259259</v>
      </c>
      <c r="I2641" s="10" t="n">
        <v>45666.28259259259</v>
      </c>
      <c r="J2641" s="10" t="n">
        <v>45666.28459490741</v>
      </c>
      <c r="K2641" s="11" t="n">
        <v>0.002002314814814815</v>
      </c>
      <c r="L2641" s="13" t="n"/>
    </row>
    <row r="2642">
      <c r="A2642" s="3" t="inlineStr">
        <is>
          <t>PushOffDrive</t>
        </is>
      </c>
      <c r="B2642" s="3" t="inlineStr">
        <is>
          <t>Act_POD_1006709_064949_623</t>
        </is>
      </c>
      <c r="C2642" s="3" t="inlineStr">
        <is>
          <t>1006709</t>
        </is>
      </c>
      <c r="D2642" s="9" t="n">
        <v>43.1</v>
      </c>
      <c r="E2642" s="3" t="inlineStr">
        <is>
          <t>703</t>
        </is>
      </c>
      <c r="F2642" s="3" t="inlineStr">
        <is>
          <t>623</t>
        </is>
      </c>
      <c r="G2642" s="9" t="n">
        <v>412.05</v>
      </c>
      <c r="H2642" s="10" t="n">
        <v>45666.28459490741</v>
      </c>
      <c r="I2642" s="10" t="n">
        <v>45666.28459490741</v>
      </c>
      <c r="J2642" s="10" t="n">
        <v>45666.28641203704</v>
      </c>
      <c r="K2642" s="11" t="n">
        <v>0.00181712962962963</v>
      </c>
      <c r="L2642" s="13" t="n"/>
    </row>
    <row r="2643">
      <c r="A2643" s="3" t="inlineStr">
        <is>
          <t>PushOffDrive</t>
        </is>
      </c>
      <c r="B2643" s="3" t="inlineStr">
        <is>
          <t>Act_POD_1006801_065341_629</t>
        </is>
      </c>
      <c r="C2643" s="3" t="inlineStr">
        <is>
          <t>1006801</t>
        </is>
      </c>
      <c r="D2643" s="9" t="n">
        <v>185.9</v>
      </c>
      <c r="E2643" s="3" t="inlineStr">
        <is>
          <t>727</t>
        </is>
      </c>
      <c r="F2643" s="3" t="inlineStr">
        <is>
          <t>629</t>
        </is>
      </c>
      <c r="G2643" s="9" t="n">
        <v>443.59</v>
      </c>
      <c r="H2643" s="10" t="n">
        <v>45666.28728009259</v>
      </c>
      <c r="I2643" s="10" t="n">
        <v>45666.28728009259</v>
      </c>
      <c r="J2643" s="10" t="n">
        <v>45666.28954861111</v>
      </c>
      <c r="K2643" s="11" t="n">
        <v>0.002268518518518519</v>
      </c>
      <c r="L2643" s="13" t="n"/>
    </row>
    <row r="2644">
      <c r="A2644" s="3" t="inlineStr">
        <is>
          <t>PushOffDrive</t>
        </is>
      </c>
      <c r="B2644" s="3" t="inlineStr">
        <is>
          <t>Act_POD_1007001_073222_609</t>
        </is>
      </c>
      <c r="C2644" s="3" t="inlineStr">
        <is>
          <t>1007001</t>
        </is>
      </c>
      <c r="D2644" s="9" t="n">
        <v>325</v>
      </c>
      <c r="E2644" s="3" t="inlineStr">
        <is>
          <t>727</t>
        </is>
      </c>
      <c r="F2644" s="3" t="inlineStr">
        <is>
          <t>609</t>
        </is>
      </c>
      <c r="G2644" s="9" t="n">
        <v>344.04</v>
      </c>
      <c r="H2644" s="10" t="n">
        <v>45666.31414351852</v>
      </c>
      <c r="I2644" s="10" t="n">
        <v>45666.31414351852</v>
      </c>
      <c r="J2644" s="10" t="n">
        <v>45666.31633101852</v>
      </c>
      <c r="K2644" s="11" t="n">
        <v>0.0021875</v>
      </c>
      <c r="L2644" s="13" t="n"/>
    </row>
    <row r="2645">
      <c r="A2645" s="3" t="inlineStr">
        <is>
          <t>PushOffDrive</t>
        </is>
      </c>
      <c r="B2645" s="3" t="inlineStr">
        <is>
          <t>Act_POD_1006901_073639_615</t>
        </is>
      </c>
      <c r="C2645" s="3" t="inlineStr">
        <is>
          <t>1006901</t>
        </is>
      </c>
      <c r="D2645" s="9" t="n">
        <v>63</v>
      </c>
      <c r="E2645" s="3" t="inlineStr">
        <is>
          <t>703</t>
        </is>
      </c>
      <c r="F2645" s="3" t="inlineStr">
        <is>
          <t>615</t>
        </is>
      </c>
      <c r="G2645" s="9" t="n">
        <v>269.92</v>
      </c>
      <c r="H2645" s="10" t="n">
        <v>45666.31711805556</v>
      </c>
      <c r="I2645" s="10" t="n">
        <v>45666.31711805556</v>
      </c>
      <c r="J2645" s="10" t="n">
        <v>45666.31839120371</v>
      </c>
      <c r="K2645" s="11" t="n">
        <v>0.001273148148148148</v>
      </c>
      <c r="L2645" s="13" t="n"/>
    </row>
    <row r="2646">
      <c r="A2646" s="3" t="inlineStr">
        <is>
          <t>PushOffDrive</t>
        </is>
      </c>
      <c r="B2646" s="3" t="inlineStr">
        <is>
          <t>Act_POD_1006902_073829_609</t>
        </is>
      </c>
      <c r="C2646" s="3" t="inlineStr">
        <is>
          <t>1006902</t>
        </is>
      </c>
      <c r="D2646" s="9" t="n">
        <v>14</v>
      </c>
      <c r="E2646" s="3" t="inlineStr">
        <is>
          <t>703</t>
        </is>
      </c>
      <c r="F2646" s="3" t="inlineStr">
        <is>
          <t>609</t>
        </is>
      </c>
      <c r="G2646" s="9" t="n">
        <v>350.87</v>
      </c>
      <c r="H2646" s="10" t="n">
        <v>45666.31839120371</v>
      </c>
      <c r="I2646" s="10" t="n">
        <v>45666.31839120371</v>
      </c>
      <c r="J2646" s="10" t="n">
        <v>45666.31988425926</v>
      </c>
      <c r="K2646" s="11" t="n">
        <v>0.001493055555555556</v>
      </c>
      <c r="L2646" s="13" t="n"/>
    </row>
    <row r="2647">
      <c r="A2647" s="3" t="inlineStr">
        <is>
          <t>PushOffDrive</t>
        </is>
      </c>
      <c r="B2647" s="3" t="inlineStr">
        <is>
          <t>Act_POD_1006903_074038_621</t>
        </is>
      </c>
      <c r="C2647" s="3" t="inlineStr">
        <is>
          <t>1006903</t>
        </is>
      </c>
      <c r="D2647" s="9" t="n">
        <v>21</v>
      </c>
      <c r="E2647" s="3" t="inlineStr">
        <is>
          <t>703</t>
        </is>
      </c>
      <c r="F2647" s="3" t="inlineStr">
        <is>
          <t>621</t>
        </is>
      </c>
      <c r="G2647" s="9" t="n">
        <v>459.96</v>
      </c>
      <c r="H2647" s="10" t="n">
        <v>45666.31988425926</v>
      </c>
      <c r="I2647" s="10" t="n">
        <v>45666.31988425926</v>
      </c>
      <c r="J2647" s="10" t="n">
        <v>45666.32185185186</v>
      </c>
      <c r="K2647" s="11" t="n">
        <v>0.001967592592592592</v>
      </c>
      <c r="L2647" s="13" t="n"/>
    </row>
    <row r="2648">
      <c r="A2648" s="3" t="inlineStr">
        <is>
          <t>PushOffDrive</t>
        </is>
      </c>
      <c r="B2648" s="3" t="inlineStr">
        <is>
          <t>Act_POD_1006904_074328_611</t>
        </is>
      </c>
      <c r="C2648" s="3" t="inlineStr">
        <is>
          <t>1006904</t>
        </is>
      </c>
      <c r="D2648" s="9" t="n">
        <v>47.2</v>
      </c>
      <c r="E2648" s="3" t="inlineStr">
        <is>
          <t>703</t>
        </is>
      </c>
      <c r="F2648" s="3" t="inlineStr">
        <is>
          <t>611</t>
        </is>
      </c>
      <c r="G2648" s="9" t="n">
        <v>324.35</v>
      </c>
      <c r="H2648" s="10" t="n">
        <v>45666.32185185186</v>
      </c>
      <c r="I2648" s="10" t="n">
        <v>45666.32185185186</v>
      </c>
      <c r="J2648" s="10" t="n">
        <v>45666.32331018519</v>
      </c>
      <c r="K2648" s="11" t="n">
        <v>0.001458333333333333</v>
      </c>
      <c r="L2648" s="13" t="n"/>
    </row>
    <row r="2649">
      <c r="A2649" s="3" t="inlineStr">
        <is>
          <t>PushOffDrive</t>
        </is>
      </c>
      <c r="B2649" s="3" t="inlineStr">
        <is>
          <t>Act_POD_1006905_074534_605</t>
        </is>
      </c>
      <c r="C2649" s="3" t="inlineStr">
        <is>
          <t>1006905</t>
        </is>
      </c>
      <c r="D2649" s="9" t="n">
        <v>19.9</v>
      </c>
      <c r="E2649" s="3" t="inlineStr">
        <is>
          <t>703</t>
        </is>
      </c>
      <c r="F2649" s="3" t="inlineStr">
        <is>
          <t>605</t>
        </is>
      </c>
      <c r="G2649" s="9" t="n">
        <v>405.43</v>
      </c>
      <c r="H2649" s="10" t="n">
        <v>45666.32331018519</v>
      </c>
      <c r="I2649" s="10" t="n">
        <v>45666.32331018519</v>
      </c>
      <c r="J2649" s="10" t="n">
        <v>45666.3250462963</v>
      </c>
      <c r="K2649" s="11" t="n">
        <v>0.001736111111111111</v>
      </c>
      <c r="L2649" s="13" t="n"/>
    </row>
    <row r="2650">
      <c r="A2650" s="3" t="inlineStr">
        <is>
          <t>PushOffDrive</t>
        </is>
      </c>
      <c r="B2650" s="3" t="inlineStr">
        <is>
          <t>Act_POD_1006906_074804_613</t>
        </is>
      </c>
      <c r="C2650" s="3" t="inlineStr">
        <is>
          <t>1006906</t>
        </is>
      </c>
      <c r="D2650" s="9" t="n">
        <v>19.9</v>
      </c>
      <c r="E2650" s="3" t="inlineStr">
        <is>
          <t>703</t>
        </is>
      </c>
      <c r="F2650" s="3" t="inlineStr">
        <is>
          <t>613</t>
        </is>
      </c>
      <c r="G2650" s="9" t="n">
        <v>297.43</v>
      </c>
      <c r="H2650" s="10" t="n">
        <v>45666.3250462963</v>
      </c>
      <c r="I2650" s="10" t="n">
        <v>45666.3250462963</v>
      </c>
      <c r="J2650" s="10" t="n">
        <v>45666.32633101852</v>
      </c>
      <c r="K2650" s="11" t="n">
        <v>0.001284722222222222</v>
      </c>
      <c r="L2650" s="13" t="n"/>
    </row>
    <row r="2651">
      <c r="A2651" s="3" t="inlineStr">
        <is>
          <t>PushOffDrive</t>
        </is>
      </c>
      <c r="B2651" s="3" t="inlineStr">
        <is>
          <t>Act_POD_1006907_074955_611</t>
        </is>
      </c>
      <c r="C2651" s="3" t="inlineStr">
        <is>
          <t>1006907</t>
        </is>
      </c>
      <c r="D2651" s="9" t="n">
        <v>93.7</v>
      </c>
      <c r="E2651" s="3" t="inlineStr">
        <is>
          <t>703</t>
        </is>
      </c>
      <c r="F2651" s="3" t="inlineStr">
        <is>
          <t>611</t>
        </is>
      </c>
      <c r="G2651" s="9" t="n">
        <v>324.35</v>
      </c>
      <c r="H2651" s="10" t="n">
        <v>45666.32633101852</v>
      </c>
      <c r="I2651" s="10" t="n">
        <v>45666.32633101852</v>
      </c>
      <c r="J2651" s="10" t="n">
        <v>45666.32789351852</v>
      </c>
      <c r="K2651" s="11" t="n">
        <v>0.0015625</v>
      </c>
      <c r="L2651" s="13" t="n"/>
    </row>
    <row r="2652">
      <c r="A2652" s="3" t="inlineStr">
        <is>
          <t>PushOffDrive</t>
        </is>
      </c>
      <c r="B2652" s="3" t="inlineStr">
        <is>
          <t>Act_POD_1007101_080410_619</t>
        </is>
      </c>
      <c r="C2652" s="3" t="inlineStr">
        <is>
          <t>1007101</t>
        </is>
      </c>
      <c r="D2652" s="9" t="n">
        <v>381.6</v>
      </c>
      <c r="E2652" s="3" t="inlineStr">
        <is>
          <t>727</t>
        </is>
      </c>
      <c r="F2652" s="3" t="inlineStr">
        <is>
          <t>619</t>
        </is>
      </c>
      <c r="G2652" s="9" t="n">
        <v>453.13</v>
      </c>
      <c r="H2652" s="10" t="n">
        <v>45666.33622685185</v>
      </c>
      <c r="I2652" s="10" t="n">
        <v>45666.33622685185</v>
      </c>
      <c r="J2652" s="10" t="n">
        <v>45666.33900462963</v>
      </c>
      <c r="K2652" s="11" t="n">
        <v>0.002777777777777778</v>
      </c>
      <c r="L2652" s="13" t="n"/>
    </row>
    <row r="2653">
      <c r="A2653" s="3" t="inlineStr">
        <is>
          <t>PushOffDrive</t>
        </is>
      </c>
      <c r="B2653" s="3" t="inlineStr">
        <is>
          <t>Act_POD_1007201_085940_605</t>
        </is>
      </c>
      <c r="C2653" s="3" t="inlineStr">
        <is>
          <t>1007201</t>
        </is>
      </c>
      <c r="D2653" s="9" t="n">
        <v>118.2</v>
      </c>
      <c r="E2653" s="3" t="inlineStr">
        <is>
          <t>703</t>
        </is>
      </c>
      <c r="F2653" s="3" t="inlineStr">
        <is>
          <t>605</t>
        </is>
      </c>
      <c r="G2653" s="9" t="n">
        <v>405.43</v>
      </c>
      <c r="H2653" s="10" t="n">
        <v>45666.37476851852</v>
      </c>
      <c r="I2653" s="10" t="n">
        <v>45666.37476851852</v>
      </c>
      <c r="J2653" s="10" t="n">
        <v>45666.37673611111</v>
      </c>
      <c r="K2653" s="11" t="n">
        <v>0.001967592592592592</v>
      </c>
      <c r="L2653" s="13" t="n"/>
    </row>
    <row r="2654">
      <c r="A2654" s="3" t="inlineStr">
        <is>
          <t>PushOffDrive</t>
        </is>
      </c>
      <c r="B2654" s="3" t="inlineStr">
        <is>
          <t>Act_POD_1007202_090230_627</t>
        </is>
      </c>
      <c r="C2654" s="3" t="inlineStr">
        <is>
          <t>1007202</t>
        </is>
      </c>
      <c r="D2654" s="9" t="n">
        <v>243.8</v>
      </c>
      <c r="E2654" s="3" t="inlineStr">
        <is>
          <t>703</t>
        </is>
      </c>
      <c r="F2654" s="3" t="inlineStr">
        <is>
          <t>627</t>
        </is>
      </c>
      <c r="G2654" s="9" t="n">
        <v>450.42</v>
      </c>
      <c r="H2654" s="10" t="n">
        <v>45666.37673611111</v>
      </c>
      <c r="I2654" s="10" t="n">
        <v>45666.37673611111</v>
      </c>
      <c r="J2654" s="10" t="n">
        <v>45666.37917824074</v>
      </c>
      <c r="K2654" s="11" t="n">
        <v>0.00244212962962963</v>
      </c>
      <c r="L2654" s="13" t="n"/>
    </row>
    <row r="2655">
      <c r="A2655" s="3" t="inlineStr">
        <is>
          <t>PushOffDrive</t>
        </is>
      </c>
      <c r="B2655" s="3" t="inlineStr">
        <is>
          <t>Act_POD_1007301_110601_627</t>
        </is>
      </c>
      <c r="C2655" s="3" t="inlineStr">
        <is>
          <t>1007301</t>
        </is>
      </c>
      <c r="D2655" s="9" t="n">
        <v>21</v>
      </c>
      <c r="E2655" s="3" t="inlineStr">
        <is>
          <t>703</t>
        </is>
      </c>
      <c r="F2655" s="3" t="inlineStr">
        <is>
          <t>627</t>
        </is>
      </c>
      <c r="G2655" s="9" t="n">
        <v>450.42</v>
      </c>
      <c r="H2655" s="10" t="n">
        <v>45666.46251157407</v>
      </c>
      <c r="I2655" s="10" t="n">
        <v>45666.46251157407</v>
      </c>
      <c r="J2655" s="10" t="n">
        <v>45666.46443287037</v>
      </c>
      <c r="K2655" s="11" t="n">
        <v>0.001921296296296296</v>
      </c>
      <c r="L2655" s="13" t="n"/>
    </row>
    <row r="2656">
      <c r="A2656" s="3" t="inlineStr">
        <is>
          <t>PushOffDrive</t>
        </is>
      </c>
      <c r="B2656" s="3" t="inlineStr">
        <is>
          <t>Act_POD_1007302_110847_605</t>
        </is>
      </c>
      <c r="C2656" s="3" t="inlineStr">
        <is>
          <t>1007302</t>
        </is>
      </c>
      <c r="D2656" s="9" t="n">
        <v>414.7</v>
      </c>
      <c r="E2656" s="3" t="inlineStr">
        <is>
          <t>703</t>
        </is>
      </c>
      <c r="F2656" s="3" t="inlineStr">
        <is>
          <t>605</t>
        </is>
      </c>
      <c r="G2656" s="9" t="n">
        <v>405.43</v>
      </c>
      <c r="H2656" s="10" t="n">
        <v>45666.46443287037</v>
      </c>
      <c r="I2656" s="10" t="n">
        <v>45666.46443287037</v>
      </c>
      <c r="J2656" s="10" t="n">
        <v>45666.46708333334</v>
      </c>
      <c r="K2656" s="11" t="n">
        <v>0.002650462962962963</v>
      </c>
      <c r="L2656" s="13" t="n"/>
    </row>
    <row r="2657">
      <c r="A2657" s="3" t="inlineStr">
        <is>
          <t>PushOffDrive</t>
        </is>
      </c>
      <c r="B2657" s="3" t="inlineStr">
        <is>
          <t>Act_POD_1007401_144454_605</t>
        </is>
      </c>
      <c r="C2657" s="3" t="inlineStr">
        <is>
          <t>1007401</t>
        </is>
      </c>
      <c r="D2657" s="9" t="n">
        <v>241.4</v>
      </c>
      <c r="E2657" s="3" t="inlineStr">
        <is>
          <t>703</t>
        </is>
      </c>
      <c r="F2657" s="3" t="inlineStr">
        <is>
          <t>605</t>
        </is>
      </c>
      <c r="G2657" s="9" t="n">
        <v>405.43</v>
      </c>
      <c r="H2657" s="10" t="n">
        <v>45666.61451388889</v>
      </c>
      <c r="I2657" s="10" t="n">
        <v>45666.61451388889</v>
      </c>
      <c r="J2657" s="10" t="n">
        <v>45666.61677083333</v>
      </c>
      <c r="K2657" s="11" t="n">
        <v>0.002256944444444444</v>
      </c>
      <c r="L2657" s="13" t="n"/>
    </row>
    <row r="2658">
      <c r="A2658" s="3" t="inlineStr">
        <is>
          <t>PushOffDrive</t>
        </is>
      </c>
      <c r="B2658" s="3" t="inlineStr">
        <is>
          <t>Act_POD_1007501_152024_621</t>
        </is>
      </c>
      <c r="C2658" s="3" t="inlineStr">
        <is>
          <t>1007501</t>
        </is>
      </c>
      <c r="D2658" s="9" t="n">
        <v>58.5</v>
      </c>
      <c r="E2658" s="3" t="inlineStr">
        <is>
          <t>703</t>
        </is>
      </c>
      <c r="F2658" s="3" t="inlineStr">
        <is>
          <t>621</t>
        </is>
      </c>
      <c r="G2658" s="9" t="n">
        <v>459.96</v>
      </c>
      <c r="H2658" s="10" t="n">
        <v>45666.63916666667</v>
      </c>
      <c r="I2658" s="10" t="n">
        <v>45666.63916666667</v>
      </c>
      <c r="J2658" s="10" t="n">
        <v>45666.64121527778</v>
      </c>
      <c r="K2658" s="11" t="n">
        <v>0.002048611111111111</v>
      </c>
      <c r="L2658" s="13" t="n"/>
    </row>
    <row r="2659">
      <c r="A2659" s="3" t="inlineStr">
        <is>
          <t>PushOffDrive</t>
        </is>
      </c>
      <c r="B2659" s="3" t="inlineStr">
        <is>
          <t>Act_POD_1007502_152321_619</t>
        </is>
      </c>
      <c r="C2659" s="3" t="inlineStr">
        <is>
          <t>1007502</t>
        </is>
      </c>
      <c r="D2659" s="9" t="n">
        <v>91.2</v>
      </c>
      <c r="E2659" s="3" t="inlineStr">
        <is>
          <t>703</t>
        </is>
      </c>
      <c r="F2659" s="3" t="inlineStr">
        <is>
          <t>619</t>
        </is>
      </c>
      <c r="G2659" s="9" t="n">
        <v>459.96</v>
      </c>
      <c r="H2659" s="10" t="n">
        <v>45666.64121527778</v>
      </c>
      <c r="I2659" s="10" t="n">
        <v>45666.64121527778</v>
      </c>
      <c r="J2659" s="10" t="n">
        <v>45666.64334490741</v>
      </c>
      <c r="K2659" s="11" t="n">
        <v>0.00212962962962963</v>
      </c>
      <c r="L2659" s="13" t="n"/>
    </row>
    <row r="2660">
      <c r="A2660" s="3" t="inlineStr">
        <is>
          <t>PushOffDrive</t>
        </is>
      </c>
      <c r="B2660" s="3" t="inlineStr">
        <is>
          <t>Act_POD_1007503_152625_611</t>
        </is>
      </c>
      <c r="C2660" s="3" t="inlineStr">
        <is>
          <t>1007503</t>
        </is>
      </c>
      <c r="D2660" s="9" t="n">
        <v>131.9</v>
      </c>
      <c r="E2660" s="3" t="inlineStr">
        <is>
          <t>703</t>
        </is>
      </c>
      <c r="F2660" s="3" t="inlineStr">
        <is>
          <t>611</t>
        </is>
      </c>
      <c r="G2660" s="9" t="n">
        <v>324.35</v>
      </c>
      <c r="H2660" s="10" t="n">
        <v>45666.64334490741</v>
      </c>
      <c r="I2660" s="10" t="n">
        <v>45666.64334490741</v>
      </c>
      <c r="J2660" s="10" t="n">
        <v>45666.645</v>
      </c>
      <c r="K2660" s="11" t="n">
        <v>0.001655092592592593</v>
      </c>
      <c r="L2660" s="13" t="n"/>
    </row>
    <row r="2661">
      <c r="A2661" s="3" t="inlineStr">
        <is>
          <t>PushOffDrive</t>
        </is>
      </c>
      <c r="B2661" s="3" t="inlineStr">
        <is>
          <t>Act_POD_1007504_152848_615</t>
        </is>
      </c>
      <c r="C2661" s="3" t="inlineStr">
        <is>
          <t>1007504</t>
        </is>
      </c>
      <c r="D2661" s="9" t="n">
        <v>110.2</v>
      </c>
      <c r="E2661" s="3" t="inlineStr">
        <is>
          <t>703</t>
        </is>
      </c>
      <c r="F2661" s="3" t="inlineStr">
        <is>
          <t>615</t>
        </is>
      </c>
      <c r="G2661" s="9" t="n">
        <v>269.92</v>
      </c>
      <c r="H2661" s="10" t="n">
        <v>45666.645</v>
      </c>
      <c r="I2661" s="10" t="n">
        <v>45666.645</v>
      </c>
      <c r="J2661" s="10" t="n">
        <v>45666.64637731481</v>
      </c>
      <c r="K2661" s="11" t="n">
        <v>0.001377314814814815</v>
      </c>
      <c r="L2661" s="13" t="n"/>
    </row>
    <row r="2662">
      <c r="A2662" s="3" t="inlineStr">
        <is>
          <t>PushOffDrive</t>
        </is>
      </c>
      <c r="B2662" s="3" t="inlineStr">
        <is>
          <t>Act_POD_1007505_153047_607</t>
        </is>
      </c>
      <c r="C2662" s="3" t="inlineStr">
        <is>
          <t>1007505</t>
        </is>
      </c>
      <c r="D2662" s="9" t="n">
        <v>15.7</v>
      </c>
      <c r="E2662" s="3" t="inlineStr">
        <is>
          <t>703</t>
        </is>
      </c>
      <c r="F2662" s="3" t="inlineStr">
        <is>
          <t>607</t>
        </is>
      </c>
      <c r="G2662" s="9" t="n">
        <v>378.4</v>
      </c>
      <c r="H2662" s="10" t="n">
        <v>45666.64637731481</v>
      </c>
      <c r="I2662" s="10" t="n">
        <v>45666.64637731481</v>
      </c>
      <c r="J2662" s="10" t="n">
        <v>45666.64798611111</v>
      </c>
      <c r="K2662" s="11" t="n">
        <v>0.001608796296296296</v>
      </c>
      <c r="L2662" s="13" t="n"/>
    </row>
    <row r="2663">
      <c r="A2663" s="3" t="inlineStr">
        <is>
          <t>PushOffDrive</t>
        </is>
      </c>
      <c r="B2663" s="3" t="inlineStr">
        <is>
          <t>Act_POD_1007601_153834_609</t>
        </is>
      </c>
      <c r="C2663" s="3" t="inlineStr">
        <is>
          <t>1007601</t>
        </is>
      </c>
      <c r="D2663" s="9" t="n">
        <v>314.8</v>
      </c>
      <c r="E2663" s="3" t="inlineStr">
        <is>
          <t>727</t>
        </is>
      </c>
      <c r="F2663" s="3" t="inlineStr">
        <is>
          <t>609</t>
        </is>
      </c>
      <c r="G2663" s="9" t="n">
        <v>344.04</v>
      </c>
      <c r="H2663" s="10" t="n">
        <v>45666.65178240741</v>
      </c>
      <c r="I2663" s="10" t="n">
        <v>45666.65178240741</v>
      </c>
      <c r="J2663" s="10" t="n">
        <v>45666.65394675926</v>
      </c>
      <c r="K2663" s="11" t="n">
        <v>0.002164351851851852</v>
      </c>
      <c r="L2663" s="13" t="n"/>
    </row>
    <row r="2664">
      <c r="A2664" s="3" t="inlineStr">
        <is>
          <t>PushOffDrive</t>
        </is>
      </c>
      <c r="B2664" s="3" t="inlineStr">
        <is>
          <t>Act_POD_1007801_175426_611</t>
        </is>
      </c>
      <c r="C2664" s="3" t="inlineStr">
        <is>
          <t>1007801</t>
        </is>
      </c>
      <c r="D2664" s="9" t="n">
        <v>47.2</v>
      </c>
      <c r="E2664" s="3" t="inlineStr">
        <is>
          <t>731</t>
        </is>
      </c>
      <c r="F2664" s="3" t="inlineStr">
        <is>
          <t>611</t>
        </is>
      </c>
      <c r="G2664" s="9" t="n">
        <v>409.24</v>
      </c>
      <c r="H2664" s="10" t="n">
        <v>45666.74613425926</v>
      </c>
      <c r="I2664" s="10" t="n">
        <v>45666.74613425926</v>
      </c>
      <c r="J2664" s="10" t="n">
        <v>45666.74795138889</v>
      </c>
      <c r="K2664" s="11" t="n">
        <v>0.00181712962962963</v>
      </c>
      <c r="L2664" s="13" t="n"/>
    </row>
    <row r="2665">
      <c r="A2665" s="3" t="inlineStr">
        <is>
          <t>PushOffDrive</t>
        </is>
      </c>
      <c r="B2665" s="3" t="inlineStr">
        <is>
          <t>Act_POD_1007701_180838_613</t>
        </is>
      </c>
      <c r="C2665" s="3" t="inlineStr">
        <is>
          <t>1007701</t>
        </is>
      </c>
      <c r="D2665" s="9" t="n">
        <v>19.9</v>
      </c>
      <c r="E2665" s="3" t="inlineStr">
        <is>
          <t>703</t>
        </is>
      </c>
      <c r="F2665" s="3" t="inlineStr">
        <is>
          <t>613</t>
        </is>
      </c>
      <c r="G2665" s="9" t="n">
        <v>297.43</v>
      </c>
      <c r="H2665" s="10" t="n">
        <v>45666.75599537037</v>
      </c>
      <c r="I2665" s="10" t="n">
        <v>45666.75599537037</v>
      </c>
      <c r="J2665" s="10" t="n">
        <v>45666.75728009259</v>
      </c>
      <c r="K2665" s="11" t="n">
        <v>0.001284722222222222</v>
      </c>
      <c r="L2665" s="13" t="n"/>
    </row>
    <row r="2666">
      <c r="A2666" s="3" t="inlineStr">
        <is>
          <t>PushOffDrive</t>
        </is>
      </c>
      <c r="B2666" s="3" t="inlineStr">
        <is>
          <t>Act_POD_1007702_181029_625</t>
        </is>
      </c>
      <c r="C2666" s="3" t="inlineStr">
        <is>
          <t>1007702</t>
        </is>
      </c>
      <c r="D2666" s="9" t="n">
        <v>19.9</v>
      </c>
      <c r="E2666" s="3" t="inlineStr">
        <is>
          <t>703</t>
        </is>
      </c>
      <c r="F2666" s="3" t="inlineStr">
        <is>
          <t>625</t>
        </is>
      </c>
      <c r="G2666" s="9" t="n">
        <v>477.75</v>
      </c>
      <c r="H2666" s="10" t="n">
        <v>45666.75728009259</v>
      </c>
      <c r="I2666" s="10" t="n">
        <v>45666.75728009259</v>
      </c>
      <c r="J2666" s="10" t="n">
        <v>45666.75931712963</v>
      </c>
      <c r="K2666" s="11" t="n">
        <v>0.002037037037037037</v>
      </c>
      <c r="L2666" s="13" t="n"/>
    </row>
    <row r="2667">
      <c r="A2667" s="3" t="inlineStr">
        <is>
          <t>PushOffDrive</t>
        </is>
      </c>
      <c r="B2667" s="3" t="inlineStr">
        <is>
          <t>Act_POD_1007703_181325_606</t>
        </is>
      </c>
      <c r="C2667" s="3" t="inlineStr">
        <is>
          <t>1007703</t>
        </is>
      </c>
      <c r="D2667" s="9" t="n">
        <v>15.7</v>
      </c>
      <c r="E2667" s="3" t="inlineStr">
        <is>
          <t>703</t>
        </is>
      </c>
      <c r="F2667" s="3" t="inlineStr">
        <is>
          <t>606</t>
        </is>
      </c>
      <c r="G2667" s="9" t="n">
        <v>405.03</v>
      </c>
      <c r="H2667" s="10" t="n">
        <v>45666.75931712963</v>
      </c>
      <c r="I2667" s="10" t="n">
        <v>45666.75931712963</v>
      </c>
      <c r="J2667" s="10" t="n">
        <v>45666.76104166666</v>
      </c>
      <c r="K2667" s="11" t="n">
        <v>0.001724537037037037</v>
      </c>
      <c r="L2667" s="13" t="n"/>
    </row>
    <row r="2668">
      <c r="A2668" s="3" t="inlineStr">
        <is>
          <t>PushOffDrive</t>
        </is>
      </c>
      <c r="B2668" s="3" t="inlineStr">
        <is>
          <t>Act_POD_1007704_181554_615</t>
        </is>
      </c>
      <c r="C2668" s="3" t="inlineStr">
        <is>
          <t>1007704</t>
        </is>
      </c>
      <c r="D2668" s="9" t="n">
        <v>116.9</v>
      </c>
      <c r="E2668" s="3" t="inlineStr">
        <is>
          <t>703</t>
        </is>
      </c>
      <c r="F2668" s="3" t="inlineStr">
        <is>
          <t>615</t>
        </is>
      </c>
      <c r="G2668" s="9" t="n">
        <v>269.92</v>
      </c>
      <c r="H2668" s="10" t="n">
        <v>45666.76104166666</v>
      </c>
      <c r="I2668" s="10" t="n">
        <v>45666.76104166666</v>
      </c>
      <c r="J2668" s="10" t="n">
        <v>45666.76243055556</v>
      </c>
      <c r="K2668" s="11" t="n">
        <v>0.001388888888888889</v>
      </c>
      <c r="L2668" s="13" t="n"/>
    </row>
    <row r="2669">
      <c r="A2669" s="3" t="inlineStr">
        <is>
          <t>PushOffDrive</t>
        </is>
      </c>
      <c r="B2669" s="3" t="inlineStr">
        <is>
          <t>Act_POD_1007705_181754_619</t>
        </is>
      </c>
      <c r="C2669" s="3" t="inlineStr">
        <is>
          <t>1007705</t>
        </is>
      </c>
      <c r="D2669" s="9" t="n">
        <v>63</v>
      </c>
      <c r="E2669" s="3" t="inlineStr">
        <is>
          <t>703</t>
        </is>
      </c>
      <c r="F2669" s="3" t="inlineStr">
        <is>
          <t>619</t>
        </is>
      </c>
      <c r="G2669" s="9" t="n">
        <v>459.96</v>
      </c>
      <c r="H2669" s="10" t="n">
        <v>45666.76243055556</v>
      </c>
      <c r="I2669" s="10" t="n">
        <v>45666.76243055556</v>
      </c>
      <c r="J2669" s="10" t="n">
        <v>45666.76449074074</v>
      </c>
      <c r="K2669" s="11" t="n">
        <v>0.002060185185185185</v>
      </c>
      <c r="L2669" s="13" t="n"/>
    </row>
    <row r="2670">
      <c r="A2670" s="3" t="inlineStr">
        <is>
          <t>PushOffDrive</t>
        </is>
      </c>
      <c r="B2670" s="3" t="inlineStr">
        <is>
          <t>Act_POD_1007706_182052_613</t>
        </is>
      </c>
      <c r="C2670" s="3" t="inlineStr">
        <is>
          <t>1007706</t>
        </is>
      </c>
      <c r="D2670" s="9" t="n">
        <v>19.9</v>
      </c>
      <c r="E2670" s="3" t="inlineStr">
        <is>
          <t>703</t>
        </is>
      </c>
      <c r="F2670" s="3" t="inlineStr">
        <is>
          <t>613</t>
        </is>
      </c>
      <c r="G2670" s="9" t="n">
        <v>297.43</v>
      </c>
      <c r="H2670" s="10" t="n">
        <v>45666.76449074074</v>
      </c>
      <c r="I2670" s="10" t="n">
        <v>45666.76449074074</v>
      </c>
      <c r="J2670" s="10" t="n">
        <v>45666.76577546296</v>
      </c>
      <c r="K2670" s="11" t="n">
        <v>0.001284722222222222</v>
      </c>
      <c r="L2670" s="13" t="n"/>
    </row>
    <row r="2671">
      <c r="A2671" s="3" t="inlineStr">
        <is>
          <t>PushOffDrive</t>
        </is>
      </c>
      <c r="B2671" s="3" t="inlineStr">
        <is>
          <t>Act_POD_1007707_182243_609</t>
        </is>
      </c>
      <c r="C2671" s="3" t="inlineStr">
        <is>
          <t>1007707</t>
        </is>
      </c>
      <c r="D2671" s="9" t="n">
        <v>28</v>
      </c>
      <c r="E2671" s="3" t="inlineStr">
        <is>
          <t>703</t>
        </is>
      </c>
      <c r="F2671" s="3" t="inlineStr">
        <is>
          <t>609</t>
        </is>
      </c>
      <c r="G2671" s="9" t="n">
        <v>350.87</v>
      </c>
      <c r="H2671" s="10" t="n">
        <v>45666.76577546296</v>
      </c>
      <c r="I2671" s="10" t="n">
        <v>45666.76577546296</v>
      </c>
      <c r="J2671" s="10" t="n">
        <v>45666.76730324074</v>
      </c>
      <c r="K2671" s="11" t="n">
        <v>0.001527777777777778</v>
      </c>
      <c r="L2671" s="13" t="n"/>
    </row>
    <row r="2672">
      <c r="A2672" s="3" t="inlineStr">
        <is>
          <t>PushOffDrive</t>
        </is>
      </c>
      <c r="B2672" s="3" t="inlineStr">
        <is>
          <t>Act_POD_1007708_182455_605</t>
        </is>
      </c>
      <c r="C2672" s="3" t="inlineStr">
        <is>
          <t>1007708</t>
        </is>
      </c>
      <c r="D2672" s="9" t="n">
        <v>19.9</v>
      </c>
      <c r="E2672" s="3" t="inlineStr">
        <is>
          <t>703</t>
        </is>
      </c>
      <c r="F2672" s="3" t="inlineStr">
        <is>
          <t>605</t>
        </is>
      </c>
      <c r="G2672" s="9" t="n">
        <v>405.43</v>
      </c>
      <c r="H2672" s="10" t="n">
        <v>45666.76730324074</v>
      </c>
      <c r="I2672" s="10" t="n">
        <v>45666.76730324074</v>
      </c>
      <c r="J2672" s="10" t="n">
        <v>45666.76903935185</v>
      </c>
      <c r="K2672" s="11" t="n">
        <v>0.001736111111111111</v>
      </c>
      <c r="L2672" s="13" t="n"/>
    </row>
    <row r="2673">
      <c r="A2673" s="3" t="inlineStr">
        <is>
          <t>PushOffDrive</t>
        </is>
      </c>
      <c r="B2673" s="3" t="inlineStr">
        <is>
          <t>Act_POD_1007709_182725_609</t>
        </is>
      </c>
      <c r="C2673" s="3" t="inlineStr">
        <is>
          <t>1007709</t>
        </is>
      </c>
      <c r="D2673" s="9" t="n">
        <v>15.7</v>
      </c>
      <c r="E2673" s="3" t="inlineStr">
        <is>
          <t>703</t>
        </is>
      </c>
      <c r="F2673" s="3" t="inlineStr">
        <is>
          <t>609</t>
        </is>
      </c>
      <c r="G2673" s="9" t="n">
        <v>350.87</v>
      </c>
      <c r="H2673" s="10" t="n">
        <v>45666.76903935185</v>
      </c>
      <c r="I2673" s="10" t="n">
        <v>45666.76903935185</v>
      </c>
      <c r="J2673" s="10" t="n">
        <v>45666.77054398148</v>
      </c>
      <c r="K2673" s="11" t="n">
        <v>0.00150462962962963</v>
      </c>
      <c r="L2673" s="13" t="n"/>
    </row>
    <row r="2674">
      <c r="A2674" s="3" t="inlineStr">
        <is>
          <t>PushOffDrive</t>
        </is>
      </c>
      <c r="B2674" s="3" t="inlineStr">
        <is>
          <t>Act_POD_1007901_183050_621</t>
        </is>
      </c>
      <c r="C2674" s="3" t="inlineStr">
        <is>
          <t>1007901</t>
        </is>
      </c>
      <c r="D2674" s="9" t="n">
        <v>19.9</v>
      </c>
      <c r="E2674" s="3" t="inlineStr">
        <is>
          <t>727</t>
        </is>
      </c>
      <c r="F2674" s="3" t="inlineStr">
        <is>
          <t>621</t>
        </is>
      </c>
      <c r="G2674" s="9" t="n">
        <v>453.13</v>
      </c>
      <c r="H2674" s="10" t="n">
        <v>45666.77141203704</v>
      </c>
      <c r="I2674" s="10" t="n">
        <v>45666.77141203704</v>
      </c>
      <c r="J2674" s="10" t="n">
        <v>45666.77334490741</v>
      </c>
      <c r="K2674" s="11" t="n">
        <v>0.00193287037037037</v>
      </c>
      <c r="L2674" s="13" t="n"/>
    </row>
    <row r="2675">
      <c r="A2675" s="3" t="inlineStr">
        <is>
          <t>PushOffDrive</t>
        </is>
      </c>
      <c r="B2675" s="3" t="inlineStr">
        <is>
          <t>Act_POD_1007902_183337_606</t>
        </is>
      </c>
      <c r="C2675" s="3" t="inlineStr">
        <is>
          <t>1007902</t>
        </is>
      </c>
      <c r="D2675" s="9" t="n">
        <v>15.7</v>
      </c>
      <c r="E2675" s="3" t="inlineStr">
        <is>
          <t>727</t>
        </is>
      </c>
      <c r="F2675" s="3" t="inlineStr">
        <is>
          <t>606</t>
        </is>
      </c>
      <c r="G2675" s="9" t="n">
        <v>398.2</v>
      </c>
      <c r="H2675" s="10" t="n">
        <v>45666.77334490741</v>
      </c>
      <c r="I2675" s="10" t="n">
        <v>45666.77334490741</v>
      </c>
      <c r="J2675" s="10" t="n">
        <v>45666.77503472222</v>
      </c>
      <c r="K2675" s="11" t="n">
        <v>0.001689814814814815</v>
      </c>
      <c r="L2675" s="13" t="n"/>
    </row>
    <row r="2676">
      <c r="A2676" s="3" t="inlineStr">
        <is>
          <t>PushOffDrive</t>
        </is>
      </c>
      <c r="B2676" s="3" t="inlineStr">
        <is>
          <t>Act_POD_1007903_183603_629</t>
        </is>
      </c>
      <c r="C2676" s="3" t="inlineStr">
        <is>
          <t>1007903</t>
        </is>
      </c>
      <c r="D2676" s="9" t="n">
        <v>74.59999999999999</v>
      </c>
      <c r="E2676" s="3" t="inlineStr">
        <is>
          <t>727</t>
        </is>
      </c>
      <c r="F2676" s="3" t="inlineStr">
        <is>
          <t>629</t>
        </is>
      </c>
      <c r="G2676" s="9" t="n">
        <v>443.59</v>
      </c>
      <c r="H2676" s="10" t="n">
        <v>45666.77503472222</v>
      </c>
      <c r="I2676" s="10" t="n">
        <v>45666.77503472222</v>
      </c>
      <c r="J2676" s="10" t="n">
        <v>45666.77706018519</v>
      </c>
      <c r="K2676" s="11" t="n">
        <v>0.002025462962962963</v>
      </c>
      <c r="L2676" s="13" t="n"/>
    </row>
    <row r="2677">
      <c r="A2677" s="3" t="inlineStr">
        <is>
          <t>PushOffDrive</t>
        </is>
      </c>
      <c r="B2677" s="3" t="inlineStr">
        <is>
          <t>Act_POD_1007904_183858_607</t>
        </is>
      </c>
      <c r="C2677" s="3" t="inlineStr">
        <is>
          <t>1007904</t>
        </is>
      </c>
      <c r="D2677" s="9" t="n">
        <v>23.2</v>
      </c>
      <c r="E2677" s="3" t="inlineStr">
        <is>
          <t>727</t>
        </is>
      </c>
      <c r="F2677" s="3" t="inlineStr">
        <is>
          <t>607</t>
        </is>
      </c>
      <c r="G2677" s="9" t="n">
        <v>371.57</v>
      </c>
      <c r="H2677" s="10" t="n">
        <v>45666.77706018519</v>
      </c>
      <c r="I2677" s="10" t="n">
        <v>45666.77706018519</v>
      </c>
      <c r="J2677" s="10" t="n">
        <v>45666.77865740741</v>
      </c>
      <c r="K2677" s="11" t="n">
        <v>0.001597222222222222</v>
      </c>
      <c r="L2677" s="13" t="n"/>
    </row>
    <row r="2678">
      <c r="A2678" s="3" t="inlineStr">
        <is>
          <t>PushOffDrive</t>
        </is>
      </c>
      <c r="B2678" s="3" t="inlineStr">
        <is>
          <t>Act_POD_1007905_184116_609</t>
        </is>
      </c>
      <c r="C2678" s="3" t="inlineStr">
        <is>
          <t>1007905</t>
        </is>
      </c>
      <c r="D2678" s="9" t="n">
        <v>14</v>
      </c>
      <c r="E2678" s="3" t="inlineStr">
        <is>
          <t>727</t>
        </is>
      </c>
      <c r="F2678" s="3" t="inlineStr">
        <is>
          <t>609</t>
        </is>
      </c>
      <c r="G2678" s="9" t="n">
        <v>344.04</v>
      </c>
      <c r="H2678" s="10" t="n">
        <v>45666.77865740741</v>
      </c>
      <c r="I2678" s="10" t="n">
        <v>45666.77865740741</v>
      </c>
      <c r="J2678" s="10" t="n">
        <v>45666.78012731481</v>
      </c>
      <c r="K2678" s="11" t="n">
        <v>0.001469907407407407</v>
      </c>
      <c r="L2678" s="13" t="n"/>
    </row>
    <row r="2679">
      <c r="A2679" s="3" t="inlineStr">
        <is>
          <t>PushOffDrive</t>
        </is>
      </c>
      <c r="B2679" s="3" t="inlineStr">
        <is>
          <t>Act_POD_1007906_184323_605</t>
        </is>
      </c>
      <c r="C2679" s="3" t="inlineStr">
        <is>
          <t>1007906</t>
        </is>
      </c>
      <c r="D2679" s="9" t="n">
        <v>15.7</v>
      </c>
      <c r="E2679" s="3" t="inlineStr">
        <is>
          <t>727</t>
        </is>
      </c>
      <c r="F2679" s="3" t="inlineStr">
        <is>
          <t>605</t>
        </is>
      </c>
      <c r="G2679" s="9" t="n">
        <v>398.6</v>
      </c>
      <c r="H2679" s="10" t="n">
        <v>45666.78012731481</v>
      </c>
      <c r="I2679" s="10" t="n">
        <v>45666.78012731481</v>
      </c>
      <c r="J2679" s="10" t="n">
        <v>45666.7818287037</v>
      </c>
      <c r="K2679" s="11" t="n">
        <v>0.001701388888888889</v>
      </c>
      <c r="L2679" s="13" t="n"/>
    </row>
    <row r="2680">
      <c r="A2680" s="3" t="inlineStr">
        <is>
          <t>PushOffDrive</t>
        </is>
      </c>
      <c r="B2680" s="3" t="inlineStr">
        <is>
          <t>Act_POD_1007907_184550_621</t>
        </is>
      </c>
      <c r="C2680" s="3" t="inlineStr">
        <is>
          <t>1007907</t>
        </is>
      </c>
      <c r="D2680" s="9" t="n">
        <v>19.9</v>
      </c>
      <c r="E2680" s="3" t="inlineStr">
        <is>
          <t>727</t>
        </is>
      </c>
      <c r="F2680" s="3" t="inlineStr">
        <is>
          <t>621</t>
        </is>
      </c>
      <c r="G2680" s="9" t="n">
        <v>453.13</v>
      </c>
      <c r="H2680" s="10" t="n">
        <v>45666.7818287037</v>
      </c>
      <c r="I2680" s="10" t="n">
        <v>45666.7818287037</v>
      </c>
      <c r="J2680" s="10" t="n">
        <v>45666.78376157407</v>
      </c>
      <c r="K2680" s="11" t="n">
        <v>0.00193287037037037</v>
      </c>
      <c r="L2680" s="13" t="n"/>
    </row>
    <row r="2681">
      <c r="A2681" s="3" t="inlineStr">
        <is>
          <t>PushOffDrive</t>
        </is>
      </c>
      <c r="B2681" s="3" t="inlineStr">
        <is>
          <t>Act_POD_1007908_184837_613</t>
        </is>
      </c>
      <c r="C2681" s="3" t="inlineStr">
        <is>
          <t>1007908</t>
        </is>
      </c>
      <c r="D2681" s="9" t="n">
        <v>54</v>
      </c>
      <c r="E2681" s="3" t="inlineStr">
        <is>
          <t>727</t>
        </is>
      </c>
      <c r="F2681" s="3" t="inlineStr">
        <is>
          <t>613</t>
        </is>
      </c>
      <c r="G2681" s="9" t="n">
        <v>290.6</v>
      </c>
      <c r="H2681" s="10" t="n">
        <v>45666.78376157407</v>
      </c>
      <c r="I2681" s="10" t="n">
        <v>45666.78376157407</v>
      </c>
      <c r="J2681" s="10" t="n">
        <v>45666.7850925926</v>
      </c>
      <c r="K2681" s="11" t="n">
        <v>0.001331018518518518</v>
      </c>
      <c r="L2681" s="13" t="n"/>
    </row>
    <row r="2682">
      <c r="A2682" s="3" t="inlineStr">
        <is>
          <t>PushOffDrive</t>
        </is>
      </c>
      <c r="B2682" s="3" t="inlineStr">
        <is>
          <t>Act_POD_1007909_185032_609</t>
        </is>
      </c>
      <c r="C2682" s="3" t="inlineStr">
        <is>
          <t>1007909</t>
        </is>
      </c>
      <c r="D2682" s="9" t="n">
        <v>63</v>
      </c>
      <c r="E2682" s="3" t="inlineStr">
        <is>
          <t>727</t>
        </is>
      </c>
      <c r="F2682" s="3" t="inlineStr">
        <is>
          <t>609</t>
        </is>
      </c>
      <c r="G2682" s="9" t="n">
        <v>344.04</v>
      </c>
      <c r="H2682" s="10" t="n">
        <v>45666.7850925926</v>
      </c>
      <c r="I2682" s="10" t="n">
        <v>45666.7850925926</v>
      </c>
      <c r="J2682" s="10" t="n">
        <v>45666.78667824074</v>
      </c>
      <c r="K2682" s="11" t="n">
        <v>0.001585648148148148</v>
      </c>
      <c r="L2682" s="13" t="n"/>
    </row>
    <row r="2683">
      <c r="A2683" s="3" t="inlineStr">
        <is>
          <t>PushOffDrive</t>
        </is>
      </c>
      <c r="B2683" s="3" t="inlineStr">
        <is>
          <t>Act_POD_1007910_185249_627</t>
        </is>
      </c>
      <c r="C2683" s="3" t="inlineStr">
        <is>
          <t>1007910</t>
        </is>
      </c>
      <c r="D2683" s="9" t="n">
        <v>15.7</v>
      </c>
      <c r="E2683" s="3" t="inlineStr">
        <is>
          <t>727</t>
        </is>
      </c>
      <c r="F2683" s="3" t="inlineStr">
        <is>
          <t>627</t>
        </is>
      </c>
      <c r="G2683" s="9" t="n">
        <v>443.59</v>
      </c>
      <c r="H2683" s="10" t="n">
        <v>45666.78667824074</v>
      </c>
      <c r="I2683" s="10" t="n">
        <v>45666.78667824074</v>
      </c>
      <c r="J2683" s="10" t="n">
        <v>45666.78855324074</v>
      </c>
      <c r="K2683" s="11" t="n">
        <v>0.001875</v>
      </c>
      <c r="L2683" s="13" t="n"/>
    </row>
    <row r="2684">
      <c r="A2684" s="3" t="inlineStr">
        <is>
          <t>PushOffDrive</t>
        </is>
      </c>
      <c r="B2684" s="3" t="inlineStr">
        <is>
          <t>Act_POD_1007911_185531_605</t>
        </is>
      </c>
      <c r="C2684" s="3" t="inlineStr">
        <is>
          <t>1007911</t>
        </is>
      </c>
      <c r="D2684" s="9" t="n">
        <v>101.7</v>
      </c>
      <c r="E2684" s="3" t="inlineStr">
        <is>
          <t>727</t>
        </is>
      </c>
      <c r="F2684" s="3" t="inlineStr">
        <is>
          <t>605</t>
        </is>
      </c>
      <c r="G2684" s="9" t="n">
        <v>398.6</v>
      </c>
      <c r="H2684" s="10" t="n">
        <v>45666.78855324074</v>
      </c>
      <c r="I2684" s="10" t="n">
        <v>45666.78855324074</v>
      </c>
      <c r="J2684" s="10" t="n">
        <v>45666.79045138889</v>
      </c>
      <c r="K2684" s="11" t="n">
        <v>0.001898148148148148</v>
      </c>
      <c r="L2684" s="13" t="n"/>
    </row>
    <row r="2685">
      <c r="A2685" s="3" t="inlineStr">
        <is>
          <t>PushOffDrive</t>
        </is>
      </c>
      <c r="B2685" s="3" t="inlineStr">
        <is>
          <t>Act_POD_1008001_202428_613</t>
        </is>
      </c>
      <c r="C2685" s="3" t="inlineStr">
        <is>
          <t>1008001</t>
        </is>
      </c>
      <c r="D2685" s="9" t="n">
        <v>27</v>
      </c>
      <c r="E2685" s="3" t="inlineStr">
        <is>
          <t>703</t>
        </is>
      </c>
      <c r="F2685" s="3" t="inlineStr">
        <is>
          <t>613</t>
        </is>
      </c>
      <c r="G2685" s="9" t="n">
        <v>297.43</v>
      </c>
      <c r="H2685" s="10" t="n">
        <v>45666.85032407408</v>
      </c>
      <c r="I2685" s="10" t="n">
        <v>45666.85032407408</v>
      </c>
      <c r="J2685" s="10" t="n">
        <v>45666.85162037037</v>
      </c>
      <c r="K2685" s="11" t="n">
        <v>0.001296296296296296</v>
      </c>
      <c r="L2685" s="13" t="n"/>
    </row>
    <row r="2686">
      <c r="A2686" s="3" t="inlineStr">
        <is>
          <t>PushOffDrive</t>
        </is>
      </c>
      <c r="B2686" s="3" t="inlineStr">
        <is>
          <t>Act_POD_1008002_202620_615</t>
        </is>
      </c>
      <c r="C2686" s="3" t="inlineStr">
        <is>
          <t>1008002</t>
        </is>
      </c>
      <c r="D2686" s="9" t="n">
        <v>21</v>
      </c>
      <c r="E2686" s="3" t="inlineStr">
        <is>
          <t>703</t>
        </is>
      </c>
      <c r="F2686" s="3" t="inlineStr">
        <is>
          <t>615</t>
        </is>
      </c>
      <c r="G2686" s="9" t="n">
        <v>269.92</v>
      </c>
      <c r="H2686" s="10" t="n">
        <v>45666.85162037037</v>
      </c>
      <c r="I2686" s="10" t="n">
        <v>45666.85162037037</v>
      </c>
      <c r="J2686" s="10" t="n">
        <v>45666.85280092592</v>
      </c>
      <c r="K2686" s="11" t="n">
        <v>0.001180555555555556</v>
      </c>
      <c r="L2686" s="13" t="n"/>
    </row>
    <row r="2687">
      <c r="A2687" s="3" t="inlineStr">
        <is>
          <t>PushOffDrive</t>
        </is>
      </c>
      <c r="B2687" s="3" t="inlineStr">
        <is>
          <t>Act_POD_1008003_202802_613</t>
        </is>
      </c>
      <c r="C2687" s="3" t="inlineStr">
        <is>
          <t>1008003</t>
        </is>
      </c>
      <c r="D2687" s="9" t="n">
        <v>31.5</v>
      </c>
      <c r="E2687" s="3" t="inlineStr">
        <is>
          <t>703</t>
        </is>
      </c>
      <c r="F2687" s="3" t="inlineStr">
        <is>
          <t>613</t>
        </is>
      </c>
      <c r="G2687" s="9" t="n">
        <v>297.43</v>
      </c>
      <c r="H2687" s="10" t="n">
        <v>45666.85280092592</v>
      </c>
      <c r="I2687" s="10" t="n">
        <v>45666.85280092592</v>
      </c>
      <c r="J2687" s="10" t="n">
        <v>45666.85410879629</v>
      </c>
      <c r="K2687" s="11" t="n">
        <v>0.00130787037037037</v>
      </c>
      <c r="L2687" s="13" t="n"/>
    </row>
    <row r="2688">
      <c r="A2688" s="3" t="inlineStr">
        <is>
          <t>PushOffDrive</t>
        </is>
      </c>
      <c r="B2688" s="3" t="inlineStr">
        <is>
          <t>Act_POD_1008004_202955_605</t>
        </is>
      </c>
      <c r="C2688" s="3" t="inlineStr">
        <is>
          <t>1008004</t>
        </is>
      </c>
      <c r="D2688" s="9" t="n">
        <v>62.2</v>
      </c>
      <c r="E2688" s="3" t="inlineStr">
        <is>
          <t>703</t>
        </is>
      </c>
      <c r="F2688" s="3" t="inlineStr">
        <is>
          <t>605</t>
        </is>
      </c>
      <c r="G2688" s="9" t="n">
        <v>405.43</v>
      </c>
      <c r="H2688" s="10" t="n">
        <v>45666.85410879629</v>
      </c>
      <c r="I2688" s="10" t="n">
        <v>45666.85410879629</v>
      </c>
      <c r="J2688" s="10" t="n">
        <v>45666.8559375</v>
      </c>
      <c r="K2688" s="11" t="n">
        <v>0.001828703703703704</v>
      </c>
      <c r="L2688" s="13" t="n"/>
    </row>
    <row r="2689">
      <c r="A2689" s="3" t="inlineStr">
        <is>
          <t>PushOffDrive</t>
        </is>
      </c>
      <c r="B2689" s="3" t="inlineStr">
        <is>
          <t>Act_POD_1008005_203233_625</t>
        </is>
      </c>
      <c r="C2689" s="3" t="inlineStr">
        <is>
          <t>1008005</t>
        </is>
      </c>
      <c r="D2689" s="9" t="n">
        <v>19.9</v>
      </c>
      <c r="E2689" s="3" t="inlineStr">
        <is>
          <t>703</t>
        </is>
      </c>
      <c r="F2689" s="3" t="inlineStr">
        <is>
          <t>625</t>
        </is>
      </c>
      <c r="G2689" s="9" t="n">
        <v>477.75</v>
      </c>
      <c r="H2689" s="10" t="n">
        <v>45666.8559375</v>
      </c>
      <c r="I2689" s="10" t="n">
        <v>45666.8559375</v>
      </c>
      <c r="J2689" s="10" t="n">
        <v>45666.85797453704</v>
      </c>
      <c r="K2689" s="11" t="n">
        <v>0.002037037037037037</v>
      </c>
      <c r="L2689" s="13" t="n"/>
    </row>
    <row r="2690">
      <c r="A2690" s="3" t="inlineStr">
        <is>
          <t>PushOffDrive</t>
        </is>
      </c>
      <c r="B2690" s="3" t="inlineStr">
        <is>
          <t>Act_POD_1008006_203529_625</t>
        </is>
      </c>
      <c r="C2690" s="3" t="inlineStr">
        <is>
          <t>1008006</t>
        </is>
      </c>
      <c r="D2690" s="9" t="n">
        <v>63</v>
      </c>
      <c r="E2690" s="3" t="inlineStr">
        <is>
          <t>703</t>
        </is>
      </c>
      <c r="F2690" s="3" t="inlineStr">
        <is>
          <t>625</t>
        </is>
      </c>
      <c r="G2690" s="9" t="n">
        <v>477.75</v>
      </c>
      <c r="H2690" s="10" t="n">
        <v>45666.85797453704</v>
      </c>
      <c r="I2690" s="10" t="n">
        <v>45666.85797453704</v>
      </c>
      <c r="J2690" s="10" t="n">
        <v>45666.86011574074</v>
      </c>
      <c r="K2690" s="11" t="n">
        <v>0.002141203703703704</v>
      </c>
      <c r="L2690" s="13" t="n"/>
    </row>
    <row r="2691">
      <c r="A2691" s="3" t="inlineStr">
        <is>
          <t>PushOffDrive</t>
        </is>
      </c>
      <c r="B2691" s="3" t="inlineStr">
        <is>
          <t>Act_POD_1008007_203834_607</t>
        </is>
      </c>
      <c r="C2691" s="3" t="inlineStr">
        <is>
          <t>1008007</t>
        </is>
      </c>
      <c r="D2691" s="9" t="n">
        <v>15.7</v>
      </c>
      <c r="E2691" s="3" t="inlineStr">
        <is>
          <t>703</t>
        </is>
      </c>
      <c r="F2691" s="3" t="inlineStr">
        <is>
          <t>607</t>
        </is>
      </c>
      <c r="G2691" s="9" t="n">
        <v>378.4</v>
      </c>
      <c r="H2691" s="10" t="n">
        <v>45666.86011574074</v>
      </c>
      <c r="I2691" s="10" t="n">
        <v>45666.86011574074</v>
      </c>
      <c r="J2691" s="10" t="n">
        <v>45666.86172453704</v>
      </c>
      <c r="K2691" s="11" t="n">
        <v>0.001608796296296296</v>
      </c>
      <c r="L2691" s="13" t="n"/>
    </row>
    <row r="2692">
      <c r="A2692" s="3" t="inlineStr">
        <is>
          <t>PushOffDrive</t>
        </is>
      </c>
      <c r="B2692" s="3" t="inlineStr">
        <is>
          <t>Act_POD_1008008_204053_629</t>
        </is>
      </c>
      <c r="C2692" s="3" t="inlineStr">
        <is>
          <t>1008008</t>
        </is>
      </c>
      <c r="D2692" s="9" t="n">
        <v>51.4</v>
      </c>
      <c r="E2692" s="3" t="inlineStr">
        <is>
          <t>703</t>
        </is>
      </c>
      <c r="F2692" s="3" t="inlineStr">
        <is>
          <t>629</t>
        </is>
      </c>
      <c r="G2692" s="9" t="n">
        <v>450.42</v>
      </c>
      <c r="H2692" s="10" t="n">
        <v>45666.86172453704</v>
      </c>
      <c r="I2692" s="10" t="n">
        <v>45666.86172453704</v>
      </c>
      <c r="J2692" s="10" t="n">
        <v>45666.86372685185</v>
      </c>
      <c r="K2692" s="11" t="n">
        <v>0.002002314814814815</v>
      </c>
      <c r="L2692" s="13" t="n"/>
    </row>
    <row r="2693">
      <c r="A2693" s="3" t="inlineStr">
        <is>
          <t>PushOffDrive</t>
        </is>
      </c>
      <c r="B2693" s="3" t="inlineStr">
        <is>
          <t>Act_POD_1008101_025857_617</t>
        </is>
      </c>
      <c r="C2693" s="3" t="inlineStr">
        <is>
          <t>1008101</t>
        </is>
      </c>
      <c r="D2693" s="9" t="n">
        <v>44</v>
      </c>
      <c r="E2693" s="3" t="inlineStr">
        <is>
          <t>703</t>
        </is>
      </c>
      <c r="F2693" s="3" t="inlineStr">
        <is>
          <t>617</t>
        </is>
      </c>
      <c r="G2693" s="9" t="n">
        <v>299.11</v>
      </c>
      <c r="H2693" s="10" t="n">
        <v>45667.12427083333</v>
      </c>
      <c r="I2693" s="10" t="n">
        <v>45667.12427083333</v>
      </c>
      <c r="J2693" s="10" t="n">
        <v>45667.125625</v>
      </c>
      <c r="K2693" s="11" t="n">
        <v>0.001354166666666667</v>
      </c>
      <c r="L2693" s="13" t="n"/>
    </row>
    <row r="2694">
      <c r="A2694" s="3" t="inlineStr">
        <is>
          <t>PushOffDrive</t>
        </is>
      </c>
      <c r="B2694" s="3" t="inlineStr">
        <is>
          <t>Act_POD_1008102_030054_627</t>
        </is>
      </c>
      <c r="C2694" s="3" t="inlineStr">
        <is>
          <t>1008102</t>
        </is>
      </c>
      <c r="D2694" s="9" t="n">
        <v>47.2</v>
      </c>
      <c r="E2694" s="3" t="inlineStr">
        <is>
          <t>703</t>
        </is>
      </c>
      <c r="F2694" s="3" t="inlineStr">
        <is>
          <t>627</t>
        </is>
      </c>
      <c r="G2694" s="9" t="n">
        <v>450.42</v>
      </c>
      <c r="H2694" s="10" t="n">
        <v>45667.125625</v>
      </c>
      <c r="I2694" s="10" t="n">
        <v>45667.125625</v>
      </c>
      <c r="J2694" s="10" t="n">
        <v>45667.12760416666</v>
      </c>
      <c r="K2694" s="11" t="n">
        <v>0.001979166666666667</v>
      </c>
      <c r="L2694" s="13" t="n"/>
    </row>
    <row r="2695">
      <c r="A2695" s="3" t="inlineStr">
        <is>
          <t>PushOffDrive</t>
        </is>
      </c>
      <c r="B2695" s="3" t="inlineStr">
        <is>
          <t>Act_POD_1008103_030345_621</t>
        </is>
      </c>
      <c r="C2695" s="3" t="inlineStr">
        <is>
          <t>1008103</t>
        </is>
      </c>
      <c r="D2695" s="9" t="n">
        <v>182.4</v>
      </c>
      <c r="E2695" s="3" t="inlineStr">
        <is>
          <t>703</t>
        </is>
      </c>
      <c r="F2695" s="3" t="inlineStr">
        <is>
          <t>621</t>
        </is>
      </c>
      <c r="G2695" s="9" t="n">
        <v>459.96</v>
      </c>
      <c r="H2695" s="10" t="n">
        <v>45667.12760416666</v>
      </c>
      <c r="I2695" s="10" t="n">
        <v>45667.12760416666</v>
      </c>
      <c r="J2695" s="10" t="n">
        <v>45667.12994212963</v>
      </c>
      <c r="K2695" s="11" t="n">
        <v>0.002337962962962963</v>
      </c>
      <c r="L2695" s="13" t="n"/>
    </row>
    <row r="2696">
      <c r="A2696" s="3" t="inlineStr">
        <is>
          <t>PushOffDrive</t>
        </is>
      </c>
      <c r="B2696" s="3" t="inlineStr">
        <is>
          <t>Act_POD_1008104_030707_623</t>
        </is>
      </c>
      <c r="C2696" s="3" t="inlineStr">
        <is>
          <t>1008104</t>
        </is>
      </c>
      <c r="D2696" s="9" t="n">
        <v>35.6</v>
      </c>
      <c r="E2696" s="3" t="inlineStr">
        <is>
          <t>703</t>
        </is>
      </c>
      <c r="F2696" s="3" t="inlineStr">
        <is>
          <t>623</t>
        </is>
      </c>
      <c r="G2696" s="9" t="n">
        <v>412.05</v>
      </c>
      <c r="H2696" s="10" t="n">
        <v>45667.12994212963</v>
      </c>
      <c r="I2696" s="10" t="n">
        <v>45667.12994212963</v>
      </c>
      <c r="J2696" s="10" t="n">
        <v>45667.13174768518</v>
      </c>
      <c r="K2696" s="11" t="n">
        <v>0.001805555555555555</v>
      </c>
      <c r="L2696" s="13" t="n"/>
    </row>
    <row r="2697">
      <c r="A2697" s="3" t="inlineStr">
        <is>
          <t>PushOffDrive</t>
        </is>
      </c>
      <c r="B2697" s="3" t="inlineStr">
        <is>
          <t>Act_POD_1008201_044253_615</t>
        </is>
      </c>
      <c r="C2697" s="3" t="inlineStr">
        <is>
          <t>1008201</t>
        </is>
      </c>
      <c r="D2697" s="9" t="n">
        <v>219.5</v>
      </c>
      <c r="E2697" s="3" t="inlineStr">
        <is>
          <t>703</t>
        </is>
      </c>
      <c r="F2697" s="3" t="inlineStr">
        <is>
          <t>615</t>
        </is>
      </c>
      <c r="G2697" s="9" t="n">
        <v>269.92</v>
      </c>
      <c r="H2697" s="10" t="n">
        <v>45667.19644675926</v>
      </c>
      <c r="I2697" s="10" t="n">
        <v>45667.19644675926</v>
      </c>
      <c r="J2697" s="10" t="n">
        <v>45667.1980787037</v>
      </c>
      <c r="K2697" s="11" t="n">
        <v>0.001631944444444445</v>
      </c>
      <c r="L2697" s="13" t="n"/>
    </row>
    <row r="2698">
      <c r="A2698" s="3" t="inlineStr">
        <is>
          <t>PushOffDrive</t>
        </is>
      </c>
      <c r="B2698" s="3" t="inlineStr">
        <is>
          <t>Act_POD_1008301_055806_611</t>
        </is>
      </c>
      <c r="C2698" s="3" t="inlineStr">
        <is>
          <t>1008301</t>
        </is>
      </c>
      <c r="D2698" s="9" t="n">
        <v>298</v>
      </c>
      <c r="E2698" s="3" t="inlineStr">
        <is>
          <t>703</t>
        </is>
      </c>
      <c r="F2698" s="3" t="inlineStr">
        <is>
          <t>611</t>
        </is>
      </c>
      <c r="G2698" s="9" t="n">
        <v>324.35</v>
      </c>
      <c r="H2698" s="10" t="n">
        <v>45667.24868055555</v>
      </c>
      <c r="I2698" s="10" t="n">
        <v>45667.24868055555</v>
      </c>
      <c r="J2698" s="10" t="n">
        <v>45667.25072916667</v>
      </c>
      <c r="K2698" s="11" t="n">
        <v>0.002048611111111111</v>
      </c>
      <c r="L2698" s="13" t="n"/>
    </row>
    <row r="2699">
      <c r="A2699" s="3" t="inlineStr">
        <is>
          <t>PushOffDrive</t>
        </is>
      </c>
      <c r="B2699" s="3" t="inlineStr">
        <is>
          <t>Act_POD_1008401_070339_625</t>
        </is>
      </c>
      <c r="C2699" s="3" t="inlineStr">
        <is>
          <t>1008401</t>
        </is>
      </c>
      <c r="D2699" s="9" t="n">
        <v>19.9</v>
      </c>
      <c r="E2699" s="3" t="inlineStr">
        <is>
          <t>703</t>
        </is>
      </c>
      <c r="F2699" s="3" t="inlineStr">
        <is>
          <t>625</t>
        </is>
      </c>
      <c r="G2699" s="9" t="n">
        <v>477.75</v>
      </c>
      <c r="H2699" s="10" t="n">
        <v>45667.29420138889</v>
      </c>
      <c r="I2699" s="10" t="n">
        <v>45667.29420138889</v>
      </c>
      <c r="J2699" s="10" t="n">
        <v>45667.29623842592</v>
      </c>
      <c r="K2699" s="11" t="n">
        <v>0.002037037037037037</v>
      </c>
      <c r="L2699" s="13" t="n"/>
    </row>
    <row r="2700">
      <c r="A2700" s="3" t="inlineStr">
        <is>
          <t>PushOffDrive</t>
        </is>
      </c>
      <c r="B2700" s="3" t="inlineStr">
        <is>
          <t>Act_POD_1008402_070635_627</t>
        </is>
      </c>
      <c r="C2700" s="3" t="inlineStr">
        <is>
          <t>1008402</t>
        </is>
      </c>
      <c r="D2700" s="9" t="n">
        <v>15.7</v>
      </c>
      <c r="E2700" s="3" t="inlineStr">
        <is>
          <t>703</t>
        </is>
      </c>
      <c r="F2700" s="3" t="inlineStr">
        <is>
          <t>627</t>
        </is>
      </c>
      <c r="G2700" s="9" t="n">
        <v>450.42</v>
      </c>
      <c r="H2700" s="10" t="n">
        <v>45667.29623842592</v>
      </c>
      <c r="I2700" s="10" t="n">
        <v>45667.29623842592</v>
      </c>
      <c r="J2700" s="10" t="n">
        <v>45667.29815972222</v>
      </c>
      <c r="K2700" s="11" t="n">
        <v>0.001921296296296296</v>
      </c>
      <c r="L2700" s="13" t="n"/>
    </row>
    <row r="2701">
      <c r="A2701" s="3" t="inlineStr">
        <is>
          <t>PushOffDrive</t>
        </is>
      </c>
      <c r="B2701" s="3" t="inlineStr">
        <is>
          <t>Act_POD_1008403_070921_613</t>
        </is>
      </c>
      <c r="C2701" s="3" t="inlineStr">
        <is>
          <t>1008403</t>
        </is>
      </c>
      <c r="D2701" s="9" t="n">
        <v>94.40000000000001</v>
      </c>
      <c r="E2701" s="3" t="inlineStr">
        <is>
          <t>703</t>
        </is>
      </c>
      <c r="F2701" s="3" t="inlineStr">
        <is>
          <t>613</t>
        </is>
      </c>
      <c r="G2701" s="9" t="n">
        <v>297.43</v>
      </c>
      <c r="H2701" s="10" t="n">
        <v>45667.29815972222</v>
      </c>
      <c r="I2701" s="10" t="n">
        <v>45667.29815972222</v>
      </c>
      <c r="J2701" s="10" t="n">
        <v>45667.29961805556</v>
      </c>
      <c r="K2701" s="11" t="n">
        <v>0.001458333333333333</v>
      </c>
      <c r="L2701" s="13" t="n"/>
    </row>
    <row r="2702">
      <c r="A2702" s="3" t="inlineStr">
        <is>
          <t>PushOffDrive</t>
        </is>
      </c>
      <c r="B2702" s="3" t="inlineStr">
        <is>
          <t>Act_POD_1008404_071127_605</t>
        </is>
      </c>
      <c r="C2702" s="3" t="inlineStr">
        <is>
          <t>1008404</t>
        </is>
      </c>
      <c r="D2702" s="9" t="n">
        <v>124.4</v>
      </c>
      <c r="E2702" s="3" t="inlineStr">
        <is>
          <t>703</t>
        </is>
      </c>
      <c r="F2702" s="3" t="inlineStr">
        <is>
          <t>605</t>
        </is>
      </c>
      <c r="G2702" s="9" t="n">
        <v>405.43</v>
      </c>
      <c r="H2702" s="10" t="n">
        <v>45667.29961805556</v>
      </c>
      <c r="I2702" s="10" t="n">
        <v>45667.29961805556</v>
      </c>
      <c r="J2702" s="10" t="n">
        <v>45667.30159722222</v>
      </c>
      <c r="K2702" s="11" t="n">
        <v>0.001979166666666667</v>
      </c>
      <c r="L2702" s="13" t="n"/>
    </row>
    <row r="2703">
      <c r="A2703" s="3" t="inlineStr">
        <is>
          <t>PushOffDrive</t>
        </is>
      </c>
      <c r="B2703" s="3" t="inlineStr">
        <is>
          <t>Act_POD_1008405_071418_615</t>
        </is>
      </c>
      <c r="C2703" s="3" t="inlineStr">
        <is>
          <t>1008405</t>
        </is>
      </c>
      <c r="D2703" s="9" t="n">
        <v>19.9</v>
      </c>
      <c r="E2703" s="3" t="inlineStr">
        <is>
          <t>703</t>
        </is>
      </c>
      <c r="F2703" s="3" t="inlineStr">
        <is>
          <t>615</t>
        </is>
      </c>
      <c r="G2703" s="9" t="n">
        <v>269.92</v>
      </c>
      <c r="H2703" s="10" t="n">
        <v>45667.30159722222</v>
      </c>
      <c r="I2703" s="10" t="n">
        <v>45667.30159722222</v>
      </c>
      <c r="J2703" s="10" t="n">
        <v>45667.30276620371</v>
      </c>
      <c r="K2703" s="11" t="n">
        <v>0.001168981481481482</v>
      </c>
      <c r="L2703" s="13" t="n"/>
    </row>
    <row r="2704">
      <c r="A2704" s="3" t="inlineStr">
        <is>
          <t>PushOffDrive</t>
        </is>
      </c>
      <c r="B2704" s="3" t="inlineStr">
        <is>
          <t>Act_POD_1008406_071559_625</t>
        </is>
      </c>
      <c r="C2704" s="3" t="inlineStr">
        <is>
          <t>1008406</t>
        </is>
      </c>
      <c r="D2704" s="9" t="n">
        <v>36.4</v>
      </c>
      <c r="E2704" s="3" t="inlineStr">
        <is>
          <t>703</t>
        </is>
      </c>
      <c r="F2704" s="3" t="inlineStr">
        <is>
          <t>625</t>
        </is>
      </c>
      <c r="G2704" s="9" t="n">
        <v>477.75</v>
      </c>
      <c r="H2704" s="10" t="n">
        <v>45667.30276620371</v>
      </c>
      <c r="I2704" s="10" t="n">
        <v>45667.30276620371</v>
      </c>
      <c r="J2704" s="10" t="n">
        <v>45667.30483796296</v>
      </c>
      <c r="K2704" s="11" t="n">
        <v>0.002071759259259259</v>
      </c>
      <c r="L2704" s="13" t="n"/>
    </row>
    <row r="2705">
      <c r="A2705" s="3" t="inlineStr">
        <is>
          <t>PushOffDrive</t>
        </is>
      </c>
      <c r="B2705" s="3" t="inlineStr">
        <is>
          <t>Act_POD_1008407_071858_605</t>
        </is>
      </c>
      <c r="C2705" s="3" t="inlineStr">
        <is>
          <t>1008407</t>
        </is>
      </c>
      <c r="D2705" s="9" t="n">
        <v>35.6</v>
      </c>
      <c r="E2705" s="3" t="inlineStr">
        <is>
          <t>703</t>
        </is>
      </c>
      <c r="F2705" s="3" t="inlineStr">
        <is>
          <t>605</t>
        </is>
      </c>
      <c r="G2705" s="9" t="n">
        <v>405.43</v>
      </c>
      <c r="H2705" s="10" t="n">
        <v>45667.30483796296</v>
      </c>
      <c r="I2705" s="10" t="n">
        <v>45667.30483796296</v>
      </c>
      <c r="J2705" s="10" t="n">
        <v>45667.30660879629</v>
      </c>
      <c r="K2705" s="11" t="n">
        <v>0.001770833333333333</v>
      </c>
      <c r="L2705" s="13" t="n"/>
    </row>
    <row r="2706">
      <c r="A2706" s="3" t="inlineStr">
        <is>
          <t>PushOffDrive</t>
        </is>
      </c>
      <c r="B2706" s="3" t="inlineStr">
        <is>
          <t>Act_POD_1008408_072131_623</t>
        </is>
      </c>
      <c r="C2706" s="3" t="inlineStr">
        <is>
          <t>1008408</t>
        </is>
      </c>
      <c r="D2706" s="9" t="n">
        <v>19.9</v>
      </c>
      <c r="E2706" s="3" t="inlineStr">
        <is>
          <t>703</t>
        </is>
      </c>
      <c r="F2706" s="3" t="inlineStr">
        <is>
          <t>623</t>
        </is>
      </c>
      <c r="G2706" s="9" t="n">
        <v>412.05</v>
      </c>
      <c r="H2706" s="10" t="n">
        <v>45667.30660879629</v>
      </c>
      <c r="I2706" s="10" t="n">
        <v>45667.30660879629</v>
      </c>
      <c r="J2706" s="10" t="n">
        <v>45667.30836805556</v>
      </c>
      <c r="K2706" s="11" t="n">
        <v>0.001759259259259259</v>
      </c>
      <c r="L2706" s="13" t="n"/>
    </row>
    <row r="2707">
      <c r="A2707" s="3" t="inlineStr">
        <is>
          <t>PushOffDrive</t>
        </is>
      </c>
      <c r="B2707" s="3" t="inlineStr">
        <is>
          <t>Act_POD_1008409_072403_605</t>
        </is>
      </c>
      <c r="C2707" s="3" t="inlineStr">
        <is>
          <t>1008409</t>
        </is>
      </c>
      <c r="D2707" s="9" t="n">
        <v>19.9</v>
      </c>
      <c r="E2707" s="3" t="inlineStr">
        <is>
          <t>703</t>
        </is>
      </c>
      <c r="F2707" s="3" t="inlineStr">
        <is>
          <t>605</t>
        </is>
      </c>
      <c r="G2707" s="9" t="n">
        <v>405.43</v>
      </c>
      <c r="H2707" s="10" t="n">
        <v>45667.30836805556</v>
      </c>
      <c r="I2707" s="10" t="n">
        <v>45667.30836805556</v>
      </c>
      <c r="J2707" s="10" t="n">
        <v>45667.31010416667</v>
      </c>
      <c r="K2707" s="11" t="n">
        <v>0.001736111111111111</v>
      </c>
      <c r="L2707" s="13" t="n"/>
    </row>
    <row r="2708">
      <c r="A2708" s="3" t="inlineStr">
        <is>
          <t>PushOffDrive</t>
        </is>
      </c>
      <c r="B2708" s="3" t="inlineStr">
        <is>
          <t>Act_POD_1008501_073708_619</t>
        </is>
      </c>
      <c r="C2708" s="3" t="inlineStr">
        <is>
          <t>1008501</t>
        </is>
      </c>
      <c r="D2708" s="9" t="n">
        <v>193.1</v>
      </c>
      <c r="E2708" s="3" t="inlineStr">
        <is>
          <t>703</t>
        </is>
      </c>
      <c r="F2708" s="3" t="inlineStr">
        <is>
          <t>619</t>
        </is>
      </c>
      <c r="G2708" s="9" t="n">
        <v>459.96</v>
      </c>
      <c r="H2708" s="10" t="n">
        <v>45667.3174537037</v>
      </c>
      <c r="I2708" s="10" t="n">
        <v>45667.3174537037</v>
      </c>
      <c r="J2708" s="10" t="n">
        <v>45667.31981481481</v>
      </c>
      <c r="K2708" s="11" t="n">
        <v>0.002361111111111111</v>
      </c>
      <c r="L2708" s="13" t="n"/>
    </row>
    <row r="2709">
      <c r="A2709" s="3" t="inlineStr">
        <is>
          <t>PushOffDrive</t>
        </is>
      </c>
      <c r="B2709" s="3" t="inlineStr">
        <is>
          <t>Act_POD_1008601_080822_606</t>
        </is>
      </c>
      <c r="C2709" s="3" t="inlineStr">
        <is>
          <t>1008601</t>
        </is>
      </c>
      <c r="D2709" s="9" t="n">
        <v>380.8</v>
      </c>
      <c r="E2709" s="3" t="inlineStr">
        <is>
          <t>703</t>
        </is>
      </c>
      <c r="F2709" s="3" t="inlineStr">
        <is>
          <t>606</t>
        </is>
      </c>
      <c r="G2709" s="9" t="n">
        <v>405.03</v>
      </c>
      <c r="H2709" s="10" t="n">
        <v>45667.33914351852</v>
      </c>
      <c r="I2709" s="10" t="n">
        <v>45667.33914351852</v>
      </c>
      <c r="J2709" s="10" t="n">
        <v>45667.34171296296</v>
      </c>
      <c r="K2709" s="11" t="n">
        <v>0.002569444444444445</v>
      </c>
      <c r="L2709" s="13" t="n"/>
    </row>
    <row r="2710">
      <c r="A2710" s="3" t="inlineStr">
        <is>
          <t>PushOffDrive</t>
        </is>
      </c>
      <c r="B2710" s="3" t="inlineStr">
        <is>
          <t>Act_POD_1008801_091203_611</t>
        </is>
      </c>
      <c r="C2710" s="3" t="inlineStr">
        <is>
          <t>1008801</t>
        </is>
      </c>
      <c r="D2710" s="9" t="n">
        <v>75</v>
      </c>
      <c r="E2710" s="3" t="inlineStr">
        <is>
          <t>703</t>
        </is>
      </c>
      <c r="F2710" s="3" t="inlineStr">
        <is>
          <t>611</t>
        </is>
      </c>
      <c r="G2710" s="9" t="n">
        <v>324.35</v>
      </c>
      <c r="H2710" s="10" t="n">
        <v>45667.38336805555</v>
      </c>
      <c r="I2710" s="10" t="n">
        <v>45667.38336805555</v>
      </c>
      <c r="J2710" s="10" t="n">
        <v>45667.38488425926</v>
      </c>
      <c r="K2710" s="11" t="n">
        <v>0.001516203703703704</v>
      </c>
      <c r="L2710" s="13" t="n"/>
    </row>
    <row r="2711">
      <c r="A2711" s="3" t="inlineStr">
        <is>
          <t>PushOffDrive</t>
        </is>
      </c>
      <c r="B2711" s="3" t="inlineStr">
        <is>
          <t>Act_POD_1008802_091414_627</t>
        </is>
      </c>
      <c r="C2711" s="3" t="inlineStr">
        <is>
          <t>1008802</t>
        </is>
      </c>
      <c r="D2711" s="9" t="n">
        <v>37.5</v>
      </c>
      <c r="E2711" s="3" t="inlineStr">
        <is>
          <t>703</t>
        </is>
      </c>
      <c r="F2711" s="3" t="inlineStr">
        <is>
          <t>627</t>
        </is>
      </c>
      <c r="G2711" s="9" t="n">
        <v>450.42</v>
      </c>
      <c r="H2711" s="10" t="n">
        <v>45667.38488425926</v>
      </c>
      <c r="I2711" s="10" t="n">
        <v>45667.38488425926</v>
      </c>
      <c r="J2711" s="10" t="n">
        <v>45667.38685185185</v>
      </c>
      <c r="K2711" s="11" t="n">
        <v>0.001967592592592592</v>
      </c>
      <c r="L2711" s="13" t="n"/>
    </row>
    <row r="2712">
      <c r="A2712" s="3" t="inlineStr">
        <is>
          <t>PushOffDrive</t>
        </is>
      </c>
      <c r="B2712" s="3" t="inlineStr">
        <is>
          <t>Act_POD_1008803_091704_611</t>
        </is>
      </c>
      <c r="C2712" s="3" t="inlineStr">
        <is>
          <t>1008803</t>
        </is>
      </c>
      <c r="D2712" s="9" t="n">
        <v>93.8</v>
      </c>
      <c r="E2712" s="3" t="inlineStr">
        <is>
          <t>703</t>
        </is>
      </c>
      <c r="F2712" s="3" t="inlineStr">
        <is>
          <t>611</t>
        </is>
      </c>
      <c r="G2712" s="9" t="n">
        <v>324.35</v>
      </c>
      <c r="H2712" s="10" t="n">
        <v>45667.38685185185</v>
      </c>
      <c r="I2712" s="10" t="n">
        <v>45667.38685185185</v>
      </c>
      <c r="J2712" s="10" t="n">
        <v>45667.38842592593</v>
      </c>
      <c r="K2712" s="11" t="n">
        <v>0.001574074074074074</v>
      </c>
      <c r="L2712" s="13" t="n"/>
    </row>
    <row r="2713">
      <c r="A2713" s="3" t="inlineStr">
        <is>
          <t>PushOffDrive</t>
        </is>
      </c>
      <c r="B2713" s="3" t="inlineStr">
        <is>
          <t>Act_POD_1008701_092036_605</t>
        </is>
      </c>
      <c r="C2713" s="3" t="inlineStr">
        <is>
          <t>1008701</t>
        </is>
      </c>
      <c r="D2713" s="9" t="n">
        <v>19.9</v>
      </c>
      <c r="E2713" s="3" t="inlineStr">
        <is>
          <t>727</t>
        </is>
      </c>
      <c r="F2713" s="3" t="inlineStr">
        <is>
          <t>605</t>
        </is>
      </c>
      <c r="G2713" s="9" t="n">
        <v>398.6</v>
      </c>
      <c r="H2713" s="10" t="n">
        <v>45667.38930555555</v>
      </c>
      <c r="I2713" s="10" t="n">
        <v>45667.38930555555</v>
      </c>
      <c r="J2713" s="10" t="n">
        <v>45667.39100694445</v>
      </c>
      <c r="K2713" s="11" t="n">
        <v>0.001701388888888889</v>
      </c>
      <c r="L2713" s="13" t="n"/>
    </row>
    <row r="2714">
      <c r="A2714" s="3" t="inlineStr">
        <is>
          <t>PushOffDrive</t>
        </is>
      </c>
      <c r="B2714" s="3" t="inlineStr">
        <is>
          <t>Act_POD_1008702_092303_613</t>
        </is>
      </c>
      <c r="C2714" s="3" t="inlineStr">
        <is>
          <t>1008702</t>
        </is>
      </c>
      <c r="D2714" s="9" t="n">
        <v>141.7</v>
      </c>
      <c r="E2714" s="3" t="inlineStr">
        <is>
          <t>727</t>
        </is>
      </c>
      <c r="F2714" s="3" t="inlineStr">
        <is>
          <t>613</t>
        </is>
      </c>
      <c r="G2714" s="9" t="n">
        <v>290.6</v>
      </c>
      <c r="H2714" s="10" t="n">
        <v>45667.39100694445</v>
      </c>
      <c r="I2714" s="10" t="n">
        <v>45667.39100694445</v>
      </c>
      <c r="J2714" s="10" t="n">
        <v>45667.39254629629</v>
      </c>
      <c r="K2714" s="11" t="n">
        <v>0.001539351851851852</v>
      </c>
      <c r="L2714" s="13" t="n"/>
    </row>
    <row r="2715">
      <c r="A2715" s="3" t="inlineStr">
        <is>
          <t>PushOffDrive</t>
        </is>
      </c>
      <c r="B2715" s="3" t="inlineStr">
        <is>
          <t>Act_POD_1008703_092516_623</t>
        </is>
      </c>
      <c r="C2715" s="3" t="inlineStr">
        <is>
          <t>1008703</t>
        </is>
      </c>
      <c r="D2715" s="9" t="n">
        <v>15.7</v>
      </c>
      <c r="E2715" s="3" t="inlineStr">
        <is>
          <t>727</t>
        </is>
      </c>
      <c r="F2715" s="3" t="inlineStr">
        <is>
          <t>623</t>
        </is>
      </c>
      <c r="G2715" s="9" t="n">
        <v>405.22</v>
      </c>
      <c r="H2715" s="10" t="n">
        <v>45667.39254629629</v>
      </c>
      <c r="I2715" s="10" t="n">
        <v>45667.39254629629</v>
      </c>
      <c r="J2715" s="10" t="n">
        <v>45667.39427083333</v>
      </c>
      <c r="K2715" s="11" t="n">
        <v>0.001724537037037037</v>
      </c>
      <c r="L2715" s="13" t="n"/>
    </row>
    <row r="2716">
      <c r="A2716" s="3" t="inlineStr">
        <is>
          <t>PushOffDrive</t>
        </is>
      </c>
      <c r="B2716" s="3" t="inlineStr">
        <is>
          <t>Act_POD_1008704_092745_617</t>
        </is>
      </c>
      <c r="C2716" s="3" t="inlineStr">
        <is>
          <t>1008704</t>
        </is>
      </c>
      <c r="D2716" s="9" t="n">
        <v>12</v>
      </c>
      <c r="E2716" s="3" t="inlineStr">
        <is>
          <t>727</t>
        </is>
      </c>
      <c r="F2716" s="3" t="inlineStr">
        <is>
          <t>617</t>
        </is>
      </c>
      <c r="G2716" s="9" t="n">
        <v>292.28</v>
      </c>
      <c r="H2716" s="10" t="n">
        <v>45667.39427083333</v>
      </c>
      <c r="I2716" s="10" t="n">
        <v>45667.39427083333</v>
      </c>
      <c r="J2716" s="10" t="n">
        <v>45667.39552083334</v>
      </c>
      <c r="K2716" s="11" t="n">
        <v>0.00125</v>
      </c>
      <c r="L2716" s="13" t="n"/>
    </row>
    <row r="2717">
      <c r="A2717" s="3" t="inlineStr">
        <is>
          <t>PushOffDrive</t>
        </is>
      </c>
      <c r="B2717" s="3" t="inlineStr">
        <is>
          <t>Act_POD_1008705_092933_613</t>
        </is>
      </c>
      <c r="C2717" s="3" t="inlineStr">
        <is>
          <t>1008705</t>
        </is>
      </c>
      <c r="D2717" s="9" t="n">
        <v>54</v>
      </c>
      <c r="E2717" s="3" t="inlineStr">
        <is>
          <t>727</t>
        </is>
      </c>
      <c r="F2717" s="3" t="inlineStr">
        <is>
          <t>613</t>
        </is>
      </c>
      <c r="G2717" s="9" t="n">
        <v>290.6</v>
      </c>
      <c r="H2717" s="10" t="n">
        <v>45667.39552083334</v>
      </c>
      <c r="I2717" s="10" t="n">
        <v>45667.39552083334</v>
      </c>
      <c r="J2717" s="10" t="n">
        <v>45667.39685185185</v>
      </c>
      <c r="K2717" s="11" t="n">
        <v>0.001331018518518518</v>
      </c>
      <c r="L2717" s="13" t="n"/>
    </row>
    <row r="2718">
      <c r="A2718" s="3" t="inlineStr">
        <is>
          <t>PushOffDrive</t>
        </is>
      </c>
      <c r="B2718" s="3" t="inlineStr">
        <is>
          <t>Act_POD_1008706_093128_627</t>
        </is>
      </c>
      <c r="C2718" s="3" t="inlineStr">
        <is>
          <t>1008706</t>
        </is>
      </c>
      <c r="D2718" s="9" t="n">
        <v>15.7</v>
      </c>
      <c r="E2718" s="3" t="inlineStr">
        <is>
          <t>727</t>
        </is>
      </c>
      <c r="F2718" s="3" t="inlineStr">
        <is>
          <t>627</t>
        </is>
      </c>
      <c r="G2718" s="9" t="n">
        <v>443.59</v>
      </c>
      <c r="H2718" s="10" t="n">
        <v>45667.39685185185</v>
      </c>
      <c r="I2718" s="10" t="n">
        <v>45667.39685185185</v>
      </c>
      <c r="J2718" s="10" t="n">
        <v>45667.39873842592</v>
      </c>
      <c r="K2718" s="11" t="n">
        <v>0.001886574074074074</v>
      </c>
      <c r="L2718" s="13" t="n"/>
    </row>
    <row r="2719">
      <c r="A2719" s="3" t="inlineStr">
        <is>
          <t>PushOffDrive</t>
        </is>
      </c>
      <c r="B2719" s="3" t="inlineStr">
        <is>
          <t>Act_POD_1008707_093411_605</t>
        </is>
      </c>
      <c r="C2719" s="3" t="inlineStr">
        <is>
          <t>1008707</t>
        </is>
      </c>
      <c r="D2719" s="9" t="n">
        <v>109.4</v>
      </c>
      <c r="E2719" s="3" t="inlineStr">
        <is>
          <t>727</t>
        </is>
      </c>
      <c r="F2719" s="3" t="inlineStr">
        <is>
          <t>605</t>
        </is>
      </c>
      <c r="G2719" s="9" t="n">
        <v>398.6</v>
      </c>
      <c r="H2719" s="10" t="n">
        <v>45667.39873842592</v>
      </c>
      <c r="I2719" s="10" t="n">
        <v>45667.39873842592</v>
      </c>
      <c r="J2719" s="10" t="n">
        <v>45667.40064814815</v>
      </c>
      <c r="K2719" s="11" t="n">
        <v>0.001909722222222222</v>
      </c>
      <c r="L2719" s="13" t="n"/>
    </row>
    <row r="2720">
      <c r="A2720" s="3" t="inlineStr">
        <is>
          <t>PushOffDrive</t>
        </is>
      </c>
      <c r="B2720" s="3" t="inlineStr">
        <is>
          <t>Act_POD_1008708_093656_615</t>
        </is>
      </c>
      <c r="C2720" s="3" t="inlineStr">
        <is>
          <t>1008708</t>
        </is>
      </c>
      <c r="D2720" s="9" t="n">
        <v>19.9</v>
      </c>
      <c r="E2720" s="3" t="inlineStr">
        <is>
          <t>727</t>
        </is>
      </c>
      <c r="F2720" s="3" t="inlineStr">
        <is>
          <t>615</t>
        </is>
      </c>
      <c r="G2720" s="9" t="n">
        <v>263.09</v>
      </c>
      <c r="H2720" s="10" t="n">
        <v>45667.40064814815</v>
      </c>
      <c r="I2720" s="10" t="n">
        <v>45667.40064814815</v>
      </c>
      <c r="J2720" s="10" t="n">
        <v>45667.40179398148</v>
      </c>
      <c r="K2720" s="11" t="n">
        <v>0.001145833333333333</v>
      </c>
      <c r="L2720" s="13" t="n"/>
    </row>
    <row r="2721">
      <c r="A2721" s="3" t="inlineStr">
        <is>
          <t>PushOffDrive</t>
        </is>
      </c>
      <c r="B2721" s="3" t="inlineStr">
        <is>
          <t>Act_POD_1008709_093835_619</t>
        </is>
      </c>
      <c r="C2721" s="3" t="inlineStr">
        <is>
          <t>1008709</t>
        </is>
      </c>
      <c r="D2721" s="9" t="n">
        <v>61.9</v>
      </c>
      <c r="E2721" s="3" t="inlineStr">
        <is>
          <t>727</t>
        </is>
      </c>
      <c r="F2721" s="3" t="inlineStr">
        <is>
          <t>619</t>
        </is>
      </c>
      <c r="G2721" s="9" t="n">
        <v>453.13</v>
      </c>
      <c r="H2721" s="10" t="n">
        <v>45667.40179398148</v>
      </c>
      <c r="I2721" s="10" t="n">
        <v>45667.40179398148</v>
      </c>
      <c r="J2721" s="10" t="n">
        <v>45667.40381944444</v>
      </c>
      <c r="K2721" s="11" t="n">
        <v>0.002025462962962963</v>
      </c>
      <c r="L2721" s="13" t="n"/>
    </row>
    <row r="2722">
      <c r="A2722" s="3" t="inlineStr">
        <is>
          <t>PushOffDrive</t>
        </is>
      </c>
      <c r="B2722" s="3" t="inlineStr">
        <is>
          <t>Act_POD_1008710_094130_625</t>
        </is>
      </c>
      <c r="C2722" s="3" t="inlineStr">
        <is>
          <t>1008710</t>
        </is>
      </c>
      <c r="D2722" s="9" t="n">
        <v>58.5</v>
      </c>
      <c r="E2722" s="3" t="inlineStr">
        <is>
          <t>727</t>
        </is>
      </c>
      <c r="F2722" s="3" t="inlineStr">
        <is>
          <t>625</t>
        </is>
      </c>
      <c r="G2722" s="9" t="n">
        <v>470.92</v>
      </c>
      <c r="H2722" s="10" t="n">
        <v>45667.40381944444</v>
      </c>
      <c r="I2722" s="10" t="n">
        <v>45667.40381944444</v>
      </c>
      <c r="J2722" s="10" t="n">
        <v>45667.40592592592</v>
      </c>
      <c r="K2722" s="11" t="n">
        <v>0.002106481481481481</v>
      </c>
      <c r="L2722" s="13" t="n"/>
    </row>
    <row r="2723">
      <c r="A2723" s="3" t="inlineStr">
        <is>
          <t>PushOffDrive</t>
        </is>
      </c>
      <c r="B2723" s="3" t="inlineStr">
        <is>
          <t>Act_POD_1008711_094432_609</t>
        </is>
      </c>
      <c r="C2723" s="3" t="inlineStr">
        <is>
          <t>1008711</t>
        </is>
      </c>
      <c r="D2723" s="9" t="n">
        <v>59.7</v>
      </c>
      <c r="E2723" s="3" t="inlineStr">
        <is>
          <t>727</t>
        </is>
      </c>
      <c r="F2723" s="3" t="inlineStr">
        <is>
          <t>609</t>
        </is>
      </c>
      <c r="G2723" s="9" t="n">
        <v>344.04</v>
      </c>
      <c r="H2723" s="10" t="n">
        <v>45667.40592592592</v>
      </c>
      <c r="I2723" s="10" t="n">
        <v>45667.40592592592</v>
      </c>
      <c r="J2723" s="10" t="n">
        <v>45667.4075</v>
      </c>
      <c r="K2723" s="11" t="n">
        <v>0.001574074074074074</v>
      </c>
      <c r="L2723" s="13" t="n"/>
    </row>
    <row r="2724">
      <c r="A2724" s="3" t="inlineStr">
        <is>
          <t>PushOffDrive</t>
        </is>
      </c>
      <c r="B2724" s="3" t="inlineStr">
        <is>
          <t>Act_POD_1008712_094648_623</t>
        </is>
      </c>
      <c r="C2724" s="3" t="inlineStr">
        <is>
          <t>1008712</t>
        </is>
      </c>
      <c r="D2724" s="9" t="n">
        <v>19.9</v>
      </c>
      <c r="E2724" s="3" t="inlineStr">
        <is>
          <t>727</t>
        </is>
      </c>
      <c r="F2724" s="3" t="inlineStr">
        <is>
          <t>623</t>
        </is>
      </c>
      <c r="G2724" s="9" t="n">
        <v>405.22</v>
      </c>
      <c r="H2724" s="10" t="n">
        <v>45667.4075</v>
      </c>
      <c r="I2724" s="10" t="n">
        <v>45667.4075</v>
      </c>
      <c r="J2724" s="10" t="n">
        <v>45667.40922453703</v>
      </c>
      <c r="K2724" s="11" t="n">
        <v>0.001724537037037037</v>
      </c>
      <c r="L2724" s="13" t="n"/>
    </row>
    <row r="2725">
      <c r="A2725" s="3" t="inlineStr">
        <is>
          <t>PushOffDrive</t>
        </is>
      </c>
      <c r="B2725" s="3" t="inlineStr">
        <is>
          <t>Act_POD_1008901_103013_627</t>
        </is>
      </c>
      <c r="C2725" s="3" t="inlineStr">
        <is>
          <t>1008901</t>
        </is>
      </c>
      <c r="D2725" s="9" t="n">
        <v>259.7</v>
      </c>
      <c r="E2725" s="3" t="inlineStr">
        <is>
          <t>703</t>
        </is>
      </c>
      <c r="F2725" s="3" t="inlineStr">
        <is>
          <t>627</t>
        </is>
      </c>
      <c r="G2725" s="9" t="n">
        <v>450.42</v>
      </c>
      <c r="H2725" s="10" t="n">
        <v>45667.43765046296</v>
      </c>
      <c r="I2725" s="10" t="n">
        <v>45667.43765046296</v>
      </c>
      <c r="J2725" s="10" t="n">
        <v>45667.44012731482</v>
      </c>
      <c r="K2725" s="11" t="n">
        <v>0.002476851851851852</v>
      </c>
      <c r="L2725" s="13" t="n"/>
    </row>
    <row r="2726">
      <c r="A2726" s="3" t="inlineStr">
        <is>
          <t>PushOffDrive</t>
        </is>
      </c>
      <c r="B2726" s="3" t="inlineStr">
        <is>
          <t>Act_POD_1009001_131341_613</t>
        </is>
      </c>
      <c r="C2726" s="3" t="inlineStr">
        <is>
          <t>1009001</t>
        </is>
      </c>
      <c r="D2726" s="9" t="n">
        <v>95.3</v>
      </c>
      <c r="E2726" s="3" t="inlineStr">
        <is>
          <t>703</t>
        </is>
      </c>
      <c r="F2726" s="3" t="inlineStr">
        <is>
          <t>613</t>
        </is>
      </c>
      <c r="G2726" s="9" t="n">
        <v>297.43</v>
      </c>
      <c r="H2726" s="10" t="n">
        <v>45667.55116898148</v>
      </c>
      <c r="I2726" s="10" t="n">
        <v>45667.55116898148</v>
      </c>
      <c r="J2726" s="10" t="n">
        <v>45667.55262731481</v>
      </c>
      <c r="K2726" s="11" t="n">
        <v>0.001458333333333333</v>
      </c>
      <c r="L2726" s="13" t="n"/>
    </row>
    <row r="2727">
      <c r="A2727" s="3" t="inlineStr">
        <is>
          <t>PushOffDrive</t>
        </is>
      </c>
      <c r="B2727" s="3" t="inlineStr">
        <is>
          <t>Act_POD_1009101_141848_613</t>
        </is>
      </c>
      <c r="C2727" s="3" t="inlineStr">
        <is>
          <t>1009101</t>
        </is>
      </c>
      <c r="D2727" s="9" t="n">
        <v>23.2</v>
      </c>
      <c r="E2727" s="3" t="inlineStr">
        <is>
          <t>731</t>
        </is>
      </c>
      <c r="F2727" s="3" t="inlineStr">
        <is>
          <t>613</t>
        </is>
      </c>
      <c r="G2727" s="9" t="n">
        <v>382.3200000000001</v>
      </c>
      <c r="H2727" s="10" t="n">
        <v>45667.59638888889</v>
      </c>
      <c r="I2727" s="10" t="n">
        <v>45667.59638888889</v>
      </c>
      <c r="J2727" s="10" t="n">
        <v>45667.5980324074</v>
      </c>
      <c r="K2727" s="11" t="n">
        <v>0.001643518518518519</v>
      </c>
      <c r="L2727" s="13" t="n"/>
    </row>
    <row r="2728">
      <c r="A2728" s="3" t="inlineStr">
        <is>
          <t>PushOffDrive</t>
        </is>
      </c>
      <c r="B2728" s="3" t="inlineStr">
        <is>
          <t>Act_POD_1009201_150212_627</t>
        </is>
      </c>
      <c r="C2728" s="3" t="inlineStr">
        <is>
          <t>1009201</t>
        </is>
      </c>
      <c r="D2728" s="9" t="n">
        <v>393.5</v>
      </c>
      <c r="E2728" s="3" t="inlineStr">
        <is>
          <t>703</t>
        </is>
      </c>
      <c r="F2728" s="3" t="inlineStr">
        <is>
          <t>627</t>
        </is>
      </c>
      <c r="G2728" s="9" t="n">
        <v>450.42</v>
      </c>
      <c r="H2728" s="10" t="n">
        <v>45667.62652777778</v>
      </c>
      <c r="I2728" s="10" t="n">
        <v>45667.62652777778</v>
      </c>
      <c r="J2728" s="10" t="n">
        <v>45667.62931712963</v>
      </c>
      <c r="K2728" s="11" t="n">
        <v>0.002789351851851852</v>
      </c>
      <c r="L2728" s="13" t="n"/>
    </row>
    <row r="2729">
      <c r="A2729" s="3" t="inlineStr">
        <is>
          <t>PushOffDrive</t>
        </is>
      </c>
      <c r="B2729" s="3" t="inlineStr">
        <is>
          <t>Act_POD_1009301_174055_613</t>
        </is>
      </c>
      <c r="C2729" s="3" t="inlineStr">
        <is>
          <t>1009301</t>
        </is>
      </c>
      <c r="D2729" s="9" t="n">
        <v>302.1</v>
      </c>
      <c r="E2729" s="3" t="inlineStr">
        <is>
          <t>703</t>
        </is>
      </c>
      <c r="F2729" s="3" t="inlineStr">
        <is>
          <t>613</t>
        </is>
      </c>
      <c r="G2729" s="9" t="n">
        <v>297.43</v>
      </c>
      <c r="H2729" s="10" t="n">
        <v>45667.73674768519</v>
      </c>
      <c r="I2729" s="10" t="n">
        <v>45667.73674768519</v>
      </c>
      <c r="J2729" s="10" t="n">
        <v>45667.73868055556</v>
      </c>
      <c r="K2729" s="11" t="n">
        <v>0.00193287037037037</v>
      </c>
      <c r="L2729" s="13" t="n"/>
    </row>
    <row r="2730">
      <c r="A2730" s="3" t="inlineStr">
        <is>
          <t>PushOffDrive</t>
        </is>
      </c>
      <c r="B2730" s="3" t="inlineStr">
        <is>
          <t>Act_POD_1009401_181248_609</t>
        </is>
      </c>
      <c r="C2730" s="3" t="inlineStr">
        <is>
          <t>1009401</t>
        </is>
      </c>
      <c r="D2730" s="9" t="n">
        <v>39.8</v>
      </c>
      <c r="E2730" s="3" t="inlineStr">
        <is>
          <t>727</t>
        </is>
      </c>
      <c r="F2730" s="3" t="inlineStr">
        <is>
          <t>609</t>
        </is>
      </c>
      <c r="G2730" s="9" t="n">
        <v>344.04</v>
      </c>
      <c r="H2730" s="10" t="n">
        <v>45667.75888888889</v>
      </c>
      <c r="I2730" s="10" t="n">
        <v>45667.75888888889</v>
      </c>
      <c r="J2730" s="10" t="n">
        <v>45667.76041666666</v>
      </c>
      <c r="K2730" s="11" t="n">
        <v>0.001527777777777778</v>
      </c>
      <c r="L2730" s="13" t="n"/>
    </row>
    <row r="2731">
      <c r="A2731" s="3" t="inlineStr">
        <is>
          <t>PushOffDrive</t>
        </is>
      </c>
      <c r="B2731" s="3" t="inlineStr">
        <is>
          <t>Act_POD_1009402_181500_627</t>
        </is>
      </c>
      <c r="C2731" s="3" t="inlineStr">
        <is>
          <t>1009402</t>
        </is>
      </c>
      <c r="D2731" s="9" t="n">
        <v>218.1</v>
      </c>
      <c r="E2731" s="3" t="inlineStr">
        <is>
          <t>727</t>
        </is>
      </c>
      <c r="F2731" s="3" t="inlineStr">
        <is>
          <t>627</t>
        </is>
      </c>
      <c r="G2731" s="9" t="n">
        <v>443.59</v>
      </c>
      <c r="H2731" s="10" t="n">
        <v>45667.76041666666</v>
      </c>
      <c r="I2731" s="10" t="n">
        <v>45667.76041666666</v>
      </c>
      <c r="J2731" s="10" t="n">
        <v>45667.7627662037</v>
      </c>
      <c r="K2731" s="11" t="n">
        <v>0.002349537037037037</v>
      </c>
      <c r="L2731" s="13" t="n"/>
    </row>
    <row r="2732">
      <c r="A2732" s="3" t="inlineStr">
        <is>
          <t>PushOffDrive</t>
        </is>
      </c>
      <c r="B2732" s="3" t="inlineStr">
        <is>
          <t>Act_POD_1009403_181823_605</t>
        </is>
      </c>
      <c r="C2732" s="3" t="inlineStr">
        <is>
          <t>1009403</t>
        </is>
      </c>
      <c r="D2732" s="9" t="n">
        <v>15.7</v>
      </c>
      <c r="E2732" s="3" t="inlineStr">
        <is>
          <t>727</t>
        </is>
      </c>
      <c r="F2732" s="3" t="inlineStr">
        <is>
          <t>605</t>
        </is>
      </c>
      <c r="G2732" s="9" t="n">
        <v>398.6</v>
      </c>
      <c r="H2732" s="10" t="n">
        <v>45667.7627662037</v>
      </c>
      <c r="I2732" s="10" t="n">
        <v>45667.7627662037</v>
      </c>
      <c r="J2732" s="10" t="n">
        <v>45667.76446759259</v>
      </c>
      <c r="K2732" s="11" t="n">
        <v>0.001701388888888889</v>
      </c>
      <c r="L2732" s="13" t="n"/>
    </row>
    <row r="2733">
      <c r="A2733" s="3" t="inlineStr">
        <is>
          <t>PushOffDrive</t>
        </is>
      </c>
      <c r="B2733" s="3" t="inlineStr">
        <is>
          <t>Act_POD_1009404_182050_625</t>
        </is>
      </c>
      <c r="C2733" s="3" t="inlineStr">
        <is>
          <t>1009404</t>
        </is>
      </c>
      <c r="D2733" s="9" t="n">
        <v>16.5</v>
      </c>
      <c r="E2733" s="3" t="inlineStr">
        <is>
          <t>727</t>
        </is>
      </c>
      <c r="F2733" s="3" t="inlineStr">
        <is>
          <t>625</t>
        </is>
      </c>
      <c r="G2733" s="9" t="n">
        <v>470.92</v>
      </c>
      <c r="H2733" s="10" t="n">
        <v>45667.76446759259</v>
      </c>
      <c r="I2733" s="10" t="n">
        <v>45667.76446759259</v>
      </c>
      <c r="J2733" s="10" t="n">
        <v>45667.76646990741</v>
      </c>
      <c r="K2733" s="11" t="n">
        <v>0.002002314814814815</v>
      </c>
      <c r="L2733" s="13" t="n"/>
    </row>
    <row r="2734">
      <c r="A2734" s="3" t="inlineStr">
        <is>
          <t>PushOffDrive</t>
        </is>
      </c>
      <c r="B2734" s="3" t="inlineStr">
        <is>
          <t>Act_POD_1009405_182343_605</t>
        </is>
      </c>
      <c r="C2734" s="3" t="inlineStr">
        <is>
          <t>1009405</t>
        </is>
      </c>
      <c r="D2734" s="9" t="n">
        <v>94.40000000000001</v>
      </c>
      <c r="E2734" s="3" t="inlineStr">
        <is>
          <t>727</t>
        </is>
      </c>
      <c r="F2734" s="3" t="inlineStr">
        <is>
          <t>605</t>
        </is>
      </c>
      <c r="G2734" s="9" t="n">
        <v>398.6</v>
      </c>
      <c r="H2734" s="10" t="n">
        <v>45667.76646990741</v>
      </c>
      <c r="I2734" s="10" t="n">
        <v>45667.76646990741</v>
      </c>
      <c r="J2734" s="10" t="n">
        <v>45667.76834490741</v>
      </c>
      <c r="K2734" s="11" t="n">
        <v>0.001875</v>
      </c>
      <c r="L2734" s="13" t="n"/>
    </row>
    <row r="2735">
      <c r="A2735" s="3" t="inlineStr">
        <is>
          <t>PushOffDrive</t>
        </is>
      </c>
      <c r="B2735" s="3" t="inlineStr">
        <is>
          <t>Act_POD_1009406_182625_609</t>
        </is>
      </c>
      <c r="C2735" s="3" t="inlineStr">
        <is>
          <t>1009406</t>
        </is>
      </c>
      <c r="D2735" s="9" t="n">
        <v>14</v>
      </c>
      <c r="E2735" s="3" t="inlineStr">
        <is>
          <t>727</t>
        </is>
      </c>
      <c r="F2735" s="3" t="inlineStr">
        <is>
          <t>609</t>
        </is>
      </c>
      <c r="G2735" s="9" t="n">
        <v>344.04</v>
      </c>
      <c r="H2735" s="10" t="n">
        <v>45667.76834490741</v>
      </c>
      <c r="I2735" s="10" t="n">
        <v>45667.76834490741</v>
      </c>
      <c r="J2735" s="10" t="n">
        <v>45667.76981481481</v>
      </c>
      <c r="K2735" s="11" t="n">
        <v>0.001469907407407407</v>
      </c>
      <c r="L2735" s="13" t="n"/>
    </row>
    <row r="2736">
      <c r="A2736" s="3" t="inlineStr">
        <is>
          <t>PushOffDrive</t>
        </is>
      </c>
      <c r="B2736" s="3" t="inlineStr">
        <is>
          <t>Act_POD_1009407_182832_609</t>
        </is>
      </c>
      <c r="C2736" s="3" t="inlineStr">
        <is>
          <t>1009407</t>
        </is>
      </c>
      <c r="D2736" s="9" t="n">
        <v>19.9</v>
      </c>
      <c r="E2736" s="3" t="inlineStr">
        <is>
          <t>727</t>
        </is>
      </c>
      <c r="F2736" s="3" t="inlineStr">
        <is>
          <t>609</t>
        </is>
      </c>
      <c r="G2736" s="9" t="n">
        <v>344.04</v>
      </c>
      <c r="H2736" s="10" t="n">
        <v>45667.76981481481</v>
      </c>
      <c r="I2736" s="10" t="n">
        <v>45667.76981481481</v>
      </c>
      <c r="J2736" s="10" t="n">
        <v>45667.7712962963</v>
      </c>
      <c r="K2736" s="11" t="n">
        <v>0.001481481481481481</v>
      </c>
      <c r="L2736" s="13" t="n"/>
    </row>
    <row r="2737">
      <c r="A2737" s="3" t="inlineStr">
        <is>
          <t>PushOffDrive</t>
        </is>
      </c>
      <c r="B2737" s="3" t="inlineStr">
        <is>
          <t>Act_POD_1009408_183040_615</t>
        </is>
      </c>
      <c r="C2737" s="3" t="inlineStr">
        <is>
          <t>1009408</t>
        </is>
      </c>
      <c r="D2737" s="9" t="n">
        <v>19.9</v>
      </c>
      <c r="E2737" s="3" t="inlineStr">
        <is>
          <t>727</t>
        </is>
      </c>
      <c r="F2737" s="3" t="inlineStr">
        <is>
          <t>615</t>
        </is>
      </c>
      <c r="G2737" s="9" t="n">
        <v>263.09</v>
      </c>
      <c r="H2737" s="10" t="n">
        <v>45667.7712962963</v>
      </c>
      <c r="I2737" s="10" t="n">
        <v>45667.7712962963</v>
      </c>
      <c r="J2737" s="10" t="n">
        <v>45667.77243055555</v>
      </c>
      <c r="K2737" s="11" t="n">
        <v>0.001134259259259259</v>
      </c>
      <c r="L2737" s="13" t="n"/>
    </row>
    <row r="2738">
      <c r="A2738" s="3" t="inlineStr">
        <is>
          <t>PushOffDrive</t>
        </is>
      </c>
      <c r="B2738" s="3" t="inlineStr">
        <is>
          <t>Act_POD_1009409_183218_627</t>
        </is>
      </c>
      <c r="C2738" s="3" t="inlineStr">
        <is>
          <t>1009409</t>
        </is>
      </c>
      <c r="D2738" s="9" t="n">
        <v>15.7</v>
      </c>
      <c r="E2738" s="3" t="inlineStr">
        <is>
          <t>727</t>
        </is>
      </c>
      <c r="F2738" s="3" t="inlineStr">
        <is>
          <t>627</t>
        </is>
      </c>
      <c r="G2738" s="9" t="n">
        <v>443.59</v>
      </c>
      <c r="H2738" s="10" t="n">
        <v>45667.77243055555</v>
      </c>
      <c r="I2738" s="10" t="n">
        <v>45667.77243055555</v>
      </c>
      <c r="J2738" s="10" t="n">
        <v>45667.77431712963</v>
      </c>
      <c r="K2738" s="11" t="n">
        <v>0.001886574074074074</v>
      </c>
      <c r="L2738" s="13" t="n"/>
    </row>
    <row r="2739">
      <c r="A2739" s="3" t="inlineStr">
        <is>
          <t>PushOffDrive</t>
        </is>
      </c>
      <c r="B2739" s="3" t="inlineStr">
        <is>
          <t>Act_POD_1009410_183501_623</t>
        </is>
      </c>
      <c r="C2739" s="3" t="inlineStr">
        <is>
          <t>1009410</t>
        </is>
      </c>
      <c r="D2739" s="9" t="n">
        <v>15.7</v>
      </c>
      <c r="E2739" s="3" t="inlineStr">
        <is>
          <t>727</t>
        </is>
      </c>
      <c r="F2739" s="3" t="inlineStr">
        <is>
          <t>623</t>
        </is>
      </c>
      <c r="G2739" s="9" t="n">
        <v>405.22</v>
      </c>
      <c r="H2739" s="10" t="n">
        <v>45667.77431712963</v>
      </c>
      <c r="I2739" s="10" t="n">
        <v>45667.77431712963</v>
      </c>
      <c r="J2739" s="10" t="n">
        <v>45667.77604166666</v>
      </c>
      <c r="K2739" s="11" t="n">
        <v>0.001724537037037037</v>
      </c>
      <c r="L2739" s="13" t="n"/>
    </row>
    <row r="2740">
      <c r="A2740" s="3" t="inlineStr">
        <is>
          <t>PushOffDrive</t>
        </is>
      </c>
      <c r="B2740" s="3" t="inlineStr">
        <is>
          <t>Act_POD_1009411_183730_613</t>
        </is>
      </c>
      <c r="C2740" s="3" t="inlineStr">
        <is>
          <t>1009411</t>
        </is>
      </c>
      <c r="D2740" s="9" t="n">
        <v>27</v>
      </c>
      <c r="E2740" s="3" t="inlineStr">
        <is>
          <t>727</t>
        </is>
      </c>
      <c r="F2740" s="3" t="inlineStr">
        <is>
          <t>613</t>
        </is>
      </c>
      <c r="G2740" s="9" t="n">
        <v>290.6</v>
      </c>
      <c r="H2740" s="10" t="n">
        <v>45667.77604166666</v>
      </c>
      <c r="I2740" s="10" t="n">
        <v>45667.77604166666</v>
      </c>
      <c r="J2740" s="10" t="n">
        <v>45667.77731481481</v>
      </c>
      <c r="K2740" s="11" t="n">
        <v>0.001273148148148148</v>
      </c>
      <c r="L2740" s="13" t="n"/>
    </row>
    <row r="2741">
      <c r="A2741" s="3" t="inlineStr">
        <is>
          <t>PushOffDrive</t>
        </is>
      </c>
      <c r="B2741" s="3" t="inlineStr">
        <is>
          <t>Act_POD_1009412_183920_619</t>
        </is>
      </c>
      <c r="C2741" s="3" t="inlineStr">
        <is>
          <t>1009412</t>
        </is>
      </c>
      <c r="D2741" s="9" t="n">
        <v>80.7</v>
      </c>
      <c r="E2741" s="3" t="inlineStr">
        <is>
          <t>727</t>
        </is>
      </c>
      <c r="F2741" s="3" t="inlineStr">
        <is>
          <t>619</t>
        </is>
      </c>
      <c r="G2741" s="9" t="n">
        <v>453.13</v>
      </c>
      <c r="H2741" s="10" t="n">
        <v>45667.77731481481</v>
      </c>
      <c r="I2741" s="10" t="n">
        <v>45667.77731481481</v>
      </c>
      <c r="J2741" s="10" t="n">
        <v>45667.77939814814</v>
      </c>
      <c r="K2741" s="11" t="n">
        <v>0.002083333333333333</v>
      </c>
      <c r="L2741" s="13" t="n"/>
    </row>
    <row r="2742">
      <c r="A2742" s="3" t="inlineStr">
        <is>
          <t>PushOffDrive</t>
        </is>
      </c>
      <c r="B2742" s="3" t="inlineStr">
        <is>
          <t>Act_POD_1009501_203404_613</t>
        </is>
      </c>
      <c r="C2742" s="3" t="inlineStr">
        <is>
          <t>1009501</t>
        </is>
      </c>
      <c r="D2742" s="9" t="n">
        <v>85.5</v>
      </c>
      <c r="E2742" s="3" t="inlineStr">
        <is>
          <t>703</t>
        </is>
      </c>
      <c r="F2742" s="3" t="inlineStr">
        <is>
          <t>613</t>
        </is>
      </c>
      <c r="G2742" s="9" t="n">
        <v>297.43</v>
      </c>
      <c r="H2742" s="10" t="n">
        <v>45667.85699074074</v>
      </c>
      <c r="I2742" s="10" t="n">
        <v>45667.85699074074</v>
      </c>
      <c r="J2742" s="10" t="n">
        <v>45667.85842592592</v>
      </c>
      <c r="K2742" s="11" t="n">
        <v>0.001435185185185185</v>
      </c>
      <c r="L2742" s="13" t="n"/>
    </row>
    <row r="2743">
      <c r="A2743" s="3" t="inlineStr">
        <is>
          <t>PushOffDrive</t>
        </is>
      </c>
      <c r="B2743" s="3" t="inlineStr">
        <is>
          <t>Act_POD_1009502_203608_627</t>
        </is>
      </c>
      <c r="C2743" s="3" t="inlineStr">
        <is>
          <t>1009502</t>
        </is>
      </c>
      <c r="D2743" s="9" t="n">
        <v>14</v>
      </c>
      <c r="E2743" s="3" t="inlineStr">
        <is>
          <t>703</t>
        </is>
      </c>
      <c r="F2743" s="3" t="inlineStr">
        <is>
          <t>627</t>
        </is>
      </c>
      <c r="G2743" s="9" t="n">
        <v>450.42</v>
      </c>
      <c r="H2743" s="10" t="n">
        <v>45667.85842592592</v>
      </c>
      <c r="I2743" s="10" t="n">
        <v>45667.85842592592</v>
      </c>
      <c r="J2743" s="10" t="n">
        <v>45667.86033564815</v>
      </c>
      <c r="K2743" s="11" t="n">
        <v>0.001909722222222222</v>
      </c>
      <c r="L2743" s="13" t="n"/>
    </row>
    <row r="2744">
      <c r="A2744" s="3" t="inlineStr">
        <is>
          <t>PushOffDrive</t>
        </is>
      </c>
      <c r="B2744" s="3" t="inlineStr">
        <is>
          <t>Act_POD_1009503_203853_609</t>
        </is>
      </c>
      <c r="C2744" s="3" t="inlineStr">
        <is>
          <t>1009503</t>
        </is>
      </c>
      <c r="D2744" s="9" t="n">
        <v>19.9</v>
      </c>
      <c r="E2744" s="3" t="inlineStr">
        <is>
          <t>703</t>
        </is>
      </c>
      <c r="F2744" s="3" t="inlineStr">
        <is>
          <t>609</t>
        </is>
      </c>
      <c r="G2744" s="9" t="n">
        <v>350.87</v>
      </c>
      <c r="H2744" s="10" t="n">
        <v>45667.86033564815</v>
      </c>
      <c r="I2744" s="10" t="n">
        <v>45667.86033564815</v>
      </c>
      <c r="J2744" s="10" t="n">
        <v>45667.86185185185</v>
      </c>
      <c r="K2744" s="11" t="n">
        <v>0.001516203703703704</v>
      </c>
      <c r="L2744" s="13" t="n"/>
    </row>
    <row r="2745">
      <c r="A2745" s="3" t="inlineStr">
        <is>
          <t>PushOffDrive</t>
        </is>
      </c>
      <c r="B2745" s="3" t="inlineStr">
        <is>
          <t>Act_POD_1009504_204104_605</t>
        </is>
      </c>
      <c r="C2745" s="3" t="inlineStr">
        <is>
          <t>1009504</t>
        </is>
      </c>
      <c r="D2745" s="9" t="n">
        <v>21</v>
      </c>
      <c r="E2745" s="3" t="inlineStr">
        <is>
          <t>703</t>
        </is>
      </c>
      <c r="F2745" s="3" t="inlineStr">
        <is>
          <t>605</t>
        </is>
      </c>
      <c r="G2745" s="9" t="n">
        <v>405.43</v>
      </c>
      <c r="H2745" s="10" t="n">
        <v>45667.86185185185</v>
      </c>
      <c r="I2745" s="10" t="n">
        <v>45667.86185185185</v>
      </c>
      <c r="J2745" s="10" t="n">
        <v>45667.86358796297</v>
      </c>
      <c r="K2745" s="11" t="n">
        <v>0.001736111111111111</v>
      </c>
      <c r="L2745" s="13" t="n"/>
    </row>
    <row r="2746">
      <c r="A2746" s="3" t="inlineStr">
        <is>
          <t>PushOffDrive</t>
        </is>
      </c>
      <c r="B2746" s="3" t="inlineStr">
        <is>
          <t>Act_POD_1009505_204334_613</t>
        </is>
      </c>
      <c r="C2746" s="3" t="inlineStr">
        <is>
          <t>1009505</t>
        </is>
      </c>
      <c r="D2746" s="9" t="n">
        <v>27</v>
      </c>
      <c r="E2746" s="3" t="inlineStr">
        <is>
          <t>703</t>
        </is>
      </c>
      <c r="F2746" s="3" t="inlineStr">
        <is>
          <t>613</t>
        </is>
      </c>
      <c r="G2746" s="9" t="n">
        <v>297.43</v>
      </c>
      <c r="H2746" s="10" t="n">
        <v>45667.86358796297</v>
      </c>
      <c r="I2746" s="10" t="n">
        <v>45667.86358796297</v>
      </c>
      <c r="J2746" s="10" t="n">
        <v>45667.86488425926</v>
      </c>
      <c r="K2746" s="11" t="n">
        <v>0.001296296296296296</v>
      </c>
      <c r="L2746" s="13" t="n"/>
    </row>
    <row r="2747">
      <c r="A2747" s="3" t="inlineStr">
        <is>
          <t>PushOffDrive</t>
        </is>
      </c>
      <c r="B2747" s="3" t="inlineStr">
        <is>
          <t>Act_POD_1009506_204526_623</t>
        </is>
      </c>
      <c r="C2747" s="3" t="inlineStr">
        <is>
          <t>1009506</t>
        </is>
      </c>
      <c r="D2747" s="9" t="n">
        <v>43.1</v>
      </c>
      <c r="E2747" s="3" t="inlineStr">
        <is>
          <t>703</t>
        </is>
      </c>
      <c r="F2747" s="3" t="inlineStr">
        <is>
          <t>623</t>
        </is>
      </c>
      <c r="G2747" s="9" t="n">
        <v>412.05</v>
      </c>
      <c r="H2747" s="10" t="n">
        <v>45667.86488425926</v>
      </c>
      <c r="I2747" s="10" t="n">
        <v>45667.86488425926</v>
      </c>
      <c r="J2747" s="10" t="n">
        <v>45667.86670138889</v>
      </c>
      <c r="K2747" s="11" t="n">
        <v>0.00181712962962963</v>
      </c>
      <c r="L2747" s="13" t="n"/>
    </row>
    <row r="2748">
      <c r="A2748" s="3" t="inlineStr">
        <is>
          <t>PushOffDrive</t>
        </is>
      </c>
      <c r="B2748" s="3" t="inlineStr">
        <is>
          <t>Act_POD_1009507_204803_606</t>
        </is>
      </c>
      <c r="C2748" s="3" t="inlineStr">
        <is>
          <t>1009507</t>
        </is>
      </c>
      <c r="D2748" s="9" t="n">
        <v>27</v>
      </c>
      <c r="E2748" s="3" t="inlineStr">
        <is>
          <t>703</t>
        </is>
      </c>
      <c r="F2748" s="3" t="inlineStr">
        <is>
          <t>606</t>
        </is>
      </c>
      <c r="G2748" s="9" t="n">
        <v>405.03</v>
      </c>
      <c r="H2748" s="10" t="n">
        <v>45667.86670138889</v>
      </c>
      <c r="I2748" s="10" t="n">
        <v>45667.86670138889</v>
      </c>
      <c r="J2748" s="10" t="n">
        <v>45667.86844907407</v>
      </c>
      <c r="K2748" s="11" t="n">
        <v>0.001747685185185185</v>
      </c>
      <c r="L2748" s="13" t="n"/>
    </row>
    <row r="2749">
      <c r="A2749" s="3" t="inlineStr">
        <is>
          <t>PushOffDrive</t>
        </is>
      </c>
      <c r="B2749" s="3" t="inlineStr">
        <is>
          <t>Act_POD_1009508_205034_619</t>
        </is>
      </c>
      <c r="C2749" s="3" t="inlineStr">
        <is>
          <t>1009508</t>
        </is>
      </c>
      <c r="D2749" s="9" t="n">
        <v>63</v>
      </c>
      <c r="E2749" s="3" t="inlineStr">
        <is>
          <t>703</t>
        </is>
      </c>
      <c r="F2749" s="3" t="inlineStr">
        <is>
          <t>619</t>
        </is>
      </c>
      <c r="G2749" s="9" t="n">
        <v>459.96</v>
      </c>
      <c r="H2749" s="10" t="n">
        <v>45667.86844907407</v>
      </c>
      <c r="I2749" s="10" t="n">
        <v>45667.86844907407</v>
      </c>
      <c r="J2749" s="10" t="n">
        <v>45667.87052083333</v>
      </c>
      <c r="K2749" s="11" t="n">
        <v>0.002071759259259259</v>
      </c>
      <c r="L2749" s="13" t="n"/>
    </row>
    <row r="2750">
      <c r="A2750" s="3" t="inlineStr">
        <is>
          <t>PushOffDrive</t>
        </is>
      </c>
      <c r="B2750" s="3" t="inlineStr">
        <is>
          <t>Act_POD_1009601_051349_619</t>
        </is>
      </c>
      <c r="C2750" s="3" t="inlineStr">
        <is>
          <t>1009601</t>
        </is>
      </c>
      <c r="D2750" s="9" t="n">
        <v>47.2</v>
      </c>
      <c r="E2750" s="3" t="inlineStr">
        <is>
          <t>703</t>
        </is>
      </c>
      <c r="F2750" s="3" t="inlineStr">
        <is>
          <t>619</t>
        </is>
      </c>
      <c r="G2750" s="9" t="n">
        <v>459.96</v>
      </c>
      <c r="H2750" s="10" t="n">
        <v>45668.21792824074</v>
      </c>
      <c r="I2750" s="10" t="n">
        <v>45668.21792824074</v>
      </c>
      <c r="J2750" s="10" t="n">
        <v>45668.21996527778</v>
      </c>
      <c r="K2750" s="11" t="n">
        <v>0.002037037037037037</v>
      </c>
      <c r="L2750" s="13" t="n"/>
    </row>
    <row r="2751">
      <c r="A2751" s="3" t="inlineStr">
        <is>
          <t>PushOffDrive</t>
        </is>
      </c>
      <c r="B2751" s="3" t="inlineStr">
        <is>
          <t>Act_POD_1009602_051645_625</t>
        </is>
      </c>
      <c r="C2751" s="3" t="inlineStr">
        <is>
          <t>1009602</t>
        </is>
      </c>
      <c r="D2751" s="9" t="n">
        <v>16.5</v>
      </c>
      <c r="E2751" s="3" t="inlineStr">
        <is>
          <t>703</t>
        </is>
      </c>
      <c r="F2751" s="3" t="inlineStr">
        <is>
          <t>625</t>
        </is>
      </c>
      <c r="G2751" s="9" t="n">
        <v>477.75</v>
      </c>
      <c r="H2751" s="10" t="n">
        <v>45668.21996527778</v>
      </c>
      <c r="I2751" s="10" t="n">
        <v>45668.21996527778</v>
      </c>
      <c r="J2751" s="10" t="n">
        <v>45668.22199074074</v>
      </c>
      <c r="K2751" s="11" t="n">
        <v>0.002025462962962963</v>
      </c>
      <c r="L2751" s="13" t="n"/>
    </row>
    <row r="2752">
      <c r="A2752" s="3" t="inlineStr">
        <is>
          <t>PushOffDrive</t>
        </is>
      </c>
      <c r="B2752" s="3" t="inlineStr">
        <is>
          <t>Act_POD_1009603_051940_613</t>
        </is>
      </c>
      <c r="C2752" s="3" t="inlineStr">
        <is>
          <t>1009603</t>
        </is>
      </c>
      <c r="D2752" s="9" t="n">
        <v>302.9</v>
      </c>
      <c r="E2752" s="3" t="inlineStr">
        <is>
          <t>703</t>
        </is>
      </c>
      <c r="F2752" s="3" t="inlineStr">
        <is>
          <t>613</t>
        </is>
      </c>
      <c r="G2752" s="9" t="n">
        <v>297.43</v>
      </c>
      <c r="H2752" s="10" t="n">
        <v>45668.22199074074</v>
      </c>
      <c r="I2752" s="10" t="n">
        <v>45668.22199074074</v>
      </c>
      <c r="J2752" s="10" t="n">
        <v>45668.22392361111</v>
      </c>
      <c r="K2752" s="11" t="n">
        <v>0.00193287037037037</v>
      </c>
      <c r="L2752" s="13" t="n"/>
    </row>
    <row r="2753">
      <c r="A2753" s="3" t="inlineStr">
        <is>
          <t>PushOffDrive</t>
        </is>
      </c>
      <c r="B2753" s="3" t="inlineStr">
        <is>
          <t>Act_POD_1009701_054717_625</t>
        </is>
      </c>
      <c r="C2753" s="3" t="inlineStr">
        <is>
          <t>1009701</t>
        </is>
      </c>
      <c r="D2753" s="9" t="n">
        <v>40.9</v>
      </c>
      <c r="E2753" s="3" t="inlineStr">
        <is>
          <t>703</t>
        </is>
      </c>
      <c r="F2753" s="3" t="inlineStr">
        <is>
          <t>625</t>
        </is>
      </c>
      <c r="G2753" s="9" t="n">
        <v>477.75</v>
      </c>
      <c r="H2753" s="10" t="n">
        <v>45668.24116898148</v>
      </c>
      <c r="I2753" s="10" t="n">
        <v>45668.24116898148</v>
      </c>
      <c r="J2753" s="10" t="n">
        <v>45668.24325231482</v>
      </c>
      <c r="K2753" s="11" t="n">
        <v>0.002083333333333333</v>
      </c>
      <c r="L2753" s="13" t="n"/>
    </row>
    <row r="2754">
      <c r="A2754" s="3" t="inlineStr">
        <is>
          <t>PushOffDrive</t>
        </is>
      </c>
      <c r="B2754" s="3" t="inlineStr">
        <is>
          <t>Act_POD_1009702_055017_623</t>
        </is>
      </c>
      <c r="C2754" s="3" t="inlineStr">
        <is>
          <t>1009702</t>
        </is>
      </c>
      <c r="D2754" s="9" t="n">
        <v>110.2</v>
      </c>
      <c r="E2754" s="3" t="inlineStr">
        <is>
          <t>703</t>
        </is>
      </c>
      <c r="F2754" s="3" t="inlineStr">
        <is>
          <t>623</t>
        </is>
      </c>
      <c r="G2754" s="9" t="n">
        <v>412.05</v>
      </c>
      <c r="H2754" s="10" t="n">
        <v>45668.24325231482</v>
      </c>
      <c r="I2754" s="10" t="n">
        <v>45668.24325231482</v>
      </c>
      <c r="J2754" s="10" t="n">
        <v>45668.24523148148</v>
      </c>
      <c r="K2754" s="11" t="n">
        <v>0.001979166666666667</v>
      </c>
      <c r="L2754" s="13" t="n"/>
    </row>
    <row r="2755">
      <c r="A2755" s="3" t="inlineStr">
        <is>
          <t>PushOffDrive</t>
        </is>
      </c>
      <c r="B2755" s="3" t="inlineStr">
        <is>
          <t>Act_POD_1009703_055308_611</t>
        </is>
      </c>
      <c r="C2755" s="3" t="inlineStr">
        <is>
          <t>1009703</t>
        </is>
      </c>
      <c r="D2755" s="9" t="n">
        <v>210.6</v>
      </c>
      <c r="E2755" s="3" t="inlineStr">
        <is>
          <t>703</t>
        </is>
      </c>
      <c r="F2755" s="3" t="inlineStr">
        <is>
          <t>611</t>
        </is>
      </c>
      <c r="G2755" s="9" t="n">
        <v>324.35</v>
      </c>
      <c r="H2755" s="10" t="n">
        <v>45668.24523148148</v>
      </c>
      <c r="I2755" s="10" t="n">
        <v>45668.24523148148</v>
      </c>
      <c r="J2755" s="10" t="n">
        <v>45668.24706018518</v>
      </c>
      <c r="K2755" s="11" t="n">
        <v>0.001828703703703704</v>
      </c>
      <c r="L2755" s="13" t="n"/>
    </row>
    <row r="2756">
      <c r="A2756" s="3" t="inlineStr">
        <is>
          <t>PushOffDrive</t>
        </is>
      </c>
      <c r="B2756" s="3" t="inlineStr">
        <is>
          <t>Act_POD_1009704_055546_625</t>
        </is>
      </c>
      <c r="C2756" s="3" t="inlineStr">
        <is>
          <t>1009704</t>
        </is>
      </c>
      <c r="D2756" s="9" t="n">
        <v>21</v>
      </c>
      <c r="E2756" s="3" t="inlineStr">
        <is>
          <t>703</t>
        </is>
      </c>
      <c r="F2756" s="3" t="inlineStr">
        <is>
          <t>625</t>
        </is>
      </c>
      <c r="G2756" s="9" t="n">
        <v>477.75</v>
      </c>
      <c r="H2756" s="10" t="n">
        <v>45668.24706018518</v>
      </c>
      <c r="I2756" s="10" t="n">
        <v>45668.24706018518</v>
      </c>
      <c r="J2756" s="10" t="n">
        <v>45668.2491087963</v>
      </c>
      <c r="K2756" s="11" t="n">
        <v>0.002048611111111111</v>
      </c>
      <c r="L2756" s="13" t="n"/>
    </row>
    <row r="2757">
      <c r="A2757" s="3" t="inlineStr">
        <is>
          <t>PushOffDrive</t>
        </is>
      </c>
      <c r="B2757" s="3" t="inlineStr">
        <is>
          <t>Act_POD_1009801_175938_625</t>
        </is>
      </c>
      <c r="C2757" s="3" t="inlineStr">
        <is>
          <t>1009801</t>
        </is>
      </c>
      <c r="D2757" s="9" t="n">
        <v>173.3</v>
      </c>
      <c r="E2757" s="3" t="inlineStr">
        <is>
          <t>727</t>
        </is>
      </c>
      <c r="F2757" s="3" t="inlineStr">
        <is>
          <t>625</t>
        </is>
      </c>
      <c r="G2757" s="9" t="n">
        <v>470.92</v>
      </c>
      <c r="H2757" s="10" t="n">
        <v>45669.74974537037</v>
      </c>
      <c r="I2757" s="10" t="n">
        <v>45669.74974537037</v>
      </c>
      <c r="J2757" s="10" t="n">
        <v>45669.75210648148</v>
      </c>
      <c r="K2757" s="11" t="n">
        <v>0.002361111111111111</v>
      </c>
      <c r="L2757" s="13" t="n"/>
    </row>
    <row r="2758">
      <c r="A2758" s="3" t="inlineStr">
        <is>
          <t>PushOffDrive</t>
        </is>
      </c>
      <c r="B2758" s="3" t="inlineStr">
        <is>
          <t>Act_POD_1009802_180302_613</t>
        </is>
      </c>
      <c r="C2758" s="3" t="inlineStr">
        <is>
          <t>1009802</t>
        </is>
      </c>
      <c r="D2758" s="9" t="n">
        <v>349.3</v>
      </c>
      <c r="E2758" s="3" t="inlineStr">
        <is>
          <t>727</t>
        </is>
      </c>
      <c r="F2758" s="3" t="inlineStr">
        <is>
          <t>613</t>
        </is>
      </c>
      <c r="G2758" s="9" t="n">
        <v>290.6</v>
      </c>
      <c r="H2758" s="10" t="n">
        <v>45669.75210648148</v>
      </c>
      <c r="I2758" s="10" t="n">
        <v>45669.75210648148</v>
      </c>
      <c r="J2758" s="10" t="n">
        <v>45669.75413194444</v>
      </c>
      <c r="K2758" s="11" t="n">
        <v>0.002025462962962963</v>
      </c>
      <c r="L2758" s="13" t="n"/>
    </row>
    <row r="2759">
      <c r="A2759" s="3" t="inlineStr">
        <is>
          <t>PushOffDrive</t>
        </is>
      </c>
      <c r="B2759" s="3" t="inlineStr">
        <is>
          <t>Act_POD_1009803_180557_623</t>
        </is>
      </c>
      <c r="C2759" s="3" t="inlineStr">
        <is>
          <t>1009803</t>
        </is>
      </c>
      <c r="D2759" s="9" t="n">
        <v>31.5</v>
      </c>
      <c r="E2759" s="3" t="inlineStr">
        <is>
          <t>727</t>
        </is>
      </c>
      <c r="F2759" s="3" t="inlineStr">
        <is>
          <t>623</t>
        </is>
      </c>
      <c r="G2759" s="9" t="n">
        <v>405.22</v>
      </c>
      <c r="H2759" s="10" t="n">
        <v>45669.75413194444</v>
      </c>
      <c r="I2759" s="10" t="n">
        <v>45669.75413194444</v>
      </c>
      <c r="J2759" s="10" t="n">
        <v>45669.75589120371</v>
      </c>
      <c r="K2759" s="11" t="n">
        <v>0.001759259259259259</v>
      </c>
      <c r="L2759" s="13" t="n"/>
    </row>
    <row r="2760">
      <c r="A2760" s="3" t="inlineStr">
        <is>
          <t>PushOffDrive</t>
        </is>
      </c>
      <c r="B2760" s="3" t="inlineStr">
        <is>
          <t>Act_POD_1009901_201435_613</t>
        </is>
      </c>
      <c r="C2760" s="3" t="inlineStr">
        <is>
          <t>1009901</t>
        </is>
      </c>
      <c r="D2760" s="9" t="n">
        <v>106.9</v>
      </c>
      <c r="E2760" s="3" t="inlineStr">
        <is>
          <t>703</t>
        </is>
      </c>
      <c r="F2760" s="3" t="inlineStr">
        <is>
          <t>613</t>
        </is>
      </c>
      <c r="G2760" s="9" t="n">
        <v>297.43</v>
      </c>
      <c r="H2760" s="10" t="n">
        <v>45669.84346064815</v>
      </c>
      <c r="I2760" s="10" t="n">
        <v>45669.84346064815</v>
      </c>
      <c r="J2760" s="10" t="n">
        <v>45669.8449537037</v>
      </c>
      <c r="K2760" s="11" t="n">
        <v>0.001493055555555556</v>
      </c>
      <c r="L2760" s="13" t="n"/>
    </row>
    <row r="2761">
      <c r="A2761" s="3" t="inlineStr">
        <is>
          <t>PushOffDrive</t>
        </is>
      </c>
      <c r="B2761" s="3" t="inlineStr">
        <is>
          <t>Act_POD_1009902_201644_625</t>
        </is>
      </c>
      <c r="C2761" s="3" t="inlineStr">
        <is>
          <t>1009902</t>
        </is>
      </c>
      <c r="D2761" s="9" t="n">
        <v>101.2</v>
      </c>
      <c r="E2761" s="3" t="inlineStr">
        <is>
          <t>703</t>
        </is>
      </c>
      <c r="F2761" s="3" t="inlineStr">
        <is>
          <t>625</t>
        </is>
      </c>
      <c r="G2761" s="9" t="n">
        <v>477.75</v>
      </c>
      <c r="H2761" s="10" t="n">
        <v>45669.8449537037</v>
      </c>
      <c r="I2761" s="10" t="n">
        <v>45669.8449537037</v>
      </c>
      <c r="J2761" s="10" t="n">
        <v>45669.84717592593</v>
      </c>
      <c r="K2761" s="11" t="n">
        <v>0.002222222222222222</v>
      </c>
      <c r="L2761" s="13" t="n"/>
    </row>
    <row r="2762">
      <c r="A2762" s="3" t="inlineStr">
        <is>
          <t>PushOffDrive</t>
        </is>
      </c>
      <c r="B2762" s="3" t="inlineStr">
        <is>
          <t>Act_POD_1010001_024041_605</t>
        </is>
      </c>
      <c r="C2762" s="3" t="inlineStr">
        <is>
          <t>1010001</t>
        </is>
      </c>
      <c r="D2762" s="9" t="n">
        <v>165.8</v>
      </c>
      <c r="E2762" s="3" t="inlineStr">
        <is>
          <t>703</t>
        </is>
      </c>
      <c r="F2762" s="3" t="inlineStr">
        <is>
          <t>605</t>
        </is>
      </c>
      <c r="G2762" s="9" t="n">
        <v>405.43</v>
      </c>
      <c r="H2762" s="10" t="n">
        <v>45670.11158564815</v>
      </c>
      <c r="I2762" s="10" t="n">
        <v>45670.11158564815</v>
      </c>
      <c r="J2762" s="10" t="n">
        <v>45670.1136574074</v>
      </c>
      <c r="K2762" s="11" t="n">
        <v>0.002071759259259259</v>
      </c>
      <c r="L2762" s="13" t="n"/>
    </row>
    <row r="2763">
      <c r="A2763" s="3" t="inlineStr">
        <is>
          <t>PushOffDrive</t>
        </is>
      </c>
      <c r="B2763" s="3" t="inlineStr">
        <is>
          <t>Act_POD_1010002_024340_613</t>
        </is>
      </c>
      <c r="C2763" s="3" t="inlineStr">
        <is>
          <t>1010002</t>
        </is>
      </c>
      <c r="D2763" s="9" t="n">
        <v>15.7</v>
      </c>
      <c r="E2763" s="3" t="inlineStr">
        <is>
          <t>703</t>
        </is>
      </c>
      <c r="F2763" s="3" t="inlineStr">
        <is>
          <t>613</t>
        </is>
      </c>
      <c r="G2763" s="9" t="n">
        <v>297.43</v>
      </c>
      <c r="H2763" s="10" t="n">
        <v>45670.1136574074</v>
      </c>
      <c r="I2763" s="10" t="n">
        <v>45670.1136574074</v>
      </c>
      <c r="J2763" s="10" t="n">
        <v>45670.11494212963</v>
      </c>
      <c r="K2763" s="11" t="n">
        <v>0.001284722222222222</v>
      </c>
      <c r="L2763" s="13" t="n"/>
    </row>
    <row r="2764">
      <c r="A2764" s="3" t="inlineStr">
        <is>
          <t>PushOffDrive</t>
        </is>
      </c>
      <c r="B2764" s="3" t="inlineStr">
        <is>
          <t>Act_POD_1010101_044037_625</t>
        </is>
      </c>
      <c r="C2764" s="3" t="inlineStr">
        <is>
          <t>1010101</t>
        </is>
      </c>
      <c r="D2764" s="9" t="n">
        <v>301.2</v>
      </c>
      <c r="E2764" s="3" t="inlineStr">
        <is>
          <t>703</t>
        </is>
      </c>
      <c r="F2764" s="3" t="inlineStr">
        <is>
          <t>625</t>
        </is>
      </c>
      <c r="G2764" s="9" t="n">
        <v>477.75</v>
      </c>
      <c r="H2764" s="10" t="n">
        <v>45670.19487268518</v>
      </c>
      <c r="I2764" s="10" t="n">
        <v>45670.19487268518</v>
      </c>
      <c r="J2764" s="10" t="n">
        <v>45670.19755787037</v>
      </c>
      <c r="K2764" s="11" t="n">
        <v>0.002685185185185185</v>
      </c>
      <c r="L2764" s="13" t="n"/>
    </row>
    <row r="2765">
      <c r="A2765" s="3" t="inlineStr">
        <is>
          <t>PushOffDrive</t>
        </is>
      </c>
      <c r="B2765" s="3" t="inlineStr">
        <is>
          <t>Act_POD_1010201_061649_625</t>
        </is>
      </c>
      <c r="C2765" s="3" t="inlineStr">
        <is>
          <t>1010201</t>
        </is>
      </c>
      <c r="D2765" s="9" t="n">
        <v>298</v>
      </c>
      <c r="E2765" s="3" t="inlineStr">
        <is>
          <t>703</t>
        </is>
      </c>
      <c r="F2765" s="3" t="inlineStr">
        <is>
          <t>625</t>
        </is>
      </c>
      <c r="G2765" s="9" t="n">
        <v>477.75</v>
      </c>
      <c r="H2765" s="10" t="n">
        <v>45670.26167824074</v>
      </c>
      <c r="I2765" s="10" t="n">
        <v>45670.26167824074</v>
      </c>
      <c r="J2765" s="10" t="n">
        <v>45670.26436342593</v>
      </c>
      <c r="K2765" s="11" t="n">
        <v>0.002685185185185185</v>
      </c>
      <c r="L2765" s="13" t="n"/>
    </row>
    <row r="2766">
      <c r="A2766" s="3" t="inlineStr">
        <is>
          <t>PushOffDrive</t>
        </is>
      </c>
      <c r="B2766" s="3" t="inlineStr">
        <is>
          <t>Act_POD_1010301_071248_605</t>
        </is>
      </c>
      <c r="C2766" s="3" t="inlineStr">
        <is>
          <t>1010301</t>
        </is>
      </c>
      <c r="D2766" s="9" t="n">
        <v>205.5</v>
      </c>
      <c r="E2766" s="3" t="inlineStr">
        <is>
          <t>703</t>
        </is>
      </c>
      <c r="F2766" s="3" t="inlineStr">
        <is>
          <t>605</t>
        </is>
      </c>
      <c r="G2766" s="9" t="n">
        <v>405.43</v>
      </c>
      <c r="H2766" s="10" t="n">
        <v>45670.30055555556</v>
      </c>
      <c r="I2766" s="10" t="n">
        <v>45670.30055555556</v>
      </c>
      <c r="J2766" s="10" t="n">
        <v>45670.30271990741</v>
      </c>
      <c r="K2766" s="11" t="n">
        <v>0.002164351851851852</v>
      </c>
      <c r="L2766" s="13" t="n"/>
    </row>
    <row r="2767">
      <c r="A2767" s="3" t="inlineStr">
        <is>
          <t>PushOffDrive</t>
        </is>
      </c>
      <c r="B2767" s="3" t="inlineStr">
        <is>
          <t>Act_POD_1010401_072752_619</t>
        </is>
      </c>
      <c r="C2767" s="3" t="inlineStr">
        <is>
          <t>1010401</t>
        </is>
      </c>
      <c r="D2767" s="9" t="n">
        <v>397.3</v>
      </c>
      <c r="E2767" s="3" t="inlineStr">
        <is>
          <t>727</t>
        </is>
      </c>
      <c r="F2767" s="3" t="inlineStr">
        <is>
          <t>619</t>
        </is>
      </c>
      <c r="G2767" s="9" t="n">
        <v>453.13</v>
      </c>
      <c r="H2767" s="10" t="n">
        <v>45670.31101851852</v>
      </c>
      <c r="I2767" s="10" t="n">
        <v>45670.31101851852</v>
      </c>
      <c r="J2767" s="10" t="n">
        <v>45670.31383101852</v>
      </c>
      <c r="K2767" s="11" t="n">
        <v>0.0028125</v>
      </c>
      <c r="L2767" s="13" t="n"/>
    </row>
    <row r="2768">
      <c r="A2768" s="3" t="inlineStr">
        <is>
          <t>PushOffDrive</t>
        </is>
      </c>
      <c r="B2768" s="3" t="inlineStr">
        <is>
          <t>Act_POD_1010501_075338_607</t>
        </is>
      </c>
      <c r="C2768" s="3" t="inlineStr">
        <is>
          <t>1010501</t>
        </is>
      </c>
      <c r="D2768" s="9" t="n">
        <v>15.7</v>
      </c>
      <c r="E2768" s="3" t="inlineStr">
        <is>
          <t>703</t>
        </is>
      </c>
      <c r="F2768" s="3" t="inlineStr">
        <is>
          <t>607</t>
        </is>
      </c>
      <c r="G2768" s="9" t="n">
        <v>378.4</v>
      </c>
      <c r="H2768" s="10" t="n">
        <v>45670.32891203704</v>
      </c>
      <c r="I2768" s="10" t="n">
        <v>45670.32891203704</v>
      </c>
      <c r="J2768" s="10" t="n">
        <v>45670.33052083333</v>
      </c>
      <c r="K2768" s="11" t="n">
        <v>0.001608796296296296</v>
      </c>
      <c r="L2768" s="13" t="n"/>
    </row>
    <row r="2769">
      <c r="A2769" s="3" t="inlineStr">
        <is>
          <t>PushOffDrive</t>
        </is>
      </c>
      <c r="B2769" s="3" t="inlineStr">
        <is>
          <t>Act_POD_1010502_075557_611</t>
        </is>
      </c>
      <c r="C2769" s="3" t="inlineStr">
        <is>
          <t>1010502</t>
        </is>
      </c>
      <c r="D2769" s="9" t="n">
        <v>70.5</v>
      </c>
      <c r="E2769" s="3" t="inlineStr">
        <is>
          <t>703</t>
        </is>
      </c>
      <c r="F2769" s="3" t="inlineStr">
        <is>
          <t>611</t>
        </is>
      </c>
      <c r="G2769" s="9" t="n">
        <v>324.35</v>
      </c>
      <c r="H2769" s="10" t="n">
        <v>45670.33052083333</v>
      </c>
      <c r="I2769" s="10" t="n">
        <v>45670.33052083333</v>
      </c>
      <c r="J2769" s="10" t="n">
        <v>45670.33203703703</v>
      </c>
      <c r="K2769" s="11" t="n">
        <v>0.001516203703703704</v>
      </c>
      <c r="L2769" s="13" t="n"/>
    </row>
    <row r="2770">
      <c r="A2770" s="3" t="inlineStr">
        <is>
          <t>PushOffDrive</t>
        </is>
      </c>
      <c r="B2770" s="3" t="inlineStr">
        <is>
          <t>Act_POD_1010503_075808_613</t>
        </is>
      </c>
      <c r="C2770" s="3" t="inlineStr">
        <is>
          <t>1010503</t>
        </is>
      </c>
      <c r="D2770" s="9" t="n">
        <v>23.2</v>
      </c>
      <c r="E2770" s="3" t="inlineStr">
        <is>
          <t>703</t>
        </is>
      </c>
      <c r="F2770" s="3" t="inlineStr">
        <is>
          <t>613</t>
        </is>
      </c>
      <c r="G2770" s="9" t="n">
        <v>297.43</v>
      </c>
      <c r="H2770" s="10" t="n">
        <v>45670.33203703703</v>
      </c>
      <c r="I2770" s="10" t="n">
        <v>45670.33203703703</v>
      </c>
      <c r="J2770" s="10" t="n">
        <v>45670.33333333334</v>
      </c>
      <c r="K2770" s="11" t="n">
        <v>0.001296296296296296</v>
      </c>
      <c r="L2770" s="13" t="n"/>
    </row>
    <row r="2771">
      <c r="A2771" s="3" t="inlineStr">
        <is>
          <t>PushOffDrive</t>
        </is>
      </c>
      <c r="B2771" s="3" t="inlineStr">
        <is>
          <t>Act_POD_1010504_080000_609</t>
        </is>
      </c>
      <c r="C2771" s="3" t="inlineStr">
        <is>
          <t>1010504</t>
        </is>
      </c>
      <c r="D2771" s="9" t="n">
        <v>79.59999999999999</v>
      </c>
      <c r="E2771" s="3" t="inlineStr">
        <is>
          <t>703</t>
        </is>
      </c>
      <c r="F2771" s="3" t="inlineStr">
        <is>
          <t>609</t>
        </is>
      </c>
      <c r="G2771" s="9" t="n">
        <v>350.87</v>
      </c>
      <c r="H2771" s="10" t="n">
        <v>45670.33333333334</v>
      </c>
      <c r="I2771" s="10" t="n">
        <v>45670.33333333334</v>
      </c>
      <c r="J2771" s="10" t="n">
        <v>45670.33497685185</v>
      </c>
      <c r="K2771" s="11" t="n">
        <v>0.001643518518518519</v>
      </c>
      <c r="L2771" s="13" t="n"/>
    </row>
    <row r="2772">
      <c r="A2772" s="3" t="inlineStr">
        <is>
          <t>PushOffDrive</t>
        </is>
      </c>
      <c r="B2772" s="3" t="inlineStr">
        <is>
          <t>Act_POD_1010505_080222_621</t>
        </is>
      </c>
      <c r="C2772" s="3" t="inlineStr">
        <is>
          <t>1010505</t>
        </is>
      </c>
      <c r="D2772" s="9" t="n">
        <v>31.5</v>
      </c>
      <c r="E2772" s="3" t="inlineStr">
        <is>
          <t>703</t>
        </is>
      </c>
      <c r="F2772" s="3" t="inlineStr">
        <is>
          <t>621</t>
        </is>
      </c>
      <c r="G2772" s="9" t="n">
        <v>459.96</v>
      </c>
      <c r="H2772" s="10" t="n">
        <v>45670.33497685185</v>
      </c>
      <c r="I2772" s="10" t="n">
        <v>45670.33497685185</v>
      </c>
      <c r="J2772" s="10" t="n">
        <v>45670.33696759259</v>
      </c>
      <c r="K2772" s="11" t="n">
        <v>0.001990740740740741</v>
      </c>
      <c r="L2772" s="13" t="n"/>
    </row>
    <row r="2773">
      <c r="A2773" s="3" t="inlineStr">
        <is>
          <t>PushOffDrive</t>
        </is>
      </c>
      <c r="B2773" s="3" t="inlineStr">
        <is>
          <t>Act_POD_1010506_080514_605</t>
        </is>
      </c>
      <c r="C2773" s="3" t="inlineStr">
        <is>
          <t>1010506</t>
        </is>
      </c>
      <c r="D2773" s="9" t="n">
        <v>19.9</v>
      </c>
      <c r="E2773" s="3" t="inlineStr">
        <is>
          <t>703</t>
        </is>
      </c>
      <c r="F2773" s="3" t="inlineStr">
        <is>
          <t>605</t>
        </is>
      </c>
      <c r="G2773" s="9" t="n">
        <v>405.43</v>
      </c>
      <c r="H2773" s="10" t="n">
        <v>45670.33696759259</v>
      </c>
      <c r="I2773" s="10" t="n">
        <v>45670.33696759259</v>
      </c>
      <c r="J2773" s="10" t="n">
        <v>45670.3387037037</v>
      </c>
      <c r="K2773" s="11" t="n">
        <v>0.001736111111111111</v>
      </c>
      <c r="L2773" s="13" t="n"/>
    </row>
    <row r="2774">
      <c r="A2774" s="3" t="inlineStr">
        <is>
          <t>PushOffDrive</t>
        </is>
      </c>
      <c r="B2774" s="3" t="inlineStr">
        <is>
          <t>Act_POD_1010507_080744_606</t>
        </is>
      </c>
      <c r="C2774" s="3" t="inlineStr">
        <is>
          <t>1010507</t>
        </is>
      </c>
      <c r="D2774" s="9" t="n">
        <v>27</v>
      </c>
      <c r="E2774" s="3" t="inlineStr">
        <is>
          <t>703</t>
        </is>
      </c>
      <c r="F2774" s="3" t="inlineStr">
        <is>
          <t>606</t>
        </is>
      </c>
      <c r="G2774" s="9" t="n">
        <v>405.03</v>
      </c>
      <c r="H2774" s="10" t="n">
        <v>45670.3387037037</v>
      </c>
      <c r="I2774" s="10" t="n">
        <v>45670.3387037037</v>
      </c>
      <c r="J2774" s="10" t="n">
        <v>45670.34045138889</v>
      </c>
      <c r="K2774" s="11" t="n">
        <v>0.001747685185185185</v>
      </c>
      <c r="L2774" s="13" t="n"/>
    </row>
    <row r="2775">
      <c r="A2775" s="3" t="inlineStr">
        <is>
          <t>PushOffDrive</t>
        </is>
      </c>
      <c r="B2775" s="3" t="inlineStr">
        <is>
          <t>Act_POD_1010508_081015_629</t>
        </is>
      </c>
      <c r="C2775" s="3" t="inlineStr">
        <is>
          <t>1010508</t>
        </is>
      </c>
      <c r="D2775" s="9" t="n">
        <v>16.5</v>
      </c>
      <c r="E2775" s="3" t="inlineStr">
        <is>
          <t>703</t>
        </is>
      </c>
      <c r="F2775" s="3" t="inlineStr">
        <is>
          <t>629</t>
        </is>
      </c>
      <c r="G2775" s="9" t="n">
        <v>450.42</v>
      </c>
      <c r="H2775" s="10" t="n">
        <v>45670.34045138889</v>
      </c>
      <c r="I2775" s="10" t="n">
        <v>45670.34045138889</v>
      </c>
      <c r="J2775" s="10" t="n">
        <v>45670.34236111111</v>
      </c>
      <c r="K2775" s="11" t="n">
        <v>0.001909722222222222</v>
      </c>
      <c r="L2775" s="13" t="n"/>
    </row>
    <row r="2776">
      <c r="A2776" s="3" t="inlineStr">
        <is>
          <t>PushOffDrive</t>
        </is>
      </c>
      <c r="B2776" s="3" t="inlineStr">
        <is>
          <t>Act_POD_1010509_081300_611</t>
        </is>
      </c>
      <c r="C2776" s="3" t="inlineStr">
        <is>
          <t>1010509</t>
        </is>
      </c>
      <c r="D2776" s="9" t="n">
        <v>23.2</v>
      </c>
      <c r="E2776" s="3" t="inlineStr">
        <is>
          <t>703</t>
        </is>
      </c>
      <c r="F2776" s="3" t="inlineStr">
        <is>
          <t>611</t>
        </is>
      </c>
      <c r="G2776" s="9" t="n">
        <v>324.35</v>
      </c>
      <c r="H2776" s="10" t="n">
        <v>45670.34236111111</v>
      </c>
      <c r="I2776" s="10" t="n">
        <v>45670.34236111111</v>
      </c>
      <c r="J2776" s="10" t="n">
        <v>45670.34377314815</v>
      </c>
      <c r="K2776" s="11" t="n">
        <v>0.001412037037037037</v>
      </c>
      <c r="L2776" s="13" t="n"/>
    </row>
    <row r="2777">
      <c r="A2777" s="3" t="inlineStr">
        <is>
          <t>PushOffDrive</t>
        </is>
      </c>
      <c r="B2777" s="3" t="inlineStr">
        <is>
          <t>Act_POD_1010510_081502_606</t>
        </is>
      </c>
      <c r="C2777" s="3" t="inlineStr">
        <is>
          <t>1010510</t>
        </is>
      </c>
      <c r="D2777" s="9" t="n">
        <v>108</v>
      </c>
      <c r="E2777" s="3" t="inlineStr">
        <is>
          <t>703</t>
        </is>
      </c>
      <c r="F2777" s="3" t="inlineStr">
        <is>
          <t>606</t>
        </is>
      </c>
      <c r="G2777" s="9" t="n">
        <v>405.03</v>
      </c>
      <c r="H2777" s="10" t="n">
        <v>45670.34377314815</v>
      </c>
      <c r="I2777" s="10" t="n">
        <v>45670.34377314815</v>
      </c>
      <c r="J2777" s="10" t="n">
        <v>45670.34570601852</v>
      </c>
      <c r="K2777" s="11" t="n">
        <v>0.00193287037037037</v>
      </c>
      <c r="L2777" s="13" t="n"/>
    </row>
    <row r="2778">
      <c r="A2778" s="3" t="inlineStr">
        <is>
          <t>PushOffDrive</t>
        </is>
      </c>
      <c r="B2778" s="3" t="inlineStr">
        <is>
          <t>Act_POD_1010511_081749_623</t>
        </is>
      </c>
      <c r="C2778" s="3" t="inlineStr">
        <is>
          <t>1010511</t>
        </is>
      </c>
      <c r="D2778" s="9" t="n">
        <v>15.7</v>
      </c>
      <c r="E2778" s="3" t="inlineStr">
        <is>
          <t>703</t>
        </is>
      </c>
      <c r="F2778" s="3" t="inlineStr">
        <is>
          <t>623</t>
        </is>
      </c>
      <c r="G2778" s="9" t="n">
        <v>412.05</v>
      </c>
      <c r="H2778" s="10" t="n">
        <v>45670.34570601852</v>
      </c>
      <c r="I2778" s="10" t="n">
        <v>45670.34570601852</v>
      </c>
      <c r="J2778" s="10" t="n">
        <v>45670.34746527778</v>
      </c>
      <c r="K2778" s="11" t="n">
        <v>0.001759259259259259</v>
      </c>
      <c r="L2778" s="13" t="n"/>
    </row>
    <row r="2779">
      <c r="A2779" s="3" t="inlineStr">
        <is>
          <t>PushOffDrive</t>
        </is>
      </c>
      <c r="B2779" s="3" t="inlineStr">
        <is>
          <t>Act_POD_1010512_082021_605</t>
        </is>
      </c>
      <c r="C2779" s="3" t="inlineStr">
        <is>
          <t>1010512</t>
        </is>
      </c>
      <c r="D2779" s="9" t="n">
        <v>23.2</v>
      </c>
      <c r="E2779" s="3" t="inlineStr">
        <is>
          <t>703</t>
        </is>
      </c>
      <c r="F2779" s="3" t="inlineStr">
        <is>
          <t>605</t>
        </is>
      </c>
      <c r="G2779" s="9" t="n">
        <v>405.43</v>
      </c>
      <c r="H2779" s="10" t="n">
        <v>45670.34746527778</v>
      </c>
      <c r="I2779" s="10" t="n">
        <v>45670.34746527778</v>
      </c>
      <c r="J2779" s="10" t="n">
        <v>45670.34920138889</v>
      </c>
      <c r="K2779" s="11" t="n">
        <v>0.001736111111111111</v>
      </c>
      <c r="L2779" s="13" t="n"/>
    </row>
    <row r="2780">
      <c r="A2780" s="3" t="inlineStr">
        <is>
          <t>PushOffDrive</t>
        </is>
      </c>
      <c r="B2780" s="3" t="inlineStr">
        <is>
          <t>Act_POD_1010513_082251_615</t>
        </is>
      </c>
      <c r="C2780" s="3" t="inlineStr">
        <is>
          <t>1010513</t>
        </is>
      </c>
      <c r="D2780" s="9" t="n">
        <v>19.9</v>
      </c>
      <c r="E2780" s="3" t="inlineStr">
        <is>
          <t>703</t>
        </is>
      </c>
      <c r="F2780" s="3" t="inlineStr">
        <is>
          <t>615</t>
        </is>
      </c>
      <c r="G2780" s="9" t="n">
        <v>269.92</v>
      </c>
      <c r="H2780" s="10" t="n">
        <v>45670.34920138889</v>
      </c>
      <c r="I2780" s="10" t="n">
        <v>45670.34920138889</v>
      </c>
      <c r="J2780" s="10" t="n">
        <v>45670.35038194444</v>
      </c>
      <c r="K2780" s="11" t="n">
        <v>0.001180555555555556</v>
      </c>
      <c r="L2780" s="13" t="n"/>
    </row>
    <row r="2781">
      <c r="A2781" s="3" t="inlineStr">
        <is>
          <t>PushOffDrive</t>
        </is>
      </c>
      <c r="B2781" s="3" t="inlineStr">
        <is>
          <t>Act_POD_1010514_082433_613</t>
        </is>
      </c>
      <c r="C2781" s="3" t="inlineStr">
        <is>
          <t>1010514</t>
        </is>
      </c>
      <c r="D2781" s="9" t="n">
        <v>23.2</v>
      </c>
      <c r="E2781" s="3" t="inlineStr">
        <is>
          <t>703</t>
        </is>
      </c>
      <c r="F2781" s="3" t="inlineStr">
        <is>
          <t>613</t>
        </is>
      </c>
      <c r="G2781" s="9" t="n">
        <v>297.43</v>
      </c>
      <c r="H2781" s="10" t="n">
        <v>45670.35038194444</v>
      </c>
      <c r="I2781" s="10" t="n">
        <v>45670.35038194444</v>
      </c>
      <c r="J2781" s="10" t="n">
        <v>45670.35166666667</v>
      </c>
      <c r="K2781" s="11" t="n">
        <v>0.001284722222222222</v>
      </c>
      <c r="L2781" s="13" t="n"/>
    </row>
    <row r="2782">
      <c r="A2782" s="3" t="inlineStr">
        <is>
          <t>PushOffDrive</t>
        </is>
      </c>
      <c r="B2782" s="3" t="inlineStr">
        <is>
          <t>Act_POD_1010601_091445_625</t>
        </is>
      </c>
      <c r="C2782" s="3" t="inlineStr">
        <is>
          <t>1010601</t>
        </is>
      </c>
      <c r="D2782" s="9" t="n">
        <v>279</v>
      </c>
      <c r="E2782" s="3" t="inlineStr">
        <is>
          <t>703</t>
        </is>
      </c>
      <c r="F2782" s="3" t="inlineStr">
        <is>
          <t>625</t>
        </is>
      </c>
      <c r="G2782" s="9" t="n">
        <v>477.75</v>
      </c>
      <c r="H2782" s="10" t="n">
        <v>45670.38524305556</v>
      </c>
      <c r="I2782" s="10" t="n">
        <v>45670.38524305556</v>
      </c>
      <c r="J2782" s="10" t="n">
        <v>45670.38788194444</v>
      </c>
      <c r="K2782" s="11" t="n">
        <v>0.002638888888888889</v>
      </c>
      <c r="L2782" s="13" t="n"/>
    </row>
    <row r="2783">
      <c r="A2783" s="3" t="inlineStr">
        <is>
          <t>PushOffDrive</t>
        </is>
      </c>
      <c r="B2783" s="3" t="inlineStr">
        <is>
          <t>Act_POD_1010602_091833_617</t>
        </is>
      </c>
      <c r="C2783" s="3" t="inlineStr">
        <is>
          <t>1010602</t>
        </is>
      </c>
      <c r="D2783" s="9" t="n">
        <v>114.8</v>
      </c>
      <c r="E2783" s="3" t="inlineStr">
        <is>
          <t>703</t>
        </is>
      </c>
      <c r="F2783" s="3" t="inlineStr">
        <is>
          <t>617</t>
        </is>
      </c>
      <c r="G2783" s="9" t="n">
        <v>299.11</v>
      </c>
      <c r="H2783" s="10" t="n">
        <v>45670.38788194444</v>
      </c>
      <c r="I2783" s="10" t="n">
        <v>45670.38788194444</v>
      </c>
      <c r="J2783" s="10" t="n">
        <v>45670.38938657408</v>
      </c>
      <c r="K2783" s="11" t="n">
        <v>0.00150462962962963</v>
      </c>
      <c r="L2783" s="13" t="n"/>
    </row>
    <row r="2784">
      <c r="A2784" s="3" t="inlineStr">
        <is>
          <t>PushOffDrive</t>
        </is>
      </c>
      <c r="B2784" s="3" t="inlineStr">
        <is>
          <t>Act_POD_1010701_092900_627</t>
        </is>
      </c>
      <c r="C2784" s="3" t="inlineStr">
        <is>
          <t>1010701</t>
        </is>
      </c>
      <c r="D2784" s="9" t="n">
        <v>14</v>
      </c>
      <c r="E2784" s="3" t="inlineStr">
        <is>
          <t>727</t>
        </is>
      </c>
      <c r="F2784" s="3" t="inlineStr">
        <is>
          <t>627</t>
        </is>
      </c>
      <c r="G2784" s="9" t="n">
        <v>443.59</v>
      </c>
      <c r="H2784" s="10" t="n">
        <v>45670.39513888889</v>
      </c>
      <c r="I2784" s="10" t="n">
        <v>45670.39513888889</v>
      </c>
      <c r="J2784" s="10" t="n">
        <v>45670.39702546296</v>
      </c>
      <c r="K2784" s="11" t="n">
        <v>0.001886574074074074</v>
      </c>
      <c r="L2784" s="13" t="n"/>
    </row>
    <row r="2785">
      <c r="A2785" s="3" t="inlineStr">
        <is>
          <t>PushOffDrive</t>
        </is>
      </c>
      <c r="B2785" s="3" t="inlineStr">
        <is>
          <t>Act_POD_1010702_093143_615</t>
        </is>
      </c>
      <c r="C2785" s="3" t="inlineStr">
        <is>
          <t>1010702</t>
        </is>
      </c>
      <c r="D2785" s="9" t="n">
        <v>21</v>
      </c>
      <c r="E2785" s="3" t="inlineStr">
        <is>
          <t>727</t>
        </is>
      </c>
      <c r="F2785" s="3" t="inlineStr">
        <is>
          <t>615</t>
        </is>
      </c>
      <c r="G2785" s="9" t="n">
        <v>263.09</v>
      </c>
      <c r="H2785" s="10" t="n">
        <v>45670.39702546296</v>
      </c>
      <c r="I2785" s="10" t="n">
        <v>45670.39702546296</v>
      </c>
      <c r="J2785" s="10" t="n">
        <v>45670.3981712963</v>
      </c>
      <c r="K2785" s="11" t="n">
        <v>0.001145833333333333</v>
      </c>
      <c r="L2785" s="13" t="n"/>
    </row>
    <row r="2786">
      <c r="A2786" s="3" t="inlineStr">
        <is>
          <t>PushOffDrive</t>
        </is>
      </c>
      <c r="B2786" s="3" t="inlineStr">
        <is>
          <t>Act_POD_1010703_093322_613</t>
        </is>
      </c>
      <c r="C2786" s="3" t="inlineStr">
        <is>
          <t>1010703</t>
        </is>
      </c>
      <c r="D2786" s="9" t="n">
        <v>63</v>
      </c>
      <c r="E2786" s="3" t="inlineStr">
        <is>
          <t>727</t>
        </is>
      </c>
      <c r="F2786" s="3" t="inlineStr">
        <is>
          <t>613</t>
        </is>
      </c>
      <c r="G2786" s="9" t="n">
        <v>290.6</v>
      </c>
      <c r="H2786" s="10" t="n">
        <v>45670.3981712963</v>
      </c>
      <c r="I2786" s="10" t="n">
        <v>45670.3981712963</v>
      </c>
      <c r="J2786" s="10" t="n">
        <v>45670.39952546296</v>
      </c>
      <c r="K2786" s="11" t="n">
        <v>0.001354166666666667</v>
      </c>
      <c r="L2786" s="13" t="n"/>
    </row>
    <row r="2787">
      <c r="A2787" s="3" t="inlineStr">
        <is>
          <t>PushOffDrive</t>
        </is>
      </c>
      <c r="B2787" s="3" t="inlineStr">
        <is>
          <t>Act_POD_1010704_093519_605</t>
        </is>
      </c>
      <c r="C2787" s="3" t="inlineStr">
        <is>
          <t>1010704</t>
        </is>
      </c>
      <c r="D2787" s="9" t="n">
        <v>15.7</v>
      </c>
      <c r="E2787" s="3" t="inlineStr">
        <is>
          <t>727</t>
        </is>
      </c>
      <c r="F2787" s="3" t="inlineStr">
        <is>
          <t>605</t>
        </is>
      </c>
      <c r="G2787" s="9" t="n">
        <v>398.6</v>
      </c>
      <c r="H2787" s="10" t="n">
        <v>45670.39952546296</v>
      </c>
      <c r="I2787" s="10" t="n">
        <v>45670.39952546296</v>
      </c>
      <c r="J2787" s="10" t="n">
        <v>45670.40121527778</v>
      </c>
      <c r="K2787" s="11" t="n">
        <v>0.001689814814814815</v>
      </c>
      <c r="L2787" s="13" t="n"/>
    </row>
    <row r="2788">
      <c r="A2788" s="3" t="inlineStr">
        <is>
          <t>PushOffDrive</t>
        </is>
      </c>
      <c r="B2788" s="3" t="inlineStr">
        <is>
          <t>Act_POD_1010705_093745_615</t>
        </is>
      </c>
      <c r="C2788" s="3" t="inlineStr">
        <is>
          <t>1010705</t>
        </is>
      </c>
      <c r="D2788" s="9" t="n">
        <v>19.9</v>
      </c>
      <c r="E2788" s="3" t="inlineStr">
        <is>
          <t>727</t>
        </is>
      </c>
      <c r="F2788" s="3" t="inlineStr">
        <is>
          <t>615</t>
        </is>
      </c>
      <c r="G2788" s="9" t="n">
        <v>263.09</v>
      </c>
      <c r="H2788" s="10" t="n">
        <v>45670.40121527778</v>
      </c>
      <c r="I2788" s="10" t="n">
        <v>45670.40121527778</v>
      </c>
      <c r="J2788" s="10" t="n">
        <v>45670.40236111111</v>
      </c>
      <c r="K2788" s="11" t="n">
        <v>0.001145833333333333</v>
      </c>
      <c r="L2788" s="13" t="n"/>
    </row>
    <row r="2789">
      <c r="A2789" s="3" t="inlineStr">
        <is>
          <t>PushOffDrive</t>
        </is>
      </c>
      <c r="B2789" s="3" t="inlineStr">
        <is>
          <t>Act_POD_1010706_093924_617</t>
        </is>
      </c>
      <c r="C2789" s="3" t="inlineStr">
        <is>
          <t>1010706</t>
        </is>
      </c>
      <c r="D2789" s="9" t="n">
        <v>12</v>
      </c>
      <c r="E2789" s="3" t="inlineStr">
        <is>
          <t>727</t>
        </is>
      </c>
      <c r="F2789" s="3" t="inlineStr">
        <is>
          <t>617</t>
        </is>
      </c>
      <c r="G2789" s="9" t="n">
        <v>292.28</v>
      </c>
      <c r="H2789" s="10" t="n">
        <v>45670.40236111111</v>
      </c>
      <c r="I2789" s="10" t="n">
        <v>45670.40236111111</v>
      </c>
      <c r="J2789" s="10" t="n">
        <v>45670.40361111111</v>
      </c>
      <c r="K2789" s="11" t="n">
        <v>0.00125</v>
      </c>
      <c r="L2789" s="13" t="n"/>
    </row>
    <row r="2790">
      <c r="A2790" s="3" t="inlineStr">
        <is>
          <t>PushOffDrive</t>
        </is>
      </c>
      <c r="B2790" s="3" t="inlineStr">
        <is>
          <t>Act_POD_1010707_094112_611</t>
        </is>
      </c>
      <c r="C2790" s="3" t="inlineStr">
        <is>
          <t>1010707</t>
        </is>
      </c>
      <c r="D2790" s="9" t="n">
        <v>124.4</v>
      </c>
      <c r="E2790" s="3" t="inlineStr">
        <is>
          <t>727</t>
        </is>
      </c>
      <c r="F2790" s="3" t="inlineStr">
        <is>
          <t>611</t>
        </is>
      </c>
      <c r="G2790" s="9" t="n">
        <v>317.52</v>
      </c>
      <c r="H2790" s="10" t="n">
        <v>45670.40361111111</v>
      </c>
      <c r="I2790" s="10" t="n">
        <v>45670.40361111111</v>
      </c>
      <c r="J2790" s="10" t="n">
        <v>45670.40521990741</v>
      </c>
      <c r="K2790" s="11" t="n">
        <v>0.001608796296296296</v>
      </c>
      <c r="L2790" s="13" t="n"/>
    </row>
    <row r="2791">
      <c r="A2791" s="3" t="inlineStr">
        <is>
          <t>PushOffDrive</t>
        </is>
      </c>
      <c r="B2791" s="3" t="inlineStr">
        <is>
          <t>Act_POD_1010708_094331_605</t>
        </is>
      </c>
      <c r="C2791" s="3" t="inlineStr">
        <is>
          <t>1010708</t>
        </is>
      </c>
      <c r="D2791" s="9" t="n">
        <v>108</v>
      </c>
      <c r="E2791" s="3" t="inlineStr">
        <is>
          <t>727</t>
        </is>
      </c>
      <c r="F2791" s="3" t="inlineStr">
        <is>
          <t>605</t>
        </is>
      </c>
      <c r="G2791" s="9" t="n">
        <v>398.6</v>
      </c>
      <c r="H2791" s="10" t="n">
        <v>45670.40521990741</v>
      </c>
      <c r="I2791" s="10" t="n">
        <v>45670.40521990741</v>
      </c>
      <c r="J2791" s="10" t="n">
        <v>45670.40712962963</v>
      </c>
      <c r="K2791" s="11" t="n">
        <v>0.001909722222222222</v>
      </c>
      <c r="L2791" s="13" t="n"/>
    </row>
    <row r="2792">
      <c r="A2792" s="3" t="inlineStr">
        <is>
          <t>PushOffDrive</t>
        </is>
      </c>
      <c r="B2792" s="3" t="inlineStr">
        <is>
          <t>Act_POD_1010709_094616_629</t>
        </is>
      </c>
      <c r="C2792" s="3" t="inlineStr">
        <is>
          <t>1010709</t>
        </is>
      </c>
      <c r="D2792" s="9" t="n">
        <v>19.9</v>
      </c>
      <c r="E2792" s="3" t="inlineStr">
        <is>
          <t>727</t>
        </is>
      </c>
      <c r="F2792" s="3" t="inlineStr">
        <is>
          <t>629</t>
        </is>
      </c>
      <c r="G2792" s="9" t="n">
        <v>443.59</v>
      </c>
      <c r="H2792" s="10" t="n">
        <v>45670.40712962963</v>
      </c>
      <c r="I2792" s="10" t="n">
        <v>45670.40712962963</v>
      </c>
      <c r="J2792" s="10" t="n">
        <v>45670.40902777778</v>
      </c>
      <c r="K2792" s="11" t="n">
        <v>0.001898148148148148</v>
      </c>
      <c r="L2792" s="13" t="n"/>
    </row>
    <row r="2793">
      <c r="A2793" s="3" t="inlineStr">
        <is>
          <t>PushOffDrive</t>
        </is>
      </c>
      <c r="B2793" s="3" t="inlineStr">
        <is>
          <t>Act_POD_1010710_094900_621</t>
        </is>
      </c>
      <c r="C2793" s="3" t="inlineStr">
        <is>
          <t>1010710</t>
        </is>
      </c>
      <c r="D2793" s="9" t="n">
        <v>47.2</v>
      </c>
      <c r="E2793" s="3" t="inlineStr">
        <is>
          <t>727</t>
        </is>
      </c>
      <c r="F2793" s="3" t="inlineStr">
        <is>
          <t>621</t>
        </is>
      </c>
      <c r="G2793" s="9" t="n">
        <v>453.13</v>
      </c>
      <c r="H2793" s="10" t="n">
        <v>45670.40902777778</v>
      </c>
      <c r="I2793" s="10" t="n">
        <v>45670.40902777778</v>
      </c>
      <c r="J2793" s="10" t="n">
        <v>45670.41101851852</v>
      </c>
      <c r="K2793" s="11" t="n">
        <v>0.001990740740740741</v>
      </c>
      <c r="L2793" s="13" t="n"/>
    </row>
    <row r="2794">
      <c r="A2794" s="3" t="inlineStr">
        <is>
          <t>PushOffDrive</t>
        </is>
      </c>
      <c r="B2794" s="3" t="inlineStr">
        <is>
          <t>Act_POD_1010801_102024_619</t>
        </is>
      </c>
      <c r="C2794" s="3" t="inlineStr">
        <is>
          <t>1010801</t>
        </is>
      </c>
      <c r="D2794" s="9" t="n">
        <v>267.5</v>
      </c>
      <c r="E2794" s="3" t="inlineStr">
        <is>
          <t>703</t>
        </is>
      </c>
      <c r="F2794" s="3" t="inlineStr">
        <is>
          <t>619</t>
        </is>
      </c>
      <c r="G2794" s="9" t="n">
        <v>459.96</v>
      </c>
      <c r="H2794" s="10" t="n">
        <v>45670.43083333333</v>
      </c>
      <c r="I2794" s="10" t="n">
        <v>45670.43083333333</v>
      </c>
      <c r="J2794" s="10" t="n">
        <v>45670.43336805556</v>
      </c>
      <c r="K2794" s="11" t="n">
        <v>0.002534722222222222</v>
      </c>
      <c r="L2794" s="13" t="n"/>
    </row>
    <row r="2795">
      <c r="A2795" s="3" t="inlineStr">
        <is>
          <t>PushOffDrive</t>
        </is>
      </c>
      <c r="B2795" s="3" t="inlineStr">
        <is>
          <t>Act_POD_1010802_102403_606</t>
        </is>
      </c>
      <c r="C2795" s="3" t="inlineStr">
        <is>
          <t>1010802</t>
        </is>
      </c>
      <c r="D2795" s="9" t="n">
        <v>40.9</v>
      </c>
      <c r="E2795" s="3" t="inlineStr">
        <is>
          <t>703</t>
        </is>
      </c>
      <c r="F2795" s="3" t="inlineStr">
        <is>
          <t>606</t>
        </is>
      </c>
      <c r="G2795" s="9" t="n">
        <v>405.03</v>
      </c>
      <c r="H2795" s="10" t="n">
        <v>45670.43336805556</v>
      </c>
      <c r="I2795" s="10" t="n">
        <v>45670.43336805556</v>
      </c>
      <c r="J2795" s="10" t="n">
        <v>45670.43515046296</v>
      </c>
      <c r="K2795" s="11" t="n">
        <v>0.001782407407407407</v>
      </c>
      <c r="L2795" s="13" t="n"/>
    </row>
    <row r="2796">
      <c r="A2796" s="3" t="inlineStr">
        <is>
          <t>PushOffDrive</t>
        </is>
      </c>
      <c r="B2796" s="3" t="inlineStr">
        <is>
          <t>Act_POD_1010803_102637_617</t>
        </is>
      </c>
      <c r="C2796" s="3" t="inlineStr">
        <is>
          <t>1010803</t>
        </is>
      </c>
      <c r="D2796" s="9" t="n">
        <v>99.5</v>
      </c>
      <c r="E2796" s="3" t="inlineStr">
        <is>
          <t>703</t>
        </is>
      </c>
      <c r="F2796" s="3" t="inlineStr">
        <is>
          <t>617</t>
        </is>
      </c>
      <c r="G2796" s="9" t="n">
        <v>299.11</v>
      </c>
      <c r="H2796" s="10" t="n">
        <v>45670.43515046296</v>
      </c>
      <c r="I2796" s="10" t="n">
        <v>45670.43515046296</v>
      </c>
      <c r="J2796" s="10" t="n">
        <v>45670.43663194445</v>
      </c>
      <c r="K2796" s="11" t="n">
        <v>0.001481481481481481</v>
      </c>
      <c r="L2796" s="13" t="n"/>
    </row>
    <row r="2797">
      <c r="A2797" s="3" t="inlineStr">
        <is>
          <t>PushOffDrive</t>
        </is>
      </c>
      <c r="B2797" s="3" t="inlineStr">
        <is>
          <t>Act_POD_1010901_122731_617</t>
        </is>
      </c>
      <c r="C2797" s="3" t="inlineStr">
        <is>
          <t>1010901</t>
        </is>
      </c>
      <c r="D2797" s="9" t="n">
        <v>234.9</v>
      </c>
      <c r="E2797" s="3" t="inlineStr">
        <is>
          <t>703</t>
        </is>
      </c>
      <c r="F2797" s="3" t="inlineStr">
        <is>
          <t>617</t>
        </is>
      </c>
      <c r="G2797" s="9" t="n">
        <v>299.11</v>
      </c>
      <c r="H2797" s="10" t="n">
        <v>45670.5191087963</v>
      </c>
      <c r="I2797" s="10" t="n">
        <v>45670.5191087963</v>
      </c>
      <c r="J2797" s="10" t="n">
        <v>45670.52090277777</v>
      </c>
      <c r="K2797" s="11" t="n">
        <v>0.001793981481481481</v>
      </c>
      <c r="L2797" s="13" t="n"/>
    </row>
    <row r="2798">
      <c r="A2798" s="3" t="inlineStr">
        <is>
          <t>PushOffDrive</t>
        </is>
      </c>
      <c r="B2798" s="3" t="inlineStr">
        <is>
          <t>Act_POD_1011001_144025_615</t>
        </is>
      </c>
      <c r="C2798" s="3" t="inlineStr">
        <is>
          <t>1011001</t>
        </is>
      </c>
      <c r="D2798" s="9" t="n">
        <v>388.3</v>
      </c>
      <c r="E2798" s="3" t="inlineStr">
        <is>
          <t>703</t>
        </is>
      </c>
      <c r="F2798" s="3" t="inlineStr">
        <is>
          <t>615</t>
        </is>
      </c>
      <c r="G2798" s="9" t="n">
        <v>269.92</v>
      </c>
      <c r="H2798" s="10" t="n">
        <v>45670.61140046296</v>
      </c>
      <c r="I2798" s="10" t="n">
        <v>45670.61140046296</v>
      </c>
      <c r="J2798" s="10" t="n">
        <v>45670.61342592593</v>
      </c>
      <c r="K2798" s="11" t="n">
        <v>0.002025462962962963</v>
      </c>
      <c r="L2798" s="13" t="n"/>
    </row>
    <row r="2799">
      <c r="A2799" s="3" t="inlineStr">
        <is>
          <t>PushOffDrive</t>
        </is>
      </c>
      <c r="B2799" s="3" t="inlineStr">
        <is>
          <t>Act_POD_1011101_151335_613</t>
        </is>
      </c>
      <c r="C2799" s="3" t="inlineStr">
        <is>
          <t>1011101</t>
        </is>
      </c>
      <c r="D2799" s="9" t="n">
        <v>31.5</v>
      </c>
      <c r="E2799" s="3" t="inlineStr">
        <is>
          <t>703</t>
        </is>
      </c>
      <c r="F2799" s="3" t="inlineStr">
        <is>
          <t>613</t>
        </is>
      </c>
      <c r="G2799" s="9" t="n">
        <v>297.43</v>
      </c>
      <c r="H2799" s="10" t="n">
        <v>45670.63443287037</v>
      </c>
      <c r="I2799" s="10" t="n">
        <v>45670.63443287037</v>
      </c>
      <c r="J2799" s="10" t="n">
        <v>45670.63574074074</v>
      </c>
      <c r="K2799" s="11" t="n">
        <v>0.00130787037037037</v>
      </c>
      <c r="L2799" s="13" t="n"/>
    </row>
    <row r="2800">
      <c r="A2800" s="3" t="inlineStr">
        <is>
          <t>PushOffDrive</t>
        </is>
      </c>
      <c r="B2800" s="3" t="inlineStr">
        <is>
          <t>Act_POD_1011102_151528_625</t>
        </is>
      </c>
      <c r="C2800" s="3" t="inlineStr">
        <is>
          <t>1011102</t>
        </is>
      </c>
      <c r="D2800" s="9" t="n">
        <v>81</v>
      </c>
      <c r="E2800" s="3" t="inlineStr">
        <is>
          <t>703</t>
        </is>
      </c>
      <c r="F2800" s="3" t="inlineStr">
        <is>
          <t>625</t>
        </is>
      </c>
      <c r="G2800" s="9" t="n">
        <v>477.75</v>
      </c>
      <c r="H2800" s="10" t="n">
        <v>45670.63574074074</v>
      </c>
      <c r="I2800" s="10" t="n">
        <v>45670.63574074074</v>
      </c>
      <c r="J2800" s="10" t="n">
        <v>45670.63792824074</v>
      </c>
      <c r="K2800" s="11" t="n">
        <v>0.0021875</v>
      </c>
      <c r="L2800" s="13" t="n"/>
    </row>
    <row r="2801">
      <c r="A2801" s="3" t="inlineStr">
        <is>
          <t>PushOffDrive</t>
        </is>
      </c>
      <c r="B2801" s="3" t="inlineStr">
        <is>
          <t>Act_POD_1011103_151837_607</t>
        </is>
      </c>
      <c r="C2801" s="3" t="inlineStr">
        <is>
          <t>1011103</t>
        </is>
      </c>
      <c r="D2801" s="9" t="n">
        <v>47.2</v>
      </c>
      <c r="E2801" s="3" t="inlineStr">
        <is>
          <t>703</t>
        </is>
      </c>
      <c r="F2801" s="3" t="inlineStr">
        <is>
          <t>607</t>
        </is>
      </c>
      <c r="G2801" s="9" t="n">
        <v>378.4</v>
      </c>
      <c r="H2801" s="10" t="n">
        <v>45670.63792824074</v>
      </c>
      <c r="I2801" s="10" t="n">
        <v>45670.63792824074</v>
      </c>
      <c r="J2801" s="10" t="n">
        <v>45670.63960648148</v>
      </c>
      <c r="K2801" s="11" t="n">
        <v>0.001678240740740741</v>
      </c>
      <c r="L2801" s="13" t="n"/>
    </row>
    <row r="2802">
      <c r="A2802" s="3" t="inlineStr">
        <is>
          <t>PushOffDrive</t>
        </is>
      </c>
      <c r="B2802" s="3" t="inlineStr">
        <is>
          <t>Act_POD_1011104_152102_625</t>
        </is>
      </c>
      <c r="C2802" s="3" t="inlineStr">
        <is>
          <t>1011104</t>
        </is>
      </c>
      <c r="D2802" s="9" t="n">
        <v>19.9</v>
      </c>
      <c r="E2802" s="3" t="inlineStr">
        <is>
          <t>703</t>
        </is>
      </c>
      <c r="F2802" s="3" t="inlineStr">
        <is>
          <t>625</t>
        </is>
      </c>
      <c r="G2802" s="9" t="n">
        <v>477.75</v>
      </c>
      <c r="H2802" s="10" t="n">
        <v>45670.63960648148</v>
      </c>
      <c r="I2802" s="10" t="n">
        <v>45670.63960648148</v>
      </c>
      <c r="J2802" s="10" t="n">
        <v>45670.64164351852</v>
      </c>
      <c r="K2802" s="11" t="n">
        <v>0.002037037037037037</v>
      </c>
      <c r="L2802" s="13" t="n"/>
    </row>
    <row r="2803">
      <c r="A2803" s="3" t="inlineStr">
        <is>
          <t>PushOffDrive</t>
        </is>
      </c>
      <c r="B2803" s="3" t="inlineStr">
        <is>
          <t>Act_POD_1011105_152358_623</t>
        </is>
      </c>
      <c r="C2803" s="3" t="inlineStr">
        <is>
          <t>1011105</t>
        </is>
      </c>
      <c r="D2803" s="9" t="n">
        <v>15.7</v>
      </c>
      <c r="E2803" s="3" t="inlineStr">
        <is>
          <t>703</t>
        </is>
      </c>
      <c r="F2803" s="3" t="inlineStr">
        <is>
          <t>623</t>
        </is>
      </c>
      <c r="G2803" s="9" t="n">
        <v>412.05</v>
      </c>
      <c r="H2803" s="10" t="n">
        <v>45670.64164351852</v>
      </c>
      <c r="I2803" s="10" t="n">
        <v>45670.64164351852</v>
      </c>
      <c r="J2803" s="10" t="n">
        <v>45670.64340277778</v>
      </c>
      <c r="K2803" s="11" t="n">
        <v>0.001759259259259259</v>
      </c>
      <c r="L2803" s="13" t="n"/>
    </row>
    <row r="2804">
      <c r="A2804" s="3" t="inlineStr">
        <is>
          <t>PushOffDrive</t>
        </is>
      </c>
      <c r="B2804" s="3" t="inlineStr">
        <is>
          <t>Act_POD_1011106_152630_627</t>
        </is>
      </c>
      <c r="C2804" s="3" t="inlineStr">
        <is>
          <t>1011106</t>
        </is>
      </c>
      <c r="D2804" s="9" t="n">
        <v>15.7</v>
      </c>
      <c r="E2804" s="3" t="inlineStr">
        <is>
          <t>703</t>
        </is>
      </c>
      <c r="F2804" s="3" t="inlineStr">
        <is>
          <t>627</t>
        </is>
      </c>
      <c r="G2804" s="9" t="n">
        <v>450.42</v>
      </c>
      <c r="H2804" s="10" t="n">
        <v>45670.64340277778</v>
      </c>
      <c r="I2804" s="10" t="n">
        <v>45670.64340277778</v>
      </c>
      <c r="J2804" s="10" t="n">
        <v>45670.6453125</v>
      </c>
      <c r="K2804" s="11" t="n">
        <v>0.001909722222222222</v>
      </c>
      <c r="L2804" s="13" t="n"/>
    </row>
    <row r="2805">
      <c r="A2805" s="3" t="inlineStr">
        <is>
          <t>PushOffDrive</t>
        </is>
      </c>
      <c r="B2805" s="3" t="inlineStr">
        <is>
          <t>Act_POD_1011107_152915_605</t>
        </is>
      </c>
      <c r="C2805" s="3" t="inlineStr">
        <is>
          <t>1011107</t>
        </is>
      </c>
      <c r="D2805" s="9" t="n">
        <v>21</v>
      </c>
      <c r="E2805" s="3" t="inlineStr">
        <is>
          <t>703</t>
        </is>
      </c>
      <c r="F2805" s="3" t="inlineStr">
        <is>
          <t>605</t>
        </is>
      </c>
      <c r="G2805" s="9" t="n">
        <v>405.43</v>
      </c>
      <c r="H2805" s="10" t="n">
        <v>45670.6453125</v>
      </c>
      <c r="I2805" s="10" t="n">
        <v>45670.6453125</v>
      </c>
      <c r="J2805" s="10" t="n">
        <v>45670.64704861111</v>
      </c>
      <c r="K2805" s="11" t="n">
        <v>0.001736111111111111</v>
      </c>
      <c r="L2805" s="13" t="n"/>
    </row>
    <row r="2806">
      <c r="A2806" s="3" t="inlineStr">
        <is>
          <t>PushOffDrive</t>
        </is>
      </c>
      <c r="B2806" s="3" t="inlineStr">
        <is>
          <t>Act_POD_1011108_153145_619</t>
        </is>
      </c>
      <c r="C2806" s="3" t="inlineStr">
        <is>
          <t>1011108</t>
        </is>
      </c>
      <c r="D2806" s="9" t="n">
        <v>58.9</v>
      </c>
      <c r="E2806" s="3" t="inlineStr">
        <is>
          <t>703</t>
        </is>
      </c>
      <c r="F2806" s="3" t="inlineStr">
        <is>
          <t>619</t>
        </is>
      </c>
      <c r="G2806" s="9" t="n">
        <v>459.96</v>
      </c>
      <c r="H2806" s="10" t="n">
        <v>45670.64704861111</v>
      </c>
      <c r="I2806" s="10" t="n">
        <v>45670.64704861111</v>
      </c>
      <c r="J2806" s="10" t="n">
        <v>45670.64909722222</v>
      </c>
      <c r="K2806" s="11" t="n">
        <v>0.002048611111111111</v>
      </c>
      <c r="L2806" s="13" t="n"/>
    </row>
    <row r="2807">
      <c r="A2807" s="3" t="inlineStr">
        <is>
          <t>PushOffDrive</t>
        </is>
      </c>
      <c r="B2807" s="3" t="inlineStr">
        <is>
          <t>Act_POD_1011109_153442_621</t>
        </is>
      </c>
      <c r="C2807" s="3" t="inlineStr">
        <is>
          <t>1011109</t>
        </is>
      </c>
      <c r="D2807" s="9" t="n">
        <v>15.7</v>
      </c>
      <c r="E2807" s="3" t="inlineStr">
        <is>
          <t>703</t>
        </is>
      </c>
      <c r="F2807" s="3" t="inlineStr">
        <is>
          <t>621</t>
        </is>
      </c>
      <c r="G2807" s="9" t="n">
        <v>459.96</v>
      </c>
      <c r="H2807" s="10" t="n">
        <v>45670.64909722222</v>
      </c>
      <c r="I2807" s="10" t="n">
        <v>45670.64909722222</v>
      </c>
      <c r="J2807" s="10" t="n">
        <v>45670.65105324074</v>
      </c>
      <c r="K2807" s="11" t="n">
        <v>0.001956018518518518</v>
      </c>
      <c r="L2807" s="13" t="n"/>
    </row>
    <row r="2808">
      <c r="A2808" s="3" t="inlineStr">
        <is>
          <t>PushOffDrive</t>
        </is>
      </c>
      <c r="B2808" s="3" t="inlineStr">
        <is>
          <t>Act_POD_1011110_153731_629</t>
        </is>
      </c>
      <c r="C2808" s="3" t="inlineStr">
        <is>
          <t>1011110</t>
        </is>
      </c>
      <c r="D2808" s="9" t="n">
        <v>40.9</v>
      </c>
      <c r="E2808" s="3" t="inlineStr">
        <is>
          <t>703</t>
        </is>
      </c>
      <c r="F2808" s="3" t="inlineStr">
        <is>
          <t>629</t>
        </is>
      </c>
      <c r="G2808" s="9" t="n">
        <v>450.42</v>
      </c>
      <c r="H2808" s="10" t="n">
        <v>45670.65105324074</v>
      </c>
      <c r="I2808" s="10" t="n">
        <v>45670.65105324074</v>
      </c>
      <c r="J2808" s="10" t="n">
        <v>45670.6530324074</v>
      </c>
      <c r="K2808" s="11" t="n">
        <v>0.001979166666666667</v>
      </c>
      <c r="L2808" s="13" t="n"/>
    </row>
    <row r="2809">
      <c r="A2809" s="3" t="inlineStr">
        <is>
          <t>PushOffDrive</t>
        </is>
      </c>
      <c r="B2809" s="3" t="inlineStr">
        <is>
          <t>Act_POD_1011111_154022_609</t>
        </is>
      </c>
      <c r="C2809" s="3" t="inlineStr">
        <is>
          <t>1011111</t>
        </is>
      </c>
      <c r="D2809" s="9" t="n">
        <v>19.9</v>
      </c>
      <c r="E2809" s="3" t="inlineStr">
        <is>
          <t>703</t>
        </is>
      </c>
      <c r="F2809" s="3" t="inlineStr">
        <is>
          <t>609</t>
        </is>
      </c>
      <c r="G2809" s="9" t="n">
        <v>350.87</v>
      </c>
      <c r="H2809" s="10" t="n">
        <v>45670.6530324074</v>
      </c>
      <c r="I2809" s="10" t="n">
        <v>45670.6530324074</v>
      </c>
      <c r="J2809" s="10" t="n">
        <v>45670.65453703704</v>
      </c>
      <c r="K2809" s="11" t="n">
        <v>0.00150462962962963</v>
      </c>
      <c r="L2809" s="13" t="n"/>
    </row>
    <row r="2810">
      <c r="A2810" s="3" t="inlineStr">
        <is>
          <t>PushOffDrive</t>
        </is>
      </c>
      <c r="B2810" s="3" t="inlineStr">
        <is>
          <t>Act_POD_1011201_154347_611</t>
        </is>
      </c>
      <c r="C2810" s="3" t="inlineStr">
        <is>
          <t>1011201</t>
        </is>
      </c>
      <c r="D2810" s="9" t="n">
        <v>393.5</v>
      </c>
      <c r="E2810" s="3" t="inlineStr">
        <is>
          <t>727</t>
        </is>
      </c>
      <c r="F2810" s="3" t="inlineStr">
        <is>
          <t>611</t>
        </is>
      </c>
      <c r="G2810" s="9" t="n">
        <v>317.52</v>
      </c>
      <c r="H2810" s="10" t="n">
        <v>45670.65540509259</v>
      </c>
      <c r="I2810" s="10" t="n">
        <v>45670.65540509259</v>
      </c>
      <c r="J2810" s="10" t="n">
        <v>45670.65763888889</v>
      </c>
      <c r="K2810" s="11" t="n">
        <v>0.002233796296296296</v>
      </c>
      <c r="L2810" s="13" t="n"/>
    </row>
    <row r="2811">
      <c r="A2811" s="3" t="inlineStr">
        <is>
          <t>PushOffDrive</t>
        </is>
      </c>
      <c r="B2811" s="3" t="inlineStr">
        <is>
          <t>Act_POD_1011301_161550_606</t>
        </is>
      </c>
      <c r="C2811" s="3" t="inlineStr">
        <is>
          <t>1011301</t>
        </is>
      </c>
      <c r="D2811" s="9" t="n">
        <v>157.9</v>
      </c>
      <c r="E2811" s="3" t="inlineStr">
        <is>
          <t>703</t>
        </is>
      </c>
      <c r="F2811" s="3" t="inlineStr">
        <is>
          <t>606</t>
        </is>
      </c>
      <c r="G2811" s="9" t="n">
        <v>405.03</v>
      </c>
      <c r="H2811" s="10" t="n">
        <v>45670.67766203704</v>
      </c>
      <c r="I2811" s="10" t="n">
        <v>45670.67766203704</v>
      </c>
      <c r="J2811" s="10" t="n">
        <v>45670.67972222222</v>
      </c>
      <c r="K2811" s="11" t="n">
        <v>0.002060185185185185</v>
      </c>
      <c r="L2811" s="13" t="n"/>
    </row>
    <row r="2812">
      <c r="A2812" s="3" t="inlineStr">
        <is>
          <t>PushOffDrive</t>
        </is>
      </c>
      <c r="B2812" s="3" t="inlineStr">
        <is>
          <t>Act_POD_1011302_161848_625</t>
        </is>
      </c>
      <c r="C2812" s="3" t="inlineStr">
        <is>
          <t>1011302</t>
        </is>
      </c>
      <c r="D2812" s="9" t="n">
        <v>229.7</v>
      </c>
      <c r="E2812" s="3" t="inlineStr">
        <is>
          <t>703</t>
        </is>
      </c>
      <c r="F2812" s="3" t="inlineStr">
        <is>
          <t>625</t>
        </is>
      </c>
      <c r="G2812" s="9" t="n">
        <v>477.75</v>
      </c>
      <c r="H2812" s="10" t="n">
        <v>45670.67972222222</v>
      </c>
      <c r="I2812" s="10" t="n">
        <v>45670.67972222222</v>
      </c>
      <c r="J2812" s="10" t="n">
        <v>45670.68224537037</v>
      </c>
      <c r="K2812" s="11" t="n">
        <v>0.002523148148148148</v>
      </c>
      <c r="L2812" s="13" t="n"/>
    </row>
    <row r="2813">
      <c r="A2813" s="3" t="inlineStr">
        <is>
          <t>PushOffDrive</t>
        </is>
      </c>
      <c r="B2813" s="3" t="inlineStr">
        <is>
          <t>Act_POD_1011401_173652_615</t>
        </is>
      </c>
      <c r="C2813" s="3" t="inlineStr">
        <is>
          <t>1011401</t>
        </is>
      </c>
      <c r="D2813" s="9" t="n">
        <v>185.9</v>
      </c>
      <c r="E2813" s="3" t="inlineStr">
        <is>
          <t>703</t>
        </is>
      </c>
      <c r="F2813" s="3" t="inlineStr">
        <is>
          <t>615</t>
        </is>
      </c>
      <c r="G2813" s="9" t="n">
        <v>269.92</v>
      </c>
      <c r="H2813" s="10" t="n">
        <v>45670.73393518518</v>
      </c>
      <c r="I2813" s="10" t="n">
        <v>45670.73393518518</v>
      </c>
      <c r="J2813" s="10" t="n">
        <v>45670.73548611111</v>
      </c>
      <c r="K2813" s="11" t="n">
        <v>0.001550925925925926</v>
      </c>
      <c r="L2813" s="13" t="n"/>
    </row>
    <row r="2814">
      <c r="A2814" s="3" t="inlineStr">
        <is>
          <t>PushOffDrive</t>
        </is>
      </c>
      <c r="B2814" s="3" t="inlineStr">
        <is>
          <t>Act_POD_1011501_211732_615</t>
        </is>
      </c>
      <c r="C2814" s="3" t="inlineStr">
        <is>
          <t>1011501</t>
        </is>
      </c>
      <c r="D2814" s="9" t="n">
        <v>389.1</v>
      </c>
      <c r="E2814" s="3" t="inlineStr">
        <is>
          <t>703</t>
        </is>
      </c>
      <c r="F2814" s="3" t="inlineStr">
        <is>
          <t>615</t>
        </is>
      </c>
      <c r="G2814" s="9" t="n">
        <v>269.92</v>
      </c>
      <c r="H2814" s="10" t="n">
        <v>45670.88717592593</v>
      </c>
      <c r="I2814" s="10" t="n">
        <v>45670.88717592593</v>
      </c>
      <c r="J2814" s="10" t="n">
        <v>45670.88920138889</v>
      </c>
      <c r="K2814" s="11" t="n">
        <v>0.002025462962962963</v>
      </c>
      <c r="L2814" s="13" t="n"/>
    </row>
    <row r="2815">
      <c r="A2815" s="3" t="inlineStr">
        <is>
          <t>PushOffDrive</t>
        </is>
      </c>
      <c r="B2815" s="3" t="inlineStr">
        <is>
          <t>Act_POD_1011601_024135_605</t>
        </is>
      </c>
      <c r="C2815" s="3" t="inlineStr">
        <is>
          <t>1011601</t>
        </is>
      </c>
      <c r="D2815" s="9" t="n">
        <v>103.9</v>
      </c>
      <c r="E2815" s="3" t="inlineStr">
        <is>
          <t>703</t>
        </is>
      </c>
      <c r="F2815" s="3" t="inlineStr">
        <is>
          <t>605</t>
        </is>
      </c>
      <c r="G2815" s="9" t="n">
        <v>405.43</v>
      </c>
      <c r="H2815" s="10" t="n">
        <v>45671.11221064815</v>
      </c>
      <c r="I2815" s="10" t="n">
        <v>45671.11221064815</v>
      </c>
      <c r="J2815" s="10" t="n">
        <v>45671.11414351852</v>
      </c>
      <c r="K2815" s="11" t="n">
        <v>0.00193287037037037</v>
      </c>
      <c r="L2815" s="13" t="n"/>
    </row>
    <row r="2816">
      <c r="A2816" s="3" t="inlineStr">
        <is>
          <t>PushOffDrive</t>
        </is>
      </c>
      <c r="B2816" s="3" t="inlineStr">
        <is>
          <t>Act_POD_1011602_024422_617</t>
        </is>
      </c>
      <c r="C2816" s="3" t="inlineStr">
        <is>
          <t>1011602</t>
        </is>
      </c>
      <c r="D2816" s="9" t="n">
        <v>12</v>
      </c>
      <c r="E2816" s="3" t="inlineStr">
        <is>
          <t>703</t>
        </is>
      </c>
      <c r="F2816" s="3" t="inlineStr">
        <is>
          <t>617</t>
        </is>
      </c>
      <c r="G2816" s="9" t="n">
        <v>299.11</v>
      </c>
      <c r="H2816" s="10" t="n">
        <v>45671.11414351852</v>
      </c>
      <c r="I2816" s="10" t="n">
        <v>45671.11414351852</v>
      </c>
      <c r="J2816" s="10" t="n">
        <v>45671.11541666667</v>
      </c>
      <c r="K2816" s="11" t="n">
        <v>0.001273148148148148</v>
      </c>
      <c r="L2816" s="13" t="n"/>
    </row>
    <row r="2817">
      <c r="A2817" s="3" t="inlineStr">
        <is>
          <t>PushOffDrive</t>
        </is>
      </c>
      <c r="B2817" s="3" t="inlineStr">
        <is>
          <t>Act_POD_1011603_024612_619</t>
        </is>
      </c>
      <c r="C2817" s="3" t="inlineStr">
        <is>
          <t>1011603</t>
        </is>
      </c>
      <c r="D2817" s="9" t="n">
        <v>15.7</v>
      </c>
      <c r="E2817" s="3" t="inlineStr">
        <is>
          <t>703</t>
        </is>
      </c>
      <c r="F2817" s="3" t="inlineStr">
        <is>
          <t>619</t>
        </is>
      </c>
      <c r="G2817" s="9" t="n">
        <v>459.96</v>
      </c>
      <c r="H2817" s="10" t="n">
        <v>45671.11541666667</v>
      </c>
      <c r="I2817" s="10" t="n">
        <v>45671.11541666667</v>
      </c>
      <c r="J2817" s="10" t="n">
        <v>45671.11736111111</v>
      </c>
      <c r="K2817" s="11" t="n">
        <v>0.001944444444444444</v>
      </c>
      <c r="L2817" s="13" t="n"/>
    </row>
    <row r="2818">
      <c r="A2818" s="3" t="inlineStr">
        <is>
          <t>PushOffDrive</t>
        </is>
      </c>
      <c r="B2818" s="3" t="inlineStr">
        <is>
          <t>Act_POD_1011604_024900_627</t>
        </is>
      </c>
      <c r="C2818" s="3" t="inlineStr">
        <is>
          <t>1011604</t>
        </is>
      </c>
      <c r="D2818" s="9" t="n">
        <v>15.7</v>
      </c>
      <c r="E2818" s="3" t="inlineStr">
        <is>
          <t>703</t>
        </is>
      </c>
      <c r="F2818" s="3" t="inlineStr">
        <is>
          <t>627</t>
        </is>
      </c>
      <c r="G2818" s="9" t="n">
        <v>450.42</v>
      </c>
      <c r="H2818" s="10" t="n">
        <v>45671.11736111111</v>
      </c>
      <c r="I2818" s="10" t="n">
        <v>45671.11736111111</v>
      </c>
      <c r="J2818" s="10" t="n">
        <v>45671.11928240741</v>
      </c>
      <c r="K2818" s="11" t="n">
        <v>0.001921296296296296</v>
      </c>
      <c r="L2818" s="13" t="n"/>
    </row>
    <row r="2819">
      <c r="A2819" s="3" t="inlineStr">
        <is>
          <t>PushOffDrive</t>
        </is>
      </c>
      <c r="B2819" s="3" t="inlineStr">
        <is>
          <t>Act_POD_1011701_064138_615</t>
        </is>
      </c>
      <c r="C2819" s="3" t="inlineStr">
        <is>
          <t>1011701</t>
        </is>
      </c>
      <c r="D2819" s="9" t="n">
        <v>297</v>
      </c>
      <c r="E2819" s="3" t="inlineStr">
        <is>
          <t>703</t>
        </is>
      </c>
      <c r="F2819" s="3" t="inlineStr">
        <is>
          <t>615</t>
        </is>
      </c>
      <c r="G2819" s="9" t="n">
        <v>269.92</v>
      </c>
      <c r="H2819" s="10" t="n">
        <v>45671.27891203704</v>
      </c>
      <c r="I2819" s="10" t="n">
        <v>45671.27891203704</v>
      </c>
      <c r="J2819" s="10" t="n">
        <v>45671.28072916667</v>
      </c>
      <c r="K2819" s="11" t="n">
        <v>0.00181712962962963</v>
      </c>
      <c r="L2819" s="13" t="n"/>
    </row>
    <row r="2820">
      <c r="A2820" s="3" t="inlineStr">
        <is>
          <t>PushOffDrive</t>
        </is>
      </c>
      <c r="B2820" s="3" t="inlineStr">
        <is>
          <t>Act_POD_1011801_065848_629</t>
        </is>
      </c>
      <c r="C2820" s="3" t="inlineStr">
        <is>
          <t>1011801</t>
        </is>
      </c>
      <c r="D2820" s="9" t="n">
        <v>110.3</v>
      </c>
      <c r="E2820" s="3" t="inlineStr">
        <is>
          <t>727</t>
        </is>
      </c>
      <c r="F2820" s="3" t="inlineStr">
        <is>
          <t>629</t>
        </is>
      </c>
      <c r="G2820" s="9" t="n">
        <v>443.59</v>
      </c>
      <c r="H2820" s="10" t="n">
        <v>45671.29083333333</v>
      </c>
      <c r="I2820" s="10" t="n">
        <v>45671.29083333333</v>
      </c>
      <c r="J2820" s="10" t="n">
        <v>45671.29293981481</v>
      </c>
      <c r="K2820" s="11" t="n">
        <v>0.002106481481481481</v>
      </c>
      <c r="L2820" s="13" t="n"/>
    </row>
    <row r="2821">
      <c r="A2821" s="3" t="inlineStr">
        <is>
          <t>PushOffDrive</t>
        </is>
      </c>
      <c r="B2821" s="3" t="inlineStr">
        <is>
          <t>Act_POD_1011802_070150_613</t>
        </is>
      </c>
      <c r="C2821" s="3" t="inlineStr">
        <is>
          <t>1011802</t>
        </is>
      </c>
      <c r="D2821" s="9" t="n">
        <v>70.5</v>
      </c>
      <c r="E2821" s="3" t="inlineStr">
        <is>
          <t>727</t>
        </is>
      </c>
      <c r="F2821" s="3" t="inlineStr">
        <is>
          <t>613</t>
        </is>
      </c>
      <c r="G2821" s="9" t="n">
        <v>290.6</v>
      </c>
      <c r="H2821" s="10" t="n">
        <v>45671.29293981481</v>
      </c>
      <c r="I2821" s="10" t="n">
        <v>45671.29293981481</v>
      </c>
      <c r="J2821" s="10" t="n">
        <v>45671.29431712963</v>
      </c>
      <c r="K2821" s="11" t="n">
        <v>0.001377314814814815</v>
      </c>
      <c r="L2821" s="13" t="n"/>
    </row>
    <row r="2822">
      <c r="A2822" s="3" t="inlineStr">
        <is>
          <t>PushOffDrive</t>
        </is>
      </c>
      <c r="B2822" s="3" t="inlineStr">
        <is>
          <t>Act_POD_1011803_070349_625</t>
        </is>
      </c>
      <c r="C2822" s="3" t="inlineStr">
        <is>
          <t>1011803</t>
        </is>
      </c>
      <c r="D2822" s="9" t="n">
        <v>54</v>
      </c>
      <c r="E2822" s="3" t="inlineStr">
        <is>
          <t>727</t>
        </is>
      </c>
      <c r="F2822" s="3" t="inlineStr">
        <is>
          <t>625</t>
        </is>
      </c>
      <c r="G2822" s="9" t="n">
        <v>470.92</v>
      </c>
      <c r="H2822" s="10" t="n">
        <v>45671.29431712963</v>
      </c>
      <c r="I2822" s="10" t="n">
        <v>45671.29431712963</v>
      </c>
      <c r="J2822" s="10" t="n">
        <v>45671.29640046296</v>
      </c>
      <c r="K2822" s="11" t="n">
        <v>0.002083333333333333</v>
      </c>
      <c r="L2822" s="13" t="n"/>
    </row>
    <row r="2823">
      <c r="A2823" s="3" t="inlineStr">
        <is>
          <t>PushOffDrive</t>
        </is>
      </c>
      <c r="B2823" s="3" t="inlineStr">
        <is>
          <t>Act_POD_1011804_070649_605</t>
        </is>
      </c>
      <c r="C2823" s="3" t="inlineStr">
        <is>
          <t>1011804</t>
        </is>
      </c>
      <c r="D2823" s="9" t="n">
        <v>23.2</v>
      </c>
      <c r="E2823" s="3" t="inlineStr">
        <is>
          <t>727</t>
        </is>
      </c>
      <c r="F2823" s="3" t="inlineStr">
        <is>
          <t>605</t>
        </is>
      </c>
      <c r="G2823" s="9" t="n">
        <v>398.6</v>
      </c>
      <c r="H2823" s="10" t="n">
        <v>45671.29640046296</v>
      </c>
      <c r="I2823" s="10" t="n">
        <v>45671.29640046296</v>
      </c>
      <c r="J2823" s="10" t="n">
        <v>45671.29811342592</v>
      </c>
      <c r="K2823" s="11" t="n">
        <v>0.001712962962962963</v>
      </c>
      <c r="L2823" s="13" t="n"/>
    </row>
    <row r="2824">
      <c r="A2824" s="3" t="inlineStr">
        <is>
          <t>PushOffDrive</t>
        </is>
      </c>
      <c r="B2824" s="3" t="inlineStr">
        <is>
          <t>Act_POD_1011805_070917_617</t>
        </is>
      </c>
      <c r="C2824" s="3" t="inlineStr">
        <is>
          <t>1011805</t>
        </is>
      </c>
      <c r="D2824" s="9" t="n">
        <v>39.8</v>
      </c>
      <c r="E2824" s="3" t="inlineStr">
        <is>
          <t>727</t>
        </is>
      </c>
      <c r="F2824" s="3" t="inlineStr">
        <is>
          <t>617</t>
        </is>
      </c>
      <c r="G2824" s="9" t="n">
        <v>292.28</v>
      </c>
      <c r="H2824" s="10" t="n">
        <v>45671.29811342592</v>
      </c>
      <c r="I2824" s="10" t="n">
        <v>45671.29811342592</v>
      </c>
      <c r="J2824" s="10" t="n">
        <v>45671.29942129629</v>
      </c>
      <c r="K2824" s="11" t="n">
        <v>0.00130787037037037</v>
      </c>
      <c r="L2824" s="13" t="n"/>
    </row>
    <row r="2825">
      <c r="A2825" s="3" t="inlineStr">
        <is>
          <t>PushOffDrive</t>
        </is>
      </c>
      <c r="B2825" s="3" t="inlineStr">
        <is>
          <t>Act_POD_1011806_071110_625</t>
        </is>
      </c>
      <c r="C2825" s="3" t="inlineStr">
        <is>
          <t>1011806</t>
        </is>
      </c>
      <c r="D2825" s="9" t="n">
        <v>27</v>
      </c>
      <c r="E2825" s="3" t="inlineStr">
        <is>
          <t>727</t>
        </is>
      </c>
      <c r="F2825" s="3" t="inlineStr">
        <is>
          <t>625</t>
        </is>
      </c>
      <c r="G2825" s="9" t="n">
        <v>470.92</v>
      </c>
      <c r="H2825" s="10" t="n">
        <v>45671.29942129629</v>
      </c>
      <c r="I2825" s="10" t="n">
        <v>45671.29942129629</v>
      </c>
      <c r="J2825" s="10" t="n">
        <v>45671.30144675926</v>
      </c>
      <c r="K2825" s="11" t="n">
        <v>0.002025462962962963</v>
      </c>
      <c r="L2825" s="13" t="n"/>
    </row>
    <row r="2826">
      <c r="A2826" s="3" t="inlineStr">
        <is>
          <t>PushOffDrive</t>
        </is>
      </c>
      <c r="B2826" s="3" t="inlineStr">
        <is>
          <t>Act_POD_1011807_071405_605</t>
        </is>
      </c>
      <c r="C2826" s="3" t="inlineStr">
        <is>
          <t>1011807</t>
        </is>
      </c>
      <c r="D2826" s="9" t="n">
        <v>39</v>
      </c>
      <c r="E2826" s="3" t="inlineStr">
        <is>
          <t>727</t>
        </is>
      </c>
      <c r="F2826" s="3" t="inlineStr">
        <is>
          <t>605</t>
        </is>
      </c>
      <c r="G2826" s="9" t="n">
        <v>398.6</v>
      </c>
      <c r="H2826" s="10" t="n">
        <v>45671.30144675926</v>
      </c>
      <c r="I2826" s="10" t="n">
        <v>45671.30144675926</v>
      </c>
      <c r="J2826" s="10" t="n">
        <v>45671.30319444444</v>
      </c>
      <c r="K2826" s="11" t="n">
        <v>0.001747685185185185</v>
      </c>
      <c r="L2826" s="13" t="n"/>
    </row>
    <row r="2827">
      <c r="A2827" s="3" t="inlineStr">
        <is>
          <t>PushOffDrive</t>
        </is>
      </c>
      <c r="B2827" s="3" t="inlineStr">
        <is>
          <t>Act_POD_1011901_073019_606</t>
        </is>
      </c>
      <c r="C2827" s="3" t="inlineStr">
        <is>
          <t>1011901</t>
        </is>
      </c>
      <c r="D2827" s="9" t="n">
        <v>213.8</v>
      </c>
      <c r="E2827" s="3" t="inlineStr">
        <is>
          <t>703</t>
        </is>
      </c>
      <c r="F2827" s="3" t="inlineStr">
        <is>
          <t>606</t>
        </is>
      </c>
      <c r="G2827" s="9" t="n">
        <v>405.03</v>
      </c>
      <c r="H2827" s="10" t="n">
        <v>45671.31271990741</v>
      </c>
      <c r="I2827" s="10" t="n">
        <v>45671.31271990741</v>
      </c>
      <c r="J2827" s="10" t="n">
        <v>45671.31490740741</v>
      </c>
      <c r="K2827" s="11" t="n">
        <v>0.0021875</v>
      </c>
      <c r="L2827" s="13" t="n"/>
    </row>
    <row r="2828">
      <c r="A2828" s="3" t="inlineStr">
        <is>
          <t>PushOffDrive</t>
        </is>
      </c>
      <c r="B2828" s="3" t="inlineStr">
        <is>
          <t>Act_POD_1012001_081321_613</t>
        </is>
      </c>
      <c r="C2828" s="3" t="inlineStr">
        <is>
          <t>1012001</t>
        </is>
      </c>
      <c r="D2828" s="9" t="n">
        <v>389.8</v>
      </c>
      <c r="E2828" s="3" t="inlineStr">
        <is>
          <t>703</t>
        </is>
      </c>
      <c r="F2828" s="3" t="inlineStr">
        <is>
          <t>613</t>
        </is>
      </c>
      <c r="G2828" s="9" t="n">
        <v>297.43</v>
      </c>
      <c r="H2828" s="10" t="n">
        <v>45671.34260416667</v>
      </c>
      <c r="I2828" s="10" t="n">
        <v>45671.34260416667</v>
      </c>
      <c r="J2828" s="10" t="n">
        <v>45671.34474537037</v>
      </c>
      <c r="K2828" s="11" t="n">
        <v>0.002141203703703704</v>
      </c>
      <c r="L2828" s="13" t="n"/>
    </row>
    <row r="2829">
      <c r="A2829" s="3" t="inlineStr">
        <is>
          <t>PushOffDrive</t>
        </is>
      </c>
      <c r="B2829" s="3" t="inlineStr">
        <is>
          <t>Act_POD_1012201_092029_629</t>
        </is>
      </c>
      <c r="C2829" s="3" t="inlineStr">
        <is>
          <t>1012201</t>
        </is>
      </c>
      <c r="D2829" s="9" t="n">
        <v>56.3</v>
      </c>
      <c r="E2829" s="3" t="inlineStr">
        <is>
          <t>703</t>
        </is>
      </c>
      <c r="F2829" s="3" t="inlineStr">
        <is>
          <t>629</t>
        </is>
      </c>
      <c r="G2829" s="9" t="n">
        <v>450.42</v>
      </c>
      <c r="H2829" s="10" t="n">
        <v>45671.38922453704</v>
      </c>
      <c r="I2829" s="10" t="n">
        <v>45671.38922453704</v>
      </c>
      <c r="J2829" s="10" t="n">
        <v>45671.39123842592</v>
      </c>
      <c r="K2829" s="11" t="n">
        <v>0.002013888888888889</v>
      </c>
      <c r="L2829" s="13" t="n"/>
    </row>
    <row r="2830">
      <c r="A2830" s="3" t="inlineStr">
        <is>
          <t>PushOffDrive</t>
        </is>
      </c>
      <c r="B2830" s="3" t="inlineStr">
        <is>
          <t>Act_POD_1012202_092323_607</t>
        </is>
      </c>
      <c r="C2830" s="3" t="inlineStr">
        <is>
          <t>1012202</t>
        </is>
      </c>
      <c r="D2830" s="9" t="n">
        <v>264.8</v>
      </c>
      <c r="E2830" s="3" t="inlineStr">
        <is>
          <t>703</t>
        </is>
      </c>
      <c r="F2830" s="3" t="inlineStr">
        <is>
          <t>607</t>
        </is>
      </c>
      <c r="G2830" s="9" t="n">
        <v>378.4</v>
      </c>
      <c r="H2830" s="10" t="n">
        <v>45671.39123842592</v>
      </c>
      <c r="I2830" s="10" t="n">
        <v>45671.39123842592</v>
      </c>
      <c r="J2830" s="10" t="n">
        <v>45671.39342592593</v>
      </c>
      <c r="K2830" s="11" t="n">
        <v>0.0021875</v>
      </c>
      <c r="L2830" s="13" t="n"/>
    </row>
    <row r="2831">
      <c r="A2831" s="3" t="inlineStr">
        <is>
          <t>PushOffDrive</t>
        </is>
      </c>
      <c r="B2831" s="3" t="inlineStr">
        <is>
          <t>Act_POD_1012203_092632_629</t>
        </is>
      </c>
      <c r="C2831" s="3" t="inlineStr">
        <is>
          <t>1012203</t>
        </is>
      </c>
      <c r="D2831" s="9" t="n">
        <v>72.8</v>
      </c>
      <c r="E2831" s="3" t="inlineStr">
        <is>
          <t>703</t>
        </is>
      </c>
      <c r="F2831" s="3" t="inlineStr">
        <is>
          <t>629</t>
        </is>
      </c>
      <c r="G2831" s="9" t="n">
        <v>450.42</v>
      </c>
      <c r="H2831" s="10" t="n">
        <v>45671.39342592593</v>
      </c>
      <c r="I2831" s="10" t="n">
        <v>45671.39342592593</v>
      </c>
      <c r="J2831" s="10" t="n">
        <v>45671.39546296297</v>
      </c>
      <c r="K2831" s="11" t="n">
        <v>0.002037037037037037</v>
      </c>
      <c r="L2831" s="13" t="n"/>
    </row>
    <row r="2832">
      <c r="A2832" s="3" t="inlineStr">
        <is>
          <t>PushOffDrive</t>
        </is>
      </c>
      <c r="B2832" s="3" t="inlineStr">
        <is>
          <t>Act_POD_1012101_093336_605</t>
        </is>
      </c>
      <c r="C2832" s="3" t="inlineStr">
        <is>
          <t>1012101</t>
        </is>
      </c>
      <c r="D2832" s="9" t="n">
        <v>15.7</v>
      </c>
      <c r="E2832" s="3" t="inlineStr">
        <is>
          <t>727</t>
        </is>
      </c>
      <c r="F2832" s="3" t="inlineStr">
        <is>
          <t>605</t>
        </is>
      </c>
      <c r="G2832" s="9" t="n">
        <v>398.6</v>
      </c>
      <c r="H2832" s="10" t="n">
        <v>45671.39833333333</v>
      </c>
      <c r="I2832" s="10" t="n">
        <v>45671.39833333333</v>
      </c>
      <c r="J2832" s="10" t="n">
        <v>45671.40003472222</v>
      </c>
      <c r="K2832" s="11" t="n">
        <v>0.001701388888888889</v>
      </c>
      <c r="L2832" s="13" t="n"/>
    </row>
    <row r="2833">
      <c r="A2833" s="3" t="inlineStr">
        <is>
          <t>PushOffDrive</t>
        </is>
      </c>
      <c r="B2833" s="3" t="inlineStr">
        <is>
          <t>Act_POD_1012102_093603_615</t>
        </is>
      </c>
      <c r="C2833" s="3" t="inlineStr">
        <is>
          <t>1012102</t>
        </is>
      </c>
      <c r="D2833" s="9" t="n">
        <v>19.9</v>
      </c>
      <c r="E2833" s="3" t="inlineStr">
        <is>
          <t>727</t>
        </is>
      </c>
      <c r="F2833" s="3" t="inlineStr">
        <is>
          <t>615</t>
        </is>
      </c>
      <c r="G2833" s="9" t="n">
        <v>263.09</v>
      </c>
      <c r="H2833" s="10" t="n">
        <v>45671.40003472222</v>
      </c>
      <c r="I2833" s="10" t="n">
        <v>45671.40003472222</v>
      </c>
      <c r="J2833" s="10" t="n">
        <v>45671.40118055556</v>
      </c>
      <c r="K2833" s="11" t="n">
        <v>0.001145833333333333</v>
      </c>
      <c r="L2833" s="13" t="n"/>
    </row>
    <row r="2834">
      <c r="A2834" s="3" t="inlineStr">
        <is>
          <t>PushOffDrive</t>
        </is>
      </c>
      <c r="B2834" s="3" t="inlineStr">
        <is>
          <t>Act_POD_1012103_093742_627</t>
        </is>
      </c>
      <c r="C2834" s="3" t="inlineStr">
        <is>
          <t>1012103</t>
        </is>
      </c>
      <c r="D2834" s="9" t="n">
        <v>28</v>
      </c>
      <c r="E2834" s="3" t="inlineStr">
        <is>
          <t>727</t>
        </is>
      </c>
      <c r="F2834" s="3" t="inlineStr">
        <is>
          <t>627</t>
        </is>
      </c>
      <c r="G2834" s="9" t="n">
        <v>443.59</v>
      </c>
      <c r="H2834" s="10" t="n">
        <v>45671.40118055556</v>
      </c>
      <c r="I2834" s="10" t="n">
        <v>45671.40118055556</v>
      </c>
      <c r="J2834" s="10" t="n">
        <v>45671.40309027778</v>
      </c>
      <c r="K2834" s="11" t="n">
        <v>0.001909722222222222</v>
      </c>
      <c r="L2834" s="13" t="n"/>
    </row>
    <row r="2835">
      <c r="A2835" s="3" t="inlineStr">
        <is>
          <t>PushOffDrive</t>
        </is>
      </c>
      <c r="B2835" s="3" t="inlineStr">
        <is>
          <t>Act_POD_1012104_094027_625</t>
        </is>
      </c>
      <c r="C2835" s="3" t="inlineStr">
        <is>
          <t>1012104</t>
        </is>
      </c>
      <c r="D2835" s="9" t="n">
        <v>108</v>
      </c>
      <c r="E2835" s="3" t="inlineStr">
        <is>
          <t>727</t>
        </is>
      </c>
      <c r="F2835" s="3" t="inlineStr">
        <is>
          <t>625</t>
        </is>
      </c>
      <c r="G2835" s="9" t="n">
        <v>470.92</v>
      </c>
      <c r="H2835" s="10" t="n">
        <v>45671.40309027778</v>
      </c>
      <c r="I2835" s="10" t="n">
        <v>45671.40309027778</v>
      </c>
      <c r="J2835" s="10" t="n">
        <v>45671.40530092592</v>
      </c>
      <c r="K2835" s="11" t="n">
        <v>0.002210648148148148</v>
      </c>
      <c r="L2835" s="13" t="n"/>
    </row>
    <row r="2836">
      <c r="A2836" s="3" t="inlineStr">
        <is>
          <t>PushOffDrive</t>
        </is>
      </c>
      <c r="B2836" s="3" t="inlineStr">
        <is>
          <t>Act_POD_1012105_094338_606</t>
        </is>
      </c>
      <c r="C2836" s="3" t="inlineStr">
        <is>
          <t>1012105</t>
        </is>
      </c>
      <c r="D2836" s="9" t="n">
        <v>42</v>
      </c>
      <c r="E2836" s="3" t="inlineStr">
        <is>
          <t>727</t>
        </is>
      </c>
      <c r="F2836" s="3" t="inlineStr">
        <is>
          <t>606</t>
        </is>
      </c>
      <c r="G2836" s="9" t="n">
        <v>398.2</v>
      </c>
      <c r="H2836" s="10" t="n">
        <v>45671.40530092592</v>
      </c>
      <c r="I2836" s="10" t="n">
        <v>45671.40530092592</v>
      </c>
      <c r="J2836" s="10" t="n">
        <v>45671.40706018519</v>
      </c>
      <c r="K2836" s="11" t="n">
        <v>0.001759259259259259</v>
      </c>
      <c r="L2836" s="13" t="n"/>
    </row>
    <row r="2837">
      <c r="A2837" s="3" t="inlineStr">
        <is>
          <t>PushOffDrive</t>
        </is>
      </c>
      <c r="B2837" s="3" t="inlineStr">
        <is>
          <t>Act_POD_1012106_094610_619</t>
        </is>
      </c>
      <c r="C2837" s="3" t="inlineStr">
        <is>
          <t>1012106</t>
        </is>
      </c>
      <c r="D2837" s="9" t="n">
        <v>15.7</v>
      </c>
      <c r="E2837" s="3" t="inlineStr">
        <is>
          <t>727</t>
        </is>
      </c>
      <c r="F2837" s="3" t="inlineStr">
        <is>
          <t>619</t>
        </is>
      </c>
      <c r="G2837" s="9" t="n">
        <v>453.13</v>
      </c>
      <c r="H2837" s="10" t="n">
        <v>45671.40706018519</v>
      </c>
      <c r="I2837" s="10" t="n">
        <v>45671.40706018519</v>
      </c>
      <c r="J2837" s="10" t="n">
        <v>45671.40898148148</v>
      </c>
      <c r="K2837" s="11" t="n">
        <v>0.001921296296296296</v>
      </c>
      <c r="L2837" s="13" t="n"/>
    </row>
    <row r="2838">
      <c r="A2838" s="3" t="inlineStr">
        <is>
          <t>PushOffDrive</t>
        </is>
      </c>
      <c r="B2838" s="3" t="inlineStr">
        <is>
          <t>Act_POD_1012107_094856_609</t>
        </is>
      </c>
      <c r="C2838" s="3" t="inlineStr">
        <is>
          <t>1012107</t>
        </is>
      </c>
      <c r="D2838" s="9" t="n">
        <v>19.9</v>
      </c>
      <c r="E2838" s="3" t="inlineStr">
        <is>
          <t>727</t>
        </is>
      </c>
      <c r="F2838" s="3" t="inlineStr">
        <is>
          <t>609</t>
        </is>
      </c>
      <c r="G2838" s="9" t="n">
        <v>344.04</v>
      </c>
      <c r="H2838" s="10" t="n">
        <v>45671.40898148148</v>
      </c>
      <c r="I2838" s="10" t="n">
        <v>45671.40898148148</v>
      </c>
      <c r="J2838" s="10" t="n">
        <v>45671.41046296297</v>
      </c>
      <c r="K2838" s="11" t="n">
        <v>0.001481481481481481</v>
      </c>
      <c r="L2838" s="13" t="n"/>
    </row>
    <row r="2839">
      <c r="A2839" s="3" t="inlineStr">
        <is>
          <t>PushOffDrive</t>
        </is>
      </c>
      <c r="B2839" s="3" t="inlineStr">
        <is>
          <t>Act_POD_1012108_095104_615</t>
        </is>
      </c>
      <c r="C2839" s="3" t="inlineStr">
        <is>
          <t>1012108</t>
        </is>
      </c>
      <c r="D2839" s="9" t="n">
        <v>16.5</v>
      </c>
      <c r="E2839" s="3" t="inlineStr">
        <is>
          <t>727</t>
        </is>
      </c>
      <c r="F2839" s="3" t="inlineStr">
        <is>
          <t>615</t>
        </is>
      </c>
      <c r="G2839" s="9" t="n">
        <v>263.09</v>
      </c>
      <c r="H2839" s="10" t="n">
        <v>45671.41046296297</v>
      </c>
      <c r="I2839" s="10" t="n">
        <v>45671.41046296297</v>
      </c>
      <c r="J2839" s="10" t="n">
        <v>45671.41159722222</v>
      </c>
      <c r="K2839" s="11" t="n">
        <v>0.001134259259259259</v>
      </c>
      <c r="L2839" s="13" t="n"/>
    </row>
    <row r="2840">
      <c r="A2840" s="3" t="inlineStr">
        <is>
          <t>PushOffDrive</t>
        </is>
      </c>
      <c r="B2840" s="3" t="inlineStr">
        <is>
          <t>Act_POD_1012109_095242_627</t>
        </is>
      </c>
      <c r="C2840" s="3" t="inlineStr">
        <is>
          <t>1012109</t>
        </is>
      </c>
      <c r="D2840" s="9" t="n">
        <v>14</v>
      </c>
      <c r="E2840" s="3" t="inlineStr">
        <is>
          <t>727</t>
        </is>
      </c>
      <c r="F2840" s="3" t="inlineStr">
        <is>
          <t>627</t>
        </is>
      </c>
      <c r="G2840" s="9" t="n">
        <v>443.59</v>
      </c>
      <c r="H2840" s="10" t="n">
        <v>45671.41159722222</v>
      </c>
      <c r="I2840" s="10" t="n">
        <v>45671.41159722222</v>
      </c>
      <c r="J2840" s="10" t="n">
        <v>45671.41347222222</v>
      </c>
      <c r="K2840" s="11" t="n">
        <v>0.001875</v>
      </c>
      <c r="L2840" s="13" t="n"/>
    </row>
    <row r="2841">
      <c r="A2841" s="3" t="inlineStr">
        <is>
          <t>PushOffDrive</t>
        </is>
      </c>
      <c r="B2841" s="3" t="inlineStr">
        <is>
          <t>Act_POD_1012110_095524_605</t>
        </is>
      </c>
      <c r="C2841" s="3" t="inlineStr">
        <is>
          <t>1012110</t>
        </is>
      </c>
      <c r="D2841" s="9" t="n">
        <v>31.5</v>
      </c>
      <c r="E2841" s="3" t="inlineStr">
        <is>
          <t>727</t>
        </is>
      </c>
      <c r="F2841" s="3" t="inlineStr">
        <is>
          <t>605</t>
        </is>
      </c>
      <c r="G2841" s="9" t="n">
        <v>398.6</v>
      </c>
      <c r="H2841" s="10" t="n">
        <v>45671.41347222222</v>
      </c>
      <c r="I2841" s="10" t="n">
        <v>45671.41347222222</v>
      </c>
      <c r="J2841" s="10" t="n">
        <v>45671.41520833333</v>
      </c>
      <c r="K2841" s="11" t="n">
        <v>0.001736111111111111</v>
      </c>
      <c r="L2841" s="13" t="n"/>
    </row>
    <row r="2842">
      <c r="A2842" s="3" t="inlineStr">
        <is>
          <t>PushOffDrive</t>
        </is>
      </c>
      <c r="B2842" s="3" t="inlineStr">
        <is>
          <t>Act_POD_1012111_095754_623</t>
        </is>
      </c>
      <c r="C2842" s="3" t="inlineStr">
        <is>
          <t>1012111</t>
        </is>
      </c>
      <c r="D2842" s="9" t="n">
        <v>31.5</v>
      </c>
      <c r="E2842" s="3" t="inlineStr">
        <is>
          <t>727</t>
        </is>
      </c>
      <c r="F2842" s="3" t="inlineStr">
        <is>
          <t>623</t>
        </is>
      </c>
      <c r="G2842" s="9" t="n">
        <v>405.22</v>
      </c>
      <c r="H2842" s="10" t="n">
        <v>45671.41520833333</v>
      </c>
      <c r="I2842" s="10" t="n">
        <v>45671.41520833333</v>
      </c>
      <c r="J2842" s="10" t="n">
        <v>45671.4169675926</v>
      </c>
      <c r="K2842" s="11" t="n">
        <v>0.001759259259259259</v>
      </c>
      <c r="L2842" s="13" t="n"/>
    </row>
    <row r="2843">
      <c r="A2843" s="3" t="inlineStr">
        <is>
          <t>PushOffDrive</t>
        </is>
      </c>
      <c r="B2843" s="3" t="inlineStr">
        <is>
          <t>Act_POD_1012112_100026_611</t>
        </is>
      </c>
      <c r="C2843" s="3" t="inlineStr">
        <is>
          <t>1012112</t>
        </is>
      </c>
      <c r="D2843" s="9" t="n">
        <v>233.1</v>
      </c>
      <c r="E2843" s="3" t="inlineStr">
        <is>
          <t>727</t>
        </is>
      </c>
      <c r="F2843" s="3" t="inlineStr">
        <is>
          <t>611</t>
        </is>
      </c>
      <c r="G2843" s="9" t="n">
        <v>317.52</v>
      </c>
      <c r="H2843" s="10" t="n">
        <v>45671.4169675926</v>
      </c>
      <c r="I2843" s="10" t="n">
        <v>45671.4169675926</v>
      </c>
      <c r="J2843" s="10" t="n">
        <v>45671.41883101852</v>
      </c>
      <c r="K2843" s="11" t="n">
        <v>0.001863425925925926</v>
      </c>
      <c r="L2843" s="13" t="n"/>
    </row>
    <row r="2844">
      <c r="A2844" s="3" t="inlineStr">
        <is>
          <t>PushOffDrive</t>
        </is>
      </c>
      <c r="B2844" s="3" t="inlineStr">
        <is>
          <t>Act_POD_1012113_100307_627</t>
        </is>
      </c>
      <c r="C2844" s="3" t="inlineStr">
        <is>
          <t>1012113</t>
        </is>
      </c>
      <c r="D2844" s="9" t="n">
        <v>15.7</v>
      </c>
      <c r="E2844" s="3" t="inlineStr">
        <is>
          <t>727</t>
        </is>
      </c>
      <c r="F2844" s="3" t="inlineStr">
        <is>
          <t>627</t>
        </is>
      </c>
      <c r="G2844" s="9" t="n">
        <v>443.59</v>
      </c>
      <c r="H2844" s="10" t="n">
        <v>45671.41883101852</v>
      </c>
      <c r="I2844" s="10" t="n">
        <v>45671.41883101852</v>
      </c>
      <c r="J2844" s="10" t="n">
        <v>45671.42071759259</v>
      </c>
      <c r="K2844" s="11" t="n">
        <v>0.001886574074074074</v>
      </c>
      <c r="L2844" s="13" t="n"/>
    </row>
    <row r="2845">
      <c r="A2845" s="3" t="inlineStr">
        <is>
          <t>PushOffDrive</t>
        </is>
      </c>
      <c r="B2845" s="3" t="inlineStr">
        <is>
          <t>Act_POD_1012301_100705_609</t>
        </is>
      </c>
      <c r="C2845" s="3" t="inlineStr">
        <is>
          <t>1012301</t>
        </is>
      </c>
      <c r="D2845" s="9" t="n">
        <v>21</v>
      </c>
      <c r="E2845" s="3" t="inlineStr">
        <is>
          <t>703</t>
        </is>
      </c>
      <c r="F2845" s="3" t="inlineStr">
        <is>
          <t>609</t>
        </is>
      </c>
      <c r="G2845" s="9" t="n">
        <v>350.87</v>
      </c>
      <c r="H2845" s="10" t="n">
        <v>45671.42158564815</v>
      </c>
      <c r="I2845" s="10" t="n">
        <v>45671.42158564815</v>
      </c>
      <c r="J2845" s="10" t="n">
        <v>45671.42310185185</v>
      </c>
      <c r="K2845" s="11" t="n">
        <v>0.001516203703703704</v>
      </c>
      <c r="L2845" s="13" t="n"/>
    </row>
    <row r="2846">
      <c r="A2846" s="3" t="inlineStr">
        <is>
          <t>PushOffDrive</t>
        </is>
      </c>
      <c r="B2846" s="3" t="inlineStr">
        <is>
          <t>Act_POD_1012302_100916_611</t>
        </is>
      </c>
      <c r="C2846" s="3" t="inlineStr">
        <is>
          <t>1012302</t>
        </is>
      </c>
      <c r="D2846" s="9" t="n">
        <v>418.7</v>
      </c>
      <c r="E2846" s="3" t="inlineStr">
        <is>
          <t>703</t>
        </is>
      </c>
      <c r="F2846" s="3" t="inlineStr">
        <is>
          <t>611</t>
        </is>
      </c>
      <c r="G2846" s="9" t="n">
        <v>324.35</v>
      </c>
      <c r="H2846" s="10" t="n">
        <v>45671.42310185185</v>
      </c>
      <c r="I2846" s="10" t="n">
        <v>45671.42310185185</v>
      </c>
      <c r="J2846" s="10" t="n">
        <v>45671.42541666667</v>
      </c>
      <c r="K2846" s="11" t="n">
        <v>0.002314814814814815</v>
      </c>
      <c r="L2846" s="13" t="n"/>
    </row>
    <row r="2847">
      <c r="A2847" s="3" t="inlineStr">
        <is>
          <t>PushOffDrive</t>
        </is>
      </c>
      <c r="B2847" s="3" t="inlineStr">
        <is>
          <t>Act_POD_1012401_130305_611</t>
        </is>
      </c>
      <c r="C2847" s="3" t="inlineStr">
        <is>
          <t>1012401</t>
        </is>
      </c>
      <c r="D2847" s="9" t="n">
        <v>297.8</v>
      </c>
      <c r="E2847" s="3" t="inlineStr">
        <is>
          <t>703</t>
        </is>
      </c>
      <c r="F2847" s="3" t="inlineStr">
        <is>
          <t>611</t>
        </is>
      </c>
      <c r="G2847" s="9" t="n">
        <v>324.35</v>
      </c>
      <c r="H2847" s="10" t="n">
        <v>45671.54380787037</v>
      </c>
      <c r="I2847" s="10" t="n">
        <v>45671.54380787037</v>
      </c>
      <c r="J2847" s="10" t="n">
        <v>45671.54584490741</v>
      </c>
      <c r="K2847" s="11" t="n">
        <v>0.002037037037037037</v>
      </c>
      <c r="L2847" s="13" t="n"/>
    </row>
    <row r="2848">
      <c r="A2848" s="3" t="inlineStr">
        <is>
          <t>PushOffDrive</t>
        </is>
      </c>
      <c r="B2848" s="3" t="inlineStr">
        <is>
          <t>Act_POD_1012501_143418_611</t>
        </is>
      </c>
      <c r="C2848" s="3" t="inlineStr">
        <is>
          <t>1012501</t>
        </is>
      </c>
      <c r="D2848" s="9" t="n">
        <v>225.6</v>
      </c>
      <c r="E2848" s="3" t="inlineStr">
        <is>
          <t>703</t>
        </is>
      </c>
      <c r="F2848" s="3" t="inlineStr">
        <is>
          <t>611</t>
        </is>
      </c>
      <c r="G2848" s="9" t="n">
        <v>324.35</v>
      </c>
      <c r="H2848" s="10" t="n">
        <v>45671.60715277777</v>
      </c>
      <c r="I2848" s="10" t="n">
        <v>45671.60715277777</v>
      </c>
      <c r="J2848" s="10" t="n">
        <v>45671.60902777778</v>
      </c>
      <c r="K2848" s="11" t="n">
        <v>0.001875</v>
      </c>
      <c r="L2848" s="13" t="n"/>
    </row>
    <row r="2849">
      <c r="A2849" s="3" t="inlineStr">
        <is>
          <t>PushOffDrive</t>
        </is>
      </c>
      <c r="B2849" s="3" t="inlineStr">
        <is>
          <t>Act_POD_1012601_152420_617</t>
        </is>
      </c>
      <c r="C2849" s="3" t="inlineStr">
        <is>
          <t>1012601</t>
        </is>
      </c>
      <c r="D2849" s="9" t="n">
        <v>19.9</v>
      </c>
      <c r="E2849" s="3" t="inlineStr">
        <is>
          <t>727</t>
        </is>
      </c>
      <c r="F2849" s="3" t="inlineStr">
        <is>
          <t>617</t>
        </is>
      </c>
      <c r="G2849" s="9" t="n">
        <v>292.28</v>
      </c>
      <c r="H2849" s="10" t="n">
        <v>45671.64189814815</v>
      </c>
      <c r="I2849" s="10" t="n">
        <v>45671.64189814815</v>
      </c>
      <c r="J2849" s="10" t="n">
        <v>45671.64315972223</v>
      </c>
      <c r="K2849" s="11" t="n">
        <v>0.001261574074074074</v>
      </c>
      <c r="L2849" s="13" t="n"/>
    </row>
    <row r="2850">
      <c r="A2850" s="3" t="inlineStr">
        <is>
          <t>PushOffDrive</t>
        </is>
      </c>
      <c r="B2850" s="3" t="inlineStr">
        <is>
          <t>Act_POD_1012602_152609_609</t>
        </is>
      </c>
      <c r="C2850" s="3" t="inlineStr">
        <is>
          <t>1012602</t>
        </is>
      </c>
      <c r="D2850" s="9" t="n">
        <v>59.7</v>
      </c>
      <c r="E2850" s="3" t="inlineStr">
        <is>
          <t>727</t>
        </is>
      </c>
      <c r="F2850" s="3" t="inlineStr">
        <is>
          <t>609</t>
        </is>
      </c>
      <c r="G2850" s="9" t="n">
        <v>344.04</v>
      </c>
      <c r="H2850" s="10" t="n">
        <v>45671.64315972223</v>
      </c>
      <c r="I2850" s="10" t="n">
        <v>45671.64315972223</v>
      </c>
      <c r="J2850" s="10" t="n">
        <v>45671.6447337963</v>
      </c>
      <c r="K2850" s="11" t="n">
        <v>0.001574074074074074</v>
      </c>
      <c r="L2850" s="13" t="n"/>
    </row>
    <row r="2851">
      <c r="A2851" s="3" t="inlineStr">
        <is>
          <t>PushOffDrive</t>
        </is>
      </c>
      <c r="B2851" s="3" t="inlineStr">
        <is>
          <t>Act_POD_1012603_152825_623</t>
        </is>
      </c>
      <c r="C2851" s="3" t="inlineStr">
        <is>
          <t>1012603</t>
        </is>
      </c>
      <c r="D2851" s="9" t="n">
        <v>47.2</v>
      </c>
      <c r="E2851" s="3" t="inlineStr">
        <is>
          <t>727</t>
        </is>
      </c>
      <c r="F2851" s="3" t="inlineStr">
        <is>
          <t>623</t>
        </is>
      </c>
      <c r="G2851" s="9" t="n">
        <v>405.22</v>
      </c>
      <c r="H2851" s="10" t="n">
        <v>45671.6447337963</v>
      </c>
      <c r="I2851" s="10" t="n">
        <v>45671.6447337963</v>
      </c>
      <c r="J2851" s="10" t="n">
        <v>45671.64652777778</v>
      </c>
      <c r="K2851" s="11" t="n">
        <v>0.001793981481481481</v>
      </c>
      <c r="L2851" s="13" t="n"/>
    </row>
    <row r="2852">
      <c r="A2852" s="3" t="inlineStr">
        <is>
          <t>PushOffDrive</t>
        </is>
      </c>
      <c r="B2852" s="3" t="inlineStr">
        <is>
          <t>Act_POD_1012604_153100_615</t>
        </is>
      </c>
      <c r="C2852" s="3" t="inlineStr">
        <is>
          <t>1012604</t>
        </is>
      </c>
      <c r="D2852" s="9" t="n">
        <v>96</v>
      </c>
      <c r="E2852" s="3" t="inlineStr">
        <is>
          <t>727</t>
        </is>
      </c>
      <c r="F2852" s="3" t="inlineStr">
        <is>
          <t>615</t>
        </is>
      </c>
      <c r="G2852" s="9" t="n">
        <v>263.09</v>
      </c>
      <c r="H2852" s="10" t="n">
        <v>45671.64652777778</v>
      </c>
      <c r="I2852" s="10" t="n">
        <v>45671.64652777778</v>
      </c>
      <c r="J2852" s="10" t="n">
        <v>45671.64784722222</v>
      </c>
      <c r="K2852" s="11" t="n">
        <v>0.001319444444444444</v>
      </c>
      <c r="L2852" s="13" t="n"/>
    </row>
    <row r="2853">
      <c r="A2853" s="3" t="inlineStr">
        <is>
          <t>PushOffDrive</t>
        </is>
      </c>
      <c r="B2853" s="3" t="inlineStr">
        <is>
          <t>Act_POD_1012605_153254_627</t>
        </is>
      </c>
      <c r="C2853" s="3" t="inlineStr">
        <is>
          <t>1012605</t>
        </is>
      </c>
      <c r="D2853" s="9" t="n">
        <v>15.7</v>
      </c>
      <c r="E2853" s="3" t="inlineStr">
        <is>
          <t>727</t>
        </is>
      </c>
      <c r="F2853" s="3" t="inlineStr">
        <is>
          <t>627</t>
        </is>
      </c>
      <c r="G2853" s="9" t="n">
        <v>443.59</v>
      </c>
      <c r="H2853" s="10" t="n">
        <v>45671.64784722222</v>
      </c>
      <c r="I2853" s="10" t="n">
        <v>45671.64784722222</v>
      </c>
      <c r="J2853" s="10" t="n">
        <v>45671.64973379629</v>
      </c>
      <c r="K2853" s="11" t="n">
        <v>0.001886574074074074</v>
      </c>
      <c r="L2853" s="13" t="n"/>
    </row>
    <row r="2854">
      <c r="A2854" s="3" t="inlineStr">
        <is>
          <t>PushOffDrive</t>
        </is>
      </c>
      <c r="B2854" s="3" t="inlineStr">
        <is>
          <t>Act_POD_1012606_153537_613</t>
        </is>
      </c>
      <c r="C2854" s="3" t="inlineStr">
        <is>
          <t>1012606</t>
        </is>
      </c>
      <c r="D2854" s="9" t="n">
        <v>163.4</v>
      </c>
      <c r="E2854" s="3" t="inlineStr">
        <is>
          <t>727</t>
        </is>
      </c>
      <c r="F2854" s="3" t="inlineStr">
        <is>
          <t>613</t>
        </is>
      </c>
      <c r="G2854" s="9" t="n">
        <v>290.6</v>
      </c>
      <c r="H2854" s="10" t="n">
        <v>45671.64973379629</v>
      </c>
      <c r="I2854" s="10" t="n">
        <v>45671.64973379629</v>
      </c>
      <c r="J2854" s="10" t="n">
        <v>45671.65131944444</v>
      </c>
      <c r="K2854" s="11" t="n">
        <v>0.001585648148148148</v>
      </c>
      <c r="L2854" s="13" t="n"/>
    </row>
    <row r="2855">
      <c r="A2855" s="3" t="inlineStr">
        <is>
          <t>PushOffDrive</t>
        </is>
      </c>
      <c r="B2855" s="3" t="inlineStr">
        <is>
          <t>Act_POD_1012607_153754_627</t>
        </is>
      </c>
      <c r="C2855" s="3" t="inlineStr">
        <is>
          <t>1012607</t>
        </is>
      </c>
      <c r="D2855" s="9" t="n">
        <v>27</v>
      </c>
      <c r="E2855" s="3" t="inlineStr">
        <is>
          <t>727</t>
        </is>
      </c>
      <c r="F2855" s="3" t="inlineStr">
        <is>
          <t>627</t>
        </is>
      </c>
      <c r="G2855" s="9" t="n">
        <v>443.59</v>
      </c>
      <c r="H2855" s="10" t="n">
        <v>45671.65131944444</v>
      </c>
      <c r="I2855" s="10" t="n">
        <v>45671.65131944444</v>
      </c>
      <c r="J2855" s="10" t="n">
        <v>45671.65322916667</v>
      </c>
      <c r="K2855" s="11" t="n">
        <v>0.001909722222222222</v>
      </c>
      <c r="L2855" s="13" t="n"/>
    </row>
    <row r="2856">
      <c r="A2856" s="3" t="inlineStr">
        <is>
          <t>PushOffDrive</t>
        </is>
      </c>
      <c r="B2856" s="3" t="inlineStr">
        <is>
          <t>Act_POD_1012608_154039_617</t>
        </is>
      </c>
      <c r="C2856" s="3" t="inlineStr">
        <is>
          <t>1012608</t>
        </is>
      </c>
      <c r="D2856" s="9" t="n">
        <v>19.9</v>
      </c>
      <c r="E2856" s="3" t="inlineStr">
        <is>
          <t>727</t>
        </is>
      </c>
      <c r="F2856" s="3" t="inlineStr">
        <is>
          <t>617</t>
        </is>
      </c>
      <c r="G2856" s="9" t="n">
        <v>292.28</v>
      </c>
      <c r="H2856" s="10" t="n">
        <v>45671.65322916667</v>
      </c>
      <c r="I2856" s="10" t="n">
        <v>45671.65322916667</v>
      </c>
      <c r="J2856" s="10" t="n">
        <v>45671.65449074074</v>
      </c>
      <c r="K2856" s="11" t="n">
        <v>0.001261574074074074</v>
      </c>
      <c r="L2856" s="13" t="n"/>
    </row>
    <row r="2857">
      <c r="A2857" s="3" t="inlineStr">
        <is>
          <t>PushOffDrive</t>
        </is>
      </c>
      <c r="B2857" s="3" t="inlineStr">
        <is>
          <t>Act_POD_1012609_154228_627</t>
        </is>
      </c>
      <c r="C2857" s="3" t="inlineStr">
        <is>
          <t>1012609</t>
        </is>
      </c>
      <c r="D2857" s="9" t="n">
        <v>15.7</v>
      </c>
      <c r="E2857" s="3" t="inlineStr">
        <is>
          <t>727</t>
        </is>
      </c>
      <c r="F2857" s="3" t="inlineStr">
        <is>
          <t>627</t>
        </is>
      </c>
      <c r="G2857" s="9" t="n">
        <v>443.59</v>
      </c>
      <c r="H2857" s="10" t="n">
        <v>45671.65449074074</v>
      </c>
      <c r="I2857" s="10" t="n">
        <v>45671.65449074074</v>
      </c>
      <c r="J2857" s="10" t="n">
        <v>45671.65637731482</v>
      </c>
      <c r="K2857" s="11" t="n">
        <v>0.001886574074074074</v>
      </c>
      <c r="L2857" s="13" t="n"/>
    </row>
    <row r="2858">
      <c r="A2858" s="3" t="inlineStr">
        <is>
          <t>PushOffDrive</t>
        </is>
      </c>
      <c r="B2858" s="3" t="inlineStr">
        <is>
          <t>Act_POD_1012610_154511_627</t>
        </is>
      </c>
      <c r="C2858" s="3" t="inlineStr">
        <is>
          <t>1012610</t>
        </is>
      </c>
      <c r="D2858" s="9" t="n">
        <v>81</v>
      </c>
      <c r="E2858" s="3" t="inlineStr">
        <is>
          <t>727</t>
        </is>
      </c>
      <c r="F2858" s="3" t="inlineStr">
        <is>
          <t>627</t>
        </is>
      </c>
      <c r="G2858" s="9" t="n">
        <v>443.59</v>
      </c>
      <c r="H2858" s="10" t="n">
        <v>45671.65637731482</v>
      </c>
      <c r="I2858" s="10" t="n">
        <v>45671.65637731482</v>
      </c>
      <c r="J2858" s="10" t="n">
        <v>45671.65841435185</v>
      </c>
      <c r="K2858" s="11" t="n">
        <v>0.002037037037037037</v>
      </c>
      <c r="L2858" s="13" t="n"/>
    </row>
    <row r="2859">
      <c r="A2859" s="3" t="inlineStr">
        <is>
          <t>PushOffDrive</t>
        </is>
      </c>
      <c r="B2859" s="3" t="inlineStr">
        <is>
          <t>Act_POD_1012611_154807_625</t>
        </is>
      </c>
      <c r="C2859" s="3" t="inlineStr">
        <is>
          <t>1012611</t>
        </is>
      </c>
      <c r="D2859" s="9" t="n">
        <v>39</v>
      </c>
      <c r="E2859" s="3" t="inlineStr">
        <is>
          <t>727</t>
        </is>
      </c>
      <c r="F2859" s="3" t="inlineStr">
        <is>
          <t>625</t>
        </is>
      </c>
      <c r="G2859" s="9" t="n">
        <v>470.92</v>
      </c>
      <c r="H2859" s="10" t="n">
        <v>45671.65841435185</v>
      </c>
      <c r="I2859" s="10" t="n">
        <v>45671.65841435185</v>
      </c>
      <c r="J2859" s="10" t="n">
        <v>45671.66046296297</v>
      </c>
      <c r="K2859" s="11" t="n">
        <v>0.002048611111111111</v>
      </c>
      <c r="L2859" s="13" t="n"/>
    </row>
    <row r="2860">
      <c r="A2860" s="3" t="inlineStr">
        <is>
          <t>PushOffDrive</t>
        </is>
      </c>
      <c r="B2860" s="3" t="inlineStr">
        <is>
          <t>Act_POD_1012701_155219_605</t>
        </is>
      </c>
      <c r="C2860" s="3" t="inlineStr">
        <is>
          <t>1012701</t>
        </is>
      </c>
      <c r="D2860" s="9" t="n">
        <v>173.1</v>
      </c>
      <c r="E2860" s="3" t="inlineStr">
        <is>
          <t>703</t>
        </is>
      </c>
      <c r="F2860" s="3" t="inlineStr">
        <is>
          <t>605</t>
        </is>
      </c>
      <c r="G2860" s="9" t="n">
        <v>405.43</v>
      </c>
      <c r="H2860" s="10" t="n">
        <v>45671.66133101852</v>
      </c>
      <c r="I2860" s="10" t="n">
        <v>45671.66133101852</v>
      </c>
      <c r="J2860" s="10" t="n">
        <v>45671.66342592592</v>
      </c>
      <c r="K2860" s="11" t="n">
        <v>0.002094907407407407</v>
      </c>
      <c r="L2860" s="13" t="n"/>
    </row>
    <row r="2861">
      <c r="A2861" s="3" t="inlineStr">
        <is>
          <t>PushOffDrive</t>
        </is>
      </c>
      <c r="B2861" s="3" t="inlineStr">
        <is>
          <t>Act_POD_1012801_155635_607</t>
        </is>
      </c>
      <c r="C2861" s="3" t="inlineStr">
        <is>
          <t>1012801</t>
        </is>
      </c>
      <c r="D2861" s="9" t="n">
        <v>40.9</v>
      </c>
      <c r="E2861" s="3" t="inlineStr">
        <is>
          <t>731</t>
        </is>
      </c>
      <c r="F2861" s="3" t="inlineStr">
        <is>
          <t>607</t>
        </is>
      </c>
      <c r="G2861" s="9" t="n">
        <v>463.29</v>
      </c>
      <c r="H2861" s="10" t="n">
        <v>45671.66429398148</v>
      </c>
      <c r="I2861" s="10" t="n">
        <v>45671.66429398148</v>
      </c>
      <c r="J2861" s="10" t="n">
        <v>45671.66631944444</v>
      </c>
      <c r="K2861" s="11" t="n">
        <v>0.002025462962962963</v>
      </c>
      <c r="L2861" s="13" t="n"/>
    </row>
    <row r="2862">
      <c r="A2862" s="3" t="inlineStr">
        <is>
          <t>PushOffDrive</t>
        </is>
      </c>
      <c r="B2862" s="3" t="inlineStr">
        <is>
          <t>Act_POD_1013001_180009_607</t>
        </is>
      </c>
      <c r="C2862" s="3" t="inlineStr">
        <is>
          <t>1013001</t>
        </is>
      </c>
      <c r="D2862" s="9" t="n">
        <v>63</v>
      </c>
      <c r="E2862" s="3" t="inlineStr">
        <is>
          <t>731</t>
        </is>
      </c>
      <c r="F2862" s="3" t="inlineStr">
        <is>
          <t>607</t>
        </is>
      </c>
      <c r="G2862" s="9" t="n">
        <v>463.29</v>
      </c>
      <c r="H2862" s="10" t="n">
        <v>45671.75010416667</v>
      </c>
      <c r="I2862" s="10" t="n">
        <v>45671.75010416667</v>
      </c>
      <c r="J2862" s="10" t="n">
        <v>45671.7521875</v>
      </c>
      <c r="K2862" s="11" t="n">
        <v>0.002083333333333333</v>
      </c>
      <c r="L2862" s="13" t="n"/>
    </row>
    <row r="2863">
      <c r="A2863" s="3" t="inlineStr">
        <is>
          <t>PushOffDrive</t>
        </is>
      </c>
      <c r="B2863" s="3" t="inlineStr">
        <is>
          <t>Act_POD_1012901_180424_621</t>
        </is>
      </c>
      <c r="C2863" s="3" t="inlineStr">
        <is>
          <t>1012901</t>
        </is>
      </c>
      <c r="D2863" s="9" t="n">
        <v>31.5</v>
      </c>
      <c r="E2863" s="3" t="inlineStr">
        <is>
          <t>703</t>
        </is>
      </c>
      <c r="F2863" s="3" t="inlineStr">
        <is>
          <t>621</t>
        </is>
      </c>
      <c r="G2863" s="9" t="n">
        <v>459.96</v>
      </c>
      <c r="H2863" s="10" t="n">
        <v>45671.75305555556</v>
      </c>
      <c r="I2863" s="10" t="n">
        <v>45671.75305555556</v>
      </c>
      <c r="J2863" s="10" t="n">
        <v>45671.7550462963</v>
      </c>
      <c r="K2863" s="11" t="n">
        <v>0.001990740740740741</v>
      </c>
      <c r="L2863" s="13" t="n"/>
    </row>
    <row r="2864">
      <c r="A2864" s="3" t="inlineStr">
        <is>
          <t>PushOffDrive</t>
        </is>
      </c>
      <c r="B2864" s="3" t="inlineStr">
        <is>
          <t>Act_POD_1012902_180716_615</t>
        </is>
      </c>
      <c r="C2864" s="3" t="inlineStr">
        <is>
          <t>1012902</t>
        </is>
      </c>
      <c r="D2864" s="9" t="n">
        <v>108</v>
      </c>
      <c r="E2864" s="3" t="inlineStr">
        <is>
          <t>703</t>
        </is>
      </c>
      <c r="F2864" s="3" t="inlineStr">
        <is>
          <t>615</t>
        </is>
      </c>
      <c r="G2864" s="9" t="n">
        <v>269.92</v>
      </c>
      <c r="H2864" s="10" t="n">
        <v>45671.7550462963</v>
      </c>
      <c r="I2864" s="10" t="n">
        <v>45671.7550462963</v>
      </c>
      <c r="J2864" s="10" t="n">
        <v>45671.75641203704</v>
      </c>
      <c r="K2864" s="11" t="n">
        <v>0.001365740740740741</v>
      </c>
      <c r="L2864" s="13" t="n"/>
    </row>
    <row r="2865">
      <c r="A2865" s="3" t="inlineStr">
        <is>
          <t>PushOffDrive</t>
        </is>
      </c>
      <c r="B2865" s="3" t="inlineStr">
        <is>
          <t>Act_POD_1012903_180914_617</t>
        </is>
      </c>
      <c r="C2865" s="3" t="inlineStr">
        <is>
          <t>1012903</t>
        </is>
      </c>
      <c r="D2865" s="9" t="n">
        <v>12</v>
      </c>
      <c r="E2865" s="3" t="inlineStr">
        <is>
          <t>703</t>
        </is>
      </c>
      <c r="F2865" s="3" t="inlineStr">
        <is>
          <t>617</t>
        </is>
      </c>
      <c r="G2865" s="9" t="n">
        <v>299.11</v>
      </c>
      <c r="H2865" s="10" t="n">
        <v>45671.75641203704</v>
      </c>
      <c r="I2865" s="10" t="n">
        <v>45671.75641203704</v>
      </c>
      <c r="J2865" s="10" t="n">
        <v>45671.75768518518</v>
      </c>
      <c r="K2865" s="11" t="n">
        <v>0.001273148148148148</v>
      </c>
      <c r="L2865" s="13" t="n"/>
    </row>
    <row r="2866">
      <c r="A2866" s="3" t="inlineStr">
        <is>
          <t>PushOffDrive</t>
        </is>
      </c>
      <c r="B2866" s="3" t="inlineStr">
        <is>
          <t>Act_POD_1012904_181104_625</t>
        </is>
      </c>
      <c r="C2866" s="3" t="inlineStr">
        <is>
          <t>1012904</t>
        </is>
      </c>
      <c r="D2866" s="9" t="n">
        <v>39</v>
      </c>
      <c r="E2866" s="3" t="inlineStr">
        <is>
          <t>703</t>
        </is>
      </c>
      <c r="F2866" s="3" t="inlineStr">
        <is>
          <t>625</t>
        </is>
      </c>
      <c r="G2866" s="9" t="n">
        <v>477.75</v>
      </c>
      <c r="H2866" s="10" t="n">
        <v>45671.75768518518</v>
      </c>
      <c r="I2866" s="10" t="n">
        <v>45671.75768518518</v>
      </c>
      <c r="J2866" s="10" t="n">
        <v>45671.75976851852</v>
      </c>
      <c r="K2866" s="11" t="n">
        <v>0.002083333333333333</v>
      </c>
      <c r="L2866" s="13" t="n"/>
    </row>
    <row r="2867">
      <c r="A2867" s="3" t="inlineStr">
        <is>
          <t>PushOffDrive</t>
        </is>
      </c>
      <c r="B2867" s="3" t="inlineStr">
        <is>
          <t>Act_POD_1012905_181404_613</t>
        </is>
      </c>
      <c r="C2867" s="3" t="inlineStr">
        <is>
          <t>1012905</t>
        </is>
      </c>
      <c r="D2867" s="9" t="n">
        <v>19.9</v>
      </c>
      <c r="E2867" s="3" t="inlineStr">
        <is>
          <t>703</t>
        </is>
      </c>
      <c r="F2867" s="3" t="inlineStr">
        <is>
          <t>613</t>
        </is>
      </c>
      <c r="G2867" s="9" t="n">
        <v>297.43</v>
      </c>
      <c r="H2867" s="10" t="n">
        <v>45671.75976851852</v>
      </c>
      <c r="I2867" s="10" t="n">
        <v>45671.75976851852</v>
      </c>
      <c r="J2867" s="10" t="n">
        <v>45671.76105324074</v>
      </c>
      <c r="K2867" s="11" t="n">
        <v>0.001284722222222222</v>
      </c>
      <c r="L2867" s="13" t="n"/>
    </row>
    <row r="2868">
      <c r="A2868" s="3" t="inlineStr">
        <is>
          <t>PushOffDrive</t>
        </is>
      </c>
      <c r="B2868" s="3" t="inlineStr">
        <is>
          <t>Act_POD_1012906_181555_627</t>
        </is>
      </c>
      <c r="C2868" s="3" t="inlineStr">
        <is>
          <t>1012906</t>
        </is>
      </c>
      <c r="D2868" s="9" t="n">
        <v>15.7</v>
      </c>
      <c r="E2868" s="3" t="inlineStr">
        <is>
          <t>703</t>
        </is>
      </c>
      <c r="F2868" s="3" t="inlineStr">
        <is>
          <t>627</t>
        </is>
      </c>
      <c r="G2868" s="9" t="n">
        <v>450.42</v>
      </c>
      <c r="H2868" s="10" t="n">
        <v>45671.76105324074</v>
      </c>
      <c r="I2868" s="10" t="n">
        <v>45671.76105324074</v>
      </c>
      <c r="J2868" s="10" t="n">
        <v>45671.76297453704</v>
      </c>
      <c r="K2868" s="11" t="n">
        <v>0.001921296296296296</v>
      </c>
      <c r="L2868" s="13" t="n"/>
    </row>
    <row r="2869">
      <c r="A2869" s="3" t="inlineStr">
        <is>
          <t>PushOffDrive</t>
        </is>
      </c>
      <c r="B2869" s="3" t="inlineStr">
        <is>
          <t>Act_POD_1012907_181841_605</t>
        </is>
      </c>
      <c r="C2869" s="3" t="inlineStr">
        <is>
          <t>1012907</t>
        </is>
      </c>
      <c r="D2869" s="9" t="n">
        <v>54.7</v>
      </c>
      <c r="E2869" s="3" t="inlineStr">
        <is>
          <t>703</t>
        </is>
      </c>
      <c r="F2869" s="3" t="inlineStr">
        <is>
          <t>605</t>
        </is>
      </c>
      <c r="G2869" s="9" t="n">
        <v>405.43</v>
      </c>
      <c r="H2869" s="10" t="n">
        <v>45671.76297453704</v>
      </c>
      <c r="I2869" s="10" t="n">
        <v>45671.76297453704</v>
      </c>
      <c r="J2869" s="10" t="n">
        <v>45671.76478009259</v>
      </c>
      <c r="K2869" s="11" t="n">
        <v>0.001805555555555555</v>
      </c>
      <c r="L2869" s="13" t="n"/>
    </row>
    <row r="2870">
      <c r="A2870" s="3" t="inlineStr">
        <is>
          <t>PushOffDrive</t>
        </is>
      </c>
      <c r="B2870" s="3" t="inlineStr">
        <is>
          <t>Act_POD_1012908_182117_623</t>
        </is>
      </c>
      <c r="C2870" s="3" t="inlineStr">
        <is>
          <t>1012908</t>
        </is>
      </c>
      <c r="D2870" s="9" t="n">
        <v>111.4</v>
      </c>
      <c r="E2870" s="3" t="inlineStr">
        <is>
          <t>703</t>
        </is>
      </c>
      <c r="F2870" s="3" t="inlineStr">
        <is>
          <t>623</t>
        </is>
      </c>
      <c r="G2870" s="9" t="n">
        <v>412.05</v>
      </c>
      <c r="H2870" s="10" t="n">
        <v>45671.76478009259</v>
      </c>
      <c r="I2870" s="10" t="n">
        <v>45671.76478009259</v>
      </c>
      <c r="J2870" s="10" t="n">
        <v>45671.76675925926</v>
      </c>
      <c r="K2870" s="11" t="n">
        <v>0.001979166666666667</v>
      </c>
      <c r="L2870" s="13" t="n"/>
    </row>
    <row r="2871">
      <c r="A2871" s="3" t="inlineStr">
        <is>
          <t>PushOffDrive</t>
        </is>
      </c>
      <c r="B2871" s="3" t="inlineStr">
        <is>
          <t>Act_POD_1012909_182408_609</t>
        </is>
      </c>
      <c r="C2871" s="3" t="inlineStr">
        <is>
          <t>1012909</t>
        </is>
      </c>
      <c r="D2871" s="9" t="n">
        <v>19.9</v>
      </c>
      <c r="E2871" s="3" t="inlineStr">
        <is>
          <t>703</t>
        </is>
      </c>
      <c r="F2871" s="3" t="inlineStr">
        <is>
          <t>609</t>
        </is>
      </c>
      <c r="G2871" s="9" t="n">
        <v>350.87</v>
      </c>
      <c r="H2871" s="10" t="n">
        <v>45671.76675925926</v>
      </c>
      <c r="I2871" s="10" t="n">
        <v>45671.76675925926</v>
      </c>
      <c r="J2871" s="10" t="n">
        <v>45671.76826388889</v>
      </c>
      <c r="K2871" s="11" t="n">
        <v>0.00150462962962963</v>
      </c>
      <c r="L2871" s="13" t="n"/>
    </row>
    <row r="2872">
      <c r="A2872" s="3" t="inlineStr">
        <is>
          <t>PushOffDrive</t>
        </is>
      </c>
      <c r="B2872" s="3" t="inlineStr">
        <is>
          <t>Act_POD_1012910_182618_605</t>
        </is>
      </c>
      <c r="C2872" s="3" t="inlineStr">
        <is>
          <t>1012910</t>
        </is>
      </c>
      <c r="D2872" s="9" t="n">
        <v>78</v>
      </c>
      <c r="E2872" s="3" t="inlineStr">
        <is>
          <t>703</t>
        </is>
      </c>
      <c r="F2872" s="3" t="inlineStr">
        <is>
          <t>605</t>
        </is>
      </c>
      <c r="G2872" s="9" t="n">
        <v>405.43</v>
      </c>
      <c r="H2872" s="10" t="n">
        <v>45671.76826388889</v>
      </c>
      <c r="I2872" s="10" t="n">
        <v>45671.76826388889</v>
      </c>
      <c r="J2872" s="10" t="n">
        <v>45671.77013888889</v>
      </c>
      <c r="K2872" s="11" t="n">
        <v>0.001875</v>
      </c>
      <c r="L2872" s="13" t="n"/>
    </row>
    <row r="2873">
      <c r="A2873" s="3" t="inlineStr">
        <is>
          <t>PushOffDrive</t>
        </is>
      </c>
      <c r="B2873" s="3" t="inlineStr">
        <is>
          <t>Act_POD_1013101_195456_615</t>
        </is>
      </c>
      <c r="C2873" s="3" t="inlineStr">
        <is>
          <t>1013101</t>
        </is>
      </c>
      <c r="D2873" s="9" t="n">
        <v>15.7</v>
      </c>
      <c r="E2873" s="3" t="inlineStr">
        <is>
          <t>731</t>
        </is>
      </c>
      <c r="F2873" s="3" t="inlineStr">
        <is>
          <t>615</t>
        </is>
      </c>
      <c r="G2873" s="9" t="n">
        <v>354.81</v>
      </c>
      <c r="H2873" s="10" t="n">
        <v>45671.82981481482</v>
      </c>
      <c r="I2873" s="10" t="n">
        <v>45671.82981481482</v>
      </c>
      <c r="J2873" s="10" t="n">
        <v>45671.83133101852</v>
      </c>
      <c r="K2873" s="11" t="n">
        <v>0.001516203703703704</v>
      </c>
      <c r="L2873" s="13" t="n"/>
    </row>
    <row r="2874">
      <c r="A2874" s="3" t="inlineStr">
        <is>
          <t>PushOffDrive</t>
        </is>
      </c>
      <c r="B2874" s="3" t="inlineStr">
        <is>
          <t>Act_POD_1013201_023957_606</t>
        </is>
      </c>
      <c r="C2874" s="3" t="inlineStr">
        <is>
          <t>1013201</t>
        </is>
      </c>
      <c r="D2874" s="9" t="n">
        <v>166.9</v>
      </c>
      <c r="E2874" s="3" t="inlineStr">
        <is>
          <t>703</t>
        </is>
      </c>
      <c r="F2874" s="3" t="inlineStr">
        <is>
          <t>606</t>
        </is>
      </c>
      <c r="G2874" s="9" t="n">
        <v>405.03</v>
      </c>
      <c r="H2874" s="10" t="n">
        <v>45672.11107638889</v>
      </c>
      <c r="I2874" s="10" t="n">
        <v>45672.11107638889</v>
      </c>
      <c r="J2874" s="10" t="n">
        <v>45672.11314814815</v>
      </c>
      <c r="K2874" s="11" t="n">
        <v>0.002071759259259259</v>
      </c>
      <c r="L2874" s="13" t="n"/>
    </row>
    <row r="2875">
      <c r="A2875" s="3" t="inlineStr">
        <is>
          <t>PushOffDrive</t>
        </is>
      </c>
      <c r="B2875" s="3" t="inlineStr">
        <is>
          <t>Act_POD_1013202_024256_627</t>
        </is>
      </c>
      <c r="C2875" s="3" t="inlineStr">
        <is>
          <t>1013202</t>
        </is>
      </c>
      <c r="D2875" s="9" t="n">
        <v>47.2</v>
      </c>
      <c r="E2875" s="3" t="inlineStr">
        <is>
          <t>703</t>
        </is>
      </c>
      <c r="F2875" s="3" t="inlineStr">
        <is>
          <t>627</t>
        </is>
      </c>
      <c r="G2875" s="9" t="n">
        <v>450.42</v>
      </c>
      <c r="H2875" s="10" t="n">
        <v>45672.11314814815</v>
      </c>
      <c r="I2875" s="10" t="n">
        <v>45672.11314814815</v>
      </c>
      <c r="J2875" s="10" t="n">
        <v>45672.11512731481</v>
      </c>
      <c r="K2875" s="11" t="n">
        <v>0.001979166666666667</v>
      </c>
      <c r="L2875" s="13" t="n"/>
    </row>
    <row r="2876">
      <c r="A2876" s="3" t="inlineStr">
        <is>
          <t>PushOffDrive</t>
        </is>
      </c>
      <c r="B2876" s="3" t="inlineStr">
        <is>
          <t>Act_POD_1013203_024547_605</t>
        </is>
      </c>
      <c r="C2876" s="3" t="inlineStr">
        <is>
          <t>1013203</t>
        </is>
      </c>
      <c r="D2876" s="9" t="n">
        <v>12</v>
      </c>
      <c r="E2876" s="3" t="inlineStr">
        <is>
          <t>703</t>
        </is>
      </c>
      <c r="F2876" s="3" t="inlineStr">
        <is>
          <t>605</t>
        </is>
      </c>
      <c r="G2876" s="9" t="n">
        <v>405.43</v>
      </c>
      <c r="H2876" s="10" t="n">
        <v>45672.11512731481</v>
      </c>
      <c r="I2876" s="10" t="n">
        <v>45672.11512731481</v>
      </c>
      <c r="J2876" s="10" t="n">
        <v>45672.11685185185</v>
      </c>
      <c r="K2876" s="11" t="n">
        <v>0.001724537037037037</v>
      </c>
      <c r="L2876" s="13" t="n"/>
    </row>
    <row r="2877">
      <c r="A2877" s="3" t="inlineStr">
        <is>
          <t>PushOffDrive</t>
        </is>
      </c>
      <c r="B2877" s="3" t="inlineStr">
        <is>
          <t>Act_POD_1013204_024816_619</t>
        </is>
      </c>
      <c r="C2877" s="3" t="inlineStr">
        <is>
          <t>1013204</t>
        </is>
      </c>
      <c r="D2877" s="9" t="n">
        <v>87</v>
      </c>
      <c r="E2877" s="3" t="inlineStr">
        <is>
          <t>703</t>
        </is>
      </c>
      <c r="F2877" s="3" t="inlineStr">
        <is>
          <t>619</t>
        </is>
      </c>
      <c r="G2877" s="9" t="n">
        <v>459.96</v>
      </c>
      <c r="H2877" s="10" t="n">
        <v>45672.11685185185</v>
      </c>
      <c r="I2877" s="10" t="n">
        <v>45672.11685185185</v>
      </c>
      <c r="J2877" s="10" t="n">
        <v>45672.11896990741</v>
      </c>
      <c r="K2877" s="11" t="n">
        <v>0.002118055555555556</v>
      </c>
      <c r="L2877" s="13" t="n"/>
    </row>
    <row r="2878">
      <c r="A2878" s="3" t="inlineStr">
        <is>
          <t>PushOffDrive</t>
        </is>
      </c>
      <c r="B2878" s="3" t="inlineStr">
        <is>
          <t>Act_POD_1013301_045050_623</t>
        </is>
      </c>
      <c r="C2878" s="3" t="inlineStr">
        <is>
          <t>1013301</t>
        </is>
      </c>
      <c r="D2878" s="9" t="n">
        <v>521.9</v>
      </c>
      <c r="E2878" s="3" t="inlineStr">
        <is>
          <t>703</t>
        </is>
      </c>
      <c r="F2878" s="3" t="inlineStr">
        <is>
          <t>623</t>
        </is>
      </c>
      <c r="G2878" s="9" t="n">
        <v>412.05</v>
      </c>
      <c r="H2878" s="10" t="n">
        <v>45672.20196759259</v>
      </c>
      <c r="I2878" s="10" t="n">
        <v>45672.20196759259</v>
      </c>
      <c r="J2878" s="10" t="n">
        <v>45672.20488425926</v>
      </c>
      <c r="K2878" s="11" t="n">
        <v>0.002916666666666667</v>
      </c>
      <c r="L2878" s="13" t="n"/>
    </row>
    <row r="2879">
      <c r="A2879" s="3" t="inlineStr">
        <is>
          <t>PushOffDrive</t>
        </is>
      </c>
      <c r="B2879" s="3" t="inlineStr">
        <is>
          <t>Act_POD_1013401_064027_615</t>
        </is>
      </c>
      <c r="C2879" s="3" t="inlineStr">
        <is>
          <t>1013401</t>
        </is>
      </c>
      <c r="D2879" s="9" t="n">
        <v>298</v>
      </c>
      <c r="E2879" s="3" t="inlineStr">
        <is>
          <t>703</t>
        </is>
      </c>
      <c r="F2879" s="3" t="inlineStr">
        <is>
          <t>615</t>
        </is>
      </c>
      <c r="G2879" s="9" t="n">
        <v>269.92</v>
      </c>
      <c r="H2879" s="10" t="n">
        <v>45672.27809027778</v>
      </c>
      <c r="I2879" s="10" t="n">
        <v>45672.27809027778</v>
      </c>
      <c r="J2879" s="10" t="n">
        <v>45672.27989583334</v>
      </c>
      <c r="K2879" s="11" t="n">
        <v>0.001805555555555555</v>
      </c>
      <c r="L2879" s="13" t="n"/>
    </row>
    <row r="2880">
      <c r="A2880" s="3" t="inlineStr">
        <is>
          <t>PushOffDrive</t>
        </is>
      </c>
      <c r="B2880" s="3" t="inlineStr">
        <is>
          <t>Act_POD_1013501_073417_627</t>
        </is>
      </c>
      <c r="C2880" s="3" t="inlineStr">
        <is>
          <t>1013501</t>
        </is>
      </c>
      <c r="D2880" s="9" t="n">
        <v>47.2</v>
      </c>
      <c r="E2880" s="3" t="inlineStr">
        <is>
          <t>703</t>
        </is>
      </c>
      <c r="F2880" s="3" t="inlineStr">
        <is>
          <t>627</t>
        </is>
      </c>
      <c r="G2880" s="9" t="n">
        <v>450.42</v>
      </c>
      <c r="H2880" s="10" t="n">
        <v>45672.31547453703</v>
      </c>
      <c r="I2880" s="10" t="n">
        <v>45672.31547453703</v>
      </c>
      <c r="J2880" s="10" t="n">
        <v>45672.3174537037</v>
      </c>
      <c r="K2880" s="11" t="n">
        <v>0.001979166666666667</v>
      </c>
      <c r="L2880" s="13" t="n"/>
    </row>
    <row r="2881">
      <c r="A2881" s="3" t="inlineStr">
        <is>
          <t>PushOffDrive</t>
        </is>
      </c>
      <c r="B2881" s="3" t="inlineStr">
        <is>
          <t>Act_POD_1013502_073708_619</t>
        </is>
      </c>
      <c r="C2881" s="3" t="inlineStr">
        <is>
          <t>1013502</t>
        </is>
      </c>
      <c r="D2881" s="9" t="n">
        <v>23.2</v>
      </c>
      <c r="E2881" s="3" t="inlineStr">
        <is>
          <t>703</t>
        </is>
      </c>
      <c r="F2881" s="3" t="inlineStr">
        <is>
          <t>619</t>
        </is>
      </c>
      <c r="G2881" s="9" t="n">
        <v>459.96</v>
      </c>
      <c r="H2881" s="10" t="n">
        <v>45672.3174537037</v>
      </c>
      <c r="I2881" s="10" t="n">
        <v>45672.3174537037</v>
      </c>
      <c r="J2881" s="10" t="n">
        <v>45672.3194212963</v>
      </c>
      <c r="K2881" s="11" t="n">
        <v>0.001967592592592592</v>
      </c>
      <c r="L2881" s="13" t="n"/>
    </row>
    <row r="2882">
      <c r="A2882" s="3" t="inlineStr">
        <is>
          <t>PushOffDrive</t>
        </is>
      </c>
      <c r="B2882" s="3" t="inlineStr">
        <is>
          <t>Act_POD_1013503_073958_606</t>
        </is>
      </c>
      <c r="C2882" s="3" t="inlineStr">
        <is>
          <t>1013503</t>
        </is>
      </c>
      <c r="D2882" s="9" t="n">
        <v>37.5</v>
      </c>
      <c r="E2882" s="3" t="inlineStr">
        <is>
          <t>703</t>
        </is>
      </c>
      <c r="F2882" s="3" t="inlineStr">
        <is>
          <t>606</t>
        </is>
      </c>
      <c r="G2882" s="9" t="n">
        <v>405.03</v>
      </c>
      <c r="H2882" s="10" t="n">
        <v>45672.3194212963</v>
      </c>
      <c r="I2882" s="10" t="n">
        <v>45672.3194212963</v>
      </c>
      <c r="J2882" s="10" t="n">
        <v>45672.3212037037</v>
      </c>
      <c r="K2882" s="11" t="n">
        <v>0.001782407407407407</v>
      </c>
      <c r="L2882" s="13" t="n"/>
    </row>
    <row r="2883">
      <c r="A2883" s="3" t="inlineStr">
        <is>
          <t>PushOffDrive</t>
        </is>
      </c>
      <c r="B2883" s="3" t="inlineStr">
        <is>
          <t>Act_POD_1013504_074232_605</t>
        </is>
      </c>
      <c r="C2883" s="3" t="inlineStr">
        <is>
          <t>1013504</t>
        </is>
      </c>
      <c r="D2883" s="9" t="n">
        <v>12</v>
      </c>
      <c r="E2883" s="3" t="inlineStr">
        <is>
          <t>703</t>
        </is>
      </c>
      <c r="F2883" s="3" t="inlineStr">
        <is>
          <t>605</t>
        </is>
      </c>
      <c r="G2883" s="9" t="n">
        <v>405.43</v>
      </c>
      <c r="H2883" s="10" t="n">
        <v>45672.3212037037</v>
      </c>
      <c r="I2883" s="10" t="n">
        <v>45672.3212037037</v>
      </c>
      <c r="J2883" s="10" t="n">
        <v>45672.32291666666</v>
      </c>
      <c r="K2883" s="11" t="n">
        <v>0.001712962962962963</v>
      </c>
      <c r="L2883" s="13" t="n"/>
    </row>
    <row r="2884">
      <c r="A2884" s="3" t="inlineStr">
        <is>
          <t>PushOffDrive</t>
        </is>
      </c>
      <c r="B2884" s="3" t="inlineStr">
        <is>
          <t>Act_POD_1013505_074500_607</t>
        </is>
      </c>
      <c r="C2884" s="3" t="inlineStr">
        <is>
          <t>1013505</t>
        </is>
      </c>
      <c r="D2884" s="9" t="n">
        <v>21</v>
      </c>
      <c r="E2884" s="3" t="inlineStr">
        <is>
          <t>703</t>
        </is>
      </c>
      <c r="F2884" s="3" t="inlineStr">
        <is>
          <t>607</t>
        </is>
      </c>
      <c r="G2884" s="9" t="n">
        <v>378.4</v>
      </c>
      <c r="H2884" s="10" t="n">
        <v>45672.32291666666</v>
      </c>
      <c r="I2884" s="10" t="n">
        <v>45672.32291666666</v>
      </c>
      <c r="J2884" s="10" t="n">
        <v>45672.32454861111</v>
      </c>
      <c r="K2884" s="11" t="n">
        <v>0.001631944444444445</v>
      </c>
      <c r="L2884" s="13" t="n"/>
    </row>
    <row r="2885">
      <c r="A2885" s="3" t="inlineStr">
        <is>
          <t>PushOffDrive</t>
        </is>
      </c>
      <c r="B2885" s="3" t="inlineStr">
        <is>
          <t>Act_POD_1013506_074721_611</t>
        </is>
      </c>
      <c r="C2885" s="3" t="inlineStr">
        <is>
          <t>1013506</t>
        </is>
      </c>
      <c r="D2885" s="9" t="n">
        <v>28</v>
      </c>
      <c r="E2885" s="3" t="inlineStr">
        <is>
          <t>703</t>
        </is>
      </c>
      <c r="F2885" s="3" t="inlineStr">
        <is>
          <t>611</t>
        </is>
      </c>
      <c r="G2885" s="9" t="n">
        <v>324.35</v>
      </c>
      <c r="H2885" s="10" t="n">
        <v>45672.32454861111</v>
      </c>
      <c r="I2885" s="10" t="n">
        <v>45672.32454861111</v>
      </c>
      <c r="J2885" s="10" t="n">
        <v>45672.32596064815</v>
      </c>
      <c r="K2885" s="11" t="n">
        <v>0.001412037037037037</v>
      </c>
      <c r="L2885" s="13" t="n"/>
    </row>
    <row r="2886">
      <c r="A2886" s="3" t="inlineStr">
        <is>
          <t>PushOffDrive</t>
        </is>
      </c>
      <c r="B2886" s="3" t="inlineStr">
        <is>
          <t>Act_POD_1013507_074923_625</t>
        </is>
      </c>
      <c r="C2886" s="3" t="inlineStr">
        <is>
          <t>1013507</t>
        </is>
      </c>
      <c r="D2886" s="9" t="n">
        <v>67.09999999999999</v>
      </c>
      <c r="E2886" s="3" t="inlineStr">
        <is>
          <t>703</t>
        </is>
      </c>
      <c r="F2886" s="3" t="inlineStr">
        <is>
          <t>625</t>
        </is>
      </c>
      <c r="G2886" s="9" t="n">
        <v>477.75</v>
      </c>
      <c r="H2886" s="10" t="n">
        <v>45672.32596064815</v>
      </c>
      <c r="I2886" s="10" t="n">
        <v>45672.32596064815</v>
      </c>
      <c r="J2886" s="10" t="n">
        <v>45672.32810185185</v>
      </c>
      <c r="K2886" s="11" t="n">
        <v>0.002141203703703704</v>
      </c>
      <c r="L2886" s="13" t="n"/>
    </row>
    <row r="2887">
      <c r="A2887" s="3" t="inlineStr">
        <is>
          <t>PushOffDrive</t>
        </is>
      </c>
      <c r="B2887" s="3" t="inlineStr">
        <is>
          <t>Act_POD_1013508_075228_619</t>
        </is>
      </c>
      <c r="C2887" s="3" t="inlineStr">
        <is>
          <t>1013508</t>
        </is>
      </c>
      <c r="D2887" s="9" t="n">
        <v>62.2</v>
      </c>
      <c r="E2887" s="3" t="inlineStr">
        <is>
          <t>703</t>
        </is>
      </c>
      <c r="F2887" s="3" t="inlineStr">
        <is>
          <t>619</t>
        </is>
      </c>
      <c r="G2887" s="9" t="n">
        <v>459.96</v>
      </c>
      <c r="H2887" s="10" t="n">
        <v>45672.32810185185</v>
      </c>
      <c r="I2887" s="10" t="n">
        <v>45672.32810185185</v>
      </c>
      <c r="J2887" s="10" t="n">
        <v>45672.33016203704</v>
      </c>
      <c r="K2887" s="11" t="n">
        <v>0.002060185185185185</v>
      </c>
      <c r="L2887" s="13" t="n"/>
    </row>
    <row r="2888">
      <c r="A2888" s="3" t="inlineStr">
        <is>
          <t>PushOffDrive</t>
        </is>
      </c>
      <c r="B2888" s="3" t="inlineStr">
        <is>
          <t>Act_POD_1013509_075526_617</t>
        </is>
      </c>
      <c r="C2888" s="3" t="inlineStr">
        <is>
          <t>1013509</t>
        </is>
      </c>
      <c r="D2888" s="9" t="n">
        <v>108</v>
      </c>
      <c r="E2888" s="3" t="inlineStr">
        <is>
          <t>703</t>
        </is>
      </c>
      <c r="F2888" s="3" t="inlineStr">
        <is>
          <t>617</t>
        </is>
      </c>
      <c r="G2888" s="9" t="n">
        <v>299.11</v>
      </c>
      <c r="H2888" s="10" t="n">
        <v>45672.33016203704</v>
      </c>
      <c r="I2888" s="10" t="n">
        <v>45672.33016203704</v>
      </c>
      <c r="J2888" s="10" t="n">
        <v>45672.33166666667</v>
      </c>
      <c r="K2888" s="11" t="n">
        <v>0.00150462962962963</v>
      </c>
      <c r="L2888" s="13" t="n"/>
    </row>
    <row r="2889">
      <c r="A2889" s="3" t="inlineStr">
        <is>
          <t>PushOffDrive</t>
        </is>
      </c>
      <c r="B2889" s="3" t="inlineStr">
        <is>
          <t>Act_POD_1013601_075852_623</t>
        </is>
      </c>
      <c r="C2889" s="3" t="inlineStr">
        <is>
          <t>1013601</t>
        </is>
      </c>
      <c r="D2889" s="9" t="n">
        <v>257</v>
      </c>
      <c r="E2889" s="3" t="inlineStr">
        <is>
          <t>727</t>
        </is>
      </c>
      <c r="F2889" s="3" t="inlineStr">
        <is>
          <t>623</t>
        </is>
      </c>
      <c r="G2889" s="9" t="n">
        <v>405.22</v>
      </c>
      <c r="H2889" s="10" t="n">
        <v>45672.3325462963</v>
      </c>
      <c r="I2889" s="10" t="n">
        <v>45672.3325462963</v>
      </c>
      <c r="J2889" s="10" t="n">
        <v>45672.33482638889</v>
      </c>
      <c r="K2889" s="11" t="n">
        <v>0.002280092592592593</v>
      </c>
      <c r="L2889" s="13" t="n"/>
    </row>
    <row r="2890">
      <c r="A2890" s="3" t="inlineStr">
        <is>
          <t>PushOffDrive</t>
        </is>
      </c>
      <c r="B2890" s="3" t="inlineStr">
        <is>
          <t>Act_POD_1013701_081549_621</t>
        </is>
      </c>
      <c r="C2890" s="3" t="inlineStr">
        <is>
          <t>1013701</t>
        </is>
      </c>
      <c r="D2890" s="9" t="n">
        <v>374.1</v>
      </c>
      <c r="E2890" s="3" t="inlineStr">
        <is>
          <t>703</t>
        </is>
      </c>
      <c r="F2890" s="3" t="inlineStr">
        <is>
          <t>621</t>
        </is>
      </c>
      <c r="G2890" s="9" t="n">
        <v>459.96</v>
      </c>
      <c r="H2890" s="10" t="n">
        <v>45672.34431712963</v>
      </c>
      <c r="I2890" s="10" t="n">
        <v>45672.34431712963</v>
      </c>
      <c r="J2890" s="10" t="n">
        <v>45672.34710648148</v>
      </c>
      <c r="K2890" s="11" t="n">
        <v>0.002789351851851852</v>
      </c>
      <c r="L2890" s="13" t="n"/>
    </row>
    <row r="2891">
      <c r="A2891" s="3" t="inlineStr">
        <is>
          <t>PushOffDrive</t>
        </is>
      </c>
      <c r="B2891" s="3" t="inlineStr">
        <is>
          <t>Act_POD_1013801_091530_619</t>
        </is>
      </c>
      <c r="C2891" s="3" t="inlineStr">
        <is>
          <t>1013801</t>
        </is>
      </c>
      <c r="D2891" s="9" t="n">
        <v>23.2</v>
      </c>
      <c r="E2891" s="3" t="inlineStr">
        <is>
          <t>703</t>
        </is>
      </c>
      <c r="F2891" s="3" t="inlineStr">
        <is>
          <t>619</t>
        </is>
      </c>
      <c r="G2891" s="9" t="n">
        <v>459.96</v>
      </c>
      <c r="H2891" s="10" t="n">
        <v>45672.38576388889</v>
      </c>
      <c r="I2891" s="10" t="n">
        <v>45672.38576388889</v>
      </c>
      <c r="J2891" s="10" t="n">
        <v>45672.38773148148</v>
      </c>
      <c r="K2891" s="11" t="n">
        <v>0.001967592592592592</v>
      </c>
      <c r="L2891" s="13" t="n"/>
    </row>
    <row r="2892">
      <c r="A2892" s="3" t="inlineStr">
        <is>
          <t>PushOffDrive</t>
        </is>
      </c>
      <c r="B2892" s="3" t="inlineStr">
        <is>
          <t>Act_POD_1013802_091820_607</t>
        </is>
      </c>
      <c r="C2892" s="3" t="inlineStr">
        <is>
          <t>1013802</t>
        </is>
      </c>
      <c r="D2892" s="9" t="n">
        <v>21</v>
      </c>
      <c r="E2892" s="3" t="inlineStr">
        <is>
          <t>703</t>
        </is>
      </c>
      <c r="F2892" s="3" t="inlineStr">
        <is>
          <t>607</t>
        </is>
      </c>
      <c r="G2892" s="9" t="n">
        <v>378.4</v>
      </c>
      <c r="H2892" s="10" t="n">
        <v>45672.38773148148</v>
      </c>
      <c r="I2892" s="10" t="n">
        <v>45672.38773148148</v>
      </c>
      <c r="J2892" s="10" t="n">
        <v>45672.38935185185</v>
      </c>
      <c r="K2892" s="11" t="n">
        <v>0.00162037037037037</v>
      </c>
      <c r="L2892" s="13" t="n"/>
    </row>
    <row r="2893">
      <c r="A2893" s="3" t="inlineStr">
        <is>
          <t>PushOffDrive</t>
        </is>
      </c>
      <c r="B2893" s="3" t="inlineStr">
        <is>
          <t>Act_POD_1013803_092040_615</t>
        </is>
      </c>
      <c r="C2893" s="3" t="inlineStr">
        <is>
          <t>1013803</t>
        </is>
      </c>
      <c r="D2893" s="9" t="n">
        <v>19.9</v>
      </c>
      <c r="E2893" s="3" t="inlineStr">
        <is>
          <t>703</t>
        </is>
      </c>
      <c r="F2893" s="3" t="inlineStr">
        <is>
          <t>615</t>
        </is>
      </c>
      <c r="G2893" s="9" t="n">
        <v>269.92</v>
      </c>
      <c r="H2893" s="10" t="n">
        <v>45672.38935185185</v>
      </c>
      <c r="I2893" s="10" t="n">
        <v>45672.38935185185</v>
      </c>
      <c r="J2893" s="10" t="n">
        <v>45672.39052083333</v>
      </c>
      <c r="K2893" s="11" t="n">
        <v>0.001168981481481482</v>
      </c>
      <c r="L2893" s="13" t="n"/>
    </row>
    <row r="2894">
      <c r="A2894" s="3" t="inlineStr">
        <is>
          <t>PushOffDrive</t>
        </is>
      </c>
      <c r="B2894" s="3" t="inlineStr">
        <is>
          <t>Act_POD_1013804_092221_606</t>
        </is>
      </c>
      <c r="C2894" s="3" t="inlineStr">
        <is>
          <t>1013804</t>
        </is>
      </c>
      <c r="D2894" s="9" t="n">
        <v>57.4</v>
      </c>
      <c r="E2894" s="3" t="inlineStr">
        <is>
          <t>703</t>
        </is>
      </c>
      <c r="F2894" s="3" t="inlineStr">
        <is>
          <t>606</t>
        </is>
      </c>
      <c r="G2894" s="9" t="n">
        <v>405.03</v>
      </c>
      <c r="H2894" s="10" t="n">
        <v>45672.39052083333</v>
      </c>
      <c r="I2894" s="10" t="n">
        <v>45672.39052083333</v>
      </c>
      <c r="J2894" s="10" t="n">
        <v>45672.39234953704</v>
      </c>
      <c r="K2894" s="11" t="n">
        <v>0.001828703703703704</v>
      </c>
      <c r="L2894" s="13" t="n"/>
    </row>
    <row r="2895">
      <c r="A2895" s="3" t="inlineStr">
        <is>
          <t>PushOffDrive</t>
        </is>
      </c>
      <c r="B2895" s="3" t="inlineStr">
        <is>
          <t>Act_POD_1013805_092459_615</t>
        </is>
      </c>
      <c r="C2895" s="3" t="inlineStr">
        <is>
          <t>1013805</t>
        </is>
      </c>
      <c r="D2895" s="9" t="n">
        <v>31.5</v>
      </c>
      <c r="E2895" s="3" t="inlineStr">
        <is>
          <t>703</t>
        </is>
      </c>
      <c r="F2895" s="3" t="inlineStr">
        <is>
          <t>615</t>
        </is>
      </c>
      <c r="G2895" s="9" t="n">
        <v>269.92</v>
      </c>
      <c r="H2895" s="10" t="n">
        <v>45672.39234953704</v>
      </c>
      <c r="I2895" s="10" t="n">
        <v>45672.39234953704</v>
      </c>
      <c r="J2895" s="10" t="n">
        <v>45672.39354166666</v>
      </c>
      <c r="K2895" s="11" t="n">
        <v>0.00119212962962963</v>
      </c>
      <c r="L2895" s="13" t="n"/>
    </row>
    <row r="2896">
      <c r="A2896" s="3" t="inlineStr">
        <is>
          <t>PushOffDrive</t>
        </is>
      </c>
      <c r="B2896" s="3" t="inlineStr">
        <is>
          <t>Act_POD_1013806_092642_627</t>
        </is>
      </c>
      <c r="C2896" s="3" t="inlineStr">
        <is>
          <t>1013806</t>
        </is>
      </c>
      <c r="D2896" s="9" t="n">
        <v>63</v>
      </c>
      <c r="E2896" s="3" t="inlineStr">
        <is>
          <t>703</t>
        </is>
      </c>
      <c r="F2896" s="3" t="inlineStr">
        <is>
          <t>627</t>
        </is>
      </c>
      <c r="G2896" s="9" t="n">
        <v>450.42</v>
      </c>
      <c r="H2896" s="10" t="n">
        <v>45672.39354166666</v>
      </c>
      <c r="I2896" s="10" t="n">
        <v>45672.39354166666</v>
      </c>
      <c r="J2896" s="10" t="n">
        <v>45672.39556712963</v>
      </c>
      <c r="K2896" s="11" t="n">
        <v>0.002025462962962963</v>
      </c>
      <c r="L2896" s="13" t="n"/>
    </row>
    <row r="2897">
      <c r="A2897" s="3" t="inlineStr">
        <is>
          <t>PushOffDrive</t>
        </is>
      </c>
      <c r="B2897" s="3" t="inlineStr">
        <is>
          <t>Act_POD_1013807_092937_625</t>
        </is>
      </c>
      <c r="C2897" s="3" t="inlineStr">
        <is>
          <t>1013807</t>
        </is>
      </c>
      <c r="D2897" s="9" t="n">
        <v>54</v>
      </c>
      <c r="E2897" s="3" t="inlineStr">
        <is>
          <t>703</t>
        </is>
      </c>
      <c r="F2897" s="3" t="inlineStr">
        <is>
          <t>625</t>
        </is>
      </c>
      <c r="G2897" s="9" t="n">
        <v>477.75</v>
      </c>
      <c r="H2897" s="10" t="n">
        <v>45672.39556712963</v>
      </c>
      <c r="I2897" s="10" t="n">
        <v>45672.39556712963</v>
      </c>
      <c r="J2897" s="10" t="n">
        <v>45672.39768518518</v>
      </c>
      <c r="K2897" s="11" t="n">
        <v>0.002118055555555556</v>
      </c>
      <c r="L2897" s="13" t="n"/>
    </row>
    <row r="2898">
      <c r="A2898" s="3" t="inlineStr">
        <is>
          <t>PushOffDrive</t>
        </is>
      </c>
      <c r="B2898" s="3" t="inlineStr">
        <is>
          <t>Act_POD_1013808_093240_607</t>
        </is>
      </c>
      <c r="C2898" s="3" t="inlineStr">
        <is>
          <t>1013808</t>
        </is>
      </c>
      <c r="D2898" s="9" t="n">
        <v>15.7</v>
      </c>
      <c r="E2898" s="3" t="inlineStr">
        <is>
          <t>703</t>
        </is>
      </c>
      <c r="F2898" s="3" t="inlineStr">
        <is>
          <t>607</t>
        </is>
      </c>
      <c r="G2898" s="9" t="n">
        <v>378.4</v>
      </c>
      <c r="H2898" s="10" t="n">
        <v>45672.39768518518</v>
      </c>
      <c r="I2898" s="10" t="n">
        <v>45672.39768518518</v>
      </c>
      <c r="J2898" s="10" t="n">
        <v>45672.39929398148</v>
      </c>
      <c r="K2898" s="11" t="n">
        <v>0.001608796296296296</v>
      </c>
      <c r="L2898" s="13" t="n"/>
    </row>
    <row r="2899">
      <c r="A2899" s="3" t="inlineStr">
        <is>
          <t>PushOffDrive</t>
        </is>
      </c>
      <c r="B2899" s="3" t="inlineStr">
        <is>
          <t>Act_POD_1013901_093614_617</t>
        </is>
      </c>
      <c r="C2899" s="3" t="inlineStr">
        <is>
          <t>1013901</t>
        </is>
      </c>
      <c r="D2899" s="9" t="n">
        <v>281.4</v>
      </c>
      <c r="E2899" s="3" t="inlineStr">
        <is>
          <t>727</t>
        </is>
      </c>
      <c r="F2899" s="3" t="inlineStr">
        <is>
          <t>617</t>
        </is>
      </c>
      <c r="G2899" s="9" t="n">
        <v>292.28</v>
      </c>
      <c r="H2899" s="10" t="n">
        <v>45672.40016203704</v>
      </c>
      <c r="I2899" s="10" t="n">
        <v>45672.40016203704</v>
      </c>
      <c r="J2899" s="10" t="n">
        <v>45672.40203703703</v>
      </c>
      <c r="K2899" s="11" t="n">
        <v>0.001875</v>
      </c>
      <c r="L2899" s="13" t="n"/>
    </row>
    <row r="2900">
      <c r="A2900" s="3" t="inlineStr">
        <is>
          <t>PushOffDrive</t>
        </is>
      </c>
      <c r="B2900" s="3" t="inlineStr">
        <is>
          <t>Act_POD_1013902_093856_609</t>
        </is>
      </c>
      <c r="C2900" s="3" t="inlineStr">
        <is>
          <t>1013902</t>
        </is>
      </c>
      <c r="D2900" s="9" t="n">
        <v>73.90000000000001</v>
      </c>
      <c r="E2900" s="3" t="inlineStr">
        <is>
          <t>727</t>
        </is>
      </c>
      <c r="F2900" s="3" t="inlineStr">
        <is>
          <t>609</t>
        </is>
      </c>
      <c r="G2900" s="9" t="n">
        <v>344.04</v>
      </c>
      <c r="H2900" s="10" t="n">
        <v>45672.40203703703</v>
      </c>
      <c r="I2900" s="10" t="n">
        <v>45672.40203703703</v>
      </c>
      <c r="J2900" s="10" t="n">
        <v>45672.40363425926</v>
      </c>
      <c r="K2900" s="11" t="n">
        <v>0.001597222222222222</v>
      </c>
      <c r="L2900" s="13" t="n"/>
    </row>
    <row r="2901">
      <c r="A2901" s="3" t="inlineStr">
        <is>
          <t>PushOffDrive</t>
        </is>
      </c>
      <c r="B2901" s="3" t="inlineStr">
        <is>
          <t>Act_POD_1014001_101010_609</t>
        </is>
      </c>
      <c r="C2901" s="3" t="inlineStr">
        <is>
          <t>1014001</t>
        </is>
      </c>
      <c r="D2901" s="9" t="n">
        <v>21</v>
      </c>
      <c r="E2901" s="3" t="inlineStr">
        <is>
          <t>703</t>
        </is>
      </c>
      <c r="F2901" s="3" t="inlineStr">
        <is>
          <t>609</t>
        </is>
      </c>
      <c r="G2901" s="9" t="n">
        <v>350.87</v>
      </c>
      <c r="H2901" s="10" t="n">
        <v>45672.42372685186</v>
      </c>
      <c r="I2901" s="10" t="n">
        <v>45672.42372685186</v>
      </c>
      <c r="J2901" s="10" t="n">
        <v>45672.42524305556</v>
      </c>
      <c r="K2901" s="11" t="n">
        <v>0.001516203703703704</v>
      </c>
      <c r="L2901" s="13" t="n"/>
    </row>
    <row r="2902">
      <c r="A2902" s="3" t="inlineStr">
        <is>
          <t>PushOffDrive</t>
        </is>
      </c>
      <c r="B2902" s="3" t="inlineStr">
        <is>
          <t>Act_POD_1014002_101221_623</t>
        </is>
      </c>
      <c r="C2902" s="3" t="inlineStr">
        <is>
          <t>1014002</t>
        </is>
      </c>
      <c r="D2902" s="9" t="n">
        <v>252.6</v>
      </c>
      <c r="E2902" s="3" t="inlineStr">
        <is>
          <t>703</t>
        </is>
      </c>
      <c r="F2902" s="3" t="inlineStr">
        <is>
          <t>623</t>
        </is>
      </c>
      <c r="G2902" s="9" t="n">
        <v>412.05</v>
      </c>
      <c r="H2902" s="10" t="n">
        <v>45672.42524305556</v>
      </c>
      <c r="I2902" s="10" t="n">
        <v>45672.42524305556</v>
      </c>
      <c r="J2902" s="10" t="n">
        <v>45672.42753472222</v>
      </c>
      <c r="K2902" s="11" t="n">
        <v>0.002291666666666667</v>
      </c>
      <c r="L2902" s="13" t="n"/>
    </row>
    <row r="2903">
      <c r="A2903" s="3" t="inlineStr">
        <is>
          <t>PushOffDrive</t>
        </is>
      </c>
      <c r="B2903" s="3" t="inlineStr">
        <is>
          <t>Act_POD_1014101_130813_623</t>
        </is>
      </c>
      <c r="C2903" s="3" t="inlineStr">
        <is>
          <t>1014101</t>
        </is>
      </c>
      <c r="D2903" s="9" t="n">
        <v>120.9</v>
      </c>
      <c r="E2903" s="3" t="inlineStr">
        <is>
          <t>703</t>
        </is>
      </c>
      <c r="F2903" s="3" t="inlineStr">
        <is>
          <t>623</t>
        </is>
      </c>
      <c r="G2903" s="9" t="n">
        <v>412.05</v>
      </c>
      <c r="H2903" s="10" t="n">
        <v>45672.54737268519</v>
      </c>
      <c r="I2903" s="10" t="n">
        <v>45672.54737268519</v>
      </c>
      <c r="J2903" s="10" t="n">
        <v>45672.54936342593</v>
      </c>
      <c r="K2903" s="11" t="n">
        <v>0.001990740740740741</v>
      </c>
      <c r="L2903" s="13" t="n"/>
    </row>
    <row r="2904">
      <c r="A2904" s="3" t="inlineStr">
        <is>
          <t>PushOffDrive</t>
        </is>
      </c>
      <c r="B2904" s="3" t="inlineStr">
        <is>
          <t>Act_POD_1014201_153241_607</t>
        </is>
      </c>
      <c r="C2904" s="3" t="inlineStr">
        <is>
          <t>1014201</t>
        </is>
      </c>
      <c r="D2904" s="9" t="n">
        <v>19.9</v>
      </c>
      <c r="E2904" s="3" t="inlineStr">
        <is>
          <t>703</t>
        </is>
      </c>
      <c r="F2904" s="3" t="inlineStr">
        <is>
          <t>607</t>
        </is>
      </c>
      <c r="G2904" s="9" t="n">
        <v>378.4</v>
      </c>
      <c r="H2904" s="10" t="n">
        <v>45672.64769675926</v>
      </c>
      <c r="I2904" s="10" t="n">
        <v>45672.64769675926</v>
      </c>
      <c r="J2904" s="10" t="n">
        <v>45672.6493287037</v>
      </c>
      <c r="K2904" s="11" t="n">
        <v>0.001631944444444445</v>
      </c>
      <c r="L2904" s="13" t="n"/>
    </row>
    <row r="2905">
      <c r="A2905" s="3" t="inlineStr">
        <is>
          <t>PushOffDrive</t>
        </is>
      </c>
      <c r="B2905" s="3" t="inlineStr">
        <is>
          <t>Act_POD_1014202_153502_627</t>
        </is>
      </c>
      <c r="C2905" s="3" t="inlineStr">
        <is>
          <t>1014202</t>
        </is>
      </c>
      <c r="D2905" s="9" t="n">
        <v>15.7</v>
      </c>
      <c r="E2905" s="3" t="inlineStr">
        <is>
          <t>703</t>
        </is>
      </c>
      <c r="F2905" s="3" t="inlineStr">
        <is>
          <t>627</t>
        </is>
      </c>
      <c r="G2905" s="9" t="n">
        <v>450.42</v>
      </c>
      <c r="H2905" s="10" t="n">
        <v>45672.6493287037</v>
      </c>
      <c r="I2905" s="10" t="n">
        <v>45672.6493287037</v>
      </c>
      <c r="J2905" s="10" t="n">
        <v>45672.65123842593</v>
      </c>
      <c r="K2905" s="11" t="n">
        <v>0.001909722222222222</v>
      </c>
      <c r="L2905" s="13" t="n"/>
    </row>
    <row r="2906">
      <c r="A2906" s="3" t="inlineStr">
        <is>
          <t>PushOffDrive</t>
        </is>
      </c>
      <c r="B2906" s="3" t="inlineStr">
        <is>
          <t>Act_POD_1014203_153747_625</t>
        </is>
      </c>
      <c r="C2906" s="3" t="inlineStr">
        <is>
          <t>1014203</t>
        </is>
      </c>
      <c r="D2906" s="9" t="n">
        <v>135</v>
      </c>
      <c r="E2906" s="3" t="inlineStr">
        <is>
          <t>703</t>
        </is>
      </c>
      <c r="F2906" s="3" t="inlineStr">
        <is>
          <t>625</t>
        </is>
      </c>
      <c r="G2906" s="9" t="n">
        <v>477.75</v>
      </c>
      <c r="H2906" s="10" t="n">
        <v>45672.65123842593</v>
      </c>
      <c r="I2906" s="10" t="n">
        <v>45672.65123842593</v>
      </c>
      <c r="J2906" s="10" t="n">
        <v>45672.65354166667</v>
      </c>
      <c r="K2906" s="11" t="n">
        <v>0.002303240740740741</v>
      </c>
      <c r="L2906" s="13" t="n"/>
    </row>
    <row r="2907">
      <c r="A2907" s="3" t="inlineStr">
        <is>
          <t>PushOffDrive</t>
        </is>
      </c>
      <c r="B2907" s="3" t="inlineStr">
        <is>
          <t>Act_POD_1014204_154106_623</t>
        </is>
      </c>
      <c r="C2907" s="3" t="inlineStr">
        <is>
          <t>1014204</t>
        </is>
      </c>
      <c r="D2907" s="9" t="n">
        <v>15.7</v>
      </c>
      <c r="E2907" s="3" t="inlineStr">
        <is>
          <t>703</t>
        </is>
      </c>
      <c r="F2907" s="3" t="inlineStr">
        <is>
          <t>623</t>
        </is>
      </c>
      <c r="G2907" s="9" t="n">
        <v>412.05</v>
      </c>
      <c r="H2907" s="10" t="n">
        <v>45672.65354166667</v>
      </c>
      <c r="I2907" s="10" t="n">
        <v>45672.65354166667</v>
      </c>
      <c r="J2907" s="10" t="n">
        <v>45672.65528935185</v>
      </c>
      <c r="K2907" s="11" t="n">
        <v>0.001747685185185185</v>
      </c>
      <c r="L2907" s="13" t="n"/>
    </row>
    <row r="2908">
      <c r="A2908" s="3" t="inlineStr">
        <is>
          <t>PushOffDrive</t>
        </is>
      </c>
      <c r="B2908" s="3" t="inlineStr">
        <is>
          <t>Act_POD_1014205_154337_619</t>
        </is>
      </c>
      <c r="C2908" s="3" t="inlineStr">
        <is>
          <t>1014205</t>
        </is>
      </c>
      <c r="D2908" s="9" t="n">
        <v>93.7</v>
      </c>
      <c r="E2908" s="3" t="inlineStr">
        <is>
          <t>703</t>
        </is>
      </c>
      <c r="F2908" s="3" t="inlineStr">
        <is>
          <t>619</t>
        </is>
      </c>
      <c r="G2908" s="9" t="n">
        <v>459.96</v>
      </c>
      <c r="H2908" s="10" t="n">
        <v>45672.65528935185</v>
      </c>
      <c r="I2908" s="10" t="n">
        <v>45672.65528935185</v>
      </c>
      <c r="J2908" s="10" t="n">
        <v>45672.65743055556</v>
      </c>
      <c r="K2908" s="11" t="n">
        <v>0.002141203703703704</v>
      </c>
      <c r="L2908" s="13" t="n"/>
    </row>
    <row r="2909">
      <c r="A2909" s="3" t="inlineStr">
        <is>
          <t>PushOffDrive</t>
        </is>
      </c>
      <c r="B2909" s="3" t="inlineStr">
        <is>
          <t>Act_POD_1014206_154642_607</t>
        </is>
      </c>
      <c r="C2909" s="3" t="inlineStr">
        <is>
          <t>1014206</t>
        </is>
      </c>
      <c r="D2909" s="9" t="n">
        <v>19.9</v>
      </c>
      <c r="E2909" s="3" t="inlineStr">
        <is>
          <t>703</t>
        </is>
      </c>
      <c r="F2909" s="3" t="inlineStr">
        <is>
          <t>607</t>
        </is>
      </c>
      <c r="G2909" s="9" t="n">
        <v>378.4</v>
      </c>
      <c r="H2909" s="10" t="n">
        <v>45672.65743055556</v>
      </c>
      <c r="I2909" s="10" t="n">
        <v>45672.65743055556</v>
      </c>
      <c r="J2909" s="10" t="n">
        <v>45672.65905092593</v>
      </c>
      <c r="K2909" s="11" t="n">
        <v>0.00162037037037037</v>
      </c>
      <c r="L2909" s="13" t="n"/>
    </row>
    <row r="2910">
      <c r="A2910" s="3" t="inlineStr">
        <is>
          <t>PushOffDrive</t>
        </is>
      </c>
      <c r="B2910" s="3" t="inlineStr">
        <is>
          <t>Act_POD_1014207_154902_605</t>
        </is>
      </c>
      <c r="C2910" s="3" t="inlineStr">
        <is>
          <t>1014207</t>
        </is>
      </c>
      <c r="D2910" s="9" t="n">
        <v>12</v>
      </c>
      <c r="E2910" s="3" t="inlineStr">
        <is>
          <t>703</t>
        </is>
      </c>
      <c r="F2910" s="3" t="inlineStr">
        <is>
          <t>605</t>
        </is>
      </c>
      <c r="G2910" s="9" t="n">
        <v>405.43</v>
      </c>
      <c r="H2910" s="10" t="n">
        <v>45672.65905092593</v>
      </c>
      <c r="I2910" s="10" t="n">
        <v>45672.65905092593</v>
      </c>
      <c r="J2910" s="10" t="n">
        <v>45672.66076388889</v>
      </c>
      <c r="K2910" s="11" t="n">
        <v>0.001712962962962963</v>
      </c>
      <c r="L2910" s="13" t="n"/>
    </row>
    <row r="2911">
      <c r="A2911" s="3" t="inlineStr">
        <is>
          <t>PushOffDrive</t>
        </is>
      </c>
      <c r="B2911" s="3" t="inlineStr">
        <is>
          <t>Act_POD_1014208_155130_615</t>
        </is>
      </c>
      <c r="C2911" s="3" t="inlineStr">
        <is>
          <t>1014208</t>
        </is>
      </c>
      <c r="D2911" s="9" t="n">
        <v>51.4</v>
      </c>
      <c r="E2911" s="3" t="inlineStr">
        <is>
          <t>703</t>
        </is>
      </c>
      <c r="F2911" s="3" t="inlineStr">
        <is>
          <t>615</t>
        </is>
      </c>
      <c r="G2911" s="9" t="n">
        <v>269.92</v>
      </c>
      <c r="H2911" s="10" t="n">
        <v>45672.66076388889</v>
      </c>
      <c r="I2911" s="10" t="n">
        <v>45672.66076388889</v>
      </c>
      <c r="J2911" s="10" t="n">
        <v>45672.66201388889</v>
      </c>
      <c r="K2911" s="11" t="n">
        <v>0.00125</v>
      </c>
      <c r="L2911" s="13" t="n"/>
    </row>
    <row r="2912">
      <c r="A2912" s="3" t="inlineStr">
        <is>
          <t>PushOffDrive</t>
        </is>
      </c>
      <c r="B2912" s="3" t="inlineStr">
        <is>
          <t>Act_POD_1014209_155318_609</t>
        </is>
      </c>
      <c r="C2912" s="3" t="inlineStr">
        <is>
          <t>1014209</t>
        </is>
      </c>
      <c r="D2912" s="9" t="n">
        <v>23.2</v>
      </c>
      <c r="E2912" s="3" t="inlineStr">
        <is>
          <t>703</t>
        </is>
      </c>
      <c r="F2912" s="3" t="inlineStr">
        <is>
          <t>609</t>
        </is>
      </c>
      <c r="G2912" s="9" t="n">
        <v>350.87</v>
      </c>
      <c r="H2912" s="10" t="n">
        <v>45672.66201388889</v>
      </c>
      <c r="I2912" s="10" t="n">
        <v>45672.66201388889</v>
      </c>
      <c r="J2912" s="10" t="n">
        <v>45672.66353009259</v>
      </c>
      <c r="K2912" s="11" t="n">
        <v>0.001516203703703704</v>
      </c>
      <c r="L2912" s="13" t="n"/>
    </row>
    <row r="2913">
      <c r="A2913" s="3" t="inlineStr">
        <is>
          <t>PushOffDrive</t>
        </is>
      </c>
      <c r="B2913" s="3" t="inlineStr">
        <is>
          <t>Act_POD_1014210_155529_606</t>
        </is>
      </c>
      <c r="C2913" s="3" t="inlineStr">
        <is>
          <t>1014210</t>
        </is>
      </c>
      <c r="D2913" s="9" t="n">
        <v>129</v>
      </c>
      <c r="E2913" s="3" t="inlineStr">
        <is>
          <t>703</t>
        </is>
      </c>
      <c r="F2913" s="3" t="inlineStr">
        <is>
          <t>606</t>
        </is>
      </c>
      <c r="G2913" s="9" t="n">
        <v>405.03</v>
      </c>
      <c r="H2913" s="10" t="n">
        <v>45672.66353009259</v>
      </c>
      <c r="I2913" s="10" t="n">
        <v>45672.66353009259</v>
      </c>
      <c r="J2913" s="10" t="n">
        <v>45672.66550925926</v>
      </c>
      <c r="K2913" s="11" t="n">
        <v>0.001979166666666667</v>
      </c>
      <c r="L2913" s="13" t="n"/>
    </row>
    <row r="2914">
      <c r="A2914" s="3" t="inlineStr">
        <is>
          <t>PushOffDrive</t>
        </is>
      </c>
      <c r="B2914" s="3" t="inlineStr">
        <is>
          <t>Act_POD_1014301_155935_617</t>
        </is>
      </c>
      <c r="C2914" s="3" t="inlineStr">
        <is>
          <t>1014301</t>
        </is>
      </c>
      <c r="D2914" s="9" t="n">
        <v>110.2</v>
      </c>
      <c r="E2914" s="3" t="inlineStr">
        <is>
          <t>727</t>
        </is>
      </c>
      <c r="F2914" s="3" t="inlineStr">
        <is>
          <t>617</t>
        </is>
      </c>
      <c r="G2914" s="9" t="n">
        <v>292.28</v>
      </c>
      <c r="H2914" s="10" t="n">
        <v>45672.66637731482</v>
      </c>
      <c r="I2914" s="10" t="n">
        <v>45672.66637731482</v>
      </c>
      <c r="J2914" s="10" t="n">
        <v>45672.66784722222</v>
      </c>
      <c r="K2914" s="11" t="n">
        <v>0.001469907407407407</v>
      </c>
      <c r="L2914" s="13" t="n"/>
    </row>
    <row r="2915">
      <c r="A2915" s="3" t="inlineStr">
        <is>
          <t>PushOffDrive</t>
        </is>
      </c>
      <c r="B2915" s="3" t="inlineStr">
        <is>
          <t>Act_POD_1014401_172638_615</t>
        </is>
      </c>
      <c r="C2915" s="3" t="inlineStr">
        <is>
          <t>1014401</t>
        </is>
      </c>
      <c r="D2915" s="9" t="n">
        <v>325.4</v>
      </c>
      <c r="E2915" s="3" t="inlineStr">
        <is>
          <t>703</t>
        </is>
      </c>
      <c r="F2915" s="3" t="inlineStr">
        <is>
          <t>615</t>
        </is>
      </c>
      <c r="G2915" s="9" t="n">
        <v>269.92</v>
      </c>
      <c r="H2915" s="10" t="n">
        <v>45672.7268287037</v>
      </c>
      <c r="I2915" s="10" t="n">
        <v>45672.7268287037</v>
      </c>
      <c r="J2915" s="10" t="n">
        <v>45672.7287037037</v>
      </c>
      <c r="K2915" s="11" t="n">
        <v>0.001875</v>
      </c>
      <c r="L2915" s="13" t="n"/>
    </row>
    <row r="2916">
      <c r="A2916" s="3" t="inlineStr">
        <is>
          <t>PushOffDrive</t>
        </is>
      </c>
      <c r="B2916" s="3" t="inlineStr">
        <is>
          <t>Act_POD_1014501_180627_627</t>
        </is>
      </c>
      <c r="C2916" s="3" t="inlineStr">
        <is>
          <t>1014501</t>
        </is>
      </c>
      <c r="D2916" s="9" t="n">
        <v>15.7</v>
      </c>
      <c r="E2916" s="3" t="inlineStr">
        <is>
          <t>703</t>
        </is>
      </c>
      <c r="F2916" s="3" t="inlineStr">
        <is>
          <t>627</t>
        </is>
      </c>
      <c r="G2916" s="9" t="n">
        <v>450.42</v>
      </c>
      <c r="H2916" s="10" t="n">
        <v>45672.75447916667</v>
      </c>
      <c r="I2916" s="10" t="n">
        <v>45672.75447916667</v>
      </c>
      <c r="J2916" s="10" t="n">
        <v>45672.75638888889</v>
      </c>
      <c r="K2916" s="11" t="n">
        <v>0.001909722222222222</v>
      </c>
      <c r="L2916" s="13" t="n"/>
    </row>
    <row r="2917">
      <c r="A2917" s="3" t="inlineStr">
        <is>
          <t>PushOffDrive</t>
        </is>
      </c>
      <c r="B2917" s="3" t="inlineStr">
        <is>
          <t>Act_POD_1014502_180912_611</t>
        </is>
      </c>
      <c r="C2917" s="3" t="inlineStr">
        <is>
          <t>1014502</t>
        </is>
      </c>
      <c r="D2917" s="9" t="n">
        <v>14</v>
      </c>
      <c r="E2917" s="3" t="inlineStr">
        <is>
          <t>703</t>
        </is>
      </c>
      <c r="F2917" s="3" t="inlineStr">
        <is>
          <t>611</t>
        </is>
      </c>
      <c r="G2917" s="9" t="n">
        <v>324.35</v>
      </c>
      <c r="H2917" s="10" t="n">
        <v>45672.75638888889</v>
      </c>
      <c r="I2917" s="10" t="n">
        <v>45672.75638888889</v>
      </c>
      <c r="J2917" s="10" t="n">
        <v>45672.75777777778</v>
      </c>
      <c r="K2917" s="11" t="n">
        <v>0.001388888888888889</v>
      </c>
      <c r="L2917" s="13" t="n"/>
    </row>
    <row r="2918">
      <c r="A2918" s="3" t="inlineStr">
        <is>
          <t>PushOffDrive</t>
        </is>
      </c>
      <c r="B2918" s="3" t="inlineStr">
        <is>
          <t>Act_POD_1014503_181112_619</t>
        </is>
      </c>
      <c r="C2918" s="3" t="inlineStr">
        <is>
          <t>1014503</t>
        </is>
      </c>
      <c r="D2918" s="9" t="n">
        <v>23.2</v>
      </c>
      <c r="E2918" s="3" t="inlineStr">
        <is>
          <t>703</t>
        </is>
      </c>
      <c r="F2918" s="3" t="inlineStr">
        <is>
          <t>619</t>
        </is>
      </c>
      <c r="G2918" s="9" t="n">
        <v>459.96</v>
      </c>
      <c r="H2918" s="10" t="n">
        <v>45672.75777777778</v>
      </c>
      <c r="I2918" s="10" t="n">
        <v>45672.75777777778</v>
      </c>
      <c r="J2918" s="10" t="n">
        <v>45672.75974537037</v>
      </c>
      <c r="K2918" s="11" t="n">
        <v>0.001967592592592592</v>
      </c>
      <c r="L2918" s="13" t="n"/>
    </row>
    <row r="2919">
      <c r="A2919" s="3" t="inlineStr">
        <is>
          <t>PushOffDrive</t>
        </is>
      </c>
      <c r="B2919" s="3" t="inlineStr">
        <is>
          <t>Act_POD_1014504_181402_607</t>
        </is>
      </c>
      <c r="C2919" s="3" t="inlineStr">
        <is>
          <t>1014504</t>
        </is>
      </c>
      <c r="D2919" s="9" t="n">
        <v>21</v>
      </c>
      <c r="E2919" s="3" t="inlineStr">
        <is>
          <t>703</t>
        </is>
      </c>
      <c r="F2919" s="3" t="inlineStr">
        <is>
          <t>607</t>
        </is>
      </c>
      <c r="G2919" s="9" t="n">
        <v>378.4</v>
      </c>
      <c r="H2919" s="10" t="n">
        <v>45672.75974537037</v>
      </c>
      <c r="I2919" s="10" t="n">
        <v>45672.75974537037</v>
      </c>
      <c r="J2919" s="10" t="n">
        <v>45672.76136574074</v>
      </c>
      <c r="K2919" s="11" t="n">
        <v>0.00162037037037037</v>
      </c>
      <c r="L2919" s="13" t="n"/>
    </row>
    <row r="2920">
      <c r="A2920" s="3" t="inlineStr">
        <is>
          <t>PushOffDrive</t>
        </is>
      </c>
      <c r="B2920" s="3" t="inlineStr">
        <is>
          <t>Act_POD_1014505_181622_625</t>
        </is>
      </c>
      <c r="C2920" s="3" t="inlineStr">
        <is>
          <t>1014505</t>
        </is>
      </c>
      <c r="D2920" s="9" t="n">
        <v>27</v>
      </c>
      <c r="E2920" s="3" t="inlineStr">
        <is>
          <t>703</t>
        </is>
      </c>
      <c r="F2920" s="3" t="inlineStr">
        <is>
          <t>625</t>
        </is>
      </c>
      <c r="G2920" s="9" t="n">
        <v>477.75</v>
      </c>
      <c r="H2920" s="10" t="n">
        <v>45672.76136574074</v>
      </c>
      <c r="I2920" s="10" t="n">
        <v>45672.76136574074</v>
      </c>
      <c r="J2920" s="10" t="n">
        <v>45672.76342592593</v>
      </c>
      <c r="K2920" s="11" t="n">
        <v>0.002060185185185185</v>
      </c>
      <c r="L2920" s="13" t="n"/>
    </row>
    <row r="2921">
      <c r="A2921" s="3" t="inlineStr">
        <is>
          <t>PushOffDrive</t>
        </is>
      </c>
      <c r="B2921" s="3" t="inlineStr">
        <is>
          <t>Act_POD_1014506_181920_621</t>
        </is>
      </c>
      <c r="C2921" s="3" t="inlineStr">
        <is>
          <t>1014506</t>
        </is>
      </c>
      <c r="D2921" s="9" t="n">
        <v>23.2</v>
      </c>
      <c r="E2921" s="3" t="inlineStr">
        <is>
          <t>703</t>
        </is>
      </c>
      <c r="F2921" s="3" t="inlineStr">
        <is>
          <t>621</t>
        </is>
      </c>
      <c r="G2921" s="9" t="n">
        <v>459.96</v>
      </c>
      <c r="H2921" s="10" t="n">
        <v>45672.76342592593</v>
      </c>
      <c r="I2921" s="10" t="n">
        <v>45672.76342592593</v>
      </c>
      <c r="J2921" s="10" t="n">
        <v>45672.76539351852</v>
      </c>
      <c r="K2921" s="11" t="n">
        <v>0.001967592592592592</v>
      </c>
      <c r="L2921" s="13" t="n"/>
    </row>
    <row r="2922">
      <c r="A2922" s="3" t="inlineStr">
        <is>
          <t>PushOffDrive</t>
        </is>
      </c>
      <c r="B2922" s="3" t="inlineStr">
        <is>
          <t>Act_POD_1014507_182210_615</t>
        </is>
      </c>
      <c r="C2922" s="3" t="inlineStr">
        <is>
          <t>1014507</t>
        </is>
      </c>
      <c r="D2922" s="9" t="n">
        <v>28</v>
      </c>
      <c r="E2922" s="3" t="inlineStr">
        <is>
          <t>703</t>
        </is>
      </c>
      <c r="F2922" s="3" t="inlineStr">
        <is>
          <t>615</t>
        </is>
      </c>
      <c r="G2922" s="9" t="n">
        <v>269.92</v>
      </c>
      <c r="H2922" s="10" t="n">
        <v>45672.76539351852</v>
      </c>
      <c r="I2922" s="10" t="n">
        <v>45672.76539351852</v>
      </c>
      <c r="J2922" s="10" t="n">
        <v>45672.76658564815</v>
      </c>
      <c r="K2922" s="11" t="n">
        <v>0.00119212962962963</v>
      </c>
      <c r="L2922" s="13" t="n"/>
    </row>
    <row r="2923">
      <c r="A2923" s="3" t="inlineStr">
        <is>
          <t>PushOffDrive</t>
        </is>
      </c>
      <c r="B2923" s="3" t="inlineStr">
        <is>
          <t>Act_POD_1014508_182353_609</t>
        </is>
      </c>
      <c r="C2923" s="3" t="inlineStr">
        <is>
          <t>1014508</t>
        </is>
      </c>
      <c r="D2923" s="9" t="n">
        <v>15.7</v>
      </c>
      <c r="E2923" s="3" t="inlineStr">
        <is>
          <t>703</t>
        </is>
      </c>
      <c r="F2923" s="3" t="inlineStr">
        <is>
          <t>609</t>
        </is>
      </c>
      <c r="G2923" s="9" t="n">
        <v>350.87</v>
      </c>
      <c r="H2923" s="10" t="n">
        <v>45672.76658564815</v>
      </c>
      <c r="I2923" s="10" t="n">
        <v>45672.76658564815</v>
      </c>
      <c r="J2923" s="10" t="n">
        <v>45672.7680787037</v>
      </c>
      <c r="K2923" s="11" t="n">
        <v>0.001493055555555556</v>
      </c>
      <c r="L2923" s="13" t="n"/>
    </row>
    <row r="2924">
      <c r="A2924" s="3" t="inlineStr">
        <is>
          <t>PushOffDrive</t>
        </is>
      </c>
      <c r="B2924" s="3" t="inlineStr">
        <is>
          <t>Act_POD_1014509_182602_606</t>
        </is>
      </c>
      <c r="C2924" s="3" t="inlineStr">
        <is>
          <t>1014509</t>
        </is>
      </c>
      <c r="D2924" s="9" t="n">
        <v>59.7</v>
      </c>
      <c r="E2924" s="3" t="inlineStr">
        <is>
          <t>703</t>
        </is>
      </c>
      <c r="F2924" s="3" t="inlineStr">
        <is>
          <t>606</t>
        </is>
      </c>
      <c r="G2924" s="9" t="n">
        <v>405.03</v>
      </c>
      <c r="H2924" s="10" t="n">
        <v>45672.7680787037</v>
      </c>
      <c r="I2924" s="10" t="n">
        <v>45672.7680787037</v>
      </c>
      <c r="J2924" s="10" t="n">
        <v>45672.7699074074</v>
      </c>
      <c r="K2924" s="11" t="n">
        <v>0.001828703703703704</v>
      </c>
      <c r="L2924" s="13" t="n"/>
    </row>
    <row r="2925">
      <c r="A2925" s="3" t="inlineStr">
        <is>
          <t>PushOffDrive</t>
        </is>
      </c>
      <c r="B2925" s="3" t="inlineStr">
        <is>
          <t>Act_POD_1014510_182840_627</t>
        </is>
      </c>
      <c r="C2925" s="3" t="inlineStr">
        <is>
          <t>1014510</t>
        </is>
      </c>
      <c r="D2925" s="9" t="n">
        <v>31.5</v>
      </c>
      <c r="E2925" s="3" t="inlineStr">
        <is>
          <t>703</t>
        </is>
      </c>
      <c r="F2925" s="3" t="inlineStr">
        <is>
          <t>627</t>
        </is>
      </c>
      <c r="G2925" s="9" t="n">
        <v>450.42</v>
      </c>
      <c r="H2925" s="10" t="n">
        <v>45672.7699074074</v>
      </c>
      <c r="I2925" s="10" t="n">
        <v>45672.7699074074</v>
      </c>
      <c r="J2925" s="10" t="n">
        <v>45672.77185185185</v>
      </c>
      <c r="K2925" s="11" t="n">
        <v>0.001944444444444444</v>
      </c>
      <c r="L2925" s="13" t="n"/>
    </row>
    <row r="2926">
      <c r="A2926" s="3" t="inlineStr">
        <is>
          <t>PushOffDrive</t>
        </is>
      </c>
      <c r="B2926" s="3" t="inlineStr">
        <is>
          <t>Act_POD_1014511_183128_617</t>
        </is>
      </c>
      <c r="C2926" s="3" t="inlineStr">
        <is>
          <t>1014511</t>
        </is>
      </c>
      <c r="D2926" s="9" t="n">
        <v>37.5</v>
      </c>
      <c r="E2926" s="3" t="inlineStr">
        <is>
          <t>703</t>
        </is>
      </c>
      <c r="F2926" s="3" t="inlineStr">
        <is>
          <t>617</t>
        </is>
      </c>
      <c r="G2926" s="9" t="n">
        <v>299.11</v>
      </c>
      <c r="H2926" s="10" t="n">
        <v>45672.77185185185</v>
      </c>
      <c r="I2926" s="10" t="n">
        <v>45672.77185185185</v>
      </c>
      <c r="J2926" s="10" t="n">
        <v>45672.77318287037</v>
      </c>
      <c r="K2926" s="11" t="n">
        <v>0.001331018518518518</v>
      </c>
      <c r="L2926" s="13" t="n"/>
    </row>
    <row r="2927">
      <c r="A2927" s="3" t="inlineStr">
        <is>
          <t>PushOffDrive</t>
        </is>
      </c>
      <c r="B2927" s="3" t="inlineStr">
        <is>
          <t>Act_POD_1014601_025302_615</t>
        </is>
      </c>
      <c r="C2927" s="3" t="inlineStr">
        <is>
          <t>1014601</t>
        </is>
      </c>
      <c r="D2927" s="9" t="n">
        <v>144.8</v>
      </c>
      <c r="E2927" s="3" t="inlineStr">
        <is>
          <t>703</t>
        </is>
      </c>
      <c r="F2927" s="3" t="inlineStr">
        <is>
          <t>615</t>
        </is>
      </c>
      <c r="G2927" s="9" t="n">
        <v>269.92</v>
      </c>
      <c r="H2927" s="10" t="n">
        <v>45673.12016203703</v>
      </c>
      <c r="I2927" s="10" t="n">
        <v>45673.12016203703</v>
      </c>
      <c r="J2927" s="10" t="n">
        <v>45673.12162037037</v>
      </c>
      <c r="K2927" s="11" t="n">
        <v>0.001458333333333333</v>
      </c>
      <c r="L2927" s="13" t="n"/>
    </row>
    <row r="2928">
      <c r="A2928" s="3" t="inlineStr">
        <is>
          <t>PushOffDrive</t>
        </is>
      </c>
      <c r="B2928" s="3" t="inlineStr">
        <is>
          <t>Act_POD_1014602_025508_605</t>
        </is>
      </c>
      <c r="C2928" s="3" t="inlineStr">
        <is>
          <t>1014602</t>
        </is>
      </c>
      <c r="D2928" s="9" t="n">
        <v>39.8</v>
      </c>
      <c r="E2928" s="3" t="inlineStr">
        <is>
          <t>703</t>
        </is>
      </c>
      <c r="F2928" s="3" t="inlineStr">
        <is>
          <t>605</t>
        </is>
      </c>
      <c r="G2928" s="9" t="n">
        <v>405.43</v>
      </c>
      <c r="H2928" s="10" t="n">
        <v>45673.12162037037</v>
      </c>
      <c r="I2928" s="10" t="n">
        <v>45673.12162037037</v>
      </c>
      <c r="J2928" s="10" t="n">
        <v>45673.12340277778</v>
      </c>
      <c r="K2928" s="11" t="n">
        <v>0.001782407407407407</v>
      </c>
      <c r="L2928" s="13" t="n"/>
    </row>
    <row r="2929">
      <c r="A2929" s="3" t="inlineStr">
        <is>
          <t>PushOffDrive</t>
        </is>
      </c>
      <c r="B2929" s="3" t="inlineStr">
        <is>
          <t>Act_POD_1014603_025742_627</t>
        </is>
      </c>
      <c r="C2929" s="3" t="inlineStr">
        <is>
          <t>1014603</t>
        </is>
      </c>
      <c r="D2929" s="9" t="n">
        <v>15.7</v>
      </c>
      <c r="E2929" s="3" t="inlineStr">
        <is>
          <t>703</t>
        </is>
      </c>
      <c r="F2929" s="3" t="inlineStr">
        <is>
          <t>627</t>
        </is>
      </c>
      <c r="G2929" s="9" t="n">
        <v>450.42</v>
      </c>
      <c r="H2929" s="10" t="n">
        <v>45673.12340277778</v>
      </c>
      <c r="I2929" s="10" t="n">
        <v>45673.12340277778</v>
      </c>
      <c r="J2929" s="10" t="n">
        <v>45673.1253125</v>
      </c>
      <c r="K2929" s="11" t="n">
        <v>0.001909722222222222</v>
      </c>
      <c r="L2929" s="13" t="n"/>
    </row>
    <row r="2930">
      <c r="A2930" s="3" t="inlineStr">
        <is>
          <t>PushOffDrive</t>
        </is>
      </c>
      <c r="B2930" s="3" t="inlineStr">
        <is>
          <t>Act_POD_1014701_063250_615</t>
        </is>
      </c>
      <c r="C2930" s="3" t="inlineStr">
        <is>
          <t>1014701</t>
        </is>
      </c>
      <c r="D2930" s="9" t="n">
        <v>297</v>
      </c>
      <c r="E2930" s="3" t="inlineStr">
        <is>
          <t>703</t>
        </is>
      </c>
      <c r="F2930" s="3" t="inlineStr">
        <is>
          <t>615</t>
        </is>
      </c>
      <c r="G2930" s="9" t="n">
        <v>269.92</v>
      </c>
      <c r="H2930" s="10" t="n">
        <v>45673.27280092592</v>
      </c>
      <c r="I2930" s="10" t="n">
        <v>45673.27280092592</v>
      </c>
      <c r="J2930" s="10" t="n">
        <v>45673.27460648148</v>
      </c>
      <c r="K2930" s="11" t="n">
        <v>0.001805555555555555</v>
      </c>
      <c r="L2930" s="13" t="n"/>
    </row>
    <row r="2931">
      <c r="A2931" s="3" t="inlineStr">
        <is>
          <t>PushOffDrive</t>
        </is>
      </c>
      <c r="B2931" s="3" t="inlineStr">
        <is>
          <t>Act_POD_1014901_072249_619</t>
        </is>
      </c>
      <c r="C2931" s="3" t="inlineStr">
        <is>
          <t>1014901</t>
        </is>
      </c>
      <c r="D2931" s="9" t="n">
        <v>126</v>
      </c>
      <c r="E2931" s="3" t="inlineStr">
        <is>
          <t>727</t>
        </is>
      </c>
      <c r="F2931" s="3" t="inlineStr">
        <is>
          <t>619</t>
        </is>
      </c>
      <c r="G2931" s="9" t="n">
        <v>453.13</v>
      </c>
      <c r="H2931" s="10" t="n">
        <v>45673.30751157407</v>
      </c>
      <c r="I2931" s="10" t="n">
        <v>45673.30751157407</v>
      </c>
      <c r="J2931" s="10" t="n">
        <v>45673.30969907407</v>
      </c>
      <c r="K2931" s="11" t="n">
        <v>0.0021875</v>
      </c>
      <c r="L2931" s="13" t="n"/>
    </row>
    <row r="2932">
      <c r="A2932" s="3" t="inlineStr">
        <is>
          <t>PushOffDrive</t>
        </is>
      </c>
      <c r="B2932" s="3" t="inlineStr">
        <is>
          <t>Act_POD_1014801_073958_607</t>
        </is>
      </c>
      <c r="C2932" s="3" t="inlineStr">
        <is>
          <t>1014801</t>
        </is>
      </c>
      <c r="D2932" s="9" t="n">
        <v>47.2</v>
      </c>
      <c r="E2932" s="3" t="inlineStr">
        <is>
          <t>703</t>
        </is>
      </c>
      <c r="F2932" s="3" t="inlineStr">
        <is>
          <t>607</t>
        </is>
      </c>
      <c r="G2932" s="9" t="n">
        <v>378.4</v>
      </c>
      <c r="H2932" s="10" t="n">
        <v>45673.3194212963</v>
      </c>
      <c r="I2932" s="10" t="n">
        <v>45673.3194212963</v>
      </c>
      <c r="J2932" s="10" t="n">
        <v>45673.32111111111</v>
      </c>
      <c r="K2932" s="11" t="n">
        <v>0.001689814814814815</v>
      </c>
      <c r="L2932" s="13" t="n"/>
    </row>
    <row r="2933">
      <c r="A2933" s="3" t="inlineStr">
        <is>
          <t>PushOffDrive</t>
        </is>
      </c>
      <c r="B2933" s="3" t="inlineStr">
        <is>
          <t>Act_POD_1014802_074224_621</t>
        </is>
      </c>
      <c r="C2933" s="3" t="inlineStr">
        <is>
          <t>1014802</t>
        </is>
      </c>
      <c r="D2933" s="9" t="n">
        <v>101.2</v>
      </c>
      <c r="E2933" s="3" t="inlineStr">
        <is>
          <t>703</t>
        </is>
      </c>
      <c r="F2933" s="3" t="inlineStr">
        <is>
          <t>621</t>
        </is>
      </c>
      <c r="G2933" s="9" t="n">
        <v>459.96</v>
      </c>
      <c r="H2933" s="10" t="n">
        <v>45673.32111111111</v>
      </c>
      <c r="I2933" s="10" t="n">
        <v>45673.32111111111</v>
      </c>
      <c r="J2933" s="10" t="n">
        <v>45673.32326388889</v>
      </c>
      <c r="K2933" s="11" t="n">
        <v>0.002152777777777778</v>
      </c>
      <c r="L2933" s="13" t="n"/>
    </row>
    <row r="2934">
      <c r="A2934" s="3" t="inlineStr">
        <is>
          <t>PushOffDrive</t>
        </is>
      </c>
      <c r="B2934" s="3" t="inlineStr">
        <is>
          <t>Act_POD_1014803_074530_627</t>
        </is>
      </c>
      <c r="C2934" s="3" t="inlineStr">
        <is>
          <t>1014803</t>
        </is>
      </c>
      <c r="D2934" s="9" t="n">
        <v>15.7</v>
      </c>
      <c r="E2934" s="3" t="inlineStr">
        <is>
          <t>703</t>
        </is>
      </c>
      <c r="F2934" s="3" t="inlineStr">
        <is>
          <t>627</t>
        </is>
      </c>
      <c r="G2934" s="9" t="n">
        <v>450.42</v>
      </c>
      <c r="H2934" s="10" t="n">
        <v>45673.32326388889</v>
      </c>
      <c r="I2934" s="10" t="n">
        <v>45673.32326388889</v>
      </c>
      <c r="J2934" s="10" t="n">
        <v>45673.32517361111</v>
      </c>
      <c r="K2934" s="11" t="n">
        <v>0.001909722222222222</v>
      </c>
      <c r="L2934" s="13" t="n"/>
    </row>
    <row r="2935">
      <c r="A2935" s="3" t="inlineStr">
        <is>
          <t>PushOffDrive</t>
        </is>
      </c>
      <c r="B2935" s="3" t="inlineStr">
        <is>
          <t>Act_POD_1014804_074815_613</t>
        </is>
      </c>
      <c r="C2935" s="3" t="inlineStr">
        <is>
          <t>1014804</t>
        </is>
      </c>
      <c r="D2935" s="9" t="n">
        <v>19.9</v>
      </c>
      <c r="E2935" s="3" t="inlineStr">
        <is>
          <t>703</t>
        </is>
      </c>
      <c r="F2935" s="3" t="inlineStr">
        <is>
          <t>613</t>
        </is>
      </c>
      <c r="G2935" s="9" t="n">
        <v>297.43</v>
      </c>
      <c r="H2935" s="10" t="n">
        <v>45673.32517361111</v>
      </c>
      <c r="I2935" s="10" t="n">
        <v>45673.32517361111</v>
      </c>
      <c r="J2935" s="10" t="n">
        <v>45673.32645833334</v>
      </c>
      <c r="K2935" s="11" t="n">
        <v>0.001284722222222222</v>
      </c>
      <c r="L2935" s="13" t="n"/>
    </row>
    <row r="2936">
      <c r="A2936" s="3" t="inlineStr">
        <is>
          <t>PushOffDrive</t>
        </is>
      </c>
      <c r="B2936" s="3" t="inlineStr">
        <is>
          <t>Act_POD_1014805_075006_617</t>
        </is>
      </c>
      <c r="C2936" s="3" t="inlineStr">
        <is>
          <t>1014805</t>
        </is>
      </c>
      <c r="D2936" s="9" t="n">
        <v>21</v>
      </c>
      <c r="E2936" s="3" t="inlineStr">
        <is>
          <t>703</t>
        </is>
      </c>
      <c r="F2936" s="3" t="inlineStr">
        <is>
          <t>617</t>
        </is>
      </c>
      <c r="G2936" s="9" t="n">
        <v>299.11</v>
      </c>
      <c r="H2936" s="10" t="n">
        <v>45673.32645833334</v>
      </c>
      <c r="I2936" s="10" t="n">
        <v>45673.32645833334</v>
      </c>
      <c r="J2936" s="10" t="n">
        <v>45673.32775462963</v>
      </c>
      <c r="K2936" s="11" t="n">
        <v>0.001296296296296296</v>
      </c>
      <c r="L2936" s="13" t="n"/>
    </row>
    <row r="2937">
      <c r="A2937" s="3" t="inlineStr">
        <is>
          <t>PushOffDrive</t>
        </is>
      </c>
      <c r="B2937" s="3" t="inlineStr">
        <is>
          <t>Act_POD_1014806_075158_613</t>
        </is>
      </c>
      <c r="C2937" s="3" t="inlineStr">
        <is>
          <t>1014806</t>
        </is>
      </c>
      <c r="D2937" s="9" t="n">
        <v>47.2</v>
      </c>
      <c r="E2937" s="3" t="inlineStr">
        <is>
          <t>703</t>
        </is>
      </c>
      <c r="F2937" s="3" t="inlineStr">
        <is>
          <t>613</t>
        </is>
      </c>
      <c r="G2937" s="9" t="n">
        <v>297.43</v>
      </c>
      <c r="H2937" s="10" t="n">
        <v>45673.32775462963</v>
      </c>
      <c r="I2937" s="10" t="n">
        <v>45673.32775462963</v>
      </c>
      <c r="J2937" s="10" t="n">
        <v>45673.32910879629</v>
      </c>
      <c r="K2937" s="11" t="n">
        <v>0.001354166666666667</v>
      </c>
      <c r="L2937" s="13" t="n"/>
    </row>
    <row r="2938">
      <c r="A2938" s="3" t="inlineStr">
        <is>
          <t>PushOffDrive</t>
        </is>
      </c>
      <c r="B2938" s="3" t="inlineStr">
        <is>
          <t>Act_POD_1014807_075355_625</t>
        </is>
      </c>
      <c r="C2938" s="3" t="inlineStr">
        <is>
          <t>1014807</t>
        </is>
      </c>
      <c r="D2938" s="9" t="n">
        <v>27</v>
      </c>
      <c r="E2938" s="3" t="inlineStr">
        <is>
          <t>703</t>
        </is>
      </c>
      <c r="F2938" s="3" t="inlineStr">
        <is>
          <t>625</t>
        </is>
      </c>
      <c r="G2938" s="9" t="n">
        <v>477.75</v>
      </c>
      <c r="H2938" s="10" t="n">
        <v>45673.32910879629</v>
      </c>
      <c r="I2938" s="10" t="n">
        <v>45673.32910879629</v>
      </c>
      <c r="J2938" s="10" t="n">
        <v>45673.33115740741</v>
      </c>
      <c r="K2938" s="11" t="n">
        <v>0.002048611111111111</v>
      </c>
      <c r="L2938" s="13" t="n"/>
    </row>
    <row r="2939">
      <c r="A2939" s="3" t="inlineStr">
        <is>
          <t>PushOffDrive</t>
        </is>
      </c>
      <c r="B2939" s="3" t="inlineStr">
        <is>
          <t>Act_POD_1014808_075652_606</t>
        </is>
      </c>
      <c r="C2939" s="3" t="inlineStr">
        <is>
          <t>1014808</t>
        </is>
      </c>
      <c r="D2939" s="9" t="n">
        <v>31.5</v>
      </c>
      <c r="E2939" s="3" t="inlineStr">
        <is>
          <t>703</t>
        </is>
      </c>
      <c r="F2939" s="3" t="inlineStr">
        <is>
          <t>606</t>
        </is>
      </c>
      <c r="G2939" s="9" t="n">
        <v>405.03</v>
      </c>
      <c r="H2939" s="10" t="n">
        <v>45673.33115740741</v>
      </c>
      <c r="I2939" s="10" t="n">
        <v>45673.33115740741</v>
      </c>
      <c r="J2939" s="10" t="n">
        <v>45673.33291666667</v>
      </c>
      <c r="K2939" s="11" t="n">
        <v>0.001759259259259259</v>
      </c>
      <c r="L2939" s="13" t="n"/>
    </row>
    <row r="2940">
      <c r="A2940" s="3" t="inlineStr">
        <is>
          <t>PushOffDrive</t>
        </is>
      </c>
      <c r="B2940" s="3" t="inlineStr">
        <is>
          <t>Act_POD_1014809_075924_629</t>
        </is>
      </c>
      <c r="C2940" s="3" t="inlineStr">
        <is>
          <t>1014809</t>
        </is>
      </c>
      <c r="D2940" s="9" t="n">
        <v>21</v>
      </c>
      <c r="E2940" s="3" t="inlineStr">
        <is>
          <t>703</t>
        </is>
      </c>
      <c r="F2940" s="3" t="inlineStr">
        <is>
          <t>629</t>
        </is>
      </c>
      <c r="G2940" s="9" t="n">
        <v>450.42</v>
      </c>
      <c r="H2940" s="10" t="n">
        <v>45673.33291666667</v>
      </c>
      <c r="I2940" s="10" t="n">
        <v>45673.33291666667</v>
      </c>
      <c r="J2940" s="10" t="n">
        <v>45673.33483796296</v>
      </c>
      <c r="K2940" s="11" t="n">
        <v>0.001921296296296296</v>
      </c>
      <c r="L2940" s="13" t="n"/>
    </row>
    <row r="2941">
      <c r="A2941" s="3" t="inlineStr">
        <is>
          <t>PushOffDrive</t>
        </is>
      </c>
      <c r="B2941" s="3" t="inlineStr">
        <is>
          <t>Act_POD_1014810_080210_605</t>
        </is>
      </c>
      <c r="C2941" s="3" t="inlineStr">
        <is>
          <t>1014810</t>
        </is>
      </c>
      <c r="D2941" s="9" t="n">
        <v>31.9</v>
      </c>
      <c r="E2941" s="3" t="inlineStr">
        <is>
          <t>703</t>
        </is>
      </c>
      <c r="F2941" s="3" t="inlineStr">
        <is>
          <t>605</t>
        </is>
      </c>
      <c r="G2941" s="9" t="n">
        <v>405.43</v>
      </c>
      <c r="H2941" s="10" t="n">
        <v>45673.33483796296</v>
      </c>
      <c r="I2941" s="10" t="n">
        <v>45673.33483796296</v>
      </c>
      <c r="J2941" s="10" t="n">
        <v>45673.33660879629</v>
      </c>
      <c r="K2941" s="11" t="n">
        <v>0.001770833333333333</v>
      </c>
      <c r="L2941" s="13" t="n"/>
    </row>
    <row r="2942">
      <c r="A2942" s="3" t="inlineStr">
        <is>
          <t>PushOffDrive</t>
        </is>
      </c>
      <c r="B2942" s="3" t="inlineStr">
        <is>
          <t>Act_POD_1014811_080443_625</t>
        </is>
      </c>
      <c r="C2942" s="3" t="inlineStr">
        <is>
          <t>1014811</t>
        </is>
      </c>
      <c r="D2942" s="9" t="n">
        <v>27</v>
      </c>
      <c r="E2942" s="3" t="inlineStr">
        <is>
          <t>703</t>
        </is>
      </c>
      <c r="F2942" s="3" t="inlineStr">
        <is>
          <t>625</t>
        </is>
      </c>
      <c r="G2942" s="9" t="n">
        <v>477.75</v>
      </c>
      <c r="H2942" s="10" t="n">
        <v>45673.33660879629</v>
      </c>
      <c r="I2942" s="10" t="n">
        <v>45673.33660879629</v>
      </c>
      <c r="J2942" s="10" t="n">
        <v>45673.33865740741</v>
      </c>
      <c r="K2942" s="11" t="n">
        <v>0.002048611111111111</v>
      </c>
      <c r="L2942" s="13" t="n"/>
    </row>
    <row r="2943">
      <c r="A2943" s="3" t="inlineStr">
        <is>
          <t>PushOffDrive</t>
        </is>
      </c>
      <c r="B2943" s="3" t="inlineStr">
        <is>
          <t>Act_POD_1015001_080855_615</t>
        </is>
      </c>
      <c r="C2943" s="3" t="inlineStr">
        <is>
          <t>1015001</t>
        </is>
      </c>
      <c r="D2943" s="9" t="n">
        <v>396.6</v>
      </c>
      <c r="E2943" s="3" t="inlineStr">
        <is>
          <t>727</t>
        </is>
      </c>
      <c r="F2943" s="3" t="inlineStr">
        <is>
          <t>615</t>
        </is>
      </c>
      <c r="G2943" s="9" t="n">
        <v>263.09</v>
      </c>
      <c r="H2943" s="10" t="n">
        <v>45673.33952546296</v>
      </c>
      <c r="I2943" s="10" t="n">
        <v>45673.33952546296</v>
      </c>
      <c r="J2943" s="10" t="n">
        <v>45673.34153935185</v>
      </c>
      <c r="K2943" s="11" t="n">
        <v>0.002013888888888889</v>
      </c>
      <c r="L2943" s="13" t="n"/>
    </row>
    <row r="2944">
      <c r="A2944" s="3" t="inlineStr">
        <is>
          <t>PushOffDrive</t>
        </is>
      </c>
      <c r="B2944" s="3" t="inlineStr">
        <is>
          <t>Act_POD_1015201_091555_605</t>
        </is>
      </c>
      <c r="C2944" s="3" t="inlineStr">
        <is>
          <t>1015201</t>
        </is>
      </c>
      <c r="D2944" s="9" t="n">
        <v>208.6</v>
      </c>
      <c r="E2944" s="3" t="inlineStr">
        <is>
          <t>727</t>
        </is>
      </c>
      <c r="F2944" s="3" t="inlineStr">
        <is>
          <t>605</t>
        </is>
      </c>
      <c r="G2944" s="9" t="n">
        <v>398.6</v>
      </c>
      <c r="H2944" s="10" t="n">
        <v>45673.38605324074</v>
      </c>
      <c r="I2944" s="10" t="n">
        <v>45673.38605324074</v>
      </c>
      <c r="J2944" s="10" t="n">
        <v>45673.38819444444</v>
      </c>
      <c r="K2944" s="11" t="n">
        <v>0.002141203703703704</v>
      </c>
      <c r="L2944" s="13" t="n"/>
    </row>
    <row r="2945">
      <c r="A2945" s="3" t="inlineStr">
        <is>
          <t>PushOffDrive</t>
        </is>
      </c>
      <c r="B2945" s="3" t="inlineStr">
        <is>
          <t>Act_POD_1015202_091900_619</t>
        </is>
      </c>
      <c r="C2945" s="3" t="inlineStr">
        <is>
          <t>1015202</t>
        </is>
      </c>
      <c r="D2945" s="9" t="n">
        <v>180.8</v>
      </c>
      <c r="E2945" s="3" t="inlineStr">
        <is>
          <t>727</t>
        </is>
      </c>
      <c r="F2945" s="3" t="inlineStr">
        <is>
          <t>619</t>
        </is>
      </c>
      <c r="G2945" s="9" t="n">
        <v>453.13</v>
      </c>
      <c r="H2945" s="10" t="n">
        <v>45673.38819444444</v>
      </c>
      <c r="I2945" s="10" t="n">
        <v>45673.38819444444</v>
      </c>
      <c r="J2945" s="10" t="n">
        <v>45673.39049768518</v>
      </c>
      <c r="K2945" s="11" t="n">
        <v>0.002303240740740741</v>
      </c>
      <c r="L2945" s="13" t="n"/>
    </row>
    <row r="2946">
      <c r="A2946" s="3" t="inlineStr">
        <is>
          <t>PushOffDrive</t>
        </is>
      </c>
      <c r="B2946" s="3" t="inlineStr">
        <is>
          <t>Act_POD_1015101_092849_607</t>
        </is>
      </c>
      <c r="C2946" s="3" t="inlineStr">
        <is>
          <t>1015101</t>
        </is>
      </c>
      <c r="D2946" s="9" t="n">
        <v>31.5</v>
      </c>
      <c r="E2946" s="3" t="inlineStr">
        <is>
          <t>703</t>
        </is>
      </c>
      <c r="F2946" s="3" t="inlineStr">
        <is>
          <t>607</t>
        </is>
      </c>
      <c r="G2946" s="9" t="n">
        <v>378.4</v>
      </c>
      <c r="H2946" s="10" t="n">
        <v>45673.39501157407</v>
      </c>
      <c r="I2946" s="10" t="n">
        <v>45673.39501157407</v>
      </c>
      <c r="J2946" s="10" t="n">
        <v>45673.39665509259</v>
      </c>
      <c r="K2946" s="11" t="n">
        <v>0.001643518518518519</v>
      </c>
      <c r="L2946" s="13" t="n"/>
    </row>
    <row r="2947">
      <c r="A2947" s="3" t="inlineStr">
        <is>
          <t>PushOffDrive</t>
        </is>
      </c>
      <c r="B2947" s="3" t="inlineStr">
        <is>
          <t>Act_POD_1015102_093111_611</t>
        </is>
      </c>
      <c r="C2947" s="3" t="inlineStr">
        <is>
          <t>1015102</t>
        </is>
      </c>
      <c r="D2947" s="9" t="n">
        <v>14</v>
      </c>
      <c r="E2947" s="3" t="inlineStr">
        <is>
          <t>703</t>
        </is>
      </c>
      <c r="F2947" s="3" t="inlineStr">
        <is>
          <t>611</t>
        </is>
      </c>
      <c r="G2947" s="9" t="n">
        <v>324.35</v>
      </c>
      <c r="H2947" s="10" t="n">
        <v>45673.39665509259</v>
      </c>
      <c r="I2947" s="10" t="n">
        <v>45673.39665509259</v>
      </c>
      <c r="J2947" s="10" t="n">
        <v>45673.39804398148</v>
      </c>
      <c r="K2947" s="11" t="n">
        <v>0.001388888888888889</v>
      </c>
      <c r="L2947" s="13" t="n"/>
    </row>
    <row r="2948">
      <c r="A2948" s="3" t="inlineStr">
        <is>
          <t>PushOffDrive</t>
        </is>
      </c>
      <c r="B2948" s="3" t="inlineStr">
        <is>
          <t>Act_POD_1015103_093311_623</t>
        </is>
      </c>
      <c r="C2948" s="3" t="inlineStr">
        <is>
          <t>1015103</t>
        </is>
      </c>
      <c r="D2948" s="9" t="n">
        <v>15.7</v>
      </c>
      <c r="E2948" s="3" t="inlineStr">
        <is>
          <t>703</t>
        </is>
      </c>
      <c r="F2948" s="3" t="inlineStr">
        <is>
          <t>623</t>
        </is>
      </c>
      <c r="G2948" s="9" t="n">
        <v>412.05</v>
      </c>
      <c r="H2948" s="10" t="n">
        <v>45673.39804398148</v>
      </c>
      <c r="I2948" s="10" t="n">
        <v>45673.39804398148</v>
      </c>
      <c r="J2948" s="10" t="n">
        <v>45673.39979166666</v>
      </c>
      <c r="K2948" s="11" t="n">
        <v>0.001747685185185185</v>
      </c>
      <c r="L2948" s="13" t="n"/>
    </row>
    <row r="2949">
      <c r="A2949" s="3" t="inlineStr">
        <is>
          <t>PushOffDrive</t>
        </is>
      </c>
      <c r="B2949" s="3" t="inlineStr">
        <is>
          <t>Act_POD_1015104_093542_629</t>
        </is>
      </c>
      <c r="C2949" s="3" t="inlineStr">
        <is>
          <t>1015104</t>
        </is>
      </c>
      <c r="D2949" s="9" t="n">
        <v>21</v>
      </c>
      <c r="E2949" s="3" t="inlineStr">
        <is>
          <t>703</t>
        </is>
      </c>
      <c r="F2949" s="3" t="inlineStr">
        <is>
          <t>629</t>
        </is>
      </c>
      <c r="G2949" s="9" t="n">
        <v>450.42</v>
      </c>
      <c r="H2949" s="10" t="n">
        <v>45673.39979166666</v>
      </c>
      <c r="I2949" s="10" t="n">
        <v>45673.39979166666</v>
      </c>
      <c r="J2949" s="10" t="n">
        <v>45673.40172453703</v>
      </c>
      <c r="K2949" s="11" t="n">
        <v>0.00193287037037037</v>
      </c>
      <c r="L2949" s="13" t="n"/>
    </row>
    <row r="2950">
      <c r="A2950" s="3" t="inlineStr">
        <is>
          <t>PushOffDrive</t>
        </is>
      </c>
      <c r="B2950" s="3" t="inlineStr">
        <is>
          <t>Act_POD_1015105_093829_625</t>
        </is>
      </c>
      <c r="C2950" s="3" t="inlineStr">
        <is>
          <t>1015105</t>
        </is>
      </c>
      <c r="D2950" s="9" t="n">
        <v>27</v>
      </c>
      <c r="E2950" s="3" t="inlineStr">
        <is>
          <t>703</t>
        </is>
      </c>
      <c r="F2950" s="3" t="inlineStr">
        <is>
          <t>625</t>
        </is>
      </c>
      <c r="G2950" s="9" t="n">
        <v>477.75</v>
      </c>
      <c r="H2950" s="10" t="n">
        <v>45673.40172453703</v>
      </c>
      <c r="I2950" s="10" t="n">
        <v>45673.40172453703</v>
      </c>
      <c r="J2950" s="10" t="n">
        <v>45673.40377314815</v>
      </c>
      <c r="K2950" s="11" t="n">
        <v>0.002048611111111111</v>
      </c>
      <c r="L2950" s="13" t="n"/>
    </row>
    <row r="2951">
      <c r="A2951" s="3" t="inlineStr">
        <is>
          <t>PushOffDrive</t>
        </is>
      </c>
      <c r="B2951" s="3" t="inlineStr">
        <is>
          <t>Act_POD_1015106_094126_617</t>
        </is>
      </c>
      <c r="C2951" s="3" t="inlineStr">
        <is>
          <t>1015106</t>
        </is>
      </c>
      <c r="D2951" s="9" t="n">
        <v>42</v>
      </c>
      <c r="E2951" s="3" t="inlineStr">
        <is>
          <t>703</t>
        </is>
      </c>
      <c r="F2951" s="3" t="inlineStr">
        <is>
          <t>617</t>
        </is>
      </c>
      <c r="G2951" s="9" t="n">
        <v>299.11</v>
      </c>
      <c r="H2951" s="10" t="n">
        <v>45673.40377314815</v>
      </c>
      <c r="I2951" s="10" t="n">
        <v>45673.40377314815</v>
      </c>
      <c r="J2951" s="10" t="n">
        <v>45673.40511574074</v>
      </c>
      <c r="K2951" s="11" t="n">
        <v>0.001342592592592592</v>
      </c>
      <c r="L2951" s="13" t="n"/>
    </row>
    <row r="2952">
      <c r="A2952" s="3" t="inlineStr">
        <is>
          <t>PushOffDrive</t>
        </is>
      </c>
      <c r="B2952" s="3" t="inlineStr">
        <is>
          <t>Act_POD_1015107_094322_627</t>
        </is>
      </c>
      <c r="C2952" s="3" t="inlineStr">
        <is>
          <t>1015107</t>
        </is>
      </c>
      <c r="D2952" s="9" t="n">
        <v>15.7</v>
      </c>
      <c r="E2952" s="3" t="inlineStr">
        <is>
          <t>703</t>
        </is>
      </c>
      <c r="F2952" s="3" t="inlineStr">
        <is>
          <t>627</t>
        </is>
      </c>
      <c r="G2952" s="9" t="n">
        <v>450.42</v>
      </c>
      <c r="H2952" s="10" t="n">
        <v>45673.40511574074</v>
      </c>
      <c r="I2952" s="10" t="n">
        <v>45673.40511574074</v>
      </c>
      <c r="J2952" s="10" t="n">
        <v>45673.40702546296</v>
      </c>
      <c r="K2952" s="11" t="n">
        <v>0.001909722222222222</v>
      </c>
      <c r="L2952" s="13" t="n"/>
    </row>
    <row r="2953">
      <c r="A2953" s="3" t="inlineStr">
        <is>
          <t>PushOffDrive</t>
        </is>
      </c>
      <c r="B2953" s="3" t="inlineStr">
        <is>
          <t>Act_POD_1015108_094607_609</t>
        </is>
      </c>
      <c r="C2953" s="3" t="inlineStr">
        <is>
          <t>1015108</t>
        </is>
      </c>
      <c r="D2953" s="9" t="n">
        <v>19.9</v>
      </c>
      <c r="E2953" s="3" t="inlineStr">
        <is>
          <t>703</t>
        </is>
      </c>
      <c r="F2953" s="3" t="inlineStr">
        <is>
          <t>609</t>
        </is>
      </c>
      <c r="G2953" s="9" t="n">
        <v>350.87</v>
      </c>
      <c r="H2953" s="10" t="n">
        <v>45673.40702546296</v>
      </c>
      <c r="I2953" s="10" t="n">
        <v>45673.40702546296</v>
      </c>
      <c r="J2953" s="10" t="n">
        <v>45673.40854166666</v>
      </c>
      <c r="K2953" s="11" t="n">
        <v>0.001516203703703704</v>
      </c>
      <c r="L2953" s="13" t="n"/>
    </row>
    <row r="2954">
      <c r="A2954" s="3" t="inlineStr">
        <is>
          <t>PushOffDrive</t>
        </is>
      </c>
      <c r="B2954" s="3" t="inlineStr">
        <is>
          <t>Act_POD_1015109_094818_613</t>
        </is>
      </c>
      <c r="C2954" s="3" t="inlineStr">
        <is>
          <t>1015109</t>
        </is>
      </c>
      <c r="D2954" s="9" t="n">
        <v>59.7</v>
      </c>
      <c r="E2954" s="3" t="inlineStr">
        <is>
          <t>703</t>
        </is>
      </c>
      <c r="F2954" s="3" t="inlineStr">
        <is>
          <t>613</t>
        </is>
      </c>
      <c r="G2954" s="9" t="n">
        <v>297.43</v>
      </c>
      <c r="H2954" s="10" t="n">
        <v>45673.40854166666</v>
      </c>
      <c r="I2954" s="10" t="n">
        <v>45673.40854166666</v>
      </c>
      <c r="J2954" s="10" t="n">
        <v>45673.40991898148</v>
      </c>
      <c r="K2954" s="11" t="n">
        <v>0.001377314814814815</v>
      </c>
      <c r="L2954" s="13" t="n"/>
    </row>
    <row r="2955">
      <c r="A2955" s="3" t="inlineStr">
        <is>
          <t>PushOffDrive</t>
        </is>
      </c>
      <c r="B2955" s="3" t="inlineStr">
        <is>
          <t>Act_POD_1015110_095017_613</t>
        </is>
      </c>
      <c r="C2955" s="3" t="inlineStr">
        <is>
          <t>1015110</t>
        </is>
      </c>
      <c r="D2955" s="9" t="n">
        <v>170.9</v>
      </c>
      <c r="E2955" s="3" t="inlineStr">
        <is>
          <t>703</t>
        </is>
      </c>
      <c r="F2955" s="3" t="inlineStr">
        <is>
          <t>613</t>
        </is>
      </c>
      <c r="G2955" s="9" t="n">
        <v>297.43</v>
      </c>
      <c r="H2955" s="10" t="n">
        <v>45673.40991898148</v>
      </c>
      <c r="I2955" s="10" t="n">
        <v>45673.40991898148</v>
      </c>
      <c r="J2955" s="10" t="n">
        <v>45673.41155092593</v>
      </c>
      <c r="K2955" s="11" t="n">
        <v>0.001631944444444445</v>
      </c>
      <c r="L2955" s="13" t="n"/>
    </row>
    <row r="2956">
      <c r="A2956" s="3" t="inlineStr">
        <is>
          <t>PushOffDrive</t>
        </is>
      </c>
      <c r="B2956" s="3" t="inlineStr">
        <is>
          <t>Act_POD_1015301_104938_615</t>
        </is>
      </c>
      <c r="C2956" s="3" t="inlineStr">
        <is>
          <t>1015301</t>
        </is>
      </c>
      <c r="D2956" s="9" t="n">
        <v>21</v>
      </c>
      <c r="E2956" s="3" t="inlineStr">
        <is>
          <t>703</t>
        </is>
      </c>
      <c r="F2956" s="3" t="inlineStr">
        <is>
          <t>615</t>
        </is>
      </c>
      <c r="G2956" s="9" t="n">
        <v>269.92</v>
      </c>
      <c r="H2956" s="10" t="n">
        <v>45673.45113425926</v>
      </c>
      <c r="I2956" s="10" t="n">
        <v>45673.45113425926</v>
      </c>
      <c r="J2956" s="10" t="n">
        <v>45673.45231481481</v>
      </c>
      <c r="K2956" s="11" t="n">
        <v>0.001180555555555556</v>
      </c>
      <c r="L2956" s="13" t="n"/>
    </row>
    <row r="2957">
      <c r="A2957" s="3" t="inlineStr">
        <is>
          <t>PushOffDrive</t>
        </is>
      </c>
      <c r="B2957" s="3" t="inlineStr">
        <is>
          <t>Act_POD_1015302_105120_605</t>
        </is>
      </c>
      <c r="C2957" s="3" t="inlineStr">
        <is>
          <t>1015302</t>
        </is>
      </c>
      <c r="D2957" s="9" t="n">
        <v>338.3</v>
      </c>
      <c r="E2957" s="3" t="inlineStr">
        <is>
          <t>703</t>
        </is>
      </c>
      <c r="F2957" s="3" t="inlineStr">
        <is>
          <t>605</t>
        </is>
      </c>
      <c r="G2957" s="9" t="n">
        <v>405.43</v>
      </c>
      <c r="H2957" s="10" t="n">
        <v>45673.45231481481</v>
      </c>
      <c r="I2957" s="10" t="n">
        <v>45673.45231481481</v>
      </c>
      <c r="J2957" s="10" t="n">
        <v>45673.45478009259</v>
      </c>
      <c r="K2957" s="11" t="n">
        <v>0.002465277777777778</v>
      </c>
      <c r="L2957" s="13" t="n"/>
    </row>
    <row r="2958">
      <c r="A2958" s="3" t="inlineStr">
        <is>
          <t>PushOffDrive</t>
        </is>
      </c>
      <c r="B2958" s="3" t="inlineStr">
        <is>
          <t>Act_POD_1015401_125610_625</t>
        </is>
      </c>
      <c r="C2958" s="3" t="inlineStr">
        <is>
          <t>1015401</t>
        </is>
      </c>
      <c r="D2958" s="9" t="n">
        <v>173</v>
      </c>
      <c r="E2958" s="3" t="inlineStr">
        <is>
          <t>703</t>
        </is>
      </c>
      <c r="F2958" s="3" t="inlineStr">
        <is>
          <t>625</t>
        </is>
      </c>
      <c r="G2958" s="9" t="n">
        <v>477.75</v>
      </c>
      <c r="H2958" s="10" t="n">
        <v>45673.53900462963</v>
      </c>
      <c r="I2958" s="10" t="n">
        <v>45673.53900462963</v>
      </c>
      <c r="J2958" s="10" t="n">
        <v>45673.54138888889</v>
      </c>
      <c r="K2958" s="11" t="n">
        <v>0.002384259259259259</v>
      </c>
      <c r="L2958" s="13" t="n"/>
    </row>
    <row r="2959">
      <c r="A2959" s="3" t="inlineStr">
        <is>
          <t>PushOffDrive</t>
        </is>
      </c>
      <c r="B2959" s="3" t="inlineStr">
        <is>
          <t>Act_POD_1015501_144158_613</t>
        </is>
      </c>
      <c r="C2959" s="3" t="inlineStr">
        <is>
          <t>1015501</t>
        </is>
      </c>
      <c r="D2959" s="9" t="n">
        <v>233.9</v>
      </c>
      <c r="E2959" s="3" t="inlineStr">
        <is>
          <t>703</t>
        </is>
      </c>
      <c r="F2959" s="3" t="inlineStr">
        <is>
          <t>613</t>
        </is>
      </c>
      <c r="G2959" s="9" t="n">
        <v>297.43</v>
      </c>
      <c r="H2959" s="10" t="n">
        <v>45673.61247685185</v>
      </c>
      <c r="I2959" s="10" t="n">
        <v>45673.61247685185</v>
      </c>
      <c r="J2959" s="10" t="n">
        <v>45673.61425925926</v>
      </c>
      <c r="K2959" s="11" t="n">
        <v>0.001782407407407407</v>
      </c>
      <c r="L2959" s="13" t="n"/>
    </row>
    <row r="2960">
      <c r="A2960" s="3" t="inlineStr">
        <is>
          <t>PushOffDrive</t>
        </is>
      </c>
      <c r="B2960" s="3" t="inlineStr">
        <is>
          <t>Act_POD_1015601_150526_629</t>
        </is>
      </c>
      <c r="C2960" s="3" t="inlineStr">
        <is>
          <t>1015601</t>
        </is>
      </c>
      <c r="D2960" s="9" t="n">
        <v>42</v>
      </c>
      <c r="E2960" s="3" t="inlineStr">
        <is>
          <t>703</t>
        </is>
      </c>
      <c r="F2960" s="3" t="inlineStr">
        <is>
          <t>629</t>
        </is>
      </c>
      <c r="G2960" s="9" t="n">
        <v>450.42</v>
      </c>
      <c r="H2960" s="10" t="n">
        <v>45673.62877314815</v>
      </c>
      <c r="I2960" s="10" t="n">
        <v>45673.62877314815</v>
      </c>
      <c r="J2960" s="10" t="n">
        <v>45673.63074074074</v>
      </c>
      <c r="K2960" s="11" t="n">
        <v>0.001967592592592592</v>
      </c>
      <c r="L2960" s="13" t="n"/>
    </row>
    <row r="2961">
      <c r="A2961" s="3" t="inlineStr">
        <is>
          <t>PushOffDrive</t>
        </is>
      </c>
      <c r="B2961" s="3" t="inlineStr">
        <is>
          <t>Act_POD_1015602_150816_613</t>
        </is>
      </c>
      <c r="C2961" s="3" t="inlineStr">
        <is>
          <t>1015602</t>
        </is>
      </c>
      <c r="D2961" s="9" t="n">
        <v>171.7</v>
      </c>
      <c r="E2961" s="3" t="inlineStr">
        <is>
          <t>703</t>
        </is>
      </c>
      <c r="F2961" s="3" t="inlineStr">
        <is>
          <t>613</t>
        </is>
      </c>
      <c r="G2961" s="9" t="n">
        <v>297.43</v>
      </c>
      <c r="H2961" s="10" t="n">
        <v>45673.63074074074</v>
      </c>
      <c r="I2961" s="10" t="n">
        <v>45673.63074074074</v>
      </c>
      <c r="J2961" s="10" t="n">
        <v>45673.63238425926</v>
      </c>
      <c r="K2961" s="11" t="n">
        <v>0.001643518518518519</v>
      </c>
      <c r="L2961" s="13" t="n"/>
    </row>
    <row r="2962">
      <c r="A2962" s="3" t="inlineStr">
        <is>
          <t>PushOffDrive</t>
        </is>
      </c>
      <c r="B2962" s="3" t="inlineStr">
        <is>
          <t>Act_POD_1015603_151038_607</t>
        </is>
      </c>
      <c r="C2962" s="3" t="inlineStr">
        <is>
          <t>1015603</t>
        </is>
      </c>
      <c r="D2962" s="9" t="n">
        <v>15.7</v>
      </c>
      <c r="E2962" s="3" t="inlineStr">
        <is>
          <t>703</t>
        </is>
      </c>
      <c r="F2962" s="3" t="inlineStr">
        <is>
          <t>607</t>
        </is>
      </c>
      <c r="G2962" s="9" t="n">
        <v>378.4</v>
      </c>
      <c r="H2962" s="10" t="n">
        <v>45673.63238425926</v>
      </c>
      <c r="I2962" s="10" t="n">
        <v>45673.63238425926</v>
      </c>
      <c r="J2962" s="10" t="n">
        <v>45673.63399305556</v>
      </c>
      <c r="K2962" s="11" t="n">
        <v>0.001608796296296296</v>
      </c>
      <c r="L2962" s="13" t="n"/>
    </row>
    <row r="2963">
      <c r="A2963" s="3" t="inlineStr">
        <is>
          <t>PushOffDrive</t>
        </is>
      </c>
      <c r="B2963" s="3" t="inlineStr">
        <is>
          <t>Act_POD_1015604_151257_609</t>
        </is>
      </c>
      <c r="C2963" s="3" t="inlineStr">
        <is>
          <t>1015604</t>
        </is>
      </c>
      <c r="D2963" s="9" t="n">
        <v>19.9</v>
      </c>
      <c r="E2963" s="3" t="inlineStr">
        <is>
          <t>703</t>
        </is>
      </c>
      <c r="F2963" s="3" t="inlineStr">
        <is>
          <t>609</t>
        </is>
      </c>
      <c r="G2963" s="9" t="n">
        <v>350.87</v>
      </c>
      <c r="H2963" s="10" t="n">
        <v>45673.63399305556</v>
      </c>
      <c r="I2963" s="10" t="n">
        <v>45673.63399305556</v>
      </c>
      <c r="J2963" s="10" t="n">
        <v>45673.63549768519</v>
      </c>
      <c r="K2963" s="11" t="n">
        <v>0.00150462962962963</v>
      </c>
      <c r="L2963" s="13" t="n"/>
    </row>
    <row r="2964">
      <c r="A2964" s="3" t="inlineStr">
        <is>
          <t>PushOffDrive</t>
        </is>
      </c>
      <c r="B2964" s="3" t="inlineStr">
        <is>
          <t>Act_POD_1015605_151507_627</t>
        </is>
      </c>
      <c r="C2964" s="3" t="inlineStr">
        <is>
          <t>1015605</t>
        </is>
      </c>
      <c r="D2964" s="9" t="n">
        <v>15.7</v>
      </c>
      <c r="E2964" s="3" t="inlineStr">
        <is>
          <t>703</t>
        </is>
      </c>
      <c r="F2964" s="3" t="inlineStr">
        <is>
          <t>627</t>
        </is>
      </c>
      <c r="G2964" s="9" t="n">
        <v>450.42</v>
      </c>
      <c r="H2964" s="10" t="n">
        <v>45673.63549768519</v>
      </c>
      <c r="I2964" s="10" t="n">
        <v>45673.63549768519</v>
      </c>
      <c r="J2964" s="10" t="n">
        <v>45673.63741898148</v>
      </c>
      <c r="K2964" s="11" t="n">
        <v>0.001921296296296296</v>
      </c>
      <c r="L2964" s="13" t="n"/>
    </row>
    <row r="2965">
      <c r="A2965" s="3" t="inlineStr">
        <is>
          <t>PushOffDrive</t>
        </is>
      </c>
      <c r="B2965" s="3" t="inlineStr">
        <is>
          <t>Act_POD_1015606_151753_619</t>
        </is>
      </c>
      <c r="C2965" s="3" t="inlineStr">
        <is>
          <t>1015606</t>
        </is>
      </c>
      <c r="D2965" s="9" t="n">
        <v>19.9</v>
      </c>
      <c r="E2965" s="3" t="inlineStr">
        <is>
          <t>703</t>
        </is>
      </c>
      <c r="F2965" s="3" t="inlineStr">
        <is>
          <t>619</t>
        </is>
      </c>
      <c r="G2965" s="9" t="n">
        <v>459.96</v>
      </c>
      <c r="H2965" s="10" t="n">
        <v>45673.63741898148</v>
      </c>
      <c r="I2965" s="10" t="n">
        <v>45673.63741898148</v>
      </c>
      <c r="J2965" s="10" t="n">
        <v>45673.639375</v>
      </c>
      <c r="K2965" s="11" t="n">
        <v>0.001956018518518518</v>
      </c>
      <c r="L2965" s="13" t="n"/>
    </row>
    <row r="2966">
      <c r="A2966" s="3" t="inlineStr">
        <is>
          <t>PushOffDrive</t>
        </is>
      </c>
      <c r="B2966" s="3" t="inlineStr">
        <is>
          <t>Act_POD_1015607_152042_617</t>
        </is>
      </c>
      <c r="C2966" s="3" t="inlineStr">
        <is>
          <t>1015607</t>
        </is>
      </c>
      <c r="D2966" s="9" t="n">
        <v>54</v>
      </c>
      <c r="E2966" s="3" t="inlineStr">
        <is>
          <t>703</t>
        </is>
      </c>
      <c r="F2966" s="3" t="inlineStr">
        <is>
          <t>617</t>
        </is>
      </c>
      <c r="G2966" s="9" t="n">
        <v>299.11</v>
      </c>
      <c r="H2966" s="10" t="n">
        <v>45673.639375</v>
      </c>
      <c r="I2966" s="10" t="n">
        <v>45673.639375</v>
      </c>
      <c r="J2966" s="10" t="n">
        <v>45673.64075231482</v>
      </c>
      <c r="K2966" s="11" t="n">
        <v>0.001377314814814815</v>
      </c>
      <c r="L2966" s="13" t="n"/>
    </row>
    <row r="2967">
      <c r="A2967" s="3" t="inlineStr">
        <is>
          <t>PushOffDrive</t>
        </is>
      </c>
      <c r="B2967" s="3" t="inlineStr">
        <is>
          <t>Act_POD_1015701_153435_621</t>
        </is>
      </c>
      <c r="C2967" s="3" t="inlineStr">
        <is>
          <t>1015701</t>
        </is>
      </c>
      <c r="D2967" s="9" t="n">
        <v>63</v>
      </c>
      <c r="E2967" s="3" t="inlineStr">
        <is>
          <t>731</t>
        </is>
      </c>
      <c r="F2967" s="3" t="inlineStr">
        <is>
          <t>621</t>
        </is>
      </c>
      <c r="G2967" s="9" t="n">
        <v>544.85</v>
      </c>
      <c r="H2967" s="10" t="n">
        <v>45673.6490162037</v>
      </c>
      <c r="I2967" s="10" t="n">
        <v>45673.6490162037</v>
      </c>
      <c r="J2967" s="10" t="n">
        <v>45673.65143518519</v>
      </c>
      <c r="K2967" s="11" t="n">
        <v>0.002418981481481482</v>
      </c>
      <c r="L2967" s="13" t="n"/>
    </row>
    <row r="2968">
      <c r="A2968" s="3" t="inlineStr">
        <is>
          <t>PushOffDrive</t>
        </is>
      </c>
      <c r="B2968" s="3" t="inlineStr">
        <is>
          <t>Act_POD_1015801_161617_615</t>
        </is>
      </c>
      <c r="C2968" s="3" t="inlineStr">
        <is>
          <t>1015801</t>
        </is>
      </c>
      <c r="D2968" s="9" t="n">
        <v>61.9</v>
      </c>
      <c r="E2968" s="3" t="inlineStr">
        <is>
          <t>703</t>
        </is>
      </c>
      <c r="F2968" s="3" t="inlineStr">
        <is>
          <t>615</t>
        </is>
      </c>
      <c r="G2968" s="9" t="n">
        <v>269.92</v>
      </c>
      <c r="H2968" s="10" t="n">
        <v>45673.67797453704</v>
      </c>
      <c r="I2968" s="10" t="n">
        <v>45673.67797453704</v>
      </c>
      <c r="J2968" s="10" t="n">
        <v>45673.67924768518</v>
      </c>
      <c r="K2968" s="11" t="n">
        <v>0.001273148148148148</v>
      </c>
      <c r="L2968" s="13" t="n"/>
    </row>
    <row r="2969">
      <c r="A2969" s="3" t="inlineStr">
        <is>
          <t>PushOffDrive</t>
        </is>
      </c>
      <c r="B2969" s="3" t="inlineStr">
        <is>
          <t>Act_POD_1015802_161807_621</t>
        </is>
      </c>
      <c r="C2969" s="3" t="inlineStr">
        <is>
          <t>1015802</t>
        </is>
      </c>
      <c r="D2969" s="9" t="n">
        <v>57.4</v>
      </c>
      <c r="E2969" s="3" t="inlineStr">
        <is>
          <t>703</t>
        </is>
      </c>
      <c r="F2969" s="3" t="inlineStr">
        <is>
          <t>621</t>
        </is>
      </c>
      <c r="G2969" s="9" t="n">
        <v>459.96</v>
      </c>
      <c r="H2969" s="10" t="n">
        <v>45673.67924768518</v>
      </c>
      <c r="I2969" s="10" t="n">
        <v>45673.67924768518</v>
      </c>
      <c r="J2969" s="10" t="n">
        <v>45673.68129629629</v>
      </c>
      <c r="K2969" s="11" t="n">
        <v>0.002048611111111111</v>
      </c>
      <c r="L2969" s="13" t="n"/>
    </row>
    <row r="2970">
      <c r="A2970" s="3" t="inlineStr">
        <is>
          <t>PushOffDrive</t>
        </is>
      </c>
      <c r="B2970" s="3" t="inlineStr">
        <is>
          <t>Act_POD_1015901_174741_617</t>
        </is>
      </c>
      <c r="C2970" s="3" t="inlineStr">
        <is>
          <t>1015901</t>
        </is>
      </c>
      <c r="D2970" s="9" t="n">
        <v>27</v>
      </c>
      <c r="E2970" s="3" t="inlineStr">
        <is>
          <t>703</t>
        </is>
      </c>
      <c r="F2970" s="3" t="inlineStr">
        <is>
          <t>617</t>
        </is>
      </c>
      <c r="G2970" s="9" t="n">
        <v>299.11</v>
      </c>
      <c r="H2970" s="10" t="n">
        <v>45673.74144675926</v>
      </c>
      <c r="I2970" s="10" t="n">
        <v>45673.74144675926</v>
      </c>
      <c r="J2970" s="10" t="n">
        <v>45673.74275462963</v>
      </c>
      <c r="K2970" s="11" t="n">
        <v>0.00130787037037037</v>
      </c>
      <c r="L2970" s="13" t="n"/>
    </row>
    <row r="2971">
      <c r="A2971" s="3" t="inlineStr">
        <is>
          <t>PushOffDrive</t>
        </is>
      </c>
      <c r="B2971" s="3" t="inlineStr">
        <is>
          <t>Act_POD_1015902_174934_629</t>
        </is>
      </c>
      <c r="C2971" s="3" t="inlineStr">
        <is>
          <t>1015902</t>
        </is>
      </c>
      <c r="D2971" s="9" t="n">
        <v>42</v>
      </c>
      <c r="E2971" s="3" t="inlineStr">
        <is>
          <t>703</t>
        </is>
      </c>
      <c r="F2971" s="3" t="inlineStr">
        <is>
          <t>629</t>
        </is>
      </c>
      <c r="G2971" s="9" t="n">
        <v>450.42</v>
      </c>
      <c r="H2971" s="10" t="n">
        <v>45673.74275462963</v>
      </c>
      <c r="I2971" s="10" t="n">
        <v>45673.74275462963</v>
      </c>
      <c r="J2971" s="10" t="n">
        <v>45673.74472222223</v>
      </c>
      <c r="K2971" s="11" t="n">
        <v>0.001967592592592592</v>
      </c>
      <c r="L2971" s="13" t="n"/>
    </row>
    <row r="2972">
      <c r="A2972" s="3" t="inlineStr">
        <is>
          <t>PushOffDrive</t>
        </is>
      </c>
      <c r="B2972" s="3" t="inlineStr">
        <is>
          <t>Act_POD_1015903_175224_613</t>
        </is>
      </c>
      <c r="C2972" s="3" t="inlineStr">
        <is>
          <t>1015903</t>
        </is>
      </c>
      <c r="D2972" s="9" t="n">
        <v>373.3</v>
      </c>
      <c r="E2972" s="3" t="inlineStr">
        <is>
          <t>703</t>
        </is>
      </c>
      <c r="F2972" s="3" t="inlineStr">
        <is>
          <t>613</t>
        </is>
      </c>
      <c r="G2972" s="9" t="n">
        <v>297.43</v>
      </c>
      <c r="H2972" s="10" t="n">
        <v>45673.74472222223</v>
      </c>
      <c r="I2972" s="10" t="n">
        <v>45673.74472222223</v>
      </c>
      <c r="J2972" s="10" t="n">
        <v>45673.7468287037</v>
      </c>
      <c r="K2972" s="11" t="n">
        <v>0.002106481481481481</v>
      </c>
      <c r="L2972" s="13" t="n"/>
    </row>
    <row r="2973">
      <c r="A2973" s="3" t="inlineStr">
        <is>
          <t>PushOffDrive</t>
        </is>
      </c>
      <c r="B2973" s="3" t="inlineStr">
        <is>
          <t>Act_POD_1015904_175526_619</t>
        </is>
      </c>
      <c r="C2973" s="3" t="inlineStr">
        <is>
          <t>1015904</t>
        </is>
      </c>
      <c r="D2973" s="9" t="n">
        <v>40.9</v>
      </c>
      <c r="E2973" s="3" t="inlineStr">
        <is>
          <t>703</t>
        </is>
      </c>
      <c r="F2973" s="3" t="inlineStr">
        <is>
          <t>619</t>
        </is>
      </c>
      <c r="G2973" s="9" t="n">
        <v>459.96</v>
      </c>
      <c r="H2973" s="10" t="n">
        <v>45673.7468287037</v>
      </c>
      <c r="I2973" s="10" t="n">
        <v>45673.7468287037</v>
      </c>
      <c r="J2973" s="10" t="n">
        <v>45673.74884259259</v>
      </c>
      <c r="K2973" s="11" t="n">
        <v>0.002013888888888889</v>
      </c>
      <c r="L2973" s="13" t="n"/>
    </row>
    <row r="2974">
      <c r="A2974" s="3" t="inlineStr">
        <is>
          <t>PushOffDrive</t>
        </is>
      </c>
      <c r="B2974" s="3" t="inlineStr">
        <is>
          <t>Act_POD_1015905_175820_613</t>
        </is>
      </c>
      <c r="C2974" s="3" t="inlineStr">
        <is>
          <t>1015905</t>
        </is>
      </c>
      <c r="D2974" s="9" t="n">
        <v>19.9</v>
      </c>
      <c r="E2974" s="3" t="inlineStr">
        <is>
          <t>703</t>
        </is>
      </c>
      <c r="F2974" s="3" t="inlineStr">
        <is>
          <t>613</t>
        </is>
      </c>
      <c r="G2974" s="9" t="n">
        <v>297.43</v>
      </c>
      <c r="H2974" s="10" t="n">
        <v>45673.74884259259</v>
      </c>
      <c r="I2974" s="10" t="n">
        <v>45673.74884259259</v>
      </c>
      <c r="J2974" s="10" t="n">
        <v>45673.75012731482</v>
      </c>
      <c r="K2974" s="11" t="n">
        <v>0.001284722222222222</v>
      </c>
      <c r="L2974" s="13" t="n"/>
    </row>
    <row r="2975">
      <c r="A2975" s="3" t="inlineStr">
        <is>
          <t>PushOffDrive</t>
        </is>
      </c>
      <c r="B2975" s="3" t="inlineStr">
        <is>
          <t>Act_POD_1016001_202140_611</t>
        </is>
      </c>
      <c r="C2975" s="3" t="inlineStr">
        <is>
          <t>1016001</t>
        </is>
      </c>
      <c r="D2975" s="9" t="n">
        <v>14</v>
      </c>
      <c r="E2975" s="3" t="inlineStr">
        <is>
          <t>703</t>
        </is>
      </c>
      <c r="F2975" s="3" t="inlineStr">
        <is>
          <t>611</t>
        </is>
      </c>
      <c r="G2975" s="9" t="n">
        <v>324.35</v>
      </c>
      <c r="H2975" s="10" t="n">
        <v>45673.84837962963</v>
      </c>
      <c r="I2975" s="10" t="n">
        <v>45673.84837962963</v>
      </c>
      <c r="J2975" s="10" t="n">
        <v>45673.84976851852</v>
      </c>
      <c r="K2975" s="11" t="n">
        <v>0.001388888888888889</v>
      </c>
      <c r="L2975" s="13" t="n"/>
    </row>
    <row r="2976">
      <c r="A2976" s="3" t="inlineStr">
        <is>
          <t>PushOffDrive</t>
        </is>
      </c>
      <c r="B2976" s="3" t="inlineStr">
        <is>
          <t>Act_POD_1016002_202340_625</t>
        </is>
      </c>
      <c r="C2976" s="3" t="inlineStr">
        <is>
          <t>1016002</t>
        </is>
      </c>
      <c r="D2976" s="9" t="n">
        <v>108.7</v>
      </c>
      <c r="E2976" s="3" t="inlineStr">
        <is>
          <t>703</t>
        </is>
      </c>
      <c r="F2976" s="3" t="inlineStr">
        <is>
          <t>625</t>
        </is>
      </c>
      <c r="G2976" s="9" t="n">
        <v>477.75</v>
      </c>
      <c r="H2976" s="10" t="n">
        <v>45673.84976851852</v>
      </c>
      <c r="I2976" s="10" t="n">
        <v>45673.84976851852</v>
      </c>
      <c r="J2976" s="10" t="n">
        <v>45673.85200231482</v>
      </c>
      <c r="K2976" s="11" t="n">
        <v>0.002233796296296296</v>
      </c>
      <c r="L2976" s="13" t="n"/>
    </row>
    <row r="2977">
      <c r="A2977" s="3" t="inlineStr">
        <is>
          <t>PushOffDrive</t>
        </is>
      </c>
      <c r="B2977" s="3" t="inlineStr">
        <is>
          <t>Act_POD_1016003_202653_609</t>
        </is>
      </c>
      <c r="C2977" s="3" t="inlineStr">
        <is>
          <t>1016003</t>
        </is>
      </c>
      <c r="D2977" s="9" t="n">
        <v>19.9</v>
      </c>
      <c r="E2977" s="3" t="inlineStr">
        <is>
          <t>703</t>
        </is>
      </c>
      <c r="F2977" s="3" t="inlineStr">
        <is>
          <t>609</t>
        </is>
      </c>
      <c r="G2977" s="9" t="n">
        <v>350.87</v>
      </c>
      <c r="H2977" s="10" t="n">
        <v>45673.85200231482</v>
      </c>
      <c r="I2977" s="10" t="n">
        <v>45673.85200231482</v>
      </c>
      <c r="J2977" s="10" t="n">
        <v>45673.85351851852</v>
      </c>
      <c r="K2977" s="11" t="n">
        <v>0.001516203703703704</v>
      </c>
      <c r="L2977" s="13" t="n"/>
    </row>
    <row r="2978">
      <c r="A2978" s="3" t="inlineStr">
        <is>
          <t>PushOffDrive</t>
        </is>
      </c>
      <c r="B2978" s="3" t="inlineStr">
        <is>
          <t>Act_POD_1016004_202904_623</t>
        </is>
      </c>
      <c r="C2978" s="3" t="inlineStr">
        <is>
          <t>1016004</t>
        </is>
      </c>
      <c r="D2978" s="9" t="n">
        <v>15.7</v>
      </c>
      <c r="E2978" s="3" t="inlineStr">
        <is>
          <t>703</t>
        </is>
      </c>
      <c r="F2978" s="3" t="inlineStr">
        <is>
          <t>623</t>
        </is>
      </c>
      <c r="G2978" s="9" t="n">
        <v>412.05</v>
      </c>
      <c r="H2978" s="10" t="n">
        <v>45673.85351851852</v>
      </c>
      <c r="I2978" s="10" t="n">
        <v>45673.85351851852</v>
      </c>
      <c r="J2978" s="10" t="n">
        <v>45673.8552662037</v>
      </c>
      <c r="K2978" s="11" t="n">
        <v>0.001747685185185185</v>
      </c>
      <c r="L2978" s="13" t="n"/>
    </row>
    <row r="2979">
      <c r="A2979" s="3" t="inlineStr">
        <is>
          <t>PushOffDrive</t>
        </is>
      </c>
      <c r="B2979" s="3" t="inlineStr">
        <is>
          <t>Act_POD_1016005_203135_617</t>
        </is>
      </c>
      <c r="C2979" s="3" t="inlineStr">
        <is>
          <t>1016005</t>
        </is>
      </c>
      <c r="D2979" s="9" t="n">
        <v>27</v>
      </c>
      <c r="E2979" s="3" t="inlineStr">
        <is>
          <t>703</t>
        </is>
      </c>
      <c r="F2979" s="3" t="inlineStr">
        <is>
          <t>617</t>
        </is>
      </c>
      <c r="G2979" s="9" t="n">
        <v>299.11</v>
      </c>
      <c r="H2979" s="10" t="n">
        <v>45673.8552662037</v>
      </c>
      <c r="I2979" s="10" t="n">
        <v>45673.8552662037</v>
      </c>
      <c r="J2979" s="10" t="n">
        <v>45673.85657407407</v>
      </c>
      <c r="K2979" s="11" t="n">
        <v>0.00130787037037037</v>
      </c>
      <c r="L2979" s="13" t="n"/>
    </row>
    <row r="2980">
      <c r="A2980" s="3" t="inlineStr">
        <is>
          <t>PushOffDrive</t>
        </is>
      </c>
      <c r="B2980" s="3" t="inlineStr">
        <is>
          <t>Act_POD_1016006_203328_607</t>
        </is>
      </c>
      <c r="C2980" s="3" t="inlineStr">
        <is>
          <t>1016006</t>
        </is>
      </c>
      <c r="D2980" s="9" t="n">
        <v>15.7</v>
      </c>
      <c r="E2980" s="3" t="inlineStr">
        <is>
          <t>703</t>
        </is>
      </c>
      <c r="F2980" s="3" t="inlineStr">
        <is>
          <t>607</t>
        </is>
      </c>
      <c r="G2980" s="9" t="n">
        <v>378.4</v>
      </c>
      <c r="H2980" s="10" t="n">
        <v>45673.85657407407</v>
      </c>
      <c r="I2980" s="10" t="n">
        <v>45673.85657407407</v>
      </c>
      <c r="J2980" s="10" t="n">
        <v>45673.85819444444</v>
      </c>
      <c r="K2980" s="11" t="n">
        <v>0.00162037037037037</v>
      </c>
      <c r="L2980" s="13" t="n"/>
    </row>
    <row r="2981">
      <c r="A2981" s="3" t="inlineStr">
        <is>
          <t>PushOffDrive</t>
        </is>
      </c>
      <c r="B2981" s="3" t="inlineStr">
        <is>
          <t>Act_POD_1016007_203548_605</t>
        </is>
      </c>
      <c r="C2981" s="3" t="inlineStr">
        <is>
          <t>1016007</t>
        </is>
      </c>
      <c r="D2981" s="9" t="n">
        <v>19.9</v>
      </c>
      <c r="E2981" s="3" t="inlineStr">
        <is>
          <t>703</t>
        </is>
      </c>
      <c r="F2981" s="3" t="inlineStr">
        <is>
          <t>605</t>
        </is>
      </c>
      <c r="G2981" s="9" t="n">
        <v>405.43</v>
      </c>
      <c r="H2981" s="10" t="n">
        <v>45673.85819444444</v>
      </c>
      <c r="I2981" s="10" t="n">
        <v>45673.85819444444</v>
      </c>
      <c r="J2981" s="10" t="n">
        <v>45673.85993055555</v>
      </c>
      <c r="K2981" s="11" t="n">
        <v>0.001736111111111111</v>
      </c>
      <c r="L2981" s="13" t="n"/>
    </row>
    <row r="2982">
      <c r="A2982" s="3" t="inlineStr">
        <is>
          <t>PushOffDrive</t>
        </is>
      </c>
      <c r="B2982" s="3" t="inlineStr">
        <is>
          <t>Act_POD_1016101_025919_605</t>
        </is>
      </c>
      <c r="C2982" s="3" t="inlineStr">
        <is>
          <t>1016101</t>
        </is>
      </c>
      <c r="D2982" s="9" t="n">
        <v>145.9</v>
      </c>
      <c r="E2982" s="3" t="inlineStr">
        <is>
          <t>703</t>
        </is>
      </c>
      <c r="F2982" s="3" t="inlineStr">
        <is>
          <t>605</t>
        </is>
      </c>
      <c r="G2982" s="9" t="n">
        <v>405.43</v>
      </c>
      <c r="H2982" s="10" t="n">
        <v>45674.12452546296</v>
      </c>
      <c r="I2982" s="10" t="n">
        <v>45674.12452546296</v>
      </c>
      <c r="J2982" s="10" t="n">
        <v>45674.12655092592</v>
      </c>
      <c r="K2982" s="11" t="n">
        <v>0.002025462962962963</v>
      </c>
      <c r="L2982" s="13" t="n"/>
    </row>
    <row r="2983">
      <c r="A2983" s="3" t="inlineStr">
        <is>
          <t>PushOffDrive</t>
        </is>
      </c>
      <c r="B2983" s="3" t="inlineStr">
        <is>
          <t>Act_POD_1016102_030214_627</t>
        </is>
      </c>
      <c r="C2983" s="3" t="inlineStr">
        <is>
          <t>1016102</t>
        </is>
      </c>
      <c r="D2983" s="9" t="n">
        <v>15.7</v>
      </c>
      <c r="E2983" s="3" t="inlineStr">
        <is>
          <t>703</t>
        </is>
      </c>
      <c r="F2983" s="3" t="inlineStr">
        <is>
          <t>627</t>
        </is>
      </c>
      <c r="G2983" s="9" t="n">
        <v>450.42</v>
      </c>
      <c r="H2983" s="10" t="n">
        <v>45674.12655092592</v>
      </c>
      <c r="I2983" s="10" t="n">
        <v>45674.12655092592</v>
      </c>
      <c r="J2983" s="10" t="n">
        <v>45674.12847222222</v>
      </c>
      <c r="K2983" s="11" t="n">
        <v>0.001921296296296296</v>
      </c>
      <c r="L2983" s="13" t="n"/>
    </row>
    <row r="2984">
      <c r="A2984" s="3" t="inlineStr">
        <is>
          <t>PushOffDrive</t>
        </is>
      </c>
      <c r="B2984" s="3" t="inlineStr">
        <is>
          <t>Act_POD_1016103_030500_621</t>
        </is>
      </c>
      <c r="C2984" s="3" t="inlineStr">
        <is>
          <t>1016103</t>
        </is>
      </c>
      <c r="D2984" s="9" t="n">
        <v>12</v>
      </c>
      <c r="E2984" s="3" t="inlineStr">
        <is>
          <t>703</t>
        </is>
      </c>
      <c r="F2984" s="3" t="inlineStr">
        <is>
          <t>621</t>
        </is>
      </c>
      <c r="G2984" s="9" t="n">
        <v>459.96</v>
      </c>
      <c r="H2984" s="10" t="n">
        <v>45674.12847222222</v>
      </c>
      <c r="I2984" s="10" t="n">
        <v>45674.12847222222</v>
      </c>
      <c r="J2984" s="10" t="n">
        <v>45674.13040509259</v>
      </c>
      <c r="K2984" s="11" t="n">
        <v>0.00193287037037037</v>
      </c>
      <c r="L2984" s="13" t="n"/>
    </row>
    <row r="2985">
      <c r="A2985" s="3" t="inlineStr">
        <is>
          <t>PushOffDrive</t>
        </is>
      </c>
      <c r="B2985" s="3" t="inlineStr">
        <is>
          <t>Act_POD_1016104_030747_609</t>
        </is>
      </c>
      <c r="C2985" s="3" t="inlineStr">
        <is>
          <t>1016104</t>
        </is>
      </c>
      <c r="D2985" s="9" t="n">
        <v>35.6</v>
      </c>
      <c r="E2985" s="3" t="inlineStr">
        <is>
          <t>703</t>
        </is>
      </c>
      <c r="F2985" s="3" t="inlineStr">
        <is>
          <t>609</t>
        </is>
      </c>
      <c r="G2985" s="9" t="n">
        <v>350.87</v>
      </c>
      <c r="H2985" s="10" t="n">
        <v>45674.13040509259</v>
      </c>
      <c r="I2985" s="10" t="n">
        <v>45674.13040509259</v>
      </c>
      <c r="J2985" s="10" t="n">
        <v>45674.13195601852</v>
      </c>
      <c r="K2985" s="11" t="n">
        <v>0.001550925925925926</v>
      </c>
      <c r="L2985" s="13" t="n"/>
    </row>
    <row r="2986">
      <c r="A2986" s="3" t="inlineStr">
        <is>
          <t>PushOffDrive</t>
        </is>
      </c>
      <c r="B2986" s="3" t="inlineStr">
        <is>
          <t>Act_POD_1016201_044015_619</t>
        </is>
      </c>
      <c r="C2986" s="3" t="inlineStr">
        <is>
          <t>1016201</t>
        </is>
      </c>
      <c r="D2986" s="9" t="n">
        <v>513.3</v>
      </c>
      <c r="E2986" s="3" t="inlineStr">
        <is>
          <t>703</t>
        </is>
      </c>
      <c r="F2986" s="3" t="inlineStr">
        <is>
          <t>619</t>
        </is>
      </c>
      <c r="G2986" s="9" t="n">
        <v>459.96</v>
      </c>
      <c r="H2986" s="10" t="n">
        <v>45674.19461805555</v>
      </c>
      <c r="I2986" s="10" t="n">
        <v>45674.19461805555</v>
      </c>
      <c r="J2986" s="10" t="n">
        <v>45674.19771990741</v>
      </c>
      <c r="K2986" s="11" t="n">
        <v>0.003101851851851852</v>
      </c>
      <c r="L2986" s="13" t="n"/>
    </row>
    <row r="2987">
      <c r="A2987" s="3" t="inlineStr">
        <is>
          <t>PushOffDrive</t>
        </is>
      </c>
      <c r="B2987" s="3" t="inlineStr">
        <is>
          <t>Act_POD_1016301_064007_613</t>
        </is>
      </c>
      <c r="C2987" s="3" t="inlineStr">
        <is>
          <t>1016301</t>
        </is>
      </c>
      <c r="D2987" s="9" t="n">
        <v>297</v>
      </c>
      <c r="E2987" s="3" t="inlineStr">
        <is>
          <t>703</t>
        </is>
      </c>
      <c r="F2987" s="3" t="inlineStr">
        <is>
          <t>613</t>
        </is>
      </c>
      <c r="G2987" s="9" t="n">
        <v>297.43</v>
      </c>
      <c r="H2987" s="10" t="n">
        <v>45674.2778587963</v>
      </c>
      <c r="I2987" s="10" t="n">
        <v>45674.2778587963</v>
      </c>
      <c r="J2987" s="10" t="n">
        <v>45674.27978009259</v>
      </c>
      <c r="K2987" s="11" t="n">
        <v>0.001921296296296296</v>
      </c>
      <c r="L2987" s="13" t="n"/>
    </row>
    <row r="2988">
      <c r="A2988" s="3" t="inlineStr">
        <is>
          <t>PushOffDrive</t>
        </is>
      </c>
      <c r="B2988" s="3" t="inlineStr">
        <is>
          <t>Act_POD_1016401_072248_606</t>
        </is>
      </c>
      <c r="C2988" s="3" t="inlineStr">
        <is>
          <t>1016401</t>
        </is>
      </c>
      <c r="D2988" s="9" t="n">
        <v>43.1</v>
      </c>
      <c r="E2988" s="3" t="inlineStr">
        <is>
          <t>703</t>
        </is>
      </c>
      <c r="F2988" s="3" t="inlineStr">
        <is>
          <t>606</t>
        </is>
      </c>
      <c r="G2988" s="9" t="n">
        <v>405.03</v>
      </c>
      <c r="H2988" s="10" t="n">
        <v>45674.3075</v>
      </c>
      <c r="I2988" s="10" t="n">
        <v>45674.3075</v>
      </c>
      <c r="J2988" s="10" t="n">
        <v>45674.30929398148</v>
      </c>
      <c r="K2988" s="11" t="n">
        <v>0.001793981481481481</v>
      </c>
      <c r="L2988" s="13" t="n"/>
    </row>
    <row r="2989">
      <c r="A2989" s="3" t="inlineStr">
        <is>
          <t>PushOffDrive</t>
        </is>
      </c>
      <c r="B2989" s="3" t="inlineStr">
        <is>
          <t>Act_POD_1016402_072523_625</t>
        </is>
      </c>
      <c r="C2989" s="3" t="inlineStr">
        <is>
          <t>1016402</t>
        </is>
      </c>
      <c r="D2989" s="9" t="n">
        <v>147.7</v>
      </c>
      <c r="E2989" s="3" t="inlineStr">
        <is>
          <t>703</t>
        </is>
      </c>
      <c r="F2989" s="3" t="inlineStr">
        <is>
          <t>625</t>
        </is>
      </c>
      <c r="G2989" s="9" t="n">
        <v>477.75</v>
      </c>
      <c r="H2989" s="10" t="n">
        <v>45674.30929398148</v>
      </c>
      <c r="I2989" s="10" t="n">
        <v>45674.30929398148</v>
      </c>
      <c r="J2989" s="10" t="n">
        <v>45674.31162037037</v>
      </c>
      <c r="K2989" s="11" t="n">
        <v>0.002326388888888889</v>
      </c>
      <c r="L2989" s="13" t="n"/>
    </row>
    <row r="2990">
      <c r="A2990" s="3" t="inlineStr">
        <is>
          <t>PushOffDrive</t>
        </is>
      </c>
      <c r="B2990" s="3" t="inlineStr">
        <is>
          <t>Act_POD_1016403_072844_623</t>
        </is>
      </c>
      <c r="C2990" s="3" t="inlineStr">
        <is>
          <t>1016403</t>
        </is>
      </c>
      <c r="D2990" s="9" t="n">
        <v>15.7</v>
      </c>
      <c r="E2990" s="3" t="inlineStr">
        <is>
          <t>703</t>
        </is>
      </c>
      <c r="F2990" s="3" t="inlineStr">
        <is>
          <t>623</t>
        </is>
      </c>
      <c r="G2990" s="9" t="n">
        <v>412.05</v>
      </c>
      <c r="H2990" s="10" t="n">
        <v>45674.31162037037</v>
      </c>
      <c r="I2990" s="10" t="n">
        <v>45674.31162037037</v>
      </c>
      <c r="J2990" s="10" t="n">
        <v>45674.31337962963</v>
      </c>
      <c r="K2990" s="11" t="n">
        <v>0.001759259259259259</v>
      </c>
      <c r="L2990" s="13" t="n"/>
    </row>
    <row r="2991">
      <c r="A2991" s="3" t="inlineStr">
        <is>
          <t>PushOffDrive</t>
        </is>
      </c>
      <c r="B2991" s="3" t="inlineStr">
        <is>
          <t>Act_POD_1016404_073116_615</t>
        </is>
      </c>
      <c r="C2991" s="3" t="inlineStr">
        <is>
          <t>1016404</t>
        </is>
      </c>
      <c r="D2991" s="9" t="n">
        <v>51.4</v>
      </c>
      <c r="E2991" s="3" t="inlineStr">
        <is>
          <t>703</t>
        </is>
      </c>
      <c r="F2991" s="3" t="inlineStr">
        <is>
          <t>615</t>
        </is>
      </c>
      <c r="G2991" s="9" t="n">
        <v>269.92</v>
      </c>
      <c r="H2991" s="10" t="n">
        <v>45674.31337962963</v>
      </c>
      <c r="I2991" s="10" t="n">
        <v>45674.31337962963</v>
      </c>
      <c r="J2991" s="10" t="n">
        <v>45674.31461805556</v>
      </c>
      <c r="K2991" s="11" t="n">
        <v>0.001238425925925926</v>
      </c>
      <c r="L2991" s="13" t="n"/>
    </row>
    <row r="2992">
      <c r="A2992" s="3" t="inlineStr">
        <is>
          <t>PushOffDrive</t>
        </is>
      </c>
      <c r="B2992" s="3" t="inlineStr">
        <is>
          <t>Act_POD_1016405_073303_607</t>
        </is>
      </c>
      <c r="C2992" s="3" t="inlineStr">
        <is>
          <t>1016405</t>
        </is>
      </c>
      <c r="D2992" s="9" t="n">
        <v>15.7</v>
      </c>
      <c r="E2992" s="3" t="inlineStr">
        <is>
          <t>703</t>
        </is>
      </c>
      <c r="F2992" s="3" t="inlineStr">
        <is>
          <t>607</t>
        </is>
      </c>
      <c r="G2992" s="9" t="n">
        <v>378.4</v>
      </c>
      <c r="H2992" s="10" t="n">
        <v>45674.31461805556</v>
      </c>
      <c r="I2992" s="10" t="n">
        <v>45674.31461805556</v>
      </c>
      <c r="J2992" s="10" t="n">
        <v>45674.31623842593</v>
      </c>
      <c r="K2992" s="11" t="n">
        <v>0.00162037037037037</v>
      </c>
      <c r="L2992" s="13" t="n"/>
    </row>
    <row r="2993">
      <c r="A2993" s="3" t="inlineStr">
        <is>
          <t>PushOffDrive</t>
        </is>
      </c>
      <c r="B2993" s="3" t="inlineStr">
        <is>
          <t>Act_POD_1016406_073523_629</t>
        </is>
      </c>
      <c r="C2993" s="3" t="inlineStr">
        <is>
          <t>1016406</t>
        </is>
      </c>
      <c r="D2993" s="9" t="n">
        <v>73.90000000000001</v>
      </c>
      <c r="E2993" s="3" t="inlineStr">
        <is>
          <t>703</t>
        </is>
      </c>
      <c r="F2993" s="3" t="inlineStr">
        <is>
          <t>629</t>
        </is>
      </c>
      <c r="G2993" s="9" t="n">
        <v>450.42</v>
      </c>
      <c r="H2993" s="10" t="n">
        <v>45674.31623842593</v>
      </c>
      <c r="I2993" s="10" t="n">
        <v>45674.31623842593</v>
      </c>
      <c r="J2993" s="10" t="n">
        <v>45674.31828703704</v>
      </c>
      <c r="K2993" s="11" t="n">
        <v>0.002048611111111111</v>
      </c>
      <c r="L2993" s="13" t="n"/>
    </row>
    <row r="2994">
      <c r="A2994" s="3" t="inlineStr">
        <is>
          <t>PushOffDrive</t>
        </is>
      </c>
      <c r="B2994" s="3" t="inlineStr">
        <is>
          <t>Act_POD_1016407_073820_619</t>
        </is>
      </c>
      <c r="C2994" s="3" t="inlineStr">
        <is>
          <t>1016407</t>
        </is>
      </c>
      <c r="D2994" s="9" t="n">
        <v>15.7</v>
      </c>
      <c r="E2994" s="3" t="inlineStr">
        <is>
          <t>703</t>
        </is>
      </c>
      <c r="F2994" s="3" t="inlineStr">
        <is>
          <t>619</t>
        </is>
      </c>
      <c r="G2994" s="9" t="n">
        <v>459.96</v>
      </c>
      <c r="H2994" s="10" t="n">
        <v>45674.31828703704</v>
      </c>
      <c r="I2994" s="10" t="n">
        <v>45674.31828703704</v>
      </c>
      <c r="J2994" s="10" t="n">
        <v>45674.32023148148</v>
      </c>
      <c r="K2994" s="11" t="n">
        <v>0.001944444444444444</v>
      </c>
      <c r="L2994" s="13" t="n"/>
    </row>
    <row r="2995">
      <c r="A2995" s="3" t="inlineStr">
        <is>
          <t>PushOffDrive</t>
        </is>
      </c>
      <c r="B2995" s="3" t="inlineStr">
        <is>
          <t>Act_POD_1016408_074108_621</t>
        </is>
      </c>
      <c r="C2995" s="3" t="inlineStr">
        <is>
          <t>1016408</t>
        </is>
      </c>
      <c r="D2995" s="9" t="n">
        <v>116.9</v>
      </c>
      <c r="E2995" s="3" t="inlineStr">
        <is>
          <t>703</t>
        </is>
      </c>
      <c r="F2995" s="3" t="inlineStr">
        <is>
          <t>621</t>
        </is>
      </c>
      <c r="G2995" s="9" t="n">
        <v>459.96</v>
      </c>
      <c r="H2995" s="10" t="n">
        <v>45674.32023148148</v>
      </c>
      <c r="I2995" s="10" t="n">
        <v>45674.32023148148</v>
      </c>
      <c r="J2995" s="10" t="n">
        <v>45674.32241898148</v>
      </c>
      <c r="K2995" s="11" t="n">
        <v>0.0021875</v>
      </c>
      <c r="L2995" s="13" t="n"/>
    </row>
    <row r="2996">
      <c r="A2996" s="3" t="inlineStr">
        <is>
          <t>PushOffDrive</t>
        </is>
      </c>
      <c r="B2996" s="3" t="inlineStr">
        <is>
          <t>Act_POD_1016409_074417_621</t>
        </is>
      </c>
      <c r="C2996" s="3" t="inlineStr">
        <is>
          <t>1016409</t>
        </is>
      </c>
      <c r="D2996" s="9" t="n">
        <v>12</v>
      </c>
      <c r="E2996" s="3" t="inlineStr">
        <is>
          <t>703</t>
        </is>
      </c>
      <c r="F2996" s="3" t="inlineStr">
        <is>
          <t>621</t>
        </is>
      </c>
      <c r="G2996" s="9" t="n">
        <v>459.96</v>
      </c>
      <c r="H2996" s="10" t="n">
        <v>45674.32241898148</v>
      </c>
      <c r="I2996" s="10" t="n">
        <v>45674.32241898148</v>
      </c>
      <c r="J2996" s="10" t="n">
        <v>45674.32436342593</v>
      </c>
      <c r="K2996" s="11" t="n">
        <v>0.001944444444444444</v>
      </c>
      <c r="L2996" s="13" t="n"/>
    </row>
    <row r="2997">
      <c r="A2997" s="3" t="inlineStr">
        <is>
          <t>PushOffDrive</t>
        </is>
      </c>
      <c r="B2997" s="3" t="inlineStr">
        <is>
          <t>Act_POD_1016501_074814_617</t>
        </is>
      </c>
      <c r="C2997" s="3" t="inlineStr">
        <is>
          <t>1016501</t>
        </is>
      </c>
      <c r="D2997" s="9" t="n">
        <v>339.8</v>
      </c>
      <c r="E2997" s="3" t="inlineStr">
        <is>
          <t>727</t>
        </is>
      </c>
      <c r="F2997" s="3" t="inlineStr">
        <is>
          <t>617</t>
        </is>
      </c>
      <c r="G2997" s="9" t="n">
        <v>292.28</v>
      </c>
      <c r="H2997" s="10" t="n">
        <v>45674.32516203704</v>
      </c>
      <c r="I2997" s="10" t="n">
        <v>45674.32516203704</v>
      </c>
      <c r="J2997" s="10" t="n">
        <v>45674.32716435185</v>
      </c>
      <c r="K2997" s="11" t="n">
        <v>0.002002314814814815</v>
      </c>
      <c r="L2997" s="13" t="n"/>
    </row>
    <row r="2998">
      <c r="A2998" s="3" t="inlineStr">
        <is>
          <t>PushOffDrive</t>
        </is>
      </c>
      <c r="B2998" s="3" t="inlineStr">
        <is>
          <t>Act_POD_1016601_081020_623</t>
        </is>
      </c>
      <c r="C2998" s="3" t="inlineStr">
        <is>
          <t>1016601</t>
        </is>
      </c>
      <c r="D2998" s="9" t="n">
        <v>287.9</v>
      </c>
      <c r="E2998" s="3" t="inlineStr">
        <is>
          <t>703</t>
        </is>
      </c>
      <c r="F2998" s="3" t="inlineStr">
        <is>
          <t>623</t>
        </is>
      </c>
      <c r="G2998" s="9" t="n">
        <v>412.05</v>
      </c>
      <c r="H2998" s="10" t="n">
        <v>45674.34050925926</v>
      </c>
      <c r="I2998" s="10" t="n">
        <v>45674.34050925926</v>
      </c>
      <c r="J2998" s="10" t="n">
        <v>45674.34289351852</v>
      </c>
      <c r="K2998" s="11" t="n">
        <v>0.002384259259259259</v>
      </c>
      <c r="L2998" s="13" t="n"/>
    </row>
    <row r="2999">
      <c r="A2999" s="3" t="inlineStr">
        <is>
          <t>PushOffDrive</t>
        </is>
      </c>
      <c r="B2999" s="3" t="inlineStr">
        <is>
          <t>Act_POD_1016802_090119_615</t>
        </is>
      </c>
      <c r="C2999" s="3" t="inlineStr">
        <is>
          <t>1016802</t>
        </is>
      </c>
      <c r="D2999" s="9" t="n">
        <v>173.3</v>
      </c>
      <c r="E2999" s="3" t="inlineStr">
        <is>
          <t>703</t>
        </is>
      </c>
      <c r="F2999" s="3" t="inlineStr">
        <is>
          <t>615</t>
        </is>
      </c>
      <c r="G2999" s="9" t="n">
        <v>269.92</v>
      </c>
      <c r="H2999" s="10" t="n">
        <v>45674.37591435185</v>
      </c>
      <c r="I2999" s="10" t="n">
        <v>45674.37591435185</v>
      </c>
      <c r="J2999" s="10" t="n">
        <v>45674.37744212963</v>
      </c>
      <c r="K2999" s="11" t="n">
        <v>0.001527777777777778</v>
      </c>
      <c r="L2999" s="13" t="n"/>
    </row>
    <row r="3000">
      <c r="A3000" s="3" t="inlineStr">
        <is>
          <t>PushOffDrive</t>
        </is>
      </c>
      <c r="B3000" s="3" t="inlineStr">
        <is>
          <t>Act_POD_1016701_090650_605</t>
        </is>
      </c>
      <c r="C3000" s="3" t="inlineStr">
        <is>
          <t>1016701</t>
        </is>
      </c>
      <c r="D3000" s="9" t="n">
        <v>15.7</v>
      </c>
      <c r="E3000" s="3" t="inlineStr">
        <is>
          <t>727</t>
        </is>
      </c>
      <c r="F3000" s="3" t="inlineStr">
        <is>
          <t>605</t>
        </is>
      </c>
      <c r="G3000" s="9" t="n">
        <v>398.6</v>
      </c>
      <c r="H3000" s="10" t="n">
        <v>45674.37974537037</v>
      </c>
      <c r="I3000" s="10" t="n">
        <v>45674.37974537037</v>
      </c>
      <c r="J3000" s="10" t="n">
        <v>45674.38144675926</v>
      </c>
      <c r="K3000" s="11" t="n">
        <v>0.001701388888888889</v>
      </c>
      <c r="L3000" s="13" t="n"/>
    </row>
    <row r="3001">
      <c r="A3001" s="3" t="inlineStr">
        <is>
          <t>PushOffDrive</t>
        </is>
      </c>
      <c r="B3001" s="3" t="inlineStr">
        <is>
          <t>Act_POD_1016702_090917_607</t>
        </is>
      </c>
      <c r="C3001" s="3" t="inlineStr">
        <is>
          <t>1016702</t>
        </is>
      </c>
      <c r="D3001" s="9" t="n">
        <v>240.6</v>
      </c>
      <c r="E3001" s="3" t="inlineStr">
        <is>
          <t>727</t>
        </is>
      </c>
      <c r="F3001" s="3" t="inlineStr">
        <is>
          <t>607</t>
        </is>
      </c>
      <c r="G3001" s="9" t="n">
        <v>371.57</v>
      </c>
      <c r="H3001" s="10" t="n">
        <v>45674.38144675926</v>
      </c>
      <c r="I3001" s="10" t="n">
        <v>45674.38144675926</v>
      </c>
      <c r="J3001" s="10" t="n">
        <v>45674.38355324074</v>
      </c>
      <c r="K3001" s="11" t="n">
        <v>0.002106481481481481</v>
      </c>
      <c r="L3001" s="13" t="n"/>
    </row>
    <row r="3002">
      <c r="A3002" s="3" t="inlineStr">
        <is>
          <t>PushOffDrive</t>
        </is>
      </c>
      <c r="B3002" s="3" t="inlineStr">
        <is>
          <t>Act_POD_1016703_091219_609</t>
        </is>
      </c>
      <c r="C3002" s="3" t="inlineStr">
        <is>
          <t>1016703</t>
        </is>
      </c>
      <c r="D3002" s="9" t="n">
        <v>19.9</v>
      </c>
      <c r="E3002" s="3" t="inlineStr">
        <is>
          <t>727</t>
        </is>
      </c>
      <c r="F3002" s="3" t="inlineStr">
        <is>
          <t>609</t>
        </is>
      </c>
      <c r="G3002" s="9" t="n">
        <v>344.04</v>
      </c>
      <c r="H3002" s="10" t="n">
        <v>45674.38355324074</v>
      </c>
      <c r="I3002" s="10" t="n">
        <v>45674.38355324074</v>
      </c>
      <c r="J3002" s="10" t="n">
        <v>45674.38503472223</v>
      </c>
      <c r="K3002" s="11" t="n">
        <v>0.001481481481481481</v>
      </c>
      <c r="L3002" s="13" t="n"/>
    </row>
    <row r="3003">
      <c r="A3003" s="3" t="inlineStr">
        <is>
          <t>PushOffDrive</t>
        </is>
      </c>
      <c r="B3003" s="3" t="inlineStr">
        <is>
          <t>Act_POD_1016704_091427_619</t>
        </is>
      </c>
      <c r="C3003" s="3" t="inlineStr">
        <is>
          <t>1016704</t>
        </is>
      </c>
      <c r="D3003" s="9" t="n">
        <v>15.7</v>
      </c>
      <c r="E3003" s="3" t="inlineStr">
        <is>
          <t>727</t>
        </is>
      </c>
      <c r="F3003" s="3" t="inlineStr">
        <is>
          <t>619</t>
        </is>
      </c>
      <c r="G3003" s="9" t="n">
        <v>453.13</v>
      </c>
      <c r="H3003" s="10" t="n">
        <v>45674.38503472223</v>
      </c>
      <c r="I3003" s="10" t="n">
        <v>45674.38503472223</v>
      </c>
      <c r="J3003" s="10" t="n">
        <v>45674.38695601852</v>
      </c>
      <c r="K3003" s="11" t="n">
        <v>0.001921296296296296</v>
      </c>
      <c r="L3003" s="13" t="n"/>
    </row>
    <row r="3004">
      <c r="A3004" s="3" t="inlineStr">
        <is>
          <t>PushOffDrive</t>
        </is>
      </c>
      <c r="B3004" s="3" t="inlineStr">
        <is>
          <t>Act_POD_1016705_091713_625</t>
        </is>
      </c>
      <c r="C3004" s="3" t="inlineStr">
        <is>
          <t>1016705</t>
        </is>
      </c>
      <c r="D3004" s="9" t="n">
        <v>47.2</v>
      </c>
      <c r="E3004" s="3" t="inlineStr">
        <is>
          <t>727</t>
        </is>
      </c>
      <c r="F3004" s="3" t="inlineStr">
        <is>
          <t>625</t>
        </is>
      </c>
      <c r="G3004" s="9" t="n">
        <v>470.92</v>
      </c>
      <c r="H3004" s="10" t="n">
        <v>45674.38695601852</v>
      </c>
      <c r="I3004" s="10" t="n">
        <v>45674.38695601852</v>
      </c>
      <c r="J3004" s="10" t="n">
        <v>45674.38902777778</v>
      </c>
      <c r="K3004" s="11" t="n">
        <v>0.002071759259259259</v>
      </c>
      <c r="L3004" s="13" t="n"/>
    </row>
    <row r="3005">
      <c r="A3005" s="3" t="inlineStr">
        <is>
          <t>PushOffDrive</t>
        </is>
      </c>
      <c r="B3005" s="3" t="inlineStr">
        <is>
          <t>Act_POD_1016706_092012_611</t>
        </is>
      </c>
      <c r="C3005" s="3" t="inlineStr">
        <is>
          <t>1016706</t>
        </is>
      </c>
      <c r="D3005" s="9" t="n">
        <v>14</v>
      </c>
      <c r="E3005" s="3" t="inlineStr">
        <is>
          <t>727</t>
        </is>
      </c>
      <c r="F3005" s="3" t="inlineStr">
        <is>
          <t>611</t>
        </is>
      </c>
      <c r="G3005" s="9" t="n">
        <v>317.52</v>
      </c>
      <c r="H3005" s="10" t="n">
        <v>45674.38902777778</v>
      </c>
      <c r="I3005" s="10" t="n">
        <v>45674.38902777778</v>
      </c>
      <c r="J3005" s="10" t="n">
        <v>45674.39038194445</v>
      </c>
      <c r="K3005" s="11" t="n">
        <v>0.001354166666666667</v>
      </c>
      <c r="L3005" s="13" t="n"/>
    </row>
    <row r="3006">
      <c r="A3006" s="3" t="inlineStr">
        <is>
          <t>PushOffDrive</t>
        </is>
      </c>
      <c r="B3006" s="3" t="inlineStr">
        <is>
          <t>Act_POD_1016707_092209_607</t>
        </is>
      </c>
      <c r="C3006" s="3" t="inlineStr">
        <is>
          <t>1016707</t>
        </is>
      </c>
      <c r="D3006" s="9" t="n">
        <v>15.7</v>
      </c>
      <c r="E3006" s="3" t="inlineStr">
        <is>
          <t>727</t>
        </is>
      </c>
      <c r="F3006" s="3" t="inlineStr">
        <is>
          <t>607</t>
        </is>
      </c>
      <c r="G3006" s="9" t="n">
        <v>371.57</v>
      </c>
      <c r="H3006" s="10" t="n">
        <v>45674.39038194445</v>
      </c>
      <c r="I3006" s="10" t="n">
        <v>45674.39038194445</v>
      </c>
      <c r="J3006" s="10" t="n">
        <v>45674.39196759259</v>
      </c>
      <c r="K3006" s="11" t="n">
        <v>0.001585648148148148</v>
      </c>
      <c r="L3006" s="13" t="n"/>
    </row>
    <row r="3007">
      <c r="A3007" s="3" t="inlineStr">
        <is>
          <t>PushOffDrive</t>
        </is>
      </c>
      <c r="B3007" s="3" t="inlineStr">
        <is>
          <t>Act_POD_1016708_092426_629</t>
        </is>
      </c>
      <c r="C3007" s="3" t="inlineStr">
        <is>
          <t>1016708</t>
        </is>
      </c>
      <c r="D3007" s="9" t="n">
        <v>94.90000000000001</v>
      </c>
      <c r="E3007" s="3" t="inlineStr">
        <is>
          <t>727</t>
        </is>
      </c>
      <c r="F3007" s="3" t="inlineStr">
        <is>
          <t>629</t>
        </is>
      </c>
      <c r="G3007" s="9" t="n">
        <v>443.59</v>
      </c>
      <c r="H3007" s="10" t="n">
        <v>45674.39196759259</v>
      </c>
      <c r="I3007" s="10" t="n">
        <v>45674.39196759259</v>
      </c>
      <c r="J3007" s="10" t="n">
        <v>45674.39403935185</v>
      </c>
      <c r="K3007" s="11" t="n">
        <v>0.002071759259259259</v>
      </c>
      <c r="L3007" s="13" t="n"/>
    </row>
    <row r="3008">
      <c r="A3008" s="3" t="inlineStr">
        <is>
          <t>PushOffDrive</t>
        </is>
      </c>
      <c r="B3008" s="3" t="inlineStr">
        <is>
          <t>Act_POD_1016709_092725_627</t>
        </is>
      </c>
      <c r="C3008" s="3" t="inlineStr">
        <is>
          <t>1016709</t>
        </is>
      </c>
      <c r="D3008" s="9" t="n">
        <v>81</v>
      </c>
      <c r="E3008" s="3" t="inlineStr">
        <is>
          <t>727</t>
        </is>
      </c>
      <c r="F3008" s="3" t="inlineStr">
        <is>
          <t>627</t>
        </is>
      </c>
      <c r="G3008" s="9" t="n">
        <v>443.59</v>
      </c>
      <c r="H3008" s="10" t="n">
        <v>45674.39403935185</v>
      </c>
      <c r="I3008" s="10" t="n">
        <v>45674.39403935185</v>
      </c>
      <c r="J3008" s="10" t="n">
        <v>45674.39607638889</v>
      </c>
      <c r="K3008" s="11" t="n">
        <v>0.002037037037037037</v>
      </c>
      <c r="L3008" s="13" t="n"/>
    </row>
    <row r="3009">
      <c r="A3009" s="3" t="inlineStr">
        <is>
          <t>PushOffDrive</t>
        </is>
      </c>
      <c r="B3009" s="3" t="inlineStr">
        <is>
          <t>Act_POD_1016710_093021_629</t>
        </is>
      </c>
      <c r="C3009" s="3" t="inlineStr">
        <is>
          <t>1016710</t>
        </is>
      </c>
      <c r="D3009" s="9" t="n">
        <v>15.7</v>
      </c>
      <c r="E3009" s="3" t="inlineStr">
        <is>
          <t>727</t>
        </is>
      </c>
      <c r="F3009" s="3" t="inlineStr">
        <is>
          <t>629</t>
        </is>
      </c>
      <c r="G3009" s="9" t="n">
        <v>443.59</v>
      </c>
      <c r="H3009" s="10" t="n">
        <v>45674.39607638889</v>
      </c>
      <c r="I3009" s="10" t="n">
        <v>45674.39607638889</v>
      </c>
      <c r="J3009" s="10" t="n">
        <v>45674.39795138889</v>
      </c>
      <c r="K3009" s="11" t="n">
        <v>0.001875</v>
      </c>
      <c r="L3009" s="13" t="n"/>
    </row>
    <row r="3010">
      <c r="A3010" s="3" t="inlineStr">
        <is>
          <t>PushOffDrive</t>
        </is>
      </c>
      <c r="B3010" s="3" t="inlineStr">
        <is>
          <t>Act_POD_1016901_102524_615</t>
        </is>
      </c>
      <c r="C3010" s="3" t="inlineStr">
        <is>
          <t>1016901</t>
        </is>
      </c>
      <c r="D3010" s="9" t="n">
        <v>21</v>
      </c>
      <c r="E3010" s="3" t="inlineStr">
        <is>
          <t>703</t>
        </is>
      </c>
      <c r="F3010" s="3" t="inlineStr">
        <is>
          <t>615</t>
        </is>
      </c>
      <c r="G3010" s="9" t="n">
        <v>269.92</v>
      </c>
      <c r="H3010" s="10" t="n">
        <v>45674.43430555556</v>
      </c>
      <c r="I3010" s="10" t="n">
        <v>45674.43430555556</v>
      </c>
      <c r="J3010" s="10" t="n">
        <v>45674.43547453704</v>
      </c>
      <c r="K3010" s="11" t="n">
        <v>0.001168981481481482</v>
      </c>
      <c r="L3010" s="13" t="n"/>
    </row>
    <row r="3011">
      <c r="A3011" s="3" t="inlineStr">
        <is>
          <t>PushOffDrive</t>
        </is>
      </c>
      <c r="B3011" s="3" t="inlineStr">
        <is>
          <t>Act_POD_1017001_130025_613</t>
        </is>
      </c>
      <c r="C3011" s="3" t="inlineStr">
        <is>
          <t>1017001</t>
        </is>
      </c>
      <c r="D3011" s="9" t="n">
        <v>238.4</v>
      </c>
      <c r="E3011" s="3" t="inlineStr">
        <is>
          <t>703</t>
        </is>
      </c>
      <c r="F3011" s="3" t="inlineStr">
        <is>
          <t>613</t>
        </is>
      </c>
      <c r="G3011" s="9" t="n">
        <v>297.43</v>
      </c>
      <c r="H3011" s="10" t="n">
        <v>45674.54195601852</v>
      </c>
      <c r="I3011" s="10" t="n">
        <v>45674.54195601852</v>
      </c>
      <c r="J3011" s="10" t="n">
        <v>45674.54375</v>
      </c>
      <c r="K3011" s="11" t="n">
        <v>0.001793981481481481</v>
      </c>
      <c r="L3011" s="13" t="n"/>
    </row>
    <row r="3012">
      <c r="A3012" s="3" t="inlineStr">
        <is>
          <t>PushOffDrive</t>
        </is>
      </c>
      <c r="B3012" s="3" t="inlineStr">
        <is>
          <t>Act_POD_1017101_154339_625</t>
        </is>
      </c>
      <c r="C3012" s="3" t="inlineStr">
        <is>
          <t>1017101</t>
        </is>
      </c>
      <c r="D3012" s="9" t="n">
        <v>220.4</v>
      </c>
      <c r="E3012" s="3" t="inlineStr">
        <is>
          <t>703</t>
        </is>
      </c>
      <c r="F3012" s="3" t="inlineStr">
        <is>
          <t>625</t>
        </is>
      </c>
      <c r="G3012" s="9" t="n">
        <v>477.75</v>
      </c>
      <c r="H3012" s="10" t="n">
        <v>45674.6553125</v>
      </c>
      <c r="I3012" s="10" t="n">
        <v>45674.6553125</v>
      </c>
      <c r="J3012" s="10" t="n">
        <v>45674.65782407407</v>
      </c>
      <c r="K3012" s="11" t="n">
        <v>0.002511574074074074</v>
      </c>
      <c r="L3012" s="13" t="n"/>
    </row>
    <row r="3013">
      <c r="A3013" s="3" t="inlineStr">
        <is>
          <t>PushOffDrive</t>
        </is>
      </c>
      <c r="B3013" s="3" t="inlineStr">
        <is>
          <t>Act_POD_1017201_174146_615</t>
        </is>
      </c>
      <c r="C3013" s="3" t="inlineStr">
        <is>
          <t>1017201</t>
        </is>
      </c>
      <c r="D3013" s="9" t="n">
        <v>302.1</v>
      </c>
      <c r="E3013" s="3" t="inlineStr">
        <is>
          <t>703</t>
        </is>
      </c>
      <c r="F3013" s="3" t="inlineStr">
        <is>
          <t>615</t>
        </is>
      </c>
      <c r="G3013" s="9" t="n">
        <v>269.92</v>
      </c>
      <c r="H3013" s="10" t="n">
        <v>45674.73733796296</v>
      </c>
      <c r="I3013" s="10" t="n">
        <v>45674.73733796296</v>
      </c>
      <c r="J3013" s="10" t="n">
        <v>45674.73916666667</v>
      </c>
      <c r="K3013" s="11" t="n">
        <v>0.001828703703703704</v>
      </c>
      <c r="L3013" s="13" t="n"/>
    </row>
    <row r="3014">
      <c r="A3014" s="3" t="inlineStr">
        <is>
          <t>PushOffDrive</t>
        </is>
      </c>
      <c r="B3014" s="3" t="inlineStr">
        <is>
          <t>Act_POD_1017301_180856_619</t>
        </is>
      </c>
      <c r="C3014" s="3" t="inlineStr">
        <is>
          <t>1017301</t>
        </is>
      </c>
      <c r="D3014" s="9" t="n">
        <v>110.2</v>
      </c>
      <c r="E3014" s="3" t="inlineStr">
        <is>
          <t>703</t>
        </is>
      </c>
      <c r="F3014" s="3" t="inlineStr">
        <is>
          <t>619</t>
        </is>
      </c>
      <c r="G3014" s="9" t="n">
        <v>459.96</v>
      </c>
      <c r="H3014" s="10" t="n">
        <v>45674.75620370371</v>
      </c>
      <c r="I3014" s="10" t="n">
        <v>45674.75620370371</v>
      </c>
      <c r="J3014" s="10" t="n">
        <v>45674.75837962963</v>
      </c>
      <c r="K3014" s="11" t="n">
        <v>0.002175925925925926</v>
      </c>
      <c r="L3014" s="13" t="n"/>
    </row>
    <row r="3015">
      <c r="A3015" s="3" t="inlineStr">
        <is>
          <t>PushOffDrive</t>
        </is>
      </c>
      <c r="B3015" s="3" t="inlineStr">
        <is>
          <t>Act_POD_1017401_202843_625</t>
        </is>
      </c>
      <c r="C3015" s="3" t="inlineStr">
        <is>
          <t>1017401</t>
        </is>
      </c>
      <c r="D3015" s="9" t="n">
        <v>15.7</v>
      </c>
      <c r="E3015" s="3" t="inlineStr">
        <is>
          <t>703</t>
        </is>
      </c>
      <c r="F3015" s="3" t="inlineStr">
        <is>
          <t>625</t>
        </is>
      </c>
      <c r="G3015" s="9" t="n">
        <v>477.75</v>
      </c>
      <c r="H3015" s="10" t="n">
        <v>45674.85327546296</v>
      </c>
      <c r="I3015" s="10" t="n">
        <v>45674.85327546296</v>
      </c>
      <c r="J3015" s="10" t="n">
        <v>45674.85530092593</v>
      </c>
      <c r="K3015" s="11" t="n">
        <v>0.002025462962962963</v>
      </c>
      <c r="L3015" s="13" t="n"/>
    </row>
    <row r="3016">
      <c r="A3016" s="3" t="inlineStr">
        <is>
          <t>PushOffDrive</t>
        </is>
      </c>
      <c r="B3016" s="3" t="inlineStr">
        <is>
          <t>Act_POD_1017402_203138_606</t>
        </is>
      </c>
      <c r="C3016" s="3" t="inlineStr">
        <is>
          <t>1017402</t>
        </is>
      </c>
      <c r="D3016" s="9" t="n">
        <v>36.4</v>
      </c>
      <c r="E3016" s="3" t="inlineStr">
        <is>
          <t>703</t>
        </is>
      </c>
      <c r="F3016" s="3" t="inlineStr">
        <is>
          <t>606</t>
        </is>
      </c>
      <c r="G3016" s="9" t="n">
        <v>405.03</v>
      </c>
      <c r="H3016" s="10" t="n">
        <v>45674.85530092593</v>
      </c>
      <c r="I3016" s="10" t="n">
        <v>45674.85530092593</v>
      </c>
      <c r="J3016" s="10" t="n">
        <v>45674.85707175926</v>
      </c>
      <c r="K3016" s="11" t="n">
        <v>0.001770833333333333</v>
      </c>
      <c r="L3016" s="13" t="n"/>
    </row>
    <row r="3017">
      <c r="A3017" s="3" t="inlineStr">
        <is>
          <t>PushOffDrive</t>
        </is>
      </c>
      <c r="B3017" s="3" t="inlineStr">
        <is>
          <t>Act_POD_1017403_203411_621</t>
        </is>
      </c>
      <c r="C3017" s="3" t="inlineStr">
        <is>
          <t>1017403</t>
        </is>
      </c>
      <c r="D3017" s="9" t="n">
        <v>19.9</v>
      </c>
      <c r="E3017" s="3" t="inlineStr">
        <is>
          <t>703</t>
        </is>
      </c>
      <c r="F3017" s="3" t="inlineStr">
        <is>
          <t>621</t>
        </is>
      </c>
      <c r="G3017" s="9" t="n">
        <v>459.96</v>
      </c>
      <c r="H3017" s="10" t="n">
        <v>45674.85707175926</v>
      </c>
      <c r="I3017" s="10" t="n">
        <v>45674.85707175926</v>
      </c>
      <c r="J3017" s="10" t="n">
        <v>45674.85903935185</v>
      </c>
      <c r="K3017" s="11" t="n">
        <v>0.001967592592592592</v>
      </c>
      <c r="L3017" s="13" t="n"/>
    </row>
    <row r="3018">
      <c r="A3018" s="3" t="inlineStr">
        <is>
          <t>PushOffDrive</t>
        </is>
      </c>
      <c r="B3018" s="3" t="inlineStr">
        <is>
          <t>Act_POD_1017404_203701_617</t>
        </is>
      </c>
      <c r="C3018" s="3" t="inlineStr">
        <is>
          <t>1017404</t>
        </is>
      </c>
      <c r="D3018" s="9" t="n">
        <v>54</v>
      </c>
      <c r="E3018" s="3" t="inlineStr">
        <is>
          <t>703</t>
        </is>
      </c>
      <c r="F3018" s="3" t="inlineStr">
        <is>
          <t>617</t>
        </is>
      </c>
      <c r="G3018" s="9" t="n">
        <v>299.11</v>
      </c>
      <c r="H3018" s="10" t="n">
        <v>45674.85903935185</v>
      </c>
      <c r="I3018" s="10" t="n">
        <v>45674.85903935185</v>
      </c>
      <c r="J3018" s="10" t="n">
        <v>45674.86040509259</v>
      </c>
      <c r="K3018" s="11" t="n">
        <v>0.001365740740740741</v>
      </c>
      <c r="L3018" s="13" t="n"/>
    </row>
    <row r="3019">
      <c r="A3019" s="3" t="inlineStr">
        <is>
          <t>PushOffDrive</t>
        </is>
      </c>
      <c r="B3019" s="3" t="inlineStr">
        <is>
          <t>Act_POD_1017405_203859_629</t>
        </is>
      </c>
      <c r="C3019" s="3" t="inlineStr">
        <is>
          <t>1017405</t>
        </is>
      </c>
      <c r="D3019" s="9" t="n">
        <v>23.2</v>
      </c>
      <c r="E3019" s="3" t="inlineStr">
        <is>
          <t>703</t>
        </is>
      </c>
      <c r="F3019" s="3" t="inlineStr">
        <is>
          <t>629</t>
        </is>
      </c>
      <c r="G3019" s="9" t="n">
        <v>450.42</v>
      </c>
      <c r="H3019" s="10" t="n">
        <v>45674.86040509259</v>
      </c>
      <c r="I3019" s="10" t="n">
        <v>45674.86040509259</v>
      </c>
      <c r="J3019" s="10" t="n">
        <v>45674.86233796296</v>
      </c>
      <c r="K3019" s="11" t="n">
        <v>0.00193287037037037</v>
      </c>
      <c r="L3019" s="13" t="n"/>
    </row>
    <row r="3020">
      <c r="A3020" s="3" t="inlineStr">
        <is>
          <t>PushOffDrive</t>
        </is>
      </c>
      <c r="B3020" s="3" t="inlineStr">
        <is>
          <t>Act_POD_1017406_204146_621</t>
        </is>
      </c>
      <c r="C3020" s="3" t="inlineStr">
        <is>
          <t>1017406</t>
        </is>
      </c>
      <c r="D3020" s="9" t="n">
        <v>155.9</v>
      </c>
      <c r="E3020" s="3" t="inlineStr">
        <is>
          <t>703</t>
        </is>
      </c>
      <c r="F3020" s="3" t="inlineStr">
        <is>
          <t>621</t>
        </is>
      </c>
      <c r="G3020" s="9" t="n">
        <v>459.96</v>
      </c>
      <c r="H3020" s="10" t="n">
        <v>45674.86233796296</v>
      </c>
      <c r="I3020" s="10" t="n">
        <v>45674.86233796296</v>
      </c>
      <c r="J3020" s="10" t="n">
        <v>45674.86461805556</v>
      </c>
      <c r="K3020" s="11" t="n">
        <v>0.002280092592592593</v>
      </c>
      <c r="L3020" s="13" t="n"/>
    </row>
    <row r="3021">
      <c r="A3021" s="3" t="inlineStr">
        <is>
          <t>PushOffDrive</t>
        </is>
      </c>
      <c r="B3021" s="3" t="inlineStr">
        <is>
          <t>Act_POD_1017407_204503_609</t>
        </is>
      </c>
      <c r="C3021" s="3" t="inlineStr">
        <is>
          <t>1017407</t>
        </is>
      </c>
      <c r="D3021" s="9" t="n">
        <v>19.9</v>
      </c>
      <c r="E3021" s="3" t="inlineStr">
        <is>
          <t>703</t>
        </is>
      </c>
      <c r="F3021" s="3" t="inlineStr">
        <is>
          <t>609</t>
        </is>
      </c>
      <c r="G3021" s="9" t="n">
        <v>350.87</v>
      </c>
      <c r="H3021" s="10" t="n">
        <v>45674.86461805556</v>
      </c>
      <c r="I3021" s="10" t="n">
        <v>45674.86461805556</v>
      </c>
      <c r="J3021" s="10" t="n">
        <v>45674.86612268518</v>
      </c>
      <c r="K3021" s="11" t="n">
        <v>0.00150462962962963</v>
      </c>
      <c r="L3021" s="13" t="n"/>
    </row>
    <row r="3022">
      <c r="A3022" s="3" t="inlineStr">
        <is>
          <t>PushOffDrive</t>
        </is>
      </c>
      <c r="B3022" s="3" t="inlineStr">
        <is>
          <t>Act_POD_1017501_004141_623</t>
        </is>
      </c>
      <c r="C3022" s="3" t="inlineStr">
        <is>
          <t>1017501</t>
        </is>
      </c>
      <c r="D3022" s="9" t="n">
        <v>179.2</v>
      </c>
      <c r="E3022" s="3" t="inlineStr">
        <is>
          <t>703</t>
        </is>
      </c>
      <c r="F3022" s="3" t="inlineStr">
        <is>
          <t>623</t>
        </is>
      </c>
      <c r="G3022" s="9" t="n">
        <v>412.05</v>
      </c>
      <c r="H3022" s="10" t="n">
        <v>45675.02894675926</v>
      </c>
      <c r="I3022" s="10" t="n">
        <v>45675.02894675926</v>
      </c>
      <c r="J3022" s="10" t="n">
        <v>45675.03107638889</v>
      </c>
      <c r="K3022" s="11" t="n">
        <v>0.00212962962962963</v>
      </c>
      <c r="L3022" s="13" t="n"/>
    </row>
    <row r="3023">
      <c r="A3023" s="3" t="inlineStr">
        <is>
          <t>PushOffDrive</t>
        </is>
      </c>
      <c r="B3023" s="3" t="inlineStr">
        <is>
          <t>Act_POD_1017502_004445_606</t>
        </is>
      </c>
      <c r="C3023" s="3" t="inlineStr">
        <is>
          <t>1017502</t>
        </is>
      </c>
      <c r="D3023" s="9" t="n">
        <v>54</v>
      </c>
      <c r="E3023" s="3" t="inlineStr">
        <is>
          <t>703</t>
        </is>
      </c>
      <c r="F3023" s="3" t="inlineStr">
        <is>
          <t>606</t>
        </is>
      </c>
      <c r="G3023" s="9" t="n">
        <v>405.03</v>
      </c>
      <c r="H3023" s="10" t="n">
        <v>45675.03107638889</v>
      </c>
      <c r="I3023" s="10" t="n">
        <v>45675.03107638889</v>
      </c>
      <c r="J3023" s="10" t="n">
        <v>45675.03288194445</v>
      </c>
      <c r="K3023" s="11" t="n">
        <v>0.001805555555555555</v>
      </c>
      <c r="L3023" s="13" t="n"/>
    </row>
    <row r="3024">
      <c r="A3024" s="3" t="inlineStr">
        <is>
          <t>PushOffDrive</t>
        </is>
      </c>
      <c r="B3024" s="3" t="inlineStr">
        <is>
          <t>Act_POD_1017504_004721_606</t>
        </is>
      </c>
      <c r="C3024" s="3" t="inlineStr">
        <is>
          <t>1017504</t>
        </is>
      </c>
      <c r="D3024" s="9" t="n">
        <v>52.9</v>
      </c>
      <c r="E3024" s="3" t="inlineStr">
        <is>
          <t>703</t>
        </is>
      </c>
      <c r="F3024" s="3" t="inlineStr">
        <is>
          <t>606</t>
        </is>
      </c>
      <c r="G3024" s="9" t="n">
        <v>405.03</v>
      </c>
      <c r="H3024" s="10" t="n">
        <v>45675.03288194445</v>
      </c>
      <c r="I3024" s="10" t="n">
        <v>45675.03288194445</v>
      </c>
      <c r="J3024" s="10" t="n">
        <v>45675.03469907407</v>
      </c>
      <c r="K3024" s="11" t="n">
        <v>0.00181712962962963</v>
      </c>
      <c r="L3024" s="13" t="n"/>
    </row>
    <row r="3025">
      <c r="A3025" s="3" t="inlineStr">
        <is>
          <t>PushOffDrive</t>
        </is>
      </c>
      <c r="B3025" s="3" t="inlineStr">
        <is>
          <t>Act_POD_1017601_055856_625</t>
        </is>
      </c>
      <c r="C3025" s="3" t="inlineStr">
        <is>
          <t>1017601</t>
        </is>
      </c>
      <c r="D3025" s="9" t="n">
        <v>31.5</v>
      </c>
      <c r="E3025" s="3" t="inlineStr">
        <is>
          <t>703</t>
        </is>
      </c>
      <c r="F3025" s="3" t="inlineStr">
        <is>
          <t>625</t>
        </is>
      </c>
      <c r="G3025" s="9" t="n">
        <v>477.75</v>
      </c>
      <c r="H3025" s="10" t="n">
        <v>45675.24925925926</v>
      </c>
      <c r="I3025" s="10" t="n">
        <v>45675.24925925926</v>
      </c>
      <c r="J3025" s="10" t="n">
        <v>45675.25133101852</v>
      </c>
      <c r="K3025" s="11" t="n">
        <v>0.002071759259259259</v>
      </c>
      <c r="L3025" s="13" t="n"/>
    </row>
    <row r="3026">
      <c r="A3026" s="3" t="inlineStr">
        <is>
          <t>PushOffDrive</t>
        </is>
      </c>
      <c r="B3026" s="3" t="inlineStr">
        <is>
          <t>Act_POD_1017602_060155_615</t>
        </is>
      </c>
      <c r="C3026" s="3" t="inlineStr">
        <is>
          <t>1017602</t>
        </is>
      </c>
      <c r="D3026" s="9" t="n">
        <v>93.8</v>
      </c>
      <c r="E3026" s="3" t="inlineStr">
        <is>
          <t>703</t>
        </is>
      </c>
      <c r="F3026" s="3" t="inlineStr">
        <is>
          <t>615</t>
        </is>
      </c>
      <c r="G3026" s="9" t="n">
        <v>269.92</v>
      </c>
      <c r="H3026" s="10" t="n">
        <v>45675.25133101852</v>
      </c>
      <c r="I3026" s="10" t="n">
        <v>45675.25133101852</v>
      </c>
      <c r="J3026" s="10" t="n">
        <v>45675.25267361111</v>
      </c>
      <c r="K3026" s="11" t="n">
        <v>0.001342592592592592</v>
      </c>
      <c r="L3026" s="13" t="n"/>
    </row>
    <row r="3027">
      <c r="A3027" s="3" t="inlineStr">
        <is>
          <t>PushOffDrive</t>
        </is>
      </c>
      <c r="B3027" s="3" t="inlineStr">
        <is>
          <t>Act_POD_1017701_065236_625</t>
        </is>
      </c>
      <c r="C3027" s="3" t="inlineStr">
        <is>
          <t>1017701</t>
        </is>
      </c>
      <c r="D3027" s="9" t="n">
        <v>47.2</v>
      </c>
      <c r="E3027" s="3" t="inlineStr">
        <is>
          <t>703</t>
        </is>
      </c>
      <c r="F3027" s="3" t="inlineStr">
        <is>
          <t>625</t>
        </is>
      </c>
      <c r="G3027" s="9" t="n">
        <v>477.75</v>
      </c>
      <c r="H3027" s="10" t="n">
        <v>45675.28652777777</v>
      </c>
      <c r="I3027" s="10" t="n">
        <v>45675.28652777777</v>
      </c>
      <c r="J3027" s="10" t="n">
        <v>45675.28863425926</v>
      </c>
      <c r="K3027" s="11" t="n">
        <v>0.002106481481481481</v>
      </c>
      <c r="L3027" s="13" t="n"/>
    </row>
    <row r="3028">
      <c r="A3028" s="3" t="inlineStr">
        <is>
          <t>PushOffDrive</t>
        </is>
      </c>
      <c r="B3028" s="3" t="inlineStr">
        <is>
          <t>Act_POD_1017703_065538_627</t>
        </is>
      </c>
      <c r="C3028" s="3" t="inlineStr">
        <is>
          <t>1017703</t>
        </is>
      </c>
      <c r="D3028" s="9" t="n">
        <v>31.5</v>
      </c>
      <c r="E3028" s="3" t="inlineStr">
        <is>
          <t>703</t>
        </is>
      </c>
      <c r="F3028" s="3" t="inlineStr">
        <is>
          <t>627</t>
        </is>
      </c>
      <c r="G3028" s="9" t="n">
        <v>450.42</v>
      </c>
      <c r="H3028" s="10" t="n">
        <v>45675.28863425926</v>
      </c>
      <c r="I3028" s="10" t="n">
        <v>45675.28863425926</v>
      </c>
      <c r="J3028" s="10" t="n">
        <v>45675.2905787037</v>
      </c>
      <c r="K3028" s="11" t="n">
        <v>0.001944444444444444</v>
      </c>
      <c r="L3028" s="13" t="n"/>
    </row>
    <row r="3029">
      <c r="A3029" s="3" t="inlineStr">
        <is>
          <t>PushOffDrive</t>
        </is>
      </c>
      <c r="B3029" s="3" t="inlineStr">
        <is>
          <t>Act_POD_1017704_065826_619</t>
        </is>
      </c>
      <c r="C3029" s="3" t="inlineStr">
        <is>
          <t>1017704</t>
        </is>
      </c>
      <c r="D3029" s="9" t="n">
        <v>15.7</v>
      </c>
      <c r="E3029" s="3" t="inlineStr">
        <is>
          <t>703</t>
        </is>
      </c>
      <c r="F3029" s="3" t="inlineStr">
        <is>
          <t>619</t>
        </is>
      </c>
      <c r="G3029" s="9" t="n">
        <v>459.96</v>
      </c>
      <c r="H3029" s="10" t="n">
        <v>45675.2905787037</v>
      </c>
      <c r="I3029" s="10" t="n">
        <v>45675.2905787037</v>
      </c>
      <c r="J3029" s="10" t="n">
        <v>45675.29253472222</v>
      </c>
      <c r="K3029" s="11" t="n">
        <v>0.001956018518518518</v>
      </c>
      <c r="L3029" s="13" t="n"/>
    </row>
    <row r="3030">
      <c r="A3030" s="3" t="inlineStr">
        <is>
          <t>PushOffDrive</t>
        </is>
      </c>
      <c r="B3030" s="3" t="inlineStr">
        <is>
          <t>Act_POD_1017705_070115_621</t>
        </is>
      </c>
      <c r="C3030" s="3" t="inlineStr">
        <is>
          <t>1017705</t>
        </is>
      </c>
      <c r="D3030" s="9" t="n">
        <v>19.9</v>
      </c>
      <c r="E3030" s="3" t="inlineStr">
        <is>
          <t>703</t>
        </is>
      </c>
      <c r="F3030" s="3" t="inlineStr">
        <is>
          <t>621</t>
        </is>
      </c>
      <c r="G3030" s="9" t="n">
        <v>459.96</v>
      </c>
      <c r="H3030" s="10" t="n">
        <v>45675.29253472222</v>
      </c>
      <c r="I3030" s="10" t="n">
        <v>45675.29253472222</v>
      </c>
      <c r="J3030" s="10" t="n">
        <v>45675.29449074074</v>
      </c>
      <c r="K3030" s="11" t="n">
        <v>0.001956018518518518</v>
      </c>
      <c r="L3030" s="13" t="n"/>
    </row>
    <row r="3031">
      <c r="A3031" s="3" t="inlineStr">
        <is>
          <t>PushOffDrive</t>
        </is>
      </c>
      <c r="B3031" s="3" t="inlineStr">
        <is>
          <t>Act_POD_1017706_070404_617</t>
        </is>
      </c>
      <c r="C3031" s="3" t="inlineStr">
        <is>
          <t>1017706</t>
        </is>
      </c>
      <c r="D3031" s="9" t="n">
        <v>27</v>
      </c>
      <c r="E3031" s="3" t="inlineStr">
        <is>
          <t>703</t>
        </is>
      </c>
      <c r="F3031" s="3" t="inlineStr">
        <is>
          <t>617</t>
        </is>
      </c>
      <c r="G3031" s="9" t="n">
        <v>299.11</v>
      </c>
      <c r="H3031" s="10" t="n">
        <v>45675.29449074074</v>
      </c>
      <c r="I3031" s="10" t="n">
        <v>45675.29449074074</v>
      </c>
      <c r="J3031" s="10" t="n">
        <v>45675.29579861111</v>
      </c>
      <c r="K3031" s="11" t="n">
        <v>0.00130787037037037</v>
      </c>
      <c r="L3031" s="13" t="n"/>
    </row>
    <row r="3032">
      <c r="A3032" s="3" t="inlineStr">
        <is>
          <t>PushOffDrive</t>
        </is>
      </c>
      <c r="B3032" s="3" t="inlineStr">
        <is>
          <t>Act_POD_1017707_070557_629</t>
        </is>
      </c>
      <c r="C3032" s="3" t="inlineStr">
        <is>
          <t>1017707</t>
        </is>
      </c>
      <c r="D3032" s="9" t="n">
        <v>39</v>
      </c>
      <c r="E3032" s="3" t="inlineStr">
        <is>
          <t>703</t>
        </is>
      </c>
      <c r="F3032" s="3" t="inlineStr">
        <is>
          <t>629</t>
        </is>
      </c>
      <c r="G3032" s="9" t="n">
        <v>450.42</v>
      </c>
      <c r="H3032" s="10" t="n">
        <v>45675.29579861111</v>
      </c>
      <c r="I3032" s="10" t="n">
        <v>45675.29579861111</v>
      </c>
      <c r="J3032" s="10" t="n">
        <v>45675.2977662037</v>
      </c>
      <c r="K3032" s="11" t="n">
        <v>0.001967592592592592</v>
      </c>
      <c r="L3032" s="13" t="n"/>
    </row>
    <row r="3033">
      <c r="A3033" s="3" t="inlineStr">
        <is>
          <t>PushOffDrive</t>
        </is>
      </c>
      <c r="B3033" s="3" t="inlineStr">
        <is>
          <t>Act_POD_1017709_070847_615</t>
        </is>
      </c>
      <c r="C3033" s="3" t="inlineStr">
        <is>
          <t>1017709</t>
        </is>
      </c>
      <c r="D3033" s="9" t="n">
        <v>16.5</v>
      </c>
      <c r="E3033" s="3" t="inlineStr">
        <is>
          <t>703</t>
        </is>
      </c>
      <c r="F3033" s="3" t="inlineStr">
        <is>
          <t>615</t>
        </is>
      </c>
      <c r="G3033" s="9" t="n">
        <v>269.92</v>
      </c>
      <c r="H3033" s="10" t="n">
        <v>45675.2977662037</v>
      </c>
      <c r="I3033" s="10" t="n">
        <v>45675.2977662037</v>
      </c>
      <c r="J3033" s="10" t="n">
        <v>45675.29893518519</v>
      </c>
      <c r="K3033" s="11" t="n">
        <v>0.001168981481481482</v>
      </c>
      <c r="L3033" s="13" t="n"/>
    </row>
    <row r="3034">
      <c r="A3034" s="3" t="inlineStr">
        <is>
          <t>PushOffDrive</t>
        </is>
      </c>
      <c r="B3034" s="3" t="inlineStr">
        <is>
          <t>Act_POD_1017801_174739_627</t>
        </is>
      </c>
      <c r="C3034" s="3" t="inlineStr">
        <is>
          <t>1017801</t>
        </is>
      </c>
      <c r="D3034" s="9" t="n">
        <v>521.7</v>
      </c>
      <c r="E3034" s="3" t="inlineStr">
        <is>
          <t>727</t>
        </is>
      </c>
      <c r="F3034" s="3" t="inlineStr">
        <is>
          <t>627</t>
        </is>
      </c>
      <c r="G3034" s="9" t="n">
        <v>443.59</v>
      </c>
      <c r="H3034" s="10" t="n">
        <v>45676.74142361111</v>
      </c>
      <c r="I3034" s="10" t="n">
        <v>45676.74142361111</v>
      </c>
      <c r="J3034" s="10" t="n">
        <v>45676.74447916666</v>
      </c>
      <c r="K3034" s="11" t="n">
        <v>0.003055555555555556</v>
      </c>
      <c r="L3034" s="13" t="n"/>
    </row>
    <row r="3035">
      <c r="A3035" s="3" t="inlineStr">
        <is>
          <t>PushOffDrive</t>
        </is>
      </c>
      <c r="B3035" s="3" t="inlineStr">
        <is>
          <t>Act_POD_1017802_175203_607</t>
        </is>
      </c>
      <c r="C3035" s="3" t="inlineStr">
        <is>
          <t>1017802</t>
        </is>
      </c>
      <c r="D3035" s="9" t="n">
        <v>70.5</v>
      </c>
      <c r="E3035" s="3" t="inlineStr">
        <is>
          <t>727</t>
        </is>
      </c>
      <c r="F3035" s="3" t="inlineStr">
        <is>
          <t>607</t>
        </is>
      </c>
      <c r="G3035" s="9" t="n">
        <v>371.57</v>
      </c>
      <c r="H3035" s="10" t="n">
        <v>45676.74447916666</v>
      </c>
      <c r="I3035" s="10" t="n">
        <v>45676.74447916666</v>
      </c>
      <c r="J3035" s="10" t="n">
        <v>45676.74618055556</v>
      </c>
      <c r="K3035" s="11" t="n">
        <v>0.001701388888888889</v>
      </c>
      <c r="L3035" s="13" t="n"/>
    </row>
    <row r="3036">
      <c r="A3036" s="3" t="inlineStr">
        <is>
          <t>PushOffDrive</t>
        </is>
      </c>
      <c r="B3036" s="3" t="inlineStr">
        <is>
          <t>Act_POD_1017901_202408_629</t>
        </is>
      </c>
      <c r="C3036" s="3" t="inlineStr">
        <is>
          <t>1017901</t>
        </is>
      </c>
      <c r="D3036" s="9" t="n">
        <v>132.7</v>
      </c>
      <c r="E3036" s="3" t="inlineStr">
        <is>
          <t>703</t>
        </is>
      </c>
      <c r="F3036" s="3" t="inlineStr">
        <is>
          <t>629</t>
        </is>
      </c>
      <c r="G3036" s="9" t="n">
        <v>450.42</v>
      </c>
      <c r="H3036" s="10" t="n">
        <v>45676.85009259259</v>
      </c>
      <c r="I3036" s="10" t="n">
        <v>45676.85009259259</v>
      </c>
      <c r="J3036" s="10" t="n">
        <v>45676.85226851852</v>
      </c>
      <c r="K3036" s="11" t="n">
        <v>0.002175925925925926</v>
      </c>
      <c r="L3036" s="13" t="n"/>
    </row>
    <row r="3037">
      <c r="A3037" s="3" t="inlineStr">
        <is>
          <t>PushOffDrive</t>
        </is>
      </c>
      <c r="B3037" s="3" t="inlineStr">
        <is>
          <t>Act_POD_1017902_202716_607</t>
        </is>
      </c>
      <c r="C3037" s="3" t="inlineStr">
        <is>
          <t>1017902</t>
        </is>
      </c>
      <c r="D3037" s="9" t="n">
        <v>37.5</v>
      </c>
      <c r="E3037" s="3" t="inlineStr">
        <is>
          <t>703</t>
        </is>
      </c>
      <c r="F3037" s="3" t="inlineStr">
        <is>
          <t>607</t>
        </is>
      </c>
      <c r="G3037" s="9" t="n">
        <v>378.4</v>
      </c>
      <c r="H3037" s="10" t="n">
        <v>45676.85226851852</v>
      </c>
      <c r="I3037" s="10" t="n">
        <v>45676.85226851852</v>
      </c>
      <c r="J3037" s="10" t="n">
        <v>45676.85393518519</v>
      </c>
      <c r="K3037" s="11" t="n">
        <v>0.001666666666666667</v>
      </c>
      <c r="L3037" s="13" t="n"/>
    </row>
    <row r="3038">
      <c r="A3038" s="3" t="inlineStr">
        <is>
          <t>PushOffDrive</t>
        </is>
      </c>
      <c r="B3038" s="3" t="inlineStr">
        <is>
          <t>Act_POD_1018001_024321_621</t>
        </is>
      </c>
      <c r="C3038" s="3" t="inlineStr">
        <is>
          <t>1018001</t>
        </is>
      </c>
      <c r="D3038" s="9" t="n">
        <v>12</v>
      </c>
      <c r="E3038" s="3" t="inlineStr">
        <is>
          <t>703</t>
        </is>
      </c>
      <c r="F3038" s="3" t="inlineStr">
        <is>
          <t>621</t>
        </is>
      </c>
      <c r="G3038" s="9" t="n">
        <v>459.96</v>
      </c>
      <c r="H3038" s="10" t="n">
        <v>45677.1134375</v>
      </c>
      <c r="I3038" s="10" t="n">
        <v>45677.1134375</v>
      </c>
      <c r="J3038" s="10" t="n">
        <v>45677.11538194444</v>
      </c>
      <c r="K3038" s="11" t="n">
        <v>0.001944444444444444</v>
      </c>
      <c r="L3038" s="13" t="n"/>
    </row>
    <row r="3039">
      <c r="A3039" s="3" t="inlineStr">
        <is>
          <t>PushOffDrive</t>
        </is>
      </c>
      <c r="B3039" s="3" t="inlineStr">
        <is>
          <t>Act_POD_1018002_024609_613</t>
        </is>
      </c>
      <c r="C3039" s="3" t="inlineStr">
        <is>
          <t>1018002</t>
        </is>
      </c>
      <c r="D3039" s="9" t="n">
        <v>165.8</v>
      </c>
      <c r="E3039" s="3" t="inlineStr">
        <is>
          <t>703</t>
        </is>
      </c>
      <c r="F3039" s="3" t="inlineStr">
        <is>
          <t>613</t>
        </is>
      </c>
      <c r="G3039" s="9" t="n">
        <v>297.43</v>
      </c>
      <c r="H3039" s="10" t="n">
        <v>45677.11538194444</v>
      </c>
      <c r="I3039" s="10" t="n">
        <v>45677.11538194444</v>
      </c>
      <c r="J3039" s="10" t="n">
        <v>45677.11701388889</v>
      </c>
      <c r="K3039" s="11" t="n">
        <v>0.001631944444444445</v>
      </c>
      <c r="L3039" s="13" t="n"/>
    </row>
    <row r="3040">
      <c r="A3040" s="3" t="inlineStr">
        <is>
          <t>PushOffDrive</t>
        </is>
      </c>
      <c r="B3040" s="3" t="inlineStr">
        <is>
          <t>Act_POD_1018003_024830_619</t>
        </is>
      </c>
      <c r="C3040" s="3" t="inlineStr">
        <is>
          <t>1018003</t>
        </is>
      </c>
      <c r="D3040" s="9" t="n">
        <v>35.6</v>
      </c>
      <c r="E3040" s="3" t="inlineStr">
        <is>
          <t>703</t>
        </is>
      </c>
      <c r="F3040" s="3" t="inlineStr">
        <is>
          <t>619</t>
        </is>
      </c>
      <c r="G3040" s="9" t="n">
        <v>459.96</v>
      </c>
      <c r="H3040" s="10" t="n">
        <v>45677.11701388889</v>
      </c>
      <c r="I3040" s="10" t="n">
        <v>45677.11701388889</v>
      </c>
      <c r="J3040" s="10" t="n">
        <v>45677.11900462963</v>
      </c>
      <c r="K3040" s="11" t="n">
        <v>0.001990740740740741</v>
      </c>
      <c r="L3040" s="13" t="n"/>
    </row>
    <row r="3041">
      <c r="A3041" s="3" t="inlineStr">
        <is>
          <t>PushOffDrive</t>
        </is>
      </c>
      <c r="B3041" s="3" t="inlineStr">
        <is>
          <t>Act_POD_1018004_025122_627</t>
        </is>
      </c>
      <c r="C3041" s="3" t="inlineStr">
        <is>
          <t>1018004</t>
        </is>
      </c>
      <c r="D3041" s="9" t="n">
        <v>47.2</v>
      </c>
      <c r="E3041" s="3" t="inlineStr">
        <is>
          <t>703</t>
        </is>
      </c>
      <c r="F3041" s="3" t="inlineStr">
        <is>
          <t>627</t>
        </is>
      </c>
      <c r="G3041" s="9" t="n">
        <v>450.42</v>
      </c>
      <c r="H3041" s="10" t="n">
        <v>45677.11900462963</v>
      </c>
      <c r="I3041" s="10" t="n">
        <v>45677.11900462963</v>
      </c>
      <c r="J3041" s="10" t="n">
        <v>45677.12099537037</v>
      </c>
      <c r="K3041" s="11" t="n">
        <v>0.001990740740740741</v>
      </c>
      <c r="L3041" s="13" t="n"/>
    </row>
    <row r="3042">
      <c r="A3042" s="3" t="inlineStr">
        <is>
          <t>PushOffDrive</t>
        </is>
      </c>
      <c r="B3042" s="3" t="inlineStr">
        <is>
          <t>Act_POD_1018101_044334_625</t>
        </is>
      </c>
      <c r="C3042" s="3" t="inlineStr">
        <is>
          <t>1018101</t>
        </is>
      </c>
      <c r="D3042" s="9" t="n">
        <v>329.7</v>
      </c>
      <c r="E3042" s="3" t="inlineStr">
        <is>
          <t>703</t>
        </is>
      </c>
      <c r="F3042" s="3" t="inlineStr">
        <is>
          <t>625</t>
        </is>
      </c>
      <c r="G3042" s="9" t="n">
        <v>477.75</v>
      </c>
      <c r="H3042" s="10" t="n">
        <v>45677.19692129629</v>
      </c>
      <c r="I3042" s="10" t="n">
        <v>45677.19692129629</v>
      </c>
      <c r="J3042" s="10" t="n">
        <v>45677.19967592593</v>
      </c>
      <c r="K3042" s="11" t="n">
        <v>0.002754629629629629</v>
      </c>
      <c r="L3042" s="13" t="n"/>
    </row>
    <row r="3043">
      <c r="A3043" s="3" t="inlineStr">
        <is>
          <t>PushOffDrive</t>
        </is>
      </c>
      <c r="B3043" s="3" t="inlineStr">
        <is>
          <t>Act_POD_1018301_075602_615</t>
        </is>
      </c>
      <c r="C3043" s="3" t="inlineStr">
        <is>
          <t>1018301</t>
        </is>
      </c>
      <c r="D3043" s="9" t="n">
        <v>102.8</v>
      </c>
      <c r="E3043" s="3" t="inlineStr">
        <is>
          <t>725</t>
        </is>
      </c>
      <c r="F3043" s="3" t="inlineStr">
        <is>
          <t>615</t>
        </is>
      </c>
      <c r="G3043" s="9" t="n">
        <v>235.73</v>
      </c>
      <c r="H3043" s="10" t="n">
        <v>45677.3305787037</v>
      </c>
      <c r="I3043" s="10" t="n">
        <v>45677.3305787037</v>
      </c>
      <c r="J3043" s="10" t="n">
        <v>45677.33179398148</v>
      </c>
      <c r="K3043" s="11" t="n">
        <v>0.001215277777777778</v>
      </c>
      <c r="L3043" s="13" t="n"/>
    </row>
    <row r="3044">
      <c r="A3044" s="3" t="inlineStr">
        <is>
          <t>PushOffDrive</t>
        </is>
      </c>
      <c r="B3044" s="3" t="inlineStr">
        <is>
          <t>Act_POD_1018302_075747_619</t>
        </is>
      </c>
      <c r="C3044" s="3" t="inlineStr">
        <is>
          <t>1018302</t>
        </is>
      </c>
      <c r="D3044" s="9" t="n">
        <v>19.9</v>
      </c>
      <c r="E3044" s="3" t="inlineStr">
        <is>
          <t>725</t>
        </is>
      </c>
      <c r="F3044" s="3" t="inlineStr">
        <is>
          <t>619</t>
        </is>
      </c>
      <c r="G3044" s="9" t="n">
        <v>425.77</v>
      </c>
      <c r="H3044" s="10" t="n">
        <v>45677.33179398148</v>
      </c>
      <c r="I3044" s="10" t="n">
        <v>45677.33179398148</v>
      </c>
      <c r="J3044" s="10" t="n">
        <v>45677.33361111111</v>
      </c>
      <c r="K3044" s="11" t="n">
        <v>0.00181712962962963</v>
      </c>
      <c r="L3044" s="13" t="n"/>
    </row>
    <row r="3045">
      <c r="A3045" s="3" t="inlineStr">
        <is>
          <t>PushOffDrive</t>
        </is>
      </c>
      <c r="B3045" s="3" t="inlineStr">
        <is>
          <t>Act_POD_1018303_080024_617</t>
        </is>
      </c>
      <c r="C3045" s="3" t="inlineStr">
        <is>
          <t>1018303</t>
        </is>
      </c>
      <c r="D3045" s="9" t="n">
        <v>54</v>
      </c>
      <c r="E3045" s="3" t="inlineStr">
        <is>
          <t>725</t>
        </is>
      </c>
      <c r="F3045" s="3" t="inlineStr">
        <is>
          <t>617</t>
        </is>
      </c>
      <c r="G3045" s="9" t="n">
        <v>264.92</v>
      </c>
      <c r="H3045" s="10" t="n">
        <v>45677.33361111111</v>
      </c>
      <c r="I3045" s="10" t="n">
        <v>45677.33361111111</v>
      </c>
      <c r="J3045" s="10" t="n">
        <v>45677.33484953704</v>
      </c>
      <c r="K3045" s="11" t="n">
        <v>0.001238425925925926</v>
      </c>
      <c r="L3045" s="13" t="n"/>
    </row>
    <row r="3046">
      <c r="A3046" s="3" t="inlineStr">
        <is>
          <t>PushOffDrive</t>
        </is>
      </c>
      <c r="B3046" s="3" t="inlineStr">
        <is>
          <t>Act_POD_1018304_080211_605</t>
        </is>
      </c>
      <c r="C3046" s="3" t="inlineStr">
        <is>
          <t>1018304</t>
        </is>
      </c>
      <c r="D3046" s="9" t="n">
        <v>15.7</v>
      </c>
      <c r="E3046" s="3" t="inlineStr">
        <is>
          <t>725</t>
        </is>
      </c>
      <c r="F3046" s="3" t="inlineStr">
        <is>
          <t>605</t>
        </is>
      </c>
      <c r="G3046" s="9" t="n">
        <v>371.24</v>
      </c>
      <c r="H3046" s="10" t="n">
        <v>45677.33484953704</v>
      </c>
      <c r="I3046" s="10" t="n">
        <v>45677.33484953704</v>
      </c>
      <c r="J3046" s="10" t="n">
        <v>45677.33642361111</v>
      </c>
      <c r="K3046" s="11" t="n">
        <v>0.001574074074074074</v>
      </c>
      <c r="L3046" s="13" t="n"/>
    </row>
    <row r="3047">
      <c r="A3047" s="3" t="inlineStr">
        <is>
          <t>PushOffDrive</t>
        </is>
      </c>
      <c r="B3047" s="3" t="inlineStr">
        <is>
          <t>Act_POD_1018305_080427_625</t>
        </is>
      </c>
      <c r="C3047" s="3" t="inlineStr">
        <is>
          <t>1018305</t>
        </is>
      </c>
      <c r="D3047" s="9" t="n">
        <v>31.5</v>
      </c>
      <c r="E3047" s="3" t="inlineStr">
        <is>
          <t>725</t>
        </is>
      </c>
      <c r="F3047" s="3" t="inlineStr">
        <is>
          <t>625</t>
        </is>
      </c>
      <c r="G3047" s="9" t="n">
        <v>443.5600000000001</v>
      </c>
      <c r="H3047" s="10" t="n">
        <v>45677.33642361111</v>
      </c>
      <c r="I3047" s="10" t="n">
        <v>45677.33642361111</v>
      </c>
      <c r="J3047" s="10" t="n">
        <v>45677.33834490741</v>
      </c>
      <c r="K3047" s="11" t="n">
        <v>0.001921296296296296</v>
      </c>
      <c r="L3047" s="13" t="n"/>
    </row>
    <row r="3048">
      <c r="A3048" s="3" t="inlineStr">
        <is>
          <t>PushOffDrive</t>
        </is>
      </c>
      <c r="B3048" s="3" t="inlineStr">
        <is>
          <t>Act_POD_1018306_080713_629</t>
        </is>
      </c>
      <c r="C3048" s="3" t="inlineStr">
        <is>
          <t>1018306</t>
        </is>
      </c>
      <c r="D3048" s="9" t="n">
        <v>31.5</v>
      </c>
      <c r="E3048" s="3" t="inlineStr">
        <is>
          <t>725</t>
        </is>
      </c>
      <c r="F3048" s="3" t="inlineStr">
        <is>
          <t>629</t>
        </is>
      </c>
      <c r="G3048" s="9" t="n">
        <v>416.23</v>
      </c>
      <c r="H3048" s="10" t="n">
        <v>45677.33834490741</v>
      </c>
      <c r="I3048" s="10" t="n">
        <v>45677.33834490741</v>
      </c>
      <c r="J3048" s="10" t="n">
        <v>45677.34015046297</v>
      </c>
      <c r="K3048" s="11" t="n">
        <v>0.001805555555555555</v>
      </c>
      <c r="L3048" s="13" t="n"/>
    </row>
    <row r="3049">
      <c r="A3049" s="3" t="inlineStr">
        <is>
          <t>PushOffDrive</t>
        </is>
      </c>
      <c r="B3049" s="3" t="inlineStr">
        <is>
          <t>Act_POD_1018308_080949_627</t>
        </is>
      </c>
      <c r="C3049" s="3" t="inlineStr">
        <is>
          <t>1018308</t>
        </is>
      </c>
      <c r="D3049" s="9" t="n">
        <v>15.7</v>
      </c>
      <c r="E3049" s="3" t="inlineStr">
        <is>
          <t>725</t>
        </is>
      </c>
      <c r="F3049" s="3" t="inlineStr">
        <is>
          <t>627</t>
        </is>
      </c>
      <c r="G3049" s="9" t="n">
        <v>416.23</v>
      </c>
      <c r="H3049" s="10" t="n">
        <v>45677.34015046297</v>
      </c>
      <c r="I3049" s="10" t="n">
        <v>45677.34015046297</v>
      </c>
      <c r="J3049" s="10" t="n">
        <v>45677.3419212963</v>
      </c>
      <c r="K3049" s="11" t="n">
        <v>0.001770833333333333</v>
      </c>
      <c r="L3049" s="13" t="n"/>
    </row>
    <row r="3050">
      <c r="A3050" s="3" t="inlineStr">
        <is>
          <t>PushOffDrive</t>
        </is>
      </c>
      <c r="B3050" s="3" t="inlineStr">
        <is>
          <t>Act_POD_1018310_081222_619</t>
        </is>
      </c>
      <c r="C3050" s="3" t="inlineStr">
        <is>
          <t>1018310</t>
        </is>
      </c>
      <c r="D3050" s="9" t="n">
        <v>21</v>
      </c>
      <c r="E3050" s="3" t="inlineStr">
        <is>
          <t>725</t>
        </is>
      </c>
      <c r="F3050" s="3" t="inlineStr">
        <is>
          <t>619</t>
        </is>
      </c>
      <c r="G3050" s="9" t="n">
        <v>425.77</v>
      </c>
      <c r="H3050" s="10" t="n">
        <v>45677.3419212963</v>
      </c>
      <c r="I3050" s="10" t="n">
        <v>45677.3419212963</v>
      </c>
      <c r="J3050" s="10" t="n">
        <v>45677.34375</v>
      </c>
      <c r="K3050" s="11" t="n">
        <v>0.001828703703703704</v>
      </c>
      <c r="L3050" s="13" t="n"/>
    </row>
    <row r="3051">
      <c r="A3051" s="3" t="inlineStr">
        <is>
          <t>PushOffDrive</t>
        </is>
      </c>
      <c r="B3051" s="3" t="inlineStr">
        <is>
          <t>Act_POD_1018311_081500_623</t>
        </is>
      </c>
      <c r="C3051" s="3" t="inlineStr">
        <is>
          <t>1018311</t>
        </is>
      </c>
      <c r="D3051" s="9" t="n">
        <v>31.5</v>
      </c>
      <c r="E3051" s="3" t="inlineStr">
        <is>
          <t>725</t>
        </is>
      </c>
      <c r="F3051" s="3" t="inlineStr">
        <is>
          <t>623</t>
        </is>
      </c>
      <c r="G3051" s="9" t="n">
        <v>377.86</v>
      </c>
      <c r="H3051" s="10" t="n">
        <v>45677.34375</v>
      </c>
      <c r="I3051" s="10" t="n">
        <v>45677.34375</v>
      </c>
      <c r="J3051" s="10" t="n">
        <v>45677.34539351852</v>
      </c>
      <c r="K3051" s="11" t="n">
        <v>0.001643518518518519</v>
      </c>
      <c r="L3051" s="13" t="n"/>
    </row>
    <row r="3052">
      <c r="A3052" s="3" t="inlineStr">
        <is>
          <t>PushOffDrive</t>
        </is>
      </c>
      <c r="B3052" s="3" t="inlineStr">
        <is>
          <t>Act_POD_1018313_081722_607</t>
        </is>
      </c>
      <c r="C3052" s="3" t="inlineStr">
        <is>
          <t>1018313</t>
        </is>
      </c>
      <c r="D3052" s="9" t="n">
        <v>15.7</v>
      </c>
      <c r="E3052" s="3" t="inlineStr">
        <is>
          <t>725</t>
        </is>
      </c>
      <c r="F3052" s="3" t="inlineStr">
        <is>
          <t>607</t>
        </is>
      </c>
      <c r="G3052" s="9" t="n">
        <v>344.21</v>
      </c>
      <c r="H3052" s="10" t="n">
        <v>45677.34539351852</v>
      </c>
      <c r="I3052" s="10" t="n">
        <v>45677.34539351852</v>
      </c>
      <c r="J3052" s="10" t="n">
        <v>45677.34686342593</v>
      </c>
      <c r="K3052" s="11" t="n">
        <v>0.001469907407407407</v>
      </c>
      <c r="L3052" s="13" t="n"/>
    </row>
    <row r="3053">
      <c r="A3053" s="3" t="inlineStr">
        <is>
          <t>PushOffDrive</t>
        </is>
      </c>
      <c r="B3053" s="3" t="inlineStr">
        <is>
          <t>Act_POD_1018314_081929_625</t>
        </is>
      </c>
      <c r="C3053" s="3" t="inlineStr">
        <is>
          <t>1018314</t>
        </is>
      </c>
      <c r="D3053" s="9" t="n">
        <v>15.7</v>
      </c>
      <c r="E3053" s="3" t="inlineStr">
        <is>
          <t>725</t>
        </is>
      </c>
      <c r="F3053" s="3" t="inlineStr">
        <is>
          <t>625</t>
        </is>
      </c>
      <c r="G3053" s="9" t="n">
        <v>443.5600000000001</v>
      </c>
      <c r="H3053" s="10" t="n">
        <v>45677.34686342593</v>
      </c>
      <c r="I3053" s="10" t="n">
        <v>45677.34686342593</v>
      </c>
      <c r="J3053" s="10" t="n">
        <v>45677.34875</v>
      </c>
      <c r="K3053" s="11" t="n">
        <v>0.001886574074074074</v>
      </c>
      <c r="L3053" s="13" t="n"/>
    </row>
    <row r="3054">
      <c r="A3054" s="3" t="inlineStr">
        <is>
          <t>PushOffDrive</t>
        </is>
      </c>
      <c r="B3054" s="3" t="inlineStr">
        <is>
          <t>Act_POD_1018315_082212_619</t>
        </is>
      </c>
      <c r="C3054" s="3" t="inlineStr">
        <is>
          <t>1018315</t>
        </is>
      </c>
      <c r="D3054" s="9" t="n">
        <v>15.7</v>
      </c>
      <c r="E3054" s="3" t="inlineStr">
        <is>
          <t>725</t>
        </is>
      </c>
      <c r="F3054" s="3" t="inlineStr">
        <is>
          <t>619</t>
        </is>
      </c>
      <c r="G3054" s="9" t="n">
        <v>425.77</v>
      </c>
      <c r="H3054" s="10" t="n">
        <v>45677.34875</v>
      </c>
      <c r="I3054" s="10" t="n">
        <v>45677.34875</v>
      </c>
      <c r="J3054" s="10" t="n">
        <v>45677.35055555555</v>
      </c>
      <c r="K3054" s="11" t="n">
        <v>0.001805555555555555</v>
      </c>
      <c r="L3054" s="13" t="n"/>
    </row>
    <row r="3055">
      <c r="A3055" s="3" t="inlineStr">
        <is>
          <t>PushOffDrive</t>
        </is>
      </c>
      <c r="B3055" s="3" t="inlineStr">
        <is>
          <t>Act_POD_1018316_082448_611</t>
        </is>
      </c>
      <c r="C3055" s="3" t="inlineStr">
        <is>
          <t>1018316</t>
        </is>
      </c>
      <c r="D3055" s="9" t="n">
        <v>42</v>
      </c>
      <c r="E3055" s="3" t="inlineStr">
        <is>
          <t>725</t>
        </is>
      </c>
      <c r="F3055" s="3" t="inlineStr">
        <is>
          <t>611</t>
        </is>
      </c>
      <c r="G3055" s="9" t="n">
        <v>290.16</v>
      </c>
      <c r="H3055" s="10" t="n">
        <v>45677.35055555555</v>
      </c>
      <c r="I3055" s="10" t="n">
        <v>45677.35055555555</v>
      </c>
      <c r="J3055" s="10" t="n">
        <v>45677.35186342592</v>
      </c>
      <c r="K3055" s="11" t="n">
        <v>0.00130787037037037</v>
      </c>
      <c r="L3055" s="13" t="n"/>
    </row>
    <row r="3056">
      <c r="A3056" s="3" t="inlineStr">
        <is>
          <t>PushOffDrive</t>
        </is>
      </c>
      <c r="B3056" s="3" t="inlineStr">
        <is>
          <t>Act_POD_1018702_091309_615</t>
        </is>
      </c>
      <c r="C3056" s="3" t="inlineStr">
        <is>
          <t>1018702</t>
        </is>
      </c>
      <c r="D3056" s="9" t="n">
        <v>145.6</v>
      </c>
      <c r="E3056" s="3" t="inlineStr">
        <is>
          <t>727</t>
        </is>
      </c>
      <c r="F3056" s="3" t="inlineStr">
        <is>
          <t>615</t>
        </is>
      </c>
      <c r="G3056" s="9" t="n">
        <v>263.09</v>
      </c>
      <c r="H3056" s="10" t="n">
        <v>45677.38413194445</v>
      </c>
      <c r="I3056" s="10" t="n">
        <v>45677.38413194445</v>
      </c>
      <c r="J3056" s="10" t="n">
        <v>45677.38555555556</v>
      </c>
      <c r="K3056" s="11" t="n">
        <v>0.001423611111111111</v>
      </c>
      <c r="L3056" s="13" t="n"/>
    </row>
    <row r="3057">
      <c r="A3057" s="3" t="inlineStr">
        <is>
          <t>PushOffDrive</t>
        </is>
      </c>
      <c r="B3057" s="3" t="inlineStr">
        <is>
          <t>Act_POD_1018601_091930_623</t>
        </is>
      </c>
      <c r="C3057" s="3" t="inlineStr">
        <is>
          <t>1018601</t>
        </is>
      </c>
      <c r="D3057" s="9" t="n">
        <v>46.5</v>
      </c>
      <c r="E3057" s="3" t="inlineStr">
        <is>
          <t>703</t>
        </is>
      </c>
      <c r="F3057" s="3" t="inlineStr">
        <is>
          <t>623</t>
        </is>
      </c>
      <c r="G3057" s="9" t="n">
        <v>412.05</v>
      </c>
      <c r="H3057" s="10" t="n">
        <v>45677.38854166667</v>
      </c>
      <c r="I3057" s="10" t="n">
        <v>45677.38854166667</v>
      </c>
      <c r="J3057" s="10" t="n">
        <v>45677.39037037037</v>
      </c>
      <c r="K3057" s="11" t="n">
        <v>0.001828703703703704</v>
      </c>
      <c r="L3057" s="13" t="n"/>
    </row>
    <row r="3058">
      <c r="A3058" s="3" t="inlineStr">
        <is>
          <t>PushOffDrive</t>
        </is>
      </c>
      <c r="B3058" s="3" t="inlineStr">
        <is>
          <t>Act_POD_1018602_092208_625</t>
        </is>
      </c>
      <c r="C3058" s="3" t="inlineStr">
        <is>
          <t>1018602</t>
        </is>
      </c>
      <c r="D3058" s="9" t="n">
        <v>47.2</v>
      </c>
      <c r="E3058" s="3" t="inlineStr">
        <is>
          <t>703</t>
        </is>
      </c>
      <c r="F3058" s="3" t="inlineStr">
        <is>
          <t>625</t>
        </is>
      </c>
      <c r="G3058" s="9" t="n">
        <v>477.75</v>
      </c>
      <c r="H3058" s="10" t="n">
        <v>45677.39037037037</v>
      </c>
      <c r="I3058" s="10" t="n">
        <v>45677.39037037037</v>
      </c>
      <c r="J3058" s="10" t="n">
        <v>45677.39246527778</v>
      </c>
      <c r="K3058" s="11" t="n">
        <v>0.002094907407407407</v>
      </c>
      <c r="L3058" s="13" t="n"/>
    </row>
    <row r="3059">
      <c r="A3059" s="3" t="inlineStr">
        <is>
          <t>PushOffDrive</t>
        </is>
      </c>
      <c r="B3059" s="3" t="inlineStr">
        <is>
          <t>Act_POD_1018603_092509_621</t>
        </is>
      </c>
      <c r="C3059" s="3" t="inlineStr">
        <is>
          <t>1018603</t>
        </is>
      </c>
      <c r="D3059" s="9" t="n">
        <v>135</v>
      </c>
      <c r="E3059" s="3" t="inlineStr">
        <is>
          <t>703</t>
        </is>
      </c>
      <c r="F3059" s="3" t="inlineStr">
        <is>
          <t>621</t>
        </is>
      </c>
      <c r="G3059" s="9" t="n">
        <v>459.96</v>
      </c>
      <c r="H3059" s="10" t="n">
        <v>45677.39246527778</v>
      </c>
      <c r="I3059" s="10" t="n">
        <v>45677.39246527778</v>
      </c>
      <c r="J3059" s="10" t="n">
        <v>45677.39469907407</v>
      </c>
      <c r="K3059" s="11" t="n">
        <v>0.002233796296296296</v>
      </c>
      <c r="L3059" s="13" t="n"/>
    </row>
    <row r="3060">
      <c r="A3060" s="3" t="inlineStr">
        <is>
          <t>PushOffDrive</t>
        </is>
      </c>
      <c r="B3060" s="3" t="inlineStr">
        <is>
          <t>Act_POD_1018604_092822_627</t>
        </is>
      </c>
      <c r="C3060" s="3" t="inlineStr">
        <is>
          <t>1018604</t>
        </is>
      </c>
      <c r="D3060" s="9" t="n">
        <v>15.7</v>
      </c>
      <c r="E3060" s="3" t="inlineStr">
        <is>
          <t>703</t>
        </is>
      </c>
      <c r="F3060" s="3" t="inlineStr">
        <is>
          <t>627</t>
        </is>
      </c>
      <c r="G3060" s="9" t="n">
        <v>450.42</v>
      </c>
      <c r="H3060" s="10" t="n">
        <v>45677.39469907407</v>
      </c>
      <c r="I3060" s="10" t="n">
        <v>45677.39469907407</v>
      </c>
      <c r="J3060" s="10" t="n">
        <v>45677.3966087963</v>
      </c>
      <c r="K3060" s="11" t="n">
        <v>0.001909722222222222</v>
      </c>
      <c r="L3060" s="13" t="n"/>
    </row>
    <row r="3061">
      <c r="A3061" s="3" t="inlineStr">
        <is>
          <t>PushOffDrive</t>
        </is>
      </c>
      <c r="B3061" s="3" t="inlineStr">
        <is>
          <t>Act_POD_1018605_093107_619</t>
        </is>
      </c>
      <c r="C3061" s="3" t="inlineStr">
        <is>
          <t>1018605</t>
        </is>
      </c>
      <c r="D3061" s="9" t="n">
        <v>36.4</v>
      </c>
      <c r="E3061" s="3" t="inlineStr">
        <is>
          <t>703</t>
        </is>
      </c>
      <c r="F3061" s="3" t="inlineStr">
        <is>
          <t>619</t>
        </is>
      </c>
      <c r="G3061" s="9" t="n">
        <v>459.96</v>
      </c>
      <c r="H3061" s="10" t="n">
        <v>45677.3966087963</v>
      </c>
      <c r="I3061" s="10" t="n">
        <v>45677.3966087963</v>
      </c>
      <c r="J3061" s="10" t="n">
        <v>45677.39861111111</v>
      </c>
      <c r="K3061" s="11" t="n">
        <v>0.002002314814814815</v>
      </c>
      <c r="L3061" s="13" t="n"/>
    </row>
    <row r="3062">
      <c r="A3062" s="3" t="inlineStr">
        <is>
          <t>PushOffDrive</t>
        </is>
      </c>
      <c r="B3062" s="3" t="inlineStr">
        <is>
          <t>Act_POD_1018607_093400_629</t>
        </is>
      </c>
      <c r="C3062" s="3" t="inlineStr">
        <is>
          <t>1018607</t>
        </is>
      </c>
      <c r="D3062" s="9" t="n">
        <v>31.5</v>
      </c>
      <c r="E3062" s="3" t="inlineStr">
        <is>
          <t>703</t>
        </is>
      </c>
      <c r="F3062" s="3" t="inlineStr">
        <is>
          <t>629</t>
        </is>
      </c>
      <c r="G3062" s="9" t="n">
        <v>450.42</v>
      </c>
      <c r="H3062" s="10" t="n">
        <v>45677.39861111111</v>
      </c>
      <c r="I3062" s="10" t="n">
        <v>45677.39861111111</v>
      </c>
      <c r="J3062" s="10" t="n">
        <v>45677.40055555556</v>
      </c>
      <c r="K3062" s="11" t="n">
        <v>0.001944444444444444</v>
      </c>
      <c r="L3062" s="13" t="n"/>
    </row>
    <row r="3063">
      <c r="A3063" s="3" t="inlineStr">
        <is>
          <t>PushOffDrive</t>
        </is>
      </c>
      <c r="B3063" s="3" t="inlineStr">
        <is>
          <t>Act_POD_1018608_093648_613</t>
        </is>
      </c>
      <c r="C3063" s="3" t="inlineStr">
        <is>
          <t>1018608</t>
        </is>
      </c>
      <c r="D3063" s="9" t="n">
        <v>19.9</v>
      </c>
      <c r="E3063" s="3" t="inlineStr">
        <is>
          <t>703</t>
        </is>
      </c>
      <c r="F3063" s="3" t="inlineStr">
        <is>
          <t>613</t>
        </is>
      </c>
      <c r="G3063" s="9" t="n">
        <v>297.43</v>
      </c>
      <c r="H3063" s="10" t="n">
        <v>45677.40055555556</v>
      </c>
      <c r="I3063" s="10" t="n">
        <v>45677.40055555556</v>
      </c>
      <c r="J3063" s="10" t="n">
        <v>45677.40184027778</v>
      </c>
      <c r="K3063" s="11" t="n">
        <v>0.001284722222222222</v>
      </c>
      <c r="L3063" s="13" t="n"/>
    </row>
    <row r="3064">
      <c r="A3064" s="3" t="inlineStr">
        <is>
          <t>PushOffDrive</t>
        </is>
      </c>
      <c r="B3064" s="3" t="inlineStr">
        <is>
          <t>Act_POD_1018610_093839_623</t>
        </is>
      </c>
      <c r="C3064" s="3" t="inlineStr">
        <is>
          <t>1018610</t>
        </is>
      </c>
      <c r="D3064" s="9" t="n">
        <v>15.7</v>
      </c>
      <c r="E3064" s="3" t="inlineStr">
        <is>
          <t>703</t>
        </is>
      </c>
      <c r="F3064" s="3" t="inlineStr">
        <is>
          <t>623</t>
        </is>
      </c>
      <c r="G3064" s="9" t="n">
        <v>412.05</v>
      </c>
      <c r="H3064" s="10" t="n">
        <v>45677.40184027778</v>
      </c>
      <c r="I3064" s="10" t="n">
        <v>45677.40184027778</v>
      </c>
      <c r="J3064" s="10" t="n">
        <v>45677.40359953704</v>
      </c>
      <c r="K3064" s="11" t="n">
        <v>0.001759259259259259</v>
      </c>
      <c r="L3064" s="13" t="n"/>
    </row>
    <row r="3065">
      <c r="A3065" s="3" t="inlineStr">
        <is>
          <t>PushOffDrive</t>
        </is>
      </c>
      <c r="B3065" s="3" t="inlineStr">
        <is>
          <t>Act_POD_1018611_094111_619</t>
        </is>
      </c>
      <c r="C3065" s="3" t="inlineStr">
        <is>
          <t>1018611</t>
        </is>
      </c>
      <c r="D3065" s="9" t="n">
        <v>43.1</v>
      </c>
      <c r="E3065" s="3" t="inlineStr">
        <is>
          <t>703</t>
        </is>
      </c>
      <c r="F3065" s="3" t="inlineStr">
        <is>
          <t>619</t>
        </is>
      </c>
      <c r="G3065" s="9" t="n">
        <v>459.96</v>
      </c>
      <c r="H3065" s="10" t="n">
        <v>45677.40359953704</v>
      </c>
      <c r="I3065" s="10" t="n">
        <v>45677.40359953704</v>
      </c>
      <c r="J3065" s="10" t="n">
        <v>45677.40561342592</v>
      </c>
      <c r="K3065" s="11" t="n">
        <v>0.002013888888888889</v>
      </c>
      <c r="L3065" s="13" t="n"/>
    </row>
    <row r="3066">
      <c r="A3066" s="3" t="inlineStr">
        <is>
          <t>PushOffDrive</t>
        </is>
      </c>
      <c r="B3066" s="3" t="inlineStr">
        <is>
          <t>Act_POD_1018612_094405_621</t>
        </is>
      </c>
      <c r="C3066" s="3" t="inlineStr">
        <is>
          <t>1018612</t>
        </is>
      </c>
      <c r="D3066" s="9" t="n">
        <v>19.9</v>
      </c>
      <c r="E3066" s="3" t="inlineStr">
        <is>
          <t>703</t>
        </is>
      </c>
      <c r="F3066" s="3" t="inlineStr">
        <is>
          <t>621</t>
        </is>
      </c>
      <c r="G3066" s="9" t="n">
        <v>459.96</v>
      </c>
      <c r="H3066" s="10" t="n">
        <v>45677.40561342592</v>
      </c>
      <c r="I3066" s="10" t="n">
        <v>45677.40561342592</v>
      </c>
      <c r="J3066" s="10" t="n">
        <v>45677.40758101852</v>
      </c>
      <c r="K3066" s="11" t="n">
        <v>0.001967592592592592</v>
      </c>
      <c r="L3066" s="13" t="n"/>
    </row>
    <row r="3067">
      <c r="A3067" s="3" t="inlineStr">
        <is>
          <t>PushOffDrive</t>
        </is>
      </c>
      <c r="B3067" s="3" t="inlineStr">
        <is>
          <t>Act_POD_1018801_104838_615</t>
        </is>
      </c>
      <c r="C3067" s="3" t="inlineStr">
        <is>
          <t>1018801</t>
        </is>
      </c>
      <c r="D3067" s="9" t="n">
        <v>144.8</v>
      </c>
      <c r="E3067" s="3" t="inlineStr">
        <is>
          <t>703</t>
        </is>
      </c>
      <c r="F3067" s="3" t="inlineStr">
        <is>
          <t>615</t>
        </is>
      </c>
      <c r="G3067" s="9" t="n">
        <v>269.92</v>
      </c>
      <c r="H3067" s="10" t="n">
        <v>45677.45043981481</v>
      </c>
      <c r="I3067" s="10" t="n">
        <v>45677.45043981481</v>
      </c>
      <c r="J3067" s="10" t="n">
        <v>45677.45189814815</v>
      </c>
      <c r="K3067" s="11" t="n">
        <v>0.001458333333333333</v>
      </c>
      <c r="L3067" s="13" t="n"/>
    </row>
    <row r="3068">
      <c r="A3068" s="3" t="inlineStr">
        <is>
          <t>PushOffDrive</t>
        </is>
      </c>
      <c r="B3068" s="3" t="inlineStr">
        <is>
          <t>Act_POD_1018802_105044_615</t>
        </is>
      </c>
      <c r="C3068" s="3" t="inlineStr">
        <is>
          <t>1018802</t>
        </is>
      </c>
      <c r="D3068" s="9" t="n">
        <v>21</v>
      </c>
      <c r="E3068" s="3" t="inlineStr">
        <is>
          <t>703</t>
        </is>
      </c>
      <c r="F3068" s="3" t="inlineStr">
        <is>
          <t>615</t>
        </is>
      </c>
      <c r="G3068" s="9" t="n">
        <v>269.92</v>
      </c>
      <c r="H3068" s="10" t="n">
        <v>45677.45189814815</v>
      </c>
      <c r="I3068" s="10" t="n">
        <v>45677.45189814815</v>
      </c>
      <c r="J3068" s="10" t="n">
        <v>45677.45306712963</v>
      </c>
      <c r="K3068" s="11" t="n">
        <v>0.001168981481481482</v>
      </c>
      <c r="L3068" s="13" t="n"/>
    </row>
    <row r="3069">
      <c r="A3069" s="3" t="inlineStr">
        <is>
          <t>PushOffDrive</t>
        </is>
      </c>
      <c r="B3069" s="3" t="inlineStr">
        <is>
          <t>Act_POD_1018803_105225_606</t>
        </is>
      </c>
      <c r="C3069" s="3" t="inlineStr">
        <is>
          <t>1018803</t>
        </is>
      </c>
      <c r="D3069" s="9" t="n">
        <v>153.9</v>
      </c>
      <c r="E3069" s="3" t="inlineStr">
        <is>
          <t>703</t>
        </is>
      </c>
      <c r="F3069" s="3" t="inlineStr">
        <is>
          <t>606</t>
        </is>
      </c>
      <c r="G3069" s="9" t="n">
        <v>405.03</v>
      </c>
      <c r="H3069" s="10" t="n">
        <v>45677.45306712963</v>
      </c>
      <c r="I3069" s="10" t="n">
        <v>45677.45306712963</v>
      </c>
      <c r="J3069" s="10" t="n">
        <v>45677.45511574074</v>
      </c>
      <c r="K3069" s="11" t="n">
        <v>0.002048611111111111</v>
      </c>
      <c r="L3069" s="13" t="n"/>
    </row>
    <row r="3070">
      <c r="A3070" s="3" t="inlineStr">
        <is>
          <t>PushOffDrive</t>
        </is>
      </c>
      <c r="B3070" s="3" t="inlineStr">
        <is>
          <t>Act_POD_1018901_125324_627</t>
        </is>
      </c>
      <c r="C3070" s="3" t="inlineStr">
        <is>
          <t>1018901</t>
        </is>
      </c>
      <c r="D3070" s="9" t="n">
        <v>105</v>
      </c>
      <c r="E3070" s="3" t="inlineStr">
        <is>
          <t>703</t>
        </is>
      </c>
      <c r="F3070" s="3" t="inlineStr">
        <is>
          <t>627</t>
        </is>
      </c>
      <c r="G3070" s="9" t="n">
        <v>450.42</v>
      </c>
      <c r="H3070" s="10" t="n">
        <v>45677.53708333334</v>
      </c>
      <c r="I3070" s="10" t="n">
        <v>45677.53708333334</v>
      </c>
      <c r="J3070" s="10" t="n">
        <v>45677.53920138889</v>
      </c>
      <c r="K3070" s="11" t="n">
        <v>0.002118055555555556</v>
      </c>
      <c r="L3070" s="13" t="n"/>
    </row>
    <row r="3071">
      <c r="A3071" s="3" t="inlineStr">
        <is>
          <t>PushOffDrive</t>
        </is>
      </c>
      <c r="B3071" s="3" t="inlineStr">
        <is>
          <t>Act_POD_1019001_143612_607</t>
        </is>
      </c>
      <c r="C3071" s="3" t="inlineStr">
        <is>
          <t>1019001</t>
        </is>
      </c>
      <c r="D3071" s="9" t="n">
        <v>389.1</v>
      </c>
      <c r="E3071" s="3" t="inlineStr">
        <is>
          <t>703</t>
        </is>
      </c>
      <c r="F3071" s="3" t="inlineStr">
        <is>
          <t>607</t>
        </is>
      </c>
      <c r="G3071" s="9" t="n">
        <v>378.4</v>
      </c>
      <c r="H3071" s="10" t="n">
        <v>45677.60847222222</v>
      </c>
      <c r="I3071" s="10" t="n">
        <v>45677.60847222222</v>
      </c>
      <c r="J3071" s="10" t="n">
        <v>45677.61094907407</v>
      </c>
      <c r="K3071" s="11" t="n">
        <v>0.002476851851851852</v>
      </c>
      <c r="L3071" s="13" t="n"/>
    </row>
    <row r="3072">
      <c r="A3072" s="3" t="inlineStr">
        <is>
          <t>PushOffDrive</t>
        </is>
      </c>
      <c r="B3072" s="3" t="inlineStr">
        <is>
          <t>Act_POD_1019101_153333_609</t>
        </is>
      </c>
      <c r="C3072" s="3" t="inlineStr">
        <is>
          <t>1019101</t>
        </is>
      </c>
      <c r="D3072" s="9" t="n">
        <v>19.9</v>
      </c>
      <c r="E3072" s="3" t="inlineStr">
        <is>
          <t>703</t>
        </is>
      </c>
      <c r="F3072" s="3" t="inlineStr">
        <is>
          <t>609</t>
        </is>
      </c>
      <c r="G3072" s="9" t="n">
        <v>350.87</v>
      </c>
      <c r="H3072" s="10" t="n">
        <v>45677.64829861111</v>
      </c>
      <c r="I3072" s="10" t="n">
        <v>45677.64829861111</v>
      </c>
      <c r="J3072" s="10" t="n">
        <v>45677.64981481482</v>
      </c>
      <c r="K3072" s="11" t="n">
        <v>0.001516203703703704</v>
      </c>
      <c r="L3072" s="13" t="n"/>
    </row>
    <row r="3073">
      <c r="A3073" s="3" t="inlineStr">
        <is>
          <t>PushOffDrive</t>
        </is>
      </c>
      <c r="B3073" s="3" t="inlineStr">
        <is>
          <t>Act_POD_1019102_153544_619</t>
        </is>
      </c>
      <c r="C3073" s="3" t="inlineStr">
        <is>
          <t>1019102</t>
        </is>
      </c>
      <c r="D3073" s="9" t="n">
        <v>19.9</v>
      </c>
      <c r="E3073" s="3" t="inlineStr">
        <is>
          <t>703</t>
        </is>
      </c>
      <c r="F3073" s="3" t="inlineStr">
        <is>
          <t>619</t>
        </is>
      </c>
      <c r="G3073" s="9" t="n">
        <v>459.96</v>
      </c>
      <c r="H3073" s="10" t="n">
        <v>45677.64981481482</v>
      </c>
      <c r="I3073" s="10" t="n">
        <v>45677.64981481482</v>
      </c>
      <c r="J3073" s="10" t="n">
        <v>45677.65177083333</v>
      </c>
      <c r="K3073" s="11" t="n">
        <v>0.001956018518518518</v>
      </c>
      <c r="L3073" s="13" t="n"/>
    </row>
    <row r="3074">
      <c r="A3074" s="3" t="inlineStr">
        <is>
          <t>PushOffDrive</t>
        </is>
      </c>
      <c r="B3074" s="3" t="inlineStr">
        <is>
          <t>Act_POD_1019103_153833_629</t>
        </is>
      </c>
      <c r="C3074" s="3" t="inlineStr">
        <is>
          <t>1019103</t>
        </is>
      </c>
      <c r="D3074" s="9" t="n">
        <v>19.9</v>
      </c>
      <c r="E3074" s="3" t="inlineStr">
        <is>
          <t>703</t>
        </is>
      </c>
      <c r="F3074" s="3" t="inlineStr">
        <is>
          <t>629</t>
        </is>
      </c>
      <c r="G3074" s="9" t="n">
        <v>450.42</v>
      </c>
      <c r="H3074" s="10" t="n">
        <v>45677.65177083333</v>
      </c>
      <c r="I3074" s="10" t="n">
        <v>45677.65177083333</v>
      </c>
      <c r="J3074" s="10" t="n">
        <v>45677.65369212963</v>
      </c>
      <c r="K3074" s="11" t="n">
        <v>0.001921296296296296</v>
      </c>
      <c r="L3074" s="13" t="n"/>
    </row>
    <row r="3075">
      <c r="A3075" s="3" t="inlineStr">
        <is>
          <t>PushOffDrive</t>
        </is>
      </c>
      <c r="B3075" s="3" t="inlineStr">
        <is>
          <t>Act_POD_1019105_154119_613</t>
        </is>
      </c>
      <c r="C3075" s="3" t="inlineStr">
        <is>
          <t>1019105</t>
        </is>
      </c>
      <c r="D3075" s="9" t="n">
        <v>19.9</v>
      </c>
      <c r="E3075" s="3" t="inlineStr">
        <is>
          <t>703</t>
        </is>
      </c>
      <c r="F3075" s="3" t="inlineStr">
        <is>
          <t>613</t>
        </is>
      </c>
      <c r="G3075" s="9" t="n">
        <v>297.43</v>
      </c>
      <c r="H3075" s="10" t="n">
        <v>45677.65369212963</v>
      </c>
      <c r="I3075" s="10" t="n">
        <v>45677.65369212963</v>
      </c>
      <c r="J3075" s="10" t="n">
        <v>45677.65497685185</v>
      </c>
      <c r="K3075" s="11" t="n">
        <v>0.001284722222222222</v>
      </c>
      <c r="L3075" s="13" t="n"/>
    </row>
    <row r="3076">
      <c r="A3076" s="3" t="inlineStr">
        <is>
          <t>PushOffDrive</t>
        </is>
      </c>
      <c r="B3076" s="3" t="inlineStr">
        <is>
          <t>Act_POD_1019106_154310_623</t>
        </is>
      </c>
      <c r="C3076" s="3" t="inlineStr">
        <is>
          <t>1019106</t>
        </is>
      </c>
      <c r="D3076" s="9" t="n">
        <v>15.7</v>
      </c>
      <c r="E3076" s="3" t="inlineStr">
        <is>
          <t>703</t>
        </is>
      </c>
      <c r="F3076" s="3" t="inlineStr">
        <is>
          <t>623</t>
        </is>
      </c>
      <c r="G3076" s="9" t="n">
        <v>412.05</v>
      </c>
      <c r="H3076" s="10" t="n">
        <v>45677.65497685185</v>
      </c>
      <c r="I3076" s="10" t="n">
        <v>45677.65497685185</v>
      </c>
      <c r="J3076" s="10" t="n">
        <v>45677.65673611111</v>
      </c>
      <c r="K3076" s="11" t="n">
        <v>0.001759259259259259</v>
      </c>
      <c r="L3076" s="13" t="n"/>
    </row>
    <row r="3077">
      <c r="A3077" s="3" t="inlineStr">
        <is>
          <t>PushOffDrive</t>
        </is>
      </c>
      <c r="B3077" s="3" t="inlineStr">
        <is>
          <t>Act_POD_1019107_154542_623</t>
        </is>
      </c>
      <c r="C3077" s="3" t="inlineStr">
        <is>
          <t>1019107</t>
        </is>
      </c>
      <c r="D3077" s="9" t="n">
        <v>62.2</v>
      </c>
      <c r="E3077" s="3" t="inlineStr">
        <is>
          <t>703</t>
        </is>
      </c>
      <c r="F3077" s="3" t="inlineStr">
        <is>
          <t>623</t>
        </is>
      </c>
      <c r="G3077" s="9" t="n">
        <v>412.05</v>
      </c>
      <c r="H3077" s="10" t="n">
        <v>45677.65673611111</v>
      </c>
      <c r="I3077" s="10" t="n">
        <v>45677.65673611111</v>
      </c>
      <c r="J3077" s="10" t="n">
        <v>45677.65859953704</v>
      </c>
      <c r="K3077" s="11" t="n">
        <v>0.001863425925925926</v>
      </c>
      <c r="L3077" s="13" t="n"/>
    </row>
    <row r="3078">
      <c r="A3078" s="3" t="inlineStr">
        <is>
          <t>PushOffDrive</t>
        </is>
      </c>
      <c r="B3078" s="3" t="inlineStr">
        <is>
          <t>Act_POD_1019108_154823_627</t>
        </is>
      </c>
      <c r="C3078" s="3" t="inlineStr">
        <is>
          <t>1019108</t>
        </is>
      </c>
      <c r="D3078" s="9" t="n">
        <v>15.7</v>
      </c>
      <c r="E3078" s="3" t="inlineStr">
        <is>
          <t>703</t>
        </is>
      </c>
      <c r="F3078" s="3" t="inlineStr">
        <is>
          <t>627</t>
        </is>
      </c>
      <c r="G3078" s="9" t="n">
        <v>450.42</v>
      </c>
      <c r="H3078" s="10" t="n">
        <v>45677.65859953704</v>
      </c>
      <c r="I3078" s="10" t="n">
        <v>45677.65859953704</v>
      </c>
      <c r="J3078" s="10" t="n">
        <v>45677.66050925926</v>
      </c>
      <c r="K3078" s="11" t="n">
        <v>0.001909722222222222</v>
      </c>
      <c r="L3078" s="13" t="n"/>
    </row>
    <row r="3079">
      <c r="A3079" s="3" t="inlineStr">
        <is>
          <t>PushOffDrive</t>
        </is>
      </c>
      <c r="B3079" s="3" t="inlineStr">
        <is>
          <t>Act_POD_1019109_155108_629</t>
        </is>
      </c>
      <c r="C3079" s="3" t="inlineStr">
        <is>
          <t>1019109</t>
        </is>
      </c>
      <c r="D3079" s="9" t="n">
        <v>31.5</v>
      </c>
      <c r="E3079" s="3" t="inlineStr">
        <is>
          <t>703</t>
        </is>
      </c>
      <c r="F3079" s="3" t="inlineStr">
        <is>
          <t>629</t>
        </is>
      </c>
      <c r="G3079" s="9" t="n">
        <v>450.42</v>
      </c>
      <c r="H3079" s="10" t="n">
        <v>45677.66050925926</v>
      </c>
      <c r="I3079" s="10" t="n">
        <v>45677.66050925926</v>
      </c>
      <c r="J3079" s="10" t="n">
        <v>45677.66245370371</v>
      </c>
      <c r="K3079" s="11" t="n">
        <v>0.001944444444444444</v>
      </c>
      <c r="L3079" s="13" t="n"/>
    </row>
    <row r="3080">
      <c r="A3080" s="3" t="inlineStr">
        <is>
          <t>PushOffDrive</t>
        </is>
      </c>
      <c r="B3080" s="3" t="inlineStr">
        <is>
          <t>Act_POD_1019110_155356_627</t>
        </is>
      </c>
      <c r="C3080" s="3" t="inlineStr">
        <is>
          <t>1019110</t>
        </is>
      </c>
      <c r="D3080" s="9" t="n">
        <v>15.7</v>
      </c>
      <c r="E3080" s="3" t="inlineStr">
        <is>
          <t>703</t>
        </is>
      </c>
      <c r="F3080" s="3" t="inlineStr">
        <is>
          <t>627</t>
        </is>
      </c>
      <c r="G3080" s="9" t="n">
        <v>450.42</v>
      </c>
      <c r="H3080" s="10" t="n">
        <v>45677.66245370371</v>
      </c>
      <c r="I3080" s="10" t="n">
        <v>45677.66245370371</v>
      </c>
      <c r="J3080" s="10" t="n">
        <v>45677.664375</v>
      </c>
      <c r="K3080" s="11" t="n">
        <v>0.001921296296296296</v>
      </c>
      <c r="L3080" s="13" t="n"/>
    </row>
    <row r="3081">
      <c r="A3081" s="3" t="inlineStr">
        <is>
          <t>PushOffDrive</t>
        </is>
      </c>
      <c r="B3081" s="3" t="inlineStr">
        <is>
          <t>Act_POD_1019201_160003_615</t>
        </is>
      </c>
      <c r="C3081" s="3" t="inlineStr">
        <is>
          <t>1019201</t>
        </is>
      </c>
      <c r="D3081" s="9" t="n">
        <v>152.3</v>
      </c>
      <c r="E3081" s="3" t="inlineStr">
        <is>
          <t>727</t>
        </is>
      </c>
      <c r="F3081" s="3" t="inlineStr">
        <is>
          <t>615</t>
        </is>
      </c>
      <c r="G3081" s="9" t="n">
        <v>263.09</v>
      </c>
      <c r="H3081" s="10" t="n">
        <v>45677.66670138889</v>
      </c>
      <c r="I3081" s="10" t="n">
        <v>45677.66670138889</v>
      </c>
      <c r="J3081" s="10" t="n">
        <v>45677.66814814815</v>
      </c>
      <c r="K3081" s="11" t="n">
        <v>0.001446759259259259</v>
      </c>
      <c r="L3081" s="13" t="n"/>
    </row>
    <row r="3082">
      <c r="A3082" s="3" t="inlineStr">
        <is>
          <t>PushOffDrive</t>
        </is>
      </c>
      <c r="B3082" s="3" t="inlineStr">
        <is>
          <t>Act_POD_1019401_171131_615</t>
        </is>
      </c>
      <c r="C3082" s="3" t="inlineStr">
        <is>
          <t>1019401</t>
        </is>
      </c>
      <c r="D3082" s="9" t="n">
        <v>325.4</v>
      </c>
      <c r="E3082" s="3" t="inlineStr">
        <is>
          <t>703</t>
        </is>
      </c>
      <c r="F3082" s="3" t="inlineStr">
        <is>
          <t>615</t>
        </is>
      </c>
      <c r="G3082" s="9" t="n">
        <v>269.92</v>
      </c>
      <c r="H3082" s="10" t="n">
        <v>45677.71633101852</v>
      </c>
      <c r="I3082" s="10" t="n">
        <v>45677.71633101852</v>
      </c>
      <c r="J3082" s="10" t="n">
        <v>45677.71821759259</v>
      </c>
      <c r="K3082" s="11" t="n">
        <v>0.001886574074074074</v>
      </c>
      <c r="L3082" s="13" t="n"/>
    </row>
    <row r="3083">
      <c r="A3083" s="3" t="inlineStr">
        <is>
          <t>PushOffDrive</t>
        </is>
      </c>
      <c r="B3083" s="3" t="inlineStr">
        <is>
          <t>Act_POD_1019501_211358_625</t>
        </is>
      </c>
      <c r="C3083" s="3" t="inlineStr">
        <is>
          <t>1019501</t>
        </is>
      </c>
      <c r="D3083" s="9" t="n">
        <v>398</v>
      </c>
      <c r="E3083" s="3" t="inlineStr">
        <is>
          <t>703</t>
        </is>
      </c>
      <c r="F3083" s="3" t="inlineStr">
        <is>
          <t>625</t>
        </is>
      </c>
      <c r="G3083" s="9" t="n">
        <v>477.75</v>
      </c>
      <c r="H3083" s="10" t="n">
        <v>45677.88469907407</v>
      </c>
      <c r="I3083" s="10" t="n">
        <v>45677.88469907407</v>
      </c>
      <c r="J3083" s="10" t="n">
        <v>45677.88761574074</v>
      </c>
      <c r="K3083" s="11" t="n">
        <v>0.002916666666666667</v>
      </c>
      <c r="L3083" s="13" t="n"/>
    </row>
    <row r="3084">
      <c r="A3084" s="3" t="inlineStr">
        <is>
          <t>PushOffDrive</t>
        </is>
      </c>
      <c r="B3084" s="3" t="inlineStr">
        <is>
          <t>Act_POD_1019601_030634_627</t>
        </is>
      </c>
      <c r="C3084" s="3" t="inlineStr">
        <is>
          <t>1019601</t>
        </is>
      </c>
      <c r="D3084" s="9" t="n">
        <v>15.7</v>
      </c>
      <c r="E3084" s="3" t="inlineStr">
        <is>
          <t>703</t>
        </is>
      </c>
      <c r="F3084" s="3" t="inlineStr">
        <is>
          <t>627</t>
        </is>
      </c>
      <c r="G3084" s="9" t="n">
        <v>450.42</v>
      </c>
      <c r="H3084" s="10" t="n">
        <v>45678.12956018518</v>
      </c>
      <c r="I3084" s="10" t="n">
        <v>45678.12956018518</v>
      </c>
      <c r="J3084" s="10" t="n">
        <v>45678.13146990741</v>
      </c>
      <c r="K3084" s="11" t="n">
        <v>0.001909722222222222</v>
      </c>
      <c r="L3084" s="13" t="n"/>
    </row>
    <row r="3085">
      <c r="A3085" s="3" t="inlineStr">
        <is>
          <t>PushOffDrive</t>
        </is>
      </c>
      <c r="B3085" s="3" t="inlineStr">
        <is>
          <t>Act_POD_1019602_030919_629</t>
        </is>
      </c>
      <c r="C3085" s="3" t="inlineStr">
        <is>
          <t>1019602</t>
        </is>
      </c>
      <c r="D3085" s="9" t="n">
        <v>40.9</v>
      </c>
      <c r="E3085" s="3" t="inlineStr">
        <is>
          <t>703</t>
        </is>
      </c>
      <c r="F3085" s="3" t="inlineStr">
        <is>
          <t>629</t>
        </is>
      </c>
      <c r="G3085" s="9" t="n">
        <v>450.42</v>
      </c>
      <c r="H3085" s="10" t="n">
        <v>45678.13146990741</v>
      </c>
      <c r="I3085" s="10" t="n">
        <v>45678.13146990741</v>
      </c>
      <c r="J3085" s="10" t="n">
        <v>45678.13344907408</v>
      </c>
      <c r="K3085" s="11" t="n">
        <v>0.001979166666666667</v>
      </c>
      <c r="L3085" s="13" t="n"/>
    </row>
    <row r="3086">
      <c r="A3086" s="3" t="inlineStr">
        <is>
          <t>PushOffDrive</t>
        </is>
      </c>
      <c r="B3086" s="3" t="inlineStr">
        <is>
          <t>Act_POD_1019603_031210_615</t>
        </is>
      </c>
      <c r="C3086" s="3" t="inlineStr">
        <is>
          <t>1019603</t>
        </is>
      </c>
      <c r="D3086" s="9" t="n">
        <v>35.6</v>
      </c>
      <c r="E3086" s="3" t="inlineStr">
        <is>
          <t>703</t>
        </is>
      </c>
      <c r="F3086" s="3" t="inlineStr">
        <is>
          <t>615</t>
        </is>
      </c>
      <c r="G3086" s="9" t="n">
        <v>269.92</v>
      </c>
      <c r="H3086" s="10" t="n">
        <v>45678.13344907408</v>
      </c>
      <c r="I3086" s="10" t="n">
        <v>45678.13344907408</v>
      </c>
      <c r="J3086" s="10" t="n">
        <v>45678.13465277778</v>
      </c>
      <c r="K3086" s="11" t="n">
        <v>0.001203703703703704</v>
      </c>
      <c r="L3086" s="13" t="n"/>
    </row>
    <row r="3087">
      <c r="A3087" s="3" t="inlineStr">
        <is>
          <t>PushOffDrive</t>
        </is>
      </c>
      <c r="B3087" s="3" t="inlineStr">
        <is>
          <t>Act_POD_1019604_031354_621</t>
        </is>
      </c>
      <c r="C3087" s="3" t="inlineStr">
        <is>
          <t>1019604</t>
        </is>
      </c>
      <c r="D3087" s="9" t="n">
        <v>19.9</v>
      </c>
      <c r="E3087" s="3" t="inlineStr">
        <is>
          <t>703</t>
        </is>
      </c>
      <c r="F3087" s="3" t="inlineStr">
        <is>
          <t>621</t>
        </is>
      </c>
      <c r="G3087" s="9" t="n">
        <v>459.96</v>
      </c>
      <c r="H3087" s="10" t="n">
        <v>45678.13465277778</v>
      </c>
      <c r="I3087" s="10" t="n">
        <v>45678.13465277778</v>
      </c>
      <c r="J3087" s="10" t="n">
        <v>45678.1366087963</v>
      </c>
      <c r="K3087" s="11" t="n">
        <v>0.001956018518518518</v>
      </c>
      <c r="L3087" s="13" t="n"/>
    </row>
    <row r="3088">
      <c r="A3088" s="3" t="inlineStr">
        <is>
          <t>PushOffDrive</t>
        </is>
      </c>
      <c r="B3088" s="3" t="inlineStr">
        <is>
          <t>Act_POD_1019605_031643_629</t>
        </is>
      </c>
      <c r="C3088" s="3" t="inlineStr">
        <is>
          <t>1019605</t>
        </is>
      </c>
      <c r="D3088" s="9" t="n">
        <v>203.4</v>
      </c>
      <c r="E3088" s="3" t="inlineStr">
        <is>
          <t>703</t>
        </is>
      </c>
      <c r="F3088" s="3" t="inlineStr">
        <is>
          <t>629</t>
        </is>
      </c>
      <c r="G3088" s="9" t="n">
        <v>450.42</v>
      </c>
      <c r="H3088" s="10" t="n">
        <v>45678.1366087963</v>
      </c>
      <c r="I3088" s="10" t="n">
        <v>45678.1366087963</v>
      </c>
      <c r="J3088" s="10" t="n">
        <v>45678.13895833334</v>
      </c>
      <c r="K3088" s="11" t="n">
        <v>0.002349537037037037</v>
      </c>
      <c r="L3088" s="13" t="n"/>
    </row>
    <row r="3089">
      <c r="A3089" s="3" t="inlineStr">
        <is>
          <t>PushOffDrive</t>
        </is>
      </c>
      <c r="B3089" s="3" t="inlineStr">
        <is>
          <t>Act_POD_1019701_064644_611</t>
        </is>
      </c>
      <c r="C3089" s="3" t="inlineStr">
        <is>
          <t>1019701</t>
        </is>
      </c>
      <c r="D3089" s="9" t="n">
        <v>233.1</v>
      </c>
      <c r="E3089" s="3" t="inlineStr">
        <is>
          <t>703</t>
        </is>
      </c>
      <c r="F3089" s="3" t="inlineStr">
        <is>
          <t>611</t>
        </is>
      </c>
      <c r="G3089" s="9" t="n">
        <v>324.35</v>
      </c>
      <c r="H3089" s="10" t="n">
        <v>45678.2824537037</v>
      </c>
      <c r="I3089" s="10" t="n">
        <v>45678.2824537037</v>
      </c>
      <c r="J3089" s="10" t="n">
        <v>45678.28434027778</v>
      </c>
      <c r="K3089" s="11" t="n">
        <v>0.001886574074074074</v>
      </c>
      <c r="L3089" s="13" t="n"/>
    </row>
    <row r="3090">
      <c r="A3090" s="3" t="inlineStr">
        <is>
          <t>PushOffDrive</t>
        </is>
      </c>
      <c r="B3090" s="3" t="inlineStr">
        <is>
          <t>Act_POD_1019801_073849_617</t>
        </is>
      </c>
      <c r="C3090" s="3" t="inlineStr">
        <is>
          <t>1019801</t>
        </is>
      </c>
      <c r="D3090" s="9" t="n">
        <v>19.9</v>
      </c>
      <c r="E3090" s="3" t="inlineStr">
        <is>
          <t>703</t>
        </is>
      </c>
      <c r="F3090" s="3" t="inlineStr">
        <is>
          <t>617</t>
        </is>
      </c>
      <c r="G3090" s="9" t="n">
        <v>299.11</v>
      </c>
      <c r="H3090" s="10" t="n">
        <v>45678.31862268518</v>
      </c>
      <c r="I3090" s="10" t="n">
        <v>45678.31862268518</v>
      </c>
      <c r="J3090" s="10" t="n">
        <v>45678.31990740741</v>
      </c>
      <c r="K3090" s="11" t="n">
        <v>0.001284722222222222</v>
      </c>
      <c r="L3090" s="13" t="n"/>
    </row>
    <row r="3091">
      <c r="A3091" s="3" t="inlineStr">
        <is>
          <t>PushOffDrive</t>
        </is>
      </c>
      <c r="B3091" s="3" t="inlineStr">
        <is>
          <t>Act_POD_1019802_074040_613</t>
        </is>
      </c>
      <c r="C3091" s="3" t="inlineStr">
        <is>
          <t>1019802</t>
        </is>
      </c>
      <c r="D3091" s="9" t="n">
        <v>19.9</v>
      </c>
      <c r="E3091" s="3" t="inlineStr">
        <is>
          <t>703</t>
        </is>
      </c>
      <c r="F3091" s="3" t="inlineStr">
        <is>
          <t>613</t>
        </is>
      </c>
      <c r="G3091" s="9" t="n">
        <v>297.43</v>
      </c>
      <c r="H3091" s="10" t="n">
        <v>45678.31990740741</v>
      </c>
      <c r="I3091" s="10" t="n">
        <v>45678.31990740741</v>
      </c>
      <c r="J3091" s="10" t="n">
        <v>45678.32119212963</v>
      </c>
      <c r="K3091" s="11" t="n">
        <v>0.001284722222222222</v>
      </c>
      <c r="L3091" s="13" t="n"/>
    </row>
    <row r="3092">
      <c r="A3092" s="3" t="inlineStr">
        <is>
          <t>PushOffDrive</t>
        </is>
      </c>
      <c r="B3092" s="3" t="inlineStr">
        <is>
          <t>Act_POD_1019803_074231_629</t>
        </is>
      </c>
      <c r="C3092" s="3" t="inlineStr">
        <is>
          <t>1019803</t>
        </is>
      </c>
      <c r="D3092" s="9" t="n">
        <v>15.7</v>
      </c>
      <c r="E3092" s="3" t="inlineStr">
        <is>
          <t>703</t>
        </is>
      </c>
      <c r="F3092" s="3" t="inlineStr">
        <is>
          <t>629</t>
        </is>
      </c>
      <c r="G3092" s="9" t="n">
        <v>450.42</v>
      </c>
      <c r="H3092" s="10" t="n">
        <v>45678.32119212963</v>
      </c>
      <c r="I3092" s="10" t="n">
        <v>45678.32119212963</v>
      </c>
      <c r="J3092" s="10" t="n">
        <v>45678.32311342593</v>
      </c>
      <c r="K3092" s="11" t="n">
        <v>0.001921296296296296</v>
      </c>
      <c r="L3092" s="13" t="n"/>
    </row>
    <row r="3093">
      <c r="A3093" s="3" t="inlineStr">
        <is>
          <t>PushOffDrive</t>
        </is>
      </c>
      <c r="B3093" s="3" t="inlineStr">
        <is>
          <t>Act_POD_1019804_074517_621</t>
        </is>
      </c>
      <c r="C3093" s="3" t="inlineStr">
        <is>
          <t>1019804</t>
        </is>
      </c>
      <c r="D3093" s="9" t="n">
        <v>116.9</v>
      </c>
      <c r="E3093" s="3" t="inlineStr">
        <is>
          <t>703</t>
        </is>
      </c>
      <c r="F3093" s="3" t="inlineStr">
        <is>
          <t>621</t>
        </is>
      </c>
      <c r="G3093" s="9" t="n">
        <v>459.96</v>
      </c>
      <c r="H3093" s="10" t="n">
        <v>45678.32311342593</v>
      </c>
      <c r="I3093" s="10" t="n">
        <v>45678.32311342593</v>
      </c>
      <c r="J3093" s="10" t="n">
        <v>45678.32530092593</v>
      </c>
      <c r="K3093" s="11" t="n">
        <v>0.0021875</v>
      </c>
      <c r="L3093" s="13" t="n"/>
    </row>
    <row r="3094">
      <c r="A3094" s="3" t="inlineStr">
        <is>
          <t>PushOffDrive</t>
        </is>
      </c>
      <c r="B3094" s="3" t="inlineStr">
        <is>
          <t>Act_POD_1019805_074826_605</t>
        </is>
      </c>
      <c r="C3094" s="3" t="inlineStr">
        <is>
          <t>1019805</t>
        </is>
      </c>
      <c r="D3094" s="9" t="n">
        <v>15.7</v>
      </c>
      <c r="E3094" s="3" t="inlineStr">
        <is>
          <t>703</t>
        </is>
      </c>
      <c r="F3094" s="3" t="inlineStr">
        <is>
          <t>605</t>
        </is>
      </c>
      <c r="G3094" s="9" t="n">
        <v>405.43</v>
      </c>
      <c r="H3094" s="10" t="n">
        <v>45678.32530092593</v>
      </c>
      <c r="I3094" s="10" t="n">
        <v>45678.32530092593</v>
      </c>
      <c r="J3094" s="10" t="n">
        <v>45678.32702546296</v>
      </c>
      <c r="K3094" s="11" t="n">
        <v>0.001724537037037037</v>
      </c>
      <c r="L3094" s="13" t="n"/>
    </row>
    <row r="3095">
      <c r="A3095" s="3" t="inlineStr">
        <is>
          <t>PushOffDrive</t>
        </is>
      </c>
      <c r="B3095" s="3" t="inlineStr">
        <is>
          <t>Act_POD_1019807_075055_625</t>
        </is>
      </c>
      <c r="C3095" s="3" t="inlineStr">
        <is>
          <t>1019807</t>
        </is>
      </c>
      <c r="D3095" s="9" t="n">
        <v>15.7</v>
      </c>
      <c r="E3095" s="3" t="inlineStr">
        <is>
          <t>703</t>
        </is>
      </c>
      <c r="F3095" s="3" t="inlineStr">
        <is>
          <t>625</t>
        </is>
      </c>
      <c r="G3095" s="9" t="n">
        <v>477.75</v>
      </c>
      <c r="H3095" s="10" t="n">
        <v>45678.32702546296</v>
      </c>
      <c r="I3095" s="10" t="n">
        <v>45678.32702546296</v>
      </c>
      <c r="J3095" s="10" t="n">
        <v>45678.32905092592</v>
      </c>
      <c r="K3095" s="11" t="n">
        <v>0.002025462962962963</v>
      </c>
      <c r="L3095" s="13" t="n"/>
    </row>
    <row r="3096">
      <c r="A3096" s="3" t="inlineStr">
        <is>
          <t>PushOffDrive</t>
        </is>
      </c>
      <c r="B3096" s="3" t="inlineStr">
        <is>
          <t>Act_POD_1019808_075350_605</t>
        </is>
      </c>
      <c r="C3096" s="3" t="inlineStr">
        <is>
          <t>1019808</t>
        </is>
      </c>
      <c r="D3096" s="9" t="n">
        <v>19.9</v>
      </c>
      <c r="E3096" s="3" t="inlineStr">
        <is>
          <t>703</t>
        </is>
      </c>
      <c r="F3096" s="3" t="inlineStr">
        <is>
          <t>605</t>
        </is>
      </c>
      <c r="G3096" s="9" t="n">
        <v>405.43</v>
      </c>
      <c r="H3096" s="10" t="n">
        <v>45678.32905092592</v>
      </c>
      <c r="I3096" s="10" t="n">
        <v>45678.32905092592</v>
      </c>
      <c r="J3096" s="10" t="n">
        <v>45678.33078703703</v>
      </c>
      <c r="K3096" s="11" t="n">
        <v>0.001736111111111111</v>
      </c>
      <c r="L3096" s="13" t="n"/>
    </row>
    <row r="3097">
      <c r="A3097" s="3" t="inlineStr">
        <is>
          <t>PushOffDrive</t>
        </is>
      </c>
      <c r="B3097" s="3" t="inlineStr">
        <is>
          <t>Act_POD_1019809_075620_619</t>
        </is>
      </c>
      <c r="C3097" s="3" t="inlineStr">
        <is>
          <t>1019809</t>
        </is>
      </c>
      <c r="D3097" s="9" t="n">
        <v>117.1</v>
      </c>
      <c r="E3097" s="3" t="inlineStr">
        <is>
          <t>703</t>
        </is>
      </c>
      <c r="F3097" s="3" t="inlineStr">
        <is>
          <t>619</t>
        </is>
      </c>
      <c r="G3097" s="9" t="n">
        <v>459.96</v>
      </c>
      <c r="H3097" s="10" t="n">
        <v>45678.33078703703</v>
      </c>
      <c r="I3097" s="10" t="n">
        <v>45678.33078703703</v>
      </c>
      <c r="J3097" s="10" t="n">
        <v>45678.33297453704</v>
      </c>
      <c r="K3097" s="11" t="n">
        <v>0.0021875</v>
      </c>
      <c r="L3097" s="13" t="n"/>
    </row>
    <row r="3098">
      <c r="A3098" s="3" t="inlineStr">
        <is>
          <t>PushOffDrive</t>
        </is>
      </c>
      <c r="B3098" s="3" t="inlineStr">
        <is>
          <t>Act_POD_1020001_080044_619</t>
        </is>
      </c>
      <c r="C3098" s="3" t="inlineStr">
        <is>
          <t>1020001</t>
        </is>
      </c>
      <c r="D3098" s="9" t="n">
        <v>339.1</v>
      </c>
      <c r="E3098" s="3" t="inlineStr">
        <is>
          <t>725</t>
        </is>
      </c>
      <c r="F3098" s="3" t="inlineStr">
        <is>
          <t>619</t>
        </is>
      </c>
      <c r="G3098" s="9" t="n">
        <v>425.77</v>
      </c>
      <c r="H3098" s="10" t="n">
        <v>45678.33384259259</v>
      </c>
      <c r="I3098" s="10" t="n">
        <v>45678.33384259259</v>
      </c>
      <c r="J3098" s="10" t="n">
        <v>45678.33640046296</v>
      </c>
      <c r="K3098" s="11" t="n">
        <v>0.002557870370370371</v>
      </c>
      <c r="L3098" s="13" t="n"/>
    </row>
    <row r="3099">
      <c r="A3099" s="3" t="inlineStr">
        <is>
          <t>PushOffDrive</t>
        </is>
      </c>
      <c r="B3099" s="3" t="inlineStr">
        <is>
          <t>Act_POD_1020201_091134_619</t>
        </is>
      </c>
      <c r="C3099" s="3" t="inlineStr">
        <is>
          <t>1020201</t>
        </is>
      </c>
      <c r="D3099" s="9" t="n">
        <v>77.3</v>
      </c>
      <c r="E3099" s="3" t="inlineStr">
        <is>
          <t>727</t>
        </is>
      </c>
      <c r="F3099" s="3" t="inlineStr">
        <is>
          <t>619</t>
        </is>
      </c>
      <c r="G3099" s="9" t="n">
        <v>453.13</v>
      </c>
      <c r="H3099" s="10" t="n">
        <v>45678.38303240741</v>
      </c>
      <c r="I3099" s="10" t="n">
        <v>45678.38303240741</v>
      </c>
      <c r="J3099" s="10" t="n">
        <v>45678.38510416666</v>
      </c>
      <c r="K3099" s="11" t="n">
        <v>0.002071759259259259</v>
      </c>
      <c r="L3099" s="13" t="n"/>
    </row>
    <row r="3100">
      <c r="A3100" s="3" t="inlineStr">
        <is>
          <t>PushOffDrive</t>
        </is>
      </c>
      <c r="B3100" s="3" t="inlineStr">
        <is>
          <t>Act_POD_1020202_091433_615</t>
        </is>
      </c>
      <c r="C3100" s="3" t="inlineStr">
        <is>
          <t>1020202</t>
        </is>
      </c>
      <c r="D3100" s="9" t="n">
        <v>37.5</v>
      </c>
      <c r="E3100" s="3" t="inlineStr">
        <is>
          <t>727</t>
        </is>
      </c>
      <c r="F3100" s="3" t="inlineStr">
        <is>
          <t>615</t>
        </is>
      </c>
      <c r="G3100" s="9" t="n">
        <v>263.09</v>
      </c>
      <c r="H3100" s="10" t="n">
        <v>45678.38510416666</v>
      </c>
      <c r="I3100" s="10" t="n">
        <v>45678.38510416666</v>
      </c>
      <c r="J3100" s="10" t="n">
        <v>45678.38628472222</v>
      </c>
      <c r="K3100" s="11" t="n">
        <v>0.001180555555555556</v>
      </c>
      <c r="L3100" s="13" t="n"/>
    </row>
    <row r="3101">
      <c r="A3101" s="3" t="inlineStr">
        <is>
          <t>PushOffDrive</t>
        </is>
      </c>
      <c r="B3101" s="3" t="inlineStr">
        <is>
          <t>Act_POD_1020101_091730_613</t>
        </is>
      </c>
      <c r="C3101" s="3" t="inlineStr">
        <is>
          <t>1020101</t>
        </is>
      </c>
      <c r="D3101" s="9" t="n">
        <v>19.9</v>
      </c>
      <c r="E3101" s="3" t="inlineStr">
        <is>
          <t>703</t>
        </is>
      </c>
      <c r="F3101" s="3" t="inlineStr">
        <is>
          <t>613</t>
        </is>
      </c>
      <c r="G3101" s="9" t="n">
        <v>297.43</v>
      </c>
      <c r="H3101" s="10" t="n">
        <v>45678.38715277778</v>
      </c>
      <c r="I3101" s="10" t="n">
        <v>45678.38715277778</v>
      </c>
      <c r="J3101" s="10" t="n">
        <v>45678.3884375</v>
      </c>
      <c r="K3101" s="11" t="n">
        <v>0.001284722222222222</v>
      </c>
      <c r="L3101" s="13" t="n"/>
    </row>
    <row r="3102">
      <c r="A3102" s="3" t="inlineStr">
        <is>
          <t>PushOffDrive</t>
        </is>
      </c>
      <c r="B3102" s="3" t="inlineStr">
        <is>
          <t>Act_POD_1020102_091921_615</t>
        </is>
      </c>
      <c r="C3102" s="3" t="inlineStr">
        <is>
          <t>1020102</t>
        </is>
      </c>
      <c r="D3102" s="9" t="n">
        <v>70.5</v>
      </c>
      <c r="E3102" s="3" t="inlineStr">
        <is>
          <t>703</t>
        </is>
      </c>
      <c r="F3102" s="3" t="inlineStr">
        <is>
          <t>615</t>
        </is>
      </c>
      <c r="G3102" s="9" t="n">
        <v>269.92</v>
      </c>
      <c r="H3102" s="10" t="n">
        <v>45678.3884375</v>
      </c>
      <c r="I3102" s="10" t="n">
        <v>45678.3884375</v>
      </c>
      <c r="J3102" s="10" t="n">
        <v>45678.38972222222</v>
      </c>
      <c r="K3102" s="11" t="n">
        <v>0.001284722222222222</v>
      </c>
      <c r="L3102" s="13" t="n"/>
    </row>
    <row r="3103">
      <c r="A3103" s="3" t="inlineStr">
        <is>
          <t>PushOffDrive</t>
        </is>
      </c>
      <c r="B3103" s="3" t="inlineStr">
        <is>
          <t>Act_POD_1020103_092112_615</t>
        </is>
      </c>
      <c r="C3103" s="3" t="inlineStr">
        <is>
          <t>1020103</t>
        </is>
      </c>
      <c r="D3103" s="9" t="n">
        <v>35.6</v>
      </c>
      <c r="E3103" s="3" t="inlineStr">
        <is>
          <t>703</t>
        </is>
      </c>
      <c r="F3103" s="3" t="inlineStr">
        <is>
          <t>615</t>
        </is>
      </c>
      <c r="G3103" s="9" t="n">
        <v>269.92</v>
      </c>
      <c r="H3103" s="10" t="n">
        <v>45678.38972222222</v>
      </c>
      <c r="I3103" s="10" t="n">
        <v>45678.38972222222</v>
      </c>
      <c r="J3103" s="10" t="n">
        <v>45678.3909375</v>
      </c>
      <c r="K3103" s="11" t="n">
        <v>0.001215277777777778</v>
      </c>
      <c r="L3103" s="13" t="n"/>
    </row>
    <row r="3104">
      <c r="A3104" s="3" t="inlineStr">
        <is>
          <t>PushOffDrive</t>
        </is>
      </c>
      <c r="B3104" s="3" t="inlineStr">
        <is>
          <t>Act_POD_1020104_092257_627</t>
        </is>
      </c>
      <c r="C3104" s="3" t="inlineStr">
        <is>
          <t>1020104</t>
        </is>
      </c>
      <c r="D3104" s="9" t="n">
        <v>90.40000000000001</v>
      </c>
      <c r="E3104" s="3" t="inlineStr">
        <is>
          <t>703</t>
        </is>
      </c>
      <c r="F3104" s="3" t="inlineStr">
        <is>
          <t>627</t>
        </is>
      </c>
      <c r="G3104" s="9" t="n">
        <v>450.42</v>
      </c>
      <c r="H3104" s="10" t="n">
        <v>45678.3909375</v>
      </c>
      <c r="I3104" s="10" t="n">
        <v>45678.3909375</v>
      </c>
      <c r="J3104" s="10" t="n">
        <v>45678.39302083333</v>
      </c>
      <c r="K3104" s="11" t="n">
        <v>0.002083333333333333</v>
      </c>
      <c r="L3104" s="13" t="n"/>
    </row>
    <row r="3105">
      <c r="A3105" s="3" t="inlineStr">
        <is>
          <t>PushOffDrive</t>
        </is>
      </c>
      <c r="B3105" s="3" t="inlineStr">
        <is>
          <t>Act_POD_1020106_092557_606</t>
        </is>
      </c>
      <c r="C3105" s="3" t="inlineStr">
        <is>
          <t>1020106</t>
        </is>
      </c>
      <c r="D3105" s="9" t="n">
        <v>108</v>
      </c>
      <c r="E3105" s="3" t="inlineStr">
        <is>
          <t>703</t>
        </is>
      </c>
      <c r="F3105" s="3" t="inlineStr">
        <is>
          <t>606</t>
        </is>
      </c>
      <c r="G3105" s="9" t="n">
        <v>405.03</v>
      </c>
      <c r="H3105" s="10" t="n">
        <v>45678.39302083333</v>
      </c>
      <c r="I3105" s="10" t="n">
        <v>45678.39302083333</v>
      </c>
      <c r="J3105" s="10" t="n">
        <v>45678.3949537037</v>
      </c>
      <c r="K3105" s="11" t="n">
        <v>0.00193287037037037</v>
      </c>
      <c r="L3105" s="13" t="n"/>
    </row>
    <row r="3106">
      <c r="A3106" s="3" t="inlineStr">
        <is>
          <t>PushOffDrive</t>
        </is>
      </c>
      <c r="B3106" s="3" t="inlineStr">
        <is>
          <t>Act_POD_1020107_092844_617</t>
        </is>
      </c>
      <c r="C3106" s="3" t="inlineStr">
        <is>
          <t>1020107</t>
        </is>
      </c>
      <c r="D3106" s="9" t="n">
        <v>61.9</v>
      </c>
      <c r="E3106" s="3" t="inlineStr">
        <is>
          <t>703</t>
        </is>
      </c>
      <c r="F3106" s="3" t="inlineStr">
        <is>
          <t>617</t>
        </is>
      </c>
      <c r="G3106" s="9" t="n">
        <v>299.11</v>
      </c>
      <c r="H3106" s="10" t="n">
        <v>45678.3949537037</v>
      </c>
      <c r="I3106" s="10" t="n">
        <v>45678.3949537037</v>
      </c>
      <c r="J3106" s="10" t="n">
        <v>45678.39634259259</v>
      </c>
      <c r="K3106" s="11" t="n">
        <v>0.001388888888888889</v>
      </c>
      <c r="L3106" s="13" t="n"/>
    </row>
    <row r="3107">
      <c r="A3107" s="3" t="inlineStr">
        <is>
          <t>PushOffDrive</t>
        </is>
      </c>
      <c r="B3107" s="3" t="inlineStr">
        <is>
          <t>Act_POD_1020108_093044_627</t>
        </is>
      </c>
      <c r="C3107" s="3" t="inlineStr">
        <is>
          <t>1020108</t>
        </is>
      </c>
      <c r="D3107" s="9" t="n">
        <v>21</v>
      </c>
      <c r="E3107" s="3" t="inlineStr">
        <is>
          <t>703</t>
        </is>
      </c>
      <c r="F3107" s="3" t="inlineStr">
        <is>
          <t>627</t>
        </is>
      </c>
      <c r="G3107" s="9" t="n">
        <v>450.42</v>
      </c>
      <c r="H3107" s="10" t="n">
        <v>45678.39634259259</v>
      </c>
      <c r="I3107" s="10" t="n">
        <v>45678.39634259259</v>
      </c>
      <c r="J3107" s="10" t="n">
        <v>45678.39827546296</v>
      </c>
      <c r="K3107" s="11" t="n">
        <v>0.00193287037037037</v>
      </c>
      <c r="L3107" s="13" t="n"/>
    </row>
    <row r="3108">
      <c r="A3108" s="3" t="inlineStr">
        <is>
          <t>PushOffDrive</t>
        </is>
      </c>
      <c r="B3108" s="3" t="inlineStr">
        <is>
          <t>Act_POD_1020109_093331_629</t>
        </is>
      </c>
      <c r="C3108" s="3" t="inlineStr">
        <is>
          <t>1020109</t>
        </is>
      </c>
      <c r="D3108" s="9" t="n">
        <v>15.7</v>
      </c>
      <c r="E3108" s="3" t="inlineStr">
        <is>
          <t>703</t>
        </is>
      </c>
      <c r="F3108" s="3" t="inlineStr">
        <is>
          <t>629</t>
        </is>
      </c>
      <c r="G3108" s="9" t="n">
        <v>450.42</v>
      </c>
      <c r="H3108" s="10" t="n">
        <v>45678.39827546296</v>
      </c>
      <c r="I3108" s="10" t="n">
        <v>45678.39827546296</v>
      </c>
      <c r="J3108" s="10" t="n">
        <v>45678.40018518519</v>
      </c>
      <c r="K3108" s="11" t="n">
        <v>0.001909722222222222</v>
      </c>
      <c r="L3108" s="13" t="n"/>
    </row>
    <row r="3109">
      <c r="A3109" s="3" t="inlineStr">
        <is>
          <t>PushOffDrive</t>
        </is>
      </c>
      <c r="B3109" s="3" t="inlineStr">
        <is>
          <t>Act_POD_1020301_101953_619</t>
        </is>
      </c>
      <c r="C3109" s="3" t="inlineStr">
        <is>
          <t>1020301</t>
        </is>
      </c>
      <c r="D3109" s="9" t="n">
        <v>286.3</v>
      </c>
      <c r="E3109" s="3" t="inlineStr">
        <is>
          <t>703</t>
        </is>
      </c>
      <c r="F3109" s="3" t="inlineStr">
        <is>
          <t>619</t>
        </is>
      </c>
      <c r="G3109" s="9" t="n">
        <v>459.96</v>
      </c>
      <c r="H3109" s="10" t="n">
        <v>45678.43047453704</v>
      </c>
      <c r="I3109" s="10" t="n">
        <v>45678.43047453704</v>
      </c>
      <c r="J3109" s="10" t="n">
        <v>45678.43305555556</v>
      </c>
      <c r="K3109" s="11" t="n">
        <v>0.002581018518518519</v>
      </c>
      <c r="L3109" s="13" t="n"/>
    </row>
    <row r="3110">
      <c r="A3110" s="3" t="inlineStr">
        <is>
          <t>PushOffDrive</t>
        </is>
      </c>
      <c r="B3110" s="3" t="inlineStr">
        <is>
          <t>Act_POD_1020302_102336_615</t>
        </is>
      </c>
      <c r="C3110" s="3" t="inlineStr">
        <is>
          <t>1020302</t>
        </is>
      </c>
      <c r="D3110" s="9" t="n">
        <v>40.9</v>
      </c>
      <c r="E3110" s="3" t="inlineStr">
        <is>
          <t>703</t>
        </is>
      </c>
      <c r="F3110" s="3" t="inlineStr">
        <is>
          <t>615</t>
        </is>
      </c>
      <c r="G3110" s="9" t="n">
        <v>269.92</v>
      </c>
      <c r="H3110" s="10" t="n">
        <v>45678.43305555556</v>
      </c>
      <c r="I3110" s="10" t="n">
        <v>45678.43305555556</v>
      </c>
      <c r="J3110" s="10" t="n">
        <v>45678.43427083334</v>
      </c>
      <c r="K3110" s="11" t="n">
        <v>0.001215277777777778</v>
      </c>
      <c r="L3110" s="13" t="n"/>
    </row>
    <row r="3111">
      <c r="A3111" s="3" t="inlineStr">
        <is>
          <t>PushOffDrive</t>
        </is>
      </c>
      <c r="B3111" s="3" t="inlineStr">
        <is>
          <t>Act_POD_1020303_102521_619</t>
        </is>
      </c>
      <c r="C3111" s="3" t="inlineStr">
        <is>
          <t>1020303</t>
        </is>
      </c>
      <c r="D3111" s="9" t="n">
        <v>91.2</v>
      </c>
      <c r="E3111" s="3" t="inlineStr">
        <is>
          <t>703</t>
        </is>
      </c>
      <c r="F3111" s="3" t="inlineStr">
        <is>
          <t>619</t>
        </is>
      </c>
      <c r="G3111" s="9" t="n">
        <v>459.96</v>
      </c>
      <c r="H3111" s="10" t="n">
        <v>45678.43427083334</v>
      </c>
      <c r="I3111" s="10" t="n">
        <v>45678.43427083334</v>
      </c>
      <c r="J3111" s="10" t="n">
        <v>45678.43640046296</v>
      </c>
      <c r="K3111" s="11" t="n">
        <v>0.00212962962962963</v>
      </c>
      <c r="L3111" s="13" t="n"/>
    </row>
    <row r="3112">
      <c r="A3112" s="3" t="inlineStr">
        <is>
          <t>PushOffDrive</t>
        </is>
      </c>
      <c r="B3112" s="3" t="inlineStr">
        <is>
          <t>Act_POD_1020401_144021_619</t>
        </is>
      </c>
      <c r="C3112" s="3" t="inlineStr">
        <is>
          <t>1020401</t>
        </is>
      </c>
      <c r="D3112" s="9" t="n">
        <v>398</v>
      </c>
      <c r="E3112" s="3" t="inlineStr">
        <is>
          <t>703</t>
        </is>
      </c>
      <c r="F3112" s="3" t="inlineStr">
        <is>
          <t>619</t>
        </is>
      </c>
      <c r="G3112" s="9" t="n">
        <v>459.96</v>
      </c>
      <c r="H3112" s="10" t="n">
        <v>45678.61135416666</v>
      </c>
      <c r="I3112" s="10" t="n">
        <v>45678.61135416666</v>
      </c>
      <c r="J3112" s="10" t="n">
        <v>45678.61420138889</v>
      </c>
      <c r="K3112" s="11" t="n">
        <v>0.002847222222222222</v>
      </c>
      <c r="L3112" s="13" t="n"/>
    </row>
    <row r="3113">
      <c r="A3113" s="3" t="inlineStr">
        <is>
          <t>PushOffDrive</t>
        </is>
      </c>
      <c r="B3113" s="3" t="inlineStr">
        <is>
          <t>Act_POD_1020501_150227_617</t>
        </is>
      </c>
      <c r="C3113" s="3" t="inlineStr">
        <is>
          <t>1020501</t>
        </is>
      </c>
      <c r="D3113" s="9" t="n">
        <v>19.9</v>
      </c>
      <c r="E3113" s="3" t="inlineStr">
        <is>
          <t>727</t>
        </is>
      </c>
      <c r="F3113" s="3" t="inlineStr">
        <is>
          <t>617</t>
        </is>
      </c>
      <c r="G3113" s="9" t="n">
        <v>292.28</v>
      </c>
      <c r="H3113" s="10" t="n">
        <v>45678.62670138889</v>
      </c>
      <c r="I3113" s="10" t="n">
        <v>45678.62670138889</v>
      </c>
      <c r="J3113" s="10" t="n">
        <v>45678.62796296296</v>
      </c>
      <c r="K3113" s="11" t="n">
        <v>0.001261574074074074</v>
      </c>
      <c r="L3113" s="13" t="n"/>
    </row>
    <row r="3114">
      <c r="A3114" s="3" t="inlineStr">
        <is>
          <t>PushOffDrive</t>
        </is>
      </c>
      <c r="B3114" s="3" t="inlineStr">
        <is>
          <t>Act_POD_1020502_150416_609</t>
        </is>
      </c>
      <c r="C3114" s="3" t="inlineStr">
        <is>
          <t>1020502</t>
        </is>
      </c>
      <c r="D3114" s="9" t="n">
        <v>19.9</v>
      </c>
      <c r="E3114" s="3" t="inlineStr">
        <is>
          <t>727</t>
        </is>
      </c>
      <c r="F3114" s="3" t="inlineStr">
        <is>
          <t>609</t>
        </is>
      </c>
      <c r="G3114" s="9" t="n">
        <v>344.04</v>
      </c>
      <c r="H3114" s="10" t="n">
        <v>45678.62796296296</v>
      </c>
      <c r="I3114" s="10" t="n">
        <v>45678.62796296296</v>
      </c>
      <c r="J3114" s="10" t="n">
        <v>45678.62944444444</v>
      </c>
      <c r="K3114" s="11" t="n">
        <v>0.001481481481481481</v>
      </c>
      <c r="L3114" s="13" t="n"/>
    </row>
    <row r="3115">
      <c r="A3115" s="3" t="inlineStr">
        <is>
          <t>PushOffDrive</t>
        </is>
      </c>
      <c r="B3115" s="3" t="inlineStr">
        <is>
          <t>Act_POD_1020503_150624_623</t>
        </is>
      </c>
      <c r="C3115" s="3" t="inlineStr">
        <is>
          <t>1020503</t>
        </is>
      </c>
      <c r="D3115" s="9" t="n">
        <v>15.7</v>
      </c>
      <c r="E3115" s="3" t="inlineStr">
        <is>
          <t>727</t>
        </is>
      </c>
      <c r="F3115" s="3" t="inlineStr">
        <is>
          <t>623</t>
        </is>
      </c>
      <c r="G3115" s="9" t="n">
        <v>405.22</v>
      </c>
      <c r="H3115" s="10" t="n">
        <v>45678.62944444444</v>
      </c>
      <c r="I3115" s="10" t="n">
        <v>45678.62944444444</v>
      </c>
      <c r="J3115" s="10" t="n">
        <v>45678.63116898148</v>
      </c>
      <c r="K3115" s="11" t="n">
        <v>0.001724537037037037</v>
      </c>
      <c r="L3115" s="13" t="n"/>
    </row>
    <row r="3116">
      <c r="A3116" s="3" t="inlineStr">
        <is>
          <t>PushOffDrive</t>
        </is>
      </c>
      <c r="B3116" s="3" t="inlineStr">
        <is>
          <t>Act_POD_1020504_150853_615</t>
        </is>
      </c>
      <c r="C3116" s="3" t="inlineStr">
        <is>
          <t>1020504</t>
        </is>
      </c>
      <c r="D3116" s="9" t="n">
        <v>173.3</v>
      </c>
      <c r="E3116" s="3" t="inlineStr">
        <is>
          <t>727</t>
        </is>
      </c>
      <c r="F3116" s="3" t="inlineStr">
        <is>
          <t>615</t>
        </is>
      </c>
      <c r="G3116" s="9" t="n">
        <v>263.09</v>
      </c>
      <c r="H3116" s="10" t="n">
        <v>45678.63116898148</v>
      </c>
      <c r="I3116" s="10" t="n">
        <v>45678.63116898148</v>
      </c>
      <c r="J3116" s="10" t="n">
        <v>45678.63266203704</v>
      </c>
      <c r="K3116" s="11" t="n">
        <v>0.001493055555555556</v>
      </c>
      <c r="L3116" s="13" t="n"/>
    </row>
    <row r="3117">
      <c r="A3117" s="3" t="inlineStr">
        <is>
          <t>PushOffDrive</t>
        </is>
      </c>
      <c r="B3117" s="3" t="inlineStr">
        <is>
          <t>Act_POD_1020505_151102_623</t>
        </is>
      </c>
      <c r="C3117" s="3" t="inlineStr">
        <is>
          <t>1020505</t>
        </is>
      </c>
      <c r="D3117" s="9" t="n">
        <v>108</v>
      </c>
      <c r="E3117" s="3" t="inlineStr">
        <is>
          <t>727</t>
        </is>
      </c>
      <c r="F3117" s="3" t="inlineStr">
        <is>
          <t>623</t>
        </is>
      </c>
      <c r="G3117" s="9" t="n">
        <v>405.22</v>
      </c>
      <c r="H3117" s="10" t="n">
        <v>45678.63266203704</v>
      </c>
      <c r="I3117" s="10" t="n">
        <v>45678.63266203704</v>
      </c>
      <c r="J3117" s="10" t="n">
        <v>45678.63460648148</v>
      </c>
      <c r="K3117" s="11" t="n">
        <v>0.001944444444444444</v>
      </c>
      <c r="L3117" s="13" t="n"/>
    </row>
    <row r="3118">
      <c r="A3118" s="3" t="inlineStr">
        <is>
          <t>PushOffDrive</t>
        </is>
      </c>
      <c r="B3118" s="3" t="inlineStr">
        <is>
          <t>Act_POD_1020506_151350_629</t>
        </is>
      </c>
      <c r="C3118" s="3" t="inlineStr">
        <is>
          <t>1020506</t>
        </is>
      </c>
      <c r="D3118" s="9" t="n">
        <v>15.7</v>
      </c>
      <c r="E3118" s="3" t="inlineStr">
        <is>
          <t>727</t>
        </is>
      </c>
      <c r="F3118" s="3" t="inlineStr">
        <is>
          <t>629</t>
        </is>
      </c>
      <c r="G3118" s="9" t="n">
        <v>443.59</v>
      </c>
      <c r="H3118" s="10" t="n">
        <v>45678.63460648148</v>
      </c>
      <c r="I3118" s="10" t="n">
        <v>45678.63460648148</v>
      </c>
      <c r="J3118" s="10" t="n">
        <v>45678.63648148148</v>
      </c>
      <c r="K3118" s="11" t="n">
        <v>0.001875</v>
      </c>
      <c r="L3118" s="13" t="n"/>
    </row>
    <row r="3119">
      <c r="A3119" s="3" t="inlineStr">
        <is>
          <t>PushOffDrive</t>
        </is>
      </c>
      <c r="B3119" s="3" t="inlineStr">
        <is>
          <t>Act_POD_1020507_151632_607</t>
        </is>
      </c>
      <c r="C3119" s="3" t="inlineStr">
        <is>
          <t>1020507</t>
        </is>
      </c>
      <c r="D3119" s="9" t="n">
        <v>209.9</v>
      </c>
      <c r="E3119" s="3" t="inlineStr">
        <is>
          <t>727</t>
        </is>
      </c>
      <c r="F3119" s="3" t="inlineStr">
        <is>
          <t>607</t>
        </is>
      </c>
      <c r="G3119" s="9" t="n">
        <v>371.57</v>
      </c>
      <c r="H3119" s="10" t="n">
        <v>45678.63648148148</v>
      </c>
      <c r="I3119" s="10" t="n">
        <v>45678.63648148148</v>
      </c>
      <c r="J3119" s="10" t="n">
        <v>45678.63851851852</v>
      </c>
      <c r="K3119" s="11" t="n">
        <v>0.002037037037037037</v>
      </c>
      <c r="L3119" s="13" t="n"/>
    </row>
    <row r="3120">
      <c r="A3120" s="3" t="inlineStr">
        <is>
          <t>PushOffDrive</t>
        </is>
      </c>
      <c r="B3120" s="3" t="inlineStr">
        <is>
          <t>Act_POD_1020508_151928_605</t>
        </is>
      </c>
      <c r="C3120" s="3" t="inlineStr">
        <is>
          <t>1020508</t>
        </is>
      </c>
      <c r="D3120" s="9" t="n">
        <v>19.9</v>
      </c>
      <c r="E3120" s="3" t="inlineStr">
        <is>
          <t>727</t>
        </is>
      </c>
      <c r="F3120" s="3" t="inlineStr">
        <is>
          <t>605</t>
        </is>
      </c>
      <c r="G3120" s="9" t="n">
        <v>398.6</v>
      </c>
      <c r="H3120" s="10" t="n">
        <v>45678.63851851852</v>
      </c>
      <c r="I3120" s="10" t="n">
        <v>45678.63851851852</v>
      </c>
      <c r="J3120" s="10" t="n">
        <v>45678.64023148148</v>
      </c>
      <c r="K3120" s="11" t="n">
        <v>0.001712962962962963</v>
      </c>
      <c r="L3120" s="13" t="n"/>
    </row>
    <row r="3121">
      <c r="A3121" s="3" t="inlineStr">
        <is>
          <t>PushOffDrive</t>
        </is>
      </c>
      <c r="B3121" s="3" t="inlineStr">
        <is>
          <t>Act_POD_1020601_152311_619</t>
        </is>
      </c>
      <c r="C3121" s="3" t="inlineStr">
        <is>
          <t>1020601</t>
        </is>
      </c>
      <c r="D3121" s="9" t="n">
        <v>125.9</v>
      </c>
      <c r="E3121" s="3" t="inlineStr">
        <is>
          <t>703</t>
        </is>
      </c>
      <c r="F3121" s="3" t="inlineStr">
        <is>
          <t>619</t>
        </is>
      </c>
      <c r="G3121" s="9" t="n">
        <v>459.96</v>
      </c>
      <c r="H3121" s="10" t="n">
        <v>45678.64109953704</v>
      </c>
      <c r="I3121" s="10" t="n">
        <v>45678.64109953704</v>
      </c>
      <c r="J3121" s="10" t="n">
        <v>45678.64329861111</v>
      </c>
      <c r="K3121" s="11" t="n">
        <v>0.002199074074074074</v>
      </c>
      <c r="L3121" s="13" t="n"/>
    </row>
    <row r="3122">
      <c r="A3122" s="3" t="inlineStr">
        <is>
          <t>PushOffDrive</t>
        </is>
      </c>
      <c r="B3122" s="3" t="inlineStr">
        <is>
          <t>Act_POD_1020701_210037_619</t>
        </is>
      </c>
      <c r="C3122" s="3" t="inlineStr">
        <is>
          <t>1020701</t>
        </is>
      </c>
      <c r="D3122" s="9" t="n">
        <v>187.4</v>
      </c>
      <c r="E3122" s="3" t="inlineStr">
        <is>
          <t>703</t>
        </is>
      </c>
      <c r="F3122" s="3" t="inlineStr">
        <is>
          <t>619</t>
        </is>
      </c>
      <c r="G3122" s="9" t="n">
        <v>459.96</v>
      </c>
      <c r="H3122" s="10" t="n">
        <v>45678.87542824074</v>
      </c>
      <c r="I3122" s="10" t="n">
        <v>45678.87542824074</v>
      </c>
      <c r="J3122" s="10" t="n">
        <v>45678.87777777778</v>
      </c>
      <c r="K3122" s="11" t="n">
        <v>0.002349537037037037</v>
      </c>
      <c r="L3122" s="13" t="n"/>
    </row>
    <row r="3123">
      <c r="A3123" s="3" t="inlineStr">
        <is>
          <t>PushOffDrive</t>
        </is>
      </c>
      <c r="B3123" s="3" t="inlineStr">
        <is>
          <t>Act_POD_1020801_024456_615</t>
        </is>
      </c>
      <c r="C3123" s="3" t="inlineStr">
        <is>
          <t>1020801</t>
        </is>
      </c>
      <c r="D3123" s="9" t="n">
        <v>74.59999999999999</v>
      </c>
      <c r="E3123" s="3" t="inlineStr">
        <is>
          <t>703</t>
        </is>
      </c>
      <c r="F3123" s="3" t="inlineStr">
        <is>
          <t>615</t>
        </is>
      </c>
      <c r="G3123" s="9" t="n">
        <v>269.92</v>
      </c>
      <c r="H3123" s="10" t="n">
        <v>45679.11453703704</v>
      </c>
      <c r="I3123" s="10" t="n">
        <v>45679.11453703704</v>
      </c>
      <c r="J3123" s="10" t="n">
        <v>45679.11583333334</v>
      </c>
      <c r="K3123" s="11" t="n">
        <v>0.001296296296296296</v>
      </c>
      <c r="L3123" s="13" t="n"/>
    </row>
    <row r="3124">
      <c r="A3124" s="3" t="inlineStr">
        <is>
          <t>PushOffDrive</t>
        </is>
      </c>
      <c r="B3124" s="3" t="inlineStr">
        <is>
          <t>Act_POD_1020802_024648_615</t>
        </is>
      </c>
      <c r="C3124" s="3" t="inlineStr">
        <is>
          <t>1020802</t>
        </is>
      </c>
      <c r="D3124" s="9" t="n">
        <v>144.8</v>
      </c>
      <c r="E3124" s="3" t="inlineStr">
        <is>
          <t>703</t>
        </is>
      </c>
      <c r="F3124" s="3" t="inlineStr">
        <is>
          <t>615</t>
        </is>
      </c>
      <c r="G3124" s="9" t="n">
        <v>269.92</v>
      </c>
      <c r="H3124" s="10" t="n">
        <v>45679.11583333334</v>
      </c>
      <c r="I3124" s="10" t="n">
        <v>45679.11583333334</v>
      </c>
      <c r="J3124" s="10" t="n">
        <v>45679.11729166667</v>
      </c>
      <c r="K3124" s="11" t="n">
        <v>0.001458333333333333</v>
      </c>
      <c r="L3124" s="13" t="n"/>
    </row>
    <row r="3125">
      <c r="A3125" s="3" t="inlineStr">
        <is>
          <t>PushOffDrive</t>
        </is>
      </c>
      <c r="B3125" s="3" t="inlineStr">
        <is>
          <t>Act_POD_1020803_024854_627</t>
        </is>
      </c>
      <c r="C3125" s="3" t="inlineStr">
        <is>
          <t>1020803</t>
        </is>
      </c>
      <c r="D3125" s="9" t="n">
        <v>47.2</v>
      </c>
      <c r="E3125" s="3" t="inlineStr">
        <is>
          <t>703</t>
        </is>
      </c>
      <c r="F3125" s="3" t="inlineStr">
        <is>
          <t>627</t>
        </is>
      </c>
      <c r="G3125" s="9" t="n">
        <v>450.42</v>
      </c>
      <c r="H3125" s="10" t="n">
        <v>45679.11729166667</v>
      </c>
      <c r="I3125" s="10" t="n">
        <v>45679.11729166667</v>
      </c>
      <c r="J3125" s="10" t="n">
        <v>45679.11928240741</v>
      </c>
      <c r="K3125" s="11" t="n">
        <v>0.001990740740740741</v>
      </c>
      <c r="L3125" s="13" t="n"/>
    </row>
    <row r="3126">
      <c r="A3126" s="3" t="inlineStr">
        <is>
          <t>PushOffDrive</t>
        </is>
      </c>
      <c r="B3126" s="3" t="inlineStr">
        <is>
          <t>Act_POD_1020804_025146_621</t>
        </is>
      </c>
      <c r="C3126" s="3" t="inlineStr">
        <is>
          <t>1020804</t>
        </is>
      </c>
      <c r="D3126" s="9" t="n">
        <v>31.9</v>
      </c>
      <c r="E3126" s="3" t="inlineStr">
        <is>
          <t>703</t>
        </is>
      </c>
      <c r="F3126" s="3" t="inlineStr">
        <is>
          <t>621</t>
        </is>
      </c>
      <c r="G3126" s="9" t="n">
        <v>459.96</v>
      </c>
      <c r="H3126" s="10" t="n">
        <v>45679.11928240741</v>
      </c>
      <c r="I3126" s="10" t="n">
        <v>45679.11928240741</v>
      </c>
      <c r="J3126" s="10" t="n">
        <v>45679.12127314815</v>
      </c>
      <c r="K3126" s="11" t="n">
        <v>0.001990740740740741</v>
      </c>
      <c r="L3126" s="13" t="n"/>
    </row>
    <row r="3127">
      <c r="A3127" s="3" t="inlineStr">
        <is>
          <t>PushOffDrive</t>
        </is>
      </c>
      <c r="B3127" s="3" t="inlineStr">
        <is>
          <t>Act_POD_1020901_044625_625</t>
        </is>
      </c>
      <c r="C3127" s="3" t="inlineStr">
        <is>
          <t>1020901</t>
        </is>
      </c>
      <c r="D3127" s="9" t="n">
        <v>366.6</v>
      </c>
      <c r="E3127" s="3" t="inlineStr">
        <is>
          <t>703</t>
        </is>
      </c>
      <c r="F3127" s="3" t="inlineStr">
        <is>
          <t>625</t>
        </is>
      </c>
      <c r="G3127" s="9" t="n">
        <v>477.75</v>
      </c>
      <c r="H3127" s="10" t="n">
        <v>45679.19890046296</v>
      </c>
      <c r="I3127" s="10" t="n">
        <v>45679.19890046296</v>
      </c>
      <c r="J3127" s="10" t="n">
        <v>45679.20173611111</v>
      </c>
      <c r="K3127" s="11" t="n">
        <v>0.002835648148148148</v>
      </c>
      <c r="L3127" s="13" t="n"/>
    </row>
    <row r="3128">
      <c r="A3128" s="3" t="inlineStr">
        <is>
          <t>PushOffDrive</t>
        </is>
      </c>
      <c r="B3128" s="3" t="inlineStr">
        <is>
          <t>Act_POD_1021001_063237_619</t>
        </is>
      </c>
      <c r="C3128" s="3" t="inlineStr">
        <is>
          <t>1021001</t>
        </is>
      </c>
      <c r="D3128" s="9" t="n">
        <v>291.7</v>
      </c>
      <c r="E3128" s="3" t="inlineStr">
        <is>
          <t>703</t>
        </is>
      </c>
      <c r="F3128" s="3" t="inlineStr">
        <is>
          <t>619</t>
        </is>
      </c>
      <c r="G3128" s="9" t="n">
        <v>459.96</v>
      </c>
      <c r="H3128" s="10" t="n">
        <v>45679.27265046296</v>
      </c>
      <c r="I3128" s="10" t="n">
        <v>45679.27265046296</v>
      </c>
      <c r="J3128" s="10" t="n">
        <v>45679.27524305556</v>
      </c>
      <c r="K3128" s="11" t="n">
        <v>0.002592592592592593</v>
      </c>
      <c r="L3128" s="13" t="n"/>
    </row>
    <row r="3129">
      <c r="A3129" s="3" t="inlineStr">
        <is>
          <t>PushOffDrive</t>
        </is>
      </c>
      <c r="B3129" s="3" t="inlineStr">
        <is>
          <t>Act_POD_1021101_071518_611</t>
        </is>
      </c>
      <c r="C3129" s="3" t="inlineStr">
        <is>
          <t>1021101</t>
        </is>
      </c>
      <c r="D3129" s="9" t="n">
        <v>81</v>
      </c>
      <c r="E3129" s="3" t="inlineStr">
        <is>
          <t>703</t>
        </is>
      </c>
      <c r="F3129" s="3" t="inlineStr">
        <is>
          <t>611</t>
        </is>
      </c>
      <c r="G3129" s="9" t="n">
        <v>324.35</v>
      </c>
      <c r="H3129" s="10" t="n">
        <v>45679.30229166667</v>
      </c>
      <c r="I3129" s="10" t="n">
        <v>45679.30229166667</v>
      </c>
      <c r="J3129" s="10" t="n">
        <v>45679.30383101852</v>
      </c>
      <c r="K3129" s="11" t="n">
        <v>0.001539351851851852</v>
      </c>
      <c r="L3129" s="13" t="n"/>
    </row>
    <row r="3130">
      <c r="A3130" s="3" t="inlineStr">
        <is>
          <t>PushOffDrive</t>
        </is>
      </c>
      <c r="B3130" s="3" t="inlineStr">
        <is>
          <t>Act_POD_1021102_071731_621</t>
        </is>
      </c>
      <c r="C3130" s="3" t="inlineStr">
        <is>
          <t>1021102</t>
        </is>
      </c>
      <c r="D3130" s="9" t="n">
        <v>19.9</v>
      </c>
      <c r="E3130" s="3" t="inlineStr">
        <is>
          <t>703</t>
        </is>
      </c>
      <c r="F3130" s="3" t="inlineStr">
        <is>
          <t>621</t>
        </is>
      </c>
      <c r="G3130" s="9" t="n">
        <v>459.96</v>
      </c>
      <c r="H3130" s="10" t="n">
        <v>45679.30383101852</v>
      </c>
      <c r="I3130" s="10" t="n">
        <v>45679.30383101852</v>
      </c>
      <c r="J3130" s="10" t="n">
        <v>45679.30578703704</v>
      </c>
      <c r="K3130" s="11" t="n">
        <v>0.001956018518518518</v>
      </c>
      <c r="L3130" s="13" t="n"/>
    </row>
    <row r="3131">
      <c r="A3131" s="3" t="inlineStr">
        <is>
          <t>PushOffDrive</t>
        </is>
      </c>
      <c r="B3131" s="3" t="inlineStr">
        <is>
          <t>Act_POD_1021103_072020_607</t>
        </is>
      </c>
      <c r="C3131" s="3" t="inlineStr">
        <is>
          <t>1021103</t>
        </is>
      </c>
      <c r="D3131" s="9" t="n">
        <v>15.7</v>
      </c>
      <c r="E3131" s="3" t="inlineStr">
        <is>
          <t>703</t>
        </is>
      </c>
      <c r="F3131" s="3" t="inlineStr">
        <is>
          <t>607</t>
        </is>
      </c>
      <c r="G3131" s="9" t="n">
        <v>378.4</v>
      </c>
      <c r="H3131" s="10" t="n">
        <v>45679.30578703704</v>
      </c>
      <c r="I3131" s="10" t="n">
        <v>45679.30578703704</v>
      </c>
      <c r="J3131" s="10" t="n">
        <v>45679.30740740741</v>
      </c>
      <c r="K3131" s="11" t="n">
        <v>0.00162037037037037</v>
      </c>
      <c r="L3131" s="13" t="n"/>
    </row>
    <row r="3132">
      <c r="A3132" s="3" t="inlineStr">
        <is>
          <t>PushOffDrive</t>
        </is>
      </c>
      <c r="B3132" s="3" t="inlineStr">
        <is>
          <t>Act_POD_1021104_072240_629</t>
        </is>
      </c>
      <c r="C3132" s="3" t="inlineStr">
        <is>
          <t>1021104</t>
        </is>
      </c>
      <c r="D3132" s="9" t="n">
        <v>19.9</v>
      </c>
      <c r="E3132" s="3" t="inlineStr">
        <is>
          <t>703</t>
        </is>
      </c>
      <c r="F3132" s="3" t="inlineStr">
        <is>
          <t>629</t>
        </is>
      </c>
      <c r="G3132" s="9" t="n">
        <v>450.42</v>
      </c>
      <c r="H3132" s="10" t="n">
        <v>45679.30740740741</v>
      </c>
      <c r="I3132" s="10" t="n">
        <v>45679.30740740741</v>
      </c>
      <c r="J3132" s="10" t="n">
        <v>45679.3093287037</v>
      </c>
      <c r="K3132" s="11" t="n">
        <v>0.001921296296296296</v>
      </c>
      <c r="L3132" s="13" t="n"/>
    </row>
    <row r="3133">
      <c r="A3133" s="3" t="inlineStr">
        <is>
          <t>PushOffDrive</t>
        </is>
      </c>
      <c r="B3133" s="3" t="inlineStr">
        <is>
          <t>Act_POD_1021105_072526_605</t>
        </is>
      </c>
      <c r="C3133" s="3" t="inlineStr">
        <is>
          <t>1021105</t>
        </is>
      </c>
      <c r="D3133" s="9" t="n">
        <v>19.9</v>
      </c>
      <c r="E3133" s="3" t="inlineStr">
        <is>
          <t>703</t>
        </is>
      </c>
      <c r="F3133" s="3" t="inlineStr">
        <is>
          <t>605</t>
        </is>
      </c>
      <c r="G3133" s="9" t="n">
        <v>405.43</v>
      </c>
      <c r="H3133" s="10" t="n">
        <v>45679.3093287037</v>
      </c>
      <c r="I3133" s="10" t="n">
        <v>45679.3093287037</v>
      </c>
      <c r="J3133" s="10" t="n">
        <v>45679.31106481481</v>
      </c>
      <c r="K3133" s="11" t="n">
        <v>0.001736111111111111</v>
      </c>
      <c r="L3133" s="13" t="n"/>
    </row>
    <row r="3134">
      <c r="A3134" s="3" t="inlineStr">
        <is>
          <t>PushOffDrive</t>
        </is>
      </c>
      <c r="B3134" s="3" t="inlineStr">
        <is>
          <t>Act_POD_1021106_072756_621</t>
        </is>
      </c>
      <c r="C3134" s="3" t="inlineStr">
        <is>
          <t>1021106</t>
        </is>
      </c>
      <c r="D3134" s="9" t="n">
        <v>21</v>
      </c>
      <c r="E3134" s="3" t="inlineStr">
        <is>
          <t>703</t>
        </is>
      </c>
      <c r="F3134" s="3" t="inlineStr">
        <is>
          <t>621</t>
        </is>
      </c>
      <c r="G3134" s="9" t="n">
        <v>459.96</v>
      </c>
      <c r="H3134" s="10" t="n">
        <v>45679.31106481481</v>
      </c>
      <c r="I3134" s="10" t="n">
        <v>45679.31106481481</v>
      </c>
      <c r="J3134" s="10" t="n">
        <v>45679.31303240741</v>
      </c>
      <c r="K3134" s="11" t="n">
        <v>0.001967592592592592</v>
      </c>
      <c r="L3134" s="13" t="n"/>
    </row>
    <row r="3135">
      <c r="A3135" s="3" t="inlineStr">
        <is>
          <t>PushOffDrive</t>
        </is>
      </c>
      <c r="B3135" s="3" t="inlineStr">
        <is>
          <t>Act_POD_1021107_073046_625</t>
        </is>
      </c>
      <c r="C3135" s="3" t="inlineStr">
        <is>
          <t>1021107</t>
        </is>
      </c>
      <c r="D3135" s="9" t="n">
        <v>15.7</v>
      </c>
      <c r="E3135" s="3" t="inlineStr">
        <is>
          <t>703</t>
        </is>
      </c>
      <c r="F3135" s="3" t="inlineStr">
        <is>
          <t>625</t>
        </is>
      </c>
      <c r="G3135" s="9" t="n">
        <v>477.75</v>
      </c>
      <c r="H3135" s="10" t="n">
        <v>45679.31303240741</v>
      </c>
      <c r="I3135" s="10" t="n">
        <v>45679.31303240741</v>
      </c>
      <c r="J3135" s="10" t="n">
        <v>45679.31505787037</v>
      </c>
      <c r="K3135" s="11" t="n">
        <v>0.002025462962962963</v>
      </c>
      <c r="L3135" s="13" t="n"/>
    </row>
    <row r="3136">
      <c r="A3136" s="3" t="inlineStr">
        <is>
          <t>PushOffDrive</t>
        </is>
      </c>
      <c r="B3136" s="3" t="inlineStr">
        <is>
          <t>Act_POD_1021109_073341_629</t>
        </is>
      </c>
      <c r="C3136" s="3" t="inlineStr">
        <is>
          <t>1021109</t>
        </is>
      </c>
      <c r="D3136" s="9" t="n">
        <v>23.2</v>
      </c>
      <c r="E3136" s="3" t="inlineStr">
        <is>
          <t>703</t>
        </is>
      </c>
      <c r="F3136" s="3" t="inlineStr">
        <is>
          <t>629</t>
        </is>
      </c>
      <c r="G3136" s="9" t="n">
        <v>450.42</v>
      </c>
      <c r="H3136" s="10" t="n">
        <v>45679.31505787037</v>
      </c>
      <c r="I3136" s="10" t="n">
        <v>45679.31505787037</v>
      </c>
      <c r="J3136" s="10" t="n">
        <v>45679.31699074074</v>
      </c>
      <c r="K3136" s="11" t="n">
        <v>0.00193287037037037</v>
      </c>
      <c r="L3136" s="13" t="n"/>
    </row>
    <row r="3137">
      <c r="A3137" s="3" t="inlineStr">
        <is>
          <t>PushOffDrive</t>
        </is>
      </c>
      <c r="B3137" s="3" t="inlineStr">
        <is>
          <t>Act_POD_1021110_073628_625</t>
        </is>
      </c>
      <c r="C3137" s="3" t="inlineStr">
        <is>
          <t>1021110</t>
        </is>
      </c>
      <c r="D3137" s="9" t="n">
        <v>15.7</v>
      </c>
      <c r="E3137" s="3" t="inlineStr">
        <is>
          <t>703</t>
        </is>
      </c>
      <c r="F3137" s="3" t="inlineStr">
        <is>
          <t>625</t>
        </is>
      </c>
      <c r="G3137" s="9" t="n">
        <v>477.75</v>
      </c>
      <c r="H3137" s="10" t="n">
        <v>45679.31699074074</v>
      </c>
      <c r="I3137" s="10" t="n">
        <v>45679.31699074074</v>
      </c>
      <c r="J3137" s="10" t="n">
        <v>45679.31901620371</v>
      </c>
      <c r="K3137" s="11" t="n">
        <v>0.002025462962962963</v>
      </c>
      <c r="L3137" s="13" t="n"/>
    </row>
    <row r="3138">
      <c r="A3138" s="3" t="inlineStr">
        <is>
          <t>PushOffDrive</t>
        </is>
      </c>
      <c r="B3138" s="3" t="inlineStr">
        <is>
          <t>Act_POD_1021111_073923_623</t>
        </is>
      </c>
      <c r="C3138" s="3" t="inlineStr">
        <is>
          <t>1021111</t>
        </is>
      </c>
      <c r="D3138" s="9" t="n">
        <v>15.7</v>
      </c>
      <c r="E3138" s="3" t="inlineStr">
        <is>
          <t>703</t>
        </is>
      </c>
      <c r="F3138" s="3" t="inlineStr">
        <is>
          <t>623</t>
        </is>
      </c>
      <c r="G3138" s="9" t="n">
        <v>412.05</v>
      </c>
      <c r="H3138" s="10" t="n">
        <v>45679.31901620371</v>
      </c>
      <c r="I3138" s="10" t="n">
        <v>45679.31901620371</v>
      </c>
      <c r="J3138" s="10" t="n">
        <v>45679.32076388889</v>
      </c>
      <c r="K3138" s="11" t="n">
        <v>0.001747685185185185</v>
      </c>
      <c r="L3138" s="13" t="n"/>
    </row>
    <row r="3139">
      <c r="A3139" s="3" t="inlineStr">
        <is>
          <t>PushOffDrive</t>
        </is>
      </c>
      <c r="B3139" s="3" t="inlineStr">
        <is>
          <t>Act_POD_1021401_083550_615</t>
        </is>
      </c>
      <c r="C3139" s="3" t="inlineStr">
        <is>
          <t>1021401</t>
        </is>
      </c>
      <c r="D3139" s="9" t="n">
        <v>114.8</v>
      </c>
      <c r="E3139" s="3" t="inlineStr">
        <is>
          <t>703</t>
        </is>
      </c>
      <c r="F3139" s="3" t="inlineStr">
        <is>
          <t>615</t>
        </is>
      </c>
      <c r="G3139" s="9" t="n">
        <v>269.92</v>
      </c>
      <c r="H3139" s="10" t="n">
        <v>45679.35821759259</v>
      </c>
      <c r="I3139" s="10" t="n">
        <v>45679.35821759259</v>
      </c>
      <c r="J3139" s="10" t="n">
        <v>45679.35960648148</v>
      </c>
      <c r="K3139" s="11" t="n">
        <v>0.001388888888888889</v>
      </c>
      <c r="L3139" s="13" t="n"/>
    </row>
    <row r="3140">
      <c r="A3140" s="3" t="inlineStr">
        <is>
          <t>PushOffDrive</t>
        </is>
      </c>
      <c r="B3140" s="3" t="inlineStr">
        <is>
          <t>Act_POD_1021402_083750_615</t>
        </is>
      </c>
      <c r="C3140" s="3" t="inlineStr">
        <is>
          <t>1021402</t>
        </is>
      </c>
      <c r="D3140" s="9" t="n">
        <v>216.4</v>
      </c>
      <c r="E3140" s="3" t="inlineStr">
        <is>
          <t>703</t>
        </is>
      </c>
      <c r="F3140" s="3" t="inlineStr">
        <is>
          <t>615</t>
        </is>
      </c>
      <c r="G3140" s="9" t="n">
        <v>269.92</v>
      </c>
      <c r="H3140" s="10" t="n">
        <v>45679.35960648148</v>
      </c>
      <c r="I3140" s="10" t="n">
        <v>45679.35960648148</v>
      </c>
      <c r="J3140" s="10" t="n">
        <v>45679.36122685186</v>
      </c>
      <c r="K3140" s="11" t="n">
        <v>0.00162037037037037</v>
      </c>
      <c r="L3140" s="13" t="n"/>
    </row>
    <row r="3141">
      <c r="A3141" s="3" t="inlineStr">
        <is>
          <t>PushOffDrive</t>
        </is>
      </c>
      <c r="B3141" s="3" t="inlineStr">
        <is>
          <t>Act_POD_1021501_093622_629</t>
        </is>
      </c>
      <c r="C3141" s="3" t="inlineStr">
        <is>
          <t>1021501</t>
        </is>
      </c>
      <c r="D3141" s="9" t="n">
        <v>15.7</v>
      </c>
      <c r="E3141" s="3" t="inlineStr">
        <is>
          <t>703</t>
        </is>
      </c>
      <c r="F3141" s="3" t="inlineStr">
        <is>
          <t>629</t>
        </is>
      </c>
      <c r="G3141" s="9" t="n">
        <v>450.42</v>
      </c>
      <c r="H3141" s="10" t="n">
        <v>45679.40025462963</v>
      </c>
      <c r="I3141" s="10" t="n">
        <v>45679.40025462963</v>
      </c>
      <c r="J3141" s="10" t="n">
        <v>45679.40216435185</v>
      </c>
      <c r="K3141" s="11" t="n">
        <v>0.001909722222222222</v>
      </c>
      <c r="L3141" s="13" t="n"/>
    </row>
    <row r="3142">
      <c r="A3142" s="3" t="inlineStr">
        <is>
          <t>PushOffDrive</t>
        </is>
      </c>
      <c r="B3142" s="3" t="inlineStr">
        <is>
          <t>Act_POD_1021502_093907_627</t>
        </is>
      </c>
      <c r="C3142" s="3" t="inlineStr">
        <is>
          <t>1021502</t>
        </is>
      </c>
      <c r="D3142" s="9" t="n">
        <v>179.2</v>
      </c>
      <c r="E3142" s="3" t="inlineStr">
        <is>
          <t>703</t>
        </is>
      </c>
      <c r="F3142" s="3" t="inlineStr">
        <is>
          <t>627</t>
        </is>
      </c>
      <c r="G3142" s="9" t="n">
        <v>450.42</v>
      </c>
      <c r="H3142" s="10" t="n">
        <v>45679.40216435185</v>
      </c>
      <c r="I3142" s="10" t="n">
        <v>45679.40216435185</v>
      </c>
      <c r="J3142" s="10" t="n">
        <v>45679.40445601852</v>
      </c>
      <c r="K3142" s="11" t="n">
        <v>0.002291666666666667</v>
      </c>
      <c r="L3142" s="13" t="n"/>
    </row>
    <row r="3143">
      <c r="A3143" s="3" t="inlineStr">
        <is>
          <t>PushOffDrive</t>
        </is>
      </c>
      <c r="B3143" s="3" t="inlineStr">
        <is>
          <t>Act_POD_1021503_094225_621</t>
        </is>
      </c>
      <c r="C3143" s="3" t="inlineStr">
        <is>
          <t>1021503</t>
        </is>
      </c>
      <c r="D3143" s="9" t="n">
        <v>61.9</v>
      </c>
      <c r="E3143" s="3" t="inlineStr">
        <is>
          <t>703</t>
        </is>
      </c>
      <c r="F3143" s="3" t="inlineStr">
        <is>
          <t>621</t>
        </is>
      </c>
      <c r="G3143" s="9" t="n">
        <v>459.96</v>
      </c>
      <c r="H3143" s="10" t="n">
        <v>45679.40445601852</v>
      </c>
      <c r="I3143" s="10" t="n">
        <v>45679.40445601852</v>
      </c>
      <c r="J3143" s="10" t="n">
        <v>45679.4065162037</v>
      </c>
      <c r="K3143" s="11" t="n">
        <v>0.002060185185185185</v>
      </c>
      <c r="L3143" s="13" t="n"/>
    </row>
    <row r="3144">
      <c r="A3144" s="3" t="inlineStr">
        <is>
          <t>PushOffDrive</t>
        </is>
      </c>
      <c r="B3144" s="3" t="inlineStr">
        <is>
          <t>Act_POD_1021504_094523_621</t>
        </is>
      </c>
      <c r="C3144" s="3" t="inlineStr">
        <is>
          <t>1021504</t>
        </is>
      </c>
      <c r="D3144" s="9" t="n">
        <v>12</v>
      </c>
      <c r="E3144" s="3" t="inlineStr">
        <is>
          <t>703</t>
        </is>
      </c>
      <c r="F3144" s="3" t="inlineStr">
        <is>
          <t>621</t>
        </is>
      </c>
      <c r="G3144" s="9" t="n">
        <v>459.96</v>
      </c>
      <c r="H3144" s="10" t="n">
        <v>45679.4065162037</v>
      </c>
      <c r="I3144" s="10" t="n">
        <v>45679.4065162037</v>
      </c>
      <c r="J3144" s="10" t="n">
        <v>45679.40846064815</v>
      </c>
      <c r="K3144" s="11" t="n">
        <v>0.001944444444444444</v>
      </c>
      <c r="L3144" s="13" t="n"/>
    </row>
    <row r="3145">
      <c r="A3145" s="3" t="inlineStr">
        <is>
          <t>PushOffDrive</t>
        </is>
      </c>
      <c r="B3145" s="3" t="inlineStr">
        <is>
          <t>Act_POD_1021505_094811_611</t>
        </is>
      </c>
      <c r="C3145" s="3" t="inlineStr">
        <is>
          <t>1021505</t>
        </is>
      </c>
      <c r="D3145" s="9" t="n">
        <v>27</v>
      </c>
      <c r="E3145" s="3" t="inlineStr">
        <is>
          <t>703</t>
        </is>
      </c>
      <c r="F3145" s="3" t="inlineStr">
        <is>
          <t>611</t>
        </is>
      </c>
      <c r="G3145" s="9" t="n">
        <v>324.35</v>
      </c>
      <c r="H3145" s="10" t="n">
        <v>45679.40846064815</v>
      </c>
      <c r="I3145" s="10" t="n">
        <v>45679.40846064815</v>
      </c>
      <c r="J3145" s="10" t="n">
        <v>45679.40987268519</v>
      </c>
      <c r="K3145" s="11" t="n">
        <v>0.001412037037037037</v>
      </c>
      <c r="L3145" s="13" t="n"/>
    </row>
    <row r="3146">
      <c r="A3146" s="3" t="inlineStr">
        <is>
          <t>PushOffDrive</t>
        </is>
      </c>
      <c r="B3146" s="3" t="inlineStr">
        <is>
          <t>Act_POD_1021506_095013_607</t>
        </is>
      </c>
      <c r="C3146" s="3" t="inlineStr">
        <is>
          <t>1021506</t>
        </is>
      </c>
      <c r="D3146" s="9" t="n">
        <v>15.7</v>
      </c>
      <c r="E3146" s="3" t="inlineStr">
        <is>
          <t>703</t>
        </is>
      </c>
      <c r="F3146" s="3" t="inlineStr">
        <is>
          <t>607</t>
        </is>
      </c>
      <c r="G3146" s="9" t="n">
        <v>378.4</v>
      </c>
      <c r="H3146" s="10" t="n">
        <v>45679.40987268519</v>
      </c>
      <c r="I3146" s="10" t="n">
        <v>45679.40987268519</v>
      </c>
      <c r="J3146" s="10" t="n">
        <v>45679.41148148148</v>
      </c>
      <c r="K3146" s="11" t="n">
        <v>0.001608796296296296</v>
      </c>
      <c r="L3146" s="13" t="n"/>
    </row>
    <row r="3147">
      <c r="A3147" s="3" t="inlineStr">
        <is>
          <t>PushOffDrive</t>
        </is>
      </c>
      <c r="B3147" s="3" t="inlineStr">
        <is>
          <t>Act_POD_1021507_095232_609</t>
        </is>
      </c>
      <c r="C3147" s="3" t="inlineStr">
        <is>
          <t>1021507</t>
        </is>
      </c>
      <c r="D3147" s="9" t="n">
        <v>19.9</v>
      </c>
      <c r="E3147" s="3" t="inlineStr">
        <is>
          <t>703</t>
        </is>
      </c>
      <c r="F3147" s="3" t="inlineStr">
        <is>
          <t>609</t>
        </is>
      </c>
      <c r="G3147" s="9" t="n">
        <v>350.87</v>
      </c>
      <c r="H3147" s="10" t="n">
        <v>45679.41148148148</v>
      </c>
      <c r="I3147" s="10" t="n">
        <v>45679.41148148148</v>
      </c>
      <c r="J3147" s="10" t="n">
        <v>45679.41299768518</v>
      </c>
      <c r="K3147" s="11" t="n">
        <v>0.001516203703703704</v>
      </c>
      <c r="L3147" s="13" t="n"/>
    </row>
    <row r="3148">
      <c r="A3148" s="3" t="inlineStr">
        <is>
          <t>PushOffDrive</t>
        </is>
      </c>
      <c r="B3148" s="3" t="inlineStr">
        <is>
          <t>Act_POD_1021508_095443_629</t>
        </is>
      </c>
      <c r="C3148" s="3" t="inlineStr">
        <is>
          <t>1021508</t>
        </is>
      </c>
      <c r="D3148" s="9" t="n">
        <v>73.90000000000001</v>
      </c>
      <c r="E3148" s="3" t="inlineStr">
        <is>
          <t>703</t>
        </is>
      </c>
      <c r="F3148" s="3" t="inlineStr">
        <is>
          <t>629</t>
        </is>
      </c>
      <c r="G3148" s="9" t="n">
        <v>450.42</v>
      </c>
      <c r="H3148" s="10" t="n">
        <v>45679.41299768518</v>
      </c>
      <c r="I3148" s="10" t="n">
        <v>45679.41299768518</v>
      </c>
      <c r="J3148" s="10" t="n">
        <v>45679.41504629629</v>
      </c>
      <c r="K3148" s="11" t="n">
        <v>0.002048611111111111</v>
      </c>
      <c r="L3148" s="13" t="n"/>
    </row>
    <row r="3149">
      <c r="A3149" s="3" t="inlineStr">
        <is>
          <t>PushOffDrive</t>
        </is>
      </c>
      <c r="B3149" s="3" t="inlineStr">
        <is>
          <t>Act_POD_1021509_095740_619</t>
        </is>
      </c>
      <c r="C3149" s="3" t="inlineStr">
        <is>
          <t>1021509</t>
        </is>
      </c>
      <c r="D3149" s="9" t="n">
        <v>56</v>
      </c>
      <c r="E3149" s="3" t="inlineStr">
        <is>
          <t>703</t>
        </is>
      </c>
      <c r="F3149" s="3" t="inlineStr">
        <is>
          <t>619</t>
        </is>
      </c>
      <c r="G3149" s="9" t="n">
        <v>459.96</v>
      </c>
      <c r="H3149" s="10" t="n">
        <v>45679.41504629629</v>
      </c>
      <c r="I3149" s="10" t="n">
        <v>45679.41504629629</v>
      </c>
      <c r="J3149" s="10" t="n">
        <v>45679.41708333333</v>
      </c>
      <c r="K3149" s="11" t="n">
        <v>0.002037037037037037</v>
      </c>
      <c r="L3149" s="13" t="n"/>
    </row>
    <row r="3150">
      <c r="A3150" s="3" t="inlineStr">
        <is>
          <t>PushOffDrive</t>
        </is>
      </c>
      <c r="B3150" s="3" t="inlineStr">
        <is>
          <t>Act_POD_1021510_100036_606</t>
        </is>
      </c>
      <c r="C3150" s="3" t="inlineStr">
        <is>
          <t>1021510</t>
        </is>
      </c>
      <c r="D3150" s="9" t="n">
        <v>53.8</v>
      </c>
      <c r="E3150" s="3" t="inlineStr">
        <is>
          <t>703</t>
        </is>
      </c>
      <c r="F3150" s="3" t="inlineStr">
        <is>
          <t>606</t>
        </is>
      </c>
      <c r="G3150" s="9" t="n">
        <v>405.03</v>
      </c>
      <c r="H3150" s="10" t="n">
        <v>45679.41708333333</v>
      </c>
      <c r="I3150" s="10" t="n">
        <v>45679.41708333333</v>
      </c>
      <c r="J3150" s="10" t="n">
        <v>45679.41890046297</v>
      </c>
      <c r="K3150" s="11" t="n">
        <v>0.00181712962962963</v>
      </c>
      <c r="L3150" s="13" t="n"/>
    </row>
    <row r="3151">
      <c r="A3151" s="3" t="inlineStr">
        <is>
          <t>PushOffDrive</t>
        </is>
      </c>
      <c r="B3151" s="3" t="inlineStr">
        <is>
          <t>Act_POD_1021601_103626_615</t>
        </is>
      </c>
      <c r="C3151" s="3" t="inlineStr">
        <is>
          <t>1021601</t>
        </is>
      </c>
      <c r="D3151" s="9" t="n">
        <v>446.2</v>
      </c>
      <c r="E3151" s="3" t="inlineStr">
        <is>
          <t>703</t>
        </is>
      </c>
      <c r="F3151" s="3" t="inlineStr">
        <is>
          <t>615</t>
        </is>
      </c>
      <c r="G3151" s="9" t="n">
        <v>269.92</v>
      </c>
      <c r="H3151" s="10" t="n">
        <v>45679.44196759259</v>
      </c>
      <c r="I3151" s="10" t="n">
        <v>45679.44196759259</v>
      </c>
      <c r="J3151" s="10" t="n">
        <v>45679.44413194444</v>
      </c>
      <c r="K3151" s="11" t="n">
        <v>0.002164351851851852</v>
      </c>
      <c r="L3151" s="13" t="n"/>
    </row>
    <row r="3152">
      <c r="A3152" s="3" t="inlineStr">
        <is>
          <t>PushOffDrive</t>
        </is>
      </c>
      <c r="B3152" s="3" t="inlineStr">
        <is>
          <t>Act_POD_1021701_130712_615</t>
        </is>
      </c>
      <c r="C3152" s="3" t="inlineStr">
        <is>
          <t>1021701</t>
        </is>
      </c>
      <c r="D3152" s="9" t="n">
        <v>33.9</v>
      </c>
      <c r="E3152" s="3" t="inlineStr">
        <is>
          <t>731</t>
        </is>
      </c>
      <c r="F3152" s="3" t="inlineStr">
        <is>
          <t>615</t>
        </is>
      </c>
      <c r="G3152" s="9" t="n">
        <v>354.81</v>
      </c>
      <c r="H3152" s="10" t="n">
        <v>45679.54666666667</v>
      </c>
      <c r="I3152" s="10" t="n">
        <v>45679.54666666667</v>
      </c>
      <c r="J3152" s="10" t="n">
        <v>45679.54821759259</v>
      </c>
      <c r="K3152" s="11" t="n">
        <v>0.001550925925925926</v>
      </c>
      <c r="L3152" s="13" t="n"/>
    </row>
    <row r="3153">
      <c r="A3153" s="3" t="inlineStr">
        <is>
          <t>PushOffDrive</t>
        </is>
      </c>
      <c r="B3153" s="3" t="inlineStr">
        <is>
          <t>Act_POD_1021801_151950_615</t>
        </is>
      </c>
      <c r="C3153" s="3" t="inlineStr">
        <is>
          <t>1021801</t>
        </is>
      </c>
      <c r="D3153" s="9" t="n">
        <v>63</v>
      </c>
      <c r="E3153" s="3" t="inlineStr">
        <is>
          <t>731</t>
        </is>
      </c>
      <c r="F3153" s="3" t="inlineStr">
        <is>
          <t>615</t>
        </is>
      </c>
      <c r="G3153" s="9" t="n">
        <v>354.81</v>
      </c>
      <c r="H3153" s="10" t="n">
        <v>45679.63877314814</v>
      </c>
      <c r="I3153" s="10" t="n">
        <v>45679.63877314814</v>
      </c>
      <c r="J3153" s="10" t="n">
        <v>45679.64039351852</v>
      </c>
      <c r="K3153" s="11" t="n">
        <v>0.00162037037037037</v>
      </c>
      <c r="L3153" s="13" t="n"/>
    </row>
    <row r="3154">
      <c r="A3154" s="3" t="inlineStr">
        <is>
          <t>PushOffDrive</t>
        </is>
      </c>
      <c r="B3154" s="3" t="inlineStr">
        <is>
          <t>Act_POD_1022001_174453_615</t>
        </is>
      </c>
      <c r="C3154" s="3" t="inlineStr">
        <is>
          <t>1022001</t>
        </is>
      </c>
      <c r="D3154" s="9" t="n">
        <v>325.4</v>
      </c>
      <c r="E3154" s="3" t="inlineStr">
        <is>
          <t>703</t>
        </is>
      </c>
      <c r="F3154" s="3" t="inlineStr">
        <is>
          <t>615</t>
        </is>
      </c>
      <c r="G3154" s="9" t="n">
        <v>269.92</v>
      </c>
      <c r="H3154" s="10" t="n">
        <v>45679.73950231481</v>
      </c>
      <c r="I3154" s="10" t="n">
        <v>45679.73950231481</v>
      </c>
      <c r="J3154" s="10" t="n">
        <v>45679.74137731481</v>
      </c>
      <c r="K3154" s="11" t="n">
        <v>0.001875</v>
      </c>
      <c r="L3154" s="13" t="n"/>
    </row>
    <row r="3155">
      <c r="A3155" s="3" t="inlineStr">
        <is>
          <t>PushOffDrive</t>
        </is>
      </c>
      <c r="B3155" s="3" t="inlineStr">
        <is>
          <t>Act_POD_1021901_175200_606</t>
        </is>
      </c>
      <c r="C3155" s="3" t="inlineStr">
        <is>
          <t>1021901</t>
        </is>
      </c>
      <c r="D3155" s="9" t="n">
        <v>29.7</v>
      </c>
      <c r="E3155" s="3" t="inlineStr">
        <is>
          <t>727</t>
        </is>
      </c>
      <c r="F3155" s="3" t="inlineStr">
        <is>
          <t>606</t>
        </is>
      </c>
      <c r="G3155" s="9" t="n">
        <v>398.2</v>
      </c>
      <c r="H3155" s="10" t="n">
        <v>45679.74444444444</v>
      </c>
      <c r="I3155" s="10" t="n">
        <v>45679.74444444444</v>
      </c>
      <c r="J3155" s="10" t="n">
        <v>45679.74618055556</v>
      </c>
      <c r="K3155" s="11" t="n">
        <v>0.001736111111111111</v>
      </c>
      <c r="L3155" s="13" t="n"/>
    </row>
    <row r="3156">
      <c r="A3156" s="3" t="inlineStr">
        <is>
          <t>PushOffDrive</t>
        </is>
      </c>
      <c r="B3156" s="3" t="inlineStr">
        <is>
          <t>Act_POD_1021902_175430_609</t>
        </is>
      </c>
      <c r="C3156" s="3" t="inlineStr">
        <is>
          <t>1021902</t>
        </is>
      </c>
      <c r="D3156" s="9" t="n">
        <v>19.9</v>
      </c>
      <c r="E3156" s="3" t="inlineStr">
        <is>
          <t>727</t>
        </is>
      </c>
      <c r="F3156" s="3" t="inlineStr">
        <is>
          <t>609</t>
        </is>
      </c>
      <c r="G3156" s="9" t="n">
        <v>344.04</v>
      </c>
      <c r="H3156" s="10" t="n">
        <v>45679.74618055556</v>
      </c>
      <c r="I3156" s="10" t="n">
        <v>45679.74618055556</v>
      </c>
      <c r="J3156" s="10" t="n">
        <v>45679.74766203704</v>
      </c>
      <c r="K3156" s="11" t="n">
        <v>0.001481481481481481</v>
      </c>
      <c r="L3156" s="13" t="n"/>
    </row>
    <row r="3157">
      <c r="A3157" s="3" t="inlineStr">
        <is>
          <t>PushOffDrive</t>
        </is>
      </c>
      <c r="B3157" s="3" t="inlineStr">
        <is>
          <t>Act_POD_1021903_175638_615</t>
        </is>
      </c>
      <c r="C3157" s="3" t="inlineStr">
        <is>
          <t>1021903</t>
        </is>
      </c>
      <c r="D3157" s="9" t="n">
        <v>54.7</v>
      </c>
      <c r="E3157" s="3" t="inlineStr">
        <is>
          <t>727</t>
        </is>
      </c>
      <c r="F3157" s="3" t="inlineStr">
        <is>
          <t>615</t>
        </is>
      </c>
      <c r="G3157" s="9" t="n">
        <v>263.09</v>
      </c>
      <c r="H3157" s="10" t="n">
        <v>45679.74766203704</v>
      </c>
      <c r="I3157" s="10" t="n">
        <v>45679.74766203704</v>
      </c>
      <c r="J3157" s="10" t="n">
        <v>45679.74887731481</v>
      </c>
      <c r="K3157" s="11" t="n">
        <v>0.001215277777777778</v>
      </c>
      <c r="L3157" s="13" t="n"/>
    </row>
    <row r="3158">
      <c r="A3158" s="3" t="inlineStr">
        <is>
          <t>PushOffDrive</t>
        </is>
      </c>
      <c r="B3158" s="3" t="inlineStr">
        <is>
          <t>Act_POD_1021904_175823_613</t>
        </is>
      </c>
      <c r="C3158" s="3" t="inlineStr">
        <is>
          <t>1021904</t>
        </is>
      </c>
      <c r="D3158" s="9" t="n">
        <v>99.5</v>
      </c>
      <c r="E3158" s="3" t="inlineStr">
        <is>
          <t>727</t>
        </is>
      </c>
      <c r="F3158" s="3" t="inlineStr">
        <is>
          <t>613</t>
        </is>
      </c>
      <c r="G3158" s="9" t="n">
        <v>290.6</v>
      </c>
      <c r="H3158" s="10" t="n">
        <v>45679.74887731481</v>
      </c>
      <c r="I3158" s="10" t="n">
        <v>45679.74887731481</v>
      </c>
      <c r="J3158" s="10" t="n">
        <v>45679.75032407408</v>
      </c>
      <c r="K3158" s="11" t="n">
        <v>0.001446759259259259</v>
      </c>
      <c r="L3158" s="13" t="n"/>
    </row>
    <row r="3159">
      <c r="A3159" s="3" t="inlineStr">
        <is>
          <t>PushOffDrive</t>
        </is>
      </c>
      <c r="B3159" s="3" t="inlineStr">
        <is>
          <t>Act_POD_1021905_180028_625</t>
        </is>
      </c>
      <c r="C3159" s="3" t="inlineStr">
        <is>
          <t>1021905</t>
        </is>
      </c>
      <c r="D3159" s="9" t="n">
        <v>15.7</v>
      </c>
      <c r="E3159" s="3" t="inlineStr">
        <is>
          <t>727</t>
        </is>
      </c>
      <c r="F3159" s="3" t="inlineStr">
        <is>
          <t>625</t>
        </is>
      </c>
      <c r="G3159" s="9" t="n">
        <v>470.92</v>
      </c>
      <c r="H3159" s="10" t="n">
        <v>45679.75032407408</v>
      </c>
      <c r="I3159" s="10" t="n">
        <v>45679.75032407408</v>
      </c>
      <c r="J3159" s="10" t="n">
        <v>45679.75231481482</v>
      </c>
      <c r="K3159" s="11" t="n">
        <v>0.001990740740740741</v>
      </c>
      <c r="L3159" s="13" t="n"/>
    </row>
    <row r="3160">
      <c r="A3160" s="3" t="inlineStr">
        <is>
          <t>PushOffDrive</t>
        </is>
      </c>
      <c r="B3160" s="3" t="inlineStr">
        <is>
          <t>Act_POD_1021906_180320_623</t>
        </is>
      </c>
      <c r="C3160" s="3" t="inlineStr">
        <is>
          <t>1021906</t>
        </is>
      </c>
      <c r="D3160" s="9" t="n">
        <v>19.9</v>
      </c>
      <c r="E3160" s="3" t="inlineStr">
        <is>
          <t>727</t>
        </is>
      </c>
      <c r="F3160" s="3" t="inlineStr">
        <is>
          <t>623</t>
        </is>
      </c>
      <c r="G3160" s="9" t="n">
        <v>405.22</v>
      </c>
      <c r="H3160" s="10" t="n">
        <v>45679.75231481482</v>
      </c>
      <c r="I3160" s="10" t="n">
        <v>45679.75231481482</v>
      </c>
      <c r="J3160" s="10" t="n">
        <v>45679.75405092593</v>
      </c>
      <c r="K3160" s="11" t="n">
        <v>0.001736111111111111</v>
      </c>
      <c r="L3160" s="13" t="n"/>
    </row>
    <row r="3161">
      <c r="A3161" s="3" t="inlineStr">
        <is>
          <t>PushOffDrive</t>
        </is>
      </c>
      <c r="B3161" s="3" t="inlineStr">
        <is>
          <t>Act_POD_1021907_180550_607</t>
        </is>
      </c>
      <c r="C3161" s="3" t="inlineStr">
        <is>
          <t>1021907</t>
        </is>
      </c>
      <c r="D3161" s="9" t="n">
        <v>15.7</v>
      </c>
      <c r="E3161" s="3" t="inlineStr">
        <is>
          <t>727</t>
        </is>
      </c>
      <c r="F3161" s="3" t="inlineStr">
        <is>
          <t>607</t>
        </is>
      </c>
      <c r="G3161" s="9" t="n">
        <v>371.57</v>
      </c>
      <c r="H3161" s="10" t="n">
        <v>45679.75405092593</v>
      </c>
      <c r="I3161" s="10" t="n">
        <v>45679.75405092593</v>
      </c>
      <c r="J3161" s="10" t="n">
        <v>45679.75563657407</v>
      </c>
      <c r="K3161" s="11" t="n">
        <v>0.001585648148148148</v>
      </c>
      <c r="L3161" s="13" t="n"/>
    </row>
    <row r="3162">
      <c r="A3162" s="3" t="inlineStr">
        <is>
          <t>PushOffDrive</t>
        </is>
      </c>
      <c r="B3162" s="3" t="inlineStr">
        <is>
          <t>Act_POD_1021908_180807_619</t>
        </is>
      </c>
      <c r="C3162" s="3" t="inlineStr">
        <is>
          <t>1021908</t>
        </is>
      </c>
      <c r="D3162" s="9" t="n">
        <v>295.4</v>
      </c>
      <c r="E3162" s="3" t="inlineStr">
        <is>
          <t>727</t>
        </is>
      </c>
      <c r="F3162" s="3" t="inlineStr">
        <is>
          <t>619</t>
        </is>
      </c>
      <c r="G3162" s="9" t="n">
        <v>453.13</v>
      </c>
      <c r="H3162" s="10" t="n">
        <v>45679.75563657407</v>
      </c>
      <c r="I3162" s="10" t="n">
        <v>45679.75563657407</v>
      </c>
      <c r="J3162" s="10" t="n">
        <v>45679.75820601852</v>
      </c>
      <c r="K3162" s="11" t="n">
        <v>0.002569444444444445</v>
      </c>
      <c r="L3162" s="13" t="n"/>
    </row>
    <row r="3163">
      <c r="A3163" s="3" t="inlineStr">
        <is>
          <t>PushOffDrive</t>
        </is>
      </c>
      <c r="B3163" s="3" t="inlineStr">
        <is>
          <t>Act_POD_1021909_181149_623</t>
        </is>
      </c>
      <c r="C3163" s="3" t="inlineStr">
        <is>
          <t>1021909</t>
        </is>
      </c>
      <c r="D3163" s="9" t="n">
        <v>21</v>
      </c>
      <c r="E3163" s="3" t="inlineStr">
        <is>
          <t>727</t>
        </is>
      </c>
      <c r="F3163" s="3" t="inlineStr">
        <is>
          <t>623</t>
        </is>
      </c>
      <c r="G3163" s="9" t="n">
        <v>405.22</v>
      </c>
      <c r="H3163" s="10" t="n">
        <v>45679.75820601852</v>
      </c>
      <c r="I3163" s="10" t="n">
        <v>45679.75820601852</v>
      </c>
      <c r="J3163" s="10" t="n">
        <v>45679.75994212963</v>
      </c>
      <c r="K3163" s="11" t="n">
        <v>0.001736111111111111</v>
      </c>
      <c r="L3163" s="13" t="n"/>
    </row>
    <row r="3164">
      <c r="A3164" s="3" t="inlineStr">
        <is>
          <t>PushOffDrive</t>
        </is>
      </c>
      <c r="B3164" s="3" t="inlineStr">
        <is>
          <t>Act_POD_1021910_181419_617</t>
        </is>
      </c>
      <c r="C3164" s="3" t="inlineStr">
        <is>
          <t>1021910</t>
        </is>
      </c>
      <c r="D3164" s="9" t="n">
        <v>19.9</v>
      </c>
      <c r="E3164" s="3" t="inlineStr">
        <is>
          <t>727</t>
        </is>
      </c>
      <c r="F3164" s="3" t="inlineStr">
        <is>
          <t>617</t>
        </is>
      </c>
      <c r="G3164" s="9" t="n">
        <v>292.28</v>
      </c>
      <c r="H3164" s="10" t="n">
        <v>45679.75994212963</v>
      </c>
      <c r="I3164" s="10" t="n">
        <v>45679.75994212963</v>
      </c>
      <c r="J3164" s="10" t="n">
        <v>45679.76121527778</v>
      </c>
      <c r="K3164" s="11" t="n">
        <v>0.001273148148148148</v>
      </c>
      <c r="L3164" s="13" t="n"/>
    </row>
    <row r="3165">
      <c r="A3165" s="3" t="inlineStr">
        <is>
          <t>PushOffDrive</t>
        </is>
      </c>
      <c r="B3165" s="3" t="inlineStr">
        <is>
          <t>Act_POD_1022201_202359_619</t>
        </is>
      </c>
      <c r="C3165" s="3" t="inlineStr">
        <is>
          <t>1022201</t>
        </is>
      </c>
      <c r="D3165" s="9" t="n">
        <v>93</v>
      </c>
      <c r="E3165" s="3" t="inlineStr">
        <is>
          <t>703</t>
        </is>
      </c>
      <c r="F3165" s="3" t="inlineStr">
        <is>
          <t>619</t>
        </is>
      </c>
      <c r="G3165" s="9" t="n">
        <v>459.96</v>
      </c>
      <c r="H3165" s="10" t="n">
        <v>45679.84998842593</v>
      </c>
      <c r="I3165" s="10" t="n">
        <v>45679.84998842593</v>
      </c>
      <c r="J3165" s="10" t="n">
        <v>45679.85211805555</v>
      </c>
      <c r="K3165" s="11" t="n">
        <v>0.00212962962962963</v>
      </c>
      <c r="L3165" s="13" t="n"/>
    </row>
    <row r="3166">
      <c r="A3166" s="3" t="inlineStr">
        <is>
          <t>PushOffDrive</t>
        </is>
      </c>
      <c r="B3166" s="3" t="inlineStr">
        <is>
          <t>Act_POD_1022202_202703_607</t>
        </is>
      </c>
      <c r="C3166" s="3" t="inlineStr">
        <is>
          <t>1022202</t>
        </is>
      </c>
      <c r="D3166" s="9" t="n">
        <v>19.9</v>
      </c>
      <c r="E3166" s="3" t="inlineStr">
        <is>
          <t>703</t>
        </is>
      </c>
      <c r="F3166" s="3" t="inlineStr">
        <is>
          <t>607</t>
        </is>
      </c>
      <c r="G3166" s="9" t="n">
        <v>378.4</v>
      </c>
      <c r="H3166" s="10" t="n">
        <v>45679.85211805555</v>
      </c>
      <c r="I3166" s="10" t="n">
        <v>45679.85211805555</v>
      </c>
      <c r="J3166" s="10" t="n">
        <v>45679.85373842593</v>
      </c>
      <c r="K3166" s="11" t="n">
        <v>0.00162037037037037</v>
      </c>
      <c r="L3166" s="13" t="n"/>
    </row>
    <row r="3167">
      <c r="A3167" s="3" t="inlineStr">
        <is>
          <t>PushOffDrive</t>
        </is>
      </c>
      <c r="B3167" s="3" t="inlineStr">
        <is>
          <t>Act_POD_1022203_202923_619</t>
        </is>
      </c>
      <c r="C3167" s="3" t="inlineStr">
        <is>
          <t>1022203</t>
        </is>
      </c>
      <c r="D3167" s="9" t="n">
        <v>14</v>
      </c>
      <c r="E3167" s="3" t="inlineStr">
        <is>
          <t>703</t>
        </is>
      </c>
      <c r="F3167" s="3" t="inlineStr">
        <is>
          <t>619</t>
        </is>
      </c>
      <c r="G3167" s="9" t="n">
        <v>459.96</v>
      </c>
      <c r="H3167" s="10" t="n">
        <v>45679.85373842593</v>
      </c>
      <c r="I3167" s="10" t="n">
        <v>45679.85373842593</v>
      </c>
      <c r="J3167" s="10" t="n">
        <v>45679.85569444444</v>
      </c>
      <c r="K3167" s="11" t="n">
        <v>0.001956018518518518</v>
      </c>
      <c r="L3167" s="13" t="n"/>
    </row>
    <row r="3168">
      <c r="A3168" s="3" t="inlineStr">
        <is>
          <t>PushOffDrive</t>
        </is>
      </c>
      <c r="B3168" s="3" t="inlineStr">
        <is>
          <t>Act_POD_1022204_203212_617</t>
        </is>
      </c>
      <c r="C3168" s="3" t="inlineStr">
        <is>
          <t>1022204</t>
        </is>
      </c>
      <c r="D3168" s="9" t="n">
        <v>33</v>
      </c>
      <c r="E3168" s="3" t="inlineStr">
        <is>
          <t>703</t>
        </is>
      </c>
      <c r="F3168" s="3" t="inlineStr">
        <is>
          <t>617</t>
        </is>
      </c>
      <c r="G3168" s="9" t="n">
        <v>299.11</v>
      </c>
      <c r="H3168" s="10" t="n">
        <v>45679.85569444444</v>
      </c>
      <c r="I3168" s="10" t="n">
        <v>45679.85569444444</v>
      </c>
      <c r="J3168" s="10" t="n">
        <v>45679.85701388889</v>
      </c>
      <c r="K3168" s="11" t="n">
        <v>0.001319444444444444</v>
      </c>
      <c r="L3168" s="13" t="n"/>
    </row>
    <row r="3169">
      <c r="A3169" s="3" t="inlineStr">
        <is>
          <t>PushOffDrive</t>
        </is>
      </c>
      <c r="B3169" s="3" t="inlineStr">
        <is>
          <t>Act_POD_1022205_203406_623</t>
        </is>
      </c>
      <c r="C3169" s="3" t="inlineStr">
        <is>
          <t>1022205</t>
        </is>
      </c>
      <c r="D3169" s="9" t="n">
        <v>61.9</v>
      </c>
      <c r="E3169" s="3" t="inlineStr">
        <is>
          <t>703</t>
        </is>
      </c>
      <c r="F3169" s="3" t="inlineStr">
        <is>
          <t>623</t>
        </is>
      </c>
      <c r="G3169" s="9" t="n">
        <v>412.05</v>
      </c>
      <c r="H3169" s="10" t="n">
        <v>45679.85701388889</v>
      </c>
      <c r="I3169" s="10" t="n">
        <v>45679.85701388889</v>
      </c>
      <c r="J3169" s="10" t="n">
        <v>45679.85887731481</v>
      </c>
      <c r="K3169" s="11" t="n">
        <v>0.001863425925925926</v>
      </c>
      <c r="L3169" s="13" t="n"/>
    </row>
    <row r="3170">
      <c r="A3170" s="3" t="inlineStr">
        <is>
          <t>PushOffDrive</t>
        </is>
      </c>
      <c r="B3170" s="3" t="inlineStr">
        <is>
          <t>Act_POD_1022206_203647_619</t>
        </is>
      </c>
      <c r="C3170" s="3" t="inlineStr">
        <is>
          <t>1022206</t>
        </is>
      </c>
      <c r="D3170" s="9" t="n">
        <v>31.5</v>
      </c>
      <c r="E3170" s="3" t="inlineStr">
        <is>
          <t>703</t>
        </is>
      </c>
      <c r="F3170" s="3" t="inlineStr">
        <is>
          <t>619</t>
        </is>
      </c>
      <c r="G3170" s="9" t="n">
        <v>459.96</v>
      </c>
      <c r="H3170" s="10" t="n">
        <v>45679.85887731481</v>
      </c>
      <c r="I3170" s="10" t="n">
        <v>45679.85887731481</v>
      </c>
      <c r="J3170" s="10" t="n">
        <v>45679.86086805556</v>
      </c>
      <c r="K3170" s="11" t="n">
        <v>0.001990740740740741</v>
      </c>
      <c r="L3170" s="13" t="n"/>
    </row>
    <row r="3171">
      <c r="A3171" s="3" t="inlineStr">
        <is>
          <t>PushOffDrive</t>
        </is>
      </c>
      <c r="B3171" s="3" t="inlineStr">
        <is>
          <t>Act_POD_1022207_203939_607</t>
        </is>
      </c>
      <c r="C3171" s="3" t="inlineStr">
        <is>
          <t>1022207</t>
        </is>
      </c>
      <c r="D3171" s="9" t="n">
        <v>15.7</v>
      </c>
      <c r="E3171" s="3" t="inlineStr">
        <is>
          <t>703</t>
        </is>
      </c>
      <c r="F3171" s="3" t="inlineStr">
        <is>
          <t>607</t>
        </is>
      </c>
      <c r="G3171" s="9" t="n">
        <v>378.4</v>
      </c>
      <c r="H3171" s="10" t="n">
        <v>45679.86086805556</v>
      </c>
      <c r="I3171" s="10" t="n">
        <v>45679.86086805556</v>
      </c>
      <c r="J3171" s="10" t="n">
        <v>45679.86247685185</v>
      </c>
      <c r="K3171" s="11" t="n">
        <v>0.001608796296296296</v>
      </c>
      <c r="L3171" s="13" t="n"/>
    </row>
    <row r="3172">
      <c r="A3172" s="3" t="inlineStr">
        <is>
          <t>PushOffDrive</t>
        </is>
      </c>
      <c r="B3172" s="3" t="inlineStr">
        <is>
          <t>Act_POD_1022208_204158_606</t>
        </is>
      </c>
      <c r="C3172" s="3" t="inlineStr">
        <is>
          <t>1022208</t>
        </is>
      </c>
      <c r="D3172" s="9" t="n">
        <v>29.7</v>
      </c>
      <c r="E3172" s="3" t="inlineStr">
        <is>
          <t>703</t>
        </is>
      </c>
      <c r="F3172" s="3" t="inlineStr">
        <is>
          <t>606</t>
        </is>
      </c>
      <c r="G3172" s="9" t="n">
        <v>405.03</v>
      </c>
      <c r="H3172" s="10" t="n">
        <v>45679.86247685185</v>
      </c>
      <c r="I3172" s="10" t="n">
        <v>45679.86247685185</v>
      </c>
      <c r="J3172" s="10" t="n">
        <v>45679.86423611111</v>
      </c>
      <c r="K3172" s="11" t="n">
        <v>0.001759259259259259</v>
      </c>
      <c r="L3172" s="13" t="n"/>
    </row>
    <row r="3173">
      <c r="A3173" s="3" t="inlineStr">
        <is>
          <t>PushOffDrive</t>
        </is>
      </c>
      <c r="B3173" s="3" t="inlineStr">
        <is>
          <t>Act_POD_1022301_025745_615</t>
        </is>
      </c>
      <c r="C3173" s="3" t="inlineStr">
        <is>
          <t>1022301</t>
        </is>
      </c>
      <c r="D3173" s="9" t="n">
        <v>123.8</v>
      </c>
      <c r="E3173" s="3" t="inlineStr">
        <is>
          <t>703</t>
        </is>
      </c>
      <c r="F3173" s="3" t="inlineStr">
        <is>
          <t>615</t>
        </is>
      </c>
      <c r="G3173" s="9" t="n">
        <v>269.92</v>
      </c>
      <c r="H3173" s="10" t="n">
        <v>45680.1234375</v>
      </c>
      <c r="I3173" s="10" t="n">
        <v>45680.1234375</v>
      </c>
      <c r="J3173" s="10" t="n">
        <v>45680.12484953704</v>
      </c>
      <c r="K3173" s="11" t="n">
        <v>0.001412037037037037</v>
      </c>
      <c r="L3173" s="13" t="n"/>
    </row>
    <row r="3174">
      <c r="A3174" s="3" t="inlineStr">
        <is>
          <t>PushOffDrive</t>
        </is>
      </c>
      <c r="B3174" s="3" t="inlineStr">
        <is>
          <t>Act_POD_1022302_025947_621</t>
        </is>
      </c>
      <c r="C3174" s="3" t="inlineStr">
        <is>
          <t>1022302</t>
        </is>
      </c>
      <c r="D3174" s="9" t="n">
        <v>107.9</v>
      </c>
      <c r="E3174" s="3" t="inlineStr">
        <is>
          <t>703</t>
        </is>
      </c>
      <c r="F3174" s="3" t="inlineStr">
        <is>
          <t>621</t>
        </is>
      </c>
      <c r="G3174" s="9" t="n">
        <v>459.96</v>
      </c>
      <c r="H3174" s="10" t="n">
        <v>45680.12484953704</v>
      </c>
      <c r="I3174" s="10" t="n">
        <v>45680.12484953704</v>
      </c>
      <c r="J3174" s="10" t="n">
        <v>45680.12701388889</v>
      </c>
      <c r="K3174" s="11" t="n">
        <v>0.002164351851851852</v>
      </c>
      <c r="L3174" s="13" t="n"/>
    </row>
    <row r="3175">
      <c r="A3175" s="3" t="inlineStr">
        <is>
          <t>PushOffDrive</t>
        </is>
      </c>
      <c r="B3175" s="3" t="inlineStr">
        <is>
          <t>Act_POD_1022303_030254_627</t>
        </is>
      </c>
      <c r="C3175" s="3" t="inlineStr">
        <is>
          <t>1022303</t>
        </is>
      </c>
      <c r="D3175" s="9" t="n">
        <v>15.7</v>
      </c>
      <c r="E3175" s="3" t="inlineStr">
        <is>
          <t>703</t>
        </is>
      </c>
      <c r="F3175" s="3" t="inlineStr">
        <is>
          <t>627</t>
        </is>
      </c>
      <c r="G3175" s="9" t="n">
        <v>450.42</v>
      </c>
      <c r="H3175" s="10" t="n">
        <v>45680.12701388889</v>
      </c>
      <c r="I3175" s="10" t="n">
        <v>45680.12701388889</v>
      </c>
      <c r="J3175" s="10" t="n">
        <v>45680.12893518519</v>
      </c>
      <c r="K3175" s="11" t="n">
        <v>0.001921296296296296</v>
      </c>
      <c r="L3175" s="13" t="n"/>
    </row>
    <row r="3176">
      <c r="A3176" s="3" t="inlineStr">
        <is>
          <t>PushOffDrive</t>
        </is>
      </c>
      <c r="B3176" s="3" t="inlineStr">
        <is>
          <t>Act_POD_1022304_030540_615</t>
        </is>
      </c>
      <c r="C3176" s="3" t="inlineStr">
        <is>
          <t>1022304</t>
        </is>
      </c>
      <c r="D3176" s="9" t="n">
        <v>63</v>
      </c>
      <c r="E3176" s="3" t="inlineStr">
        <is>
          <t>703</t>
        </is>
      </c>
      <c r="F3176" s="3" t="inlineStr">
        <is>
          <t>615</t>
        </is>
      </c>
      <c r="G3176" s="9" t="n">
        <v>269.92</v>
      </c>
      <c r="H3176" s="10" t="n">
        <v>45680.12893518519</v>
      </c>
      <c r="I3176" s="10" t="n">
        <v>45680.12893518519</v>
      </c>
      <c r="J3176" s="10" t="n">
        <v>45680.13020833334</v>
      </c>
      <c r="K3176" s="11" t="n">
        <v>0.001273148148148148</v>
      </c>
      <c r="L3176" s="13" t="n"/>
    </row>
    <row r="3177">
      <c r="A3177" s="3" t="inlineStr">
        <is>
          <t>PushOffDrive</t>
        </is>
      </c>
      <c r="B3177" s="3" t="inlineStr">
        <is>
          <t>Act_POD_1022401_062836_625</t>
        </is>
      </c>
      <c r="C3177" s="3" t="inlineStr">
        <is>
          <t>1022401</t>
        </is>
      </c>
      <c r="D3177" s="9" t="n">
        <v>144.4</v>
      </c>
      <c r="E3177" s="3" t="inlineStr">
        <is>
          <t>703</t>
        </is>
      </c>
      <c r="F3177" s="3" t="inlineStr">
        <is>
          <t>625</t>
        </is>
      </c>
      <c r="G3177" s="9" t="n">
        <v>477.75</v>
      </c>
      <c r="H3177" s="10" t="n">
        <v>45680.26986111111</v>
      </c>
      <c r="I3177" s="10" t="n">
        <v>45680.26986111111</v>
      </c>
      <c r="J3177" s="10" t="n">
        <v>45680.27217592593</v>
      </c>
      <c r="K3177" s="11" t="n">
        <v>0.002314814814814815</v>
      </c>
      <c r="L3177" s="13" t="n"/>
    </row>
    <row r="3178">
      <c r="A3178" s="3" t="inlineStr">
        <is>
          <t>PushOffDrive</t>
        </is>
      </c>
      <c r="B3178" s="3" t="inlineStr">
        <is>
          <t>Act_POD_1022502_070634_621</t>
        </is>
      </c>
      <c r="C3178" s="3" t="inlineStr">
        <is>
          <t>1022502</t>
        </is>
      </c>
      <c r="D3178" s="9" t="n">
        <v>12</v>
      </c>
      <c r="E3178" s="3" t="inlineStr">
        <is>
          <t>703</t>
        </is>
      </c>
      <c r="F3178" s="3" t="inlineStr">
        <is>
          <t>621</t>
        </is>
      </c>
      <c r="G3178" s="9" t="n">
        <v>459.96</v>
      </c>
      <c r="H3178" s="10" t="n">
        <v>45680.29622685185</v>
      </c>
      <c r="I3178" s="10" t="n">
        <v>45680.29622685185</v>
      </c>
      <c r="J3178" s="10" t="n">
        <v>45680.29817129629</v>
      </c>
      <c r="K3178" s="11" t="n">
        <v>0.001944444444444444</v>
      </c>
      <c r="L3178" s="13" t="n"/>
    </row>
    <row r="3179">
      <c r="A3179" s="3" t="inlineStr">
        <is>
          <t>PushOffDrive</t>
        </is>
      </c>
      <c r="B3179" s="3" t="inlineStr">
        <is>
          <t>Act_POD_1022503_070922_615</t>
        </is>
      </c>
      <c r="C3179" s="3" t="inlineStr">
        <is>
          <t>1022503</t>
        </is>
      </c>
      <c r="D3179" s="9" t="n">
        <v>54.7</v>
      </c>
      <c r="E3179" s="3" t="inlineStr">
        <is>
          <t>703</t>
        </is>
      </c>
      <c r="F3179" s="3" t="inlineStr">
        <is>
          <t>615</t>
        </is>
      </c>
      <c r="G3179" s="9" t="n">
        <v>269.92</v>
      </c>
      <c r="H3179" s="10" t="n">
        <v>45680.29817129629</v>
      </c>
      <c r="I3179" s="10" t="n">
        <v>45680.29817129629</v>
      </c>
      <c r="J3179" s="10" t="n">
        <v>45680.29942129629</v>
      </c>
      <c r="K3179" s="11" t="n">
        <v>0.00125</v>
      </c>
      <c r="L3179" s="13" t="n"/>
    </row>
    <row r="3180">
      <c r="A3180" s="3" t="inlineStr">
        <is>
          <t>PushOffDrive</t>
        </is>
      </c>
      <c r="B3180" s="3" t="inlineStr">
        <is>
          <t>Act_POD_1022504_071110_629</t>
        </is>
      </c>
      <c r="C3180" s="3" t="inlineStr">
        <is>
          <t>1022504</t>
        </is>
      </c>
      <c r="D3180" s="9" t="n">
        <v>63</v>
      </c>
      <c r="E3180" s="3" t="inlineStr">
        <is>
          <t>703</t>
        </is>
      </c>
      <c r="F3180" s="3" t="inlineStr">
        <is>
          <t>629</t>
        </is>
      </c>
      <c r="G3180" s="9" t="n">
        <v>450.42</v>
      </c>
      <c r="H3180" s="10" t="n">
        <v>45680.29942129629</v>
      </c>
      <c r="I3180" s="10" t="n">
        <v>45680.29942129629</v>
      </c>
      <c r="J3180" s="10" t="n">
        <v>45680.30144675926</v>
      </c>
      <c r="K3180" s="11" t="n">
        <v>0.002025462962962963</v>
      </c>
      <c r="L3180" s="13" t="n"/>
    </row>
    <row r="3181">
      <c r="A3181" s="3" t="inlineStr">
        <is>
          <t>PushOffDrive</t>
        </is>
      </c>
      <c r="B3181" s="3" t="inlineStr">
        <is>
          <t>Act_POD_1022505_071405_617</t>
        </is>
      </c>
      <c r="C3181" s="3" t="inlineStr">
        <is>
          <t>1022505</t>
        </is>
      </c>
      <c r="D3181" s="9" t="n">
        <v>42</v>
      </c>
      <c r="E3181" s="3" t="inlineStr">
        <is>
          <t>703</t>
        </is>
      </c>
      <c r="F3181" s="3" t="inlineStr">
        <is>
          <t>617</t>
        </is>
      </c>
      <c r="G3181" s="9" t="n">
        <v>299.11</v>
      </c>
      <c r="H3181" s="10" t="n">
        <v>45680.30144675926</v>
      </c>
      <c r="I3181" s="10" t="n">
        <v>45680.30144675926</v>
      </c>
      <c r="J3181" s="10" t="n">
        <v>45680.30278935185</v>
      </c>
      <c r="K3181" s="11" t="n">
        <v>0.001342592592592592</v>
      </c>
      <c r="L3181" s="13" t="n"/>
    </row>
    <row r="3182">
      <c r="A3182" s="3" t="inlineStr">
        <is>
          <t>PushOffDrive</t>
        </is>
      </c>
      <c r="B3182" s="3" t="inlineStr">
        <is>
          <t>Act_POD_1022506+1022508_071601_619</t>
        </is>
      </c>
      <c r="C3182" s="3" t="inlineStr">
        <is>
          <t>1022506+1022508</t>
        </is>
      </c>
      <c r="D3182" s="9" t="n">
        <v>39</v>
      </c>
      <c r="E3182" s="3" t="inlineStr">
        <is>
          <t>703</t>
        </is>
      </c>
      <c r="F3182" s="3" t="inlineStr">
        <is>
          <t>619</t>
        </is>
      </c>
      <c r="G3182" s="9" t="n">
        <v>459.96</v>
      </c>
      <c r="H3182" s="10" t="n">
        <v>45680.30278935185</v>
      </c>
      <c r="I3182" s="10" t="n">
        <v>45680.30278935185</v>
      </c>
      <c r="J3182" s="10" t="n">
        <v>45680.30479166667</v>
      </c>
      <c r="K3182" s="11" t="n">
        <v>0.002002314814814815</v>
      </c>
      <c r="L3182" s="13" t="n"/>
    </row>
    <row r="3183">
      <c r="A3183" s="3" t="inlineStr">
        <is>
          <t>PushOffDrive</t>
        </is>
      </c>
      <c r="B3183" s="3" t="inlineStr">
        <is>
          <t>Act_POD_1022801_085428_627</t>
        </is>
      </c>
      <c r="C3183" s="3" t="inlineStr">
        <is>
          <t>1022801</t>
        </is>
      </c>
      <c r="D3183" s="9" t="n">
        <v>177.8</v>
      </c>
      <c r="E3183" s="3" t="inlineStr">
        <is>
          <t>703</t>
        </is>
      </c>
      <c r="F3183" s="3" t="inlineStr">
        <is>
          <t>627</t>
        </is>
      </c>
      <c r="G3183" s="9" t="n">
        <v>450.42</v>
      </c>
      <c r="H3183" s="10" t="n">
        <v>45680.3711574074</v>
      </c>
      <c r="I3183" s="10" t="n">
        <v>45680.3711574074</v>
      </c>
      <c r="J3183" s="10" t="n">
        <v>45680.37344907408</v>
      </c>
      <c r="K3183" s="11" t="n">
        <v>0.002291666666666667</v>
      </c>
      <c r="L3183" s="13" t="n"/>
    </row>
    <row r="3184">
      <c r="A3184" s="3" t="inlineStr">
        <is>
          <t>PushOffDrive</t>
        </is>
      </c>
      <c r="B3184" s="3" t="inlineStr">
        <is>
          <t>Act_POD_1022802_085746_605</t>
        </is>
      </c>
      <c r="C3184" s="3" t="inlineStr">
        <is>
          <t>1022802</t>
        </is>
      </c>
      <c r="D3184" s="9" t="n">
        <v>218.7</v>
      </c>
      <c r="E3184" s="3" t="inlineStr">
        <is>
          <t>703</t>
        </is>
      </c>
      <c r="F3184" s="3" t="inlineStr">
        <is>
          <t>605</t>
        </is>
      </c>
      <c r="G3184" s="9" t="n">
        <v>405.43</v>
      </c>
      <c r="H3184" s="10" t="n">
        <v>45680.37344907408</v>
      </c>
      <c r="I3184" s="10" t="n">
        <v>45680.37344907408</v>
      </c>
      <c r="J3184" s="10" t="n">
        <v>45680.37564814815</v>
      </c>
      <c r="K3184" s="11" t="n">
        <v>0.002199074074074074</v>
      </c>
      <c r="L3184" s="13" t="n"/>
    </row>
    <row r="3185">
      <c r="A3185" s="3" t="inlineStr">
        <is>
          <t>PushOffDrive</t>
        </is>
      </c>
      <c r="B3185" s="3" t="inlineStr">
        <is>
          <t>Act_POD_1022901_093352_615</t>
        </is>
      </c>
      <c r="C3185" s="3" t="inlineStr">
        <is>
          <t>1022901</t>
        </is>
      </c>
      <c r="D3185" s="9" t="n">
        <v>28</v>
      </c>
      <c r="E3185" s="3" t="inlineStr">
        <is>
          <t>727</t>
        </is>
      </c>
      <c r="F3185" s="3" t="inlineStr">
        <is>
          <t>615</t>
        </is>
      </c>
      <c r="G3185" s="9" t="n">
        <v>263.09</v>
      </c>
      <c r="H3185" s="10" t="n">
        <v>45680.39851851852</v>
      </c>
      <c r="I3185" s="10" t="n">
        <v>45680.39851851852</v>
      </c>
      <c r="J3185" s="10" t="n">
        <v>45680.39967592592</v>
      </c>
      <c r="K3185" s="11" t="n">
        <v>0.001157407407407407</v>
      </c>
      <c r="L3185" s="13" t="n"/>
    </row>
    <row r="3186">
      <c r="A3186" s="3" t="inlineStr">
        <is>
          <t>PushOffDrive</t>
        </is>
      </c>
      <c r="B3186" s="3" t="inlineStr">
        <is>
          <t>Act_POD_1022902_093532_623</t>
        </is>
      </c>
      <c r="C3186" s="3" t="inlineStr">
        <is>
          <t>1022902</t>
        </is>
      </c>
      <c r="D3186" s="9" t="n">
        <v>15.7</v>
      </c>
      <c r="E3186" s="3" t="inlineStr">
        <is>
          <t>727</t>
        </is>
      </c>
      <c r="F3186" s="3" t="inlineStr">
        <is>
          <t>623</t>
        </is>
      </c>
      <c r="G3186" s="9" t="n">
        <v>405.22</v>
      </c>
      <c r="H3186" s="10" t="n">
        <v>45680.39967592592</v>
      </c>
      <c r="I3186" s="10" t="n">
        <v>45680.39967592592</v>
      </c>
      <c r="J3186" s="10" t="n">
        <v>45680.40140046296</v>
      </c>
      <c r="K3186" s="11" t="n">
        <v>0.001724537037037037</v>
      </c>
      <c r="L3186" s="13" t="n"/>
    </row>
    <row r="3187">
      <c r="A3187" s="3" t="inlineStr">
        <is>
          <t>PushOffDrive</t>
        </is>
      </c>
      <c r="B3187" s="3" t="inlineStr">
        <is>
          <t>Act_POD_1022903_093801_615</t>
        </is>
      </c>
      <c r="C3187" s="3" t="inlineStr">
        <is>
          <t>1022903</t>
        </is>
      </c>
      <c r="D3187" s="9" t="n">
        <v>31.5</v>
      </c>
      <c r="E3187" s="3" t="inlineStr">
        <is>
          <t>727</t>
        </is>
      </c>
      <c r="F3187" s="3" t="inlineStr">
        <is>
          <t>615</t>
        </is>
      </c>
      <c r="G3187" s="9" t="n">
        <v>263.09</v>
      </c>
      <c r="H3187" s="10" t="n">
        <v>45680.40140046296</v>
      </c>
      <c r="I3187" s="10" t="n">
        <v>45680.40140046296</v>
      </c>
      <c r="J3187" s="10" t="n">
        <v>45680.40256944444</v>
      </c>
      <c r="K3187" s="11" t="n">
        <v>0.001168981481481482</v>
      </c>
      <c r="L3187" s="13" t="n"/>
    </row>
    <row r="3188">
      <c r="A3188" s="3" t="inlineStr">
        <is>
          <t>PushOffDrive</t>
        </is>
      </c>
      <c r="B3188" s="3" t="inlineStr">
        <is>
          <t>Act_POD_1022904_093942_607</t>
        </is>
      </c>
      <c r="C3188" s="3" t="inlineStr">
        <is>
          <t>1022904</t>
        </is>
      </c>
      <c r="D3188" s="9" t="n">
        <v>19.9</v>
      </c>
      <c r="E3188" s="3" t="inlineStr">
        <is>
          <t>727</t>
        </is>
      </c>
      <c r="F3188" s="3" t="inlineStr">
        <is>
          <t>607</t>
        </is>
      </c>
      <c r="G3188" s="9" t="n">
        <v>371.57</v>
      </c>
      <c r="H3188" s="10" t="n">
        <v>45680.40256944444</v>
      </c>
      <c r="I3188" s="10" t="n">
        <v>45680.40256944444</v>
      </c>
      <c r="J3188" s="10" t="n">
        <v>45680.40416666667</v>
      </c>
      <c r="K3188" s="11" t="n">
        <v>0.001597222222222222</v>
      </c>
      <c r="L3188" s="13" t="n"/>
    </row>
    <row r="3189">
      <c r="A3189" s="3" t="inlineStr">
        <is>
          <t>PushOffDrive</t>
        </is>
      </c>
      <c r="B3189" s="3" t="inlineStr">
        <is>
          <t>Act_POD_1022905_094200_607</t>
        </is>
      </c>
      <c r="C3189" s="3" t="inlineStr">
        <is>
          <t>1022905</t>
        </is>
      </c>
      <c r="D3189" s="9" t="n">
        <v>15.7</v>
      </c>
      <c r="E3189" s="3" t="inlineStr">
        <is>
          <t>727</t>
        </is>
      </c>
      <c r="F3189" s="3" t="inlineStr">
        <is>
          <t>607</t>
        </is>
      </c>
      <c r="G3189" s="9" t="n">
        <v>371.57</v>
      </c>
      <c r="H3189" s="10" t="n">
        <v>45680.40416666667</v>
      </c>
      <c r="I3189" s="10" t="n">
        <v>45680.40416666667</v>
      </c>
      <c r="J3189" s="10" t="n">
        <v>45680.40575231481</v>
      </c>
      <c r="K3189" s="11" t="n">
        <v>0.001585648148148148</v>
      </c>
      <c r="L3189" s="13" t="n"/>
    </row>
    <row r="3190">
      <c r="A3190" s="3" t="inlineStr">
        <is>
          <t>PushOffDrive</t>
        </is>
      </c>
      <c r="B3190" s="3" t="inlineStr">
        <is>
          <t>Act_POD_1022906_094417_629</t>
        </is>
      </c>
      <c r="C3190" s="3" t="inlineStr">
        <is>
          <t>1022906</t>
        </is>
      </c>
      <c r="D3190" s="9" t="n">
        <v>82.09999999999999</v>
      </c>
      <c r="E3190" s="3" t="inlineStr">
        <is>
          <t>727</t>
        </is>
      </c>
      <c r="F3190" s="3" t="inlineStr">
        <is>
          <t>629</t>
        </is>
      </c>
      <c r="G3190" s="9" t="n">
        <v>443.59</v>
      </c>
      <c r="H3190" s="10" t="n">
        <v>45680.40575231481</v>
      </c>
      <c r="I3190" s="10" t="n">
        <v>45680.40575231481</v>
      </c>
      <c r="J3190" s="10" t="n">
        <v>45680.40778935186</v>
      </c>
      <c r="K3190" s="11" t="n">
        <v>0.002037037037037037</v>
      </c>
      <c r="L3190" s="13" t="n"/>
    </row>
    <row r="3191">
      <c r="A3191" s="3" t="inlineStr">
        <is>
          <t>PushOffDrive</t>
        </is>
      </c>
      <c r="B3191" s="3" t="inlineStr">
        <is>
          <t>Act_POD_1022907_094713_617</t>
        </is>
      </c>
      <c r="C3191" s="3" t="inlineStr">
        <is>
          <t>1022907</t>
        </is>
      </c>
      <c r="D3191" s="9" t="n">
        <v>57.4</v>
      </c>
      <c r="E3191" s="3" t="inlineStr">
        <is>
          <t>727</t>
        </is>
      </c>
      <c r="F3191" s="3" t="inlineStr">
        <is>
          <t>617</t>
        </is>
      </c>
      <c r="G3191" s="9" t="n">
        <v>292.28</v>
      </c>
      <c r="H3191" s="10" t="n">
        <v>45680.40778935186</v>
      </c>
      <c r="I3191" s="10" t="n">
        <v>45680.40778935186</v>
      </c>
      <c r="J3191" s="10" t="n">
        <v>45680.40913194444</v>
      </c>
      <c r="K3191" s="11" t="n">
        <v>0.001342592592592592</v>
      </c>
      <c r="L3191" s="13" t="n"/>
    </row>
    <row r="3192">
      <c r="A3192" s="3" t="inlineStr">
        <is>
          <t>PushOffDrive</t>
        </is>
      </c>
      <c r="B3192" s="3" t="inlineStr">
        <is>
          <t>Act_POD_1022908_094909_629</t>
        </is>
      </c>
      <c r="C3192" s="3" t="inlineStr">
        <is>
          <t>1022908</t>
        </is>
      </c>
      <c r="D3192" s="9" t="n">
        <v>19.9</v>
      </c>
      <c r="E3192" s="3" t="inlineStr">
        <is>
          <t>727</t>
        </is>
      </c>
      <c r="F3192" s="3" t="inlineStr">
        <is>
          <t>629</t>
        </is>
      </c>
      <c r="G3192" s="9" t="n">
        <v>443.59</v>
      </c>
      <c r="H3192" s="10" t="n">
        <v>45680.40913194444</v>
      </c>
      <c r="I3192" s="10" t="n">
        <v>45680.40913194444</v>
      </c>
      <c r="J3192" s="10" t="n">
        <v>45680.41103009259</v>
      </c>
      <c r="K3192" s="11" t="n">
        <v>0.001898148148148148</v>
      </c>
      <c r="L3192" s="13" t="n"/>
    </row>
    <row r="3193">
      <c r="A3193" s="3" t="inlineStr">
        <is>
          <t>PushOffDrive</t>
        </is>
      </c>
      <c r="B3193" s="3" t="inlineStr">
        <is>
          <t>Act_POD_1022909_095153_625</t>
        </is>
      </c>
      <c r="C3193" s="3" t="inlineStr">
        <is>
          <t>1022909</t>
        </is>
      </c>
      <c r="D3193" s="9" t="n">
        <v>15.7</v>
      </c>
      <c r="E3193" s="3" t="inlineStr">
        <is>
          <t>727</t>
        </is>
      </c>
      <c r="F3193" s="3" t="inlineStr">
        <is>
          <t>625</t>
        </is>
      </c>
      <c r="G3193" s="9" t="n">
        <v>470.92</v>
      </c>
      <c r="H3193" s="10" t="n">
        <v>45680.41103009259</v>
      </c>
      <c r="I3193" s="10" t="n">
        <v>45680.41103009259</v>
      </c>
      <c r="J3193" s="10" t="n">
        <v>45680.41303240741</v>
      </c>
      <c r="K3193" s="11" t="n">
        <v>0.002002314814814815</v>
      </c>
      <c r="L3193" s="13" t="n"/>
    </row>
    <row r="3194">
      <c r="A3194" s="3" t="inlineStr">
        <is>
          <t>PushOffDrive</t>
        </is>
      </c>
      <c r="B3194" s="3" t="inlineStr">
        <is>
          <t>Act_POD_1022910_095446_619</t>
        </is>
      </c>
      <c r="C3194" s="3" t="inlineStr">
        <is>
          <t>1022910</t>
        </is>
      </c>
      <c r="D3194" s="9" t="n">
        <v>155.9</v>
      </c>
      <c r="E3194" s="3" t="inlineStr">
        <is>
          <t>727</t>
        </is>
      </c>
      <c r="F3194" s="3" t="inlineStr">
        <is>
          <t>619</t>
        </is>
      </c>
      <c r="G3194" s="9" t="n">
        <v>453.13</v>
      </c>
      <c r="H3194" s="10" t="n">
        <v>45680.41303240741</v>
      </c>
      <c r="I3194" s="10" t="n">
        <v>45680.41303240741</v>
      </c>
      <c r="J3194" s="10" t="n">
        <v>45680.41527777778</v>
      </c>
      <c r="K3194" s="11" t="n">
        <v>0.00224537037037037</v>
      </c>
      <c r="L3194" s="13" t="n"/>
    </row>
    <row r="3195">
      <c r="A3195" s="3" t="inlineStr">
        <is>
          <t>PushOffDrive</t>
        </is>
      </c>
      <c r="B3195" s="3" t="inlineStr">
        <is>
          <t>Act_POD_1022911_095800_619</t>
        </is>
      </c>
      <c r="C3195" s="3" t="inlineStr">
        <is>
          <t>1022911</t>
        </is>
      </c>
      <c r="D3195" s="9" t="n">
        <v>21</v>
      </c>
      <c r="E3195" s="3" t="inlineStr">
        <is>
          <t>727</t>
        </is>
      </c>
      <c r="F3195" s="3" t="inlineStr">
        <is>
          <t>619</t>
        </is>
      </c>
      <c r="G3195" s="9" t="n">
        <v>453.13</v>
      </c>
      <c r="H3195" s="10" t="n">
        <v>45680.41527777778</v>
      </c>
      <c r="I3195" s="10" t="n">
        <v>45680.41527777778</v>
      </c>
      <c r="J3195" s="10" t="n">
        <v>45680.41721064815</v>
      </c>
      <c r="K3195" s="11" t="n">
        <v>0.00193287037037037</v>
      </c>
      <c r="L3195" s="13" t="n"/>
    </row>
    <row r="3196">
      <c r="A3196" s="3" t="inlineStr">
        <is>
          <t>PushOffDrive</t>
        </is>
      </c>
      <c r="B3196" s="3" t="inlineStr">
        <is>
          <t>Act_POD_1023001+1023003+1023005_104602_621</t>
        </is>
      </c>
      <c r="C3196" s="3" t="inlineStr">
        <is>
          <t>1023001+1023003+1023005</t>
        </is>
      </c>
      <c r="D3196" s="9" t="n">
        <v>407.8</v>
      </c>
      <c r="E3196" s="3" t="inlineStr">
        <is>
          <t>703</t>
        </is>
      </c>
      <c r="F3196" s="3" t="inlineStr">
        <is>
          <t>621</t>
        </is>
      </c>
      <c r="G3196" s="9" t="n">
        <v>459.96</v>
      </c>
      <c r="H3196" s="10" t="n">
        <v>45680.44863425926</v>
      </c>
      <c r="I3196" s="10" t="n">
        <v>45680.44863425926</v>
      </c>
      <c r="J3196" s="10" t="n">
        <v>45680.45149305555</v>
      </c>
      <c r="K3196" s="11" t="n">
        <v>0.002858796296296296</v>
      </c>
      <c r="L3196" s="13" t="n"/>
    </row>
    <row r="3197">
      <c r="A3197" s="3" t="inlineStr">
        <is>
          <t>PushOffDrive</t>
        </is>
      </c>
      <c r="B3197" s="3" t="inlineStr">
        <is>
          <t>Act_POD_1023101_143949_611</t>
        </is>
      </c>
      <c r="C3197" s="3" t="inlineStr">
        <is>
          <t>1023101</t>
        </is>
      </c>
      <c r="D3197" s="9" t="n">
        <v>396.6</v>
      </c>
      <c r="E3197" s="3" t="inlineStr">
        <is>
          <t>703</t>
        </is>
      </c>
      <c r="F3197" s="3" t="inlineStr">
        <is>
          <t>611</t>
        </is>
      </c>
      <c r="G3197" s="9" t="n">
        <v>324.35</v>
      </c>
      <c r="H3197" s="10" t="n">
        <v>45680.61098379629</v>
      </c>
      <c r="I3197" s="10" t="n">
        <v>45680.61098379629</v>
      </c>
      <c r="J3197" s="10" t="n">
        <v>45680.61325231481</v>
      </c>
      <c r="K3197" s="11" t="n">
        <v>0.002268518518518519</v>
      </c>
      <c r="L3197" s="13" t="n"/>
    </row>
    <row r="3198">
      <c r="A3198" s="3" t="inlineStr">
        <is>
          <t>PushOffDrive</t>
        </is>
      </c>
      <c r="B3198" s="3" t="inlineStr">
        <is>
          <t>Act_POD_1023201_150245_629</t>
        </is>
      </c>
      <c r="C3198" s="3" t="inlineStr">
        <is>
          <t>1023201</t>
        </is>
      </c>
      <c r="D3198" s="9" t="n">
        <v>35.6</v>
      </c>
      <c r="E3198" s="3" t="inlineStr">
        <is>
          <t>727</t>
        </is>
      </c>
      <c r="F3198" s="3" t="inlineStr">
        <is>
          <t>629</t>
        </is>
      </c>
      <c r="G3198" s="9" t="n">
        <v>443.59</v>
      </c>
      <c r="H3198" s="10" t="n">
        <v>45680.62690972222</v>
      </c>
      <c r="I3198" s="10" t="n">
        <v>45680.62690972222</v>
      </c>
      <c r="J3198" s="10" t="n">
        <v>45680.6288425926</v>
      </c>
      <c r="K3198" s="11" t="n">
        <v>0.00193287037037037</v>
      </c>
      <c r="L3198" s="13" t="n"/>
    </row>
    <row r="3199">
      <c r="A3199" s="3" t="inlineStr">
        <is>
          <t>PushOffDrive</t>
        </is>
      </c>
      <c r="B3199" s="3" t="inlineStr">
        <is>
          <t>Act_POD_1023202_150532_621</t>
        </is>
      </c>
      <c r="C3199" s="3" t="inlineStr">
        <is>
          <t>1023202</t>
        </is>
      </c>
      <c r="D3199" s="9" t="n">
        <v>31.9</v>
      </c>
      <c r="E3199" s="3" t="inlineStr">
        <is>
          <t>727</t>
        </is>
      </c>
      <c r="F3199" s="3" t="inlineStr">
        <is>
          <t>621</t>
        </is>
      </c>
      <c r="G3199" s="9" t="n">
        <v>453.13</v>
      </c>
      <c r="H3199" s="10" t="n">
        <v>45680.6288425926</v>
      </c>
      <c r="I3199" s="10" t="n">
        <v>45680.6288425926</v>
      </c>
      <c r="J3199" s="10" t="n">
        <v>45680.63079861111</v>
      </c>
      <c r="K3199" s="11" t="n">
        <v>0.001956018518518518</v>
      </c>
      <c r="L3199" s="13" t="n"/>
    </row>
    <row r="3200">
      <c r="A3200" s="3" t="inlineStr">
        <is>
          <t>PushOffDrive</t>
        </is>
      </c>
      <c r="B3200" s="3" t="inlineStr">
        <is>
          <t>Act_POD_1023203_150821_629</t>
        </is>
      </c>
      <c r="C3200" s="3" t="inlineStr">
        <is>
          <t>1023203</t>
        </is>
      </c>
      <c r="D3200" s="9" t="n">
        <v>15.7</v>
      </c>
      <c r="E3200" s="3" t="inlineStr">
        <is>
          <t>727</t>
        </is>
      </c>
      <c r="F3200" s="3" t="inlineStr">
        <is>
          <t>629</t>
        </is>
      </c>
      <c r="G3200" s="9" t="n">
        <v>443.59</v>
      </c>
      <c r="H3200" s="10" t="n">
        <v>45680.63079861111</v>
      </c>
      <c r="I3200" s="10" t="n">
        <v>45680.63079861111</v>
      </c>
      <c r="J3200" s="10" t="n">
        <v>45680.63268518518</v>
      </c>
      <c r="K3200" s="11" t="n">
        <v>0.001886574074074074</v>
      </c>
      <c r="L3200" s="13" t="n"/>
    </row>
    <row r="3201">
      <c r="A3201" s="3" t="inlineStr">
        <is>
          <t>PushOffDrive</t>
        </is>
      </c>
      <c r="B3201" s="3" t="inlineStr">
        <is>
          <t>Act_POD_1023204_151104_623</t>
        </is>
      </c>
      <c r="C3201" s="3" t="inlineStr">
        <is>
          <t>1023204</t>
        </is>
      </c>
      <c r="D3201" s="9" t="n">
        <v>15.7</v>
      </c>
      <c r="E3201" s="3" t="inlineStr">
        <is>
          <t>727</t>
        </is>
      </c>
      <c r="F3201" s="3" t="inlineStr">
        <is>
          <t>623</t>
        </is>
      </c>
      <c r="G3201" s="9" t="n">
        <v>405.22</v>
      </c>
      <c r="H3201" s="10" t="n">
        <v>45680.63268518518</v>
      </c>
      <c r="I3201" s="10" t="n">
        <v>45680.63268518518</v>
      </c>
      <c r="J3201" s="10" t="n">
        <v>45680.63440972222</v>
      </c>
      <c r="K3201" s="11" t="n">
        <v>0.001724537037037037</v>
      </c>
      <c r="L3201" s="13" t="n"/>
    </row>
    <row r="3202">
      <c r="A3202" s="3" t="inlineStr">
        <is>
          <t>PushOffDrive</t>
        </is>
      </c>
      <c r="B3202" s="3" t="inlineStr">
        <is>
          <t>Act_POD_1023205_151333_629</t>
        </is>
      </c>
      <c r="C3202" s="3" t="inlineStr">
        <is>
          <t>1023205</t>
        </is>
      </c>
      <c r="D3202" s="9" t="n">
        <v>39.8</v>
      </c>
      <c r="E3202" s="3" t="inlineStr">
        <is>
          <t>727</t>
        </is>
      </c>
      <c r="F3202" s="3" t="inlineStr">
        <is>
          <t>629</t>
        </is>
      </c>
      <c r="G3202" s="9" t="n">
        <v>443.59</v>
      </c>
      <c r="H3202" s="10" t="n">
        <v>45680.63440972222</v>
      </c>
      <c r="I3202" s="10" t="n">
        <v>45680.63440972222</v>
      </c>
      <c r="J3202" s="10" t="n">
        <v>45680.63635416667</v>
      </c>
      <c r="K3202" s="11" t="n">
        <v>0.001944444444444444</v>
      </c>
      <c r="L3202" s="13" t="n"/>
    </row>
    <row r="3203">
      <c r="A3203" s="3" t="inlineStr">
        <is>
          <t>PushOffDrive</t>
        </is>
      </c>
      <c r="B3203" s="3" t="inlineStr">
        <is>
          <t>Act_POD_1023206_151621_627</t>
        </is>
      </c>
      <c r="C3203" s="3" t="inlineStr">
        <is>
          <t>1023206</t>
        </is>
      </c>
      <c r="D3203" s="9" t="n">
        <v>15.7</v>
      </c>
      <c r="E3203" s="3" t="inlineStr">
        <is>
          <t>727</t>
        </is>
      </c>
      <c r="F3203" s="3" t="inlineStr">
        <is>
          <t>627</t>
        </is>
      </c>
      <c r="G3203" s="9" t="n">
        <v>443.59</v>
      </c>
      <c r="H3203" s="10" t="n">
        <v>45680.63635416667</v>
      </c>
      <c r="I3203" s="10" t="n">
        <v>45680.63635416667</v>
      </c>
      <c r="J3203" s="10" t="n">
        <v>45680.63822916667</v>
      </c>
      <c r="K3203" s="11" t="n">
        <v>0.001875</v>
      </c>
      <c r="L3203" s="13" t="n"/>
    </row>
    <row r="3204">
      <c r="A3204" s="3" t="inlineStr">
        <is>
          <t>PushOffDrive</t>
        </is>
      </c>
      <c r="B3204" s="3" t="inlineStr">
        <is>
          <t>Act_POD_1023501_172905_619</t>
        </is>
      </c>
      <c r="C3204" s="3" t="inlineStr">
        <is>
          <t>1023501</t>
        </is>
      </c>
      <c r="D3204" s="9" t="n">
        <v>21</v>
      </c>
      <c r="E3204" s="3" t="inlineStr">
        <is>
          <t>703</t>
        </is>
      </c>
      <c r="F3204" s="3" t="inlineStr">
        <is>
          <t>619</t>
        </is>
      </c>
      <c r="G3204" s="9" t="n">
        <v>459.96</v>
      </c>
      <c r="H3204" s="10" t="n">
        <v>45680.72853009259</v>
      </c>
      <c r="I3204" s="10" t="n">
        <v>45680.72853009259</v>
      </c>
      <c r="J3204" s="10" t="n">
        <v>45680.73049768519</v>
      </c>
      <c r="K3204" s="11" t="n">
        <v>0.001967592592592592</v>
      </c>
      <c r="L3204" s="13" t="n"/>
    </row>
    <row r="3205">
      <c r="A3205" s="3" t="inlineStr">
        <is>
          <t>PushOffDrive</t>
        </is>
      </c>
      <c r="B3205" s="3" t="inlineStr">
        <is>
          <t>Act_POD_1023502_173155_627</t>
        </is>
      </c>
      <c r="C3205" s="3" t="inlineStr">
        <is>
          <t>1023502</t>
        </is>
      </c>
      <c r="D3205" s="9" t="n">
        <v>15.7</v>
      </c>
      <c r="E3205" s="3" t="inlineStr">
        <is>
          <t>703</t>
        </is>
      </c>
      <c r="F3205" s="3" t="inlineStr">
        <is>
          <t>627</t>
        </is>
      </c>
      <c r="G3205" s="9" t="n">
        <v>450.42</v>
      </c>
      <c r="H3205" s="10" t="n">
        <v>45680.73049768519</v>
      </c>
      <c r="I3205" s="10" t="n">
        <v>45680.73049768519</v>
      </c>
      <c r="J3205" s="10" t="n">
        <v>45680.73240740741</v>
      </c>
      <c r="K3205" s="11" t="n">
        <v>0.001909722222222222</v>
      </c>
      <c r="L3205" s="13" t="n"/>
    </row>
    <row r="3206">
      <c r="A3206" s="3" t="inlineStr">
        <is>
          <t>PushOffDrive</t>
        </is>
      </c>
      <c r="B3206" s="3" t="inlineStr">
        <is>
          <t>Act_POD_1023503_173440_629</t>
        </is>
      </c>
      <c r="C3206" s="3" t="inlineStr">
        <is>
          <t>1023503</t>
        </is>
      </c>
      <c r="D3206" s="9" t="n">
        <v>39</v>
      </c>
      <c r="E3206" s="3" t="inlineStr">
        <is>
          <t>703</t>
        </is>
      </c>
      <c r="F3206" s="3" t="inlineStr">
        <is>
          <t>629</t>
        </is>
      </c>
      <c r="G3206" s="9" t="n">
        <v>450.42</v>
      </c>
      <c r="H3206" s="10" t="n">
        <v>45680.73240740741</v>
      </c>
      <c r="I3206" s="10" t="n">
        <v>45680.73240740741</v>
      </c>
      <c r="J3206" s="10" t="n">
        <v>45680.734375</v>
      </c>
      <c r="K3206" s="11" t="n">
        <v>0.001967592592592592</v>
      </c>
      <c r="L3206" s="13" t="n"/>
    </row>
    <row r="3207">
      <c r="A3207" s="3" t="inlineStr">
        <is>
          <t>PushOffDrive</t>
        </is>
      </c>
      <c r="B3207" s="3" t="inlineStr">
        <is>
          <t>Act_POD_1023504_173730_615</t>
        </is>
      </c>
      <c r="C3207" s="3" t="inlineStr">
        <is>
          <t>1023504</t>
        </is>
      </c>
      <c r="D3207" s="9" t="n">
        <v>27</v>
      </c>
      <c r="E3207" s="3" t="inlineStr">
        <is>
          <t>703</t>
        </is>
      </c>
      <c r="F3207" s="3" t="inlineStr">
        <is>
          <t>615</t>
        </is>
      </c>
      <c r="G3207" s="9" t="n">
        <v>269.92</v>
      </c>
      <c r="H3207" s="10" t="n">
        <v>45680.734375</v>
      </c>
      <c r="I3207" s="10" t="n">
        <v>45680.734375</v>
      </c>
      <c r="J3207" s="10" t="n">
        <v>45680.73556712963</v>
      </c>
      <c r="K3207" s="11" t="n">
        <v>0.00119212962962963</v>
      </c>
      <c r="L3207" s="13" t="n"/>
    </row>
    <row r="3208">
      <c r="A3208" s="3" t="inlineStr">
        <is>
          <t>PushOffDrive</t>
        </is>
      </c>
      <c r="B3208" s="3" t="inlineStr">
        <is>
          <t>Act_POD_1023505_173913_607</t>
        </is>
      </c>
      <c r="C3208" s="3" t="inlineStr">
        <is>
          <t>1023505</t>
        </is>
      </c>
      <c r="D3208" s="9" t="n">
        <v>19.9</v>
      </c>
      <c r="E3208" s="3" t="inlineStr">
        <is>
          <t>703</t>
        </is>
      </c>
      <c r="F3208" s="3" t="inlineStr">
        <is>
          <t>607</t>
        </is>
      </c>
      <c r="G3208" s="9" t="n">
        <v>378.4</v>
      </c>
      <c r="H3208" s="10" t="n">
        <v>45680.73556712963</v>
      </c>
      <c r="I3208" s="10" t="n">
        <v>45680.73556712963</v>
      </c>
      <c r="J3208" s="10" t="n">
        <v>45680.7371875</v>
      </c>
      <c r="K3208" s="11" t="n">
        <v>0.00162037037037037</v>
      </c>
      <c r="L3208" s="13" t="n"/>
    </row>
    <row r="3209">
      <c r="A3209" s="3" t="inlineStr">
        <is>
          <t>PushOffDrive</t>
        </is>
      </c>
      <c r="B3209" s="3" t="inlineStr">
        <is>
          <t>Act_POD_1023506_174133_623</t>
        </is>
      </c>
      <c r="C3209" s="3" t="inlineStr">
        <is>
          <t>1023506</t>
        </is>
      </c>
      <c r="D3209" s="9" t="n">
        <v>15.7</v>
      </c>
      <c r="E3209" s="3" t="inlineStr">
        <is>
          <t>703</t>
        </is>
      </c>
      <c r="F3209" s="3" t="inlineStr">
        <is>
          <t>623</t>
        </is>
      </c>
      <c r="G3209" s="9" t="n">
        <v>412.05</v>
      </c>
      <c r="H3209" s="10" t="n">
        <v>45680.7371875</v>
      </c>
      <c r="I3209" s="10" t="n">
        <v>45680.7371875</v>
      </c>
      <c r="J3209" s="10" t="n">
        <v>45680.73893518518</v>
      </c>
      <c r="K3209" s="11" t="n">
        <v>0.001747685185185185</v>
      </c>
      <c r="L3209" s="13" t="n"/>
    </row>
    <row r="3210">
      <c r="A3210" s="3" t="inlineStr">
        <is>
          <t>PushOffDrive</t>
        </is>
      </c>
      <c r="B3210" s="3" t="inlineStr">
        <is>
          <t>Act_POD_1023507_174404_625</t>
        </is>
      </c>
      <c r="C3210" s="3" t="inlineStr">
        <is>
          <t>1023507</t>
        </is>
      </c>
      <c r="D3210" s="9" t="n">
        <v>15.7</v>
      </c>
      <c r="E3210" s="3" t="inlineStr">
        <is>
          <t>703</t>
        </is>
      </c>
      <c r="F3210" s="3" t="inlineStr">
        <is>
          <t>625</t>
        </is>
      </c>
      <c r="G3210" s="9" t="n">
        <v>477.75</v>
      </c>
      <c r="H3210" s="10" t="n">
        <v>45680.73893518518</v>
      </c>
      <c r="I3210" s="10" t="n">
        <v>45680.73893518518</v>
      </c>
      <c r="J3210" s="10" t="n">
        <v>45680.74096064815</v>
      </c>
      <c r="K3210" s="11" t="n">
        <v>0.002025462962962963</v>
      </c>
      <c r="L3210" s="13" t="n"/>
    </row>
    <row r="3211">
      <c r="A3211" s="3" t="inlineStr">
        <is>
          <t>PushOffDrive</t>
        </is>
      </c>
      <c r="B3211" s="3" t="inlineStr">
        <is>
          <t>Act_POD_1023508_174659_607</t>
        </is>
      </c>
      <c r="C3211" s="3" t="inlineStr">
        <is>
          <t>1023508</t>
        </is>
      </c>
      <c r="D3211" s="9" t="n">
        <v>15.7</v>
      </c>
      <c r="E3211" s="3" t="inlineStr">
        <is>
          <t>703</t>
        </is>
      </c>
      <c r="F3211" s="3" t="inlineStr">
        <is>
          <t>607</t>
        </is>
      </c>
      <c r="G3211" s="9" t="n">
        <v>378.4</v>
      </c>
      <c r="H3211" s="10" t="n">
        <v>45680.74096064815</v>
      </c>
      <c r="I3211" s="10" t="n">
        <v>45680.74096064815</v>
      </c>
      <c r="J3211" s="10" t="n">
        <v>45680.74258101852</v>
      </c>
      <c r="K3211" s="11" t="n">
        <v>0.00162037037037037</v>
      </c>
      <c r="L3211" s="13" t="n"/>
    </row>
    <row r="3212">
      <c r="A3212" s="3" t="inlineStr">
        <is>
          <t>PushOffDrive</t>
        </is>
      </c>
      <c r="B3212" s="3" t="inlineStr">
        <is>
          <t>Act_POD_1023509_174919_615</t>
        </is>
      </c>
      <c r="C3212" s="3" t="inlineStr">
        <is>
          <t>1023509</t>
        </is>
      </c>
      <c r="D3212" s="9" t="n">
        <v>15.7</v>
      </c>
      <c r="E3212" s="3" t="inlineStr">
        <is>
          <t>703</t>
        </is>
      </c>
      <c r="F3212" s="3" t="inlineStr">
        <is>
          <t>615</t>
        </is>
      </c>
      <c r="G3212" s="9" t="n">
        <v>269.92</v>
      </c>
      <c r="H3212" s="10" t="n">
        <v>45680.74258101852</v>
      </c>
      <c r="I3212" s="10" t="n">
        <v>45680.74258101852</v>
      </c>
      <c r="J3212" s="10" t="n">
        <v>45680.74373842592</v>
      </c>
      <c r="K3212" s="11" t="n">
        <v>0.001157407407407407</v>
      </c>
      <c r="L3212" s="13" t="n"/>
    </row>
    <row r="3213">
      <c r="A3213" s="3" t="inlineStr">
        <is>
          <t>PushOffDrive</t>
        </is>
      </c>
      <c r="B3213" s="3" t="inlineStr">
        <is>
          <t>Act_POD_1023510_175059_629</t>
        </is>
      </c>
      <c r="C3213" s="3" t="inlineStr">
        <is>
          <t>1023510</t>
        </is>
      </c>
      <c r="D3213" s="9" t="n">
        <v>14</v>
      </c>
      <c r="E3213" s="3" t="inlineStr">
        <is>
          <t>703</t>
        </is>
      </c>
      <c r="F3213" s="3" t="inlineStr">
        <is>
          <t>629</t>
        </is>
      </c>
      <c r="G3213" s="9" t="n">
        <v>450.42</v>
      </c>
      <c r="H3213" s="10" t="n">
        <v>45680.74373842592</v>
      </c>
      <c r="I3213" s="10" t="n">
        <v>45680.74373842592</v>
      </c>
      <c r="J3213" s="10" t="n">
        <v>45680.74564814815</v>
      </c>
      <c r="K3213" s="11" t="n">
        <v>0.001909722222222222</v>
      </c>
      <c r="L3213" s="13" t="n"/>
    </row>
    <row r="3214">
      <c r="A3214" s="3" t="inlineStr">
        <is>
          <t>PushOffDrive</t>
        </is>
      </c>
      <c r="B3214" s="3" t="inlineStr">
        <is>
          <t>Act_POD_1023511_175344_613</t>
        </is>
      </c>
      <c r="C3214" s="3" t="inlineStr">
        <is>
          <t>1023511</t>
        </is>
      </c>
      <c r="D3214" s="9" t="n">
        <v>117.7</v>
      </c>
      <c r="E3214" s="3" t="inlineStr">
        <is>
          <t>703</t>
        </is>
      </c>
      <c r="F3214" s="3" t="inlineStr">
        <is>
          <t>613</t>
        </is>
      </c>
      <c r="G3214" s="9" t="n">
        <v>297.43</v>
      </c>
      <c r="H3214" s="10" t="n">
        <v>45680.74564814815</v>
      </c>
      <c r="I3214" s="10" t="n">
        <v>45680.74564814815</v>
      </c>
      <c r="J3214" s="10" t="n">
        <v>45680.74716435185</v>
      </c>
      <c r="K3214" s="11" t="n">
        <v>0.001516203703703704</v>
      </c>
      <c r="L3214" s="13" t="n"/>
    </row>
    <row r="3215">
      <c r="A3215" s="3" t="inlineStr">
        <is>
          <t>PushOffDrive</t>
        </is>
      </c>
      <c r="B3215" s="3" t="inlineStr">
        <is>
          <t>Act_POD_1023512_175555_615</t>
        </is>
      </c>
      <c r="C3215" s="3" t="inlineStr">
        <is>
          <t>1023512</t>
        </is>
      </c>
      <c r="D3215" s="9" t="n">
        <v>14</v>
      </c>
      <c r="E3215" s="3" t="inlineStr">
        <is>
          <t>703</t>
        </is>
      </c>
      <c r="F3215" s="3" t="inlineStr">
        <is>
          <t>615</t>
        </is>
      </c>
      <c r="G3215" s="9" t="n">
        <v>269.92</v>
      </c>
      <c r="H3215" s="10" t="n">
        <v>45680.74716435185</v>
      </c>
      <c r="I3215" s="10" t="n">
        <v>45680.74716435185</v>
      </c>
      <c r="J3215" s="10" t="n">
        <v>45680.74832175926</v>
      </c>
      <c r="K3215" s="11" t="n">
        <v>0.001157407407407407</v>
      </c>
      <c r="L3215" s="13" t="n"/>
    </row>
    <row r="3216">
      <c r="A3216" s="3" t="inlineStr">
        <is>
          <t>PushOffDrive</t>
        </is>
      </c>
      <c r="B3216" s="3" t="inlineStr">
        <is>
          <t>Act_POD_1023601_175850_609</t>
        </is>
      </c>
      <c r="C3216" s="3" t="inlineStr">
        <is>
          <t>1023601</t>
        </is>
      </c>
      <c r="D3216" s="9" t="n">
        <v>54.7</v>
      </c>
      <c r="E3216" s="3" t="inlineStr">
        <is>
          <t>731</t>
        </is>
      </c>
      <c r="F3216" s="3" t="inlineStr">
        <is>
          <t>609</t>
        </is>
      </c>
      <c r="G3216" s="9" t="n">
        <v>435.76</v>
      </c>
      <c r="H3216" s="10" t="n">
        <v>45680.74918981481</v>
      </c>
      <c r="I3216" s="10" t="n">
        <v>45680.74918981481</v>
      </c>
      <c r="J3216" s="10" t="n">
        <v>45680.75112268519</v>
      </c>
      <c r="K3216" s="11" t="n">
        <v>0.00193287037037037</v>
      </c>
      <c r="L3216" s="13" t="n"/>
    </row>
    <row r="3217">
      <c r="A3217" s="3" t="inlineStr">
        <is>
          <t>PushOffDrive</t>
        </is>
      </c>
      <c r="B3217" s="3" t="inlineStr">
        <is>
          <t>Act_POD_1023701_210626_609</t>
        </is>
      </c>
      <c r="C3217" s="3" t="inlineStr">
        <is>
          <t>1023701</t>
        </is>
      </c>
      <c r="D3217" s="9" t="n">
        <v>85.5</v>
      </c>
      <c r="E3217" s="3" t="inlineStr">
        <is>
          <t>703</t>
        </is>
      </c>
      <c r="F3217" s="3" t="inlineStr">
        <is>
          <t>609</t>
        </is>
      </c>
      <c r="G3217" s="9" t="n">
        <v>350.87</v>
      </c>
      <c r="H3217" s="10" t="n">
        <v>45680.87946759259</v>
      </c>
      <c r="I3217" s="10" t="n">
        <v>45680.87946759259</v>
      </c>
      <c r="J3217" s="10" t="n">
        <v>45680.88112268518</v>
      </c>
      <c r="K3217" s="11" t="n">
        <v>0.001655092592592593</v>
      </c>
      <c r="L3217" s="13" t="n"/>
    </row>
    <row r="3218">
      <c r="A3218" s="3" t="inlineStr">
        <is>
          <t>PushOffDrive</t>
        </is>
      </c>
      <c r="B3218" s="3" t="inlineStr">
        <is>
          <t>Act_POD_1023801_025621_627</t>
        </is>
      </c>
      <c r="C3218" s="3" t="inlineStr">
        <is>
          <t>1023801</t>
        </is>
      </c>
      <c r="D3218" s="9" t="n">
        <v>31.5</v>
      </c>
      <c r="E3218" s="3" t="inlineStr">
        <is>
          <t>703</t>
        </is>
      </c>
      <c r="F3218" s="3" t="inlineStr">
        <is>
          <t>627</t>
        </is>
      </c>
      <c r="G3218" s="9" t="n">
        <v>450.42</v>
      </c>
      <c r="H3218" s="10" t="n">
        <v>45681.12246527777</v>
      </c>
      <c r="I3218" s="10" t="n">
        <v>45681.12246527777</v>
      </c>
      <c r="J3218" s="10" t="n">
        <v>45681.12440972222</v>
      </c>
      <c r="K3218" s="11" t="n">
        <v>0.001944444444444444</v>
      </c>
      <c r="L3218" s="13" t="n"/>
    </row>
    <row r="3219">
      <c r="A3219" s="3" t="inlineStr">
        <is>
          <t>PushOffDrive</t>
        </is>
      </c>
      <c r="B3219" s="3" t="inlineStr">
        <is>
          <t>Act_POD_1023802_025909_619</t>
        </is>
      </c>
      <c r="C3219" s="3" t="inlineStr">
        <is>
          <t>1023802</t>
        </is>
      </c>
      <c r="D3219" s="9" t="n">
        <v>164.7</v>
      </c>
      <c r="E3219" s="3" t="inlineStr">
        <is>
          <t>703</t>
        </is>
      </c>
      <c r="F3219" s="3" t="inlineStr">
        <is>
          <t>619</t>
        </is>
      </c>
      <c r="G3219" s="9" t="n">
        <v>459.96</v>
      </c>
      <c r="H3219" s="10" t="n">
        <v>45681.12440972222</v>
      </c>
      <c r="I3219" s="10" t="n">
        <v>45681.12440972222</v>
      </c>
      <c r="J3219" s="10" t="n">
        <v>45681.12671296296</v>
      </c>
      <c r="K3219" s="11" t="n">
        <v>0.002303240740740741</v>
      </c>
      <c r="L3219" s="13" t="n"/>
    </row>
    <row r="3220">
      <c r="A3220" s="3" t="inlineStr">
        <is>
          <t>PushOffDrive</t>
        </is>
      </c>
      <c r="B3220" s="3" t="inlineStr">
        <is>
          <t>Act_POD_1023803_030228_615</t>
        </is>
      </c>
      <c r="C3220" s="3" t="inlineStr">
        <is>
          <t>1023803</t>
        </is>
      </c>
      <c r="D3220" s="9" t="n">
        <v>35.6</v>
      </c>
      <c r="E3220" s="3" t="inlineStr">
        <is>
          <t>703</t>
        </is>
      </c>
      <c r="F3220" s="3" t="inlineStr">
        <is>
          <t>615</t>
        </is>
      </c>
      <c r="G3220" s="9" t="n">
        <v>269.92</v>
      </c>
      <c r="H3220" s="10" t="n">
        <v>45681.12671296296</v>
      </c>
      <c r="I3220" s="10" t="n">
        <v>45681.12671296296</v>
      </c>
      <c r="J3220" s="10" t="n">
        <v>45681.12791666666</v>
      </c>
      <c r="K3220" s="11" t="n">
        <v>0.001203703703703704</v>
      </c>
      <c r="L3220" s="13" t="n"/>
    </row>
    <row r="3221">
      <c r="A3221" s="3" t="inlineStr">
        <is>
          <t>PushOffDrive</t>
        </is>
      </c>
      <c r="B3221" s="3" t="inlineStr">
        <is>
          <t>Act_POD_1023804_030412_621</t>
        </is>
      </c>
      <c r="C3221" s="3" t="inlineStr">
        <is>
          <t>1023804</t>
        </is>
      </c>
      <c r="D3221" s="9" t="n">
        <v>12</v>
      </c>
      <c r="E3221" s="3" t="inlineStr">
        <is>
          <t>703</t>
        </is>
      </c>
      <c r="F3221" s="3" t="inlineStr">
        <is>
          <t>621</t>
        </is>
      </c>
      <c r="G3221" s="9" t="n">
        <v>459.96</v>
      </c>
      <c r="H3221" s="10" t="n">
        <v>45681.12791666666</v>
      </c>
      <c r="I3221" s="10" t="n">
        <v>45681.12791666666</v>
      </c>
      <c r="J3221" s="10" t="n">
        <v>45681.12986111111</v>
      </c>
      <c r="K3221" s="11" t="n">
        <v>0.001944444444444444</v>
      </c>
      <c r="L3221" s="13" t="n"/>
    </row>
    <row r="3222">
      <c r="A3222" s="3" t="inlineStr">
        <is>
          <t>PushOffDrive</t>
        </is>
      </c>
      <c r="B3222" s="3" t="inlineStr">
        <is>
          <t>Act_POD_1023805_030700_615</t>
        </is>
      </c>
      <c r="C3222" s="3" t="inlineStr">
        <is>
          <t>1023805</t>
        </is>
      </c>
      <c r="D3222" s="9" t="n">
        <v>51.4</v>
      </c>
      <c r="E3222" s="3" t="inlineStr">
        <is>
          <t>703</t>
        </is>
      </c>
      <c r="F3222" s="3" t="inlineStr">
        <is>
          <t>615</t>
        </is>
      </c>
      <c r="G3222" s="9" t="n">
        <v>269.92</v>
      </c>
      <c r="H3222" s="10" t="n">
        <v>45681.12986111111</v>
      </c>
      <c r="I3222" s="10" t="n">
        <v>45681.12986111111</v>
      </c>
      <c r="J3222" s="10" t="n">
        <v>45681.13111111111</v>
      </c>
      <c r="K3222" s="11" t="n">
        <v>0.00125</v>
      </c>
      <c r="L3222" s="13" t="n"/>
    </row>
    <row r="3223">
      <c r="A3223" s="3" t="inlineStr">
        <is>
          <t>PushOffDrive</t>
        </is>
      </c>
      <c r="B3223" s="3" t="inlineStr">
        <is>
          <t>Act_POD_1023901_044104_623</t>
        </is>
      </c>
      <c r="C3223" s="3" t="inlineStr">
        <is>
          <t>1023901</t>
        </is>
      </c>
      <c r="D3223" s="9" t="n">
        <v>118.2</v>
      </c>
      <c r="E3223" s="3" t="inlineStr">
        <is>
          <t>703</t>
        </is>
      </c>
      <c r="F3223" s="3" t="inlineStr">
        <is>
          <t>623</t>
        </is>
      </c>
      <c r="G3223" s="9" t="n">
        <v>412.05</v>
      </c>
      <c r="H3223" s="10" t="n">
        <v>45681.19518518518</v>
      </c>
      <c r="I3223" s="10" t="n">
        <v>45681.19518518518</v>
      </c>
      <c r="J3223" s="10" t="n">
        <v>45681.19717592592</v>
      </c>
      <c r="K3223" s="11" t="n">
        <v>0.001990740740740741</v>
      </c>
      <c r="L3223" s="13" t="n"/>
    </row>
    <row r="3224">
      <c r="A3224" s="3" t="inlineStr">
        <is>
          <t>PushOffDrive</t>
        </is>
      </c>
      <c r="B3224" s="3" t="inlineStr">
        <is>
          <t>Act_POD_1024001_062243_615</t>
        </is>
      </c>
      <c r="C3224" s="3" t="inlineStr">
        <is>
          <t>1024001</t>
        </is>
      </c>
      <c r="D3224" s="9" t="n">
        <v>297</v>
      </c>
      <c r="E3224" s="3" t="inlineStr">
        <is>
          <t>703</t>
        </is>
      </c>
      <c r="F3224" s="3" t="inlineStr">
        <is>
          <t>615</t>
        </is>
      </c>
      <c r="G3224" s="9" t="n">
        <v>269.92</v>
      </c>
      <c r="H3224" s="10" t="n">
        <v>45681.26577546296</v>
      </c>
      <c r="I3224" s="10" t="n">
        <v>45681.26577546296</v>
      </c>
      <c r="J3224" s="10" t="n">
        <v>45681.26759259259</v>
      </c>
      <c r="K3224" s="11" t="n">
        <v>0.00181712962962963</v>
      </c>
      <c r="L3224" s="13" t="n"/>
    </row>
    <row r="3225">
      <c r="A3225" s="3" t="inlineStr">
        <is>
          <t>PushOffDrive</t>
        </is>
      </c>
      <c r="B3225" s="3" t="inlineStr">
        <is>
          <t>Act_POD_1024101_070737_606</t>
        </is>
      </c>
      <c r="C3225" s="3" t="inlineStr">
        <is>
          <t>1024101</t>
        </is>
      </c>
      <c r="D3225" s="9" t="n">
        <v>240.4</v>
      </c>
      <c r="E3225" s="3" t="inlineStr">
        <is>
          <t>703</t>
        </is>
      </c>
      <c r="F3225" s="3" t="inlineStr">
        <is>
          <t>606</t>
        </is>
      </c>
      <c r="G3225" s="9" t="n">
        <v>405.03</v>
      </c>
      <c r="H3225" s="10" t="n">
        <v>45681.29695601852</v>
      </c>
      <c r="I3225" s="10" t="n">
        <v>45681.29695601852</v>
      </c>
      <c r="J3225" s="10" t="n">
        <v>45681.29920138889</v>
      </c>
      <c r="K3225" s="11" t="n">
        <v>0.00224537037037037</v>
      </c>
      <c r="L3225" s="13" t="n"/>
    </row>
    <row r="3226">
      <c r="A3226" s="3" t="inlineStr">
        <is>
          <t>PushOffDrive</t>
        </is>
      </c>
      <c r="B3226" s="3" t="inlineStr">
        <is>
          <t>Act_POD_1024201_074156_615</t>
        </is>
      </c>
      <c r="C3226" s="3" t="inlineStr">
        <is>
          <t>1024201</t>
        </is>
      </c>
      <c r="D3226" s="9" t="n">
        <v>42</v>
      </c>
      <c r="E3226" s="3" t="inlineStr">
        <is>
          <t>703</t>
        </is>
      </c>
      <c r="F3226" s="3" t="inlineStr">
        <is>
          <t>615</t>
        </is>
      </c>
      <c r="G3226" s="9" t="n">
        <v>269.92</v>
      </c>
      <c r="H3226" s="10" t="n">
        <v>45681.32078703704</v>
      </c>
      <c r="I3226" s="10" t="n">
        <v>45681.32078703704</v>
      </c>
      <c r="J3226" s="10" t="n">
        <v>45681.32200231482</v>
      </c>
      <c r="K3226" s="11" t="n">
        <v>0.001215277777777778</v>
      </c>
      <c r="L3226" s="13" t="n"/>
    </row>
    <row r="3227">
      <c r="A3227" s="3" t="inlineStr">
        <is>
          <t>PushOffDrive</t>
        </is>
      </c>
      <c r="B3227" s="3" t="inlineStr">
        <is>
          <t>Act_POD_1024202_074341_621</t>
        </is>
      </c>
      <c r="C3227" s="3" t="inlineStr">
        <is>
          <t>1024202</t>
        </is>
      </c>
      <c r="D3227" s="9" t="n">
        <v>15.7</v>
      </c>
      <c r="E3227" s="3" t="inlineStr">
        <is>
          <t>703</t>
        </is>
      </c>
      <c r="F3227" s="3" t="inlineStr">
        <is>
          <t>621</t>
        </is>
      </c>
      <c r="G3227" s="9" t="n">
        <v>459.96</v>
      </c>
      <c r="H3227" s="10" t="n">
        <v>45681.32200231482</v>
      </c>
      <c r="I3227" s="10" t="n">
        <v>45681.32200231482</v>
      </c>
      <c r="J3227" s="10" t="n">
        <v>45681.32395833333</v>
      </c>
      <c r="K3227" s="11" t="n">
        <v>0.001956018518518518</v>
      </c>
      <c r="L3227" s="13" t="n"/>
    </row>
    <row r="3228">
      <c r="A3228" s="3" t="inlineStr">
        <is>
          <t>PushOffDrive</t>
        </is>
      </c>
      <c r="B3228" s="3" t="inlineStr">
        <is>
          <t>Act_POD_1024206_074630_615</t>
        </is>
      </c>
      <c r="C3228" s="3" t="inlineStr">
        <is>
          <t>1024206</t>
        </is>
      </c>
      <c r="D3228" s="9" t="n">
        <v>27</v>
      </c>
      <c r="E3228" s="3" t="inlineStr">
        <is>
          <t>703</t>
        </is>
      </c>
      <c r="F3228" s="3" t="inlineStr">
        <is>
          <t>615</t>
        </is>
      </c>
      <c r="G3228" s="9" t="n">
        <v>269.92</v>
      </c>
      <c r="H3228" s="10" t="n">
        <v>45681.32395833333</v>
      </c>
      <c r="I3228" s="10" t="n">
        <v>45681.32395833333</v>
      </c>
      <c r="J3228" s="10" t="n">
        <v>45681.32513888889</v>
      </c>
      <c r="K3228" s="11" t="n">
        <v>0.001180555555555556</v>
      </c>
      <c r="L3228" s="13" t="n"/>
    </row>
    <row r="3229">
      <c r="A3229" s="3" t="inlineStr">
        <is>
          <t>PushOffDrive</t>
        </is>
      </c>
      <c r="B3229" s="3" t="inlineStr">
        <is>
          <t>Act_POD_1024208_074812_621</t>
        </is>
      </c>
      <c r="C3229" s="3" t="inlineStr">
        <is>
          <t>1024208</t>
        </is>
      </c>
      <c r="D3229" s="9" t="n">
        <v>12</v>
      </c>
      <c r="E3229" s="3" t="inlineStr">
        <is>
          <t>703</t>
        </is>
      </c>
      <c r="F3229" s="3" t="inlineStr">
        <is>
          <t>621</t>
        </is>
      </c>
      <c r="G3229" s="9" t="n">
        <v>459.96</v>
      </c>
      <c r="H3229" s="10" t="n">
        <v>45681.32513888889</v>
      </c>
      <c r="I3229" s="10" t="n">
        <v>45681.32513888889</v>
      </c>
      <c r="J3229" s="10" t="n">
        <v>45681.32708333333</v>
      </c>
      <c r="K3229" s="11" t="n">
        <v>0.001944444444444444</v>
      </c>
      <c r="L3229" s="13" t="n"/>
    </row>
    <row r="3230">
      <c r="A3230" s="3" t="inlineStr">
        <is>
          <t>PushOffDrive</t>
        </is>
      </c>
      <c r="B3230" s="3" t="inlineStr">
        <is>
          <t>Act_POD_1024210_075100_623</t>
        </is>
      </c>
      <c r="C3230" s="3" t="inlineStr">
        <is>
          <t>1024210</t>
        </is>
      </c>
      <c r="D3230" s="9" t="n">
        <v>15.7</v>
      </c>
      <c r="E3230" s="3" t="inlineStr">
        <is>
          <t>703</t>
        </is>
      </c>
      <c r="F3230" s="3" t="inlineStr">
        <is>
          <t>623</t>
        </is>
      </c>
      <c r="G3230" s="9" t="n">
        <v>412.05</v>
      </c>
      <c r="H3230" s="10" t="n">
        <v>45681.32708333333</v>
      </c>
      <c r="I3230" s="10" t="n">
        <v>45681.32708333333</v>
      </c>
      <c r="J3230" s="10" t="n">
        <v>45681.32884259259</v>
      </c>
      <c r="K3230" s="11" t="n">
        <v>0.001759259259259259</v>
      </c>
      <c r="L3230" s="13" t="n"/>
    </row>
    <row r="3231">
      <c r="A3231" s="3" t="inlineStr">
        <is>
          <t>PushOffDrive</t>
        </is>
      </c>
      <c r="B3231" s="3" t="inlineStr">
        <is>
          <t>Act_POD_1024213_075332_607</t>
        </is>
      </c>
      <c r="C3231" s="3" t="inlineStr">
        <is>
          <t>1024213</t>
        </is>
      </c>
      <c r="D3231" s="9" t="n">
        <v>39.8</v>
      </c>
      <c r="E3231" s="3" t="inlineStr">
        <is>
          <t>703</t>
        </is>
      </c>
      <c r="F3231" s="3" t="inlineStr">
        <is>
          <t>607</t>
        </is>
      </c>
      <c r="G3231" s="9" t="n">
        <v>378.4</v>
      </c>
      <c r="H3231" s="10" t="n">
        <v>45681.32884259259</v>
      </c>
      <c r="I3231" s="10" t="n">
        <v>45681.32884259259</v>
      </c>
      <c r="J3231" s="10" t="n">
        <v>45681.33050925926</v>
      </c>
      <c r="K3231" s="11" t="n">
        <v>0.001666666666666667</v>
      </c>
      <c r="L3231" s="13" t="n"/>
    </row>
    <row r="3232">
      <c r="A3232" s="3" t="inlineStr">
        <is>
          <t>PushOffDrive</t>
        </is>
      </c>
      <c r="B3232" s="3" t="inlineStr">
        <is>
          <t>Act_POD_1024401_085705_615</t>
        </is>
      </c>
      <c r="C3232" s="3" t="inlineStr">
        <is>
          <t>1024401</t>
        </is>
      </c>
      <c r="D3232" s="9" t="n">
        <v>36.4</v>
      </c>
      <c r="E3232" s="3" t="inlineStr">
        <is>
          <t>703</t>
        </is>
      </c>
      <c r="F3232" s="3" t="inlineStr">
        <is>
          <t>615</t>
        </is>
      </c>
      <c r="G3232" s="9" t="n">
        <v>269.92</v>
      </c>
      <c r="H3232" s="10" t="n">
        <v>45681.37297453704</v>
      </c>
      <c r="I3232" s="10" t="n">
        <v>45681.37297453704</v>
      </c>
      <c r="J3232" s="10" t="n">
        <v>45681.37418981481</v>
      </c>
      <c r="K3232" s="11" t="n">
        <v>0.001215277777777778</v>
      </c>
      <c r="L3232" s="13" t="n"/>
    </row>
    <row r="3233">
      <c r="A3233" s="3" t="inlineStr">
        <is>
          <t>PushOffDrive</t>
        </is>
      </c>
      <c r="B3233" s="3" t="inlineStr">
        <is>
          <t>Act_POD_1024402_085850_627</t>
        </is>
      </c>
      <c r="C3233" s="3" t="inlineStr">
        <is>
          <t>1024402</t>
        </is>
      </c>
      <c r="D3233" s="9" t="n">
        <v>111.4</v>
      </c>
      <c r="E3233" s="3" t="inlineStr">
        <is>
          <t>703</t>
        </is>
      </c>
      <c r="F3233" s="3" t="inlineStr">
        <is>
          <t>627</t>
        </is>
      </c>
      <c r="G3233" s="9" t="n">
        <v>450.42</v>
      </c>
      <c r="H3233" s="10" t="n">
        <v>45681.37418981481</v>
      </c>
      <c r="I3233" s="10" t="n">
        <v>45681.37418981481</v>
      </c>
      <c r="J3233" s="10" t="n">
        <v>45681.37631944445</v>
      </c>
      <c r="K3233" s="11" t="n">
        <v>0.00212962962962963</v>
      </c>
      <c r="L3233" s="13" t="n"/>
    </row>
    <row r="3234">
      <c r="A3234" s="3" t="inlineStr">
        <is>
          <t>PushOffDrive</t>
        </is>
      </c>
      <c r="B3234" s="3" t="inlineStr">
        <is>
          <t>Act_POD_1024501_092242_615</t>
        </is>
      </c>
      <c r="C3234" s="3" t="inlineStr">
        <is>
          <t>1024501</t>
        </is>
      </c>
      <c r="D3234" s="9" t="n">
        <v>27</v>
      </c>
      <c r="E3234" s="3" t="inlineStr">
        <is>
          <t>727</t>
        </is>
      </c>
      <c r="F3234" s="3" t="inlineStr">
        <is>
          <t>615</t>
        </is>
      </c>
      <c r="G3234" s="9" t="n">
        <v>263.09</v>
      </c>
      <c r="H3234" s="10" t="n">
        <v>45681.39076388889</v>
      </c>
      <c r="I3234" s="10" t="n">
        <v>45681.39076388889</v>
      </c>
      <c r="J3234" s="10" t="n">
        <v>45681.39192129629</v>
      </c>
      <c r="K3234" s="11" t="n">
        <v>0.001157407407407407</v>
      </c>
      <c r="L3234" s="13" t="n"/>
    </row>
    <row r="3235">
      <c r="A3235" s="3" t="inlineStr">
        <is>
          <t>PushOffDrive</t>
        </is>
      </c>
      <c r="B3235" s="3" t="inlineStr">
        <is>
          <t>Act_POD_1024502_092422_623</t>
        </is>
      </c>
      <c r="C3235" s="3" t="inlineStr">
        <is>
          <t>1024502</t>
        </is>
      </c>
      <c r="D3235" s="9" t="n">
        <v>15.7</v>
      </c>
      <c r="E3235" s="3" t="inlineStr">
        <is>
          <t>727</t>
        </is>
      </c>
      <c r="F3235" s="3" t="inlineStr">
        <is>
          <t>623</t>
        </is>
      </c>
      <c r="G3235" s="9" t="n">
        <v>405.22</v>
      </c>
      <c r="H3235" s="10" t="n">
        <v>45681.39192129629</v>
      </c>
      <c r="I3235" s="10" t="n">
        <v>45681.39192129629</v>
      </c>
      <c r="J3235" s="10" t="n">
        <v>45681.39364583333</v>
      </c>
      <c r="K3235" s="11" t="n">
        <v>0.001724537037037037</v>
      </c>
      <c r="L3235" s="13" t="n"/>
    </row>
    <row r="3236">
      <c r="A3236" s="3" t="inlineStr">
        <is>
          <t>PushOffDrive</t>
        </is>
      </c>
      <c r="B3236" s="3" t="inlineStr">
        <is>
          <t>Act_POD_1024503_092651_625</t>
        </is>
      </c>
      <c r="C3236" s="3" t="inlineStr">
        <is>
          <t>1024503</t>
        </is>
      </c>
      <c r="D3236" s="9" t="n">
        <v>178.4</v>
      </c>
      <c r="E3236" s="3" t="inlineStr">
        <is>
          <t>727</t>
        </is>
      </c>
      <c r="F3236" s="3" t="inlineStr">
        <is>
          <t>625</t>
        </is>
      </c>
      <c r="G3236" s="9" t="n">
        <v>470.92</v>
      </c>
      <c r="H3236" s="10" t="n">
        <v>45681.39364583333</v>
      </c>
      <c r="I3236" s="10" t="n">
        <v>45681.39364583333</v>
      </c>
      <c r="J3236" s="10" t="n">
        <v>45681.39601851852</v>
      </c>
      <c r="K3236" s="11" t="n">
        <v>0.002372685185185185</v>
      </c>
      <c r="L3236" s="13" t="n"/>
    </row>
    <row r="3237">
      <c r="A3237" s="3" t="inlineStr">
        <is>
          <t>PushOffDrive</t>
        </is>
      </c>
      <c r="B3237" s="3" t="inlineStr">
        <is>
          <t>Act_POD_1024505_093016_615</t>
        </is>
      </c>
      <c r="C3237" s="3" t="inlineStr">
        <is>
          <t>1024505</t>
        </is>
      </c>
      <c r="D3237" s="9" t="n">
        <v>14</v>
      </c>
      <c r="E3237" s="3" t="inlineStr">
        <is>
          <t>727</t>
        </is>
      </c>
      <c r="F3237" s="3" t="inlineStr">
        <is>
          <t>615</t>
        </is>
      </c>
      <c r="G3237" s="9" t="n">
        <v>263.09</v>
      </c>
      <c r="H3237" s="10" t="n">
        <v>45681.39601851852</v>
      </c>
      <c r="I3237" s="10" t="n">
        <v>45681.39601851852</v>
      </c>
      <c r="J3237" s="10" t="n">
        <v>45681.39715277778</v>
      </c>
      <c r="K3237" s="11" t="n">
        <v>0.001134259259259259</v>
      </c>
      <c r="L3237" s="13" t="n"/>
    </row>
    <row r="3238">
      <c r="A3238" s="3" t="inlineStr">
        <is>
          <t>PushOffDrive</t>
        </is>
      </c>
      <c r="B3238" s="3" t="inlineStr">
        <is>
          <t>Act_POD_1024507_093154_627</t>
        </is>
      </c>
      <c r="C3238" s="3" t="inlineStr">
        <is>
          <t>1024507</t>
        </is>
      </c>
      <c r="D3238" s="9" t="n">
        <v>15.7</v>
      </c>
      <c r="E3238" s="3" t="inlineStr">
        <is>
          <t>727</t>
        </is>
      </c>
      <c r="F3238" s="3" t="inlineStr">
        <is>
          <t>627</t>
        </is>
      </c>
      <c r="G3238" s="9" t="n">
        <v>443.59</v>
      </c>
      <c r="H3238" s="10" t="n">
        <v>45681.39715277778</v>
      </c>
      <c r="I3238" s="10" t="n">
        <v>45681.39715277778</v>
      </c>
      <c r="J3238" s="10" t="n">
        <v>45681.39903935185</v>
      </c>
      <c r="K3238" s="11" t="n">
        <v>0.001886574074074074</v>
      </c>
      <c r="L3238" s="13" t="n"/>
    </row>
    <row r="3239">
      <c r="A3239" s="3" t="inlineStr">
        <is>
          <t>PushOffDrive</t>
        </is>
      </c>
      <c r="B3239" s="3" t="inlineStr">
        <is>
          <t>Act_POD_1024601_100724_615</t>
        </is>
      </c>
      <c r="C3239" s="3" t="inlineStr">
        <is>
          <t>1024601</t>
        </is>
      </c>
      <c r="D3239" s="9" t="n">
        <v>61.9</v>
      </c>
      <c r="E3239" s="3" t="inlineStr">
        <is>
          <t>703</t>
        </is>
      </c>
      <c r="F3239" s="3" t="inlineStr">
        <is>
          <t>615</t>
        </is>
      </c>
      <c r="G3239" s="9" t="n">
        <v>269.92</v>
      </c>
      <c r="H3239" s="10" t="n">
        <v>45681.42180555555</v>
      </c>
      <c r="I3239" s="10" t="n">
        <v>45681.42180555555</v>
      </c>
      <c r="J3239" s="10" t="n">
        <v>45681.4230787037</v>
      </c>
      <c r="K3239" s="11" t="n">
        <v>0.001273148148148148</v>
      </c>
      <c r="L3239" s="13" t="n"/>
    </row>
    <row r="3240">
      <c r="A3240" s="3" t="inlineStr">
        <is>
          <t>PushOffDrive</t>
        </is>
      </c>
      <c r="B3240" s="3" t="inlineStr">
        <is>
          <t>Act_POD_1024701_131107_605</t>
        </is>
      </c>
      <c r="C3240" s="3" t="inlineStr">
        <is>
          <t>1024701</t>
        </is>
      </c>
      <c r="D3240" s="9" t="n">
        <v>177.5</v>
      </c>
      <c r="E3240" s="3" t="inlineStr">
        <is>
          <t>703</t>
        </is>
      </c>
      <c r="F3240" s="3" t="inlineStr">
        <is>
          <t>605</t>
        </is>
      </c>
      <c r="G3240" s="9" t="n">
        <v>405.43</v>
      </c>
      <c r="H3240" s="10" t="n">
        <v>45681.54938657407</v>
      </c>
      <c r="I3240" s="10" t="n">
        <v>45681.54938657407</v>
      </c>
      <c r="J3240" s="10" t="n">
        <v>45681.55148148148</v>
      </c>
      <c r="K3240" s="11" t="n">
        <v>0.002094907407407407</v>
      </c>
      <c r="L3240" s="13" t="n"/>
    </row>
    <row r="3241">
      <c r="A3241" s="3" t="inlineStr">
        <is>
          <t>PushOffDrive</t>
        </is>
      </c>
      <c r="B3241" s="3" t="inlineStr">
        <is>
          <t>Act_POD_1024801_143953_619</t>
        </is>
      </c>
      <c r="C3241" s="3" t="inlineStr">
        <is>
          <t>1024801</t>
        </is>
      </c>
      <c r="D3241" s="9" t="n">
        <v>296.1</v>
      </c>
      <c r="E3241" s="3" t="inlineStr">
        <is>
          <t>703</t>
        </is>
      </c>
      <c r="F3241" s="3" t="inlineStr">
        <is>
          <t>619</t>
        </is>
      </c>
      <c r="G3241" s="9" t="n">
        <v>459.96</v>
      </c>
      <c r="H3241" s="10" t="n">
        <v>45681.61103009259</v>
      </c>
      <c r="I3241" s="10" t="n">
        <v>45681.61103009259</v>
      </c>
      <c r="J3241" s="10" t="n">
        <v>45681.61363425926</v>
      </c>
      <c r="K3241" s="11" t="n">
        <v>0.002604166666666667</v>
      </c>
      <c r="L3241" s="13" t="n"/>
    </row>
    <row r="3242">
      <c r="A3242" s="3" t="inlineStr">
        <is>
          <t>PushOffDrive</t>
        </is>
      </c>
      <c r="B3242" s="3" t="inlineStr">
        <is>
          <t>Act_POD_1024901_151636_617</t>
        </is>
      </c>
      <c r="C3242" s="3" t="inlineStr">
        <is>
          <t>1024901</t>
        </is>
      </c>
      <c r="D3242" s="9" t="n">
        <v>42</v>
      </c>
      <c r="E3242" s="3" t="inlineStr">
        <is>
          <t>703</t>
        </is>
      </c>
      <c r="F3242" s="3" t="inlineStr">
        <is>
          <t>617</t>
        </is>
      </c>
      <c r="G3242" s="9" t="n">
        <v>299.11</v>
      </c>
      <c r="H3242" s="10" t="n">
        <v>45681.63652777778</v>
      </c>
      <c r="I3242" s="10" t="n">
        <v>45681.63652777778</v>
      </c>
      <c r="J3242" s="10" t="n">
        <v>45681.63787037037</v>
      </c>
      <c r="K3242" s="11" t="n">
        <v>0.001342592592592592</v>
      </c>
      <c r="L3242" s="13" t="n"/>
    </row>
    <row r="3243">
      <c r="A3243" s="3" t="inlineStr">
        <is>
          <t>PushOffDrive</t>
        </is>
      </c>
      <c r="B3243" s="3" t="inlineStr">
        <is>
          <t>Act_POD_1024902_151832_615</t>
        </is>
      </c>
      <c r="C3243" s="3" t="inlineStr">
        <is>
          <t>1024902</t>
        </is>
      </c>
      <c r="D3243" s="9" t="n">
        <v>54</v>
      </c>
      <c r="E3243" s="3" t="inlineStr">
        <is>
          <t>703</t>
        </is>
      </c>
      <c r="F3243" s="3" t="inlineStr">
        <is>
          <t>615</t>
        </is>
      </c>
      <c r="G3243" s="9" t="n">
        <v>269.92</v>
      </c>
      <c r="H3243" s="10" t="n">
        <v>45681.63787037037</v>
      </c>
      <c r="I3243" s="10" t="n">
        <v>45681.63787037037</v>
      </c>
      <c r="J3243" s="10" t="n">
        <v>45681.63912037037</v>
      </c>
      <c r="K3243" s="11" t="n">
        <v>0.00125</v>
      </c>
      <c r="L3243" s="13" t="n"/>
    </row>
    <row r="3244">
      <c r="A3244" s="3" t="inlineStr">
        <is>
          <t>PushOffDrive</t>
        </is>
      </c>
      <c r="B3244" s="3" t="inlineStr">
        <is>
          <t>Act_POD_1024903_152020_621</t>
        </is>
      </c>
      <c r="C3244" s="3" t="inlineStr">
        <is>
          <t>1024903</t>
        </is>
      </c>
      <c r="D3244" s="9" t="n">
        <v>19.9</v>
      </c>
      <c r="E3244" s="3" t="inlineStr">
        <is>
          <t>703</t>
        </is>
      </c>
      <c r="F3244" s="3" t="inlineStr">
        <is>
          <t>621</t>
        </is>
      </c>
      <c r="G3244" s="9" t="n">
        <v>459.96</v>
      </c>
      <c r="H3244" s="10" t="n">
        <v>45681.63912037037</v>
      </c>
      <c r="I3244" s="10" t="n">
        <v>45681.63912037037</v>
      </c>
      <c r="J3244" s="10" t="n">
        <v>45681.64108796296</v>
      </c>
      <c r="K3244" s="11" t="n">
        <v>0.001967592592592592</v>
      </c>
      <c r="L3244" s="13" t="n"/>
    </row>
    <row r="3245">
      <c r="A3245" s="3" t="inlineStr">
        <is>
          <t>PushOffDrive</t>
        </is>
      </c>
      <c r="B3245" s="3" t="inlineStr">
        <is>
          <t>Act_POD_1024904_152310_629</t>
        </is>
      </c>
      <c r="C3245" s="3" t="inlineStr">
        <is>
          <t>1024904</t>
        </is>
      </c>
      <c r="D3245" s="9" t="n">
        <v>101.9</v>
      </c>
      <c r="E3245" s="3" t="inlineStr">
        <is>
          <t>703</t>
        </is>
      </c>
      <c r="F3245" s="3" t="inlineStr">
        <is>
          <t>629</t>
        </is>
      </c>
      <c r="G3245" s="9" t="n">
        <v>450.42</v>
      </c>
      <c r="H3245" s="10" t="n">
        <v>45681.64108796296</v>
      </c>
      <c r="I3245" s="10" t="n">
        <v>45681.64108796296</v>
      </c>
      <c r="J3245" s="10" t="n">
        <v>45681.64319444444</v>
      </c>
      <c r="K3245" s="11" t="n">
        <v>0.002106481481481481</v>
      </c>
      <c r="L3245" s="13" t="n"/>
    </row>
    <row r="3246">
      <c r="A3246" s="3" t="inlineStr">
        <is>
          <t>PushOffDrive</t>
        </is>
      </c>
      <c r="B3246" s="3" t="inlineStr">
        <is>
          <t>Act_POD_1024905_152612_627</t>
        </is>
      </c>
      <c r="C3246" s="3" t="inlineStr">
        <is>
          <t>1024905</t>
        </is>
      </c>
      <c r="D3246" s="9" t="n">
        <v>15.7</v>
      </c>
      <c r="E3246" s="3" t="inlineStr">
        <is>
          <t>703</t>
        </is>
      </c>
      <c r="F3246" s="3" t="inlineStr">
        <is>
          <t>627</t>
        </is>
      </c>
      <c r="G3246" s="9" t="n">
        <v>450.42</v>
      </c>
      <c r="H3246" s="10" t="n">
        <v>45681.64319444444</v>
      </c>
      <c r="I3246" s="10" t="n">
        <v>45681.64319444444</v>
      </c>
      <c r="J3246" s="10" t="n">
        <v>45681.64510416667</v>
      </c>
      <c r="K3246" s="11" t="n">
        <v>0.001909722222222222</v>
      </c>
      <c r="L3246" s="13" t="n"/>
    </row>
    <row r="3247">
      <c r="A3247" s="3" t="inlineStr">
        <is>
          <t>PushOffDrive</t>
        </is>
      </c>
      <c r="B3247" s="3" t="inlineStr">
        <is>
          <t>Act_POD_1024906_152857_621</t>
        </is>
      </c>
      <c r="C3247" s="3" t="inlineStr">
        <is>
          <t>1024906</t>
        </is>
      </c>
      <c r="D3247" s="9" t="n">
        <v>15.7</v>
      </c>
      <c r="E3247" s="3" t="inlineStr">
        <is>
          <t>703</t>
        </is>
      </c>
      <c r="F3247" s="3" t="inlineStr">
        <is>
          <t>621</t>
        </is>
      </c>
      <c r="G3247" s="9" t="n">
        <v>459.96</v>
      </c>
      <c r="H3247" s="10" t="n">
        <v>45681.64510416667</v>
      </c>
      <c r="I3247" s="10" t="n">
        <v>45681.64510416667</v>
      </c>
      <c r="J3247" s="10" t="n">
        <v>45681.64706018518</v>
      </c>
      <c r="K3247" s="11" t="n">
        <v>0.001956018518518518</v>
      </c>
      <c r="L3247" s="13" t="n"/>
    </row>
    <row r="3248">
      <c r="A3248" s="3" t="inlineStr">
        <is>
          <t>PushOffDrive</t>
        </is>
      </c>
      <c r="B3248" s="3" t="inlineStr">
        <is>
          <t>Act_POD_1024908_153146_623</t>
        </is>
      </c>
      <c r="C3248" s="3" t="inlineStr">
        <is>
          <t>1024908</t>
        </is>
      </c>
      <c r="D3248" s="9" t="n">
        <v>15.7</v>
      </c>
      <c r="E3248" s="3" t="inlineStr">
        <is>
          <t>703</t>
        </is>
      </c>
      <c r="F3248" s="3" t="inlineStr">
        <is>
          <t>623</t>
        </is>
      </c>
      <c r="G3248" s="9" t="n">
        <v>412.05</v>
      </c>
      <c r="H3248" s="10" t="n">
        <v>45681.64706018518</v>
      </c>
      <c r="I3248" s="10" t="n">
        <v>45681.64706018518</v>
      </c>
      <c r="J3248" s="10" t="n">
        <v>45681.64881944445</v>
      </c>
      <c r="K3248" s="11" t="n">
        <v>0.001759259259259259</v>
      </c>
      <c r="L3248" s="13" t="n"/>
    </row>
    <row r="3249">
      <c r="A3249" s="3" t="inlineStr">
        <is>
          <t>PushOffDrive</t>
        </is>
      </c>
      <c r="B3249" s="3" t="inlineStr">
        <is>
          <t>Act_POD_1025201_173850_611</t>
        </is>
      </c>
      <c r="C3249" s="3" t="inlineStr">
        <is>
          <t>1025201</t>
        </is>
      </c>
      <c r="D3249" s="9" t="n">
        <v>134.7</v>
      </c>
      <c r="E3249" s="3" t="inlineStr">
        <is>
          <t>727</t>
        </is>
      </c>
      <c r="F3249" s="3" t="inlineStr">
        <is>
          <t>611</t>
        </is>
      </c>
      <c r="G3249" s="9" t="n">
        <v>317.52</v>
      </c>
      <c r="H3249" s="10" t="n">
        <v>45681.73530092592</v>
      </c>
      <c r="I3249" s="10" t="n">
        <v>45681.73530092592</v>
      </c>
      <c r="J3249" s="10" t="n">
        <v>45681.73693287037</v>
      </c>
      <c r="K3249" s="11" t="n">
        <v>0.001631944444444445</v>
      </c>
      <c r="L3249" s="13" t="n"/>
    </row>
    <row r="3250">
      <c r="A3250" s="3" t="inlineStr">
        <is>
          <t>PushOffDrive</t>
        </is>
      </c>
      <c r="B3250" s="3" t="inlineStr">
        <is>
          <t>Act_POD_1025101_174227_621</t>
        </is>
      </c>
      <c r="C3250" s="3" t="inlineStr">
        <is>
          <t>1025101</t>
        </is>
      </c>
      <c r="D3250" s="9" t="n">
        <v>232.4</v>
      </c>
      <c r="E3250" s="3" t="inlineStr">
        <is>
          <t>703</t>
        </is>
      </c>
      <c r="F3250" s="3" t="inlineStr">
        <is>
          <t>621</t>
        </is>
      </c>
      <c r="G3250" s="9" t="n">
        <v>459.96</v>
      </c>
      <c r="H3250" s="10" t="n">
        <v>45681.7378125</v>
      </c>
      <c r="I3250" s="10" t="n">
        <v>45681.7378125</v>
      </c>
      <c r="J3250" s="10" t="n">
        <v>45681.74026620371</v>
      </c>
      <c r="K3250" s="11" t="n">
        <v>0.002453703703703704</v>
      </c>
      <c r="L3250" s="13" t="n"/>
    </row>
    <row r="3251">
      <c r="A3251" s="3" t="inlineStr">
        <is>
          <t>PushOffDrive</t>
        </is>
      </c>
      <c r="B3251" s="3" t="inlineStr">
        <is>
          <t>Act_POD_1025301_015912_613</t>
        </is>
      </c>
      <c r="C3251" s="3" t="inlineStr">
        <is>
          <t>1025301</t>
        </is>
      </c>
      <c r="D3251" s="9" t="n">
        <v>389.1</v>
      </c>
      <c r="E3251" s="3" t="inlineStr">
        <is>
          <t>727</t>
        </is>
      </c>
      <c r="F3251" s="3" t="inlineStr">
        <is>
          <t>613</t>
        </is>
      </c>
      <c r="G3251" s="9" t="n">
        <v>290.6</v>
      </c>
      <c r="H3251" s="10" t="n">
        <v>45682.08277777778</v>
      </c>
      <c r="I3251" s="10" t="n">
        <v>45682.08277777778</v>
      </c>
      <c r="J3251" s="10" t="n">
        <v>45682.08489583333</v>
      </c>
      <c r="K3251" s="11" t="n">
        <v>0.002118055555555556</v>
      </c>
      <c r="L3251" s="13" t="n"/>
    </row>
    <row r="3252">
      <c r="A3252" s="3" t="inlineStr">
        <is>
          <t>PushOffDrive</t>
        </is>
      </c>
      <c r="B3252" s="3" t="inlineStr">
        <is>
          <t>Act_POD_1025302_020215_607</t>
        </is>
      </c>
      <c r="C3252" s="3" t="inlineStr">
        <is>
          <t>1025302</t>
        </is>
      </c>
      <c r="D3252" s="9" t="n">
        <v>37.5</v>
      </c>
      <c r="E3252" s="3" t="inlineStr">
        <is>
          <t>727</t>
        </is>
      </c>
      <c r="F3252" s="3" t="inlineStr">
        <is>
          <t>607</t>
        </is>
      </c>
      <c r="G3252" s="9" t="n">
        <v>371.57</v>
      </c>
      <c r="H3252" s="10" t="n">
        <v>45682.08489583333</v>
      </c>
      <c r="I3252" s="10" t="n">
        <v>45682.08489583333</v>
      </c>
      <c r="J3252" s="10" t="n">
        <v>45682.08652777778</v>
      </c>
      <c r="K3252" s="11" t="n">
        <v>0.001631944444444445</v>
      </c>
      <c r="L3252" s="13" t="n"/>
    </row>
    <row r="3253">
      <c r="A3253" s="3" t="inlineStr">
        <is>
          <t>PushOffDrive</t>
        </is>
      </c>
      <c r="B3253" s="3" t="inlineStr">
        <is>
          <t>Act_POD_1025303_020436_629</t>
        </is>
      </c>
      <c r="C3253" s="3" t="inlineStr">
        <is>
          <t>1025303</t>
        </is>
      </c>
      <c r="D3253" s="9" t="n">
        <v>155.9</v>
      </c>
      <c r="E3253" s="3" t="inlineStr">
        <is>
          <t>727</t>
        </is>
      </c>
      <c r="F3253" s="3" t="inlineStr">
        <is>
          <t>629</t>
        </is>
      </c>
      <c r="G3253" s="9" t="n">
        <v>443.59</v>
      </c>
      <c r="H3253" s="10" t="n">
        <v>45682.08652777778</v>
      </c>
      <c r="I3253" s="10" t="n">
        <v>45682.08652777778</v>
      </c>
      <c r="J3253" s="10" t="n">
        <v>45682.08873842593</v>
      </c>
      <c r="K3253" s="11" t="n">
        <v>0.002210648148148148</v>
      </c>
      <c r="L3253" s="13" t="n"/>
    </row>
    <row r="3254">
      <c r="A3254" s="3" t="inlineStr">
        <is>
          <t>PushOffDrive</t>
        </is>
      </c>
      <c r="B3254" s="3" t="inlineStr">
        <is>
          <t>Act_POD_1025401_180423_607</t>
        </is>
      </c>
      <c r="C3254" s="3" t="inlineStr">
        <is>
          <t>1025401</t>
        </is>
      </c>
      <c r="D3254" s="9" t="n">
        <v>58.5</v>
      </c>
      <c r="E3254" s="3" t="inlineStr">
        <is>
          <t>727</t>
        </is>
      </c>
      <c r="F3254" s="3" t="inlineStr">
        <is>
          <t>607</t>
        </is>
      </c>
      <c r="G3254" s="9" t="n">
        <v>371.57</v>
      </c>
      <c r="H3254" s="10" t="n">
        <v>45683.75304398148</v>
      </c>
      <c r="I3254" s="10" t="n">
        <v>45683.75304398148</v>
      </c>
      <c r="J3254" s="10" t="n">
        <v>45683.75472222222</v>
      </c>
      <c r="K3254" s="11" t="n">
        <v>0.001678240740740741</v>
      </c>
      <c r="L3254" s="13" t="n"/>
    </row>
    <row r="3255">
      <c r="A3255" s="3" t="inlineStr">
        <is>
          <t>PushOffDrive</t>
        </is>
      </c>
      <c r="B3255" s="3" t="inlineStr">
        <is>
          <t>Act_POD_1025402_180648_609</t>
        </is>
      </c>
      <c r="C3255" s="3" t="inlineStr">
        <is>
          <t>1025402</t>
        </is>
      </c>
      <c r="D3255" s="9" t="n">
        <v>459.5</v>
      </c>
      <c r="E3255" s="3" t="inlineStr">
        <is>
          <t>727</t>
        </is>
      </c>
      <c r="F3255" s="3" t="inlineStr">
        <is>
          <t>609</t>
        </is>
      </c>
      <c r="G3255" s="9" t="n">
        <v>344.04</v>
      </c>
      <c r="H3255" s="10" t="n">
        <v>45683.75472222222</v>
      </c>
      <c r="I3255" s="10" t="n">
        <v>45683.75472222222</v>
      </c>
      <c r="J3255" s="10" t="n">
        <v>45683.75722222222</v>
      </c>
      <c r="K3255" s="11" t="n">
        <v>0.0025</v>
      </c>
      <c r="L3255" s="13" t="n"/>
    </row>
    <row r="3256">
      <c r="A3256" s="3" t="inlineStr">
        <is>
          <t>PushOffDrive</t>
        </is>
      </c>
      <c r="B3256" s="3" t="inlineStr">
        <is>
          <t>Act_POD_1025403_181024_607</t>
        </is>
      </c>
      <c r="C3256" s="3" t="inlineStr">
        <is>
          <t>1025403</t>
        </is>
      </c>
      <c r="D3256" s="9" t="n">
        <v>42</v>
      </c>
      <c r="E3256" s="3" t="inlineStr">
        <is>
          <t>727</t>
        </is>
      </c>
      <c r="F3256" s="3" t="inlineStr">
        <is>
          <t>607</t>
        </is>
      </c>
      <c r="G3256" s="9" t="n">
        <v>371.57</v>
      </c>
      <c r="H3256" s="10" t="n">
        <v>45683.75722222222</v>
      </c>
      <c r="I3256" s="10" t="n">
        <v>45683.75722222222</v>
      </c>
      <c r="J3256" s="10" t="n">
        <v>45683.75886574074</v>
      </c>
      <c r="K3256" s="11" t="n">
        <v>0.001643518518518519</v>
      </c>
      <c r="L3256" s="13" t="n"/>
    </row>
    <row r="3257">
      <c r="A3257" s="3" t="inlineStr">
        <is>
          <t>PushOffDrive</t>
        </is>
      </c>
      <c r="B3257" s="3" t="inlineStr">
        <is>
          <t>Act_POD_1025501_025141_627</t>
        </is>
      </c>
      <c r="C3257" s="3" t="inlineStr">
        <is>
          <t>1025501</t>
        </is>
      </c>
      <c r="D3257" s="9" t="n">
        <v>31.5</v>
      </c>
      <c r="E3257" s="3" t="inlineStr">
        <is>
          <t>703</t>
        </is>
      </c>
      <c r="F3257" s="3" t="inlineStr">
        <is>
          <t>627</t>
        </is>
      </c>
      <c r="G3257" s="9" t="n">
        <v>450.42</v>
      </c>
      <c r="H3257" s="10" t="n">
        <v>45684.11922453704</v>
      </c>
      <c r="I3257" s="10" t="n">
        <v>45684.11922453704</v>
      </c>
      <c r="J3257" s="10" t="n">
        <v>45684.12116898148</v>
      </c>
      <c r="K3257" s="11" t="n">
        <v>0.001944444444444444</v>
      </c>
      <c r="L3257" s="13" t="n"/>
    </row>
    <row r="3258">
      <c r="A3258" s="3" t="inlineStr">
        <is>
          <t>PushOffDrive</t>
        </is>
      </c>
      <c r="B3258" s="3" t="inlineStr">
        <is>
          <t>Act_POD_1025502_025429_619</t>
        </is>
      </c>
      <c r="C3258" s="3" t="inlineStr">
        <is>
          <t>1025502</t>
        </is>
      </c>
      <c r="D3258" s="9" t="n">
        <v>19.9</v>
      </c>
      <c r="E3258" s="3" t="inlineStr">
        <is>
          <t>703</t>
        </is>
      </c>
      <c r="F3258" s="3" t="inlineStr">
        <is>
          <t>619</t>
        </is>
      </c>
      <c r="G3258" s="9" t="n">
        <v>459.96</v>
      </c>
      <c r="H3258" s="10" t="n">
        <v>45684.12116898148</v>
      </c>
      <c r="I3258" s="10" t="n">
        <v>45684.12116898148</v>
      </c>
      <c r="J3258" s="10" t="n">
        <v>45684.12313657408</v>
      </c>
      <c r="K3258" s="11" t="n">
        <v>0.001967592592592592</v>
      </c>
      <c r="L3258" s="13" t="n"/>
    </row>
    <row r="3259">
      <c r="A3259" s="3" t="inlineStr">
        <is>
          <t>PushOffDrive</t>
        </is>
      </c>
      <c r="B3259" s="3" t="inlineStr">
        <is>
          <t>Act_POD_1025503_025719_617</t>
        </is>
      </c>
      <c r="C3259" s="3" t="inlineStr">
        <is>
          <t>1025503</t>
        </is>
      </c>
      <c r="D3259" s="9" t="n">
        <v>183.5</v>
      </c>
      <c r="E3259" s="3" t="inlineStr">
        <is>
          <t>703</t>
        </is>
      </c>
      <c r="F3259" s="3" t="inlineStr">
        <is>
          <t>617</t>
        </is>
      </c>
      <c r="G3259" s="9" t="n">
        <v>299.11</v>
      </c>
      <c r="H3259" s="10" t="n">
        <v>45684.12313657408</v>
      </c>
      <c r="I3259" s="10" t="n">
        <v>45684.12313657408</v>
      </c>
      <c r="J3259" s="10" t="n">
        <v>45684.12480324074</v>
      </c>
      <c r="K3259" s="11" t="n">
        <v>0.001666666666666667</v>
      </c>
      <c r="L3259" s="13" t="n"/>
    </row>
    <row r="3260">
      <c r="A3260" s="3" t="inlineStr">
        <is>
          <t>PushOffDrive</t>
        </is>
      </c>
      <c r="B3260" s="3" t="inlineStr">
        <is>
          <t>Act_POD_1025504_025943_621</t>
        </is>
      </c>
      <c r="C3260" s="3" t="inlineStr">
        <is>
          <t>1025504</t>
        </is>
      </c>
      <c r="D3260" s="9" t="n">
        <v>24.1</v>
      </c>
      <c r="E3260" s="3" t="inlineStr">
        <is>
          <t>703</t>
        </is>
      </c>
      <c r="F3260" s="3" t="inlineStr">
        <is>
          <t>621</t>
        </is>
      </c>
      <c r="G3260" s="9" t="n">
        <v>459.96</v>
      </c>
      <c r="H3260" s="10" t="n">
        <v>45684.12480324074</v>
      </c>
      <c r="I3260" s="10" t="n">
        <v>45684.12480324074</v>
      </c>
      <c r="J3260" s="10" t="n">
        <v>45684.12677083333</v>
      </c>
      <c r="K3260" s="11" t="n">
        <v>0.001967592592592592</v>
      </c>
      <c r="L3260" s="13" t="n"/>
    </row>
    <row r="3261">
      <c r="A3261" s="3" t="inlineStr">
        <is>
          <t>PushOffDrive</t>
        </is>
      </c>
      <c r="B3261" s="3" t="inlineStr">
        <is>
          <t>Act_POD_1025601_044332_615</t>
        </is>
      </c>
      <c r="C3261" s="3" t="inlineStr">
        <is>
          <t>1025601</t>
        </is>
      </c>
      <c r="D3261" s="9" t="n">
        <v>298.2</v>
      </c>
      <c r="E3261" s="3" t="inlineStr">
        <is>
          <t>703</t>
        </is>
      </c>
      <c r="F3261" s="3" t="inlineStr">
        <is>
          <t>615</t>
        </is>
      </c>
      <c r="G3261" s="9" t="n">
        <v>269.92</v>
      </c>
      <c r="H3261" s="10" t="n">
        <v>45684.19689814815</v>
      </c>
      <c r="I3261" s="10" t="n">
        <v>45684.19689814815</v>
      </c>
      <c r="J3261" s="10" t="n">
        <v>45684.19871527778</v>
      </c>
      <c r="K3261" s="11" t="n">
        <v>0.00181712962962963</v>
      </c>
      <c r="L3261" s="13" t="n"/>
    </row>
    <row r="3262">
      <c r="A3262" s="3" t="inlineStr">
        <is>
          <t>PushOffDrive</t>
        </is>
      </c>
      <c r="B3262" s="3" t="inlineStr">
        <is>
          <t>Act_POD_1025701_064615_623</t>
        </is>
      </c>
      <c r="C3262" s="3" t="inlineStr">
        <is>
          <t>1025701</t>
        </is>
      </c>
      <c r="D3262" s="9" t="n">
        <v>284.8</v>
      </c>
      <c r="E3262" s="3" t="inlineStr">
        <is>
          <t>703</t>
        </is>
      </c>
      <c r="F3262" s="3" t="inlineStr">
        <is>
          <t>623</t>
        </is>
      </c>
      <c r="G3262" s="9" t="n">
        <v>412.05</v>
      </c>
      <c r="H3262" s="10" t="n">
        <v>45684.28211805555</v>
      </c>
      <c r="I3262" s="10" t="n">
        <v>45684.28211805555</v>
      </c>
      <c r="J3262" s="10" t="n">
        <v>45684.28449074074</v>
      </c>
      <c r="K3262" s="11" t="n">
        <v>0.002372685185185185</v>
      </c>
      <c r="L3262" s="13" t="n"/>
    </row>
    <row r="3263">
      <c r="A3263" s="3" t="inlineStr">
        <is>
          <t>PushOffDrive</t>
        </is>
      </c>
      <c r="B3263" s="3" t="inlineStr">
        <is>
          <t>Act_POD_1025801_073257_615</t>
        </is>
      </c>
      <c r="C3263" s="3" t="inlineStr">
        <is>
          <t>1025801</t>
        </is>
      </c>
      <c r="D3263" s="9" t="n">
        <v>27</v>
      </c>
      <c r="E3263" s="3" t="inlineStr">
        <is>
          <t>727</t>
        </is>
      </c>
      <c r="F3263" s="3" t="inlineStr">
        <is>
          <t>615</t>
        </is>
      </c>
      <c r="G3263" s="9" t="n">
        <v>263.09</v>
      </c>
      <c r="H3263" s="10" t="n">
        <v>45684.31454861111</v>
      </c>
      <c r="I3263" s="10" t="n">
        <v>45684.31454861111</v>
      </c>
      <c r="J3263" s="10" t="n">
        <v>45684.31570601852</v>
      </c>
      <c r="K3263" s="11" t="n">
        <v>0.001157407407407407</v>
      </c>
      <c r="L3263" s="13" t="n"/>
    </row>
    <row r="3264">
      <c r="A3264" s="3" t="inlineStr">
        <is>
          <t>PushOffDrive</t>
        </is>
      </c>
      <c r="B3264" s="3" t="inlineStr">
        <is>
          <t>Act_POD_1025802_073437_619</t>
        </is>
      </c>
      <c r="C3264" s="3" t="inlineStr">
        <is>
          <t>1025802</t>
        </is>
      </c>
      <c r="D3264" s="9" t="n">
        <v>39</v>
      </c>
      <c r="E3264" s="3" t="inlineStr">
        <is>
          <t>727</t>
        </is>
      </c>
      <c r="F3264" s="3" t="inlineStr">
        <is>
          <t>619</t>
        </is>
      </c>
      <c r="G3264" s="9" t="n">
        <v>453.13</v>
      </c>
      <c r="H3264" s="10" t="n">
        <v>45684.31570601852</v>
      </c>
      <c r="I3264" s="10" t="n">
        <v>45684.31570601852</v>
      </c>
      <c r="J3264" s="10" t="n">
        <v>45684.31768518518</v>
      </c>
      <c r="K3264" s="11" t="n">
        <v>0.001979166666666667</v>
      </c>
      <c r="L3264" s="13" t="n"/>
    </row>
    <row r="3265">
      <c r="A3265" s="3" t="inlineStr">
        <is>
          <t>PushOffDrive</t>
        </is>
      </c>
      <c r="B3265" s="3" t="inlineStr">
        <is>
          <t>Act_POD_1025805_073728_629</t>
        </is>
      </c>
      <c r="C3265" s="3" t="inlineStr">
        <is>
          <t>1025805</t>
        </is>
      </c>
      <c r="D3265" s="9" t="n">
        <v>106.9</v>
      </c>
      <c r="E3265" s="3" t="inlineStr">
        <is>
          <t>727</t>
        </is>
      </c>
      <c r="F3265" s="3" t="inlineStr">
        <is>
          <t>629</t>
        </is>
      </c>
      <c r="G3265" s="9" t="n">
        <v>443.59</v>
      </c>
      <c r="H3265" s="10" t="n">
        <v>45684.31768518518</v>
      </c>
      <c r="I3265" s="10" t="n">
        <v>45684.31768518518</v>
      </c>
      <c r="J3265" s="10" t="n">
        <v>45684.31978009259</v>
      </c>
      <c r="K3265" s="11" t="n">
        <v>0.002094907407407407</v>
      </c>
      <c r="L3265" s="13" t="n"/>
    </row>
    <row r="3266">
      <c r="A3266" s="3" t="inlineStr">
        <is>
          <t>PushOffDrive</t>
        </is>
      </c>
      <c r="B3266" s="3" t="inlineStr">
        <is>
          <t>Act_POD_1025806_074029_607</t>
        </is>
      </c>
      <c r="C3266" s="3" t="inlineStr">
        <is>
          <t>1025806</t>
        </is>
      </c>
      <c r="D3266" s="9" t="n">
        <v>39.8</v>
      </c>
      <c r="E3266" s="3" t="inlineStr">
        <is>
          <t>727</t>
        </is>
      </c>
      <c r="F3266" s="3" t="inlineStr">
        <is>
          <t>607</t>
        </is>
      </c>
      <c r="G3266" s="9" t="n">
        <v>371.57</v>
      </c>
      <c r="H3266" s="10" t="n">
        <v>45684.31978009259</v>
      </c>
      <c r="I3266" s="10" t="n">
        <v>45684.31978009259</v>
      </c>
      <c r="J3266" s="10" t="n">
        <v>45684.32141203704</v>
      </c>
      <c r="K3266" s="11" t="n">
        <v>0.001631944444444445</v>
      </c>
      <c r="L3266" s="13" t="n"/>
    </row>
    <row r="3267">
      <c r="A3267" s="3" t="inlineStr">
        <is>
          <t>PushOffDrive</t>
        </is>
      </c>
      <c r="B3267" s="3" t="inlineStr">
        <is>
          <t>Act_POD_1026101_090109_615</t>
        </is>
      </c>
      <c r="C3267" s="3" t="inlineStr">
        <is>
          <t>1026101</t>
        </is>
      </c>
      <c r="D3267" s="9" t="n">
        <v>40.9</v>
      </c>
      <c r="E3267" s="3" t="inlineStr">
        <is>
          <t>727</t>
        </is>
      </c>
      <c r="F3267" s="3" t="inlineStr">
        <is>
          <t>615</t>
        </is>
      </c>
      <c r="G3267" s="9" t="n">
        <v>263.09</v>
      </c>
      <c r="H3267" s="10" t="n">
        <v>45684.37579861111</v>
      </c>
      <c r="I3267" s="10" t="n">
        <v>45684.37579861111</v>
      </c>
      <c r="J3267" s="10" t="n">
        <v>45684.37699074074</v>
      </c>
      <c r="K3267" s="11" t="n">
        <v>0.00119212962962963</v>
      </c>
      <c r="L3267" s="13" t="n"/>
    </row>
    <row r="3268">
      <c r="A3268" s="3" t="inlineStr">
        <is>
          <t>PushOffDrive</t>
        </is>
      </c>
      <c r="B3268" s="3" t="inlineStr">
        <is>
          <t>Act_POD_1026102_090252_629</t>
        </is>
      </c>
      <c r="C3268" s="3" t="inlineStr">
        <is>
          <t>1026102</t>
        </is>
      </c>
      <c r="D3268" s="9" t="n">
        <v>33.9</v>
      </c>
      <c r="E3268" s="3" t="inlineStr">
        <is>
          <t>727</t>
        </is>
      </c>
      <c r="F3268" s="3" t="inlineStr">
        <is>
          <t>629</t>
        </is>
      </c>
      <c r="G3268" s="9" t="n">
        <v>443.59</v>
      </c>
      <c r="H3268" s="10" t="n">
        <v>45684.37699074074</v>
      </c>
      <c r="I3268" s="10" t="n">
        <v>45684.37699074074</v>
      </c>
      <c r="J3268" s="10" t="n">
        <v>45684.37891203703</v>
      </c>
      <c r="K3268" s="11" t="n">
        <v>0.001921296296296296</v>
      </c>
      <c r="L3268" s="13" t="n"/>
    </row>
    <row r="3269">
      <c r="A3269" s="3" t="inlineStr">
        <is>
          <t>PushOffDrive</t>
        </is>
      </c>
      <c r="B3269" s="3" t="inlineStr">
        <is>
          <t>Act_POD_1026103_090538_615</t>
        </is>
      </c>
      <c r="C3269" s="3" t="inlineStr">
        <is>
          <t>1026103</t>
        </is>
      </c>
      <c r="D3269" s="9" t="n">
        <v>27</v>
      </c>
      <c r="E3269" s="3" t="inlineStr">
        <is>
          <t>727</t>
        </is>
      </c>
      <c r="F3269" s="3" t="inlineStr">
        <is>
          <t>615</t>
        </is>
      </c>
      <c r="G3269" s="9" t="n">
        <v>263.09</v>
      </c>
      <c r="H3269" s="10" t="n">
        <v>45684.37891203703</v>
      </c>
      <c r="I3269" s="10" t="n">
        <v>45684.37891203703</v>
      </c>
      <c r="J3269" s="10" t="n">
        <v>45684.38006944444</v>
      </c>
      <c r="K3269" s="11" t="n">
        <v>0.001157407407407407</v>
      </c>
      <c r="L3269" s="13" t="n"/>
    </row>
    <row r="3270">
      <c r="A3270" s="3" t="inlineStr">
        <is>
          <t>PushOffDrive</t>
        </is>
      </c>
      <c r="B3270" s="3" t="inlineStr">
        <is>
          <t>Act_POD_1026104_090718_619</t>
        </is>
      </c>
      <c r="C3270" s="3" t="inlineStr">
        <is>
          <t>1026104</t>
        </is>
      </c>
      <c r="D3270" s="9" t="n">
        <v>15.7</v>
      </c>
      <c r="E3270" s="3" t="inlineStr">
        <is>
          <t>727</t>
        </is>
      </c>
      <c r="F3270" s="3" t="inlineStr">
        <is>
          <t>619</t>
        </is>
      </c>
      <c r="G3270" s="9" t="n">
        <v>453.13</v>
      </c>
      <c r="H3270" s="10" t="n">
        <v>45684.38006944444</v>
      </c>
      <c r="I3270" s="10" t="n">
        <v>45684.38006944444</v>
      </c>
      <c r="J3270" s="10" t="n">
        <v>45684.38200231481</v>
      </c>
      <c r="K3270" s="11" t="n">
        <v>0.00193287037037037</v>
      </c>
      <c r="L3270" s="13" t="n"/>
    </row>
    <row r="3271">
      <c r="A3271" s="3" t="inlineStr">
        <is>
          <t>PushOffDrive</t>
        </is>
      </c>
      <c r="B3271" s="3" t="inlineStr">
        <is>
          <t>Act_POD_1026105_091005_627</t>
        </is>
      </c>
      <c r="C3271" s="3" t="inlineStr">
        <is>
          <t>1026105</t>
        </is>
      </c>
      <c r="D3271" s="9" t="n">
        <v>179.2</v>
      </c>
      <c r="E3271" s="3" t="inlineStr">
        <is>
          <t>727</t>
        </is>
      </c>
      <c r="F3271" s="3" t="inlineStr">
        <is>
          <t>627</t>
        </is>
      </c>
      <c r="G3271" s="9" t="n">
        <v>443.59</v>
      </c>
      <c r="H3271" s="10" t="n">
        <v>45684.38200231481</v>
      </c>
      <c r="I3271" s="10" t="n">
        <v>45684.38200231481</v>
      </c>
      <c r="J3271" s="10" t="n">
        <v>45684.38425925926</v>
      </c>
      <c r="K3271" s="11" t="n">
        <v>0.002256944444444444</v>
      </c>
      <c r="L3271" s="13" t="n"/>
    </row>
    <row r="3272">
      <c r="A3272" s="3" t="inlineStr">
        <is>
          <t>PushOffDrive</t>
        </is>
      </c>
      <c r="B3272" s="3" t="inlineStr">
        <is>
          <t>Act_POD_1026108_091320_627</t>
        </is>
      </c>
      <c r="C3272" s="3" t="inlineStr">
        <is>
          <t>1026108</t>
        </is>
      </c>
      <c r="D3272" s="9" t="n">
        <v>15.7</v>
      </c>
      <c r="E3272" s="3" t="inlineStr">
        <is>
          <t>727</t>
        </is>
      </c>
      <c r="F3272" s="3" t="inlineStr">
        <is>
          <t>627</t>
        </is>
      </c>
      <c r="G3272" s="9" t="n">
        <v>443.59</v>
      </c>
      <c r="H3272" s="10" t="n">
        <v>45684.38425925926</v>
      </c>
      <c r="I3272" s="10" t="n">
        <v>45684.38425925926</v>
      </c>
      <c r="J3272" s="10" t="n">
        <v>45684.38614583333</v>
      </c>
      <c r="K3272" s="11" t="n">
        <v>0.001886574074074074</v>
      </c>
      <c r="L3272" s="13" t="n"/>
    </row>
    <row r="3273">
      <c r="A3273" s="3" t="inlineStr">
        <is>
          <t>PushOffDrive</t>
        </is>
      </c>
      <c r="B3273" s="3" t="inlineStr">
        <is>
          <t>Act_POD_1026109_091603_607</t>
        </is>
      </c>
      <c r="C3273" s="3" t="inlineStr">
        <is>
          <t>1026109</t>
        </is>
      </c>
      <c r="D3273" s="9" t="n">
        <v>19.9</v>
      </c>
      <c r="E3273" s="3" t="inlineStr">
        <is>
          <t>727</t>
        </is>
      </c>
      <c r="F3273" s="3" t="inlineStr">
        <is>
          <t>607</t>
        </is>
      </c>
      <c r="G3273" s="9" t="n">
        <v>371.57</v>
      </c>
      <c r="H3273" s="10" t="n">
        <v>45684.38614583333</v>
      </c>
      <c r="I3273" s="10" t="n">
        <v>45684.38614583333</v>
      </c>
      <c r="J3273" s="10" t="n">
        <v>45684.38774305556</v>
      </c>
      <c r="K3273" s="11" t="n">
        <v>0.001597222222222222</v>
      </c>
      <c r="L3273" s="13" t="n"/>
    </row>
    <row r="3274">
      <c r="A3274" s="3" t="inlineStr">
        <is>
          <t>PushOffDrive</t>
        </is>
      </c>
      <c r="B3274" s="3" t="inlineStr">
        <is>
          <t>Act_POD_1026110_091821_615</t>
        </is>
      </c>
      <c r="C3274" s="3" t="inlineStr">
        <is>
          <t>1026110</t>
        </is>
      </c>
      <c r="D3274" s="9" t="n">
        <v>42</v>
      </c>
      <c r="E3274" s="3" t="inlineStr">
        <is>
          <t>727</t>
        </is>
      </c>
      <c r="F3274" s="3" t="inlineStr">
        <is>
          <t>615</t>
        </is>
      </c>
      <c r="G3274" s="9" t="n">
        <v>263.09</v>
      </c>
      <c r="H3274" s="10" t="n">
        <v>45684.38774305556</v>
      </c>
      <c r="I3274" s="10" t="n">
        <v>45684.38774305556</v>
      </c>
      <c r="J3274" s="10" t="n">
        <v>45684.38893518518</v>
      </c>
      <c r="K3274" s="11" t="n">
        <v>0.00119212962962963</v>
      </c>
      <c r="L3274" s="13" t="n"/>
    </row>
    <row r="3275">
      <c r="A3275" s="3" t="inlineStr">
        <is>
          <t>PushOffDrive</t>
        </is>
      </c>
      <c r="B3275" s="3" t="inlineStr">
        <is>
          <t>Act_POD_1026112_092004_621</t>
        </is>
      </c>
      <c r="C3275" s="3" t="inlineStr">
        <is>
          <t>1026112</t>
        </is>
      </c>
      <c r="D3275" s="9" t="n">
        <v>15.7</v>
      </c>
      <c r="E3275" s="3" t="inlineStr">
        <is>
          <t>727</t>
        </is>
      </c>
      <c r="F3275" s="3" t="inlineStr">
        <is>
          <t>621</t>
        </is>
      </c>
      <c r="G3275" s="9" t="n">
        <v>453.13</v>
      </c>
      <c r="H3275" s="10" t="n">
        <v>45684.38893518518</v>
      </c>
      <c r="I3275" s="10" t="n">
        <v>45684.38893518518</v>
      </c>
      <c r="J3275" s="10" t="n">
        <v>45684.39085648148</v>
      </c>
      <c r="K3275" s="11" t="n">
        <v>0.001921296296296296</v>
      </c>
      <c r="L3275" s="13" t="n"/>
    </row>
    <row r="3276">
      <c r="A3276" s="3" t="inlineStr">
        <is>
          <t>PushOffDrive</t>
        </is>
      </c>
      <c r="B3276" s="3" t="inlineStr">
        <is>
          <t>Act_POD_1026301_104459_615</t>
        </is>
      </c>
      <c r="C3276" s="3" t="inlineStr">
        <is>
          <t>1026301</t>
        </is>
      </c>
      <c r="D3276" s="9" t="n">
        <v>394.6</v>
      </c>
      <c r="E3276" s="3" t="inlineStr">
        <is>
          <t>703</t>
        </is>
      </c>
      <c r="F3276" s="3" t="inlineStr">
        <is>
          <t>615</t>
        </is>
      </c>
      <c r="G3276" s="9" t="n">
        <v>269.92</v>
      </c>
      <c r="H3276" s="10" t="n">
        <v>45684.44790509259</v>
      </c>
      <c r="I3276" s="10" t="n">
        <v>45684.44790509259</v>
      </c>
      <c r="J3276" s="10" t="n">
        <v>45684.44994212963</v>
      </c>
      <c r="K3276" s="11" t="n">
        <v>0.002037037037037037</v>
      </c>
      <c r="L3276" s="13" t="n"/>
    </row>
    <row r="3277">
      <c r="A3277" s="3" t="inlineStr">
        <is>
          <t>PushOffDrive</t>
        </is>
      </c>
      <c r="B3277" s="3" t="inlineStr">
        <is>
          <t>Act_POD_1026302_104755_625</t>
        </is>
      </c>
      <c r="C3277" s="3" t="inlineStr">
        <is>
          <t>1026302</t>
        </is>
      </c>
      <c r="D3277" s="9" t="n">
        <v>40.9</v>
      </c>
      <c r="E3277" s="3" t="inlineStr">
        <is>
          <t>703</t>
        </is>
      </c>
      <c r="F3277" s="3" t="inlineStr">
        <is>
          <t>625</t>
        </is>
      </c>
      <c r="G3277" s="9" t="n">
        <v>477.75</v>
      </c>
      <c r="H3277" s="10" t="n">
        <v>45684.44994212963</v>
      </c>
      <c r="I3277" s="10" t="n">
        <v>45684.44994212963</v>
      </c>
      <c r="J3277" s="10" t="n">
        <v>45684.45202546296</v>
      </c>
      <c r="K3277" s="11" t="n">
        <v>0.002083333333333333</v>
      </c>
      <c r="L3277" s="13" t="n"/>
    </row>
    <row r="3278">
      <c r="A3278" s="3" t="inlineStr">
        <is>
          <t>PushOffDrive</t>
        </is>
      </c>
      <c r="B3278" s="3" t="inlineStr">
        <is>
          <t>Act_POD_1026401_125156_605</t>
        </is>
      </c>
      <c r="C3278" s="3" t="inlineStr">
        <is>
          <t>1026401</t>
        </is>
      </c>
      <c r="D3278" s="9" t="n">
        <v>212.1</v>
      </c>
      <c r="E3278" s="3" t="inlineStr">
        <is>
          <t>703</t>
        </is>
      </c>
      <c r="F3278" s="3" t="inlineStr">
        <is>
          <t>605</t>
        </is>
      </c>
      <c r="G3278" s="9" t="n">
        <v>405.43</v>
      </c>
      <c r="H3278" s="10" t="n">
        <v>45684.53606481481</v>
      </c>
      <c r="I3278" s="10" t="n">
        <v>45684.53606481481</v>
      </c>
      <c r="J3278" s="10" t="n">
        <v>45684.53824074074</v>
      </c>
      <c r="K3278" s="11" t="n">
        <v>0.002175925925925926</v>
      </c>
      <c r="L3278" s="13" t="n"/>
    </row>
    <row r="3279">
      <c r="A3279" s="3" t="inlineStr">
        <is>
          <t>PushOffDrive</t>
        </is>
      </c>
      <c r="B3279" s="3" t="inlineStr">
        <is>
          <t>Act_POD_1026501_143339_619</t>
        </is>
      </c>
      <c r="C3279" s="3" t="inlineStr">
        <is>
          <t>1026501</t>
        </is>
      </c>
      <c r="D3279" s="9" t="n">
        <v>381.6</v>
      </c>
      <c r="E3279" s="3" t="inlineStr">
        <is>
          <t>703</t>
        </is>
      </c>
      <c r="F3279" s="3" t="inlineStr">
        <is>
          <t>619</t>
        </is>
      </c>
      <c r="G3279" s="9" t="n">
        <v>459.96</v>
      </c>
      <c r="H3279" s="10" t="n">
        <v>45684.60670138889</v>
      </c>
      <c r="I3279" s="10" t="n">
        <v>45684.60670138889</v>
      </c>
      <c r="J3279" s="10" t="n">
        <v>45684.60950231482</v>
      </c>
      <c r="K3279" s="11" t="n">
        <v>0.002800925925925926</v>
      </c>
      <c r="L3279" s="13" t="n"/>
    </row>
    <row r="3280">
      <c r="A3280" s="3" t="inlineStr">
        <is>
          <t>PushOffDrive</t>
        </is>
      </c>
      <c r="B3280" s="3" t="inlineStr">
        <is>
          <t>Act_POD_1026601_153315_606</t>
        </is>
      </c>
      <c r="C3280" s="3" t="inlineStr">
        <is>
          <t>1026601</t>
        </is>
      </c>
      <c r="D3280" s="9" t="n">
        <v>15.7</v>
      </c>
      <c r="E3280" s="3" t="inlineStr">
        <is>
          <t>731</t>
        </is>
      </c>
      <c r="F3280" s="3" t="inlineStr">
        <is>
          <t>606</t>
        </is>
      </c>
      <c r="G3280" s="9" t="n">
        <v>489.92</v>
      </c>
      <c r="H3280" s="10" t="n">
        <v>45684.64809027778</v>
      </c>
      <c r="I3280" s="10" t="n">
        <v>45684.64809027778</v>
      </c>
      <c r="J3280" s="10" t="n">
        <v>45684.65017361111</v>
      </c>
      <c r="K3280" s="11" t="n">
        <v>0.002083333333333333</v>
      </c>
      <c r="L3280" s="13" t="n"/>
    </row>
    <row r="3281">
      <c r="A3281" s="3" t="inlineStr">
        <is>
          <t>PushOffDrive</t>
        </is>
      </c>
      <c r="B3281" s="3" t="inlineStr">
        <is>
          <t>Act_POD_1026701_160914_625</t>
        </is>
      </c>
      <c r="C3281" s="3" t="inlineStr">
        <is>
          <t>1026701</t>
        </is>
      </c>
      <c r="D3281" s="9" t="n">
        <v>77.3</v>
      </c>
      <c r="E3281" s="3" t="inlineStr">
        <is>
          <t>703</t>
        </is>
      </c>
      <c r="F3281" s="3" t="inlineStr">
        <is>
          <t>625</t>
        </is>
      </c>
      <c r="G3281" s="9" t="n">
        <v>477.75</v>
      </c>
      <c r="H3281" s="10" t="n">
        <v>45684.6730787037</v>
      </c>
      <c r="I3281" s="10" t="n">
        <v>45684.6730787037</v>
      </c>
      <c r="J3281" s="10" t="n">
        <v>45684.67525462963</v>
      </c>
      <c r="K3281" s="11" t="n">
        <v>0.002175925925925926</v>
      </c>
      <c r="L3281" s="13" t="n"/>
    </row>
    <row r="3282">
      <c r="A3282" s="3" t="inlineStr">
        <is>
          <t>PushOffDrive</t>
        </is>
      </c>
      <c r="B3282" s="3" t="inlineStr">
        <is>
          <t>Act_POD_1026702_161222_606</t>
        </is>
      </c>
      <c r="C3282" s="3" t="inlineStr">
        <is>
          <t>1026702</t>
        </is>
      </c>
      <c r="D3282" s="9" t="n">
        <v>305.8</v>
      </c>
      <c r="E3282" s="3" t="inlineStr">
        <is>
          <t>703</t>
        </is>
      </c>
      <c r="F3282" s="3" t="inlineStr">
        <is>
          <t>606</t>
        </is>
      </c>
      <c r="G3282" s="9" t="n">
        <v>405.03</v>
      </c>
      <c r="H3282" s="10" t="n">
        <v>45684.67525462963</v>
      </c>
      <c r="I3282" s="10" t="n">
        <v>45684.67525462963</v>
      </c>
      <c r="J3282" s="10" t="n">
        <v>45684.67765046296</v>
      </c>
      <c r="K3282" s="11" t="n">
        <v>0.002395833333333333</v>
      </c>
      <c r="L3282" s="13" t="n"/>
    </row>
    <row r="3283">
      <c r="A3283" s="3" t="inlineStr">
        <is>
          <t>PushOffDrive</t>
        </is>
      </c>
      <c r="B3283" s="3" t="inlineStr">
        <is>
          <t>Act_POD_1026801_174230_611</t>
        </is>
      </c>
      <c r="C3283" s="3" t="inlineStr">
        <is>
          <t>1026801</t>
        </is>
      </c>
      <c r="D3283" s="9" t="n">
        <v>232.4</v>
      </c>
      <c r="E3283" s="3" t="inlineStr">
        <is>
          <t>703</t>
        </is>
      </c>
      <c r="F3283" s="3" t="inlineStr">
        <is>
          <t>611</t>
        </is>
      </c>
      <c r="G3283" s="9" t="n">
        <v>324.35</v>
      </c>
      <c r="H3283" s="10" t="n">
        <v>45684.73784722222</v>
      </c>
      <c r="I3283" s="10" t="n">
        <v>45684.73784722222</v>
      </c>
      <c r="J3283" s="10" t="n">
        <v>45684.7397337963</v>
      </c>
      <c r="K3283" s="11" t="n">
        <v>0.001886574074074074</v>
      </c>
      <c r="L3283" s="13" t="n"/>
    </row>
    <row r="3284">
      <c r="A3284" s="3" t="inlineStr">
        <is>
          <t>PushOffDrive</t>
        </is>
      </c>
      <c r="B3284" s="3" t="inlineStr">
        <is>
          <t>Act_POD_1026901_175656_629</t>
        </is>
      </c>
      <c r="C3284" s="3" t="inlineStr">
        <is>
          <t>1026901</t>
        </is>
      </c>
      <c r="D3284" s="9" t="n">
        <v>310.6</v>
      </c>
      <c r="E3284" s="3" t="inlineStr">
        <is>
          <t>727</t>
        </is>
      </c>
      <c r="F3284" s="3" t="inlineStr">
        <is>
          <t>629</t>
        </is>
      </c>
      <c r="G3284" s="9" t="n">
        <v>443.59</v>
      </c>
      <c r="H3284" s="10" t="n">
        <v>45684.74787037037</v>
      </c>
      <c r="I3284" s="10" t="n">
        <v>45684.74787037037</v>
      </c>
      <c r="J3284" s="10" t="n">
        <v>45684.75043981482</v>
      </c>
      <c r="K3284" s="11" t="n">
        <v>0.002569444444444445</v>
      </c>
      <c r="L3284" s="13" t="n"/>
    </row>
    <row r="3285">
      <c r="A3285" s="3" t="inlineStr">
        <is>
          <t>PushOffDrive</t>
        </is>
      </c>
      <c r="B3285" s="3" t="inlineStr">
        <is>
          <t>Act_POD_1026902_180038_621</t>
        </is>
      </c>
      <c r="C3285" s="3" t="inlineStr">
        <is>
          <t>1026902</t>
        </is>
      </c>
      <c r="D3285" s="9" t="n">
        <v>84</v>
      </c>
      <c r="E3285" s="3" t="inlineStr">
        <is>
          <t>727</t>
        </is>
      </c>
      <c r="F3285" s="3" t="inlineStr">
        <is>
          <t>621</t>
        </is>
      </c>
      <c r="G3285" s="9" t="n">
        <v>453.13</v>
      </c>
      <c r="H3285" s="10" t="n">
        <v>45684.75043981482</v>
      </c>
      <c r="I3285" s="10" t="n">
        <v>45684.75043981482</v>
      </c>
      <c r="J3285" s="10" t="n">
        <v>45684.75252314815</v>
      </c>
      <c r="K3285" s="11" t="n">
        <v>0.002083333333333333</v>
      </c>
      <c r="L3285" s="13" t="n"/>
    </row>
    <row r="3286">
      <c r="A3286" s="3" t="inlineStr">
        <is>
          <t>PushOffDrive</t>
        </is>
      </c>
      <c r="B3286" s="3" t="inlineStr">
        <is>
          <t>Act_POD_1026903_180338_613</t>
        </is>
      </c>
      <c r="C3286" s="3" t="inlineStr">
        <is>
          <t>1026903</t>
        </is>
      </c>
      <c r="D3286" s="9" t="n">
        <v>51.4</v>
      </c>
      <c r="E3286" s="3" t="inlineStr">
        <is>
          <t>727</t>
        </is>
      </c>
      <c r="F3286" s="3" t="inlineStr">
        <is>
          <t>613</t>
        </is>
      </c>
      <c r="G3286" s="9" t="n">
        <v>290.6</v>
      </c>
      <c r="H3286" s="10" t="n">
        <v>45684.75252314815</v>
      </c>
      <c r="I3286" s="10" t="n">
        <v>45684.75252314815</v>
      </c>
      <c r="J3286" s="10" t="n">
        <v>45684.75385416667</v>
      </c>
      <c r="K3286" s="11" t="n">
        <v>0.001331018518518518</v>
      </c>
      <c r="L3286" s="13" t="n"/>
    </row>
    <row r="3287">
      <c r="A3287" s="3" t="inlineStr">
        <is>
          <t>PushOffDrive</t>
        </is>
      </c>
      <c r="B3287" s="3" t="inlineStr">
        <is>
          <t>Act_POD_1027001_211158_613</t>
        </is>
      </c>
      <c r="C3287" s="3" t="inlineStr">
        <is>
          <t>1027001</t>
        </is>
      </c>
      <c r="D3287" s="9" t="n">
        <v>397.3</v>
      </c>
      <c r="E3287" s="3" t="inlineStr">
        <is>
          <t>703</t>
        </is>
      </c>
      <c r="F3287" s="3" t="inlineStr">
        <is>
          <t>613</t>
        </is>
      </c>
      <c r="G3287" s="9" t="n">
        <v>297.43</v>
      </c>
      <c r="H3287" s="10" t="n">
        <v>45684.88331018519</v>
      </c>
      <c r="I3287" s="10" t="n">
        <v>45684.88331018519</v>
      </c>
      <c r="J3287" s="10" t="n">
        <v>45684.88546296296</v>
      </c>
      <c r="K3287" s="11" t="n">
        <v>0.002152777777777778</v>
      </c>
      <c r="L3287" s="13" t="n"/>
    </row>
    <row r="3288">
      <c r="A3288" s="3" t="inlineStr">
        <is>
          <t>PushOffDrive</t>
        </is>
      </c>
      <c r="B3288" s="3" t="inlineStr">
        <is>
          <t>Act_POD_1027101_030505_621</t>
        </is>
      </c>
      <c r="C3288" s="3" t="inlineStr">
        <is>
          <t>1027101</t>
        </is>
      </c>
      <c r="D3288" s="9" t="n">
        <v>24.1</v>
      </c>
      <c r="E3288" s="3" t="inlineStr">
        <is>
          <t>703</t>
        </is>
      </c>
      <c r="F3288" s="3" t="inlineStr">
        <is>
          <t>621</t>
        </is>
      </c>
      <c r="G3288" s="9" t="n">
        <v>459.96</v>
      </c>
      <c r="H3288" s="10" t="n">
        <v>45685.1285300926</v>
      </c>
      <c r="I3288" s="10" t="n">
        <v>45685.1285300926</v>
      </c>
      <c r="J3288" s="10" t="n">
        <v>45685.13049768518</v>
      </c>
      <c r="K3288" s="11" t="n">
        <v>0.001967592592592592</v>
      </c>
      <c r="L3288" s="13" t="n"/>
    </row>
    <row r="3289">
      <c r="A3289" s="3" t="inlineStr">
        <is>
          <t>PushOffDrive</t>
        </is>
      </c>
      <c r="B3289" s="3" t="inlineStr">
        <is>
          <t>Act_POD_1027102_030755_615</t>
        </is>
      </c>
      <c r="C3289" s="3" t="inlineStr">
        <is>
          <t>1027102</t>
        </is>
      </c>
      <c r="D3289" s="9" t="n">
        <v>101.7</v>
      </c>
      <c r="E3289" s="3" t="inlineStr">
        <is>
          <t>703</t>
        </is>
      </c>
      <c r="F3289" s="3" t="inlineStr">
        <is>
          <t>615</t>
        </is>
      </c>
      <c r="G3289" s="9" t="n">
        <v>269.92</v>
      </c>
      <c r="H3289" s="10" t="n">
        <v>45685.13049768518</v>
      </c>
      <c r="I3289" s="10" t="n">
        <v>45685.13049768518</v>
      </c>
      <c r="J3289" s="10" t="n">
        <v>45685.13186342592</v>
      </c>
      <c r="K3289" s="11" t="n">
        <v>0.001365740740740741</v>
      </c>
      <c r="L3289" s="13" t="n"/>
    </row>
    <row r="3290">
      <c r="A3290" s="3" t="inlineStr">
        <is>
          <t>PushOffDrive</t>
        </is>
      </c>
      <c r="B3290" s="3" t="inlineStr">
        <is>
          <t>Act_POD_1027103_030953_619</t>
        </is>
      </c>
      <c r="C3290" s="3" t="inlineStr">
        <is>
          <t>1027103</t>
        </is>
      </c>
      <c r="D3290" s="9" t="n">
        <v>19.9</v>
      </c>
      <c r="E3290" s="3" t="inlineStr">
        <is>
          <t>703</t>
        </is>
      </c>
      <c r="F3290" s="3" t="inlineStr">
        <is>
          <t>619</t>
        </is>
      </c>
      <c r="G3290" s="9" t="n">
        <v>459.96</v>
      </c>
      <c r="H3290" s="10" t="n">
        <v>45685.13186342592</v>
      </c>
      <c r="I3290" s="10" t="n">
        <v>45685.13186342592</v>
      </c>
      <c r="J3290" s="10" t="n">
        <v>45685.13381944445</v>
      </c>
      <c r="K3290" s="11" t="n">
        <v>0.001956018518518518</v>
      </c>
      <c r="L3290" s="13" t="n"/>
    </row>
    <row r="3291">
      <c r="A3291" s="3" t="inlineStr">
        <is>
          <t>PushOffDrive</t>
        </is>
      </c>
      <c r="B3291" s="3" t="inlineStr">
        <is>
          <t>Act_POD_1027201_064101_607</t>
        </is>
      </c>
      <c r="C3291" s="3" t="inlineStr">
        <is>
          <t>1027201</t>
        </is>
      </c>
      <c r="D3291" s="9" t="n">
        <v>297</v>
      </c>
      <c r="E3291" s="3" t="inlineStr">
        <is>
          <t>703</t>
        </is>
      </c>
      <c r="F3291" s="3" t="inlineStr">
        <is>
          <t>607</t>
        </is>
      </c>
      <c r="G3291" s="9" t="n">
        <v>378.4</v>
      </c>
      <c r="H3291" s="10" t="n">
        <v>45685.2784837963</v>
      </c>
      <c r="I3291" s="10" t="n">
        <v>45685.2784837963</v>
      </c>
      <c r="J3291" s="10" t="n">
        <v>45685.28075231481</v>
      </c>
      <c r="K3291" s="11" t="n">
        <v>0.002268518518518519</v>
      </c>
      <c r="L3291" s="13" t="n"/>
    </row>
    <row r="3292">
      <c r="A3292" s="3" t="inlineStr">
        <is>
          <t>PushOffDrive</t>
        </is>
      </c>
      <c r="B3292" s="3" t="inlineStr">
        <is>
          <t>Act_POD_1027301_073313_615</t>
        </is>
      </c>
      <c r="C3292" s="3" t="inlineStr">
        <is>
          <t>1027301</t>
        </is>
      </c>
      <c r="D3292" s="9" t="n">
        <v>21</v>
      </c>
      <c r="E3292" s="3" t="inlineStr">
        <is>
          <t>703</t>
        </is>
      </c>
      <c r="F3292" s="3" t="inlineStr">
        <is>
          <t>615</t>
        </is>
      </c>
      <c r="G3292" s="9" t="n">
        <v>269.92</v>
      </c>
      <c r="H3292" s="10" t="n">
        <v>45685.31473379629</v>
      </c>
      <c r="I3292" s="10" t="n">
        <v>45685.31473379629</v>
      </c>
      <c r="J3292" s="10" t="n">
        <v>45685.31591435185</v>
      </c>
      <c r="K3292" s="11" t="n">
        <v>0.001180555555555556</v>
      </c>
      <c r="L3292" s="13" t="n"/>
    </row>
    <row r="3293">
      <c r="A3293" s="3" t="inlineStr">
        <is>
          <t>PushOffDrive</t>
        </is>
      </c>
      <c r="B3293" s="3" t="inlineStr">
        <is>
          <t>Act_POD_1027302_073455_615</t>
        </is>
      </c>
      <c r="C3293" s="3" t="inlineStr">
        <is>
          <t>1027302</t>
        </is>
      </c>
      <c r="D3293" s="9" t="n">
        <v>27</v>
      </c>
      <c r="E3293" s="3" t="inlineStr">
        <is>
          <t>703</t>
        </is>
      </c>
      <c r="F3293" s="3" t="inlineStr">
        <is>
          <t>615</t>
        </is>
      </c>
      <c r="G3293" s="9" t="n">
        <v>269.92</v>
      </c>
      <c r="H3293" s="10" t="n">
        <v>45685.31591435185</v>
      </c>
      <c r="I3293" s="10" t="n">
        <v>45685.31591435185</v>
      </c>
      <c r="J3293" s="10" t="n">
        <v>45685.3170949074</v>
      </c>
      <c r="K3293" s="11" t="n">
        <v>0.001180555555555556</v>
      </c>
      <c r="L3293" s="13" t="n"/>
    </row>
    <row r="3294">
      <c r="A3294" s="3" t="inlineStr">
        <is>
          <t>PushOffDrive</t>
        </is>
      </c>
      <c r="B3294" s="3" t="inlineStr">
        <is>
          <t>Act_POD_1027303_073637_609</t>
        </is>
      </c>
      <c r="C3294" s="3" t="inlineStr">
        <is>
          <t>1027303</t>
        </is>
      </c>
      <c r="D3294" s="9" t="n">
        <v>56.3</v>
      </c>
      <c r="E3294" s="3" t="inlineStr">
        <is>
          <t>703</t>
        </is>
      </c>
      <c r="F3294" s="3" t="inlineStr">
        <is>
          <t>609</t>
        </is>
      </c>
      <c r="G3294" s="9" t="n">
        <v>350.87</v>
      </c>
      <c r="H3294" s="10" t="n">
        <v>45685.3170949074</v>
      </c>
      <c r="I3294" s="10" t="n">
        <v>45685.3170949074</v>
      </c>
      <c r="J3294" s="10" t="n">
        <v>45685.31869212963</v>
      </c>
      <c r="K3294" s="11" t="n">
        <v>0.001597222222222222</v>
      </c>
      <c r="L3294" s="13" t="n"/>
    </row>
    <row r="3295">
      <c r="A3295" s="3" t="inlineStr">
        <is>
          <t>PushOffDrive</t>
        </is>
      </c>
      <c r="B3295" s="3" t="inlineStr">
        <is>
          <t>Act_POD_1027304_073855_617</t>
        </is>
      </c>
      <c r="C3295" s="3" t="inlineStr">
        <is>
          <t>1027304</t>
        </is>
      </c>
      <c r="D3295" s="9" t="n">
        <v>14</v>
      </c>
      <c r="E3295" s="3" t="inlineStr">
        <is>
          <t>703</t>
        </is>
      </c>
      <c r="F3295" s="3" t="inlineStr">
        <is>
          <t>617</t>
        </is>
      </c>
      <c r="G3295" s="9" t="n">
        <v>299.11</v>
      </c>
      <c r="H3295" s="10" t="n">
        <v>45685.31869212963</v>
      </c>
      <c r="I3295" s="10" t="n">
        <v>45685.31869212963</v>
      </c>
      <c r="J3295" s="10" t="n">
        <v>45685.31996527778</v>
      </c>
      <c r="K3295" s="11" t="n">
        <v>0.001273148148148148</v>
      </c>
      <c r="L3295" s="13" t="n"/>
    </row>
    <row r="3296">
      <c r="A3296" s="3" t="inlineStr">
        <is>
          <t>PushOffDrive</t>
        </is>
      </c>
      <c r="B3296" s="3" t="inlineStr">
        <is>
          <t>Act_POD_1027305_074045_629</t>
        </is>
      </c>
      <c r="C3296" s="3" t="inlineStr">
        <is>
          <t>1027305</t>
        </is>
      </c>
      <c r="D3296" s="9" t="n">
        <v>101.2</v>
      </c>
      <c r="E3296" s="3" t="inlineStr">
        <is>
          <t>703</t>
        </is>
      </c>
      <c r="F3296" s="3" t="inlineStr">
        <is>
          <t>629</t>
        </is>
      </c>
      <c r="G3296" s="9" t="n">
        <v>450.42</v>
      </c>
      <c r="H3296" s="10" t="n">
        <v>45685.31996527778</v>
      </c>
      <c r="I3296" s="10" t="n">
        <v>45685.31996527778</v>
      </c>
      <c r="J3296" s="10" t="n">
        <v>45685.32208333333</v>
      </c>
      <c r="K3296" s="11" t="n">
        <v>0.002118055555555556</v>
      </c>
      <c r="L3296" s="13" t="n"/>
    </row>
    <row r="3297">
      <c r="A3297" s="3" t="inlineStr">
        <is>
          <t>PushOffDrive</t>
        </is>
      </c>
      <c r="B3297" s="3" t="inlineStr">
        <is>
          <t>Act_POD_1027307_074348_629</t>
        </is>
      </c>
      <c r="C3297" s="3" t="inlineStr">
        <is>
          <t>1027307</t>
        </is>
      </c>
      <c r="D3297" s="9" t="n">
        <v>14</v>
      </c>
      <c r="E3297" s="3" t="inlineStr">
        <is>
          <t>703</t>
        </is>
      </c>
      <c r="F3297" s="3" t="inlineStr">
        <is>
          <t>629</t>
        </is>
      </c>
      <c r="G3297" s="9" t="n">
        <v>450.42</v>
      </c>
      <c r="H3297" s="10" t="n">
        <v>45685.32208333333</v>
      </c>
      <c r="I3297" s="10" t="n">
        <v>45685.32208333333</v>
      </c>
      <c r="J3297" s="10" t="n">
        <v>45685.32399305556</v>
      </c>
      <c r="K3297" s="11" t="n">
        <v>0.001909722222222222</v>
      </c>
      <c r="L3297" s="13" t="n"/>
    </row>
    <row r="3298">
      <c r="A3298" s="3" t="inlineStr">
        <is>
          <t>PushOffDrive</t>
        </is>
      </c>
      <c r="B3298" s="3" t="inlineStr">
        <is>
          <t>Act_POD_1027701_091751_627</t>
        </is>
      </c>
      <c r="C3298" s="3" t="inlineStr">
        <is>
          <t>1027701</t>
        </is>
      </c>
      <c r="D3298" s="9" t="n">
        <v>73.90000000000001</v>
      </c>
      <c r="E3298" s="3" t="inlineStr">
        <is>
          <t>703</t>
        </is>
      </c>
      <c r="F3298" s="3" t="inlineStr">
        <is>
          <t>627</t>
        </is>
      </c>
      <c r="G3298" s="9" t="n">
        <v>450.42</v>
      </c>
      <c r="H3298" s="10" t="n">
        <v>45685.38739583334</v>
      </c>
      <c r="I3298" s="10" t="n">
        <v>45685.38739583334</v>
      </c>
      <c r="J3298" s="10" t="n">
        <v>45685.38944444444</v>
      </c>
      <c r="K3298" s="11" t="n">
        <v>0.002048611111111111</v>
      </c>
      <c r="L3298" s="13" t="n"/>
    </row>
    <row r="3299">
      <c r="A3299" s="3" t="inlineStr">
        <is>
          <t>PushOffDrive</t>
        </is>
      </c>
      <c r="B3299" s="3" t="inlineStr">
        <is>
          <t>Act_POD_1027702_092048_621</t>
        </is>
      </c>
      <c r="C3299" s="3" t="inlineStr">
        <is>
          <t>1027702</t>
        </is>
      </c>
      <c r="D3299" s="9" t="n">
        <v>148.9</v>
      </c>
      <c r="E3299" s="3" t="inlineStr">
        <is>
          <t>703</t>
        </is>
      </c>
      <c r="F3299" s="3" t="inlineStr">
        <is>
          <t>621</t>
        </is>
      </c>
      <c r="G3299" s="9" t="n">
        <v>459.96</v>
      </c>
      <c r="H3299" s="10" t="n">
        <v>45685.38944444444</v>
      </c>
      <c r="I3299" s="10" t="n">
        <v>45685.38944444444</v>
      </c>
      <c r="J3299" s="10" t="n">
        <v>45685.39171296296</v>
      </c>
      <c r="K3299" s="11" t="n">
        <v>0.002268518518518519</v>
      </c>
      <c r="L3299" s="13" t="n"/>
    </row>
    <row r="3300">
      <c r="A3300" s="3" t="inlineStr">
        <is>
          <t>PushOffDrive</t>
        </is>
      </c>
      <c r="B3300" s="3" t="inlineStr">
        <is>
          <t>Act_POD_1027601_092520_615</t>
        </is>
      </c>
      <c r="C3300" s="3" t="inlineStr">
        <is>
          <t>1027601</t>
        </is>
      </c>
      <c r="D3300" s="9" t="n">
        <v>54</v>
      </c>
      <c r="E3300" s="3" t="inlineStr">
        <is>
          <t>727</t>
        </is>
      </c>
      <c r="F3300" s="3" t="inlineStr">
        <is>
          <t>615</t>
        </is>
      </c>
      <c r="G3300" s="9" t="n">
        <v>263.09</v>
      </c>
      <c r="H3300" s="10" t="n">
        <v>45685.39259259259</v>
      </c>
      <c r="I3300" s="10" t="n">
        <v>45685.39259259259</v>
      </c>
      <c r="J3300" s="10" t="n">
        <v>45685.39380787037</v>
      </c>
      <c r="K3300" s="11" t="n">
        <v>0.001215277777777778</v>
      </c>
      <c r="L3300" s="13" t="n"/>
    </row>
    <row r="3301">
      <c r="A3301" s="3" t="inlineStr">
        <is>
          <t>PushOffDrive</t>
        </is>
      </c>
      <c r="B3301" s="3" t="inlineStr">
        <is>
          <t>Act_POD_1027602_092705_627</t>
        </is>
      </c>
      <c r="C3301" s="3" t="inlineStr">
        <is>
          <t>1027602</t>
        </is>
      </c>
      <c r="D3301" s="9" t="n">
        <v>15.7</v>
      </c>
      <c r="E3301" s="3" t="inlineStr">
        <is>
          <t>727</t>
        </is>
      </c>
      <c r="F3301" s="3" t="inlineStr">
        <is>
          <t>627</t>
        </is>
      </c>
      <c r="G3301" s="9" t="n">
        <v>443.59</v>
      </c>
      <c r="H3301" s="10" t="n">
        <v>45685.39380787037</v>
      </c>
      <c r="I3301" s="10" t="n">
        <v>45685.39380787037</v>
      </c>
      <c r="J3301" s="10" t="n">
        <v>45685.39569444444</v>
      </c>
      <c r="K3301" s="11" t="n">
        <v>0.001886574074074074</v>
      </c>
      <c r="L3301" s="13" t="n"/>
    </row>
    <row r="3302">
      <c r="A3302" s="3" t="inlineStr">
        <is>
          <t>PushOffDrive</t>
        </is>
      </c>
      <c r="B3302" s="3" t="inlineStr">
        <is>
          <t>Act_POD_1027603_092948_615</t>
        </is>
      </c>
      <c r="C3302" s="3" t="inlineStr">
        <is>
          <t>1027603</t>
        </is>
      </c>
      <c r="D3302" s="9" t="n">
        <v>15.7</v>
      </c>
      <c r="E3302" s="3" t="inlineStr">
        <is>
          <t>727</t>
        </is>
      </c>
      <c r="F3302" s="3" t="inlineStr">
        <is>
          <t>615</t>
        </is>
      </c>
      <c r="G3302" s="9" t="n">
        <v>263.09</v>
      </c>
      <c r="H3302" s="10" t="n">
        <v>45685.39569444444</v>
      </c>
      <c r="I3302" s="10" t="n">
        <v>45685.39569444444</v>
      </c>
      <c r="J3302" s="10" t="n">
        <v>45685.39682870371</v>
      </c>
      <c r="K3302" s="11" t="n">
        <v>0.001134259259259259</v>
      </c>
      <c r="L3302" s="13" t="n"/>
    </row>
    <row r="3303">
      <c r="A3303" s="3" t="inlineStr">
        <is>
          <t>PushOffDrive</t>
        </is>
      </c>
      <c r="B3303" s="3" t="inlineStr">
        <is>
          <t>Act_POD_1027604_093126_621</t>
        </is>
      </c>
      <c r="C3303" s="3" t="inlineStr">
        <is>
          <t>1027604</t>
        </is>
      </c>
      <c r="D3303" s="9" t="n">
        <v>15.7</v>
      </c>
      <c r="E3303" s="3" t="inlineStr">
        <is>
          <t>727</t>
        </is>
      </c>
      <c r="F3303" s="3" t="inlineStr">
        <is>
          <t>621</t>
        </is>
      </c>
      <c r="G3303" s="9" t="n">
        <v>453.13</v>
      </c>
      <c r="H3303" s="10" t="n">
        <v>45685.39682870371</v>
      </c>
      <c r="I3303" s="10" t="n">
        <v>45685.39682870371</v>
      </c>
      <c r="J3303" s="10" t="n">
        <v>45685.39875</v>
      </c>
      <c r="K3303" s="11" t="n">
        <v>0.001921296296296296</v>
      </c>
      <c r="L3303" s="13" t="n"/>
    </row>
    <row r="3304">
      <c r="A3304" s="3" t="inlineStr">
        <is>
          <t>PushOffDrive</t>
        </is>
      </c>
      <c r="B3304" s="3" t="inlineStr">
        <is>
          <t>Act_POD_1027605_093412_617</t>
        </is>
      </c>
      <c r="C3304" s="3" t="inlineStr">
        <is>
          <t>1027605</t>
        </is>
      </c>
      <c r="D3304" s="9" t="n">
        <v>28</v>
      </c>
      <c r="E3304" s="3" t="inlineStr">
        <is>
          <t>727</t>
        </is>
      </c>
      <c r="F3304" s="3" t="inlineStr">
        <is>
          <t>617</t>
        </is>
      </c>
      <c r="G3304" s="9" t="n">
        <v>292.28</v>
      </c>
      <c r="H3304" s="10" t="n">
        <v>45685.39875</v>
      </c>
      <c r="I3304" s="10" t="n">
        <v>45685.39875</v>
      </c>
      <c r="J3304" s="10" t="n">
        <v>45685.40003472222</v>
      </c>
      <c r="K3304" s="11" t="n">
        <v>0.001284722222222222</v>
      </c>
      <c r="L3304" s="13" t="n"/>
    </row>
    <row r="3305">
      <c r="A3305" s="3" t="inlineStr">
        <is>
          <t>PushOffDrive</t>
        </is>
      </c>
      <c r="B3305" s="3" t="inlineStr">
        <is>
          <t>Act_POD_1027606_093603_619</t>
        </is>
      </c>
      <c r="C3305" s="3" t="inlineStr">
        <is>
          <t>1027606</t>
        </is>
      </c>
      <c r="D3305" s="9" t="n">
        <v>19.9</v>
      </c>
      <c r="E3305" s="3" t="inlineStr">
        <is>
          <t>727</t>
        </is>
      </c>
      <c r="F3305" s="3" t="inlineStr">
        <is>
          <t>619</t>
        </is>
      </c>
      <c r="G3305" s="9" t="n">
        <v>453.13</v>
      </c>
      <c r="H3305" s="10" t="n">
        <v>45685.40003472222</v>
      </c>
      <c r="I3305" s="10" t="n">
        <v>45685.40003472222</v>
      </c>
      <c r="J3305" s="10" t="n">
        <v>45685.4019675926</v>
      </c>
      <c r="K3305" s="11" t="n">
        <v>0.00193287037037037</v>
      </c>
      <c r="L3305" s="13" t="n"/>
    </row>
    <row r="3306">
      <c r="A3306" s="3" t="inlineStr">
        <is>
          <t>PushOffDrive</t>
        </is>
      </c>
      <c r="B3306" s="3" t="inlineStr">
        <is>
          <t>Act_POD_1027607_093850_629</t>
        </is>
      </c>
      <c r="C3306" s="3" t="inlineStr">
        <is>
          <t>1027607</t>
        </is>
      </c>
      <c r="D3306" s="9" t="n">
        <v>61.2</v>
      </c>
      <c r="E3306" s="3" t="inlineStr">
        <is>
          <t>727</t>
        </is>
      </c>
      <c r="F3306" s="3" t="inlineStr">
        <is>
          <t>629</t>
        </is>
      </c>
      <c r="G3306" s="9" t="n">
        <v>443.59</v>
      </c>
      <c r="H3306" s="10" t="n">
        <v>45685.4019675926</v>
      </c>
      <c r="I3306" s="10" t="n">
        <v>45685.4019675926</v>
      </c>
      <c r="J3306" s="10" t="n">
        <v>45685.40395833334</v>
      </c>
      <c r="K3306" s="11" t="n">
        <v>0.001990740740740741</v>
      </c>
      <c r="L3306" s="13" t="n"/>
    </row>
    <row r="3307">
      <c r="A3307" s="3" t="inlineStr">
        <is>
          <t>PushOffDrive</t>
        </is>
      </c>
      <c r="B3307" s="3" t="inlineStr">
        <is>
          <t>Act_POD_1027608_094142_615</t>
        </is>
      </c>
      <c r="C3307" s="3" t="inlineStr">
        <is>
          <t>1027608</t>
        </is>
      </c>
      <c r="D3307" s="9" t="n">
        <v>21</v>
      </c>
      <c r="E3307" s="3" t="inlineStr">
        <is>
          <t>727</t>
        </is>
      </c>
      <c r="F3307" s="3" t="inlineStr">
        <is>
          <t>615</t>
        </is>
      </c>
      <c r="G3307" s="9" t="n">
        <v>263.09</v>
      </c>
      <c r="H3307" s="10" t="n">
        <v>45685.40395833334</v>
      </c>
      <c r="I3307" s="10" t="n">
        <v>45685.40395833334</v>
      </c>
      <c r="J3307" s="10" t="n">
        <v>45685.40510416667</v>
      </c>
      <c r="K3307" s="11" t="n">
        <v>0.001145833333333333</v>
      </c>
      <c r="L3307" s="13" t="n"/>
    </row>
    <row r="3308">
      <c r="A3308" s="3" t="inlineStr">
        <is>
          <t>PushOffDrive</t>
        </is>
      </c>
      <c r="B3308" s="3" t="inlineStr">
        <is>
          <t>Act_POD_1027609_094321_629</t>
        </is>
      </c>
      <c r="C3308" s="3" t="inlineStr">
        <is>
          <t>1027609</t>
        </is>
      </c>
      <c r="D3308" s="9" t="n">
        <v>12</v>
      </c>
      <c r="E3308" s="3" t="inlineStr">
        <is>
          <t>727</t>
        </is>
      </c>
      <c r="F3308" s="3" t="inlineStr">
        <is>
          <t>629</t>
        </is>
      </c>
      <c r="G3308" s="9" t="n">
        <v>443.59</v>
      </c>
      <c r="H3308" s="10" t="n">
        <v>45685.40510416667</v>
      </c>
      <c r="I3308" s="10" t="n">
        <v>45685.40510416667</v>
      </c>
      <c r="J3308" s="10" t="n">
        <v>45685.40697916667</v>
      </c>
      <c r="K3308" s="11" t="n">
        <v>0.001875</v>
      </c>
      <c r="L3308" s="13" t="n"/>
    </row>
    <row r="3309">
      <c r="A3309" s="3" t="inlineStr">
        <is>
          <t>PushOffDrive</t>
        </is>
      </c>
      <c r="B3309" s="3" t="inlineStr">
        <is>
          <t>Act_POD_1027611_094603_615</t>
        </is>
      </c>
      <c r="C3309" s="3" t="inlineStr">
        <is>
          <t>1027611</t>
        </is>
      </c>
      <c r="D3309" s="9" t="n">
        <v>19.9</v>
      </c>
      <c r="E3309" s="3" t="inlineStr">
        <is>
          <t>727</t>
        </is>
      </c>
      <c r="F3309" s="3" t="inlineStr">
        <is>
          <t>615</t>
        </is>
      </c>
      <c r="G3309" s="9" t="n">
        <v>263.09</v>
      </c>
      <c r="H3309" s="10" t="n">
        <v>45685.40697916667</v>
      </c>
      <c r="I3309" s="10" t="n">
        <v>45685.40697916667</v>
      </c>
      <c r="J3309" s="10" t="n">
        <v>45685.408125</v>
      </c>
      <c r="K3309" s="11" t="n">
        <v>0.001145833333333333</v>
      </c>
      <c r="L3309" s="13" t="n"/>
    </row>
    <row r="3310">
      <c r="A3310" s="3" t="inlineStr">
        <is>
          <t>PushOffDrive</t>
        </is>
      </c>
      <c r="B3310" s="3" t="inlineStr">
        <is>
          <t>Act_POD_1027612_094742_619</t>
        </is>
      </c>
      <c r="C3310" s="3" t="inlineStr">
        <is>
          <t>1027612</t>
        </is>
      </c>
      <c r="D3310" s="9" t="n">
        <v>19.9</v>
      </c>
      <c r="E3310" s="3" t="inlineStr">
        <is>
          <t>727</t>
        </is>
      </c>
      <c r="F3310" s="3" t="inlineStr">
        <is>
          <t>619</t>
        </is>
      </c>
      <c r="G3310" s="9" t="n">
        <v>453.13</v>
      </c>
      <c r="H3310" s="10" t="n">
        <v>45685.408125</v>
      </c>
      <c r="I3310" s="10" t="n">
        <v>45685.408125</v>
      </c>
      <c r="J3310" s="10" t="n">
        <v>45685.41005787037</v>
      </c>
      <c r="K3310" s="11" t="n">
        <v>0.00193287037037037</v>
      </c>
      <c r="L3310" s="13" t="n"/>
    </row>
    <row r="3311">
      <c r="A3311" s="3" t="inlineStr">
        <is>
          <t>PushOffDrive</t>
        </is>
      </c>
      <c r="B3311" s="3" t="inlineStr">
        <is>
          <t>Act_POD_1027614_095029_609</t>
        </is>
      </c>
      <c r="C3311" s="3" t="inlineStr">
        <is>
          <t>1027614</t>
        </is>
      </c>
      <c r="D3311" s="9" t="n">
        <v>63</v>
      </c>
      <c r="E3311" s="3" t="inlineStr">
        <is>
          <t>727</t>
        </is>
      </c>
      <c r="F3311" s="3" t="inlineStr">
        <is>
          <t>609</t>
        </is>
      </c>
      <c r="G3311" s="9" t="n">
        <v>344.04</v>
      </c>
      <c r="H3311" s="10" t="n">
        <v>45685.41005787037</v>
      </c>
      <c r="I3311" s="10" t="n">
        <v>45685.41005787037</v>
      </c>
      <c r="J3311" s="10" t="n">
        <v>45685.41163194444</v>
      </c>
      <c r="K3311" s="11" t="n">
        <v>0.001574074074074074</v>
      </c>
      <c r="L3311" s="13" t="n"/>
    </row>
    <row r="3312">
      <c r="A3312" s="3" t="inlineStr">
        <is>
          <t>PushOffDrive</t>
        </is>
      </c>
      <c r="B3312" s="3" t="inlineStr">
        <is>
          <t>Act_POD_1027801_104431_627</t>
        </is>
      </c>
      <c r="C3312" s="3" t="inlineStr">
        <is>
          <t>1027801</t>
        </is>
      </c>
      <c r="D3312" s="9" t="n">
        <v>105</v>
      </c>
      <c r="E3312" s="3" t="inlineStr">
        <is>
          <t>703</t>
        </is>
      </c>
      <c r="F3312" s="3" t="inlineStr">
        <is>
          <t>627</t>
        </is>
      </c>
      <c r="G3312" s="9" t="n">
        <v>450.42</v>
      </c>
      <c r="H3312" s="10" t="n">
        <v>45685.44758101852</v>
      </c>
      <c r="I3312" s="10" t="n">
        <v>45685.44758101852</v>
      </c>
      <c r="J3312" s="10" t="n">
        <v>45685.44969907407</v>
      </c>
      <c r="K3312" s="11" t="n">
        <v>0.002118055555555556</v>
      </c>
      <c r="L3312" s="13" t="n"/>
    </row>
    <row r="3313">
      <c r="A3313" s="3" t="inlineStr">
        <is>
          <t>PushOffDrive</t>
        </is>
      </c>
      <c r="B3313" s="3" t="inlineStr">
        <is>
          <t>Act_POD_1027802_104734_621</t>
        </is>
      </c>
      <c r="C3313" s="3" t="inlineStr">
        <is>
          <t>1027802</t>
        </is>
      </c>
      <c r="D3313" s="9" t="n">
        <v>21</v>
      </c>
      <c r="E3313" s="3" t="inlineStr">
        <is>
          <t>703</t>
        </is>
      </c>
      <c r="F3313" s="3" t="inlineStr">
        <is>
          <t>621</t>
        </is>
      </c>
      <c r="G3313" s="9" t="n">
        <v>459.96</v>
      </c>
      <c r="H3313" s="10" t="n">
        <v>45685.44969907407</v>
      </c>
      <c r="I3313" s="10" t="n">
        <v>45685.44969907407</v>
      </c>
      <c r="J3313" s="10" t="n">
        <v>45685.45166666667</v>
      </c>
      <c r="K3313" s="11" t="n">
        <v>0.001967592592592592</v>
      </c>
      <c r="L3313" s="13" t="n"/>
    </row>
    <row r="3314">
      <c r="A3314" s="3" t="inlineStr">
        <is>
          <t>PushOffDrive</t>
        </is>
      </c>
      <c r="B3314" s="3" t="inlineStr">
        <is>
          <t>Act_POD_1027803_105024_605</t>
        </is>
      </c>
      <c r="C3314" s="3" t="inlineStr">
        <is>
          <t>1027803</t>
        </is>
      </c>
      <c r="D3314" s="9" t="n">
        <v>147</v>
      </c>
      <c r="E3314" s="3" t="inlineStr">
        <is>
          <t>703</t>
        </is>
      </c>
      <c r="F3314" s="3" t="inlineStr">
        <is>
          <t>605</t>
        </is>
      </c>
      <c r="G3314" s="9" t="n">
        <v>405.43</v>
      </c>
      <c r="H3314" s="10" t="n">
        <v>45685.45166666667</v>
      </c>
      <c r="I3314" s="10" t="n">
        <v>45685.45166666667</v>
      </c>
      <c r="J3314" s="10" t="n">
        <v>45685.45369212963</v>
      </c>
      <c r="K3314" s="11" t="n">
        <v>0.002025462962962963</v>
      </c>
      <c r="L3314" s="13" t="n"/>
    </row>
    <row r="3315">
      <c r="A3315" s="3" t="inlineStr">
        <is>
          <t>PushOffDrive</t>
        </is>
      </c>
      <c r="B3315" s="3" t="inlineStr">
        <is>
          <t>Act_POD_1027901_130716_615</t>
        </is>
      </c>
      <c r="C3315" s="3" t="inlineStr">
        <is>
          <t>1027901</t>
        </is>
      </c>
      <c r="D3315" s="9" t="n">
        <v>291.9</v>
      </c>
      <c r="E3315" s="3" t="inlineStr">
        <is>
          <t>703</t>
        </is>
      </c>
      <c r="F3315" s="3" t="inlineStr">
        <is>
          <t>615</t>
        </is>
      </c>
      <c r="G3315" s="9" t="n">
        <v>269.92</v>
      </c>
      <c r="H3315" s="10" t="n">
        <v>45685.54671296296</v>
      </c>
      <c r="I3315" s="10" t="n">
        <v>45685.54671296296</v>
      </c>
      <c r="J3315" s="10" t="n">
        <v>45685.54851851852</v>
      </c>
      <c r="K3315" s="11" t="n">
        <v>0.001805555555555555</v>
      </c>
      <c r="L3315" s="13" t="n"/>
    </row>
    <row r="3316">
      <c r="A3316" s="3" t="inlineStr">
        <is>
          <t>PushOffDrive</t>
        </is>
      </c>
      <c r="B3316" s="3" t="inlineStr">
        <is>
          <t>Act_POD_1028001_142828_625</t>
        </is>
      </c>
      <c r="C3316" s="3" t="inlineStr">
        <is>
          <t>1028001</t>
        </is>
      </c>
      <c r="D3316" s="9" t="n">
        <v>389.8</v>
      </c>
      <c r="E3316" s="3" t="inlineStr">
        <is>
          <t>703</t>
        </is>
      </c>
      <c r="F3316" s="3" t="inlineStr">
        <is>
          <t>625</t>
        </is>
      </c>
      <c r="G3316" s="9" t="n">
        <v>477.75</v>
      </c>
      <c r="H3316" s="10" t="n">
        <v>45685.60310185186</v>
      </c>
      <c r="I3316" s="10" t="n">
        <v>45685.60310185186</v>
      </c>
      <c r="J3316" s="10" t="n">
        <v>45685.60599537037</v>
      </c>
      <c r="K3316" s="11" t="n">
        <v>0.002893518518518518</v>
      </c>
      <c r="L3316" s="13" t="n"/>
    </row>
    <row r="3317">
      <c r="A3317" s="3" t="inlineStr">
        <is>
          <t>PushOffDrive</t>
        </is>
      </c>
      <c r="B3317" s="3" t="inlineStr">
        <is>
          <t>Act_POD_1028101_145330_623</t>
        </is>
      </c>
      <c r="C3317" s="3" t="inlineStr">
        <is>
          <t>1028101</t>
        </is>
      </c>
      <c r="D3317" s="9" t="n">
        <v>39.8</v>
      </c>
      <c r="E3317" s="3" t="inlineStr">
        <is>
          <t>727</t>
        </is>
      </c>
      <c r="F3317" s="3" t="inlineStr">
        <is>
          <t>623</t>
        </is>
      </c>
      <c r="G3317" s="9" t="n">
        <v>405.22</v>
      </c>
      <c r="H3317" s="10" t="n">
        <v>45685.62048611111</v>
      </c>
      <c r="I3317" s="10" t="n">
        <v>45685.62048611111</v>
      </c>
      <c r="J3317" s="10" t="n">
        <v>45685.62226851852</v>
      </c>
      <c r="K3317" s="11" t="n">
        <v>0.001782407407407407</v>
      </c>
      <c r="L3317" s="13" t="n"/>
    </row>
    <row r="3318">
      <c r="A3318" s="3" t="inlineStr">
        <is>
          <t>PushOffDrive</t>
        </is>
      </c>
      <c r="B3318" s="3" t="inlineStr">
        <is>
          <t>Act_POD_1028102_145604_619</t>
        </is>
      </c>
      <c r="C3318" s="3" t="inlineStr">
        <is>
          <t>1028102</t>
        </is>
      </c>
      <c r="D3318" s="9" t="n">
        <v>15.7</v>
      </c>
      <c r="E3318" s="3" t="inlineStr">
        <is>
          <t>727</t>
        </is>
      </c>
      <c r="F3318" s="3" t="inlineStr">
        <is>
          <t>619</t>
        </is>
      </c>
      <c r="G3318" s="9" t="n">
        <v>453.13</v>
      </c>
      <c r="H3318" s="10" t="n">
        <v>45685.62226851852</v>
      </c>
      <c r="I3318" s="10" t="n">
        <v>45685.62226851852</v>
      </c>
      <c r="J3318" s="10" t="n">
        <v>45685.62418981481</v>
      </c>
      <c r="K3318" s="11" t="n">
        <v>0.001921296296296296</v>
      </c>
      <c r="L3318" s="13" t="n"/>
    </row>
    <row r="3319">
      <c r="A3319" s="3" t="inlineStr">
        <is>
          <t>PushOffDrive</t>
        </is>
      </c>
      <c r="B3319" s="3" t="inlineStr">
        <is>
          <t>Act_POD_1028103_145850_619</t>
        </is>
      </c>
      <c r="C3319" s="3" t="inlineStr">
        <is>
          <t>1028103</t>
        </is>
      </c>
      <c r="D3319" s="9" t="n">
        <v>19.9</v>
      </c>
      <c r="E3319" s="3" t="inlineStr">
        <is>
          <t>727</t>
        </is>
      </c>
      <c r="F3319" s="3" t="inlineStr">
        <is>
          <t>619</t>
        </is>
      </c>
      <c r="G3319" s="9" t="n">
        <v>453.13</v>
      </c>
      <c r="H3319" s="10" t="n">
        <v>45685.62418981481</v>
      </c>
      <c r="I3319" s="10" t="n">
        <v>45685.62418981481</v>
      </c>
      <c r="J3319" s="10" t="n">
        <v>45685.62612268519</v>
      </c>
      <c r="K3319" s="11" t="n">
        <v>0.00193287037037037</v>
      </c>
      <c r="L3319" s="13" t="n"/>
    </row>
    <row r="3320">
      <c r="A3320" s="3" t="inlineStr">
        <is>
          <t>PushOffDrive</t>
        </is>
      </c>
      <c r="B3320" s="3" t="inlineStr">
        <is>
          <t>Act_POD_1028104_150137_629</t>
        </is>
      </c>
      <c r="C3320" s="3" t="inlineStr">
        <is>
          <t>1028104</t>
        </is>
      </c>
      <c r="D3320" s="9" t="n">
        <v>49.6</v>
      </c>
      <c r="E3320" s="3" t="inlineStr">
        <is>
          <t>727</t>
        </is>
      </c>
      <c r="F3320" s="3" t="inlineStr">
        <is>
          <t>629</t>
        </is>
      </c>
      <c r="G3320" s="9" t="n">
        <v>443.59</v>
      </c>
      <c r="H3320" s="10" t="n">
        <v>45685.62612268519</v>
      </c>
      <c r="I3320" s="10" t="n">
        <v>45685.62612268519</v>
      </c>
      <c r="J3320" s="10" t="n">
        <v>45685.62809027778</v>
      </c>
      <c r="K3320" s="11" t="n">
        <v>0.001967592592592592</v>
      </c>
      <c r="L3320" s="13" t="n"/>
    </row>
    <row r="3321">
      <c r="A3321" s="3" t="inlineStr">
        <is>
          <t>PushOffDrive</t>
        </is>
      </c>
      <c r="B3321" s="3" t="inlineStr">
        <is>
          <t>Act_POD_1028106_150427_607</t>
        </is>
      </c>
      <c r="C3321" s="3" t="inlineStr">
        <is>
          <t>1028106</t>
        </is>
      </c>
      <c r="D3321" s="9" t="n">
        <v>19.9</v>
      </c>
      <c r="E3321" s="3" t="inlineStr">
        <is>
          <t>727</t>
        </is>
      </c>
      <c r="F3321" s="3" t="inlineStr">
        <is>
          <t>607</t>
        </is>
      </c>
      <c r="G3321" s="9" t="n">
        <v>371.57</v>
      </c>
      <c r="H3321" s="10" t="n">
        <v>45685.62809027778</v>
      </c>
      <c r="I3321" s="10" t="n">
        <v>45685.62809027778</v>
      </c>
      <c r="J3321" s="10" t="n">
        <v>45685.62967592593</v>
      </c>
      <c r="K3321" s="11" t="n">
        <v>0.001585648148148148</v>
      </c>
      <c r="L3321" s="13" t="n"/>
    </row>
    <row r="3322">
      <c r="A3322" s="3" t="inlineStr">
        <is>
          <t>PushOffDrive</t>
        </is>
      </c>
      <c r="B3322" s="3" t="inlineStr">
        <is>
          <t>Act_POD_1028107_150644_615</t>
        </is>
      </c>
      <c r="C3322" s="3" t="inlineStr">
        <is>
          <t>1028107</t>
        </is>
      </c>
      <c r="D3322" s="9" t="n">
        <v>21</v>
      </c>
      <c r="E3322" s="3" t="inlineStr">
        <is>
          <t>727</t>
        </is>
      </c>
      <c r="F3322" s="3" t="inlineStr">
        <is>
          <t>615</t>
        </is>
      </c>
      <c r="G3322" s="9" t="n">
        <v>263.09</v>
      </c>
      <c r="H3322" s="10" t="n">
        <v>45685.62967592593</v>
      </c>
      <c r="I3322" s="10" t="n">
        <v>45685.62967592593</v>
      </c>
      <c r="J3322" s="10" t="n">
        <v>45685.63082175926</v>
      </c>
      <c r="K3322" s="11" t="n">
        <v>0.001145833333333333</v>
      </c>
      <c r="L3322" s="13" t="n"/>
    </row>
    <row r="3323">
      <c r="A3323" s="3" t="inlineStr">
        <is>
          <t>PushOffDrive</t>
        </is>
      </c>
      <c r="B3323" s="3" t="inlineStr">
        <is>
          <t>Act_POD_1028108_150823_615</t>
        </is>
      </c>
      <c r="C3323" s="3" t="inlineStr">
        <is>
          <t>1028108</t>
        </is>
      </c>
      <c r="D3323" s="9" t="n">
        <v>135</v>
      </c>
      <c r="E3323" s="3" t="inlineStr">
        <is>
          <t>727</t>
        </is>
      </c>
      <c r="F3323" s="3" t="inlineStr">
        <is>
          <t>615</t>
        </is>
      </c>
      <c r="G3323" s="9" t="n">
        <v>263.09</v>
      </c>
      <c r="H3323" s="10" t="n">
        <v>45685.63082175926</v>
      </c>
      <c r="I3323" s="10" t="n">
        <v>45685.63082175926</v>
      </c>
      <c r="J3323" s="10" t="n">
        <v>45685.6322337963</v>
      </c>
      <c r="K3323" s="11" t="n">
        <v>0.001412037037037037</v>
      </c>
      <c r="L3323" s="13" t="n"/>
    </row>
    <row r="3324">
      <c r="A3324" s="3" t="inlineStr">
        <is>
          <t>PushOffDrive</t>
        </is>
      </c>
      <c r="B3324" s="3" t="inlineStr">
        <is>
          <t>Act_POD_1028301_193936_606</t>
        </is>
      </c>
      <c r="C3324" s="3" t="inlineStr">
        <is>
          <t>1028301</t>
        </is>
      </c>
      <c r="D3324" s="9" t="n">
        <v>232.7</v>
      </c>
      <c r="E3324" s="3" t="inlineStr">
        <is>
          <t>703</t>
        </is>
      </c>
      <c r="F3324" s="3" t="inlineStr">
        <is>
          <t>606</t>
        </is>
      </c>
      <c r="G3324" s="9" t="n">
        <v>405.03</v>
      </c>
      <c r="H3324" s="10" t="n">
        <v>45685.81916666667</v>
      </c>
      <c r="I3324" s="10" t="n">
        <v>45685.81916666667</v>
      </c>
      <c r="J3324" s="10" t="n">
        <v>45685.82138888889</v>
      </c>
      <c r="K3324" s="11" t="n">
        <v>0.002222222222222222</v>
      </c>
      <c r="L3324" s="13" t="n"/>
    </row>
    <row r="3325">
      <c r="A3325" s="3" t="inlineStr">
        <is>
          <t>PushOffDrive</t>
        </is>
      </c>
      <c r="B3325" s="3" t="inlineStr">
        <is>
          <t>Act_POD_1028401_211201_611</t>
        </is>
      </c>
      <c r="C3325" s="3" t="inlineStr">
        <is>
          <t>1028401</t>
        </is>
      </c>
      <c r="D3325" s="9" t="n">
        <v>397.3</v>
      </c>
      <c r="E3325" s="3" t="inlineStr">
        <is>
          <t>703</t>
        </is>
      </c>
      <c r="F3325" s="3" t="inlineStr">
        <is>
          <t>611</t>
        </is>
      </c>
      <c r="G3325" s="9" t="n">
        <v>324.35</v>
      </c>
      <c r="H3325" s="10" t="n">
        <v>45685.88334490741</v>
      </c>
      <c r="I3325" s="10" t="n">
        <v>45685.88334490741</v>
      </c>
      <c r="J3325" s="10" t="n">
        <v>45685.88561342593</v>
      </c>
      <c r="K3325" s="11" t="n">
        <v>0.002268518518518519</v>
      </c>
      <c r="L3325" s="13" t="n"/>
    </row>
    <row r="3326">
      <c r="A3326" s="3" t="inlineStr">
        <is>
          <t>PushOffDrive</t>
        </is>
      </c>
      <c r="B3326" s="3" t="inlineStr">
        <is>
          <t>Act_POD_1028501_025910_629</t>
        </is>
      </c>
      <c r="C3326" s="3" t="inlineStr">
        <is>
          <t>1028501</t>
        </is>
      </c>
      <c r="D3326" s="9" t="n">
        <v>19.9</v>
      </c>
      <c r="E3326" s="3" t="inlineStr">
        <is>
          <t>703</t>
        </is>
      </c>
      <c r="F3326" s="3" t="inlineStr">
        <is>
          <t>629</t>
        </is>
      </c>
      <c r="G3326" s="9" t="n">
        <v>450.42</v>
      </c>
      <c r="H3326" s="10" t="n">
        <v>45686.1244212963</v>
      </c>
      <c r="I3326" s="10" t="n">
        <v>45686.1244212963</v>
      </c>
      <c r="J3326" s="10" t="n">
        <v>45686.12634259259</v>
      </c>
      <c r="K3326" s="11" t="n">
        <v>0.001921296296296296</v>
      </c>
      <c r="L3326" s="13" t="n"/>
    </row>
    <row r="3327">
      <c r="A3327" s="3" t="inlineStr">
        <is>
          <t>PushOffDrive</t>
        </is>
      </c>
      <c r="B3327" s="3" t="inlineStr">
        <is>
          <t>Act_POD_1028502_030156_615</t>
        </is>
      </c>
      <c r="C3327" s="3" t="inlineStr">
        <is>
          <t>1028502</t>
        </is>
      </c>
      <c r="D3327" s="9" t="n">
        <v>165.8</v>
      </c>
      <c r="E3327" s="3" t="inlineStr">
        <is>
          <t>703</t>
        </is>
      </c>
      <c r="F3327" s="3" t="inlineStr">
        <is>
          <t>615</t>
        </is>
      </c>
      <c r="G3327" s="9" t="n">
        <v>269.92</v>
      </c>
      <c r="H3327" s="10" t="n">
        <v>45686.12634259259</v>
      </c>
      <c r="I3327" s="10" t="n">
        <v>45686.12634259259</v>
      </c>
      <c r="J3327" s="10" t="n">
        <v>45686.12784722223</v>
      </c>
      <c r="K3327" s="11" t="n">
        <v>0.00150462962962963</v>
      </c>
      <c r="L3327" s="13" t="n"/>
    </row>
    <row r="3328">
      <c r="A3328" s="3" t="inlineStr">
        <is>
          <t>PushOffDrive</t>
        </is>
      </c>
      <c r="B3328" s="3" t="inlineStr">
        <is>
          <t>Act_POD_1028503_030406_619</t>
        </is>
      </c>
      <c r="C3328" s="3" t="inlineStr">
        <is>
          <t>1028503</t>
        </is>
      </c>
      <c r="D3328" s="9" t="n">
        <v>54.7</v>
      </c>
      <c r="E3328" s="3" t="inlineStr">
        <is>
          <t>703</t>
        </is>
      </c>
      <c r="F3328" s="3" t="inlineStr">
        <is>
          <t>619</t>
        </is>
      </c>
      <c r="G3328" s="9" t="n">
        <v>459.96</v>
      </c>
      <c r="H3328" s="10" t="n">
        <v>45686.12784722223</v>
      </c>
      <c r="I3328" s="10" t="n">
        <v>45686.12784722223</v>
      </c>
      <c r="J3328" s="10" t="n">
        <v>45686.12989583334</v>
      </c>
      <c r="K3328" s="11" t="n">
        <v>0.002048611111111111</v>
      </c>
      <c r="L3328" s="13" t="n"/>
    </row>
    <row r="3329">
      <c r="A3329" s="3" t="inlineStr">
        <is>
          <t>PushOffDrive</t>
        </is>
      </c>
      <c r="B3329" s="3" t="inlineStr">
        <is>
          <t>Act_POD_1028504_030703_629</t>
        </is>
      </c>
      <c r="C3329" s="3" t="inlineStr">
        <is>
          <t>1028504</t>
        </is>
      </c>
      <c r="D3329" s="9" t="n">
        <v>19.9</v>
      </c>
      <c r="E3329" s="3" t="inlineStr">
        <is>
          <t>703</t>
        </is>
      </c>
      <c r="F3329" s="3" t="inlineStr">
        <is>
          <t>629</t>
        </is>
      </c>
      <c r="G3329" s="9" t="n">
        <v>450.42</v>
      </c>
      <c r="H3329" s="10" t="n">
        <v>45686.12989583334</v>
      </c>
      <c r="I3329" s="10" t="n">
        <v>45686.12989583334</v>
      </c>
      <c r="J3329" s="10" t="n">
        <v>45686.13181712963</v>
      </c>
      <c r="K3329" s="11" t="n">
        <v>0.001921296296296296</v>
      </c>
      <c r="L3329" s="13" t="n"/>
    </row>
    <row r="3330">
      <c r="A3330" s="3" t="inlineStr">
        <is>
          <t>PushOffDrive</t>
        </is>
      </c>
      <c r="B3330" s="3" t="inlineStr">
        <is>
          <t>Act_POD_1028601_042740_613</t>
        </is>
      </c>
      <c r="C3330" s="3" t="inlineStr">
        <is>
          <t>1028601</t>
        </is>
      </c>
      <c r="D3330" s="9" t="n">
        <v>106.9</v>
      </c>
      <c r="E3330" s="3" t="inlineStr">
        <is>
          <t>703</t>
        </is>
      </c>
      <c r="F3330" s="3" t="inlineStr">
        <is>
          <t>613</t>
        </is>
      </c>
      <c r="G3330" s="9" t="n">
        <v>297.43</v>
      </c>
      <c r="H3330" s="10" t="n">
        <v>45686.18587962963</v>
      </c>
      <c r="I3330" s="10" t="n">
        <v>45686.18587962963</v>
      </c>
      <c r="J3330" s="10" t="n">
        <v>45686.18737268518</v>
      </c>
      <c r="K3330" s="11" t="n">
        <v>0.001493055555555556</v>
      </c>
      <c r="L3330" s="13" t="n"/>
    </row>
    <row r="3331">
      <c r="A3331" s="3" t="inlineStr">
        <is>
          <t>PushOffDrive</t>
        </is>
      </c>
      <c r="B3331" s="3" t="inlineStr">
        <is>
          <t>Act_POD_1028701_062625_607</t>
        </is>
      </c>
      <c r="C3331" s="3" t="inlineStr">
        <is>
          <t>1028701</t>
        </is>
      </c>
      <c r="D3331" s="9" t="n">
        <v>297</v>
      </c>
      <c r="E3331" s="3" t="inlineStr">
        <is>
          <t>703</t>
        </is>
      </c>
      <c r="F3331" s="3" t="inlineStr">
        <is>
          <t>607</t>
        </is>
      </c>
      <c r="G3331" s="9" t="n">
        <v>378.4</v>
      </c>
      <c r="H3331" s="10" t="n">
        <v>45686.26834490741</v>
      </c>
      <c r="I3331" s="10" t="n">
        <v>45686.26834490741</v>
      </c>
      <c r="J3331" s="10" t="n">
        <v>45686.27061342593</v>
      </c>
      <c r="K3331" s="11" t="n">
        <v>0.002268518518518519</v>
      </c>
      <c r="L3331" s="13" t="n"/>
    </row>
    <row r="3332">
      <c r="A3332" s="3" t="inlineStr">
        <is>
          <t>PushOffDrive</t>
        </is>
      </c>
      <c r="B3332" s="3" t="inlineStr">
        <is>
          <t>Act_POD_1028801_072940_621</t>
        </is>
      </c>
      <c r="C3332" s="3" t="inlineStr">
        <is>
          <t>1028801</t>
        </is>
      </c>
      <c r="D3332" s="9" t="n">
        <v>397.3</v>
      </c>
      <c r="E3332" s="3" t="inlineStr">
        <is>
          <t>703</t>
        </is>
      </c>
      <c r="F3332" s="3" t="inlineStr">
        <is>
          <t>621</t>
        </is>
      </c>
      <c r="G3332" s="9" t="n">
        <v>459.96</v>
      </c>
      <c r="H3332" s="10" t="n">
        <v>45686.31226851852</v>
      </c>
      <c r="I3332" s="10" t="n">
        <v>45686.31226851852</v>
      </c>
      <c r="J3332" s="10" t="n">
        <v>45686.31510416666</v>
      </c>
      <c r="K3332" s="11" t="n">
        <v>0.002835648148148148</v>
      </c>
      <c r="L3332" s="13" t="n"/>
    </row>
    <row r="3333">
      <c r="A3333" s="3" t="inlineStr">
        <is>
          <t>PushOffDrive</t>
        </is>
      </c>
      <c r="B3333" s="3" t="inlineStr">
        <is>
          <t>Act_POD_1028901_073815_629</t>
        </is>
      </c>
      <c r="C3333" s="3" t="inlineStr">
        <is>
          <t>1028901</t>
        </is>
      </c>
      <c r="D3333" s="9" t="n">
        <v>129.3</v>
      </c>
      <c r="E3333" s="3" t="inlineStr">
        <is>
          <t>727</t>
        </is>
      </c>
      <c r="F3333" s="3" t="inlineStr">
        <is>
          <t>629</t>
        </is>
      </c>
      <c r="G3333" s="9" t="n">
        <v>443.59</v>
      </c>
      <c r="H3333" s="10" t="n">
        <v>45686.31822916667</v>
      </c>
      <c r="I3333" s="10" t="n">
        <v>45686.31822916667</v>
      </c>
      <c r="J3333" s="10" t="n">
        <v>45686.32038194445</v>
      </c>
      <c r="K3333" s="11" t="n">
        <v>0.002152777777777778</v>
      </c>
      <c r="L3333" s="13" t="n"/>
    </row>
    <row r="3334">
      <c r="A3334" s="3" t="inlineStr">
        <is>
          <t>PushOffDrive</t>
        </is>
      </c>
      <c r="B3334" s="3" t="inlineStr">
        <is>
          <t>Act_POD_1029001_082845_621</t>
        </is>
      </c>
      <c r="C3334" s="3" t="inlineStr">
        <is>
          <t>1029001</t>
        </is>
      </c>
      <c r="D3334" s="9" t="n">
        <v>16.5</v>
      </c>
      <c r="E3334" s="3" t="inlineStr">
        <is>
          <t>703</t>
        </is>
      </c>
      <c r="F3334" s="3" t="inlineStr">
        <is>
          <t>621</t>
        </is>
      </c>
      <c r="G3334" s="9" t="n">
        <v>459.96</v>
      </c>
      <c r="H3334" s="10" t="n">
        <v>45686.35329861111</v>
      </c>
      <c r="I3334" s="10" t="n">
        <v>45686.35329861111</v>
      </c>
      <c r="J3334" s="10" t="n">
        <v>45686.35525462963</v>
      </c>
      <c r="K3334" s="11" t="n">
        <v>0.001956018518518518</v>
      </c>
      <c r="L3334" s="13" t="n"/>
    </row>
    <row r="3335">
      <c r="A3335" s="3" t="inlineStr">
        <is>
          <t>PushOffDrive</t>
        </is>
      </c>
      <c r="B3335" s="3" t="inlineStr">
        <is>
          <t>Act_POD_1029002_083134_615</t>
        </is>
      </c>
      <c r="C3335" s="3" t="inlineStr">
        <is>
          <t>1029002</t>
        </is>
      </c>
      <c r="D3335" s="9" t="n">
        <v>63</v>
      </c>
      <c r="E3335" s="3" t="inlineStr">
        <is>
          <t>703</t>
        </is>
      </c>
      <c r="F3335" s="3" t="inlineStr">
        <is>
          <t>615</t>
        </is>
      </c>
      <c r="G3335" s="9" t="n">
        <v>269.92</v>
      </c>
      <c r="H3335" s="10" t="n">
        <v>45686.35525462963</v>
      </c>
      <c r="I3335" s="10" t="n">
        <v>45686.35525462963</v>
      </c>
      <c r="J3335" s="10" t="n">
        <v>45686.35652777777</v>
      </c>
      <c r="K3335" s="11" t="n">
        <v>0.001273148148148148</v>
      </c>
      <c r="L3335" s="13" t="n"/>
    </row>
    <row r="3336">
      <c r="A3336" s="3" t="inlineStr">
        <is>
          <t>PushOffDrive</t>
        </is>
      </c>
      <c r="B3336" s="3" t="inlineStr">
        <is>
          <t>Act_POD_1029101_092900_619</t>
        </is>
      </c>
      <c r="C3336" s="3" t="inlineStr">
        <is>
          <t>1029101</t>
        </is>
      </c>
      <c r="D3336" s="9" t="n">
        <v>19.9</v>
      </c>
      <c r="E3336" s="3" t="inlineStr">
        <is>
          <t>703</t>
        </is>
      </c>
      <c r="F3336" s="3" t="inlineStr">
        <is>
          <t>619</t>
        </is>
      </c>
      <c r="G3336" s="9" t="n">
        <v>459.96</v>
      </c>
      <c r="H3336" s="10" t="n">
        <v>45686.39513888889</v>
      </c>
      <c r="I3336" s="10" t="n">
        <v>45686.39513888889</v>
      </c>
      <c r="J3336" s="10" t="n">
        <v>45686.39710648148</v>
      </c>
      <c r="K3336" s="11" t="n">
        <v>0.001967592592592592</v>
      </c>
      <c r="L3336" s="13" t="n"/>
    </row>
    <row r="3337">
      <c r="A3337" s="3" t="inlineStr">
        <is>
          <t>PushOffDrive</t>
        </is>
      </c>
      <c r="B3337" s="3" t="inlineStr">
        <is>
          <t>Act_POD_1029102_093150_617</t>
        </is>
      </c>
      <c r="C3337" s="3" t="inlineStr">
        <is>
          <t>1029102</t>
        </is>
      </c>
      <c r="D3337" s="9" t="n">
        <v>14</v>
      </c>
      <c r="E3337" s="3" t="inlineStr">
        <is>
          <t>703</t>
        </is>
      </c>
      <c r="F3337" s="3" t="inlineStr">
        <is>
          <t>617</t>
        </is>
      </c>
      <c r="G3337" s="9" t="n">
        <v>299.11</v>
      </c>
      <c r="H3337" s="10" t="n">
        <v>45686.39710648148</v>
      </c>
      <c r="I3337" s="10" t="n">
        <v>45686.39710648148</v>
      </c>
      <c r="J3337" s="10" t="n">
        <v>45686.39837962963</v>
      </c>
      <c r="K3337" s="11" t="n">
        <v>0.001273148148148148</v>
      </c>
      <c r="L3337" s="13" t="n"/>
    </row>
    <row r="3338">
      <c r="A3338" s="3" t="inlineStr">
        <is>
          <t>PushOffDrive</t>
        </is>
      </c>
      <c r="B3338" s="3" t="inlineStr">
        <is>
          <t>Act_POD_1029104_093340_615</t>
        </is>
      </c>
      <c r="C3338" s="3" t="inlineStr">
        <is>
          <t>1029104</t>
        </is>
      </c>
      <c r="D3338" s="9" t="n">
        <v>189</v>
      </c>
      <c r="E3338" s="3" t="inlineStr">
        <is>
          <t>703</t>
        </is>
      </c>
      <c r="F3338" s="3" t="inlineStr">
        <is>
          <t>615</t>
        </is>
      </c>
      <c r="G3338" s="9" t="n">
        <v>269.92</v>
      </c>
      <c r="H3338" s="10" t="n">
        <v>45686.39837962963</v>
      </c>
      <c r="I3338" s="10" t="n">
        <v>45686.39837962963</v>
      </c>
      <c r="J3338" s="10" t="n">
        <v>45686.39994212963</v>
      </c>
      <c r="K3338" s="11" t="n">
        <v>0.0015625</v>
      </c>
      <c r="L3338" s="13" t="n"/>
    </row>
    <row r="3339">
      <c r="A3339" s="3" t="inlineStr">
        <is>
          <t>PushOffDrive</t>
        </is>
      </c>
      <c r="B3339" s="3" t="inlineStr">
        <is>
          <t>Act_POD_1029106_093555_607</t>
        </is>
      </c>
      <c r="C3339" s="3" t="inlineStr">
        <is>
          <t>1029106</t>
        </is>
      </c>
      <c r="D3339" s="9" t="n">
        <v>59.7</v>
      </c>
      <c r="E3339" s="3" t="inlineStr">
        <is>
          <t>703</t>
        </is>
      </c>
      <c r="F3339" s="3" t="inlineStr">
        <is>
          <t>607</t>
        </is>
      </c>
      <c r="G3339" s="9" t="n">
        <v>378.4</v>
      </c>
      <c r="H3339" s="10" t="n">
        <v>45686.39994212963</v>
      </c>
      <c r="I3339" s="10" t="n">
        <v>45686.39994212963</v>
      </c>
      <c r="J3339" s="10" t="n">
        <v>45686.4016550926</v>
      </c>
      <c r="K3339" s="11" t="n">
        <v>0.001712962962962963</v>
      </c>
      <c r="L3339" s="13" t="n"/>
    </row>
    <row r="3340">
      <c r="A3340" s="3" t="inlineStr">
        <is>
          <t>PushOffDrive</t>
        </is>
      </c>
      <c r="B3340" s="3" t="inlineStr">
        <is>
          <t>Act_POD_1029107_093823_621</t>
        </is>
      </c>
      <c r="C3340" s="3" t="inlineStr">
        <is>
          <t>1029107</t>
        </is>
      </c>
      <c r="D3340" s="9" t="n">
        <v>15.7</v>
      </c>
      <c r="E3340" s="3" t="inlineStr">
        <is>
          <t>703</t>
        </is>
      </c>
      <c r="F3340" s="3" t="inlineStr">
        <is>
          <t>621</t>
        </is>
      </c>
      <c r="G3340" s="9" t="n">
        <v>459.96</v>
      </c>
      <c r="H3340" s="10" t="n">
        <v>45686.4016550926</v>
      </c>
      <c r="I3340" s="10" t="n">
        <v>45686.4016550926</v>
      </c>
      <c r="J3340" s="10" t="n">
        <v>45686.40361111111</v>
      </c>
      <c r="K3340" s="11" t="n">
        <v>0.001956018518518518</v>
      </c>
      <c r="L3340" s="13" t="n"/>
    </row>
    <row r="3341">
      <c r="A3341" s="3" t="inlineStr">
        <is>
          <t>PushOffDrive</t>
        </is>
      </c>
      <c r="B3341" s="3" t="inlineStr">
        <is>
          <t>Act_POD_1029109_094112_619</t>
        </is>
      </c>
      <c r="C3341" s="3" t="inlineStr">
        <is>
          <t>1029109</t>
        </is>
      </c>
      <c r="D3341" s="9" t="n">
        <v>19.9</v>
      </c>
      <c r="E3341" s="3" t="inlineStr">
        <is>
          <t>703</t>
        </is>
      </c>
      <c r="F3341" s="3" t="inlineStr">
        <is>
          <t>619</t>
        </is>
      </c>
      <c r="G3341" s="9" t="n">
        <v>459.96</v>
      </c>
      <c r="H3341" s="10" t="n">
        <v>45686.40361111111</v>
      </c>
      <c r="I3341" s="10" t="n">
        <v>45686.40361111111</v>
      </c>
      <c r="J3341" s="10" t="n">
        <v>45686.40557870371</v>
      </c>
      <c r="K3341" s="11" t="n">
        <v>0.001967592592592592</v>
      </c>
      <c r="L3341" s="13" t="n"/>
    </row>
    <row r="3342">
      <c r="A3342" s="3" t="inlineStr">
        <is>
          <t>PushOffDrive</t>
        </is>
      </c>
      <c r="B3342" s="3" t="inlineStr">
        <is>
          <t>Act_POD_1029110_094402_623</t>
        </is>
      </c>
      <c r="C3342" s="3" t="inlineStr">
        <is>
          <t>1029110</t>
        </is>
      </c>
      <c r="D3342" s="9" t="n">
        <v>23.2</v>
      </c>
      <c r="E3342" s="3" t="inlineStr">
        <is>
          <t>703</t>
        </is>
      </c>
      <c r="F3342" s="3" t="inlineStr">
        <is>
          <t>623</t>
        </is>
      </c>
      <c r="G3342" s="9" t="n">
        <v>412.05</v>
      </c>
      <c r="H3342" s="10" t="n">
        <v>45686.40557870371</v>
      </c>
      <c r="I3342" s="10" t="n">
        <v>45686.40557870371</v>
      </c>
      <c r="J3342" s="10" t="n">
        <v>45686.40734953704</v>
      </c>
      <c r="K3342" s="11" t="n">
        <v>0.001770833333333333</v>
      </c>
      <c r="L3342" s="13" t="n"/>
    </row>
    <row r="3343">
      <c r="A3343" s="3" t="inlineStr">
        <is>
          <t>PushOffDrive</t>
        </is>
      </c>
      <c r="B3343" s="3" t="inlineStr">
        <is>
          <t>Act_POD_1029201_104219_621</t>
        </is>
      </c>
      <c r="C3343" s="3" t="inlineStr">
        <is>
          <t>1029201</t>
        </is>
      </c>
      <c r="D3343" s="9" t="n">
        <v>21</v>
      </c>
      <c r="E3343" s="3" t="inlineStr">
        <is>
          <t>703</t>
        </is>
      </c>
      <c r="F3343" s="3" t="inlineStr">
        <is>
          <t>621</t>
        </is>
      </c>
      <c r="G3343" s="9" t="n">
        <v>459.96</v>
      </c>
      <c r="H3343" s="10" t="n">
        <v>45686.44605324074</v>
      </c>
      <c r="I3343" s="10" t="n">
        <v>45686.44605324074</v>
      </c>
      <c r="J3343" s="10" t="n">
        <v>45686.44802083333</v>
      </c>
      <c r="K3343" s="11" t="n">
        <v>0.001967592592592592</v>
      </c>
      <c r="L3343" s="13" t="n"/>
    </row>
    <row r="3344">
      <c r="A3344" s="3" t="inlineStr">
        <is>
          <t>PushOffDrive</t>
        </is>
      </c>
      <c r="B3344" s="3" t="inlineStr">
        <is>
          <t>Act_POD_1029202_104509_615</t>
        </is>
      </c>
      <c r="C3344" s="3" t="inlineStr">
        <is>
          <t>1029202</t>
        </is>
      </c>
      <c r="D3344" s="9" t="n">
        <v>220.3</v>
      </c>
      <c r="E3344" s="3" t="inlineStr">
        <is>
          <t>703</t>
        </is>
      </c>
      <c r="F3344" s="3" t="inlineStr">
        <is>
          <t>615</t>
        </is>
      </c>
      <c r="G3344" s="9" t="n">
        <v>269.92</v>
      </c>
      <c r="H3344" s="10" t="n">
        <v>45686.44802083333</v>
      </c>
      <c r="I3344" s="10" t="n">
        <v>45686.44802083333</v>
      </c>
      <c r="J3344" s="10" t="n">
        <v>45686.44965277778</v>
      </c>
      <c r="K3344" s="11" t="n">
        <v>0.001631944444444445</v>
      </c>
      <c r="L3344" s="13" t="n"/>
    </row>
    <row r="3345">
      <c r="A3345" s="3" t="inlineStr">
        <is>
          <t>PushOffDrive</t>
        </is>
      </c>
      <c r="B3345" s="3" t="inlineStr">
        <is>
          <t>Act_POD_1029301_131541_615</t>
        </is>
      </c>
      <c r="C3345" s="3" t="inlineStr">
        <is>
          <t>1029301</t>
        </is>
      </c>
      <c r="D3345" s="9" t="n">
        <v>259.7</v>
      </c>
      <c r="E3345" s="3" t="inlineStr">
        <is>
          <t>703</t>
        </is>
      </c>
      <c r="F3345" s="3" t="inlineStr">
        <is>
          <t>615</t>
        </is>
      </c>
      <c r="G3345" s="9" t="n">
        <v>269.92</v>
      </c>
      <c r="H3345" s="10" t="n">
        <v>45686.55255787037</v>
      </c>
      <c r="I3345" s="10" t="n">
        <v>45686.55255787037</v>
      </c>
      <c r="J3345" s="10" t="n">
        <v>45686.55428240741</v>
      </c>
      <c r="K3345" s="11" t="n">
        <v>0.001724537037037037</v>
      </c>
      <c r="L3345" s="13" t="n"/>
    </row>
    <row r="3346">
      <c r="A3346" s="3" t="inlineStr">
        <is>
          <t>PushOffDrive</t>
        </is>
      </c>
      <c r="B3346" s="3" t="inlineStr">
        <is>
          <t>Act_POD_1029401_144207_615</t>
        </is>
      </c>
      <c r="C3346" s="3" t="inlineStr">
        <is>
          <t>1029401</t>
        </is>
      </c>
      <c r="D3346" s="9" t="n">
        <v>398</v>
      </c>
      <c r="E3346" s="3" t="inlineStr">
        <is>
          <t>703</t>
        </is>
      </c>
      <c r="F3346" s="3" t="inlineStr">
        <is>
          <t>615</t>
        </is>
      </c>
      <c r="G3346" s="9" t="n">
        <v>269.92</v>
      </c>
      <c r="H3346" s="10" t="n">
        <v>45686.61258101852</v>
      </c>
      <c r="I3346" s="10" t="n">
        <v>45686.61258101852</v>
      </c>
      <c r="J3346" s="10" t="n">
        <v>45686.61462962963</v>
      </c>
      <c r="K3346" s="11" t="n">
        <v>0.002048611111111111</v>
      </c>
      <c r="L3346" s="13" t="n"/>
    </row>
    <row r="3347">
      <c r="A3347" s="3" t="inlineStr">
        <is>
          <t>PushOffDrive</t>
        </is>
      </c>
      <c r="B3347" s="3" t="inlineStr">
        <is>
          <t>Act_POD_1029501_151949_623</t>
        </is>
      </c>
      <c r="C3347" s="3" t="inlineStr">
        <is>
          <t>1029501</t>
        </is>
      </c>
      <c r="D3347" s="9" t="n">
        <v>47.2</v>
      </c>
      <c r="E3347" s="3" t="inlineStr">
        <is>
          <t>703</t>
        </is>
      </c>
      <c r="F3347" s="3" t="inlineStr">
        <is>
          <t>623</t>
        </is>
      </c>
      <c r="G3347" s="9" t="n">
        <v>412.05</v>
      </c>
      <c r="H3347" s="10" t="n">
        <v>45686.63876157408</v>
      </c>
      <c r="I3347" s="10" t="n">
        <v>45686.63876157408</v>
      </c>
      <c r="J3347" s="10" t="n">
        <v>45686.6405787037</v>
      </c>
      <c r="K3347" s="11" t="n">
        <v>0.00181712962962963</v>
      </c>
      <c r="L3347" s="13" t="n"/>
    </row>
    <row r="3348">
      <c r="A3348" s="3" t="inlineStr">
        <is>
          <t>PushOffDrive</t>
        </is>
      </c>
      <c r="B3348" s="3" t="inlineStr">
        <is>
          <t>Act_POD_1029502_152226_627</t>
        </is>
      </c>
      <c r="C3348" s="3" t="inlineStr">
        <is>
          <t>1029502</t>
        </is>
      </c>
      <c r="D3348" s="9" t="n">
        <v>81</v>
      </c>
      <c r="E3348" s="3" t="inlineStr">
        <is>
          <t>703</t>
        </is>
      </c>
      <c r="F3348" s="3" t="inlineStr">
        <is>
          <t>627</t>
        </is>
      </c>
      <c r="G3348" s="9" t="n">
        <v>450.42</v>
      </c>
      <c r="H3348" s="10" t="n">
        <v>45686.6405787037</v>
      </c>
      <c r="I3348" s="10" t="n">
        <v>45686.6405787037</v>
      </c>
      <c r="J3348" s="10" t="n">
        <v>45686.64265046296</v>
      </c>
      <c r="K3348" s="11" t="n">
        <v>0.002071759259259259</v>
      </c>
      <c r="L3348" s="13" t="n"/>
    </row>
    <row r="3349">
      <c r="A3349" s="3" t="inlineStr">
        <is>
          <t>PushOffDrive</t>
        </is>
      </c>
      <c r="B3349" s="3" t="inlineStr">
        <is>
          <t>Act_POD_1029503_152525_617</t>
        </is>
      </c>
      <c r="C3349" s="3" t="inlineStr">
        <is>
          <t>1029503</t>
        </is>
      </c>
      <c r="D3349" s="9" t="n">
        <v>14</v>
      </c>
      <c r="E3349" s="3" t="inlineStr">
        <is>
          <t>703</t>
        </is>
      </c>
      <c r="F3349" s="3" t="inlineStr">
        <is>
          <t>617</t>
        </is>
      </c>
      <c r="G3349" s="9" t="n">
        <v>299.11</v>
      </c>
      <c r="H3349" s="10" t="n">
        <v>45686.64265046296</v>
      </c>
      <c r="I3349" s="10" t="n">
        <v>45686.64265046296</v>
      </c>
      <c r="J3349" s="10" t="n">
        <v>45686.64392361111</v>
      </c>
      <c r="K3349" s="11" t="n">
        <v>0.001273148148148148</v>
      </c>
      <c r="L3349" s="13" t="n"/>
    </row>
    <row r="3350">
      <c r="A3350" s="3" t="inlineStr">
        <is>
          <t>PushOffDrive</t>
        </is>
      </c>
      <c r="B3350" s="3" t="inlineStr">
        <is>
          <t>Act_POD_1029504_152715_605</t>
        </is>
      </c>
      <c r="C3350" s="3" t="inlineStr">
        <is>
          <t>1029504</t>
        </is>
      </c>
      <c r="D3350" s="9" t="n">
        <v>15.7</v>
      </c>
      <c r="E3350" s="3" t="inlineStr">
        <is>
          <t>703</t>
        </is>
      </c>
      <c r="F3350" s="3" t="inlineStr">
        <is>
          <t>605</t>
        </is>
      </c>
      <c r="G3350" s="9" t="n">
        <v>405.43</v>
      </c>
      <c r="H3350" s="10" t="n">
        <v>45686.64392361111</v>
      </c>
      <c r="I3350" s="10" t="n">
        <v>45686.64392361111</v>
      </c>
      <c r="J3350" s="10" t="n">
        <v>45686.64564814815</v>
      </c>
      <c r="K3350" s="11" t="n">
        <v>0.001724537037037037</v>
      </c>
      <c r="L3350" s="13" t="n"/>
    </row>
    <row r="3351">
      <c r="A3351" s="3" t="inlineStr">
        <is>
          <t>PushOffDrive</t>
        </is>
      </c>
      <c r="B3351" s="3" t="inlineStr">
        <is>
          <t>Act_POD_1029505_152944_629</t>
        </is>
      </c>
      <c r="C3351" s="3" t="inlineStr">
        <is>
          <t>1029505</t>
        </is>
      </c>
      <c r="D3351" s="9" t="n">
        <v>19.9</v>
      </c>
      <c r="E3351" s="3" t="inlineStr">
        <is>
          <t>703</t>
        </is>
      </c>
      <c r="F3351" s="3" t="inlineStr">
        <is>
          <t>629</t>
        </is>
      </c>
      <c r="G3351" s="9" t="n">
        <v>450.42</v>
      </c>
      <c r="H3351" s="10" t="n">
        <v>45686.64564814815</v>
      </c>
      <c r="I3351" s="10" t="n">
        <v>45686.64564814815</v>
      </c>
      <c r="J3351" s="10" t="n">
        <v>45686.64756944445</v>
      </c>
      <c r="K3351" s="11" t="n">
        <v>0.001921296296296296</v>
      </c>
      <c r="L3351" s="13" t="n"/>
    </row>
    <row r="3352">
      <c r="A3352" s="3" t="inlineStr">
        <is>
          <t>PushOffDrive</t>
        </is>
      </c>
      <c r="B3352" s="3" t="inlineStr">
        <is>
          <t>Act_POD_1029506_153230_609</t>
        </is>
      </c>
      <c r="C3352" s="3" t="inlineStr">
        <is>
          <t>1029506</t>
        </is>
      </c>
      <c r="D3352" s="9" t="n">
        <v>78</v>
      </c>
      <c r="E3352" s="3" t="inlineStr">
        <is>
          <t>703</t>
        </is>
      </c>
      <c r="F3352" s="3" t="inlineStr">
        <is>
          <t>609</t>
        </is>
      </c>
      <c r="G3352" s="9" t="n">
        <v>350.87</v>
      </c>
      <c r="H3352" s="10" t="n">
        <v>45686.64756944445</v>
      </c>
      <c r="I3352" s="10" t="n">
        <v>45686.64756944445</v>
      </c>
      <c r="J3352" s="10" t="n">
        <v>45686.64921296296</v>
      </c>
      <c r="K3352" s="11" t="n">
        <v>0.001643518518518519</v>
      </c>
      <c r="L3352" s="13" t="n"/>
    </row>
    <row r="3353">
      <c r="A3353" s="3" t="inlineStr">
        <is>
          <t>PushOffDrive</t>
        </is>
      </c>
      <c r="B3353" s="3" t="inlineStr">
        <is>
          <t>Act_POD_1029507_153452_619</t>
        </is>
      </c>
      <c r="C3353" s="3" t="inlineStr">
        <is>
          <t>1029507</t>
        </is>
      </c>
      <c r="D3353" s="9" t="n">
        <v>59.7</v>
      </c>
      <c r="E3353" s="3" t="inlineStr">
        <is>
          <t>703</t>
        </is>
      </c>
      <c r="F3353" s="3" t="inlineStr">
        <is>
          <t>619</t>
        </is>
      </c>
      <c r="G3353" s="9" t="n">
        <v>459.96</v>
      </c>
      <c r="H3353" s="10" t="n">
        <v>45686.64921296296</v>
      </c>
      <c r="I3353" s="10" t="n">
        <v>45686.64921296296</v>
      </c>
      <c r="J3353" s="10" t="n">
        <v>45686.65127314815</v>
      </c>
      <c r="K3353" s="11" t="n">
        <v>0.002060185185185185</v>
      </c>
      <c r="L3353" s="13" t="n"/>
    </row>
    <row r="3354">
      <c r="A3354" s="3" t="inlineStr">
        <is>
          <t>PushOffDrive</t>
        </is>
      </c>
      <c r="B3354" s="3" t="inlineStr">
        <is>
          <t>Act_POD_1029508_153750_609</t>
        </is>
      </c>
      <c r="C3354" s="3" t="inlineStr">
        <is>
          <t>1029508</t>
        </is>
      </c>
      <c r="D3354" s="9" t="n">
        <v>15.7</v>
      </c>
      <c r="E3354" s="3" t="inlineStr">
        <is>
          <t>703</t>
        </is>
      </c>
      <c r="F3354" s="3" t="inlineStr">
        <is>
          <t>609</t>
        </is>
      </c>
      <c r="G3354" s="9" t="n">
        <v>350.87</v>
      </c>
      <c r="H3354" s="10" t="n">
        <v>45686.65127314815</v>
      </c>
      <c r="I3354" s="10" t="n">
        <v>45686.65127314815</v>
      </c>
      <c r="J3354" s="10" t="n">
        <v>45686.6527662037</v>
      </c>
      <c r="K3354" s="11" t="n">
        <v>0.001493055555555556</v>
      </c>
      <c r="L3354" s="13" t="n"/>
    </row>
    <row r="3355">
      <c r="A3355" s="3" t="inlineStr">
        <is>
          <t>PushOffDrive</t>
        </is>
      </c>
      <c r="B3355" s="3" t="inlineStr">
        <is>
          <t>Act_POD_1029511_153959_627</t>
        </is>
      </c>
      <c r="C3355" s="3" t="inlineStr">
        <is>
          <t>1029511</t>
        </is>
      </c>
      <c r="D3355" s="9" t="n">
        <v>31.5</v>
      </c>
      <c r="E3355" s="3" t="inlineStr">
        <is>
          <t>703</t>
        </is>
      </c>
      <c r="F3355" s="3" t="inlineStr">
        <is>
          <t>627</t>
        </is>
      </c>
      <c r="G3355" s="9" t="n">
        <v>450.42</v>
      </c>
      <c r="H3355" s="10" t="n">
        <v>45686.6527662037</v>
      </c>
      <c r="I3355" s="10" t="n">
        <v>45686.6527662037</v>
      </c>
      <c r="J3355" s="10" t="n">
        <v>45686.65472222222</v>
      </c>
      <c r="K3355" s="11" t="n">
        <v>0.001956018518518518</v>
      </c>
      <c r="L3355" s="13" t="n"/>
    </row>
    <row r="3356">
      <c r="A3356" s="3" t="inlineStr">
        <is>
          <t>PushOffDrive</t>
        </is>
      </c>
      <c r="B3356" s="3" t="inlineStr">
        <is>
          <t>Act_POD_1029701_174048_615</t>
        </is>
      </c>
      <c r="C3356" s="3" t="inlineStr">
        <is>
          <t>1029701</t>
        </is>
      </c>
      <c r="D3356" s="9" t="n">
        <v>302.1</v>
      </c>
      <c r="E3356" s="3" t="inlineStr">
        <is>
          <t>703</t>
        </is>
      </c>
      <c r="F3356" s="3" t="inlineStr">
        <is>
          <t>615</t>
        </is>
      </c>
      <c r="G3356" s="9" t="n">
        <v>269.92</v>
      </c>
      <c r="H3356" s="10" t="n">
        <v>45686.73666666666</v>
      </c>
      <c r="I3356" s="10" t="n">
        <v>45686.73666666666</v>
      </c>
      <c r="J3356" s="10" t="n">
        <v>45686.73849537037</v>
      </c>
      <c r="K3356" s="11" t="n">
        <v>0.001828703703703704</v>
      </c>
      <c r="L3356" s="13" t="n"/>
    </row>
    <row r="3357">
      <c r="A3357" s="3" t="inlineStr">
        <is>
          <t>PushOffDrive</t>
        </is>
      </c>
      <c r="B3357" s="3" t="inlineStr">
        <is>
          <t>Act_POD_1029801_180440_625</t>
        </is>
      </c>
      <c r="C3357" s="3" t="inlineStr">
        <is>
          <t>1029801</t>
        </is>
      </c>
      <c r="D3357" s="9" t="n">
        <v>15.7</v>
      </c>
      <c r="E3357" s="3" t="inlineStr">
        <is>
          <t>727</t>
        </is>
      </c>
      <c r="F3357" s="3" t="inlineStr">
        <is>
          <t>625</t>
        </is>
      </c>
      <c r="G3357" s="9" t="n">
        <v>470.92</v>
      </c>
      <c r="H3357" s="10" t="n">
        <v>45686.75324074074</v>
      </c>
      <c r="I3357" s="10" t="n">
        <v>45686.75324074074</v>
      </c>
      <c r="J3357" s="10" t="n">
        <v>45686.75524305556</v>
      </c>
      <c r="K3357" s="11" t="n">
        <v>0.002002314814814815</v>
      </c>
      <c r="L3357" s="13" t="n"/>
    </row>
    <row r="3358">
      <c r="A3358" s="3" t="inlineStr">
        <is>
          <t>PushOffDrive</t>
        </is>
      </c>
      <c r="B3358" s="3" t="inlineStr">
        <is>
          <t>Act_POD_1029802_180733_617</t>
        </is>
      </c>
      <c r="C3358" s="3" t="inlineStr">
        <is>
          <t>1029802</t>
        </is>
      </c>
      <c r="D3358" s="9" t="n">
        <v>14</v>
      </c>
      <c r="E3358" s="3" t="inlineStr">
        <is>
          <t>727</t>
        </is>
      </c>
      <c r="F3358" s="3" t="inlineStr">
        <is>
          <t>617</t>
        </is>
      </c>
      <c r="G3358" s="9" t="n">
        <v>292.28</v>
      </c>
      <c r="H3358" s="10" t="n">
        <v>45686.75524305556</v>
      </c>
      <c r="I3358" s="10" t="n">
        <v>45686.75524305556</v>
      </c>
      <c r="J3358" s="10" t="n">
        <v>45686.75649305555</v>
      </c>
      <c r="K3358" s="11" t="n">
        <v>0.00125</v>
      </c>
      <c r="L3358" s="13" t="n"/>
    </row>
    <row r="3359">
      <c r="A3359" s="3" t="inlineStr">
        <is>
          <t>PushOffDrive</t>
        </is>
      </c>
      <c r="B3359" s="3" t="inlineStr">
        <is>
          <t>Act_POD_1029803_180921_627</t>
        </is>
      </c>
      <c r="C3359" s="3" t="inlineStr">
        <is>
          <t>1029803</t>
        </is>
      </c>
      <c r="D3359" s="9" t="n">
        <v>27</v>
      </c>
      <c r="E3359" s="3" t="inlineStr">
        <is>
          <t>727</t>
        </is>
      </c>
      <c r="F3359" s="3" t="inlineStr">
        <is>
          <t>627</t>
        </is>
      </c>
      <c r="G3359" s="9" t="n">
        <v>443.59</v>
      </c>
      <c r="H3359" s="10" t="n">
        <v>45686.75649305555</v>
      </c>
      <c r="I3359" s="10" t="n">
        <v>45686.75649305555</v>
      </c>
      <c r="J3359" s="10" t="n">
        <v>45686.75840277778</v>
      </c>
      <c r="K3359" s="11" t="n">
        <v>0.001909722222222222</v>
      </c>
      <c r="L3359" s="13" t="n"/>
    </row>
    <row r="3360">
      <c r="A3360" s="3" t="inlineStr">
        <is>
          <t>PushOffDrive</t>
        </is>
      </c>
      <c r="B3360" s="3" t="inlineStr">
        <is>
          <t>Act_POD_1029804_181206_621</t>
        </is>
      </c>
      <c r="C3360" s="3" t="inlineStr">
        <is>
          <t>1029804</t>
        </is>
      </c>
      <c r="D3360" s="9" t="n">
        <v>15.7</v>
      </c>
      <c r="E3360" s="3" t="inlineStr">
        <is>
          <t>727</t>
        </is>
      </c>
      <c r="F3360" s="3" t="inlineStr">
        <is>
          <t>621</t>
        </is>
      </c>
      <c r="G3360" s="9" t="n">
        <v>453.13</v>
      </c>
      <c r="H3360" s="10" t="n">
        <v>45686.75840277778</v>
      </c>
      <c r="I3360" s="10" t="n">
        <v>45686.75840277778</v>
      </c>
      <c r="J3360" s="10" t="n">
        <v>45686.76032407407</v>
      </c>
      <c r="K3360" s="11" t="n">
        <v>0.001921296296296296</v>
      </c>
      <c r="L3360" s="13" t="n"/>
    </row>
    <row r="3361">
      <c r="A3361" s="3" t="inlineStr">
        <is>
          <t>PushOffDrive</t>
        </is>
      </c>
      <c r="B3361" s="3" t="inlineStr">
        <is>
          <t>Act_POD_1029805_181452_609</t>
        </is>
      </c>
      <c r="C3361" s="3" t="inlineStr">
        <is>
          <t>1029805</t>
        </is>
      </c>
      <c r="D3361" s="9" t="n">
        <v>93.7</v>
      </c>
      <c r="E3361" s="3" t="inlineStr">
        <is>
          <t>727</t>
        </is>
      </c>
      <c r="F3361" s="3" t="inlineStr">
        <is>
          <t>609</t>
        </is>
      </c>
      <c r="G3361" s="9" t="n">
        <v>344.04</v>
      </c>
      <c r="H3361" s="10" t="n">
        <v>45686.76032407407</v>
      </c>
      <c r="I3361" s="10" t="n">
        <v>45686.76032407407</v>
      </c>
      <c r="J3361" s="10" t="n">
        <v>45686.7619675926</v>
      </c>
      <c r="K3361" s="11" t="n">
        <v>0.001643518518518519</v>
      </c>
      <c r="L3361" s="13" t="n"/>
    </row>
    <row r="3362">
      <c r="A3362" s="3" t="inlineStr">
        <is>
          <t>PushOffDrive</t>
        </is>
      </c>
      <c r="B3362" s="3" t="inlineStr">
        <is>
          <t>Act_POD_1029806_181714_627</t>
        </is>
      </c>
      <c r="C3362" s="3" t="inlineStr">
        <is>
          <t>1029806</t>
        </is>
      </c>
      <c r="D3362" s="9" t="n">
        <v>54</v>
      </c>
      <c r="E3362" s="3" t="inlineStr">
        <is>
          <t>727</t>
        </is>
      </c>
      <c r="F3362" s="3" t="inlineStr">
        <is>
          <t>627</t>
        </is>
      </c>
      <c r="G3362" s="9" t="n">
        <v>443.59</v>
      </c>
      <c r="H3362" s="10" t="n">
        <v>45686.7619675926</v>
      </c>
      <c r="I3362" s="10" t="n">
        <v>45686.7619675926</v>
      </c>
      <c r="J3362" s="10" t="n">
        <v>45686.76394675926</v>
      </c>
      <c r="K3362" s="11" t="n">
        <v>0.001979166666666667</v>
      </c>
      <c r="L3362" s="13" t="n"/>
    </row>
    <row r="3363">
      <c r="A3363" s="3" t="inlineStr">
        <is>
          <t>PushOffDrive</t>
        </is>
      </c>
      <c r="B3363" s="3" t="inlineStr">
        <is>
          <t>Act_POD_1029807_182005_629</t>
        </is>
      </c>
      <c r="C3363" s="3" t="inlineStr">
        <is>
          <t>1029807</t>
        </is>
      </c>
      <c r="D3363" s="9" t="n">
        <v>42</v>
      </c>
      <c r="E3363" s="3" t="inlineStr">
        <is>
          <t>727</t>
        </is>
      </c>
      <c r="F3363" s="3" t="inlineStr">
        <is>
          <t>629</t>
        </is>
      </c>
      <c r="G3363" s="9" t="n">
        <v>443.59</v>
      </c>
      <c r="H3363" s="10" t="n">
        <v>45686.76394675926</v>
      </c>
      <c r="I3363" s="10" t="n">
        <v>45686.76394675926</v>
      </c>
      <c r="J3363" s="10" t="n">
        <v>45686.7658912037</v>
      </c>
      <c r="K3363" s="11" t="n">
        <v>0.001944444444444444</v>
      </c>
      <c r="L3363" s="13" t="n"/>
    </row>
    <row r="3364">
      <c r="A3364" s="3" t="inlineStr">
        <is>
          <t>PushOffDrive</t>
        </is>
      </c>
      <c r="B3364" s="3" t="inlineStr">
        <is>
          <t>Act_POD_1029808_182253_607</t>
        </is>
      </c>
      <c r="C3364" s="3" t="inlineStr">
        <is>
          <t>1029808</t>
        </is>
      </c>
      <c r="D3364" s="9" t="n">
        <v>39.8</v>
      </c>
      <c r="E3364" s="3" t="inlineStr">
        <is>
          <t>727</t>
        </is>
      </c>
      <c r="F3364" s="3" t="inlineStr">
        <is>
          <t>607</t>
        </is>
      </c>
      <c r="G3364" s="9" t="n">
        <v>371.57</v>
      </c>
      <c r="H3364" s="10" t="n">
        <v>45686.7658912037</v>
      </c>
      <c r="I3364" s="10" t="n">
        <v>45686.7658912037</v>
      </c>
      <c r="J3364" s="10" t="n">
        <v>45686.76753472222</v>
      </c>
      <c r="K3364" s="11" t="n">
        <v>0.001643518518518519</v>
      </c>
      <c r="L3364" s="13" t="n"/>
    </row>
    <row r="3365">
      <c r="A3365" s="3" t="inlineStr">
        <is>
          <t>PushOffDrive</t>
        </is>
      </c>
      <c r="B3365" s="3" t="inlineStr">
        <is>
          <t>Act_POD_1029809_182515_629</t>
        </is>
      </c>
      <c r="C3365" s="3" t="inlineStr">
        <is>
          <t>1029809</t>
        </is>
      </c>
      <c r="D3365" s="9" t="n">
        <v>39.8</v>
      </c>
      <c r="E3365" s="3" t="inlineStr">
        <is>
          <t>727</t>
        </is>
      </c>
      <c r="F3365" s="3" t="inlineStr">
        <is>
          <t>629</t>
        </is>
      </c>
      <c r="G3365" s="9" t="n">
        <v>443.59</v>
      </c>
      <c r="H3365" s="10" t="n">
        <v>45686.76753472222</v>
      </c>
      <c r="I3365" s="10" t="n">
        <v>45686.76753472222</v>
      </c>
      <c r="J3365" s="10" t="n">
        <v>45686.7694675926</v>
      </c>
      <c r="K3365" s="11" t="n">
        <v>0.00193287037037037</v>
      </c>
      <c r="L3365" s="13" t="n"/>
    </row>
    <row r="3366">
      <c r="A3366" s="3" t="inlineStr">
        <is>
          <t>PushOffDrive</t>
        </is>
      </c>
      <c r="B3366" s="3" t="inlineStr">
        <is>
          <t>Act_POD_1029810_182802_605</t>
        </is>
      </c>
      <c r="C3366" s="3" t="inlineStr">
        <is>
          <t>1029810</t>
        </is>
      </c>
      <c r="D3366" s="9" t="n">
        <v>15.7</v>
      </c>
      <c r="E3366" s="3" t="inlineStr">
        <is>
          <t>727</t>
        </is>
      </c>
      <c r="F3366" s="3" t="inlineStr">
        <is>
          <t>605</t>
        </is>
      </c>
      <c r="G3366" s="9" t="n">
        <v>398.6</v>
      </c>
      <c r="H3366" s="10" t="n">
        <v>45686.7694675926</v>
      </c>
      <c r="I3366" s="10" t="n">
        <v>45686.7694675926</v>
      </c>
      <c r="J3366" s="10" t="n">
        <v>45686.77116898148</v>
      </c>
      <c r="K3366" s="11" t="n">
        <v>0.001701388888888889</v>
      </c>
      <c r="L3366" s="13" t="n"/>
    </row>
    <row r="3367">
      <c r="A3367" s="3" t="inlineStr">
        <is>
          <t>PushOffDrive</t>
        </is>
      </c>
      <c r="B3367" s="3" t="inlineStr">
        <is>
          <t>Act_POD_1029901_205918_606</t>
        </is>
      </c>
      <c r="C3367" s="3" t="inlineStr">
        <is>
          <t>1029901</t>
        </is>
      </c>
      <c r="D3367" s="9" t="n">
        <v>380.8</v>
      </c>
      <c r="E3367" s="3" t="inlineStr">
        <is>
          <t>703</t>
        </is>
      </c>
      <c r="F3367" s="3" t="inlineStr">
        <is>
          <t>606</t>
        </is>
      </c>
      <c r="G3367" s="9" t="n">
        <v>405.03</v>
      </c>
      <c r="H3367" s="10" t="n">
        <v>45686.87451388889</v>
      </c>
      <c r="I3367" s="10" t="n">
        <v>45686.87451388889</v>
      </c>
      <c r="J3367" s="10" t="n">
        <v>45686.87708333333</v>
      </c>
      <c r="K3367" s="11" t="n">
        <v>0.002569444444444445</v>
      </c>
      <c r="L3367" s="13" t="n"/>
    </row>
    <row r="3368">
      <c r="A3368" s="3" t="inlineStr">
        <is>
          <t>PushOffDrive</t>
        </is>
      </c>
      <c r="B3368" s="3" t="inlineStr">
        <is>
          <t>Act_POD_1030001_025722_629</t>
        </is>
      </c>
      <c r="C3368" s="3" t="inlineStr">
        <is>
          <t>1030001</t>
        </is>
      </c>
      <c r="D3368" s="9" t="n">
        <v>21</v>
      </c>
      <c r="E3368" s="3" t="inlineStr">
        <is>
          <t>703</t>
        </is>
      </c>
      <c r="F3368" s="3" t="inlineStr">
        <is>
          <t>629</t>
        </is>
      </c>
      <c r="G3368" s="9" t="n">
        <v>450.42</v>
      </c>
      <c r="H3368" s="10" t="n">
        <v>45687.1231712963</v>
      </c>
      <c r="I3368" s="10" t="n">
        <v>45687.1231712963</v>
      </c>
      <c r="J3368" s="10" t="n">
        <v>45687.12509259259</v>
      </c>
      <c r="K3368" s="11" t="n">
        <v>0.001921296296296296</v>
      </c>
      <c r="L3368" s="13" t="n"/>
    </row>
    <row r="3369">
      <c r="A3369" s="3" t="inlineStr">
        <is>
          <t>PushOffDrive</t>
        </is>
      </c>
      <c r="B3369" s="3" t="inlineStr">
        <is>
          <t>Act_POD_1030002_030008_605</t>
        </is>
      </c>
      <c r="C3369" s="3" t="inlineStr">
        <is>
          <t>1030002</t>
        </is>
      </c>
      <c r="D3369" s="9" t="n">
        <v>51.4</v>
      </c>
      <c r="E3369" s="3" t="inlineStr">
        <is>
          <t>703</t>
        </is>
      </c>
      <c r="F3369" s="3" t="inlineStr">
        <is>
          <t>605</t>
        </is>
      </c>
      <c r="G3369" s="9" t="n">
        <v>405.43</v>
      </c>
      <c r="H3369" s="10" t="n">
        <v>45687.12509259259</v>
      </c>
      <c r="I3369" s="10" t="n">
        <v>45687.12509259259</v>
      </c>
      <c r="J3369" s="10" t="n">
        <v>45687.12689814815</v>
      </c>
      <c r="K3369" s="11" t="n">
        <v>0.001805555555555555</v>
      </c>
      <c r="L3369" s="13" t="n"/>
    </row>
    <row r="3370">
      <c r="A3370" s="3" t="inlineStr">
        <is>
          <t>PushOffDrive</t>
        </is>
      </c>
      <c r="B3370" s="3" t="inlineStr">
        <is>
          <t>Act_POD_1030003_030244_615</t>
        </is>
      </c>
      <c r="C3370" s="3" t="inlineStr">
        <is>
          <t>1030003</t>
        </is>
      </c>
      <c r="D3370" s="9" t="n">
        <v>31.5</v>
      </c>
      <c r="E3370" s="3" t="inlineStr">
        <is>
          <t>703</t>
        </is>
      </c>
      <c r="F3370" s="3" t="inlineStr">
        <is>
          <t>615</t>
        </is>
      </c>
      <c r="G3370" s="9" t="n">
        <v>269.92</v>
      </c>
      <c r="H3370" s="10" t="n">
        <v>45687.12689814815</v>
      </c>
      <c r="I3370" s="10" t="n">
        <v>45687.12689814815</v>
      </c>
      <c r="J3370" s="10" t="n">
        <v>45687.12810185185</v>
      </c>
      <c r="K3370" s="11" t="n">
        <v>0.001203703703703704</v>
      </c>
      <c r="L3370" s="13" t="n"/>
    </row>
    <row r="3371">
      <c r="A3371" s="3" t="inlineStr">
        <is>
          <t>PushOffDrive</t>
        </is>
      </c>
      <c r="B3371" s="3" t="inlineStr">
        <is>
          <t>Act_POD_1030004_030428_629</t>
        </is>
      </c>
      <c r="C3371" s="3" t="inlineStr">
        <is>
          <t>1030004</t>
        </is>
      </c>
      <c r="D3371" s="9" t="n">
        <v>12</v>
      </c>
      <c r="E3371" s="3" t="inlineStr">
        <is>
          <t>703</t>
        </is>
      </c>
      <c r="F3371" s="3" t="inlineStr">
        <is>
          <t>629</t>
        </is>
      </c>
      <c r="G3371" s="9" t="n">
        <v>450.42</v>
      </c>
      <c r="H3371" s="10" t="n">
        <v>45687.12810185185</v>
      </c>
      <c r="I3371" s="10" t="n">
        <v>45687.12810185185</v>
      </c>
      <c r="J3371" s="10" t="n">
        <v>45687.13</v>
      </c>
      <c r="K3371" s="11" t="n">
        <v>0.001898148148148148</v>
      </c>
      <c r="L3371" s="13" t="n"/>
    </row>
    <row r="3372">
      <c r="A3372" s="3" t="inlineStr">
        <is>
          <t>PushOffDrive</t>
        </is>
      </c>
      <c r="B3372" s="3" t="inlineStr">
        <is>
          <t>Act_POD_1030005_030712_611</t>
        </is>
      </c>
      <c r="C3372" s="3" t="inlineStr">
        <is>
          <t>1030005</t>
        </is>
      </c>
      <c r="D3372" s="9" t="n">
        <v>21</v>
      </c>
      <c r="E3372" s="3" t="inlineStr">
        <is>
          <t>703</t>
        </is>
      </c>
      <c r="F3372" s="3" t="inlineStr">
        <is>
          <t>611</t>
        </is>
      </c>
      <c r="G3372" s="9" t="n">
        <v>324.35</v>
      </c>
      <c r="H3372" s="10" t="n">
        <v>45687.13</v>
      </c>
      <c r="I3372" s="10" t="n">
        <v>45687.13</v>
      </c>
      <c r="J3372" s="10" t="n">
        <v>45687.13140046296</v>
      </c>
      <c r="K3372" s="11" t="n">
        <v>0.001400462962962963</v>
      </c>
      <c r="L3372" s="13" t="n"/>
    </row>
    <row r="3373">
      <c r="A3373" s="3" t="inlineStr">
        <is>
          <t>PushOffDrive</t>
        </is>
      </c>
      <c r="B3373" s="3" t="inlineStr">
        <is>
          <t>Act_POD_1030101_062919_613</t>
        </is>
      </c>
      <c r="C3373" s="3" t="inlineStr">
        <is>
          <t>1030101</t>
        </is>
      </c>
      <c r="D3373" s="9" t="n">
        <v>297</v>
      </c>
      <c r="E3373" s="3" t="inlineStr">
        <is>
          <t>703</t>
        </is>
      </c>
      <c r="F3373" s="3" t="inlineStr">
        <is>
          <t>613</t>
        </is>
      </c>
      <c r="G3373" s="9" t="n">
        <v>297.43</v>
      </c>
      <c r="H3373" s="10" t="n">
        <v>45687.2703587963</v>
      </c>
      <c r="I3373" s="10" t="n">
        <v>45687.2703587963</v>
      </c>
      <c r="J3373" s="10" t="n">
        <v>45687.27228009259</v>
      </c>
      <c r="K3373" s="11" t="n">
        <v>0.001921296296296296</v>
      </c>
      <c r="L3373" s="13" t="n"/>
    </row>
    <row r="3374">
      <c r="A3374" s="3" t="inlineStr">
        <is>
          <t>PushOffDrive</t>
        </is>
      </c>
      <c r="B3374" s="3" t="inlineStr">
        <is>
          <t>Act_POD_1030301_074624_629</t>
        </is>
      </c>
      <c r="C3374" s="3" t="inlineStr">
        <is>
          <t>1030301</t>
        </is>
      </c>
      <c r="D3374" s="9" t="n">
        <v>24.1</v>
      </c>
      <c r="E3374" s="3" t="inlineStr">
        <is>
          <t>725</t>
        </is>
      </c>
      <c r="F3374" s="3" t="inlineStr">
        <is>
          <t>629</t>
        </is>
      </c>
      <c r="G3374" s="9" t="n">
        <v>416.23</v>
      </c>
      <c r="H3374" s="10" t="n">
        <v>45687.32388888889</v>
      </c>
      <c r="I3374" s="10" t="n">
        <v>45687.32388888889</v>
      </c>
      <c r="J3374" s="10" t="n">
        <v>45687.32568287037</v>
      </c>
      <c r="K3374" s="11" t="n">
        <v>0.001793981481481481</v>
      </c>
      <c r="L3374" s="13" t="n"/>
    </row>
    <row r="3375">
      <c r="A3375" s="3" t="inlineStr">
        <is>
          <t>PushOffDrive</t>
        </is>
      </c>
      <c r="B3375" s="3" t="inlineStr">
        <is>
          <t>Act_POD_1030302_074859_627</t>
        </is>
      </c>
      <c r="C3375" s="3" t="inlineStr">
        <is>
          <t>1030302</t>
        </is>
      </c>
      <c r="D3375" s="9" t="n">
        <v>216</v>
      </c>
      <c r="E3375" s="3" t="inlineStr">
        <is>
          <t>725</t>
        </is>
      </c>
      <c r="F3375" s="3" t="inlineStr">
        <is>
          <t>627</t>
        </is>
      </c>
      <c r="G3375" s="9" t="n">
        <v>416.23</v>
      </c>
      <c r="H3375" s="10" t="n">
        <v>45687.32568287037</v>
      </c>
      <c r="I3375" s="10" t="n">
        <v>45687.32568287037</v>
      </c>
      <c r="J3375" s="10" t="n">
        <v>45687.32791666667</v>
      </c>
      <c r="K3375" s="11" t="n">
        <v>0.002233796296296296</v>
      </c>
      <c r="L3375" s="13" t="n"/>
    </row>
    <row r="3376">
      <c r="A3376" s="3" t="inlineStr">
        <is>
          <t>PushOffDrive</t>
        </is>
      </c>
      <c r="B3376" s="3" t="inlineStr">
        <is>
          <t>Act_POD_1030303_075212_611</t>
        </is>
      </c>
      <c r="C3376" s="3" t="inlineStr">
        <is>
          <t>1030303</t>
        </is>
      </c>
      <c r="D3376" s="9" t="n">
        <v>19.9</v>
      </c>
      <c r="E3376" s="3" t="inlineStr">
        <is>
          <t>725</t>
        </is>
      </c>
      <c r="F3376" s="3" t="inlineStr">
        <is>
          <t>611</t>
        </is>
      </c>
      <c r="G3376" s="9" t="n">
        <v>290.16</v>
      </c>
      <c r="H3376" s="10" t="n">
        <v>45687.32791666667</v>
      </c>
      <c r="I3376" s="10" t="n">
        <v>45687.32791666667</v>
      </c>
      <c r="J3376" s="10" t="n">
        <v>45687.32916666667</v>
      </c>
      <c r="K3376" s="11" t="n">
        <v>0.00125</v>
      </c>
      <c r="L3376" s="13" t="n"/>
    </row>
    <row r="3377">
      <c r="A3377" s="3" t="inlineStr">
        <is>
          <t>PushOffDrive</t>
        </is>
      </c>
      <c r="B3377" s="3" t="inlineStr">
        <is>
          <t>Act_POD_1030305_075400_623</t>
        </is>
      </c>
      <c r="C3377" s="3" t="inlineStr">
        <is>
          <t>1030305</t>
        </is>
      </c>
      <c r="D3377" s="9" t="n">
        <v>15.7</v>
      </c>
      <c r="E3377" s="3" t="inlineStr">
        <is>
          <t>725</t>
        </is>
      </c>
      <c r="F3377" s="3" t="inlineStr">
        <is>
          <t>623</t>
        </is>
      </c>
      <c r="G3377" s="9" t="n">
        <v>377.86</v>
      </c>
      <c r="H3377" s="10" t="n">
        <v>45687.32916666667</v>
      </c>
      <c r="I3377" s="10" t="n">
        <v>45687.32916666667</v>
      </c>
      <c r="J3377" s="10" t="n">
        <v>45687.33077546296</v>
      </c>
      <c r="K3377" s="11" t="n">
        <v>0.001608796296296296</v>
      </c>
      <c r="L3377" s="13" t="n"/>
    </row>
    <row r="3378">
      <c r="A3378" s="3" t="inlineStr">
        <is>
          <t>PushOffDrive</t>
        </is>
      </c>
      <c r="B3378" s="3" t="inlineStr">
        <is>
          <t>Act_POD_1030306_075619_605</t>
        </is>
      </c>
      <c r="C3378" s="3" t="inlineStr">
        <is>
          <t>1030306</t>
        </is>
      </c>
      <c r="D3378" s="9" t="n">
        <v>15.7</v>
      </c>
      <c r="E3378" s="3" t="inlineStr">
        <is>
          <t>725</t>
        </is>
      </c>
      <c r="F3378" s="3" t="inlineStr">
        <is>
          <t>605</t>
        </is>
      </c>
      <c r="G3378" s="9" t="n">
        <v>371.24</v>
      </c>
      <c r="H3378" s="10" t="n">
        <v>45687.33077546296</v>
      </c>
      <c r="I3378" s="10" t="n">
        <v>45687.33077546296</v>
      </c>
      <c r="J3378" s="10" t="n">
        <v>45687.33236111111</v>
      </c>
      <c r="K3378" s="11" t="n">
        <v>0.001585648148148148</v>
      </c>
      <c r="L3378" s="13" t="n"/>
    </row>
    <row r="3379">
      <c r="A3379" s="3" t="inlineStr">
        <is>
          <t>PushOffDrive</t>
        </is>
      </c>
      <c r="B3379" s="3" t="inlineStr">
        <is>
          <t>Act_POD_1030307_075836_611</t>
        </is>
      </c>
      <c r="C3379" s="3" t="inlineStr">
        <is>
          <t>1030307</t>
        </is>
      </c>
      <c r="D3379" s="9" t="n">
        <v>60.8</v>
      </c>
      <c r="E3379" s="3" t="inlineStr">
        <is>
          <t>725</t>
        </is>
      </c>
      <c r="F3379" s="3" t="inlineStr">
        <is>
          <t>611</t>
        </is>
      </c>
      <c r="G3379" s="9" t="n">
        <v>290.16</v>
      </c>
      <c r="H3379" s="10" t="n">
        <v>45687.33236111111</v>
      </c>
      <c r="I3379" s="10" t="n">
        <v>45687.33236111111</v>
      </c>
      <c r="J3379" s="10" t="n">
        <v>45687.33371527777</v>
      </c>
      <c r="K3379" s="11" t="n">
        <v>0.001354166666666667</v>
      </c>
      <c r="L3379" s="13" t="n"/>
    </row>
    <row r="3380">
      <c r="A3380" s="3" t="inlineStr">
        <is>
          <t>PushOffDrive</t>
        </is>
      </c>
      <c r="B3380" s="3" t="inlineStr">
        <is>
          <t>Act_POD_1030309_080033_625</t>
        </is>
      </c>
      <c r="C3380" s="3" t="inlineStr">
        <is>
          <t>1030309</t>
        </is>
      </c>
      <c r="D3380" s="9" t="n">
        <v>19.9</v>
      </c>
      <c r="E3380" s="3" t="inlineStr">
        <is>
          <t>725</t>
        </is>
      </c>
      <c r="F3380" s="3" t="inlineStr">
        <is>
          <t>625</t>
        </is>
      </c>
      <c r="G3380" s="9" t="n">
        <v>443.5600000000001</v>
      </c>
      <c r="H3380" s="10" t="n">
        <v>45687.33371527777</v>
      </c>
      <c r="I3380" s="10" t="n">
        <v>45687.33371527777</v>
      </c>
      <c r="J3380" s="10" t="n">
        <v>45687.33560185185</v>
      </c>
      <c r="K3380" s="11" t="n">
        <v>0.001886574074074074</v>
      </c>
      <c r="L3380" s="13" t="n"/>
    </row>
    <row r="3381">
      <c r="A3381" s="3" t="inlineStr">
        <is>
          <t>PushOffDrive</t>
        </is>
      </c>
      <c r="B3381" s="3" t="inlineStr">
        <is>
          <t>Act_POD_1030310_080316_617</t>
        </is>
      </c>
      <c r="C3381" s="3" t="inlineStr">
        <is>
          <t>1030310</t>
        </is>
      </c>
      <c r="D3381" s="9" t="n">
        <v>56</v>
      </c>
      <c r="E3381" s="3" t="inlineStr">
        <is>
          <t>725</t>
        </is>
      </c>
      <c r="F3381" s="3" t="inlineStr">
        <is>
          <t>617</t>
        </is>
      </c>
      <c r="G3381" s="9" t="n">
        <v>264.92</v>
      </c>
      <c r="H3381" s="10" t="n">
        <v>45687.33560185185</v>
      </c>
      <c r="I3381" s="10" t="n">
        <v>45687.33560185185</v>
      </c>
      <c r="J3381" s="10" t="n">
        <v>45687.33684027778</v>
      </c>
      <c r="K3381" s="11" t="n">
        <v>0.001238425925925926</v>
      </c>
      <c r="L3381" s="13" t="n"/>
    </row>
    <row r="3382">
      <c r="A3382" s="3" t="inlineStr">
        <is>
          <t>PushOffDrive</t>
        </is>
      </c>
      <c r="B3382" s="3" t="inlineStr">
        <is>
          <t>Act_POD_1030311_080503_615</t>
        </is>
      </c>
      <c r="C3382" s="3" t="inlineStr">
        <is>
          <t>1030311</t>
        </is>
      </c>
      <c r="D3382" s="9" t="n">
        <v>31.5</v>
      </c>
      <c r="E3382" s="3" t="inlineStr">
        <is>
          <t>725</t>
        </is>
      </c>
      <c r="F3382" s="3" t="inlineStr">
        <is>
          <t>615</t>
        </is>
      </c>
      <c r="G3382" s="9" t="n">
        <v>235.73</v>
      </c>
      <c r="H3382" s="10" t="n">
        <v>45687.33684027778</v>
      </c>
      <c r="I3382" s="10" t="n">
        <v>45687.33684027778</v>
      </c>
      <c r="J3382" s="10" t="n">
        <v>45687.33789351852</v>
      </c>
      <c r="K3382" s="11" t="n">
        <v>0.001053240740740741</v>
      </c>
      <c r="L3382" s="13" t="n"/>
    </row>
    <row r="3383">
      <c r="A3383" s="3" t="inlineStr">
        <is>
          <t>PushOffDrive</t>
        </is>
      </c>
      <c r="B3383" s="3" t="inlineStr">
        <is>
          <t>Act_POD_1030312_080634_607</t>
        </is>
      </c>
      <c r="C3383" s="3" t="inlineStr">
        <is>
          <t>1030312</t>
        </is>
      </c>
      <c r="D3383" s="9" t="n">
        <v>39.8</v>
      </c>
      <c r="E3383" s="3" t="inlineStr">
        <is>
          <t>725</t>
        </is>
      </c>
      <c r="F3383" s="3" t="inlineStr">
        <is>
          <t>607</t>
        </is>
      </c>
      <c r="G3383" s="9" t="n">
        <v>344.21</v>
      </c>
      <c r="H3383" s="10" t="n">
        <v>45687.33789351852</v>
      </c>
      <c r="I3383" s="10" t="n">
        <v>45687.33789351852</v>
      </c>
      <c r="J3383" s="10" t="n">
        <v>45687.3394212963</v>
      </c>
      <c r="K3383" s="11" t="n">
        <v>0.001527777777777778</v>
      </c>
      <c r="L3383" s="13" t="n"/>
    </row>
    <row r="3384">
      <c r="A3384" s="3" t="inlineStr">
        <is>
          <t>PushOffDrive</t>
        </is>
      </c>
      <c r="B3384" s="3" t="inlineStr">
        <is>
          <t>Act_POD_1030401_081002_607</t>
        </is>
      </c>
      <c r="C3384" s="3" t="inlineStr">
        <is>
          <t>1030401</t>
        </is>
      </c>
      <c r="D3384" s="9" t="n">
        <v>380.8</v>
      </c>
      <c r="E3384" s="3" t="inlineStr">
        <is>
          <t>703</t>
        </is>
      </c>
      <c r="F3384" s="3" t="inlineStr">
        <is>
          <t>607</t>
        </is>
      </c>
      <c r="G3384" s="9" t="n">
        <v>378.4</v>
      </c>
      <c r="H3384" s="10" t="n">
        <v>45687.34030092593</v>
      </c>
      <c r="I3384" s="10" t="n">
        <v>45687.34030092593</v>
      </c>
      <c r="J3384" s="10" t="n">
        <v>45687.34275462963</v>
      </c>
      <c r="K3384" s="11" t="n">
        <v>0.002453703703703704</v>
      </c>
      <c r="L3384" s="13" t="n"/>
    </row>
    <row r="3385">
      <c r="A3385" s="3" t="inlineStr">
        <is>
          <t>PushOffDrive</t>
        </is>
      </c>
      <c r="B3385" s="3" t="inlineStr">
        <is>
          <t>Act_POD_1030501+1030503_083555_621</t>
        </is>
      </c>
      <c r="C3385" s="3" t="inlineStr">
        <is>
          <t>1030501+1030503</t>
        </is>
      </c>
      <c r="D3385" s="9" t="n">
        <v>57.4</v>
      </c>
      <c r="E3385" s="3" t="inlineStr">
        <is>
          <t>703</t>
        </is>
      </c>
      <c r="F3385" s="3" t="inlineStr">
        <is>
          <t>621</t>
        </is>
      </c>
      <c r="G3385" s="9" t="n">
        <v>459.96</v>
      </c>
      <c r="H3385" s="10" t="n">
        <v>45687.35827546296</v>
      </c>
      <c r="I3385" s="10" t="n">
        <v>45687.35827546296</v>
      </c>
      <c r="J3385" s="10" t="n">
        <v>45687.36032407408</v>
      </c>
      <c r="K3385" s="11" t="n">
        <v>0.002048611111111111</v>
      </c>
      <c r="L3385" s="13" t="n"/>
    </row>
    <row r="3386">
      <c r="A3386" s="3" t="inlineStr">
        <is>
          <t>PushOffDrive</t>
        </is>
      </c>
      <c r="B3386" s="3" t="inlineStr">
        <is>
          <t>Act_POD_1030601_092751_627</t>
        </is>
      </c>
      <c r="C3386" s="3" t="inlineStr">
        <is>
          <t>1030601</t>
        </is>
      </c>
      <c r="D3386" s="9" t="n">
        <v>135</v>
      </c>
      <c r="E3386" s="3" t="inlineStr">
        <is>
          <t>703</t>
        </is>
      </c>
      <c r="F3386" s="3" t="inlineStr">
        <is>
          <t>627</t>
        </is>
      </c>
      <c r="G3386" s="9" t="n">
        <v>450.42</v>
      </c>
      <c r="H3386" s="10" t="n">
        <v>45687.39434027778</v>
      </c>
      <c r="I3386" s="10" t="n">
        <v>45687.39434027778</v>
      </c>
      <c r="J3386" s="10" t="n">
        <v>45687.39652777778</v>
      </c>
      <c r="K3386" s="11" t="n">
        <v>0.0021875</v>
      </c>
      <c r="L3386" s="13" t="n"/>
    </row>
    <row r="3387">
      <c r="A3387" s="3" t="inlineStr">
        <is>
          <t>PushOffDrive</t>
        </is>
      </c>
      <c r="B3387" s="3" t="inlineStr">
        <is>
          <t>Act_POD_1030602_093100_619</t>
        </is>
      </c>
      <c r="C3387" s="3" t="inlineStr">
        <is>
          <t>1030602</t>
        </is>
      </c>
      <c r="D3387" s="9" t="n">
        <v>28</v>
      </c>
      <c r="E3387" s="3" t="inlineStr">
        <is>
          <t>703</t>
        </is>
      </c>
      <c r="F3387" s="3" t="inlineStr">
        <is>
          <t>619</t>
        </is>
      </c>
      <c r="G3387" s="9" t="n">
        <v>459.96</v>
      </c>
      <c r="H3387" s="10" t="n">
        <v>45687.39652777778</v>
      </c>
      <c r="I3387" s="10" t="n">
        <v>45687.39652777778</v>
      </c>
      <c r="J3387" s="10" t="n">
        <v>45687.39850694445</v>
      </c>
      <c r="K3387" s="11" t="n">
        <v>0.001979166666666667</v>
      </c>
      <c r="L3387" s="13" t="n"/>
    </row>
    <row r="3388">
      <c r="A3388" s="3" t="inlineStr">
        <is>
          <t>PushOffDrive</t>
        </is>
      </c>
      <c r="B3388" s="3" t="inlineStr">
        <is>
          <t>Act_POD_1030603_093351_625</t>
        </is>
      </c>
      <c r="C3388" s="3" t="inlineStr">
        <is>
          <t>1030603</t>
        </is>
      </c>
      <c r="D3388" s="9" t="n">
        <v>15.7</v>
      </c>
      <c r="E3388" s="3" t="inlineStr">
        <is>
          <t>703</t>
        </is>
      </c>
      <c r="F3388" s="3" t="inlineStr">
        <is>
          <t>625</t>
        </is>
      </c>
      <c r="G3388" s="9" t="n">
        <v>477.75</v>
      </c>
      <c r="H3388" s="10" t="n">
        <v>45687.39850694445</v>
      </c>
      <c r="I3388" s="10" t="n">
        <v>45687.39850694445</v>
      </c>
      <c r="J3388" s="10" t="n">
        <v>45687.40053240741</v>
      </c>
      <c r="K3388" s="11" t="n">
        <v>0.002025462962962963</v>
      </c>
      <c r="L3388" s="13" t="n"/>
    </row>
    <row r="3389">
      <c r="A3389" s="3" t="inlineStr">
        <is>
          <t>PushOffDrive</t>
        </is>
      </c>
      <c r="B3389" s="3" t="inlineStr">
        <is>
          <t>Act_POD_1030604_093646_621</t>
        </is>
      </c>
      <c r="C3389" s="3" t="inlineStr">
        <is>
          <t>1030604</t>
        </is>
      </c>
      <c r="D3389" s="9" t="n">
        <v>78.40000000000001</v>
      </c>
      <c r="E3389" s="3" t="inlineStr">
        <is>
          <t>703</t>
        </is>
      </c>
      <c r="F3389" s="3" t="inlineStr">
        <is>
          <t>621</t>
        </is>
      </c>
      <c r="G3389" s="9" t="n">
        <v>459.96</v>
      </c>
      <c r="H3389" s="10" t="n">
        <v>45687.40053240741</v>
      </c>
      <c r="I3389" s="10" t="n">
        <v>45687.40053240741</v>
      </c>
      <c r="J3389" s="10" t="n">
        <v>45687.40262731481</v>
      </c>
      <c r="K3389" s="11" t="n">
        <v>0.002094907407407407</v>
      </c>
      <c r="L3389" s="13" t="n"/>
    </row>
    <row r="3390">
      <c r="A3390" s="3" t="inlineStr">
        <is>
          <t>PushOffDrive</t>
        </is>
      </c>
      <c r="B3390" s="3" t="inlineStr">
        <is>
          <t>Act_POD_1030605_093947_629</t>
        </is>
      </c>
      <c r="C3390" s="3" t="inlineStr">
        <is>
          <t>1030605</t>
        </is>
      </c>
      <c r="D3390" s="9" t="n">
        <v>35.6</v>
      </c>
      <c r="E3390" s="3" t="inlineStr">
        <is>
          <t>703</t>
        </is>
      </c>
      <c r="F3390" s="3" t="inlineStr">
        <is>
          <t>629</t>
        </is>
      </c>
      <c r="G3390" s="9" t="n">
        <v>450.42</v>
      </c>
      <c r="H3390" s="10" t="n">
        <v>45687.40262731481</v>
      </c>
      <c r="I3390" s="10" t="n">
        <v>45687.40262731481</v>
      </c>
      <c r="J3390" s="10" t="n">
        <v>45687.40459490741</v>
      </c>
      <c r="K3390" s="11" t="n">
        <v>0.001967592592592592</v>
      </c>
      <c r="L3390" s="13" t="n"/>
    </row>
    <row r="3391">
      <c r="A3391" s="3" t="inlineStr">
        <is>
          <t>PushOffDrive</t>
        </is>
      </c>
      <c r="B3391" s="3" t="inlineStr">
        <is>
          <t>Act_POD_1030801_130821_615</t>
        </is>
      </c>
      <c r="C3391" s="3" t="inlineStr">
        <is>
          <t>1030801</t>
        </is>
      </c>
      <c r="D3391" s="9" t="n">
        <v>291.7</v>
      </c>
      <c r="E3391" s="3" t="inlineStr">
        <is>
          <t>703</t>
        </is>
      </c>
      <c r="F3391" s="3" t="inlineStr">
        <is>
          <t>615</t>
        </is>
      </c>
      <c r="G3391" s="9" t="n">
        <v>269.92</v>
      </c>
      <c r="H3391" s="10" t="n">
        <v>45687.54746527778</v>
      </c>
      <c r="I3391" s="10" t="n">
        <v>45687.54746527778</v>
      </c>
      <c r="J3391" s="10" t="n">
        <v>45687.54925925926</v>
      </c>
      <c r="K3391" s="11" t="n">
        <v>0.001793981481481481</v>
      </c>
      <c r="L3391" s="13" t="n"/>
    </row>
    <row r="3392">
      <c r="A3392" s="3" t="inlineStr">
        <is>
          <t>PushOffDrive</t>
        </is>
      </c>
      <c r="B3392" s="3" t="inlineStr">
        <is>
          <t>Act_POD_1031001_151315_629</t>
        </is>
      </c>
      <c r="C3392" s="3" t="inlineStr">
        <is>
          <t>1031001</t>
        </is>
      </c>
      <c r="D3392" s="9" t="n">
        <v>31.9</v>
      </c>
      <c r="E3392" s="3" t="inlineStr">
        <is>
          <t>703</t>
        </is>
      </c>
      <c r="F3392" s="3" t="inlineStr">
        <is>
          <t>629</t>
        </is>
      </c>
      <c r="G3392" s="9" t="n">
        <v>450.42</v>
      </c>
      <c r="H3392" s="10" t="n">
        <v>45687.63420138889</v>
      </c>
      <c r="I3392" s="10" t="n">
        <v>45687.63420138889</v>
      </c>
      <c r="J3392" s="10" t="n">
        <v>45687.63614583333</v>
      </c>
      <c r="K3392" s="11" t="n">
        <v>0.001944444444444444</v>
      </c>
      <c r="L3392" s="13" t="n"/>
    </row>
    <row r="3393">
      <c r="A3393" s="3" t="inlineStr">
        <is>
          <t>PushOffDrive</t>
        </is>
      </c>
      <c r="B3393" s="3" t="inlineStr">
        <is>
          <t>Act_POD_1031002_151603_623</t>
        </is>
      </c>
      <c r="C3393" s="3" t="inlineStr">
        <is>
          <t>1031002</t>
        </is>
      </c>
      <c r="D3393" s="9" t="n">
        <v>31.5</v>
      </c>
      <c r="E3393" s="3" t="inlineStr">
        <is>
          <t>703</t>
        </is>
      </c>
      <c r="F3393" s="3" t="inlineStr">
        <is>
          <t>623</t>
        </is>
      </c>
      <c r="G3393" s="9" t="n">
        <v>412.05</v>
      </c>
      <c r="H3393" s="10" t="n">
        <v>45687.63614583333</v>
      </c>
      <c r="I3393" s="10" t="n">
        <v>45687.63614583333</v>
      </c>
      <c r="J3393" s="10" t="n">
        <v>45687.63793981481</v>
      </c>
      <c r="K3393" s="11" t="n">
        <v>0.001793981481481481</v>
      </c>
      <c r="L3393" s="13" t="n"/>
    </row>
    <row r="3394">
      <c r="A3394" s="3" t="inlineStr">
        <is>
          <t>PushOffDrive</t>
        </is>
      </c>
      <c r="B3394" s="3" t="inlineStr">
        <is>
          <t>Act_POD_1031003_151838_619</t>
        </is>
      </c>
      <c r="C3394" s="3" t="inlineStr">
        <is>
          <t>1031003</t>
        </is>
      </c>
      <c r="D3394" s="9" t="n">
        <v>14</v>
      </c>
      <c r="E3394" s="3" t="inlineStr">
        <is>
          <t>703</t>
        </is>
      </c>
      <c r="F3394" s="3" t="inlineStr">
        <is>
          <t>619</t>
        </is>
      </c>
      <c r="G3394" s="9" t="n">
        <v>459.96</v>
      </c>
      <c r="H3394" s="10" t="n">
        <v>45687.63793981481</v>
      </c>
      <c r="I3394" s="10" t="n">
        <v>45687.63793981481</v>
      </c>
      <c r="J3394" s="10" t="n">
        <v>45687.63988425926</v>
      </c>
      <c r="K3394" s="11" t="n">
        <v>0.001944444444444444</v>
      </c>
      <c r="L3394" s="13" t="n"/>
    </row>
    <row r="3395">
      <c r="A3395" s="3" t="inlineStr">
        <is>
          <t>PushOffDrive</t>
        </is>
      </c>
      <c r="B3395" s="3" t="inlineStr">
        <is>
          <t>Act_POD_1031004_152126_621</t>
        </is>
      </c>
      <c r="C3395" s="3" t="inlineStr">
        <is>
          <t>1031004</t>
        </is>
      </c>
      <c r="D3395" s="9" t="n">
        <v>15.7</v>
      </c>
      <c r="E3395" s="3" t="inlineStr">
        <is>
          <t>703</t>
        </is>
      </c>
      <c r="F3395" s="3" t="inlineStr">
        <is>
          <t>621</t>
        </is>
      </c>
      <c r="G3395" s="9" t="n">
        <v>459.96</v>
      </c>
      <c r="H3395" s="10" t="n">
        <v>45687.63988425926</v>
      </c>
      <c r="I3395" s="10" t="n">
        <v>45687.63988425926</v>
      </c>
      <c r="J3395" s="10" t="n">
        <v>45687.64184027778</v>
      </c>
      <c r="K3395" s="11" t="n">
        <v>0.001956018518518518</v>
      </c>
      <c r="L3395" s="13" t="n"/>
    </row>
    <row r="3396">
      <c r="A3396" s="3" t="inlineStr">
        <is>
          <t>PushOffDrive</t>
        </is>
      </c>
      <c r="B3396" s="3" t="inlineStr">
        <is>
          <t>Act_POD_1031005_152415_621</t>
        </is>
      </c>
      <c r="C3396" s="3" t="inlineStr">
        <is>
          <t>1031005</t>
        </is>
      </c>
      <c r="D3396" s="9" t="n">
        <v>54</v>
      </c>
      <c r="E3396" s="3" t="inlineStr">
        <is>
          <t>703</t>
        </is>
      </c>
      <c r="F3396" s="3" t="inlineStr">
        <is>
          <t>621</t>
        </is>
      </c>
      <c r="G3396" s="9" t="n">
        <v>459.96</v>
      </c>
      <c r="H3396" s="10" t="n">
        <v>45687.64184027778</v>
      </c>
      <c r="I3396" s="10" t="n">
        <v>45687.64184027778</v>
      </c>
      <c r="J3396" s="10" t="n">
        <v>45687.64388888889</v>
      </c>
      <c r="K3396" s="11" t="n">
        <v>0.002048611111111111</v>
      </c>
      <c r="L3396" s="13" t="n"/>
    </row>
    <row r="3397">
      <c r="A3397" s="3" t="inlineStr">
        <is>
          <t>PushOffDrive</t>
        </is>
      </c>
      <c r="B3397" s="3" t="inlineStr">
        <is>
          <t>Act_POD_1031007_152712_605</t>
        </is>
      </c>
      <c r="C3397" s="3" t="inlineStr">
        <is>
          <t>1031007</t>
        </is>
      </c>
      <c r="D3397" s="9" t="n">
        <v>43.1</v>
      </c>
      <c r="E3397" s="3" t="inlineStr">
        <is>
          <t>703</t>
        </is>
      </c>
      <c r="F3397" s="3" t="inlineStr">
        <is>
          <t>605</t>
        </is>
      </c>
      <c r="G3397" s="9" t="n">
        <v>405.43</v>
      </c>
      <c r="H3397" s="10" t="n">
        <v>45687.64388888889</v>
      </c>
      <c r="I3397" s="10" t="n">
        <v>45687.64388888889</v>
      </c>
      <c r="J3397" s="10" t="n">
        <v>45687.6456712963</v>
      </c>
      <c r="K3397" s="11" t="n">
        <v>0.001782407407407407</v>
      </c>
      <c r="L3397" s="13" t="n"/>
    </row>
    <row r="3398">
      <c r="A3398" s="3" t="inlineStr">
        <is>
          <t>PushOffDrive</t>
        </is>
      </c>
      <c r="B3398" s="3" t="inlineStr">
        <is>
          <t>Act_POD_1031008_152946_627</t>
        </is>
      </c>
      <c r="C3398" s="3" t="inlineStr">
        <is>
          <t>1031008</t>
        </is>
      </c>
      <c r="D3398" s="9" t="n">
        <v>54</v>
      </c>
      <c r="E3398" s="3" t="inlineStr">
        <is>
          <t>703</t>
        </is>
      </c>
      <c r="F3398" s="3" t="inlineStr">
        <is>
          <t>627</t>
        </is>
      </c>
      <c r="G3398" s="9" t="n">
        <v>450.42</v>
      </c>
      <c r="H3398" s="10" t="n">
        <v>45687.6456712963</v>
      </c>
      <c r="I3398" s="10" t="n">
        <v>45687.6456712963</v>
      </c>
      <c r="J3398" s="10" t="n">
        <v>45687.64767361111</v>
      </c>
      <c r="K3398" s="11" t="n">
        <v>0.002002314814814815</v>
      </c>
      <c r="L3398" s="13" t="n"/>
    </row>
    <row r="3399">
      <c r="A3399" s="3" t="inlineStr">
        <is>
          <t>PushOffDrive</t>
        </is>
      </c>
      <c r="B3399" s="3" t="inlineStr">
        <is>
          <t>Act_POD_1031101_154001_615</t>
        </is>
      </c>
      <c r="C3399" s="3" t="inlineStr">
        <is>
          <t>1031101</t>
        </is>
      </c>
      <c r="D3399" s="9" t="n">
        <v>15.7</v>
      </c>
      <c r="E3399" s="3" t="inlineStr">
        <is>
          <t>731</t>
        </is>
      </c>
      <c r="F3399" s="3" t="inlineStr">
        <is>
          <t>615</t>
        </is>
      </c>
      <c r="G3399" s="9" t="n">
        <v>354.81</v>
      </c>
      <c r="H3399" s="10" t="n">
        <v>45687.65278935185</v>
      </c>
      <c r="I3399" s="10" t="n">
        <v>45687.65278935185</v>
      </c>
      <c r="J3399" s="10" t="n">
        <v>45687.65430555555</v>
      </c>
      <c r="K3399" s="11" t="n">
        <v>0.001516203703703704</v>
      </c>
      <c r="L3399" s="13" t="n"/>
    </row>
    <row r="3400">
      <c r="A3400" s="3" t="inlineStr">
        <is>
          <t>PushOffDrive</t>
        </is>
      </c>
      <c r="B3400" s="3" t="inlineStr">
        <is>
          <t>Act_POD_1031201_172949_615</t>
        </is>
      </c>
      <c r="C3400" s="3" t="inlineStr">
        <is>
          <t>1031201</t>
        </is>
      </c>
      <c r="D3400" s="9" t="n">
        <v>47.2</v>
      </c>
      <c r="E3400" s="3" t="inlineStr">
        <is>
          <t>731</t>
        </is>
      </c>
      <c r="F3400" s="3" t="inlineStr">
        <is>
          <t>615</t>
        </is>
      </c>
      <c r="G3400" s="9" t="n">
        <v>354.81</v>
      </c>
      <c r="H3400" s="10" t="n">
        <v>45687.72903935185</v>
      </c>
      <c r="I3400" s="10" t="n">
        <v>45687.72903935185</v>
      </c>
      <c r="J3400" s="10" t="n">
        <v>45687.730625</v>
      </c>
      <c r="K3400" s="11" t="n">
        <v>0.001585648148148148</v>
      </c>
      <c r="L3400" s="13" t="n"/>
    </row>
    <row r="3401">
      <c r="A3401" s="3" t="inlineStr">
        <is>
          <t>PushOffDrive</t>
        </is>
      </c>
      <c r="B3401" s="3" t="inlineStr">
        <is>
          <t>Act_POD_1031301_195222_615</t>
        </is>
      </c>
      <c r="C3401" s="3" t="inlineStr">
        <is>
          <t>1031301</t>
        </is>
      </c>
      <c r="D3401" s="9" t="n">
        <v>135.1</v>
      </c>
      <c r="E3401" s="3" t="inlineStr">
        <is>
          <t>703</t>
        </is>
      </c>
      <c r="F3401" s="3" t="inlineStr">
        <is>
          <t>615</t>
        </is>
      </c>
      <c r="G3401" s="9" t="n">
        <v>269.92</v>
      </c>
      <c r="H3401" s="10" t="n">
        <v>45687.82803240741</v>
      </c>
      <c r="I3401" s="10" t="n">
        <v>45687.82803240741</v>
      </c>
      <c r="J3401" s="10" t="n">
        <v>45687.82946759259</v>
      </c>
      <c r="K3401" s="11" t="n">
        <v>0.001435185185185185</v>
      </c>
      <c r="L3401" s="13" t="n"/>
    </row>
    <row r="3402">
      <c r="A3402" s="3" t="inlineStr">
        <is>
          <t>PushOffDrive</t>
        </is>
      </c>
      <c r="B3402" s="3" t="inlineStr">
        <is>
          <t>Act_POD_1031401_203831_627</t>
        </is>
      </c>
      <c r="C3402" s="3" t="inlineStr">
        <is>
          <t>1031401</t>
        </is>
      </c>
      <c r="D3402" s="9" t="n">
        <v>389.1</v>
      </c>
      <c r="E3402" s="3" t="inlineStr">
        <is>
          <t>703</t>
        </is>
      </c>
      <c r="F3402" s="3" t="inlineStr">
        <is>
          <t>627</t>
        </is>
      </c>
      <c r="G3402" s="9" t="n">
        <v>450.42</v>
      </c>
      <c r="H3402" s="10" t="n">
        <v>45687.86008101852</v>
      </c>
      <c r="I3402" s="10" t="n">
        <v>45687.86008101852</v>
      </c>
      <c r="J3402" s="10" t="n">
        <v>45687.86284722222</v>
      </c>
      <c r="K3402" s="11" t="n">
        <v>0.002766203703703704</v>
      </c>
      <c r="L3402" s="13" t="n"/>
    </row>
    <row r="3403">
      <c r="A3403" s="3" t="inlineStr">
        <is>
          <t>PushOffDrive</t>
        </is>
      </c>
      <c r="B3403" s="3" t="inlineStr">
        <is>
          <t>Act_POD_1031501_030350_615</t>
        </is>
      </c>
      <c r="C3403" s="3" t="inlineStr">
        <is>
          <t>1031501</t>
        </is>
      </c>
      <c r="D3403" s="9" t="n">
        <v>15.7</v>
      </c>
      <c r="E3403" s="3" t="inlineStr">
        <is>
          <t>703</t>
        </is>
      </c>
      <c r="F3403" s="3" t="inlineStr">
        <is>
          <t>615</t>
        </is>
      </c>
      <c r="G3403" s="9" t="n">
        <v>269.92</v>
      </c>
      <c r="H3403" s="10" t="n">
        <v>45688.12766203703</v>
      </c>
      <c r="I3403" s="10" t="n">
        <v>45688.12766203703</v>
      </c>
      <c r="J3403" s="10" t="n">
        <v>45688.12881944444</v>
      </c>
      <c r="K3403" s="11" t="n">
        <v>0.001157407407407407</v>
      </c>
      <c r="L3403" s="13" t="n"/>
    </row>
    <row r="3404">
      <c r="A3404" s="3" t="inlineStr">
        <is>
          <t>PushOffDrive</t>
        </is>
      </c>
      <c r="B3404" s="3" t="inlineStr">
        <is>
          <t>Act_POD_1031502_030530_606</t>
        </is>
      </c>
      <c r="C3404" s="3" t="inlineStr">
        <is>
          <t>1031502</t>
        </is>
      </c>
      <c r="D3404" s="9" t="n">
        <v>81.8</v>
      </c>
      <c r="E3404" s="3" t="inlineStr">
        <is>
          <t>703</t>
        </is>
      </c>
      <c r="F3404" s="3" t="inlineStr">
        <is>
          <t>606</t>
        </is>
      </c>
      <c r="G3404" s="9" t="n">
        <v>405.03</v>
      </c>
      <c r="H3404" s="10" t="n">
        <v>45688.12881944444</v>
      </c>
      <c r="I3404" s="10" t="n">
        <v>45688.12881944444</v>
      </c>
      <c r="J3404" s="10" t="n">
        <v>45688.13069444444</v>
      </c>
      <c r="K3404" s="11" t="n">
        <v>0.001875</v>
      </c>
      <c r="L3404" s="13" t="n"/>
    </row>
    <row r="3405">
      <c r="A3405" s="3" t="inlineStr">
        <is>
          <t>PushOffDrive</t>
        </is>
      </c>
      <c r="B3405" s="3" t="inlineStr">
        <is>
          <t>Act_POD_1031503_030812_609</t>
        </is>
      </c>
      <c r="C3405" s="3" t="inlineStr">
        <is>
          <t>1031503</t>
        </is>
      </c>
      <c r="D3405" s="9" t="n">
        <v>54.7</v>
      </c>
      <c r="E3405" s="3" t="inlineStr">
        <is>
          <t>703</t>
        </is>
      </c>
      <c r="F3405" s="3" t="inlineStr">
        <is>
          <t>609</t>
        </is>
      </c>
      <c r="G3405" s="9" t="n">
        <v>350.87</v>
      </c>
      <c r="H3405" s="10" t="n">
        <v>45688.13069444444</v>
      </c>
      <c r="I3405" s="10" t="n">
        <v>45688.13069444444</v>
      </c>
      <c r="J3405" s="10" t="n">
        <v>45688.13229166667</v>
      </c>
      <c r="K3405" s="11" t="n">
        <v>0.001597222222222222</v>
      </c>
      <c r="L3405" s="13" t="n"/>
    </row>
    <row r="3406">
      <c r="A3406" s="3" t="inlineStr">
        <is>
          <t>PushOffDrive</t>
        </is>
      </c>
      <c r="B3406" s="3" t="inlineStr">
        <is>
          <t>Act_POD_1031504_031030_615</t>
        </is>
      </c>
      <c r="C3406" s="3" t="inlineStr">
        <is>
          <t>1031504</t>
        </is>
      </c>
      <c r="D3406" s="9" t="n">
        <v>15.7</v>
      </c>
      <c r="E3406" s="3" t="inlineStr">
        <is>
          <t>703</t>
        </is>
      </c>
      <c r="F3406" s="3" t="inlineStr">
        <is>
          <t>615</t>
        </is>
      </c>
      <c r="G3406" s="9" t="n">
        <v>269.92</v>
      </c>
      <c r="H3406" s="10" t="n">
        <v>45688.13229166667</v>
      </c>
      <c r="I3406" s="10" t="n">
        <v>45688.13229166667</v>
      </c>
      <c r="J3406" s="10" t="n">
        <v>45688.13344907408</v>
      </c>
      <c r="K3406" s="11" t="n">
        <v>0.001157407407407407</v>
      </c>
      <c r="L3406" s="13" t="n"/>
    </row>
    <row r="3407">
      <c r="A3407" s="3" t="inlineStr">
        <is>
          <t>PushOffDrive</t>
        </is>
      </c>
      <c r="B3407" s="3" t="inlineStr">
        <is>
          <t>Act_POD_1031505_031210_629</t>
        </is>
      </c>
      <c r="C3407" s="3" t="inlineStr">
        <is>
          <t>1031505</t>
        </is>
      </c>
      <c r="D3407" s="9" t="n">
        <v>31.9</v>
      </c>
      <c r="E3407" s="3" t="inlineStr">
        <is>
          <t>703</t>
        </is>
      </c>
      <c r="F3407" s="3" t="inlineStr">
        <is>
          <t>629</t>
        </is>
      </c>
      <c r="G3407" s="9" t="n">
        <v>450.42</v>
      </c>
      <c r="H3407" s="10" t="n">
        <v>45688.13344907408</v>
      </c>
      <c r="I3407" s="10" t="n">
        <v>45688.13344907408</v>
      </c>
      <c r="J3407" s="10" t="n">
        <v>45688.13540509259</v>
      </c>
      <c r="K3407" s="11" t="n">
        <v>0.001956018518518518</v>
      </c>
      <c r="L3407" s="13" t="n"/>
    </row>
    <row r="3408">
      <c r="A3408" s="3" t="inlineStr">
        <is>
          <t>PushOffDrive</t>
        </is>
      </c>
      <c r="B3408" s="3" t="inlineStr">
        <is>
          <t>Act_POD_1031701_060843_613</t>
        </is>
      </c>
      <c r="C3408" s="3" t="inlineStr">
        <is>
          <t>1031701</t>
        </is>
      </c>
      <c r="D3408" s="9" t="n">
        <v>297</v>
      </c>
      <c r="E3408" s="3" t="inlineStr">
        <is>
          <t>703</t>
        </is>
      </c>
      <c r="F3408" s="3" t="inlineStr">
        <is>
          <t>613</t>
        </is>
      </c>
      <c r="G3408" s="9" t="n">
        <v>297.43</v>
      </c>
      <c r="H3408" s="10" t="n">
        <v>45688.25605324074</v>
      </c>
      <c r="I3408" s="10" t="n">
        <v>45688.25605324074</v>
      </c>
      <c r="J3408" s="10" t="n">
        <v>45688.25797453704</v>
      </c>
      <c r="K3408" s="11" t="n">
        <v>0.001921296296296296</v>
      </c>
      <c r="L3408" s="13" t="n"/>
    </row>
    <row r="3409">
      <c r="A3409" s="3" t="inlineStr">
        <is>
          <t>PushOffDrive</t>
        </is>
      </c>
      <c r="B3409" s="3" t="inlineStr">
        <is>
          <t>Act_POD_1031801_070757_627</t>
        </is>
      </c>
      <c r="C3409" s="3" t="inlineStr">
        <is>
          <t>1031801</t>
        </is>
      </c>
      <c r="D3409" s="9" t="n">
        <v>74.59999999999999</v>
      </c>
      <c r="E3409" s="3" t="inlineStr">
        <is>
          <t>703</t>
        </is>
      </c>
      <c r="F3409" s="3" t="inlineStr">
        <is>
          <t>627</t>
        </is>
      </c>
      <c r="G3409" s="9" t="n">
        <v>450.42</v>
      </c>
      <c r="H3409" s="10" t="n">
        <v>45688.2971875</v>
      </c>
      <c r="I3409" s="10" t="n">
        <v>45688.2971875</v>
      </c>
      <c r="J3409" s="10" t="n">
        <v>45688.29923611111</v>
      </c>
      <c r="K3409" s="11" t="n">
        <v>0.002048611111111111</v>
      </c>
      <c r="L3409" s="13" t="n"/>
    </row>
    <row r="3410">
      <c r="A3410" s="3" t="inlineStr">
        <is>
          <t>PushOffDrive</t>
        </is>
      </c>
      <c r="B3410" s="3" t="inlineStr">
        <is>
          <t>Act_POD_1031901_073203_611</t>
        </is>
      </c>
      <c r="C3410" s="3" t="inlineStr">
        <is>
          <t>1031901</t>
        </is>
      </c>
      <c r="D3410" s="9" t="n">
        <v>37.5</v>
      </c>
      <c r="E3410" s="3" t="inlineStr">
        <is>
          <t>727</t>
        </is>
      </c>
      <c r="F3410" s="3" t="inlineStr">
        <is>
          <t>611</t>
        </is>
      </c>
      <c r="G3410" s="9" t="n">
        <v>317.52</v>
      </c>
      <c r="H3410" s="10" t="n">
        <v>45688.31392361111</v>
      </c>
      <c r="I3410" s="10" t="n">
        <v>45688.31392361111</v>
      </c>
      <c r="J3410" s="10" t="n">
        <v>45688.31533564815</v>
      </c>
      <c r="K3410" s="11" t="n">
        <v>0.001412037037037037</v>
      </c>
      <c r="L3410" s="13" t="n"/>
    </row>
    <row r="3411">
      <c r="A3411" s="3" t="inlineStr">
        <is>
          <t>PushOffDrive</t>
        </is>
      </c>
      <c r="B3411" s="3" t="inlineStr">
        <is>
          <t>Act_POD_1031902_073405_627</t>
        </is>
      </c>
      <c r="C3411" s="3" t="inlineStr">
        <is>
          <t>1031902</t>
        </is>
      </c>
      <c r="D3411" s="9" t="n">
        <v>108</v>
      </c>
      <c r="E3411" s="3" t="inlineStr">
        <is>
          <t>727</t>
        </is>
      </c>
      <c r="F3411" s="3" t="inlineStr">
        <is>
          <t>627</t>
        </is>
      </c>
      <c r="G3411" s="9" t="n">
        <v>443.59</v>
      </c>
      <c r="H3411" s="10" t="n">
        <v>45688.31533564815</v>
      </c>
      <c r="I3411" s="10" t="n">
        <v>45688.31533564815</v>
      </c>
      <c r="J3411" s="10" t="n">
        <v>45688.31743055556</v>
      </c>
      <c r="K3411" s="11" t="n">
        <v>0.002094907407407407</v>
      </c>
      <c r="L3411" s="13" t="n"/>
    </row>
    <row r="3412">
      <c r="A3412" s="3" t="inlineStr">
        <is>
          <t>PushOffDrive</t>
        </is>
      </c>
      <c r="B3412" s="3" t="inlineStr">
        <is>
          <t>Act_POD_1031903_073706_611</t>
        </is>
      </c>
      <c r="C3412" s="3" t="inlineStr">
        <is>
          <t>1031903</t>
        </is>
      </c>
      <c r="D3412" s="9" t="n">
        <v>58.5</v>
      </c>
      <c r="E3412" s="3" t="inlineStr">
        <is>
          <t>727</t>
        </is>
      </c>
      <c r="F3412" s="3" t="inlineStr">
        <is>
          <t>611</t>
        </is>
      </c>
      <c r="G3412" s="9" t="n">
        <v>317.52</v>
      </c>
      <c r="H3412" s="10" t="n">
        <v>45688.31743055556</v>
      </c>
      <c r="I3412" s="10" t="n">
        <v>45688.31743055556</v>
      </c>
      <c r="J3412" s="10" t="n">
        <v>45688.31888888889</v>
      </c>
      <c r="K3412" s="11" t="n">
        <v>0.001458333333333333</v>
      </c>
      <c r="L3412" s="13" t="n"/>
    </row>
    <row r="3413">
      <c r="A3413" s="3" t="inlineStr">
        <is>
          <t>PushOffDrive</t>
        </is>
      </c>
      <c r="B3413" s="3" t="inlineStr">
        <is>
          <t>Act_POD_1031904_073912_629</t>
        </is>
      </c>
      <c r="C3413" s="3" t="inlineStr">
        <is>
          <t>1031904</t>
        </is>
      </c>
      <c r="D3413" s="9" t="n">
        <v>67.09999999999999</v>
      </c>
      <c r="E3413" s="3" t="inlineStr">
        <is>
          <t>727</t>
        </is>
      </c>
      <c r="F3413" s="3" t="inlineStr">
        <is>
          <t>629</t>
        </is>
      </c>
      <c r="G3413" s="9" t="n">
        <v>443.59</v>
      </c>
      <c r="H3413" s="10" t="n">
        <v>45688.31888888889</v>
      </c>
      <c r="I3413" s="10" t="n">
        <v>45688.31888888889</v>
      </c>
      <c r="J3413" s="10" t="n">
        <v>45688.3208912037</v>
      </c>
      <c r="K3413" s="11" t="n">
        <v>0.002002314814814815</v>
      </c>
      <c r="L3413" s="13" t="n"/>
    </row>
    <row r="3414">
      <c r="A3414" s="3" t="inlineStr">
        <is>
          <t>PushOffDrive</t>
        </is>
      </c>
      <c r="B3414" s="3" t="inlineStr">
        <is>
          <t>Act_POD_1031905_074205_621</t>
        </is>
      </c>
      <c r="C3414" s="3" t="inlineStr">
        <is>
          <t>1031905</t>
        </is>
      </c>
      <c r="D3414" s="9" t="n">
        <v>15.7</v>
      </c>
      <c r="E3414" s="3" t="inlineStr">
        <is>
          <t>727</t>
        </is>
      </c>
      <c r="F3414" s="3" t="inlineStr">
        <is>
          <t>621</t>
        </is>
      </c>
      <c r="G3414" s="9" t="n">
        <v>453.13</v>
      </c>
      <c r="H3414" s="10" t="n">
        <v>45688.3208912037</v>
      </c>
      <c r="I3414" s="10" t="n">
        <v>45688.3208912037</v>
      </c>
      <c r="J3414" s="10" t="n">
        <v>45688.3228125</v>
      </c>
      <c r="K3414" s="11" t="n">
        <v>0.001921296296296296</v>
      </c>
      <c r="L3414" s="13" t="n"/>
    </row>
    <row r="3415">
      <c r="A3415" s="3" t="inlineStr">
        <is>
          <t>PushOffDrive</t>
        </is>
      </c>
      <c r="B3415" s="3" t="inlineStr">
        <is>
          <t>Act_POD_1031907_074451_619</t>
        </is>
      </c>
      <c r="C3415" s="3" t="inlineStr">
        <is>
          <t>1031907</t>
        </is>
      </c>
      <c r="D3415" s="9" t="n">
        <v>14</v>
      </c>
      <c r="E3415" s="3" t="inlineStr">
        <is>
          <t>727</t>
        </is>
      </c>
      <c r="F3415" s="3" t="inlineStr">
        <is>
          <t>619</t>
        </is>
      </c>
      <c r="G3415" s="9" t="n">
        <v>453.13</v>
      </c>
      <c r="H3415" s="10" t="n">
        <v>45688.3228125</v>
      </c>
      <c r="I3415" s="10" t="n">
        <v>45688.3228125</v>
      </c>
      <c r="J3415" s="10" t="n">
        <v>45688.3247337963</v>
      </c>
      <c r="K3415" s="11" t="n">
        <v>0.001921296296296296</v>
      </c>
      <c r="L3415" s="13" t="n"/>
    </row>
    <row r="3416">
      <c r="A3416" s="3" t="inlineStr">
        <is>
          <t>PushOffDrive</t>
        </is>
      </c>
      <c r="B3416" s="3" t="inlineStr">
        <is>
          <t>Act_POD_1031908_074737_606</t>
        </is>
      </c>
      <c r="C3416" s="3" t="inlineStr">
        <is>
          <t>1031908</t>
        </is>
      </c>
      <c r="D3416" s="9" t="n">
        <v>142.6</v>
      </c>
      <c r="E3416" s="3" t="inlineStr">
        <is>
          <t>727</t>
        </is>
      </c>
      <c r="F3416" s="3" t="inlineStr">
        <is>
          <t>606</t>
        </is>
      </c>
      <c r="G3416" s="9" t="n">
        <v>398.2</v>
      </c>
      <c r="H3416" s="10" t="n">
        <v>45688.3247337963</v>
      </c>
      <c r="I3416" s="10" t="n">
        <v>45688.3247337963</v>
      </c>
      <c r="J3416" s="10" t="n">
        <v>45688.32672453704</v>
      </c>
      <c r="K3416" s="11" t="n">
        <v>0.001990740740740741</v>
      </c>
      <c r="L3416" s="13" t="n"/>
    </row>
    <row r="3417">
      <c r="A3417" s="3" t="inlineStr">
        <is>
          <t>PushOffDrive</t>
        </is>
      </c>
      <c r="B3417" s="3" t="inlineStr">
        <is>
          <t>Act_POD_1031910_075029_629</t>
        </is>
      </c>
      <c r="C3417" s="3" t="inlineStr">
        <is>
          <t>1031910</t>
        </is>
      </c>
      <c r="D3417" s="9" t="n">
        <v>19.9</v>
      </c>
      <c r="E3417" s="3" t="inlineStr">
        <is>
          <t>727</t>
        </is>
      </c>
      <c r="F3417" s="3" t="inlineStr">
        <is>
          <t>629</t>
        </is>
      </c>
      <c r="G3417" s="9" t="n">
        <v>443.59</v>
      </c>
      <c r="H3417" s="10" t="n">
        <v>45688.32672453704</v>
      </c>
      <c r="I3417" s="10" t="n">
        <v>45688.32672453704</v>
      </c>
      <c r="J3417" s="10" t="n">
        <v>45688.32862268519</v>
      </c>
      <c r="K3417" s="11" t="n">
        <v>0.001898148148148148</v>
      </c>
      <c r="L3417" s="13" t="n"/>
    </row>
    <row r="3418">
      <c r="A3418" s="3" t="inlineStr">
        <is>
          <t>PushOffDrive</t>
        </is>
      </c>
      <c r="B3418" s="3" t="inlineStr">
        <is>
          <t>Act_POD_1031911_075313_619</t>
        </is>
      </c>
      <c r="C3418" s="3" t="inlineStr">
        <is>
          <t>1031911</t>
        </is>
      </c>
      <c r="D3418" s="9" t="n">
        <v>59.7</v>
      </c>
      <c r="E3418" s="3" t="inlineStr">
        <is>
          <t>727</t>
        </is>
      </c>
      <c r="F3418" s="3" t="inlineStr">
        <is>
          <t>619</t>
        </is>
      </c>
      <c r="G3418" s="9" t="n">
        <v>453.13</v>
      </c>
      <c r="H3418" s="10" t="n">
        <v>45688.32862268519</v>
      </c>
      <c r="I3418" s="10" t="n">
        <v>45688.32862268519</v>
      </c>
      <c r="J3418" s="10" t="n">
        <v>45688.33064814815</v>
      </c>
      <c r="K3418" s="11" t="n">
        <v>0.002025462962962963</v>
      </c>
      <c r="L3418" s="13" t="n"/>
    </row>
    <row r="3419">
      <c r="A3419" s="3" t="inlineStr">
        <is>
          <t>PushOffDrive</t>
        </is>
      </c>
      <c r="B3419" s="3" t="inlineStr">
        <is>
          <t>Act_POD_1032001_081331_627</t>
        </is>
      </c>
      <c r="C3419" s="3" t="inlineStr">
        <is>
          <t>1032001</t>
        </is>
      </c>
      <c r="D3419" s="9" t="n">
        <v>381.6</v>
      </c>
      <c r="E3419" s="3" t="inlineStr">
        <is>
          <t>703</t>
        </is>
      </c>
      <c r="F3419" s="3" t="inlineStr">
        <is>
          <t>627</t>
        </is>
      </c>
      <c r="G3419" s="9" t="n">
        <v>450.42</v>
      </c>
      <c r="H3419" s="10" t="n">
        <v>45688.34271990741</v>
      </c>
      <c r="I3419" s="10" t="n">
        <v>45688.34271990741</v>
      </c>
      <c r="J3419" s="10" t="n">
        <v>45688.34548611111</v>
      </c>
      <c r="K3419" s="11" t="n">
        <v>0.002766203703703704</v>
      </c>
      <c r="L3419" s="13" t="n"/>
    </row>
    <row r="3420">
      <c r="A3420" s="3" t="inlineStr">
        <is>
          <t>PushOffDrive</t>
        </is>
      </c>
      <c r="B3420" s="3" t="inlineStr">
        <is>
          <t>Act_POD_1032101_090423_627</t>
        </is>
      </c>
      <c r="C3420" s="3" t="inlineStr">
        <is>
          <t>1032101</t>
        </is>
      </c>
      <c r="D3420" s="9" t="n">
        <v>164.3</v>
      </c>
      <c r="E3420" s="3" t="inlineStr">
        <is>
          <t>703</t>
        </is>
      </c>
      <c r="F3420" s="3" t="inlineStr">
        <is>
          <t>627</t>
        </is>
      </c>
      <c r="G3420" s="9" t="n">
        <v>450.42</v>
      </c>
      <c r="H3420" s="10" t="n">
        <v>45688.37804398148</v>
      </c>
      <c r="I3420" s="10" t="n">
        <v>45688.37804398148</v>
      </c>
      <c r="J3420" s="10" t="n">
        <v>45688.38030092593</v>
      </c>
      <c r="K3420" s="11" t="n">
        <v>0.002256944444444444</v>
      </c>
      <c r="L3420" s="13" t="n"/>
    </row>
    <row r="3421">
      <c r="A3421" s="3" t="inlineStr">
        <is>
          <t>PushOffDrive</t>
        </is>
      </c>
      <c r="B3421" s="3" t="inlineStr">
        <is>
          <t>Act_POD_1032102_090738_617</t>
        </is>
      </c>
      <c r="C3421" s="3" t="inlineStr">
        <is>
          <t>1032102</t>
        </is>
      </c>
      <c r="D3421" s="9" t="n">
        <v>72.8</v>
      </c>
      <c r="E3421" s="3" t="inlineStr">
        <is>
          <t>703</t>
        </is>
      </c>
      <c r="F3421" s="3" t="inlineStr">
        <is>
          <t>617</t>
        </is>
      </c>
      <c r="G3421" s="9" t="n">
        <v>299.11</v>
      </c>
      <c r="H3421" s="10" t="n">
        <v>45688.38030092593</v>
      </c>
      <c r="I3421" s="10" t="n">
        <v>45688.38030092593</v>
      </c>
      <c r="J3421" s="10" t="n">
        <v>45688.38171296296</v>
      </c>
      <c r="K3421" s="11" t="n">
        <v>0.001412037037037037</v>
      </c>
      <c r="L3421" s="13" t="n"/>
    </row>
    <row r="3422">
      <c r="A3422" s="3" t="inlineStr">
        <is>
          <t>PushOffDrive</t>
        </is>
      </c>
      <c r="B3422" s="3" t="inlineStr">
        <is>
          <t>Act_POD_1032201_092231_621</t>
        </is>
      </c>
      <c r="C3422" s="3" t="inlineStr">
        <is>
          <t>1032201</t>
        </is>
      </c>
      <c r="D3422" s="9" t="n">
        <v>46.5</v>
      </c>
      <c r="E3422" s="3" t="inlineStr">
        <is>
          <t>727</t>
        </is>
      </c>
      <c r="F3422" s="3" t="inlineStr">
        <is>
          <t>621</t>
        </is>
      </c>
      <c r="G3422" s="9" t="n">
        <v>453.13</v>
      </c>
      <c r="H3422" s="10" t="n">
        <v>45688.39063657408</v>
      </c>
      <c r="I3422" s="10" t="n">
        <v>45688.39063657408</v>
      </c>
      <c r="J3422" s="10" t="n">
        <v>45688.39262731482</v>
      </c>
      <c r="K3422" s="11" t="n">
        <v>0.001990740740740741</v>
      </c>
      <c r="L3422" s="13" t="n"/>
    </row>
    <row r="3423">
      <c r="A3423" s="3" t="inlineStr">
        <is>
          <t>PushOffDrive</t>
        </is>
      </c>
      <c r="B3423" s="3" t="inlineStr">
        <is>
          <t>Act_POD_1032203_092523_623</t>
        </is>
      </c>
      <c r="C3423" s="3" t="inlineStr">
        <is>
          <t>1032203</t>
        </is>
      </c>
      <c r="D3423" s="9" t="n">
        <v>31.5</v>
      </c>
      <c r="E3423" s="3" t="inlineStr">
        <is>
          <t>727</t>
        </is>
      </c>
      <c r="F3423" s="3" t="inlineStr">
        <is>
          <t>623</t>
        </is>
      </c>
      <c r="G3423" s="9" t="n">
        <v>405.22</v>
      </c>
      <c r="H3423" s="10" t="n">
        <v>45688.39262731482</v>
      </c>
      <c r="I3423" s="10" t="n">
        <v>45688.39262731482</v>
      </c>
      <c r="J3423" s="10" t="n">
        <v>45688.39438657407</v>
      </c>
      <c r="K3423" s="11" t="n">
        <v>0.001759259259259259</v>
      </c>
      <c r="L3423" s="13" t="n"/>
    </row>
    <row r="3424">
      <c r="A3424" s="3" t="inlineStr">
        <is>
          <t>PushOffDrive</t>
        </is>
      </c>
      <c r="B3424" s="3" t="inlineStr">
        <is>
          <t>Act_POD_1032204_092755_625</t>
        </is>
      </c>
      <c r="C3424" s="3" t="inlineStr">
        <is>
          <t>1032204</t>
        </is>
      </c>
      <c r="D3424" s="9" t="n">
        <v>33.9</v>
      </c>
      <c r="E3424" s="3" t="inlineStr">
        <is>
          <t>727</t>
        </is>
      </c>
      <c r="F3424" s="3" t="inlineStr">
        <is>
          <t>625</t>
        </is>
      </c>
      <c r="G3424" s="9" t="n">
        <v>470.92</v>
      </c>
      <c r="H3424" s="10" t="n">
        <v>45688.39438657407</v>
      </c>
      <c r="I3424" s="10" t="n">
        <v>45688.39438657407</v>
      </c>
      <c r="J3424" s="10" t="n">
        <v>45688.39643518518</v>
      </c>
      <c r="K3424" s="11" t="n">
        <v>0.002048611111111111</v>
      </c>
      <c r="L3424" s="13" t="n"/>
    </row>
    <row r="3425">
      <c r="A3425" s="3" t="inlineStr">
        <is>
          <t>PushOffDrive</t>
        </is>
      </c>
      <c r="B3425" s="3" t="inlineStr">
        <is>
          <t>Act_POD_1032205_093052_623</t>
        </is>
      </c>
      <c r="C3425" s="3" t="inlineStr">
        <is>
          <t>1032205</t>
        </is>
      </c>
      <c r="D3425" s="9" t="n">
        <v>15.7</v>
      </c>
      <c r="E3425" s="3" t="inlineStr">
        <is>
          <t>727</t>
        </is>
      </c>
      <c r="F3425" s="3" t="inlineStr">
        <is>
          <t>623</t>
        </is>
      </c>
      <c r="G3425" s="9" t="n">
        <v>405.22</v>
      </c>
      <c r="H3425" s="10" t="n">
        <v>45688.39643518518</v>
      </c>
      <c r="I3425" s="10" t="n">
        <v>45688.39643518518</v>
      </c>
      <c r="J3425" s="10" t="n">
        <v>45688.39815972222</v>
      </c>
      <c r="K3425" s="11" t="n">
        <v>0.001724537037037037</v>
      </c>
      <c r="L3425" s="13" t="n"/>
    </row>
    <row r="3426">
      <c r="A3426" s="3" t="inlineStr">
        <is>
          <t>PushOffDrive</t>
        </is>
      </c>
      <c r="B3426" s="3" t="inlineStr">
        <is>
          <t>Act_POD_1032206_093321_609</t>
        </is>
      </c>
      <c r="C3426" s="3" t="inlineStr">
        <is>
          <t>1032206</t>
        </is>
      </c>
      <c r="D3426" s="9" t="n">
        <v>15.7</v>
      </c>
      <c r="E3426" s="3" t="inlineStr">
        <is>
          <t>727</t>
        </is>
      </c>
      <c r="F3426" s="3" t="inlineStr">
        <is>
          <t>609</t>
        </is>
      </c>
      <c r="G3426" s="9" t="n">
        <v>344.04</v>
      </c>
      <c r="H3426" s="10" t="n">
        <v>45688.39815972222</v>
      </c>
      <c r="I3426" s="10" t="n">
        <v>45688.39815972222</v>
      </c>
      <c r="J3426" s="10" t="n">
        <v>45688.39962962963</v>
      </c>
      <c r="K3426" s="11" t="n">
        <v>0.001469907407407407</v>
      </c>
      <c r="L3426" s="13" t="n"/>
    </row>
    <row r="3427">
      <c r="A3427" s="3" t="inlineStr">
        <is>
          <t>PushOffDrive</t>
        </is>
      </c>
      <c r="B3427" s="3" t="inlineStr">
        <is>
          <t>Act_POD_1032208_093528_621</t>
        </is>
      </c>
      <c r="C3427" s="3" t="inlineStr">
        <is>
          <t>1032208</t>
        </is>
      </c>
      <c r="D3427" s="9" t="n">
        <v>31.5</v>
      </c>
      <c r="E3427" s="3" t="inlineStr">
        <is>
          <t>727</t>
        </is>
      </c>
      <c r="F3427" s="3" t="inlineStr">
        <is>
          <t>621</t>
        </is>
      </c>
      <c r="G3427" s="9" t="n">
        <v>453.13</v>
      </c>
      <c r="H3427" s="10" t="n">
        <v>45688.39962962963</v>
      </c>
      <c r="I3427" s="10" t="n">
        <v>45688.39962962963</v>
      </c>
      <c r="J3427" s="10" t="n">
        <v>45688.40158564815</v>
      </c>
      <c r="K3427" s="11" t="n">
        <v>0.001956018518518518</v>
      </c>
      <c r="L3427" s="13" t="n"/>
    </row>
    <row r="3428">
      <c r="A3428" s="3" t="inlineStr">
        <is>
          <t>PushOffDrive</t>
        </is>
      </c>
      <c r="B3428" s="3" t="inlineStr">
        <is>
          <t>Act_POD_1032301_104951_627</t>
        </is>
      </c>
      <c r="C3428" s="3" t="inlineStr">
        <is>
          <t>1032301</t>
        </is>
      </c>
      <c r="D3428" s="9" t="n">
        <v>270.8</v>
      </c>
      <c r="E3428" s="3" t="inlineStr">
        <is>
          <t>703</t>
        </is>
      </c>
      <c r="F3428" s="3" t="inlineStr">
        <is>
          <t>627</t>
        </is>
      </c>
      <c r="G3428" s="9" t="n">
        <v>450.42</v>
      </c>
      <c r="H3428" s="10" t="n">
        <v>45688.45128472222</v>
      </c>
      <c r="I3428" s="10" t="n">
        <v>45688.45128472222</v>
      </c>
      <c r="J3428" s="10" t="n">
        <v>45688.45378472222</v>
      </c>
      <c r="K3428" s="11" t="n">
        <v>0.0025</v>
      </c>
      <c r="L3428" s="13" t="n"/>
    </row>
    <row r="3429">
      <c r="A3429" s="3" t="inlineStr">
        <is>
          <t>PushOffDrive</t>
        </is>
      </c>
      <c r="B3429" s="3" t="inlineStr">
        <is>
          <t>Act_POD_1032302_105327_617</t>
        </is>
      </c>
      <c r="C3429" s="3" t="inlineStr">
        <is>
          <t>1032302</t>
        </is>
      </c>
      <c r="D3429" s="9" t="n">
        <v>82.90000000000001</v>
      </c>
      <c r="E3429" s="3" t="inlineStr">
        <is>
          <t>703</t>
        </is>
      </c>
      <c r="F3429" s="3" t="inlineStr">
        <is>
          <t>617</t>
        </is>
      </c>
      <c r="G3429" s="9" t="n">
        <v>299.11</v>
      </c>
      <c r="H3429" s="10" t="n">
        <v>45688.45378472222</v>
      </c>
      <c r="I3429" s="10" t="n">
        <v>45688.45378472222</v>
      </c>
      <c r="J3429" s="10" t="n">
        <v>45688.45523148148</v>
      </c>
      <c r="K3429" s="11" t="n">
        <v>0.001446759259259259</v>
      </c>
      <c r="L3429" s="13" t="n"/>
    </row>
    <row r="3430">
      <c r="A3430" s="3" t="inlineStr">
        <is>
          <t>PushOffDrive</t>
        </is>
      </c>
      <c r="B3430" s="3" t="inlineStr">
        <is>
          <t>Act_POD_1032303_105532_607</t>
        </is>
      </c>
      <c r="C3430" s="3" t="inlineStr">
        <is>
          <t>1032303</t>
        </is>
      </c>
      <c r="D3430" s="9" t="n">
        <v>91.7</v>
      </c>
      <c r="E3430" s="3" t="inlineStr">
        <is>
          <t>703</t>
        </is>
      </c>
      <c r="F3430" s="3" t="inlineStr">
        <is>
          <t>607</t>
        </is>
      </c>
      <c r="G3430" s="9" t="n">
        <v>378.4</v>
      </c>
      <c r="H3430" s="10" t="n">
        <v>45688.45523148148</v>
      </c>
      <c r="I3430" s="10" t="n">
        <v>45688.45523148148</v>
      </c>
      <c r="J3430" s="10" t="n">
        <v>45688.45701388889</v>
      </c>
      <c r="K3430" s="11" t="n">
        <v>0.001782407407407407</v>
      </c>
      <c r="L3430" s="13" t="n"/>
    </row>
    <row r="3431">
      <c r="A3431" s="3" t="inlineStr">
        <is>
          <t>PushOffDrive</t>
        </is>
      </c>
      <c r="B3431" s="3" t="inlineStr">
        <is>
          <t>Act_POD_1032401_123749_607</t>
        </is>
      </c>
      <c r="C3431" s="3" t="inlineStr">
        <is>
          <t>1032401</t>
        </is>
      </c>
      <c r="D3431" s="9" t="n">
        <v>247.3</v>
      </c>
      <c r="E3431" s="3" t="inlineStr">
        <is>
          <t>703</t>
        </is>
      </c>
      <c r="F3431" s="3" t="inlineStr">
        <is>
          <t>607</t>
        </is>
      </c>
      <c r="G3431" s="9" t="n">
        <v>378.4</v>
      </c>
      <c r="H3431" s="10" t="n">
        <v>45688.52626157407</v>
      </c>
      <c r="I3431" s="10" t="n">
        <v>45688.52626157407</v>
      </c>
      <c r="J3431" s="10" t="n">
        <v>45688.52841435185</v>
      </c>
      <c r="K3431" s="11" t="n">
        <v>0.002152777777777778</v>
      </c>
      <c r="L3431" s="13" t="n"/>
    </row>
    <row r="3432">
      <c r="A3432" s="3" t="inlineStr">
        <is>
          <t>PushOffDrive</t>
        </is>
      </c>
      <c r="B3432" s="3" t="inlineStr">
        <is>
          <t>Act_POD_1032501_142207_615</t>
        </is>
      </c>
      <c r="C3432" s="3" t="inlineStr">
        <is>
          <t>1032501</t>
        </is>
      </c>
      <c r="D3432" s="9" t="n">
        <v>186.7</v>
      </c>
      <c r="E3432" s="3" t="inlineStr">
        <is>
          <t>703</t>
        </is>
      </c>
      <c r="F3432" s="3" t="inlineStr">
        <is>
          <t>615</t>
        </is>
      </c>
      <c r="G3432" s="9" t="n">
        <v>269.92</v>
      </c>
      <c r="H3432" s="10" t="n">
        <v>45688.59869212963</v>
      </c>
      <c r="I3432" s="10" t="n">
        <v>45688.59869212963</v>
      </c>
      <c r="J3432" s="10" t="n">
        <v>45688.60025462963</v>
      </c>
      <c r="K3432" s="11" t="n">
        <v>0.0015625</v>
      </c>
      <c r="L3432" s="13" t="n"/>
    </row>
    <row r="3433">
      <c r="A3433" s="3" t="inlineStr">
        <is>
          <t>PushOffDrive</t>
        </is>
      </c>
      <c r="B3433" s="3" t="inlineStr">
        <is>
          <t>Act_POD_1032601_152306_629</t>
        </is>
      </c>
      <c r="C3433" s="3" t="inlineStr">
        <is>
          <t>1032601</t>
        </is>
      </c>
      <c r="D3433" s="9" t="n">
        <v>31.5</v>
      </c>
      <c r="E3433" s="3" t="inlineStr">
        <is>
          <t>703</t>
        </is>
      </c>
      <c r="F3433" s="3" t="inlineStr">
        <is>
          <t>629</t>
        </is>
      </c>
      <c r="G3433" s="9" t="n">
        <v>450.42</v>
      </c>
      <c r="H3433" s="10" t="n">
        <v>45688.64104166667</v>
      </c>
      <c r="I3433" s="10" t="n">
        <v>45688.64104166667</v>
      </c>
      <c r="J3433" s="10" t="n">
        <v>45688.64299768519</v>
      </c>
      <c r="K3433" s="11" t="n">
        <v>0.001956018518518518</v>
      </c>
      <c r="L3433" s="13" t="n"/>
    </row>
    <row r="3434">
      <c r="A3434" s="3" t="inlineStr">
        <is>
          <t>PushOffDrive</t>
        </is>
      </c>
      <c r="B3434" s="3" t="inlineStr">
        <is>
          <t>Act_POD_1032602_152555_619</t>
        </is>
      </c>
      <c r="C3434" s="3" t="inlineStr">
        <is>
          <t>1032602</t>
        </is>
      </c>
      <c r="D3434" s="9" t="n">
        <v>14</v>
      </c>
      <c r="E3434" s="3" t="inlineStr">
        <is>
          <t>703</t>
        </is>
      </c>
      <c r="F3434" s="3" t="inlineStr">
        <is>
          <t>619</t>
        </is>
      </c>
      <c r="G3434" s="9" t="n">
        <v>459.96</v>
      </c>
      <c r="H3434" s="10" t="n">
        <v>45688.64299768519</v>
      </c>
      <c r="I3434" s="10" t="n">
        <v>45688.64299768519</v>
      </c>
      <c r="J3434" s="10" t="n">
        <v>45688.64494212963</v>
      </c>
      <c r="K3434" s="11" t="n">
        <v>0.001944444444444444</v>
      </c>
      <c r="L3434" s="13" t="n"/>
    </row>
    <row r="3435">
      <c r="A3435" s="3" t="inlineStr">
        <is>
          <t>PushOffDrive</t>
        </is>
      </c>
      <c r="B3435" s="3" t="inlineStr">
        <is>
          <t>Act_POD_1032603_152843_621</t>
        </is>
      </c>
      <c r="C3435" s="3" t="inlineStr">
        <is>
          <t>1032603</t>
        </is>
      </c>
      <c r="D3435" s="9" t="n">
        <v>15.7</v>
      </c>
      <c r="E3435" s="3" t="inlineStr">
        <is>
          <t>703</t>
        </is>
      </c>
      <c r="F3435" s="3" t="inlineStr">
        <is>
          <t>621</t>
        </is>
      </c>
      <c r="G3435" s="9" t="n">
        <v>459.96</v>
      </c>
      <c r="H3435" s="10" t="n">
        <v>45688.64494212963</v>
      </c>
      <c r="I3435" s="10" t="n">
        <v>45688.64494212963</v>
      </c>
      <c r="J3435" s="10" t="n">
        <v>45688.64689814814</v>
      </c>
      <c r="K3435" s="11" t="n">
        <v>0.001956018518518518</v>
      </c>
      <c r="L3435" s="13" t="n"/>
    </row>
    <row r="3436">
      <c r="A3436" s="3" t="inlineStr">
        <is>
          <t>PushOffDrive</t>
        </is>
      </c>
      <c r="B3436" s="3" t="inlineStr">
        <is>
          <t>Act_POD_1032604_153132_623</t>
        </is>
      </c>
      <c r="C3436" s="3" t="inlineStr">
        <is>
          <t>1032604</t>
        </is>
      </c>
      <c r="D3436" s="9" t="n">
        <v>15.7</v>
      </c>
      <c r="E3436" s="3" t="inlineStr">
        <is>
          <t>703</t>
        </is>
      </c>
      <c r="F3436" s="3" t="inlineStr">
        <is>
          <t>623</t>
        </is>
      </c>
      <c r="G3436" s="9" t="n">
        <v>412.05</v>
      </c>
      <c r="H3436" s="10" t="n">
        <v>45688.64689814814</v>
      </c>
      <c r="I3436" s="10" t="n">
        <v>45688.64689814814</v>
      </c>
      <c r="J3436" s="10" t="n">
        <v>45688.64864583333</v>
      </c>
      <c r="K3436" s="11" t="n">
        <v>0.001747685185185185</v>
      </c>
      <c r="L3436" s="13" t="n"/>
    </row>
    <row r="3437">
      <c r="A3437" s="3" t="inlineStr">
        <is>
          <t>PushOffDrive</t>
        </is>
      </c>
      <c r="B3437" s="3" t="inlineStr">
        <is>
          <t>Act_POD_1032605_153403_607</t>
        </is>
      </c>
      <c r="C3437" s="3" t="inlineStr">
        <is>
          <t>1032605</t>
        </is>
      </c>
      <c r="D3437" s="9" t="n">
        <v>19.9</v>
      </c>
      <c r="E3437" s="3" t="inlineStr">
        <is>
          <t>703</t>
        </is>
      </c>
      <c r="F3437" s="3" t="inlineStr">
        <is>
          <t>607</t>
        </is>
      </c>
      <c r="G3437" s="9" t="n">
        <v>378.4</v>
      </c>
      <c r="H3437" s="10" t="n">
        <v>45688.64864583333</v>
      </c>
      <c r="I3437" s="10" t="n">
        <v>45688.64864583333</v>
      </c>
      <c r="J3437" s="10" t="n">
        <v>45688.6502662037</v>
      </c>
      <c r="K3437" s="11" t="n">
        <v>0.00162037037037037</v>
      </c>
      <c r="L3437" s="13" t="n"/>
    </row>
    <row r="3438">
      <c r="A3438" s="3" t="inlineStr">
        <is>
          <t>PushOffDrive</t>
        </is>
      </c>
      <c r="B3438" s="3" t="inlineStr">
        <is>
          <t>Act_POD_1032606_153623_605</t>
        </is>
      </c>
      <c r="C3438" s="3" t="inlineStr">
        <is>
          <t>1032606</t>
        </is>
      </c>
      <c r="D3438" s="9" t="n">
        <v>19.9</v>
      </c>
      <c r="E3438" s="3" t="inlineStr">
        <is>
          <t>703</t>
        </is>
      </c>
      <c r="F3438" s="3" t="inlineStr">
        <is>
          <t>605</t>
        </is>
      </c>
      <c r="G3438" s="9" t="n">
        <v>405.43</v>
      </c>
      <c r="H3438" s="10" t="n">
        <v>45688.6502662037</v>
      </c>
      <c r="I3438" s="10" t="n">
        <v>45688.6502662037</v>
      </c>
      <c r="J3438" s="10" t="n">
        <v>45688.65200231481</v>
      </c>
      <c r="K3438" s="11" t="n">
        <v>0.001736111111111111</v>
      </c>
      <c r="L3438" s="13" t="n"/>
    </row>
    <row r="3439">
      <c r="A3439" s="3" t="inlineStr">
        <is>
          <t>PushOffDrive</t>
        </is>
      </c>
      <c r="B3439" s="3" t="inlineStr">
        <is>
          <t>Act_POD_1032607_153853_621</t>
        </is>
      </c>
      <c r="C3439" s="3" t="inlineStr">
        <is>
          <t>1032607</t>
        </is>
      </c>
      <c r="D3439" s="9" t="n">
        <v>80.7</v>
      </c>
      <c r="E3439" s="3" t="inlineStr">
        <is>
          <t>703</t>
        </is>
      </c>
      <c r="F3439" s="3" t="inlineStr">
        <is>
          <t>621</t>
        </is>
      </c>
      <c r="G3439" s="9" t="n">
        <v>459.96</v>
      </c>
      <c r="H3439" s="10" t="n">
        <v>45688.65200231481</v>
      </c>
      <c r="I3439" s="10" t="n">
        <v>45688.65200231481</v>
      </c>
      <c r="J3439" s="10" t="n">
        <v>45688.6541087963</v>
      </c>
      <c r="K3439" s="11" t="n">
        <v>0.002106481481481481</v>
      </c>
      <c r="L3439" s="13" t="n"/>
    </row>
    <row r="3440">
      <c r="A3440" s="3" t="inlineStr">
        <is>
          <t>PushOffDrive</t>
        </is>
      </c>
      <c r="B3440" s="3" t="inlineStr">
        <is>
          <t>Act_POD_1032701_154800_621</t>
        </is>
      </c>
      <c r="C3440" s="3" t="inlineStr">
        <is>
          <t>1032701</t>
        </is>
      </c>
      <c r="D3440" s="9" t="n">
        <v>60.8</v>
      </c>
      <c r="E3440" s="3" t="inlineStr">
        <is>
          <t>727</t>
        </is>
      </c>
      <c r="F3440" s="3" t="inlineStr">
        <is>
          <t>621</t>
        </is>
      </c>
      <c r="G3440" s="9" t="n">
        <v>453.13</v>
      </c>
      <c r="H3440" s="10" t="n">
        <v>45688.65833333333</v>
      </c>
      <c r="I3440" s="10" t="n">
        <v>45688.65833333333</v>
      </c>
      <c r="J3440" s="10" t="n">
        <v>45688.6603587963</v>
      </c>
      <c r="K3440" s="11" t="n">
        <v>0.002025462962962963</v>
      </c>
      <c r="L3440" s="13" t="n"/>
    </row>
    <row r="3441">
      <c r="A3441" s="3" t="inlineStr">
        <is>
          <t>PushOffDrive</t>
        </is>
      </c>
      <c r="B3441" s="3" t="inlineStr">
        <is>
          <t>Act_POD_1032702_155055_611</t>
        </is>
      </c>
      <c r="C3441" s="3" t="inlineStr">
        <is>
          <t>1032702</t>
        </is>
      </c>
      <c r="D3441" s="9" t="n">
        <v>19.9</v>
      </c>
      <c r="E3441" s="3" t="inlineStr">
        <is>
          <t>727</t>
        </is>
      </c>
      <c r="F3441" s="3" t="inlineStr">
        <is>
          <t>611</t>
        </is>
      </c>
      <c r="G3441" s="9" t="n">
        <v>317.52</v>
      </c>
      <c r="H3441" s="10" t="n">
        <v>45688.6603587963</v>
      </c>
      <c r="I3441" s="10" t="n">
        <v>45688.6603587963</v>
      </c>
      <c r="J3441" s="10" t="n">
        <v>45688.66172453704</v>
      </c>
      <c r="K3441" s="11" t="n">
        <v>0.001365740740740741</v>
      </c>
      <c r="L3441" s="13" t="n"/>
    </row>
    <row r="3442">
      <c r="A3442" s="3" t="inlineStr">
        <is>
          <t>PushOffDrive</t>
        </is>
      </c>
      <c r="B3442" s="3" t="inlineStr">
        <is>
          <t>Act_POD_1032703_155253_615</t>
        </is>
      </c>
      <c r="C3442" s="3" t="inlineStr">
        <is>
          <t>1032703</t>
        </is>
      </c>
      <c r="D3442" s="9" t="n">
        <v>12</v>
      </c>
      <c r="E3442" s="3" t="inlineStr">
        <is>
          <t>727</t>
        </is>
      </c>
      <c r="F3442" s="3" t="inlineStr">
        <is>
          <t>615</t>
        </is>
      </c>
      <c r="G3442" s="9" t="n">
        <v>263.09</v>
      </c>
      <c r="H3442" s="10" t="n">
        <v>45688.66172453704</v>
      </c>
      <c r="I3442" s="10" t="n">
        <v>45688.66172453704</v>
      </c>
      <c r="J3442" s="10" t="n">
        <v>45688.66284722222</v>
      </c>
      <c r="K3442" s="11" t="n">
        <v>0.001122685185185185</v>
      </c>
      <c r="L3442" s="13" t="n"/>
    </row>
    <row r="3443">
      <c r="A3443" s="3" t="inlineStr">
        <is>
          <t>PushOffDrive</t>
        </is>
      </c>
      <c r="B3443" s="3" t="inlineStr">
        <is>
          <t>Act_POD_1032704_155430_607</t>
        </is>
      </c>
      <c r="C3443" s="3" t="inlineStr">
        <is>
          <t>1032704</t>
        </is>
      </c>
      <c r="D3443" s="9" t="n">
        <v>19.9</v>
      </c>
      <c r="E3443" s="3" t="inlineStr">
        <is>
          <t>727</t>
        </is>
      </c>
      <c r="F3443" s="3" t="inlineStr">
        <is>
          <t>607</t>
        </is>
      </c>
      <c r="G3443" s="9" t="n">
        <v>371.57</v>
      </c>
      <c r="H3443" s="10" t="n">
        <v>45688.66284722222</v>
      </c>
      <c r="I3443" s="10" t="n">
        <v>45688.66284722222</v>
      </c>
      <c r="J3443" s="10" t="n">
        <v>45688.66444444445</v>
      </c>
      <c r="K3443" s="11" t="n">
        <v>0.001597222222222222</v>
      </c>
      <c r="L3443" s="13" t="n"/>
    </row>
    <row r="3444">
      <c r="A3444" s="3" t="inlineStr">
        <is>
          <t>PushOffDrive</t>
        </is>
      </c>
      <c r="B3444" s="3" t="inlineStr">
        <is>
          <t>Act_POD_1032705_155648_629</t>
        </is>
      </c>
      <c r="C3444" s="3" t="inlineStr">
        <is>
          <t>1032705</t>
        </is>
      </c>
      <c r="D3444" s="9" t="n">
        <v>121.8</v>
      </c>
      <c r="E3444" s="3" t="inlineStr">
        <is>
          <t>727</t>
        </is>
      </c>
      <c r="F3444" s="3" t="inlineStr">
        <is>
          <t>629</t>
        </is>
      </c>
      <c r="G3444" s="9" t="n">
        <v>443.59</v>
      </c>
      <c r="H3444" s="10" t="n">
        <v>45688.66444444445</v>
      </c>
      <c r="I3444" s="10" t="n">
        <v>45688.66444444445</v>
      </c>
      <c r="J3444" s="10" t="n">
        <v>45688.66657407407</v>
      </c>
      <c r="K3444" s="11" t="n">
        <v>0.00212962962962963</v>
      </c>
      <c r="L3444" s="13" t="n"/>
    </row>
    <row r="3445">
      <c r="A3445" s="3" t="inlineStr">
        <is>
          <t>PushOffDrive</t>
        </is>
      </c>
      <c r="B3445" s="3" t="inlineStr">
        <is>
          <t>Act_POD_1032706_155952_621</t>
        </is>
      </c>
      <c r="C3445" s="3" t="inlineStr">
        <is>
          <t>1032706</t>
        </is>
      </c>
      <c r="D3445" s="9" t="n">
        <v>46.5</v>
      </c>
      <c r="E3445" s="3" t="inlineStr">
        <is>
          <t>727</t>
        </is>
      </c>
      <c r="F3445" s="3" t="inlineStr">
        <is>
          <t>621</t>
        </is>
      </c>
      <c r="G3445" s="9" t="n">
        <v>453.13</v>
      </c>
      <c r="H3445" s="10" t="n">
        <v>45688.66657407407</v>
      </c>
      <c r="I3445" s="10" t="n">
        <v>45688.66657407407</v>
      </c>
      <c r="J3445" s="10" t="n">
        <v>45688.66856481481</v>
      </c>
      <c r="K3445" s="11" t="n">
        <v>0.001990740740740741</v>
      </c>
      <c r="L3445" s="13" t="n"/>
    </row>
    <row r="3446">
      <c r="A3446" s="3" t="inlineStr">
        <is>
          <t>PushOffDrive</t>
        </is>
      </c>
      <c r="B3446" s="3" t="inlineStr">
        <is>
          <t>Act_POD_1032707_160244_623</t>
        </is>
      </c>
      <c r="C3446" s="3" t="inlineStr">
        <is>
          <t>1032707</t>
        </is>
      </c>
      <c r="D3446" s="9" t="n">
        <v>15.7</v>
      </c>
      <c r="E3446" s="3" t="inlineStr">
        <is>
          <t>727</t>
        </is>
      </c>
      <c r="F3446" s="3" t="inlineStr">
        <is>
          <t>623</t>
        </is>
      </c>
      <c r="G3446" s="9" t="n">
        <v>405.22</v>
      </c>
      <c r="H3446" s="10" t="n">
        <v>45688.66856481481</v>
      </c>
      <c r="I3446" s="10" t="n">
        <v>45688.66856481481</v>
      </c>
      <c r="J3446" s="10" t="n">
        <v>45688.67028935185</v>
      </c>
      <c r="K3446" s="11" t="n">
        <v>0.001724537037037037</v>
      </c>
      <c r="L3446" s="13" t="n"/>
    </row>
    <row r="3447">
      <c r="A3447" s="3" t="inlineStr">
        <is>
          <t>PushOffDrive</t>
        </is>
      </c>
      <c r="B3447" s="3" t="inlineStr">
        <is>
          <t>Act_POD_1032709_160513_621</t>
        </is>
      </c>
      <c r="C3447" s="3" t="inlineStr">
        <is>
          <t>1032709</t>
        </is>
      </c>
      <c r="D3447" s="9" t="n">
        <v>47.2</v>
      </c>
      <c r="E3447" s="3" t="inlineStr">
        <is>
          <t>727</t>
        </is>
      </c>
      <c r="F3447" s="3" t="inlineStr">
        <is>
          <t>621</t>
        </is>
      </c>
      <c r="G3447" s="9" t="n">
        <v>453.13</v>
      </c>
      <c r="H3447" s="10" t="n">
        <v>45688.67028935185</v>
      </c>
      <c r="I3447" s="10" t="n">
        <v>45688.67028935185</v>
      </c>
      <c r="J3447" s="10" t="n">
        <v>45688.67229166667</v>
      </c>
      <c r="K3447" s="11" t="n">
        <v>0.002002314814814815</v>
      </c>
      <c r="L3447" s="13" t="n"/>
    </row>
    <row r="3448">
      <c r="A3448" s="3" t="inlineStr">
        <is>
          <t>PushOffDrive</t>
        </is>
      </c>
      <c r="B3448" s="3" t="inlineStr">
        <is>
          <t>Act_POD_1032710_160806_625</t>
        </is>
      </c>
      <c r="C3448" s="3" t="inlineStr">
        <is>
          <t>1032710</t>
        </is>
      </c>
      <c r="D3448" s="9" t="n">
        <v>14</v>
      </c>
      <c r="E3448" s="3" t="inlineStr">
        <is>
          <t>727</t>
        </is>
      </c>
      <c r="F3448" s="3" t="inlineStr">
        <is>
          <t>625</t>
        </is>
      </c>
      <c r="G3448" s="9" t="n">
        <v>470.92</v>
      </c>
      <c r="H3448" s="10" t="n">
        <v>45688.67229166667</v>
      </c>
      <c r="I3448" s="10" t="n">
        <v>45688.67229166667</v>
      </c>
      <c r="J3448" s="10" t="n">
        <v>45688.67428240741</v>
      </c>
      <c r="K3448" s="11" t="n">
        <v>0.001990740740740741</v>
      </c>
      <c r="L3448" s="13" t="n"/>
    </row>
    <row r="3449">
      <c r="A3449" s="3" t="inlineStr">
        <is>
          <t>PushOffDrive</t>
        </is>
      </c>
      <c r="B3449" s="3" t="inlineStr">
        <is>
          <t>Act_POD_1032711_161058_609</t>
        </is>
      </c>
      <c r="C3449" s="3" t="inlineStr">
        <is>
          <t>1032711</t>
        </is>
      </c>
      <c r="D3449" s="9" t="n">
        <v>35.6</v>
      </c>
      <c r="E3449" s="3" t="inlineStr">
        <is>
          <t>727</t>
        </is>
      </c>
      <c r="F3449" s="3" t="inlineStr">
        <is>
          <t>609</t>
        </is>
      </c>
      <c r="G3449" s="9" t="n">
        <v>344.04</v>
      </c>
      <c r="H3449" s="10" t="n">
        <v>45688.67428240741</v>
      </c>
      <c r="I3449" s="10" t="n">
        <v>45688.67428240741</v>
      </c>
      <c r="J3449" s="10" t="n">
        <v>45688.67579861111</v>
      </c>
      <c r="K3449" s="11" t="n">
        <v>0.001516203703703704</v>
      </c>
      <c r="L3449" s="13" t="n"/>
    </row>
    <row r="3450">
      <c r="A3450" s="3" t="inlineStr">
        <is>
          <t>PushOffDrive</t>
        </is>
      </c>
      <c r="B3450" s="3" t="inlineStr">
        <is>
          <t>Act_POD_1032901_174302_613</t>
        </is>
      </c>
      <c r="C3450" s="3" t="inlineStr">
        <is>
          <t>1032901</t>
        </is>
      </c>
      <c r="D3450" s="9" t="n">
        <v>302.1</v>
      </c>
      <c r="E3450" s="3" t="inlineStr">
        <is>
          <t>703</t>
        </is>
      </c>
      <c r="F3450" s="3" t="inlineStr">
        <is>
          <t>613</t>
        </is>
      </c>
      <c r="G3450" s="9" t="n">
        <v>297.43</v>
      </c>
      <c r="H3450" s="10" t="n">
        <v>45688.7382175926</v>
      </c>
      <c r="I3450" s="10" t="n">
        <v>45688.7382175926</v>
      </c>
      <c r="J3450" s="10" t="n">
        <v>45688.74016203704</v>
      </c>
      <c r="K3450" s="11" t="n">
        <v>0.001944444444444444</v>
      </c>
      <c r="L3450" s="13" t="n"/>
    </row>
    <row r="3451">
      <c r="A3451" s="3" t="inlineStr">
        <is>
          <t>PushOffDrive</t>
        </is>
      </c>
      <c r="B3451" s="3" t="inlineStr">
        <is>
          <t>Act_POD_1033001_175516_627</t>
        </is>
      </c>
      <c r="C3451" s="3" t="inlineStr">
        <is>
          <t>1033001</t>
        </is>
      </c>
      <c r="D3451" s="9" t="n">
        <v>193.1</v>
      </c>
      <c r="E3451" s="3" t="inlineStr">
        <is>
          <t>727</t>
        </is>
      </c>
      <c r="F3451" s="3" t="inlineStr">
        <is>
          <t>627</t>
        </is>
      </c>
      <c r="G3451" s="9" t="n">
        <v>443.59</v>
      </c>
      <c r="H3451" s="10" t="n">
        <v>45688.74671296297</v>
      </c>
      <c r="I3451" s="10" t="n">
        <v>45688.74671296297</v>
      </c>
      <c r="J3451" s="10" t="n">
        <v>45688.74900462963</v>
      </c>
      <c r="K3451" s="11" t="n">
        <v>0.002291666666666667</v>
      </c>
      <c r="L3451" s="13" t="n"/>
    </row>
    <row r="3452">
      <c r="A3452" s="3" t="inlineStr">
        <is>
          <t>PushOffDrive</t>
        </is>
      </c>
      <c r="B3452" s="3" t="inlineStr">
        <is>
          <t>Act_POD_1033101_202531_606</t>
        </is>
      </c>
      <c r="C3452" s="3" t="inlineStr">
        <is>
          <t>1033101</t>
        </is>
      </c>
      <c r="D3452" s="9" t="n">
        <v>162</v>
      </c>
      <c r="E3452" s="3" t="inlineStr">
        <is>
          <t>703</t>
        </is>
      </c>
      <c r="F3452" s="3" t="inlineStr">
        <is>
          <t>606</t>
        </is>
      </c>
      <c r="G3452" s="9" t="n">
        <v>405.03</v>
      </c>
      <c r="H3452" s="10" t="n">
        <v>45688.85105324074</v>
      </c>
      <c r="I3452" s="10" t="n">
        <v>45688.85105324074</v>
      </c>
      <c r="J3452" s="10" t="n">
        <v>45688.853125</v>
      </c>
      <c r="K3452" s="11" t="n">
        <v>0.002071759259259259</v>
      </c>
      <c r="L3452" s="13" t="n"/>
    </row>
    <row r="3453">
      <c r="A3453" s="3" t="inlineStr">
        <is>
          <t>PushOffDrive</t>
        </is>
      </c>
      <c r="B3453" s="3" t="inlineStr">
        <is>
          <t>Act_POD_1033102_202830_621</t>
        </is>
      </c>
      <c r="C3453" s="3" t="inlineStr">
        <is>
          <t>1033102</t>
        </is>
      </c>
      <c r="D3453" s="9" t="n">
        <v>23.2</v>
      </c>
      <c r="E3453" s="3" t="inlineStr">
        <is>
          <t>703</t>
        </is>
      </c>
      <c r="F3453" s="3" t="inlineStr">
        <is>
          <t>621</t>
        </is>
      </c>
      <c r="G3453" s="9" t="n">
        <v>459.96</v>
      </c>
      <c r="H3453" s="10" t="n">
        <v>45688.853125</v>
      </c>
      <c r="I3453" s="10" t="n">
        <v>45688.853125</v>
      </c>
      <c r="J3453" s="10" t="n">
        <v>45688.8550925926</v>
      </c>
      <c r="K3453" s="11" t="n">
        <v>0.001967592592592592</v>
      </c>
      <c r="L3453" s="13" t="n"/>
    </row>
    <row r="3454">
      <c r="A3454" s="3" t="inlineStr">
        <is>
          <t>PushOffDrive</t>
        </is>
      </c>
      <c r="B3454" s="3" t="inlineStr">
        <is>
          <t>Act_POD_1033103_203120_607</t>
        </is>
      </c>
      <c r="C3454" s="3" t="inlineStr">
        <is>
          <t>1033103</t>
        </is>
      </c>
      <c r="D3454" s="9" t="n">
        <v>19.9</v>
      </c>
      <c r="E3454" s="3" t="inlineStr">
        <is>
          <t>703</t>
        </is>
      </c>
      <c r="F3454" s="3" t="inlineStr">
        <is>
          <t>607</t>
        </is>
      </c>
      <c r="G3454" s="9" t="n">
        <v>378.4</v>
      </c>
      <c r="H3454" s="10" t="n">
        <v>45688.8550925926</v>
      </c>
      <c r="I3454" s="10" t="n">
        <v>45688.8550925926</v>
      </c>
      <c r="J3454" s="10" t="n">
        <v>45688.85671296297</v>
      </c>
      <c r="K3454" s="11" t="n">
        <v>0.00162037037037037</v>
      </c>
      <c r="L3454" s="13" t="n"/>
    </row>
    <row r="3455">
      <c r="A3455" s="3" t="inlineStr">
        <is>
          <t>PushOffDrive</t>
        </is>
      </c>
      <c r="B3455" s="3" t="inlineStr">
        <is>
          <t>Act_POD_1033104_203340_629</t>
        </is>
      </c>
      <c r="C3455" s="3" t="inlineStr">
        <is>
          <t>1033104</t>
        </is>
      </c>
      <c r="D3455" s="9" t="n">
        <v>15.7</v>
      </c>
      <c r="E3455" s="3" t="inlineStr">
        <is>
          <t>703</t>
        </is>
      </c>
      <c r="F3455" s="3" t="inlineStr">
        <is>
          <t>629</t>
        </is>
      </c>
      <c r="G3455" s="9" t="n">
        <v>450.42</v>
      </c>
      <c r="H3455" s="10" t="n">
        <v>45688.85671296297</v>
      </c>
      <c r="I3455" s="10" t="n">
        <v>45688.85671296297</v>
      </c>
      <c r="J3455" s="10" t="n">
        <v>45688.85862268518</v>
      </c>
      <c r="K3455" s="11" t="n">
        <v>0.001909722222222222</v>
      </c>
      <c r="L3455" s="13" t="n"/>
    </row>
    <row r="3456">
      <c r="A3456" s="3" t="inlineStr">
        <is>
          <t>PushOffDrive</t>
        </is>
      </c>
      <c r="B3456" s="3" t="inlineStr">
        <is>
          <t>Act_POD_1033105_203625_629</t>
        </is>
      </c>
      <c r="C3456" s="3" t="inlineStr">
        <is>
          <t>1033105</t>
        </is>
      </c>
      <c r="D3456" s="9" t="n">
        <v>110.3</v>
      </c>
      <c r="E3456" s="3" t="inlineStr">
        <is>
          <t>703</t>
        </is>
      </c>
      <c r="F3456" s="3" t="inlineStr">
        <is>
          <t>629</t>
        </is>
      </c>
      <c r="G3456" s="9" t="n">
        <v>450.42</v>
      </c>
      <c r="H3456" s="10" t="n">
        <v>45688.85862268518</v>
      </c>
      <c r="I3456" s="10" t="n">
        <v>45688.85862268518</v>
      </c>
      <c r="J3456" s="10" t="n">
        <v>45688.86075231482</v>
      </c>
      <c r="K3456" s="11" t="n">
        <v>0.00212962962962963</v>
      </c>
      <c r="L3456" s="13" t="n"/>
    </row>
    <row r="3457">
      <c r="A3457" s="3" t="inlineStr">
        <is>
          <t>PushOffDrive</t>
        </is>
      </c>
      <c r="B3457" s="3" t="inlineStr">
        <is>
          <t>Act_POD_1033106_203929_605</t>
        </is>
      </c>
      <c r="C3457" s="3" t="inlineStr">
        <is>
          <t>1033106</t>
        </is>
      </c>
      <c r="D3457" s="9" t="n">
        <v>19.9</v>
      </c>
      <c r="E3457" s="3" t="inlineStr">
        <is>
          <t>703</t>
        </is>
      </c>
      <c r="F3457" s="3" t="inlineStr">
        <is>
          <t>605</t>
        </is>
      </c>
      <c r="G3457" s="9" t="n">
        <v>405.43</v>
      </c>
      <c r="H3457" s="10" t="n">
        <v>45688.86075231482</v>
      </c>
      <c r="I3457" s="10" t="n">
        <v>45688.86075231482</v>
      </c>
      <c r="J3457" s="10" t="n">
        <v>45688.86248842593</v>
      </c>
      <c r="K3457" s="11" t="n">
        <v>0.001736111111111111</v>
      </c>
      <c r="L3457" s="13" t="n"/>
    </row>
    <row r="3458">
      <c r="A3458" s="3" t="inlineStr">
        <is>
          <t>Securing</t>
        </is>
      </c>
      <c r="B3458" s="3" t="inlineStr">
        <is>
          <t>Act_SEC_1000101_025557_615</t>
        </is>
      </c>
      <c r="C3458" s="3" t="inlineStr">
        <is>
          <t>1000101</t>
        </is>
      </c>
      <c r="D3458" s="9" t="n">
        <v>19.9</v>
      </c>
      <c r="E3458" s="3" t="n"/>
      <c r="F3458" s="3" t="n"/>
      <c r="G3458" s="9" t="n"/>
      <c r="H3458" s="10" t="n">
        <v>45659.1221875</v>
      </c>
      <c r="I3458" s="10" t="n">
        <v>45659.12298611111</v>
      </c>
      <c r="J3458" s="10" t="n">
        <v>45659.124375</v>
      </c>
      <c r="K3458" s="11" t="n">
        <v>0.001388888888888889</v>
      </c>
      <c r="L3458" s="13" t="n"/>
    </row>
    <row r="3459">
      <c r="A3459" s="3" t="inlineStr">
        <is>
          <t>Securing</t>
        </is>
      </c>
      <c r="B3459" s="3" t="inlineStr">
        <is>
          <t>Act_SEC_1000102_025805_613</t>
        </is>
      </c>
      <c r="C3459" s="3" t="inlineStr">
        <is>
          <t>1000102</t>
        </is>
      </c>
      <c r="D3459" s="9" t="n">
        <v>103.9</v>
      </c>
      <c r="E3459" s="3" t="n"/>
      <c r="F3459" s="3" t="n"/>
      <c r="G3459" s="9" t="n"/>
      <c r="H3459" s="10" t="n">
        <v>45659.12366898148</v>
      </c>
      <c r="I3459" s="10" t="n">
        <v>45659.12444444445</v>
      </c>
      <c r="J3459" s="10" t="n">
        <v>45659.12583333333</v>
      </c>
      <c r="K3459" s="11" t="n">
        <v>0.001388888888888889</v>
      </c>
      <c r="L3459" s="13" t="n"/>
    </row>
    <row r="3460">
      <c r="A3460" s="3" t="inlineStr">
        <is>
          <t>Securing</t>
        </is>
      </c>
      <c r="B3460" s="3" t="inlineStr">
        <is>
          <t>Act_SEC_1000103_030102_627</t>
        </is>
      </c>
      <c r="C3460" s="3" t="inlineStr">
        <is>
          <t>1000103</t>
        </is>
      </c>
      <c r="D3460" s="9" t="n">
        <v>71.7</v>
      </c>
      <c r="E3460" s="3" t="n"/>
      <c r="F3460" s="3" t="n"/>
      <c r="G3460" s="9" t="n"/>
      <c r="H3460" s="10" t="n">
        <v>45659.12571759259</v>
      </c>
      <c r="I3460" s="10" t="n">
        <v>45659.12650462963</v>
      </c>
      <c r="J3460" s="10" t="n">
        <v>45659.12789351852</v>
      </c>
      <c r="K3460" s="11" t="n">
        <v>0.001388888888888889</v>
      </c>
      <c r="L3460" s="13" t="n"/>
    </row>
    <row r="3461">
      <c r="A3461" s="3" t="inlineStr">
        <is>
          <t>Securing</t>
        </is>
      </c>
      <c r="B3461" s="3" t="inlineStr">
        <is>
          <t>Act_SEC_1000104_030400_625</t>
        </is>
      </c>
      <c r="C3461" s="3" t="inlineStr">
        <is>
          <t>1000104</t>
        </is>
      </c>
      <c r="D3461" s="9" t="n">
        <v>31.5</v>
      </c>
      <c r="E3461" s="3" t="n"/>
      <c r="F3461" s="3" t="n"/>
      <c r="G3461" s="9" t="n"/>
      <c r="H3461" s="10" t="n">
        <v>45659.12777777778</v>
      </c>
      <c r="I3461" s="10" t="n">
        <v>45659.12855324074</v>
      </c>
      <c r="J3461" s="10" t="n">
        <v>45659.12994212963</v>
      </c>
      <c r="K3461" s="11" t="n">
        <v>0.001388888888888889</v>
      </c>
      <c r="L3461" s="13" t="n"/>
    </row>
    <row r="3462">
      <c r="A3462" s="3" t="inlineStr">
        <is>
          <t>Securing</t>
        </is>
      </c>
      <c r="B3462" s="3" t="inlineStr">
        <is>
          <t>Act_SEC_1000201_064007_613</t>
        </is>
      </c>
      <c r="C3462" s="3" t="inlineStr">
        <is>
          <t>1000201</t>
        </is>
      </c>
      <c r="D3462" s="9" t="n">
        <v>182.7</v>
      </c>
      <c r="E3462" s="3" t="n"/>
      <c r="F3462" s="3" t="n"/>
      <c r="G3462" s="9" t="n"/>
      <c r="H3462" s="10" t="n">
        <v>45659.2778587963</v>
      </c>
      <c r="I3462" s="10" t="n">
        <v>45659.27872685185</v>
      </c>
      <c r="J3462" s="10" t="n">
        <v>45659.28025462963</v>
      </c>
      <c r="K3462" s="11" t="n">
        <v>0.001527777777777778</v>
      </c>
      <c r="L3462" s="13" t="n"/>
    </row>
    <row r="3463">
      <c r="A3463" s="3" t="inlineStr">
        <is>
          <t>Securing</t>
        </is>
      </c>
      <c r="B3463" s="3" t="inlineStr">
        <is>
          <t>Act_SEC_1000401_073530_621</t>
        </is>
      </c>
      <c r="C3463" s="3" t="inlineStr">
        <is>
          <t>1000401</t>
        </is>
      </c>
      <c r="D3463" s="9" t="n">
        <v>189</v>
      </c>
      <c r="E3463" s="3" t="n"/>
      <c r="F3463" s="3" t="n"/>
      <c r="G3463" s="9" t="n"/>
      <c r="H3463" s="10" t="n">
        <v>45659.31631944444</v>
      </c>
      <c r="I3463" s="10" t="n">
        <v>45659.3171875</v>
      </c>
      <c r="J3463" s="10" t="n">
        <v>45659.31871527778</v>
      </c>
      <c r="K3463" s="11" t="n">
        <v>0.001527777777777778</v>
      </c>
      <c r="L3463" s="13" t="n"/>
    </row>
    <row r="3464">
      <c r="A3464" s="3" t="inlineStr">
        <is>
          <t>Securing</t>
        </is>
      </c>
      <c r="B3464" s="3" t="inlineStr">
        <is>
          <t>Act_SEC_1000302_074423_605</t>
        </is>
      </c>
      <c r="C3464" s="3" t="inlineStr">
        <is>
          <t>1000302</t>
        </is>
      </c>
      <c r="D3464" s="9" t="n">
        <v>264.6</v>
      </c>
      <c r="E3464" s="3" t="n"/>
      <c r="F3464" s="3" t="n"/>
      <c r="G3464" s="9" t="n"/>
      <c r="H3464" s="10" t="n">
        <v>45659.32248842593</v>
      </c>
      <c r="I3464" s="10" t="n">
        <v>45659.32335648148</v>
      </c>
      <c r="J3464" s="10" t="n">
        <v>45659.32488425926</v>
      </c>
      <c r="K3464" s="11" t="n">
        <v>0.001527777777777778</v>
      </c>
      <c r="L3464" s="13" t="n"/>
    </row>
    <row r="3465">
      <c r="A3465" s="3" t="inlineStr">
        <is>
          <t>Securing</t>
        </is>
      </c>
      <c r="B3465" s="3" t="inlineStr">
        <is>
          <t>Act_SEC_1000303_074653_623</t>
        </is>
      </c>
      <c r="C3465" s="3" t="inlineStr">
        <is>
          <t>1000303</t>
        </is>
      </c>
      <c r="D3465" s="9" t="n">
        <v>21</v>
      </c>
      <c r="E3465" s="3" t="n"/>
      <c r="F3465" s="3" t="n"/>
      <c r="G3465" s="9" t="n"/>
      <c r="H3465" s="10" t="n">
        <v>45659.32422453703</v>
      </c>
      <c r="I3465" s="10" t="n">
        <v>45659.32506944444</v>
      </c>
      <c r="J3465" s="10" t="n">
        <v>45659.32659722222</v>
      </c>
      <c r="K3465" s="11" t="n">
        <v>0.001527777777777778</v>
      </c>
      <c r="L3465" s="13" t="n"/>
    </row>
    <row r="3466">
      <c r="A3466" s="3" t="inlineStr">
        <is>
          <t>Securing</t>
        </is>
      </c>
      <c r="B3466" s="3" t="inlineStr">
        <is>
          <t>Act_SEC_1000305_075238_619</t>
        </is>
      </c>
      <c r="C3466" s="3" t="inlineStr">
        <is>
          <t>1000305</t>
        </is>
      </c>
      <c r="D3466" s="9" t="n">
        <v>98.59999999999999</v>
      </c>
      <c r="E3466" s="3" t="n"/>
      <c r="F3466" s="3" t="n"/>
      <c r="G3466" s="9" t="n"/>
      <c r="H3466" s="10" t="n">
        <v>45659.32821759259</v>
      </c>
      <c r="I3466" s="10" t="n">
        <v>45659.3290625</v>
      </c>
      <c r="J3466" s="10" t="n">
        <v>45659.33059027778</v>
      </c>
      <c r="K3466" s="11" t="n">
        <v>0.001527777777777778</v>
      </c>
      <c r="L3466" s="13" t="n"/>
    </row>
    <row r="3467">
      <c r="A3467" s="3" t="inlineStr">
        <is>
          <t>Securing</t>
        </is>
      </c>
      <c r="B3467" s="3" t="inlineStr">
        <is>
          <t>Act_SEC_1000306_075505_606</t>
        </is>
      </c>
      <c r="C3467" s="3" t="inlineStr">
        <is>
          <t>1000306</t>
        </is>
      </c>
      <c r="D3467" s="9" t="n">
        <v>21</v>
      </c>
      <c r="E3467" s="3" t="n"/>
      <c r="F3467" s="3" t="n"/>
      <c r="G3467" s="9" t="n"/>
      <c r="H3467" s="10" t="n">
        <v>45659.32991898148</v>
      </c>
      <c r="I3467" s="10" t="n">
        <v>45659.33175925926</v>
      </c>
      <c r="J3467" s="10" t="n">
        <v>45659.33328703704</v>
      </c>
      <c r="K3467" s="11" t="n">
        <v>0.001527777777777778</v>
      </c>
      <c r="L3467" s="13" t="n"/>
    </row>
    <row r="3468">
      <c r="A3468" s="3" t="inlineStr">
        <is>
          <t>Securing</t>
        </is>
      </c>
      <c r="B3468" s="3" t="inlineStr">
        <is>
          <t>Act_SEC_1000307_075722_607</t>
        </is>
      </c>
      <c r="C3468" s="3" t="inlineStr">
        <is>
          <t>1000307</t>
        </is>
      </c>
      <c r="D3468" s="9" t="n">
        <v>15.7</v>
      </c>
      <c r="E3468" s="3" t="n"/>
      <c r="F3468" s="3" t="n"/>
      <c r="G3468" s="9" t="n"/>
      <c r="H3468" s="10" t="n">
        <v>45659.33150462963</v>
      </c>
      <c r="I3468" s="10" t="n">
        <v>45659.33234953704</v>
      </c>
      <c r="J3468" s="10" t="n">
        <v>45659.33387731481</v>
      </c>
      <c r="K3468" s="11" t="n">
        <v>0.001527777777777778</v>
      </c>
      <c r="L3468" s="13" t="n"/>
    </row>
    <row r="3469">
      <c r="A3469" s="3" t="inlineStr">
        <is>
          <t>Securing</t>
        </is>
      </c>
      <c r="B3469" s="3" t="inlineStr">
        <is>
          <t>Act_SEC_1000308_075937_609</t>
        </is>
      </c>
      <c r="C3469" s="3" t="inlineStr">
        <is>
          <t>1000308</t>
        </is>
      </c>
      <c r="D3469" s="9" t="n">
        <v>54</v>
      </c>
      <c r="E3469" s="3" t="n"/>
      <c r="F3469" s="3" t="n"/>
      <c r="G3469" s="9" t="n"/>
      <c r="H3469" s="10" t="n">
        <v>45659.33306712963</v>
      </c>
      <c r="I3469" s="10" t="n">
        <v>45659.33502314815</v>
      </c>
      <c r="J3469" s="10" t="n">
        <v>45659.33655092592</v>
      </c>
      <c r="K3469" s="11" t="n">
        <v>0.001527777777777778</v>
      </c>
      <c r="L3469" s="13" t="n"/>
    </row>
    <row r="3470">
      <c r="A3470" s="3" t="inlineStr">
        <is>
          <t>Securing</t>
        </is>
      </c>
      <c r="B3470" s="3" t="inlineStr">
        <is>
          <t>Act_SEC_1000310_080404_611</t>
        </is>
      </c>
      <c r="C3470" s="3" t="inlineStr">
        <is>
          <t>1000310</t>
        </is>
      </c>
      <c r="D3470" s="9" t="n">
        <v>15.7</v>
      </c>
      <c r="E3470" s="3" t="n"/>
      <c r="F3470" s="3" t="n"/>
      <c r="G3470" s="9" t="n"/>
      <c r="H3470" s="10" t="n">
        <v>45659.33615740741</v>
      </c>
      <c r="I3470" s="10" t="n">
        <v>45659.33828703704</v>
      </c>
      <c r="J3470" s="10" t="n">
        <v>45659.33981481481</v>
      </c>
      <c r="K3470" s="11" t="n">
        <v>0.001527777777777778</v>
      </c>
      <c r="L3470" s="13" t="n"/>
    </row>
    <row r="3471">
      <c r="A3471" s="3" t="inlineStr">
        <is>
          <t>Securing</t>
        </is>
      </c>
      <c r="B3471" s="3" t="inlineStr">
        <is>
          <t>Act_SEC_1000312_080821_617</t>
        </is>
      </c>
      <c r="C3471" s="3" t="inlineStr">
        <is>
          <t>1000312</t>
        </is>
      </c>
      <c r="D3471" s="9" t="n">
        <v>19.9</v>
      </c>
      <c r="E3471" s="3" t="n"/>
      <c r="F3471" s="3" t="n"/>
      <c r="G3471" s="9" t="n"/>
      <c r="H3471" s="10" t="n">
        <v>45659.33913194444</v>
      </c>
      <c r="I3471" s="10" t="n">
        <v>45659.34155092593</v>
      </c>
      <c r="J3471" s="10" t="n">
        <v>45659.34307870371</v>
      </c>
      <c r="K3471" s="11" t="n">
        <v>0.001527777777777778</v>
      </c>
      <c r="L3471" s="13" t="n"/>
    </row>
    <row r="3472">
      <c r="A3472" s="3" t="inlineStr">
        <is>
          <t>Securing</t>
        </is>
      </c>
      <c r="B3472" s="3" t="inlineStr">
        <is>
          <t>Act_SEC_1000501_081719_613</t>
        </is>
      </c>
      <c r="C3472" s="3" t="inlineStr">
        <is>
          <t>1000501</t>
        </is>
      </c>
      <c r="D3472" s="9" t="n">
        <v>396.6</v>
      </c>
      <c r="E3472" s="3" t="n"/>
      <c r="F3472" s="3" t="n"/>
      <c r="G3472" s="9" t="n"/>
      <c r="H3472" s="10" t="n">
        <v>45659.34535879629</v>
      </c>
      <c r="I3472" s="10" t="n">
        <v>45659.3462037037</v>
      </c>
      <c r="J3472" s="10" t="n">
        <v>45659.34773148148</v>
      </c>
      <c r="K3472" s="11" t="n">
        <v>0.001527777777777778</v>
      </c>
      <c r="L3472" s="13" t="n"/>
    </row>
    <row r="3473">
      <c r="A3473" s="3" t="inlineStr">
        <is>
          <t>Securing</t>
        </is>
      </c>
      <c r="B3473" s="3" t="inlineStr">
        <is>
          <t>Act_SEC_1000701_091400_605</t>
        </is>
      </c>
      <c r="C3473" s="3" t="inlineStr">
        <is>
          <t>1000701</t>
        </is>
      </c>
      <c r="D3473" s="9" t="n">
        <v>70.5</v>
      </c>
      <c r="E3473" s="3" t="n"/>
      <c r="F3473" s="3" t="n"/>
      <c r="G3473" s="9" t="n"/>
      <c r="H3473" s="10" t="n">
        <v>45659.38472222222</v>
      </c>
      <c r="I3473" s="10" t="n">
        <v>45659.38555555556</v>
      </c>
      <c r="J3473" s="10" t="n">
        <v>45659.38708333333</v>
      </c>
      <c r="K3473" s="11" t="n">
        <v>0.001527777777777778</v>
      </c>
      <c r="L3473" s="13" t="n"/>
    </row>
    <row r="3474">
      <c r="A3474" s="3" t="inlineStr">
        <is>
          <t>Securing</t>
        </is>
      </c>
      <c r="B3474" s="3" t="inlineStr">
        <is>
          <t>Act_SEC_1000702_091708_629</t>
        </is>
      </c>
      <c r="C3474" s="3" t="inlineStr">
        <is>
          <t>1000702</t>
        </is>
      </c>
      <c r="D3474" s="9" t="n">
        <v>142.2</v>
      </c>
      <c r="E3474" s="3" t="n"/>
      <c r="F3474" s="3" t="n"/>
      <c r="G3474" s="9" t="n"/>
      <c r="H3474" s="10" t="n">
        <v>45659.38689814815</v>
      </c>
      <c r="I3474" s="10" t="n">
        <v>45659.3877662037</v>
      </c>
      <c r="J3474" s="10" t="n">
        <v>45659.38929398148</v>
      </c>
      <c r="K3474" s="11" t="n">
        <v>0.001527777777777778</v>
      </c>
      <c r="L3474" s="13" t="n"/>
    </row>
    <row r="3475">
      <c r="A3475" s="3" t="inlineStr">
        <is>
          <t>Securing</t>
        </is>
      </c>
      <c r="B3475" s="3" t="inlineStr">
        <is>
          <t>Act_SEC_1000608_093824_621</t>
        </is>
      </c>
      <c r="C3475" s="3" t="inlineStr">
        <is>
          <t>1000608</t>
        </is>
      </c>
      <c r="D3475" s="9" t="n">
        <v>19.9</v>
      </c>
      <c r="E3475" s="3" t="n"/>
      <c r="F3475" s="3" t="n"/>
      <c r="G3475" s="9" t="n"/>
      <c r="H3475" s="10" t="n">
        <v>45659.40166666666</v>
      </c>
      <c r="I3475" s="10" t="n">
        <v>45659.40626157408</v>
      </c>
      <c r="J3475" s="10" t="n">
        <v>45659.40778935186</v>
      </c>
      <c r="K3475" s="11" t="n">
        <v>0.001527777777777778</v>
      </c>
      <c r="L3475" s="13" t="n"/>
    </row>
    <row r="3476">
      <c r="A3476" s="3" t="inlineStr">
        <is>
          <t>Securing</t>
        </is>
      </c>
      <c r="B3476" s="3" t="inlineStr">
        <is>
          <t>Act_SEC_1000609_094145_629</t>
        </is>
      </c>
      <c r="C3476" s="3" t="inlineStr">
        <is>
          <t>1000609</t>
        </is>
      </c>
      <c r="D3476" s="9" t="n">
        <v>194.2</v>
      </c>
      <c r="E3476" s="3" t="n"/>
      <c r="F3476" s="3" t="n"/>
      <c r="G3476" s="9" t="n"/>
      <c r="H3476" s="10" t="n">
        <v>45659.40399305556</v>
      </c>
      <c r="I3476" s="10" t="n">
        <v>45659.40760416666</v>
      </c>
      <c r="J3476" s="10" t="n">
        <v>45659.40899305556</v>
      </c>
      <c r="K3476" s="11" t="n">
        <v>0.001388888888888889</v>
      </c>
      <c r="L3476" s="13" t="n"/>
    </row>
    <row r="3477">
      <c r="A3477" s="3" t="inlineStr">
        <is>
          <t>Securing</t>
        </is>
      </c>
      <c r="B3477" s="3" t="inlineStr">
        <is>
          <t>Act_SEC_1000801_104708_613</t>
        </is>
      </c>
      <c r="C3477" s="3" t="inlineStr">
        <is>
          <t>1000801</t>
        </is>
      </c>
      <c r="D3477" s="9" t="n">
        <v>39.8</v>
      </c>
      <c r="E3477" s="3" t="n"/>
      <c r="F3477" s="3" t="n"/>
      <c r="G3477" s="9" t="n"/>
      <c r="H3477" s="10" t="n">
        <v>45659.44939814815</v>
      </c>
      <c r="I3477" s="10" t="n">
        <v>45659.4502662037</v>
      </c>
      <c r="J3477" s="10" t="n">
        <v>45659.45179398148</v>
      </c>
      <c r="K3477" s="11" t="n">
        <v>0.001527777777777778</v>
      </c>
      <c r="L3477" s="13" t="n"/>
    </row>
    <row r="3478">
      <c r="A3478" s="3" t="inlineStr">
        <is>
          <t>Securing</t>
        </is>
      </c>
      <c r="B3478" s="3" t="inlineStr">
        <is>
          <t>Act_SEC_1000901_144858_613</t>
        </is>
      </c>
      <c r="C3478" s="3" t="inlineStr">
        <is>
          <t>1000901</t>
        </is>
      </c>
      <c r="D3478" s="9" t="n">
        <v>287.1</v>
      </c>
      <c r="E3478" s="3" t="n"/>
      <c r="F3478" s="3" t="n"/>
      <c r="G3478" s="9" t="n"/>
      <c r="H3478" s="10" t="n">
        <v>45659.61733796296</v>
      </c>
      <c r="I3478" s="10" t="n">
        <v>45659.618125</v>
      </c>
      <c r="J3478" s="10" t="n">
        <v>45659.61951388889</v>
      </c>
      <c r="K3478" s="11" t="n">
        <v>0.001388888888888889</v>
      </c>
      <c r="L3478" s="13" t="n"/>
    </row>
    <row r="3479">
      <c r="A3479" s="3" t="inlineStr">
        <is>
          <t>Securing</t>
        </is>
      </c>
      <c r="B3479" s="3" t="inlineStr">
        <is>
          <t>Act_SEC_1001001_152813_619</t>
        </is>
      </c>
      <c r="C3479" s="3" t="inlineStr">
        <is>
          <t>1001001</t>
        </is>
      </c>
      <c r="D3479" s="9" t="n">
        <v>81</v>
      </c>
      <c r="E3479" s="3" t="n"/>
      <c r="F3479" s="3" t="n"/>
      <c r="G3479" s="9" t="n"/>
      <c r="H3479" s="10" t="n">
        <v>45659.6445949074</v>
      </c>
      <c r="I3479" s="10" t="n">
        <v>45659.64538194444</v>
      </c>
      <c r="J3479" s="10" t="n">
        <v>45659.64677083334</v>
      </c>
      <c r="K3479" s="11" t="n">
        <v>0.001388888888888889</v>
      </c>
      <c r="L3479" s="13" t="n"/>
    </row>
    <row r="3480">
      <c r="A3480" s="3" t="inlineStr">
        <is>
          <t>Securing</t>
        </is>
      </c>
      <c r="B3480" s="3" t="inlineStr">
        <is>
          <t>Act_SEC_1001002_153055_627</t>
        </is>
      </c>
      <c r="C3480" s="3" t="inlineStr">
        <is>
          <t>1001002</t>
        </is>
      </c>
      <c r="D3480" s="9" t="n">
        <v>12</v>
      </c>
      <c r="E3480" s="3" t="n"/>
      <c r="F3480" s="3" t="n"/>
      <c r="G3480" s="9" t="n"/>
      <c r="H3480" s="10" t="n">
        <v>45659.64646990741</v>
      </c>
      <c r="I3480" s="10" t="n">
        <v>45659.64724537037</v>
      </c>
      <c r="J3480" s="10" t="n">
        <v>45659.64863425926</v>
      </c>
      <c r="K3480" s="11" t="n">
        <v>0.001388888888888889</v>
      </c>
      <c r="L3480" s="13" t="n"/>
    </row>
    <row r="3481">
      <c r="A3481" s="3" t="inlineStr">
        <is>
          <t>Securing</t>
        </is>
      </c>
      <c r="B3481" s="3" t="inlineStr">
        <is>
          <t>Act_SEC_1001003_153302_609</t>
        </is>
      </c>
      <c r="C3481" s="3" t="inlineStr">
        <is>
          <t>1001003</t>
        </is>
      </c>
      <c r="D3481" s="9" t="n">
        <v>14</v>
      </c>
      <c r="E3481" s="3" t="n"/>
      <c r="F3481" s="3" t="n"/>
      <c r="G3481" s="9" t="n"/>
      <c r="H3481" s="10" t="n">
        <v>45659.64793981481</v>
      </c>
      <c r="I3481" s="10" t="n">
        <v>45659.64872685185</v>
      </c>
      <c r="J3481" s="10" t="n">
        <v>45659.65011574074</v>
      </c>
      <c r="K3481" s="11" t="n">
        <v>0.001388888888888889</v>
      </c>
      <c r="L3481" s="13" t="n"/>
    </row>
    <row r="3482">
      <c r="A3482" s="3" t="inlineStr">
        <is>
          <t>Securing</t>
        </is>
      </c>
      <c r="B3482" s="3" t="inlineStr">
        <is>
          <t>Act_SEC_1001005_153900_629</t>
        </is>
      </c>
      <c r="C3482" s="3" t="inlineStr">
        <is>
          <t>1001005</t>
        </is>
      </c>
      <c r="D3482" s="9" t="n">
        <v>257.1</v>
      </c>
      <c r="E3482" s="3" t="n"/>
      <c r="F3482" s="3" t="n"/>
      <c r="G3482" s="9" t="n"/>
      <c r="H3482" s="10" t="n">
        <v>45659.65208333333</v>
      </c>
      <c r="I3482" s="10" t="n">
        <v>45659.65287037037</v>
      </c>
      <c r="J3482" s="10" t="n">
        <v>45659.65425925926</v>
      </c>
      <c r="K3482" s="11" t="n">
        <v>0.001388888888888889</v>
      </c>
      <c r="L3482" s="13" t="n"/>
    </row>
    <row r="3483">
      <c r="A3483" s="3" t="inlineStr">
        <is>
          <t>Securing</t>
        </is>
      </c>
      <c r="B3483" s="3" t="inlineStr">
        <is>
          <t>Act_SEC_1001008_154638_629</t>
        </is>
      </c>
      <c r="C3483" s="3" t="inlineStr">
        <is>
          <t>1001008</t>
        </is>
      </c>
      <c r="D3483" s="9" t="n">
        <v>117.8</v>
      </c>
      <c r="E3483" s="3" t="n"/>
      <c r="F3483" s="3" t="n"/>
      <c r="G3483" s="9" t="n"/>
      <c r="H3483" s="10" t="n">
        <v>45659.65738425926</v>
      </c>
      <c r="I3483" s="10" t="n">
        <v>45659.65905092593</v>
      </c>
      <c r="J3483" s="10" t="n">
        <v>45659.66043981481</v>
      </c>
      <c r="K3483" s="11" t="n">
        <v>0.001388888888888889</v>
      </c>
      <c r="L3483" s="13" t="n"/>
    </row>
    <row r="3484">
      <c r="A3484" s="3" t="inlineStr">
        <is>
          <t>Securing</t>
        </is>
      </c>
      <c r="B3484" s="3" t="inlineStr">
        <is>
          <t>Act_SEC_1001203_181938_613</t>
        </is>
      </c>
      <c r="C3484" s="3" t="inlineStr">
        <is>
          <t>1001203</t>
        </is>
      </c>
      <c r="D3484" s="9" t="n">
        <v>21</v>
      </c>
      <c r="E3484" s="3" t="n"/>
      <c r="F3484" s="3" t="n"/>
      <c r="G3484" s="9" t="n"/>
      <c r="H3484" s="10" t="n">
        <v>45659.76363425926</v>
      </c>
      <c r="I3484" s="10" t="n">
        <v>45659.76450231481</v>
      </c>
      <c r="J3484" s="10" t="n">
        <v>45659.76603009259</v>
      </c>
      <c r="K3484" s="11" t="n">
        <v>0.001527777777777778</v>
      </c>
      <c r="L3484" s="13" t="n"/>
    </row>
    <row r="3485">
      <c r="A3485" s="3" t="inlineStr">
        <is>
          <t>Securing</t>
        </is>
      </c>
      <c r="B3485" s="3" t="inlineStr">
        <is>
          <t>Act_SEC_1001207_183001_629</t>
        </is>
      </c>
      <c r="C3485" s="3" t="inlineStr">
        <is>
          <t>1001207</t>
        </is>
      </c>
      <c r="D3485" s="9" t="n">
        <v>97.90000000000001</v>
      </c>
      <c r="E3485" s="3" t="n"/>
      <c r="F3485" s="3" t="n"/>
      <c r="G3485" s="9" t="n"/>
      <c r="H3485" s="10" t="n">
        <v>45659.77084490741</v>
      </c>
      <c r="I3485" s="10" t="n">
        <v>45659.77171296296</v>
      </c>
      <c r="J3485" s="10" t="n">
        <v>45659.77324074074</v>
      </c>
      <c r="K3485" s="11" t="n">
        <v>0.001527777777777778</v>
      </c>
      <c r="L3485" s="13" t="n"/>
    </row>
    <row r="3486">
      <c r="A3486" s="3" t="inlineStr">
        <is>
          <t>Securing</t>
        </is>
      </c>
      <c r="B3486" s="3" t="inlineStr">
        <is>
          <t>Act_SEC_1001208_183320_627</t>
        </is>
      </c>
      <c r="C3486" s="3" t="inlineStr">
        <is>
          <t>1001208</t>
        </is>
      </c>
      <c r="D3486" s="9" t="n">
        <v>194.2</v>
      </c>
      <c r="E3486" s="3" t="n"/>
      <c r="F3486" s="3" t="n"/>
      <c r="G3486" s="9" t="n"/>
      <c r="H3486" s="10" t="n">
        <v>45659.77314814815</v>
      </c>
      <c r="I3486" s="10" t="n">
        <v>45659.77399305555</v>
      </c>
      <c r="J3486" s="10" t="n">
        <v>45659.77552083333</v>
      </c>
      <c r="K3486" s="11" t="n">
        <v>0.001527777777777778</v>
      </c>
      <c r="L3486" s="13" t="n"/>
    </row>
    <row r="3487">
      <c r="A3487" s="3" t="inlineStr">
        <is>
          <t>Securing</t>
        </is>
      </c>
      <c r="B3487" s="3" t="inlineStr">
        <is>
          <t>Act_SEC_1001211_184123_627</t>
        </is>
      </c>
      <c r="C3487" s="3" t="inlineStr">
        <is>
          <t>1001211</t>
        </is>
      </c>
      <c r="D3487" s="9" t="n">
        <v>12</v>
      </c>
      <c r="E3487" s="3" t="n"/>
      <c r="F3487" s="3" t="n"/>
      <c r="G3487" s="9" t="n"/>
      <c r="H3487" s="10" t="n">
        <v>45659.77873842593</v>
      </c>
      <c r="I3487" s="10" t="n">
        <v>45659.78078703704</v>
      </c>
      <c r="J3487" s="10" t="n">
        <v>45659.78231481482</v>
      </c>
      <c r="K3487" s="11" t="n">
        <v>0.001527777777777778</v>
      </c>
      <c r="L3487" s="13" t="n"/>
    </row>
    <row r="3488">
      <c r="A3488" s="3" t="inlineStr">
        <is>
          <t>Securing</t>
        </is>
      </c>
      <c r="B3488" s="3" t="inlineStr">
        <is>
          <t>Act_SEC_1001301_203750_627</t>
        </is>
      </c>
      <c r="C3488" s="3" t="inlineStr">
        <is>
          <t>1001301</t>
        </is>
      </c>
      <c r="D3488" s="9" t="n">
        <v>46.5</v>
      </c>
      <c r="E3488" s="3" t="n"/>
      <c r="F3488" s="3" t="n"/>
      <c r="G3488" s="9" t="n"/>
      <c r="H3488" s="10" t="n">
        <v>45659.85960648148</v>
      </c>
      <c r="I3488" s="10" t="n">
        <v>45659.86040509259</v>
      </c>
      <c r="J3488" s="10" t="n">
        <v>45659.86179398148</v>
      </c>
      <c r="K3488" s="11" t="n">
        <v>0.001388888888888889</v>
      </c>
      <c r="L3488" s="13" t="n"/>
    </row>
    <row r="3489">
      <c r="A3489" s="3" t="inlineStr">
        <is>
          <t>Securing</t>
        </is>
      </c>
      <c r="B3489" s="3" t="inlineStr">
        <is>
          <t>Act_SEC_1001306_204936_623</t>
        </is>
      </c>
      <c r="C3489" s="3" t="inlineStr">
        <is>
          <t>1001306</t>
        </is>
      </c>
      <c r="D3489" s="9" t="n">
        <v>21</v>
      </c>
      <c r="E3489" s="3" t="n"/>
      <c r="F3489" s="3" t="n"/>
      <c r="G3489" s="9" t="n"/>
      <c r="H3489" s="10" t="n">
        <v>45659.86777777778</v>
      </c>
      <c r="I3489" s="10" t="n">
        <v>45659.86856481482</v>
      </c>
      <c r="J3489" s="10" t="n">
        <v>45659.8699537037</v>
      </c>
      <c r="K3489" s="11" t="n">
        <v>0.001388888888888889</v>
      </c>
      <c r="L3489" s="13" t="n"/>
    </row>
    <row r="3490">
      <c r="A3490" s="3" t="inlineStr">
        <is>
          <t>Securing</t>
        </is>
      </c>
      <c r="B3490" s="3" t="inlineStr">
        <is>
          <t>Act_SEC_1001307_205232_619</t>
        </is>
      </c>
      <c r="C3490" s="3" t="inlineStr">
        <is>
          <t>1001307</t>
        </is>
      </c>
      <c r="D3490" s="9" t="n">
        <v>54</v>
      </c>
      <c r="E3490" s="3" t="n"/>
      <c r="F3490" s="3" t="n"/>
      <c r="G3490" s="9" t="n"/>
      <c r="H3490" s="10" t="n">
        <v>45659.86981481482</v>
      </c>
      <c r="I3490" s="10" t="n">
        <v>45659.87065972222</v>
      </c>
      <c r="J3490" s="10" t="n">
        <v>45659.8721875</v>
      </c>
      <c r="K3490" s="11" t="n">
        <v>0.001527777777777778</v>
      </c>
      <c r="L3490" s="13" t="n"/>
    </row>
    <row r="3491">
      <c r="A3491" s="3" t="inlineStr">
        <is>
          <t>Securing</t>
        </is>
      </c>
      <c r="B3491" s="3" t="inlineStr">
        <is>
          <t>Act_SEC_1001308_205501_606</t>
        </is>
      </c>
      <c r="C3491" s="3" t="inlineStr">
        <is>
          <t>1001308</t>
        </is>
      </c>
      <c r="D3491" s="9" t="n">
        <v>15.7</v>
      </c>
      <c r="E3491" s="3" t="n"/>
      <c r="F3491" s="3" t="n"/>
      <c r="G3491" s="9" t="n"/>
      <c r="H3491" s="10" t="n">
        <v>45659.87153935185</v>
      </c>
      <c r="I3491" s="10" t="n">
        <v>45659.87240740741</v>
      </c>
      <c r="J3491" s="10" t="n">
        <v>45659.87393518518</v>
      </c>
      <c r="K3491" s="11" t="n">
        <v>0.001527777777777778</v>
      </c>
      <c r="L3491" s="13" t="n"/>
    </row>
    <row r="3492">
      <c r="A3492" s="3" t="inlineStr">
        <is>
          <t>Securing</t>
        </is>
      </c>
      <c r="B3492" s="3" t="inlineStr">
        <is>
          <t>Act_SEC_1001501_045204_613</t>
        </is>
      </c>
      <c r="C3492" s="3" t="inlineStr">
        <is>
          <t>1001501</t>
        </is>
      </c>
      <c r="D3492" s="9" t="n">
        <v>497</v>
      </c>
      <c r="E3492" s="3" t="n"/>
      <c r="F3492" s="3" t="n"/>
      <c r="G3492" s="9" t="n"/>
      <c r="H3492" s="10" t="n">
        <v>45660.20282407408</v>
      </c>
      <c r="I3492" s="10" t="n">
        <v>45660.20366898148</v>
      </c>
      <c r="J3492" s="10" t="n">
        <v>45660.20519675926</v>
      </c>
      <c r="K3492" s="11" t="n">
        <v>0.001527777777777778</v>
      </c>
      <c r="L3492" s="13" t="n"/>
    </row>
    <row r="3493">
      <c r="A3493" s="3" t="inlineStr">
        <is>
          <t>Securing</t>
        </is>
      </c>
      <c r="B3493" s="3" t="inlineStr">
        <is>
          <t>Act_SEC_1001602_060635_627</t>
        </is>
      </c>
      <c r="C3493" s="3" t="inlineStr">
        <is>
          <t>1001602</t>
        </is>
      </c>
      <c r="D3493" s="9" t="n">
        <v>19.9</v>
      </c>
      <c r="E3493" s="3" t="n"/>
      <c r="F3493" s="3" t="n"/>
      <c r="G3493" s="9" t="n"/>
      <c r="H3493" s="10" t="n">
        <v>45660.25457175926</v>
      </c>
      <c r="I3493" s="10" t="n">
        <v>45660.25534722222</v>
      </c>
      <c r="J3493" s="10" t="n">
        <v>45660.25673611111</v>
      </c>
      <c r="K3493" s="11" t="n">
        <v>0.001388888888888889</v>
      </c>
      <c r="L3493" s="13" t="n"/>
    </row>
    <row r="3494">
      <c r="A3494" s="3" t="inlineStr">
        <is>
          <t>Securing</t>
        </is>
      </c>
      <c r="B3494" s="3" t="inlineStr">
        <is>
          <t>Act_SEC_1001605_061249_611</t>
        </is>
      </c>
      <c r="C3494" s="3" t="inlineStr">
        <is>
          <t>1001605</t>
        </is>
      </c>
      <c r="D3494" s="9" t="n">
        <v>16.5</v>
      </c>
      <c r="E3494" s="3" t="n"/>
      <c r="F3494" s="3" t="n"/>
      <c r="G3494" s="9" t="n"/>
      <c r="H3494" s="10" t="n">
        <v>45660.25890046296</v>
      </c>
      <c r="I3494" s="10" t="n">
        <v>45660.25974537037</v>
      </c>
      <c r="J3494" s="10" t="n">
        <v>45660.26127314815</v>
      </c>
      <c r="K3494" s="11" t="n">
        <v>0.001527777777777778</v>
      </c>
      <c r="L3494" s="13" t="n"/>
    </row>
    <row r="3495">
      <c r="A3495" s="3" t="inlineStr">
        <is>
          <t>Securing</t>
        </is>
      </c>
      <c r="B3495" s="3" t="inlineStr">
        <is>
          <t>Act_SEC_1001607_061825_629</t>
        </is>
      </c>
      <c r="C3495" s="3" t="inlineStr">
        <is>
          <t>1001607</t>
        </is>
      </c>
      <c r="D3495" s="9" t="n">
        <v>15.7</v>
      </c>
      <c r="E3495" s="3" t="n"/>
      <c r="F3495" s="3" t="n"/>
      <c r="G3495" s="9" t="n"/>
      <c r="H3495" s="10" t="n">
        <v>45660.26278935185</v>
      </c>
      <c r="I3495" s="10" t="n">
        <v>45660.26363425926</v>
      </c>
      <c r="J3495" s="10" t="n">
        <v>45660.26516203704</v>
      </c>
      <c r="K3495" s="11" t="n">
        <v>0.001527777777777778</v>
      </c>
      <c r="L3495" s="13" t="n"/>
    </row>
    <row r="3496">
      <c r="A3496" s="3" t="inlineStr">
        <is>
          <t>Securing</t>
        </is>
      </c>
      <c r="B3496" s="3" t="inlineStr">
        <is>
          <t>Act_SEC_1001802_073955_615</t>
        </is>
      </c>
      <c r="C3496" s="3" t="inlineStr">
        <is>
          <t>1001802</t>
        </is>
      </c>
      <c r="D3496" s="9" t="n">
        <v>19.9</v>
      </c>
      <c r="E3496" s="3" t="n"/>
      <c r="F3496" s="3" t="n"/>
      <c r="G3496" s="9" t="n"/>
      <c r="H3496" s="10" t="n">
        <v>45660.31938657408</v>
      </c>
      <c r="I3496" s="10" t="n">
        <v>45660.32025462963</v>
      </c>
      <c r="J3496" s="10" t="n">
        <v>45660.32178240741</v>
      </c>
      <c r="K3496" s="11" t="n">
        <v>0.001527777777777778</v>
      </c>
      <c r="L3496" s="13" t="n"/>
    </row>
    <row r="3497">
      <c r="A3497" s="3" t="inlineStr">
        <is>
          <t>Securing</t>
        </is>
      </c>
      <c r="B3497" s="3" t="inlineStr">
        <is>
          <t>Act_SEC_1001803_074232_623</t>
        </is>
      </c>
      <c r="C3497" s="3" t="inlineStr">
        <is>
          <t>1001803</t>
        </is>
      </c>
      <c r="D3497" s="9" t="n">
        <v>40.9</v>
      </c>
      <c r="E3497" s="3" t="n"/>
      <c r="F3497" s="3" t="n"/>
      <c r="G3497" s="9" t="n"/>
      <c r="H3497" s="10" t="n">
        <v>45660.3212037037</v>
      </c>
      <c r="I3497" s="10" t="n">
        <v>45660.32203703704</v>
      </c>
      <c r="J3497" s="10" t="n">
        <v>45660.32356481482</v>
      </c>
      <c r="K3497" s="11" t="n">
        <v>0.001527777777777778</v>
      </c>
      <c r="L3497" s="13" t="n"/>
    </row>
    <row r="3498">
      <c r="A3498" s="3" t="inlineStr">
        <is>
          <t>Securing</t>
        </is>
      </c>
      <c r="B3498" s="3" t="inlineStr">
        <is>
          <t>Act_SEC_1001804_074424_613</t>
        </is>
      </c>
      <c r="C3498" s="3" t="inlineStr">
        <is>
          <t>1001804</t>
        </is>
      </c>
      <c r="D3498" s="9" t="n">
        <v>27</v>
      </c>
      <c r="E3498" s="3" t="n"/>
      <c r="F3498" s="3" t="n"/>
      <c r="G3498" s="9" t="n"/>
      <c r="H3498" s="10" t="n">
        <v>45660.3225</v>
      </c>
      <c r="I3498" s="10" t="n">
        <v>45660.32328703703</v>
      </c>
      <c r="J3498" s="10" t="n">
        <v>45660.32467592593</v>
      </c>
      <c r="K3498" s="11" t="n">
        <v>0.001388888888888889</v>
      </c>
      <c r="L3498" s="13" t="n"/>
    </row>
    <row r="3499">
      <c r="A3499" s="3" t="inlineStr">
        <is>
          <t>Securing</t>
        </is>
      </c>
      <c r="B3499" s="3" t="inlineStr">
        <is>
          <t>Act_SEC_1001806_075033_619</t>
        </is>
      </c>
      <c r="C3499" s="3" t="inlineStr">
        <is>
          <t>1001806</t>
        </is>
      </c>
      <c r="D3499" s="9" t="n">
        <v>63</v>
      </c>
      <c r="E3499" s="3" t="n"/>
      <c r="F3499" s="3" t="n"/>
      <c r="G3499" s="9" t="n"/>
      <c r="H3499" s="10" t="n">
        <v>45660.32677083334</v>
      </c>
      <c r="I3499" s="10" t="n">
        <v>45660.32755787037</v>
      </c>
      <c r="J3499" s="10" t="n">
        <v>45660.32894675926</v>
      </c>
      <c r="K3499" s="11" t="n">
        <v>0.001388888888888889</v>
      </c>
      <c r="L3499" s="13" t="n"/>
    </row>
    <row r="3500">
      <c r="A3500" s="3" t="inlineStr">
        <is>
          <t>Securing</t>
        </is>
      </c>
      <c r="B3500" s="3" t="inlineStr">
        <is>
          <t>Act_SEC_1001901_075738_627</t>
        </is>
      </c>
      <c r="C3500" s="3" t="inlineStr">
        <is>
          <t>1001901</t>
        </is>
      </c>
      <c r="D3500" s="9" t="n">
        <v>256.9</v>
      </c>
      <c r="E3500" s="3" t="n"/>
      <c r="F3500" s="3" t="n"/>
      <c r="G3500" s="9" t="n"/>
      <c r="H3500" s="10" t="n">
        <v>45660.33168981481</v>
      </c>
      <c r="I3500" s="10" t="n">
        <v>45660.33247685185</v>
      </c>
      <c r="J3500" s="10" t="n">
        <v>45660.33386574074</v>
      </c>
      <c r="K3500" s="11" t="n">
        <v>0.001388888888888889</v>
      </c>
      <c r="L3500" s="13" t="n"/>
    </row>
    <row r="3501">
      <c r="A3501" s="3" t="inlineStr">
        <is>
          <t>Securing</t>
        </is>
      </c>
      <c r="B3501" s="3" t="inlineStr">
        <is>
          <t>Act_SEC_1002001_081511_625</t>
        </is>
      </c>
      <c r="C3501" s="3" t="inlineStr">
        <is>
          <t>1002001</t>
        </is>
      </c>
      <c r="D3501" s="9" t="n">
        <v>396.6</v>
      </c>
      <c r="E3501" s="3" t="n"/>
      <c r="F3501" s="3" t="n"/>
      <c r="G3501" s="9" t="n"/>
      <c r="H3501" s="10" t="n">
        <v>45660.34387731482</v>
      </c>
      <c r="I3501" s="10" t="n">
        <v>45660.36394675926</v>
      </c>
      <c r="J3501" s="10" t="n">
        <v>45660.36547453704</v>
      </c>
      <c r="K3501" s="11" t="n">
        <v>0.001527777777777778</v>
      </c>
      <c r="L3501" s="13" t="n"/>
    </row>
    <row r="3502">
      <c r="A3502" s="3" t="inlineStr">
        <is>
          <t>Securing</t>
        </is>
      </c>
      <c r="B3502" s="3" t="inlineStr">
        <is>
          <t>Act_SEC_1002201_105053_627</t>
        </is>
      </c>
      <c r="C3502" s="3" t="inlineStr">
        <is>
          <t>1002201</t>
        </is>
      </c>
      <c r="D3502" s="9" t="n">
        <v>266.4</v>
      </c>
      <c r="E3502" s="3" t="n"/>
      <c r="F3502" s="3" t="n"/>
      <c r="G3502" s="9" t="n"/>
      <c r="H3502" s="10" t="n">
        <v>45660.45200231481</v>
      </c>
      <c r="I3502" s="10" t="n">
        <v>45660.45287037037</v>
      </c>
      <c r="J3502" s="10" t="n">
        <v>45660.45439814815</v>
      </c>
      <c r="K3502" s="11" t="n">
        <v>0.001527777777777778</v>
      </c>
      <c r="L3502" s="13" t="n"/>
    </row>
    <row r="3503">
      <c r="A3503" s="3" t="inlineStr">
        <is>
          <t>Securing</t>
        </is>
      </c>
      <c r="B3503" s="3" t="inlineStr">
        <is>
          <t>Act_SEC_1002202_105349_625</t>
        </is>
      </c>
      <c r="C3503" s="3" t="inlineStr">
        <is>
          <t>1002202</t>
        </is>
      </c>
      <c r="D3503" s="9" t="n">
        <v>21</v>
      </c>
      <c r="E3503" s="3" t="n"/>
      <c r="F3503" s="3" t="n"/>
      <c r="G3503" s="9" t="n"/>
      <c r="H3503" s="10" t="n">
        <v>45660.45403935185</v>
      </c>
      <c r="I3503" s="10" t="n">
        <v>45660.45488425926</v>
      </c>
      <c r="J3503" s="10" t="n">
        <v>45660.45641203703</v>
      </c>
      <c r="K3503" s="11" t="n">
        <v>0.001527777777777778</v>
      </c>
      <c r="L3503" s="13" t="n"/>
    </row>
    <row r="3504">
      <c r="A3504" s="3" t="inlineStr">
        <is>
          <t>Securing</t>
        </is>
      </c>
      <c r="B3504" s="3" t="inlineStr">
        <is>
          <t>Act_SEC_1002203_105645_605</t>
        </is>
      </c>
      <c r="C3504" s="3" t="inlineStr">
        <is>
          <t>1002203</t>
        </is>
      </c>
      <c r="D3504" s="9" t="n">
        <v>146.3</v>
      </c>
      <c r="E3504" s="3" t="n"/>
      <c r="F3504" s="3" t="n"/>
      <c r="G3504" s="9" t="n"/>
      <c r="H3504" s="10" t="n">
        <v>45660.45607638889</v>
      </c>
      <c r="I3504" s="10" t="n">
        <v>45660.45694444444</v>
      </c>
      <c r="J3504" s="10" t="n">
        <v>45660.45847222222</v>
      </c>
      <c r="K3504" s="11" t="n">
        <v>0.001527777777777778</v>
      </c>
      <c r="L3504" s="13" t="n"/>
    </row>
    <row r="3505">
      <c r="A3505" s="3" t="inlineStr">
        <is>
          <t>Securing</t>
        </is>
      </c>
      <c r="B3505" s="3" t="inlineStr">
        <is>
          <t>Act_SEC_1002301_131403_627</t>
        </is>
      </c>
      <c r="C3505" s="3" t="inlineStr">
        <is>
          <t>1002301</t>
        </is>
      </c>
      <c r="D3505" s="9" t="n">
        <v>278</v>
      </c>
      <c r="E3505" s="3" t="n"/>
      <c r="F3505" s="3" t="n"/>
      <c r="G3505" s="9" t="n"/>
      <c r="H3505" s="10" t="n">
        <v>45660.55142361111</v>
      </c>
      <c r="I3505" s="10" t="n">
        <v>45660.55225694444</v>
      </c>
      <c r="J3505" s="10" t="n">
        <v>45660.55378472222</v>
      </c>
      <c r="K3505" s="11" t="n">
        <v>0.001527777777777778</v>
      </c>
      <c r="L3505" s="13" t="n"/>
    </row>
    <row r="3506">
      <c r="A3506" s="3" t="inlineStr">
        <is>
          <t>Securing</t>
        </is>
      </c>
      <c r="B3506" s="3" t="inlineStr">
        <is>
          <t>Act_SEC_1002401_143009_605</t>
        </is>
      </c>
      <c r="C3506" s="3" t="inlineStr">
        <is>
          <t>1002401</t>
        </is>
      </c>
      <c r="D3506" s="9" t="n">
        <v>63</v>
      </c>
      <c r="E3506" s="3" t="n"/>
      <c r="F3506" s="3" t="n"/>
      <c r="G3506" s="9" t="n"/>
      <c r="H3506" s="10" t="n">
        <v>45660.60427083333</v>
      </c>
      <c r="I3506" s="10" t="n">
        <v>45660.60513888889</v>
      </c>
      <c r="J3506" s="10" t="n">
        <v>45660.60666666667</v>
      </c>
      <c r="K3506" s="11" t="n">
        <v>0.001527777777777778</v>
      </c>
      <c r="L3506" s="13" t="n"/>
    </row>
    <row r="3507">
      <c r="A3507" s="3" t="inlineStr">
        <is>
          <t>Securing</t>
        </is>
      </c>
      <c r="B3507" s="3" t="inlineStr">
        <is>
          <t>Act_SEC_1002501_153333_619</t>
        </is>
      </c>
      <c r="C3507" s="3" t="inlineStr">
        <is>
          <t>1002501</t>
        </is>
      </c>
      <c r="D3507" s="9" t="n">
        <v>15.7</v>
      </c>
      <c r="E3507" s="3" t="n"/>
      <c r="F3507" s="3" t="n"/>
      <c r="G3507" s="9" t="n"/>
      <c r="H3507" s="10" t="n">
        <v>45660.64829861111</v>
      </c>
      <c r="I3507" s="10" t="n">
        <v>45660.64916666667</v>
      </c>
      <c r="J3507" s="10" t="n">
        <v>45660.65069444444</v>
      </c>
      <c r="K3507" s="11" t="n">
        <v>0.001527777777777778</v>
      </c>
      <c r="L3507" s="13" t="n"/>
    </row>
    <row r="3508">
      <c r="A3508" s="3" t="inlineStr">
        <is>
          <t>Securing</t>
        </is>
      </c>
      <c r="B3508" s="3" t="inlineStr">
        <is>
          <t>Act_SEC_1002502_153648_627</t>
        </is>
      </c>
      <c r="C3508" s="3" t="inlineStr">
        <is>
          <t>1002502</t>
        </is>
      </c>
      <c r="D3508" s="9" t="n">
        <v>164.2</v>
      </c>
      <c r="E3508" s="3" t="n"/>
      <c r="F3508" s="3" t="n"/>
      <c r="G3508" s="9" t="n"/>
      <c r="H3508" s="10" t="n">
        <v>45660.65055555556</v>
      </c>
      <c r="I3508" s="10" t="n">
        <v>45660.65141203703</v>
      </c>
      <c r="J3508" s="10" t="n">
        <v>45660.65293981481</v>
      </c>
      <c r="K3508" s="11" t="n">
        <v>0.001527777777777778</v>
      </c>
      <c r="L3508" s="13" t="n"/>
    </row>
    <row r="3509">
      <c r="A3509" s="3" t="inlineStr">
        <is>
          <t>Securing</t>
        </is>
      </c>
      <c r="B3509" s="3" t="inlineStr">
        <is>
          <t>Act_SEC_1002506_154620_621</t>
        </is>
      </c>
      <c r="C3509" s="3" t="inlineStr">
        <is>
          <t>1002506</t>
        </is>
      </c>
      <c r="D3509" s="9" t="n">
        <v>19.9</v>
      </c>
      <c r="E3509" s="3" t="n"/>
      <c r="F3509" s="3" t="n"/>
      <c r="G3509" s="9" t="n"/>
      <c r="H3509" s="10" t="n">
        <v>45660.65717592592</v>
      </c>
      <c r="I3509" s="10" t="n">
        <v>45660.65804398148</v>
      </c>
      <c r="J3509" s="10" t="n">
        <v>45660.65957175926</v>
      </c>
      <c r="K3509" s="11" t="n">
        <v>0.001527777777777778</v>
      </c>
      <c r="L3509" s="13" t="n"/>
    </row>
    <row r="3510">
      <c r="A3510" s="3" t="inlineStr">
        <is>
          <t>Securing</t>
        </is>
      </c>
      <c r="B3510" s="3" t="inlineStr">
        <is>
          <t>Act_SEC_1002511_155825_623</t>
        </is>
      </c>
      <c r="C3510" s="3" t="inlineStr">
        <is>
          <t>1002511</t>
        </is>
      </c>
      <c r="D3510" s="9" t="n">
        <v>21</v>
      </c>
      <c r="E3510" s="3" t="n"/>
      <c r="F3510" s="3" t="n"/>
      <c r="G3510" s="9" t="n"/>
      <c r="H3510" s="10" t="n">
        <v>45660.66556712963</v>
      </c>
      <c r="I3510" s="10" t="n">
        <v>45660.66634259259</v>
      </c>
      <c r="J3510" s="10" t="n">
        <v>45660.66773148148</v>
      </c>
      <c r="K3510" s="11" t="n">
        <v>0.001388888888888889</v>
      </c>
      <c r="L3510" s="13" t="n"/>
    </row>
    <row r="3511">
      <c r="A3511" s="3" t="inlineStr">
        <is>
          <t>Securing</t>
        </is>
      </c>
      <c r="B3511" s="3" t="inlineStr">
        <is>
          <t>Act_SEC_1002701_172645_627</t>
        </is>
      </c>
      <c r="C3511" s="3" t="inlineStr">
        <is>
          <t>1002701</t>
        </is>
      </c>
      <c r="D3511" s="9" t="n">
        <v>278.9</v>
      </c>
      <c r="E3511" s="3" t="n"/>
      <c r="F3511" s="3" t="n"/>
      <c r="G3511" s="9" t="n"/>
      <c r="H3511" s="10" t="n">
        <v>45660.72690972222</v>
      </c>
      <c r="I3511" s="10" t="n">
        <v>45660.72777777778</v>
      </c>
      <c r="J3511" s="10" t="n">
        <v>45660.72930555556</v>
      </c>
      <c r="K3511" s="11" t="n">
        <v>0.001527777777777778</v>
      </c>
      <c r="L3511" s="13" t="n"/>
    </row>
    <row r="3512">
      <c r="A3512" s="3" t="inlineStr">
        <is>
          <t>Securing</t>
        </is>
      </c>
      <c r="B3512" s="3" t="inlineStr">
        <is>
          <t>Act_SEC_1002804_203435_627</t>
        </is>
      </c>
      <c r="C3512" s="3" t="inlineStr">
        <is>
          <t>1002804</t>
        </is>
      </c>
      <c r="D3512" s="9" t="n">
        <v>78</v>
      </c>
      <c r="E3512" s="3" t="n"/>
      <c r="F3512" s="3" t="n"/>
      <c r="G3512" s="9" t="n"/>
      <c r="H3512" s="10" t="n">
        <v>45660.85734953704</v>
      </c>
      <c r="I3512" s="10" t="n">
        <v>45660.858125</v>
      </c>
      <c r="J3512" s="10" t="n">
        <v>45660.85951388889</v>
      </c>
      <c r="K3512" s="11" t="n">
        <v>0.001388888888888889</v>
      </c>
      <c r="L3512" s="13" t="n"/>
    </row>
    <row r="3513">
      <c r="A3513" s="3" t="inlineStr">
        <is>
          <t>Securing</t>
        </is>
      </c>
      <c r="B3513" s="3" t="inlineStr">
        <is>
          <t>Act_SEC_1002901_212939_605</t>
        </is>
      </c>
      <c r="C3513" s="3" t="inlineStr">
        <is>
          <t>1002901</t>
        </is>
      </c>
      <c r="D3513" s="9" t="n">
        <v>19.9</v>
      </c>
      <c r="E3513" s="3" t="n"/>
      <c r="F3513" s="3" t="n"/>
      <c r="G3513" s="9" t="n"/>
      <c r="H3513" s="10" t="n">
        <v>45660.89559027777</v>
      </c>
      <c r="I3513" s="10" t="n">
        <v>45660.90253472222</v>
      </c>
      <c r="J3513" s="10" t="n">
        <v>45660.90392361111</v>
      </c>
      <c r="K3513" s="11" t="n">
        <v>0.001388888888888889</v>
      </c>
      <c r="L3513" s="13" t="n"/>
    </row>
    <row r="3514">
      <c r="A3514" s="3" t="inlineStr">
        <is>
          <t>Securing</t>
        </is>
      </c>
      <c r="B3514" s="3" t="inlineStr">
        <is>
          <t>Act_SEC_1002902_213236_619</t>
        </is>
      </c>
      <c r="C3514" s="3" t="inlineStr">
        <is>
          <t>1002902</t>
        </is>
      </c>
      <c r="D3514" s="9" t="n">
        <v>69.7</v>
      </c>
      <c r="E3514" s="3" t="n"/>
      <c r="F3514" s="3" t="n"/>
      <c r="G3514" s="9" t="n"/>
      <c r="H3514" s="10" t="n">
        <v>45660.89763888889</v>
      </c>
      <c r="I3514" s="10" t="n">
        <v>45660.90268518519</v>
      </c>
      <c r="J3514" s="10" t="n">
        <v>45660.90421296296</v>
      </c>
      <c r="K3514" s="11" t="n">
        <v>0.001527777777777778</v>
      </c>
      <c r="L3514" s="13" t="n"/>
    </row>
    <row r="3515">
      <c r="A3515" s="3" t="inlineStr">
        <is>
          <t>Securing</t>
        </is>
      </c>
      <c r="B3515" s="3" t="inlineStr">
        <is>
          <t>Act_SEC_1002903_213518_627</t>
        </is>
      </c>
      <c r="C3515" s="3" t="inlineStr">
        <is>
          <t>1002903</t>
        </is>
      </c>
      <c r="D3515" s="9" t="n">
        <v>12</v>
      </c>
      <c r="E3515" s="3" t="n"/>
      <c r="F3515" s="3" t="n"/>
      <c r="G3515" s="9" t="n"/>
      <c r="H3515" s="10" t="n">
        <v>45660.89951388889</v>
      </c>
      <c r="I3515" s="10" t="n">
        <v>45660.90546296296</v>
      </c>
      <c r="J3515" s="10" t="n">
        <v>45660.90685185185</v>
      </c>
      <c r="K3515" s="11" t="n">
        <v>0.001388888888888889</v>
      </c>
      <c r="L3515" s="13" t="n"/>
    </row>
    <row r="3516">
      <c r="A3516" s="3" t="inlineStr">
        <is>
          <t>Securing</t>
        </is>
      </c>
      <c r="B3516" s="3" t="inlineStr">
        <is>
          <t>Act_SEC_1002905_214005_617</t>
        </is>
      </c>
      <c r="C3516" s="3" t="inlineStr">
        <is>
          <t>1002905</t>
        </is>
      </c>
      <c r="D3516" s="9" t="n">
        <v>15.7</v>
      </c>
      <c r="E3516" s="3" t="n"/>
      <c r="F3516" s="3" t="n"/>
      <c r="G3516" s="9" t="n"/>
      <c r="H3516" s="10" t="n">
        <v>45660.90283564815</v>
      </c>
      <c r="I3516" s="10" t="n">
        <v>45660.9083912037</v>
      </c>
      <c r="J3516" s="10" t="n">
        <v>45660.9097800926</v>
      </c>
      <c r="K3516" s="11" t="n">
        <v>0.001388888888888889</v>
      </c>
      <c r="L3516" s="13" t="n"/>
    </row>
    <row r="3517">
      <c r="A3517" s="3" t="inlineStr">
        <is>
          <t>Securing</t>
        </is>
      </c>
      <c r="B3517" s="3" t="inlineStr">
        <is>
          <t>Act_SEC_1003001_055543_615</t>
        </is>
      </c>
      <c r="C3517" s="3" t="inlineStr">
        <is>
          <t>1003001</t>
        </is>
      </c>
      <c r="D3517" s="9" t="n">
        <v>220.4</v>
      </c>
      <c r="E3517" s="3" t="n"/>
      <c r="F3517" s="3" t="n"/>
      <c r="G3517" s="9" t="n"/>
      <c r="H3517" s="10" t="n">
        <v>45661.24702546297</v>
      </c>
      <c r="I3517" s="10" t="n">
        <v>45661.24787037037</v>
      </c>
      <c r="J3517" s="10" t="n">
        <v>45661.24939814815</v>
      </c>
      <c r="K3517" s="11" t="n">
        <v>0.001527777777777778</v>
      </c>
      <c r="L3517" s="13" t="n"/>
    </row>
    <row r="3518">
      <c r="A3518" s="3" t="inlineStr">
        <is>
          <t>Securing</t>
        </is>
      </c>
      <c r="B3518" s="3" t="inlineStr">
        <is>
          <t>Act_SEC_1003002_055734_613</t>
        </is>
      </c>
      <c r="C3518" s="3" t="inlineStr">
        <is>
          <t>1003002</t>
        </is>
      </c>
      <c r="D3518" s="9" t="n">
        <v>19.9</v>
      </c>
      <c r="E3518" s="3" t="n"/>
      <c r="F3518" s="3" t="n"/>
      <c r="G3518" s="9" t="n"/>
      <c r="H3518" s="10" t="n">
        <v>45661.24831018518</v>
      </c>
      <c r="I3518" s="10" t="n">
        <v>45661.24917824074</v>
      </c>
      <c r="J3518" s="10" t="n">
        <v>45661.25070601852</v>
      </c>
      <c r="K3518" s="11" t="n">
        <v>0.001527777777777778</v>
      </c>
      <c r="L3518" s="13" t="n"/>
    </row>
    <row r="3519">
      <c r="A3519" s="3" t="inlineStr">
        <is>
          <t>Securing</t>
        </is>
      </c>
      <c r="B3519" s="3" t="inlineStr">
        <is>
          <t>Act_SEC_1003003_060031_619</t>
        </is>
      </c>
      <c r="C3519" s="3" t="inlineStr">
        <is>
          <t>1003003</t>
        </is>
      </c>
      <c r="D3519" s="9" t="n">
        <v>54.7</v>
      </c>
      <c r="E3519" s="3" t="n"/>
      <c r="F3519" s="3" t="n"/>
      <c r="G3519" s="9" t="n"/>
      <c r="H3519" s="10" t="n">
        <v>45661.25035879629</v>
      </c>
      <c r="I3519" s="10" t="n">
        <v>45661.2512037037</v>
      </c>
      <c r="J3519" s="10" t="n">
        <v>45661.25273148148</v>
      </c>
      <c r="K3519" s="11" t="n">
        <v>0.001527777777777778</v>
      </c>
      <c r="L3519" s="13" t="n"/>
    </row>
    <row r="3520">
      <c r="A3520" s="3" t="inlineStr">
        <is>
          <t>Securing</t>
        </is>
      </c>
      <c r="B3520" s="3" t="inlineStr">
        <is>
          <t>Act_SEC_1003101_175215_615</t>
        </is>
      </c>
      <c r="C3520" s="3" t="inlineStr">
        <is>
          <t>1003101</t>
        </is>
      </c>
      <c r="D3520" s="9" t="n">
        <v>94.40000000000001</v>
      </c>
      <c r="E3520" s="3" t="n"/>
      <c r="F3520" s="3" t="n"/>
      <c r="G3520" s="9" t="n"/>
      <c r="H3520" s="10" t="n">
        <v>45662.74461805556</v>
      </c>
      <c r="I3520" s="10" t="n">
        <v>45662.74548611111</v>
      </c>
      <c r="J3520" s="10" t="n">
        <v>45662.74701388889</v>
      </c>
      <c r="K3520" s="11" t="n">
        <v>0.001527777777777778</v>
      </c>
      <c r="L3520" s="13" t="n"/>
    </row>
    <row r="3521">
      <c r="A3521" s="3" t="inlineStr">
        <is>
          <t>Securing</t>
        </is>
      </c>
      <c r="B3521" s="3" t="inlineStr">
        <is>
          <t>Act_SEC_1003201_202746_613</t>
        </is>
      </c>
      <c r="C3521" s="3" t="inlineStr">
        <is>
          <t>1003201</t>
        </is>
      </c>
      <c r="D3521" s="9" t="n">
        <v>428.8</v>
      </c>
      <c r="E3521" s="3" t="n"/>
      <c r="F3521" s="3" t="n"/>
      <c r="G3521" s="9" t="n"/>
      <c r="H3521" s="10" t="n">
        <v>45662.85261574074</v>
      </c>
      <c r="I3521" s="10" t="n">
        <v>45662.85348379629</v>
      </c>
      <c r="J3521" s="10" t="n">
        <v>45662.85501157407</v>
      </c>
      <c r="K3521" s="11" t="n">
        <v>0.001527777777777778</v>
      </c>
      <c r="L3521" s="13" t="n"/>
    </row>
    <row r="3522">
      <c r="A3522" s="3" t="inlineStr">
        <is>
          <t>Securing</t>
        </is>
      </c>
      <c r="B3522" s="3" t="inlineStr">
        <is>
          <t>Act_SEC_1003202_203037_627</t>
        </is>
      </c>
      <c r="C3522" s="3" t="inlineStr">
        <is>
          <t>1003202</t>
        </is>
      </c>
      <c r="D3522" s="9" t="n">
        <v>60.8</v>
      </c>
      <c r="E3522" s="3" t="n"/>
      <c r="F3522" s="3" t="n"/>
      <c r="G3522" s="9" t="n"/>
      <c r="H3522" s="10" t="n">
        <v>45662.85459490741</v>
      </c>
      <c r="I3522" s="10" t="n">
        <v>45662.85537037037</v>
      </c>
      <c r="J3522" s="10" t="n">
        <v>45662.85675925926</v>
      </c>
      <c r="K3522" s="11" t="n">
        <v>0.001388888888888889</v>
      </c>
      <c r="L3522" s="13" t="n"/>
    </row>
    <row r="3523">
      <c r="A3523" s="3" t="inlineStr">
        <is>
          <t>Securing</t>
        </is>
      </c>
      <c r="B3523" s="3" t="inlineStr">
        <is>
          <t>Act_SEC_1003203_203341_619</t>
        </is>
      </c>
      <c r="C3523" s="3" t="inlineStr">
        <is>
          <t>1003203</t>
        </is>
      </c>
      <c r="D3523" s="9" t="n">
        <v>101.2</v>
      </c>
      <c r="E3523" s="3" t="n"/>
      <c r="F3523" s="3" t="n"/>
      <c r="G3523" s="9" t="n"/>
      <c r="H3523" s="10" t="n">
        <v>45662.85672453704</v>
      </c>
      <c r="I3523" s="10" t="n">
        <v>45662.85759259259</v>
      </c>
      <c r="J3523" s="10" t="n">
        <v>45662.85912037037</v>
      </c>
      <c r="K3523" s="11" t="n">
        <v>0.001527777777777778</v>
      </c>
      <c r="L3523" s="13" t="n"/>
    </row>
    <row r="3524">
      <c r="A3524" s="3" t="inlineStr">
        <is>
          <t>Securing</t>
        </is>
      </c>
      <c r="B3524" s="3" t="inlineStr">
        <is>
          <t>Act_SEC_1003301_175248_613</t>
        </is>
      </c>
      <c r="C3524" s="3" t="inlineStr">
        <is>
          <t>1003301</t>
        </is>
      </c>
      <c r="D3524" s="9" t="n">
        <v>241.4</v>
      </c>
      <c r="E3524" s="3" t="n"/>
      <c r="F3524" s="3" t="n"/>
      <c r="G3524" s="9" t="n"/>
      <c r="H3524" s="10" t="n">
        <v>45663.745</v>
      </c>
      <c r="I3524" s="10" t="n">
        <v>45663.74583333333</v>
      </c>
      <c r="J3524" s="10" t="n">
        <v>45663.74736111111</v>
      </c>
      <c r="K3524" s="11" t="n">
        <v>0.001527777777777778</v>
      </c>
      <c r="L3524" s="13" t="n"/>
    </row>
    <row r="3525">
      <c r="A3525" s="3" t="inlineStr">
        <is>
          <t>Securing</t>
        </is>
      </c>
      <c r="B3525" s="3" t="inlineStr">
        <is>
          <t>Act_SEC_1003501_064455_615</t>
        </is>
      </c>
      <c r="C3525" s="3" t="inlineStr">
        <is>
          <t>1003501</t>
        </is>
      </c>
      <c r="D3525" s="9" t="n">
        <v>297</v>
      </c>
      <c r="E3525" s="3" t="n"/>
      <c r="F3525" s="3" t="n"/>
      <c r="G3525" s="9" t="n"/>
      <c r="H3525" s="10" t="n">
        <v>45664.28119212963</v>
      </c>
      <c r="I3525" s="10" t="n">
        <v>45664.28203703704</v>
      </c>
      <c r="J3525" s="10" t="n">
        <v>45664.28356481482</v>
      </c>
      <c r="K3525" s="11" t="n">
        <v>0.001527777777777778</v>
      </c>
      <c r="L3525" s="13" t="n"/>
    </row>
    <row r="3526">
      <c r="A3526" s="3" t="inlineStr">
        <is>
          <t>Securing</t>
        </is>
      </c>
      <c r="B3526" s="3" t="inlineStr">
        <is>
          <t>Act_SEC_1003701_073901_619</t>
        </is>
      </c>
      <c r="C3526" s="3" t="inlineStr">
        <is>
          <t>1003701</t>
        </is>
      </c>
      <c r="D3526" s="9" t="n">
        <v>396.6</v>
      </c>
      <c r="E3526" s="3" t="n"/>
      <c r="F3526" s="3" t="n"/>
      <c r="G3526" s="9" t="n"/>
      <c r="H3526" s="10" t="n">
        <v>45664.31876157408</v>
      </c>
      <c r="I3526" s="10" t="n">
        <v>45664.31959490741</v>
      </c>
      <c r="J3526" s="10" t="n">
        <v>45664.32112268519</v>
      </c>
      <c r="K3526" s="11" t="n">
        <v>0.001527777777777778</v>
      </c>
      <c r="L3526" s="13" t="n"/>
    </row>
    <row r="3527">
      <c r="A3527" s="3" t="inlineStr">
        <is>
          <t>Securing</t>
        </is>
      </c>
      <c r="B3527" s="3" t="inlineStr">
        <is>
          <t>Act_SEC_1003801_074258_607</t>
        </is>
      </c>
      <c r="C3527" s="3" t="inlineStr">
        <is>
          <t>1003801</t>
        </is>
      </c>
      <c r="D3527" s="9" t="n">
        <v>189.9</v>
      </c>
      <c r="E3527" s="3" t="n"/>
      <c r="F3527" s="3" t="n"/>
      <c r="G3527" s="9" t="n"/>
      <c r="H3527" s="10" t="n">
        <v>45664.32150462963</v>
      </c>
      <c r="I3527" s="10" t="n">
        <v>45664.32237268519</v>
      </c>
      <c r="J3527" s="10" t="n">
        <v>45664.32390046296</v>
      </c>
      <c r="K3527" s="11" t="n">
        <v>0.001527777777777778</v>
      </c>
      <c r="L3527" s="13" t="n"/>
    </row>
    <row r="3528">
      <c r="A3528" s="3" t="inlineStr">
        <is>
          <t>Securing</t>
        </is>
      </c>
      <c r="B3528" s="3" t="inlineStr">
        <is>
          <t>Act_SEC_1003605_075527_613</t>
        </is>
      </c>
      <c r="C3528" s="3" t="inlineStr">
        <is>
          <t>1003605</t>
        </is>
      </c>
      <c r="D3528" s="9" t="n">
        <v>39</v>
      </c>
      <c r="E3528" s="3" t="n"/>
      <c r="F3528" s="3" t="n"/>
      <c r="G3528" s="9" t="n"/>
      <c r="H3528" s="10" t="n">
        <v>45664.33017361111</v>
      </c>
      <c r="I3528" s="10" t="n">
        <v>45664.33459490741</v>
      </c>
      <c r="J3528" s="10" t="n">
        <v>45664.33612268518</v>
      </c>
      <c r="K3528" s="11" t="n">
        <v>0.001527777777777778</v>
      </c>
      <c r="L3528" s="13" t="n"/>
    </row>
    <row r="3529">
      <c r="A3529" s="3" t="inlineStr">
        <is>
          <t>Securing</t>
        </is>
      </c>
      <c r="B3529" s="3" t="inlineStr">
        <is>
          <t>Act_SEC_1003606_075707_615</t>
        </is>
      </c>
      <c r="C3529" s="3" t="inlineStr">
        <is>
          <t>1003606</t>
        </is>
      </c>
      <c r="D3529" s="9" t="n">
        <v>15.7</v>
      </c>
      <c r="E3529" s="3" t="n"/>
      <c r="F3529" s="3" t="n"/>
      <c r="G3529" s="9" t="n"/>
      <c r="H3529" s="10" t="n">
        <v>45664.33133101852</v>
      </c>
      <c r="I3529" s="10" t="n">
        <v>45664.33652777778</v>
      </c>
      <c r="J3529" s="10" t="n">
        <v>45664.33805555556</v>
      </c>
      <c r="K3529" s="11" t="n">
        <v>0.001527777777777778</v>
      </c>
      <c r="L3529" s="13" t="n"/>
    </row>
    <row r="3530">
      <c r="A3530" s="3" t="inlineStr">
        <is>
          <t>Securing</t>
        </is>
      </c>
      <c r="B3530" s="3" t="inlineStr">
        <is>
          <t>Act_SEC_1003607_075943_623</t>
        </is>
      </c>
      <c r="C3530" s="3" t="inlineStr">
        <is>
          <t>1003607</t>
        </is>
      </c>
      <c r="D3530" s="9" t="n">
        <v>35.6</v>
      </c>
      <c r="E3530" s="3" t="n"/>
      <c r="F3530" s="3" t="n"/>
      <c r="G3530" s="9" t="n"/>
      <c r="H3530" s="10" t="n">
        <v>45664.33313657407</v>
      </c>
      <c r="I3530" s="10" t="n">
        <v>45664.33753472222</v>
      </c>
      <c r="J3530" s="10" t="n">
        <v>45664.33892361111</v>
      </c>
      <c r="K3530" s="11" t="n">
        <v>0.001388888888888889</v>
      </c>
      <c r="L3530" s="13" t="n"/>
    </row>
    <row r="3531">
      <c r="A3531" s="3" t="inlineStr">
        <is>
          <t>Securing</t>
        </is>
      </c>
      <c r="B3531" s="3" t="inlineStr">
        <is>
          <t>Act_SEC_1003901_083406_615</t>
        </is>
      </c>
      <c r="C3531" s="3" t="inlineStr">
        <is>
          <t>1003901</t>
        </is>
      </c>
      <c r="D3531" s="9" t="n">
        <v>281.4</v>
      </c>
      <c r="E3531" s="3" t="n"/>
      <c r="F3531" s="3" t="n"/>
      <c r="G3531" s="9" t="n"/>
      <c r="H3531" s="10" t="n">
        <v>45664.35701388889</v>
      </c>
      <c r="I3531" s="10" t="n">
        <v>45664.36185185185</v>
      </c>
      <c r="J3531" s="10" t="n">
        <v>45664.36324074074</v>
      </c>
      <c r="K3531" s="11" t="n">
        <v>0.001388888888888889</v>
      </c>
      <c r="L3531" s="13" t="n"/>
    </row>
    <row r="3532">
      <c r="A3532" s="3" t="inlineStr">
        <is>
          <t>Securing</t>
        </is>
      </c>
      <c r="B3532" s="3" t="inlineStr">
        <is>
          <t>Act_SEC_1004001_085939_611</t>
        </is>
      </c>
      <c r="C3532" s="3" t="inlineStr">
        <is>
          <t>1004001</t>
        </is>
      </c>
      <c r="D3532" s="9" t="n">
        <v>37.5</v>
      </c>
      <c r="E3532" s="3" t="n"/>
      <c r="F3532" s="3" t="n"/>
      <c r="G3532" s="9" t="n"/>
      <c r="H3532" s="10" t="n">
        <v>45664.37475694445</v>
      </c>
      <c r="I3532" s="10" t="n">
        <v>45664.39239583333</v>
      </c>
      <c r="J3532" s="10" t="n">
        <v>45664.39378472222</v>
      </c>
      <c r="K3532" s="11" t="n">
        <v>0.001388888888888889</v>
      </c>
      <c r="L3532" s="13" t="n"/>
    </row>
    <row r="3533">
      <c r="A3533" s="3" t="inlineStr">
        <is>
          <t>Securing</t>
        </is>
      </c>
      <c r="B3533" s="3" t="inlineStr">
        <is>
          <t>Act_SEC_1004003_090314_615</t>
        </is>
      </c>
      <c r="C3533" s="3" t="inlineStr">
        <is>
          <t>1004003</t>
        </is>
      </c>
      <c r="D3533" s="9" t="n">
        <v>63</v>
      </c>
      <c r="E3533" s="3" t="n"/>
      <c r="F3533" s="3" t="n"/>
      <c r="G3533" s="9" t="n"/>
      <c r="H3533" s="10" t="n">
        <v>45664.37724537037</v>
      </c>
      <c r="I3533" s="10" t="n">
        <v>45664.3953587963</v>
      </c>
      <c r="J3533" s="10" t="n">
        <v>45664.39674768518</v>
      </c>
      <c r="K3533" s="11" t="n">
        <v>0.001388888888888889</v>
      </c>
      <c r="L3533" s="13" t="n"/>
    </row>
    <row r="3534">
      <c r="A3534" s="3" t="inlineStr">
        <is>
          <t>Securing</t>
        </is>
      </c>
      <c r="B3534" s="3" t="inlineStr">
        <is>
          <t>Act_SEC_1004006_091004_617</t>
        </is>
      </c>
      <c r="C3534" s="3" t="inlineStr">
        <is>
          <t>1004006</t>
        </is>
      </c>
      <c r="D3534" s="9" t="n">
        <v>43.1</v>
      </c>
      <c r="E3534" s="3" t="n"/>
      <c r="F3534" s="3" t="n"/>
      <c r="G3534" s="9" t="n"/>
      <c r="H3534" s="10" t="n">
        <v>45664.38199074074</v>
      </c>
      <c r="I3534" s="10" t="n">
        <v>45664.40201388889</v>
      </c>
      <c r="J3534" s="10" t="n">
        <v>45664.40354166667</v>
      </c>
      <c r="K3534" s="11" t="n">
        <v>0.001527777777777778</v>
      </c>
      <c r="L3534" s="13" t="n"/>
    </row>
    <row r="3535">
      <c r="A3535" s="3" t="inlineStr">
        <is>
          <t>Securing</t>
        </is>
      </c>
      <c r="B3535" s="3" t="inlineStr">
        <is>
          <t>Act_SEC_1004007_091300_629</t>
        </is>
      </c>
      <c r="C3535" s="3" t="inlineStr">
        <is>
          <t>1004007</t>
        </is>
      </c>
      <c r="D3535" s="9" t="n">
        <v>81</v>
      </c>
      <c r="E3535" s="3" t="n"/>
      <c r="F3535" s="3" t="n"/>
      <c r="G3535" s="9" t="n"/>
      <c r="H3535" s="10" t="n">
        <v>45664.38402777778</v>
      </c>
      <c r="I3535" s="10" t="n">
        <v>45664.40268518519</v>
      </c>
      <c r="J3535" s="10" t="n">
        <v>45664.40407407407</v>
      </c>
      <c r="K3535" s="11" t="n">
        <v>0.001388888888888889</v>
      </c>
      <c r="L3535" s="13" t="n"/>
    </row>
    <row r="3536">
      <c r="A3536" s="3" t="inlineStr">
        <is>
          <t>Securing</t>
        </is>
      </c>
      <c r="B3536" s="3" t="inlineStr">
        <is>
          <t>Act_SEC_1004101_105214_615</t>
        </is>
      </c>
      <c r="C3536" s="3" t="inlineStr">
        <is>
          <t>1004101</t>
        </is>
      </c>
      <c r="D3536" s="9" t="n">
        <v>292.9</v>
      </c>
      <c r="E3536" s="3" t="n"/>
      <c r="F3536" s="3" t="n"/>
      <c r="G3536" s="9" t="n"/>
      <c r="H3536" s="10" t="n">
        <v>45664.45293981482</v>
      </c>
      <c r="I3536" s="10" t="n">
        <v>45664.45380787037</v>
      </c>
      <c r="J3536" s="10" t="n">
        <v>45664.45533564815</v>
      </c>
      <c r="K3536" s="11" t="n">
        <v>0.001527777777777778</v>
      </c>
      <c r="L3536" s="13" t="n"/>
    </row>
    <row r="3537">
      <c r="A3537" s="3" t="inlineStr">
        <is>
          <t>Securing</t>
        </is>
      </c>
      <c r="B3537" s="3" t="inlineStr">
        <is>
          <t>Act_SEC_1004102_105513_627</t>
        </is>
      </c>
      <c r="C3537" s="3" t="inlineStr">
        <is>
          <t>1004102</t>
        </is>
      </c>
      <c r="D3537" s="9" t="n">
        <v>84</v>
      </c>
      <c r="E3537" s="3" t="n"/>
      <c r="F3537" s="3" t="n"/>
      <c r="G3537" s="9" t="n"/>
      <c r="H3537" s="10" t="n">
        <v>45664.45501157407</v>
      </c>
      <c r="I3537" s="10" t="n">
        <v>45664.45579861111</v>
      </c>
      <c r="J3537" s="10" t="n">
        <v>45664.4571875</v>
      </c>
      <c r="K3537" s="11" t="n">
        <v>0.001388888888888889</v>
      </c>
      <c r="L3537" s="13" t="n"/>
    </row>
    <row r="3538">
      <c r="A3538" s="3" t="inlineStr">
        <is>
          <t>Securing</t>
        </is>
      </c>
      <c r="B3538" s="3" t="inlineStr">
        <is>
          <t>Act_SEC_1004103_105820_625</t>
        </is>
      </c>
      <c r="C3538" s="3" t="inlineStr">
        <is>
          <t>1004103</t>
        </is>
      </c>
      <c r="D3538" s="9" t="n">
        <v>71.7</v>
      </c>
      <c r="E3538" s="3" t="n"/>
      <c r="F3538" s="3" t="n"/>
      <c r="G3538" s="9" t="n"/>
      <c r="H3538" s="10" t="n">
        <v>45664.45717592593</v>
      </c>
      <c r="I3538" s="10" t="n">
        <v>45664.45804398148</v>
      </c>
      <c r="J3538" s="10" t="n">
        <v>45664.45957175926</v>
      </c>
      <c r="K3538" s="11" t="n">
        <v>0.001527777777777778</v>
      </c>
      <c r="L3538" s="13" t="n"/>
    </row>
    <row r="3539">
      <c r="A3539" s="3" t="inlineStr">
        <is>
          <t>Securing</t>
        </is>
      </c>
      <c r="B3539" s="3" t="inlineStr">
        <is>
          <t>Act_SEC_1004301_143038_615</t>
        </is>
      </c>
      <c r="C3539" s="3" t="inlineStr">
        <is>
          <t>1004301</t>
        </is>
      </c>
      <c r="D3539" s="9" t="n">
        <v>398</v>
      </c>
      <c r="E3539" s="3" t="n"/>
      <c r="F3539" s="3" t="n"/>
      <c r="G3539" s="9" t="n"/>
      <c r="H3539" s="10" t="n">
        <v>45664.60460648148</v>
      </c>
      <c r="I3539" s="10" t="n">
        <v>45664.60539351852</v>
      </c>
      <c r="J3539" s="10" t="n">
        <v>45664.60678240741</v>
      </c>
      <c r="K3539" s="11" t="n">
        <v>0.001388888888888889</v>
      </c>
      <c r="L3539" s="13" t="n"/>
    </row>
    <row r="3540">
      <c r="A3540" s="3" t="inlineStr">
        <is>
          <t>Securing</t>
        </is>
      </c>
      <c r="B3540" s="3" t="inlineStr">
        <is>
          <t>Act_SEC_1004401_152925_625</t>
        </is>
      </c>
      <c r="C3540" s="3" t="inlineStr">
        <is>
          <t>1004401</t>
        </is>
      </c>
      <c r="D3540" s="9" t="n">
        <v>19.9</v>
      </c>
      <c r="E3540" s="3" t="n"/>
      <c r="F3540" s="3" t="n"/>
      <c r="G3540" s="9" t="n"/>
      <c r="H3540" s="10" t="n">
        <v>45664.64542824074</v>
      </c>
      <c r="I3540" s="10" t="n">
        <v>45664.64621527777</v>
      </c>
      <c r="J3540" s="10" t="n">
        <v>45664.64760416667</v>
      </c>
      <c r="K3540" s="11" t="n">
        <v>0.001388888888888889</v>
      </c>
      <c r="L3540" s="13" t="n"/>
    </row>
    <row r="3541">
      <c r="A3541" s="3" t="inlineStr">
        <is>
          <t>Securing</t>
        </is>
      </c>
      <c r="B3541" s="3" t="inlineStr">
        <is>
          <t>Act_SEC_1004403_153335_615</t>
        </is>
      </c>
      <c r="C3541" s="3" t="inlineStr">
        <is>
          <t>1004403</t>
        </is>
      </c>
      <c r="D3541" s="9" t="n">
        <v>15.7</v>
      </c>
      <c r="E3541" s="3" t="n"/>
      <c r="F3541" s="3" t="n"/>
      <c r="G3541" s="9" t="n"/>
      <c r="H3541" s="10" t="n">
        <v>45664.64832175926</v>
      </c>
      <c r="I3541" s="10" t="n">
        <v>45664.64918981482</v>
      </c>
      <c r="J3541" s="10" t="n">
        <v>45664.65071759259</v>
      </c>
      <c r="K3541" s="11" t="n">
        <v>0.001527777777777778</v>
      </c>
      <c r="L3541" s="13" t="n"/>
    </row>
    <row r="3542">
      <c r="A3542" s="3" t="inlineStr">
        <is>
          <t>Securing</t>
        </is>
      </c>
      <c r="B3542" s="3" t="inlineStr">
        <is>
          <t>Act_SEC_1004407_154236_617</t>
        </is>
      </c>
      <c r="C3542" s="3" t="inlineStr">
        <is>
          <t>1004407</t>
        </is>
      </c>
      <c r="D3542" s="9" t="n">
        <v>101.9</v>
      </c>
      <c r="E3542" s="3" t="n"/>
      <c r="F3542" s="3" t="n"/>
      <c r="G3542" s="9" t="n"/>
      <c r="H3542" s="10" t="n">
        <v>45664.65458333334</v>
      </c>
      <c r="I3542" s="10" t="n">
        <v>45664.65542824074</v>
      </c>
      <c r="J3542" s="10" t="n">
        <v>45664.65695601852</v>
      </c>
      <c r="K3542" s="11" t="n">
        <v>0.001527777777777778</v>
      </c>
      <c r="L3542" s="13" t="n"/>
    </row>
    <row r="3543">
      <c r="A3543" s="3" t="inlineStr">
        <is>
          <t>Securing</t>
        </is>
      </c>
      <c r="B3543" s="3" t="inlineStr">
        <is>
          <t>Act_SEC_1004501_155647_619</t>
        </is>
      </c>
      <c r="C3543" s="3" t="inlineStr">
        <is>
          <t>1004501</t>
        </is>
      </c>
      <c r="D3543" s="9" t="n">
        <v>393.5</v>
      </c>
      <c r="E3543" s="3" t="n"/>
      <c r="F3543" s="3" t="n"/>
      <c r="G3543" s="9" t="n"/>
      <c r="H3543" s="10" t="n">
        <v>45664.66443287037</v>
      </c>
      <c r="I3543" s="10" t="n">
        <v>45664.66548611111</v>
      </c>
      <c r="J3543" s="10" t="n">
        <v>45664.666875</v>
      </c>
      <c r="K3543" s="11" t="n">
        <v>0.001388888888888889</v>
      </c>
      <c r="L3543" s="13" t="n"/>
    </row>
    <row r="3544">
      <c r="A3544" s="3" t="inlineStr">
        <is>
          <t>Securing</t>
        </is>
      </c>
      <c r="B3544" s="3" t="inlineStr">
        <is>
          <t>Act_SEC_1004601_161355_607</t>
        </is>
      </c>
      <c r="C3544" s="3" t="inlineStr">
        <is>
          <t>1004601</t>
        </is>
      </c>
      <c r="D3544" s="9" t="n">
        <v>93.8</v>
      </c>
      <c r="E3544" s="3" t="n"/>
      <c r="F3544" s="3" t="n"/>
      <c r="G3544" s="9" t="n"/>
      <c r="H3544" s="10" t="n">
        <v>45664.67633101852</v>
      </c>
      <c r="I3544" s="10" t="n">
        <v>45664.67827546296</v>
      </c>
      <c r="J3544" s="10" t="n">
        <v>45664.67966435185</v>
      </c>
      <c r="K3544" s="11" t="n">
        <v>0.001388888888888889</v>
      </c>
      <c r="L3544" s="13" t="n"/>
    </row>
    <row r="3545">
      <c r="A3545" s="3" t="inlineStr">
        <is>
          <t>Securing</t>
        </is>
      </c>
      <c r="B3545" s="3" t="inlineStr">
        <is>
          <t>Act_SEC_1004704_175915_615</t>
        </is>
      </c>
      <c r="C3545" s="3" t="inlineStr">
        <is>
          <t>1004704</t>
        </is>
      </c>
      <c r="D3545" s="9" t="n">
        <v>31.5</v>
      </c>
      <c r="E3545" s="3" t="n"/>
      <c r="F3545" s="3" t="n"/>
      <c r="G3545" s="9" t="n"/>
      <c r="H3545" s="10" t="n">
        <v>45664.74947916667</v>
      </c>
      <c r="I3545" s="10" t="n">
        <v>45664.75034722222</v>
      </c>
      <c r="J3545" s="10" t="n">
        <v>45664.751875</v>
      </c>
      <c r="K3545" s="11" t="n">
        <v>0.001527777777777778</v>
      </c>
      <c r="L3545" s="13" t="n"/>
    </row>
    <row r="3546">
      <c r="A3546" s="3" t="inlineStr">
        <is>
          <t>Securing</t>
        </is>
      </c>
      <c r="B3546" s="3" t="inlineStr">
        <is>
          <t>Act_SEC_1004706_180358_613</t>
        </is>
      </c>
      <c r="C3546" s="3" t="inlineStr">
        <is>
          <t>1004706</t>
        </is>
      </c>
      <c r="D3546" s="9" t="n">
        <v>108</v>
      </c>
      <c r="E3546" s="3" t="n"/>
      <c r="F3546" s="3" t="n"/>
      <c r="G3546" s="9" t="n"/>
      <c r="H3546" s="10" t="n">
        <v>45664.75275462963</v>
      </c>
      <c r="I3546" s="10" t="n">
        <v>45664.75362268519</v>
      </c>
      <c r="J3546" s="10" t="n">
        <v>45664.75515046297</v>
      </c>
      <c r="K3546" s="11" t="n">
        <v>0.001527777777777778</v>
      </c>
      <c r="L3546" s="13" t="n"/>
    </row>
    <row r="3547">
      <c r="A3547" s="3" t="inlineStr">
        <is>
          <t>Securing</t>
        </is>
      </c>
      <c r="B3547" s="3" t="inlineStr">
        <is>
          <t>Act_SEC_1004708_180943_627</t>
        </is>
      </c>
      <c r="C3547" s="3" t="inlineStr">
        <is>
          <t>1004708</t>
        </is>
      </c>
      <c r="D3547" s="9" t="n">
        <v>39</v>
      </c>
      <c r="E3547" s="3" t="n"/>
      <c r="F3547" s="3" t="n"/>
      <c r="G3547" s="9" t="n"/>
      <c r="H3547" s="10" t="n">
        <v>45664.75674768518</v>
      </c>
      <c r="I3547" s="10" t="n">
        <v>45664.75761574074</v>
      </c>
      <c r="J3547" s="10" t="n">
        <v>45664.75914351852</v>
      </c>
      <c r="K3547" s="11" t="n">
        <v>0.001527777777777778</v>
      </c>
      <c r="L3547" s="13" t="n"/>
    </row>
    <row r="3548">
      <c r="A3548" s="3" t="inlineStr">
        <is>
          <t>Securing</t>
        </is>
      </c>
      <c r="B3548" s="3" t="inlineStr">
        <is>
          <t>Act_SEC_1004901_211640_613</t>
        </is>
      </c>
      <c r="C3548" s="3" t="inlineStr">
        <is>
          <t>1004901</t>
        </is>
      </c>
      <c r="D3548" s="9" t="n">
        <v>389.1</v>
      </c>
      <c r="E3548" s="3" t="n"/>
      <c r="F3548" s="3" t="n"/>
      <c r="G3548" s="9" t="n"/>
      <c r="H3548" s="10" t="n">
        <v>45664.88657407407</v>
      </c>
      <c r="I3548" s="10" t="n">
        <v>45664.88744212963</v>
      </c>
      <c r="J3548" s="10" t="n">
        <v>45664.88896990741</v>
      </c>
      <c r="K3548" s="11" t="n">
        <v>0.001527777777777778</v>
      </c>
      <c r="L3548" s="13" t="n"/>
    </row>
    <row r="3549">
      <c r="A3549" s="3" t="inlineStr">
        <is>
          <t>Securing</t>
        </is>
      </c>
      <c r="B3549" s="3" t="inlineStr">
        <is>
          <t>Act_SEC_1005004_031359_613</t>
        </is>
      </c>
      <c r="C3549" s="3" t="inlineStr">
        <is>
          <t>1005004</t>
        </is>
      </c>
      <c r="D3549" s="9" t="n">
        <v>166.9</v>
      </c>
      <c r="E3549" s="3" t="n"/>
      <c r="F3549" s="3" t="n"/>
      <c r="G3549" s="9" t="n"/>
      <c r="H3549" s="10" t="n">
        <v>45665.13471064815</v>
      </c>
      <c r="I3549" s="10" t="n">
        <v>45665.1355787037</v>
      </c>
      <c r="J3549" s="10" t="n">
        <v>45665.13710648148</v>
      </c>
      <c r="K3549" s="11" t="n">
        <v>0.001527777777777778</v>
      </c>
      <c r="L3549" s="13" t="n"/>
    </row>
    <row r="3550">
      <c r="A3550" s="3" t="inlineStr">
        <is>
          <t>Securing</t>
        </is>
      </c>
      <c r="B3550" s="3" t="inlineStr">
        <is>
          <t>Act_SEC_1005006_031827_613</t>
        </is>
      </c>
      <c r="C3550" s="3" t="inlineStr">
        <is>
          <t>1005006</t>
        </is>
      </c>
      <c r="D3550" s="9" t="n">
        <v>12</v>
      </c>
      <c r="E3550" s="3" t="n"/>
      <c r="F3550" s="3" t="n"/>
      <c r="G3550" s="9" t="n"/>
      <c r="H3550" s="10" t="n">
        <v>45665.1378125</v>
      </c>
      <c r="I3550" s="10" t="n">
        <v>45665.13858796296</v>
      </c>
      <c r="J3550" s="10" t="n">
        <v>45665.13997685185</v>
      </c>
      <c r="K3550" s="11" t="n">
        <v>0.001388888888888889</v>
      </c>
      <c r="L3550" s="13" t="n"/>
    </row>
    <row r="3551">
      <c r="A3551" s="3" t="inlineStr">
        <is>
          <t>Securing</t>
        </is>
      </c>
      <c r="B3551" s="3" t="inlineStr">
        <is>
          <t>Act_SEC_1005201_061537_613</t>
        </is>
      </c>
      <c r="C3551" s="3" t="inlineStr">
        <is>
          <t>1005201</t>
        </is>
      </c>
      <c r="D3551" s="9" t="n">
        <v>297</v>
      </c>
      <c r="E3551" s="3" t="n"/>
      <c r="F3551" s="3" t="n"/>
      <c r="G3551" s="9" t="n"/>
      <c r="H3551" s="10" t="n">
        <v>45665.26084490741</v>
      </c>
      <c r="I3551" s="10" t="n">
        <v>45665.26163194444</v>
      </c>
      <c r="J3551" s="10" t="n">
        <v>45665.26302083334</v>
      </c>
      <c r="K3551" s="11" t="n">
        <v>0.001388888888888889</v>
      </c>
      <c r="L3551" s="13" t="n"/>
    </row>
    <row r="3552">
      <c r="A3552" s="3" t="inlineStr">
        <is>
          <t>Securing</t>
        </is>
      </c>
      <c r="B3552" s="3" t="inlineStr">
        <is>
          <t>Act_SEC_1005401_073221_611</t>
        </is>
      </c>
      <c r="C3552" s="3" t="inlineStr">
        <is>
          <t>1005401</t>
        </is>
      </c>
      <c r="D3552" s="9" t="n">
        <v>156.7</v>
      </c>
      <c r="E3552" s="3" t="n"/>
      <c r="F3552" s="3" t="n"/>
      <c r="G3552" s="9" t="n"/>
      <c r="H3552" s="10" t="n">
        <v>45665.31413194445</v>
      </c>
      <c r="I3552" s="10" t="n">
        <v>45665.31489583333</v>
      </c>
      <c r="J3552" s="10" t="n">
        <v>45665.31628472222</v>
      </c>
      <c r="K3552" s="11" t="n">
        <v>0.001388888888888889</v>
      </c>
      <c r="L3552" s="13" t="n"/>
    </row>
    <row r="3553">
      <c r="A3553" s="3" t="inlineStr">
        <is>
          <t>Securing</t>
        </is>
      </c>
      <c r="B3553" s="3" t="inlineStr">
        <is>
          <t>Act_SEC_1005301_075714_627</t>
        </is>
      </c>
      <c r="C3553" s="3" t="inlineStr">
        <is>
          <t>1005301</t>
        </is>
      </c>
      <c r="D3553" s="9" t="n">
        <v>23.2</v>
      </c>
      <c r="E3553" s="3" t="n"/>
      <c r="F3553" s="3" t="n"/>
      <c r="G3553" s="9" t="n"/>
      <c r="H3553" s="10" t="n">
        <v>45665.33141203703</v>
      </c>
      <c r="I3553" s="10" t="n">
        <v>45665.3322800926</v>
      </c>
      <c r="J3553" s="10" t="n">
        <v>45665.33380787037</v>
      </c>
      <c r="K3553" s="11" t="n">
        <v>0.001527777777777778</v>
      </c>
      <c r="L3553" s="13" t="n"/>
    </row>
    <row r="3554">
      <c r="A3554" s="3" t="inlineStr">
        <is>
          <t>Securing</t>
        </is>
      </c>
      <c r="B3554" s="3" t="inlineStr">
        <is>
          <t>Act_SEC_1005304_080545_625</t>
        </is>
      </c>
      <c r="C3554" s="3" t="inlineStr">
        <is>
          <t>1005304</t>
        </is>
      </c>
      <c r="D3554" s="9" t="n">
        <v>60.8</v>
      </c>
      <c r="E3554" s="3" t="n"/>
      <c r="F3554" s="3" t="n"/>
      <c r="G3554" s="9" t="n"/>
      <c r="H3554" s="10" t="n">
        <v>45665.33732638889</v>
      </c>
      <c r="I3554" s="10" t="n">
        <v>45665.33819444444</v>
      </c>
      <c r="J3554" s="10" t="n">
        <v>45665.33972222222</v>
      </c>
      <c r="K3554" s="11" t="n">
        <v>0.001527777777777778</v>
      </c>
      <c r="L3554" s="13" t="n"/>
    </row>
    <row r="3555">
      <c r="A3555" s="3" t="inlineStr">
        <is>
          <t>Securing</t>
        </is>
      </c>
      <c r="B3555" s="3" t="inlineStr">
        <is>
          <t>Act_SEC_1005305_080813_605</t>
        </is>
      </c>
      <c r="C3555" s="3" t="inlineStr">
        <is>
          <t>1005305</t>
        </is>
      </c>
      <c r="D3555" s="9" t="n">
        <v>19.9</v>
      </c>
      <c r="E3555" s="3" t="n"/>
      <c r="F3555" s="3" t="n"/>
      <c r="G3555" s="9" t="n"/>
      <c r="H3555" s="10" t="n">
        <v>45665.33903935185</v>
      </c>
      <c r="I3555" s="10" t="n">
        <v>45665.33987268519</v>
      </c>
      <c r="J3555" s="10" t="n">
        <v>45665.34140046296</v>
      </c>
      <c r="K3555" s="11" t="n">
        <v>0.001527777777777778</v>
      </c>
      <c r="L3555" s="13" t="n"/>
    </row>
    <row r="3556">
      <c r="A3556" s="3" t="inlineStr">
        <is>
          <t>Securing</t>
        </is>
      </c>
      <c r="B3556" s="3" t="inlineStr">
        <is>
          <t>Act_SEC_1005306_081000_613</t>
        </is>
      </c>
      <c r="C3556" s="3" t="inlineStr">
        <is>
          <t>1005306</t>
        </is>
      </c>
      <c r="D3556" s="9" t="n">
        <v>12</v>
      </c>
      <c r="E3556" s="3" t="n"/>
      <c r="F3556" s="3" t="n"/>
      <c r="G3556" s="9" t="n"/>
      <c r="H3556" s="10" t="n">
        <v>45665.34027777778</v>
      </c>
      <c r="I3556" s="10" t="n">
        <v>45665.34114583334</v>
      </c>
      <c r="J3556" s="10" t="n">
        <v>45665.34267361111</v>
      </c>
      <c r="K3556" s="11" t="n">
        <v>0.001527777777777778</v>
      </c>
      <c r="L3556" s="13" t="n"/>
    </row>
    <row r="3557">
      <c r="A3557" s="3" t="inlineStr">
        <is>
          <t>Securing</t>
        </is>
      </c>
      <c r="B3557" s="3" t="inlineStr">
        <is>
          <t>Act_SEC_1005308_081414_623</t>
        </is>
      </c>
      <c r="C3557" s="3" t="inlineStr">
        <is>
          <t>1005308</t>
        </is>
      </c>
      <c r="D3557" s="9" t="n">
        <v>15.7</v>
      </c>
      <c r="E3557" s="3" t="n"/>
      <c r="F3557" s="3" t="n"/>
      <c r="G3557" s="9" t="n"/>
      <c r="H3557" s="10" t="n">
        <v>45665.34321759259</v>
      </c>
      <c r="I3557" s="10" t="n">
        <v>45665.34405092592</v>
      </c>
      <c r="J3557" s="10" t="n">
        <v>45665.3455787037</v>
      </c>
      <c r="K3557" s="11" t="n">
        <v>0.001527777777777778</v>
      </c>
      <c r="L3557" s="13" t="n"/>
    </row>
    <row r="3558">
      <c r="A3558" s="3" t="inlineStr">
        <is>
          <t>Securing</t>
        </is>
      </c>
      <c r="B3558" s="3" t="inlineStr">
        <is>
          <t>Act_SEC_1005309_081718_619</t>
        </is>
      </c>
      <c r="C3558" s="3" t="inlineStr">
        <is>
          <t>1005309</t>
        </is>
      </c>
      <c r="D3558" s="9" t="n">
        <v>108</v>
      </c>
      <c r="E3558" s="3" t="n"/>
      <c r="F3558" s="3" t="n"/>
      <c r="G3558" s="9" t="n"/>
      <c r="H3558" s="10" t="n">
        <v>45665.34534722222</v>
      </c>
      <c r="I3558" s="10" t="n">
        <v>45665.3462037037</v>
      </c>
      <c r="J3558" s="10" t="n">
        <v>45665.34773148148</v>
      </c>
      <c r="K3558" s="11" t="n">
        <v>0.001527777777777778</v>
      </c>
      <c r="L3558" s="13" t="n"/>
    </row>
    <row r="3559">
      <c r="A3559" s="3" t="inlineStr">
        <is>
          <t>Securing</t>
        </is>
      </c>
      <c r="B3559" s="3" t="inlineStr">
        <is>
          <t>Act_SEC_1005311_082205_615</t>
        </is>
      </c>
      <c r="C3559" s="3" t="inlineStr">
        <is>
          <t>1005311</t>
        </is>
      </c>
      <c r="D3559" s="9" t="n">
        <v>94.40000000000001</v>
      </c>
      <c r="E3559" s="3" t="n"/>
      <c r="F3559" s="3" t="n"/>
      <c r="G3559" s="9" t="n"/>
      <c r="H3559" s="10" t="n">
        <v>45665.34866898148</v>
      </c>
      <c r="I3559" s="10" t="n">
        <v>45665.34951388889</v>
      </c>
      <c r="J3559" s="10" t="n">
        <v>45665.35104166667</v>
      </c>
      <c r="K3559" s="11" t="n">
        <v>0.001527777777777778</v>
      </c>
      <c r="L3559" s="13" t="n"/>
    </row>
    <row r="3560">
      <c r="A3560" s="3" t="inlineStr">
        <is>
          <t>Securing</t>
        </is>
      </c>
      <c r="B3560" s="3" t="inlineStr">
        <is>
          <t>Act_SEC_1005313_082718_607</t>
        </is>
      </c>
      <c r="C3560" s="3" t="inlineStr">
        <is>
          <t>1005313</t>
        </is>
      </c>
      <c r="D3560" s="9" t="n">
        <v>15.7</v>
      </c>
      <c r="E3560" s="3" t="n"/>
      <c r="F3560" s="3" t="n"/>
      <c r="G3560" s="9" t="n"/>
      <c r="H3560" s="10" t="n">
        <v>45665.35229166667</v>
      </c>
      <c r="I3560" s="10" t="n">
        <v>45665.35313657407</v>
      </c>
      <c r="J3560" s="10" t="n">
        <v>45665.35466435185</v>
      </c>
      <c r="K3560" s="11" t="n">
        <v>0.001527777777777778</v>
      </c>
      <c r="L3560" s="13" t="n"/>
    </row>
    <row r="3561">
      <c r="A3561" s="3" t="inlineStr">
        <is>
          <t>Securing</t>
        </is>
      </c>
      <c r="B3561" s="3" t="inlineStr">
        <is>
          <t>Act_SEC_1005601_091342_615</t>
        </is>
      </c>
      <c r="C3561" s="3" t="inlineStr">
        <is>
          <t>1005601</t>
        </is>
      </c>
      <c r="D3561" s="9" t="n">
        <v>114.8</v>
      </c>
      <c r="E3561" s="3" t="n"/>
      <c r="F3561" s="3" t="n"/>
      <c r="G3561" s="9" t="n"/>
      <c r="H3561" s="10" t="n">
        <v>45665.38451388889</v>
      </c>
      <c r="I3561" s="10" t="n">
        <v>45665.38538194444</v>
      </c>
      <c r="J3561" s="10" t="n">
        <v>45665.38690972222</v>
      </c>
      <c r="K3561" s="11" t="n">
        <v>0.001527777777777778</v>
      </c>
      <c r="L3561" s="13" t="n"/>
    </row>
    <row r="3562">
      <c r="A3562" s="3" t="inlineStr">
        <is>
          <t>Securing</t>
        </is>
      </c>
      <c r="B3562" s="3" t="inlineStr">
        <is>
          <t>Act_SEC_1005602_091652_619</t>
        </is>
      </c>
      <c r="C3562" s="3" t="inlineStr">
        <is>
          <t>1005602</t>
        </is>
      </c>
      <c r="D3562" s="9" t="n">
        <v>120.4</v>
      </c>
      <c r="E3562" s="3" t="n"/>
      <c r="F3562" s="3" t="n"/>
      <c r="G3562" s="9" t="n"/>
      <c r="H3562" s="10" t="n">
        <v>45665.38671296297</v>
      </c>
      <c r="I3562" s="10" t="n">
        <v>45665.3875</v>
      </c>
      <c r="J3562" s="10" t="n">
        <v>45665.38888888889</v>
      </c>
      <c r="K3562" s="11" t="n">
        <v>0.001388888888888889</v>
      </c>
      <c r="L3562" s="13" t="n"/>
    </row>
    <row r="3563">
      <c r="A3563" s="3" t="inlineStr">
        <is>
          <t>Securing</t>
        </is>
      </c>
      <c r="B3563" s="3" t="inlineStr">
        <is>
          <t>Act_SEC_1005701_103234_615</t>
        </is>
      </c>
      <c r="C3563" s="3" t="inlineStr">
        <is>
          <t>1005701</t>
        </is>
      </c>
      <c r="D3563" s="9" t="n">
        <v>124.9</v>
      </c>
      <c r="E3563" s="3" t="n"/>
      <c r="F3563" s="3" t="n"/>
      <c r="G3563" s="9" t="n"/>
      <c r="H3563" s="10" t="n">
        <v>45665.43928240741</v>
      </c>
      <c r="I3563" s="10" t="n">
        <v>45665.44012731482</v>
      </c>
      <c r="J3563" s="10" t="n">
        <v>45665.4416550926</v>
      </c>
      <c r="K3563" s="11" t="n">
        <v>0.001527777777777778</v>
      </c>
      <c r="L3563" s="13" t="n"/>
    </row>
    <row r="3564">
      <c r="A3564" s="3" t="inlineStr">
        <is>
          <t>Securing</t>
        </is>
      </c>
      <c r="B3564" s="3" t="inlineStr">
        <is>
          <t>Act_SEC_1005702_103520_627</t>
        </is>
      </c>
      <c r="C3564" s="3" t="inlineStr">
        <is>
          <t>1005702</t>
        </is>
      </c>
      <c r="D3564" s="9" t="n">
        <v>21</v>
      </c>
      <c r="E3564" s="3" t="n"/>
      <c r="F3564" s="3" t="n"/>
      <c r="G3564" s="9" t="n"/>
      <c r="H3564" s="10" t="n">
        <v>45665.4412037037</v>
      </c>
      <c r="I3564" s="10" t="n">
        <v>45665.44197916667</v>
      </c>
      <c r="J3564" s="10" t="n">
        <v>45665.44336805555</v>
      </c>
      <c r="K3564" s="11" t="n">
        <v>0.001388888888888889</v>
      </c>
      <c r="L3564" s="13" t="n"/>
    </row>
    <row r="3565">
      <c r="A3565" s="3" t="inlineStr">
        <is>
          <t>Securing</t>
        </is>
      </c>
      <c r="B3565" s="3" t="inlineStr">
        <is>
          <t>Act_SEC_1005703_103806_613</t>
        </is>
      </c>
      <c r="C3565" s="3" t="inlineStr">
        <is>
          <t>1005703</t>
        </is>
      </c>
      <c r="D3565" s="9" t="n">
        <v>297.3</v>
      </c>
      <c r="E3565" s="3" t="n"/>
      <c r="F3565" s="3" t="n"/>
      <c r="G3565" s="9" t="n"/>
      <c r="H3565" s="10" t="n">
        <v>45665.443125</v>
      </c>
      <c r="I3565" s="10" t="n">
        <v>45665.44398148148</v>
      </c>
      <c r="J3565" s="10" t="n">
        <v>45665.44550925926</v>
      </c>
      <c r="K3565" s="11" t="n">
        <v>0.001527777777777778</v>
      </c>
      <c r="L3565" s="13" t="n"/>
    </row>
    <row r="3566">
      <c r="A3566" s="3" t="inlineStr">
        <is>
          <t>Securing</t>
        </is>
      </c>
      <c r="B3566" s="3" t="inlineStr">
        <is>
          <t>Act_SEC_1005801_130112_615</t>
        </is>
      </c>
      <c r="C3566" s="3" t="inlineStr">
        <is>
          <t>1005801</t>
        </is>
      </c>
      <c r="D3566" s="9" t="n">
        <v>296.8</v>
      </c>
      <c r="E3566" s="3" t="n"/>
      <c r="F3566" s="3" t="n"/>
      <c r="G3566" s="9" t="n"/>
      <c r="H3566" s="10" t="n">
        <v>45665.5425</v>
      </c>
      <c r="I3566" s="10" t="n">
        <v>45665.54328703704</v>
      </c>
      <c r="J3566" s="10" t="n">
        <v>45665.54467592593</v>
      </c>
      <c r="K3566" s="11" t="n">
        <v>0.001388888888888889</v>
      </c>
      <c r="L3566" s="13" t="n"/>
    </row>
    <row r="3567">
      <c r="A3567" s="3" t="inlineStr">
        <is>
          <t>Securing</t>
        </is>
      </c>
      <c r="B3567" s="3" t="inlineStr">
        <is>
          <t>Act_SEC_1005901_144212_615</t>
        </is>
      </c>
      <c r="C3567" s="3" t="inlineStr">
        <is>
          <t>1005901</t>
        </is>
      </c>
      <c r="D3567" s="9" t="n">
        <v>365.8</v>
      </c>
      <c r="E3567" s="3" t="n"/>
      <c r="F3567" s="3" t="n"/>
      <c r="G3567" s="9" t="n"/>
      <c r="H3567" s="10" t="n">
        <v>45665.61263888889</v>
      </c>
      <c r="I3567" s="10" t="n">
        <v>45665.61350694444</v>
      </c>
      <c r="J3567" s="10" t="n">
        <v>45665.61503472222</v>
      </c>
      <c r="K3567" s="11" t="n">
        <v>0.001527777777777778</v>
      </c>
      <c r="L3567" s="13" t="n"/>
    </row>
    <row r="3568">
      <c r="A3568" s="3" t="inlineStr">
        <is>
          <t>Securing</t>
        </is>
      </c>
      <c r="B3568" s="3" t="inlineStr">
        <is>
          <t>Act_SEC_1006003_152942_613</t>
        </is>
      </c>
      <c r="C3568" s="3" t="inlineStr">
        <is>
          <t>1006003</t>
        </is>
      </c>
      <c r="D3568" s="9" t="n">
        <v>27</v>
      </c>
      <c r="E3568" s="3" t="n"/>
      <c r="F3568" s="3" t="n"/>
      <c r="G3568" s="9" t="n"/>
      <c r="H3568" s="10" t="n">
        <v>45665.645625</v>
      </c>
      <c r="I3568" s="10" t="n">
        <v>45665.64646990741</v>
      </c>
      <c r="J3568" s="10" t="n">
        <v>45665.64799768518</v>
      </c>
      <c r="K3568" s="11" t="n">
        <v>0.001527777777777778</v>
      </c>
      <c r="L3568" s="13" t="n"/>
    </row>
    <row r="3569">
      <c r="A3569" s="3" t="inlineStr">
        <is>
          <t>Securing</t>
        </is>
      </c>
      <c r="B3569" s="3" t="inlineStr">
        <is>
          <t>Act_SEC_1006004_153230_619</t>
        </is>
      </c>
      <c r="C3569" s="3" t="inlineStr">
        <is>
          <t>1006004</t>
        </is>
      </c>
      <c r="D3569" s="9" t="n">
        <v>15.7</v>
      </c>
      <c r="E3569" s="3" t="n"/>
      <c r="F3569" s="3" t="n"/>
      <c r="G3569" s="9" t="n"/>
      <c r="H3569" s="10" t="n">
        <v>45665.64756944445</v>
      </c>
      <c r="I3569" s="10" t="n">
        <v>45665.6496875</v>
      </c>
      <c r="J3569" s="10" t="n">
        <v>45665.65121527778</v>
      </c>
      <c r="K3569" s="11" t="n">
        <v>0.001527777777777778</v>
      </c>
      <c r="L3569" s="13" t="n"/>
    </row>
    <row r="3570">
      <c r="A3570" s="3" t="inlineStr">
        <is>
          <t>Securing</t>
        </is>
      </c>
      <c r="B3570" s="3" t="inlineStr">
        <is>
          <t>Act_SEC_1006006_153658_615</t>
        </is>
      </c>
      <c r="C3570" s="3" t="inlineStr">
        <is>
          <t>1006006</t>
        </is>
      </c>
      <c r="D3570" s="9" t="n">
        <v>94.40000000000001</v>
      </c>
      <c r="E3570" s="3" t="n"/>
      <c r="F3570" s="3" t="n"/>
      <c r="G3570" s="9" t="n"/>
      <c r="H3570" s="10" t="n">
        <v>45665.65067129629</v>
      </c>
      <c r="I3570" s="10" t="n">
        <v>45665.65290509259</v>
      </c>
      <c r="J3570" s="10" t="n">
        <v>45665.65443287037</v>
      </c>
      <c r="K3570" s="11" t="n">
        <v>0.001527777777777778</v>
      </c>
      <c r="L3570" s="13" t="n"/>
    </row>
    <row r="3571">
      <c r="A3571" s="3" t="inlineStr">
        <is>
          <t>Securing</t>
        </is>
      </c>
      <c r="B3571" s="3" t="inlineStr">
        <is>
          <t>Act_SEC_1006009_154322_611</t>
        </is>
      </c>
      <c r="C3571" s="3" t="inlineStr">
        <is>
          <t>1006009</t>
        </is>
      </c>
      <c r="D3571" s="9" t="n">
        <v>39</v>
      </c>
      <c r="E3571" s="3" t="n"/>
      <c r="F3571" s="3" t="n"/>
      <c r="G3571" s="9" t="n"/>
      <c r="H3571" s="10" t="n">
        <v>45665.65511574074</v>
      </c>
      <c r="I3571" s="10" t="n">
        <v>45665.65961805556</v>
      </c>
      <c r="J3571" s="10" t="n">
        <v>45665.66114583334</v>
      </c>
      <c r="K3571" s="11" t="n">
        <v>0.001527777777777778</v>
      </c>
      <c r="L3571" s="13" t="n"/>
    </row>
    <row r="3572">
      <c r="A3572" s="3" t="inlineStr">
        <is>
          <t>Securing</t>
        </is>
      </c>
      <c r="B3572" s="3" t="inlineStr">
        <is>
          <t>Act_SEC_1006101_155234_617</t>
        </is>
      </c>
      <c r="C3572" s="3" t="inlineStr">
        <is>
          <t>1006101</t>
        </is>
      </c>
      <c r="D3572" s="9" t="n">
        <v>362</v>
      </c>
      <c r="E3572" s="3" t="n"/>
      <c r="F3572" s="3" t="n"/>
      <c r="G3572" s="9" t="n"/>
      <c r="H3572" s="10" t="n">
        <v>45665.66150462963</v>
      </c>
      <c r="I3572" s="10" t="n">
        <v>45665.665625</v>
      </c>
      <c r="J3572" s="10" t="n">
        <v>45665.66715277778</v>
      </c>
      <c r="K3572" s="11" t="n">
        <v>0.001527777777777778</v>
      </c>
      <c r="L3572" s="13" t="n"/>
    </row>
    <row r="3573">
      <c r="A3573" s="3" t="inlineStr">
        <is>
          <t>Securing</t>
        </is>
      </c>
      <c r="B3573" s="3" t="inlineStr">
        <is>
          <t>Act_SEC_1006201_173404_615</t>
        </is>
      </c>
      <c r="C3573" s="3" t="inlineStr">
        <is>
          <t>1006201</t>
        </is>
      </c>
      <c r="D3573" s="9" t="n">
        <v>209.2</v>
      </c>
      <c r="E3573" s="3" t="n"/>
      <c r="F3573" s="3" t="n"/>
      <c r="G3573" s="9" t="n"/>
      <c r="H3573" s="10" t="n">
        <v>45665.73199074074</v>
      </c>
      <c r="I3573" s="10" t="n">
        <v>45665.73278935185</v>
      </c>
      <c r="J3573" s="10" t="n">
        <v>45665.73417824074</v>
      </c>
      <c r="K3573" s="11" t="n">
        <v>0.001388888888888889</v>
      </c>
      <c r="L3573" s="13" t="n"/>
    </row>
    <row r="3574">
      <c r="A3574" s="3" t="inlineStr">
        <is>
          <t>Securing</t>
        </is>
      </c>
      <c r="B3574" s="3" t="inlineStr">
        <is>
          <t>Act_SEC_1006301_180924_617</t>
        </is>
      </c>
      <c r="C3574" s="3" t="inlineStr">
        <is>
          <t>1006301</t>
        </is>
      </c>
      <c r="D3574" s="9" t="n">
        <v>15.7</v>
      </c>
      <c r="E3574" s="3" t="n"/>
      <c r="F3574" s="3" t="n"/>
      <c r="G3574" s="9" t="n"/>
      <c r="H3574" s="10" t="n">
        <v>45665.75652777778</v>
      </c>
      <c r="I3574" s="10" t="n">
        <v>45665.75731481481</v>
      </c>
      <c r="J3574" s="10" t="n">
        <v>45665.7587037037</v>
      </c>
      <c r="K3574" s="11" t="n">
        <v>0.001388888888888889</v>
      </c>
      <c r="L3574" s="13" t="n"/>
    </row>
    <row r="3575">
      <c r="A3575" s="3" t="inlineStr">
        <is>
          <t>Securing</t>
        </is>
      </c>
      <c r="B3575" s="3" t="inlineStr">
        <is>
          <t>Act_SEC_1006405_201500_615</t>
        </is>
      </c>
      <c r="C3575" s="3" t="inlineStr">
        <is>
          <t>1006405</t>
        </is>
      </c>
      <c r="D3575" s="9" t="n">
        <v>78.7</v>
      </c>
      <c r="E3575" s="3" t="n"/>
      <c r="F3575" s="3" t="n"/>
      <c r="G3575" s="9" t="n"/>
      <c r="H3575" s="10" t="n">
        <v>45665.84375</v>
      </c>
      <c r="I3575" s="10" t="n">
        <v>45665.84459490741</v>
      </c>
      <c r="J3575" s="10" t="n">
        <v>45665.84612268519</v>
      </c>
      <c r="K3575" s="11" t="n">
        <v>0.001527777777777778</v>
      </c>
      <c r="L3575" s="13" t="n"/>
    </row>
    <row r="3576">
      <c r="A3576" s="3" t="inlineStr">
        <is>
          <t>Securing</t>
        </is>
      </c>
      <c r="B3576" s="3" t="inlineStr">
        <is>
          <t>Act_SEC_1006703_063814_613</t>
        </is>
      </c>
      <c r="C3576" s="3" t="inlineStr">
        <is>
          <t>1006703</t>
        </is>
      </c>
      <c r="D3576" s="9" t="n">
        <v>21</v>
      </c>
      <c r="E3576" s="3" t="n"/>
      <c r="F3576" s="3" t="n"/>
      <c r="G3576" s="9" t="n"/>
      <c r="H3576" s="10" t="n">
        <v>45666.27655092593</v>
      </c>
      <c r="I3576" s="10" t="n">
        <v>45666.27741898148</v>
      </c>
      <c r="J3576" s="10" t="n">
        <v>45666.27894675926</v>
      </c>
      <c r="K3576" s="11" t="n">
        <v>0.001527777777777778</v>
      </c>
      <c r="L3576" s="13" t="n"/>
    </row>
    <row r="3577">
      <c r="A3577" s="3" t="inlineStr">
        <is>
          <t>Securing</t>
        </is>
      </c>
      <c r="B3577" s="3" t="inlineStr">
        <is>
          <t>Act_SEC_1006704_064110_625</t>
        </is>
      </c>
      <c r="C3577" s="3" t="inlineStr">
        <is>
          <t>1006704</t>
        </is>
      </c>
      <c r="D3577" s="9" t="n">
        <v>19.9</v>
      </c>
      <c r="E3577" s="3" t="n"/>
      <c r="F3577" s="3" t="n"/>
      <c r="G3577" s="9" t="n"/>
      <c r="H3577" s="10" t="n">
        <v>45666.27858796297</v>
      </c>
      <c r="I3577" s="10" t="n">
        <v>45666.27936342593</v>
      </c>
      <c r="J3577" s="10" t="n">
        <v>45666.28075231481</v>
      </c>
      <c r="K3577" s="11" t="n">
        <v>0.001388888888888889</v>
      </c>
      <c r="L3577" s="13" t="n"/>
    </row>
    <row r="3578">
      <c r="A3578" s="3" t="inlineStr">
        <is>
          <t>Securing</t>
        </is>
      </c>
      <c r="B3578" s="3" t="inlineStr">
        <is>
          <t>Act_SEC_1006706_064452_617</t>
        </is>
      </c>
      <c r="C3578" s="3" t="inlineStr">
        <is>
          <t>1006706</t>
        </is>
      </c>
      <c r="D3578" s="9" t="n">
        <v>12</v>
      </c>
      <c r="E3578" s="3" t="n"/>
      <c r="F3578" s="3" t="n"/>
      <c r="G3578" s="9" t="n"/>
      <c r="H3578" s="10" t="n">
        <v>45666.28115740741</v>
      </c>
      <c r="I3578" s="10" t="n">
        <v>45666.28229166667</v>
      </c>
      <c r="J3578" s="10" t="n">
        <v>45666.28368055556</v>
      </c>
      <c r="K3578" s="11" t="n">
        <v>0.001388888888888889</v>
      </c>
      <c r="L3578" s="13" t="n"/>
    </row>
    <row r="3579">
      <c r="A3579" s="3" t="inlineStr">
        <is>
          <t>Securing</t>
        </is>
      </c>
      <c r="B3579" s="3" t="inlineStr">
        <is>
          <t>Act_SEC_1006708_064949_621</t>
        </is>
      </c>
      <c r="C3579" s="3" t="inlineStr">
        <is>
          <t>1006708</t>
        </is>
      </c>
      <c r="D3579" s="9" t="n">
        <v>37.5</v>
      </c>
      <c r="E3579" s="3" t="n"/>
      <c r="F3579" s="3" t="n"/>
      <c r="G3579" s="9" t="n"/>
      <c r="H3579" s="10" t="n">
        <v>45666.28459490741</v>
      </c>
      <c r="I3579" s="10" t="n">
        <v>45666.28571759259</v>
      </c>
      <c r="J3579" s="10" t="n">
        <v>45666.28724537037</v>
      </c>
      <c r="K3579" s="11" t="n">
        <v>0.001527777777777778</v>
      </c>
      <c r="L3579" s="13" t="n"/>
    </row>
    <row r="3580">
      <c r="A3580" s="3" t="inlineStr">
        <is>
          <t>Securing</t>
        </is>
      </c>
      <c r="B3580" s="3" t="inlineStr">
        <is>
          <t>Act_SEC_1006801_065657_629</t>
        </is>
      </c>
      <c r="C3580" s="3" t="inlineStr">
        <is>
          <t>1006801</t>
        </is>
      </c>
      <c r="D3580" s="9" t="n">
        <v>185.9</v>
      </c>
      <c r="E3580" s="3" t="n"/>
      <c r="F3580" s="3" t="n"/>
      <c r="G3580" s="9" t="n"/>
      <c r="H3580" s="10" t="n">
        <v>45666.28954861111</v>
      </c>
      <c r="I3580" s="10" t="n">
        <v>45666.29032407407</v>
      </c>
      <c r="J3580" s="10" t="n">
        <v>45666.29171296296</v>
      </c>
      <c r="K3580" s="11" t="n">
        <v>0.001388888888888889</v>
      </c>
      <c r="L3580" s="13" t="n"/>
    </row>
    <row r="3581">
      <c r="A3581" s="3" t="inlineStr">
        <is>
          <t>Securing</t>
        </is>
      </c>
      <c r="B3581" s="3" t="inlineStr">
        <is>
          <t>Act_SEC_1006901_073829_615</t>
        </is>
      </c>
      <c r="C3581" s="3" t="inlineStr">
        <is>
          <t>1006901</t>
        </is>
      </c>
      <c r="D3581" s="9" t="n">
        <v>63</v>
      </c>
      <c r="E3581" s="3" t="n"/>
      <c r="F3581" s="3" t="n"/>
      <c r="G3581" s="9" t="n"/>
      <c r="H3581" s="10" t="n">
        <v>45666.31839120371</v>
      </c>
      <c r="I3581" s="10" t="n">
        <v>45666.31925925926</v>
      </c>
      <c r="J3581" s="10" t="n">
        <v>45666.32078703704</v>
      </c>
      <c r="K3581" s="11" t="n">
        <v>0.001527777777777778</v>
      </c>
      <c r="L3581" s="13" t="n"/>
    </row>
    <row r="3582">
      <c r="A3582" s="3" t="inlineStr">
        <is>
          <t>Securing</t>
        </is>
      </c>
      <c r="B3582" s="3" t="inlineStr">
        <is>
          <t>Act_SEC_1006907_075210_611</t>
        </is>
      </c>
      <c r="C3582" s="3" t="inlineStr">
        <is>
          <t>1006907</t>
        </is>
      </c>
      <c r="D3582" s="9" t="n">
        <v>93.7</v>
      </c>
      <c r="E3582" s="3" t="n"/>
      <c r="F3582" s="3" t="n"/>
      <c r="G3582" s="9" t="n"/>
      <c r="H3582" s="10" t="n">
        <v>45666.32789351852</v>
      </c>
      <c r="I3582" s="10" t="n">
        <v>45666.32876157408</v>
      </c>
      <c r="J3582" s="10" t="n">
        <v>45666.33028935185</v>
      </c>
      <c r="K3582" s="11" t="n">
        <v>0.001527777777777778</v>
      </c>
      <c r="L3582" s="13" t="n"/>
    </row>
    <row r="3583">
      <c r="A3583" s="3" t="inlineStr">
        <is>
          <t>Securing</t>
        </is>
      </c>
      <c r="B3583" s="3" t="inlineStr">
        <is>
          <t>Act_SEC_1007101_080810_619</t>
        </is>
      </c>
      <c r="C3583" s="3" t="inlineStr">
        <is>
          <t>1007101</t>
        </is>
      </c>
      <c r="D3583" s="9" t="n">
        <v>381.6</v>
      </c>
      <c r="E3583" s="3" t="n"/>
      <c r="F3583" s="3" t="n"/>
      <c r="G3583" s="9" t="n"/>
      <c r="H3583" s="10" t="n">
        <v>45666.33900462963</v>
      </c>
      <c r="I3583" s="10" t="n">
        <v>45666.35476851852</v>
      </c>
      <c r="J3583" s="10" t="n">
        <v>45666.3562962963</v>
      </c>
      <c r="K3583" s="11" t="n">
        <v>0.001527777777777778</v>
      </c>
      <c r="L3583" s="13" t="n"/>
    </row>
    <row r="3584">
      <c r="A3584" s="3" t="inlineStr">
        <is>
          <t>Securing</t>
        </is>
      </c>
      <c r="B3584" s="3" t="inlineStr">
        <is>
          <t>Act_SEC_1007201_090230_605</t>
        </is>
      </c>
      <c r="C3584" s="3" t="inlineStr">
        <is>
          <t>1007201</t>
        </is>
      </c>
      <c r="D3584" s="9" t="n">
        <v>118.2</v>
      </c>
      <c r="E3584" s="3" t="n"/>
      <c r="F3584" s="3" t="n"/>
      <c r="G3584" s="9" t="n"/>
      <c r="H3584" s="10" t="n">
        <v>45666.37673611111</v>
      </c>
      <c r="I3584" s="10" t="n">
        <v>45666.37760416666</v>
      </c>
      <c r="J3584" s="10" t="n">
        <v>45666.37913194444</v>
      </c>
      <c r="K3584" s="11" t="n">
        <v>0.001527777777777778</v>
      </c>
      <c r="L3584" s="13" t="n"/>
    </row>
    <row r="3585">
      <c r="A3585" s="3" t="inlineStr">
        <is>
          <t>Securing</t>
        </is>
      </c>
      <c r="B3585" s="3" t="inlineStr">
        <is>
          <t>Act_SEC_1007301_110847_627</t>
        </is>
      </c>
      <c r="C3585" s="3" t="inlineStr">
        <is>
          <t>1007301</t>
        </is>
      </c>
      <c r="D3585" s="9" t="n">
        <v>21</v>
      </c>
      <c r="E3585" s="3" t="n"/>
      <c r="F3585" s="3" t="n"/>
      <c r="G3585" s="9" t="n"/>
      <c r="H3585" s="10" t="n">
        <v>45666.46443287037</v>
      </c>
      <c r="I3585" s="10" t="n">
        <v>45666.46520833333</v>
      </c>
      <c r="J3585" s="10" t="n">
        <v>45666.46659722222</v>
      </c>
      <c r="K3585" s="11" t="n">
        <v>0.001388888888888889</v>
      </c>
      <c r="L3585" s="13" t="n"/>
    </row>
    <row r="3586">
      <c r="A3586" s="3" t="inlineStr">
        <is>
          <t>Securing</t>
        </is>
      </c>
      <c r="B3586" s="3" t="inlineStr">
        <is>
          <t>Act_SEC_1007302_111236_605</t>
        </is>
      </c>
      <c r="C3586" s="3" t="inlineStr">
        <is>
          <t>1007302</t>
        </is>
      </c>
      <c r="D3586" s="9" t="n">
        <v>414.7</v>
      </c>
      <c r="E3586" s="3" t="n"/>
      <c r="F3586" s="3" t="n"/>
      <c r="G3586" s="9" t="n"/>
      <c r="H3586" s="10" t="n">
        <v>45666.46708333334</v>
      </c>
      <c r="I3586" s="10" t="n">
        <v>45666.46795138889</v>
      </c>
      <c r="J3586" s="10" t="n">
        <v>45666.46947916667</v>
      </c>
      <c r="K3586" s="11" t="n">
        <v>0.001527777777777778</v>
      </c>
      <c r="L3586" s="13" t="n"/>
    </row>
    <row r="3587">
      <c r="A3587" s="3" t="inlineStr">
        <is>
          <t>Securing</t>
        </is>
      </c>
      <c r="B3587" s="3" t="inlineStr">
        <is>
          <t>Act_SEC_1007401_144809_605</t>
        </is>
      </c>
      <c r="C3587" s="3" t="inlineStr">
        <is>
          <t>1007401</t>
        </is>
      </c>
      <c r="D3587" s="9" t="n">
        <v>241.4</v>
      </c>
      <c r="E3587" s="3" t="n"/>
      <c r="F3587" s="3" t="n"/>
      <c r="G3587" s="9" t="n"/>
      <c r="H3587" s="10" t="n">
        <v>45666.61677083333</v>
      </c>
      <c r="I3587" s="10" t="n">
        <v>45666.61753472222</v>
      </c>
      <c r="J3587" s="10" t="n">
        <v>45666.61892361111</v>
      </c>
      <c r="K3587" s="11" t="n">
        <v>0.001388888888888889</v>
      </c>
      <c r="L3587" s="13" t="n"/>
    </row>
    <row r="3588">
      <c r="A3588" s="3" t="inlineStr">
        <is>
          <t>Securing</t>
        </is>
      </c>
      <c r="B3588" s="3" t="inlineStr">
        <is>
          <t>Act_SEC_1007502_152625_619</t>
        </is>
      </c>
      <c r="C3588" s="3" t="inlineStr">
        <is>
          <t>1007502</t>
        </is>
      </c>
      <c r="D3588" s="9" t="n">
        <v>91.2</v>
      </c>
      <c r="E3588" s="3" t="n"/>
      <c r="F3588" s="3" t="n"/>
      <c r="G3588" s="9" t="n"/>
      <c r="H3588" s="10" t="n">
        <v>45666.64334490741</v>
      </c>
      <c r="I3588" s="10" t="n">
        <v>45666.64421296296</v>
      </c>
      <c r="J3588" s="10" t="n">
        <v>45666.64574074074</v>
      </c>
      <c r="K3588" s="11" t="n">
        <v>0.001527777777777778</v>
      </c>
      <c r="L3588" s="13" t="n"/>
    </row>
    <row r="3589">
      <c r="A3589" s="3" t="inlineStr">
        <is>
          <t>Securing</t>
        </is>
      </c>
      <c r="B3589" s="3" t="inlineStr">
        <is>
          <t>Act_SEC_1007503_152848_611</t>
        </is>
      </c>
      <c r="C3589" s="3" t="inlineStr">
        <is>
          <t>1007503</t>
        </is>
      </c>
      <c r="D3589" s="9" t="n">
        <v>131.9</v>
      </c>
      <c r="E3589" s="3" t="n"/>
      <c r="F3589" s="3" t="n"/>
      <c r="G3589" s="9" t="n"/>
      <c r="H3589" s="10" t="n">
        <v>45666.645</v>
      </c>
      <c r="I3589" s="10" t="n">
        <v>45666.64630787037</v>
      </c>
      <c r="J3589" s="10" t="n">
        <v>45666.64769675926</v>
      </c>
      <c r="K3589" s="11" t="n">
        <v>0.001388888888888889</v>
      </c>
      <c r="L3589" s="13" t="n"/>
    </row>
    <row r="3590">
      <c r="A3590" s="3" t="inlineStr">
        <is>
          <t>Securing</t>
        </is>
      </c>
      <c r="B3590" s="3" t="inlineStr">
        <is>
          <t>Act_SEC_1007601_154141_609</t>
        </is>
      </c>
      <c r="C3590" s="3" t="inlineStr">
        <is>
          <t>1007601</t>
        </is>
      </c>
      <c r="D3590" s="9" t="n">
        <v>314.8</v>
      </c>
      <c r="E3590" s="3" t="n"/>
      <c r="F3590" s="3" t="n"/>
      <c r="G3590" s="9" t="n"/>
      <c r="H3590" s="10" t="n">
        <v>45666.65394675926</v>
      </c>
      <c r="I3590" s="10" t="n">
        <v>45666.66337962963</v>
      </c>
      <c r="J3590" s="10" t="n">
        <v>45666.66490740741</v>
      </c>
      <c r="K3590" s="11" t="n">
        <v>0.001527777777777778</v>
      </c>
      <c r="L3590" s="13" t="n"/>
    </row>
    <row r="3591">
      <c r="A3591" s="3" t="inlineStr">
        <is>
          <t>Securing</t>
        </is>
      </c>
      <c r="B3591" s="3" t="inlineStr">
        <is>
          <t>Act_SEC_1007801_175703_611</t>
        </is>
      </c>
      <c r="C3591" s="3" t="inlineStr">
        <is>
          <t>1007801</t>
        </is>
      </c>
      <c r="D3591" s="9" t="n">
        <v>47.2</v>
      </c>
      <c r="E3591" s="3" t="n"/>
      <c r="F3591" s="3" t="n"/>
      <c r="G3591" s="9" t="n"/>
      <c r="H3591" s="10" t="n">
        <v>45666.74795138889</v>
      </c>
      <c r="I3591" s="10" t="n">
        <v>45666.7487962963</v>
      </c>
      <c r="J3591" s="10" t="n">
        <v>45666.75032407408</v>
      </c>
      <c r="K3591" s="11" t="n">
        <v>0.001527777777777778</v>
      </c>
      <c r="L3591" s="13" t="n"/>
    </row>
    <row r="3592">
      <c r="A3592" s="3" t="inlineStr">
        <is>
          <t>Securing</t>
        </is>
      </c>
      <c r="B3592" s="3" t="inlineStr">
        <is>
          <t>Act_SEC_1007704_181754_615</t>
        </is>
      </c>
      <c r="C3592" s="3" t="inlineStr">
        <is>
          <t>1007704</t>
        </is>
      </c>
      <c r="D3592" s="9" t="n">
        <v>116.9</v>
      </c>
      <c r="E3592" s="3" t="n"/>
      <c r="F3592" s="3" t="n"/>
      <c r="G3592" s="9" t="n"/>
      <c r="H3592" s="10" t="n">
        <v>45666.76243055556</v>
      </c>
      <c r="I3592" s="10" t="n">
        <v>45666.76329861111</v>
      </c>
      <c r="J3592" s="10" t="n">
        <v>45666.76482638889</v>
      </c>
      <c r="K3592" s="11" t="n">
        <v>0.001527777777777778</v>
      </c>
      <c r="L3592" s="13" t="n"/>
    </row>
    <row r="3593">
      <c r="A3593" s="3" t="inlineStr">
        <is>
          <t>Securing</t>
        </is>
      </c>
      <c r="B3593" s="3" t="inlineStr">
        <is>
          <t>Act_SEC_1007707_182455_609</t>
        </is>
      </c>
      <c r="C3593" s="3" t="inlineStr">
        <is>
          <t>1007707</t>
        </is>
      </c>
      <c r="D3593" s="9" t="n">
        <v>28</v>
      </c>
      <c r="E3593" s="3" t="n"/>
      <c r="F3593" s="3" t="n"/>
      <c r="G3593" s="9" t="n"/>
      <c r="H3593" s="10" t="n">
        <v>45666.76730324074</v>
      </c>
      <c r="I3593" s="10" t="n">
        <v>45666.76817129629</v>
      </c>
      <c r="J3593" s="10" t="n">
        <v>45666.76969907407</v>
      </c>
      <c r="K3593" s="11" t="n">
        <v>0.001527777777777778</v>
      </c>
      <c r="L3593" s="13" t="n"/>
    </row>
    <row r="3594">
      <c r="A3594" s="3" t="inlineStr">
        <is>
          <t>Securing</t>
        </is>
      </c>
      <c r="B3594" s="3" t="inlineStr">
        <is>
          <t>Act_SEC_1007708_182725_605</t>
        </is>
      </c>
      <c r="C3594" s="3" t="inlineStr">
        <is>
          <t>1007708</t>
        </is>
      </c>
      <c r="D3594" s="9" t="n">
        <v>19.9</v>
      </c>
      <c r="E3594" s="3" t="n"/>
      <c r="F3594" s="3" t="n"/>
      <c r="G3594" s="9" t="n"/>
      <c r="H3594" s="10" t="n">
        <v>45666.76903935185</v>
      </c>
      <c r="I3594" s="10" t="n">
        <v>45666.77143518518</v>
      </c>
      <c r="J3594" s="10" t="n">
        <v>45666.77296296296</v>
      </c>
      <c r="K3594" s="11" t="n">
        <v>0.001527777777777778</v>
      </c>
      <c r="L3594" s="13" t="n"/>
    </row>
    <row r="3595">
      <c r="A3595" s="3" t="inlineStr">
        <is>
          <t>Securing</t>
        </is>
      </c>
      <c r="B3595" s="3" t="inlineStr">
        <is>
          <t>Act_SEC_1007901_183337_621</t>
        </is>
      </c>
      <c r="C3595" s="3" t="inlineStr">
        <is>
          <t>1007901</t>
        </is>
      </c>
      <c r="D3595" s="9" t="n">
        <v>19.9</v>
      </c>
      <c r="E3595" s="3" t="n"/>
      <c r="F3595" s="3" t="n"/>
      <c r="G3595" s="9" t="n"/>
      <c r="H3595" s="10" t="n">
        <v>45666.77334490741</v>
      </c>
      <c r="I3595" s="10" t="n">
        <v>45666.77469907407</v>
      </c>
      <c r="J3595" s="10" t="n">
        <v>45666.77622685185</v>
      </c>
      <c r="K3595" s="11" t="n">
        <v>0.001527777777777778</v>
      </c>
      <c r="L3595" s="13" t="n"/>
    </row>
    <row r="3596">
      <c r="A3596" s="3" t="inlineStr">
        <is>
          <t>Securing</t>
        </is>
      </c>
      <c r="B3596" s="3" t="inlineStr">
        <is>
          <t>Act_SEC_1007903_183858_629</t>
        </is>
      </c>
      <c r="C3596" s="3" t="inlineStr">
        <is>
          <t>1007903</t>
        </is>
      </c>
      <c r="D3596" s="9" t="n">
        <v>74.59999999999999</v>
      </c>
      <c r="E3596" s="3" t="n"/>
      <c r="F3596" s="3" t="n"/>
      <c r="G3596" s="9" t="n"/>
      <c r="H3596" s="10" t="n">
        <v>45666.77706018519</v>
      </c>
      <c r="I3596" s="10" t="n">
        <v>45666.77796296297</v>
      </c>
      <c r="J3596" s="10" t="n">
        <v>45666.77949074074</v>
      </c>
      <c r="K3596" s="11" t="n">
        <v>0.001527777777777778</v>
      </c>
      <c r="L3596" s="13" t="n"/>
    </row>
    <row r="3597">
      <c r="A3597" s="3" t="inlineStr">
        <is>
          <t>Securing</t>
        </is>
      </c>
      <c r="B3597" s="3" t="inlineStr">
        <is>
          <t>Act_SEC_1007908_185032_613</t>
        </is>
      </c>
      <c r="C3597" s="3" t="inlineStr">
        <is>
          <t>1007908</t>
        </is>
      </c>
      <c r="D3597" s="9" t="n">
        <v>54</v>
      </c>
      <c r="E3597" s="3" t="n"/>
      <c r="F3597" s="3" t="n"/>
      <c r="G3597" s="9" t="n"/>
      <c r="H3597" s="10" t="n">
        <v>45666.7850925926</v>
      </c>
      <c r="I3597" s="10" t="n">
        <v>45666.78751157408</v>
      </c>
      <c r="J3597" s="10" t="n">
        <v>45666.78890046296</v>
      </c>
      <c r="K3597" s="11" t="n">
        <v>0.001388888888888889</v>
      </c>
      <c r="L3597" s="13" t="n"/>
    </row>
    <row r="3598">
      <c r="A3598" s="3" t="inlineStr">
        <is>
          <t>Securing</t>
        </is>
      </c>
      <c r="B3598" s="3" t="inlineStr">
        <is>
          <t>Act_SEC_1008001_202620_613</t>
        </is>
      </c>
      <c r="C3598" s="3" t="inlineStr">
        <is>
          <t>1008001</t>
        </is>
      </c>
      <c r="D3598" s="9" t="n">
        <v>27</v>
      </c>
      <c r="E3598" s="3" t="n"/>
      <c r="F3598" s="3" t="n"/>
      <c r="G3598" s="9" t="n"/>
      <c r="H3598" s="10" t="n">
        <v>45666.85162037037</v>
      </c>
      <c r="I3598" s="10" t="n">
        <v>45666.85247685185</v>
      </c>
      <c r="J3598" s="10" t="n">
        <v>45666.85400462963</v>
      </c>
      <c r="K3598" s="11" t="n">
        <v>0.001527777777777778</v>
      </c>
      <c r="L3598" s="13" t="n"/>
    </row>
    <row r="3599">
      <c r="A3599" s="3" t="inlineStr">
        <is>
          <t>Securing</t>
        </is>
      </c>
      <c r="B3599" s="3" t="inlineStr">
        <is>
          <t>Act_SEC_1008002_202802_615</t>
        </is>
      </c>
      <c r="C3599" s="3" t="inlineStr">
        <is>
          <t>1008002</t>
        </is>
      </c>
      <c r="D3599" s="9" t="n">
        <v>21</v>
      </c>
      <c r="E3599" s="3" t="n"/>
      <c r="F3599" s="3" t="n"/>
      <c r="G3599" s="9" t="n"/>
      <c r="H3599" s="10" t="n">
        <v>45666.85280092592</v>
      </c>
      <c r="I3599" s="10" t="n">
        <v>45666.85358796296</v>
      </c>
      <c r="J3599" s="10" t="n">
        <v>45666.85497685185</v>
      </c>
      <c r="K3599" s="11" t="n">
        <v>0.001388888888888889</v>
      </c>
      <c r="L3599" s="13" t="n"/>
    </row>
    <row r="3600">
      <c r="A3600" s="3" t="inlineStr">
        <is>
          <t>Securing</t>
        </is>
      </c>
      <c r="B3600" s="3" t="inlineStr">
        <is>
          <t>Act_SEC_1008004_203233_605</t>
        </is>
      </c>
      <c r="C3600" s="3" t="inlineStr">
        <is>
          <t>1008004</t>
        </is>
      </c>
      <c r="D3600" s="9" t="n">
        <v>62.2</v>
      </c>
      <c r="E3600" s="3" t="n"/>
      <c r="F3600" s="3" t="n"/>
      <c r="G3600" s="9" t="n"/>
      <c r="H3600" s="10" t="n">
        <v>45666.8559375</v>
      </c>
      <c r="I3600" s="10" t="n">
        <v>45666.85673611111</v>
      </c>
      <c r="J3600" s="10" t="n">
        <v>45666.858125</v>
      </c>
      <c r="K3600" s="11" t="n">
        <v>0.001388888888888889</v>
      </c>
      <c r="L3600" s="13" t="n"/>
    </row>
    <row r="3601">
      <c r="A3601" s="3" t="inlineStr">
        <is>
          <t>Securing</t>
        </is>
      </c>
      <c r="B3601" s="3" t="inlineStr">
        <is>
          <t>Act_SEC_1008007_204053_607</t>
        </is>
      </c>
      <c r="C3601" s="3" t="inlineStr">
        <is>
          <t>1008007</t>
        </is>
      </c>
      <c r="D3601" s="9" t="n">
        <v>15.7</v>
      </c>
      <c r="E3601" s="3" t="n"/>
      <c r="F3601" s="3" t="n"/>
      <c r="G3601" s="9" t="n"/>
      <c r="H3601" s="10" t="n">
        <v>45666.86172453704</v>
      </c>
      <c r="I3601" s="10" t="n">
        <v>45666.86256944444</v>
      </c>
      <c r="J3601" s="10" t="n">
        <v>45666.86409722222</v>
      </c>
      <c r="K3601" s="11" t="n">
        <v>0.001527777777777778</v>
      </c>
      <c r="L3601" s="13" t="n"/>
    </row>
    <row r="3602">
      <c r="A3602" s="3" t="inlineStr">
        <is>
          <t>Securing</t>
        </is>
      </c>
      <c r="B3602" s="3" t="inlineStr">
        <is>
          <t>Act_SEC_1008401_070635_625</t>
        </is>
      </c>
      <c r="C3602" s="3" t="inlineStr">
        <is>
          <t>1008401</t>
        </is>
      </c>
      <c r="D3602" s="9" t="n">
        <v>19.9</v>
      </c>
      <c r="E3602" s="3" t="n"/>
      <c r="F3602" s="3" t="n"/>
      <c r="G3602" s="9" t="n"/>
      <c r="H3602" s="10" t="n">
        <v>45667.29623842592</v>
      </c>
      <c r="I3602" s="10" t="n">
        <v>45667.29710648148</v>
      </c>
      <c r="J3602" s="10" t="n">
        <v>45667.29863425926</v>
      </c>
      <c r="K3602" s="11" t="n">
        <v>0.001527777777777778</v>
      </c>
      <c r="L3602" s="13" t="n"/>
    </row>
    <row r="3603">
      <c r="A3603" s="3" t="inlineStr">
        <is>
          <t>Securing</t>
        </is>
      </c>
      <c r="B3603" s="3" t="inlineStr">
        <is>
          <t>Act_SEC_1008405_071559_615</t>
        </is>
      </c>
      <c r="C3603" s="3" t="inlineStr">
        <is>
          <t>1008405</t>
        </is>
      </c>
      <c r="D3603" s="9" t="n">
        <v>19.9</v>
      </c>
      <c r="E3603" s="3" t="n"/>
      <c r="F3603" s="3" t="n"/>
      <c r="G3603" s="9" t="n"/>
      <c r="H3603" s="10" t="n">
        <v>45667.30276620371</v>
      </c>
      <c r="I3603" s="10" t="n">
        <v>45667.30353009259</v>
      </c>
      <c r="J3603" s="10" t="n">
        <v>45667.30491898148</v>
      </c>
      <c r="K3603" s="11" t="n">
        <v>0.001388888888888889</v>
      </c>
      <c r="L3603" s="13" t="n"/>
    </row>
    <row r="3604">
      <c r="A3604" s="3" t="inlineStr">
        <is>
          <t>Securing</t>
        </is>
      </c>
      <c r="B3604" s="3" t="inlineStr">
        <is>
          <t>Act_SEC_1008407_072131_605</t>
        </is>
      </c>
      <c r="C3604" s="3" t="inlineStr">
        <is>
          <t>1008407</t>
        </is>
      </c>
      <c r="D3604" s="9" t="n">
        <v>35.6</v>
      </c>
      <c r="E3604" s="3" t="n"/>
      <c r="F3604" s="3" t="n"/>
      <c r="G3604" s="9" t="n"/>
      <c r="H3604" s="10" t="n">
        <v>45667.30660879629</v>
      </c>
      <c r="I3604" s="10" t="n">
        <v>45667.30747685185</v>
      </c>
      <c r="J3604" s="10" t="n">
        <v>45667.30900462963</v>
      </c>
      <c r="K3604" s="11" t="n">
        <v>0.001527777777777778</v>
      </c>
      <c r="L3604" s="13" t="n"/>
    </row>
    <row r="3605">
      <c r="A3605" s="3" t="inlineStr">
        <is>
          <t>Securing</t>
        </is>
      </c>
      <c r="B3605" s="3" t="inlineStr">
        <is>
          <t>Act_SEC_1008408_072403_623</t>
        </is>
      </c>
      <c r="C3605" s="3" t="inlineStr">
        <is>
          <t>1008408</t>
        </is>
      </c>
      <c r="D3605" s="9" t="n">
        <v>19.9</v>
      </c>
      <c r="E3605" s="3" t="n"/>
      <c r="F3605" s="3" t="n"/>
      <c r="G3605" s="9" t="n"/>
      <c r="H3605" s="10" t="n">
        <v>45667.30836805556</v>
      </c>
      <c r="I3605" s="10" t="n">
        <v>45667.31074074074</v>
      </c>
      <c r="J3605" s="10" t="n">
        <v>45667.31226851852</v>
      </c>
      <c r="K3605" s="11" t="n">
        <v>0.001527777777777778</v>
      </c>
      <c r="L3605" s="13" t="n"/>
    </row>
    <row r="3606">
      <c r="A3606" s="3" t="inlineStr">
        <is>
          <t>Securing</t>
        </is>
      </c>
      <c r="B3606" s="3" t="inlineStr">
        <is>
          <t>Act_SEC_1008501_074032_619</t>
        </is>
      </c>
      <c r="C3606" s="3" t="inlineStr">
        <is>
          <t>1008501</t>
        </is>
      </c>
      <c r="D3606" s="9" t="n">
        <v>193.1</v>
      </c>
      <c r="E3606" s="3" t="n"/>
      <c r="F3606" s="3" t="n"/>
      <c r="G3606" s="9" t="n"/>
      <c r="H3606" s="10" t="n">
        <v>45667.31981481481</v>
      </c>
      <c r="I3606" s="10" t="n">
        <v>45667.32065972222</v>
      </c>
      <c r="J3606" s="10" t="n">
        <v>45667.3221875</v>
      </c>
      <c r="K3606" s="11" t="n">
        <v>0.001527777777777778</v>
      </c>
      <c r="L3606" s="13" t="n"/>
    </row>
    <row r="3607">
      <c r="A3607" s="3" t="inlineStr">
        <is>
          <t>Securing</t>
        </is>
      </c>
      <c r="B3607" s="3" t="inlineStr">
        <is>
          <t>Act_SEC_1008601_081204_606</t>
        </is>
      </c>
      <c r="C3607" s="3" t="inlineStr">
        <is>
          <t>1008601</t>
        </is>
      </c>
      <c r="D3607" s="9" t="n">
        <v>380.8</v>
      </c>
      <c r="E3607" s="3" t="n"/>
      <c r="F3607" s="3" t="n"/>
      <c r="G3607" s="9" t="n"/>
      <c r="H3607" s="10" t="n">
        <v>45667.34171296296</v>
      </c>
      <c r="I3607" s="10" t="n">
        <v>45667.34258101852</v>
      </c>
      <c r="J3607" s="10" t="n">
        <v>45667.34410879629</v>
      </c>
      <c r="K3607" s="11" t="n">
        <v>0.001527777777777778</v>
      </c>
      <c r="L3607" s="13" t="n"/>
    </row>
    <row r="3608">
      <c r="A3608" s="3" t="inlineStr">
        <is>
          <t>Securing</t>
        </is>
      </c>
      <c r="B3608" s="3" t="inlineStr">
        <is>
          <t>Act_SEC_1008801_091414_611</t>
        </is>
      </c>
      <c r="C3608" s="3" t="inlineStr">
        <is>
          <t>1008801</t>
        </is>
      </c>
      <c r="D3608" s="9" t="n">
        <v>75</v>
      </c>
      <c r="E3608" s="3" t="n"/>
      <c r="F3608" s="3" t="n"/>
      <c r="G3608" s="9" t="n"/>
      <c r="H3608" s="10" t="n">
        <v>45667.38488425926</v>
      </c>
      <c r="I3608" s="10" t="n">
        <v>45667.38574074074</v>
      </c>
      <c r="J3608" s="10" t="n">
        <v>45667.38726851852</v>
      </c>
      <c r="K3608" s="11" t="n">
        <v>0.001527777777777778</v>
      </c>
      <c r="L3608" s="13" t="n"/>
    </row>
    <row r="3609">
      <c r="A3609" s="3" t="inlineStr">
        <is>
          <t>Securing</t>
        </is>
      </c>
      <c r="B3609" s="3" t="inlineStr">
        <is>
          <t>Act_SEC_1008701_092303_605</t>
        </is>
      </c>
      <c r="C3609" s="3" t="inlineStr">
        <is>
          <t>1008701</t>
        </is>
      </c>
      <c r="D3609" s="9" t="n">
        <v>19.9</v>
      </c>
      <c r="E3609" s="3" t="n"/>
      <c r="F3609" s="3" t="n"/>
      <c r="G3609" s="9" t="n"/>
      <c r="H3609" s="10" t="n">
        <v>45667.39100694445</v>
      </c>
      <c r="I3609" s="10" t="n">
        <v>45667.39200231482</v>
      </c>
      <c r="J3609" s="10" t="n">
        <v>45667.3933912037</v>
      </c>
      <c r="K3609" s="11" t="n">
        <v>0.001388888888888889</v>
      </c>
      <c r="L3609" s="13" t="n"/>
    </row>
    <row r="3610">
      <c r="A3610" s="3" t="inlineStr">
        <is>
          <t>Securing</t>
        </is>
      </c>
      <c r="B3610" s="3" t="inlineStr">
        <is>
          <t>Act_SEC_1008702_092516_613</t>
        </is>
      </c>
      <c r="C3610" s="3" t="inlineStr">
        <is>
          <t>1008702</t>
        </is>
      </c>
      <c r="D3610" s="9" t="n">
        <v>141.7</v>
      </c>
      <c r="E3610" s="3" t="n"/>
      <c r="F3610" s="3" t="n"/>
      <c r="G3610" s="9" t="n"/>
      <c r="H3610" s="10" t="n">
        <v>45667.39254629629</v>
      </c>
      <c r="I3610" s="10" t="n">
        <v>45667.3940162037</v>
      </c>
      <c r="J3610" s="10" t="n">
        <v>45667.39554398148</v>
      </c>
      <c r="K3610" s="11" t="n">
        <v>0.001527777777777778</v>
      </c>
      <c r="L3610" s="13" t="n"/>
    </row>
    <row r="3611">
      <c r="A3611" s="3" t="inlineStr">
        <is>
          <t>Securing</t>
        </is>
      </c>
      <c r="B3611" s="3" t="inlineStr">
        <is>
          <t>Act_SEC_1008705_093128_613</t>
        </is>
      </c>
      <c r="C3611" s="3" t="inlineStr">
        <is>
          <t>1008705</t>
        </is>
      </c>
      <c r="D3611" s="9" t="n">
        <v>54</v>
      </c>
      <c r="E3611" s="3" t="n"/>
      <c r="F3611" s="3" t="n"/>
      <c r="G3611" s="9" t="n"/>
      <c r="H3611" s="10" t="n">
        <v>45667.39685185185</v>
      </c>
      <c r="I3611" s="10" t="n">
        <v>45667.39942129629</v>
      </c>
      <c r="J3611" s="10" t="n">
        <v>45667.40081018519</v>
      </c>
      <c r="K3611" s="11" t="n">
        <v>0.001388888888888889</v>
      </c>
      <c r="L3611" s="13" t="n"/>
    </row>
    <row r="3612">
      <c r="A3612" s="3" t="inlineStr">
        <is>
          <t>Securing</t>
        </is>
      </c>
      <c r="B3612" s="3" t="inlineStr">
        <is>
          <t>Act_SEC_1008706_093411_627</t>
        </is>
      </c>
      <c r="C3612" s="3" t="inlineStr">
        <is>
          <t>1008706</t>
        </is>
      </c>
      <c r="D3612" s="9" t="n">
        <v>15.7</v>
      </c>
      <c r="E3612" s="3" t="n"/>
      <c r="F3612" s="3" t="n"/>
      <c r="G3612" s="9" t="n"/>
      <c r="H3612" s="10" t="n">
        <v>45667.39873842592</v>
      </c>
      <c r="I3612" s="10" t="n">
        <v>45667.40199074074</v>
      </c>
      <c r="J3612" s="10" t="n">
        <v>45667.40351851852</v>
      </c>
      <c r="K3612" s="11" t="n">
        <v>0.001527777777777778</v>
      </c>
      <c r="L3612" s="13" t="n"/>
    </row>
    <row r="3613">
      <c r="A3613" s="3" t="inlineStr">
        <is>
          <t>Securing</t>
        </is>
      </c>
      <c r="B3613" s="3" t="inlineStr">
        <is>
          <t>Act_SEC_1008709_094130_619</t>
        </is>
      </c>
      <c r="C3613" s="3" t="inlineStr">
        <is>
          <t>1008709</t>
        </is>
      </c>
      <c r="D3613" s="9" t="n">
        <v>61.9</v>
      </c>
      <c r="E3613" s="3" t="n"/>
      <c r="F3613" s="3" t="n"/>
      <c r="G3613" s="9" t="n"/>
      <c r="H3613" s="10" t="n">
        <v>45667.40381944444</v>
      </c>
      <c r="I3613" s="10" t="n">
        <v>45667.40673611111</v>
      </c>
      <c r="J3613" s="10" t="n">
        <v>45667.408125</v>
      </c>
      <c r="K3613" s="11" t="n">
        <v>0.001388888888888889</v>
      </c>
      <c r="L3613" s="13" t="n"/>
    </row>
    <row r="3614">
      <c r="A3614" s="3" t="inlineStr">
        <is>
          <t>Securing</t>
        </is>
      </c>
      <c r="B3614" s="3" t="inlineStr">
        <is>
          <t>Act_SEC_1008711_094648_609</t>
        </is>
      </c>
      <c r="C3614" s="3" t="inlineStr">
        <is>
          <t>1008711</t>
        </is>
      </c>
      <c r="D3614" s="9" t="n">
        <v>59.7</v>
      </c>
      <c r="E3614" s="3" t="n"/>
      <c r="F3614" s="3" t="n"/>
      <c r="G3614" s="9" t="n"/>
      <c r="H3614" s="10" t="n">
        <v>45667.4075</v>
      </c>
      <c r="I3614" s="10" t="n">
        <v>45667.40996527778</v>
      </c>
      <c r="J3614" s="10" t="n">
        <v>45667.41149305556</v>
      </c>
      <c r="K3614" s="11" t="n">
        <v>0.001527777777777778</v>
      </c>
      <c r="L3614" s="13" t="n"/>
    </row>
    <row r="3615">
      <c r="A3615" s="3" t="inlineStr">
        <is>
          <t>Securing</t>
        </is>
      </c>
      <c r="B3615" s="3" t="inlineStr">
        <is>
          <t>Act_SEC_1008901_103347_627</t>
        </is>
      </c>
      <c r="C3615" s="3" t="inlineStr">
        <is>
          <t>1008901</t>
        </is>
      </c>
      <c r="D3615" s="9" t="n">
        <v>259.7</v>
      </c>
      <c r="E3615" s="3" t="n"/>
      <c r="F3615" s="3" t="n"/>
      <c r="G3615" s="9" t="n"/>
      <c r="H3615" s="10" t="n">
        <v>45667.44012731482</v>
      </c>
      <c r="I3615" s="10" t="n">
        <v>45667.4420949074</v>
      </c>
      <c r="J3615" s="10" t="n">
        <v>45667.44362268518</v>
      </c>
      <c r="K3615" s="11" t="n">
        <v>0.001527777777777778</v>
      </c>
      <c r="L3615" s="13" t="n"/>
    </row>
    <row r="3616">
      <c r="A3616" s="3" t="inlineStr">
        <is>
          <t>Securing</t>
        </is>
      </c>
      <c r="B3616" s="3" t="inlineStr">
        <is>
          <t>Act_SEC_1009001_131547_613</t>
        </is>
      </c>
      <c r="C3616" s="3" t="inlineStr">
        <is>
          <t>1009001</t>
        </is>
      </c>
      <c r="D3616" s="9" t="n">
        <v>95.3</v>
      </c>
      <c r="E3616" s="3" t="n"/>
      <c r="F3616" s="3" t="n"/>
      <c r="G3616" s="9" t="n"/>
      <c r="H3616" s="10" t="n">
        <v>45667.55262731481</v>
      </c>
      <c r="I3616" s="10" t="n">
        <v>45667.55346064815</v>
      </c>
      <c r="J3616" s="10" t="n">
        <v>45667.55498842592</v>
      </c>
      <c r="K3616" s="11" t="n">
        <v>0.001527777777777778</v>
      </c>
      <c r="L3616" s="13" t="n"/>
    </row>
    <row r="3617">
      <c r="A3617" s="3" t="inlineStr">
        <is>
          <t>Securing</t>
        </is>
      </c>
      <c r="B3617" s="3" t="inlineStr">
        <is>
          <t>Act_SEC_1009201_150613_627</t>
        </is>
      </c>
      <c r="C3617" s="3" t="inlineStr">
        <is>
          <t>1009201</t>
        </is>
      </c>
      <c r="D3617" s="9" t="n">
        <v>393.5</v>
      </c>
      <c r="E3617" s="3" t="n"/>
      <c r="F3617" s="3" t="n"/>
      <c r="G3617" s="9" t="n"/>
      <c r="H3617" s="10" t="n">
        <v>45667.62931712963</v>
      </c>
      <c r="I3617" s="10" t="n">
        <v>45667.63018518518</v>
      </c>
      <c r="J3617" s="10" t="n">
        <v>45667.63171296296</v>
      </c>
      <c r="K3617" s="11" t="n">
        <v>0.001527777777777778</v>
      </c>
      <c r="L3617" s="13" t="n"/>
    </row>
    <row r="3618">
      <c r="A3618" s="3" t="inlineStr">
        <is>
          <t>Securing</t>
        </is>
      </c>
      <c r="B3618" s="3" t="inlineStr">
        <is>
          <t>Act_SEC_1009301_174342_613</t>
        </is>
      </c>
      <c r="C3618" s="3" t="inlineStr">
        <is>
          <t>1009301</t>
        </is>
      </c>
      <c r="D3618" s="9" t="n">
        <v>302.1</v>
      </c>
      <c r="E3618" s="3" t="n"/>
      <c r="F3618" s="3" t="n"/>
      <c r="G3618" s="9" t="n"/>
      <c r="H3618" s="10" t="n">
        <v>45667.73868055556</v>
      </c>
      <c r="I3618" s="10" t="n">
        <v>45667.73951388889</v>
      </c>
      <c r="J3618" s="10" t="n">
        <v>45667.74104166667</v>
      </c>
      <c r="K3618" s="11" t="n">
        <v>0.001527777777777778</v>
      </c>
      <c r="L3618" s="13" t="n"/>
    </row>
    <row r="3619">
      <c r="A3619" s="3" t="inlineStr">
        <is>
          <t>Securing</t>
        </is>
      </c>
      <c r="B3619" s="3" t="inlineStr">
        <is>
          <t>Act_SEC_1009402_181823_627</t>
        </is>
      </c>
      <c r="C3619" s="3" t="inlineStr">
        <is>
          <t>1009402</t>
        </is>
      </c>
      <c r="D3619" s="9" t="n">
        <v>218.1</v>
      </c>
      <c r="E3619" s="3" t="n"/>
      <c r="F3619" s="3" t="n"/>
      <c r="G3619" s="9" t="n"/>
      <c r="H3619" s="10" t="n">
        <v>45667.7627662037</v>
      </c>
      <c r="I3619" s="10" t="n">
        <v>45667.76354166667</v>
      </c>
      <c r="J3619" s="10" t="n">
        <v>45667.76493055555</v>
      </c>
      <c r="K3619" s="11" t="n">
        <v>0.001388888888888889</v>
      </c>
      <c r="L3619" s="13" t="n"/>
    </row>
    <row r="3620">
      <c r="A3620" s="3" t="inlineStr">
        <is>
          <t>Securing</t>
        </is>
      </c>
      <c r="B3620" s="3" t="inlineStr">
        <is>
          <t>Act_SEC_1009403_182050_605</t>
        </is>
      </c>
      <c r="C3620" s="3" t="inlineStr">
        <is>
          <t>1009403</t>
        </is>
      </c>
      <c r="D3620" s="9" t="n">
        <v>15.7</v>
      </c>
      <c r="E3620" s="3" t="n"/>
      <c r="F3620" s="3" t="n"/>
      <c r="G3620" s="9" t="n"/>
      <c r="H3620" s="10" t="n">
        <v>45667.76446759259</v>
      </c>
      <c r="I3620" s="10" t="n">
        <v>45667.7653125</v>
      </c>
      <c r="J3620" s="10" t="n">
        <v>45667.76684027778</v>
      </c>
      <c r="K3620" s="11" t="n">
        <v>0.001527777777777778</v>
      </c>
      <c r="L3620" s="13" t="n"/>
    </row>
    <row r="3621">
      <c r="A3621" s="3" t="inlineStr">
        <is>
          <t>Securing</t>
        </is>
      </c>
      <c r="B3621" s="3" t="inlineStr">
        <is>
          <t>Act_SEC_1009404_182343_625</t>
        </is>
      </c>
      <c r="C3621" s="3" t="inlineStr">
        <is>
          <t>1009404</t>
        </is>
      </c>
      <c r="D3621" s="9" t="n">
        <v>16.5</v>
      </c>
      <c r="E3621" s="3" t="n"/>
      <c r="F3621" s="3" t="n"/>
      <c r="G3621" s="9" t="n"/>
      <c r="H3621" s="10" t="n">
        <v>45667.76646990741</v>
      </c>
      <c r="I3621" s="10" t="n">
        <v>45667.76724537037</v>
      </c>
      <c r="J3621" s="10" t="n">
        <v>45667.76863425926</v>
      </c>
      <c r="K3621" s="11" t="n">
        <v>0.001388888888888889</v>
      </c>
      <c r="L3621" s="13" t="n"/>
    </row>
    <row r="3622">
      <c r="A3622" s="3" t="inlineStr">
        <is>
          <t>Securing</t>
        </is>
      </c>
      <c r="B3622" s="3" t="inlineStr">
        <is>
          <t>Act_SEC_1009409_183501_627</t>
        </is>
      </c>
      <c r="C3622" s="3" t="inlineStr">
        <is>
          <t>1009409</t>
        </is>
      </c>
      <c r="D3622" s="9" t="n">
        <v>15.7</v>
      </c>
      <c r="E3622" s="3" t="n"/>
      <c r="F3622" s="3" t="n"/>
      <c r="G3622" s="9" t="n"/>
      <c r="H3622" s="10" t="n">
        <v>45667.77431712963</v>
      </c>
      <c r="I3622" s="10" t="n">
        <v>45667.77869212963</v>
      </c>
      <c r="J3622" s="10" t="n">
        <v>45667.78021990741</v>
      </c>
      <c r="K3622" s="11" t="n">
        <v>0.001527777777777778</v>
      </c>
      <c r="L3622" s="13" t="n"/>
    </row>
    <row r="3623">
      <c r="A3623" s="3" t="inlineStr">
        <is>
          <t>Securing</t>
        </is>
      </c>
      <c r="B3623" s="3" t="inlineStr">
        <is>
          <t>Act_SEC_1009411_183920_613</t>
        </is>
      </c>
      <c r="C3623" s="3" t="inlineStr">
        <is>
          <t>1009411</t>
        </is>
      </c>
      <c r="D3623" s="9" t="n">
        <v>27</v>
      </c>
      <c r="E3623" s="3" t="n"/>
      <c r="F3623" s="3" t="n"/>
      <c r="G3623" s="9" t="n"/>
      <c r="H3623" s="10" t="n">
        <v>45667.77731481481</v>
      </c>
      <c r="I3623" s="10" t="n">
        <v>45667.78192129629</v>
      </c>
      <c r="J3623" s="10" t="n">
        <v>45667.78344907407</v>
      </c>
      <c r="K3623" s="11" t="n">
        <v>0.001527777777777778</v>
      </c>
      <c r="L3623" s="13" t="n"/>
    </row>
    <row r="3624">
      <c r="A3624" s="3" t="inlineStr">
        <is>
          <t>Securing</t>
        </is>
      </c>
      <c r="B3624" s="3" t="inlineStr">
        <is>
          <t>Act_SEC_1009501_203608_613</t>
        </is>
      </c>
      <c r="C3624" s="3" t="inlineStr">
        <is>
          <t>1009501</t>
        </is>
      </c>
      <c r="D3624" s="9" t="n">
        <v>85.5</v>
      </c>
      <c r="E3624" s="3" t="n"/>
      <c r="F3624" s="3" t="n"/>
      <c r="G3624" s="9" t="n"/>
      <c r="H3624" s="10" t="n">
        <v>45667.85842592592</v>
      </c>
      <c r="I3624" s="10" t="n">
        <v>45667.85929398148</v>
      </c>
      <c r="J3624" s="10" t="n">
        <v>45667.86082175926</v>
      </c>
      <c r="K3624" s="11" t="n">
        <v>0.001527777777777778</v>
      </c>
      <c r="L3624" s="13" t="n"/>
    </row>
    <row r="3625">
      <c r="A3625" s="3" t="inlineStr">
        <is>
          <t>Securing</t>
        </is>
      </c>
      <c r="B3625" s="3" t="inlineStr">
        <is>
          <t>Act_SEC_1009502_203853_627</t>
        </is>
      </c>
      <c r="C3625" s="3" t="inlineStr">
        <is>
          <t>1009502</t>
        </is>
      </c>
      <c r="D3625" s="9" t="n">
        <v>14</v>
      </c>
      <c r="E3625" s="3" t="n"/>
      <c r="F3625" s="3" t="n"/>
      <c r="G3625" s="9" t="n"/>
      <c r="H3625" s="10" t="n">
        <v>45667.86033564815</v>
      </c>
      <c r="I3625" s="10" t="n">
        <v>45667.86118055556</v>
      </c>
      <c r="J3625" s="10" t="n">
        <v>45667.86270833333</v>
      </c>
      <c r="K3625" s="11" t="n">
        <v>0.001527777777777778</v>
      </c>
      <c r="L3625" s="13" t="n"/>
    </row>
    <row r="3626">
      <c r="A3626" s="3" t="inlineStr">
        <is>
          <t>Securing</t>
        </is>
      </c>
      <c r="B3626" s="3" t="inlineStr">
        <is>
          <t>Act_SEC_1009503_204104_609</t>
        </is>
      </c>
      <c r="C3626" s="3" t="inlineStr">
        <is>
          <t>1009503</t>
        </is>
      </c>
      <c r="D3626" s="9" t="n">
        <v>19.9</v>
      </c>
      <c r="E3626" s="3" t="n"/>
      <c r="F3626" s="3" t="n"/>
      <c r="G3626" s="9" t="n"/>
      <c r="H3626" s="10" t="n">
        <v>45667.86185185185</v>
      </c>
      <c r="I3626" s="10" t="n">
        <v>45667.86271990741</v>
      </c>
      <c r="J3626" s="10" t="n">
        <v>45667.86424768518</v>
      </c>
      <c r="K3626" s="11" t="n">
        <v>0.001527777777777778</v>
      </c>
      <c r="L3626" s="13" t="n"/>
    </row>
    <row r="3627">
      <c r="A3627" s="3" t="inlineStr">
        <is>
          <t>Securing</t>
        </is>
      </c>
      <c r="B3627" s="3" t="inlineStr">
        <is>
          <t>Act_SEC_1009504_204334_605</t>
        </is>
      </c>
      <c r="C3627" s="3" t="inlineStr">
        <is>
          <t>1009504</t>
        </is>
      </c>
      <c r="D3627" s="9" t="n">
        <v>21</v>
      </c>
      <c r="E3627" s="3" t="n"/>
      <c r="F3627" s="3" t="n"/>
      <c r="G3627" s="9" t="n"/>
      <c r="H3627" s="10" t="n">
        <v>45667.86358796297</v>
      </c>
      <c r="I3627" s="10" t="n">
        <v>45667.8644212963</v>
      </c>
      <c r="J3627" s="10" t="n">
        <v>45667.86594907408</v>
      </c>
      <c r="K3627" s="11" t="n">
        <v>0.001527777777777778</v>
      </c>
      <c r="L3627" s="13" t="n"/>
    </row>
    <row r="3628">
      <c r="A3628" s="3" t="inlineStr">
        <is>
          <t>Securing</t>
        </is>
      </c>
      <c r="B3628" s="3" t="inlineStr">
        <is>
          <t>Act_SEC_1009507_205034_606</t>
        </is>
      </c>
      <c r="C3628" s="3" t="inlineStr">
        <is>
          <t>1009507</t>
        </is>
      </c>
      <c r="D3628" s="9" t="n">
        <v>27</v>
      </c>
      <c r="E3628" s="3" t="n"/>
      <c r="F3628" s="3" t="n"/>
      <c r="G3628" s="9" t="n"/>
      <c r="H3628" s="10" t="n">
        <v>45667.86844907407</v>
      </c>
      <c r="I3628" s="10" t="n">
        <v>45667.86929398148</v>
      </c>
      <c r="J3628" s="10" t="n">
        <v>45667.87082175926</v>
      </c>
      <c r="K3628" s="11" t="n">
        <v>0.001527777777777778</v>
      </c>
      <c r="L3628" s="13" t="n"/>
    </row>
    <row r="3629">
      <c r="A3629" s="3" t="inlineStr">
        <is>
          <t>Securing</t>
        </is>
      </c>
      <c r="B3629" s="3" t="inlineStr">
        <is>
          <t>Act_SEC_1009508_205333_619</t>
        </is>
      </c>
      <c r="C3629" s="3" t="inlineStr">
        <is>
          <t>1009508</t>
        </is>
      </c>
      <c r="D3629" s="9" t="n">
        <v>63</v>
      </c>
      <c r="E3629" s="3" t="n"/>
      <c r="F3629" s="3" t="n"/>
      <c r="G3629" s="9" t="n"/>
      <c r="H3629" s="10" t="n">
        <v>45667.87052083333</v>
      </c>
      <c r="I3629" s="10" t="n">
        <v>45667.87136574074</v>
      </c>
      <c r="J3629" s="10" t="n">
        <v>45667.87289351852</v>
      </c>
      <c r="K3629" s="11" t="n">
        <v>0.001527777777777778</v>
      </c>
      <c r="L3629" s="13" t="n"/>
    </row>
    <row r="3630">
      <c r="A3630" s="3" t="inlineStr">
        <is>
          <t>Securing</t>
        </is>
      </c>
      <c r="B3630" s="3" t="inlineStr">
        <is>
          <t>Act_SEC_1009603_052227_613</t>
        </is>
      </c>
      <c r="C3630" s="3" t="inlineStr">
        <is>
          <t>1009603</t>
        </is>
      </c>
      <c r="D3630" s="9" t="n">
        <v>302.9</v>
      </c>
      <c r="E3630" s="3" t="n"/>
      <c r="F3630" s="3" t="n"/>
      <c r="G3630" s="9" t="n"/>
      <c r="H3630" s="10" t="n">
        <v>45668.22392361111</v>
      </c>
      <c r="I3630" s="10" t="n">
        <v>45668.22476851852</v>
      </c>
      <c r="J3630" s="10" t="n">
        <v>45668.2262962963</v>
      </c>
      <c r="K3630" s="11" t="n">
        <v>0.001527777777777778</v>
      </c>
      <c r="L3630" s="13" t="n"/>
    </row>
    <row r="3631">
      <c r="A3631" s="3" t="inlineStr">
        <is>
          <t>Securing</t>
        </is>
      </c>
      <c r="B3631" s="3" t="inlineStr">
        <is>
          <t>Act_SEC_1009702_055308_623</t>
        </is>
      </c>
      <c r="C3631" s="3" t="inlineStr">
        <is>
          <t>1009702</t>
        </is>
      </c>
      <c r="D3631" s="9" t="n">
        <v>110.2</v>
      </c>
      <c r="E3631" s="3" t="n"/>
      <c r="F3631" s="3" t="n"/>
      <c r="G3631" s="9" t="n"/>
      <c r="H3631" s="10" t="n">
        <v>45668.24523148148</v>
      </c>
      <c r="I3631" s="10" t="n">
        <v>45668.24601851852</v>
      </c>
      <c r="J3631" s="10" t="n">
        <v>45668.24740740741</v>
      </c>
      <c r="K3631" s="11" t="n">
        <v>0.001388888888888889</v>
      </c>
      <c r="L3631" s="13" t="n"/>
    </row>
    <row r="3632">
      <c r="A3632" s="3" t="inlineStr">
        <is>
          <t>Securing</t>
        </is>
      </c>
      <c r="B3632" s="3" t="inlineStr">
        <is>
          <t>Act_SEC_1009703_055546_611</t>
        </is>
      </c>
      <c r="C3632" s="3" t="inlineStr">
        <is>
          <t>1009703</t>
        </is>
      </c>
      <c r="D3632" s="9" t="n">
        <v>210.6</v>
      </c>
      <c r="E3632" s="3" t="n"/>
      <c r="F3632" s="3" t="n"/>
      <c r="G3632" s="9" t="n"/>
      <c r="H3632" s="10" t="n">
        <v>45668.24706018518</v>
      </c>
      <c r="I3632" s="10" t="n">
        <v>45668.24791666667</v>
      </c>
      <c r="J3632" s="10" t="n">
        <v>45668.24944444445</v>
      </c>
      <c r="K3632" s="11" t="n">
        <v>0.001527777777777778</v>
      </c>
      <c r="L3632" s="13" t="n"/>
    </row>
    <row r="3633">
      <c r="A3633" s="3" t="inlineStr">
        <is>
          <t>Securing</t>
        </is>
      </c>
      <c r="B3633" s="3" t="inlineStr">
        <is>
          <t>Act_SEC_1009802_180557_613</t>
        </is>
      </c>
      <c r="C3633" s="3" t="inlineStr">
        <is>
          <t>1009802</t>
        </is>
      </c>
      <c r="D3633" s="9" t="n">
        <v>349.3</v>
      </c>
      <c r="E3633" s="3" t="n"/>
      <c r="F3633" s="3" t="n"/>
      <c r="G3633" s="9" t="n"/>
      <c r="H3633" s="10" t="n">
        <v>45669.75413194444</v>
      </c>
      <c r="I3633" s="10" t="n">
        <v>45669.75496527777</v>
      </c>
      <c r="J3633" s="10" t="n">
        <v>45669.75649305555</v>
      </c>
      <c r="K3633" s="11" t="n">
        <v>0.001527777777777778</v>
      </c>
      <c r="L3633" s="13" t="n"/>
    </row>
    <row r="3634">
      <c r="A3634" s="3" t="inlineStr">
        <is>
          <t>Securing</t>
        </is>
      </c>
      <c r="B3634" s="3" t="inlineStr">
        <is>
          <t>Act_SEC_1009803_180829_623</t>
        </is>
      </c>
      <c r="C3634" s="3" t="inlineStr">
        <is>
          <t>1009803</t>
        </is>
      </c>
      <c r="D3634" s="9" t="n">
        <v>31.5</v>
      </c>
      <c r="E3634" s="3" t="n"/>
      <c r="F3634" s="3" t="n"/>
      <c r="G3634" s="9" t="n"/>
      <c r="H3634" s="10" t="n">
        <v>45669.75589120371</v>
      </c>
      <c r="I3634" s="10" t="n">
        <v>45669.75673611111</v>
      </c>
      <c r="J3634" s="10" t="n">
        <v>45669.75826388889</v>
      </c>
      <c r="K3634" s="11" t="n">
        <v>0.001527777777777778</v>
      </c>
      <c r="L3634" s="13" t="n"/>
    </row>
    <row r="3635">
      <c r="A3635" s="3" t="inlineStr">
        <is>
          <t>Securing</t>
        </is>
      </c>
      <c r="B3635" s="3" t="inlineStr">
        <is>
          <t>Act_SEC_1009901_201644_613</t>
        </is>
      </c>
      <c r="C3635" s="3" t="inlineStr">
        <is>
          <t>1009901</t>
        </is>
      </c>
      <c r="D3635" s="9" t="n">
        <v>106.9</v>
      </c>
      <c r="E3635" s="3" t="n"/>
      <c r="F3635" s="3" t="n"/>
      <c r="G3635" s="9" t="n"/>
      <c r="H3635" s="10" t="n">
        <v>45669.8449537037</v>
      </c>
      <c r="I3635" s="10" t="n">
        <v>45669.84574074074</v>
      </c>
      <c r="J3635" s="10" t="n">
        <v>45669.84712962963</v>
      </c>
      <c r="K3635" s="11" t="n">
        <v>0.001388888888888889</v>
      </c>
      <c r="L3635" s="13" t="n"/>
    </row>
    <row r="3636">
      <c r="A3636" s="3" t="inlineStr">
        <is>
          <t>Securing</t>
        </is>
      </c>
      <c r="B3636" s="3" t="inlineStr">
        <is>
          <t>Act_SEC_1009902_201956_625</t>
        </is>
      </c>
      <c r="C3636" s="3" t="inlineStr">
        <is>
          <t>1009902</t>
        </is>
      </c>
      <c r="D3636" s="9" t="n">
        <v>101.2</v>
      </c>
      <c r="E3636" s="3" t="n"/>
      <c r="F3636" s="3" t="n"/>
      <c r="G3636" s="9" t="n"/>
      <c r="H3636" s="10" t="n">
        <v>45669.84717592593</v>
      </c>
      <c r="I3636" s="10" t="n">
        <v>45669.84800925926</v>
      </c>
      <c r="J3636" s="10" t="n">
        <v>45669.84953703704</v>
      </c>
      <c r="K3636" s="11" t="n">
        <v>0.001527777777777778</v>
      </c>
      <c r="L3636" s="13" t="n"/>
    </row>
    <row r="3637">
      <c r="A3637" s="3" t="inlineStr">
        <is>
          <t>Securing</t>
        </is>
      </c>
      <c r="B3637" s="3" t="inlineStr">
        <is>
          <t>Act_SEC_1010002_024531_613</t>
        </is>
      </c>
      <c r="C3637" s="3" t="inlineStr">
        <is>
          <t>1010002</t>
        </is>
      </c>
      <c r="D3637" s="9" t="n">
        <v>15.7</v>
      </c>
      <c r="E3637" s="3" t="n"/>
      <c r="F3637" s="3" t="n"/>
      <c r="G3637" s="9" t="n"/>
      <c r="H3637" s="10" t="n">
        <v>45670.11494212963</v>
      </c>
      <c r="I3637" s="10" t="n">
        <v>45670.11572916667</v>
      </c>
      <c r="J3637" s="10" t="n">
        <v>45670.11711805555</v>
      </c>
      <c r="K3637" s="11" t="n">
        <v>0.001388888888888889</v>
      </c>
      <c r="L3637" s="13" t="n"/>
    </row>
    <row r="3638">
      <c r="A3638" s="3" t="inlineStr">
        <is>
          <t>Securing</t>
        </is>
      </c>
      <c r="B3638" s="3" t="inlineStr">
        <is>
          <t>Act_SEC_1010101_044429_625</t>
        </is>
      </c>
      <c r="C3638" s="3" t="inlineStr">
        <is>
          <t>1010101</t>
        </is>
      </c>
      <c r="D3638" s="9" t="n">
        <v>301.2</v>
      </c>
      <c r="E3638" s="3" t="n"/>
      <c r="F3638" s="3" t="n"/>
      <c r="G3638" s="9" t="n"/>
      <c r="H3638" s="10" t="n">
        <v>45670.19755787037</v>
      </c>
      <c r="I3638" s="10" t="n">
        <v>45670.19842592593</v>
      </c>
      <c r="J3638" s="10" t="n">
        <v>45670.1999537037</v>
      </c>
      <c r="K3638" s="11" t="n">
        <v>0.001527777777777778</v>
      </c>
      <c r="L3638" s="13" t="n"/>
    </row>
    <row r="3639">
      <c r="A3639" s="3" t="inlineStr">
        <is>
          <t>Securing</t>
        </is>
      </c>
      <c r="B3639" s="3" t="inlineStr">
        <is>
          <t>Act_SEC_1010201_062041_625</t>
        </is>
      </c>
      <c r="C3639" s="3" t="inlineStr">
        <is>
          <t>1010201</t>
        </is>
      </c>
      <c r="D3639" s="9" t="n">
        <v>298</v>
      </c>
      <c r="E3639" s="3" t="n"/>
      <c r="F3639" s="3" t="n"/>
      <c r="G3639" s="9" t="n"/>
      <c r="H3639" s="10" t="n">
        <v>45670.26436342593</v>
      </c>
      <c r="I3639" s="10" t="n">
        <v>45670.26513888889</v>
      </c>
      <c r="J3639" s="10" t="n">
        <v>45670.26652777778</v>
      </c>
      <c r="K3639" s="11" t="n">
        <v>0.001388888888888889</v>
      </c>
      <c r="L3639" s="13" t="n"/>
    </row>
    <row r="3640">
      <c r="A3640" s="3" t="inlineStr">
        <is>
          <t>Securing</t>
        </is>
      </c>
      <c r="B3640" s="3" t="inlineStr">
        <is>
          <t>Act_SEC_1010301_071555_605</t>
        </is>
      </c>
      <c r="C3640" s="3" t="inlineStr">
        <is>
          <t>1010301</t>
        </is>
      </c>
      <c r="D3640" s="9" t="n">
        <v>205.5</v>
      </c>
      <c r="E3640" s="3" t="n"/>
      <c r="F3640" s="3" t="n"/>
      <c r="G3640" s="9" t="n"/>
      <c r="H3640" s="10" t="n">
        <v>45670.30271990741</v>
      </c>
      <c r="I3640" s="10" t="n">
        <v>45670.30349537037</v>
      </c>
      <c r="J3640" s="10" t="n">
        <v>45670.30488425926</v>
      </c>
      <c r="K3640" s="11" t="n">
        <v>0.001388888888888889</v>
      </c>
      <c r="L3640" s="13" t="n"/>
    </row>
    <row r="3641">
      <c r="A3641" s="3" t="inlineStr">
        <is>
          <t>Securing</t>
        </is>
      </c>
      <c r="B3641" s="3" t="inlineStr">
        <is>
          <t>Act_SEC_1010401_073155_619</t>
        </is>
      </c>
      <c r="C3641" s="3" t="inlineStr">
        <is>
          <t>1010401</t>
        </is>
      </c>
      <c r="D3641" s="9" t="n">
        <v>397.3</v>
      </c>
      <c r="E3641" s="3" t="n"/>
      <c r="F3641" s="3" t="n"/>
      <c r="G3641" s="9" t="n"/>
      <c r="H3641" s="10" t="n">
        <v>45670.31383101852</v>
      </c>
      <c r="I3641" s="10" t="n">
        <v>45670.31459490741</v>
      </c>
      <c r="J3641" s="10" t="n">
        <v>45670.3159837963</v>
      </c>
      <c r="K3641" s="11" t="n">
        <v>0.001388888888888889</v>
      </c>
      <c r="L3641" s="13" t="n"/>
    </row>
    <row r="3642">
      <c r="A3642" s="3" t="inlineStr">
        <is>
          <t>Securing</t>
        </is>
      </c>
      <c r="B3642" s="3" t="inlineStr">
        <is>
          <t>Act_SEC_1010502_075808_611</t>
        </is>
      </c>
      <c r="C3642" s="3" t="inlineStr">
        <is>
          <t>1010502</t>
        </is>
      </c>
      <c r="D3642" s="9" t="n">
        <v>70.5</v>
      </c>
      <c r="E3642" s="3" t="n"/>
      <c r="F3642" s="3" t="n"/>
      <c r="G3642" s="9" t="n"/>
      <c r="H3642" s="10" t="n">
        <v>45670.33203703703</v>
      </c>
      <c r="I3642" s="10" t="n">
        <v>45670.33288194444</v>
      </c>
      <c r="J3642" s="10" t="n">
        <v>45670.33440972222</v>
      </c>
      <c r="K3642" s="11" t="n">
        <v>0.001527777777777778</v>
      </c>
      <c r="L3642" s="13" t="n"/>
    </row>
    <row r="3643">
      <c r="A3643" s="3" t="inlineStr">
        <is>
          <t>Securing</t>
        </is>
      </c>
      <c r="B3643" s="3" t="inlineStr">
        <is>
          <t>Act_SEC_1010505_080514_621</t>
        </is>
      </c>
      <c r="C3643" s="3" t="inlineStr">
        <is>
          <t>1010505</t>
        </is>
      </c>
      <c r="D3643" s="9" t="n">
        <v>31.5</v>
      </c>
      <c r="E3643" s="3" t="n"/>
      <c r="F3643" s="3" t="n"/>
      <c r="G3643" s="9" t="n"/>
      <c r="H3643" s="10" t="n">
        <v>45670.33696759259</v>
      </c>
      <c r="I3643" s="10" t="n">
        <v>45670.34085648148</v>
      </c>
      <c r="J3643" s="10" t="n">
        <v>45670.34238425926</v>
      </c>
      <c r="K3643" s="11" t="n">
        <v>0.001527777777777778</v>
      </c>
      <c r="L3643" s="13" t="n"/>
    </row>
    <row r="3644">
      <c r="A3644" s="3" t="inlineStr">
        <is>
          <t>Securing</t>
        </is>
      </c>
      <c r="B3644" s="3" t="inlineStr">
        <is>
          <t>Act_SEC_1010506_080744_605</t>
        </is>
      </c>
      <c r="C3644" s="3" t="inlineStr">
        <is>
          <t>1010506</t>
        </is>
      </c>
      <c r="D3644" s="9" t="n">
        <v>19.9</v>
      </c>
      <c r="E3644" s="3" t="n"/>
      <c r="F3644" s="3" t="n"/>
      <c r="G3644" s="9" t="n"/>
      <c r="H3644" s="10" t="n">
        <v>45670.3387037037</v>
      </c>
      <c r="I3644" s="10" t="n">
        <v>45670.34097222222</v>
      </c>
      <c r="J3644" s="10" t="n">
        <v>45670.3425</v>
      </c>
      <c r="K3644" s="11" t="n">
        <v>0.001527777777777778</v>
      </c>
      <c r="L3644" s="13" t="n"/>
    </row>
    <row r="3645">
      <c r="A3645" s="3" t="inlineStr">
        <is>
          <t>Securing</t>
        </is>
      </c>
      <c r="B3645" s="3" t="inlineStr">
        <is>
          <t>Act_SEC_1010508_081300_629</t>
        </is>
      </c>
      <c r="C3645" s="3" t="inlineStr">
        <is>
          <t>1010508</t>
        </is>
      </c>
      <c r="D3645" s="9" t="n">
        <v>16.5</v>
      </c>
      <c r="E3645" s="3" t="n"/>
      <c r="F3645" s="3" t="n"/>
      <c r="G3645" s="9" t="n"/>
      <c r="H3645" s="10" t="n">
        <v>45670.34236111111</v>
      </c>
      <c r="I3645" s="10" t="n">
        <v>45670.34320601852</v>
      </c>
      <c r="J3645" s="10" t="n">
        <v>45670.34473379629</v>
      </c>
      <c r="K3645" s="11" t="n">
        <v>0.001527777777777778</v>
      </c>
      <c r="L3645" s="13" t="n"/>
    </row>
    <row r="3646">
      <c r="A3646" s="3" t="inlineStr">
        <is>
          <t>Securing</t>
        </is>
      </c>
      <c r="B3646" s="3" t="inlineStr">
        <is>
          <t>Act_SEC_1010512_082251_605</t>
        </is>
      </c>
      <c r="C3646" s="3" t="inlineStr">
        <is>
          <t>1010512</t>
        </is>
      </c>
      <c r="D3646" s="9" t="n">
        <v>23.2</v>
      </c>
      <c r="E3646" s="3" t="n"/>
      <c r="F3646" s="3" t="n"/>
      <c r="G3646" s="9" t="n"/>
      <c r="H3646" s="10" t="n">
        <v>45670.34920138889</v>
      </c>
      <c r="I3646" s="10" t="n">
        <v>45670.35006944444</v>
      </c>
      <c r="J3646" s="10" t="n">
        <v>45670.35159722222</v>
      </c>
      <c r="K3646" s="11" t="n">
        <v>0.001527777777777778</v>
      </c>
      <c r="L3646" s="13" t="n"/>
    </row>
    <row r="3647">
      <c r="A3647" s="3" t="inlineStr">
        <is>
          <t>Securing</t>
        </is>
      </c>
      <c r="B3647" s="3" t="inlineStr">
        <is>
          <t>Act_SEC_1010601_091833_625</t>
        </is>
      </c>
      <c r="C3647" s="3" t="inlineStr">
        <is>
          <t>1010601</t>
        </is>
      </c>
      <c r="D3647" s="9" t="n">
        <v>279</v>
      </c>
      <c r="E3647" s="3" t="n"/>
      <c r="F3647" s="3" t="n"/>
      <c r="G3647" s="9" t="n"/>
      <c r="H3647" s="10" t="n">
        <v>45670.38788194444</v>
      </c>
      <c r="I3647" s="10" t="n">
        <v>45670.38871527778</v>
      </c>
      <c r="J3647" s="10" t="n">
        <v>45670.39024305555</v>
      </c>
      <c r="K3647" s="11" t="n">
        <v>0.001527777777777778</v>
      </c>
      <c r="L3647" s="13" t="n"/>
    </row>
    <row r="3648">
      <c r="A3648" s="3" t="inlineStr">
        <is>
          <t>Securing</t>
        </is>
      </c>
      <c r="B3648" s="3" t="inlineStr">
        <is>
          <t>Act_SEC_1010705_093924_615</t>
        </is>
      </c>
      <c r="C3648" s="3" t="inlineStr">
        <is>
          <t>1010705</t>
        </is>
      </c>
      <c r="D3648" s="9" t="n">
        <v>19.9</v>
      </c>
      <c r="E3648" s="3" t="n"/>
      <c r="F3648" s="3" t="n"/>
      <c r="G3648" s="9" t="n"/>
      <c r="H3648" s="10" t="n">
        <v>45670.40236111111</v>
      </c>
      <c r="I3648" s="10" t="n">
        <v>45670.40736111111</v>
      </c>
      <c r="J3648" s="10" t="n">
        <v>45670.40888888889</v>
      </c>
      <c r="K3648" s="11" t="n">
        <v>0.001527777777777778</v>
      </c>
      <c r="L3648" s="13" t="n"/>
    </row>
    <row r="3649">
      <c r="A3649" s="3" t="inlineStr">
        <is>
          <t>Securing</t>
        </is>
      </c>
      <c r="B3649" s="3" t="inlineStr">
        <is>
          <t>Act_SEC_1010706_094112_617</t>
        </is>
      </c>
      <c r="C3649" s="3" t="inlineStr">
        <is>
          <t>1010706</t>
        </is>
      </c>
      <c r="D3649" s="9" t="n">
        <v>12</v>
      </c>
      <c r="E3649" s="3" t="n"/>
      <c r="F3649" s="3" t="n"/>
      <c r="G3649" s="9" t="n"/>
      <c r="H3649" s="10" t="n">
        <v>45670.40361111111</v>
      </c>
      <c r="I3649" s="10" t="n">
        <v>45670.40766203704</v>
      </c>
      <c r="J3649" s="10" t="n">
        <v>45670.40905092593</v>
      </c>
      <c r="K3649" s="11" t="n">
        <v>0.001388888888888889</v>
      </c>
      <c r="L3649" s="13" t="n"/>
    </row>
    <row r="3650">
      <c r="A3650" s="3" t="inlineStr">
        <is>
          <t>Securing</t>
        </is>
      </c>
      <c r="B3650" s="3" t="inlineStr">
        <is>
          <t>Act_SEC_1010801_102403_619</t>
        </is>
      </c>
      <c r="C3650" s="3" t="inlineStr">
        <is>
          <t>1010801</t>
        </is>
      </c>
      <c r="D3650" s="9" t="n">
        <v>267.5</v>
      </c>
      <c r="E3650" s="3" t="n"/>
      <c r="F3650" s="3" t="n"/>
      <c r="G3650" s="9" t="n"/>
      <c r="H3650" s="10" t="n">
        <v>45670.43336805556</v>
      </c>
      <c r="I3650" s="10" t="n">
        <v>45670.43913194445</v>
      </c>
      <c r="J3650" s="10" t="n">
        <v>45670.44052083333</v>
      </c>
      <c r="K3650" s="11" t="n">
        <v>0.001388888888888889</v>
      </c>
      <c r="L3650" s="13" t="n"/>
    </row>
    <row r="3651">
      <c r="A3651" s="3" t="inlineStr">
        <is>
          <t>Securing</t>
        </is>
      </c>
      <c r="B3651" s="3" t="inlineStr">
        <is>
          <t>Act_SEC_1010802_102637_606</t>
        </is>
      </c>
      <c r="C3651" s="3" t="inlineStr">
        <is>
          <t>1010802</t>
        </is>
      </c>
      <c r="D3651" s="9" t="n">
        <v>40.9</v>
      </c>
      <c r="E3651" s="3" t="n"/>
      <c r="F3651" s="3" t="n"/>
      <c r="G3651" s="9" t="n"/>
      <c r="H3651" s="10" t="n">
        <v>45670.43515046296</v>
      </c>
      <c r="I3651" s="10" t="n">
        <v>45670.43924768519</v>
      </c>
      <c r="J3651" s="10" t="n">
        <v>45670.44077546296</v>
      </c>
      <c r="K3651" s="11" t="n">
        <v>0.001527777777777778</v>
      </c>
      <c r="L3651" s="13" t="n"/>
    </row>
    <row r="3652">
      <c r="A3652" s="3" t="inlineStr">
        <is>
          <t>Securing</t>
        </is>
      </c>
      <c r="B3652" s="3" t="inlineStr">
        <is>
          <t>Act_SEC_1010803_102845_617</t>
        </is>
      </c>
      <c r="C3652" s="3" t="inlineStr">
        <is>
          <t>1010803</t>
        </is>
      </c>
      <c r="D3652" s="9" t="n">
        <v>99.5</v>
      </c>
      <c r="E3652" s="3" t="n"/>
      <c r="F3652" s="3" t="n"/>
      <c r="G3652" s="9" t="n"/>
      <c r="H3652" s="10" t="n">
        <v>45670.43663194445</v>
      </c>
      <c r="I3652" s="10" t="n">
        <v>45670.44108796296</v>
      </c>
      <c r="J3652" s="10" t="n">
        <v>45670.44247685185</v>
      </c>
      <c r="K3652" s="11" t="n">
        <v>0.001388888888888889</v>
      </c>
      <c r="L3652" s="13" t="n"/>
    </row>
    <row r="3653">
      <c r="A3653" s="3" t="inlineStr">
        <is>
          <t>Securing</t>
        </is>
      </c>
      <c r="B3653" s="3" t="inlineStr">
        <is>
          <t>Act_SEC_1011001_144320_615</t>
        </is>
      </c>
      <c r="C3653" s="3" t="inlineStr">
        <is>
          <t>1011001</t>
        </is>
      </c>
      <c r="D3653" s="9" t="n">
        <v>388.3</v>
      </c>
      <c r="E3653" s="3" t="n"/>
      <c r="F3653" s="3" t="n"/>
      <c r="G3653" s="9" t="n"/>
      <c r="H3653" s="10" t="n">
        <v>45670.61342592593</v>
      </c>
      <c r="I3653" s="10" t="n">
        <v>45670.61425925926</v>
      </c>
      <c r="J3653" s="10" t="n">
        <v>45670.61578703704</v>
      </c>
      <c r="K3653" s="11" t="n">
        <v>0.001527777777777778</v>
      </c>
      <c r="L3653" s="13" t="n"/>
    </row>
    <row r="3654">
      <c r="A3654" s="3" t="inlineStr">
        <is>
          <t>Securing</t>
        </is>
      </c>
      <c r="B3654" s="3" t="inlineStr">
        <is>
          <t>Act_SEC_1011101_151528_613</t>
        </is>
      </c>
      <c r="C3654" s="3" t="inlineStr">
        <is>
          <t>1011101</t>
        </is>
      </c>
      <c r="D3654" s="9" t="n">
        <v>31.5</v>
      </c>
      <c r="E3654" s="3" t="n"/>
      <c r="F3654" s="3" t="n"/>
      <c r="G3654" s="9" t="n"/>
      <c r="H3654" s="10" t="n">
        <v>45670.63574074074</v>
      </c>
      <c r="I3654" s="10" t="n">
        <v>45670.63658564815</v>
      </c>
      <c r="J3654" s="10" t="n">
        <v>45670.63811342593</v>
      </c>
      <c r="K3654" s="11" t="n">
        <v>0.001527777777777778</v>
      </c>
      <c r="L3654" s="13" t="n"/>
    </row>
    <row r="3655">
      <c r="A3655" s="3" t="inlineStr">
        <is>
          <t>Securing</t>
        </is>
      </c>
      <c r="B3655" s="3" t="inlineStr">
        <is>
          <t>Act_SEC_1011102_151837_625</t>
        </is>
      </c>
      <c r="C3655" s="3" t="inlineStr">
        <is>
          <t>1011102</t>
        </is>
      </c>
      <c r="D3655" s="9" t="n">
        <v>81</v>
      </c>
      <c r="E3655" s="3" t="n"/>
      <c r="F3655" s="3" t="n"/>
      <c r="G3655" s="9" t="n"/>
      <c r="H3655" s="10" t="n">
        <v>45670.63792824074</v>
      </c>
      <c r="I3655" s="10" t="n">
        <v>45670.63877314814</v>
      </c>
      <c r="J3655" s="10" t="n">
        <v>45670.64030092592</v>
      </c>
      <c r="K3655" s="11" t="n">
        <v>0.001527777777777778</v>
      </c>
      <c r="L3655" s="13" t="n"/>
    </row>
    <row r="3656">
      <c r="A3656" s="3" t="inlineStr">
        <is>
          <t>Securing</t>
        </is>
      </c>
      <c r="B3656" s="3" t="inlineStr">
        <is>
          <t>Act_SEC_1011107_153145_605</t>
        </is>
      </c>
      <c r="C3656" s="3" t="inlineStr">
        <is>
          <t>1011107</t>
        </is>
      </c>
      <c r="D3656" s="9" t="n">
        <v>21</v>
      </c>
      <c r="E3656" s="3" t="n"/>
      <c r="F3656" s="3" t="n"/>
      <c r="G3656" s="9" t="n"/>
      <c r="H3656" s="10" t="n">
        <v>45670.64704861111</v>
      </c>
      <c r="I3656" s="10" t="n">
        <v>45670.6490625</v>
      </c>
      <c r="J3656" s="10" t="n">
        <v>45670.65059027778</v>
      </c>
      <c r="K3656" s="11" t="n">
        <v>0.001527777777777778</v>
      </c>
      <c r="L3656" s="13" t="n"/>
    </row>
    <row r="3657">
      <c r="A3657" s="3" t="inlineStr">
        <is>
          <t>Securing</t>
        </is>
      </c>
      <c r="B3657" s="3" t="inlineStr">
        <is>
          <t>Act_SEC_1011108_153442_619</t>
        </is>
      </c>
      <c r="C3657" s="3" t="inlineStr">
        <is>
          <t>1011108</t>
        </is>
      </c>
      <c r="D3657" s="9" t="n">
        <v>58.9</v>
      </c>
      <c r="E3657" s="3" t="n"/>
      <c r="F3657" s="3" t="n"/>
      <c r="G3657" s="9" t="n"/>
      <c r="H3657" s="10" t="n">
        <v>45670.64909722222</v>
      </c>
      <c r="I3657" s="10" t="n">
        <v>45670.65087962963</v>
      </c>
      <c r="J3657" s="10" t="n">
        <v>45670.6524074074</v>
      </c>
      <c r="K3657" s="11" t="n">
        <v>0.001527777777777778</v>
      </c>
      <c r="L3657" s="13" t="n"/>
    </row>
    <row r="3658">
      <c r="A3658" s="3" t="inlineStr">
        <is>
          <t>Securing</t>
        </is>
      </c>
      <c r="B3658" s="3" t="inlineStr">
        <is>
          <t>Act_SEC_1011201_154700_611</t>
        </is>
      </c>
      <c r="C3658" s="3" t="inlineStr">
        <is>
          <t>1011201</t>
        </is>
      </c>
      <c r="D3658" s="9" t="n">
        <v>393.5</v>
      </c>
      <c r="E3658" s="3" t="n"/>
      <c r="F3658" s="3" t="n"/>
      <c r="G3658" s="9" t="n"/>
      <c r="H3658" s="10" t="n">
        <v>45670.65763888889</v>
      </c>
      <c r="I3658" s="10" t="n">
        <v>45670.65880787037</v>
      </c>
      <c r="J3658" s="10" t="n">
        <v>45670.66033564815</v>
      </c>
      <c r="K3658" s="11" t="n">
        <v>0.001527777777777778</v>
      </c>
      <c r="L3658" s="13" t="n"/>
    </row>
    <row r="3659">
      <c r="A3659" s="3" t="inlineStr">
        <is>
          <t>Securing</t>
        </is>
      </c>
      <c r="B3659" s="3" t="inlineStr">
        <is>
          <t>Act_SEC_1011302_162226_625</t>
        </is>
      </c>
      <c r="C3659" s="3" t="inlineStr">
        <is>
          <t>1011302</t>
        </is>
      </c>
      <c r="D3659" s="9" t="n">
        <v>229.7</v>
      </c>
      <c r="E3659" s="3" t="n"/>
      <c r="F3659" s="3" t="n"/>
      <c r="G3659" s="9" t="n"/>
      <c r="H3659" s="10" t="n">
        <v>45670.68224537037</v>
      </c>
      <c r="I3659" s="10" t="n">
        <v>45670.68450231481</v>
      </c>
      <c r="J3659" s="10" t="n">
        <v>45670.68603009259</v>
      </c>
      <c r="K3659" s="11" t="n">
        <v>0.001527777777777778</v>
      </c>
      <c r="L3659" s="13" t="n"/>
    </row>
    <row r="3660">
      <c r="A3660" s="3" t="inlineStr">
        <is>
          <t>Securing</t>
        </is>
      </c>
      <c r="B3660" s="3" t="inlineStr">
        <is>
          <t>Act_SEC_1011401_173906_615</t>
        </is>
      </c>
      <c r="C3660" s="3" t="inlineStr">
        <is>
          <t>1011401</t>
        </is>
      </c>
      <c r="D3660" s="9" t="n">
        <v>185.9</v>
      </c>
      <c r="E3660" s="3" t="n"/>
      <c r="F3660" s="3" t="n"/>
      <c r="G3660" s="9" t="n"/>
      <c r="H3660" s="10" t="n">
        <v>45670.73548611111</v>
      </c>
      <c r="I3660" s="10" t="n">
        <v>45670.73635416666</v>
      </c>
      <c r="J3660" s="10" t="n">
        <v>45670.73788194444</v>
      </c>
      <c r="K3660" s="11" t="n">
        <v>0.001527777777777778</v>
      </c>
      <c r="L3660" s="13" t="n"/>
    </row>
    <row r="3661">
      <c r="A3661" s="3" t="inlineStr">
        <is>
          <t>Securing</t>
        </is>
      </c>
      <c r="B3661" s="3" t="inlineStr">
        <is>
          <t>Act_SEC_1011501_212027_615</t>
        </is>
      </c>
      <c r="C3661" s="3" t="inlineStr">
        <is>
          <t>1011501</t>
        </is>
      </c>
      <c r="D3661" s="9" t="n">
        <v>389.1</v>
      </c>
      <c r="E3661" s="3" t="n"/>
      <c r="F3661" s="3" t="n"/>
      <c r="G3661" s="9" t="n"/>
      <c r="H3661" s="10" t="n">
        <v>45670.88920138889</v>
      </c>
      <c r="I3661" s="10" t="n">
        <v>45670.89006944445</v>
      </c>
      <c r="J3661" s="10" t="n">
        <v>45670.89159722222</v>
      </c>
      <c r="K3661" s="11" t="n">
        <v>0.001527777777777778</v>
      </c>
      <c r="L3661" s="13" t="n"/>
    </row>
    <row r="3662">
      <c r="A3662" s="3" t="inlineStr">
        <is>
          <t>Securing</t>
        </is>
      </c>
      <c r="B3662" s="3" t="inlineStr">
        <is>
          <t>Act_SEC_1011602_024612_617</t>
        </is>
      </c>
      <c r="C3662" s="3" t="inlineStr">
        <is>
          <t>1011602</t>
        </is>
      </c>
      <c r="D3662" s="9" t="n">
        <v>12</v>
      </c>
      <c r="E3662" s="3" t="n"/>
      <c r="F3662" s="3" t="n"/>
      <c r="G3662" s="9" t="n"/>
      <c r="H3662" s="10" t="n">
        <v>45671.11541666667</v>
      </c>
      <c r="I3662" s="10" t="n">
        <v>45671.11628472222</v>
      </c>
      <c r="J3662" s="10" t="n">
        <v>45671.1178125</v>
      </c>
      <c r="K3662" s="11" t="n">
        <v>0.001527777777777778</v>
      </c>
      <c r="L3662" s="13" t="n"/>
    </row>
    <row r="3663">
      <c r="A3663" s="3" t="inlineStr">
        <is>
          <t>Securing</t>
        </is>
      </c>
      <c r="B3663" s="3" t="inlineStr">
        <is>
          <t>Act_SEC_1011701_064415_615</t>
        </is>
      </c>
      <c r="C3663" s="3" t="inlineStr">
        <is>
          <t>1011701</t>
        </is>
      </c>
      <c r="D3663" s="9" t="n">
        <v>297</v>
      </c>
      <c r="E3663" s="3" t="n"/>
      <c r="F3663" s="3" t="n"/>
      <c r="G3663" s="9" t="n"/>
      <c r="H3663" s="10" t="n">
        <v>45671.28072916667</v>
      </c>
      <c r="I3663" s="10" t="n">
        <v>45671.28157407408</v>
      </c>
      <c r="J3663" s="10" t="n">
        <v>45671.28310185186</v>
      </c>
      <c r="K3663" s="11" t="n">
        <v>0.001527777777777778</v>
      </c>
      <c r="L3663" s="13" t="n"/>
    </row>
    <row r="3664">
      <c r="A3664" s="3" t="inlineStr">
        <is>
          <t>Securing</t>
        </is>
      </c>
      <c r="B3664" s="3" t="inlineStr">
        <is>
          <t>Act_SEC_1011803_070649_625</t>
        </is>
      </c>
      <c r="C3664" s="3" t="inlineStr">
        <is>
          <t>1011803</t>
        </is>
      </c>
      <c r="D3664" s="9" t="n">
        <v>54</v>
      </c>
      <c r="E3664" s="3" t="n"/>
      <c r="F3664" s="3" t="n"/>
      <c r="G3664" s="9" t="n"/>
      <c r="H3664" s="10" t="n">
        <v>45671.29640046296</v>
      </c>
      <c r="I3664" s="10" t="n">
        <v>45671.2971875</v>
      </c>
      <c r="J3664" s="10" t="n">
        <v>45671.29857638889</v>
      </c>
      <c r="K3664" s="11" t="n">
        <v>0.001388888888888889</v>
      </c>
      <c r="L3664" s="13" t="n"/>
    </row>
    <row r="3665">
      <c r="A3665" s="3" t="inlineStr">
        <is>
          <t>Securing</t>
        </is>
      </c>
      <c r="B3665" s="3" t="inlineStr">
        <is>
          <t>Act_SEC_1011804_070917_605</t>
        </is>
      </c>
      <c r="C3665" s="3" t="inlineStr">
        <is>
          <t>1011804</t>
        </is>
      </c>
      <c r="D3665" s="9" t="n">
        <v>23.2</v>
      </c>
      <c r="E3665" s="3" t="n"/>
      <c r="F3665" s="3" t="n"/>
      <c r="G3665" s="9" t="n"/>
      <c r="H3665" s="10" t="n">
        <v>45671.29811342592</v>
      </c>
      <c r="I3665" s="10" t="n">
        <v>45671.29997685185</v>
      </c>
      <c r="J3665" s="10" t="n">
        <v>45671.30150462963</v>
      </c>
      <c r="K3665" s="11" t="n">
        <v>0.001527777777777778</v>
      </c>
      <c r="L3665" s="13" t="n"/>
    </row>
    <row r="3666">
      <c r="A3666" s="3" t="inlineStr">
        <is>
          <t>Securing</t>
        </is>
      </c>
      <c r="B3666" s="3" t="inlineStr">
        <is>
          <t>Act_SEC_1011901_073328_606</t>
        </is>
      </c>
      <c r="C3666" s="3" t="inlineStr">
        <is>
          <t>1011901</t>
        </is>
      </c>
      <c r="D3666" s="9" t="n">
        <v>213.8</v>
      </c>
      <c r="E3666" s="3" t="n"/>
      <c r="F3666" s="3" t="n"/>
      <c r="G3666" s="9" t="n"/>
      <c r="H3666" s="10" t="n">
        <v>45671.31490740741</v>
      </c>
      <c r="I3666" s="10" t="n">
        <v>45671.32827546296</v>
      </c>
      <c r="J3666" s="10" t="n">
        <v>45671.32966435186</v>
      </c>
      <c r="K3666" s="11" t="n">
        <v>0.001388888888888889</v>
      </c>
      <c r="L3666" s="13" t="n"/>
    </row>
    <row r="3667">
      <c r="A3667" s="3" t="inlineStr">
        <is>
          <t>Securing</t>
        </is>
      </c>
      <c r="B3667" s="3" t="inlineStr">
        <is>
          <t>Act_SEC_1012001_081626_613</t>
        </is>
      </c>
      <c r="C3667" s="3" t="inlineStr">
        <is>
          <t>1012001</t>
        </is>
      </c>
      <c r="D3667" s="9" t="n">
        <v>389.8</v>
      </c>
      <c r="E3667" s="3" t="n"/>
      <c r="F3667" s="3" t="n"/>
      <c r="G3667" s="9" t="n"/>
      <c r="H3667" s="10" t="n">
        <v>45671.34474537037</v>
      </c>
      <c r="I3667" s="10" t="n">
        <v>45671.34559027778</v>
      </c>
      <c r="J3667" s="10" t="n">
        <v>45671.34711805556</v>
      </c>
      <c r="K3667" s="11" t="n">
        <v>0.001527777777777778</v>
      </c>
      <c r="L3667" s="13" t="n"/>
    </row>
    <row r="3668">
      <c r="A3668" s="3" t="inlineStr">
        <is>
          <t>Securing</t>
        </is>
      </c>
      <c r="B3668" s="3" t="inlineStr">
        <is>
          <t>Act_SEC_1012201_092323_629</t>
        </is>
      </c>
      <c r="C3668" s="3" t="inlineStr">
        <is>
          <t>1012201</t>
        </is>
      </c>
      <c r="D3668" s="9" t="n">
        <v>56.3</v>
      </c>
      <c r="E3668" s="3" t="n"/>
      <c r="F3668" s="3" t="n"/>
      <c r="G3668" s="9" t="n"/>
      <c r="H3668" s="10" t="n">
        <v>45671.39123842592</v>
      </c>
      <c r="I3668" s="10" t="n">
        <v>45671.39202546296</v>
      </c>
      <c r="J3668" s="10" t="n">
        <v>45671.39341435185</v>
      </c>
      <c r="K3668" s="11" t="n">
        <v>0.001388888888888889</v>
      </c>
      <c r="L3668" s="13" t="n"/>
    </row>
    <row r="3669">
      <c r="A3669" s="3" t="inlineStr">
        <is>
          <t>Securing</t>
        </is>
      </c>
      <c r="B3669" s="3" t="inlineStr">
        <is>
          <t>Act_SEC_1012102_093742_615</t>
        </is>
      </c>
      <c r="C3669" s="3" t="inlineStr">
        <is>
          <t>1012102</t>
        </is>
      </c>
      <c r="D3669" s="9" t="n">
        <v>19.9</v>
      </c>
      <c r="E3669" s="3" t="n"/>
      <c r="F3669" s="3" t="n"/>
      <c r="G3669" s="9" t="n"/>
      <c r="H3669" s="10" t="n">
        <v>45671.40118055556</v>
      </c>
      <c r="I3669" s="10" t="n">
        <v>45671.41739583333</v>
      </c>
      <c r="J3669" s="10" t="n">
        <v>45671.41892361111</v>
      </c>
      <c r="K3669" s="11" t="n">
        <v>0.001527777777777778</v>
      </c>
      <c r="L3669" s="13" t="n"/>
    </row>
    <row r="3670">
      <c r="A3670" s="3" t="inlineStr">
        <is>
          <t>Securing</t>
        </is>
      </c>
      <c r="B3670" s="3" t="inlineStr">
        <is>
          <t>Act_SEC_1012105_094610_606</t>
        </is>
      </c>
      <c r="C3670" s="3" t="inlineStr">
        <is>
          <t>1012105</t>
        </is>
      </c>
      <c r="D3670" s="9" t="n">
        <v>42</v>
      </c>
      <c r="E3670" s="3" t="n"/>
      <c r="F3670" s="3" t="n"/>
      <c r="G3670" s="9" t="n"/>
      <c r="H3670" s="10" t="n">
        <v>45671.40706018519</v>
      </c>
      <c r="I3670" s="10" t="n">
        <v>45671.42466435185</v>
      </c>
      <c r="J3670" s="10" t="n">
        <v>45671.42605324074</v>
      </c>
      <c r="K3670" s="11" t="n">
        <v>0.001388888888888889</v>
      </c>
      <c r="L3670" s="13" t="n"/>
    </row>
    <row r="3671">
      <c r="A3671" s="3" t="inlineStr">
        <is>
          <t>Securing</t>
        </is>
      </c>
      <c r="B3671" s="3" t="inlineStr">
        <is>
          <t>Act_SEC_1012107_095104_609</t>
        </is>
      </c>
      <c r="C3671" s="3" t="inlineStr">
        <is>
          <t>1012107</t>
        </is>
      </c>
      <c r="D3671" s="9" t="n">
        <v>19.9</v>
      </c>
      <c r="E3671" s="3" t="n"/>
      <c r="F3671" s="3" t="n"/>
      <c r="G3671" s="9" t="n"/>
      <c r="H3671" s="10" t="n">
        <v>45671.41046296297</v>
      </c>
      <c r="I3671" s="10" t="n">
        <v>45671.42545138889</v>
      </c>
      <c r="J3671" s="10" t="n">
        <v>45671.42697916667</v>
      </c>
      <c r="K3671" s="11" t="n">
        <v>0.001527777777777778</v>
      </c>
      <c r="L3671" s="13" t="n"/>
    </row>
    <row r="3672">
      <c r="A3672" s="3" t="inlineStr">
        <is>
          <t>Securing</t>
        </is>
      </c>
      <c r="B3672" s="3" t="inlineStr">
        <is>
          <t>Act_SEC_1012112_100307_611</t>
        </is>
      </c>
      <c r="C3672" s="3" t="inlineStr">
        <is>
          <t>1012112</t>
        </is>
      </c>
      <c r="D3672" s="9" t="n">
        <v>233.1</v>
      </c>
      <c r="E3672" s="3" t="n"/>
      <c r="F3672" s="3" t="n"/>
      <c r="G3672" s="9" t="n"/>
      <c r="H3672" s="10" t="n">
        <v>45671.41883101852</v>
      </c>
      <c r="I3672" s="10" t="n">
        <v>45671.42952546296</v>
      </c>
      <c r="J3672" s="10" t="n">
        <v>45671.43105324074</v>
      </c>
      <c r="K3672" s="11" t="n">
        <v>0.001527777777777778</v>
      </c>
      <c r="L3672" s="13" t="n"/>
    </row>
    <row r="3673">
      <c r="A3673" s="3" t="inlineStr">
        <is>
          <t>Securing</t>
        </is>
      </c>
      <c r="B3673" s="3" t="inlineStr">
        <is>
          <t>Act_SEC_1012401_130601_611</t>
        </is>
      </c>
      <c r="C3673" s="3" t="inlineStr">
        <is>
          <t>1012401</t>
        </is>
      </c>
      <c r="D3673" s="9" t="n">
        <v>297.8</v>
      </c>
      <c r="E3673" s="3" t="n"/>
      <c r="F3673" s="3" t="n"/>
      <c r="G3673" s="9" t="n"/>
      <c r="H3673" s="10" t="n">
        <v>45671.54584490741</v>
      </c>
      <c r="I3673" s="10" t="n">
        <v>45671.54671296296</v>
      </c>
      <c r="J3673" s="10" t="n">
        <v>45671.54824074074</v>
      </c>
      <c r="K3673" s="11" t="n">
        <v>0.001527777777777778</v>
      </c>
      <c r="L3673" s="13" t="n"/>
    </row>
    <row r="3674">
      <c r="A3674" s="3" t="inlineStr">
        <is>
          <t>Securing</t>
        </is>
      </c>
      <c r="B3674" s="3" t="inlineStr">
        <is>
          <t>Act_SEC_1012501_143700_611</t>
        </is>
      </c>
      <c r="C3674" s="3" t="inlineStr">
        <is>
          <t>1012501</t>
        </is>
      </c>
      <c r="D3674" s="9" t="n">
        <v>225.6</v>
      </c>
      <c r="E3674" s="3" t="n"/>
      <c r="F3674" s="3" t="n"/>
      <c r="G3674" s="9" t="n"/>
      <c r="H3674" s="10" t="n">
        <v>45671.60902777778</v>
      </c>
      <c r="I3674" s="10" t="n">
        <v>45671.60989583333</v>
      </c>
      <c r="J3674" s="10" t="n">
        <v>45671.61142361111</v>
      </c>
      <c r="K3674" s="11" t="n">
        <v>0.001527777777777778</v>
      </c>
      <c r="L3674" s="13" t="n"/>
    </row>
    <row r="3675">
      <c r="A3675" s="3" t="inlineStr">
        <is>
          <t>Securing</t>
        </is>
      </c>
      <c r="B3675" s="3" t="inlineStr">
        <is>
          <t>Act_SEC_1012605_153537_627</t>
        </is>
      </c>
      <c r="C3675" s="3" t="inlineStr">
        <is>
          <t>1012605</t>
        </is>
      </c>
      <c r="D3675" s="9" t="n">
        <v>15.7</v>
      </c>
      <c r="E3675" s="3" t="n"/>
      <c r="F3675" s="3" t="n"/>
      <c r="G3675" s="9" t="n"/>
      <c r="H3675" s="10" t="n">
        <v>45671.64973379629</v>
      </c>
      <c r="I3675" s="10" t="n">
        <v>45671.6521875</v>
      </c>
      <c r="J3675" s="10" t="n">
        <v>45671.65371527777</v>
      </c>
      <c r="K3675" s="11" t="n">
        <v>0.001527777777777778</v>
      </c>
      <c r="L3675" s="13" t="n"/>
    </row>
    <row r="3676">
      <c r="A3676" s="3" t="inlineStr">
        <is>
          <t>Securing</t>
        </is>
      </c>
      <c r="B3676" s="3" t="inlineStr">
        <is>
          <t>Act_SEC_1012606_153754_613</t>
        </is>
      </c>
      <c r="C3676" s="3" t="inlineStr">
        <is>
          <t>1012606</t>
        </is>
      </c>
      <c r="D3676" s="9" t="n">
        <v>163.4</v>
      </c>
      <c r="E3676" s="3" t="n"/>
      <c r="F3676" s="3" t="n"/>
      <c r="G3676" s="9" t="n"/>
      <c r="H3676" s="10" t="n">
        <v>45671.65131944444</v>
      </c>
      <c r="I3676" s="10" t="n">
        <v>45671.65299768518</v>
      </c>
      <c r="J3676" s="10" t="n">
        <v>45671.65438657408</v>
      </c>
      <c r="K3676" s="11" t="n">
        <v>0.001388888888888889</v>
      </c>
      <c r="L3676" s="13" t="n"/>
    </row>
    <row r="3677">
      <c r="A3677" s="3" t="inlineStr">
        <is>
          <t>Securing</t>
        </is>
      </c>
      <c r="B3677" s="3" t="inlineStr">
        <is>
          <t>Act_SEC_1012611_155104_625</t>
        </is>
      </c>
      <c r="C3677" s="3" t="inlineStr">
        <is>
          <t>1012611</t>
        </is>
      </c>
      <c r="D3677" s="9" t="n">
        <v>39</v>
      </c>
      <c r="E3677" s="3" t="n"/>
      <c r="F3677" s="3" t="n"/>
      <c r="G3677" s="9" t="n"/>
      <c r="H3677" s="10" t="n">
        <v>45671.66046296297</v>
      </c>
      <c r="I3677" s="10" t="n">
        <v>45671.66503472222</v>
      </c>
      <c r="J3677" s="10" t="n">
        <v>45671.6665625</v>
      </c>
      <c r="K3677" s="11" t="n">
        <v>0.001527777777777778</v>
      </c>
      <c r="L3677" s="13" t="n"/>
    </row>
    <row r="3678">
      <c r="A3678" s="3" t="inlineStr">
        <is>
          <t>Securing</t>
        </is>
      </c>
      <c r="B3678" s="3" t="inlineStr">
        <is>
          <t>Act_SEC_1012701_155520_605</t>
        </is>
      </c>
      <c r="C3678" s="3" t="inlineStr">
        <is>
          <t>1012701</t>
        </is>
      </c>
      <c r="D3678" s="9" t="n">
        <v>173.1</v>
      </c>
      <c r="E3678" s="3" t="n"/>
      <c r="F3678" s="3" t="n"/>
      <c r="G3678" s="9" t="n"/>
      <c r="H3678" s="10" t="n">
        <v>45671.66342592592</v>
      </c>
      <c r="I3678" s="10" t="n">
        <v>45671.66539351852</v>
      </c>
      <c r="J3678" s="10" t="n">
        <v>45671.66678240741</v>
      </c>
      <c r="K3678" s="11" t="n">
        <v>0.001388888888888889</v>
      </c>
      <c r="L3678" s="13" t="n"/>
    </row>
    <row r="3679">
      <c r="A3679" s="3" t="inlineStr">
        <is>
          <t>Securing</t>
        </is>
      </c>
      <c r="B3679" s="3" t="inlineStr">
        <is>
          <t>Act_SEC_1012801_155930_607</t>
        </is>
      </c>
      <c r="C3679" s="3" t="inlineStr">
        <is>
          <t>1012801</t>
        </is>
      </c>
      <c r="D3679" s="9" t="n">
        <v>40.9</v>
      </c>
      <c r="E3679" s="3" t="n"/>
      <c r="F3679" s="3" t="n"/>
      <c r="G3679" s="9" t="n"/>
      <c r="H3679" s="10" t="n">
        <v>45671.66631944444</v>
      </c>
      <c r="I3679" s="10" t="n">
        <v>45671.66829861111</v>
      </c>
      <c r="J3679" s="10" t="n">
        <v>45671.66982638889</v>
      </c>
      <c r="K3679" s="11" t="n">
        <v>0.001527777777777778</v>
      </c>
      <c r="L3679" s="13" t="n"/>
    </row>
    <row r="3680">
      <c r="A3680" s="3" t="inlineStr">
        <is>
          <t>Securing</t>
        </is>
      </c>
      <c r="B3680" s="3" t="inlineStr">
        <is>
          <t>Act_SEC_1012902_180914_615</t>
        </is>
      </c>
      <c r="C3680" s="3" t="inlineStr">
        <is>
          <t>1012902</t>
        </is>
      </c>
      <c r="D3680" s="9" t="n">
        <v>108</v>
      </c>
      <c r="E3680" s="3" t="n"/>
      <c r="F3680" s="3" t="n"/>
      <c r="G3680" s="9" t="n"/>
      <c r="H3680" s="10" t="n">
        <v>45671.75641203704</v>
      </c>
      <c r="I3680" s="10" t="n">
        <v>45671.7571875</v>
      </c>
      <c r="J3680" s="10" t="n">
        <v>45671.75857638889</v>
      </c>
      <c r="K3680" s="11" t="n">
        <v>0.001388888888888889</v>
      </c>
      <c r="L3680" s="13" t="n"/>
    </row>
    <row r="3681">
      <c r="A3681" s="3" t="inlineStr">
        <is>
          <t>Securing</t>
        </is>
      </c>
      <c r="B3681" s="3" t="inlineStr">
        <is>
          <t>Act_SEC_1012905_181555_613</t>
        </is>
      </c>
      <c r="C3681" s="3" t="inlineStr">
        <is>
          <t>1012905</t>
        </is>
      </c>
      <c r="D3681" s="9" t="n">
        <v>19.9</v>
      </c>
      <c r="E3681" s="3" t="n"/>
      <c r="F3681" s="3" t="n"/>
      <c r="G3681" s="9" t="n"/>
      <c r="H3681" s="10" t="n">
        <v>45671.76105324074</v>
      </c>
      <c r="I3681" s="10" t="n">
        <v>45671.76328703704</v>
      </c>
      <c r="J3681" s="10" t="n">
        <v>45671.76481481481</v>
      </c>
      <c r="K3681" s="11" t="n">
        <v>0.001527777777777778</v>
      </c>
      <c r="L3681" s="13" t="n"/>
    </row>
    <row r="3682">
      <c r="A3682" s="3" t="inlineStr">
        <is>
          <t>Securing</t>
        </is>
      </c>
      <c r="B3682" s="3" t="inlineStr">
        <is>
          <t>Act_SEC_1012906_181841_627</t>
        </is>
      </c>
      <c r="C3682" s="3" t="inlineStr">
        <is>
          <t>1012906</t>
        </is>
      </c>
      <c r="D3682" s="9" t="n">
        <v>15.7</v>
      </c>
      <c r="E3682" s="3" t="n"/>
      <c r="F3682" s="3" t="n"/>
      <c r="G3682" s="9" t="n"/>
      <c r="H3682" s="10" t="n">
        <v>45671.76297453704</v>
      </c>
      <c r="I3682" s="10" t="n">
        <v>45671.76533564815</v>
      </c>
      <c r="J3682" s="10" t="n">
        <v>45671.76686342592</v>
      </c>
      <c r="K3682" s="11" t="n">
        <v>0.001527777777777778</v>
      </c>
      <c r="L3682" s="13" t="n"/>
    </row>
    <row r="3683">
      <c r="A3683" s="3" t="inlineStr">
        <is>
          <t>Securing</t>
        </is>
      </c>
      <c r="B3683" s="3" t="inlineStr">
        <is>
          <t>Act_SEC_1012907_182117_605</t>
        </is>
      </c>
      <c r="C3683" s="3" t="inlineStr">
        <is>
          <t>1012907</t>
        </is>
      </c>
      <c r="D3683" s="9" t="n">
        <v>54.7</v>
      </c>
      <c r="E3683" s="3" t="n"/>
      <c r="F3683" s="3" t="n"/>
      <c r="G3683" s="9" t="n"/>
      <c r="H3683" s="10" t="n">
        <v>45671.76478009259</v>
      </c>
      <c r="I3683" s="10" t="n">
        <v>45671.76650462963</v>
      </c>
      <c r="J3683" s="10" t="n">
        <v>45671.76803240741</v>
      </c>
      <c r="K3683" s="11" t="n">
        <v>0.001527777777777778</v>
      </c>
      <c r="L3683" s="13" t="n"/>
    </row>
    <row r="3684">
      <c r="A3684" s="3" t="inlineStr">
        <is>
          <t>Securing</t>
        </is>
      </c>
      <c r="B3684" s="3" t="inlineStr">
        <is>
          <t>Act_SEC_1012908_182408_623</t>
        </is>
      </c>
      <c r="C3684" s="3" t="inlineStr">
        <is>
          <t>1012908</t>
        </is>
      </c>
      <c r="D3684" s="9" t="n">
        <v>111.4</v>
      </c>
      <c r="E3684" s="3" t="n"/>
      <c r="F3684" s="3" t="n"/>
      <c r="G3684" s="9" t="n"/>
      <c r="H3684" s="10" t="n">
        <v>45671.76675925926</v>
      </c>
      <c r="I3684" s="10" t="n">
        <v>45671.76854166666</v>
      </c>
      <c r="J3684" s="10" t="n">
        <v>45671.77006944444</v>
      </c>
      <c r="K3684" s="11" t="n">
        <v>0.001527777777777778</v>
      </c>
      <c r="L3684" s="13" t="n"/>
    </row>
    <row r="3685">
      <c r="A3685" s="3" t="inlineStr">
        <is>
          <t>Securing</t>
        </is>
      </c>
      <c r="B3685" s="3" t="inlineStr">
        <is>
          <t>Act_SEC_1012909_182618_609</t>
        </is>
      </c>
      <c r="C3685" s="3" t="inlineStr">
        <is>
          <t>1012909</t>
        </is>
      </c>
      <c r="D3685" s="9" t="n">
        <v>19.9</v>
      </c>
      <c r="E3685" s="3" t="n"/>
      <c r="F3685" s="3" t="n"/>
      <c r="G3685" s="9" t="n"/>
      <c r="H3685" s="10" t="n">
        <v>45671.76826388889</v>
      </c>
      <c r="I3685" s="10" t="n">
        <v>45671.7697337963</v>
      </c>
      <c r="J3685" s="10" t="n">
        <v>45671.77126157407</v>
      </c>
      <c r="K3685" s="11" t="n">
        <v>0.001527777777777778</v>
      </c>
      <c r="L3685" s="13" t="n"/>
    </row>
    <row r="3686">
      <c r="A3686" s="3" t="inlineStr">
        <is>
          <t>Securing</t>
        </is>
      </c>
      <c r="B3686" s="3" t="inlineStr">
        <is>
          <t>Act_SEC_1013101_195707_615</t>
        </is>
      </c>
      <c r="C3686" s="3" t="inlineStr">
        <is>
          <t>1013101</t>
        </is>
      </c>
      <c r="D3686" s="9" t="n">
        <v>15.7</v>
      </c>
      <c r="E3686" s="3" t="n"/>
      <c r="F3686" s="3" t="n"/>
      <c r="G3686" s="9" t="n"/>
      <c r="H3686" s="10" t="n">
        <v>45671.83133101852</v>
      </c>
      <c r="I3686" s="10" t="n">
        <v>45671.8320949074</v>
      </c>
      <c r="J3686" s="10" t="n">
        <v>45671.8334837963</v>
      </c>
      <c r="K3686" s="11" t="n">
        <v>0.001388888888888889</v>
      </c>
      <c r="L3686" s="13" t="n"/>
    </row>
    <row r="3687">
      <c r="A3687" s="3" t="inlineStr">
        <is>
          <t>Securing</t>
        </is>
      </c>
      <c r="B3687" s="3" t="inlineStr">
        <is>
          <t>Act_SEC_1013203_024816_605</t>
        </is>
      </c>
      <c r="C3687" s="3" t="inlineStr">
        <is>
          <t>1013203</t>
        </is>
      </c>
      <c r="D3687" s="9" t="n">
        <v>12</v>
      </c>
      <c r="E3687" s="3" t="n"/>
      <c r="F3687" s="3" t="n"/>
      <c r="G3687" s="9" t="n"/>
      <c r="H3687" s="10" t="n">
        <v>45672.11685185185</v>
      </c>
      <c r="I3687" s="10" t="n">
        <v>45672.11761574074</v>
      </c>
      <c r="J3687" s="10" t="n">
        <v>45672.11900462963</v>
      </c>
      <c r="K3687" s="11" t="n">
        <v>0.001388888888888889</v>
      </c>
      <c r="L3687" s="13" t="n"/>
    </row>
    <row r="3688">
      <c r="A3688" s="3" t="inlineStr">
        <is>
          <t>Securing</t>
        </is>
      </c>
      <c r="B3688" s="3" t="inlineStr">
        <is>
          <t>Act_SEC_1013301_045502_623</t>
        </is>
      </c>
      <c r="C3688" s="3" t="inlineStr">
        <is>
          <t>1013301</t>
        </is>
      </c>
      <c r="D3688" s="9" t="n">
        <v>521.9</v>
      </c>
      <c r="E3688" s="3" t="n"/>
      <c r="F3688" s="3" t="n"/>
      <c r="G3688" s="9" t="n"/>
      <c r="H3688" s="10" t="n">
        <v>45672.20488425926</v>
      </c>
      <c r="I3688" s="10" t="n">
        <v>45672.20572916666</v>
      </c>
      <c r="J3688" s="10" t="n">
        <v>45672.20725694444</v>
      </c>
      <c r="K3688" s="11" t="n">
        <v>0.001527777777777778</v>
      </c>
      <c r="L3688" s="13" t="n"/>
    </row>
    <row r="3689">
      <c r="A3689" s="3" t="inlineStr">
        <is>
          <t>Securing</t>
        </is>
      </c>
      <c r="B3689" s="3" t="inlineStr">
        <is>
          <t>Act_SEC_1013502_073958_619</t>
        </is>
      </c>
      <c r="C3689" s="3" t="inlineStr">
        <is>
          <t>1013502</t>
        </is>
      </c>
      <c r="D3689" s="9" t="n">
        <v>23.2</v>
      </c>
      <c r="E3689" s="3" t="n"/>
      <c r="F3689" s="3" t="n"/>
      <c r="G3689" s="9" t="n"/>
      <c r="H3689" s="10" t="n">
        <v>45672.3194212963</v>
      </c>
      <c r="I3689" s="10" t="n">
        <v>45672.3202662037</v>
      </c>
      <c r="J3689" s="10" t="n">
        <v>45672.32179398148</v>
      </c>
      <c r="K3689" s="11" t="n">
        <v>0.001527777777777778</v>
      </c>
      <c r="L3689" s="13" t="n"/>
    </row>
    <row r="3690">
      <c r="A3690" s="3" t="inlineStr">
        <is>
          <t>Securing</t>
        </is>
      </c>
      <c r="B3690" s="3" t="inlineStr">
        <is>
          <t>Act_SEC_1013503_074232_606</t>
        </is>
      </c>
      <c r="C3690" s="3" t="inlineStr">
        <is>
          <t>1013503</t>
        </is>
      </c>
      <c r="D3690" s="9" t="n">
        <v>37.5</v>
      </c>
      <c r="E3690" s="3" t="n"/>
      <c r="F3690" s="3" t="n"/>
      <c r="G3690" s="9" t="n"/>
      <c r="H3690" s="10" t="n">
        <v>45672.3212037037</v>
      </c>
      <c r="I3690" s="10" t="n">
        <v>45672.32260416666</v>
      </c>
      <c r="J3690" s="10" t="n">
        <v>45672.32399305556</v>
      </c>
      <c r="K3690" s="11" t="n">
        <v>0.001388888888888889</v>
      </c>
      <c r="L3690" s="13" t="n"/>
    </row>
    <row r="3691">
      <c r="A3691" s="3" t="inlineStr">
        <is>
          <t>Securing</t>
        </is>
      </c>
      <c r="B3691" s="3" t="inlineStr">
        <is>
          <t>Act_SEC_1013505_074721_607</t>
        </is>
      </c>
      <c r="C3691" s="3" t="inlineStr">
        <is>
          <t>1013505</t>
        </is>
      </c>
      <c r="D3691" s="9" t="n">
        <v>21</v>
      </c>
      <c r="E3691" s="3" t="n"/>
      <c r="F3691" s="3" t="n"/>
      <c r="G3691" s="9" t="n"/>
      <c r="H3691" s="10" t="n">
        <v>45672.32454861111</v>
      </c>
      <c r="I3691" s="10" t="n">
        <v>45672.32556712963</v>
      </c>
      <c r="J3691" s="10" t="n">
        <v>45672.32695601852</v>
      </c>
      <c r="K3691" s="11" t="n">
        <v>0.001388888888888889</v>
      </c>
      <c r="L3691" s="13" t="n"/>
    </row>
    <row r="3692">
      <c r="A3692" s="3" t="inlineStr">
        <is>
          <t>Securing</t>
        </is>
      </c>
      <c r="B3692" s="3" t="inlineStr">
        <is>
          <t>Act_SEC_1013506_074923_611</t>
        </is>
      </c>
      <c r="C3692" s="3" t="inlineStr">
        <is>
          <t>1013506</t>
        </is>
      </c>
      <c r="D3692" s="9" t="n">
        <v>28</v>
      </c>
      <c r="E3692" s="3" t="n"/>
      <c r="F3692" s="3" t="n"/>
      <c r="G3692" s="9" t="n"/>
      <c r="H3692" s="10" t="n">
        <v>45672.32596064815</v>
      </c>
      <c r="I3692" s="10" t="n">
        <v>45672.32848379629</v>
      </c>
      <c r="J3692" s="10" t="n">
        <v>45672.33001157407</v>
      </c>
      <c r="K3692" s="11" t="n">
        <v>0.001527777777777778</v>
      </c>
      <c r="L3692" s="13" t="n"/>
    </row>
    <row r="3693">
      <c r="A3693" s="3" t="inlineStr">
        <is>
          <t>Securing</t>
        </is>
      </c>
      <c r="B3693" s="3" t="inlineStr">
        <is>
          <t>Act_SEC_1013509_075736_617</t>
        </is>
      </c>
      <c r="C3693" s="3" t="inlineStr">
        <is>
          <t>1013509</t>
        </is>
      </c>
      <c r="D3693" s="9" t="n">
        <v>108</v>
      </c>
      <c r="E3693" s="3" t="n"/>
      <c r="F3693" s="3" t="n"/>
      <c r="G3693" s="9" t="n"/>
      <c r="H3693" s="10" t="n">
        <v>45672.33166666667</v>
      </c>
      <c r="I3693" s="10" t="n">
        <v>45672.33325231481</v>
      </c>
      <c r="J3693" s="10" t="n">
        <v>45672.33464120371</v>
      </c>
      <c r="K3693" s="11" t="n">
        <v>0.001388888888888889</v>
      </c>
      <c r="L3693" s="13" t="n"/>
    </row>
    <row r="3694">
      <c r="A3694" s="3" t="inlineStr">
        <is>
          <t>Securing</t>
        </is>
      </c>
      <c r="B3694" s="3" t="inlineStr">
        <is>
          <t>Act_SEC_1013601_080209_623</t>
        </is>
      </c>
      <c r="C3694" s="3" t="inlineStr">
        <is>
          <t>1013601</t>
        </is>
      </c>
      <c r="D3694" s="9" t="n">
        <v>257</v>
      </c>
      <c r="E3694" s="3" t="n"/>
      <c r="F3694" s="3" t="n"/>
      <c r="G3694" s="9" t="n"/>
      <c r="H3694" s="10" t="n">
        <v>45672.33482638889</v>
      </c>
      <c r="I3694" s="10" t="n">
        <v>45672.33621527778</v>
      </c>
      <c r="J3694" s="10" t="n">
        <v>45672.33760416666</v>
      </c>
      <c r="K3694" s="11" t="n">
        <v>0.001388888888888889</v>
      </c>
      <c r="L3694" s="13" t="n"/>
    </row>
    <row r="3695">
      <c r="A3695" s="3" t="inlineStr">
        <is>
          <t>Securing</t>
        </is>
      </c>
      <c r="B3695" s="3" t="inlineStr">
        <is>
          <t>Act_SEC_1013701_081950_621</t>
        </is>
      </c>
      <c r="C3695" s="3" t="inlineStr">
        <is>
          <t>1013701</t>
        </is>
      </c>
      <c r="D3695" s="9" t="n">
        <v>374.1</v>
      </c>
      <c r="E3695" s="3" t="n"/>
      <c r="F3695" s="3" t="n"/>
      <c r="G3695" s="9" t="n"/>
      <c r="H3695" s="10" t="n">
        <v>45672.34710648148</v>
      </c>
      <c r="I3695" s="10" t="n">
        <v>45672.36115740741</v>
      </c>
      <c r="J3695" s="10" t="n">
        <v>45672.3625462963</v>
      </c>
      <c r="K3695" s="11" t="n">
        <v>0.001388888888888889</v>
      </c>
      <c r="L3695" s="13" t="n"/>
    </row>
    <row r="3696">
      <c r="A3696" s="3" t="inlineStr">
        <is>
          <t>Securing</t>
        </is>
      </c>
      <c r="B3696" s="3" t="inlineStr">
        <is>
          <t>Act_SEC_1013803_092221_615</t>
        </is>
      </c>
      <c r="C3696" s="3" t="inlineStr">
        <is>
          <t>1013803</t>
        </is>
      </c>
      <c r="D3696" s="9" t="n">
        <v>19.9</v>
      </c>
      <c r="E3696" s="3" t="n"/>
      <c r="F3696" s="3" t="n"/>
      <c r="G3696" s="9" t="n"/>
      <c r="H3696" s="10" t="n">
        <v>45672.39052083333</v>
      </c>
      <c r="I3696" s="10" t="n">
        <v>45672.39138888889</v>
      </c>
      <c r="J3696" s="10" t="n">
        <v>45672.39291666666</v>
      </c>
      <c r="K3696" s="11" t="n">
        <v>0.001527777777777778</v>
      </c>
      <c r="L3696" s="13" t="n"/>
    </row>
    <row r="3697">
      <c r="A3697" s="3" t="inlineStr">
        <is>
          <t>Securing</t>
        </is>
      </c>
      <c r="B3697" s="3" t="inlineStr">
        <is>
          <t>Act_SEC_1013806_092937_627</t>
        </is>
      </c>
      <c r="C3697" s="3" t="inlineStr">
        <is>
          <t>1013806</t>
        </is>
      </c>
      <c r="D3697" s="9" t="n">
        <v>63</v>
      </c>
      <c r="E3697" s="3" t="n"/>
      <c r="F3697" s="3" t="n"/>
      <c r="G3697" s="9" t="n"/>
      <c r="H3697" s="10" t="n">
        <v>45672.39556712963</v>
      </c>
      <c r="I3697" s="10" t="n">
        <v>45672.39793981481</v>
      </c>
      <c r="J3697" s="10" t="n">
        <v>45672.39946759259</v>
      </c>
      <c r="K3697" s="11" t="n">
        <v>0.001527777777777778</v>
      </c>
      <c r="L3697" s="13" t="n"/>
    </row>
    <row r="3698">
      <c r="A3698" s="3" t="inlineStr">
        <is>
          <t>Securing</t>
        </is>
      </c>
      <c r="B3698" s="3" t="inlineStr">
        <is>
          <t>Act_SEC_1013807_093240_625</t>
        </is>
      </c>
      <c r="C3698" s="3" t="inlineStr">
        <is>
          <t>1013807</t>
        </is>
      </c>
      <c r="D3698" s="9" t="n">
        <v>54</v>
      </c>
      <c r="E3698" s="3" t="n"/>
      <c r="F3698" s="3" t="n"/>
      <c r="G3698" s="9" t="n"/>
      <c r="H3698" s="10" t="n">
        <v>45672.39768518518</v>
      </c>
      <c r="I3698" s="10" t="n">
        <v>45672.39910879629</v>
      </c>
      <c r="J3698" s="10" t="n">
        <v>45672.40063657407</v>
      </c>
      <c r="K3698" s="11" t="n">
        <v>0.001527777777777778</v>
      </c>
      <c r="L3698" s="13" t="n"/>
    </row>
    <row r="3699">
      <c r="A3699" s="3" t="inlineStr">
        <is>
          <t>Securing</t>
        </is>
      </c>
      <c r="B3699" s="3" t="inlineStr">
        <is>
          <t>Act_SEC_1013901_093856_617</t>
        </is>
      </c>
      <c r="C3699" s="3" t="inlineStr">
        <is>
          <t>1013901</t>
        </is>
      </c>
      <c r="D3699" s="9" t="n">
        <v>281.4</v>
      </c>
      <c r="E3699" s="3" t="n"/>
      <c r="F3699" s="3" t="n"/>
      <c r="G3699" s="9" t="n"/>
      <c r="H3699" s="10" t="n">
        <v>45672.40203703703</v>
      </c>
      <c r="I3699" s="10" t="n">
        <v>45672.40287037037</v>
      </c>
      <c r="J3699" s="10" t="n">
        <v>45672.40439814814</v>
      </c>
      <c r="K3699" s="11" t="n">
        <v>0.001527777777777778</v>
      </c>
      <c r="L3699" s="13" t="n"/>
    </row>
    <row r="3700">
      <c r="A3700" s="3" t="inlineStr">
        <is>
          <t>Securing</t>
        </is>
      </c>
      <c r="B3700" s="3" t="inlineStr">
        <is>
          <t>Act_SEC_1014002_101539_623</t>
        </is>
      </c>
      <c r="C3700" s="3" t="inlineStr">
        <is>
          <t>1014002</t>
        </is>
      </c>
      <c r="D3700" s="9" t="n">
        <v>252.6</v>
      </c>
      <c r="E3700" s="3" t="n"/>
      <c r="F3700" s="3" t="n"/>
      <c r="G3700" s="9" t="n"/>
      <c r="H3700" s="10" t="n">
        <v>45672.42753472222</v>
      </c>
      <c r="I3700" s="10" t="n">
        <v>45672.42833333334</v>
      </c>
      <c r="J3700" s="10" t="n">
        <v>45672.42972222222</v>
      </c>
      <c r="K3700" s="11" t="n">
        <v>0.001388888888888889</v>
      </c>
      <c r="L3700" s="13" t="n"/>
    </row>
    <row r="3701">
      <c r="A3701" s="3" t="inlineStr">
        <is>
          <t>Securing</t>
        </is>
      </c>
      <c r="B3701" s="3" t="inlineStr">
        <is>
          <t>Act_SEC_1014101_131105_623</t>
        </is>
      </c>
      <c r="C3701" s="3" t="inlineStr">
        <is>
          <t>1014101</t>
        </is>
      </c>
      <c r="D3701" s="9" t="n">
        <v>120.9</v>
      </c>
      <c r="E3701" s="3" t="n"/>
      <c r="F3701" s="3" t="n"/>
      <c r="G3701" s="9" t="n"/>
      <c r="H3701" s="10" t="n">
        <v>45672.54936342593</v>
      </c>
      <c r="I3701" s="10" t="n">
        <v>45672.55021990741</v>
      </c>
      <c r="J3701" s="10" t="n">
        <v>45672.55174768518</v>
      </c>
      <c r="K3701" s="11" t="n">
        <v>0.001527777777777778</v>
      </c>
      <c r="L3701" s="13" t="n"/>
    </row>
    <row r="3702">
      <c r="A3702" s="3" t="inlineStr">
        <is>
          <t>Securing</t>
        </is>
      </c>
      <c r="B3702" s="3" t="inlineStr">
        <is>
          <t>Act_SEC_1014204_154337_623</t>
        </is>
      </c>
      <c r="C3702" s="3" t="inlineStr">
        <is>
          <t>1014204</t>
        </is>
      </c>
      <c r="D3702" s="9" t="n">
        <v>15.7</v>
      </c>
      <c r="E3702" s="3" t="n"/>
      <c r="F3702" s="3" t="n"/>
      <c r="G3702" s="9" t="n"/>
      <c r="H3702" s="10" t="n">
        <v>45672.65528935185</v>
      </c>
      <c r="I3702" s="10" t="n">
        <v>45672.65607638889</v>
      </c>
      <c r="J3702" s="10" t="n">
        <v>45672.65746527778</v>
      </c>
      <c r="K3702" s="11" t="n">
        <v>0.001388888888888889</v>
      </c>
      <c r="L3702" s="13" t="n"/>
    </row>
    <row r="3703">
      <c r="A3703" s="3" t="inlineStr">
        <is>
          <t>Securing</t>
        </is>
      </c>
      <c r="B3703" s="3" t="inlineStr">
        <is>
          <t>Act_SEC_1014205_154642_619</t>
        </is>
      </c>
      <c r="C3703" s="3" t="inlineStr">
        <is>
          <t>1014205</t>
        </is>
      </c>
      <c r="D3703" s="9" t="n">
        <v>93.7</v>
      </c>
      <c r="E3703" s="3" t="n"/>
      <c r="F3703" s="3" t="n"/>
      <c r="G3703" s="9" t="n"/>
      <c r="H3703" s="10" t="n">
        <v>45672.65743055556</v>
      </c>
      <c r="I3703" s="10" t="n">
        <v>45672.65827546296</v>
      </c>
      <c r="J3703" s="10" t="n">
        <v>45672.65980324074</v>
      </c>
      <c r="K3703" s="11" t="n">
        <v>0.001527777777777778</v>
      </c>
      <c r="L3703" s="13" t="n"/>
    </row>
    <row r="3704">
      <c r="A3704" s="3" t="inlineStr">
        <is>
          <t>Securing</t>
        </is>
      </c>
      <c r="B3704" s="3" t="inlineStr">
        <is>
          <t>Act_SEC_1014209_155529_609</t>
        </is>
      </c>
      <c r="C3704" s="3" t="inlineStr">
        <is>
          <t>1014209</t>
        </is>
      </c>
      <c r="D3704" s="9" t="n">
        <v>23.2</v>
      </c>
      <c r="E3704" s="3" t="n"/>
      <c r="F3704" s="3" t="n"/>
      <c r="G3704" s="9" t="n"/>
      <c r="H3704" s="10" t="n">
        <v>45672.66353009259</v>
      </c>
      <c r="I3704" s="10" t="n">
        <v>45672.66439814815</v>
      </c>
      <c r="J3704" s="10" t="n">
        <v>45672.66592592592</v>
      </c>
      <c r="K3704" s="11" t="n">
        <v>0.001527777777777778</v>
      </c>
      <c r="L3704" s="13" t="n"/>
    </row>
    <row r="3705">
      <c r="A3705" s="3" t="inlineStr">
        <is>
          <t>Securing</t>
        </is>
      </c>
      <c r="B3705" s="3" t="inlineStr">
        <is>
          <t>Act_SEC_1014301_160142_617</t>
        </is>
      </c>
      <c r="C3705" s="3" t="inlineStr">
        <is>
          <t>1014301</t>
        </is>
      </c>
      <c r="D3705" s="9" t="n">
        <v>110.2</v>
      </c>
      <c r="E3705" s="3" t="n"/>
      <c r="F3705" s="3" t="n"/>
      <c r="G3705" s="9" t="n"/>
      <c r="H3705" s="10" t="n">
        <v>45672.66784722222</v>
      </c>
      <c r="I3705" s="10" t="n">
        <v>45672.66871527778</v>
      </c>
      <c r="J3705" s="10" t="n">
        <v>45672.67024305555</v>
      </c>
      <c r="K3705" s="11" t="n">
        <v>0.001527777777777778</v>
      </c>
      <c r="L3705" s="13" t="n"/>
    </row>
    <row r="3706">
      <c r="A3706" s="3" t="inlineStr">
        <is>
          <t>Securing</t>
        </is>
      </c>
      <c r="B3706" s="3" t="inlineStr">
        <is>
          <t>Act_SEC_1014401_172920_615</t>
        </is>
      </c>
      <c r="C3706" s="3" t="inlineStr">
        <is>
          <t>1014401</t>
        </is>
      </c>
      <c r="D3706" s="9" t="n">
        <v>325.4</v>
      </c>
      <c r="E3706" s="3" t="n"/>
      <c r="F3706" s="3" t="n"/>
      <c r="G3706" s="9" t="n"/>
      <c r="H3706" s="10" t="n">
        <v>45672.7287037037</v>
      </c>
      <c r="I3706" s="10" t="n">
        <v>45672.72957175926</v>
      </c>
      <c r="J3706" s="10" t="n">
        <v>45672.73109953704</v>
      </c>
      <c r="K3706" s="11" t="n">
        <v>0.001527777777777778</v>
      </c>
      <c r="L3706" s="13" t="n"/>
    </row>
    <row r="3707">
      <c r="A3707" s="3" t="inlineStr">
        <is>
          <t>Securing</t>
        </is>
      </c>
      <c r="B3707" s="3" t="inlineStr">
        <is>
          <t>Act_SEC_1014505_181920_625</t>
        </is>
      </c>
      <c r="C3707" s="3" t="inlineStr">
        <is>
          <t>1014505</t>
        </is>
      </c>
      <c r="D3707" s="9" t="n">
        <v>27</v>
      </c>
      <c r="E3707" s="3" t="n"/>
      <c r="F3707" s="3" t="n"/>
      <c r="G3707" s="9" t="n"/>
      <c r="H3707" s="10" t="n">
        <v>45672.76342592593</v>
      </c>
      <c r="I3707" s="10" t="n">
        <v>45672.76488425926</v>
      </c>
      <c r="J3707" s="10" t="n">
        <v>45672.76627314815</v>
      </c>
      <c r="K3707" s="11" t="n">
        <v>0.001388888888888889</v>
      </c>
      <c r="L3707" s="13" t="n"/>
    </row>
    <row r="3708">
      <c r="A3708" s="3" t="inlineStr">
        <is>
          <t>Securing</t>
        </is>
      </c>
      <c r="B3708" s="3" t="inlineStr">
        <is>
          <t>Act_SEC_1014506_182210_621</t>
        </is>
      </c>
      <c r="C3708" s="3" t="inlineStr">
        <is>
          <t>1014506</t>
        </is>
      </c>
      <c r="D3708" s="9" t="n">
        <v>23.2</v>
      </c>
      <c r="E3708" s="3" t="n"/>
      <c r="F3708" s="3" t="n"/>
      <c r="G3708" s="9" t="n"/>
      <c r="H3708" s="10" t="n">
        <v>45672.76539351852</v>
      </c>
      <c r="I3708" s="10" t="n">
        <v>45672.76702546296</v>
      </c>
      <c r="J3708" s="10" t="n">
        <v>45672.76855324074</v>
      </c>
      <c r="K3708" s="11" t="n">
        <v>0.001527777777777778</v>
      </c>
      <c r="L3708" s="13" t="n"/>
    </row>
    <row r="3709">
      <c r="A3709" s="3" t="inlineStr">
        <is>
          <t>Securing</t>
        </is>
      </c>
      <c r="B3709" s="3" t="inlineStr">
        <is>
          <t>Act_SEC_1014507_182353_615</t>
        </is>
      </c>
      <c r="C3709" s="3" t="inlineStr">
        <is>
          <t>1014507</t>
        </is>
      </c>
      <c r="D3709" s="9" t="n">
        <v>28</v>
      </c>
      <c r="E3709" s="3" t="n"/>
      <c r="F3709" s="3" t="n"/>
      <c r="G3709" s="9" t="n"/>
      <c r="H3709" s="10" t="n">
        <v>45672.76658564815</v>
      </c>
      <c r="I3709" s="10" t="n">
        <v>45672.76785879629</v>
      </c>
      <c r="J3709" s="10" t="n">
        <v>45672.76924768519</v>
      </c>
      <c r="K3709" s="11" t="n">
        <v>0.001388888888888889</v>
      </c>
      <c r="L3709" s="13" t="n"/>
    </row>
    <row r="3710">
      <c r="A3710" s="3" t="inlineStr">
        <is>
          <t>Securing</t>
        </is>
      </c>
      <c r="B3710" s="3" t="inlineStr">
        <is>
          <t>Act_SEC_1014509_182840_606</t>
        </is>
      </c>
      <c r="C3710" s="3" t="inlineStr">
        <is>
          <t>1014509</t>
        </is>
      </c>
      <c r="D3710" s="9" t="n">
        <v>59.7</v>
      </c>
      <c r="E3710" s="3" t="n"/>
      <c r="F3710" s="3" t="n"/>
      <c r="G3710" s="9" t="n"/>
      <c r="H3710" s="10" t="n">
        <v>45672.7699074074</v>
      </c>
      <c r="I3710" s="10" t="n">
        <v>45672.77082175926</v>
      </c>
      <c r="J3710" s="10" t="n">
        <v>45672.77221064815</v>
      </c>
      <c r="K3710" s="11" t="n">
        <v>0.001388888888888889</v>
      </c>
      <c r="L3710" s="13" t="n"/>
    </row>
    <row r="3711">
      <c r="A3711" s="3" t="inlineStr">
        <is>
          <t>Securing</t>
        </is>
      </c>
      <c r="B3711" s="3" t="inlineStr">
        <is>
          <t>Act_SEC_1014511_183323_617</t>
        </is>
      </c>
      <c r="C3711" s="3" t="inlineStr">
        <is>
          <t>1014511</t>
        </is>
      </c>
      <c r="D3711" s="9" t="n">
        <v>37.5</v>
      </c>
      <c r="E3711" s="3" t="n"/>
      <c r="F3711" s="3" t="n"/>
      <c r="G3711" s="9" t="n"/>
      <c r="H3711" s="10" t="n">
        <v>45672.77318287037</v>
      </c>
      <c r="I3711" s="10" t="n">
        <v>45672.77508101852</v>
      </c>
      <c r="J3711" s="10" t="n">
        <v>45672.7766087963</v>
      </c>
      <c r="K3711" s="11" t="n">
        <v>0.001527777777777778</v>
      </c>
      <c r="L3711" s="13" t="n"/>
    </row>
    <row r="3712">
      <c r="A3712" s="3" t="inlineStr">
        <is>
          <t>Securing</t>
        </is>
      </c>
      <c r="B3712" s="3" t="inlineStr">
        <is>
          <t>Act_SEC_1014601_025508_615</t>
        </is>
      </c>
      <c r="C3712" s="3" t="inlineStr">
        <is>
          <t>1014601</t>
        </is>
      </c>
      <c r="D3712" s="9" t="n">
        <v>144.8</v>
      </c>
      <c r="E3712" s="3" t="n"/>
      <c r="F3712" s="3" t="n"/>
      <c r="G3712" s="9" t="n"/>
      <c r="H3712" s="10" t="n">
        <v>45673.12162037037</v>
      </c>
      <c r="I3712" s="10" t="n">
        <v>45673.12248842593</v>
      </c>
      <c r="J3712" s="10" t="n">
        <v>45673.12401620371</v>
      </c>
      <c r="K3712" s="11" t="n">
        <v>0.001527777777777778</v>
      </c>
      <c r="L3712" s="13" t="n"/>
    </row>
    <row r="3713">
      <c r="A3713" s="3" t="inlineStr">
        <is>
          <t>Securing</t>
        </is>
      </c>
      <c r="B3713" s="3" t="inlineStr">
        <is>
          <t>Act_SEC_1014603_030027_627</t>
        </is>
      </c>
      <c r="C3713" s="3" t="inlineStr">
        <is>
          <t>1014603</t>
        </is>
      </c>
      <c r="D3713" s="9" t="n">
        <v>15.7</v>
      </c>
      <c r="E3713" s="3" t="n"/>
      <c r="F3713" s="3" t="n"/>
      <c r="G3713" s="9" t="n"/>
      <c r="H3713" s="10" t="n">
        <v>45673.1253125</v>
      </c>
      <c r="I3713" s="10" t="n">
        <v>45673.12618055556</v>
      </c>
      <c r="J3713" s="10" t="n">
        <v>45673.12770833333</v>
      </c>
      <c r="K3713" s="11" t="n">
        <v>0.001527777777777778</v>
      </c>
      <c r="L3713" s="13" t="n"/>
    </row>
    <row r="3714">
      <c r="A3714" s="3" t="inlineStr">
        <is>
          <t>Securing</t>
        </is>
      </c>
      <c r="B3714" s="3" t="inlineStr">
        <is>
          <t>Act_SEC_1014701_063526_615</t>
        </is>
      </c>
      <c r="C3714" s="3" t="inlineStr">
        <is>
          <t>1014701</t>
        </is>
      </c>
      <c r="D3714" s="9" t="n">
        <v>297</v>
      </c>
      <c r="E3714" s="3" t="n"/>
      <c r="F3714" s="3" t="n"/>
      <c r="G3714" s="9" t="n"/>
      <c r="H3714" s="10" t="n">
        <v>45673.27460648148</v>
      </c>
      <c r="I3714" s="10" t="n">
        <v>45673.27545138889</v>
      </c>
      <c r="J3714" s="10" t="n">
        <v>45673.27697916667</v>
      </c>
      <c r="K3714" s="11" t="n">
        <v>0.001527777777777778</v>
      </c>
      <c r="L3714" s="13" t="n"/>
    </row>
    <row r="3715">
      <c r="A3715" s="3" t="inlineStr">
        <is>
          <t>Securing</t>
        </is>
      </c>
      <c r="B3715" s="3" t="inlineStr">
        <is>
          <t>Act_SEC_1014901_072558_619</t>
        </is>
      </c>
      <c r="C3715" s="3" t="inlineStr">
        <is>
          <t>1014901</t>
        </is>
      </c>
      <c r="D3715" s="9" t="n">
        <v>126</v>
      </c>
      <c r="E3715" s="3" t="n"/>
      <c r="F3715" s="3" t="n"/>
      <c r="G3715" s="9" t="n"/>
      <c r="H3715" s="10" t="n">
        <v>45673.30969907407</v>
      </c>
      <c r="I3715" s="10" t="n">
        <v>45673.31054398148</v>
      </c>
      <c r="J3715" s="10" t="n">
        <v>45673.31207175926</v>
      </c>
      <c r="K3715" s="11" t="n">
        <v>0.001527777777777778</v>
      </c>
      <c r="L3715" s="13" t="n"/>
    </row>
    <row r="3716">
      <c r="A3716" s="3" t="inlineStr">
        <is>
          <t>Securing</t>
        </is>
      </c>
      <c r="B3716" s="3" t="inlineStr">
        <is>
          <t>Act_SEC_1014801_074224_607</t>
        </is>
      </c>
      <c r="C3716" s="3" t="inlineStr">
        <is>
          <t>1014801</t>
        </is>
      </c>
      <c r="D3716" s="9" t="n">
        <v>47.2</v>
      </c>
      <c r="E3716" s="3" t="n"/>
      <c r="F3716" s="3" t="n"/>
      <c r="G3716" s="9" t="n"/>
      <c r="H3716" s="10" t="n">
        <v>45673.32111111111</v>
      </c>
      <c r="I3716" s="10" t="n">
        <v>45673.32195601852</v>
      </c>
      <c r="J3716" s="10" t="n">
        <v>45673.3234837963</v>
      </c>
      <c r="K3716" s="11" t="n">
        <v>0.001527777777777778</v>
      </c>
      <c r="L3716" s="13" t="n"/>
    </row>
    <row r="3717">
      <c r="A3717" s="3" t="inlineStr">
        <is>
          <t>Securing</t>
        </is>
      </c>
      <c r="B3717" s="3" t="inlineStr">
        <is>
          <t>Act_SEC_1014809_080210_629</t>
        </is>
      </c>
      <c r="C3717" s="3" t="inlineStr">
        <is>
          <t>1014809</t>
        </is>
      </c>
      <c r="D3717" s="9" t="n">
        <v>21</v>
      </c>
      <c r="E3717" s="3" t="n"/>
      <c r="F3717" s="3" t="n"/>
      <c r="G3717" s="9" t="n"/>
      <c r="H3717" s="10" t="n">
        <v>45673.33483796296</v>
      </c>
      <c r="I3717" s="10" t="n">
        <v>45673.33631944445</v>
      </c>
      <c r="J3717" s="10" t="n">
        <v>45673.33770833333</v>
      </c>
      <c r="K3717" s="11" t="n">
        <v>0.001388888888888889</v>
      </c>
      <c r="L3717" s="13" t="n"/>
    </row>
    <row r="3718">
      <c r="A3718" s="3" t="inlineStr">
        <is>
          <t>Securing</t>
        </is>
      </c>
      <c r="B3718" s="3" t="inlineStr">
        <is>
          <t>Act_SEC_1015001_081149_615</t>
        </is>
      </c>
      <c r="C3718" s="3" t="inlineStr">
        <is>
          <t>1015001</t>
        </is>
      </c>
      <c r="D3718" s="9" t="n">
        <v>396.6</v>
      </c>
      <c r="E3718" s="3" t="n"/>
      <c r="F3718" s="3" t="n"/>
      <c r="G3718" s="9" t="n"/>
      <c r="H3718" s="10" t="n">
        <v>45673.34153935185</v>
      </c>
      <c r="I3718" s="10" t="n">
        <v>45673.34240740741</v>
      </c>
      <c r="J3718" s="10" t="n">
        <v>45673.34393518518</v>
      </c>
      <c r="K3718" s="11" t="n">
        <v>0.001527777777777778</v>
      </c>
      <c r="L3718" s="13" t="n"/>
    </row>
    <row r="3719">
      <c r="A3719" s="3" t="inlineStr">
        <is>
          <t>Securing</t>
        </is>
      </c>
      <c r="B3719" s="3" t="inlineStr">
        <is>
          <t>Act_SEC_1015201_091900_605</t>
        </is>
      </c>
      <c r="C3719" s="3" t="inlineStr">
        <is>
          <t>1015201</t>
        </is>
      </c>
      <c r="D3719" s="9" t="n">
        <v>208.6</v>
      </c>
      <c r="E3719" s="3" t="n"/>
      <c r="F3719" s="3" t="n"/>
      <c r="G3719" s="9" t="n"/>
      <c r="H3719" s="10" t="n">
        <v>45673.38819444444</v>
      </c>
      <c r="I3719" s="10" t="n">
        <v>45673.38902777778</v>
      </c>
      <c r="J3719" s="10" t="n">
        <v>45673.39055555555</v>
      </c>
      <c r="K3719" s="11" t="n">
        <v>0.001527777777777778</v>
      </c>
      <c r="L3719" s="13" t="n"/>
    </row>
    <row r="3720">
      <c r="A3720" s="3" t="inlineStr">
        <is>
          <t>Securing</t>
        </is>
      </c>
      <c r="B3720" s="3" t="inlineStr">
        <is>
          <t>Act_SEC_1015202_092219_619</t>
        </is>
      </c>
      <c r="C3720" s="3" t="inlineStr">
        <is>
          <t>1015202</t>
        </is>
      </c>
      <c r="D3720" s="9" t="n">
        <v>180.8</v>
      </c>
      <c r="E3720" s="3" t="n"/>
      <c r="F3720" s="3" t="n"/>
      <c r="G3720" s="9" t="n"/>
      <c r="H3720" s="10" t="n">
        <v>45673.39049768518</v>
      </c>
      <c r="I3720" s="10" t="n">
        <v>45673.39127314815</v>
      </c>
      <c r="J3720" s="10" t="n">
        <v>45673.39266203704</v>
      </c>
      <c r="K3720" s="11" t="n">
        <v>0.001388888888888889</v>
      </c>
      <c r="L3720" s="13" t="n"/>
    </row>
    <row r="3721">
      <c r="A3721" s="3" t="inlineStr">
        <is>
          <t>Securing</t>
        </is>
      </c>
      <c r="B3721" s="3" t="inlineStr">
        <is>
          <t>Act_SEC_1015301_105120_615</t>
        </is>
      </c>
      <c r="C3721" s="3" t="inlineStr">
        <is>
          <t>1015301</t>
        </is>
      </c>
      <c r="D3721" s="9" t="n">
        <v>21</v>
      </c>
      <c r="E3721" s="3" t="n"/>
      <c r="F3721" s="3" t="n"/>
      <c r="G3721" s="9" t="n"/>
      <c r="H3721" s="10" t="n">
        <v>45673.45231481481</v>
      </c>
      <c r="I3721" s="10" t="n">
        <v>45673.45318287037</v>
      </c>
      <c r="J3721" s="10" t="n">
        <v>45673.45471064815</v>
      </c>
      <c r="K3721" s="11" t="n">
        <v>0.001527777777777778</v>
      </c>
      <c r="L3721" s="13" t="n"/>
    </row>
    <row r="3722">
      <c r="A3722" s="3" t="inlineStr">
        <is>
          <t>Securing</t>
        </is>
      </c>
      <c r="B3722" s="3" t="inlineStr">
        <is>
          <t>Act_SEC_1015302_105453_605</t>
        </is>
      </c>
      <c r="C3722" s="3" t="inlineStr">
        <is>
          <t>1015302</t>
        </is>
      </c>
      <c r="D3722" s="9" t="n">
        <v>338.3</v>
      </c>
      <c r="E3722" s="3" t="n"/>
      <c r="F3722" s="3" t="n"/>
      <c r="G3722" s="9" t="n"/>
      <c r="H3722" s="10" t="n">
        <v>45673.45478009259</v>
      </c>
      <c r="I3722" s="10" t="n">
        <v>45673.45564814815</v>
      </c>
      <c r="J3722" s="10" t="n">
        <v>45673.45717592593</v>
      </c>
      <c r="K3722" s="11" t="n">
        <v>0.001527777777777778</v>
      </c>
      <c r="L3722" s="13" t="n"/>
    </row>
    <row r="3723">
      <c r="A3723" s="3" t="inlineStr">
        <is>
          <t>Securing</t>
        </is>
      </c>
      <c r="B3723" s="3" t="inlineStr">
        <is>
          <t>Act_SEC_1015401_125936_625</t>
        </is>
      </c>
      <c r="C3723" s="3" t="inlineStr">
        <is>
          <t>1015401</t>
        </is>
      </c>
      <c r="D3723" s="9" t="n">
        <v>173</v>
      </c>
      <c r="E3723" s="3" t="n"/>
      <c r="F3723" s="3" t="n"/>
      <c r="G3723" s="9" t="n"/>
      <c r="H3723" s="10" t="n">
        <v>45673.54138888889</v>
      </c>
      <c r="I3723" s="10" t="n">
        <v>45673.54225694444</v>
      </c>
      <c r="J3723" s="10" t="n">
        <v>45673.54378472222</v>
      </c>
      <c r="K3723" s="11" t="n">
        <v>0.001527777777777778</v>
      </c>
      <c r="L3723" s="13" t="n"/>
    </row>
    <row r="3724">
      <c r="A3724" s="3" t="inlineStr">
        <is>
          <t>Securing</t>
        </is>
      </c>
      <c r="B3724" s="3" t="inlineStr">
        <is>
          <t>Act_SEC_1015501_144432_613</t>
        </is>
      </c>
      <c r="C3724" s="3" t="inlineStr">
        <is>
          <t>1015501</t>
        </is>
      </c>
      <c r="D3724" s="9" t="n">
        <v>233.9</v>
      </c>
      <c r="E3724" s="3" t="n"/>
      <c r="F3724" s="3" t="n"/>
      <c r="G3724" s="9" t="n"/>
      <c r="H3724" s="10" t="n">
        <v>45673.61425925926</v>
      </c>
      <c r="I3724" s="10" t="n">
        <v>45673.61512731481</v>
      </c>
      <c r="J3724" s="10" t="n">
        <v>45673.61665509259</v>
      </c>
      <c r="K3724" s="11" t="n">
        <v>0.001527777777777778</v>
      </c>
      <c r="L3724" s="13" t="n"/>
    </row>
    <row r="3725">
      <c r="A3725" s="3" t="inlineStr">
        <is>
          <t>Securing</t>
        </is>
      </c>
      <c r="B3725" s="3" t="inlineStr">
        <is>
          <t>Act_SEC_1015602_151038_613</t>
        </is>
      </c>
      <c r="C3725" s="3" t="inlineStr">
        <is>
          <t>1015602</t>
        </is>
      </c>
      <c r="D3725" s="9" t="n">
        <v>171.7</v>
      </c>
      <c r="E3725" s="3" t="n"/>
      <c r="F3725" s="3" t="n"/>
      <c r="G3725" s="9" t="n"/>
      <c r="H3725" s="10" t="n">
        <v>45673.63238425926</v>
      </c>
      <c r="I3725" s="10" t="n">
        <v>45673.63317129629</v>
      </c>
      <c r="J3725" s="10" t="n">
        <v>45673.63456018519</v>
      </c>
      <c r="K3725" s="11" t="n">
        <v>0.001388888888888889</v>
      </c>
      <c r="L3725" s="13" t="n"/>
    </row>
    <row r="3726">
      <c r="A3726" s="3" t="inlineStr">
        <is>
          <t>Securing</t>
        </is>
      </c>
      <c r="B3726" s="3" t="inlineStr">
        <is>
          <t>Act_SEC_1015606_152042_619</t>
        </is>
      </c>
      <c r="C3726" s="3" t="inlineStr">
        <is>
          <t>1015606</t>
        </is>
      </c>
      <c r="D3726" s="9" t="n">
        <v>19.9</v>
      </c>
      <c r="E3726" s="3" t="n"/>
      <c r="F3726" s="3" t="n"/>
      <c r="G3726" s="9" t="n"/>
      <c r="H3726" s="10" t="n">
        <v>45673.639375</v>
      </c>
      <c r="I3726" s="10" t="n">
        <v>45673.64021990741</v>
      </c>
      <c r="J3726" s="10" t="n">
        <v>45673.64174768519</v>
      </c>
      <c r="K3726" s="11" t="n">
        <v>0.001527777777777778</v>
      </c>
      <c r="L3726" s="13" t="n"/>
    </row>
    <row r="3727">
      <c r="A3727" s="3" t="inlineStr">
        <is>
          <t>Securing</t>
        </is>
      </c>
      <c r="B3727" s="3" t="inlineStr">
        <is>
          <t>Act_SEC_1015607_152241_617</t>
        </is>
      </c>
      <c r="C3727" s="3" t="inlineStr">
        <is>
          <t>1015607</t>
        </is>
      </c>
      <c r="D3727" s="9" t="n">
        <v>54</v>
      </c>
      <c r="E3727" s="3" t="n"/>
      <c r="F3727" s="3" t="n"/>
      <c r="G3727" s="9" t="n"/>
      <c r="H3727" s="10" t="n">
        <v>45673.64075231482</v>
      </c>
      <c r="I3727" s="10" t="n">
        <v>45673.64153935185</v>
      </c>
      <c r="J3727" s="10" t="n">
        <v>45673.64292824074</v>
      </c>
      <c r="K3727" s="11" t="n">
        <v>0.001388888888888889</v>
      </c>
      <c r="L3727" s="13" t="n"/>
    </row>
    <row r="3728">
      <c r="A3728" s="3" t="inlineStr">
        <is>
          <t>Securing</t>
        </is>
      </c>
      <c r="B3728" s="3" t="inlineStr">
        <is>
          <t>Act_SEC_1015701_153804_621</t>
        </is>
      </c>
      <c r="C3728" s="3" t="inlineStr">
        <is>
          <t>1015701</t>
        </is>
      </c>
      <c r="D3728" s="9" t="n">
        <v>63</v>
      </c>
      <c r="E3728" s="3" t="n"/>
      <c r="F3728" s="3" t="n"/>
      <c r="G3728" s="9" t="n"/>
      <c r="H3728" s="10" t="n">
        <v>45673.65143518519</v>
      </c>
      <c r="I3728" s="10" t="n">
        <v>45673.65222222222</v>
      </c>
      <c r="J3728" s="10" t="n">
        <v>45673.65361111111</v>
      </c>
      <c r="K3728" s="11" t="n">
        <v>0.001388888888888889</v>
      </c>
      <c r="L3728" s="13" t="n"/>
    </row>
    <row r="3729">
      <c r="A3729" s="3" t="inlineStr">
        <is>
          <t>Securing</t>
        </is>
      </c>
      <c r="B3729" s="3" t="inlineStr">
        <is>
          <t>Act_SEC_1015903_175526_613</t>
        </is>
      </c>
      <c r="C3729" s="3" t="inlineStr">
        <is>
          <t>1015903</t>
        </is>
      </c>
      <c r="D3729" s="9" t="n">
        <v>373.3</v>
      </c>
      <c r="E3729" s="3" t="n"/>
      <c r="F3729" s="3" t="n"/>
      <c r="G3729" s="9" t="n"/>
      <c r="H3729" s="10" t="n">
        <v>45673.7468287037</v>
      </c>
      <c r="I3729" s="10" t="n">
        <v>45673.74760416667</v>
      </c>
      <c r="J3729" s="10" t="n">
        <v>45673.74899305555</v>
      </c>
      <c r="K3729" s="11" t="n">
        <v>0.001388888888888889</v>
      </c>
      <c r="L3729" s="13" t="n"/>
    </row>
    <row r="3730">
      <c r="A3730" s="3" t="inlineStr">
        <is>
          <t>Securing</t>
        </is>
      </c>
      <c r="B3730" s="3" t="inlineStr">
        <is>
          <t>Act_SEC_1015905_180011_613</t>
        </is>
      </c>
      <c r="C3730" s="3" t="inlineStr">
        <is>
          <t>1015905</t>
        </is>
      </c>
      <c r="D3730" s="9" t="n">
        <v>19.9</v>
      </c>
      <c r="E3730" s="3" t="n"/>
      <c r="F3730" s="3" t="n"/>
      <c r="G3730" s="9" t="n"/>
      <c r="H3730" s="10" t="n">
        <v>45673.75012731482</v>
      </c>
      <c r="I3730" s="10" t="n">
        <v>45673.7508912037</v>
      </c>
      <c r="J3730" s="10" t="n">
        <v>45673.75228009259</v>
      </c>
      <c r="K3730" s="11" t="n">
        <v>0.001388888888888889</v>
      </c>
      <c r="L3730" s="13" t="n"/>
    </row>
    <row r="3731">
      <c r="A3731" s="3" t="inlineStr">
        <is>
          <t>Securing</t>
        </is>
      </c>
      <c r="B3731" s="3" t="inlineStr">
        <is>
          <t>Act_SEC_1016002_202653_625</t>
        </is>
      </c>
      <c r="C3731" s="3" t="inlineStr">
        <is>
          <t>1016002</t>
        </is>
      </c>
      <c r="D3731" s="9" t="n">
        <v>108.7</v>
      </c>
      <c r="E3731" s="3" t="n"/>
      <c r="F3731" s="3" t="n"/>
      <c r="G3731" s="9" t="n"/>
      <c r="H3731" s="10" t="n">
        <v>45673.85200231482</v>
      </c>
      <c r="I3731" s="10" t="n">
        <v>45673.85287037037</v>
      </c>
      <c r="J3731" s="10" t="n">
        <v>45673.85439814815</v>
      </c>
      <c r="K3731" s="11" t="n">
        <v>0.001527777777777778</v>
      </c>
      <c r="L3731" s="13" t="n"/>
    </row>
    <row r="3732">
      <c r="A3732" s="3" t="inlineStr">
        <is>
          <t>Securing</t>
        </is>
      </c>
      <c r="B3732" s="3" t="inlineStr">
        <is>
          <t>Act_SEC_1016007_203818_605</t>
        </is>
      </c>
      <c r="C3732" s="3" t="inlineStr">
        <is>
          <t>1016007</t>
        </is>
      </c>
      <c r="D3732" s="9" t="n">
        <v>19.9</v>
      </c>
      <c r="E3732" s="3" t="n"/>
      <c r="F3732" s="3" t="n"/>
      <c r="G3732" s="9" t="n"/>
      <c r="H3732" s="10" t="n">
        <v>45673.85993055555</v>
      </c>
      <c r="I3732" s="10" t="n">
        <v>45673.86071759259</v>
      </c>
      <c r="J3732" s="10" t="n">
        <v>45673.86210648148</v>
      </c>
      <c r="K3732" s="11" t="n">
        <v>0.001388888888888889</v>
      </c>
      <c r="L3732" s="13" t="n"/>
    </row>
    <row r="3733">
      <c r="A3733" s="3" t="inlineStr">
        <is>
          <t>Securing</t>
        </is>
      </c>
      <c r="B3733" s="3" t="inlineStr">
        <is>
          <t>Act_SEC_1016103_030747_621</t>
        </is>
      </c>
      <c r="C3733" s="3" t="inlineStr">
        <is>
          <t>1016103</t>
        </is>
      </c>
      <c r="D3733" s="9" t="n">
        <v>12</v>
      </c>
      <c r="E3733" s="3" t="n"/>
      <c r="F3733" s="3" t="n"/>
      <c r="G3733" s="9" t="n"/>
      <c r="H3733" s="10" t="n">
        <v>45674.13040509259</v>
      </c>
      <c r="I3733" s="10" t="n">
        <v>45674.13118055555</v>
      </c>
      <c r="J3733" s="10" t="n">
        <v>45674.13256944445</v>
      </c>
      <c r="K3733" s="11" t="n">
        <v>0.001388888888888889</v>
      </c>
      <c r="L3733" s="13" t="n"/>
    </row>
    <row r="3734">
      <c r="A3734" s="3" t="inlineStr">
        <is>
          <t>Securing</t>
        </is>
      </c>
      <c r="B3734" s="3" t="inlineStr">
        <is>
          <t>Act_SEC_1016301_064253_613</t>
        </is>
      </c>
      <c r="C3734" s="3" t="inlineStr">
        <is>
          <t>1016301</t>
        </is>
      </c>
      <c r="D3734" s="9" t="n">
        <v>297</v>
      </c>
      <c r="E3734" s="3" t="n"/>
      <c r="F3734" s="3" t="n"/>
      <c r="G3734" s="9" t="n"/>
      <c r="H3734" s="10" t="n">
        <v>45674.27978009259</v>
      </c>
      <c r="I3734" s="10" t="n">
        <v>45674.28055555555</v>
      </c>
      <c r="J3734" s="10" t="n">
        <v>45674.28194444445</v>
      </c>
      <c r="K3734" s="11" t="n">
        <v>0.001388888888888889</v>
      </c>
      <c r="L3734" s="13" t="n"/>
    </row>
    <row r="3735">
      <c r="A3735" s="3" t="inlineStr">
        <is>
          <t>Securing</t>
        </is>
      </c>
      <c r="B3735" s="3" t="inlineStr">
        <is>
          <t>Act_SEC_1016402_072844_625</t>
        </is>
      </c>
      <c r="C3735" s="3" t="inlineStr">
        <is>
          <t>1016402</t>
        </is>
      </c>
      <c r="D3735" s="9" t="n">
        <v>147.7</v>
      </c>
      <c r="E3735" s="3" t="n"/>
      <c r="F3735" s="3" t="n"/>
      <c r="G3735" s="9" t="n"/>
      <c r="H3735" s="10" t="n">
        <v>45674.31162037037</v>
      </c>
      <c r="I3735" s="10" t="n">
        <v>45674.31248842592</v>
      </c>
      <c r="J3735" s="10" t="n">
        <v>45674.3140162037</v>
      </c>
      <c r="K3735" s="11" t="n">
        <v>0.001527777777777778</v>
      </c>
      <c r="L3735" s="13" t="n"/>
    </row>
    <row r="3736">
      <c r="A3736" s="3" t="inlineStr">
        <is>
          <t>Securing</t>
        </is>
      </c>
      <c r="B3736" s="3" t="inlineStr">
        <is>
          <t>Act_SEC_1016405_073523_607</t>
        </is>
      </c>
      <c r="C3736" s="3" t="inlineStr">
        <is>
          <t>1016405</t>
        </is>
      </c>
      <c r="D3736" s="9" t="n">
        <v>15.7</v>
      </c>
      <c r="E3736" s="3" t="n"/>
      <c r="F3736" s="3" t="n"/>
      <c r="G3736" s="9" t="n"/>
      <c r="H3736" s="10" t="n">
        <v>45674.31623842593</v>
      </c>
      <c r="I3736" s="10" t="n">
        <v>45674.31710648148</v>
      </c>
      <c r="J3736" s="10" t="n">
        <v>45674.31863425926</v>
      </c>
      <c r="K3736" s="11" t="n">
        <v>0.001527777777777778</v>
      </c>
      <c r="L3736" s="13" t="n"/>
    </row>
    <row r="3737">
      <c r="A3737" s="3" t="inlineStr">
        <is>
          <t>Securing</t>
        </is>
      </c>
      <c r="B3737" s="3" t="inlineStr">
        <is>
          <t>Act_SEC_1016406_073820_629</t>
        </is>
      </c>
      <c r="C3737" s="3" t="inlineStr">
        <is>
          <t>1016406</t>
        </is>
      </c>
      <c r="D3737" s="9" t="n">
        <v>73.90000000000001</v>
      </c>
      <c r="E3737" s="3" t="n"/>
      <c r="F3737" s="3" t="n"/>
      <c r="G3737" s="9" t="n"/>
      <c r="H3737" s="10" t="n">
        <v>45674.31828703704</v>
      </c>
      <c r="I3737" s="10" t="n">
        <v>45674.31912037037</v>
      </c>
      <c r="J3737" s="10" t="n">
        <v>45674.32064814815</v>
      </c>
      <c r="K3737" s="11" t="n">
        <v>0.001527777777777778</v>
      </c>
      <c r="L3737" s="13" t="n"/>
    </row>
    <row r="3738">
      <c r="A3738" s="3" t="inlineStr">
        <is>
          <t>Securing</t>
        </is>
      </c>
      <c r="B3738" s="3" t="inlineStr">
        <is>
          <t>Act_SEC_1016407_074108_619</t>
        </is>
      </c>
      <c r="C3738" s="3" t="inlineStr">
        <is>
          <t>1016407</t>
        </is>
      </c>
      <c r="D3738" s="9" t="n">
        <v>15.7</v>
      </c>
      <c r="E3738" s="3" t="n"/>
      <c r="F3738" s="3" t="n"/>
      <c r="G3738" s="9" t="n"/>
      <c r="H3738" s="10" t="n">
        <v>45674.32023148148</v>
      </c>
      <c r="I3738" s="10" t="n">
        <v>45674.32109953704</v>
      </c>
      <c r="J3738" s="10" t="n">
        <v>45674.32262731482</v>
      </c>
      <c r="K3738" s="11" t="n">
        <v>0.001527777777777778</v>
      </c>
      <c r="L3738" s="13" t="n"/>
    </row>
    <row r="3739">
      <c r="A3739" s="3" t="inlineStr">
        <is>
          <t>Securing</t>
        </is>
      </c>
      <c r="B3739" s="3" t="inlineStr">
        <is>
          <t>Act_SEC_1016501_075107_617</t>
        </is>
      </c>
      <c r="C3739" s="3" t="inlineStr">
        <is>
          <t>1016501</t>
        </is>
      </c>
      <c r="D3739" s="9" t="n">
        <v>339.8</v>
      </c>
      <c r="E3739" s="3" t="n"/>
      <c r="F3739" s="3" t="n"/>
      <c r="G3739" s="9" t="n"/>
      <c r="H3739" s="10" t="n">
        <v>45674.32716435185</v>
      </c>
      <c r="I3739" s="10" t="n">
        <v>45674.32799768518</v>
      </c>
      <c r="J3739" s="10" t="n">
        <v>45674.32952546296</v>
      </c>
      <c r="K3739" s="11" t="n">
        <v>0.001527777777777778</v>
      </c>
      <c r="L3739" s="13" t="n"/>
    </row>
    <row r="3740">
      <c r="A3740" s="3" t="inlineStr">
        <is>
          <t>Securing</t>
        </is>
      </c>
      <c r="B3740" s="3" t="inlineStr">
        <is>
          <t>Act_SEC_1016802_090331_615</t>
        </is>
      </c>
      <c r="C3740" s="3" t="inlineStr">
        <is>
          <t>1016802</t>
        </is>
      </c>
      <c r="D3740" s="9" t="n">
        <v>173.3</v>
      </c>
      <c r="E3740" s="3" t="n"/>
      <c r="F3740" s="3" t="n"/>
      <c r="G3740" s="9" t="n"/>
      <c r="H3740" s="10" t="n">
        <v>45674.37744212963</v>
      </c>
      <c r="I3740" s="10" t="n">
        <v>45674.37831018519</v>
      </c>
      <c r="J3740" s="10" t="n">
        <v>45674.37983796297</v>
      </c>
      <c r="K3740" s="11" t="n">
        <v>0.001527777777777778</v>
      </c>
      <c r="L3740" s="13" t="n"/>
    </row>
    <row r="3741">
      <c r="A3741" s="3" t="inlineStr">
        <is>
          <t>Securing</t>
        </is>
      </c>
      <c r="B3741" s="3" t="inlineStr">
        <is>
          <t>Act_SEC_1016701_090917_605</t>
        </is>
      </c>
      <c r="C3741" s="3" t="inlineStr">
        <is>
          <t>1016701</t>
        </is>
      </c>
      <c r="D3741" s="9" t="n">
        <v>15.7</v>
      </c>
      <c r="E3741" s="3" t="n"/>
      <c r="F3741" s="3" t="n"/>
      <c r="G3741" s="9" t="n"/>
      <c r="H3741" s="10" t="n">
        <v>45674.38144675926</v>
      </c>
      <c r="I3741" s="10" t="n">
        <v>45674.38231481481</v>
      </c>
      <c r="J3741" s="10" t="n">
        <v>45674.38384259259</v>
      </c>
      <c r="K3741" s="11" t="n">
        <v>0.001527777777777778</v>
      </c>
      <c r="L3741" s="13" t="n"/>
    </row>
    <row r="3742">
      <c r="A3742" s="3" t="inlineStr">
        <is>
          <t>Securing</t>
        </is>
      </c>
      <c r="B3742" s="3" t="inlineStr">
        <is>
          <t>Act_SEC_1016702_091219_607</t>
        </is>
      </c>
      <c r="C3742" s="3" t="inlineStr">
        <is>
          <t>1016702</t>
        </is>
      </c>
      <c r="D3742" s="9" t="n">
        <v>240.6</v>
      </c>
      <c r="E3742" s="3" t="n"/>
      <c r="F3742" s="3" t="n"/>
      <c r="G3742" s="9" t="n"/>
      <c r="H3742" s="10" t="n">
        <v>45674.38355324074</v>
      </c>
      <c r="I3742" s="10" t="n">
        <v>45674.38442129629</v>
      </c>
      <c r="J3742" s="10" t="n">
        <v>45674.38594907407</v>
      </c>
      <c r="K3742" s="11" t="n">
        <v>0.001527777777777778</v>
      </c>
      <c r="L3742" s="13" t="n"/>
    </row>
    <row r="3743">
      <c r="A3743" s="3" t="inlineStr">
        <is>
          <t>Securing</t>
        </is>
      </c>
      <c r="B3743" s="3" t="inlineStr">
        <is>
          <t>Act_SEC_1016703_091427_609</t>
        </is>
      </c>
      <c r="C3743" s="3" t="inlineStr">
        <is>
          <t>1016703</t>
        </is>
      </c>
      <c r="D3743" s="9" t="n">
        <v>19.9</v>
      </c>
      <c r="E3743" s="3" t="n"/>
      <c r="F3743" s="3" t="n"/>
      <c r="G3743" s="9" t="n"/>
      <c r="H3743" s="10" t="n">
        <v>45674.38503472223</v>
      </c>
      <c r="I3743" s="10" t="n">
        <v>45674.38590277778</v>
      </c>
      <c r="J3743" s="10" t="n">
        <v>45674.38743055556</v>
      </c>
      <c r="K3743" s="11" t="n">
        <v>0.001527777777777778</v>
      </c>
      <c r="L3743" s="13" t="n"/>
    </row>
    <row r="3744">
      <c r="A3744" s="3" t="inlineStr">
        <is>
          <t>Securing</t>
        </is>
      </c>
      <c r="B3744" s="3" t="inlineStr">
        <is>
          <t>Act_SEC_1016705_092012_625</t>
        </is>
      </c>
      <c r="C3744" s="3" t="inlineStr">
        <is>
          <t>1016705</t>
        </is>
      </c>
      <c r="D3744" s="9" t="n">
        <v>47.2</v>
      </c>
      <c r="E3744" s="3" t="n"/>
      <c r="F3744" s="3" t="n"/>
      <c r="G3744" s="9" t="n"/>
      <c r="H3744" s="10" t="n">
        <v>45674.38902777778</v>
      </c>
      <c r="I3744" s="10" t="n">
        <v>45674.38989583333</v>
      </c>
      <c r="J3744" s="10" t="n">
        <v>45674.39142361111</v>
      </c>
      <c r="K3744" s="11" t="n">
        <v>0.001527777777777778</v>
      </c>
      <c r="L3744" s="13" t="n"/>
    </row>
    <row r="3745">
      <c r="A3745" s="3" t="inlineStr">
        <is>
          <t>Securing</t>
        </is>
      </c>
      <c r="B3745" s="3" t="inlineStr">
        <is>
          <t>Act_SEC_1016707_092426_607</t>
        </is>
      </c>
      <c r="C3745" s="3" t="inlineStr">
        <is>
          <t>1016707</t>
        </is>
      </c>
      <c r="D3745" s="9" t="n">
        <v>15.7</v>
      </c>
      <c r="E3745" s="3" t="n"/>
      <c r="F3745" s="3" t="n"/>
      <c r="G3745" s="9" t="n"/>
      <c r="H3745" s="10" t="n">
        <v>45674.39196759259</v>
      </c>
      <c r="I3745" s="10" t="n">
        <v>45674.39283564815</v>
      </c>
      <c r="J3745" s="10" t="n">
        <v>45674.39436342593</v>
      </c>
      <c r="K3745" s="11" t="n">
        <v>0.001527777777777778</v>
      </c>
      <c r="L3745" s="13" t="n"/>
    </row>
    <row r="3746">
      <c r="A3746" s="3" t="inlineStr">
        <is>
          <t>Securing</t>
        </is>
      </c>
      <c r="B3746" s="3" t="inlineStr">
        <is>
          <t>Act_SEC_1016901_102705_615</t>
        </is>
      </c>
      <c r="C3746" s="3" t="inlineStr">
        <is>
          <t>1016901</t>
        </is>
      </c>
      <c r="D3746" s="9" t="n">
        <v>21</v>
      </c>
      <c r="E3746" s="3" t="n"/>
      <c r="F3746" s="3" t="n"/>
      <c r="G3746" s="9" t="n"/>
      <c r="H3746" s="10" t="n">
        <v>45674.43547453704</v>
      </c>
      <c r="I3746" s="10" t="n">
        <v>45674.43626157408</v>
      </c>
      <c r="J3746" s="10" t="n">
        <v>45674.43765046296</v>
      </c>
      <c r="K3746" s="11" t="n">
        <v>0.001388888888888889</v>
      </c>
      <c r="L3746" s="13" t="n"/>
    </row>
    <row r="3747">
      <c r="A3747" s="3" t="inlineStr">
        <is>
          <t>Securing</t>
        </is>
      </c>
      <c r="B3747" s="3" t="inlineStr">
        <is>
          <t>Act_SEC_1017001_130300_613</t>
        </is>
      </c>
      <c r="C3747" s="3" t="inlineStr">
        <is>
          <t>1017001</t>
        </is>
      </c>
      <c r="D3747" s="9" t="n">
        <v>238.4</v>
      </c>
      <c r="E3747" s="3" t="n"/>
      <c r="F3747" s="3" t="n"/>
      <c r="G3747" s="9" t="n"/>
      <c r="H3747" s="10" t="n">
        <v>45674.54375</v>
      </c>
      <c r="I3747" s="10" t="n">
        <v>45674.54461805556</v>
      </c>
      <c r="J3747" s="10" t="n">
        <v>45674.54614583333</v>
      </c>
      <c r="K3747" s="11" t="n">
        <v>0.001527777777777778</v>
      </c>
      <c r="L3747" s="13" t="n"/>
    </row>
    <row r="3748">
      <c r="A3748" s="3" t="inlineStr">
        <is>
          <t>Securing</t>
        </is>
      </c>
      <c r="B3748" s="3" t="inlineStr">
        <is>
          <t>Act_SEC_1017101_154716_625</t>
        </is>
      </c>
      <c r="C3748" s="3" t="inlineStr">
        <is>
          <t>1017101</t>
        </is>
      </c>
      <c r="D3748" s="9" t="n">
        <v>220.4</v>
      </c>
      <c r="E3748" s="3" t="n"/>
      <c r="F3748" s="3" t="n"/>
      <c r="G3748" s="9" t="n"/>
      <c r="H3748" s="10" t="n">
        <v>45674.65782407407</v>
      </c>
      <c r="I3748" s="10" t="n">
        <v>45674.65865740741</v>
      </c>
      <c r="J3748" s="10" t="n">
        <v>45674.66018518519</v>
      </c>
      <c r="K3748" s="11" t="n">
        <v>0.001527777777777778</v>
      </c>
      <c r="L3748" s="13" t="n"/>
    </row>
    <row r="3749">
      <c r="A3749" s="3" t="inlineStr">
        <is>
          <t>Securing</t>
        </is>
      </c>
      <c r="B3749" s="3" t="inlineStr">
        <is>
          <t>Act_SEC_1017201_174424_615</t>
        </is>
      </c>
      <c r="C3749" s="3" t="inlineStr">
        <is>
          <t>1017201</t>
        </is>
      </c>
      <c r="D3749" s="9" t="n">
        <v>302.1</v>
      </c>
      <c r="E3749" s="3" t="n"/>
      <c r="F3749" s="3" t="n"/>
      <c r="G3749" s="9" t="n"/>
      <c r="H3749" s="10" t="n">
        <v>45674.73916666667</v>
      </c>
      <c r="I3749" s="10" t="n">
        <v>45674.74003472222</v>
      </c>
      <c r="J3749" s="10" t="n">
        <v>45674.7415625</v>
      </c>
      <c r="K3749" s="11" t="n">
        <v>0.001527777777777778</v>
      </c>
      <c r="L3749" s="13" t="n"/>
    </row>
    <row r="3750">
      <c r="A3750" s="3" t="inlineStr">
        <is>
          <t>Securing</t>
        </is>
      </c>
      <c r="B3750" s="3" t="inlineStr">
        <is>
          <t>Act_SEC_1017301_181204_619</t>
        </is>
      </c>
      <c r="C3750" s="3" t="inlineStr">
        <is>
          <t>1017301</t>
        </is>
      </c>
      <c r="D3750" s="9" t="n">
        <v>110.2</v>
      </c>
      <c r="E3750" s="3" t="n"/>
      <c r="F3750" s="3" t="n"/>
      <c r="G3750" s="9" t="n"/>
      <c r="H3750" s="10" t="n">
        <v>45674.75837962963</v>
      </c>
      <c r="I3750" s="10" t="n">
        <v>45674.75924768519</v>
      </c>
      <c r="J3750" s="10" t="n">
        <v>45674.76077546296</v>
      </c>
      <c r="K3750" s="11" t="n">
        <v>0.001527777777777778</v>
      </c>
      <c r="L3750" s="13" t="n"/>
    </row>
    <row r="3751">
      <c r="A3751" s="3" t="inlineStr">
        <is>
          <t>Securing</t>
        </is>
      </c>
      <c r="B3751" s="3" t="inlineStr">
        <is>
          <t>Act_SEC_1017401_203138_625</t>
        </is>
      </c>
      <c r="C3751" s="3" t="inlineStr">
        <is>
          <t>1017401</t>
        </is>
      </c>
      <c r="D3751" s="9" t="n">
        <v>15.7</v>
      </c>
      <c r="E3751" s="3" t="n"/>
      <c r="F3751" s="3" t="n"/>
      <c r="G3751" s="9" t="n"/>
      <c r="H3751" s="10" t="n">
        <v>45674.85530092593</v>
      </c>
      <c r="I3751" s="10" t="n">
        <v>45674.85613425926</v>
      </c>
      <c r="J3751" s="10" t="n">
        <v>45674.85766203704</v>
      </c>
      <c r="K3751" s="11" t="n">
        <v>0.001527777777777778</v>
      </c>
      <c r="L3751" s="13" t="n"/>
    </row>
    <row r="3752">
      <c r="A3752" s="3" t="inlineStr">
        <is>
          <t>Securing</t>
        </is>
      </c>
      <c r="B3752" s="3" t="inlineStr">
        <is>
          <t>Act_SEC_1017402_203411_606</t>
        </is>
      </c>
      <c r="C3752" s="3" t="inlineStr">
        <is>
          <t>1017402</t>
        </is>
      </c>
      <c r="D3752" s="9" t="n">
        <v>36.4</v>
      </c>
      <c r="E3752" s="3" t="n"/>
      <c r="F3752" s="3" t="n"/>
      <c r="G3752" s="9" t="n"/>
      <c r="H3752" s="10" t="n">
        <v>45674.85707175926</v>
      </c>
      <c r="I3752" s="10" t="n">
        <v>45674.85784722222</v>
      </c>
      <c r="J3752" s="10" t="n">
        <v>45674.85923611111</v>
      </c>
      <c r="K3752" s="11" t="n">
        <v>0.001388888888888889</v>
      </c>
      <c r="L3752" s="13" t="n"/>
    </row>
    <row r="3753">
      <c r="A3753" s="3" t="inlineStr">
        <is>
          <t>Securing</t>
        </is>
      </c>
      <c r="B3753" s="3" t="inlineStr">
        <is>
          <t>Act_SEC_1017403_203701_621</t>
        </is>
      </c>
      <c r="C3753" s="3" t="inlineStr">
        <is>
          <t>1017403</t>
        </is>
      </c>
      <c r="D3753" s="9" t="n">
        <v>19.9</v>
      </c>
      <c r="E3753" s="3" t="n"/>
      <c r="F3753" s="3" t="n"/>
      <c r="G3753" s="9" t="n"/>
      <c r="H3753" s="10" t="n">
        <v>45674.85903935185</v>
      </c>
      <c r="I3753" s="10" t="n">
        <v>45674.85987268519</v>
      </c>
      <c r="J3753" s="10" t="n">
        <v>45674.86140046296</v>
      </c>
      <c r="K3753" s="11" t="n">
        <v>0.001527777777777778</v>
      </c>
      <c r="L3753" s="13" t="n"/>
    </row>
    <row r="3754">
      <c r="A3754" s="3" t="inlineStr">
        <is>
          <t>Securing</t>
        </is>
      </c>
      <c r="B3754" s="3" t="inlineStr">
        <is>
          <t>Act_SEC_1017404_203859_617</t>
        </is>
      </c>
      <c r="C3754" s="3" t="inlineStr">
        <is>
          <t>1017404</t>
        </is>
      </c>
      <c r="D3754" s="9" t="n">
        <v>54</v>
      </c>
      <c r="E3754" s="3" t="n"/>
      <c r="F3754" s="3" t="n"/>
      <c r="G3754" s="9" t="n"/>
      <c r="H3754" s="10" t="n">
        <v>45674.86040509259</v>
      </c>
      <c r="I3754" s="10" t="n">
        <v>45674.86118055556</v>
      </c>
      <c r="J3754" s="10" t="n">
        <v>45674.86256944444</v>
      </c>
      <c r="K3754" s="11" t="n">
        <v>0.001388888888888889</v>
      </c>
      <c r="L3754" s="13" t="n"/>
    </row>
    <row r="3755">
      <c r="A3755" s="3" t="inlineStr">
        <is>
          <t>Securing</t>
        </is>
      </c>
      <c r="B3755" s="3" t="inlineStr">
        <is>
          <t>Act_SEC_1017405_204146_629</t>
        </is>
      </c>
      <c r="C3755" s="3" t="inlineStr">
        <is>
          <t>1017405</t>
        </is>
      </c>
      <c r="D3755" s="9" t="n">
        <v>23.2</v>
      </c>
      <c r="E3755" s="3" t="n"/>
      <c r="F3755" s="3" t="n"/>
      <c r="G3755" s="9" t="n"/>
      <c r="H3755" s="10" t="n">
        <v>45674.86233796296</v>
      </c>
      <c r="I3755" s="10" t="n">
        <v>45674.8631712963</v>
      </c>
      <c r="J3755" s="10" t="n">
        <v>45674.86469907407</v>
      </c>
      <c r="K3755" s="11" t="n">
        <v>0.001527777777777778</v>
      </c>
      <c r="L3755" s="13" t="n"/>
    </row>
    <row r="3756">
      <c r="A3756" s="3" t="inlineStr">
        <is>
          <t>Securing</t>
        </is>
      </c>
      <c r="B3756" s="3" t="inlineStr">
        <is>
          <t>Act_SEC_1017501_004445_623</t>
        </is>
      </c>
      <c r="C3756" s="3" t="inlineStr">
        <is>
          <t>1017501</t>
        </is>
      </c>
      <c r="D3756" s="9" t="n">
        <v>179.2</v>
      </c>
      <c r="E3756" s="3" t="n"/>
      <c r="F3756" s="3" t="n"/>
      <c r="G3756" s="9" t="n"/>
      <c r="H3756" s="10" t="n">
        <v>45675.03107638889</v>
      </c>
      <c r="I3756" s="10" t="n">
        <v>45675.03184027778</v>
      </c>
      <c r="J3756" s="10" t="n">
        <v>45675.03322916666</v>
      </c>
      <c r="K3756" s="11" t="n">
        <v>0.001388888888888889</v>
      </c>
      <c r="L3756" s="13" t="n"/>
    </row>
    <row r="3757">
      <c r="A3757" s="3" t="inlineStr">
        <is>
          <t>Securing</t>
        </is>
      </c>
      <c r="B3757" s="3" t="inlineStr">
        <is>
          <t>Act_SEC_1017602_060351_615</t>
        </is>
      </c>
      <c r="C3757" s="3" t="inlineStr">
        <is>
          <t>1017602</t>
        </is>
      </c>
      <c r="D3757" s="9" t="n">
        <v>93.8</v>
      </c>
      <c r="E3757" s="3" t="n"/>
      <c r="F3757" s="3" t="n"/>
      <c r="G3757" s="9" t="n"/>
      <c r="H3757" s="10" t="n">
        <v>45675.25267361111</v>
      </c>
      <c r="I3757" s="10" t="n">
        <v>45675.25346064815</v>
      </c>
      <c r="J3757" s="10" t="n">
        <v>45675.25484953704</v>
      </c>
      <c r="K3757" s="11" t="n">
        <v>0.001388888888888889</v>
      </c>
      <c r="L3757" s="13" t="n"/>
    </row>
    <row r="3758">
      <c r="A3758" s="3" t="inlineStr">
        <is>
          <t>Securing</t>
        </is>
      </c>
      <c r="B3758" s="3" t="inlineStr">
        <is>
          <t>Act_SEC_1017703_065826_627</t>
        </is>
      </c>
      <c r="C3758" s="3" t="inlineStr">
        <is>
          <t>1017703</t>
        </is>
      </c>
      <c r="D3758" s="9" t="n">
        <v>31.5</v>
      </c>
      <c r="E3758" s="3" t="n"/>
      <c r="F3758" s="3" t="n"/>
      <c r="G3758" s="9" t="n"/>
      <c r="H3758" s="10" t="n">
        <v>45675.2905787037</v>
      </c>
      <c r="I3758" s="10" t="n">
        <v>45675.29144675926</v>
      </c>
      <c r="J3758" s="10" t="n">
        <v>45675.29297453703</v>
      </c>
      <c r="K3758" s="11" t="n">
        <v>0.001527777777777778</v>
      </c>
      <c r="L3758" s="13" t="n"/>
    </row>
    <row r="3759">
      <c r="A3759" s="3" t="inlineStr">
        <is>
          <t>Securing</t>
        </is>
      </c>
      <c r="B3759" s="3" t="inlineStr">
        <is>
          <t>Act_SEC_1017704_070115_619</t>
        </is>
      </c>
      <c r="C3759" s="3" t="inlineStr">
        <is>
          <t>1017704</t>
        </is>
      </c>
      <c r="D3759" s="9" t="n">
        <v>15.7</v>
      </c>
      <c r="E3759" s="3" t="n"/>
      <c r="F3759" s="3" t="n"/>
      <c r="G3759" s="9" t="n"/>
      <c r="H3759" s="10" t="n">
        <v>45675.29253472222</v>
      </c>
      <c r="I3759" s="10" t="n">
        <v>45675.29336805556</v>
      </c>
      <c r="J3759" s="10" t="n">
        <v>45675.29489583334</v>
      </c>
      <c r="K3759" s="11" t="n">
        <v>0.001527777777777778</v>
      </c>
      <c r="L3759" s="13" t="n"/>
    </row>
    <row r="3760">
      <c r="A3760" s="3" t="inlineStr">
        <is>
          <t>Securing</t>
        </is>
      </c>
      <c r="B3760" s="3" t="inlineStr">
        <is>
          <t>Act_SEC_1017705_070404_621</t>
        </is>
      </c>
      <c r="C3760" s="3" t="inlineStr">
        <is>
          <t>1017705</t>
        </is>
      </c>
      <c r="D3760" s="9" t="n">
        <v>19.9</v>
      </c>
      <c r="E3760" s="3" t="n"/>
      <c r="F3760" s="3" t="n"/>
      <c r="G3760" s="9" t="n"/>
      <c r="H3760" s="10" t="n">
        <v>45675.29449074074</v>
      </c>
      <c r="I3760" s="10" t="n">
        <v>45675.2953587963</v>
      </c>
      <c r="J3760" s="10" t="n">
        <v>45675.29688657408</v>
      </c>
      <c r="K3760" s="11" t="n">
        <v>0.001527777777777778</v>
      </c>
      <c r="L3760" s="13" t="n"/>
    </row>
    <row r="3761">
      <c r="A3761" s="3" t="inlineStr">
        <is>
          <t>Securing</t>
        </is>
      </c>
      <c r="B3761" s="3" t="inlineStr">
        <is>
          <t>Act_SEC_1017801_175203_627</t>
        </is>
      </c>
      <c r="C3761" s="3" t="inlineStr">
        <is>
          <t>1017801</t>
        </is>
      </c>
      <c r="D3761" s="9" t="n">
        <v>521.7</v>
      </c>
      <c r="E3761" s="3" t="n"/>
      <c r="F3761" s="3" t="n"/>
      <c r="G3761" s="9" t="n"/>
      <c r="H3761" s="10" t="n">
        <v>45676.74447916666</v>
      </c>
      <c r="I3761" s="10" t="n">
        <v>45676.7452662037</v>
      </c>
      <c r="J3761" s="10" t="n">
        <v>45676.74665509259</v>
      </c>
      <c r="K3761" s="11" t="n">
        <v>0.001388888888888889</v>
      </c>
      <c r="L3761" s="13" t="n"/>
    </row>
    <row r="3762">
      <c r="A3762" s="3" t="inlineStr">
        <is>
          <t>Securing</t>
        </is>
      </c>
      <c r="B3762" s="3" t="inlineStr">
        <is>
          <t>Act_SEC_1017802_175430_607</t>
        </is>
      </c>
      <c r="C3762" s="3" t="inlineStr">
        <is>
          <t>1017802</t>
        </is>
      </c>
      <c r="D3762" s="9" t="n">
        <v>70.5</v>
      </c>
      <c r="E3762" s="3" t="n"/>
      <c r="F3762" s="3" t="n"/>
      <c r="G3762" s="9" t="n"/>
      <c r="H3762" s="10" t="n">
        <v>45676.74618055556</v>
      </c>
      <c r="I3762" s="10" t="n">
        <v>45676.74704861111</v>
      </c>
      <c r="J3762" s="10" t="n">
        <v>45676.74857638889</v>
      </c>
      <c r="K3762" s="11" t="n">
        <v>0.001527777777777778</v>
      </c>
      <c r="L3762" s="13" t="n"/>
    </row>
    <row r="3763">
      <c r="A3763" s="3" t="inlineStr">
        <is>
          <t>Securing</t>
        </is>
      </c>
      <c r="B3763" s="3" t="inlineStr">
        <is>
          <t>Act_SEC_1017901_202716_629</t>
        </is>
      </c>
      <c r="C3763" s="3" t="inlineStr">
        <is>
          <t>1017901</t>
        </is>
      </c>
      <c r="D3763" s="9" t="n">
        <v>132.7</v>
      </c>
      <c r="E3763" s="3" t="n"/>
      <c r="F3763" s="3" t="n"/>
      <c r="G3763" s="9" t="n"/>
      <c r="H3763" s="10" t="n">
        <v>45676.85226851852</v>
      </c>
      <c r="I3763" s="10" t="n">
        <v>45676.85305555556</v>
      </c>
      <c r="J3763" s="10" t="n">
        <v>45676.85444444444</v>
      </c>
      <c r="K3763" s="11" t="n">
        <v>0.001388888888888889</v>
      </c>
      <c r="L3763" s="13" t="n"/>
    </row>
    <row r="3764">
      <c r="A3764" s="3" t="inlineStr">
        <is>
          <t>Securing</t>
        </is>
      </c>
      <c r="B3764" s="3" t="inlineStr">
        <is>
          <t>Act_SEC_1018002_024830_613</t>
        </is>
      </c>
      <c r="C3764" s="3" t="inlineStr">
        <is>
          <t>1018002</t>
        </is>
      </c>
      <c r="D3764" s="9" t="n">
        <v>165.8</v>
      </c>
      <c r="E3764" s="3" t="n"/>
      <c r="F3764" s="3" t="n"/>
      <c r="G3764" s="9" t="n"/>
      <c r="H3764" s="10" t="n">
        <v>45677.11701388889</v>
      </c>
      <c r="I3764" s="10" t="n">
        <v>45677.11788194445</v>
      </c>
      <c r="J3764" s="10" t="n">
        <v>45677.11940972223</v>
      </c>
      <c r="K3764" s="11" t="n">
        <v>0.001527777777777778</v>
      </c>
      <c r="L3764" s="13" t="n"/>
    </row>
    <row r="3765">
      <c r="A3765" s="3" t="inlineStr">
        <is>
          <t>Securing</t>
        </is>
      </c>
      <c r="B3765" s="3" t="inlineStr">
        <is>
          <t>Act_SEC_1018004_025414_627</t>
        </is>
      </c>
      <c r="C3765" s="3" t="inlineStr">
        <is>
          <t>1018004</t>
        </is>
      </c>
      <c r="D3765" s="9" t="n">
        <v>47.2</v>
      </c>
      <c r="E3765" s="3" t="n"/>
      <c r="F3765" s="3" t="n"/>
      <c r="G3765" s="9" t="n"/>
      <c r="H3765" s="10" t="n">
        <v>45677.12099537037</v>
      </c>
      <c r="I3765" s="10" t="n">
        <v>45677.12186342593</v>
      </c>
      <c r="J3765" s="10" t="n">
        <v>45677.12339120371</v>
      </c>
      <c r="K3765" s="11" t="n">
        <v>0.001527777777777778</v>
      </c>
      <c r="L3765" s="13" t="n"/>
    </row>
    <row r="3766">
      <c r="A3766" s="3" t="inlineStr">
        <is>
          <t>Securing</t>
        </is>
      </c>
      <c r="B3766" s="3" t="inlineStr">
        <is>
          <t>Act_SEC_1018101_044732_625</t>
        </is>
      </c>
      <c r="C3766" s="3" t="inlineStr">
        <is>
          <t>1018101</t>
        </is>
      </c>
      <c r="D3766" s="9" t="n">
        <v>329.7</v>
      </c>
      <c r="E3766" s="3" t="n"/>
      <c r="F3766" s="3" t="n"/>
      <c r="G3766" s="9" t="n"/>
      <c r="H3766" s="10" t="n">
        <v>45677.19967592593</v>
      </c>
      <c r="I3766" s="10" t="n">
        <v>45677.20054398148</v>
      </c>
      <c r="J3766" s="10" t="n">
        <v>45677.20207175926</v>
      </c>
      <c r="K3766" s="11" t="n">
        <v>0.001527777777777778</v>
      </c>
      <c r="L3766" s="13" t="n"/>
    </row>
    <row r="3767">
      <c r="A3767" s="3" t="inlineStr">
        <is>
          <t>Securing</t>
        </is>
      </c>
      <c r="B3767" s="3" t="inlineStr">
        <is>
          <t>Act_SEC_1018301_075747_615</t>
        </is>
      </c>
      <c r="C3767" s="3" t="inlineStr">
        <is>
          <t>1018301</t>
        </is>
      </c>
      <c r="D3767" s="9" t="n">
        <v>102.8</v>
      </c>
      <c r="E3767" s="3" t="n"/>
      <c r="F3767" s="3" t="n"/>
      <c r="G3767" s="9" t="n"/>
      <c r="H3767" s="10" t="n">
        <v>45677.33179398148</v>
      </c>
      <c r="I3767" s="10" t="n">
        <v>45677.33256944444</v>
      </c>
      <c r="J3767" s="10" t="n">
        <v>45677.33395833334</v>
      </c>
      <c r="K3767" s="11" t="n">
        <v>0.001388888888888889</v>
      </c>
      <c r="L3767" s="13" t="n"/>
    </row>
    <row r="3768">
      <c r="A3768" s="3" t="inlineStr">
        <is>
          <t>Securing</t>
        </is>
      </c>
      <c r="B3768" s="3" t="inlineStr">
        <is>
          <t>Act_SEC_1018302_080024_619</t>
        </is>
      </c>
      <c r="C3768" s="3" t="inlineStr">
        <is>
          <t>1018302</t>
        </is>
      </c>
      <c r="D3768" s="9" t="n">
        <v>19.9</v>
      </c>
      <c r="E3768" s="3" t="n"/>
      <c r="F3768" s="3" t="n"/>
      <c r="G3768" s="9" t="n"/>
      <c r="H3768" s="10" t="n">
        <v>45677.33361111111</v>
      </c>
      <c r="I3768" s="10" t="n">
        <v>45677.33446759259</v>
      </c>
      <c r="J3768" s="10" t="n">
        <v>45677.33599537037</v>
      </c>
      <c r="K3768" s="11" t="n">
        <v>0.001527777777777778</v>
      </c>
      <c r="L3768" s="13" t="n"/>
    </row>
    <row r="3769">
      <c r="A3769" s="3" t="inlineStr">
        <is>
          <t>Securing</t>
        </is>
      </c>
      <c r="B3769" s="3" t="inlineStr">
        <is>
          <t>Act_SEC_1018305_080713_625</t>
        </is>
      </c>
      <c r="C3769" s="3" t="inlineStr">
        <is>
          <t>1018305</t>
        </is>
      </c>
      <c r="D3769" s="9" t="n">
        <v>31.5</v>
      </c>
      <c r="E3769" s="3" t="n"/>
      <c r="F3769" s="3" t="n"/>
      <c r="G3769" s="9" t="n"/>
      <c r="H3769" s="10" t="n">
        <v>45677.33834490741</v>
      </c>
      <c r="I3769" s="10" t="n">
        <v>45677.33994212963</v>
      </c>
      <c r="J3769" s="10" t="n">
        <v>45677.34133101852</v>
      </c>
      <c r="K3769" s="11" t="n">
        <v>0.001388888888888889</v>
      </c>
      <c r="L3769" s="13" t="n"/>
    </row>
    <row r="3770">
      <c r="A3770" s="3" t="inlineStr">
        <is>
          <t>Securing</t>
        </is>
      </c>
      <c r="B3770" s="3" t="inlineStr">
        <is>
          <t>Act_SEC_1018306_080949_629</t>
        </is>
      </c>
      <c r="C3770" s="3" t="inlineStr">
        <is>
          <t>1018306</t>
        </is>
      </c>
      <c r="D3770" s="9" t="n">
        <v>31.5</v>
      </c>
      <c r="E3770" s="3" t="n"/>
      <c r="F3770" s="3" t="n"/>
      <c r="G3770" s="9" t="n"/>
      <c r="H3770" s="10" t="n">
        <v>45677.34015046297</v>
      </c>
      <c r="I3770" s="10" t="n">
        <v>45677.34243055555</v>
      </c>
      <c r="J3770" s="10" t="n">
        <v>45677.34395833333</v>
      </c>
      <c r="K3770" s="11" t="n">
        <v>0.001527777777777778</v>
      </c>
      <c r="L3770" s="13" t="n"/>
    </row>
    <row r="3771">
      <c r="A3771" s="3" t="inlineStr">
        <is>
          <t>Securing</t>
        </is>
      </c>
      <c r="B3771" s="3" t="inlineStr">
        <is>
          <t>Act_SEC_1018311_081722_623</t>
        </is>
      </c>
      <c r="C3771" s="3" t="inlineStr">
        <is>
          <t>1018311</t>
        </is>
      </c>
      <c r="D3771" s="9" t="n">
        <v>31.5</v>
      </c>
      <c r="E3771" s="3" t="n"/>
      <c r="F3771" s="3" t="n"/>
      <c r="G3771" s="9" t="n"/>
      <c r="H3771" s="10" t="n">
        <v>45677.34539351852</v>
      </c>
      <c r="I3771" s="10" t="n">
        <v>45677.3471875</v>
      </c>
      <c r="J3771" s="10" t="n">
        <v>45677.34857638889</v>
      </c>
      <c r="K3771" s="11" t="n">
        <v>0.001388888888888889</v>
      </c>
      <c r="L3771" s="13" t="n"/>
    </row>
    <row r="3772">
      <c r="A3772" s="3" t="inlineStr">
        <is>
          <t>Securing</t>
        </is>
      </c>
      <c r="B3772" s="3" t="inlineStr">
        <is>
          <t>Act_SEC_1018313_081929_607</t>
        </is>
      </c>
      <c r="C3772" s="3" t="inlineStr">
        <is>
          <t>1018313</t>
        </is>
      </c>
      <c r="D3772" s="9" t="n">
        <v>15.7</v>
      </c>
      <c r="E3772" s="3" t="n"/>
      <c r="F3772" s="3" t="n"/>
      <c r="G3772" s="9" t="n"/>
      <c r="H3772" s="10" t="n">
        <v>45677.34686342593</v>
      </c>
      <c r="I3772" s="10" t="n">
        <v>45677.35012731481</v>
      </c>
      <c r="J3772" s="10" t="n">
        <v>45677.3515162037</v>
      </c>
      <c r="K3772" s="11" t="n">
        <v>0.001388888888888889</v>
      </c>
      <c r="L3772" s="13" t="n"/>
    </row>
    <row r="3773">
      <c r="A3773" s="3" t="inlineStr">
        <is>
          <t>Securing</t>
        </is>
      </c>
      <c r="B3773" s="3" t="inlineStr">
        <is>
          <t>Act_SEC_1018702_091512_615</t>
        </is>
      </c>
      <c r="C3773" s="3" t="inlineStr">
        <is>
          <t>1018702</t>
        </is>
      </c>
      <c r="D3773" s="9" t="n">
        <v>145.6</v>
      </c>
      <c r="E3773" s="3" t="n"/>
      <c r="F3773" s="3" t="n"/>
      <c r="G3773" s="9" t="n"/>
      <c r="H3773" s="10" t="n">
        <v>45677.38555555556</v>
      </c>
      <c r="I3773" s="10" t="n">
        <v>45677.38642361111</v>
      </c>
      <c r="J3773" s="10" t="n">
        <v>45677.38795138889</v>
      </c>
      <c r="K3773" s="11" t="n">
        <v>0.001527777777777778</v>
      </c>
      <c r="L3773" s="13" t="n"/>
    </row>
    <row r="3774">
      <c r="A3774" s="3" t="inlineStr">
        <is>
          <t>Securing</t>
        </is>
      </c>
      <c r="B3774" s="3" t="inlineStr">
        <is>
          <t>Act_SEC_1018601_092208_623</t>
        </is>
      </c>
      <c r="C3774" s="3" t="inlineStr">
        <is>
          <t>1018601</t>
        </is>
      </c>
      <c r="D3774" s="9" t="n">
        <v>46.5</v>
      </c>
      <c r="E3774" s="3" t="n"/>
      <c r="F3774" s="3" t="n"/>
      <c r="G3774" s="9" t="n"/>
      <c r="H3774" s="10" t="n">
        <v>45677.39037037037</v>
      </c>
      <c r="I3774" s="10" t="n">
        <v>45677.39123842592</v>
      </c>
      <c r="J3774" s="10" t="n">
        <v>45677.3927662037</v>
      </c>
      <c r="K3774" s="11" t="n">
        <v>0.001527777777777778</v>
      </c>
      <c r="L3774" s="13" t="n"/>
    </row>
    <row r="3775">
      <c r="A3775" s="3" t="inlineStr">
        <is>
          <t>Securing</t>
        </is>
      </c>
      <c r="B3775" s="3" t="inlineStr">
        <is>
          <t>Act_SEC_1018603_092822_621</t>
        </is>
      </c>
      <c r="C3775" s="3" t="inlineStr">
        <is>
          <t>1018603</t>
        </is>
      </c>
      <c r="D3775" s="9" t="n">
        <v>135</v>
      </c>
      <c r="E3775" s="3" t="n"/>
      <c r="F3775" s="3" t="n"/>
      <c r="G3775" s="9" t="n"/>
      <c r="H3775" s="10" t="n">
        <v>45677.39469907407</v>
      </c>
      <c r="I3775" s="10" t="n">
        <v>45677.39556712963</v>
      </c>
      <c r="J3775" s="10" t="n">
        <v>45677.39709490741</v>
      </c>
      <c r="K3775" s="11" t="n">
        <v>0.001527777777777778</v>
      </c>
      <c r="L3775" s="13" t="n"/>
    </row>
    <row r="3776">
      <c r="A3776" s="3" t="inlineStr">
        <is>
          <t>Securing</t>
        </is>
      </c>
      <c r="B3776" s="3" t="inlineStr">
        <is>
          <t>Act_SEC_1018608_093839_613</t>
        </is>
      </c>
      <c r="C3776" s="3" t="inlineStr">
        <is>
          <t>1018608</t>
        </is>
      </c>
      <c r="D3776" s="9" t="n">
        <v>19.9</v>
      </c>
      <c r="E3776" s="3" t="n"/>
      <c r="F3776" s="3" t="n"/>
      <c r="G3776" s="9" t="n"/>
      <c r="H3776" s="10" t="n">
        <v>45677.40184027778</v>
      </c>
      <c r="I3776" s="10" t="n">
        <v>45677.40262731481</v>
      </c>
      <c r="J3776" s="10" t="n">
        <v>45677.40401620371</v>
      </c>
      <c r="K3776" s="11" t="n">
        <v>0.001388888888888889</v>
      </c>
      <c r="L3776" s="13" t="n"/>
    </row>
    <row r="3777">
      <c r="A3777" s="3" t="inlineStr">
        <is>
          <t>Securing</t>
        </is>
      </c>
      <c r="B3777" s="3" t="inlineStr">
        <is>
          <t>Act_SEC_1018612_094655_621</t>
        </is>
      </c>
      <c r="C3777" s="3" t="inlineStr">
        <is>
          <t>1018612</t>
        </is>
      </c>
      <c r="D3777" s="9" t="n">
        <v>19.9</v>
      </c>
      <c r="E3777" s="3" t="n"/>
      <c r="F3777" s="3" t="n"/>
      <c r="G3777" s="9" t="n"/>
      <c r="H3777" s="10" t="n">
        <v>45677.40758101852</v>
      </c>
      <c r="I3777" s="10" t="n">
        <v>45677.40841435185</v>
      </c>
      <c r="J3777" s="10" t="n">
        <v>45677.40994212963</v>
      </c>
      <c r="K3777" s="11" t="n">
        <v>0.001527777777777778</v>
      </c>
      <c r="L3777" s="13" t="n"/>
    </row>
    <row r="3778">
      <c r="A3778" s="3" t="inlineStr">
        <is>
          <t>Securing</t>
        </is>
      </c>
      <c r="B3778" s="3" t="inlineStr">
        <is>
          <t>Act_SEC_1018801_105044_615</t>
        </is>
      </c>
      <c r="C3778" s="3" t="inlineStr">
        <is>
          <t>1018801</t>
        </is>
      </c>
      <c r="D3778" s="9" t="n">
        <v>144.8</v>
      </c>
      <c r="E3778" s="3" t="n"/>
      <c r="F3778" s="3" t="n"/>
      <c r="G3778" s="9" t="n"/>
      <c r="H3778" s="10" t="n">
        <v>45677.45189814815</v>
      </c>
      <c r="I3778" s="10" t="n">
        <v>45677.45273148148</v>
      </c>
      <c r="J3778" s="10" t="n">
        <v>45677.45425925926</v>
      </c>
      <c r="K3778" s="11" t="n">
        <v>0.001527777777777778</v>
      </c>
      <c r="L3778" s="13" t="n"/>
    </row>
    <row r="3779">
      <c r="A3779" s="3" t="inlineStr">
        <is>
          <t>Securing</t>
        </is>
      </c>
      <c r="B3779" s="3" t="inlineStr">
        <is>
          <t>Act_SEC_1018803_105522_606</t>
        </is>
      </c>
      <c r="C3779" s="3" t="inlineStr">
        <is>
          <t>1018803</t>
        </is>
      </c>
      <c r="D3779" s="9" t="n">
        <v>153.9</v>
      </c>
      <c r="E3779" s="3" t="n"/>
      <c r="F3779" s="3" t="n"/>
      <c r="G3779" s="9" t="n"/>
      <c r="H3779" s="10" t="n">
        <v>45677.45511574074</v>
      </c>
      <c r="I3779" s="10" t="n">
        <v>45677.45594907407</v>
      </c>
      <c r="J3779" s="10" t="n">
        <v>45677.45747685185</v>
      </c>
      <c r="K3779" s="11" t="n">
        <v>0.001527777777777778</v>
      </c>
      <c r="L3779" s="13" t="n"/>
    </row>
    <row r="3780">
      <c r="A3780" s="3" t="inlineStr">
        <is>
          <t>Securing</t>
        </is>
      </c>
      <c r="B3780" s="3" t="inlineStr">
        <is>
          <t>Act_SEC_1018901_125627_627</t>
        </is>
      </c>
      <c r="C3780" s="3" t="inlineStr">
        <is>
          <t>1018901</t>
        </is>
      </c>
      <c r="D3780" s="9" t="n">
        <v>105</v>
      </c>
      <c r="E3780" s="3" t="n"/>
      <c r="F3780" s="3" t="n"/>
      <c r="G3780" s="9" t="n"/>
      <c r="H3780" s="10" t="n">
        <v>45677.53920138889</v>
      </c>
      <c r="I3780" s="10" t="n">
        <v>45677.54006944445</v>
      </c>
      <c r="J3780" s="10" t="n">
        <v>45677.54159722223</v>
      </c>
      <c r="K3780" s="11" t="n">
        <v>0.001527777777777778</v>
      </c>
      <c r="L3780" s="13" t="n"/>
    </row>
    <row r="3781">
      <c r="A3781" s="3" t="inlineStr">
        <is>
          <t>Securing</t>
        </is>
      </c>
      <c r="B3781" s="3" t="inlineStr">
        <is>
          <t>Act_SEC_1019001_143946_607</t>
        </is>
      </c>
      <c r="C3781" s="3" t="inlineStr">
        <is>
          <t>1019001</t>
        </is>
      </c>
      <c r="D3781" s="9" t="n">
        <v>389.1</v>
      </c>
      <c r="E3781" s="3" t="n"/>
      <c r="F3781" s="3" t="n"/>
      <c r="G3781" s="9" t="n"/>
      <c r="H3781" s="10" t="n">
        <v>45677.61094907407</v>
      </c>
      <c r="I3781" s="10" t="n">
        <v>45677.61181712963</v>
      </c>
      <c r="J3781" s="10" t="n">
        <v>45677.6133449074</v>
      </c>
      <c r="K3781" s="11" t="n">
        <v>0.001527777777777778</v>
      </c>
      <c r="L3781" s="13" t="n"/>
    </row>
    <row r="3782">
      <c r="A3782" s="3" t="inlineStr">
        <is>
          <t>Securing</t>
        </is>
      </c>
      <c r="B3782" s="3" t="inlineStr">
        <is>
          <t>Act_SEC_1019102_153833_619</t>
        </is>
      </c>
      <c r="C3782" s="3" t="inlineStr">
        <is>
          <t>1019102</t>
        </is>
      </c>
      <c r="D3782" s="9" t="n">
        <v>19.9</v>
      </c>
      <c r="E3782" s="3" t="n"/>
      <c r="F3782" s="3" t="n"/>
      <c r="G3782" s="9" t="n"/>
      <c r="H3782" s="10" t="n">
        <v>45677.65177083333</v>
      </c>
      <c r="I3782" s="10" t="n">
        <v>45677.65261574074</v>
      </c>
      <c r="J3782" s="10" t="n">
        <v>45677.65414351852</v>
      </c>
      <c r="K3782" s="11" t="n">
        <v>0.001527777777777778</v>
      </c>
      <c r="L3782" s="13" t="n"/>
    </row>
    <row r="3783">
      <c r="A3783" s="3" t="inlineStr">
        <is>
          <t>Securing</t>
        </is>
      </c>
      <c r="B3783" s="3" t="inlineStr">
        <is>
          <t>Act_SEC_1019103_154119_629</t>
        </is>
      </c>
      <c r="C3783" s="3" t="inlineStr">
        <is>
          <t>1019103</t>
        </is>
      </c>
      <c r="D3783" s="9" t="n">
        <v>19.9</v>
      </c>
      <c r="E3783" s="3" t="n"/>
      <c r="F3783" s="3" t="n"/>
      <c r="G3783" s="9" t="n"/>
      <c r="H3783" s="10" t="n">
        <v>45677.65369212963</v>
      </c>
      <c r="I3783" s="10" t="n">
        <v>45677.65453703704</v>
      </c>
      <c r="J3783" s="10" t="n">
        <v>45677.65606481482</v>
      </c>
      <c r="K3783" s="11" t="n">
        <v>0.001527777777777778</v>
      </c>
      <c r="L3783" s="13" t="n"/>
    </row>
    <row r="3784">
      <c r="A3784" s="3" t="inlineStr">
        <is>
          <t>Securing</t>
        </is>
      </c>
      <c r="B3784" s="3" t="inlineStr">
        <is>
          <t>Act_SEC_1019105_154310_613</t>
        </is>
      </c>
      <c r="C3784" s="3" t="inlineStr">
        <is>
          <t>1019105</t>
        </is>
      </c>
      <c r="D3784" s="9" t="n">
        <v>19.9</v>
      </c>
      <c r="E3784" s="3" t="n"/>
      <c r="F3784" s="3" t="n"/>
      <c r="G3784" s="9" t="n"/>
      <c r="H3784" s="10" t="n">
        <v>45677.65497685185</v>
      </c>
      <c r="I3784" s="10" t="n">
        <v>45677.65584490741</v>
      </c>
      <c r="J3784" s="10" t="n">
        <v>45677.65737268519</v>
      </c>
      <c r="K3784" s="11" t="n">
        <v>0.001527777777777778</v>
      </c>
      <c r="L3784" s="13" t="n"/>
    </row>
    <row r="3785">
      <c r="A3785" s="3" t="inlineStr">
        <is>
          <t>Securing</t>
        </is>
      </c>
      <c r="B3785" s="3" t="inlineStr">
        <is>
          <t>Act_SEC_1019108_155108_627</t>
        </is>
      </c>
      <c r="C3785" s="3" t="inlineStr">
        <is>
          <t>1019108</t>
        </is>
      </c>
      <c r="D3785" s="9" t="n">
        <v>15.7</v>
      </c>
      <c r="E3785" s="3" t="n"/>
      <c r="F3785" s="3" t="n"/>
      <c r="G3785" s="9" t="n"/>
      <c r="H3785" s="10" t="n">
        <v>45677.66050925926</v>
      </c>
      <c r="I3785" s="10" t="n">
        <v>45677.66134259259</v>
      </c>
      <c r="J3785" s="10" t="n">
        <v>45677.66287037037</v>
      </c>
      <c r="K3785" s="11" t="n">
        <v>0.001527777777777778</v>
      </c>
      <c r="L3785" s="13" t="n"/>
    </row>
    <row r="3786">
      <c r="A3786" s="3" t="inlineStr">
        <is>
          <t>Securing</t>
        </is>
      </c>
      <c r="B3786" s="3" t="inlineStr">
        <is>
          <t>Act_SEC_1019201_160208_615</t>
        </is>
      </c>
      <c r="C3786" s="3" t="inlineStr">
        <is>
          <t>1019201</t>
        </is>
      </c>
      <c r="D3786" s="9" t="n">
        <v>152.3</v>
      </c>
      <c r="E3786" s="3" t="n"/>
      <c r="F3786" s="3" t="n"/>
      <c r="G3786" s="9" t="n"/>
      <c r="H3786" s="10" t="n">
        <v>45677.66814814815</v>
      </c>
      <c r="I3786" s="10" t="n">
        <v>45677.66899305556</v>
      </c>
      <c r="J3786" s="10" t="n">
        <v>45677.67052083334</v>
      </c>
      <c r="K3786" s="11" t="n">
        <v>0.001527777777777778</v>
      </c>
      <c r="L3786" s="13" t="n"/>
    </row>
    <row r="3787">
      <c r="A3787" s="3" t="inlineStr">
        <is>
          <t>Securing</t>
        </is>
      </c>
      <c r="B3787" s="3" t="inlineStr">
        <is>
          <t>Act_SEC_1019401_171414_615</t>
        </is>
      </c>
      <c r="C3787" s="3" t="inlineStr">
        <is>
          <t>1019401</t>
        </is>
      </c>
      <c r="D3787" s="9" t="n">
        <v>325.4</v>
      </c>
      <c r="E3787" s="3" t="n"/>
      <c r="F3787" s="3" t="n"/>
      <c r="G3787" s="9" t="n"/>
      <c r="H3787" s="10" t="n">
        <v>45677.71821759259</v>
      </c>
      <c r="I3787" s="10" t="n">
        <v>45677.71908564815</v>
      </c>
      <c r="J3787" s="10" t="n">
        <v>45677.72061342592</v>
      </c>
      <c r="K3787" s="11" t="n">
        <v>0.001527777777777778</v>
      </c>
      <c r="L3787" s="13" t="n"/>
    </row>
    <row r="3788">
      <c r="A3788" s="3" t="inlineStr">
        <is>
          <t>Securing</t>
        </is>
      </c>
      <c r="B3788" s="3" t="inlineStr">
        <is>
          <t>Act_SEC_1019501_211810_625</t>
        </is>
      </c>
      <c r="C3788" s="3" t="inlineStr">
        <is>
          <t>1019501</t>
        </is>
      </c>
      <c r="D3788" s="9" t="n">
        <v>398</v>
      </c>
      <c r="E3788" s="3" t="n"/>
      <c r="F3788" s="3" t="n"/>
      <c r="G3788" s="9" t="n"/>
      <c r="H3788" s="10" t="n">
        <v>45677.88761574074</v>
      </c>
      <c r="I3788" s="10" t="n">
        <v>45677.8884837963</v>
      </c>
      <c r="J3788" s="10" t="n">
        <v>45677.89001157408</v>
      </c>
      <c r="K3788" s="11" t="n">
        <v>0.001527777777777778</v>
      </c>
      <c r="L3788" s="13" t="n"/>
    </row>
    <row r="3789">
      <c r="A3789" s="3" t="inlineStr">
        <is>
          <t>Securing</t>
        </is>
      </c>
      <c r="B3789" s="3" t="inlineStr">
        <is>
          <t>Act_SEC_1019603_031354_615</t>
        </is>
      </c>
      <c r="C3789" s="3" t="inlineStr">
        <is>
          <t>1019603</t>
        </is>
      </c>
      <c r="D3789" s="9" t="n">
        <v>35.6</v>
      </c>
      <c r="E3789" s="3" t="n"/>
      <c r="F3789" s="3" t="n"/>
      <c r="G3789" s="9" t="n"/>
      <c r="H3789" s="10" t="n">
        <v>45678.13465277778</v>
      </c>
      <c r="I3789" s="10" t="n">
        <v>45678.13549768519</v>
      </c>
      <c r="J3789" s="10" t="n">
        <v>45678.13702546297</v>
      </c>
      <c r="K3789" s="11" t="n">
        <v>0.001527777777777778</v>
      </c>
      <c r="L3789" s="13" t="n"/>
    </row>
    <row r="3790">
      <c r="A3790" s="3" t="inlineStr">
        <is>
          <t>Securing</t>
        </is>
      </c>
      <c r="B3790" s="3" t="inlineStr">
        <is>
          <t>Act_SEC_1019701_064927_611</t>
        </is>
      </c>
      <c r="C3790" s="3" t="inlineStr">
        <is>
          <t>1019701</t>
        </is>
      </c>
      <c r="D3790" s="9" t="n">
        <v>233.1</v>
      </c>
      <c r="E3790" s="3" t="n"/>
      <c r="F3790" s="3" t="n"/>
      <c r="G3790" s="9" t="n"/>
      <c r="H3790" s="10" t="n">
        <v>45678.28434027778</v>
      </c>
      <c r="I3790" s="10" t="n">
        <v>45678.28518518519</v>
      </c>
      <c r="J3790" s="10" t="n">
        <v>45678.28671296296</v>
      </c>
      <c r="K3790" s="11" t="n">
        <v>0.001527777777777778</v>
      </c>
      <c r="L3790" s="13" t="n"/>
    </row>
    <row r="3791">
      <c r="A3791" s="3" t="inlineStr">
        <is>
          <t>Securing</t>
        </is>
      </c>
      <c r="B3791" s="3" t="inlineStr">
        <is>
          <t>Act_SEC_1019801_074040_617</t>
        </is>
      </c>
      <c r="C3791" s="3" t="inlineStr">
        <is>
          <t>1019801</t>
        </is>
      </c>
      <c r="D3791" s="9" t="n">
        <v>19.9</v>
      </c>
      <c r="E3791" s="3" t="n"/>
      <c r="F3791" s="3" t="n"/>
      <c r="G3791" s="9" t="n"/>
      <c r="H3791" s="10" t="n">
        <v>45678.31990740741</v>
      </c>
      <c r="I3791" s="10" t="n">
        <v>45678.32077546296</v>
      </c>
      <c r="J3791" s="10" t="n">
        <v>45678.32230324074</v>
      </c>
      <c r="K3791" s="11" t="n">
        <v>0.001527777777777778</v>
      </c>
      <c r="L3791" s="13" t="n"/>
    </row>
    <row r="3792">
      <c r="A3792" s="3" t="inlineStr">
        <is>
          <t>Securing</t>
        </is>
      </c>
      <c r="B3792" s="3" t="inlineStr">
        <is>
          <t>Act_SEC_1019803_074517_629</t>
        </is>
      </c>
      <c r="C3792" s="3" t="inlineStr">
        <is>
          <t>1019803</t>
        </is>
      </c>
      <c r="D3792" s="9" t="n">
        <v>15.7</v>
      </c>
      <c r="E3792" s="3" t="n"/>
      <c r="F3792" s="3" t="n"/>
      <c r="G3792" s="9" t="n"/>
      <c r="H3792" s="10" t="n">
        <v>45678.32311342593</v>
      </c>
      <c r="I3792" s="10" t="n">
        <v>45678.32398148148</v>
      </c>
      <c r="J3792" s="10" t="n">
        <v>45678.32550925926</v>
      </c>
      <c r="K3792" s="11" t="n">
        <v>0.001527777777777778</v>
      </c>
      <c r="L3792" s="13" t="n"/>
    </row>
    <row r="3793">
      <c r="A3793" s="3" t="inlineStr">
        <is>
          <t>Securing</t>
        </is>
      </c>
      <c r="B3793" s="3" t="inlineStr">
        <is>
          <t>Act_SEC_1019804_074826_621</t>
        </is>
      </c>
      <c r="C3793" s="3" t="inlineStr">
        <is>
          <t>1019804</t>
        </is>
      </c>
      <c r="D3793" s="9" t="n">
        <v>116.9</v>
      </c>
      <c r="E3793" s="3" t="n"/>
      <c r="F3793" s="3" t="n"/>
      <c r="G3793" s="9" t="n"/>
      <c r="H3793" s="10" t="n">
        <v>45678.32530092593</v>
      </c>
      <c r="I3793" s="10" t="n">
        <v>45678.32616898148</v>
      </c>
      <c r="J3793" s="10" t="n">
        <v>45678.32769675926</v>
      </c>
      <c r="K3793" s="11" t="n">
        <v>0.001527777777777778</v>
      </c>
      <c r="L3793" s="13" t="n"/>
    </row>
    <row r="3794">
      <c r="A3794" s="3" t="inlineStr">
        <is>
          <t>Securing</t>
        </is>
      </c>
      <c r="B3794" s="3" t="inlineStr">
        <is>
          <t>Act_SEC_1019807_075350_625</t>
        </is>
      </c>
      <c r="C3794" s="3" t="inlineStr">
        <is>
          <t>1019807</t>
        </is>
      </c>
      <c r="D3794" s="9" t="n">
        <v>15.7</v>
      </c>
      <c r="E3794" s="3" t="n"/>
      <c r="F3794" s="3" t="n"/>
      <c r="G3794" s="9" t="n"/>
      <c r="H3794" s="10" t="n">
        <v>45678.32905092592</v>
      </c>
      <c r="I3794" s="10" t="n">
        <v>45678.32991898148</v>
      </c>
      <c r="J3794" s="10" t="n">
        <v>45678.33144675926</v>
      </c>
      <c r="K3794" s="11" t="n">
        <v>0.001527777777777778</v>
      </c>
      <c r="L3794" s="13" t="n"/>
    </row>
    <row r="3795">
      <c r="A3795" s="3" t="inlineStr">
        <is>
          <t>Securing</t>
        </is>
      </c>
      <c r="B3795" s="3" t="inlineStr">
        <is>
          <t>Act_SEC_1019809_075929_619</t>
        </is>
      </c>
      <c r="C3795" s="3" t="inlineStr">
        <is>
          <t>1019809</t>
        </is>
      </c>
      <c r="D3795" s="9" t="n">
        <v>117.1</v>
      </c>
      <c r="E3795" s="3" t="n"/>
      <c r="F3795" s="3" t="n"/>
      <c r="G3795" s="9" t="n"/>
      <c r="H3795" s="10" t="n">
        <v>45678.33297453704</v>
      </c>
      <c r="I3795" s="10" t="n">
        <v>45678.33384259259</v>
      </c>
      <c r="J3795" s="10" t="n">
        <v>45678.33537037037</v>
      </c>
      <c r="K3795" s="11" t="n">
        <v>0.001527777777777778</v>
      </c>
      <c r="L3795" s="13" t="n"/>
    </row>
    <row r="3796">
      <c r="A3796" s="3" t="inlineStr">
        <is>
          <t>Securing</t>
        </is>
      </c>
      <c r="B3796" s="3" t="inlineStr">
        <is>
          <t>Act_SEC_1020001_080425_619</t>
        </is>
      </c>
      <c r="C3796" s="3" t="inlineStr">
        <is>
          <t>1020001</t>
        </is>
      </c>
      <c r="D3796" s="9" t="n">
        <v>339.1</v>
      </c>
      <c r="E3796" s="3" t="n"/>
      <c r="F3796" s="3" t="n"/>
      <c r="G3796" s="9" t="n"/>
      <c r="H3796" s="10" t="n">
        <v>45678.33640046296</v>
      </c>
      <c r="I3796" s="10" t="n">
        <v>45678.33726851852</v>
      </c>
      <c r="J3796" s="10" t="n">
        <v>45678.3387962963</v>
      </c>
      <c r="K3796" s="11" t="n">
        <v>0.001527777777777778</v>
      </c>
      <c r="L3796" s="13" t="n"/>
    </row>
    <row r="3797">
      <c r="A3797" s="3" t="inlineStr">
        <is>
          <t>Securing</t>
        </is>
      </c>
      <c r="B3797" s="3" t="inlineStr">
        <is>
          <t>Act_SEC_1020201_091433_619</t>
        </is>
      </c>
      <c r="C3797" s="3" t="inlineStr">
        <is>
          <t>1020201</t>
        </is>
      </c>
      <c r="D3797" s="9" t="n">
        <v>77.3</v>
      </c>
      <c r="E3797" s="3" t="n"/>
      <c r="F3797" s="3" t="n"/>
      <c r="G3797" s="9" t="n"/>
      <c r="H3797" s="10" t="n">
        <v>45678.38510416666</v>
      </c>
      <c r="I3797" s="10" t="n">
        <v>45678.38597222222</v>
      </c>
      <c r="J3797" s="10" t="n">
        <v>45678.3875</v>
      </c>
      <c r="K3797" s="11" t="n">
        <v>0.001527777777777778</v>
      </c>
      <c r="L3797" s="13" t="n"/>
    </row>
    <row r="3798">
      <c r="A3798" s="3" t="inlineStr">
        <is>
          <t>Securing</t>
        </is>
      </c>
      <c r="B3798" s="3" t="inlineStr">
        <is>
          <t>Act_SEC_1020202_091615_615</t>
        </is>
      </c>
      <c r="C3798" s="3" t="inlineStr">
        <is>
          <t>1020202</t>
        </is>
      </c>
      <c r="D3798" s="9" t="n">
        <v>37.5</v>
      </c>
      <c r="E3798" s="3" t="n"/>
      <c r="F3798" s="3" t="n"/>
      <c r="G3798" s="9" t="n"/>
      <c r="H3798" s="10" t="n">
        <v>45678.38628472222</v>
      </c>
      <c r="I3798" s="10" t="n">
        <v>45678.38715277778</v>
      </c>
      <c r="J3798" s="10" t="n">
        <v>45678.38868055555</v>
      </c>
      <c r="K3798" s="11" t="n">
        <v>0.001527777777777778</v>
      </c>
      <c r="L3798" s="13" t="n"/>
    </row>
    <row r="3799">
      <c r="A3799" s="3" t="inlineStr">
        <is>
          <t>Securing</t>
        </is>
      </c>
      <c r="B3799" s="3" t="inlineStr">
        <is>
          <t>Act_SEC_1020104_092557_627</t>
        </is>
      </c>
      <c r="C3799" s="3" t="inlineStr">
        <is>
          <t>1020104</t>
        </is>
      </c>
      <c r="D3799" s="9" t="n">
        <v>90.40000000000001</v>
      </c>
      <c r="E3799" s="3" t="n"/>
      <c r="F3799" s="3" t="n"/>
      <c r="G3799" s="9" t="n"/>
      <c r="H3799" s="10" t="n">
        <v>45678.39302083333</v>
      </c>
      <c r="I3799" s="10" t="n">
        <v>45678.39378472222</v>
      </c>
      <c r="J3799" s="10" t="n">
        <v>45678.39517361111</v>
      </c>
      <c r="K3799" s="11" t="n">
        <v>0.001388888888888889</v>
      </c>
      <c r="L3799" s="13" t="n"/>
    </row>
    <row r="3800">
      <c r="A3800" s="3" t="inlineStr">
        <is>
          <t>Securing</t>
        </is>
      </c>
      <c r="B3800" s="3" t="inlineStr">
        <is>
          <t>Act_SEC_1020106_092844_606</t>
        </is>
      </c>
      <c r="C3800" s="3" t="inlineStr">
        <is>
          <t>1020106</t>
        </is>
      </c>
      <c r="D3800" s="9" t="n">
        <v>108</v>
      </c>
      <c r="E3800" s="3" t="n"/>
      <c r="F3800" s="3" t="n"/>
      <c r="G3800" s="9" t="n"/>
      <c r="H3800" s="10" t="n">
        <v>45678.3949537037</v>
      </c>
      <c r="I3800" s="10" t="n">
        <v>45678.39582175926</v>
      </c>
      <c r="J3800" s="10" t="n">
        <v>45678.39734953704</v>
      </c>
      <c r="K3800" s="11" t="n">
        <v>0.001527777777777778</v>
      </c>
      <c r="L3800" s="13" t="n"/>
    </row>
    <row r="3801">
      <c r="A3801" s="3" t="inlineStr">
        <is>
          <t>Securing</t>
        </is>
      </c>
      <c r="B3801" s="3" t="inlineStr">
        <is>
          <t>Act_SEC_1020302_102521_615</t>
        </is>
      </c>
      <c r="C3801" s="3" t="inlineStr">
        <is>
          <t>1020302</t>
        </is>
      </c>
      <c r="D3801" s="9" t="n">
        <v>40.9</v>
      </c>
      <c r="E3801" s="3" t="n"/>
      <c r="F3801" s="3" t="n"/>
      <c r="G3801" s="9" t="n"/>
      <c r="H3801" s="10" t="n">
        <v>45678.43427083334</v>
      </c>
      <c r="I3801" s="10" t="n">
        <v>45678.43513888889</v>
      </c>
      <c r="J3801" s="10" t="n">
        <v>45678.43666666667</v>
      </c>
      <c r="K3801" s="11" t="n">
        <v>0.001527777777777778</v>
      </c>
      <c r="L3801" s="13" t="n"/>
    </row>
    <row r="3802">
      <c r="A3802" s="3" t="inlineStr">
        <is>
          <t>Securing</t>
        </is>
      </c>
      <c r="B3802" s="3" t="inlineStr">
        <is>
          <t>Act_SEC_1020401_144427_619</t>
        </is>
      </c>
      <c r="C3802" s="3" t="inlineStr">
        <is>
          <t>1020401</t>
        </is>
      </c>
      <c r="D3802" s="9" t="n">
        <v>398</v>
      </c>
      <c r="E3802" s="3" t="n"/>
      <c r="F3802" s="3" t="n"/>
      <c r="G3802" s="9" t="n"/>
      <c r="H3802" s="10" t="n">
        <v>45678.61420138889</v>
      </c>
      <c r="I3802" s="10" t="n">
        <v>45678.61498842593</v>
      </c>
      <c r="J3802" s="10" t="n">
        <v>45678.61637731481</v>
      </c>
      <c r="K3802" s="11" t="n">
        <v>0.001388888888888889</v>
      </c>
      <c r="L3802" s="13" t="n"/>
    </row>
    <row r="3803">
      <c r="A3803" s="3" t="inlineStr">
        <is>
          <t>Securing</t>
        </is>
      </c>
      <c r="B3803" s="3" t="inlineStr">
        <is>
          <t>Act_SEC_1020503_150853_623</t>
        </is>
      </c>
      <c r="C3803" s="3" t="inlineStr">
        <is>
          <t>1020503</t>
        </is>
      </c>
      <c r="D3803" s="9" t="n">
        <v>15.7</v>
      </c>
      <c r="E3803" s="3" t="n"/>
      <c r="F3803" s="3" t="n"/>
      <c r="G3803" s="9" t="n"/>
      <c r="H3803" s="10" t="n">
        <v>45678.63116898148</v>
      </c>
      <c r="I3803" s="10" t="n">
        <v>45678.63200231481</v>
      </c>
      <c r="J3803" s="10" t="n">
        <v>45678.63353009259</v>
      </c>
      <c r="K3803" s="11" t="n">
        <v>0.001527777777777778</v>
      </c>
      <c r="L3803" s="13" t="n"/>
    </row>
    <row r="3804">
      <c r="A3804" s="3" t="inlineStr">
        <is>
          <t>Securing</t>
        </is>
      </c>
      <c r="B3804" s="3" t="inlineStr">
        <is>
          <t>Act_SEC_1020504_151102_615</t>
        </is>
      </c>
      <c r="C3804" s="3" t="inlineStr">
        <is>
          <t>1020504</t>
        </is>
      </c>
      <c r="D3804" s="9" t="n">
        <v>173.3</v>
      </c>
      <c r="E3804" s="3" t="n"/>
      <c r="F3804" s="3" t="n"/>
      <c r="G3804" s="9" t="n"/>
      <c r="H3804" s="10" t="n">
        <v>45678.63266203704</v>
      </c>
      <c r="I3804" s="10" t="n">
        <v>45678.6334375</v>
      </c>
      <c r="J3804" s="10" t="n">
        <v>45678.63482638889</v>
      </c>
      <c r="K3804" s="11" t="n">
        <v>0.001388888888888889</v>
      </c>
      <c r="L3804" s="13" t="n"/>
    </row>
    <row r="3805">
      <c r="A3805" s="3" t="inlineStr">
        <is>
          <t>Securing</t>
        </is>
      </c>
      <c r="B3805" s="3" t="inlineStr">
        <is>
          <t>Act_SEC_1020507_151928_607</t>
        </is>
      </c>
      <c r="C3805" s="3" t="inlineStr">
        <is>
          <t>1020507</t>
        </is>
      </c>
      <c r="D3805" s="9" t="n">
        <v>209.9</v>
      </c>
      <c r="E3805" s="3" t="n"/>
      <c r="F3805" s="3" t="n"/>
      <c r="G3805" s="9" t="n"/>
      <c r="H3805" s="10" t="n">
        <v>45678.63851851852</v>
      </c>
      <c r="I3805" s="10" t="n">
        <v>45678.63936342593</v>
      </c>
      <c r="J3805" s="10" t="n">
        <v>45678.6408912037</v>
      </c>
      <c r="K3805" s="11" t="n">
        <v>0.001527777777777778</v>
      </c>
      <c r="L3805" s="13" t="n"/>
    </row>
    <row r="3806">
      <c r="A3806" s="3" t="inlineStr">
        <is>
          <t>Securing</t>
        </is>
      </c>
      <c r="B3806" s="3" t="inlineStr">
        <is>
          <t>Act_SEC_1020601_152621_619</t>
        </is>
      </c>
      <c r="C3806" s="3" t="inlineStr">
        <is>
          <t>1020601</t>
        </is>
      </c>
      <c r="D3806" s="9" t="n">
        <v>125.9</v>
      </c>
      <c r="E3806" s="3" t="n"/>
      <c r="F3806" s="3" t="n"/>
      <c r="G3806" s="9" t="n"/>
      <c r="H3806" s="10" t="n">
        <v>45678.64329861111</v>
      </c>
      <c r="I3806" s="10" t="n">
        <v>45678.6441550926</v>
      </c>
      <c r="J3806" s="10" t="n">
        <v>45678.64568287037</v>
      </c>
      <c r="K3806" s="11" t="n">
        <v>0.001527777777777778</v>
      </c>
      <c r="L3806" s="13" t="n"/>
    </row>
    <row r="3807">
      <c r="A3807" s="3" t="inlineStr">
        <is>
          <t>Securing</t>
        </is>
      </c>
      <c r="B3807" s="3" t="inlineStr">
        <is>
          <t>Act_SEC_1020701_210400_619</t>
        </is>
      </c>
      <c r="C3807" s="3" t="inlineStr">
        <is>
          <t>1020701</t>
        </is>
      </c>
      <c r="D3807" s="9" t="n">
        <v>187.4</v>
      </c>
      <c r="E3807" s="3" t="n"/>
      <c r="F3807" s="3" t="n"/>
      <c r="G3807" s="9" t="n"/>
      <c r="H3807" s="10" t="n">
        <v>45678.87777777778</v>
      </c>
      <c r="I3807" s="10" t="n">
        <v>45678.87864583333</v>
      </c>
      <c r="J3807" s="10" t="n">
        <v>45678.88017361111</v>
      </c>
      <c r="K3807" s="11" t="n">
        <v>0.001527777777777778</v>
      </c>
      <c r="L3807" s="13" t="n"/>
    </row>
    <row r="3808">
      <c r="A3808" s="3" t="inlineStr">
        <is>
          <t>Securing</t>
        </is>
      </c>
      <c r="B3808" s="3" t="inlineStr">
        <is>
          <t>Act_SEC_1020801_024648_615</t>
        </is>
      </c>
      <c r="C3808" s="3" t="inlineStr">
        <is>
          <t>1020801</t>
        </is>
      </c>
      <c r="D3808" s="9" t="n">
        <v>74.59999999999999</v>
      </c>
      <c r="E3808" s="3" t="n"/>
      <c r="F3808" s="3" t="n"/>
      <c r="G3808" s="9" t="n"/>
      <c r="H3808" s="10" t="n">
        <v>45679.11583333334</v>
      </c>
      <c r="I3808" s="10" t="n">
        <v>45679.11663194445</v>
      </c>
      <c r="J3808" s="10" t="n">
        <v>45679.11802083333</v>
      </c>
      <c r="K3808" s="11" t="n">
        <v>0.001388888888888889</v>
      </c>
      <c r="L3808" s="13" t="n"/>
    </row>
    <row r="3809">
      <c r="A3809" s="3" t="inlineStr">
        <is>
          <t>Securing</t>
        </is>
      </c>
      <c r="B3809" s="3" t="inlineStr">
        <is>
          <t>Act_SEC_1020803_025146_627</t>
        </is>
      </c>
      <c r="C3809" s="3" t="inlineStr">
        <is>
          <t>1020803</t>
        </is>
      </c>
      <c r="D3809" s="9" t="n">
        <v>47.2</v>
      </c>
      <c r="E3809" s="3" t="n"/>
      <c r="F3809" s="3" t="n"/>
      <c r="G3809" s="9" t="n"/>
      <c r="H3809" s="10" t="n">
        <v>45679.11928240741</v>
      </c>
      <c r="I3809" s="10" t="n">
        <v>45679.12006944444</v>
      </c>
      <c r="J3809" s="10" t="n">
        <v>45679.12145833333</v>
      </c>
      <c r="K3809" s="11" t="n">
        <v>0.001388888888888889</v>
      </c>
      <c r="L3809" s="13" t="n"/>
    </row>
    <row r="3810">
      <c r="A3810" s="3" t="inlineStr">
        <is>
          <t>Securing</t>
        </is>
      </c>
      <c r="B3810" s="3" t="inlineStr">
        <is>
          <t>Act_SEC_1020804_025438_621</t>
        </is>
      </c>
      <c r="C3810" s="3" t="inlineStr">
        <is>
          <t>1020804</t>
        </is>
      </c>
      <c r="D3810" s="9" t="n">
        <v>31.9</v>
      </c>
      <c r="E3810" s="3" t="n"/>
      <c r="F3810" s="3" t="n"/>
      <c r="G3810" s="9" t="n"/>
      <c r="H3810" s="10" t="n">
        <v>45679.12127314815</v>
      </c>
      <c r="I3810" s="10" t="n">
        <v>45679.12204861111</v>
      </c>
      <c r="J3810" s="10" t="n">
        <v>45679.1234375</v>
      </c>
      <c r="K3810" s="11" t="n">
        <v>0.001388888888888889</v>
      </c>
      <c r="L3810" s="13" t="n"/>
    </row>
    <row r="3811">
      <c r="A3811" s="3" t="inlineStr">
        <is>
          <t>Securing</t>
        </is>
      </c>
      <c r="B3811" s="3" t="inlineStr">
        <is>
          <t>Act_SEC_1020901_045030_625</t>
        </is>
      </c>
      <c r="C3811" s="3" t="inlineStr">
        <is>
          <t>1020901</t>
        </is>
      </c>
      <c r="D3811" s="9" t="n">
        <v>366.6</v>
      </c>
      <c r="E3811" s="3" t="n"/>
      <c r="F3811" s="3" t="n"/>
      <c r="G3811" s="9" t="n"/>
      <c r="H3811" s="10" t="n">
        <v>45679.20173611111</v>
      </c>
      <c r="I3811" s="10" t="n">
        <v>45679.20260416667</v>
      </c>
      <c r="J3811" s="10" t="n">
        <v>45679.20413194445</v>
      </c>
      <c r="K3811" s="11" t="n">
        <v>0.001527777777777778</v>
      </c>
      <c r="L3811" s="13" t="n"/>
    </row>
    <row r="3812">
      <c r="A3812" s="3" t="inlineStr">
        <is>
          <t>Securing</t>
        </is>
      </c>
      <c r="B3812" s="3" t="inlineStr">
        <is>
          <t>Act_SEC_1021001_063621_619</t>
        </is>
      </c>
      <c r="C3812" s="3" t="inlineStr">
        <is>
          <t>1021001</t>
        </is>
      </c>
      <c r="D3812" s="9" t="n">
        <v>291.7</v>
      </c>
      <c r="E3812" s="3" t="n"/>
      <c r="F3812" s="3" t="n"/>
      <c r="G3812" s="9" t="n"/>
      <c r="H3812" s="10" t="n">
        <v>45679.27524305556</v>
      </c>
      <c r="I3812" s="10" t="n">
        <v>45679.27611111111</v>
      </c>
      <c r="J3812" s="10" t="n">
        <v>45679.27763888889</v>
      </c>
      <c r="K3812" s="11" t="n">
        <v>0.001527777777777778</v>
      </c>
      <c r="L3812" s="13" t="n"/>
    </row>
    <row r="3813">
      <c r="A3813" s="3" t="inlineStr">
        <is>
          <t>Securing</t>
        </is>
      </c>
      <c r="B3813" s="3" t="inlineStr">
        <is>
          <t>Act_SEC_1021101_071731_611</t>
        </is>
      </c>
      <c r="C3813" s="3" t="inlineStr">
        <is>
          <t>1021101</t>
        </is>
      </c>
      <c r="D3813" s="9" t="n">
        <v>81</v>
      </c>
      <c r="E3813" s="3" t="n"/>
      <c r="F3813" s="3" t="n"/>
      <c r="G3813" s="9" t="n"/>
      <c r="H3813" s="10" t="n">
        <v>45679.30383101852</v>
      </c>
      <c r="I3813" s="10" t="n">
        <v>45679.30469907408</v>
      </c>
      <c r="J3813" s="10" t="n">
        <v>45679.30622685186</v>
      </c>
      <c r="K3813" s="11" t="n">
        <v>0.001527777777777778</v>
      </c>
      <c r="L3813" s="13" t="n"/>
    </row>
    <row r="3814">
      <c r="A3814" s="3" t="inlineStr">
        <is>
          <t>Securing</t>
        </is>
      </c>
      <c r="B3814" s="3" t="inlineStr">
        <is>
          <t>Act_SEC_1021102_072020_621</t>
        </is>
      </c>
      <c r="C3814" s="3" t="inlineStr">
        <is>
          <t>1021102</t>
        </is>
      </c>
      <c r="D3814" s="9" t="n">
        <v>19.9</v>
      </c>
      <c r="E3814" s="3" t="n"/>
      <c r="F3814" s="3" t="n"/>
      <c r="G3814" s="9" t="n"/>
      <c r="H3814" s="10" t="n">
        <v>45679.30578703704</v>
      </c>
      <c r="I3814" s="10" t="n">
        <v>45679.3065625</v>
      </c>
      <c r="J3814" s="10" t="n">
        <v>45679.30795138889</v>
      </c>
      <c r="K3814" s="11" t="n">
        <v>0.001388888888888889</v>
      </c>
      <c r="L3814" s="13" t="n"/>
    </row>
    <row r="3815">
      <c r="A3815" s="3" t="inlineStr">
        <is>
          <t>Securing</t>
        </is>
      </c>
      <c r="B3815" s="3" t="inlineStr">
        <is>
          <t>Act_SEC_1021103_072240_607</t>
        </is>
      </c>
      <c r="C3815" s="3" t="inlineStr">
        <is>
          <t>1021103</t>
        </is>
      </c>
      <c r="D3815" s="9" t="n">
        <v>15.7</v>
      </c>
      <c r="E3815" s="3" t="n"/>
      <c r="F3815" s="3" t="n"/>
      <c r="G3815" s="9" t="n"/>
      <c r="H3815" s="10" t="n">
        <v>45679.30740740741</v>
      </c>
      <c r="I3815" s="10" t="n">
        <v>45679.30827546296</v>
      </c>
      <c r="J3815" s="10" t="n">
        <v>45679.30980324074</v>
      </c>
      <c r="K3815" s="11" t="n">
        <v>0.001527777777777778</v>
      </c>
      <c r="L3815" s="13" t="n"/>
    </row>
    <row r="3816">
      <c r="A3816" s="3" t="inlineStr">
        <is>
          <t>Securing</t>
        </is>
      </c>
      <c r="B3816" s="3" t="inlineStr">
        <is>
          <t>Act_SEC_1021104_072526_629</t>
        </is>
      </c>
      <c r="C3816" s="3" t="inlineStr">
        <is>
          <t>1021104</t>
        </is>
      </c>
      <c r="D3816" s="9" t="n">
        <v>19.9</v>
      </c>
      <c r="E3816" s="3" t="n"/>
      <c r="F3816" s="3" t="n"/>
      <c r="G3816" s="9" t="n"/>
      <c r="H3816" s="10" t="n">
        <v>45679.3093287037</v>
      </c>
      <c r="I3816" s="10" t="n">
        <v>45679.31010416667</v>
      </c>
      <c r="J3816" s="10" t="n">
        <v>45679.31149305555</v>
      </c>
      <c r="K3816" s="11" t="n">
        <v>0.001388888888888889</v>
      </c>
      <c r="L3816" s="13" t="n"/>
    </row>
    <row r="3817">
      <c r="A3817" s="3" t="inlineStr">
        <is>
          <t>Securing</t>
        </is>
      </c>
      <c r="B3817" s="3" t="inlineStr">
        <is>
          <t>Act_SEC_1021107_073341_625</t>
        </is>
      </c>
      <c r="C3817" s="3" t="inlineStr">
        <is>
          <t>1021107</t>
        </is>
      </c>
      <c r="D3817" s="9" t="n">
        <v>15.7</v>
      </c>
      <c r="E3817" s="3" t="n"/>
      <c r="F3817" s="3" t="n"/>
      <c r="G3817" s="9" t="n"/>
      <c r="H3817" s="10" t="n">
        <v>45679.31505787037</v>
      </c>
      <c r="I3817" s="10" t="n">
        <v>45679.3158912037</v>
      </c>
      <c r="J3817" s="10" t="n">
        <v>45679.31741898148</v>
      </c>
      <c r="K3817" s="11" t="n">
        <v>0.001527777777777778</v>
      </c>
      <c r="L3817" s="13" t="n"/>
    </row>
    <row r="3818">
      <c r="A3818" s="3" t="inlineStr">
        <is>
          <t>Securing</t>
        </is>
      </c>
      <c r="B3818" s="3" t="inlineStr">
        <is>
          <t>Act_SEC_1021111_074154_623</t>
        </is>
      </c>
      <c r="C3818" s="3" t="inlineStr">
        <is>
          <t>1021111</t>
        </is>
      </c>
      <c r="D3818" s="9" t="n">
        <v>15.7</v>
      </c>
      <c r="E3818" s="3" t="n"/>
      <c r="F3818" s="3" t="n"/>
      <c r="G3818" s="9" t="n"/>
      <c r="H3818" s="10" t="n">
        <v>45679.32076388889</v>
      </c>
      <c r="I3818" s="10" t="n">
        <v>45679.32163194445</v>
      </c>
      <c r="J3818" s="10" t="n">
        <v>45679.32315972223</v>
      </c>
      <c r="K3818" s="11" t="n">
        <v>0.001527777777777778</v>
      </c>
      <c r="L3818" s="13" t="n"/>
    </row>
    <row r="3819">
      <c r="A3819" s="3" t="inlineStr">
        <is>
          <t>Securing</t>
        </is>
      </c>
      <c r="B3819" s="3" t="inlineStr">
        <is>
          <t>Act_SEC_1021401_083750_615</t>
        </is>
      </c>
      <c r="C3819" s="3" t="inlineStr">
        <is>
          <t>1021401</t>
        </is>
      </c>
      <c r="D3819" s="9" t="n">
        <v>114.8</v>
      </c>
      <c r="E3819" s="3" t="n"/>
      <c r="F3819" s="3" t="n"/>
      <c r="G3819" s="9" t="n"/>
      <c r="H3819" s="10" t="n">
        <v>45679.35960648148</v>
      </c>
      <c r="I3819" s="10" t="n">
        <v>45679.36047453704</v>
      </c>
      <c r="J3819" s="10" t="n">
        <v>45679.36200231482</v>
      </c>
      <c r="K3819" s="11" t="n">
        <v>0.001527777777777778</v>
      </c>
      <c r="L3819" s="13" t="n"/>
    </row>
    <row r="3820">
      <c r="A3820" s="3" t="inlineStr">
        <is>
          <t>Securing</t>
        </is>
      </c>
      <c r="B3820" s="3" t="inlineStr">
        <is>
          <t>Act_SEC_1021502_094225_627</t>
        </is>
      </c>
      <c r="C3820" s="3" t="inlineStr">
        <is>
          <t>1021502</t>
        </is>
      </c>
      <c r="D3820" s="9" t="n">
        <v>179.2</v>
      </c>
      <c r="E3820" s="3" t="n"/>
      <c r="F3820" s="3" t="n"/>
      <c r="G3820" s="9" t="n"/>
      <c r="H3820" s="10" t="n">
        <v>45679.40445601852</v>
      </c>
      <c r="I3820" s="10" t="n">
        <v>45679.40532407408</v>
      </c>
      <c r="J3820" s="10" t="n">
        <v>45679.40685185185</v>
      </c>
      <c r="K3820" s="11" t="n">
        <v>0.001527777777777778</v>
      </c>
      <c r="L3820" s="13" t="n"/>
    </row>
    <row r="3821">
      <c r="A3821" s="3" t="inlineStr">
        <is>
          <t>Securing</t>
        </is>
      </c>
      <c r="B3821" s="3" t="inlineStr">
        <is>
          <t>Act_SEC_1021509_100036_619</t>
        </is>
      </c>
      <c r="C3821" s="3" t="inlineStr">
        <is>
          <t>1021509</t>
        </is>
      </c>
      <c r="D3821" s="9" t="n">
        <v>56</v>
      </c>
      <c r="E3821" s="3" t="n"/>
      <c r="F3821" s="3" t="n"/>
      <c r="G3821" s="9" t="n"/>
      <c r="H3821" s="10" t="n">
        <v>45679.41708333333</v>
      </c>
      <c r="I3821" s="10" t="n">
        <v>45679.41795138889</v>
      </c>
      <c r="J3821" s="10" t="n">
        <v>45679.41947916667</v>
      </c>
      <c r="K3821" s="11" t="n">
        <v>0.001527777777777778</v>
      </c>
      <c r="L3821" s="13" t="n"/>
    </row>
    <row r="3822">
      <c r="A3822" s="3" t="inlineStr">
        <is>
          <t>Securing</t>
        </is>
      </c>
      <c r="B3822" s="3" t="inlineStr">
        <is>
          <t>Act_SEC_1021510_100313_606</t>
        </is>
      </c>
      <c r="C3822" s="3" t="inlineStr">
        <is>
          <t>1021510</t>
        </is>
      </c>
      <c r="D3822" s="9" t="n">
        <v>53.8</v>
      </c>
      <c r="E3822" s="3" t="n"/>
      <c r="F3822" s="3" t="n"/>
      <c r="G3822" s="9" t="n"/>
      <c r="H3822" s="10" t="n">
        <v>45679.41890046297</v>
      </c>
      <c r="I3822" s="10" t="n">
        <v>45679.41967592593</v>
      </c>
      <c r="J3822" s="10" t="n">
        <v>45679.42106481481</v>
      </c>
      <c r="K3822" s="11" t="n">
        <v>0.001388888888888889</v>
      </c>
      <c r="L3822" s="13" t="n"/>
    </row>
    <row r="3823">
      <c r="A3823" s="3" t="inlineStr">
        <is>
          <t>Securing</t>
        </is>
      </c>
      <c r="B3823" s="3" t="inlineStr">
        <is>
          <t>Act_SEC_1021601_103933_615</t>
        </is>
      </c>
      <c r="C3823" s="3" t="inlineStr">
        <is>
          <t>1021601</t>
        </is>
      </c>
      <c r="D3823" s="9" t="n">
        <v>446.2</v>
      </c>
      <c r="E3823" s="3" t="n"/>
      <c r="F3823" s="3" t="n"/>
      <c r="G3823" s="9" t="n"/>
      <c r="H3823" s="10" t="n">
        <v>45679.44413194444</v>
      </c>
      <c r="I3823" s="10" t="n">
        <v>45679.44497685185</v>
      </c>
      <c r="J3823" s="10" t="n">
        <v>45679.44650462963</v>
      </c>
      <c r="K3823" s="11" t="n">
        <v>0.001527777777777778</v>
      </c>
      <c r="L3823" s="13" t="n"/>
    </row>
    <row r="3824">
      <c r="A3824" s="3" t="inlineStr">
        <is>
          <t>Securing</t>
        </is>
      </c>
      <c r="B3824" s="3" t="inlineStr">
        <is>
          <t>Act_SEC_1021701_130926_615</t>
        </is>
      </c>
      <c r="C3824" s="3" t="inlineStr">
        <is>
          <t>1021701</t>
        </is>
      </c>
      <c r="D3824" s="9" t="n">
        <v>33.9</v>
      </c>
      <c r="E3824" s="3" t="n"/>
      <c r="F3824" s="3" t="n"/>
      <c r="G3824" s="9" t="n"/>
      <c r="H3824" s="10" t="n">
        <v>45679.54821759259</v>
      </c>
      <c r="I3824" s="10" t="n">
        <v>45679.54908564815</v>
      </c>
      <c r="J3824" s="10" t="n">
        <v>45679.55061342593</v>
      </c>
      <c r="K3824" s="11" t="n">
        <v>0.001527777777777778</v>
      </c>
      <c r="L3824" s="13" t="n"/>
    </row>
    <row r="3825">
      <c r="A3825" s="3" t="inlineStr">
        <is>
          <t>Securing</t>
        </is>
      </c>
      <c r="B3825" s="3" t="inlineStr">
        <is>
          <t>Act_SEC_1021801_152210_615</t>
        </is>
      </c>
      <c r="C3825" s="3" t="inlineStr">
        <is>
          <t>1021801</t>
        </is>
      </c>
      <c r="D3825" s="9" t="n">
        <v>63</v>
      </c>
      <c r="E3825" s="3" t="n"/>
      <c r="F3825" s="3" t="n"/>
      <c r="G3825" s="9" t="n"/>
      <c r="H3825" s="10" t="n">
        <v>45679.64039351852</v>
      </c>
      <c r="I3825" s="10" t="n">
        <v>45679.64119212963</v>
      </c>
      <c r="J3825" s="10" t="n">
        <v>45679.64258101852</v>
      </c>
      <c r="K3825" s="11" t="n">
        <v>0.001388888888888889</v>
      </c>
      <c r="L3825" s="13" t="n"/>
    </row>
    <row r="3826">
      <c r="A3826" s="3" t="inlineStr">
        <is>
          <t>Securing</t>
        </is>
      </c>
      <c r="B3826" s="3" t="inlineStr">
        <is>
          <t>Act_SEC_1021903_175823_615</t>
        </is>
      </c>
      <c r="C3826" s="3" t="inlineStr">
        <is>
          <t>1021903</t>
        </is>
      </c>
      <c r="D3826" s="9" t="n">
        <v>54.7</v>
      </c>
      <c r="E3826" s="3" t="n"/>
      <c r="F3826" s="3" t="n"/>
      <c r="G3826" s="9" t="n"/>
      <c r="H3826" s="10" t="n">
        <v>45679.74887731481</v>
      </c>
      <c r="I3826" s="10" t="n">
        <v>45679.74974537037</v>
      </c>
      <c r="J3826" s="10" t="n">
        <v>45679.75127314815</v>
      </c>
      <c r="K3826" s="11" t="n">
        <v>0.001527777777777778</v>
      </c>
      <c r="L3826" s="13" t="n"/>
    </row>
    <row r="3827">
      <c r="A3827" s="3" t="inlineStr">
        <is>
          <t>Securing</t>
        </is>
      </c>
      <c r="B3827" s="3" t="inlineStr">
        <is>
          <t>Act_SEC_1021906_180550_623</t>
        </is>
      </c>
      <c r="C3827" s="3" t="inlineStr">
        <is>
          <t>1021906</t>
        </is>
      </c>
      <c r="D3827" s="9" t="n">
        <v>19.9</v>
      </c>
      <c r="E3827" s="3" t="n"/>
      <c r="F3827" s="3" t="n"/>
      <c r="G3827" s="9" t="n"/>
      <c r="H3827" s="10" t="n">
        <v>45679.75405092593</v>
      </c>
      <c r="I3827" s="10" t="n">
        <v>45679.75483796297</v>
      </c>
      <c r="J3827" s="10" t="n">
        <v>45679.75622685185</v>
      </c>
      <c r="K3827" s="11" t="n">
        <v>0.001388888888888889</v>
      </c>
      <c r="L3827" s="13" t="n"/>
    </row>
    <row r="3828">
      <c r="A3828" s="3" t="inlineStr">
        <is>
          <t>Securing</t>
        </is>
      </c>
      <c r="B3828" s="3" t="inlineStr">
        <is>
          <t>Act_SEC_1021908_181149_619</t>
        </is>
      </c>
      <c r="C3828" s="3" t="inlineStr">
        <is>
          <t>1021908</t>
        </is>
      </c>
      <c r="D3828" s="9" t="n">
        <v>295.4</v>
      </c>
      <c r="E3828" s="3" t="n"/>
      <c r="F3828" s="3" t="n"/>
      <c r="G3828" s="9" t="n"/>
      <c r="H3828" s="10" t="n">
        <v>45679.75820601852</v>
      </c>
      <c r="I3828" s="10" t="n">
        <v>45679.75907407407</v>
      </c>
      <c r="J3828" s="10" t="n">
        <v>45679.76060185185</v>
      </c>
      <c r="K3828" s="11" t="n">
        <v>0.001527777777777778</v>
      </c>
      <c r="L3828" s="13" t="n"/>
    </row>
    <row r="3829">
      <c r="A3829" s="3" t="inlineStr">
        <is>
          <t>Securing</t>
        </is>
      </c>
      <c r="B3829" s="3" t="inlineStr">
        <is>
          <t>Act_SEC_1021910_181609_617</t>
        </is>
      </c>
      <c r="C3829" s="3" t="inlineStr">
        <is>
          <t>1021910</t>
        </is>
      </c>
      <c r="D3829" s="9" t="n">
        <v>19.9</v>
      </c>
      <c r="E3829" s="3" t="n"/>
      <c r="F3829" s="3" t="n"/>
      <c r="G3829" s="9" t="n"/>
      <c r="H3829" s="10" t="n">
        <v>45679.76121527778</v>
      </c>
      <c r="I3829" s="10" t="n">
        <v>45679.76208333333</v>
      </c>
      <c r="J3829" s="10" t="n">
        <v>45679.76361111111</v>
      </c>
      <c r="K3829" s="11" t="n">
        <v>0.001527777777777778</v>
      </c>
      <c r="L3829" s="13" t="n"/>
    </row>
    <row r="3830">
      <c r="A3830" s="3" t="inlineStr">
        <is>
          <t>Securing</t>
        </is>
      </c>
      <c r="B3830" s="3" t="inlineStr">
        <is>
          <t>Act_SEC_1022201_202703_619</t>
        </is>
      </c>
      <c r="C3830" s="3" t="inlineStr">
        <is>
          <t>1022201</t>
        </is>
      </c>
      <c r="D3830" s="9" t="n">
        <v>93</v>
      </c>
      <c r="E3830" s="3" t="n"/>
      <c r="F3830" s="3" t="n"/>
      <c r="G3830" s="9" t="n"/>
      <c r="H3830" s="10" t="n">
        <v>45679.85211805555</v>
      </c>
      <c r="I3830" s="10" t="n">
        <v>45679.85298611111</v>
      </c>
      <c r="J3830" s="10" t="n">
        <v>45679.85451388889</v>
      </c>
      <c r="K3830" s="11" t="n">
        <v>0.001527777777777778</v>
      </c>
      <c r="L3830" s="13" t="n"/>
    </row>
    <row r="3831">
      <c r="A3831" s="3" t="inlineStr">
        <is>
          <t>Securing</t>
        </is>
      </c>
      <c r="B3831" s="3" t="inlineStr">
        <is>
          <t>Act_SEC_1022202_202923_607</t>
        </is>
      </c>
      <c r="C3831" s="3" t="inlineStr">
        <is>
          <t>1022202</t>
        </is>
      </c>
      <c r="D3831" s="9" t="n">
        <v>19.9</v>
      </c>
      <c r="E3831" s="3" t="n"/>
      <c r="F3831" s="3" t="n"/>
      <c r="G3831" s="9" t="n"/>
      <c r="H3831" s="10" t="n">
        <v>45679.85373842593</v>
      </c>
      <c r="I3831" s="10" t="n">
        <v>45679.85452546296</v>
      </c>
      <c r="J3831" s="10" t="n">
        <v>45679.85591435185</v>
      </c>
      <c r="K3831" s="11" t="n">
        <v>0.001388888888888889</v>
      </c>
      <c r="L3831" s="13" t="n"/>
    </row>
    <row r="3832">
      <c r="A3832" s="3" t="inlineStr">
        <is>
          <t>Securing</t>
        </is>
      </c>
      <c r="B3832" s="3" t="inlineStr">
        <is>
          <t>Act_SEC_1022206_203939_619</t>
        </is>
      </c>
      <c r="C3832" s="3" t="inlineStr">
        <is>
          <t>1022206</t>
        </is>
      </c>
      <c r="D3832" s="9" t="n">
        <v>31.5</v>
      </c>
      <c r="E3832" s="3" t="n"/>
      <c r="F3832" s="3" t="n"/>
      <c r="G3832" s="9" t="n"/>
      <c r="H3832" s="10" t="n">
        <v>45679.86086805556</v>
      </c>
      <c r="I3832" s="10" t="n">
        <v>45679.86173611111</v>
      </c>
      <c r="J3832" s="10" t="n">
        <v>45679.86326388889</v>
      </c>
      <c r="K3832" s="11" t="n">
        <v>0.001527777777777778</v>
      </c>
      <c r="L3832" s="13" t="n"/>
    </row>
    <row r="3833">
      <c r="A3833" s="3" t="inlineStr">
        <is>
          <t>Securing</t>
        </is>
      </c>
      <c r="B3833" s="3" t="inlineStr">
        <is>
          <t>Act_SEC_1022301_025947_615</t>
        </is>
      </c>
      <c r="C3833" s="3" t="inlineStr">
        <is>
          <t>1022301</t>
        </is>
      </c>
      <c r="D3833" s="9" t="n">
        <v>123.8</v>
      </c>
      <c r="E3833" s="3" t="n"/>
      <c r="F3833" s="3" t="n"/>
      <c r="G3833" s="9" t="n"/>
      <c r="H3833" s="10" t="n">
        <v>45680.12484953704</v>
      </c>
      <c r="I3833" s="10" t="n">
        <v>45680.12571759259</v>
      </c>
      <c r="J3833" s="10" t="n">
        <v>45680.12724537037</v>
      </c>
      <c r="K3833" s="11" t="n">
        <v>0.001527777777777778</v>
      </c>
      <c r="L3833" s="13" t="n"/>
    </row>
    <row r="3834">
      <c r="A3834" s="3" t="inlineStr">
        <is>
          <t>Securing</t>
        </is>
      </c>
      <c r="B3834" s="3" t="inlineStr">
        <is>
          <t>Act_SEC_1022302_030254_621</t>
        </is>
      </c>
      <c r="C3834" s="3" t="inlineStr">
        <is>
          <t>1022302</t>
        </is>
      </c>
      <c r="D3834" s="9" t="n">
        <v>107.9</v>
      </c>
      <c r="E3834" s="3" t="n"/>
      <c r="F3834" s="3" t="n"/>
      <c r="G3834" s="9" t="n"/>
      <c r="H3834" s="10" t="n">
        <v>45680.12701388889</v>
      </c>
      <c r="I3834" s="10" t="n">
        <v>45680.1278125</v>
      </c>
      <c r="J3834" s="10" t="n">
        <v>45680.12920138889</v>
      </c>
      <c r="K3834" s="11" t="n">
        <v>0.001388888888888889</v>
      </c>
      <c r="L3834" s="13" t="n"/>
    </row>
    <row r="3835">
      <c r="A3835" s="3" t="inlineStr">
        <is>
          <t>Securing</t>
        </is>
      </c>
      <c r="B3835" s="3" t="inlineStr">
        <is>
          <t>Act_SEC_1022303_030540_627</t>
        </is>
      </c>
      <c r="C3835" s="3" t="inlineStr">
        <is>
          <t>1022303</t>
        </is>
      </c>
      <c r="D3835" s="9" t="n">
        <v>15.7</v>
      </c>
      <c r="E3835" s="3" t="n"/>
      <c r="F3835" s="3" t="n"/>
      <c r="G3835" s="9" t="n"/>
      <c r="H3835" s="10" t="n">
        <v>45680.12893518519</v>
      </c>
      <c r="I3835" s="10" t="n">
        <v>45680.12980324074</v>
      </c>
      <c r="J3835" s="10" t="n">
        <v>45680.13133101852</v>
      </c>
      <c r="K3835" s="11" t="n">
        <v>0.001527777777777778</v>
      </c>
      <c r="L3835" s="13" t="n"/>
    </row>
    <row r="3836">
      <c r="A3836" s="3" t="inlineStr">
        <is>
          <t>Securing</t>
        </is>
      </c>
      <c r="B3836" s="3" t="inlineStr">
        <is>
          <t>Act_SEC_1022304_030730_615</t>
        </is>
      </c>
      <c r="C3836" s="3" t="inlineStr">
        <is>
          <t>1022304</t>
        </is>
      </c>
      <c r="D3836" s="9" t="n">
        <v>63</v>
      </c>
      <c r="E3836" s="3" t="n"/>
      <c r="F3836" s="3" t="n"/>
      <c r="G3836" s="9" t="n"/>
      <c r="H3836" s="10" t="n">
        <v>45680.13020833334</v>
      </c>
      <c r="I3836" s="10" t="n">
        <v>45680.13099537037</v>
      </c>
      <c r="J3836" s="10" t="n">
        <v>45680.13238425926</v>
      </c>
      <c r="K3836" s="11" t="n">
        <v>0.001388888888888889</v>
      </c>
      <c r="L3836" s="13" t="n"/>
    </row>
    <row r="3837">
      <c r="A3837" s="3" t="inlineStr">
        <is>
          <t>Securing</t>
        </is>
      </c>
      <c r="B3837" s="3" t="inlineStr">
        <is>
          <t>Act_SEC_1022401_063156_625</t>
        </is>
      </c>
      <c r="C3837" s="3" t="inlineStr">
        <is>
          <t>1022401</t>
        </is>
      </c>
      <c r="D3837" s="9" t="n">
        <v>144.4</v>
      </c>
      <c r="E3837" s="3" t="n"/>
      <c r="F3837" s="3" t="n"/>
      <c r="G3837" s="9" t="n"/>
      <c r="H3837" s="10" t="n">
        <v>45680.27217592593</v>
      </c>
      <c r="I3837" s="10" t="n">
        <v>45680.27303240741</v>
      </c>
      <c r="J3837" s="10" t="n">
        <v>45680.27456018519</v>
      </c>
      <c r="K3837" s="11" t="n">
        <v>0.001527777777777778</v>
      </c>
      <c r="L3837" s="13" t="n"/>
    </row>
    <row r="3838">
      <c r="A3838" s="3" t="inlineStr">
        <is>
          <t>Securing</t>
        </is>
      </c>
      <c r="B3838" s="3" t="inlineStr">
        <is>
          <t>Act_SEC_1022502_070922_621</t>
        </is>
      </c>
      <c r="C3838" s="3" t="inlineStr">
        <is>
          <t>1022502</t>
        </is>
      </c>
      <c r="D3838" s="9" t="n">
        <v>12</v>
      </c>
      <c r="E3838" s="3" t="n"/>
      <c r="F3838" s="3" t="n"/>
      <c r="G3838" s="9" t="n"/>
      <c r="H3838" s="10" t="n">
        <v>45680.29817129629</v>
      </c>
      <c r="I3838" s="10" t="n">
        <v>45680.2990162037</v>
      </c>
      <c r="J3838" s="10" t="n">
        <v>45680.30054398148</v>
      </c>
      <c r="K3838" s="11" t="n">
        <v>0.001527777777777778</v>
      </c>
      <c r="L3838" s="13" t="n"/>
    </row>
    <row r="3839">
      <c r="A3839" s="3" t="inlineStr">
        <is>
          <t>Securing</t>
        </is>
      </c>
      <c r="B3839" s="3" t="inlineStr">
        <is>
          <t>Act_SEC_1022504_071405_629</t>
        </is>
      </c>
      <c r="C3839" s="3" t="inlineStr">
        <is>
          <t>1022504</t>
        </is>
      </c>
      <c r="D3839" s="9" t="n">
        <v>63</v>
      </c>
      <c r="E3839" s="3" t="n"/>
      <c r="F3839" s="3" t="n"/>
      <c r="G3839" s="9" t="n"/>
      <c r="H3839" s="10" t="n">
        <v>45680.30144675926</v>
      </c>
      <c r="I3839" s="10" t="n">
        <v>45680.30229166667</v>
      </c>
      <c r="J3839" s="10" t="n">
        <v>45680.30381944445</v>
      </c>
      <c r="K3839" s="11" t="n">
        <v>0.001527777777777778</v>
      </c>
      <c r="L3839" s="13" t="n"/>
    </row>
    <row r="3840">
      <c r="A3840" s="3" t="inlineStr">
        <is>
          <t>Securing</t>
        </is>
      </c>
      <c r="B3840" s="3" t="inlineStr">
        <is>
          <t>Act_SEC_1022801_085746_627</t>
        </is>
      </c>
      <c r="C3840" s="3" t="inlineStr">
        <is>
          <t>1022801</t>
        </is>
      </c>
      <c r="D3840" s="9" t="n">
        <v>177.8</v>
      </c>
      <c r="E3840" s="3" t="n"/>
      <c r="F3840" s="3" t="n"/>
      <c r="G3840" s="9" t="n"/>
      <c r="H3840" s="10" t="n">
        <v>45680.37344907408</v>
      </c>
      <c r="I3840" s="10" t="n">
        <v>45680.37428240741</v>
      </c>
      <c r="J3840" s="10" t="n">
        <v>45680.37581018519</v>
      </c>
      <c r="K3840" s="11" t="n">
        <v>0.001527777777777778</v>
      </c>
      <c r="L3840" s="13" t="n"/>
    </row>
    <row r="3841">
      <c r="A3841" s="3" t="inlineStr">
        <is>
          <t>Securing</t>
        </is>
      </c>
      <c r="B3841" s="3" t="inlineStr">
        <is>
          <t>Act_SEC_1022802_090056_605</t>
        </is>
      </c>
      <c r="C3841" s="3" t="inlineStr">
        <is>
          <t>1022802</t>
        </is>
      </c>
      <c r="D3841" s="9" t="n">
        <v>218.7</v>
      </c>
      <c r="E3841" s="3" t="n"/>
      <c r="F3841" s="3" t="n"/>
      <c r="G3841" s="9" t="n"/>
      <c r="H3841" s="10" t="n">
        <v>45680.37564814815</v>
      </c>
      <c r="I3841" s="10" t="n">
        <v>45680.3765162037</v>
      </c>
      <c r="J3841" s="10" t="n">
        <v>45680.37804398148</v>
      </c>
      <c r="K3841" s="11" t="n">
        <v>0.001527777777777778</v>
      </c>
      <c r="L3841" s="13" t="n"/>
    </row>
    <row r="3842">
      <c r="A3842" s="3" t="inlineStr">
        <is>
          <t>Securing</t>
        </is>
      </c>
      <c r="B3842" s="3" t="inlineStr">
        <is>
          <t>Act_SEC_1022901_093532_615</t>
        </is>
      </c>
      <c r="C3842" s="3" t="inlineStr">
        <is>
          <t>1022901</t>
        </is>
      </c>
      <c r="D3842" s="9" t="n">
        <v>28</v>
      </c>
      <c r="E3842" s="3" t="n"/>
      <c r="F3842" s="3" t="n"/>
      <c r="G3842" s="9" t="n"/>
      <c r="H3842" s="10" t="n">
        <v>45680.39967592592</v>
      </c>
      <c r="I3842" s="10" t="n">
        <v>45680.40054398148</v>
      </c>
      <c r="J3842" s="10" t="n">
        <v>45680.40207175926</v>
      </c>
      <c r="K3842" s="11" t="n">
        <v>0.001527777777777778</v>
      </c>
      <c r="L3842" s="13" t="n"/>
    </row>
    <row r="3843">
      <c r="A3843" s="3" t="inlineStr">
        <is>
          <t>Securing</t>
        </is>
      </c>
      <c r="B3843" s="3" t="inlineStr">
        <is>
          <t>Act_SEC_1022902_093801_623</t>
        </is>
      </c>
      <c r="C3843" s="3" t="inlineStr">
        <is>
          <t>1022902</t>
        </is>
      </c>
      <c r="D3843" s="9" t="n">
        <v>15.7</v>
      </c>
      <c r="E3843" s="3" t="n"/>
      <c r="F3843" s="3" t="n"/>
      <c r="G3843" s="9" t="n"/>
      <c r="H3843" s="10" t="n">
        <v>45680.40140046296</v>
      </c>
      <c r="I3843" s="10" t="n">
        <v>45680.4022337963</v>
      </c>
      <c r="J3843" s="10" t="n">
        <v>45680.40376157407</v>
      </c>
      <c r="K3843" s="11" t="n">
        <v>0.001527777777777778</v>
      </c>
      <c r="L3843" s="13" t="n"/>
    </row>
    <row r="3844">
      <c r="A3844" s="3" t="inlineStr">
        <is>
          <t>Securing</t>
        </is>
      </c>
      <c r="B3844" s="3" t="inlineStr">
        <is>
          <t>Act_SEC_1022909_095446_625</t>
        </is>
      </c>
      <c r="C3844" s="3" t="inlineStr">
        <is>
          <t>1022909</t>
        </is>
      </c>
      <c r="D3844" s="9" t="n">
        <v>15.7</v>
      </c>
      <c r="E3844" s="3" t="n"/>
      <c r="F3844" s="3" t="n"/>
      <c r="G3844" s="9" t="n"/>
      <c r="H3844" s="10" t="n">
        <v>45680.41303240741</v>
      </c>
      <c r="I3844" s="10" t="n">
        <v>45680.4137962963</v>
      </c>
      <c r="J3844" s="10" t="n">
        <v>45680.41518518519</v>
      </c>
      <c r="K3844" s="11" t="n">
        <v>0.001388888888888889</v>
      </c>
      <c r="L3844" s="13" t="n"/>
    </row>
    <row r="3845">
      <c r="A3845" s="3" t="inlineStr">
        <is>
          <t>Securing</t>
        </is>
      </c>
      <c r="B3845" s="3" t="inlineStr">
        <is>
          <t>Act_SEC_1022910_095800_619</t>
        </is>
      </c>
      <c r="C3845" s="3" t="inlineStr">
        <is>
          <t>1022910</t>
        </is>
      </c>
      <c r="D3845" s="9" t="n">
        <v>155.9</v>
      </c>
      <c r="E3845" s="3" t="n"/>
      <c r="F3845" s="3" t="n"/>
      <c r="G3845" s="9" t="n"/>
      <c r="H3845" s="10" t="n">
        <v>45680.41527777778</v>
      </c>
      <c r="I3845" s="10" t="n">
        <v>45680.41614583333</v>
      </c>
      <c r="J3845" s="10" t="n">
        <v>45680.41767361111</v>
      </c>
      <c r="K3845" s="11" t="n">
        <v>0.001527777777777778</v>
      </c>
      <c r="L3845" s="13" t="n"/>
    </row>
    <row r="3846">
      <c r="A3846" s="3" t="inlineStr">
        <is>
          <t>Securing</t>
        </is>
      </c>
      <c r="B3846" s="3" t="inlineStr">
        <is>
          <t>Act_SEC_1023001+1023003+1023005_105009_621</t>
        </is>
      </c>
      <c r="C3846" s="3" t="inlineStr">
        <is>
          <t>1023001+1023003+1023005</t>
        </is>
      </c>
      <c r="D3846" s="9" t="n">
        <v>407.8</v>
      </c>
      <c r="E3846" s="3" t="n"/>
      <c r="F3846" s="3" t="n"/>
      <c r="G3846" s="9" t="n"/>
      <c r="H3846" s="10" t="n">
        <v>45680.45149305555</v>
      </c>
      <c r="I3846" s="10" t="n">
        <v>45680.45233796296</v>
      </c>
      <c r="J3846" s="10" t="n">
        <v>45680.45386574074</v>
      </c>
      <c r="K3846" s="11" t="n">
        <v>0.001527777777777778</v>
      </c>
      <c r="L3846" s="13" t="n"/>
    </row>
    <row r="3847">
      <c r="A3847" s="3" t="inlineStr">
        <is>
          <t>Securing</t>
        </is>
      </c>
      <c r="B3847" s="3" t="inlineStr">
        <is>
          <t>Act_SEC_1023101_144305_611</t>
        </is>
      </c>
      <c r="C3847" s="3" t="inlineStr">
        <is>
          <t>1023101</t>
        </is>
      </c>
      <c r="D3847" s="9" t="n">
        <v>396.6</v>
      </c>
      <c r="E3847" s="3" t="n"/>
      <c r="F3847" s="3" t="n"/>
      <c r="G3847" s="9" t="n"/>
      <c r="H3847" s="10" t="n">
        <v>45680.61325231481</v>
      </c>
      <c r="I3847" s="10" t="n">
        <v>45680.61409722222</v>
      </c>
      <c r="J3847" s="10" t="n">
        <v>45680.615625</v>
      </c>
      <c r="K3847" s="11" t="n">
        <v>0.001527777777777778</v>
      </c>
      <c r="L3847" s="13" t="n"/>
    </row>
    <row r="3848">
      <c r="A3848" s="3" t="inlineStr">
        <is>
          <t>Securing</t>
        </is>
      </c>
      <c r="B3848" s="3" t="inlineStr">
        <is>
          <t>Act_SEC_1023201_150532_629</t>
        </is>
      </c>
      <c r="C3848" s="3" t="inlineStr">
        <is>
          <t>1023201</t>
        </is>
      </c>
      <c r="D3848" s="9" t="n">
        <v>35.6</v>
      </c>
      <c r="E3848" s="3" t="n"/>
      <c r="F3848" s="3" t="n"/>
      <c r="G3848" s="9" t="n"/>
      <c r="H3848" s="10" t="n">
        <v>45680.6288425926</v>
      </c>
      <c r="I3848" s="10" t="n">
        <v>45680.62967592593</v>
      </c>
      <c r="J3848" s="10" t="n">
        <v>45680.63120370371</v>
      </c>
      <c r="K3848" s="11" t="n">
        <v>0.001527777777777778</v>
      </c>
      <c r="L3848" s="13" t="n"/>
    </row>
    <row r="3849">
      <c r="A3849" s="3" t="inlineStr">
        <is>
          <t>Securing</t>
        </is>
      </c>
      <c r="B3849" s="3" t="inlineStr">
        <is>
          <t>Act_SEC_1023202_150821_621</t>
        </is>
      </c>
      <c r="C3849" s="3" t="inlineStr">
        <is>
          <t>1023202</t>
        </is>
      </c>
      <c r="D3849" s="9" t="n">
        <v>31.9</v>
      </c>
      <c r="E3849" s="3" t="n"/>
      <c r="F3849" s="3" t="n"/>
      <c r="G3849" s="9" t="n"/>
      <c r="H3849" s="10" t="n">
        <v>45680.63079861111</v>
      </c>
      <c r="I3849" s="10" t="n">
        <v>45680.63166666667</v>
      </c>
      <c r="J3849" s="10" t="n">
        <v>45680.63319444445</v>
      </c>
      <c r="K3849" s="11" t="n">
        <v>0.001527777777777778</v>
      </c>
      <c r="L3849" s="13" t="n"/>
    </row>
    <row r="3850">
      <c r="A3850" s="3" t="inlineStr">
        <is>
          <t>Securing</t>
        </is>
      </c>
      <c r="B3850" s="3" t="inlineStr">
        <is>
          <t>Act_SEC_1023206_151903_627</t>
        </is>
      </c>
      <c r="C3850" s="3" t="inlineStr">
        <is>
          <t>1023206</t>
        </is>
      </c>
      <c r="D3850" s="9" t="n">
        <v>15.7</v>
      </c>
      <c r="E3850" s="3" t="n"/>
      <c r="F3850" s="3" t="n"/>
      <c r="G3850" s="9" t="n"/>
      <c r="H3850" s="10" t="n">
        <v>45680.63822916667</v>
      </c>
      <c r="I3850" s="10" t="n">
        <v>45680.63907407408</v>
      </c>
      <c r="J3850" s="10" t="n">
        <v>45680.64060185185</v>
      </c>
      <c r="K3850" s="11" t="n">
        <v>0.001527777777777778</v>
      </c>
      <c r="L3850" s="13" t="n"/>
    </row>
    <row r="3851">
      <c r="A3851" s="3" t="inlineStr">
        <is>
          <t>Securing</t>
        </is>
      </c>
      <c r="B3851" s="3" t="inlineStr">
        <is>
          <t>Act_SEC_1023501_173155_619</t>
        </is>
      </c>
      <c r="C3851" s="3" t="inlineStr">
        <is>
          <t>1023501</t>
        </is>
      </c>
      <c r="D3851" s="9" t="n">
        <v>21</v>
      </c>
      <c r="E3851" s="3" t="n"/>
      <c r="F3851" s="3" t="n"/>
      <c r="G3851" s="9" t="n"/>
      <c r="H3851" s="10" t="n">
        <v>45680.73049768519</v>
      </c>
      <c r="I3851" s="10" t="n">
        <v>45680.73133101852</v>
      </c>
      <c r="J3851" s="10" t="n">
        <v>45680.7328587963</v>
      </c>
      <c r="K3851" s="11" t="n">
        <v>0.001527777777777778</v>
      </c>
      <c r="L3851" s="13" t="n"/>
    </row>
    <row r="3852">
      <c r="A3852" s="3" t="inlineStr">
        <is>
          <t>Securing</t>
        </is>
      </c>
      <c r="B3852" s="3" t="inlineStr">
        <is>
          <t>Act_SEC_1023504_173913_615</t>
        </is>
      </c>
      <c r="C3852" s="3" t="inlineStr">
        <is>
          <t>1023504</t>
        </is>
      </c>
      <c r="D3852" s="9" t="n">
        <v>27</v>
      </c>
      <c r="E3852" s="3" t="n"/>
      <c r="F3852" s="3" t="n"/>
      <c r="G3852" s="9" t="n"/>
      <c r="H3852" s="10" t="n">
        <v>45680.73556712963</v>
      </c>
      <c r="I3852" s="10" t="n">
        <v>45680.73635416666</v>
      </c>
      <c r="J3852" s="10" t="n">
        <v>45680.73774305556</v>
      </c>
      <c r="K3852" s="11" t="n">
        <v>0.001388888888888889</v>
      </c>
      <c r="L3852" s="13" t="n"/>
    </row>
    <row r="3853">
      <c r="A3853" s="3" t="inlineStr">
        <is>
          <t>Securing</t>
        </is>
      </c>
      <c r="B3853" s="3" t="inlineStr">
        <is>
          <t>Act_SEC_1023510_175344_629</t>
        </is>
      </c>
      <c r="C3853" s="3" t="inlineStr">
        <is>
          <t>1023510</t>
        </is>
      </c>
      <c r="D3853" s="9" t="n">
        <v>14</v>
      </c>
      <c r="E3853" s="3" t="n"/>
      <c r="F3853" s="3" t="n"/>
      <c r="G3853" s="9" t="n"/>
      <c r="H3853" s="10" t="n">
        <v>45680.74564814815</v>
      </c>
      <c r="I3853" s="10" t="n">
        <v>45680.7465162037</v>
      </c>
      <c r="J3853" s="10" t="n">
        <v>45680.74804398148</v>
      </c>
      <c r="K3853" s="11" t="n">
        <v>0.001527777777777778</v>
      </c>
      <c r="L3853" s="13" t="n"/>
    </row>
    <row r="3854">
      <c r="A3854" s="3" t="inlineStr">
        <is>
          <t>Securing</t>
        </is>
      </c>
      <c r="B3854" s="3" t="inlineStr">
        <is>
          <t>Act_SEC_1023511_175555_613</t>
        </is>
      </c>
      <c r="C3854" s="3" t="inlineStr">
        <is>
          <t>1023511</t>
        </is>
      </c>
      <c r="D3854" s="9" t="n">
        <v>117.7</v>
      </c>
      <c r="E3854" s="3" t="n"/>
      <c r="F3854" s="3" t="n"/>
      <c r="G3854" s="9" t="n"/>
      <c r="H3854" s="10" t="n">
        <v>45680.74716435185</v>
      </c>
      <c r="I3854" s="10" t="n">
        <v>45680.74799768518</v>
      </c>
      <c r="J3854" s="10" t="n">
        <v>45680.74952546296</v>
      </c>
      <c r="K3854" s="11" t="n">
        <v>0.001527777777777778</v>
      </c>
      <c r="L3854" s="13" t="n"/>
    </row>
    <row r="3855">
      <c r="A3855" s="3" t="inlineStr">
        <is>
          <t>Securing</t>
        </is>
      </c>
      <c r="B3855" s="3" t="inlineStr">
        <is>
          <t>Act_SEC_1023601_180137_609</t>
        </is>
      </c>
      <c r="C3855" s="3" t="inlineStr">
        <is>
          <t>1023601</t>
        </is>
      </c>
      <c r="D3855" s="9" t="n">
        <v>54.7</v>
      </c>
      <c r="E3855" s="3" t="n"/>
      <c r="F3855" s="3" t="n"/>
      <c r="G3855" s="9" t="n"/>
      <c r="H3855" s="10" t="n">
        <v>45680.75112268519</v>
      </c>
      <c r="I3855" s="10" t="n">
        <v>45680.75196759259</v>
      </c>
      <c r="J3855" s="10" t="n">
        <v>45680.75349537037</v>
      </c>
      <c r="K3855" s="11" t="n">
        <v>0.001527777777777778</v>
      </c>
      <c r="L3855" s="13" t="n"/>
    </row>
    <row r="3856">
      <c r="A3856" s="3" t="inlineStr">
        <is>
          <t>Securing</t>
        </is>
      </c>
      <c r="B3856" s="3" t="inlineStr">
        <is>
          <t>Act_SEC_1023802_030228_619</t>
        </is>
      </c>
      <c r="C3856" s="3" t="inlineStr">
        <is>
          <t>1023802</t>
        </is>
      </c>
      <c r="D3856" s="9" t="n">
        <v>164.7</v>
      </c>
      <c r="E3856" s="3" t="n"/>
      <c r="F3856" s="3" t="n"/>
      <c r="G3856" s="9" t="n"/>
      <c r="H3856" s="10" t="n">
        <v>45681.12671296296</v>
      </c>
      <c r="I3856" s="10" t="n">
        <v>45681.12758101852</v>
      </c>
      <c r="J3856" s="10" t="n">
        <v>45681.1291087963</v>
      </c>
      <c r="K3856" s="11" t="n">
        <v>0.001527777777777778</v>
      </c>
      <c r="L3856" s="13" t="n"/>
    </row>
    <row r="3857">
      <c r="A3857" s="3" t="inlineStr">
        <is>
          <t>Securing</t>
        </is>
      </c>
      <c r="B3857" s="3" t="inlineStr">
        <is>
          <t>Act_SEC_1023901_044356_623</t>
        </is>
      </c>
      <c r="C3857" s="3" t="inlineStr">
        <is>
          <t>1023901</t>
        </is>
      </c>
      <c r="D3857" s="9" t="n">
        <v>118.2</v>
      </c>
      <c r="E3857" s="3" t="n"/>
      <c r="F3857" s="3" t="n"/>
      <c r="G3857" s="9" t="n"/>
      <c r="H3857" s="10" t="n">
        <v>45681.19717592592</v>
      </c>
      <c r="I3857" s="10" t="n">
        <v>45681.19804398148</v>
      </c>
      <c r="J3857" s="10" t="n">
        <v>45681.19957175926</v>
      </c>
      <c r="K3857" s="11" t="n">
        <v>0.001527777777777778</v>
      </c>
      <c r="L3857" s="13" t="n"/>
    </row>
    <row r="3858">
      <c r="A3858" s="3" t="inlineStr">
        <is>
          <t>Securing</t>
        </is>
      </c>
      <c r="B3858" s="3" t="inlineStr">
        <is>
          <t>Act_SEC_1024001_062520_615</t>
        </is>
      </c>
      <c r="C3858" s="3" t="inlineStr">
        <is>
          <t>1024001</t>
        </is>
      </c>
      <c r="D3858" s="9" t="n">
        <v>297</v>
      </c>
      <c r="E3858" s="3" t="n"/>
      <c r="F3858" s="3" t="n"/>
      <c r="G3858" s="9" t="n"/>
      <c r="H3858" s="10" t="n">
        <v>45681.26759259259</v>
      </c>
      <c r="I3858" s="10" t="n">
        <v>45681.26846064815</v>
      </c>
      <c r="J3858" s="10" t="n">
        <v>45681.26998842593</v>
      </c>
      <c r="K3858" s="11" t="n">
        <v>0.001527777777777778</v>
      </c>
      <c r="L3858" s="13" t="n"/>
    </row>
    <row r="3859">
      <c r="A3859" s="3" t="inlineStr">
        <is>
          <t>Securing</t>
        </is>
      </c>
      <c r="B3859" s="3" t="inlineStr">
        <is>
          <t>Act_SEC_1024101_071051_606</t>
        </is>
      </c>
      <c r="C3859" s="3" t="inlineStr">
        <is>
          <t>1024101</t>
        </is>
      </c>
      <c r="D3859" s="9" t="n">
        <v>240.4</v>
      </c>
      <c r="E3859" s="3" t="n"/>
      <c r="F3859" s="3" t="n"/>
      <c r="G3859" s="9" t="n"/>
      <c r="H3859" s="10" t="n">
        <v>45681.29920138889</v>
      </c>
      <c r="I3859" s="10" t="n">
        <v>45681.30006944444</v>
      </c>
      <c r="J3859" s="10" t="n">
        <v>45681.30159722222</v>
      </c>
      <c r="K3859" s="11" t="n">
        <v>0.001527777777777778</v>
      </c>
      <c r="L3859" s="13" t="n"/>
    </row>
    <row r="3860">
      <c r="A3860" s="3" t="inlineStr">
        <is>
          <t>Securing</t>
        </is>
      </c>
      <c r="B3860" s="3" t="inlineStr">
        <is>
          <t>Act_SEC_1024201_074341_615</t>
        </is>
      </c>
      <c r="C3860" s="3" t="inlineStr">
        <is>
          <t>1024201</t>
        </is>
      </c>
      <c r="D3860" s="9" t="n">
        <v>42</v>
      </c>
      <c r="E3860" s="3" t="n"/>
      <c r="F3860" s="3" t="n"/>
      <c r="G3860" s="9" t="n"/>
      <c r="H3860" s="10" t="n">
        <v>45681.32200231482</v>
      </c>
      <c r="I3860" s="10" t="n">
        <v>45681.32283564815</v>
      </c>
      <c r="J3860" s="10" t="n">
        <v>45681.32436342593</v>
      </c>
      <c r="K3860" s="11" t="n">
        <v>0.001527777777777778</v>
      </c>
      <c r="L3860" s="13" t="n"/>
    </row>
    <row r="3861">
      <c r="A3861" s="3" t="inlineStr">
        <is>
          <t>Securing</t>
        </is>
      </c>
      <c r="B3861" s="3" t="inlineStr">
        <is>
          <t>Act_SEC_1024202_074630_621</t>
        </is>
      </c>
      <c r="C3861" s="3" t="inlineStr">
        <is>
          <t>1024202</t>
        </is>
      </c>
      <c r="D3861" s="9" t="n">
        <v>15.7</v>
      </c>
      <c r="E3861" s="3" t="n"/>
      <c r="F3861" s="3" t="n"/>
      <c r="G3861" s="9" t="n"/>
      <c r="H3861" s="10" t="n">
        <v>45681.32395833333</v>
      </c>
      <c r="I3861" s="10" t="n">
        <v>45681.32474537037</v>
      </c>
      <c r="J3861" s="10" t="n">
        <v>45681.32613425926</v>
      </c>
      <c r="K3861" s="11" t="n">
        <v>0.001388888888888889</v>
      </c>
      <c r="L3861" s="13" t="n"/>
    </row>
    <row r="3862">
      <c r="A3862" s="3" t="inlineStr">
        <is>
          <t>Securing</t>
        </is>
      </c>
      <c r="B3862" s="3" t="inlineStr">
        <is>
          <t>Act_SEC_1024210_075332_623</t>
        </is>
      </c>
      <c r="C3862" s="3" t="inlineStr">
        <is>
          <t>1024210</t>
        </is>
      </c>
      <c r="D3862" s="9" t="n">
        <v>15.7</v>
      </c>
      <c r="E3862" s="3" t="n"/>
      <c r="F3862" s="3" t="n"/>
      <c r="G3862" s="9" t="n"/>
      <c r="H3862" s="10" t="n">
        <v>45681.32884259259</v>
      </c>
      <c r="I3862" s="10" t="n">
        <v>45681.32962962963</v>
      </c>
      <c r="J3862" s="10" t="n">
        <v>45681.33101851852</v>
      </c>
      <c r="K3862" s="11" t="n">
        <v>0.001388888888888889</v>
      </c>
      <c r="L3862" s="13" t="n"/>
    </row>
    <row r="3863">
      <c r="A3863" s="3" t="inlineStr">
        <is>
          <t>Securing</t>
        </is>
      </c>
      <c r="B3863" s="3" t="inlineStr">
        <is>
          <t>Act_SEC_1024213_075556_607</t>
        </is>
      </c>
      <c r="C3863" s="3" t="inlineStr">
        <is>
          <t>1024213</t>
        </is>
      </c>
      <c r="D3863" s="9" t="n">
        <v>39.8</v>
      </c>
      <c r="E3863" s="3" t="n"/>
      <c r="F3863" s="3" t="n"/>
      <c r="G3863" s="9" t="n"/>
      <c r="H3863" s="10" t="n">
        <v>45681.33050925926</v>
      </c>
      <c r="I3863" s="10" t="n">
        <v>45681.3313425926</v>
      </c>
      <c r="J3863" s="10" t="n">
        <v>45681.33287037037</v>
      </c>
      <c r="K3863" s="11" t="n">
        <v>0.001527777777777778</v>
      </c>
      <c r="L3863" s="13" t="n"/>
    </row>
    <row r="3864">
      <c r="A3864" s="3" t="inlineStr">
        <is>
          <t>Securing</t>
        </is>
      </c>
      <c r="B3864" s="3" t="inlineStr">
        <is>
          <t>Act_SEC_1024401_085850_615</t>
        </is>
      </c>
      <c r="C3864" s="3" t="inlineStr">
        <is>
          <t>1024401</t>
        </is>
      </c>
      <c r="D3864" s="9" t="n">
        <v>36.4</v>
      </c>
      <c r="E3864" s="3" t="n"/>
      <c r="F3864" s="3" t="n"/>
      <c r="G3864" s="9" t="n"/>
      <c r="H3864" s="10" t="n">
        <v>45681.37418981481</v>
      </c>
      <c r="I3864" s="10" t="n">
        <v>45681.3749537037</v>
      </c>
      <c r="J3864" s="10" t="n">
        <v>45681.37634259259</v>
      </c>
      <c r="K3864" s="11" t="n">
        <v>0.001388888888888889</v>
      </c>
      <c r="L3864" s="13" t="n"/>
    </row>
    <row r="3865">
      <c r="A3865" s="3" t="inlineStr">
        <is>
          <t>Securing</t>
        </is>
      </c>
      <c r="B3865" s="3" t="inlineStr">
        <is>
          <t>Act_SEC_1024402_090154_627</t>
        </is>
      </c>
      <c r="C3865" s="3" t="inlineStr">
        <is>
          <t>1024402</t>
        </is>
      </c>
      <c r="D3865" s="9" t="n">
        <v>111.4</v>
      </c>
      <c r="E3865" s="3" t="n"/>
      <c r="F3865" s="3" t="n"/>
      <c r="G3865" s="9" t="n"/>
      <c r="H3865" s="10" t="n">
        <v>45681.37631944445</v>
      </c>
      <c r="I3865" s="10" t="n">
        <v>45681.37716435185</v>
      </c>
      <c r="J3865" s="10" t="n">
        <v>45681.37869212963</v>
      </c>
      <c r="K3865" s="11" t="n">
        <v>0.001527777777777778</v>
      </c>
      <c r="L3865" s="13" t="n"/>
    </row>
    <row r="3866">
      <c r="A3866" s="3" t="inlineStr">
        <is>
          <t>Securing</t>
        </is>
      </c>
      <c r="B3866" s="3" t="inlineStr">
        <is>
          <t>Act_SEC_1024503_093016_625</t>
        </is>
      </c>
      <c r="C3866" s="3" t="inlineStr">
        <is>
          <t>1024503</t>
        </is>
      </c>
      <c r="D3866" s="9" t="n">
        <v>178.4</v>
      </c>
      <c r="E3866" s="3" t="n"/>
      <c r="F3866" s="3" t="n"/>
      <c r="G3866" s="9" t="n"/>
      <c r="H3866" s="10" t="n">
        <v>45681.39601851852</v>
      </c>
      <c r="I3866" s="10" t="n">
        <v>45681.39688657408</v>
      </c>
      <c r="J3866" s="10" t="n">
        <v>45681.39841435185</v>
      </c>
      <c r="K3866" s="11" t="n">
        <v>0.001527777777777778</v>
      </c>
      <c r="L3866" s="13" t="n"/>
    </row>
    <row r="3867">
      <c r="A3867" s="3" t="inlineStr">
        <is>
          <t>Securing</t>
        </is>
      </c>
      <c r="B3867" s="3" t="inlineStr">
        <is>
          <t>Act_SEC_1024507_093437_627</t>
        </is>
      </c>
      <c r="C3867" s="3" t="inlineStr">
        <is>
          <t>1024507</t>
        </is>
      </c>
      <c r="D3867" s="9" t="n">
        <v>15.7</v>
      </c>
      <c r="E3867" s="3" t="n"/>
      <c r="F3867" s="3" t="n"/>
      <c r="G3867" s="9" t="n"/>
      <c r="H3867" s="10" t="n">
        <v>45681.39903935185</v>
      </c>
      <c r="I3867" s="10" t="n">
        <v>45681.39987268519</v>
      </c>
      <c r="J3867" s="10" t="n">
        <v>45681.40140046296</v>
      </c>
      <c r="K3867" s="11" t="n">
        <v>0.001527777777777778</v>
      </c>
      <c r="L3867" s="13" t="n"/>
    </row>
    <row r="3868">
      <c r="A3868" s="3" t="inlineStr">
        <is>
          <t>Securing</t>
        </is>
      </c>
      <c r="B3868" s="3" t="inlineStr">
        <is>
          <t>Act_SEC_1024701_131408_605</t>
        </is>
      </c>
      <c r="C3868" s="3" t="inlineStr">
        <is>
          <t>1024701</t>
        </is>
      </c>
      <c r="D3868" s="9" t="n">
        <v>177.5</v>
      </c>
      <c r="E3868" s="3" t="n"/>
      <c r="F3868" s="3" t="n"/>
      <c r="G3868" s="9" t="n"/>
      <c r="H3868" s="10" t="n">
        <v>45681.55148148148</v>
      </c>
      <c r="I3868" s="10" t="n">
        <v>45681.55234953704</v>
      </c>
      <c r="J3868" s="10" t="n">
        <v>45681.55387731481</v>
      </c>
      <c r="K3868" s="11" t="n">
        <v>0.001527777777777778</v>
      </c>
      <c r="L3868" s="13" t="n"/>
    </row>
    <row r="3869">
      <c r="A3869" s="3" t="inlineStr">
        <is>
          <t>Securing</t>
        </is>
      </c>
      <c r="B3869" s="3" t="inlineStr">
        <is>
          <t>Act_SEC_1024801_144338_619</t>
        </is>
      </c>
      <c r="C3869" s="3" t="inlineStr">
        <is>
          <t>1024801</t>
        </is>
      </c>
      <c r="D3869" s="9" t="n">
        <v>296.1</v>
      </c>
      <c r="E3869" s="3" t="n"/>
      <c r="F3869" s="3" t="n"/>
      <c r="G3869" s="9" t="n"/>
      <c r="H3869" s="10" t="n">
        <v>45681.61363425926</v>
      </c>
      <c r="I3869" s="10" t="n">
        <v>45681.61447916667</v>
      </c>
      <c r="J3869" s="10" t="n">
        <v>45681.61600694444</v>
      </c>
      <c r="K3869" s="11" t="n">
        <v>0.001527777777777778</v>
      </c>
      <c r="L3869" s="13" t="n"/>
    </row>
    <row r="3870">
      <c r="A3870" s="3" t="inlineStr">
        <is>
          <t>Securing</t>
        </is>
      </c>
      <c r="B3870" s="3" t="inlineStr">
        <is>
          <t>Act_SEC_1024901_151832_617</t>
        </is>
      </c>
      <c r="C3870" s="3" t="inlineStr">
        <is>
          <t>1024901</t>
        </is>
      </c>
      <c r="D3870" s="9" t="n">
        <v>42</v>
      </c>
      <c r="E3870" s="3" t="n"/>
      <c r="F3870" s="3" t="n"/>
      <c r="G3870" s="9" t="n"/>
      <c r="H3870" s="10" t="n">
        <v>45681.63787037037</v>
      </c>
      <c r="I3870" s="10" t="n">
        <v>45681.63871527778</v>
      </c>
      <c r="J3870" s="10" t="n">
        <v>45681.64024305555</v>
      </c>
      <c r="K3870" s="11" t="n">
        <v>0.001527777777777778</v>
      </c>
      <c r="L3870" s="13" t="n"/>
    </row>
    <row r="3871">
      <c r="A3871" s="3" t="inlineStr">
        <is>
          <t>Securing</t>
        </is>
      </c>
      <c r="B3871" s="3" t="inlineStr">
        <is>
          <t>Act_SEC_1024902_152020_615</t>
        </is>
      </c>
      <c r="C3871" s="3" t="inlineStr">
        <is>
          <t>1024902</t>
        </is>
      </c>
      <c r="D3871" s="9" t="n">
        <v>54</v>
      </c>
      <c r="E3871" s="3" t="n"/>
      <c r="F3871" s="3" t="n"/>
      <c r="G3871" s="9" t="n"/>
      <c r="H3871" s="10" t="n">
        <v>45681.63912037037</v>
      </c>
      <c r="I3871" s="10" t="n">
        <v>45681.63990740741</v>
      </c>
      <c r="J3871" s="10" t="n">
        <v>45681.64129629629</v>
      </c>
      <c r="K3871" s="11" t="n">
        <v>0.001388888888888889</v>
      </c>
      <c r="L3871" s="13" t="n"/>
    </row>
    <row r="3872">
      <c r="A3872" s="3" t="inlineStr">
        <is>
          <t>Securing</t>
        </is>
      </c>
      <c r="B3872" s="3" t="inlineStr">
        <is>
          <t>Act_SEC_1024904_152612_629</t>
        </is>
      </c>
      <c r="C3872" s="3" t="inlineStr">
        <is>
          <t>1024904</t>
        </is>
      </c>
      <c r="D3872" s="9" t="n">
        <v>101.9</v>
      </c>
      <c r="E3872" s="3" t="n"/>
      <c r="F3872" s="3" t="n"/>
      <c r="G3872" s="9" t="n"/>
      <c r="H3872" s="10" t="n">
        <v>45681.64319444444</v>
      </c>
      <c r="I3872" s="10" t="n">
        <v>45681.64398148148</v>
      </c>
      <c r="J3872" s="10" t="n">
        <v>45681.64537037037</v>
      </c>
      <c r="K3872" s="11" t="n">
        <v>0.001388888888888889</v>
      </c>
      <c r="L3872" s="13" t="n"/>
    </row>
    <row r="3873">
      <c r="A3873" s="3" t="inlineStr">
        <is>
          <t>Securing</t>
        </is>
      </c>
      <c r="B3873" s="3" t="inlineStr">
        <is>
          <t>Act_SEC_1025201_174111_611</t>
        </is>
      </c>
      <c r="C3873" s="3" t="inlineStr">
        <is>
          <t>1025201</t>
        </is>
      </c>
      <c r="D3873" s="9" t="n">
        <v>134.7</v>
      </c>
      <c r="E3873" s="3" t="n"/>
      <c r="F3873" s="3" t="n"/>
      <c r="G3873" s="9" t="n"/>
      <c r="H3873" s="10" t="n">
        <v>45681.73693287037</v>
      </c>
      <c r="I3873" s="10" t="n">
        <v>45681.73777777778</v>
      </c>
      <c r="J3873" s="10" t="n">
        <v>45681.73930555556</v>
      </c>
      <c r="K3873" s="11" t="n">
        <v>0.001527777777777778</v>
      </c>
      <c r="L3873" s="13" t="n"/>
    </row>
    <row r="3874">
      <c r="A3874" s="3" t="inlineStr">
        <is>
          <t>Securing</t>
        </is>
      </c>
      <c r="B3874" s="3" t="inlineStr">
        <is>
          <t>Act_SEC_1025101_174559_621</t>
        </is>
      </c>
      <c r="C3874" s="3" t="inlineStr">
        <is>
          <t>1025101</t>
        </is>
      </c>
      <c r="D3874" s="9" t="n">
        <v>232.4</v>
      </c>
      <c r="E3874" s="3" t="n"/>
      <c r="F3874" s="3" t="n"/>
      <c r="G3874" s="9" t="n"/>
      <c r="H3874" s="10" t="n">
        <v>45681.74026620371</v>
      </c>
      <c r="I3874" s="10" t="n">
        <v>45681.74111111111</v>
      </c>
      <c r="J3874" s="10" t="n">
        <v>45681.74263888889</v>
      </c>
      <c r="K3874" s="11" t="n">
        <v>0.001527777777777778</v>
      </c>
      <c r="L3874" s="13" t="n"/>
    </row>
    <row r="3875">
      <c r="A3875" s="3" t="inlineStr">
        <is>
          <t>Securing</t>
        </is>
      </c>
      <c r="B3875" s="3" t="inlineStr">
        <is>
          <t>Act_SEC_1025301_020215_613</t>
        </is>
      </c>
      <c r="C3875" s="3" t="inlineStr">
        <is>
          <t>1025301</t>
        </is>
      </c>
      <c r="D3875" s="9" t="n">
        <v>389.1</v>
      </c>
      <c r="E3875" s="3" t="n"/>
      <c r="F3875" s="3" t="n"/>
      <c r="G3875" s="9" t="n"/>
      <c r="H3875" s="10" t="n">
        <v>45682.08489583333</v>
      </c>
      <c r="I3875" s="10" t="n">
        <v>45682.08576388889</v>
      </c>
      <c r="J3875" s="10" t="n">
        <v>45682.08729166666</v>
      </c>
      <c r="K3875" s="11" t="n">
        <v>0.001527777777777778</v>
      </c>
      <c r="L3875" s="13" t="n"/>
    </row>
    <row r="3876">
      <c r="A3876" s="3" t="inlineStr">
        <is>
          <t>Securing</t>
        </is>
      </c>
      <c r="B3876" s="3" t="inlineStr">
        <is>
          <t>Act_SEC_1025302_020436_607</t>
        </is>
      </c>
      <c r="C3876" s="3" t="inlineStr">
        <is>
          <t>1025302</t>
        </is>
      </c>
      <c r="D3876" s="9" t="n">
        <v>37.5</v>
      </c>
      <c r="E3876" s="3" t="n"/>
      <c r="F3876" s="3" t="n"/>
      <c r="G3876" s="9" t="n"/>
      <c r="H3876" s="10" t="n">
        <v>45682.08652777778</v>
      </c>
      <c r="I3876" s="10" t="n">
        <v>45682.08731481482</v>
      </c>
      <c r="J3876" s="10" t="n">
        <v>45682.0887037037</v>
      </c>
      <c r="K3876" s="11" t="n">
        <v>0.001388888888888889</v>
      </c>
      <c r="L3876" s="13" t="n"/>
    </row>
    <row r="3877">
      <c r="A3877" s="3" t="inlineStr">
        <is>
          <t>Securing</t>
        </is>
      </c>
      <c r="B3877" s="3" t="inlineStr">
        <is>
          <t>Act_SEC_1025303_020747_629</t>
        </is>
      </c>
      <c r="C3877" s="3" t="inlineStr">
        <is>
          <t>1025303</t>
        </is>
      </c>
      <c r="D3877" s="9" t="n">
        <v>155.9</v>
      </c>
      <c r="E3877" s="3" t="n"/>
      <c r="F3877" s="3" t="n"/>
      <c r="G3877" s="9" t="n"/>
      <c r="H3877" s="10" t="n">
        <v>45682.08873842593</v>
      </c>
      <c r="I3877" s="10" t="n">
        <v>45682.08960648148</v>
      </c>
      <c r="J3877" s="10" t="n">
        <v>45682.09113425926</v>
      </c>
      <c r="K3877" s="11" t="n">
        <v>0.001527777777777778</v>
      </c>
      <c r="L3877" s="13" t="n"/>
    </row>
    <row r="3878">
      <c r="A3878" s="3" t="inlineStr">
        <is>
          <t>Securing</t>
        </is>
      </c>
      <c r="B3878" s="3" t="inlineStr">
        <is>
          <t>Act_SEC_1025402_181024_609</t>
        </is>
      </c>
      <c r="C3878" s="3" t="inlineStr">
        <is>
          <t>1025402</t>
        </is>
      </c>
      <c r="D3878" s="9" t="n">
        <v>459.5</v>
      </c>
      <c r="E3878" s="3" t="n"/>
      <c r="F3878" s="3" t="n"/>
      <c r="G3878" s="9" t="n"/>
      <c r="H3878" s="10" t="n">
        <v>45683.75722222222</v>
      </c>
      <c r="I3878" s="10" t="n">
        <v>45683.75805555555</v>
      </c>
      <c r="J3878" s="10" t="n">
        <v>45683.75958333333</v>
      </c>
      <c r="K3878" s="11" t="n">
        <v>0.001527777777777778</v>
      </c>
      <c r="L3878" s="13" t="n"/>
    </row>
    <row r="3879">
      <c r="A3879" s="3" t="inlineStr">
        <is>
          <t>Securing</t>
        </is>
      </c>
      <c r="B3879" s="3" t="inlineStr">
        <is>
          <t>Act_SEC_1025502_025719_619</t>
        </is>
      </c>
      <c r="C3879" s="3" t="inlineStr">
        <is>
          <t>1025502</t>
        </is>
      </c>
      <c r="D3879" s="9" t="n">
        <v>19.9</v>
      </c>
      <c r="E3879" s="3" t="n"/>
      <c r="F3879" s="3" t="n"/>
      <c r="G3879" s="9" t="n"/>
      <c r="H3879" s="10" t="n">
        <v>45684.12313657408</v>
      </c>
      <c r="I3879" s="10" t="n">
        <v>45684.12400462963</v>
      </c>
      <c r="J3879" s="10" t="n">
        <v>45684.12553240741</v>
      </c>
      <c r="K3879" s="11" t="n">
        <v>0.001527777777777778</v>
      </c>
      <c r="L3879" s="13" t="n"/>
    </row>
    <row r="3880">
      <c r="A3880" s="3" t="inlineStr">
        <is>
          <t>Securing</t>
        </is>
      </c>
      <c r="B3880" s="3" t="inlineStr">
        <is>
          <t>Act_SEC_1025504_030233_621</t>
        </is>
      </c>
      <c r="C3880" s="3" t="inlineStr">
        <is>
          <t>1025504</t>
        </is>
      </c>
      <c r="D3880" s="9" t="n">
        <v>24.1</v>
      </c>
      <c r="E3880" s="3" t="n"/>
      <c r="F3880" s="3" t="n"/>
      <c r="G3880" s="9" t="n"/>
      <c r="H3880" s="10" t="n">
        <v>45684.12677083333</v>
      </c>
      <c r="I3880" s="10" t="n">
        <v>45684.12763888889</v>
      </c>
      <c r="J3880" s="10" t="n">
        <v>45684.12916666667</v>
      </c>
      <c r="K3880" s="11" t="n">
        <v>0.001527777777777778</v>
      </c>
      <c r="L3880" s="13" t="n"/>
    </row>
    <row r="3881">
      <c r="A3881" s="3" t="inlineStr">
        <is>
          <t>Securing</t>
        </is>
      </c>
      <c r="B3881" s="3" t="inlineStr">
        <is>
          <t>Act_SEC_1025601_044609_615</t>
        </is>
      </c>
      <c r="C3881" s="3" t="inlineStr">
        <is>
          <t>1025601</t>
        </is>
      </c>
      <c r="D3881" s="9" t="n">
        <v>298.2</v>
      </c>
      <c r="E3881" s="3" t="n"/>
      <c r="F3881" s="3" t="n"/>
      <c r="G3881" s="9" t="n"/>
      <c r="H3881" s="10" t="n">
        <v>45684.19871527778</v>
      </c>
      <c r="I3881" s="10" t="n">
        <v>45684.19956018519</v>
      </c>
      <c r="J3881" s="10" t="n">
        <v>45684.20108796296</v>
      </c>
      <c r="K3881" s="11" t="n">
        <v>0.001527777777777778</v>
      </c>
      <c r="L3881" s="13" t="n"/>
    </row>
    <row r="3882">
      <c r="A3882" s="3" t="inlineStr">
        <is>
          <t>Securing</t>
        </is>
      </c>
      <c r="B3882" s="3" t="inlineStr">
        <is>
          <t>Act_SEC_1025701_064940_623</t>
        </is>
      </c>
      <c r="C3882" s="3" t="inlineStr">
        <is>
          <t>1025701</t>
        </is>
      </c>
      <c r="D3882" s="9" t="n">
        <v>284.8</v>
      </c>
      <c r="E3882" s="3" t="n"/>
      <c r="F3882" s="3" t="n"/>
      <c r="G3882" s="9" t="n"/>
      <c r="H3882" s="10" t="n">
        <v>45684.28449074074</v>
      </c>
      <c r="I3882" s="10" t="n">
        <v>45684.28527777778</v>
      </c>
      <c r="J3882" s="10" t="n">
        <v>45684.28666666667</v>
      </c>
      <c r="K3882" s="11" t="n">
        <v>0.001388888888888889</v>
      </c>
      <c r="L3882" s="13" t="n"/>
    </row>
    <row r="3883">
      <c r="A3883" s="3" t="inlineStr">
        <is>
          <t>Securing</t>
        </is>
      </c>
      <c r="B3883" s="3" t="inlineStr">
        <is>
          <t>Act_SEC_1025801_073437_615</t>
        </is>
      </c>
      <c r="C3883" s="3" t="inlineStr">
        <is>
          <t>1025801</t>
        </is>
      </c>
      <c r="D3883" s="9" t="n">
        <v>27</v>
      </c>
      <c r="E3883" s="3" t="n"/>
      <c r="F3883" s="3" t="n"/>
      <c r="G3883" s="9" t="n"/>
      <c r="H3883" s="10" t="n">
        <v>45684.31570601852</v>
      </c>
      <c r="I3883" s="10" t="n">
        <v>45684.31649305556</v>
      </c>
      <c r="J3883" s="10" t="n">
        <v>45684.31788194444</v>
      </c>
      <c r="K3883" s="11" t="n">
        <v>0.001388888888888889</v>
      </c>
      <c r="L3883" s="13" t="n"/>
    </row>
    <row r="3884">
      <c r="A3884" s="3" t="inlineStr">
        <is>
          <t>Securing</t>
        </is>
      </c>
      <c r="B3884" s="3" t="inlineStr">
        <is>
          <t>Act_SEC_1025805_074029_629</t>
        </is>
      </c>
      <c r="C3884" s="3" t="inlineStr">
        <is>
          <t>1025805</t>
        </is>
      </c>
      <c r="D3884" s="9" t="n">
        <v>106.9</v>
      </c>
      <c r="E3884" s="3" t="n"/>
      <c r="F3884" s="3" t="n"/>
      <c r="G3884" s="9" t="n"/>
      <c r="H3884" s="10" t="n">
        <v>45684.31978009259</v>
      </c>
      <c r="I3884" s="10" t="n">
        <v>45684.32064814815</v>
      </c>
      <c r="J3884" s="10" t="n">
        <v>45684.32217592592</v>
      </c>
      <c r="K3884" s="11" t="n">
        <v>0.001527777777777778</v>
      </c>
      <c r="L3884" s="13" t="n"/>
    </row>
    <row r="3885">
      <c r="A3885" s="3" t="inlineStr">
        <is>
          <t>Securing</t>
        </is>
      </c>
      <c r="B3885" s="3" t="inlineStr">
        <is>
          <t>Act_SEC_1025806_074250_607</t>
        </is>
      </c>
      <c r="C3885" s="3" t="inlineStr">
        <is>
          <t>1025806</t>
        </is>
      </c>
      <c r="D3885" s="9" t="n">
        <v>39.8</v>
      </c>
      <c r="E3885" s="3" t="n"/>
      <c r="F3885" s="3" t="n"/>
      <c r="G3885" s="9" t="n"/>
      <c r="H3885" s="10" t="n">
        <v>45684.32141203704</v>
      </c>
      <c r="I3885" s="10" t="n">
        <v>45684.32226851852</v>
      </c>
      <c r="J3885" s="10" t="n">
        <v>45684.3237962963</v>
      </c>
      <c r="K3885" s="11" t="n">
        <v>0.001527777777777778</v>
      </c>
      <c r="L3885" s="13" t="n"/>
    </row>
    <row r="3886">
      <c r="A3886" s="3" t="inlineStr">
        <is>
          <t>Securing</t>
        </is>
      </c>
      <c r="B3886" s="3" t="inlineStr">
        <is>
          <t>Act_SEC_1026101_090252_615</t>
        </is>
      </c>
      <c r="C3886" s="3" t="inlineStr">
        <is>
          <t>1026101</t>
        </is>
      </c>
      <c r="D3886" s="9" t="n">
        <v>40.9</v>
      </c>
      <c r="E3886" s="3" t="n"/>
      <c r="F3886" s="3" t="n"/>
      <c r="G3886" s="9" t="n"/>
      <c r="H3886" s="10" t="n">
        <v>45684.37699074074</v>
      </c>
      <c r="I3886" s="10" t="n">
        <v>45684.37777777778</v>
      </c>
      <c r="J3886" s="10" t="n">
        <v>45684.37916666667</v>
      </c>
      <c r="K3886" s="11" t="n">
        <v>0.001388888888888889</v>
      </c>
      <c r="L3886" s="13" t="n"/>
    </row>
    <row r="3887">
      <c r="A3887" s="3" t="inlineStr">
        <is>
          <t>Securing</t>
        </is>
      </c>
      <c r="B3887" s="3" t="inlineStr">
        <is>
          <t>Act_SEC_1026102_090538_629</t>
        </is>
      </c>
      <c r="C3887" s="3" t="inlineStr">
        <is>
          <t>1026102</t>
        </is>
      </c>
      <c r="D3887" s="9" t="n">
        <v>33.9</v>
      </c>
      <c r="E3887" s="3" t="n"/>
      <c r="F3887" s="3" t="n"/>
      <c r="G3887" s="9" t="n"/>
      <c r="H3887" s="10" t="n">
        <v>45684.37891203703</v>
      </c>
      <c r="I3887" s="10" t="n">
        <v>45684.37974537037</v>
      </c>
      <c r="J3887" s="10" t="n">
        <v>45684.38127314814</v>
      </c>
      <c r="K3887" s="11" t="n">
        <v>0.001527777777777778</v>
      </c>
      <c r="L3887" s="13" t="n"/>
    </row>
    <row r="3888">
      <c r="A3888" s="3" t="inlineStr">
        <is>
          <t>Securing</t>
        </is>
      </c>
      <c r="B3888" s="3" t="inlineStr">
        <is>
          <t>Act_SEC_1026105_091320_627</t>
        </is>
      </c>
      <c r="C3888" s="3" t="inlineStr">
        <is>
          <t>1026105</t>
        </is>
      </c>
      <c r="D3888" s="9" t="n">
        <v>179.2</v>
      </c>
      <c r="E3888" s="3" t="n"/>
      <c r="F3888" s="3" t="n"/>
      <c r="G3888" s="9" t="n"/>
      <c r="H3888" s="10" t="n">
        <v>45684.38425925926</v>
      </c>
      <c r="I3888" s="10" t="n">
        <v>45684.38509259259</v>
      </c>
      <c r="J3888" s="10" t="n">
        <v>45684.38662037037</v>
      </c>
      <c r="K3888" s="11" t="n">
        <v>0.001527777777777778</v>
      </c>
      <c r="L3888" s="13" t="n"/>
    </row>
    <row r="3889">
      <c r="A3889" s="3" t="inlineStr">
        <is>
          <t>Securing</t>
        </is>
      </c>
      <c r="B3889" s="3" t="inlineStr">
        <is>
          <t>Act_SEC_1026301_104755_615</t>
        </is>
      </c>
      <c r="C3889" s="3" t="inlineStr">
        <is>
          <t>1026301</t>
        </is>
      </c>
      <c r="D3889" s="9" t="n">
        <v>394.6</v>
      </c>
      <c r="E3889" s="3" t="n"/>
      <c r="F3889" s="3" t="n"/>
      <c r="G3889" s="9" t="n"/>
      <c r="H3889" s="10" t="n">
        <v>45684.44994212963</v>
      </c>
      <c r="I3889" s="10" t="n">
        <v>45684.45081018518</v>
      </c>
      <c r="J3889" s="10" t="n">
        <v>45684.45233796296</v>
      </c>
      <c r="K3889" s="11" t="n">
        <v>0.001527777777777778</v>
      </c>
      <c r="L3889" s="13" t="n"/>
    </row>
    <row r="3890">
      <c r="A3890" s="3" t="inlineStr">
        <is>
          <t>Securing</t>
        </is>
      </c>
      <c r="B3890" s="3" t="inlineStr">
        <is>
          <t>Act_SEC_1026302_105055_625</t>
        </is>
      </c>
      <c r="C3890" s="3" t="inlineStr">
        <is>
          <t>1026302</t>
        </is>
      </c>
      <c r="D3890" s="9" t="n">
        <v>40.9</v>
      </c>
      <c r="E3890" s="3" t="n"/>
      <c r="F3890" s="3" t="n"/>
      <c r="G3890" s="9" t="n"/>
      <c r="H3890" s="10" t="n">
        <v>45684.45202546296</v>
      </c>
      <c r="I3890" s="10" t="n">
        <v>45684.45288194445</v>
      </c>
      <c r="J3890" s="10" t="n">
        <v>45684.45440972222</v>
      </c>
      <c r="K3890" s="11" t="n">
        <v>0.001527777777777778</v>
      </c>
      <c r="L3890" s="13" t="n"/>
    </row>
    <row r="3891">
      <c r="A3891" s="3" t="inlineStr">
        <is>
          <t>Securing</t>
        </is>
      </c>
      <c r="B3891" s="3" t="inlineStr">
        <is>
          <t>Act_SEC_1026401_125504_605</t>
        </is>
      </c>
      <c r="C3891" s="3" t="inlineStr">
        <is>
          <t>1026401</t>
        </is>
      </c>
      <c r="D3891" s="9" t="n">
        <v>212.1</v>
      </c>
      <c r="E3891" s="3" t="n"/>
      <c r="F3891" s="3" t="n"/>
      <c r="G3891" s="9" t="n"/>
      <c r="H3891" s="10" t="n">
        <v>45684.53824074074</v>
      </c>
      <c r="I3891" s="10" t="n">
        <v>45684.5391087963</v>
      </c>
      <c r="J3891" s="10" t="n">
        <v>45684.54063657407</v>
      </c>
      <c r="K3891" s="11" t="n">
        <v>0.001527777777777778</v>
      </c>
      <c r="L3891" s="13" t="n"/>
    </row>
    <row r="3892">
      <c r="A3892" s="3" t="inlineStr">
        <is>
          <t>Securing</t>
        </is>
      </c>
      <c r="B3892" s="3" t="inlineStr">
        <is>
          <t>Act_SEC_1026501_143741_619</t>
        </is>
      </c>
      <c r="C3892" s="3" t="inlineStr">
        <is>
          <t>1026501</t>
        </is>
      </c>
      <c r="D3892" s="9" t="n">
        <v>381.6</v>
      </c>
      <c r="E3892" s="3" t="n"/>
      <c r="F3892" s="3" t="n"/>
      <c r="G3892" s="9" t="n"/>
      <c r="H3892" s="10" t="n">
        <v>45684.60950231482</v>
      </c>
      <c r="I3892" s="10" t="n">
        <v>45684.61028935185</v>
      </c>
      <c r="J3892" s="10" t="n">
        <v>45684.61167824074</v>
      </c>
      <c r="K3892" s="11" t="n">
        <v>0.001388888888888889</v>
      </c>
      <c r="L3892" s="13" t="n"/>
    </row>
    <row r="3893">
      <c r="A3893" s="3" t="inlineStr">
        <is>
          <t>Securing</t>
        </is>
      </c>
      <c r="B3893" s="3" t="inlineStr">
        <is>
          <t>Act_SEC_1026601_153615_606</t>
        </is>
      </c>
      <c r="C3893" s="3" t="inlineStr">
        <is>
          <t>1026601</t>
        </is>
      </c>
      <c r="D3893" s="9" t="n">
        <v>15.7</v>
      </c>
      <c r="E3893" s="3" t="n"/>
      <c r="F3893" s="3" t="n"/>
      <c r="G3893" s="9" t="n"/>
      <c r="H3893" s="10" t="n">
        <v>45684.65017361111</v>
      </c>
      <c r="I3893" s="10" t="n">
        <v>45684.65096064815</v>
      </c>
      <c r="J3893" s="10" t="n">
        <v>45684.65234953703</v>
      </c>
      <c r="K3893" s="11" t="n">
        <v>0.001388888888888889</v>
      </c>
      <c r="L3893" s="13" t="n"/>
    </row>
    <row r="3894">
      <c r="A3894" s="3" t="inlineStr">
        <is>
          <t>Securing</t>
        </is>
      </c>
      <c r="B3894" s="3" t="inlineStr">
        <is>
          <t>Act_SEC_1026801_174513_611</t>
        </is>
      </c>
      <c r="C3894" s="3" t="inlineStr">
        <is>
          <t>1026801</t>
        </is>
      </c>
      <c r="D3894" s="9" t="n">
        <v>232.4</v>
      </c>
      <c r="E3894" s="3" t="n"/>
      <c r="F3894" s="3" t="n"/>
      <c r="G3894" s="9" t="n"/>
      <c r="H3894" s="10" t="n">
        <v>45684.7397337963</v>
      </c>
      <c r="I3894" s="10" t="n">
        <v>45684.74060185185</v>
      </c>
      <c r="J3894" s="10" t="n">
        <v>45684.74212962963</v>
      </c>
      <c r="K3894" s="11" t="n">
        <v>0.001527777777777778</v>
      </c>
      <c r="L3894" s="13" t="n"/>
    </row>
    <row r="3895">
      <c r="A3895" s="3" t="inlineStr">
        <is>
          <t>Securing</t>
        </is>
      </c>
      <c r="B3895" s="3" t="inlineStr">
        <is>
          <t>Act_SEC_1026901_180038_629</t>
        </is>
      </c>
      <c r="C3895" s="3" t="inlineStr">
        <is>
          <t>1026901</t>
        </is>
      </c>
      <c r="D3895" s="9" t="n">
        <v>310.6</v>
      </c>
      <c r="E3895" s="3" t="n"/>
      <c r="F3895" s="3" t="n"/>
      <c r="G3895" s="9" t="n"/>
      <c r="H3895" s="10" t="n">
        <v>45684.75043981482</v>
      </c>
      <c r="I3895" s="10" t="n">
        <v>45684.75130787037</v>
      </c>
      <c r="J3895" s="10" t="n">
        <v>45684.75283564815</v>
      </c>
      <c r="K3895" s="11" t="n">
        <v>0.001527777777777778</v>
      </c>
      <c r="L3895" s="13" t="n"/>
    </row>
    <row r="3896">
      <c r="A3896" s="3" t="inlineStr">
        <is>
          <t>Securing</t>
        </is>
      </c>
      <c r="B3896" s="3" t="inlineStr">
        <is>
          <t>Act_SEC_1026902_180338_621</t>
        </is>
      </c>
      <c r="C3896" s="3" t="inlineStr">
        <is>
          <t>1026902</t>
        </is>
      </c>
      <c r="D3896" s="9" t="n">
        <v>84</v>
      </c>
      <c r="E3896" s="3" t="n"/>
      <c r="F3896" s="3" t="n"/>
      <c r="G3896" s="9" t="n"/>
      <c r="H3896" s="10" t="n">
        <v>45684.75252314815</v>
      </c>
      <c r="I3896" s="10" t="n">
        <v>45684.7533912037</v>
      </c>
      <c r="J3896" s="10" t="n">
        <v>45684.75491898148</v>
      </c>
      <c r="K3896" s="11" t="n">
        <v>0.001527777777777778</v>
      </c>
      <c r="L3896" s="13" t="n"/>
    </row>
    <row r="3897">
      <c r="A3897" s="3" t="inlineStr">
        <is>
          <t>Securing</t>
        </is>
      </c>
      <c r="B3897" s="3" t="inlineStr">
        <is>
          <t>Act_SEC_1026903_180533_613</t>
        </is>
      </c>
      <c r="C3897" s="3" t="inlineStr">
        <is>
          <t>1026903</t>
        </is>
      </c>
      <c r="D3897" s="9" t="n">
        <v>51.4</v>
      </c>
      <c r="E3897" s="3" t="n"/>
      <c r="F3897" s="3" t="n"/>
      <c r="G3897" s="9" t="n"/>
      <c r="H3897" s="10" t="n">
        <v>45684.75385416667</v>
      </c>
      <c r="I3897" s="10" t="n">
        <v>45684.75472222222</v>
      </c>
      <c r="J3897" s="10" t="n">
        <v>45684.75625</v>
      </c>
      <c r="K3897" s="11" t="n">
        <v>0.001527777777777778</v>
      </c>
      <c r="L3897" s="13" t="n"/>
    </row>
    <row r="3898">
      <c r="A3898" s="3" t="inlineStr">
        <is>
          <t>Securing</t>
        </is>
      </c>
      <c r="B3898" s="3" t="inlineStr">
        <is>
          <t>Act_SEC_1027102_030953_615</t>
        </is>
      </c>
      <c r="C3898" s="3" t="inlineStr">
        <is>
          <t>1027102</t>
        </is>
      </c>
      <c r="D3898" s="9" t="n">
        <v>101.7</v>
      </c>
      <c r="E3898" s="3" t="n"/>
      <c r="F3898" s="3" t="n"/>
      <c r="G3898" s="9" t="n"/>
      <c r="H3898" s="10" t="n">
        <v>45685.13186342592</v>
      </c>
      <c r="I3898" s="10" t="n">
        <v>45685.13265046296</v>
      </c>
      <c r="J3898" s="10" t="n">
        <v>45685.13403935185</v>
      </c>
      <c r="K3898" s="11" t="n">
        <v>0.001388888888888889</v>
      </c>
      <c r="L3898" s="13" t="n"/>
    </row>
    <row r="3899">
      <c r="A3899" s="3" t="inlineStr">
        <is>
          <t>Securing</t>
        </is>
      </c>
      <c r="B3899" s="3" t="inlineStr">
        <is>
          <t>Act_SEC_1027103_031242_619</t>
        </is>
      </c>
      <c r="C3899" s="3" t="inlineStr">
        <is>
          <t>1027103</t>
        </is>
      </c>
      <c r="D3899" s="9" t="n">
        <v>19.9</v>
      </c>
      <c r="E3899" s="3" t="n"/>
      <c r="F3899" s="3" t="n"/>
      <c r="G3899" s="9" t="n"/>
      <c r="H3899" s="10" t="n">
        <v>45685.13381944445</v>
      </c>
      <c r="I3899" s="10" t="n">
        <v>45685.13466435186</v>
      </c>
      <c r="J3899" s="10" t="n">
        <v>45685.13619212963</v>
      </c>
      <c r="K3899" s="11" t="n">
        <v>0.001527777777777778</v>
      </c>
      <c r="L3899" s="13" t="n"/>
    </row>
    <row r="3900">
      <c r="A3900" s="3" t="inlineStr">
        <is>
          <t>Securing</t>
        </is>
      </c>
      <c r="B3900" s="3" t="inlineStr">
        <is>
          <t>Act_SEC_1027201_064417_607</t>
        </is>
      </c>
      <c r="C3900" s="3" t="inlineStr">
        <is>
          <t>1027201</t>
        </is>
      </c>
      <c r="D3900" s="9" t="n">
        <v>297</v>
      </c>
      <c r="E3900" s="3" t="n"/>
      <c r="F3900" s="3" t="n"/>
      <c r="G3900" s="9" t="n"/>
      <c r="H3900" s="10" t="n">
        <v>45685.28075231481</v>
      </c>
      <c r="I3900" s="10" t="n">
        <v>45685.28158564815</v>
      </c>
      <c r="J3900" s="10" t="n">
        <v>45685.28311342592</v>
      </c>
      <c r="K3900" s="11" t="n">
        <v>0.001527777777777778</v>
      </c>
      <c r="L3900" s="13" t="n"/>
    </row>
    <row r="3901">
      <c r="A3901" s="3" t="inlineStr">
        <is>
          <t>Securing</t>
        </is>
      </c>
      <c r="B3901" s="3" t="inlineStr">
        <is>
          <t>Act_SEC_1027301_073455_615</t>
        </is>
      </c>
      <c r="C3901" s="3" t="inlineStr">
        <is>
          <t>1027301</t>
        </is>
      </c>
      <c r="D3901" s="9" t="n">
        <v>21</v>
      </c>
      <c r="E3901" s="3" t="n"/>
      <c r="F3901" s="3" t="n"/>
      <c r="G3901" s="9" t="n"/>
      <c r="H3901" s="10" t="n">
        <v>45685.31591435185</v>
      </c>
      <c r="I3901" s="10" t="n">
        <v>45685.31675925926</v>
      </c>
      <c r="J3901" s="10" t="n">
        <v>45685.31828703704</v>
      </c>
      <c r="K3901" s="11" t="n">
        <v>0.001527777777777778</v>
      </c>
      <c r="L3901" s="13" t="n"/>
    </row>
    <row r="3902">
      <c r="A3902" s="3" t="inlineStr">
        <is>
          <t>Securing</t>
        </is>
      </c>
      <c r="B3902" s="3" t="inlineStr">
        <is>
          <t>Act_SEC_1027303_073855_609</t>
        </is>
      </c>
      <c r="C3902" s="3" t="inlineStr">
        <is>
          <t>1027303</t>
        </is>
      </c>
      <c r="D3902" s="9" t="n">
        <v>56.3</v>
      </c>
      <c r="E3902" s="3" t="n"/>
      <c r="F3902" s="3" t="n"/>
      <c r="G3902" s="9" t="n"/>
      <c r="H3902" s="10" t="n">
        <v>45685.31869212963</v>
      </c>
      <c r="I3902" s="10" t="n">
        <v>45685.31952546296</v>
      </c>
      <c r="J3902" s="10" t="n">
        <v>45685.32105324074</v>
      </c>
      <c r="K3902" s="11" t="n">
        <v>0.001527777777777778</v>
      </c>
      <c r="L3902" s="13" t="n"/>
    </row>
    <row r="3903">
      <c r="A3903" s="3" t="inlineStr">
        <is>
          <t>Securing</t>
        </is>
      </c>
      <c r="B3903" s="3" t="inlineStr">
        <is>
          <t>Act_SEC_1027304_074045_617</t>
        </is>
      </c>
      <c r="C3903" s="3" t="inlineStr">
        <is>
          <t>1027304</t>
        </is>
      </c>
      <c r="D3903" s="9" t="n">
        <v>14</v>
      </c>
      <c r="E3903" s="3" t="n"/>
      <c r="F3903" s="3" t="n"/>
      <c r="G3903" s="9" t="n"/>
      <c r="H3903" s="10" t="n">
        <v>45685.31996527778</v>
      </c>
      <c r="I3903" s="10" t="n">
        <v>45685.32082175926</v>
      </c>
      <c r="J3903" s="10" t="n">
        <v>45685.32234953704</v>
      </c>
      <c r="K3903" s="11" t="n">
        <v>0.001527777777777778</v>
      </c>
      <c r="L3903" s="13" t="n"/>
    </row>
    <row r="3904">
      <c r="A3904" s="3" t="inlineStr">
        <is>
          <t>Securing</t>
        </is>
      </c>
      <c r="B3904" s="3" t="inlineStr">
        <is>
          <t>Act_SEC_1027305_074348_629</t>
        </is>
      </c>
      <c r="C3904" s="3" t="inlineStr">
        <is>
          <t>1027305</t>
        </is>
      </c>
      <c r="D3904" s="9" t="n">
        <v>101.2</v>
      </c>
      <c r="E3904" s="3" t="n"/>
      <c r="F3904" s="3" t="n"/>
      <c r="G3904" s="9" t="n"/>
      <c r="H3904" s="10" t="n">
        <v>45685.32208333333</v>
      </c>
      <c r="I3904" s="10" t="n">
        <v>45685.32295138889</v>
      </c>
      <c r="J3904" s="10" t="n">
        <v>45685.32447916667</v>
      </c>
      <c r="K3904" s="11" t="n">
        <v>0.001527777777777778</v>
      </c>
      <c r="L3904" s="13" t="n"/>
    </row>
    <row r="3905">
      <c r="A3905" s="3" t="inlineStr">
        <is>
          <t>Securing</t>
        </is>
      </c>
      <c r="B3905" s="3" t="inlineStr">
        <is>
          <t>Act_SEC_1027701_092048_627</t>
        </is>
      </c>
      <c r="C3905" s="3" t="inlineStr">
        <is>
          <t>1027701</t>
        </is>
      </c>
      <c r="D3905" s="9" t="n">
        <v>73.90000000000001</v>
      </c>
      <c r="E3905" s="3" t="n"/>
      <c r="F3905" s="3" t="n"/>
      <c r="G3905" s="9" t="n"/>
      <c r="H3905" s="10" t="n">
        <v>45685.38944444444</v>
      </c>
      <c r="I3905" s="10" t="n">
        <v>45685.39028935185</v>
      </c>
      <c r="J3905" s="10" t="n">
        <v>45685.39181712963</v>
      </c>
      <c r="K3905" s="11" t="n">
        <v>0.001527777777777778</v>
      </c>
      <c r="L3905" s="13" t="n"/>
    </row>
    <row r="3906">
      <c r="A3906" s="3" t="inlineStr">
        <is>
          <t>Securing</t>
        </is>
      </c>
      <c r="B3906" s="3" t="inlineStr">
        <is>
          <t>Act_SEC_1027702_092404_621</t>
        </is>
      </c>
      <c r="C3906" s="3" t="inlineStr">
        <is>
          <t>1027702</t>
        </is>
      </c>
      <c r="D3906" s="9" t="n">
        <v>148.9</v>
      </c>
      <c r="E3906" s="3" t="n"/>
      <c r="F3906" s="3" t="n"/>
      <c r="G3906" s="9" t="n"/>
      <c r="H3906" s="10" t="n">
        <v>45685.39171296296</v>
      </c>
      <c r="I3906" s="10" t="n">
        <v>45685.39258101852</v>
      </c>
      <c r="J3906" s="10" t="n">
        <v>45685.3941087963</v>
      </c>
      <c r="K3906" s="11" t="n">
        <v>0.001527777777777778</v>
      </c>
      <c r="L3906" s="13" t="n"/>
    </row>
    <row r="3907">
      <c r="A3907" s="3" t="inlineStr">
        <is>
          <t>Securing</t>
        </is>
      </c>
      <c r="B3907" s="3" t="inlineStr">
        <is>
          <t>Act_SEC_1027601_092705_615</t>
        </is>
      </c>
      <c r="C3907" s="3" t="inlineStr">
        <is>
          <t>1027601</t>
        </is>
      </c>
      <c r="D3907" s="9" t="n">
        <v>54</v>
      </c>
      <c r="E3907" s="3" t="n"/>
      <c r="F3907" s="3" t="n"/>
      <c r="G3907" s="9" t="n"/>
      <c r="H3907" s="10" t="n">
        <v>45685.39380787037</v>
      </c>
      <c r="I3907" s="10" t="n">
        <v>45685.3946412037</v>
      </c>
      <c r="J3907" s="10" t="n">
        <v>45685.39616898148</v>
      </c>
      <c r="K3907" s="11" t="n">
        <v>0.001527777777777778</v>
      </c>
      <c r="L3907" s="13" t="n"/>
    </row>
    <row r="3908">
      <c r="A3908" s="3" t="inlineStr">
        <is>
          <t>Securing</t>
        </is>
      </c>
      <c r="B3908" s="3" t="inlineStr">
        <is>
          <t>Act_SEC_1027604_093412_621</t>
        </is>
      </c>
      <c r="C3908" s="3" t="inlineStr">
        <is>
          <t>1027604</t>
        </is>
      </c>
      <c r="D3908" s="9" t="n">
        <v>15.7</v>
      </c>
      <c r="E3908" s="3" t="n"/>
      <c r="F3908" s="3" t="n"/>
      <c r="G3908" s="9" t="n"/>
      <c r="H3908" s="10" t="n">
        <v>45685.39875</v>
      </c>
      <c r="I3908" s="10" t="n">
        <v>45685.39958333333</v>
      </c>
      <c r="J3908" s="10" t="n">
        <v>45685.40111111111</v>
      </c>
      <c r="K3908" s="11" t="n">
        <v>0.001527777777777778</v>
      </c>
      <c r="L3908" s="13" t="n"/>
    </row>
    <row r="3909">
      <c r="A3909" s="3" t="inlineStr">
        <is>
          <t>Securing</t>
        </is>
      </c>
      <c r="B3909" s="3" t="inlineStr">
        <is>
          <t>Act_SEC_1027607_094142_629</t>
        </is>
      </c>
      <c r="C3909" s="3" t="inlineStr">
        <is>
          <t>1027607</t>
        </is>
      </c>
      <c r="D3909" s="9" t="n">
        <v>61.2</v>
      </c>
      <c r="E3909" s="3" t="n"/>
      <c r="F3909" s="3" t="n"/>
      <c r="G3909" s="9" t="n"/>
      <c r="H3909" s="10" t="n">
        <v>45685.40395833334</v>
      </c>
      <c r="I3909" s="10" t="n">
        <v>45685.4047337963</v>
      </c>
      <c r="J3909" s="10" t="n">
        <v>45685.40612268518</v>
      </c>
      <c r="K3909" s="11" t="n">
        <v>0.001388888888888889</v>
      </c>
      <c r="L3909" s="13" t="n"/>
    </row>
    <row r="3910">
      <c r="A3910" s="3" t="inlineStr">
        <is>
          <t>Securing</t>
        </is>
      </c>
      <c r="B3910" s="3" t="inlineStr">
        <is>
          <t>Act_SEC_1027803_105319_605</t>
        </is>
      </c>
      <c r="C3910" s="3" t="inlineStr">
        <is>
          <t>1027803</t>
        </is>
      </c>
      <c r="D3910" s="9" t="n">
        <v>147</v>
      </c>
      <c r="E3910" s="3" t="n"/>
      <c r="F3910" s="3" t="n"/>
      <c r="G3910" s="9" t="n"/>
      <c r="H3910" s="10" t="n">
        <v>45685.45369212963</v>
      </c>
      <c r="I3910" s="10" t="n">
        <v>45685.45456018519</v>
      </c>
      <c r="J3910" s="10" t="n">
        <v>45685.45608796296</v>
      </c>
      <c r="K3910" s="11" t="n">
        <v>0.001527777777777778</v>
      </c>
      <c r="L3910" s="13" t="n"/>
    </row>
    <row r="3911">
      <c r="A3911" s="3" t="inlineStr">
        <is>
          <t>Securing</t>
        </is>
      </c>
      <c r="B3911" s="3" t="inlineStr">
        <is>
          <t>Act_SEC_1027901_130952_615</t>
        </is>
      </c>
      <c r="C3911" s="3" t="inlineStr">
        <is>
          <t>1027901</t>
        </is>
      </c>
      <c r="D3911" s="9" t="n">
        <v>291.9</v>
      </c>
      <c r="E3911" s="3" t="n"/>
      <c r="F3911" s="3" t="n"/>
      <c r="G3911" s="9" t="n"/>
      <c r="H3911" s="10" t="n">
        <v>45685.54851851852</v>
      </c>
      <c r="I3911" s="10" t="n">
        <v>45685.54938657407</v>
      </c>
      <c r="J3911" s="10" t="n">
        <v>45685.55091435185</v>
      </c>
      <c r="K3911" s="11" t="n">
        <v>0.001527777777777778</v>
      </c>
      <c r="L3911" s="13" t="n"/>
    </row>
    <row r="3912">
      <c r="A3912" s="3" t="inlineStr">
        <is>
          <t>Securing</t>
        </is>
      </c>
      <c r="B3912" s="3" t="inlineStr">
        <is>
          <t>Act_SEC_1028001_143238_625</t>
        </is>
      </c>
      <c r="C3912" s="3" t="inlineStr">
        <is>
          <t>1028001</t>
        </is>
      </c>
      <c r="D3912" s="9" t="n">
        <v>389.8</v>
      </c>
      <c r="E3912" s="3" t="n"/>
      <c r="F3912" s="3" t="n"/>
      <c r="G3912" s="9" t="n"/>
      <c r="H3912" s="10" t="n">
        <v>45685.60599537037</v>
      </c>
      <c r="I3912" s="10" t="n">
        <v>45685.60685185185</v>
      </c>
      <c r="J3912" s="10" t="n">
        <v>45685.60837962963</v>
      </c>
      <c r="K3912" s="11" t="n">
        <v>0.001527777777777778</v>
      </c>
      <c r="L3912" s="13" t="n"/>
    </row>
    <row r="3913">
      <c r="A3913" s="3" t="inlineStr">
        <is>
          <t>Securing</t>
        </is>
      </c>
      <c r="B3913" s="3" t="inlineStr">
        <is>
          <t>Act_SEC_1028101_145604_623</t>
        </is>
      </c>
      <c r="C3913" s="3" t="inlineStr">
        <is>
          <t>1028101</t>
        </is>
      </c>
      <c r="D3913" s="9" t="n">
        <v>39.8</v>
      </c>
      <c r="E3913" s="3" t="n"/>
      <c r="F3913" s="3" t="n"/>
      <c r="G3913" s="9" t="n"/>
      <c r="H3913" s="10" t="n">
        <v>45685.62226851852</v>
      </c>
      <c r="I3913" s="10" t="n">
        <v>45685.62311342593</v>
      </c>
      <c r="J3913" s="10" t="n">
        <v>45685.62464120371</v>
      </c>
      <c r="K3913" s="11" t="n">
        <v>0.001527777777777778</v>
      </c>
      <c r="L3913" s="13" t="n"/>
    </row>
    <row r="3914">
      <c r="A3914" s="3" t="inlineStr">
        <is>
          <t>Securing</t>
        </is>
      </c>
      <c r="B3914" s="3" t="inlineStr">
        <is>
          <t>Act_SEC_1028102_145850_619</t>
        </is>
      </c>
      <c r="C3914" s="3" t="inlineStr">
        <is>
          <t>1028102</t>
        </is>
      </c>
      <c r="D3914" s="9" t="n">
        <v>15.7</v>
      </c>
      <c r="E3914" s="3" t="n"/>
      <c r="F3914" s="3" t="n"/>
      <c r="G3914" s="9" t="n"/>
      <c r="H3914" s="10" t="n">
        <v>45685.62418981481</v>
      </c>
      <c r="I3914" s="10" t="n">
        <v>45685.62505787037</v>
      </c>
      <c r="J3914" s="10" t="n">
        <v>45685.62658564815</v>
      </c>
      <c r="K3914" s="11" t="n">
        <v>0.001527777777777778</v>
      </c>
      <c r="L3914" s="13" t="n"/>
    </row>
    <row r="3915">
      <c r="A3915" s="3" t="inlineStr">
        <is>
          <t>Securing</t>
        </is>
      </c>
      <c r="B3915" s="3" t="inlineStr">
        <is>
          <t>Act_SEC_1028106_150644_607</t>
        </is>
      </c>
      <c r="C3915" s="3" t="inlineStr">
        <is>
          <t>1028106</t>
        </is>
      </c>
      <c r="D3915" s="9" t="n">
        <v>19.9</v>
      </c>
      <c r="E3915" s="3" t="n"/>
      <c r="F3915" s="3" t="n"/>
      <c r="G3915" s="9" t="n"/>
      <c r="H3915" s="10" t="n">
        <v>45685.62967592593</v>
      </c>
      <c r="I3915" s="10" t="n">
        <v>45685.63047453704</v>
      </c>
      <c r="J3915" s="10" t="n">
        <v>45685.63186342592</v>
      </c>
      <c r="K3915" s="11" t="n">
        <v>0.001388888888888889</v>
      </c>
      <c r="L3915" s="13" t="n"/>
    </row>
    <row r="3916">
      <c r="A3916" s="3" t="inlineStr">
        <is>
          <t>Securing</t>
        </is>
      </c>
      <c r="B3916" s="3" t="inlineStr">
        <is>
          <t>Act_SEC_1028107_150823_615</t>
        </is>
      </c>
      <c r="C3916" s="3" t="inlineStr">
        <is>
          <t>1028107</t>
        </is>
      </c>
      <c r="D3916" s="9" t="n">
        <v>21</v>
      </c>
      <c r="E3916" s="3" t="n"/>
      <c r="F3916" s="3" t="n"/>
      <c r="G3916" s="9" t="n"/>
      <c r="H3916" s="10" t="n">
        <v>45685.63082175926</v>
      </c>
      <c r="I3916" s="10" t="n">
        <v>45685.63166666667</v>
      </c>
      <c r="J3916" s="10" t="n">
        <v>45685.63319444445</v>
      </c>
      <c r="K3916" s="11" t="n">
        <v>0.001527777777777778</v>
      </c>
      <c r="L3916" s="13" t="n"/>
    </row>
    <row r="3917">
      <c r="A3917" s="3" t="inlineStr">
        <is>
          <t>Securing</t>
        </is>
      </c>
      <c r="B3917" s="3" t="inlineStr">
        <is>
          <t>Act_SEC_1028301_194248_606</t>
        </is>
      </c>
      <c r="C3917" s="3" t="inlineStr">
        <is>
          <t>1028301</t>
        </is>
      </c>
      <c r="D3917" s="9" t="n">
        <v>232.7</v>
      </c>
      <c r="E3917" s="3" t="n"/>
      <c r="F3917" s="3" t="n"/>
      <c r="G3917" s="9" t="n"/>
      <c r="H3917" s="10" t="n">
        <v>45685.82138888889</v>
      </c>
      <c r="I3917" s="10" t="n">
        <v>45685.82223379629</v>
      </c>
      <c r="J3917" s="10" t="n">
        <v>45685.82376157407</v>
      </c>
      <c r="K3917" s="11" t="n">
        <v>0.001527777777777778</v>
      </c>
      <c r="L3917" s="13" t="n"/>
    </row>
    <row r="3918">
      <c r="A3918" s="3" t="inlineStr">
        <is>
          <t>Securing</t>
        </is>
      </c>
      <c r="B3918" s="3" t="inlineStr">
        <is>
          <t>Act_SEC_1028401_211517_611</t>
        </is>
      </c>
      <c r="C3918" s="3" t="inlineStr">
        <is>
          <t>1028401</t>
        </is>
      </c>
      <c r="D3918" s="9" t="n">
        <v>397.3</v>
      </c>
      <c r="E3918" s="3" t="n"/>
      <c r="F3918" s="3" t="n"/>
      <c r="G3918" s="9" t="n"/>
      <c r="H3918" s="10" t="n">
        <v>45685.88561342593</v>
      </c>
      <c r="I3918" s="10" t="n">
        <v>45685.88645833333</v>
      </c>
      <c r="J3918" s="10" t="n">
        <v>45685.88798611111</v>
      </c>
      <c r="K3918" s="11" t="n">
        <v>0.001527777777777778</v>
      </c>
      <c r="L3918" s="13" t="n"/>
    </row>
    <row r="3919">
      <c r="A3919" s="3" t="inlineStr">
        <is>
          <t>Securing</t>
        </is>
      </c>
      <c r="B3919" s="3" t="inlineStr">
        <is>
          <t>Act_SEC_1028501_030156_629</t>
        </is>
      </c>
      <c r="C3919" s="3" t="inlineStr">
        <is>
          <t>1028501</t>
        </is>
      </c>
      <c r="D3919" s="9" t="n">
        <v>19.9</v>
      </c>
      <c r="E3919" s="3" t="n"/>
      <c r="F3919" s="3" t="n"/>
      <c r="G3919" s="9" t="n"/>
      <c r="H3919" s="10" t="n">
        <v>45686.12634259259</v>
      </c>
      <c r="I3919" s="10" t="n">
        <v>45686.12721064815</v>
      </c>
      <c r="J3919" s="10" t="n">
        <v>45686.12873842593</v>
      </c>
      <c r="K3919" s="11" t="n">
        <v>0.001527777777777778</v>
      </c>
      <c r="L3919" s="13" t="n"/>
    </row>
    <row r="3920">
      <c r="A3920" s="3" t="inlineStr">
        <is>
          <t>Securing</t>
        </is>
      </c>
      <c r="B3920" s="3" t="inlineStr">
        <is>
          <t>Act_SEC_1028502_030406_615</t>
        </is>
      </c>
      <c r="C3920" s="3" t="inlineStr">
        <is>
          <t>1028502</t>
        </is>
      </c>
      <c r="D3920" s="9" t="n">
        <v>165.8</v>
      </c>
      <c r="E3920" s="3" t="n"/>
      <c r="F3920" s="3" t="n"/>
      <c r="G3920" s="9" t="n"/>
      <c r="H3920" s="10" t="n">
        <v>45686.12784722223</v>
      </c>
      <c r="I3920" s="10" t="n">
        <v>45686.12871527778</v>
      </c>
      <c r="J3920" s="10" t="n">
        <v>45686.13024305556</v>
      </c>
      <c r="K3920" s="11" t="n">
        <v>0.001527777777777778</v>
      </c>
      <c r="L3920" s="13" t="n"/>
    </row>
    <row r="3921">
      <c r="A3921" s="3" t="inlineStr">
        <is>
          <t>Securing</t>
        </is>
      </c>
      <c r="B3921" s="3" t="inlineStr">
        <is>
          <t>Act_SEC_1028601_042949_613</t>
        </is>
      </c>
      <c r="C3921" s="3" t="inlineStr">
        <is>
          <t>1028601</t>
        </is>
      </c>
      <c r="D3921" s="9" t="n">
        <v>106.9</v>
      </c>
      <c r="E3921" s="3" t="n"/>
      <c r="F3921" s="3" t="n"/>
      <c r="G3921" s="9" t="n"/>
      <c r="H3921" s="10" t="n">
        <v>45686.18737268518</v>
      </c>
      <c r="I3921" s="10" t="n">
        <v>45686.18820601852</v>
      </c>
      <c r="J3921" s="10" t="n">
        <v>45686.18973379629</v>
      </c>
      <c r="K3921" s="11" t="n">
        <v>0.001527777777777778</v>
      </c>
      <c r="L3921" s="13" t="n"/>
    </row>
    <row r="3922">
      <c r="A3922" s="3" t="inlineStr">
        <is>
          <t>Securing</t>
        </is>
      </c>
      <c r="B3922" s="3" t="inlineStr">
        <is>
          <t>Act_SEC_1028701_062941_607</t>
        </is>
      </c>
      <c r="C3922" s="3" t="inlineStr">
        <is>
          <t>1028701</t>
        </is>
      </c>
      <c r="D3922" s="9" t="n">
        <v>297</v>
      </c>
      <c r="E3922" s="3" t="n"/>
      <c r="F3922" s="3" t="n"/>
      <c r="G3922" s="9" t="n"/>
      <c r="H3922" s="10" t="n">
        <v>45686.27061342593</v>
      </c>
      <c r="I3922" s="10" t="n">
        <v>45686.27148148148</v>
      </c>
      <c r="J3922" s="10" t="n">
        <v>45686.27300925926</v>
      </c>
      <c r="K3922" s="11" t="n">
        <v>0.001527777777777778</v>
      </c>
      <c r="L3922" s="13" t="n"/>
    </row>
    <row r="3923">
      <c r="A3923" s="3" t="inlineStr">
        <is>
          <t>Securing</t>
        </is>
      </c>
      <c r="B3923" s="3" t="inlineStr">
        <is>
          <t>Act_SEC_1028801_073345_621</t>
        </is>
      </c>
      <c r="C3923" s="3" t="inlineStr">
        <is>
          <t>1028801</t>
        </is>
      </c>
      <c r="D3923" s="9" t="n">
        <v>397.3</v>
      </c>
      <c r="E3923" s="3" t="n"/>
      <c r="F3923" s="3" t="n"/>
      <c r="G3923" s="9" t="n"/>
      <c r="H3923" s="10" t="n">
        <v>45686.31510416666</v>
      </c>
      <c r="I3923" s="10" t="n">
        <v>45686.31594907407</v>
      </c>
      <c r="J3923" s="10" t="n">
        <v>45686.31747685185</v>
      </c>
      <c r="K3923" s="11" t="n">
        <v>0.001527777777777778</v>
      </c>
      <c r="L3923" s="13" t="n"/>
    </row>
    <row r="3924">
      <c r="A3924" s="3" t="inlineStr">
        <is>
          <t>Securing</t>
        </is>
      </c>
      <c r="B3924" s="3" t="inlineStr">
        <is>
          <t>Act_SEC_1028901_074121_629</t>
        </is>
      </c>
      <c r="C3924" s="3" t="inlineStr">
        <is>
          <t>1028901</t>
        </is>
      </c>
      <c r="D3924" s="9" t="n">
        <v>129.3</v>
      </c>
      <c r="E3924" s="3" t="n"/>
      <c r="F3924" s="3" t="n"/>
      <c r="G3924" s="9" t="n"/>
      <c r="H3924" s="10" t="n">
        <v>45686.32038194445</v>
      </c>
      <c r="I3924" s="10" t="n">
        <v>45686.32122685185</v>
      </c>
      <c r="J3924" s="10" t="n">
        <v>45686.32275462963</v>
      </c>
      <c r="K3924" s="11" t="n">
        <v>0.001527777777777778</v>
      </c>
      <c r="L3924" s="13" t="n"/>
    </row>
    <row r="3925">
      <c r="A3925" s="3" t="inlineStr">
        <is>
          <t>Securing</t>
        </is>
      </c>
      <c r="B3925" s="3" t="inlineStr">
        <is>
          <t>Act_SEC_1029001_083134_621</t>
        </is>
      </c>
      <c r="C3925" s="3" t="inlineStr">
        <is>
          <t>1029001</t>
        </is>
      </c>
      <c r="D3925" s="9" t="n">
        <v>16.5</v>
      </c>
      <c r="E3925" s="3" t="n"/>
      <c r="F3925" s="3" t="n"/>
      <c r="G3925" s="9" t="n"/>
      <c r="H3925" s="10" t="n">
        <v>45686.35525462963</v>
      </c>
      <c r="I3925" s="10" t="n">
        <v>45686.35612268518</v>
      </c>
      <c r="J3925" s="10" t="n">
        <v>45686.35765046296</v>
      </c>
      <c r="K3925" s="11" t="n">
        <v>0.001527777777777778</v>
      </c>
      <c r="L3925" s="13" t="n"/>
    </row>
    <row r="3926">
      <c r="A3926" s="3" t="inlineStr">
        <is>
          <t>Securing</t>
        </is>
      </c>
      <c r="B3926" s="3" t="inlineStr">
        <is>
          <t>Act_SEC_1029002_083324_615</t>
        </is>
      </c>
      <c r="C3926" s="3" t="inlineStr">
        <is>
          <t>1029002</t>
        </is>
      </c>
      <c r="D3926" s="9" t="n">
        <v>63</v>
      </c>
      <c r="E3926" s="3" t="n"/>
      <c r="F3926" s="3" t="n"/>
      <c r="G3926" s="9" t="n"/>
      <c r="H3926" s="10" t="n">
        <v>45686.35652777777</v>
      </c>
      <c r="I3926" s="10" t="n">
        <v>45686.35736111111</v>
      </c>
      <c r="J3926" s="10" t="n">
        <v>45686.35888888889</v>
      </c>
      <c r="K3926" s="11" t="n">
        <v>0.001527777777777778</v>
      </c>
      <c r="L3926" s="13" t="n"/>
    </row>
    <row r="3927">
      <c r="A3927" s="3" t="inlineStr">
        <is>
          <t>Securing</t>
        </is>
      </c>
      <c r="B3927" s="3" t="inlineStr">
        <is>
          <t>Act_SEC_1029106_093823_607</t>
        </is>
      </c>
      <c r="C3927" s="3" t="inlineStr">
        <is>
          <t>1029106</t>
        </is>
      </c>
      <c r="D3927" s="9" t="n">
        <v>59.7</v>
      </c>
      <c r="E3927" s="3" t="n"/>
      <c r="F3927" s="3" t="n"/>
      <c r="G3927" s="9" t="n"/>
      <c r="H3927" s="10" t="n">
        <v>45686.4016550926</v>
      </c>
      <c r="I3927" s="10" t="n">
        <v>45686.40251157407</v>
      </c>
      <c r="J3927" s="10" t="n">
        <v>45686.40403935185</v>
      </c>
      <c r="K3927" s="11" t="n">
        <v>0.001527777777777778</v>
      </c>
      <c r="L3927" s="13" t="n"/>
    </row>
    <row r="3928">
      <c r="A3928" s="3" t="inlineStr">
        <is>
          <t>Securing</t>
        </is>
      </c>
      <c r="B3928" s="3" t="inlineStr">
        <is>
          <t>Act_SEC_1029109_094402_619</t>
        </is>
      </c>
      <c r="C3928" s="3" t="inlineStr">
        <is>
          <t>1029109</t>
        </is>
      </c>
      <c r="D3928" s="9" t="n">
        <v>19.9</v>
      </c>
      <c r="E3928" s="3" t="n"/>
      <c r="F3928" s="3" t="n"/>
      <c r="G3928" s="9" t="n"/>
      <c r="H3928" s="10" t="n">
        <v>45686.40557870371</v>
      </c>
      <c r="I3928" s="10" t="n">
        <v>45686.40642361111</v>
      </c>
      <c r="J3928" s="10" t="n">
        <v>45686.40795138889</v>
      </c>
      <c r="K3928" s="11" t="n">
        <v>0.001527777777777778</v>
      </c>
      <c r="L3928" s="13" t="n"/>
    </row>
    <row r="3929">
      <c r="A3929" s="3" t="inlineStr">
        <is>
          <t>Securing</t>
        </is>
      </c>
      <c r="B3929" s="3" t="inlineStr">
        <is>
          <t>Act_SEC_1029202_104730_615</t>
        </is>
      </c>
      <c r="C3929" s="3" t="inlineStr">
        <is>
          <t>1029202</t>
        </is>
      </c>
      <c r="D3929" s="9" t="n">
        <v>220.3</v>
      </c>
      <c r="E3929" s="3" t="n"/>
      <c r="F3929" s="3" t="n"/>
      <c r="G3929" s="9" t="n"/>
      <c r="H3929" s="10" t="n">
        <v>45686.44965277778</v>
      </c>
      <c r="I3929" s="10" t="n">
        <v>45686.45052083334</v>
      </c>
      <c r="J3929" s="10" t="n">
        <v>45686.45204861111</v>
      </c>
      <c r="K3929" s="11" t="n">
        <v>0.001527777777777778</v>
      </c>
      <c r="L3929" s="13" t="n"/>
    </row>
    <row r="3930">
      <c r="A3930" s="3" t="inlineStr">
        <is>
          <t>Securing</t>
        </is>
      </c>
      <c r="B3930" s="3" t="inlineStr">
        <is>
          <t>Act_SEC_1029301_131810_615</t>
        </is>
      </c>
      <c r="C3930" s="3" t="inlineStr">
        <is>
          <t>1029301</t>
        </is>
      </c>
      <c r="D3930" s="9" t="n">
        <v>259.7</v>
      </c>
      <c r="E3930" s="3" t="n"/>
      <c r="F3930" s="3" t="n"/>
      <c r="G3930" s="9" t="n"/>
      <c r="H3930" s="10" t="n">
        <v>45686.55428240741</v>
      </c>
      <c r="I3930" s="10" t="n">
        <v>45686.55512731482</v>
      </c>
      <c r="J3930" s="10" t="n">
        <v>45686.55665509259</v>
      </c>
      <c r="K3930" s="11" t="n">
        <v>0.001527777777777778</v>
      </c>
      <c r="L3930" s="13" t="n"/>
    </row>
    <row r="3931">
      <c r="A3931" s="3" t="inlineStr">
        <is>
          <t>Securing</t>
        </is>
      </c>
      <c r="B3931" s="3" t="inlineStr">
        <is>
          <t>Act_SEC_1029401_144504_615</t>
        </is>
      </c>
      <c r="C3931" s="3" t="inlineStr">
        <is>
          <t>1029401</t>
        </is>
      </c>
      <c r="D3931" s="9" t="n">
        <v>398</v>
      </c>
      <c r="E3931" s="3" t="n"/>
      <c r="F3931" s="3" t="n"/>
      <c r="G3931" s="9" t="n"/>
      <c r="H3931" s="10" t="n">
        <v>45686.61462962963</v>
      </c>
      <c r="I3931" s="10" t="n">
        <v>45686.61547453704</v>
      </c>
      <c r="J3931" s="10" t="n">
        <v>45686.61700231482</v>
      </c>
      <c r="K3931" s="11" t="n">
        <v>0.001527777777777778</v>
      </c>
      <c r="L3931" s="13" t="n"/>
    </row>
    <row r="3932">
      <c r="A3932" s="3" t="inlineStr">
        <is>
          <t>Securing</t>
        </is>
      </c>
      <c r="B3932" s="3" t="inlineStr">
        <is>
          <t>Act_SEC_1029502_152525_627</t>
        </is>
      </c>
      <c r="C3932" s="3" t="inlineStr">
        <is>
          <t>1029502</t>
        </is>
      </c>
      <c r="D3932" s="9" t="n">
        <v>81</v>
      </c>
      <c r="E3932" s="3" t="n"/>
      <c r="F3932" s="3" t="n"/>
      <c r="G3932" s="9" t="n"/>
      <c r="H3932" s="10" t="n">
        <v>45686.64265046296</v>
      </c>
      <c r="I3932" s="10" t="n">
        <v>45686.64341435185</v>
      </c>
      <c r="J3932" s="10" t="n">
        <v>45686.64480324074</v>
      </c>
      <c r="K3932" s="11" t="n">
        <v>0.001388888888888889</v>
      </c>
      <c r="L3932" s="13" t="n"/>
    </row>
    <row r="3933">
      <c r="A3933" s="3" t="inlineStr">
        <is>
          <t>Securing</t>
        </is>
      </c>
      <c r="B3933" s="3" t="inlineStr">
        <is>
          <t>Act_SEC_1029504_152944_605</t>
        </is>
      </c>
      <c r="C3933" s="3" t="inlineStr">
        <is>
          <t>1029504</t>
        </is>
      </c>
      <c r="D3933" s="9" t="n">
        <v>15.7</v>
      </c>
      <c r="E3933" s="3" t="n"/>
      <c r="F3933" s="3" t="n"/>
      <c r="G3933" s="9" t="n"/>
      <c r="H3933" s="10" t="n">
        <v>45686.64564814815</v>
      </c>
      <c r="I3933" s="10" t="n">
        <v>45686.64642361111</v>
      </c>
      <c r="J3933" s="10" t="n">
        <v>45686.6478125</v>
      </c>
      <c r="K3933" s="11" t="n">
        <v>0.001388888888888889</v>
      </c>
      <c r="L3933" s="13" t="n"/>
    </row>
    <row r="3934">
      <c r="A3934" s="3" t="inlineStr">
        <is>
          <t>Securing</t>
        </is>
      </c>
      <c r="B3934" s="3" t="inlineStr">
        <is>
          <t>Act_SEC_1029505_153230_629</t>
        </is>
      </c>
      <c r="C3934" s="3" t="inlineStr">
        <is>
          <t>1029505</t>
        </is>
      </c>
      <c r="D3934" s="9" t="n">
        <v>19.9</v>
      </c>
      <c r="E3934" s="3" t="n"/>
      <c r="F3934" s="3" t="n"/>
      <c r="G3934" s="9" t="n"/>
      <c r="H3934" s="10" t="n">
        <v>45686.64756944445</v>
      </c>
      <c r="I3934" s="10" t="n">
        <v>45686.64842592592</v>
      </c>
      <c r="J3934" s="10" t="n">
        <v>45686.6499537037</v>
      </c>
      <c r="K3934" s="11" t="n">
        <v>0.001527777777777778</v>
      </c>
      <c r="L3934" s="13" t="n"/>
    </row>
    <row r="3935">
      <c r="A3935" s="3" t="inlineStr">
        <is>
          <t>Securing</t>
        </is>
      </c>
      <c r="B3935" s="3" t="inlineStr">
        <is>
          <t>Act_SEC_1029506_153452_609</t>
        </is>
      </c>
      <c r="C3935" s="3" t="inlineStr">
        <is>
          <t>1029506</t>
        </is>
      </c>
      <c r="D3935" s="9" t="n">
        <v>78</v>
      </c>
      <c r="E3935" s="3" t="n"/>
      <c r="F3935" s="3" t="n"/>
      <c r="G3935" s="9" t="n"/>
      <c r="H3935" s="10" t="n">
        <v>45686.64921296296</v>
      </c>
      <c r="I3935" s="10" t="n">
        <v>45686.65005787037</v>
      </c>
      <c r="J3935" s="10" t="n">
        <v>45686.65158564815</v>
      </c>
      <c r="K3935" s="11" t="n">
        <v>0.001527777777777778</v>
      </c>
      <c r="L3935" s="13" t="n"/>
    </row>
    <row r="3936">
      <c r="A3936" s="3" t="inlineStr">
        <is>
          <t>Securing</t>
        </is>
      </c>
      <c r="B3936" s="3" t="inlineStr">
        <is>
          <t>Act_SEC_1029701_174326_615</t>
        </is>
      </c>
      <c r="C3936" s="3" t="inlineStr">
        <is>
          <t>1029701</t>
        </is>
      </c>
      <c r="D3936" s="9" t="n">
        <v>302.1</v>
      </c>
      <c r="E3936" s="3" t="n"/>
      <c r="F3936" s="3" t="n"/>
      <c r="G3936" s="9" t="n"/>
      <c r="H3936" s="10" t="n">
        <v>45686.73849537037</v>
      </c>
      <c r="I3936" s="10" t="n">
        <v>45686.7393287037</v>
      </c>
      <c r="J3936" s="10" t="n">
        <v>45686.74085648148</v>
      </c>
      <c r="K3936" s="11" t="n">
        <v>0.001527777777777778</v>
      </c>
      <c r="L3936" s="13" t="n"/>
    </row>
    <row r="3937">
      <c r="A3937" s="3" t="inlineStr">
        <is>
          <t>Securing</t>
        </is>
      </c>
      <c r="B3937" s="3" t="inlineStr">
        <is>
          <t>Act_SEC_1029801_180733_625</t>
        </is>
      </c>
      <c r="C3937" s="3" t="inlineStr">
        <is>
          <t>1029801</t>
        </is>
      </c>
      <c r="D3937" s="9" t="n">
        <v>15.7</v>
      </c>
      <c r="E3937" s="3" t="n"/>
      <c r="F3937" s="3" t="n"/>
      <c r="G3937" s="9" t="n"/>
      <c r="H3937" s="10" t="n">
        <v>45686.75524305556</v>
      </c>
      <c r="I3937" s="10" t="n">
        <v>45686.75607638889</v>
      </c>
      <c r="J3937" s="10" t="n">
        <v>45686.75760416667</v>
      </c>
      <c r="K3937" s="11" t="n">
        <v>0.001527777777777778</v>
      </c>
      <c r="L3937" s="13" t="n"/>
    </row>
    <row r="3938">
      <c r="A3938" s="3" t="inlineStr">
        <is>
          <t>Securing</t>
        </is>
      </c>
      <c r="B3938" s="3" t="inlineStr">
        <is>
          <t>Act_SEC_1029803_181206_627</t>
        </is>
      </c>
      <c r="C3938" s="3" t="inlineStr">
        <is>
          <t>1029803</t>
        </is>
      </c>
      <c r="D3938" s="9" t="n">
        <v>27</v>
      </c>
      <c r="E3938" s="3" t="n"/>
      <c r="F3938" s="3" t="n"/>
      <c r="G3938" s="9" t="n"/>
      <c r="H3938" s="10" t="n">
        <v>45686.75840277778</v>
      </c>
      <c r="I3938" s="10" t="n">
        <v>45686.75924768519</v>
      </c>
      <c r="J3938" s="10" t="n">
        <v>45686.76077546296</v>
      </c>
      <c r="K3938" s="11" t="n">
        <v>0.001527777777777778</v>
      </c>
      <c r="L3938" s="13" t="n"/>
    </row>
    <row r="3939">
      <c r="A3939" s="3" t="inlineStr">
        <is>
          <t>Securing</t>
        </is>
      </c>
      <c r="B3939" s="3" t="inlineStr">
        <is>
          <t>Act_SEC_1029807_182253_629</t>
        </is>
      </c>
      <c r="C3939" s="3" t="inlineStr">
        <is>
          <t>1029807</t>
        </is>
      </c>
      <c r="D3939" s="9" t="n">
        <v>42</v>
      </c>
      <c r="E3939" s="3" t="n"/>
      <c r="F3939" s="3" t="n"/>
      <c r="G3939" s="9" t="n"/>
      <c r="H3939" s="10" t="n">
        <v>45686.7658912037</v>
      </c>
      <c r="I3939" s="10" t="n">
        <v>45686.76672453704</v>
      </c>
      <c r="J3939" s="10" t="n">
        <v>45686.76825231482</v>
      </c>
      <c r="K3939" s="11" t="n">
        <v>0.001527777777777778</v>
      </c>
      <c r="L3939" s="13" t="n"/>
    </row>
    <row r="3940">
      <c r="A3940" s="3" t="inlineStr">
        <is>
          <t>Securing</t>
        </is>
      </c>
      <c r="B3940" s="3" t="inlineStr">
        <is>
          <t>Act_SEC_1029901_210300_606</t>
        </is>
      </c>
      <c r="C3940" s="3" t="inlineStr">
        <is>
          <t>1029901</t>
        </is>
      </c>
      <c r="D3940" s="9" t="n">
        <v>380.8</v>
      </c>
      <c r="E3940" s="3" t="n"/>
      <c r="F3940" s="3" t="n"/>
      <c r="G3940" s="9" t="n"/>
      <c r="H3940" s="10" t="n">
        <v>45686.87708333333</v>
      </c>
      <c r="I3940" s="10" t="n">
        <v>45686.87793981482</v>
      </c>
      <c r="J3940" s="10" t="n">
        <v>45686.87946759259</v>
      </c>
      <c r="K3940" s="11" t="n">
        <v>0.001527777777777778</v>
      </c>
      <c r="L3940" s="13" t="n"/>
    </row>
    <row r="3941">
      <c r="A3941" s="3" t="inlineStr">
        <is>
          <t>Securing</t>
        </is>
      </c>
      <c r="B3941" s="3" t="inlineStr">
        <is>
          <t>Act_SEC_1030003_030428_615</t>
        </is>
      </c>
      <c r="C3941" s="3" t="inlineStr">
        <is>
          <t>1030003</t>
        </is>
      </c>
      <c r="D3941" s="9" t="n">
        <v>31.5</v>
      </c>
      <c r="E3941" s="3" t="n"/>
      <c r="F3941" s="3" t="n"/>
      <c r="G3941" s="9" t="n"/>
      <c r="H3941" s="10" t="n">
        <v>45687.12810185185</v>
      </c>
      <c r="I3941" s="10" t="n">
        <v>45687.12894675926</v>
      </c>
      <c r="J3941" s="10" t="n">
        <v>45687.13047453704</v>
      </c>
      <c r="K3941" s="11" t="n">
        <v>0.001527777777777778</v>
      </c>
      <c r="L3941" s="13" t="n"/>
    </row>
    <row r="3942">
      <c r="A3942" s="3" t="inlineStr">
        <is>
          <t>Securing</t>
        </is>
      </c>
      <c r="B3942" s="3" t="inlineStr">
        <is>
          <t>Act_SEC_1030004_030712_629</t>
        </is>
      </c>
      <c r="C3942" s="3" t="inlineStr">
        <is>
          <t>1030004</t>
        </is>
      </c>
      <c r="D3942" s="9" t="n">
        <v>12</v>
      </c>
      <c r="E3942" s="3" t="n"/>
      <c r="F3942" s="3" t="n"/>
      <c r="G3942" s="9" t="n"/>
      <c r="H3942" s="10" t="n">
        <v>45687.13</v>
      </c>
      <c r="I3942" s="10" t="n">
        <v>45687.13086805555</v>
      </c>
      <c r="J3942" s="10" t="n">
        <v>45687.13239583333</v>
      </c>
      <c r="K3942" s="11" t="n">
        <v>0.001527777777777778</v>
      </c>
      <c r="L3942" s="13" t="n"/>
    </row>
    <row r="3943">
      <c r="A3943" s="3" t="inlineStr">
        <is>
          <t>Securing</t>
        </is>
      </c>
      <c r="B3943" s="3" t="inlineStr">
        <is>
          <t>Act_SEC_1030005_030913_611</t>
        </is>
      </c>
      <c r="C3943" s="3" t="inlineStr">
        <is>
          <t>1030005</t>
        </is>
      </c>
      <c r="D3943" s="9" t="n">
        <v>21</v>
      </c>
      <c r="E3943" s="3" t="n"/>
      <c r="F3943" s="3" t="n"/>
      <c r="G3943" s="9" t="n"/>
      <c r="H3943" s="10" t="n">
        <v>45687.13140046296</v>
      </c>
      <c r="I3943" s="10" t="n">
        <v>45687.13224537037</v>
      </c>
      <c r="J3943" s="10" t="n">
        <v>45687.13377314815</v>
      </c>
      <c r="K3943" s="11" t="n">
        <v>0.001527777777777778</v>
      </c>
      <c r="L3943" s="13" t="n"/>
    </row>
    <row r="3944">
      <c r="A3944" s="3" t="inlineStr">
        <is>
          <t>Securing</t>
        </is>
      </c>
      <c r="B3944" s="3" t="inlineStr">
        <is>
          <t>Act_SEC_1030101_063205_613</t>
        </is>
      </c>
      <c r="C3944" s="3" t="inlineStr">
        <is>
          <t>1030101</t>
        </is>
      </c>
      <c r="D3944" s="9" t="n">
        <v>297</v>
      </c>
      <c r="E3944" s="3" t="n"/>
      <c r="F3944" s="3" t="n"/>
      <c r="G3944" s="9" t="n"/>
      <c r="H3944" s="10" t="n">
        <v>45687.27228009259</v>
      </c>
      <c r="I3944" s="10" t="n">
        <v>45687.27314814815</v>
      </c>
      <c r="J3944" s="10" t="n">
        <v>45687.27467592592</v>
      </c>
      <c r="K3944" s="11" t="n">
        <v>0.001527777777777778</v>
      </c>
      <c r="L3944" s="13" t="n"/>
    </row>
    <row r="3945">
      <c r="A3945" s="3" t="inlineStr">
        <is>
          <t>Securing</t>
        </is>
      </c>
      <c r="B3945" s="3" t="inlineStr">
        <is>
          <t>Act_SEC_1030305_075619_623</t>
        </is>
      </c>
      <c r="C3945" s="3" t="inlineStr">
        <is>
          <t>1030305</t>
        </is>
      </c>
      <c r="D3945" s="9" t="n">
        <v>15.7</v>
      </c>
      <c r="E3945" s="3" t="n"/>
      <c r="F3945" s="3" t="n"/>
      <c r="G3945" s="9" t="n"/>
      <c r="H3945" s="10" t="n">
        <v>45687.33077546296</v>
      </c>
      <c r="I3945" s="10" t="n">
        <v>45687.33162037037</v>
      </c>
      <c r="J3945" s="10" t="n">
        <v>45687.33314814815</v>
      </c>
      <c r="K3945" s="11" t="n">
        <v>0.001527777777777778</v>
      </c>
      <c r="L3945" s="13" t="n"/>
    </row>
    <row r="3946">
      <c r="A3946" s="3" t="inlineStr">
        <is>
          <t>Securing</t>
        </is>
      </c>
      <c r="B3946" s="3" t="inlineStr">
        <is>
          <t>Act_SEC_1030312_080846_607</t>
        </is>
      </c>
      <c r="C3946" s="3" t="inlineStr">
        <is>
          <t>1030312</t>
        </is>
      </c>
      <c r="D3946" s="9" t="n">
        <v>39.8</v>
      </c>
      <c r="E3946" s="3" t="n"/>
      <c r="F3946" s="3" t="n"/>
      <c r="G3946" s="9" t="n"/>
      <c r="H3946" s="10" t="n">
        <v>45687.3394212963</v>
      </c>
      <c r="I3946" s="10" t="n">
        <v>45687.34020833333</v>
      </c>
      <c r="J3946" s="10" t="n">
        <v>45687.34159722222</v>
      </c>
      <c r="K3946" s="11" t="n">
        <v>0.001388888888888889</v>
      </c>
      <c r="L3946" s="13" t="n"/>
    </row>
    <row r="3947">
      <c r="A3947" s="3" t="inlineStr">
        <is>
          <t>Securing</t>
        </is>
      </c>
      <c r="B3947" s="3" t="inlineStr">
        <is>
          <t>Act_SEC_1030601_093100_627</t>
        </is>
      </c>
      <c r="C3947" s="3" t="inlineStr">
        <is>
          <t>1030601</t>
        </is>
      </c>
      <c r="D3947" s="9" t="n">
        <v>135</v>
      </c>
      <c r="E3947" s="3" t="n"/>
      <c r="F3947" s="3" t="n"/>
      <c r="G3947" s="9" t="n"/>
      <c r="H3947" s="10" t="n">
        <v>45687.39652777778</v>
      </c>
      <c r="I3947" s="10" t="n">
        <v>45687.39729166667</v>
      </c>
      <c r="J3947" s="10" t="n">
        <v>45687.39868055555</v>
      </c>
      <c r="K3947" s="11" t="n">
        <v>0.001388888888888889</v>
      </c>
      <c r="L3947" s="13" t="n"/>
    </row>
    <row r="3948">
      <c r="A3948" s="3" t="inlineStr">
        <is>
          <t>Securing</t>
        </is>
      </c>
      <c r="B3948" s="3" t="inlineStr">
        <is>
          <t>Act_SEC_1030602_093351_619</t>
        </is>
      </c>
      <c r="C3948" s="3" t="inlineStr">
        <is>
          <t>1030602</t>
        </is>
      </c>
      <c r="D3948" s="9" t="n">
        <v>28</v>
      </c>
      <c r="E3948" s="3" t="n"/>
      <c r="F3948" s="3" t="n"/>
      <c r="G3948" s="9" t="n"/>
      <c r="H3948" s="10" t="n">
        <v>45687.39850694445</v>
      </c>
      <c r="I3948" s="10" t="n">
        <v>45687.39935185185</v>
      </c>
      <c r="J3948" s="10" t="n">
        <v>45687.40087962963</v>
      </c>
      <c r="K3948" s="11" t="n">
        <v>0.001527777777777778</v>
      </c>
      <c r="L3948" s="13" t="n"/>
    </row>
    <row r="3949">
      <c r="A3949" s="3" t="inlineStr">
        <is>
          <t>Securing</t>
        </is>
      </c>
      <c r="B3949" s="3" t="inlineStr">
        <is>
          <t>Act_SEC_1030604_093947_621</t>
        </is>
      </c>
      <c r="C3949" s="3" t="inlineStr">
        <is>
          <t>1030604</t>
        </is>
      </c>
      <c r="D3949" s="9" t="n">
        <v>78.40000000000001</v>
      </c>
      <c r="E3949" s="3" t="n"/>
      <c r="F3949" s="3" t="n"/>
      <c r="G3949" s="9" t="n"/>
      <c r="H3949" s="10" t="n">
        <v>45687.40262731481</v>
      </c>
      <c r="I3949" s="10" t="n">
        <v>45687.40347222222</v>
      </c>
      <c r="J3949" s="10" t="n">
        <v>45687.405</v>
      </c>
      <c r="K3949" s="11" t="n">
        <v>0.001527777777777778</v>
      </c>
      <c r="L3949" s="13" t="n"/>
    </row>
    <row r="3950">
      <c r="A3950" s="3" t="inlineStr">
        <is>
          <t>Securing</t>
        </is>
      </c>
      <c r="B3950" s="3" t="inlineStr">
        <is>
          <t>Act_SEC_1030605_094237_629</t>
        </is>
      </c>
      <c r="C3950" s="3" t="inlineStr">
        <is>
          <t>1030605</t>
        </is>
      </c>
      <c r="D3950" s="9" t="n">
        <v>35.6</v>
      </c>
      <c r="E3950" s="3" t="n"/>
      <c r="F3950" s="3" t="n"/>
      <c r="G3950" s="9" t="n"/>
      <c r="H3950" s="10" t="n">
        <v>45687.40459490741</v>
      </c>
      <c r="I3950" s="10" t="n">
        <v>45687.40546296296</v>
      </c>
      <c r="J3950" s="10" t="n">
        <v>45687.40699074074</v>
      </c>
      <c r="K3950" s="11" t="n">
        <v>0.001527777777777778</v>
      </c>
      <c r="L3950" s="13" t="n"/>
    </row>
    <row r="3951">
      <c r="A3951" s="3" t="inlineStr">
        <is>
          <t>Securing</t>
        </is>
      </c>
      <c r="B3951" s="3" t="inlineStr">
        <is>
          <t>Act_SEC_1030801_131056_615</t>
        </is>
      </c>
      <c r="C3951" s="3" t="inlineStr">
        <is>
          <t>1030801</t>
        </is>
      </c>
      <c r="D3951" s="9" t="n">
        <v>291.7</v>
      </c>
      <c r="E3951" s="3" t="n"/>
      <c r="F3951" s="3" t="n"/>
      <c r="G3951" s="9" t="n"/>
      <c r="H3951" s="10" t="n">
        <v>45687.54925925926</v>
      </c>
      <c r="I3951" s="10" t="n">
        <v>45687.55003472222</v>
      </c>
      <c r="J3951" s="10" t="n">
        <v>45687.55142361111</v>
      </c>
      <c r="K3951" s="11" t="n">
        <v>0.001388888888888889</v>
      </c>
      <c r="L3951" s="13" t="n"/>
    </row>
    <row r="3952">
      <c r="A3952" s="3" t="inlineStr">
        <is>
          <t>Securing</t>
        </is>
      </c>
      <c r="B3952" s="3" t="inlineStr">
        <is>
          <t>Act_SEC_1031002_151838_623</t>
        </is>
      </c>
      <c r="C3952" s="3" t="inlineStr">
        <is>
          <t>1031002</t>
        </is>
      </c>
      <c r="D3952" s="9" t="n">
        <v>31.5</v>
      </c>
      <c r="E3952" s="3" t="n"/>
      <c r="F3952" s="3" t="n"/>
      <c r="G3952" s="9" t="n"/>
      <c r="H3952" s="10" t="n">
        <v>45687.63793981481</v>
      </c>
      <c r="I3952" s="10" t="n">
        <v>45687.63880787037</v>
      </c>
      <c r="J3952" s="10" t="n">
        <v>45687.64033564815</v>
      </c>
      <c r="K3952" s="11" t="n">
        <v>0.001527777777777778</v>
      </c>
      <c r="L3952" s="13" t="n"/>
    </row>
    <row r="3953">
      <c r="A3953" s="3" t="inlineStr">
        <is>
          <t>Securing</t>
        </is>
      </c>
      <c r="B3953" s="3" t="inlineStr">
        <is>
          <t>Act_SEC_1031008_153239_627</t>
        </is>
      </c>
      <c r="C3953" s="3" t="inlineStr">
        <is>
          <t>1031008</t>
        </is>
      </c>
      <c r="D3953" s="9" t="n">
        <v>54</v>
      </c>
      <c r="E3953" s="3" t="n"/>
      <c r="F3953" s="3" t="n"/>
      <c r="G3953" s="9" t="n"/>
      <c r="H3953" s="10" t="n">
        <v>45687.64767361111</v>
      </c>
      <c r="I3953" s="10" t="n">
        <v>45687.64854166667</v>
      </c>
      <c r="J3953" s="10" t="n">
        <v>45687.65006944445</v>
      </c>
      <c r="K3953" s="11" t="n">
        <v>0.001527777777777778</v>
      </c>
      <c r="L3953" s="13" t="n"/>
    </row>
    <row r="3954">
      <c r="A3954" s="3" t="inlineStr">
        <is>
          <t>Securing</t>
        </is>
      </c>
      <c r="B3954" s="3" t="inlineStr">
        <is>
          <t>Act_SEC_1031101_154212_615</t>
        </is>
      </c>
      <c r="C3954" s="3" t="inlineStr">
        <is>
          <t>1031101</t>
        </is>
      </c>
      <c r="D3954" s="9" t="n">
        <v>15.7</v>
      </c>
      <c r="E3954" s="3" t="n"/>
      <c r="F3954" s="3" t="n"/>
      <c r="G3954" s="9" t="n"/>
      <c r="H3954" s="10" t="n">
        <v>45687.65430555555</v>
      </c>
      <c r="I3954" s="10" t="n">
        <v>45687.65515046296</v>
      </c>
      <c r="J3954" s="10" t="n">
        <v>45687.65667824074</v>
      </c>
      <c r="K3954" s="11" t="n">
        <v>0.001527777777777778</v>
      </c>
      <c r="L3954" s="13" t="n"/>
    </row>
    <row r="3955">
      <c r="A3955" s="3" t="inlineStr">
        <is>
          <t>Securing</t>
        </is>
      </c>
      <c r="B3955" s="3" t="inlineStr">
        <is>
          <t>Act_SEC_1031201_173206_615</t>
        </is>
      </c>
      <c r="C3955" s="3" t="inlineStr">
        <is>
          <t>1031201</t>
        </is>
      </c>
      <c r="D3955" s="9" t="n">
        <v>47.2</v>
      </c>
      <c r="E3955" s="3" t="n"/>
      <c r="F3955" s="3" t="n"/>
      <c r="G3955" s="9" t="n"/>
      <c r="H3955" s="10" t="n">
        <v>45687.730625</v>
      </c>
      <c r="I3955" s="10" t="n">
        <v>45687.73140046297</v>
      </c>
      <c r="J3955" s="10" t="n">
        <v>45687.73278935185</v>
      </c>
      <c r="K3955" s="11" t="n">
        <v>0.001388888888888889</v>
      </c>
      <c r="L3955" s="13" t="n"/>
    </row>
    <row r="3956">
      <c r="A3956" s="3" t="inlineStr">
        <is>
          <t>Securing</t>
        </is>
      </c>
      <c r="B3956" s="3" t="inlineStr">
        <is>
          <t>Act_SEC_1031401_204230_627</t>
        </is>
      </c>
      <c r="C3956" s="3" t="inlineStr">
        <is>
          <t>1031401</t>
        </is>
      </c>
      <c r="D3956" s="9" t="n">
        <v>389.1</v>
      </c>
      <c r="E3956" s="3" t="n"/>
      <c r="F3956" s="3" t="n"/>
      <c r="G3956" s="9" t="n"/>
      <c r="H3956" s="10" t="n">
        <v>45687.86284722222</v>
      </c>
      <c r="I3956" s="10" t="n">
        <v>45687.86371527778</v>
      </c>
      <c r="J3956" s="10" t="n">
        <v>45687.86524305555</v>
      </c>
      <c r="K3956" s="11" t="n">
        <v>0.001527777777777778</v>
      </c>
      <c r="L3956" s="13" t="n"/>
    </row>
    <row r="3957">
      <c r="A3957" s="3" t="inlineStr">
        <is>
          <t>Securing</t>
        </is>
      </c>
      <c r="B3957" s="3" t="inlineStr">
        <is>
          <t>Act_SEC_1031501_030530_615</t>
        </is>
      </c>
      <c r="C3957" s="3" t="inlineStr">
        <is>
          <t>1031501</t>
        </is>
      </c>
      <c r="D3957" s="9" t="n">
        <v>15.7</v>
      </c>
      <c r="E3957" s="3" t="n"/>
      <c r="F3957" s="3" t="n"/>
      <c r="G3957" s="9" t="n"/>
      <c r="H3957" s="10" t="n">
        <v>45688.12881944444</v>
      </c>
      <c r="I3957" s="10" t="n">
        <v>45688.1296875</v>
      </c>
      <c r="J3957" s="10" t="n">
        <v>45688.13121527778</v>
      </c>
      <c r="K3957" s="11" t="n">
        <v>0.001527777777777778</v>
      </c>
      <c r="L3957" s="13" t="n"/>
    </row>
    <row r="3958">
      <c r="A3958" s="3" t="inlineStr">
        <is>
          <t>Securing</t>
        </is>
      </c>
      <c r="B3958" s="3" t="inlineStr">
        <is>
          <t>Act_SEC_1031502_030812_606</t>
        </is>
      </c>
      <c r="C3958" s="3" t="inlineStr">
        <is>
          <t>1031502</t>
        </is>
      </c>
      <c r="D3958" s="9" t="n">
        <v>81.8</v>
      </c>
      <c r="E3958" s="3" t="n"/>
      <c r="F3958" s="3" t="n"/>
      <c r="G3958" s="9" t="n"/>
      <c r="H3958" s="10" t="n">
        <v>45688.13069444444</v>
      </c>
      <c r="I3958" s="10" t="n">
        <v>45688.13149305555</v>
      </c>
      <c r="J3958" s="10" t="n">
        <v>45688.13288194445</v>
      </c>
      <c r="K3958" s="11" t="n">
        <v>0.001388888888888889</v>
      </c>
      <c r="L3958" s="13" t="n"/>
    </row>
    <row r="3959">
      <c r="A3959" s="3" t="inlineStr">
        <is>
          <t>Securing</t>
        </is>
      </c>
      <c r="B3959" s="3" t="inlineStr">
        <is>
          <t>Act_SEC_1031503_031030_609</t>
        </is>
      </c>
      <c r="C3959" s="3" t="inlineStr">
        <is>
          <t>1031503</t>
        </is>
      </c>
      <c r="D3959" s="9" t="n">
        <v>54.7</v>
      </c>
      <c r="E3959" s="3" t="n"/>
      <c r="F3959" s="3" t="n"/>
      <c r="G3959" s="9" t="n"/>
      <c r="H3959" s="10" t="n">
        <v>45688.13229166667</v>
      </c>
      <c r="I3959" s="10" t="n">
        <v>45688.13315972222</v>
      </c>
      <c r="J3959" s="10" t="n">
        <v>45688.1346875</v>
      </c>
      <c r="K3959" s="11" t="n">
        <v>0.001527777777777778</v>
      </c>
      <c r="L3959" s="13" t="n"/>
    </row>
    <row r="3960">
      <c r="A3960" s="3" t="inlineStr">
        <is>
          <t>Securing</t>
        </is>
      </c>
      <c r="B3960" s="3" t="inlineStr">
        <is>
          <t>Act_SEC_1031505_031459_629</t>
        </is>
      </c>
      <c r="C3960" s="3" t="inlineStr">
        <is>
          <t>1031505</t>
        </is>
      </c>
      <c r="D3960" s="9" t="n">
        <v>31.9</v>
      </c>
      <c r="E3960" s="3" t="n"/>
      <c r="F3960" s="3" t="n"/>
      <c r="G3960" s="9" t="n"/>
      <c r="H3960" s="10" t="n">
        <v>45688.13540509259</v>
      </c>
      <c r="I3960" s="10" t="n">
        <v>45688.13619212963</v>
      </c>
      <c r="J3960" s="10" t="n">
        <v>45688.13758101852</v>
      </c>
      <c r="K3960" s="11" t="n">
        <v>0.001388888888888889</v>
      </c>
      <c r="L3960" s="13" t="n"/>
    </row>
    <row r="3961">
      <c r="A3961" s="3" t="inlineStr">
        <is>
          <t>Securing</t>
        </is>
      </c>
      <c r="B3961" s="3" t="inlineStr">
        <is>
          <t>Act_SEC_1031701_061129_613</t>
        </is>
      </c>
      <c r="C3961" s="3" t="inlineStr">
        <is>
          <t>1031701</t>
        </is>
      </c>
      <c r="D3961" s="9" t="n">
        <v>297</v>
      </c>
      <c r="E3961" s="3" t="n"/>
      <c r="F3961" s="3" t="n"/>
      <c r="G3961" s="9" t="n"/>
      <c r="H3961" s="10" t="n">
        <v>45688.25797453704</v>
      </c>
      <c r="I3961" s="10" t="n">
        <v>45688.25875</v>
      </c>
      <c r="J3961" s="10" t="n">
        <v>45688.26013888889</v>
      </c>
      <c r="K3961" s="11" t="n">
        <v>0.001388888888888889</v>
      </c>
      <c r="L3961" s="13" t="n"/>
    </row>
    <row r="3962">
      <c r="A3962" s="3" t="inlineStr">
        <is>
          <t>Securing</t>
        </is>
      </c>
      <c r="B3962" s="3" t="inlineStr">
        <is>
          <t>Act_SEC_1031801_071054_627</t>
        </is>
      </c>
      <c r="C3962" s="3" t="inlineStr">
        <is>
          <t>1031801</t>
        </is>
      </c>
      <c r="D3962" s="9" t="n">
        <v>74.59999999999999</v>
      </c>
      <c r="E3962" s="3" t="n"/>
      <c r="F3962" s="3" t="n"/>
      <c r="G3962" s="9" t="n"/>
      <c r="H3962" s="10" t="n">
        <v>45688.29923611111</v>
      </c>
      <c r="I3962" s="10" t="n">
        <v>45688.30010416666</v>
      </c>
      <c r="J3962" s="10" t="n">
        <v>45688.30163194444</v>
      </c>
      <c r="K3962" s="11" t="n">
        <v>0.001527777777777778</v>
      </c>
      <c r="L3962" s="13" t="n"/>
    </row>
    <row r="3963">
      <c r="A3963" s="3" t="inlineStr">
        <is>
          <t>Securing</t>
        </is>
      </c>
      <c r="B3963" s="3" t="inlineStr">
        <is>
          <t>Act_SEC_1031901_073405_611</t>
        </is>
      </c>
      <c r="C3963" s="3" t="inlineStr">
        <is>
          <t>1031901</t>
        </is>
      </c>
      <c r="D3963" s="9" t="n">
        <v>37.5</v>
      </c>
      <c r="E3963" s="3" t="n"/>
      <c r="F3963" s="3" t="n"/>
      <c r="G3963" s="9" t="n"/>
      <c r="H3963" s="10" t="n">
        <v>45688.31533564815</v>
      </c>
      <c r="I3963" s="10" t="n">
        <v>45688.31618055556</v>
      </c>
      <c r="J3963" s="10" t="n">
        <v>45688.31770833334</v>
      </c>
      <c r="K3963" s="11" t="n">
        <v>0.001527777777777778</v>
      </c>
      <c r="L3963" s="13" t="n"/>
    </row>
    <row r="3964">
      <c r="A3964" s="3" t="inlineStr">
        <is>
          <t>Securing</t>
        </is>
      </c>
      <c r="B3964" s="3" t="inlineStr">
        <is>
          <t>Act_SEC_1031905_074451_621</t>
        </is>
      </c>
      <c r="C3964" s="3" t="inlineStr">
        <is>
          <t>1031905</t>
        </is>
      </c>
      <c r="D3964" s="9" t="n">
        <v>15.7</v>
      </c>
      <c r="E3964" s="3" t="n"/>
      <c r="F3964" s="3" t="n"/>
      <c r="G3964" s="9" t="n"/>
      <c r="H3964" s="10" t="n">
        <v>45688.3228125</v>
      </c>
      <c r="I3964" s="10" t="n">
        <v>45688.32361111111</v>
      </c>
      <c r="J3964" s="10" t="n">
        <v>45688.325</v>
      </c>
      <c r="K3964" s="11" t="n">
        <v>0.001388888888888889</v>
      </c>
      <c r="L3964" s="13" t="n"/>
    </row>
    <row r="3965">
      <c r="A3965" s="3" t="inlineStr">
        <is>
          <t>Securing</t>
        </is>
      </c>
      <c r="B3965" s="3" t="inlineStr">
        <is>
          <t>Act_SEC_1032001_081730_627</t>
        </is>
      </c>
      <c r="C3965" s="3" t="inlineStr">
        <is>
          <t>1032001</t>
        </is>
      </c>
      <c r="D3965" s="9" t="n">
        <v>381.6</v>
      </c>
      <c r="E3965" s="3" t="n"/>
      <c r="F3965" s="3" t="n"/>
      <c r="G3965" s="9" t="n"/>
      <c r="H3965" s="10" t="n">
        <v>45688.34548611111</v>
      </c>
      <c r="I3965" s="10" t="n">
        <v>45688.34633101852</v>
      </c>
      <c r="J3965" s="10" t="n">
        <v>45688.3478587963</v>
      </c>
      <c r="K3965" s="11" t="n">
        <v>0.001527777777777778</v>
      </c>
      <c r="L3965" s="13" t="n"/>
    </row>
    <row r="3966">
      <c r="A3966" s="3" t="inlineStr">
        <is>
          <t>Securing</t>
        </is>
      </c>
      <c r="B3966" s="3" t="inlineStr">
        <is>
          <t>Act_SEC_1032101_090738_627</t>
        </is>
      </c>
      <c r="C3966" s="3" t="inlineStr">
        <is>
          <t>1032101</t>
        </is>
      </c>
      <c r="D3966" s="9" t="n">
        <v>164.3</v>
      </c>
      <c r="E3966" s="3" t="n"/>
      <c r="F3966" s="3" t="n"/>
      <c r="G3966" s="9" t="n"/>
      <c r="H3966" s="10" t="n">
        <v>45688.38030092593</v>
      </c>
      <c r="I3966" s="10" t="n">
        <v>45688.38116898148</v>
      </c>
      <c r="J3966" s="10" t="n">
        <v>45688.38269675926</v>
      </c>
      <c r="K3966" s="11" t="n">
        <v>0.001527777777777778</v>
      </c>
      <c r="L3966" s="13" t="n"/>
    </row>
    <row r="3967">
      <c r="A3967" s="3" t="inlineStr">
        <is>
          <t>Securing</t>
        </is>
      </c>
      <c r="B3967" s="3" t="inlineStr">
        <is>
          <t>Act_SEC_1032102_090940_617</t>
        </is>
      </c>
      <c r="C3967" s="3" t="inlineStr">
        <is>
          <t>1032102</t>
        </is>
      </c>
      <c r="D3967" s="9" t="n">
        <v>72.8</v>
      </c>
      <c r="E3967" s="3" t="n"/>
      <c r="F3967" s="3" t="n"/>
      <c r="G3967" s="9" t="n"/>
      <c r="H3967" s="10" t="n">
        <v>45688.38171296296</v>
      </c>
      <c r="I3967" s="10" t="n">
        <v>45688.38251157408</v>
      </c>
      <c r="J3967" s="10" t="n">
        <v>45688.38390046296</v>
      </c>
      <c r="K3967" s="11" t="n">
        <v>0.001388888888888889</v>
      </c>
      <c r="L3967" s="13" t="n"/>
    </row>
    <row r="3968">
      <c r="A3968" s="3" t="inlineStr">
        <is>
          <t>Securing</t>
        </is>
      </c>
      <c r="B3968" s="3" t="inlineStr">
        <is>
          <t>Act_SEC_1032201_092523_621</t>
        </is>
      </c>
      <c r="C3968" s="3" t="inlineStr">
        <is>
          <t>1032201</t>
        </is>
      </c>
      <c r="D3968" s="9" t="n">
        <v>46.5</v>
      </c>
      <c r="E3968" s="3" t="n"/>
      <c r="F3968" s="3" t="n"/>
      <c r="G3968" s="9" t="n"/>
      <c r="H3968" s="10" t="n">
        <v>45688.39262731482</v>
      </c>
      <c r="I3968" s="10" t="n">
        <v>45688.39349537037</v>
      </c>
      <c r="J3968" s="10" t="n">
        <v>45688.39502314815</v>
      </c>
      <c r="K3968" s="11" t="n">
        <v>0.001527777777777778</v>
      </c>
      <c r="L3968" s="13" t="n"/>
    </row>
    <row r="3969">
      <c r="A3969" s="3" t="inlineStr">
        <is>
          <t>Securing</t>
        </is>
      </c>
      <c r="B3969" s="3" t="inlineStr">
        <is>
          <t>Act_SEC_1032301_105327_627</t>
        </is>
      </c>
      <c r="C3969" s="3" t="inlineStr">
        <is>
          <t>1032301</t>
        </is>
      </c>
      <c r="D3969" s="9" t="n">
        <v>270.8</v>
      </c>
      <c r="E3969" s="3" t="n"/>
      <c r="F3969" s="3" t="n"/>
      <c r="G3969" s="9" t="n"/>
      <c r="H3969" s="10" t="n">
        <v>45688.45378472222</v>
      </c>
      <c r="I3969" s="10" t="n">
        <v>45688.45465277778</v>
      </c>
      <c r="J3969" s="10" t="n">
        <v>45688.45618055556</v>
      </c>
      <c r="K3969" s="11" t="n">
        <v>0.001527777777777778</v>
      </c>
      <c r="L3969" s="13" t="n"/>
    </row>
    <row r="3970">
      <c r="A3970" s="3" t="inlineStr">
        <is>
          <t>Securing</t>
        </is>
      </c>
      <c r="B3970" s="3" t="inlineStr">
        <is>
          <t>Act_SEC_1032303_105806_607</t>
        </is>
      </c>
      <c r="C3970" s="3" t="inlineStr">
        <is>
          <t>1032303</t>
        </is>
      </c>
      <c r="D3970" s="9" t="n">
        <v>91.7</v>
      </c>
      <c r="E3970" s="3" t="n"/>
      <c r="F3970" s="3" t="n"/>
      <c r="G3970" s="9" t="n"/>
      <c r="H3970" s="10" t="n">
        <v>45688.45701388889</v>
      </c>
      <c r="I3970" s="10" t="n">
        <v>45688.45780092593</v>
      </c>
      <c r="J3970" s="10" t="n">
        <v>45688.45918981481</v>
      </c>
      <c r="K3970" s="11" t="n">
        <v>0.001388888888888889</v>
      </c>
      <c r="L3970" s="13" t="n"/>
    </row>
    <row r="3971">
      <c r="A3971" s="3" t="inlineStr">
        <is>
          <t>Securing</t>
        </is>
      </c>
      <c r="B3971" s="3" t="inlineStr">
        <is>
          <t>Act_SEC_1032501_142422_615</t>
        </is>
      </c>
      <c r="C3971" s="3" t="inlineStr">
        <is>
          <t>1032501</t>
        </is>
      </c>
      <c r="D3971" s="9" t="n">
        <v>186.7</v>
      </c>
      <c r="E3971" s="3" t="n"/>
      <c r="F3971" s="3" t="n"/>
      <c r="G3971" s="9" t="n"/>
      <c r="H3971" s="10" t="n">
        <v>45688.60025462963</v>
      </c>
      <c r="I3971" s="10" t="n">
        <v>45688.60104166667</v>
      </c>
      <c r="J3971" s="10" t="n">
        <v>45688.60243055555</v>
      </c>
      <c r="K3971" s="11" t="n">
        <v>0.001388888888888889</v>
      </c>
      <c r="L3971" s="13" t="n"/>
    </row>
    <row r="3972">
      <c r="A3972" s="3" t="inlineStr">
        <is>
          <t>Securing</t>
        </is>
      </c>
      <c r="B3972" s="3" t="inlineStr">
        <is>
          <t>Act_SEC_1032601_152555_629</t>
        </is>
      </c>
      <c r="C3972" s="3" t="inlineStr">
        <is>
          <t>1032601</t>
        </is>
      </c>
      <c r="D3972" s="9" t="n">
        <v>31.5</v>
      </c>
      <c r="E3972" s="3" t="n"/>
      <c r="F3972" s="3" t="n"/>
      <c r="G3972" s="9" t="n"/>
      <c r="H3972" s="10" t="n">
        <v>45688.64299768519</v>
      </c>
      <c r="I3972" s="10" t="n">
        <v>45688.64386574074</v>
      </c>
      <c r="J3972" s="10" t="n">
        <v>45688.64539351852</v>
      </c>
      <c r="K3972" s="11" t="n">
        <v>0.001527777777777778</v>
      </c>
      <c r="L3972" s="13" t="n"/>
    </row>
    <row r="3973">
      <c r="A3973" s="3" t="inlineStr">
        <is>
          <t>Securing</t>
        </is>
      </c>
      <c r="B3973" s="3" t="inlineStr">
        <is>
          <t>Act_SEC_1032602_152843_619</t>
        </is>
      </c>
      <c r="C3973" s="3" t="inlineStr">
        <is>
          <t>1032602</t>
        </is>
      </c>
      <c r="D3973" s="9" t="n">
        <v>14</v>
      </c>
      <c r="E3973" s="3" t="n"/>
      <c r="F3973" s="3" t="n"/>
      <c r="G3973" s="9" t="n"/>
      <c r="H3973" s="10" t="n">
        <v>45688.64494212963</v>
      </c>
      <c r="I3973" s="10" t="n">
        <v>45688.64572916667</v>
      </c>
      <c r="J3973" s="10" t="n">
        <v>45688.64711805555</v>
      </c>
      <c r="K3973" s="11" t="n">
        <v>0.001388888888888889</v>
      </c>
      <c r="L3973" s="13" t="n"/>
    </row>
    <row r="3974">
      <c r="A3974" s="3" t="inlineStr">
        <is>
          <t>Securing</t>
        </is>
      </c>
      <c r="B3974" s="3" t="inlineStr">
        <is>
          <t>Act_SEC_1032603_153132_621</t>
        </is>
      </c>
      <c r="C3974" s="3" t="inlineStr">
        <is>
          <t>1032603</t>
        </is>
      </c>
      <c r="D3974" s="9" t="n">
        <v>15.7</v>
      </c>
      <c r="E3974" s="3" t="n"/>
      <c r="F3974" s="3" t="n"/>
      <c r="G3974" s="9" t="n"/>
      <c r="H3974" s="10" t="n">
        <v>45688.64689814814</v>
      </c>
      <c r="I3974" s="10" t="n">
        <v>45688.64776620371</v>
      </c>
      <c r="J3974" s="10" t="n">
        <v>45688.64929398148</v>
      </c>
      <c r="K3974" s="11" t="n">
        <v>0.001527777777777778</v>
      </c>
      <c r="L3974" s="13" t="n"/>
    </row>
    <row r="3975">
      <c r="A3975" s="3" t="inlineStr">
        <is>
          <t>Securing</t>
        </is>
      </c>
      <c r="B3975" s="3" t="inlineStr">
        <is>
          <t>Act_SEC_1032605_153623_607</t>
        </is>
      </c>
      <c r="C3975" s="3" t="inlineStr">
        <is>
          <t>1032605</t>
        </is>
      </c>
      <c r="D3975" s="9" t="n">
        <v>19.9</v>
      </c>
      <c r="E3975" s="3" t="n"/>
      <c r="F3975" s="3" t="n"/>
      <c r="G3975" s="9" t="n"/>
      <c r="H3975" s="10" t="n">
        <v>45688.6502662037</v>
      </c>
      <c r="I3975" s="10" t="n">
        <v>45688.65112268519</v>
      </c>
      <c r="J3975" s="10" t="n">
        <v>45688.65265046297</v>
      </c>
      <c r="K3975" s="11" t="n">
        <v>0.001527777777777778</v>
      </c>
      <c r="L3975" s="13" t="n"/>
    </row>
    <row r="3976">
      <c r="A3976" s="3" t="inlineStr">
        <is>
          <t>Securing</t>
        </is>
      </c>
      <c r="B3976" s="3" t="inlineStr">
        <is>
          <t>Act_SEC_1032606_153853_605</t>
        </is>
      </c>
      <c r="C3976" s="3" t="inlineStr">
        <is>
          <t>1032606</t>
        </is>
      </c>
      <c r="D3976" s="9" t="n">
        <v>19.9</v>
      </c>
      <c r="E3976" s="3" t="n"/>
      <c r="F3976" s="3" t="n"/>
      <c r="G3976" s="9" t="n"/>
      <c r="H3976" s="10" t="n">
        <v>45688.65200231481</v>
      </c>
      <c r="I3976" s="10" t="n">
        <v>45688.65284722222</v>
      </c>
      <c r="J3976" s="10" t="n">
        <v>45688.654375</v>
      </c>
      <c r="K3976" s="11" t="n">
        <v>0.001527777777777778</v>
      </c>
      <c r="L3976" s="13" t="n"/>
    </row>
    <row r="3977">
      <c r="A3977" s="3" t="inlineStr">
        <is>
          <t>Securing</t>
        </is>
      </c>
      <c r="B3977" s="3" t="inlineStr">
        <is>
          <t>Act_SEC_1032703_155430_615</t>
        </is>
      </c>
      <c r="C3977" s="3" t="inlineStr">
        <is>
          <t>1032703</t>
        </is>
      </c>
      <c r="D3977" s="9" t="n">
        <v>12</v>
      </c>
      <c r="E3977" s="3" t="n"/>
      <c r="F3977" s="3" t="n"/>
      <c r="G3977" s="9" t="n"/>
      <c r="H3977" s="10" t="n">
        <v>45688.66284722222</v>
      </c>
      <c r="I3977" s="10" t="n">
        <v>45688.66594907407</v>
      </c>
      <c r="J3977" s="10" t="n">
        <v>45688.66747685185</v>
      </c>
      <c r="K3977" s="11" t="n">
        <v>0.001527777777777778</v>
      </c>
      <c r="L3977" s="13" t="n"/>
    </row>
    <row r="3978">
      <c r="A3978" s="3" t="inlineStr">
        <is>
          <t>Securing</t>
        </is>
      </c>
      <c r="B3978" s="3" t="inlineStr">
        <is>
          <t>Act_SEC_1032706_160244_621</t>
        </is>
      </c>
      <c r="C3978" s="3" t="inlineStr">
        <is>
          <t>1032706</t>
        </is>
      </c>
      <c r="D3978" s="9" t="n">
        <v>46.5</v>
      </c>
      <c r="E3978" s="3" t="n"/>
      <c r="F3978" s="3" t="n"/>
      <c r="G3978" s="9" t="n"/>
      <c r="H3978" s="10" t="n">
        <v>45688.66856481481</v>
      </c>
      <c r="I3978" s="10" t="n">
        <v>45688.67217592592</v>
      </c>
      <c r="J3978" s="10" t="n">
        <v>45688.6737037037</v>
      </c>
      <c r="K3978" s="11" t="n">
        <v>0.001527777777777778</v>
      </c>
      <c r="L3978" s="13" t="n"/>
    </row>
    <row r="3979">
      <c r="A3979" s="3" t="inlineStr">
        <is>
          <t>Securing</t>
        </is>
      </c>
      <c r="B3979" s="3" t="inlineStr">
        <is>
          <t>Act_SEC_1032901_174550_613</t>
        </is>
      </c>
      <c r="C3979" s="3" t="inlineStr">
        <is>
          <t>1032901</t>
        </is>
      </c>
      <c r="D3979" s="9" t="n">
        <v>302.1</v>
      </c>
      <c r="E3979" s="3" t="n"/>
      <c r="F3979" s="3" t="n"/>
      <c r="G3979" s="9" t="n"/>
      <c r="H3979" s="10" t="n">
        <v>45688.74016203704</v>
      </c>
      <c r="I3979" s="10" t="n">
        <v>45688.74103009259</v>
      </c>
      <c r="J3979" s="10" t="n">
        <v>45688.74255787037</v>
      </c>
      <c r="K3979" s="11" t="n">
        <v>0.001527777777777778</v>
      </c>
      <c r="L3979" s="13" t="n"/>
    </row>
    <row r="3980">
      <c r="A3980" s="3" t="inlineStr">
        <is>
          <t>Securing</t>
        </is>
      </c>
      <c r="B3980" s="3" t="inlineStr">
        <is>
          <t>Act_SEC_1033001_175834_627</t>
        </is>
      </c>
      <c r="C3980" s="3" t="inlineStr">
        <is>
          <t>1033001</t>
        </is>
      </c>
      <c r="D3980" s="9" t="n">
        <v>193.1</v>
      </c>
      <c r="E3980" s="3" t="n"/>
      <c r="F3980" s="3" t="n"/>
      <c r="G3980" s="9" t="n"/>
      <c r="H3980" s="10" t="n">
        <v>45688.74900462963</v>
      </c>
      <c r="I3980" s="10" t="n">
        <v>45688.74987268518</v>
      </c>
      <c r="J3980" s="10" t="n">
        <v>45688.75140046296</v>
      </c>
      <c r="K3980" s="11" t="n">
        <v>0.001527777777777778</v>
      </c>
      <c r="L3980" s="13" t="n"/>
    </row>
    <row r="3981">
      <c r="A3981" s="3" t="inlineStr">
        <is>
          <t>Securing</t>
        </is>
      </c>
      <c r="B3981" s="3" t="inlineStr">
        <is>
          <t>Act_SEC_1033101_202830_606</t>
        </is>
      </c>
      <c r="C3981" s="3" t="inlineStr">
        <is>
          <t>1033101</t>
        </is>
      </c>
      <c r="D3981" s="9" t="n">
        <v>162</v>
      </c>
      <c r="E3981" s="3" t="n"/>
      <c r="F3981" s="3" t="n"/>
      <c r="G3981" s="9" t="n"/>
      <c r="H3981" s="10" t="n">
        <v>45688.853125</v>
      </c>
      <c r="I3981" s="10" t="n">
        <v>45688.85395833333</v>
      </c>
      <c r="J3981" s="10" t="n">
        <v>45688.85548611111</v>
      </c>
      <c r="K3981" s="11" t="n">
        <v>0.001527777777777778</v>
      </c>
      <c r="L3981" s="13" t="n"/>
    </row>
    <row r="3982">
      <c r="A3982" s="3" t="inlineStr">
        <is>
          <t>Securing</t>
        </is>
      </c>
      <c r="B3982" s="3" t="inlineStr">
        <is>
          <t>Act_SEC_1033104_203625_629</t>
        </is>
      </c>
      <c r="C3982" s="3" t="inlineStr">
        <is>
          <t>1033104</t>
        </is>
      </c>
      <c r="D3982" s="9" t="n">
        <v>15.7</v>
      </c>
      <c r="E3982" s="3" t="n"/>
      <c r="F3982" s="3" t="n"/>
      <c r="G3982" s="9" t="n"/>
      <c r="H3982" s="10" t="n">
        <v>45688.85862268518</v>
      </c>
      <c r="I3982" s="10" t="n">
        <v>45688.85949074074</v>
      </c>
      <c r="J3982" s="10" t="n">
        <v>45688.86101851852</v>
      </c>
      <c r="K3982" s="11" t="n">
        <v>0.001527777777777778</v>
      </c>
      <c r="L3982" s="13" t="n"/>
    </row>
  </sheetData>
  <autoFilter ref="A1:L398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</cols>
  <sheetData>
    <row r="1" ht="45" customHeight="1">
      <c r="A1" s="1" t="inlineStr">
        <is>
          <t>OBT Id</t>
        </is>
      </c>
      <c r="B1" s="1" t="inlineStr">
        <is>
          <t>Destination</t>
        </is>
      </c>
      <c r="C1" s="1" t="inlineStr">
        <is>
          <t>Track</t>
        </is>
      </c>
      <c r="D1" s="1" t="inlineStr">
        <is>
          <t>WG Count</t>
        </is>
      </c>
      <c r="E1" s="1" t="inlineStr">
        <is>
          <t>First WG Arrival</t>
        </is>
      </c>
      <c r="F1" s="1" t="inlineStr">
        <is>
          <t>OBT Created</t>
        </is>
      </c>
      <c r="G1" s="1" t="inlineStr">
        <is>
          <t>OBTP Start</t>
        </is>
      </c>
      <c r="H1" s="1" t="inlineStr">
        <is>
          <t>OBTP End</t>
        </is>
      </c>
      <c r="I1" s="1" t="inlineStr">
        <is>
          <t>DEPD Start</t>
        </is>
      </c>
      <c r="J1" s="1" t="inlineStr">
        <is>
          <t>DEPD End</t>
        </is>
      </c>
      <c r="K1" s="1" t="inlineStr">
        <is>
          <t>Formation Time (hh:mm:ss)</t>
        </is>
      </c>
      <c r="L1" s="1" t="inlineStr">
        <is>
          <t>Pre-OBTP Wait (hh:mm:ss)</t>
        </is>
      </c>
      <c r="M1" s="1" t="inlineStr">
        <is>
          <t>Gate Wait (hh:mm:ss)</t>
        </is>
      </c>
      <c r="N1" s="1" t="inlineStr">
        <is>
          <t>OBT Total on Classif Track (hh:mm:ss)</t>
        </is>
      </c>
    </row>
    <row r="2">
      <c r="A2" s="3" t="inlineStr">
        <is>
          <t>OBT020125030112-Neunkirchen (loading tracks)</t>
        </is>
      </c>
      <c r="B2" s="3" t="inlineStr">
        <is>
          <t>Neunkirchen (loading tracks)</t>
        </is>
      </c>
      <c r="C2" s="3" t="inlineStr">
        <is>
          <t>613</t>
        </is>
      </c>
      <c r="D2" s="3" t="n">
        <v>1</v>
      </c>
      <c r="E2" s="10" t="n">
        <v>45659.12366898148</v>
      </c>
      <c r="F2" s="10" t="n">
        <v>45659.12583333333</v>
      </c>
      <c r="G2" s="10" t="n">
        <v>45659.12670138889</v>
      </c>
      <c r="H2" s="10" t="n">
        <v>45659.1447337963</v>
      </c>
      <c r="I2" s="10" t="n">
        <v>45659.1447337963</v>
      </c>
      <c r="J2" s="10" t="n">
        <v>45659.14540509259</v>
      </c>
      <c r="K2" s="11">
        <f>IF(AND(ISNUMBER(E2),ISNUMBER(F2)),(F2-E2),"")</f>
        <v/>
      </c>
      <c r="L2" s="11">
        <f>IF(AND(ISNUMBER(F2),ISNUMBER(G2)),(G2-F2),"")</f>
        <v/>
      </c>
      <c r="M2" s="11">
        <f>IF(AND(ISNUMBER(H2),ISNUMBER(I2)),(I2-H2),"")</f>
        <v/>
      </c>
      <c r="N2" s="11">
        <f>IF(AND(ISNUMBER(E2),ISNUMBER(J2)),(J2-E2),"")</f>
        <v/>
      </c>
    </row>
    <row r="3">
      <c r="A3" s="3" t="inlineStr">
        <is>
          <t>OBT020125064334-Wien Kledering</t>
        </is>
      </c>
      <c r="B3" s="3" t="inlineStr">
        <is>
          <t>Wien Kledering</t>
        </is>
      </c>
      <c r="C3" s="3" t="inlineStr">
        <is>
          <t>613</t>
        </is>
      </c>
      <c r="D3" s="3" t="n">
        <v>1</v>
      </c>
      <c r="E3" s="10" t="n">
        <v>45659.2778587963</v>
      </c>
      <c r="F3" s="10" t="n">
        <v>45659.28025462963</v>
      </c>
      <c r="G3" s="10" t="n">
        <v>45659.28109953704</v>
      </c>
      <c r="H3" s="10" t="n">
        <v>45659.3128125</v>
      </c>
      <c r="I3" s="10" t="n">
        <v>45659.3128125</v>
      </c>
      <c r="J3" s="10" t="n">
        <v>45659.31366898148</v>
      </c>
      <c r="K3" s="11">
        <f>IF(AND(ISNUMBER(E3),ISNUMBER(F3)),(F3-E3),"")</f>
        <v/>
      </c>
      <c r="L3" s="11">
        <f>IF(AND(ISNUMBER(F3),ISNUMBER(G3)),(G3-F3),"")</f>
        <v/>
      </c>
      <c r="M3" s="11">
        <f>IF(AND(ISNUMBER(H3),ISNUMBER(I3)),(I3-H3),"")</f>
        <v/>
      </c>
      <c r="N3" s="11">
        <f>IF(AND(ISNUMBER(E3),ISNUMBER(J3)),(J3-E3),"")</f>
        <v/>
      </c>
    </row>
    <row r="4">
      <c r="A4" s="3" t="inlineStr">
        <is>
          <t>OBT020125073857-Wien Kledering</t>
        </is>
      </c>
      <c r="B4" s="3" t="inlineStr">
        <is>
          <t>Wien Kledering</t>
        </is>
      </c>
      <c r="C4" s="3" t="inlineStr">
        <is>
          <t>621</t>
        </is>
      </c>
      <c r="D4" s="3" t="n">
        <v>1</v>
      </c>
      <c r="E4" s="10" t="n">
        <v>45659.31631944444</v>
      </c>
      <c r="F4" s="10" t="n">
        <v>45659.31871527778</v>
      </c>
      <c r="G4" s="10" t="n">
        <v>45659.31954861111</v>
      </c>
      <c r="H4" s="10" t="n">
        <v>45659.35234953704</v>
      </c>
      <c r="I4" s="10" t="n">
        <v>45659.35234953704</v>
      </c>
      <c r="J4" s="10" t="n">
        <v>45659.35333333333</v>
      </c>
      <c r="K4" s="11">
        <f>IF(AND(ISNUMBER(E4),ISNUMBER(F4)),(F4-E4),"")</f>
        <v/>
      </c>
      <c r="L4" s="11">
        <f>IF(AND(ISNUMBER(F4),ISNUMBER(G4)),(G4-F4),"")</f>
        <v/>
      </c>
      <c r="M4" s="11">
        <f>IF(AND(ISNUMBER(H4),ISNUMBER(I4)),(I4-H4),"")</f>
        <v/>
      </c>
      <c r="N4" s="11">
        <f>IF(AND(ISNUMBER(E4),ISNUMBER(J4)),(J4-E4),"")</f>
        <v/>
      </c>
    </row>
    <row r="5">
      <c r="A5" s="3" t="inlineStr">
        <is>
          <t>OBT020125074750-Pitten (Hamburger)</t>
        </is>
      </c>
      <c r="B5" s="3" t="inlineStr">
        <is>
          <t>Pitten (Hamburger)</t>
        </is>
      </c>
      <c r="C5" s="3" t="inlineStr">
        <is>
          <t>605</t>
        </is>
      </c>
      <c r="D5" s="3" t="n">
        <v>1</v>
      </c>
      <c r="E5" s="10" t="n">
        <v>45659.32248842593</v>
      </c>
      <c r="F5" s="10" t="n">
        <v>45659.32488425926</v>
      </c>
      <c r="G5" s="10" t="n">
        <v>45659.32586805556</v>
      </c>
      <c r="H5" s="10" t="n">
        <v>45659.37180555556</v>
      </c>
      <c r="I5" s="10" t="n">
        <v>45659.37180555556</v>
      </c>
      <c r="J5" s="10" t="n">
        <v>45659.37302083334</v>
      </c>
      <c r="K5" s="11">
        <f>IF(AND(ISNUMBER(E5),ISNUMBER(F5)),(F5-E5),"")</f>
        <v/>
      </c>
      <c r="L5" s="11">
        <f>IF(AND(ISNUMBER(F5),ISNUMBER(G5)),(G5-F5),"")</f>
        <v/>
      </c>
      <c r="M5" s="11">
        <f>IF(AND(ISNUMBER(H5),ISNUMBER(I5)),(I5-H5),"")</f>
        <v/>
      </c>
      <c r="N5" s="11">
        <f>IF(AND(ISNUMBER(E5),ISNUMBER(J5)),(J5-E5),"")</f>
        <v/>
      </c>
    </row>
    <row r="6">
      <c r="A6" s="3" t="inlineStr">
        <is>
          <t>OBT020125082044-Wien Kledering</t>
        </is>
      </c>
      <c r="B6" s="3" t="inlineStr">
        <is>
          <t>Wien Kledering</t>
        </is>
      </c>
      <c r="C6" s="3" t="inlineStr">
        <is>
          <t>613</t>
        </is>
      </c>
      <c r="D6" s="3" t="n">
        <v>1</v>
      </c>
      <c r="E6" s="10" t="n">
        <v>45659.34535879629</v>
      </c>
      <c r="F6" s="10" t="n">
        <v>45659.34773148148</v>
      </c>
      <c r="G6" s="10" t="n">
        <v>45659.34944444444</v>
      </c>
      <c r="H6" s="10" t="n">
        <v>45659.41829861111</v>
      </c>
      <c r="I6" s="10" t="n">
        <v>45659.41829861111</v>
      </c>
      <c r="J6" s="10" t="n">
        <v>45659.41964120371</v>
      </c>
      <c r="K6" s="11">
        <f>IF(AND(ISNUMBER(E6),ISNUMBER(F6)),(F6-E6),"")</f>
        <v/>
      </c>
      <c r="L6" s="11">
        <f>IF(AND(ISNUMBER(F6),ISNUMBER(G6)),(G6-F6),"")</f>
        <v/>
      </c>
      <c r="M6" s="11">
        <f>IF(AND(ISNUMBER(H6),ISNUMBER(I6)),(I6-H6),"")</f>
        <v/>
      </c>
      <c r="N6" s="11">
        <f>IF(AND(ISNUMBER(E6),ISNUMBER(J6)),(J6-E6),"")</f>
        <v/>
      </c>
    </row>
    <row r="7">
      <c r="A7" s="3" t="inlineStr">
        <is>
          <t>OBT020125092035-Wien Kledering</t>
        </is>
      </c>
      <c r="B7" s="3" t="inlineStr">
        <is>
          <t>Wien Kledering</t>
        </is>
      </c>
      <c r="C7" s="3" t="inlineStr">
        <is>
          <t>629</t>
        </is>
      </c>
      <c r="D7" s="3" t="n">
        <v>1</v>
      </c>
      <c r="E7" s="10" t="n">
        <v>45659.38689814815</v>
      </c>
      <c r="F7" s="10" t="n">
        <v>45659.38929398148</v>
      </c>
      <c r="G7" s="10" t="n">
        <v>45659.39012731481</v>
      </c>
      <c r="H7" s="10" t="n">
        <v>45659.41481481482</v>
      </c>
      <c r="I7" s="10" t="n">
        <v>45659.41481481482</v>
      </c>
      <c r="J7" s="10" t="n">
        <v>45659.41552083333</v>
      </c>
      <c r="K7" s="11">
        <f>IF(AND(ISNUMBER(E7),ISNUMBER(F7)),(F7-E7),"")</f>
        <v/>
      </c>
      <c r="L7" s="11">
        <f>IF(AND(ISNUMBER(F7),ISNUMBER(G7)),(G7-F7),"")</f>
        <v/>
      </c>
      <c r="M7" s="11">
        <f>IF(AND(ISNUMBER(H7),ISNUMBER(I7)),(I7-H7),"")</f>
        <v/>
      </c>
      <c r="N7" s="11">
        <f>IF(AND(ISNUMBER(E7),ISNUMBER(J7)),(J7-E7),"")</f>
        <v/>
      </c>
    </row>
    <row r="8">
      <c r="A8" s="3" t="inlineStr">
        <is>
          <t>OBT020125093208-Other sidings north</t>
        </is>
      </c>
      <c r="B8" s="3" t="inlineStr">
        <is>
          <t>Other sidings north</t>
        </is>
      </c>
      <c r="C8" s="3" t="inlineStr">
        <is>
          <t>619</t>
        </is>
      </c>
      <c r="D8" s="3" t="n">
        <v>2</v>
      </c>
      <c r="E8" s="10" t="n">
        <v>45659.32821759259</v>
      </c>
      <c r="F8" s="10" t="n">
        <v>45659.39731481481</v>
      </c>
      <c r="G8" s="10" t="n">
        <v>45659.41431712963</v>
      </c>
      <c r="H8" s="10" t="n">
        <v>45659.43761574074</v>
      </c>
      <c r="I8" s="10" t="n">
        <v>45659.43761574074</v>
      </c>
      <c r="J8" s="10" t="n">
        <v>45659.43848379629</v>
      </c>
      <c r="K8" s="11">
        <f>IF(AND(ISNUMBER(E8),ISNUMBER(F8)),(F8-E8),"")</f>
        <v/>
      </c>
      <c r="L8" s="11">
        <f>IF(AND(ISNUMBER(F8),ISNUMBER(G8)),(G8-F8),"")</f>
        <v/>
      </c>
      <c r="M8" s="11">
        <f>IF(AND(ISNUMBER(H8),ISNUMBER(I8)),(I8-H8),"")</f>
        <v/>
      </c>
      <c r="N8" s="11">
        <f>IF(AND(ISNUMBER(E8),ISNUMBER(J8)),(J8-E8),"")</f>
        <v/>
      </c>
    </row>
    <row r="9">
      <c r="A9" s="3" t="inlineStr">
        <is>
          <t>OBT020125093825-Wr. Neustadt (Hödlmayr)</t>
        </is>
      </c>
      <c r="B9" s="3" t="inlineStr">
        <is>
          <t>Wr. Neustadt (Hödlmayr)</t>
        </is>
      </c>
      <c r="C9" s="3" t="inlineStr">
        <is>
          <t>609</t>
        </is>
      </c>
      <c r="D9" s="3" t="n">
        <v>2</v>
      </c>
      <c r="E9" s="10" t="n">
        <v>45659.33306712963</v>
      </c>
      <c r="F9" s="10" t="n">
        <v>45659.40167824074</v>
      </c>
      <c r="G9" s="10" t="n">
        <v>45659.41649305556</v>
      </c>
      <c r="H9" s="10" t="n">
        <v>45659.43524305556</v>
      </c>
      <c r="I9" s="10" t="n">
        <v>45659.43524305556</v>
      </c>
      <c r="J9" s="10" t="n">
        <v>45659.43603009259</v>
      </c>
      <c r="K9" s="11">
        <f>IF(AND(ISNUMBER(E9),ISNUMBER(F9)),(F9-E9),"")</f>
        <v/>
      </c>
      <c r="L9" s="11">
        <f>IF(AND(ISNUMBER(F9),ISNUMBER(G9)),(G9-F9),"")</f>
        <v/>
      </c>
      <c r="M9" s="11">
        <f>IF(AND(ISNUMBER(H9),ISNUMBER(I9)),(I9-H9),"")</f>
        <v/>
      </c>
      <c r="N9" s="11">
        <f>IF(AND(ISNUMBER(E9),ISNUMBER(J9)),(J9-E9),"")</f>
        <v/>
      </c>
    </row>
    <row r="10">
      <c r="A10" s="3" t="inlineStr">
        <is>
          <t>OBT020125094857-Pitten (Hamburger)</t>
        </is>
      </c>
      <c r="B10" s="3" t="inlineStr">
        <is>
          <t>Pitten (Hamburger)</t>
        </is>
      </c>
      <c r="C10" s="3" t="inlineStr">
        <is>
          <t>629</t>
        </is>
      </c>
      <c r="D10" s="3" t="n">
        <v>1</v>
      </c>
      <c r="E10" s="10" t="n">
        <v>45659.40399305556</v>
      </c>
      <c r="F10" s="10" t="n">
        <v>45659.40899305556</v>
      </c>
      <c r="G10" s="10" t="n">
        <v>45659.42003472222</v>
      </c>
      <c r="H10" s="10" t="n">
        <v>45659.45373842592</v>
      </c>
      <c r="I10" s="10" t="n">
        <v>45659.45373842592</v>
      </c>
      <c r="J10" s="10" t="n">
        <v>45659.45457175926</v>
      </c>
      <c r="K10" s="11">
        <f>IF(AND(ISNUMBER(E10),ISNUMBER(F10)),(F10-E10),"")</f>
        <v/>
      </c>
      <c r="L10" s="11">
        <f>IF(AND(ISNUMBER(F10),ISNUMBER(G10)),(G10-F10),"")</f>
        <v/>
      </c>
      <c r="M10" s="11">
        <f>IF(AND(ISNUMBER(H10),ISNUMBER(I10)),(I10-H10),"")</f>
        <v/>
      </c>
      <c r="N10" s="11">
        <f>IF(AND(ISNUMBER(E10),ISNUMBER(J10)),(J10-E10),"")</f>
        <v/>
      </c>
    </row>
    <row r="11">
      <c r="A11" s="3" t="inlineStr">
        <is>
          <t>OBT020125105809-Wien Kledering</t>
        </is>
      </c>
      <c r="B11" s="3" t="inlineStr">
        <is>
          <t>Wien Kledering</t>
        </is>
      </c>
      <c r="C11" s="3" t="inlineStr">
        <is>
          <t>613</t>
        </is>
      </c>
      <c r="D11" s="3" t="n">
        <v>2</v>
      </c>
      <c r="E11" s="10" t="n">
        <v>45659.44939814815</v>
      </c>
      <c r="F11" s="10" t="n">
        <v>45659.45704861111</v>
      </c>
      <c r="G11" s="10" t="n">
        <v>45659.45791666667</v>
      </c>
      <c r="H11" s="10" t="n">
        <v>45659.52166666667</v>
      </c>
      <c r="I11" s="10" t="n">
        <v>45659.52166666667</v>
      </c>
      <c r="J11" s="10" t="n">
        <v>45659.52293981481</v>
      </c>
      <c r="K11" s="11">
        <f>IF(AND(ISNUMBER(E11),ISNUMBER(F11)),(F11-E11),"")</f>
        <v/>
      </c>
      <c r="L11" s="11">
        <f>IF(AND(ISNUMBER(F11),ISNUMBER(G11)),(G11-F11),"")</f>
        <v/>
      </c>
      <c r="M11" s="11">
        <f>IF(AND(ISNUMBER(H11),ISNUMBER(I11)),(I11-H11),"")</f>
        <v/>
      </c>
      <c r="N11" s="11">
        <f>IF(AND(ISNUMBER(E11),ISNUMBER(J11)),(J11-E11),"")</f>
        <v/>
      </c>
    </row>
    <row r="12">
      <c r="A12" s="3" t="inlineStr">
        <is>
          <t>OBT020125145206-Wien Kledering</t>
        </is>
      </c>
      <c r="B12" s="3" t="inlineStr">
        <is>
          <t>Wien Kledering</t>
        </is>
      </c>
      <c r="C12" s="3" t="inlineStr">
        <is>
          <t>613</t>
        </is>
      </c>
      <c r="D12" s="3" t="n">
        <v>1</v>
      </c>
      <c r="E12" s="10" t="n">
        <v>45659.61733796296</v>
      </c>
      <c r="F12" s="10" t="n">
        <v>45659.61951388889</v>
      </c>
      <c r="G12" s="10" t="n">
        <v>45659.62038194444</v>
      </c>
      <c r="H12" s="10" t="n">
        <v>45659.67023148148</v>
      </c>
      <c r="I12" s="10" t="n">
        <v>45659.67023148148</v>
      </c>
      <c r="J12" s="10" t="n">
        <v>45659.67131944445</v>
      </c>
      <c r="K12" s="11">
        <f>IF(AND(ISNUMBER(E12),ISNUMBER(F12)),(F12-E12),"")</f>
        <v/>
      </c>
      <c r="L12" s="11">
        <f>IF(AND(ISNUMBER(F12),ISNUMBER(G12)),(G12-F12),"")</f>
        <v/>
      </c>
      <c r="M12" s="11">
        <f>IF(AND(ISNUMBER(H12),ISNUMBER(I12)),(I12-H12),"")</f>
        <v/>
      </c>
      <c r="N12" s="11">
        <f>IF(AND(ISNUMBER(E12),ISNUMBER(J12)),(J12-E12),"")</f>
        <v/>
      </c>
    </row>
    <row r="13">
      <c r="A13" s="3" t="inlineStr">
        <is>
          <t>OBT020125152222-Ternitz (Schoeller-Bleckmann)</t>
        </is>
      </c>
      <c r="B13" s="3" t="inlineStr">
        <is>
          <t>Ternitz (Schoeller-Bleckmann)</t>
        </is>
      </c>
      <c r="C13" s="3" t="inlineStr">
        <is>
          <t>627</t>
        </is>
      </c>
      <c r="D13" s="3" t="n">
        <v>4</v>
      </c>
      <c r="E13" s="10" t="n">
        <v>45659.12571759259</v>
      </c>
      <c r="F13" s="10" t="n">
        <v>45659.64053240741</v>
      </c>
      <c r="G13" s="10" t="n">
        <v>45659.64138888889</v>
      </c>
      <c r="H13" s="10" t="n">
        <v>45659.70447916666</v>
      </c>
      <c r="I13" s="10" t="n">
        <v>45659.70460648148</v>
      </c>
      <c r="J13" s="10" t="n">
        <v>45659.70583333333</v>
      </c>
      <c r="K13" s="11">
        <f>IF(AND(ISNUMBER(E13),ISNUMBER(F13)),(F13-E13),"")</f>
        <v/>
      </c>
      <c r="L13" s="11">
        <f>IF(AND(ISNUMBER(F13),ISNUMBER(G13)),(G13-F13),"")</f>
        <v/>
      </c>
      <c r="M13" s="11">
        <f>IF(AND(ISNUMBER(H13),ISNUMBER(I13)),(I13-H13),"")</f>
        <v/>
      </c>
      <c r="N13" s="11">
        <f>IF(AND(ISNUMBER(E13),ISNUMBER(J13)),(J13-E13),"")</f>
        <v/>
      </c>
    </row>
    <row r="14">
      <c r="A14" s="3" t="inlineStr">
        <is>
          <t>OBT020125154035-Neudörfl (FunderMax)</t>
        </is>
      </c>
      <c r="B14" s="3" t="inlineStr">
        <is>
          <t>Neudörfl (FunderMax)</t>
        </is>
      </c>
      <c r="C14" s="3" t="inlineStr">
        <is>
          <t>606</t>
        </is>
      </c>
      <c r="D14" s="3" t="n">
        <v>5</v>
      </c>
      <c r="E14" s="10" t="n">
        <v>45659.32991898148</v>
      </c>
      <c r="F14" s="10" t="n">
        <v>45659.65318287037</v>
      </c>
      <c r="G14" s="10" t="n">
        <v>45659.66200231481</v>
      </c>
      <c r="H14" s="10" t="n">
        <v>45659.68193287037</v>
      </c>
      <c r="I14" s="10" t="n">
        <v>45659.68193287037</v>
      </c>
      <c r="J14" s="10" t="n">
        <v>45659.68270833333</v>
      </c>
      <c r="K14" s="11">
        <f>IF(AND(ISNUMBER(E14),ISNUMBER(F14)),(F14-E14),"")</f>
        <v/>
      </c>
      <c r="L14" s="11">
        <f>IF(AND(ISNUMBER(F14),ISNUMBER(G14)),(G14-F14),"")</f>
        <v/>
      </c>
      <c r="M14" s="11">
        <f>IF(AND(ISNUMBER(H14),ISNUMBER(I14)),(I14-H14),"")</f>
        <v/>
      </c>
      <c r="N14" s="11">
        <f>IF(AND(ISNUMBER(E14),ISNUMBER(J14)),(J14-E14),"")</f>
        <v/>
      </c>
    </row>
    <row r="15">
      <c r="A15" s="3" t="inlineStr">
        <is>
          <t>OBT020125154208-Pitten (Hamburger)</t>
        </is>
      </c>
      <c r="B15" s="3" t="inlineStr">
        <is>
          <t>Pitten (Hamburger)</t>
        </is>
      </c>
      <c r="C15" s="3" t="inlineStr">
        <is>
          <t>629</t>
        </is>
      </c>
      <c r="D15" s="3" t="n">
        <v>1</v>
      </c>
      <c r="E15" s="10" t="n">
        <v>45659.65208333333</v>
      </c>
      <c r="F15" s="10" t="n">
        <v>45659.65425925926</v>
      </c>
      <c r="G15" s="10" t="n">
        <v>45659.67196759259</v>
      </c>
      <c r="H15" s="10" t="n">
        <v>45659.7166087963</v>
      </c>
      <c r="I15" s="10" t="n">
        <v>45659.7166087963</v>
      </c>
      <c r="J15" s="10" t="n">
        <v>45659.71758101852</v>
      </c>
      <c r="K15" s="11">
        <f>IF(AND(ISNUMBER(E15),ISNUMBER(F15)),(F15-E15),"")</f>
        <v/>
      </c>
      <c r="L15" s="11">
        <f>IF(AND(ISNUMBER(F15),ISNUMBER(G15)),(G15-F15),"")</f>
        <v/>
      </c>
      <c r="M15" s="11">
        <f>IF(AND(ISNUMBER(H15),ISNUMBER(I15)),(I15-H15),"")</f>
        <v/>
      </c>
      <c r="N15" s="11">
        <f>IF(AND(ISNUMBER(E15),ISNUMBER(J15)),(J15-E15),"")</f>
        <v/>
      </c>
    </row>
    <row r="16">
      <c r="A16" s="3" t="inlineStr">
        <is>
          <t>OBT020125155102-Other sidings north</t>
        </is>
      </c>
      <c r="B16" s="3" t="inlineStr">
        <is>
          <t>Other sidings north</t>
        </is>
      </c>
      <c r="C16" s="3" t="inlineStr">
        <is>
          <t>629</t>
        </is>
      </c>
      <c r="D16" s="3" t="n">
        <v>1</v>
      </c>
      <c r="E16" s="10" t="n">
        <v>45659.65738425926</v>
      </c>
      <c r="F16" s="10" t="n">
        <v>45659.66043981481</v>
      </c>
      <c r="G16" s="10" t="n">
        <v>45659.68350694444</v>
      </c>
      <c r="H16" s="10" t="n">
        <v>45659.70394675926</v>
      </c>
      <c r="I16" s="10" t="n">
        <v>45659.70394675926</v>
      </c>
      <c r="J16" s="10" t="n">
        <v>45659.70460648148</v>
      </c>
      <c r="K16" s="11">
        <f>IF(AND(ISNUMBER(E16),ISNUMBER(F16)),(F16-E16),"")</f>
        <v/>
      </c>
      <c r="L16" s="11">
        <f>IF(AND(ISNUMBER(F16),ISNUMBER(G16)),(G16-F16),"")</f>
        <v/>
      </c>
      <c r="M16" s="11">
        <f>IF(AND(ISNUMBER(H16),ISNUMBER(I16)),(I16-H16),"")</f>
        <v/>
      </c>
      <c r="N16" s="11">
        <f>IF(AND(ISNUMBER(E16),ISNUMBER(J16)),(J16-E16),"")</f>
        <v/>
      </c>
    </row>
    <row r="17">
      <c r="A17" s="3" t="inlineStr">
        <is>
          <t>OBT020125183042-Wr. Neustadt (Hödlmayr)</t>
        </is>
      </c>
      <c r="B17" s="3" t="inlineStr">
        <is>
          <t>Wr. Neustadt (Hödlmayr)</t>
        </is>
      </c>
      <c r="C17" s="3" t="inlineStr">
        <is>
          <t>619</t>
        </is>
      </c>
      <c r="D17" s="3" t="n">
        <v>2</v>
      </c>
      <c r="E17" s="10" t="n">
        <v>45659.6445949074</v>
      </c>
      <c r="F17" s="10" t="n">
        <v>45659.77131944444</v>
      </c>
      <c r="G17" s="10" t="n">
        <v>45659.77215277778</v>
      </c>
      <c r="H17" s="10" t="n">
        <v>45659.80965277777</v>
      </c>
      <c r="I17" s="10" t="n">
        <v>45659.80965277777</v>
      </c>
      <c r="J17" s="10" t="n">
        <v>45659.81069444444</v>
      </c>
      <c r="K17" s="11">
        <f>IF(AND(ISNUMBER(E17),ISNUMBER(F17)),(F17-E17),"")</f>
        <v/>
      </c>
      <c r="L17" s="11">
        <f>IF(AND(ISNUMBER(F17),ISNUMBER(G17)),(G17-F17),"")</f>
        <v/>
      </c>
      <c r="M17" s="11">
        <f>IF(AND(ISNUMBER(H17),ISNUMBER(I17)),(I17-H17),"")</f>
        <v/>
      </c>
      <c r="N17" s="11">
        <f>IF(AND(ISNUMBER(E17),ISNUMBER(J17)),(J17-E17),"")</f>
        <v/>
      </c>
    </row>
    <row r="18">
      <c r="A18" s="3" t="inlineStr">
        <is>
          <t>OBT020125183645-Pitten (Hamburger)</t>
        </is>
      </c>
      <c r="B18" s="3" t="inlineStr">
        <is>
          <t>Pitten (Hamburger)</t>
        </is>
      </c>
      <c r="C18" s="3" t="inlineStr">
        <is>
          <t>627</t>
        </is>
      </c>
      <c r="D18" s="3" t="n">
        <v>2</v>
      </c>
      <c r="E18" s="10" t="n">
        <v>45659.64646990741</v>
      </c>
      <c r="F18" s="10" t="n">
        <v>45659.77552083333</v>
      </c>
      <c r="G18" s="10" t="n">
        <v>45659.77638888889</v>
      </c>
      <c r="H18" s="10" t="n">
        <v>45659.81009259259</v>
      </c>
      <c r="I18" s="10" t="n">
        <v>45659.81069444444</v>
      </c>
      <c r="J18" s="10" t="n">
        <v>45659.81153935185</v>
      </c>
      <c r="K18" s="11">
        <f>IF(AND(ISNUMBER(E18),ISNUMBER(F18)),(F18-E18),"")</f>
        <v/>
      </c>
      <c r="L18" s="11">
        <f>IF(AND(ISNUMBER(F18),ISNUMBER(G18)),(G18-F18),"")</f>
        <v/>
      </c>
      <c r="M18" s="11">
        <f>IF(AND(ISNUMBER(H18),ISNUMBER(I18)),(I18-H18),"")</f>
        <v/>
      </c>
      <c r="N18" s="11">
        <f>IF(AND(ISNUMBER(E18),ISNUMBER(J18)),(J18-E18),"")</f>
        <v/>
      </c>
    </row>
    <row r="19">
      <c r="A19" s="3" t="inlineStr">
        <is>
          <t>OBT020125184418-Neunkirchen (loading tracks)</t>
        </is>
      </c>
      <c r="B19" s="3" t="inlineStr">
        <is>
          <t>Neunkirchen (loading tracks)</t>
        </is>
      </c>
      <c r="C19" s="3" t="inlineStr">
        <is>
          <t>623</t>
        </is>
      </c>
      <c r="D19" s="3" t="n">
        <v>4</v>
      </c>
      <c r="E19" s="10" t="n">
        <v>45659.32422453703</v>
      </c>
      <c r="F19" s="10" t="n">
        <v>45659.78076388889</v>
      </c>
      <c r="G19" s="10" t="n">
        <v>45659.78405092593</v>
      </c>
      <c r="H19" s="10" t="n">
        <v>45659.80189814815</v>
      </c>
      <c r="I19" s="10" t="n">
        <v>45659.80189814815</v>
      </c>
      <c r="J19" s="10" t="n">
        <v>45659.80267361111</v>
      </c>
      <c r="K19" s="11">
        <f>IF(AND(ISNUMBER(E19),ISNUMBER(F19)),(F19-E19),"")</f>
        <v/>
      </c>
      <c r="L19" s="11">
        <f>IF(AND(ISNUMBER(F19),ISNUMBER(G19)),(G19-F19),"")</f>
        <v/>
      </c>
      <c r="M19" s="11">
        <f>IF(AND(ISNUMBER(H19),ISNUMBER(I19)),(I19-H19),"")</f>
        <v/>
      </c>
      <c r="N19" s="11">
        <f>IF(AND(ISNUMBER(E19),ISNUMBER(J19)),(J19-E19),"")</f>
        <v/>
      </c>
    </row>
    <row r="20">
      <c r="A20" s="3" t="inlineStr">
        <is>
          <t>OBT020125205242-Ebenfurth (beet loading)</t>
        </is>
      </c>
      <c r="B20" s="3" t="inlineStr">
        <is>
          <t>Ebenfurth (beet loading)</t>
        </is>
      </c>
      <c r="C20" s="3" t="inlineStr">
        <is>
          <t>611</t>
        </is>
      </c>
      <c r="D20" s="3" t="n">
        <v>5</v>
      </c>
      <c r="E20" s="10" t="n">
        <v>45659.33615740741</v>
      </c>
      <c r="F20" s="10" t="n">
        <v>45659.86993055556</v>
      </c>
      <c r="G20" s="10" t="n">
        <v>45659.87079861111</v>
      </c>
      <c r="H20" s="10" t="n">
        <v>45659.898125</v>
      </c>
      <c r="I20" s="10" t="n">
        <v>45659.898125</v>
      </c>
      <c r="J20" s="10" t="n">
        <v>45659.89896990741</v>
      </c>
      <c r="K20" s="11">
        <f>IF(AND(ISNUMBER(E20),ISNUMBER(F20)),(F20-E20),"")</f>
        <v/>
      </c>
      <c r="L20" s="11">
        <f>IF(AND(ISNUMBER(F20),ISNUMBER(G20)),(G20-F20),"")</f>
        <v/>
      </c>
      <c r="M20" s="11">
        <f>IF(AND(ISNUMBER(H20),ISNUMBER(I20)),(I20-H20),"")</f>
        <v/>
      </c>
      <c r="N20" s="11">
        <f>IF(AND(ISNUMBER(E20),ISNUMBER(J20)),(J20-E20),"")</f>
        <v/>
      </c>
    </row>
    <row r="21">
      <c r="A21" s="3" t="inlineStr">
        <is>
          <t>OBT020125210324-Other sidings north</t>
        </is>
      </c>
      <c r="B21" s="3" t="inlineStr">
        <is>
          <t>Other sidings north</t>
        </is>
      </c>
      <c r="C21" s="3" t="inlineStr">
        <is>
          <t>629</t>
        </is>
      </c>
      <c r="D21" s="3" t="n">
        <v>2</v>
      </c>
      <c r="E21" s="10" t="n">
        <v>45659.77084490741</v>
      </c>
      <c r="F21" s="10" t="n">
        <v>45659.87736111111</v>
      </c>
      <c r="G21" s="10" t="n">
        <v>45659.8790625</v>
      </c>
      <c r="H21" s="10" t="n">
        <v>45659.89950231482</v>
      </c>
      <c r="I21" s="10" t="n">
        <v>45659.90002314815</v>
      </c>
      <c r="J21" s="10" t="n">
        <v>45659.90067129629</v>
      </c>
      <c r="K21" s="11">
        <f>IF(AND(ISNUMBER(E21),ISNUMBER(F21)),(F21-E21),"")</f>
        <v/>
      </c>
      <c r="L21" s="11">
        <f>IF(AND(ISNUMBER(F21),ISNUMBER(G21)),(G21-F21),"")</f>
        <v/>
      </c>
      <c r="M21" s="11">
        <f>IF(AND(ISNUMBER(H21),ISNUMBER(I21)),(I21-H21),"")</f>
        <v/>
      </c>
      <c r="N21" s="11">
        <f>IF(AND(ISNUMBER(E21),ISNUMBER(J21)),(J21-E21),"")</f>
        <v/>
      </c>
    </row>
    <row r="22">
      <c r="A22" s="3" t="inlineStr">
        <is>
          <t>OBT020125210709-Neudörfl (FunderMax)</t>
        </is>
      </c>
      <c r="B22" s="3" t="inlineStr">
        <is>
          <t>Neudörfl (FunderMax)</t>
        </is>
      </c>
      <c r="C22" s="3" t="inlineStr">
        <is>
          <t>613</t>
        </is>
      </c>
      <c r="D22" s="3" t="n">
        <v>3</v>
      </c>
      <c r="E22" s="10" t="n">
        <v>45659.76363425926</v>
      </c>
      <c r="F22" s="10" t="n">
        <v>45659.87996527777</v>
      </c>
      <c r="G22" s="10" t="n">
        <v>45659.88170138889</v>
      </c>
      <c r="H22" s="10" t="n">
        <v>45659.89935185185</v>
      </c>
      <c r="I22" s="10" t="n">
        <v>45659.89935185185</v>
      </c>
      <c r="J22" s="10" t="n">
        <v>45659.90002314815</v>
      </c>
      <c r="K22" s="11">
        <f>IF(AND(ISNUMBER(E22),ISNUMBER(F22)),(F22-E22),"")</f>
        <v/>
      </c>
      <c r="L22" s="11">
        <f>IF(AND(ISNUMBER(F22),ISNUMBER(G22)),(G22-F22),"")</f>
        <v/>
      </c>
      <c r="M22" s="11">
        <f>IF(AND(ISNUMBER(H22),ISNUMBER(I22)),(I22-H22),"")</f>
        <v/>
      </c>
      <c r="N22" s="11">
        <f>IF(AND(ISNUMBER(E22),ISNUMBER(J22)),(J22-E22),"")</f>
        <v/>
      </c>
    </row>
    <row r="23">
      <c r="A23" s="3" t="inlineStr">
        <is>
          <t>OBT030125030120-Pitten (Hamburger)</t>
        </is>
      </c>
      <c r="B23" s="3" t="inlineStr">
        <is>
          <t>Pitten (Hamburger)</t>
        </is>
      </c>
      <c r="C23" s="3" t="inlineStr">
        <is>
          <t>627</t>
        </is>
      </c>
      <c r="D23" s="3" t="n">
        <v>3</v>
      </c>
      <c r="E23" s="10" t="n">
        <v>45659.77873842593</v>
      </c>
      <c r="F23" s="10" t="n">
        <v>45660.12592592592</v>
      </c>
      <c r="G23" s="10" t="n">
        <v>45660.12675925926</v>
      </c>
      <c r="H23" s="10" t="n">
        <v>45660.15010416666</v>
      </c>
      <c r="I23" s="10" t="n">
        <v>45660.15010416666</v>
      </c>
      <c r="J23" s="10" t="n">
        <v>45660.15079861111</v>
      </c>
      <c r="K23" s="11">
        <f>IF(AND(ISNUMBER(E23),ISNUMBER(F23)),(F23-E23),"")</f>
        <v/>
      </c>
      <c r="L23" s="11">
        <f>IF(AND(ISNUMBER(F23),ISNUMBER(G23)),(G23-F23),"")</f>
        <v/>
      </c>
      <c r="M23" s="11">
        <f>IF(AND(ISNUMBER(H23),ISNUMBER(I23)),(I23-H23),"")</f>
        <v/>
      </c>
      <c r="N23" s="11">
        <f>IF(AND(ISNUMBER(E23),ISNUMBER(J23)),(J23-E23),"")</f>
        <v/>
      </c>
    </row>
    <row r="24">
      <c r="A24" s="3" t="inlineStr">
        <is>
          <t>OBT030125045529-Neudörfl (FunderMax)</t>
        </is>
      </c>
      <c r="B24" s="3" t="inlineStr">
        <is>
          <t>Neudörfl (FunderMax)</t>
        </is>
      </c>
      <c r="C24" s="3" t="inlineStr">
        <is>
          <t>613</t>
        </is>
      </c>
      <c r="D24" s="3" t="n">
        <v>1</v>
      </c>
      <c r="E24" s="10" t="n">
        <v>45660.20282407408</v>
      </c>
      <c r="F24" s="10" t="n">
        <v>45660.20519675926</v>
      </c>
      <c r="G24" s="10" t="n">
        <v>45660.20606481482</v>
      </c>
      <c r="H24" s="10" t="n">
        <v>45660.29234953703</v>
      </c>
      <c r="I24" s="10" t="n">
        <v>45660.29234953703</v>
      </c>
      <c r="J24" s="10" t="n">
        <v>45660.29392361111</v>
      </c>
      <c r="K24" s="11">
        <f>IF(AND(ISNUMBER(E24),ISNUMBER(F24)),(F24-E24),"")</f>
        <v/>
      </c>
      <c r="L24" s="11">
        <f>IF(AND(ISNUMBER(F24),ISNUMBER(G24)),(G24-F24),"")</f>
        <v/>
      </c>
      <c r="M24" s="11">
        <f>IF(AND(ISNUMBER(H24),ISNUMBER(I24)),(I24-H24),"")</f>
        <v/>
      </c>
      <c r="N24" s="11">
        <f>IF(AND(ISNUMBER(E24),ISNUMBER(J24)),(J24-E24),"")</f>
        <v/>
      </c>
    </row>
    <row r="25">
      <c r="A25" s="3" t="inlineStr">
        <is>
          <t>OBT030125061555-Other sidings south</t>
        </is>
      </c>
      <c r="B25" s="3" t="inlineStr">
        <is>
          <t>Other sidings south</t>
        </is>
      </c>
      <c r="C25" s="3" t="inlineStr">
        <is>
          <t>615</t>
        </is>
      </c>
      <c r="D25" s="3" t="n">
        <v>6</v>
      </c>
      <c r="E25" s="10" t="n">
        <v>45659.1221875</v>
      </c>
      <c r="F25" s="10" t="n">
        <v>45660.26105324074</v>
      </c>
      <c r="G25" s="10" t="n">
        <v>45660.26269675926</v>
      </c>
      <c r="H25" s="10" t="n">
        <v>45660.28053240741</v>
      </c>
      <c r="I25" s="10" t="n">
        <v>45660.28053240741</v>
      </c>
      <c r="J25" s="10" t="n">
        <v>45660.28123842592</v>
      </c>
      <c r="K25" s="11">
        <f>IF(AND(ISNUMBER(E25),ISNUMBER(F25)),(F25-E25),"")</f>
        <v/>
      </c>
      <c r="L25" s="11">
        <f>IF(AND(ISNUMBER(F25),ISNUMBER(G25)),(G25-F25),"")</f>
        <v/>
      </c>
      <c r="M25" s="11">
        <f>IF(AND(ISNUMBER(H25),ISNUMBER(I25)),(I25-H25),"")</f>
        <v/>
      </c>
      <c r="N25" s="11">
        <f>IF(AND(ISNUMBER(E25),ISNUMBER(J25)),(J25-E25),"")</f>
        <v/>
      </c>
    </row>
    <row r="26">
      <c r="A26" s="3" t="inlineStr">
        <is>
          <t>OBT030125063005-Gloggnitz</t>
        </is>
      </c>
      <c r="B26" s="3" t="inlineStr">
        <is>
          <t>Gloggnitz</t>
        </is>
      </c>
      <c r="C26" s="3" t="inlineStr">
        <is>
          <t>625</t>
        </is>
      </c>
      <c r="D26" s="3" t="n">
        <v>5</v>
      </c>
      <c r="E26" s="10" t="n">
        <v>45659.12777777778</v>
      </c>
      <c r="F26" s="10" t="n">
        <v>45660.27089120371</v>
      </c>
      <c r="G26" s="10" t="n">
        <v>45660.27732638889</v>
      </c>
      <c r="H26" s="10" t="n">
        <v>45660.31285879629</v>
      </c>
      <c r="I26" s="10" t="n">
        <v>45660.31285879629</v>
      </c>
      <c r="J26" s="10" t="n">
        <v>45660.31383101852</v>
      </c>
      <c r="K26" s="11">
        <f>IF(AND(ISNUMBER(E26),ISNUMBER(F26)),(F26-E26),"")</f>
        <v/>
      </c>
      <c r="L26" s="11">
        <f>IF(AND(ISNUMBER(F26),ISNUMBER(G26)),(G26-F26),"")</f>
        <v/>
      </c>
      <c r="M26" s="11">
        <f>IF(AND(ISNUMBER(H26),ISNUMBER(I26)),(I26-H26),"")</f>
        <v/>
      </c>
      <c r="N26" s="11">
        <f>IF(AND(ISNUMBER(E26),ISNUMBER(J26)),(J26-E26),"")</f>
        <v/>
      </c>
    </row>
    <row r="27">
      <c r="A27" s="3" t="inlineStr">
        <is>
          <t>OBT030125063320-Ternitz (Schoeller-Bleckmann)</t>
        </is>
      </c>
      <c r="B27" s="3" t="inlineStr">
        <is>
          <t>Ternitz (Schoeller-Bleckmann)</t>
        </is>
      </c>
      <c r="C27" s="3" t="inlineStr">
        <is>
          <t>627</t>
        </is>
      </c>
      <c r="D27" s="3" t="n">
        <v>3</v>
      </c>
      <c r="E27" s="10" t="n">
        <v>45660.25457175926</v>
      </c>
      <c r="F27" s="10" t="n">
        <v>45660.27314814815</v>
      </c>
      <c r="G27" s="10" t="n">
        <v>45660.28226851852</v>
      </c>
      <c r="H27" s="10" t="n">
        <v>45660.30732638889</v>
      </c>
      <c r="I27" s="10" t="n">
        <v>45660.30732638889</v>
      </c>
      <c r="J27" s="10" t="n">
        <v>45660.30805555556</v>
      </c>
      <c r="K27" s="11">
        <f>IF(AND(ISNUMBER(E27),ISNUMBER(F27)),(F27-E27),"")</f>
        <v/>
      </c>
      <c r="L27" s="11">
        <f>IF(AND(ISNUMBER(F27),ISNUMBER(G27)),(G27-F27),"")</f>
        <v/>
      </c>
      <c r="M27" s="11">
        <f>IF(AND(ISNUMBER(H27),ISNUMBER(I27)),(I27-H27),"")</f>
        <v/>
      </c>
      <c r="N27" s="11">
        <f>IF(AND(ISNUMBER(E27),ISNUMBER(J27)),(J27-E27),"")</f>
        <v/>
      </c>
    </row>
    <row r="28">
      <c r="A28" s="3" t="inlineStr">
        <is>
          <t>OBT030125063655-Wr. Neustadt (Hödlmayr)</t>
        </is>
      </c>
      <c r="B28" s="3" t="inlineStr">
        <is>
          <t>Wr. Neustadt (Hödlmayr)</t>
        </is>
      </c>
      <c r="C28" s="3" t="inlineStr">
        <is>
          <t>619</t>
        </is>
      </c>
      <c r="D28" s="3" t="n">
        <v>3</v>
      </c>
      <c r="E28" s="10" t="n">
        <v>45659.86981481482</v>
      </c>
      <c r="F28" s="10" t="n">
        <v>45660.27563657407</v>
      </c>
      <c r="G28" s="10" t="n">
        <v>45660.29878472222</v>
      </c>
      <c r="H28" s="10" t="n">
        <v>45660.31753472222</v>
      </c>
      <c r="I28" s="10" t="n">
        <v>45660.31753472222</v>
      </c>
      <c r="J28" s="10" t="n">
        <v>45660.31833333334</v>
      </c>
      <c r="K28" s="11">
        <f>IF(AND(ISNUMBER(E28),ISNUMBER(F28)),(F28-E28),"")</f>
        <v/>
      </c>
      <c r="L28" s="11">
        <f>IF(AND(ISNUMBER(F28),ISNUMBER(G28)),(G28-F28),"")</f>
        <v/>
      </c>
      <c r="M28" s="11">
        <f>IF(AND(ISNUMBER(H28),ISNUMBER(I28)),(I28-H28),"")</f>
        <v/>
      </c>
      <c r="N28" s="11">
        <f>IF(AND(ISNUMBER(E28),ISNUMBER(J28)),(J28-E28),"")</f>
        <v/>
      </c>
    </row>
    <row r="29">
      <c r="A29" s="3" t="inlineStr">
        <is>
          <t>OBT030125070748-Neunkirchen (loading tracks)</t>
        </is>
      </c>
      <c r="B29" s="3" t="inlineStr">
        <is>
          <t>Neunkirchen (loading tracks)</t>
        </is>
      </c>
      <c r="C29" s="3" t="inlineStr">
        <is>
          <t>623</t>
        </is>
      </c>
      <c r="D29" s="3" t="n">
        <v>4</v>
      </c>
      <c r="E29" s="10" t="n">
        <v>45659.86777777778</v>
      </c>
      <c r="F29" s="10" t="n">
        <v>45660.29708333333</v>
      </c>
      <c r="G29" s="10" t="n">
        <v>45660.3090625</v>
      </c>
      <c r="H29" s="10" t="n">
        <v>45660.37137731481</v>
      </c>
      <c r="I29" s="10" t="n">
        <v>45660.37137731481</v>
      </c>
      <c r="J29" s="10" t="n">
        <v>45660.37274305556</v>
      </c>
      <c r="K29" s="11">
        <f>IF(AND(ISNUMBER(E29),ISNUMBER(F29)),(F29-E29),"")</f>
        <v/>
      </c>
      <c r="L29" s="11">
        <f>IF(AND(ISNUMBER(F29),ISNUMBER(G29)),(G29-F29),"")</f>
        <v/>
      </c>
      <c r="M29" s="11">
        <f>IF(AND(ISNUMBER(H29),ISNUMBER(I29)),(I29-H29),"")</f>
        <v/>
      </c>
      <c r="N29" s="11">
        <f>IF(AND(ISNUMBER(E29),ISNUMBER(J29)),(J29-E29),"")</f>
        <v/>
      </c>
    </row>
    <row r="30">
      <c r="A30" s="3" t="inlineStr">
        <is>
          <t>OBT030125075311-Felixdorf/Sollenau (Bundesheer, Maba)</t>
        </is>
      </c>
      <c r="B30" s="3" t="inlineStr">
        <is>
          <t>Felixdorf/Sollenau (Bundesheer, Maba)</t>
        </is>
      </c>
      <c r="C30" s="3" t="inlineStr">
        <is>
          <t>621</t>
        </is>
      </c>
      <c r="D30" s="3" t="n">
        <v>3</v>
      </c>
      <c r="E30" s="10" t="n">
        <v>45659.40166666666</v>
      </c>
      <c r="F30" s="10" t="n">
        <v>45660.32859953704</v>
      </c>
      <c r="G30" s="10" t="n">
        <v>45660.33030092593</v>
      </c>
      <c r="H30" s="10" t="n">
        <v>45660.36226851852</v>
      </c>
      <c r="I30" s="10" t="n">
        <v>45660.36226851852</v>
      </c>
      <c r="J30" s="10" t="n">
        <v>45660.36324074074</v>
      </c>
      <c r="K30" s="11">
        <f>IF(AND(ISNUMBER(E30),ISNUMBER(F30)),(F30-E30),"")</f>
        <v/>
      </c>
      <c r="L30" s="11">
        <f>IF(AND(ISNUMBER(F30),ISNUMBER(G30)),(G30-F30),"")</f>
        <v/>
      </c>
      <c r="M30" s="11">
        <f>IF(AND(ISNUMBER(H30),ISNUMBER(I30)),(I30-H30),"")</f>
        <v/>
      </c>
      <c r="N30" s="11">
        <f>IF(AND(ISNUMBER(E30),ISNUMBER(J30)),(J30-E30),"")</f>
        <v/>
      </c>
    </row>
    <row r="31">
      <c r="A31" s="3" t="inlineStr">
        <is>
          <t>OBT030125080046-Wien Kledering</t>
        </is>
      </c>
      <c r="B31" s="3" t="inlineStr">
        <is>
          <t>Wien Kledering</t>
        </is>
      </c>
      <c r="C31" s="3" t="inlineStr">
        <is>
          <t>627</t>
        </is>
      </c>
      <c r="D31" s="3" t="n">
        <v>1</v>
      </c>
      <c r="E31" s="10" t="n">
        <v>45660.33168981481</v>
      </c>
      <c r="F31" s="10" t="n">
        <v>45660.33386574074</v>
      </c>
      <c r="G31" s="10" t="n">
        <v>45660.33550925926</v>
      </c>
      <c r="H31" s="10" t="n">
        <v>45660.38010416667</v>
      </c>
      <c r="I31" s="10" t="n">
        <v>45660.38010416667</v>
      </c>
      <c r="J31" s="10" t="n">
        <v>45660.38109953704</v>
      </c>
      <c r="K31" s="11">
        <f>IF(AND(ISNUMBER(E31),ISNUMBER(F31)),(F31-E31),"")</f>
        <v/>
      </c>
      <c r="L31" s="11">
        <f>IF(AND(ISNUMBER(F31),ISNUMBER(G31)),(G31-F31),"")</f>
        <v/>
      </c>
      <c r="M31" s="11">
        <f>IF(AND(ISNUMBER(H31),ISNUMBER(I31)),(I31-H31),"")</f>
        <v/>
      </c>
      <c r="N31" s="11">
        <f>IF(AND(ISNUMBER(E31),ISNUMBER(J31)),(J31-E31),"")</f>
        <v/>
      </c>
    </row>
    <row r="32">
      <c r="A32" s="3" t="inlineStr">
        <is>
          <t>OBT030125084617-Wien Kledering</t>
        </is>
      </c>
      <c r="B32" s="3" t="inlineStr">
        <is>
          <t>Wien Kledering</t>
        </is>
      </c>
      <c r="C32" s="3" t="inlineStr">
        <is>
          <t>625</t>
        </is>
      </c>
      <c r="D32" s="3" t="n">
        <v>1</v>
      </c>
      <c r="E32" s="10" t="n">
        <v>45660.34387731482</v>
      </c>
      <c r="F32" s="10" t="n">
        <v>45660.36547453704</v>
      </c>
      <c r="G32" s="10" t="n">
        <v>45660.36717592592</v>
      </c>
      <c r="H32" s="10" t="n">
        <v>45660.43603009259</v>
      </c>
      <c r="I32" s="10" t="n">
        <v>45660.43603009259</v>
      </c>
      <c r="J32" s="10" t="n">
        <v>45660.43744212963</v>
      </c>
      <c r="K32" s="11">
        <f>IF(AND(ISNUMBER(E32),ISNUMBER(F32)),(F32-E32),"")</f>
        <v/>
      </c>
      <c r="L32" s="11">
        <f>IF(AND(ISNUMBER(F32),ISNUMBER(G32)),(G32-F32),"")</f>
        <v/>
      </c>
      <c r="M32" s="11">
        <f>IF(AND(ISNUMBER(H32),ISNUMBER(I32)),(I32-H32),"")</f>
        <v/>
      </c>
      <c r="N32" s="11">
        <f>IF(AND(ISNUMBER(E32),ISNUMBER(J32)),(J32-E32),"")</f>
        <v/>
      </c>
    </row>
    <row r="33">
      <c r="A33" s="3" t="inlineStr">
        <is>
          <t>OBT030125090715-St. Veit an der Glan</t>
        </is>
      </c>
      <c r="B33" s="3" t="inlineStr">
        <is>
          <t>St. Veit an der Glan</t>
        </is>
      </c>
      <c r="C33" s="3" t="inlineStr">
        <is>
          <t>605</t>
        </is>
      </c>
      <c r="D33" s="3" t="n">
        <v>3</v>
      </c>
      <c r="E33" s="10" t="n">
        <v>45659.38472222222</v>
      </c>
      <c r="F33" s="10" t="n">
        <v>45660.38003472222</v>
      </c>
      <c r="G33" s="10" t="n">
        <v>45660.38177083333</v>
      </c>
      <c r="H33" s="10" t="n">
        <v>45660.42026620371</v>
      </c>
      <c r="I33" s="10" t="n">
        <v>45660.42116898148</v>
      </c>
      <c r="J33" s="10" t="n">
        <v>45660.42228009259</v>
      </c>
      <c r="K33" s="11">
        <f>IF(AND(ISNUMBER(E33),ISNUMBER(F33)),(F33-E33),"")</f>
        <v/>
      </c>
      <c r="L33" s="11">
        <f>IF(AND(ISNUMBER(F33),ISNUMBER(G33)),(G33-F33),"")</f>
        <v/>
      </c>
      <c r="M33" s="11">
        <f>IF(AND(ISNUMBER(H33),ISNUMBER(I33)),(I33-H33),"")</f>
        <v/>
      </c>
      <c r="N33" s="11">
        <f>IF(AND(ISNUMBER(E33),ISNUMBER(J33)),(J33-E33),"")</f>
        <v/>
      </c>
    </row>
    <row r="34">
      <c r="A34" s="3" t="inlineStr">
        <is>
          <t>OBT030125090958-Ebenfurth (beet loading)</t>
        </is>
      </c>
      <c r="B34" s="3" t="inlineStr">
        <is>
          <t>Ebenfurth (beet loading)</t>
        </is>
      </c>
      <c r="C34" s="3" t="inlineStr">
        <is>
          <t>619</t>
        </is>
      </c>
      <c r="D34" s="3" t="n">
        <v>2</v>
      </c>
      <c r="E34" s="10" t="n">
        <v>45660.32677083334</v>
      </c>
      <c r="F34" s="10" t="n">
        <v>45660.3819212963</v>
      </c>
      <c r="G34" s="10" t="n">
        <v>45660.38354166667</v>
      </c>
      <c r="H34" s="10" t="n">
        <v>45660.42012731481</v>
      </c>
      <c r="I34" s="10" t="n">
        <v>45660.42012731481</v>
      </c>
      <c r="J34" s="10" t="n">
        <v>45660.42116898148</v>
      </c>
      <c r="K34" s="11">
        <f>IF(AND(ISNUMBER(E34),ISNUMBER(F34)),(F34-E34),"")</f>
        <v/>
      </c>
      <c r="L34" s="11">
        <f>IF(AND(ISNUMBER(F34),ISNUMBER(G34)),(G34-F34),"")</f>
        <v/>
      </c>
      <c r="M34" s="11">
        <f>IF(AND(ISNUMBER(H34),ISNUMBER(I34)),(I34-H34),"")</f>
        <v/>
      </c>
      <c r="N34" s="11">
        <f>IF(AND(ISNUMBER(E34),ISNUMBER(J34)),(J34-E34),"")</f>
        <v/>
      </c>
    </row>
    <row r="35">
      <c r="A35" s="3" t="inlineStr">
        <is>
          <t>OBT030125105420-Wien Kledering</t>
        </is>
      </c>
      <c r="B35" s="3" t="inlineStr">
        <is>
          <t>Wien Kledering</t>
        </is>
      </c>
      <c r="C35" s="3" t="inlineStr">
        <is>
          <t>627</t>
        </is>
      </c>
      <c r="D35" s="3" t="n">
        <v>1</v>
      </c>
      <c r="E35" s="10" t="n">
        <v>45660.45200231481</v>
      </c>
      <c r="F35" s="10" t="n">
        <v>45660.45439814815</v>
      </c>
      <c r="G35" s="10" t="n">
        <v>45660.45524305556</v>
      </c>
      <c r="H35" s="10" t="n">
        <v>45660.50149305556</v>
      </c>
      <c r="I35" s="10" t="n">
        <v>45660.50149305556</v>
      </c>
      <c r="J35" s="10" t="n">
        <v>45660.50251157407</v>
      </c>
      <c r="K35" s="11">
        <f>IF(AND(ISNUMBER(E35),ISNUMBER(F35)),(F35-E35),"")</f>
        <v/>
      </c>
      <c r="L35" s="11">
        <f>IF(AND(ISNUMBER(F35),ISNUMBER(G35)),(G35-F35),"")</f>
        <v/>
      </c>
      <c r="M35" s="11">
        <f>IF(AND(ISNUMBER(H35),ISNUMBER(I35)),(I35-H35),"")</f>
        <v/>
      </c>
      <c r="N35" s="11">
        <f>IF(AND(ISNUMBER(E35),ISNUMBER(J35)),(J35-E35),"")</f>
        <v/>
      </c>
    </row>
    <row r="36">
      <c r="A36" s="3" t="inlineStr">
        <is>
          <t>OBT030125110012-Wien Kledering</t>
        </is>
      </c>
      <c r="B36" s="3" t="inlineStr">
        <is>
          <t>Wien Kledering</t>
        </is>
      </c>
      <c r="C36" s="3" t="inlineStr">
        <is>
          <t>605</t>
        </is>
      </c>
      <c r="D36" s="3" t="n">
        <v>1</v>
      </c>
      <c r="E36" s="10" t="n">
        <v>45660.45607638889</v>
      </c>
      <c r="F36" s="10" t="n">
        <v>45660.45847222222</v>
      </c>
      <c r="G36" s="10" t="n">
        <v>45660.45934027778</v>
      </c>
      <c r="H36" s="10" t="n">
        <v>45660.48473379629</v>
      </c>
      <c r="I36" s="10" t="n">
        <v>45660.48473379629</v>
      </c>
      <c r="J36" s="10" t="n">
        <v>45660.48567129629</v>
      </c>
      <c r="K36" s="11">
        <f>IF(AND(ISNUMBER(E36),ISNUMBER(F36)),(F36-E36),"")</f>
        <v/>
      </c>
      <c r="L36" s="11">
        <f>IF(AND(ISNUMBER(F36),ISNUMBER(G36)),(G36-F36),"")</f>
        <v/>
      </c>
      <c r="M36" s="11">
        <f>IF(AND(ISNUMBER(H36),ISNUMBER(I36)),(I36-H36),"")</f>
        <v/>
      </c>
      <c r="N36" s="11">
        <f>IF(AND(ISNUMBER(E36),ISNUMBER(J36)),(J36-E36),"")</f>
        <v/>
      </c>
    </row>
    <row r="37">
      <c r="A37" s="3" t="inlineStr">
        <is>
          <t>OBT030125131727-Wien Kledering</t>
        </is>
      </c>
      <c r="B37" s="3" t="inlineStr">
        <is>
          <t>Wien Kledering</t>
        </is>
      </c>
      <c r="C37" s="3" t="inlineStr">
        <is>
          <t>627</t>
        </is>
      </c>
      <c r="D37" s="3" t="n">
        <v>1</v>
      </c>
      <c r="E37" s="10" t="n">
        <v>45660.55142361111</v>
      </c>
      <c r="F37" s="10" t="n">
        <v>45660.55378472222</v>
      </c>
      <c r="G37" s="10" t="n">
        <v>45660.55465277778</v>
      </c>
      <c r="H37" s="10" t="n">
        <v>45660.60292824074</v>
      </c>
      <c r="I37" s="10" t="n">
        <v>45660.60292824074</v>
      </c>
      <c r="J37" s="10" t="n">
        <v>45660.60395833333</v>
      </c>
      <c r="K37" s="11">
        <f>IF(AND(ISNUMBER(E37),ISNUMBER(F37)),(F37-E37),"")</f>
        <v/>
      </c>
      <c r="L37" s="11">
        <f>IF(AND(ISNUMBER(F37),ISNUMBER(G37)),(G37-F37),"")</f>
        <v/>
      </c>
      <c r="M37" s="11">
        <f>IF(AND(ISNUMBER(H37),ISNUMBER(I37)),(I37-H37),"")</f>
        <v/>
      </c>
      <c r="N37" s="11">
        <f>IF(AND(ISNUMBER(E37),ISNUMBER(J37)),(J37-E37),"")</f>
        <v/>
      </c>
    </row>
    <row r="38">
      <c r="A38" s="3" t="inlineStr">
        <is>
          <t>OBT030125154014-Pitten (Hamburger)</t>
        </is>
      </c>
      <c r="B38" s="3" t="inlineStr">
        <is>
          <t>Pitten (Hamburger)</t>
        </is>
      </c>
      <c r="C38" s="3" t="inlineStr">
        <is>
          <t>627</t>
        </is>
      </c>
      <c r="D38" s="3" t="n">
        <v>1</v>
      </c>
      <c r="E38" s="10" t="n">
        <v>45660.65055555556</v>
      </c>
      <c r="F38" s="10" t="n">
        <v>45660.65293981481</v>
      </c>
      <c r="G38" s="10" t="n">
        <v>45660.65377314815</v>
      </c>
      <c r="H38" s="10" t="n">
        <v>45660.68226851852</v>
      </c>
      <c r="I38" s="10" t="n">
        <v>45660.68226851852</v>
      </c>
      <c r="J38" s="10" t="n">
        <v>45660.68304398148</v>
      </c>
      <c r="K38" s="11">
        <f>IF(AND(ISNUMBER(E38),ISNUMBER(F38)),(F38-E38),"")</f>
        <v/>
      </c>
      <c r="L38" s="11">
        <f>IF(AND(ISNUMBER(F38),ISNUMBER(G38)),(G38-F38),"")</f>
        <v/>
      </c>
      <c r="M38" s="11">
        <f>IF(AND(ISNUMBER(H38),ISNUMBER(I38)),(I38-H38),"")</f>
        <v/>
      </c>
      <c r="N38" s="11">
        <f>IF(AND(ISNUMBER(E38),ISNUMBER(J38)),(J38-E38),"")</f>
        <v/>
      </c>
    </row>
    <row r="39">
      <c r="A39" s="3" t="inlineStr">
        <is>
          <t>OBT030125160132-Wr. Neustadt Ausfahrbf (Furtenbach)</t>
        </is>
      </c>
      <c r="B39" s="3" t="inlineStr">
        <is>
          <t>Wr. Neustadt Ausfahrbf (Furtenbach)</t>
        </is>
      </c>
      <c r="C39" s="3" t="inlineStr">
        <is>
          <t>617</t>
        </is>
      </c>
      <c r="D39" s="3" t="n">
        <v>4</v>
      </c>
      <c r="E39" s="10" t="n">
        <v>45659.33913194444</v>
      </c>
      <c r="F39" s="10" t="n">
        <v>45660.66773148148</v>
      </c>
      <c r="G39" s="10" t="n">
        <v>45660.66859953704</v>
      </c>
      <c r="H39" s="10" t="n">
        <v>45660.6893287037</v>
      </c>
      <c r="I39" s="10" t="n">
        <v>45660.6893287037</v>
      </c>
      <c r="J39" s="10" t="n">
        <v>45660.69015046296</v>
      </c>
      <c r="K39" s="11">
        <f>IF(AND(ISNUMBER(E39),ISNUMBER(F39)),(F39-E39),"")</f>
        <v/>
      </c>
      <c r="L39" s="11">
        <f>IF(AND(ISNUMBER(F39),ISNUMBER(G39)),(G39-F39),"")</f>
        <v/>
      </c>
      <c r="M39" s="11">
        <f>IF(AND(ISNUMBER(H39),ISNUMBER(I39)),(I39-H39),"")</f>
        <v/>
      </c>
      <c r="N39" s="11">
        <f>IF(AND(ISNUMBER(E39),ISNUMBER(J39)),(J39-E39),"")</f>
        <v/>
      </c>
    </row>
    <row r="40">
      <c r="A40" s="3" t="inlineStr">
        <is>
          <t>OBT030125160747-Wien Kledering</t>
        </is>
      </c>
      <c r="B40" s="3" t="inlineStr">
        <is>
          <t>Wien Kledering</t>
        </is>
      </c>
      <c r="C40" s="3" t="inlineStr">
        <is>
          <t>605</t>
        </is>
      </c>
      <c r="D40" s="3" t="n">
        <v>2</v>
      </c>
      <c r="E40" s="10" t="n">
        <v>45660.60427083333</v>
      </c>
      <c r="F40" s="10" t="n">
        <v>45660.67207175926</v>
      </c>
      <c r="G40" s="10" t="n">
        <v>45660.67371527778</v>
      </c>
      <c r="H40" s="10" t="n">
        <v>45660.69556712963</v>
      </c>
      <c r="I40" s="10" t="n">
        <v>45660.69556712963</v>
      </c>
      <c r="J40" s="10" t="n">
        <v>45660.69645833333</v>
      </c>
      <c r="K40" s="11">
        <f>IF(AND(ISNUMBER(E40),ISNUMBER(F40)),(F40-E40),"")</f>
        <v/>
      </c>
      <c r="L40" s="11">
        <f>IF(AND(ISNUMBER(F40),ISNUMBER(G40)),(G40-F40),"")</f>
        <v/>
      </c>
      <c r="M40" s="11">
        <f>IF(AND(ISNUMBER(H40),ISNUMBER(I40)),(I40-H40),"")</f>
        <v/>
      </c>
      <c r="N40" s="11">
        <f>IF(AND(ISNUMBER(E40),ISNUMBER(J40)),(J40-E40),"")</f>
        <v/>
      </c>
    </row>
    <row r="41">
      <c r="A41" s="3" t="inlineStr">
        <is>
          <t>OBT030125173012-Wien Kledering</t>
        </is>
      </c>
      <c r="B41" s="3" t="inlineStr">
        <is>
          <t>Wien Kledering</t>
        </is>
      </c>
      <c r="C41" s="3" t="inlineStr">
        <is>
          <t>627</t>
        </is>
      </c>
      <c r="D41" s="3" t="n">
        <v>1</v>
      </c>
      <c r="E41" s="10" t="n">
        <v>45660.72690972222</v>
      </c>
      <c r="F41" s="10" t="n">
        <v>45660.72930555556</v>
      </c>
      <c r="G41" s="10" t="n">
        <v>45660.73015046296</v>
      </c>
      <c r="H41" s="10" t="n">
        <v>45660.77856481481</v>
      </c>
      <c r="I41" s="10" t="n">
        <v>45660.77856481481</v>
      </c>
      <c r="J41" s="10" t="n">
        <v>45660.77960648148</v>
      </c>
      <c r="K41" s="11">
        <f>IF(AND(ISNUMBER(E41),ISNUMBER(F41)),(F41-E41),"")</f>
        <v/>
      </c>
      <c r="L41" s="11">
        <f>IF(AND(ISNUMBER(F41),ISNUMBER(G41)),(G41-F41),"")</f>
        <v/>
      </c>
      <c r="M41" s="11">
        <f>IF(AND(ISNUMBER(H41),ISNUMBER(I41)),(I41-H41),"")</f>
        <v/>
      </c>
      <c r="N41" s="11">
        <f>IF(AND(ISNUMBER(E41),ISNUMBER(J41)),(J41-E41),"")</f>
        <v/>
      </c>
    </row>
    <row r="42">
      <c r="A42" s="3" t="inlineStr">
        <is>
          <t>OBT030125203217-Other sidings north</t>
        </is>
      </c>
      <c r="B42" s="3" t="inlineStr">
        <is>
          <t>Other sidings north</t>
        </is>
      </c>
      <c r="C42" s="3" t="inlineStr">
        <is>
          <t>629</t>
        </is>
      </c>
      <c r="D42" s="3" t="n">
        <v>4</v>
      </c>
      <c r="E42" s="10" t="n">
        <v>45660.26278935185</v>
      </c>
      <c r="F42" s="10" t="n">
        <v>45660.85575231481</v>
      </c>
      <c r="G42" s="10" t="n">
        <v>45660.85662037037</v>
      </c>
      <c r="H42" s="10" t="n">
        <v>45660.87576388889</v>
      </c>
      <c r="I42" s="10" t="n">
        <v>45660.87576388889</v>
      </c>
      <c r="J42" s="10" t="n">
        <v>45660.87640046296</v>
      </c>
      <c r="K42" s="11">
        <f>IF(AND(ISNUMBER(E42),ISNUMBER(F42)),(F42-E42),"")</f>
        <v/>
      </c>
      <c r="L42" s="11">
        <f>IF(AND(ISNUMBER(F42),ISNUMBER(G42)),(G42-F42),"")</f>
        <v/>
      </c>
      <c r="M42" s="11">
        <f>IF(AND(ISNUMBER(H42),ISNUMBER(I42)),(I42-H42),"")</f>
        <v/>
      </c>
      <c r="N42" s="11">
        <f>IF(AND(ISNUMBER(E42),ISNUMBER(J42)),(J42-E42),"")</f>
        <v/>
      </c>
    </row>
    <row r="43">
      <c r="A43" s="3" t="inlineStr">
        <is>
          <t>OBT030125203727-Wr. Neustadt (Hödlmayr)</t>
        </is>
      </c>
      <c r="B43" s="3" t="inlineStr">
        <is>
          <t>Wr. Neustadt (Hödlmayr)</t>
        </is>
      </c>
      <c r="C43" s="3" t="inlineStr">
        <is>
          <t>613</t>
        </is>
      </c>
      <c r="D43" s="3" t="n">
        <v>3</v>
      </c>
      <c r="E43" s="10" t="n">
        <v>45660.3225</v>
      </c>
      <c r="F43" s="10" t="n">
        <v>45660.85934027778</v>
      </c>
      <c r="G43" s="10" t="n">
        <v>45660.86020833333</v>
      </c>
      <c r="H43" s="10" t="n">
        <v>45660.89302083333</v>
      </c>
      <c r="I43" s="10" t="n">
        <v>45660.89302083333</v>
      </c>
      <c r="J43" s="10" t="n">
        <v>45660.89388888889</v>
      </c>
      <c r="K43" s="11">
        <f>IF(AND(ISNUMBER(E43),ISNUMBER(F43)),(F43-E43),"")</f>
        <v/>
      </c>
      <c r="L43" s="11">
        <f>IF(AND(ISNUMBER(F43),ISNUMBER(G43)),(G43-F43),"")</f>
        <v/>
      </c>
      <c r="M43" s="11">
        <f>IF(AND(ISNUMBER(H43),ISNUMBER(I43)),(I43-H43),"")</f>
        <v/>
      </c>
      <c r="N43" s="11">
        <f>IF(AND(ISNUMBER(E43),ISNUMBER(J43)),(J43-E43),"")</f>
        <v/>
      </c>
    </row>
    <row r="44">
      <c r="A44" s="3" t="inlineStr">
        <is>
          <t>OBT030125204417-Ebenfurth (beet loading)</t>
        </is>
      </c>
      <c r="B44" s="3" t="inlineStr">
        <is>
          <t>Ebenfurth (beet loading)</t>
        </is>
      </c>
      <c r="C44" s="3" t="inlineStr">
        <is>
          <t>619</t>
        </is>
      </c>
      <c r="D44" s="3" t="n">
        <v>3</v>
      </c>
      <c r="E44" s="10" t="n">
        <v>45660.64829861111</v>
      </c>
      <c r="F44" s="10" t="n">
        <v>45660.86408564815</v>
      </c>
      <c r="G44" s="10" t="n">
        <v>45660.87092592593</v>
      </c>
      <c r="H44" s="10" t="n">
        <v>45660.90098379629</v>
      </c>
      <c r="I44" s="10" t="n">
        <v>45660.90098379629</v>
      </c>
      <c r="J44" s="10" t="n">
        <v>45660.90193287037</v>
      </c>
      <c r="K44" s="11">
        <f>IF(AND(ISNUMBER(E44),ISNUMBER(F44)),(F44-E44),"")</f>
        <v/>
      </c>
      <c r="L44" s="11">
        <f>IF(AND(ISNUMBER(F44),ISNUMBER(G44)),(G44-F44),"")</f>
        <v/>
      </c>
      <c r="M44" s="11">
        <f>IF(AND(ISNUMBER(H44),ISNUMBER(I44)),(I44-H44),"")</f>
        <v/>
      </c>
      <c r="N44" s="11">
        <f>IF(AND(ISNUMBER(E44),ISNUMBER(J44)),(J44-E44),"")</f>
        <v/>
      </c>
    </row>
    <row r="45">
      <c r="A45" s="3" t="inlineStr">
        <is>
          <t>OBT030125204535-Pitten (Hamburger)</t>
        </is>
      </c>
      <c r="B45" s="3" t="inlineStr">
        <is>
          <t>Pitten (Hamburger)</t>
        </is>
      </c>
      <c r="C45" s="3" t="inlineStr">
        <is>
          <t>627</t>
        </is>
      </c>
      <c r="D45" s="3" t="n">
        <v>2</v>
      </c>
      <c r="E45" s="10" t="n">
        <v>45660.85734953704</v>
      </c>
      <c r="F45" s="10" t="n">
        <v>45660.86498842593</v>
      </c>
      <c r="G45" s="10" t="n">
        <v>45660.8775</v>
      </c>
      <c r="H45" s="10" t="n">
        <v>45660.9099074074</v>
      </c>
      <c r="I45" s="10" t="n">
        <v>45660.9099074074</v>
      </c>
      <c r="J45" s="10" t="n">
        <v>45660.91072916667</v>
      </c>
      <c r="K45" s="11">
        <f>IF(AND(ISNUMBER(E45),ISNUMBER(F45)),(F45-E45),"")</f>
        <v/>
      </c>
      <c r="L45" s="11">
        <f>IF(AND(ISNUMBER(F45),ISNUMBER(G45)),(G45-F45),"")</f>
        <v/>
      </c>
      <c r="M45" s="11">
        <f>IF(AND(ISNUMBER(H45),ISNUMBER(I45)),(I45-H45),"")</f>
        <v/>
      </c>
      <c r="N45" s="11">
        <f>IF(AND(ISNUMBER(E45),ISNUMBER(J45)),(J45-E45),"")</f>
        <v/>
      </c>
    </row>
    <row r="46">
      <c r="A46" s="3" t="inlineStr">
        <is>
          <t>OBT030125205107-Other sidings local</t>
        </is>
      </c>
      <c r="B46" s="3" t="inlineStr">
        <is>
          <t>Other sidings local</t>
        </is>
      </c>
      <c r="C46" s="3" t="inlineStr">
        <is>
          <t>607</t>
        </is>
      </c>
      <c r="D46" s="3" t="n">
        <v>6</v>
      </c>
      <c r="E46" s="10" t="n">
        <v>45659.33150462963</v>
      </c>
      <c r="F46" s="10" t="n">
        <v>45660.86883101852</v>
      </c>
      <c r="G46" s="10" t="n">
        <v>45660.89475694444</v>
      </c>
      <c r="H46" s="10" t="n">
        <v>45660.91472222222</v>
      </c>
      <c r="I46" s="10" t="n">
        <v>45660.91472222222</v>
      </c>
      <c r="J46" s="10" t="n">
        <v>45660.91559027778</v>
      </c>
      <c r="K46" s="11">
        <f>IF(AND(ISNUMBER(E46),ISNUMBER(F46)),(F46-E46),"")</f>
        <v/>
      </c>
      <c r="L46" s="11">
        <f>IF(AND(ISNUMBER(F46),ISNUMBER(G46)),(G46-F46),"")</f>
        <v/>
      </c>
      <c r="M46" s="11">
        <f>IF(AND(ISNUMBER(H46),ISNUMBER(I46)),(I46-H46),"")</f>
        <v/>
      </c>
      <c r="N46" s="11">
        <f>IF(AND(ISNUMBER(E46),ISNUMBER(J46)),(J46-E46),"")</f>
        <v/>
      </c>
    </row>
    <row r="47">
      <c r="A47" s="3" t="inlineStr">
        <is>
          <t>OBT030125220232-Neudörfl (FunderMax)</t>
        </is>
      </c>
      <c r="B47" s="3" t="inlineStr">
        <is>
          <t>Neudörfl (FunderMax)</t>
        </is>
      </c>
      <c r="C47" s="3" t="inlineStr">
        <is>
          <t>611</t>
        </is>
      </c>
      <c r="D47" s="3" t="n">
        <v>5</v>
      </c>
      <c r="E47" s="10" t="n">
        <v>45660.25890046296</v>
      </c>
      <c r="F47" s="10" t="n">
        <v>45660.91842592593</v>
      </c>
      <c r="G47" s="10" t="n">
        <v>45660.91929398148</v>
      </c>
      <c r="H47" s="10" t="n">
        <v>45660.9384375</v>
      </c>
      <c r="I47" s="10" t="n">
        <v>45660.9384375</v>
      </c>
      <c r="J47" s="10" t="n">
        <v>45660.93917824074</v>
      </c>
      <c r="K47" s="11">
        <f>IF(AND(ISNUMBER(E47),ISNUMBER(F47)),(F47-E47),"")</f>
        <v/>
      </c>
      <c r="L47" s="11">
        <f>IF(AND(ISNUMBER(F47),ISNUMBER(G47)),(G47-F47),"")</f>
        <v/>
      </c>
      <c r="M47" s="11">
        <f>IF(AND(ISNUMBER(H47),ISNUMBER(I47)),(I47-H47),"")</f>
        <v/>
      </c>
      <c r="N47" s="11">
        <f>IF(AND(ISNUMBER(E47),ISNUMBER(J47)),(J47-E47),"")</f>
        <v/>
      </c>
    </row>
    <row r="48">
      <c r="A48" s="3" t="inlineStr">
        <is>
          <t>OBT030125220353-Other sidings south</t>
        </is>
      </c>
      <c r="B48" s="3" t="inlineStr">
        <is>
          <t>Other sidings south</t>
        </is>
      </c>
      <c r="C48" s="3" t="inlineStr">
        <is>
          <t>615</t>
        </is>
      </c>
      <c r="D48" s="3" t="n">
        <v>3</v>
      </c>
      <c r="E48" s="10" t="n">
        <v>45660.31938657408</v>
      </c>
      <c r="F48" s="10" t="n">
        <v>45660.91936342593</v>
      </c>
      <c r="G48" s="10" t="n">
        <v>45660.92020833334</v>
      </c>
      <c r="H48" s="10" t="n">
        <v>45660.94625</v>
      </c>
      <c r="I48" s="10" t="n">
        <v>45660.94625</v>
      </c>
      <c r="J48" s="10" t="n">
        <v>45660.94706018519</v>
      </c>
      <c r="K48" s="11">
        <f>IF(AND(ISNUMBER(E48),ISNUMBER(F48)),(F48-E48),"")</f>
        <v/>
      </c>
      <c r="L48" s="11">
        <f>IF(AND(ISNUMBER(F48),ISNUMBER(G48)),(G48-F48),"")</f>
        <v/>
      </c>
      <c r="M48" s="11">
        <f>IF(AND(ISNUMBER(H48),ISNUMBER(I48)),(I48-H48),"")</f>
        <v/>
      </c>
      <c r="N48" s="11">
        <f>IF(AND(ISNUMBER(E48),ISNUMBER(J48)),(J48-E48),"")</f>
        <v/>
      </c>
    </row>
    <row r="49">
      <c r="A49" s="3" t="inlineStr">
        <is>
          <t>OBT040125055908-Ebenfurth (beet loading)</t>
        </is>
      </c>
      <c r="B49" s="3" t="inlineStr">
        <is>
          <t>Ebenfurth (beet loading)</t>
        </is>
      </c>
      <c r="C49" s="3" t="inlineStr">
        <is>
          <t>615</t>
        </is>
      </c>
      <c r="D49" s="3" t="n">
        <v>1</v>
      </c>
      <c r="E49" s="10" t="n">
        <v>45661.24702546297</v>
      </c>
      <c r="F49" s="10" t="n">
        <v>45661.24939814815</v>
      </c>
      <c r="G49" s="10" t="n">
        <v>45661.25024305555</v>
      </c>
      <c r="H49" s="10" t="n">
        <v>45661.28849537037</v>
      </c>
      <c r="I49" s="10" t="n">
        <v>45661.28849537037</v>
      </c>
      <c r="J49" s="10" t="n">
        <v>45661.28946759259</v>
      </c>
      <c r="K49" s="11">
        <f>IF(AND(ISNUMBER(E49),ISNUMBER(F49)),(F49-E49),"")</f>
        <v/>
      </c>
      <c r="L49" s="11">
        <f>IF(AND(ISNUMBER(F49),ISNUMBER(G49)),(G49-F49),"")</f>
        <v/>
      </c>
      <c r="M49" s="11">
        <f>IF(AND(ISNUMBER(H49),ISNUMBER(I49)),(I49-H49),"")</f>
        <v/>
      </c>
      <c r="N49" s="11">
        <f>IF(AND(ISNUMBER(E49),ISNUMBER(J49)),(J49-E49),"")</f>
        <v/>
      </c>
    </row>
    <row r="50">
      <c r="A50" s="3" t="inlineStr">
        <is>
          <t>OBT050125180143-Pitten (Hamburger)</t>
        </is>
      </c>
      <c r="B50" s="3" t="inlineStr">
        <is>
          <t>Pitten (Hamburger)</t>
        </is>
      </c>
      <c r="C50" s="3" t="inlineStr">
        <is>
          <t>619</t>
        </is>
      </c>
      <c r="D50" s="3" t="n">
        <v>4</v>
      </c>
      <c r="E50" s="10" t="n">
        <v>45660.89763888889</v>
      </c>
      <c r="F50" s="10" t="n">
        <v>45662.75119212963</v>
      </c>
      <c r="G50" s="10" t="n">
        <v>45662.75206018519</v>
      </c>
      <c r="H50" s="10" t="n">
        <v>45662.82103009259</v>
      </c>
      <c r="I50" s="10" t="n">
        <v>45662.82103009259</v>
      </c>
      <c r="J50" s="10" t="n">
        <v>45662.8225</v>
      </c>
      <c r="K50" s="11">
        <f>IF(AND(ISNUMBER(E50),ISNUMBER(F50)),(F50-E50),"")</f>
        <v/>
      </c>
      <c r="L50" s="11">
        <f>IF(AND(ISNUMBER(F50),ISNUMBER(G50)),(G50-F50),"")</f>
        <v/>
      </c>
      <c r="M50" s="11">
        <f>IF(AND(ISNUMBER(H50),ISNUMBER(I50)),(I50-H50),"")</f>
        <v/>
      </c>
      <c r="N50" s="11">
        <f>IF(AND(ISNUMBER(E50),ISNUMBER(J50)),(J50-E50),"")</f>
        <v/>
      </c>
    </row>
    <row r="51">
      <c r="A51" s="3" t="inlineStr">
        <is>
          <t>OBT050125180350-Neudörfl (FunderMax)</t>
        </is>
      </c>
      <c r="B51" s="3" t="inlineStr">
        <is>
          <t>Neudörfl (FunderMax)</t>
        </is>
      </c>
      <c r="C51" s="3" t="inlineStr">
        <is>
          <t>613</t>
        </is>
      </c>
      <c r="D51" s="3" t="n">
        <v>2</v>
      </c>
      <c r="E51" s="10" t="n">
        <v>45661.24831018518</v>
      </c>
      <c r="F51" s="10" t="n">
        <v>45662.75266203703</v>
      </c>
      <c r="G51" s="10" t="n">
        <v>45662.75349537037</v>
      </c>
      <c r="H51" s="10" t="n">
        <v>45662.7740162037</v>
      </c>
      <c r="I51" s="10" t="n">
        <v>45662.7740162037</v>
      </c>
      <c r="J51" s="10" t="n">
        <v>45662.77472222222</v>
      </c>
      <c r="K51" s="11">
        <f>IF(AND(ISNUMBER(E51),ISNUMBER(F51)),(F51-E51),"")</f>
        <v/>
      </c>
      <c r="L51" s="11">
        <f>IF(AND(ISNUMBER(F51),ISNUMBER(G51)),(G51-F51),"")</f>
        <v/>
      </c>
      <c r="M51" s="11">
        <f>IF(AND(ISNUMBER(H51),ISNUMBER(I51)),(I51-H51),"")</f>
        <v/>
      </c>
      <c r="N51" s="11">
        <f>IF(AND(ISNUMBER(E51),ISNUMBER(J51)),(J51-E51),"")</f>
        <v/>
      </c>
    </row>
    <row r="52">
      <c r="A52" s="3" t="inlineStr">
        <is>
          <t>OBT050125203113-Pitten (Hamburger)</t>
        </is>
      </c>
      <c r="B52" s="3" t="inlineStr">
        <is>
          <t>Pitten (Hamburger)</t>
        </is>
      </c>
      <c r="C52" s="3" t="inlineStr">
        <is>
          <t>613</t>
        </is>
      </c>
      <c r="D52" s="3" t="n">
        <v>1</v>
      </c>
      <c r="E52" s="10" t="n">
        <v>45662.85261574074</v>
      </c>
      <c r="F52" s="10" t="n">
        <v>45662.85501157407</v>
      </c>
      <c r="G52" s="10" t="n">
        <v>45662.8558449074</v>
      </c>
      <c r="H52" s="10" t="n">
        <v>45662.93028935185</v>
      </c>
      <c r="I52" s="10" t="n">
        <v>45662.93028935185</v>
      </c>
      <c r="J52" s="10" t="n">
        <v>45662.93170138889</v>
      </c>
      <c r="K52" s="11">
        <f>IF(AND(ISNUMBER(E52),ISNUMBER(F52)),(F52-E52),"")</f>
        <v/>
      </c>
      <c r="L52" s="11">
        <f>IF(AND(ISNUMBER(F52),ISNUMBER(G52)),(G52-F52),"")</f>
        <v/>
      </c>
      <c r="M52" s="11">
        <f>IF(AND(ISNUMBER(H52),ISNUMBER(I52)),(I52-H52),"")</f>
        <v/>
      </c>
      <c r="N52" s="11">
        <f>IF(AND(ISNUMBER(E52),ISNUMBER(J52)),(J52-E52),"")</f>
        <v/>
      </c>
    </row>
    <row r="53">
      <c r="A53" s="3" t="inlineStr">
        <is>
          <t>OBT050125203708-Pitten (Hamburger)</t>
        </is>
      </c>
      <c r="B53" s="3" t="inlineStr">
        <is>
          <t>Pitten (Hamburger)</t>
        </is>
      </c>
      <c r="C53" s="3" t="inlineStr">
        <is>
          <t>619</t>
        </is>
      </c>
      <c r="D53" s="3" t="n">
        <v>1</v>
      </c>
      <c r="E53" s="10" t="n">
        <v>45662.85672453704</v>
      </c>
      <c r="F53" s="10" t="n">
        <v>45662.85912037037</v>
      </c>
      <c r="G53" s="10" t="n">
        <v>45662.85998842592</v>
      </c>
      <c r="H53" s="10" t="n">
        <v>45662.87755787037</v>
      </c>
      <c r="I53" s="10" t="n">
        <v>45662.87755787037</v>
      </c>
      <c r="J53" s="10" t="n">
        <v>45662.87833333333</v>
      </c>
      <c r="K53" s="11">
        <f>IF(AND(ISNUMBER(E53),ISNUMBER(F53)),(F53-E53),"")</f>
        <v/>
      </c>
      <c r="L53" s="11">
        <f>IF(AND(ISNUMBER(F53),ISNUMBER(G53)),(G53-F53),"")</f>
        <v/>
      </c>
      <c r="M53" s="11">
        <f>IF(AND(ISNUMBER(H53),ISNUMBER(I53)),(I53-H53),"")</f>
        <v/>
      </c>
      <c r="N53" s="11">
        <f>IF(AND(ISNUMBER(E53),ISNUMBER(J53)),(J53-E53),"")</f>
        <v/>
      </c>
    </row>
    <row r="54">
      <c r="A54" s="3" t="inlineStr">
        <is>
          <t>OBT060125175612-Pitten (Hamburger)</t>
        </is>
      </c>
      <c r="B54" s="3" t="inlineStr">
        <is>
          <t>Pitten (Hamburger)</t>
        </is>
      </c>
      <c r="C54" s="3" t="inlineStr">
        <is>
          <t>613</t>
        </is>
      </c>
      <c r="D54" s="3" t="n">
        <v>1</v>
      </c>
      <c r="E54" s="10" t="n">
        <v>45663.745</v>
      </c>
      <c r="F54" s="10" t="n">
        <v>45663.74736111111</v>
      </c>
      <c r="G54" s="10" t="n">
        <v>45663.74822916667</v>
      </c>
      <c r="H54" s="10" t="n">
        <v>45663.79013888889</v>
      </c>
      <c r="I54" s="10" t="n">
        <v>45663.79013888889</v>
      </c>
      <c r="J54" s="10" t="n">
        <v>45663.79112268519</v>
      </c>
      <c r="K54" s="11">
        <f>IF(AND(ISNUMBER(E54),ISNUMBER(F54)),(F54-E54),"")</f>
        <v/>
      </c>
      <c r="L54" s="11">
        <f>IF(AND(ISNUMBER(F54),ISNUMBER(G54)),(G54-F54),"")</f>
        <v/>
      </c>
      <c r="M54" s="11">
        <f>IF(AND(ISNUMBER(H54),ISNUMBER(I54)),(I54-H54),"")</f>
        <v/>
      </c>
      <c r="N54" s="11">
        <f>IF(AND(ISNUMBER(E54),ISNUMBER(J54)),(J54-E54),"")</f>
        <v/>
      </c>
    </row>
    <row r="55">
      <c r="A55" s="3" t="inlineStr">
        <is>
          <t>OBT070125031735-Neunkirchen (loading tracks)</t>
        </is>
      </c>
      <c r="B55" s="3" t="inlineStr">
        <is>
          <t>Neunkirchen (loading tracks)</t>
        </is>
      </c>
      <c r="C55" s="3" t="inlineStr">
        <is>
          <t>623</t>
        </is>
      </c>
      <c r="D55" s="3" t="n">
        <v>4</v>
      </c>
      <c r="E55" s="10" t="n">
        <v>45660.3212037037</v>
      </c>
      <c r="F55" s="10" t="n">
        <v>45664.13721064815</v>
      </c>
      <c r="G55" s="10" t="n">
        <v>45664.13804398148</v>
      </c>
      <c r="H55" s="10" t="n">
        <v>45664.18449074074</v>
      </c>
      <c r="I55" s="10" t="n">
        <v>45664.18449074074</v>
      </c>
      <c r="J55" s="10" t="n">
        <v>45664.18564814814</v>
      </c>
      <c r="K55" s="11">
        <f>IF(AND(ISNUMBER(E55),ISNUMBER(F55)),(F55-E55),"")</f>
        <v/>
      </c>
      <c r="L55" s="11">
        <f>IF(AND(ISNUMBER(F55),ISNUMBER(G55)),(G55-F55),"")</f>
        <v/>
      </c>
      <c r="M55" s="11">
        <f>IF(AND(ISNUMBER(H55),ISNUMBER(I55)),(I55-H55),"")</f>
        <v/>
      </c>
      <c r="N55" s="11">
        <f>IF(AND(ISNUMBER(E55),ISNUMBER(J55)),(J55-E55),"")</f>
        <v/>
      </c>
    </row>
    <row r="56">
      <c r="A56" s="3" t="inlineStr">
        <is>
          <t>OBT070125031850-Ebenfurth (beet loading)</t>
        </is>
      </c>
      <c r="B56" s="3" t="inlineStr">
        <is>
          <t>Ebenfurth (beet loading)</t>
        </is>
      </c>
      <c r="C56" s="3" t="inlineStr">
        <is>
          <t>615</t>
        </is>
      </c>
      <c r="D56" s="3" t="n">
        <v>2</v>
      </c>
      <c r="E56" s="10" t="n">
        <v>45662.74461805556</v>
      </c>
      <c r="F56" s="10" t="n">
        <v>45664.13807870371</v>
      </c>
      <c r="G56" s="10" t="n">
        <v>45664.13894675926</v>
      </c>
      <c r="H56" s="10" t="n">
        <v>45664.16282407408</v>
      </c>
      <c r="I56" s="10" t="n">
        <v>45664.16282407408</v>
      </c>
      <c r="J56" s="10" t="n">
        <v>45664.16361111111</v>
      </c>
      <c r="K56" s="11">
        <f>IF(AND(ISNUMBER(E56),ISNUMBER(F56)),(F56-E56),"")</f>
        <v/>
      </c>
      <c r="L56" s="11">
        <f>IF(AND(ISNUMBER(F56),ISNUMBER(G56)),(G56-F56),"")</f>
        <v/>
      </c>
      <c r="M56" s="11">
        <f>IF(AND(ISNUMBER(H56),ISNUMBER(I56)),(I56-H56),"")</f>
        <v/>
      </c>
      <c r="N56" s="11">
        <f>IF(AND(ISNUMBER(E56),ISNUMBER(J56)),(J56-E56),"")</f>
        <v/>
      </c>
    </row>
    <row r="57">
      <c r="A57" s="3" t="inlineStr">
        <is>
          <t>OBT070125064820-Wien Kledering</t>
        </is>
      </c>
      <c r="B57" s="3" t="inlineStr">
        <is>
          <t>Wien Kledering</t>
        </is>
      </c>
      <c r="C57" s="3" t="inlineStr">
        <is>
          <t>615</t>
        </is>
      </c>
      <c r="D57" s="3" t="n">
        <v>1</v>
      </c>
      <c r="E57" s="10" t="n">
        <v>45664.28119212963</v>
      </c>
      <c r="F57" s="10" t="n">
        <v>45664.28356481482</v>
      </c>
      <c r="G57" s="10" t="n">
        <v>45664.28443287037</v>
      </c>
      <c r="H57" s="10" t="n">
        <v>45664.33599537037</v>
      </c>
      <c r="I57" s="10" t="n">
        <v>45664.33599537037</v>
      </c>
      <c r="J57" s="10" t="n">
        <v>45664.3371412037</v>
      </c>
      <c r="K57" s="11">
        <f>IF(AND(ISNUMBER(E57),ISNUMBER(F57)),(F57-E57),"")</f>
        <v/>
      </c>
      <c r="L57" s="11">
        <f>IF(AND(ISNUMBER(F57),ISNUMBER(G57)),(G57-F57),"")</f>
        <v/>
      </c>
      <c r="M57" s="11">
        <f>IF(AND(ISNUMBER(H57),ISNUMBER(I57)),(I57-H57),"")</f>
        <v/>
      </c>
      <c r="N57" s="11">
        <f>IF(AND(ISNUMBER(E57),ISNUMBER(J57)),(J57-E57),"")</f>
        <v/>
      </c>
    </row>
    <row r="58">
      <c r="A58" s="3" t="inlineStr">
        <is>
          <t>OBT070125074225-Wien Kledering</t>
        </is>
      </c>
      <c r="B58" s="3" t="inlineStr">
        <is>
          <t>Wien Kledering</t>
        </is>
      </c>
      <c r="C58" s="3" t="inlineStr">
        <is>
          <t>619</t>
        </is>
      </c>
      <c r="D58" s="3" t="n">
        <v>1</v>
      </c>
      <c r="E58" s="10" t="n">
        <v>45664.31876157408</v>
      </c>
      <c r="F58" s="10" t="n">
        <v>45664.32112268519</v>
      </c>
      <c r="G58" s="10" t="n">
        <v>45664.32196759259</v>
      </c>
      <c r="H58" s="10" t="n">
        <v>45664.39082175926</v>
      </c>
      <c r="I58" s="10" t="n">
        <v>45664.39082175926</v>
      </c>
      <c r="J58" s="10" t="n">
        <v>45664.39228009259</v>
      </c>
      <c r="K58" s="11">
        <f>IF(AND(ISNUMBER(E58),ISNUMBER(F58)),(F58-E58),"")</f>
        <v/>
      </c>
      <c r="L58" s="11">
        <f>IF(AND(ISNUMBER(F58),ISNUMBER(G58)),(G58-F58),"")</f>
        <v/>
      </c>
      <c r="M58" s="11">
        <f>IF(AND(ISNUMBER(H58),ISNUMBER(I58)),(I58-H58),"")</f>
        <v/>
      </c>
      <c r="N58" s="11">
        <f>IF(AND(ISNUMBER(E58),ISNUMBER(J58)),(J58-E58),"")</f>
        <v/>
      </c>
    </row>
    <row r="59">
      <c r="A59" s="3" t="inlineStr">
        <is>
          <t>OBT070125074625-Wien Kledering</t>
        </is>
      </c>
      <c r="B59" s="3" t="inlineStr">
        <is>
          <t>Wien Kledering</t>
        </is>
      </c>
      <c r="C59" s="3" t="inlineStr">
        <is>
          <t>607</t>
        </is>
      </c>
      <c r="D59" s="3" t="n">
        <v>1</v>
      </c>
      <c r="E59" s="10" t="n">
        <v>45664.32150462963</v>
      </c>
      <c r="F59" s="10" t="n">
        <v>45664.32390046296</v>
      </c>
      <c r="G59" s="10" t="n">
        <v>45664.33782407407</v>
      </c>
      <c r="H59" s="10" t="n">
        <v>45664.37078703703</v>
      </c>
      <c r="I59" s="10" t="n">
        <v>45664.37078703703</v>
      </c>
      <c r="J59" s="10" t="n">
        <v>45664.37181712963</v>
      </c>
      <c r="K59" s="11">
        <f>IF(AND(ISNUMBER(E59),ISNUMBER(F59)),(F59-E59),"")</f>
        <v/>
      </c>
      <c r="L59" s="11">
        <f>IF(AND(ISNUMBER(F59),ISNUMBER(G59)),(G59-F59),"")</f>
        <v/>
      </c>
      <c r="M59" s="11">
        <f>IF(AND(ISNUMBER(H59),ISNUMBER(I59)),(I59-H59),"")</f>
        <v/>
      </c>
      <c r="N59" s="11">
        <f>IF(AND(ISNUMBER(E59),ISNUMBER(J59)),(J59-E59),"")</f>
        <v/>
      </c>
    </row>
    <row r="60">
      <c r="A60" s="3" t="inlineStr">
        <is>
          <t>OBT070125075235-Neudörfl (FunderMax)</t>
        </is>
      </c>
      <c r="B60" s="3" t="inlineStr">
        <is>
          <t>Neudörfl (FunderMax)</t>
        </is>
      </c>
      <c r="C60" s="3" t="inlineStr">
        <is>
          <t>627</t>
        </is>
      </c>
      <c r="D60" s="3" t="n">
        <v>5</v>
      </c>
      <c r="E60" s="10" t="n">
        <v>45660.89951388889</v>
      </c>
      <c r="F60" s="10" t="n">
        <v>45664.32818287037</v>
      </c>
      <c r="G60" s="10" t="n">
        <v>45664.34056712963</v>
      </c>
      <c r="H60" s="10" t="n">
        <v>45664.3603125</v>
      </c>
      <c r="I60" s="10" t="n">
        <v>45664.3603125</v>
      </c>
      <c r="J60" s="10" t="n">
        <v>45664.36096064815</v>
      </c>
      <c r="K60" s="11">
        <f>IF(AND(ISNUMBER(E60),ISNUMBER(F60)),(F60-E60),"")</f>
        <v/>
      </c>
      <c r="L60" s="11">
        <f>IF(AND(ISNUMBER(F60),ISNUMBER(G60)),(G60-F60),"")</f>
        <v/>
      </c>
      <c r="M60" s="11">
        <f>IF(AND(ISNUMBER(H60),ISNUMBER(I60)),(I60-H60),"")</f>
        <v/>
      </c>
      <c r="N60" s="11">
        <f>IF(AND(ISNUMBER(E60),ISNUMBER(J60)),(J60-E60),"")</f>
        <v/>
      </c>
    </row>
    <row r="61">
      <c r="A61" s="3" t="inlineStr">
        <is>
          <t>OBT070125080206-Other sidings north</t>
        </is>
      </c>
      <c r="B61" s="3" t="inlineStr">
        <is>
          <t>Other sidings north</t>
        </is>
      </c>
      <c r="C61" s="3" t="inlineStr">
        <is>
          <t>617</t>
        </is>
      </c>
      <c r="D61" s="3" t="n">
        <v>4</v>
      </c>
      <c r="E61" s="10" t="n">
        <v>45660.90283564815</v>
      </c>
      <c r="F61" s="10" t="n">
        <v>45664.33479166667</v>
      </c>
      <c r="G61" s="10" t="n">
        <v>45664.36684027778</v>
      </c>
      <c r="H61" s="10" t="n">
        <v>45664.40400462963</v>
      </c>
      <c r="I61" s="10" t="n">
        <v>45664.40400462963</v>
      </c>
      <c r="J61" s="10" t="n">
        <v>45664.4050462963</v>
      </c>
      <c r="K61" s="11">
        <f>IF(AND(ISNUMBER(E61),ISNUMBER(F61)),(F61-E61),"")</f>
        <v/>
      </c>
      <c r="L61" s="11">
        <f>IF(AND(ISNUMBER(F61),ISNUMBER(G61)),(G61-F61),"")</f>
        <v/>
      </c>
      <c r="M61" s="11">
        <f>IF(AND(ISNUMBER(H61),ISNUMBER(I61)),(I61-H61),"")</f>
        <v/>
      </c>
      <c r="N61" s="11">
        <f>IF(AND(ISNUMBER(E61),ISNUMBER(J61)),(J61-E61),"")</f>
        <v/>
      </c>
    </row>
    <row r="62">
      <c r="A62" s="3" t="inlineStr">
        <is>
          <t>OBT070125084304-Wien Kledering</t>
        </is>
      </c>
      <c r="B62" s="3" t="inlineStr">
        <is>
          <t>Wien Kledering</t>
        </is>
      </c>
      <c r="C62" s="3" t="inlineStr">
        <is>
          <t>615</t>
        </is>
      </c>
      <c r="D62" s="3" t="n">
        <v>2</v>
      </c>
      <c r="E62" s="10" t="n">
        <v>45664.33133101852</v>
      </c>
      <c r="F62" s="10" t="n">
        <v>45664.36324074074</v>
      </c>
      <c r="G62" s="10" t="n">
        <v>45664.37252314815</v>
      </c>
      <c r="H62" s="10" t="n">
        <v>45664.42137731481</v>
      </c>
      <c r="I62" s="10" t="n">
        <v>45664.42137731481</v>
      </c>
      <c r="J62" s="10" t="n">
        <v>45664.42248842592</v>
      </c>
      <c r="K62" s="11">
        <f>IF(AND(ISNUMBER(E62),ISNUMBER(F62)),(F62-E62),"")</f>
        <v/>
      </c>
      <c r="L62" s="11">
        <f>IF(AND(ISNUMBER(F62),ISNUMBER(G62)),(G62-F62),"")</f>
        <v/>
      </c>
      <c r="M62" s="11">
        <f>IF(AND(ISNUMBER(H62),ISNUMBER(I62)),(I62-H62),"")</f>
        <v/>
      </c>
      <c r="N62" s="11">
        <f>IF(AND(ISNUMBER(E62),ISNUMBER(J62)),(J62-E62),"")</f>
        <v/>
      </c>
    </row>
    <row r="63">
      <c r="A63" s="3" t="inlineStr">
        <is>
          <t>OBT070125084545-St. Veit an der Glan</t>
        </is>
      </c>
      <c r="B63" s="3" t="inlineStr">
        <is>
          <t>St. Veit an der Glan</t>
        </is>
      </c>
      <c r="C63" s="3" t="inlineStr">
        <is>
          <t>625</t>
        </is>
      </c>
      <c r="D63" s="3" t="n">
        <v>4</v>
      </c>
      <c r="E63" s="10" t="n">
        <v>45660.45403935185</v>
      </c>
      <c r="F63" s="10" t="n">
        <v>45664.36510416667</v>
      </c>
      <c r="G63" s="10" t="n">
        <v>45664.40565972222</v>
      </c>
      <c r="H63" s="10" t="n">
        <v>45664.43702546296</v>
      </c>
      <c r="I63" s="10" t="n">
        <v>45664.43702546296</v>
      </c>
      <c r="J63" s="10" t="n">
        <v>45664.43795138889</v>
      </c>
      <c r="K63" s="11">
        <f>IF(AND(ISNUMBER(E63),ISNUMBER(F63)),(F63-E63),"")</f>
        <v/>
      </c>
      <c r="L63" s="11">
        <f>IF(AND(ISNUMBER(F63),ISNUMBER(G63)),(G63-F63),"")</f>
        <v/>
      </c>
      <c r="M63" s="11">
        <f>IF(AND(ISNUMBER(H63),ISNUMBER(I63)),(I63-H63),"")</f>
        <v/>
      </c>
      <c r="N63" s="11">
        <f>IF(AND(ISNUMBER(E63),ISNUMBER(J63)),(J63-E63),"")</f>
        <v/>
      </c>
    </row>
    <row r="64">
      <c r="A64" s="3" t="inlineStr">
        <is>
          <t>OBT070125105541-Wien Kledering</t>
        </is>
      </c>
      <c r="B64" s="3" t="inlineStr">
        <is>
          <t>Wien Kledering</t>
        </is>
      </c>
      <c r="C64" s="3" t="inlineStr">
        <is>
          <t>615</t>
        </is>
      </c>
      <c r="D64" s="3" t="n">
        <v>2</v>
      </c>
      <c r="E64" s="10" t="n">
        <v>45664.37724537037</v>
      </c>
      <c r="F64" s="10" t="n">
        <v>45664.45533564815</v>
      </c>
      <c r="G64" s="10" t="n">
        <v>45664.45618055556</v>
      </c>
      <c r="H64" s="10" t="n">
        <v>45664.50702546296</v>
      </c>
      <c r="I64" s="10" t="n">
        <v>45664.50702546296</v>
      </c>
      <c r="J64" s="10" t="n">
        <v>45664.50817129629</v>
      </c>
      <c r="K64" s="11">
        <f>IF(AND(ISNUMBER(E64),ISNUMBER(F64)),(F64-E64),"")</f>
        <v/>
      </c>
      <c r="L64" s="11">
        <f>IF(AND(ISNUMBER(F64),ISNUMBER(G64)),(G64-F64),"")</f>
        <v/>
      </c>
      <c r="M64" s="11">
        <f>IF(AND(ISNUMBER(H64),ISNUMBER(I64)),(I64-H64),"")</f>
        <v/>
      </c>
      <c r="N64" s="11">
        <f>IF(AND(ISNUMBER(E64),ISNUMBER(J64)),(J64-E64),"")</f>
        <v/>
      </c>
    </row>
    <row r="65">
      <c r="A65" s="3" t="inlineStr">
        <is>
          <t>OBT070125131825-Wien Kledering</t>
        </is>
      </c>
      <c r="B65" s="3" t="inlineStr">
        <is>
          <t>Wien Kledering</t>
        </is>
      </c>
      <c r="C65" s="3" t="inlineStr">
        <is>
          <t>625</t>
        </is>
      </c>
      <c r="D65" s="3" t="n">
        <v>2</v>
      </c>
      <c r="E65" s="10" t="n">
        <v>45664.45717592593</v>
      </c>
      <c r="F65" s="10" t="n">
        <v>45664.55445601852</v>
      </c>
      <c r="G65" s="10" t="n">
        <v>45664.55532407408</v>
      </c>
      <c r="H65" s="10" t="n">
        <v>45664.60120370371</v>
      </c>
      <c r="I65" s="10" t="n">
        <v>45664.60120370371</v>
      </c>
      <c r="J65" s="10" t="n">
        <v>45664.60231481482</v>
      </c>
      <c r="K65" s="11">
        <f>IF(AND(ISNUMBER(E65),ISNUMBER(F65)),(F65-E65),"")</f>
        <v/>
      </c>
      <c r="L65" s="11">
        <f>IF(AND(ISNUMBER(F65),ISNUMBER(G65)),(G65-F65),"")</f>
        <v/>
      </c>
      <c r="M65" s="11">
        <f>IF(AND(ISNUMBER(H65),ISNUMBER(I65)),(I65-H65),"")</f>
        <v/>
      </c>
      <c r="N65" s="11">
        <f>IF(AND(ISNUMBER(E65),ISNUMBER(J65)),(J65-E65),"")</f>
        <v/>
      </c>
    </row>
    <row r="66">
      <c r="A66" s="3" t="inlineStr">
        <is>
          <t>OBT070125143346-Wien Kledering</t>
        </is>
      </c>
      <c r="B66" s="3" t="inlineStr">
        <is>
          <t>Wien Kledering</t>
        </is>
      </c>
      <c r="C66" s="3" t="inlineStr">
        <is>
          <t>615</t>
        </is>
      </c>
      <c r="D66" s="3" t="n">
        <v>1</v>
      </c>
      <c r="E66" s="10" t="n">
        <v>45664.60460648148</v>
      </c>
      <c r="F66" s="10" t="n">
        <v>45664.60678240741</v>
      </c>
      <c r="G66" s="10" t="n">
        <v>45664.60762731481</v>
      </c>
      <c r="H66" s="10" t="n">
        <v>45664.67672453704</v>
      </c>
      <c r="I66" s="10" t="n">
        <v>45664.67672453704</v>
      </c>
      <c r="J66" s="10" t="n">
        <v>45664.67811342593</v>
      </c>
      <c r="K66" s="11">
        <f>IF(AND(ISNUMBER(E66),ISNUMBER(F66)),(F66-E66),"")</f>
        <v/>
      </c>
      <c r="L66" s="11">
        <f>IF(AND(ISNUMBER(F66),ISNUMBER(G66)),(G66-F66),"")</f>
        <v/>
      </c>
      <c r="M66" s="11">
        <f>IF(AND(ISNUMBER(H66),ISNUMBER(I66)),(I66-H66),"")</f>
        <v/>
      </c>
      <c r="N66" s="11">
        <f>IF(AND(ISNUMBER(E66),ISNUMBER(J66)),(J66-E66),"")</f>
        <v/>
      </c>
    </row>
    <row r="67">
      <c r="A67" s="3" t="inlineStr">
        <is>
          <t>OBT070125154136-Wr. Neustadt (Hödlmayr)</t>
        </is>
      </c>
      <c r="B67" s="3" t="inlineStr">
        <is>
          <t>Wr. Neustadt (Hödlmayr)</t>
        </is>
      </c>
      <c r="C67" s="3" t="inlineStr">
        <is>
          <t>629</t>
        </is>
      </c>
      <c r="D67" s="3" t="n">
        <v>2</v>
      </c>
      <c r="E67" s="10" t="n">
        <v>45664.38402777778</v>
      </c>
      <c r="F67" s="10" t="n">
        <v>45664.65388888889</v>
      </c>
      <c r="G67" s="10" t="n">
        <v>45664.65876157407</v>
      </c>
      <c r="H67" s="10" t="n">
        <v>45664.68219907407</v>
      </c>
      <c r="I67" s="10" t="n">
        <v>45664.68219907407</v>
      </c>
      <c r="J67" s="10" t="n">
        <v>45664.68289351852</v>
      </c>
      <c r="K67" s="11">
        <f>IF(AND(ISNUMBER(E67),ISNUMBER(F67)),(F67-E67),"")</f>
        <v/>
      </c>
      <c r="L67" s="11">
        <f>IF(AND(ISNUMBER(F67),ISNUMBER(G67)),(G67-F67),"")</f>
        <v/>
      </c>
      <c r="M67" s="11">
        <f>IF(AND(ISNUMBER(H67),ISNUMBER(I67)),(I67-H67),"")</f>
        <v/>
      </c>
      <c r="N67" s="11">
        <f>IF(AND(ISNUMBER(E67),ISNUMBER(J67)),(J67-E67),"")</f>
        <v/>
      </c>
    </row>
    <row r="68">
      <c r="A68" s="3" t="inlineStr">
        <is>
          <t>OBT070125154601-Other sidings north</t>
        </is>
      </c>
      <c r="B68" s="3" t="inlineStr">
        <is>
          <t>Other sidings north</t>
        </is>
      </c>
      <c r="C68" s="3" t="inlineStr">
        <is>
          <t>617</t>
        </is>
      </c>
      <c r="D68" s="3" t="n">
        <v>2</v>
      </c>
      <c r="E68" s="10" t="n">
        <v>45664.38199074074</v>
      </c>
      <c r="F68" s="10" t="n">
        <v>45664.65695601852</v>
      </c>
      <c r="G68" s="10" t="n">
        <v>45664.66853009259</v>
      </c>
      <c r="H68" s="10" t="n">
        <v>45664.68622685185</v>
      </c>
      <c r="I68" s="10" t="n">
        <v>45664.68622685185</v>
      </c>
      <c r="J68" s="10" t="n">
        <v>45664.68701388889</v>
      </c>
      <c r="K68" s="11">
        <f>IF(AND(ISNUMBER(E68),ISNUMBER(F68)),(F68-E68),"")</f>
        <v/>
      </c>
      <c r="L68" s="11">
        <f>IF(AND(ISNUMBER(F68),ISNUMBER(G68)),(G68-F68),"")</f>
        <v/>
      </c>
      <c r="M68" s="11">
        <f>IF(AND(ISNUMBER(H68),ISNUMBER(I68)),(I68-H68),"")</f>
        <v/>
      </c>
      <c r="N68" s="11">
        <f>IF(AND(ISNUMBER(E68),ISNUMBER(J68)),(J68-E68),"")</f>
        <v/>
      </c>
    </row>
    <row r="69">
      <c r="A69" s="3" t="inlineStr">
        <is>
          <t>OBT070125155207-Pitten (Hamburger)</t>
        </is>
      </c>
      <c r="B69" s="3" t="inlineStr">
        <is>
          <t>Pitten (Hamburger)</t>
        </is>
      </c>
      <c r="C69" s="3" t="inlineStr">
        <is>
          <t>613</t>
        </is>
      </c>
      <c r="D69" s="3" t="n">
        <v>5</v>
      </c>
      <c r="E69" s="10" t="n">
        <v>45664.33017361111</v>
      </c>
      <c r="F69" s="10" t="n">
        <v>45664.66119212963</v>
      </c>
      <c r="G69" s="10" t="n">
        <v>45664.68381944444</v>
      </c>
      <c r="H69" s="10" t="n">
        <v>45664.7046412037</v>
      </c>
      <c r="I69" s="10" t="n">
        <v>45664.7046412037</v>
      </c>
      <c r="J69" s="10" t="n">
        <v>45664.70534722223</v>
      </c>
      <c r="K69" s="11">
        <f>IF(AND(ISNUMBER(E69),ISNUMBER(F69)),(F69-E69),"")</f>
        <v/>
      </c>
      <c r="L69" s="11">
        <f>IF(AND(ISNUMBER(F69),ISNUMBER(G69)),(G69-F69),"")</f>
        <v/>
      </c>
      <c r="M69" s="11">
        <f>IF(AND(ISNUMBER(H69),ISNUMBER(I69)),(I69-H69),"")</f>
        <v/>
      </c>
      <c r="N69" s="11">
        <f>IF(AND(ISNUMBER(E69),ISNUMBER(J69)),(J69-E69),"")</f>
        <v/>
      </c>
    </row>
    <row r="70">
      <c r="A70" s="3" t="inlineStr">
        <is>
          <t>OBT070125160018-Wien Kledering</t>
        </is>
      </c>
      <c r="B70" s="3" t="inlineStr">
        <is>
          <t>Wien Kledering</t>
        </is>
      </c>
      <c r="C70" s="3" t="inlineStr">
        <is>
          <t>619</t>
        </is>
      </c>
      <c r="D70" s="3" t="n">
        <v>1</v>
      </c>
      <c r="E70" s="10" t="n">
        <v>45664.66443287037</v>
      </c>
      <c r="F70" s="10" t="n">
        <v>45664.666875</v>
      </c>
      <c r="G70" s="10" t="n">
        <v>45664.68393518519</v>
      </c>
      <c r="H70" s="10" t="n">
        <v>45664.75224537037</v>
      </c>
      <c r="I70" s="10" t="n">
        <v>45664.75224537037</v>
      </c>
      <c r="J70" s="10" t="n">
        <v>45664.7537037037</v>
      </c>
      <c r="K70" s="11">
        <f>IF(AND(ISNUMBER(E70),ISNUMBER(F70)),(F70-E70),"")</f>
        <v/>
      </c>
      <c r="L70" s="11">
        <f>IF(AND(ISNUMBER(F70),ISNUMBER(G70)),(G70-F70),"")</f>
        <v/>
      </c>
      <c r="M70" s="11">
        <f>IF(AND(ISNUMBER(H70),ISNUMBER(I70)),(I70-H70),"")</f>
        <v/>
      </c>
      <c r="N70" s="11">
        <f>IF(AND(ISNUMBER(E70),ISNUMBER(J70)),(J70-E70),"")</f>
        <v/>
      </c>
    </row>
    <row r="71">
      <c r="A71" s="3" t="inlineStr">
        <is>
          <t>OBT070125162217-St. Veit an der Glan</t>
        </is>
      </c>
      <c r="B71" s="3" t="inlineStr">
        <is>
          <t>St. Veit an der Glan</t>
        </is>
      </c>
      <c r="C71" s="3" t="inlineStr">
        <is>
          <t>627</t>
        </is>
      </c>
      <c r="D71" s="3" t="n">
        <v>2</v>
      </c>
      <c r="E71" s="10" t="n">
        <v>45664.45501157407</v>
      </c>
      <c r="F71" s="10" t="n">
        <v>45664.6821412037</v>
      </c>
      <c r="G71" s="10" t="n">
        <v>45664.68796296296</v>
      </c>
      <c r="H71" s="10" t="n">
        <v>45664.70540509259</v>
      </c>
      <c r="I71" s="10" t="n">
        <v>45664.70540509259</v>
      </c>
      <c r="J71" s="10" t="n">
        <v>45664.7060300926</v>
      </c>
      <c r="K71" s="11">
        <f>IF(AND(ISNUMBER(E71),ISNUMBER(F71)),(F71-E71),"")</f>
        <v/>
      </c>
      <c r="L71" s="11">
        <f>IF(AND(ISNUMBER(F71),ISNUMBER(G71)),(G71-F71),"")</f>
        <v/>
      </c>
      <c r="M71" s="11">
        <f>IF(AND(ISNUMBER(H71),ISNUMBER(I71)),(I71-H71),"")</f>
        <v/>
      </c>
      <c r="N71" s="11">
        <f>IF(AND(ISNUMBER(E71),ISNUMBER(J71)),(J71-E71),"")</f>
        <v/>
      </c>
    </row>
    <row r="72">
      <c r="A72" s="3" t="inlineStr">
        <is>
          <t>OBT070125180657-Wr. Neustadt Ausfahrbf (Furtenbach)</t>
        </is>
      </c>
      <c r="B72" s="3" t="inlineStr">
        <is>
          <t>Wr. Neustadt Ausfahrbf (Furtenbach)</t>
        </is>
      </c>
      <c r="C72" s="3" t="inlineStr">
        <is>
          <t>605</t>
        </is>
      </c>
      <c r="D72" s="3" t="n">
        <v>5</v>
      </c>
      <c r="E72" s="10" t="n">
        <v>45660.89559027777</v>
      </c>
      <c r="F72" s="10" t="n">
        <v>45664.75482638889</v>
      </c>
      <c r="G72" s="10" t="n">
        <v>45664.75568287037</v>
      </c>
      <c r="H72" s="10" t="n">
        <v>45664.77986111111</v>
      </c>
      <c r="I72" s="10" t="n">
        <v>45664.77986111111</v>
      </c>
      <c r="J72" s="10" t="n">
        <v>45664.78077546296</v>
      </c>
      <c r="K72" s="11">
        <f>IF(AND(ISNUMBER(E72),ISNUMBER(F72)),(F72-E72),"")</f>
        <v/>
      </c>
      <c r="L72" s="11">
        <f>IF(AND(ISNUMBER(F72),ISNUMBER(G72)),(G72-F72),"")</f>
        <v/>
      </c>
      <c r="M72" s="11">
        <f>IF(AND(ISNUMBER(H72),ISNUMBER(I72)),(I72-H72),"")</f>
        <v/>
      </c>
      <c r="N72" s="11">
        <f>IF(AND(ISNUMBER(E72),ISNUMBER(J72)),(J72-E72),"")</f>
        <v/>
      </c>
    </row>
    <row r="73">
      <c r="A73" s="3" t="inlineStr">
        <is>
          <t>OBT070125180725-Wr. Neustadt (Hödlmayr)</t>
        </is>
      </c>
      <c r="B73" s="3" t="inlineStr">
        <is>
          <t>Wr. Neustadt (Hödlmayr)</t>
        </is>
      </c>
      <c r="C73" s="3" t="inlineStr">
        <is>
          <t>613</t>
        </is>
      </c>
      <c r="D73" s="3" t="n">
        <v>1</v>
      </c>
      <c r="E73" s="10" t="n">
        <v>45664.75275462963</v>
      </c>
      <c r="F73" s="10" t="n">
        <v>45664.75515046297</v>
      </c>
      <c r="G73" s="10" t="n">
        <v>45664.75641203704</v>
      </c>
      <c r="H73" s="10" t="n">
        <v>45664.77516203704</v>
      </c>
      <c r="I73" s="10" t="n">
        <v>45664.77516203704</v>
      </c>
      <c r="J73" s="10" t="n">
        <v>45664.77583333333</v>
      </c>
      <c r="K73" s="11">
        <f>IF(AND(ISNUMBER(E73),ISNUMBER(F73)),(F73-E73),"")</f>
        <v/>
      </c>
      <c r="L73" s="11">
        <f>IF(AND(ISNUMBER(F73),ISNUMBER(G73)),(G73-F73),"")</f>
        <v/>
      </c>
      <c r="M73" s="11">
        <f>IF(AND(ISNUMBER(H73),ISNUMBER(I73)),(I73-H73),"")</f>
        <v/>
      </c>
      <c r="N73" s="11">
        <f>IF(AND(ISNUMBER(E73),ISNUMBER(J73)),(J73-E73),"")</f>
        <v/>
      </c>
    </row>
    <row r="74">
      <c r="A74" s="3" t="inlineStr">
        <is>
          <t>OBT070125183432-Wien Kledering</t>
        </is>
      </c>
      <c r="B74" s="3" t="inlineStr">
        <is>
          <t>Wien Kledering</t>
        </is>
      </c>
      <c r="C74" s="3" t="inlineStr">
        <is>
          <t>607</t>
        </is>
      </c>
      <c r="D74" s="3" t="n">
        <v>2</v>
      </c>
      <c r="E74" s="10" t="n">
        <v>45664.67633101852</v>
      </c>
      <c r="F74" s="10" t="n">
        <v>45664.77398148148</v>
      </c>
      <c r="G74" s="10" t="n">
        <v>45664.77571759259</v>
      </c>
      <c r="H74" s="10" t="n">
        <v>45664.82879629629</v>
      </c>
      <c r="I74" s="10" t="n">
        <v>45664.82879629629</v>
      </c>
      <c r="J74" s="10" t="n">
        <v>45664.83010416666</v>
      </c>
      <c r="K74" s="11">
        <f>IF(AND(ISNUMBER(E74),ISNUMBER(F74)),(F74-E74),"")</f>
        <v/>
      </c>
      <c r="L74" s="11">
        <f>IF(AND(ISNUMBER(F74),ISNUMBER(G74)),(G74-F74),"")</f>
        <v/>
      </c>
      <c r="M74" s="11">
        <f>IF(AND(ISNUMBER(H74),ISNUMBER(I74)),(I74-H74),"")</f>
        <v/>
      </c>
      <c r="N74" s="11">
        <f>IF(AND(ISNUMBER(E74),ISNUMBER(J74)),(J74-E74),"")</f>
        <v/>
      </c>
    </row>
    <row r="75">
      <c r="A75" s="3" t="inlineStr">
        <is>
          <t>OBT070125212007-Wien Kledering</t>
        </is>
      </c>
      <c r="B75" s="3" t="inlineStr">
        <is>
          <t>Wien Kledering</t>
        </is>
      </c>
      <c r="C75" s="3" t="inlineStr">
        <is>
          <t>613</t>
        </is>
      </c>
      <c r="D75" s="3" t="n">
        <v>1</v>
      </c>
      <c r="E75" s="10" t="n">
        <v>45664.88657407407</v>
      </c>
      <c r="F75" s="10" t="n">
        <v>45664.88896990741</v>
      </c>
      <c r="G75" s="10" t="n">
        <v>45664.88983796296</v>
      </c>
      <c r="H75" s="10" t="n">
        <v>45664.95738425926</v>
      </c>
      <c r="I75" s="10" t="n">
        <v>45664.95738425926</v>
      </c>
      <c r="J75" s="10" t="n">
        <v>45664.95870370371</v>
      </c>
      <c r="K75" s="11">
        <f>IF(AND(ISNUMBER(E75),ISNUMBER(F75)),(F75-E75),"")</f>
        <v/>
      </c>
      <c r="L75" s="11">
        <f>IF(AND(ISNUMBER(F75),ISNUMBER(G75)),(G75-F75),"")</f>
        <v/>
      </c>
      <c r="M75" s="11">
        <f>IF(AND(ISNUMBER(H75),ISNUMBER(I75)),(I75-H75),"")</f>
        <v/>
      </c>
      <c r="N75" s="11">
        <f>IF(AND(ISNUMBER(E75),ISNUMBER(J75)),(J75-E75),"")</f>
        <v/>
      </c>
    </row>
    <row r="76">
      <c r="A76" s="3" t="inlineStr">
        <is>
          <t>OBT080125031418-Pitten (Hamburger)</t>
        </is>
      </c>
      <c r="B76" s="3" t="inlineStr">
        <is>
          <t>Pitten (Hamburger)</t>
        </is>
      </c>
      <c r="C76" s="3" t="inlineStr">
        <is>
          <t>627</t>
        </is>
      </c>
      <c r="D76" s="3" t="n">
        <v>3</v>
      </c>
      <c r="E76" s="10" t="n">
        <v>45664.75674768518</v>
      </c>
      <c r="F76" s="10" t="n">
        <v>45665.13493055556</v>
      </c>
      <c r="G76" s="10" t="n">
        <v>45665.13576388889</v>
      </c>
      <c r="H76" s="10" t="n">
        <v>45665.15362268518</v>
      </c>
      <c r="I76" s="10" t="n">
        <v>45665.15362268518</v>
      </c>
      <c r="J76" s="10" t="n">
        <v>45665.15424768518</v>
      </c>
      <c r="K76" s="11">
        <f>IF(AND(ISNUMBER(E76),ISNUMBER(F76)),(F76-E76),"")</f>
        <v/>
      </c>
      <c r="L76" s="11">
        <f>IF(AND(ISNUMBER(F76),ISNUMBER(G76)),(G76-F76),"")</f>
        <v/>
      </c>
      <c r="M76" s="11">
        <f>IF(AND(ISNUMBER(H76),ISNUMBER(I76)),(I76-H76),"")</f>
        <v/>
      </c>
      <c r="N76" s="11">
        <f>IF(AND(ISNUMBER(E76),ISNUMBER(J76)),(J76-E76),"")</f>
        <v/>
      </c>
    </row>
    <row r="77">
      <c r="A77" s="3" t="inlineStr">
        <is>
          <t>OBT080125031718-Other sidings local</t>
        </is>
      </c>
      <c r="B77" s="3" t="inlineStr">
        <is>
          <t>Other sidings local</t>
        </is>
      </c>
      <c r="C77" s="3" t="inlineStr">
        <is>
          <t>625</t>
        </is>
      </c>
      <c r="D77" s="3" t="n">
        <v>5</v>
      </c>
      <c r="E77" s="10" t="n">
        <v>45664.64542824074</v>
      </c>
      <c r="F77" s="10" t="n">
        <v>45665.13701388889</v>
      </c>
      <c r="G77" s="10" t="n">
        <v>45665.13884259259</v>
      </c>
      <c r="H77" s="10" t="n">
        <v>45665.15869212963</v>
      </c>
      <c r="I77" s="10" t="n">
        <v>45665.15869212963</v>
      </c>
      <c r="J77" s="10" t="n">
        <v>45665.1594675926</v>
      </c>
      <c r="K77" s="11">
        <f>IF(AND(ISNUMBER(E77),ISNUMBER(F77)),(F77-E77),"")</f>
        <v/>
      </c>
      <c r="L77" s="11">
        <f>IF(AND(ISNUMBER(F77),ISNUMBER(G77)),(G77-F77),"")</f>
        <v/>
      </c>
      <c r="M77" s="11">
        <f>IF(AND(ISNUMBER(H77),ISNUMBER(I77)),(I77-H77),"")</f>
        <v/>
      </c>
      <c r="N77" s="11">
        <f>IF(AND(ISNUMBER(E77),ISNUMBER(J77)),(J77-E77),"")</f>
        <v/>
      </c>
    </row>
    <row r="78">
      <c r="A78" s="3" t="inlineStr">
        <is>
          <t>OBT080125031726-Neunkirchen (loading tracks)</t>
        </is>
      </c>
      <c r="B78" s="3" t="inlineStr">
        <is>
          <t>Neunkirchen (loading tracks)</t>
        </is>
      </c>
      <c r="C78" s="3" t="inlineStr">
        <is>
          <t>613</t>
        </is>
      </c>
      <c r="D78" s="3" t="n">
        <v>1</v>
      </c>
      <c r="E78" s="10" t="n">
        <v>45665.13471064815</v>
      </c>
      <c r="F78" s="10" t="n">
        <v>45665.13710648148</v>
      </c>
      <c r="G78" s="10" t="n">
        <v>45665.1421412037</v>
      </c>
      <c r="H78" s="10" t="n">
        <v>45665.17112268518</v>
      </c>
      <c r="I78" s="10" t="n">
        <v>45665.17112268518</v>
      </c>
      <c r="J78" s="10" t="n">
        <v>45665.17193287037</v>
      </c>
      <c r="K78" s="11">
        <f>IF(AND(ISNUMBER(E78),ISNUMBER(F78)),(F78-E78),"")</f>
        <v/>
      </c>
      <c r="L78" s="11">
        <f>IF(AND(ISNUMBER(F78),ISNUMBER(G78)),(G78-F78),"")</f>
        <v/>
      </c>
      <c r="M78" s="11">
        <f>IF(AND(ISNUMBER(H78),ISNUMBER(I78)),(I78-H78),"")</f>
        <v/>
      </c>
      <c r="N78" s="11">
        <f>IF(AND(ISNUMBER(E78),ISNUMBER(J78)),(J78-E78),"")</f>
        <v/>
      </c>
    </row>
    <row r="79">
      <c r="A79" s="3" t="inlineStr">
        <is>
          <t>OBT080125032215-Other sidings south</t>
        </is>
      </c>
      <c r="B79" s="3" t="inlineStr">
        <is>
          <t>Other sidings south</t>
        </is>
      </c>
      <c r="C79" s="3" t="inlineStr">
        <is>
          <t>623</t>
        </is>
      </c>
      <c r="D79" s="3" t="n">
        <v>5</v>
      </c>
      <c r="E79" s="10" t="n">
        <v>45664.33313657407</v>
      </c>
      <c r="F79" s="10" t="n">
        <v>45665.14045138889</v>
      </c>
      <c r="G79" s="10" t="n">
        <v>45665.15530092592</v>
      </c>
      <c r="H79" s="10" t="n">
        <v>45665.17990740741</v>
      </c>
      <c r="I79" s="10" t="n">
        <v>45665.17990740741</v>
      </c>
      <c r="J79" s="10" t="n">
        <v>45665.18077546296</v>
      </c>
      <c r="K79" s="11">
        <f>IF(AND(ISNUMBER(E79),ISNUMBER(F79)),(F79-E79),"")</f>
        <v/>
      </c>
      <c r="L79" s="11">
        <f>IF(AND(ISNUMBER(F79),ISNUMBER(G79)),(G79-F79),"")</f>
        <v/>
      </c>
      <c r="M79" s="11">
        <f>IF(AND(ISNUMBER(H79),ISNUMBER(I79)),(I79-H79),"")</f>
        <v/>
      </c>
      <c r="N79" s="11">
        <f>IF(AND(ISNUMBER(E79),ISNUMBER(J79)),(J79-E79),"")</f>
        <v/>
      </c>
    </row>
    <row r="80">
      <c r="A80" s="3" t="inlineStr">
        <is>
          <t>OBT080125041024-Neudörfl (FunderMax)</t>
        </is>
      </c>
      <c r="B80" s="3" t="inlineStr">
        <is>
          <t>Neudörfl (FunderMax)</t>
        </is>
      </c>
      <c r="C80" s="3" t="inlineStr">
        <is>
          <t>611</t>
        </is>
      </c>
      <c r="D80" s="3" t="n">
        <v>4</v>
      </c>
      <c r="E80" s="10" t="n">
        <v>45664.37475694445</v>
      </c>
      <c r="F80" s="10" t="n">
        <v>45665.17388888889</v>
      </c>
      <c r="G80" s="10" t="n">
        <v>45665.1747337963</v>
      </c>
      <c r="H80" s="10" t="n">
        <v>45665.27763888889</v>
      </c>
      <c r="I80" s="10" t="n">
        <v>45665.27763888889</v>
      </c>
      <c r="J80" s="10" t="n">
        <v>45665.27949074074</v>
      </c>
      <c r="K80" s="11">
        <f>IF(AND(ISNUMBER(E80),ISNUMBER(F80)),(F80-E80),"")</f>
        <v/>
      </c>
      <c r="L80" s="11">
        <f>IF(AND(ISNUMBER(F80),ISNUMBER(G80)),(G80-F80),"")</f>
        <v/>
      </c>
      <c r="M80" s="11">
        <f>IF(AND(ISNUMBER(H80),ISNUMBER(I80)),(I80-H80),"")</f>
        <v/>
      </c>
      <c r="N80" s="11">
        <f>IF(AND(ISNUMBER(E80),ISNUMBER(J80)),(J80-E80),"")</f>
        <v/>
      </c>
    </row>
    <row r="81">
      <c r="A81" s="3" t="inlineStr">
        <is>
          <t>OBT080125061845-Wien Kledering</t>
        </is>
      </c>
      <c r="B81" s="3" t="inlineStr">
        <is>
          <t>Wien Kledering</t>
        </is>
      </c>
      <c r="C81" s="3" t="inlineStr">
        <is>
          <t>613</t>
        </is>
      </c>
      <c r="D81" s="3" t="n">
        <v>2</v>
      </c>
      <c r="E81" s="10" t="n">
        <v>45665.1378125</v>
      </c>
      <c r="F81" s="10" t="n">
        <v>45665.26302083334</v>
      </c>
      <c r="G81" s="10" t="n">
        <v>45665.26388888889</v>
      </c>
      <c r="H81" s="10" t="n">
        <v>45665.31545138889</v>
      </c>
      <c r="I81" s="10" t="n">
        <v>45665.31545138889</v>
      </c>
      <c r="J81" s="10" t="n">
        <v>45665.31657407407</v>
      </c>
      <c r="K81" s="11">
        <f>IF(AND(ISNUMBER(E81),ISNUMBER(F81)),(F81-E81),"")</f>
        <v/>
      </c>
      <c r="L81" s="11">
        <f>IF(AND(ISNUMBER(F81),ISNUMBER(G81)),(G81-F81),"")</f>
        <v/>
      </c>
      <c r="M81" s="11">
        <f>IF(AND(ISNUMBER(H81),ISNUMBER(I81)),(I81-H81),"")</f>
        <v/>
      </c>
      <c r="N81" s="11">
        <f>IF(AND(ISNUMBER(E81),ISNUMBER(J81)),(J81-E81),"")</f>
        <v/>
      </c>
    </row>
    <row r="82">
      <c r="A82" s="3" t="inlineStr">
        <is>
          <t>OBT080125073527-Wien Kledering</t>
        </is>
      </c>
      <c r="B82" s="3" t="inlineStr">
        <is>
          <t>Wien Kledering</t>
        </is>
      </c>
      <c r="C82" s="3" t="inlineStr">
        <is>
          <t>611</t>
        </is>
      </c>
      <c r="D82" s="3" t="n">
        <v>1</v>
      </c>
      <c r="E82" s="10" t="n">
        <v>45665.31413194445</v>
      </c>
      <c r="F82" s="10" t="n">
        <v>45665.31628472222</v>
      </c>
      <c r="G82" s="10" t="n">
        <v>45665.31712962963</v>
      </c>
      <c r="H82" s="10" t="n">
        <v>45665.34434027778</v>
      </c>
      <c r="I82" s="10" t="n">
        <v>45665.34434027778</v>
      </c>
      <c r="J82" s="10" t="n">
        <v>45665.34519675926</v>
      </c>
      <c r="K82" s="11">
        <f>IF(AND(ISNUMBER(E82),ISNUMBER(F82)),(F82-E82),"")</f>
        <v/>
      </c>
      <c r="L82" s="11">
        <f>IF(AND(ISNUMBER(F82),ISNUMBER(G82)),(G82-F82),"")</f>
        <v/>
      </c>
      <c r="M82" s="11">
        <f>IF(AND(ISNUMBER(H82),ISNUMBER(I82)),(I82-H82),"")</f>
        <v/>
      </c>
      <c r="N82" s="11">
        <f>IF(AND(ISNUMBER(E82),ISNUMBER(J82)),(J82-E82),"")</f>
        <v/>
      </c>
    </row>
    <row r="83">
      <c r="A83" s="3" t="inlineStr">
        <is>
          <t>OBT080125081724-Other sidings north</t>
        </is>
      </c>
      <c r="B83" s="3" t="inlineStr">
        <is>
          <t>Other sidings north</t>
        </is>
      </c>
      <c r="C83" s="3" t="inlineStr">
        <is>
          <t>615</t>
        </is>
      </c>
      <c r="D83" s="3" t="n">
        <v>5</v>
      </c>
      <c r="E83" s="10" t="n">
        <v>45664.64832175926</v>
      </c>
      <c r="F83" s="10" t="n">
        <v>45665.34541666666</v>
      </c>
      <c r="G83" s="10" t="n">
        <v>45665.34628472223</v>
      </c>
      <c r="H83" s="10" t="n">
        <v>45665.36886574074</v>
      </c>
      <c r="I83" s="10" t="n">
        <v>45665.36886574074</v>
      </c>
      <c r="J83" s="10" t="n">
        <v>45665.36962962963</v>
      </c>
      <c r="K83" s="11">
        <f>IF(AND(ISNUMBER(E83),ISNUMBER(F83)),(F83-E83),"")</f>
        <v/>
      </c>
      <c r="L83" s="11">
        <f>IF(AND(ISNUMBER(F83),ISNUMBER(G83)),(G83-F83),"")</f>
        <v/>
      </c>
      <c r="M83" s="11">
        <f>IF(AND(ISNUMBER(H83),ISNUMBER(I83)),(I83-H83),"")</f>
        <v/>
      </c>
      <c r="N83" s="11">
        <f>IF(AND(ISNUMBER(E83),ISNUMBER(J83)),(J83-E83),"")</f>
        <v/>
      </c>
    </row>
    <row r="84">
      <c r="A84" s="3" t="inlineStr">
        <is>
          <t>OBT080125082044-Wr. Neustadt (Hödlmayr)</t>
        </is>
      </c>
      <c r="B84" s="3" t="inlineStr">
        <is>
          <t>Wr. Neustadt (Hödlmayr)</t>
        </is>
      </c>
      <c r="C84" s="3" t="inlineStr">
        <is>
          <t>619</t>
        </is>
      </c>
      <c r="D84" s="3" t="n">
        <v>1</v>
      </c>
      <c r="E84" s="10" t="n">
        <v>45665.34534722222</v>
      </c>
      <c r="F84" s="10" t="n">
        <v>45665.34773148148</v>
      </c>
      <c r="G84" s="10" t="n">
        <v>45665.34859953704</v>
      </c>
      <c r="H84" s="10" t="n">
        <v>45665.36734953704</v>
      </c>
      <c r="I84" s="10" t="n">
        <v>45665.36734953704</v>
      </c>
      <c r="J84" s="10" t="n">
        <v>45665.36813657408</v>
      </c>
      <c r="K84" s="11">
        <f>IF(AND(ISNUMBER(E84),ISNUMBER(F84)),(F84-E84),"")</f>
        <v/>
      </c>
      <c r="L84" s="11">
        <f>IF(AND(ISNUMBER(F84),ISNUMBER(G84)),(G84-F84),"")</f>
        <v/>
      </c>
      <c r="M84" s="11">
        <f>IF(AND(ISNUMBER(H84),ISNUMBER(I84)),(I84-H84),"")</f>
        <v/>
      </c>
      <c r="N84" s="11">
        <f>IF(AND(ISNUMBER(E84),ISNUMBER(J84)),(J84-E84),"")</f>
        <v/>
      </c>
    </row>
    <row r="85">
      <c r="A85" s="3" t="inlineStr">
        <is>
          <t>OBT080125083220-Pitten (Hamburger)</t>
        </is>
      </c>
      <c r="B85" s="3" t="inlineStr">
        <is>
          <t>Pitten (Hamburger)</t>
        </is>
      </c>
      <c r="C85" s="3" t="inlineStr">
        <is>
          <t>627</t>
        </is>
      </c>
      <c r="D85" s="3" t="n">
        <v>3</v>
      </c>
      <c r="E85" s="10" t="n">
        <v>45665.33141203703</v>
      </c>
      <c r="F85" s="10" t="n">
        <v>45665.35578703704</v>
      </c>
      <c r="G85" s="10" t="n">
        <v>45665.36579861111</v>
      </c>
      <c r="H85" s="10" t="n">
        <v>45665.3874074074</v>
      </c>
      <c r="I85" s="10" t="n">
        <v>45665.3874074074</v>
      </c>
      <c r="J85" s="10" t="n">
        <v>45665.38809027777</v>
      </c>
      <c r="K85" s="11">
        <f>IF(AND(ISNUMBER(E85),ISNUMBER(F85)),(F85-E85),"")</f>
        <v/>
      </c>
      <c r="L85" s="11">
        <f>IF(AND(ISNUMBER(F85),ISNUMBER(G85)),(G85-F85),"")</f>
        <v/>
      </c>
      <c r="M85" s="11">
        <f>IF(AND(ISNUMBER(H85),ISNUMBER(I85)),(I85-H85),"")</f>
        <v/>
      </c>
      <c r="N85" s="11">
        <f>IF(AND(ISNUMBER(E85),ISNUMBER(J85)),(J85-E85),"")</f>
        <v/>
      </c>
    </row>
    <row r="86">
      <c r="A86" s="3" t="inlineStr">
        <is>
          <t>OBT080125084420-Ternitz (Schoeller-Bleckmann)</t>
        </is>
      </c>
      <c r="B86" s="3" t="inlineStr">
        <is>
          <t>Ternitz (Schoeller-Bleckmann)</t>
        </is>
      </c>
      <c r="C86" s="3" t="inlineStr">
        <is>
          <t>613</t>
        </is>
      </c>
      <c r="D86" s="3" t="n">
        <v>2</v>
      </c>
      <c r="E86" s="10" t="n">
        <v>45665.34027777778</v>
      </c>
      <c r="F86" s="10" t="n">
        <v>45665.36412037037</v>
      </c>
      <c r="G86" s="10" t="n">
        <v>45665.36908564815</v>
      </c>
      <c r="H86" s="10" t="n">
        <v>45665.43884259259</v>
      </c>
      <c r="I86" s="10" t="n">
        <v>45665.43884259259</v>
      </c>
      <c r="J86" s="10" t="n">
        <v>45665.44020833333</v>
      </c>
      <c r="K86" s="11">
        <f>IF(AND(ISNUMBER(E86),ISNUMBER(F86)),(F86-E86),"")</f>
        <v/>
      </c>
      <c r="L86" s="11">
        <f>IF(AND(ISNUMBER(F86),ISNUMBER(G86)),(G86-F86),"")</f>
        <v/>
      </c>
      <c r="M86" s="11">
        <f>IF(AND(ISNUMBER(H86),ISNUMBER(I86)),(I86-H86),"")</f>
        <v/>
      </c>
      <c r="N86" s="11">
        <f>IF(AND(ISNUMBER(E86),ISNUMBER(J86)),(J86-E86),"")</f>
        <v/>
      </c>
    </row>
    <row r="87">
      <c r="A87" s="3" t="inlineStr">
        <is>
          <t>OBT080125091709-Wien Kledering</t>
        </is>
      </c>
      <c r="B87" s="3" t="inlineStr">
        <is>
          <t>Wien Kledering</t>
        </is>
      </c>
      <c r="C87" s="3" t="inlineStr">
        <is>
          <t>615</t>
        </is>
      </c>
      <c r="D87" s="3" t="n">
        <v>2</v>
      </c>
      <c r="E87" s="10" t="n">
        <v>45665.34866898148</v>
      </c>
      <c r="F87" s="10" t="n">
        <v>45665.38690972222</v>
      </c>
      <c r="G87" s="10" t="n">
        <v>45665.3891087963</v>
      </c>
      <c r="H87" s="10" t="n">
        <v>45665.40903935185</v>
      </c>
      <c r="I87" s="10" t="n">
        <v>45665.40903935185</v>
      </c>
      <c r="J87" s="10" t="n">
        <v>45665.40976851852</v>
      </c>
      <c r="K87" s="11">
        <f>IF(AND(ISNUMBER(E87),ISNUMBER(F87)),(F87-E87),"")</f>
        <v/>
      </c>
      <c r="L87" s="11">
        <f>IF(AND(ISNUMBER(F87),ISNUMBER(G87)),(G87-F87),"")</f>
        <v/>
      </c>
      <c r="M87" s="11">
        <f>IF(AND(ISNUMBER(H87),ISNUMBER(I87)),(I87-H87),"")</f>
        <v/>
      </c>
      <c r="N87" s="11">
        <f>IF(AND(ISNUMBER(E87),ISNUMBER(J87)),(J87-E87),"")</f>
        <v/>
      </c>
    </row>
    <row r="88">
      <c r="A88" s="3" t="inlineStr">
        <is>
          <t>OBT080125092000-St. Veit an der Glan</t>
        </is>
      </c>
      <c r="B88" s="3" t="inlineStr">
        <is>
          <t>St. Veit an der Glan</t>
        </is>
      </c>
      <c r="C88" s="3" t="inlineStr">
        <is>
          <t>619</t>
        </is>
      </c>
      <c r="D88" s="3" t="n">
        <v>1</v>
      </c>
      <c r="E88" s="10" t="n">
        <v>45665.38671296297</v>
      </c>
      <c r="F88" s="10" t="n">
        <v>45665.38888888889</v>
      </c>
      <c r="G88" s="10" t="n">
        <v>45665.39052083333</v>
      </c>
      <c r="H88" s="10" t="n">
        <v>45665.41142361111</v>
      </c>
      <c r="I88" s="10" t="n">
        <v>45665.41142361111</v>
      </c>
      <c r="J88" s="10" t="n">
        <v>45665.41225694444</v>
      </c>
      <c r="K88" s="11">
        <f>IF(AND(ISNUMBER(E88),ISNUMBER(F88)),(F88-E88),"")</f>
        <v/>
      </c>
      <c r="L88" s="11">
        <f>IF(AND(ISNUMBER(F88),ISNUMBER(G88)),(G88-F88),"")</f>
        <v/>
      </c>
      <c r="M88" s="11">
        <f>IF(AND(ISNUMBER(H88),ISNUMBER(I88)),(I88-H88),"")</f>
        <v/>
      </c>
      <c r="N88" s="11">
        <f>IF(AND(ISNUMBER(E88),ISNUMBER(J88)),(J88-E88),"")</f>
        <v/>
      </c>
    </row>
    <row r="89">
      <c r="A89" s="3" t="inlineStr">
        <is>
          <t>OBT080125103559-Wien Kledering</t>
        </is>
      </c>
      <c r="B89" s="3" t="inlineStr">
        <is>
          <t>Wien Kledering</t>
        </is>
      </c>
      <c r="C89" s="3" t="inlineStr">
        <is>
          <t>615</t>
        </is>
      </c>
      <c r="D89" s="3" t="n">
        <v>1</v>
      </c>
      <c r="E89" s="10" t="n">
        <v>45665.43928240741</v>
      </c>
      <c r="F89" s="10" t="n">
        <v>45665.4416550926</v>
      </c>
      <c r="G89" s="10" t="n">
        <v>45665.44252314815</v>
      </c>
      <c r="H89" s="10" t="n">
        <v>45665.46420138889</v>
      </c>
      <c r="I89" s="10" t="n">
        <v>45665.46420138889</v>
      </c>
      <c r="J89" s="10" t="n">
        <v>45665.4649537037</v>
      </c>
      <c r="K89" s="11">
        <f>IF(AND(ISNUMBER(E89),ISNUMBER(F89)),(F89-E89),"")</f>
        <v/>
      </c>
      <c r="L89" s="11">
        <f>IF(AND(ISNUMBER(F89),ISNUMBER(G89)),(G89-F89),"")</f>
        <v/>
      </c>
      <c r="M89" s="11">
        <f>IF(AND(ISNUMBER(H89),ISNUMBER(I89)),(I89-H89),"")</f>
        <v/>
      </c>
      <c r="N89" s="11">
        <f>IF(AND(ISNUMBER(E89),ISNUMBER(J89)),(J89-E89),"")</f>
        <v/>
      </c>
    </row>
    <row r="90">
      <c r="A90" s="3" t="inlineStr">
        <is>
          <t>OBT080125104132-Wien Kledering</t>
        </is>
      </c>
      <c r="B90" s="3" t="inlineStr">
        <is>
          <t>Wien Kledering</t>
        </is>
      </c>
      <c r="C90" s="3" t="inlineStr">
        <is>
          <t>613</t>
        </is>
      </c>
      <c r="D90" s="3" t="n">
        <v>1</v>
      </c>
      <c r="E90" s="10" t="n">
        <v>45665.443125</v>
      </c>
      <c r="F90" s="10" t="n">
        <v>45665.44550925926</v>
      </c>
      <c r="G90" s="10" t="n">
        <v>45665.44629629629</v>
      </c>
      <c r="H90" s="10" t="n">
        <v>45665.49790509259</v>
      </c>
      <c r="I90" s="10" t="n">
        <v>45665.49790509259</v>
      </c>
      <c r="J90" s="10" t="n">
        <v>45665.49901620371</v>
      </c>
      <c r="K90" s="11">
        <f>IF(AND(ISNUMBER(E90),ISNUMBER(F90)),(F90-E90),"")</f>
        <v/>
      </c>
      <c r="L90" s="11">
        <f>IF(AND(ISNUMBER(F90),ISNUMBER(G90)),(G90-F90),"")</f>
        <v/>
      </c>
      <c r="M90" s="11">
        <f>IF(AND(ISNUMBER(H90),ISNUMBER(I90)),(I90-H90),"")</f>
        <v/>
      </c>
      <c r="N90" s="11">
        <f>IF(AND(ISNUMBER(E90),ISNUMBER(J90)),(J90-E90),"")</f>
        <v/>
      </c>
    </row>
    <row r="91">
      <c r="A91" s="3" t="inlineStr">
        <is>
          <t>OBT080125130420-Wien Kledering</t>
        </is>
      </c>
      <c r="B91" s="3" t="inlineStr">
        <is>
          <t>Wien Kledering</t>
        </is>
      </c>
      <c r="C91" s="3" t="inlineStr">
        <is>
          <t>615</t>
        </is>
      </c>
      <c r="D91" s="3" t="n">
        <v>1</v>
      </c>
      <c r="E91" s="10" t="n">
        <v>45665.5425</v>
      </c>
      <c r="F91" s="10" t="n">
        <v>45665.54467592593</v>
      </c>
      <c r="G91" s="10" t="n">
        <v>45665.54554398148</v>
      </c>
      <c r="H91" s="10" t="n">
        <v>45665.59707175926</v>
      </c>
      <c r="I91" s="10" t="n">
        <v>45665.59707175926</v>
      </c>
      <c r="J91" s="10" t="n">
        <v>45665.59822916667</v>
      </c>
      <c r="K91" s="11">
        <f>IF(AND(ISNUMBER(E91),ISNUMBER(F91)),(F91-E91),"")</f>
        <v/>
      </c>
      <c r="L91" s="11">
        <f>IF(AND(ISNUMBER(F91),ISNUMBER(G91)),(G91-F91),"")</f>
        <v/>
      </c>
      <c r="M91" s="11">
        <f>IF(AND(ISNUMBER(H91),ISNUMBER(I91)),(I91-H91),"")</f>
        <v/>
      </c>
      <c r="N91" s="11">
        <f>IF(AND(ISNUMBER(E91),ISNUMBER(J91)),(J91-E91),"")</f>
        <v/>
      </c>
    </row>
    <row r="92">
      <c r="A92" s="3" t="inlineStr">
        <is>
          <t>OBT080125144539-Wien Kledering</t>
        </is>
      </c>
      <c r="B92" s="3" t="inlineStr">
        <is>
          <t>Wien Kledering</t>
        </is>
      </c>
      <c r="C92" s="3" t="inlineStr">
        <is>
          <t>615</t>
        </is>
      </c>
      <c r="D92" s="3" t="n">
        <v>1</v>
      </c>
      <c r="E92" s="10" t="n">
        <v>45665.61263888889</v>
      </c>
      <c r="F92" s="10" t="n">
        <v>45665.61503472222</v>
      </c>
      <c r="G92" s="10" t="n">
        <v>45665.61582175926</v>
      </c>
      <c r="H92" s="10" t="n">
        <v>45665.67934027778</v>
      </c>
      <c r="I92" s="10" t="n">
        <v>45665.67934027778</v>
      </c>
      <c r="J92" s="10" t="n">
        <v>45665.68064814815</v>
      </c>
      <c r="K92" s="11">
        <f>IF(AND(ISNUMBER(E92),ISNUMBER(F92)),(F92-E92),"")</f>
        <v/>
      </c>
      <c r="L92" s="11">
        <f>IF(AND(ISNUMBER(F92),ISNUMBER(G92)),(G92-F92),"")</f>
        <v/>
      </c>
      <c r="M92" s="11">
        <f>IF(AND(ISNUMBER(H92),ISNUMBER(I92)),(I92-H92),"")</f>
        <v/>
      </c>
      <c r="N92" s="11">
        <f>IF(AND(ISNUMBER(E92),ISNUMBER(J92)),(J92-E92),"")</f>
        <v/>
      </c>
    </row>
    <row r="93">
      <c r="A93" s="3" t="inlineStr">
        <is>
          <t>OBT080125153109-Felixdorf/Sollenau (Bundesheer, Maba)</t>
        </is>
      </c>
      <c r="B93" s="3" t="inlineStr">
        <is>
          <t>Felixdorf/Sollenau (Bundesheer, Maba)</t>
        </is>
      </c>
      <c r="C93" s="3" t="inlineStr">
        <is>
          <t>621</t>
        </is>
      </c>
      <c r="D93" s="3" t="n">
        <v>6</v>
      </c>
      <c r="E93" s="10" t="n">
        <v>45660.65717592592</v>
      </c>
      <c r="F93" s="10" t="n">
        <v>45665.64663194444</v>
      </c>
      <c r="G93" s="10" t="n">
        <v>45665.64836805555</v>
      </c>
      <c r="H93" s="10" t="n">
        <v>45665.67254629629</v>
      </c>
      <c r="I93" s="10" t="n">
        <v>45665.67254629629</v>
      </c>
      <c r="J93" s="10" t="n">
        <v>45665.67341435186</v>
      </c>
      <c r="K93" s="11">
        <f>IF(AND(ISNUMBER(E93),ISNUMBER(F93)),(F93-E93),"")</f>
        <v/>
      </c>
      <c r="L93" s="11">
        <f>IF(AND(ISNUMBER(F93),ISNUMBER(G93)),(G93-F93),"")</f>
        <v/>
      </c>
      <c r="M93" s="11">
        <f>IF(AND(ISNUMBER(H93),ISNUMBER(I93)),(I93-H93),"")</f>
        <v/>
      </c>
      <c r="N93" s="11">
        <f>IF(AND(ISNUMBER(E93),ISNUMBER(J93)),(J93-E93),"")</f>
        <v/>
      </c>
    </row>
    <row r="94">
      <c r="A94" s="3" t="inlineStr">
        <is>
          <t>OBT080125160042-Wien Kledering</t>
        </is>
      </c>
      <c r="B94" s="3" t="inlineStr">
        <is>
          <t>Wien Kledering</t>
        </is>
      </c>
      <c r="C94" s="3" t="inlineStr">
        <is>
          <t>617</t>
        </is>
      </c>
      <c r="D94" s="3" t="n">
        <v>1</v>
      </c>
      <c r="E94" s="10" t="n">
        <v>45665.66150462963</v>
      </c>
      <c r="F94" s="10" t="n">
        <v>45665.66715277778</v>
      </c>
      <c r="G94" s="10" t="n">
        <v>45665.66885416667</v>
      </c>
      <c r="H94" s="10" t="n">
        <v>45665.73170138889</v>
      </c>
      <c r="I94" s="10" t="n">
        <v>45665.73170138889</v>
      </c>
      <c r="J94" s="10" t="n">
        <v>45665.73309027778</v>
      </c>
      <c r="K94" s="11">
        <f>IF(AND(ISNUMBER(E94),ISNUMBER(F94)),(F94-E94),"")</f>
        <v/>
      </c>
      <c r="L94" s="11">
        <f>IF(AND(ISNUMBER(F94),ISNUMBER(G94)),(G94-F94),"")</f>
        <v/>
      </c>
      <c r="M94" s="11">
        <f>IF(AND(ISNUMBER(H94),ISNUMBER(I94)),(I94-H94),"")</f>
        <v/>
      </c>
      <c r="N94" s="11">
        <f>IF(AND(ISNUMBER(E94),ISNUMBER(J94)),(J94-E94),"")</f>
        <v/>
      </c>
    </row>
    <row r="95">
      <c r="A95" s="3" t="inlineStr">
        <is>
          <t>OBT080125173713-Wien Kledering</t>
        </is>
      </c>
      <c r="B95" s="3" t="inlineStr">
        <is>
          <t>Wien Kledering</t>
        </is>
      </c>
      <c r="C95" s="3" t="inlineStr">
        <is>
          <t>615</t>
        </is>
      </c>
      <c r="D95" s="3" t="n">
        <v>2</v>
      </c>
      <c r="E95" s="10" t="n">
        <v>45665.65067129629</v>
      </c>
      <c r="F95" s="10" t="n">
        <v>45665.73417824074</v>
      </c>
      <c r="G95" s="10" t="n">
        <v>45665.73501157408</v>
      </c>
      <c r="H95" s="10" t="n">
        <v>45665.77131944444</v>
      </c>
      <c r="I95" s="10" t="n">
        <v>45665.77131944444</v>
      </c>
      <c r="J95" s="10" t="n">
        <v>45665.77226851852</v>
      </c>
      <c r="K95" s="11">
        <f>IF(AND(ISNUMBER(E95),ISNUMBER(F95)),(F95-E95),"")</f>
        <v/>
      </c>
      <c r="L95" s="11">
        <f>IF(AND(ISNUMBER(F95),ISNUMBER(G95)),(G95-F95),"")</f>
        <v/>
      </c>
      <c r="M95" s="11">
        <f>IF(AND(ISNUMBER(H95),ISNUMBER(I95)),(I95-H95),"")</f>
        <v/>
      </c>
      <c r="N95" s="11">
        <f>IF(AND(ISNUMBER(E95),ISNUMBER(J95)),(J95-E95),"")</f>
        <v/>
      </c>
    </row>
    <row r="96">
      <c r="A96" s="3" t="inlineStr">
        <is>
          <t>OBT080125203302-Wien Kledering</t>
        </is>
      </c>
      <c r="B96" s="3" t="inlineStr">
        <is>
          <t>Wien Kledering</t>
        </is>
      </c>
      <c r="C96" s="3" t="inlineStr">
        <is>
          <t>617</t>
        </is>
      </c>
      <c r="D96" s="3" t="n">
        <v>2</v>
      </c>
      <c r="E96" s="10" t="n">
        <v>45665.75652777778</v>
      </c>
      <c r="F96" s="10" t="n">
        <v>45665.85627314815</v>
      </c>
      <c r="G96" s="10" t="n">
        <v>45665.85714120371</v>
      </c>
      <c r="H96" s="10" t="n">
        <v>45665.8771412037</v>
      </c>
      <c r="I96" s="10" t="n">
        <v>45665.8771412037</v>
      </c>
      <c r="J96" s="10" t="n">
        <v>45665.87796296296</v>
      </c>
      <c r="K96" s="11">
        <f>IF(AND(ISNUMBER(E96),ISNUMBER(F96)),(F96-E96),"")</f>
        <v/>
      </c>
      <c r="L96" s="11">
        <f>IF(AND(ISNUMBER(F96),ISNUMBER(G96)),(G96-F96),"")</f>
        <v/>
      </c>
      <c r="M96" s="11">
        <f>IF(AND(ISNUMBER(H96),ISNUMBER(I96)),(I96-H96),"")</f>
        <v/>
      </c>
      <c r="N96" s="11">
        <f>IF(AND(ISNUMBER(E96),ISNUMBER(J96)),(J96-E96),"")</f>
        <v/>
      </c>
    </row>
    <row r="97">
      <c r="A97" s="3" t="inlineStr">
        <is>
          <t>OBT090125030658-Wr. Neustadt (Hödlmayr)</t>
        </is>
      </c>
      <c r="B97" s="3" t="inlineStr">
        <is>
          <t>Wr. Neustadt (Hödlmayr)</t>
        </is>
      </c>
      <c r="C97" s="3" t="inlineStr">
        <is>
          <t>613</t>
        </is>
      </c>
      <c r="D97" s="3" t="n">
        <v>4</v>
      </c>
      <c r="E97" s="10" t="n">
        <v>45665.645625</v>
      </c>
      <c r="F97" s="10" t="n">
        <v>45666.12983796297</v>
      </c>
      <c r="G97" s="10" t="n">
        <v>45666.130625</v>
      </c>
      <c r="H97" s="10" t="n">
        <v>45666.14973379629</v>
      </c>
      <c r="I97" s="10" t="n">
        <v>45666.14973379629</v>
      </c>
      <c r="J97" s="10" t="n">
        <v>45666.15041666666</v>
      </c>
      <c r="K97" s="11">
        <f>IF(AND(ISNUMBER(E97),ISNUMBER(F97)),(F97-E97),"")</f>
        <v/>
      </c>
      <c r="L97" s="11">
        <f>IF(AND(ISNUMBER(F97),ISNUMBER(G97)),(G97-F97),"")</f>
        <v/>
      </c>
      <c r="M97" s="11">
        <f>IF(AND(ISNUMBER(H97),ISNUMBER(I97)),(I97-H97),"")</f>
        <v/>
      </c>
      <c r="N97" s="11">
        <f>IF(AND(ISNUMBER(E97),ISNUMBER(J97)),(J97-E97),"")</f>
        <v/>
      </c>
    </row>
    <row r="98">
      <c r="A98" s="3" t="inlineStr">
        <is>
          <t>OBT090125031241-Neunkirchen (loading tracks)</t>
        </is>
      </c>
      <c r="B98" s="3" t="inlineStr">
        <is>
          <t>Neunkirchen (loading tracks)</t>
        </is>
      </c>
      <c r="C98" s="3" t="inlineStr">
        <is>
          <t>625</t>
        </is>
      </c>
      <c r="D98" s="3" t="n">
        <v>4</v>
      </c>
      <c r="E98" s="10" t="n">
        <v>45665.33732638889</v>
      </c>
      <c r="F98" s="10" t="n">
        <v>45666.13380787037</v>
      </c>
      <c r="G98" s="10" t="n">
        <v>45666.13467592592</v>
      </c>
      <c r="H98" s="10" t="n">
        <v>45666.16887731481</v>
      </c>
      <c r="I98" s="10" t="n">
        <v>45666.16887731481</v>
      </c>
      <c r="J98" s="10" t="n">
        <v>45666.16983796296</v>
      </c>
      <c r="K98" s="11">
        <f>IF(AND(ISNUMBER(E98),ISNUMBER(F98)),(F98-E98),"")</f>
        <v/>
      </c>
      <c r="L98" s="11">
        <f>IF(AND(ISNUMBER(F98),ISNUMBER(G98)),(G98-F98),"")</f>
        <v/>
      </c>
      <c r="M98" s="11">
        <f>IF(AND(ISNUMBER(H98),ISNUMBER(I98)),(I98-H98),"")</f>
        <v/>
      </c>
      <c r="N98" s="11">
        <f>IF(AND(ISNUMBER(E98),ISNUMBER(J98)),(J98-E98),"")</f>
        <v/>
      </c>
    </row>
    <row r="99">
      <c r="A99" s="3" t="inlineStr">
        <is>
          <t>OBT090125063820-Ebenfurth (beet loading)</t>
        </is>
      </c>
      <c r="B99" s="3" t="inlineStr">
        <is>
          <t>Ebenfurth (beet loading)</t>
        </is>
      </c>
      <c r="C99" s="3" t="inlineStr">
        <is>
          <t>615</t>
        </is>
      </c>
      <c r="D99" s="3" t="n">
        <v>2</v>
      </c>
      <c r="E99" s="10" t="n">
        <v>45665.84375</v>
      </c>
      <c r="F99" s="10" t="n">
        <v>45666.27662037037</v>
      </c>
      <c r="G99" s="10" t="n">
        <v>45666.27746527778</v>
      </c>
      <c r="H99" s="10" t="n">
        <v>45666.30206018518</v>
      </c>
      <c r="I99" s="10" t="n">
        <v>45666.30206018518</v>
      </c>
      <c r="J99" s="10" t="n">
        <v>45666.30284722222</v>
      </c>
      <c r="K99" s="11">
        <f>IF(AND(ISNUMBER(E99),ISNUMBER(F99)),(F99-E99),"")</f>
        <v/>
      </c>
      <c r="L99" s="11">
        <f>IF(AND(ISNUMBER(F99),ISNUMBER(G99)),(G99-F99),"")</f>
        <v/>
      </c>
      <c r="M99" s="11">
        <f>IF(AND(ISNUMBER(H99),ISNUMBER(I99)),(I99-H99),"")</f>
        <v/>
      </c>
      <c r="N99" s="11">
        <f>IF(AND(ISNUMBER(E99),ISNUMBER(J99)),(J99-E99),"")</f>
        <v/>
      </c>
    </row>
    <row r="100">
      <c r="A100" s="3" t="inlineStr">
        <is>
          <t>OBT090125064202-Other sidings north</t>
        </is>
      </c>
      <c r="B100" s="3" t="inlineStr">
        <is>
          <t>Other sidings north</t>
        </is>
      </c>
      <c r="C100" s="3" t="inlineStr">
        <is>
          <t>619</t>
        </is>
      </c>
      <c r="D100" s="3" t="n">
        <v>4</v>
      </c>
      <c r="E100" s="10" t="n">
        <v>45665.64756944445</v>
      </c>
      <c r="F100" s="10" t="n">
        <v>45666.27918981481</v>
      </c>
      <c r="G100" s="10" t="n">
        <v>45666.28068287037</v>
      </c>
      <c r="H100" s="10" t="n">
        <v>45666.31120370371</v>
      </c>
      <c r="I100" s="10" t="n">
        <v>45666.31120370371</v>
      </c>
      <c r="J100" s="10" t="n">
        <v>45666.31216435185</v>
      </c>
      <c r="K100" s="11">
        <f>IF(AND(ISNUMBER(E100),ISNUMBER(F100)),(F100-E100),"")</f>
        <v/>
      </c>
      <c r="L100" s="11">
        <f>IF(AND(ISNUMBER(F100),ISNUMBER(G100)),(G100-F100),"")</f>
        <v/>
      </c>
      <c r="M100" s="11">
        <f>IF(AND(ISNUMBER(H100),ISNUMBER(I100)),(I100-H100),"")</f>
        <v/>
      </c>
      <c r="N100" s="11">
        <f>IF(AND(ISNUMBER(E100),ISNUMBER(J100)),(J100-E100),"")</f>
        <v/>
      </c>
    </row>
    <row r="101">
      <c r="A101" s="3" t="inlineStr">
        <is>
          <t>OBT090125070004-Wien Kledering</t>
        </is>
      </c>
      <c r="B101" s="3" t="inlineStr">
        <is>
          <t>Wien Kledering</t>
        </is>
      </c>
      <c r="C101" s="3" t="inlineStr">
        <is>
          <t>629</t>
        </is>
      </c>
      <c r="D101" s="3" t="n">
        <v>1</v>
      </c>
      <c r="E101" s="10" t="n">
        <v>45666.28954861111</v>
      </c>
      <c r="F101" s="10" t="n">
        <v>45666.29171296296</v>
      </c>
      <c r="G101" s="10" t="n">
        <v>45666.29377314815</v>
      </c>
      <c r="H101" s="10" t="n">
        <v>45666.32604166667</v>
      </c>
      <c r="I101" s="10" t="n">
        <v>45666.32604166667</v>
      </c>
      <c r="J101" s="10" t="n">
        <v>45666.32685185185</v>
      </c>
      <c r="K101" s="11">
        <f>IF(AND(ISNUMBER(E101),ISNUMBER(F101)),(F101-E101),"")</f>
        <v/>
      </c>
      <c r="L101" s="11">
        <f>IF(AND(ISNUMBER(F101),ISNUMBER(G101)),(G101-F101),"")</f>
        <v/>
      </c>
      <c r="M101" s="11">
        <f>IF(AND(ISNUMBER(H101),ISNUMBER(I101)),(I101-H101),"")</f>
        <v/>
      </c>
      <c r="N101" s="11">
        <f>IF(AND(ISNUMBER(E101),ISNUMBER(J101)),(J101-E101),"")</f>
        <v/>
      </c>
    </row>
    <row r="102">
      <c r="A102" s="3" t="inlineStr">
        <is>
          <t>OBT090125074546-Wr. Neustadt (Brenntag)</t>
        </is>
      </c>
      <c r="B102" s="3" t="inlineStr">
        <is>
          <t>Wr. Neustadt (Brenntag)</t>
        </is>
      </c>
      <c r="C102" s="3" t="inlineStr">
        <is>
          <t>609</t>
        </is>
      </c>
      <c r="D102" s="3" t="n">
        <v>7</v>
      </c>
      <c r="E102" s="10" t="n">
        <v>45659.64793981481</v>
      </c>
      <c r="F102" s="10" t="n">
        <v>45666.32344907407</v>
      </c>
      <c r="G102" s="10" t="n">
        <v>45666.32508101852</v>
      </c>
      <c r="H102" s="10" t="n">
        <v>45666.39607638889</v>
      </c>
      <c r="I102" s="10" t="n">
        <v>45666.39607638889</v>
      </c>
      <c r="J102" s="10" t="n">
        <v>45666.39756944445</v>
      </c>
      <c r="K102" s="11">
        <f>IF(AND(ISNUMBER(E102),ISNUMBER(F102)),(F102-E102),"")</f>
        <v/>
      </c>
      <c r="L102" s="11">
        <f>IF(AND(ISNUMBER(F102),ISNUMBER(G102)),(G102-F102),"")</f>
        <v/>
      </c>
      <c r="M102" s="11">
        <f>IF(AND(ISNUMBER(H102),ISNUMBER(I102)),(I102-H102),"")</f>
        <v/>
      </c>
      <c r="N102" s="11">
        <f>IF(AND(ISNUMBER(E102),ISNUMBER(J102)),(J102-E102),"")</f>
        <v/>
      </c>
    </row>
    <row r="103">
      <c r="A103" s="3" t="inlineStr">
        <is>
          <t>OBT090125075111-Pitten (Hamburger)</t>
        </is>
      </c>
      <c r="B103" s="3" t="inlineStr">
        <is>
          <t>Pitten (Hamburger)</t>
        </is>
      </c>
      <c r="C103" s="3" t="inlineStr">
        <is>
          <t>611</t>
        </is>
      </c>
      <c r="D103" s="3" t="n">
        <v>4</v>
      </c>
      <c r="E103" s="10" t="n">
        <v>45665.65511574074</v>
      </c>
      <c r="F103" s="10" t="n">
        <v>45666.32721064815</v>
      </c>
      <c r="G103" s="10" t="n">
        <v>45666.33197916667</v>
      </c>
      <c r="H103" s="10" t="n">
        <v>45666.35515046296</v>
      </c>
      <c r="I103" s="10" t="n">
        <v>45666.35515046296</v>
      </c>
      <c r="J103" s="10" t="n">
        <v>45666.3559375</v>
      </c>
      <c r="K103" s="11">
        <f>IF(AND(ISNUMBER(E103),ISNUMBER(F103)),(F103-E103),"")</f>
        <v/>
      </c>
      <c r="L103" s="11">
        <f>IF(AND(ISNUMBER(F103),ISNUMBER(G103)),(G103-F103),"")</f>
        <v/>
      </c>
      <c r="M103" s="11">
        <f>IF(AND(ISNUMBER(H103),ISNUMBER(I103)),(I103-H103),"")</f>
        <v/>
      </c>
      <c r="N103" s="11">
        <f>IF(AND(ISNUMBER(E103),ISNUMBER(J103)),(J103-E103),"")</f>
        <v/>
      </c>
    </row>
    <row r="104">
      <c r="A104" s="3" t="inlineStr">
        <is>
          <t>OBT090125075601-Wr. Neustadt Ausfahrbf (Furtenbach)</t>
        </is>
      </c>
      <c r="B104" s="3" t="inlineStr">
        <is>
          <t>Wr. Neustadt Ausfahrbf (Furtenbach)</t>
        </is>
      </c>
      <c r="C104" s="3" t="inlineStr">
        <is>
          <t>605</t>
        </is>
      </c>
      <c r="D104" s="3" t="n">
        <v>5</v>
      </c>
      <c r="E104" s="10" t="n">
        <v>45665.33903935185</v>
      </c>
      <c r="F104" s="10" t="n">
        <v>45666.33056712963</v>
      </c>
      <c r="G104" s="10" t="n">
        <v>45666.33230324074</v>
      </c>
      <c r="H104" s="10" t="n">
        <v>45666.35303240741</v>
      </c>
      <c r="I104" s="10" t="n">
        <v>45666.35303240741</v>
      </c>
      <c r="J104" s="10" t="n">
        <v>45666.35390046296</v>
      </c>
      <c r="K104" s="11">
        <f>IF(AND(ISNUMBER(E104),ISNUMBER(F104)),(F104-E104),"")</f>
        <v/>
      </c>
      <c r="L104" s="11">
        <f>IF(AND(ISNUMBER(F104),ISNUMBER(G104)),(G104-F104),"")</f>
        <v/>
      </c>
      <c r="M104" s="11">
        <f>IF(AND(ISNUMBER(H104),ISNUMBER(I104)),(I104-H104),"")</f>
        <v/>
      </c>
      <c r="N104" s="11">
        <f>IF(AND(ISNUMBER(E104),ISNUMBER(J104)),(J104-E104),"")</f>
        <v/>
      </c>
    </row>
    <row r="105">
      <c r="A105" s="3" t="inlineStr">
        <is>
          <t>OBT090125083304-Wien Kledering</t>
        </is>
      </c>
      <c r="B105" s="3" t="inlineStr">
        <is>
          <t>Wien Kledering</t>
        </is>
      </c>
      <c r="C105" s="3" t="inlineStr">
        <is>
          <t>619</t>
        </is>
      </c>
      <c r="D105" s="3" t="n">
        <v>1</v>
      </c>
      <c r="E105" s="10" t="n">
        <v>45666.33900462963</v>
      </c>
      <c r="F105" s="10" t="n">
        <v>45666.3562962963</v>
      </c>
      <c r="G105" s="10" t="n">
        <v>45666.35714120371</v>
      </c>
      <c r="H105" s="10" t="n">
        <v>45666.42337962963</v>
      </c>
      <c r="I105" s="10" t="n">
        <v>45666.42337962963</v>
      </c>
      <c r="J105" s="10" t="n">
        <v>45666.42481481482</v>
      </c>
      <c r="K105" s="11">
        <f>IF(AND(ISNUMBER(E105),ISNUMBER(F105)),(F105-E105),"")</f>
        <v/>
      </c>
      <c r="L105" s="11">
        <f>IF(AND(ISNUMBER(F105),ISNUMBER(G105)),(G105-F105),"")</f>
        <v/>
      </c>
      <c r="M105" s="11">
        <f>IF(AND(ISNUMBER(H105),ISNUMBER(I105)),(I105-H105),"")</f>
        <v/>
      </c>
      <c r="N105" s="11">
        <f>IF(AND(ISNUMBER(E105),ISNUMBER(J105)),(J105-E105),"")</f>
        <v/>
      </c>
    </row>
    <row r="106">
      <c r="A106" s="3" t="inlineStr">
        <is>
          <t>OBT090125090557-Wien Kledering</t>
        </is>
      </c>
      <c r="B106" s="3" t="inlineStr">
        <is>
          <t>Wien Kledering</t>
        </is>
      </c>
      <c r="C106" s="3" t="inlineStr">
        <is>
          <t>605</t>
        </is>
      </c>
      <c r="D106" s="3" t="n">
        <v>1</v>
      </c>
      <c r="E106" s="10" t="n">
        <v>45666.37673611111</v>
      </c>
      <c r="F106" s="10" t="n">
        <v>45666.37913194444</v>
      </c>
      <c r="G106" s="10" t="n">
        <v>45666.38483796296</v>
      </c>
      <c r="H106" s="10" t="n">
        <v>45666.4053587963</v>
      </c>
      <c r="I106" s="10" t="n">
        <v>45666.4053587963</v>
      </c>
      <c r="J106" s="10" t="n">
        <v>45666.40622685185</v>
      </c>
      <c r="K106" s="11">
        <f>IF(AND(ISNUMBER(E106),ISNUMBER(F106)),(F106-E106),"")</f>
        <v/>
      </c>
      <c r="L106" s="11">
        <f>IF(AND(ISNUMBER(F106),ISNUMBER(G106)),(G106-F106),"")</f>
        <v/>
      </c>
      <c r="M106" s="11">
        <f>IF(AND(ISNUMBER(H106),ISNUMBER(I106)),(I106-H106),"")</f>
        <v/>
      </c>
      <c r="N106" s="11">
        <f>IF(AND(ISNUMBER(E106),ISNUMBER(J106)),(J106-E106),"")</f>
        <v/>
      </c>
    </row>
    <row r="107">
      <c r="A107" s="3" t="inlineStr">
        <is>
          <t>OBT090125091140-St. Veit an der Glan</t>
        </is>
      </c>
      <c r="B107" s="3" t="inlineStr">
        <is>
          <t>St. Veit an der Glan</t>
        </is>
      </c>
      <c r="C107" s="3" t="inlineStr">
        <is>
          <t>627</t>
        </is>
      </c>
      <c r="D107" s="3" t="n">
        <v>2</v>
      </c>
      <c r="E107" s="10" t="n">
        <v>45665.4412037037</v>
      </c>
      <c r="F107" s="10" t="n">
        <v>45666.38310185185</v>
      </c>
      <c r="G107" s="10" t="n">
        <v>45666.39775462963</v>
      </c>
      <c r="H107" s="10" t="n">
        <v>45666.44372685185</v>
      </c>
      <c r="I107" s="10" t="n">
        <v>45666.44372685185</v>
      </c>
      <c r="J107" s="10" t="n">
        <v>45666.4447337963</v>
      </c>
      <c r="K107" s="11">
        <f>IF(AND(ISNUMBER(E107),ISNUMBER(F107)),(F107-E107),"")</f>
        <v/>
      </c>
      <c r="L107" s="11">
        <f>IF(AND(ISNUMBER(F107),ISNUMBER(G107)),(G107-F107),"")</f>
        <v/>
      </c>
      <c r="M107" s="11">
        <f>IF(AND(ISNUMBER(H107),ISNUMBER(I107)),(I107-H107),"")</f>
        <v/>
      </c>
      <c r="N107" s="11">
        <f>IF(AND(ISNUMBER(E107),ISNUMBER(J107)),(J107-E107),"")</f>
        <v/>
      </c>
    </row>
    <row r="108">
      <c r="A108" s="3" t="inlineStr">
        <is>
          <t>OBT090125111603-Wien Kledering</t>
        </is>
      </c>
      <c r="B108" s="3" t="inlineStr">
        <is>
          <t>Wien Kledering</t>
        </is>
      </c>
      <c r="C108" s="3" t="inlineStr">
        <is>
          <t>605</t>
        </is>
      </c>
      <c r="D108" s="3" t="n">
        <v>1</v>
      </c>
      <c r="E108" s="10" t="n">
        <v>45666.46708333334</v>
      </c>
      <c r="F108" s="10" t="n">
        <v>45666.46947916667</v>
      </c>
      <c r="G108" s="10" t="n">
        <v>45666.47032407407</v>
      </c>
      <c r="H108" s="10" t="n">
        <v>45666.54231481482</v>
      </c>
      <c r="I108" s="10" t="n">
        <v>45666.54231481482</v>
      </c>
      <c r="J108" s="10" t="n">
        <v>45666.54386574074</v>
      </c>
      <c r="K108" s="11">
        <f>IF(AND(ISNUMBER(E108),ISNUMBER(F108)),(F108-E108),"")</f>
        <v/>
      </c>
      <c r="L108" s="11">
        <f>IF(AND(ISNUMBER(F108),ISNUMBER(G108)),(G108-F108),"")</f>
        <v/>
      </c>
      <c r="M108" s="11">
        <f>IF(AND(ISNUMBER(H108),ISNUMBER(I108)),(I108-H108),"")</f>
        <v/>
      </c>
      <c r="N108" s="11">
        <f>IF(AND(ISNUMBER(E108),ISNUMBER(J108)),(J108-E108),"")</f>
        <v/>
      </c>
    </row>
    <row r="109">
      <c r="A109" s="3" t="inlineStr">
        <is>
          <t>OBT090125145115-Wien Kledering</t>
        </is>
      </c>
      <c r="B109" s="3" t="inlineStr">
        <is>
          <t>Wien Kledering</t>
        </is>
      </c>
      <c r="C109" s="3" t="inlineStr">
        <is>
          <t>605</t>
        </is>
      </c>
      <c r="D109" s="3" t="n">
        <v>1</v>
      </c>
      <c r="E109" s="10" t="n">
        <v>45666.61677083333</v>
      </c>
      <c r="F109" s="10" t="n">
        <v>45666.61892361111</v>
      </c>
      <c r="G109" s="10" t="n">
        <v>45666.61979166666</v>
      </c>
      <c r="H109" s="10" t="n">
        <v>45666.66170138889</v>
      </c>
      <c r="I109" s="10" t="n">
        <v>45666.66170138889</v>
      </c>
      <c r="J109" s="10" t="n">
        <v>45666.6628587963</v>
      </c>
      <c r="K109" s="11">
        <f>IF(AND(ISNUMBER(E109),ISNUMBER(F109)),(F109-E109),"")</f>
        <v/>
      </c>
      <c r="L109" s="11">
        <f>IF(AND(ISNUMBER(F109),ISNUMBER(G109)),(G109-F109),"")</f>
        <v/>
      </c>
      <c r="M109" s="11">
        <f>IF(AND(ISNUMBER(H109),ISNUMBER(I109)),(I109-H109),"")</f>
        <v/>
      </c>
      <c r="N109" s="11">
        <f>IF(AND(ISNUMBER(E109),ISNUMBER(J109)),(J109-E109),"")</f>
        <v/>
      </c>
    </row>
    <row r="110">
      <c r="A110" s="3" t="inlineStr">
        <is>
          <t>OBT090125152828-Neudörfl (FunderMax)</t>
        </is>
      </c>
      <c r="B110" s="3" t="inlineStr">
        <is>
          <t>Neudörfl (FunderMax)</t>
        </is>
      </c>
      <c r="C110" s="3" t="inlineStr">
        <is>
          <t>621</t>
        </is>
      </c>
      <c r="D110" s="3" t="n">
        <v>3</v>
      </c>
      <c r="E110" s="10" t="n">
        <v>45666.28459490741</v>
      </c>
      <c r="F110" s="10" t="n">
        <v>45666.64476851852</v>
      </c>
      <c r="G110" s="10" t="n">
        <v>45666.64561342593</v>
      </c>
      <c r="H110" s="10" t="n">
        <v>45666.66592592592</v>
      </c>
      <c r="I110" s="10" t="n">
        <v>45666.66592592592</v>
      </c>
      <c r="J110" s="10" t="n">
        <v>45666.66673611111</v>
      </c>
      <c r="K110" s="11">
        <f>IF(AND(ISNUMBER(E110),ISNUMBER(F110)),(F110-E110),"")</f>
        <v/>
      </c>
      <c r="L110" s="11">
        <f>IF(AND(ISNUMBER(F110),ISNUMBER(G110)),(G110-F110),"")</f>
        <v/>
      </c>
      <c r="M110" s="11">
        <f>IF(AND(ISNUMBER(H110),ISNUMBER(I110)),(I110-H110),"")</f>
        <v/>
      </c>
      <c r="N110" s="11">
        <f>IF(AND(ISNUMBER(E110),ISNUMBER(J110)),(J110-E110),"")</f>
        <v/>
      </c>
    </row>
    <row r="111">
      <c r="A111" s="3" t="inlineStr">
        <is>
          <t>OBT090125153241-Pitten (Hamburger)</t>
        </is>
      </c>
      <c r="B111" s="3" t="inlineStr">
        <is>
          <t>Pitten (Hamburger)</t>
        </is>
      </c>
      <c r="C111" s="3" t="inlineStr">
        <is>
          <t>611</t>
        </is>
      </c>
      <c r="D111" s="3" t="n">
        <v>2</v>
      </c>
      <c r="E111" s="10" t="n">
        <v>45666.32789351852</v>
      </c>
      <c r="F111" s="10" t="n">
        <v>45666.64769675926</v>
      </c>
      <c r="G111" s="10" t="n">
        <v>45666.65365740741</v>
      </c>
      <c r="H111" s="10" t="n">
        <v>45666.6765625</v>
      </c>
      <c r="I111" s="10" t="n">
        <v>45666.6765625</v>
      </c>
      <c r="J111" s="10" t="n">
        <v>45666.67734953704</v>
      </c>
      <c r="K111" s="11">
        <f>IF(AND(ISNUMBER(E111),ISNUMBER(F111)),(F111-E111),"")</f>
        <v/>
      </c>
      <c r="L111" s="11">
        <f>IF(AND(ISNUMBER(F111),ISNUMBER(G111)),(G111-F111),"")</f>
        <v/>
      </c>
      <c r="M111" s="11">
        <f>IF(AND(ISNUMBER(H111),ISNUMBER(I111)),(I111-H111),"")</f>
        <v/>
      </c>
      <c r="N111" s="11">
        <f>IF(AND(ISNUMBER(E111),ISNUMBER(J111)),(J111-E111),"")</f>
        <v/>
      </c>
    </row>
    <row r="112">
      <c r="A112" s="3" t="inlineStr">
        <is>
          <t>OBT090125153646-Ebenfurth (beet loading)</t>
        </is>
      </c>
      <c r="B112" s="3" t="inlineStr">
        <is>
          <t>Ebenfurth (beet loading)</t>
        </is>
      </c>
      <c r="C112" s="3" t="inlineStr">
        <is>
          <t>615</t>
        </is>
      </c>
      <c r="D112" s="3" t="n">
        <v>2</v>
      </c>
      <c r="E112" s="10" t="n">
        <v>45666.31839120371</v>
      </c>
      <c r="F112" s="10" t="n">
        <v>45666.65053240741</v>
      </c>
      <c r="G112" s="10" t="n">
        <v>45666.66660879629</v>
      </c>
      <c r="H112" s="10" t="n">
        <v>45666.69666666666</v>
      </c>
      <c r="I112" s="10" t="n">
        <v>45666.69666666666</v>
      </c>
      <c r="J112" s="10" t="n">
        <v>45666.69753472223</v>
      </c>
      <c r="K112" s="11">
        <f>IF(AND(ISNUMBER(E112),ISNUMBER(F112)),(F112-E112),"")</f>
        <v/>
      </c>
      <c r="L112" s="11">
        <f>IF(AND(ISNUMBER(F112),ISNUMBER(G112)),(G112-F112),"")</f>
        <v/>
      </c>
      <c r="M112" s="11">
        <f>IF(AND(ISNUMBER(H112),ISNUMBER(I112)),(I112-H112),"")</f>
        <v/>
      </c>
      <c r="N112" s="11">
        <f>IF(AND(ISNUMBER(E112),ISNUMBER(J112)),(J112-E112),"")</f>
        <v/>
      </c>
    </row>
    <row r="113">
      <c r="A113" s="3" t="inlineStr">
        <is>
          <t>OBT090125155728-Wien Kledering</t>
        </is>
      </c>
      <c r="B113" s="3" t="inlineStr">
        <is>
          <t>Wien Kledering</t>
        </is>
      </c>
      <c r="C113" s="3" t="inlineStr">
        <is>
          <t>609</t>
        </is>
      </c>
      <c r="D113" s="3" t="n">
        <v>1</v>
      </c>
      <c r="E113" s="10" t="n">
        <v>45666.65394675926</v>
      </c>
      <c r="F113" s="10" t="n">
        <v>45666.66490740741</v>
      </c>
      <c r="G113" s="10" t="n">
        <v>45666.66761574074</v>
      </c>
      <c r="H113" s="10" t="n">
        <v>45666.72226851852</v>
      </c>
      <c r="I113" s="10" t="n">
        <v>45666.72226851852</v>
      </c>
      <c r="J113" s="10" t="n">
        <v>45666.72354166667</v>
      </c>
      <c r="K113" s="11">
        <f>IF(AND(ISNUMBER(E113),ISNUMBER(F113)),(F113-E113),"")</f>
        <v/>
      </c>
      <c r="L113" s="11">
        <f>IF(AND(ISNUMBER(F113),ISNUMBER(G113)),(G113-F113),"")</f>
        <v/>
      </c>
      <c r="M113" s="11">
        <f>IF(AND(ISNUMBER(H113),ISNUMBER(I113)),(I113-H113),"")</f>
        <v/>
      </c>
      <c r="N113" s="11">
        <f>IF(AND(ISNUMBER(E113),ISNUMBER(J113)),(J113-E113),"")</f>
        <v/>
      </c>
    </row>
    <row r="114">
      <c r="A114" s="3" t="inlineStr">
        <is>
          <t>OBT090125182121-Pitten (Hamburger)</t>
        </is>
      </c>
      <c r="B114" s="3" t="inlineStr">
        <is>
          <t>Pitten (Hamburger)</t>
        </is>
      </c>
      <c r="C114" s="3" t="inlineStr">
        <is>
          <t>615</t>
        </is>
      </c>
      <c r="D114" s="3" t="n">
        <v>1</v>
      </c>
      <c r="E114" s="10" t="n">
        <v>45666.76243055556</v>
      </c>
      <c r="F114" s="10" t="n">
        <v>45666.76482638889</v>
      </c>
      <c r="G114" s="10" t="n">
        <v>45666.7656712963</v>
      </c>
      <c r="H114" s="10" t="n">
        <v>45666.78597222222</v>
      </c>
      <c r="I114" s="10" t="n">
        <v>45666.78597222222</v>
      </c>
      <c r="J114" s="10" t="n">
        <v>45666.78670138889</v>
      </c>
      <c r="K114" s="11">
        <f>IF(AND(ISNUMBER(E114),ISNUMBER(F114)),(F114-E114),"")</f>
        <v/>
      </c>
      <c r="L114" s="11">
        <f>IF(AND(ISNUMBER(F114),ISNUMBER(G114)),(G114-F114),"")</f>
        <v/>
      </c>
      <c r="M114" s="11">
        <f>IF(AND(ISNUMBER(H114),ISNUMBER(I114)),(I114-H114),"")</f>
        <v/>
      </c>
      <c r="N114" s="11">
        <f>IF(AND(ISNUMBER(E114),ISNUMBER(J114)),(J114-E114),"")</f>
        <v/>
      </c>
    </row>
    <row r="115">
      <c r="A115" s="3" t="inlineStr">
        <is>
          <t>OBT090125182601-Other sidings north</t>
        </is>
      </c>
      <c r="B115" s="3" t="inlineStr">
        <is>
          <t>Other sidings north</t>
        </is>
      </c>
      <c r="C115" s="3" t="inlineStr">
        <is>
          <t>619</t>
        </is>
      </c>
      <c r="D115" s="3" t="n">
        <v>2</v>
      </c>
      <c r="E115" s="10" t="n">
        <v>45666.64334490741</v>
      </c>
      <c r="F115" s="10" t="n">
        <v>45666.76806712963</v>
      </c>
      <c r="G115" s="10" t="n">
        <v>45666.76969907407</v>
      </c>
      <c r="H115" s="10" t="n">
        <v>45666.79645833333</v>
      </c>
      <c r="I115" s="10" t="n">
        <v>45666.79645833333</v>
      </c>
      <c r="J115" s="10" t="n">
        <v>45666.79736111111</v>
      </c>
      <c r="K115" s="11">
        <f>IF(AND(ISNUMBER(E115),ISNUMBER(F115)),(F115-E115),"")</f>
        <v/>
      </c>
      <c r="L115" s="11">
        <f>IF(AND(ISNUMBER(F115),ISNUMBER(G115)),(G115-F115),"")</f>
        <v/>
      </c>
      <c r="M115" s="11">
        <f>IF(AND(ISNUMBER(H115),ISNUMBER(I115)),(I115-H115),"")</f>
        <v/>
      </c>
      <c r="N115" s="11">
        <f>IF(AND(ISNUMBER(E115),ISNUMBER(J115)),(J115-E115),"")</f>
        <v/>
      </c>
    </row>
    <row r="116">
      <c r="A116" s="3" t="inlineStr">
        <is>
          <t>OBT090125182822-Neunkirchen (loading tracks)</t>
        </is>
      </c>
      <c r="B116" s="3" t="inlineStr">
        <is>
          <t>Neunkirchen (loading tracks)</t>
        </is>
      </c>
      <c r="C116" s="3" t="inlineStr">
        <is>
          <t>613</t>
        </is>
      </c>
      <c r="D116" s="3" t="n">
        <v>5</v>
      </c>
      <c r="E116" s="10" t="n">
        <v>45666.27655092593</v>
      </c>
      <c r="F116" s="10" t="n">
        <v>45666.76969907407</v>
      </c>
      <c r="G116" s="10" t="n">
        <v>45666.79081018519</v>
      </c>
      <c r="H116" s="10" t="n">
        <v>45666.80951388889</v>
      </c>
      <c r="I116" s="10" t="n">
        <v>45666.80951388889</v>
      </c>
      <c r="J116" s="10" t="n">
        <v>45666.81018518518</v>
      </c>
      <c r="K116" s="11">
        <f>IF(AND(ISNUMBER(E116),ISNUMBER(F116)),(F116-E116),"")</f>
        <v/>
      </c>
      <c r="L116" s="11">
        <f>IF(AND(ISNUMBER(F116),ISNUMBER(G116)),(G116-F116),"")</f>
        <v/>
      </c>
      <c r="M116" s="11">
        <f>IF(AND(ISNUMBER(H116),ISNUMBER(I116)),(I116-H116),"")</f>
        <v/>
      </c>
      <c r="N116" s="11">
        <f>IF(AND(ISNUMBER(E116),ISNUMBER(J116)),(J116-E116),"")</f>
        <v/>
      </c>
    </row>
    <row r="117">
      <c r="A117" s="3" t="inlineStr">
        <is>
          <t>OBT090125184210-Steinabrückl/Wöllersdorf</t>
        </is>
      </c>
      <c r="B117" s="3" t="inlineStr">
        <is>
          <t>Steinabrückl/Wöllersdorf</t>
        </is>
      </c>
      <c r="C117" s="3" t="inlineStr">
        <is>
          <t>606</t>
        </is>
      </c>
      <c r="D117" s="3" t="n">
        <v>6</v>
      </c>
      <c r="E117" s="10" t="n">
        <v>45659.87153935185</v>
      </c>
      <c r="F117" s="10" t="n">
        <v>45666.77928240741</v>
      </c>
      <c r="G117" s="10" t="n">
        <v>45666.79709490741</v>
      </c>
      <c r="H117" s="10" t="n">
        <v>45666.81622685185</v>
      </c>
      <c r="I117" s="10" t="n">
        <v>45666.81667824074</v>
      </c>
      <c r="J117" s="10" t="n">
        <v>45666.8174537037</v>
      </c>
      <c r="K117" s="11">
        <f>IF(AND(ISNUMBER(E117),ISNUMBER(F117)),(F117-E117),"")</f>
        <v/>
      </c>
      <c r="L117" s="11">
        <f>IF(AND(ISNUMBER(F117),ISNUMBER(G117)),(G117-F117),"")</f>
        <v/>
      </c>
      <c r="M117" s="11">
        <f>IF(AND(ISNUMBER(H117),ISNUMBER(I117)),(I117-H117),"")</f>
        <v/>
      </c>
      <c r="N117" s="11">
        <f>IF(AND(ISNUMBER(E117),ISNUMBER(J117)),(J117-E117),"")</f>
        <v/>
      </c>
    </row>
    <row r="118">
      <c r="A118" s="3" t="inlineStr">
        <is>
          <t>OBT090125184904-Obereggendorf (Hofer)</t>
        </is>
      </c>
      <c r="B118" s="3" t="inlineStr">
        <is>
          <t>Obereggendorf (Hofer)</t>
        </is>
      </c>
      <c r="C118" s="3" t="inlineStr">
        <is>
          <t>607</t>
        </is>
      </c>
      <c r="D118" s="3" t="n">
        <v>6</v>
      </c>
      <c r="E118" s="10" t="n">
        <v>45665.35229166667</v>
      </c>
      <c r="F118" s="10" t="n">
        <v>45666.78407407407</v>
      </c>
      <c r="G118" s="10" t="n">
        <v>45666.79814814815</v>
      </c>
      <c r="H118" s="10" t="n">
        <v>45666.81584490741</v>
      </c>
      <c r="I118" s="10" t="n">
        <v>45666.81584490741</v>
      </c>
      <c r="J118" s="10" t="n">
        <v>45666.81667824074</v>
      </c>
      <c r="K118" s="11">
        <f>IF(AND(ISNUMBER(E118),ISNUMBER(F118)),(F118-E118),"")</f>
        <v/>
      </c>
      <c r="L118" s="11">
        <f>IF(AND(ISNUMBER(F118),ISNUMBER(G118)),(G118-F118),"")</f>
        <v/>
      </c>
      <c r="M118" s="11">
        <f>IF(AND(ISNUMBER(H118),ISNUMBER(I118)),(I118-H118),"")</f>
        <v/>
      </c>
      <c r="N118" s="11">
        <f>IF(AND(ISNUMBER(E118),ISNUMBER(J118)),(J118-E118),"")</f>
        <v/>
      </c>
    </row>
    <row r="119">
      <c r="A119" s="3" t="inlineStr">
        <is>
          <t>OBT090125185836-Wr. Neustadt (Brenntag)</t>
        </is>
      </c>
      <c r="B119" s="3" t="inlineStr">
        <is>
          <t>Wr. Neustadt (Brenntag)</t>
        </is>
      </c>
      <c r="C119" s="3" t="inlineStr">
        <is>
          <t>609</t>
        </is>
      </c>
      <c r="D119" s="3" t="n">
        <v>4</v>
      </c>
      <c r="E119" s="10" t="n">
        <v>45666.76730324074</v>
      </c>
      <c r="F119" s="10" t="n">
        <v>45666.79069444445</v>
      </c>
      <c r="G119" s="10" t="n">
        <v>45666.81125</v>
      </c>
      <c r="H119" s="10" t="n">
        <v>45666.83219907407</v>
      </c>
      <c r="I119" s="10" t="n">
        <v>45666.83219907407</v>
      </c>
      <c r="J119" s="10" t="n">
        <v>45666.83302083334</v>
      </c>
      <c r="K119" s="11">
        <f>IF(AND(ISNUMBER(E119),ISNUMBER(F119)),(F119-E119),"")</f>
        <v/>
      </c>
      <c r="L119" s="11">
        <f>IF(AND(ISNUMBER(F119),ISNUMBER(G119)),(G119-F119),"")</f>
        <v/>
      </c>
      <c r="M119" s="11">
        <f>IF(AND(ISNUMBER(H119),ISNUMBER(I119)),(I119-H119),"")</f>
        <v/>
      </c>
      <c r="N119" s="11">
        <f>IF(AND(ISNUMBER(E119),ISNUMBER(J119)),(J119-E119),"")</f>
        <v/>
      </c>
    </row>
    <row r="120">
      <c r="A120" s="3" t="inlineStr">
        <is>
          <t>OBT090125190525-Neudörfl (FunderMax)</t>
        </is>
      </c>
      <c r="B120" s="3" t="inlineStr">
        <is>
          <t>Neudörfl (FunderMax)</t>
        </is>
      </c>
      <c r="C120" s="3" t="inlineStr">
        <is>
          <t>605</t>
        </is>
      </c>
      <c r="D120" s="3" t="n">
        <v>3</v>
      </c>
      <c r="E120" s="10" t="n">
        <v>45666.76903935185</v>
      </c>
      <c r="F120" s="10" t="n">
        <v>45666.79542824074</v>
      </c>
      <c r="G120" s="10" t="n">
        <v>45666.8175462963</v>
      </c>
      <c r="H120" s="10" t="n">
        <v>45666.84138888889</v>
      </c>
      <c r="I120" s="10" t="n">
        <v>45666.84138888889</v>
      </c>
      <c r="J120" s="10" t="n">
        <v>45666.84230324074</v>
      </c>
      <c r="K120" s="11">
        <f>IF(AND(ISNUMBER(E120),ISNUMBER(F120)),(F120-E120),"")</f>
        <v/>
      </c>
      <c r="L120" s="11">
        <f>IF(AND(ISNUMBER(F120),ISNUMBER(G120)),(G120-F120),"")</f>
        <v/>
      </c>
      <c r="M120" s="11">
        <f>IF(AND(ISNUMBER(H120),ISNUMBER(I120)),(I120-H120),"")</f>
        <v/>
      </c>
      <c r="N120" s="11">
        <f>IF(AND(ISNUMBER(E120),ISNUMBER(J120)),(J120-E120),"")</f>
        <v/>
      </c>
    </row>
    <row r="121">
      <c r="A121" s="3" t="inlineStr">
        <is>
          <t>OBT090125204342-Felixdorf/Sollenau (Bundesheer, Maba)</t>
        </is>
      </c>
      <c r="B121" s="3" t="inlineStr">
        <is>
          <t>Felixdorf/Sollenau (Bundesheer, Maba)</t>
        </is>
      </c>
      <c r="C121" s="3" t="inlineStr">
        <is>
          <t>625</t>
        </is>
      </c>
      <c r="D121" s="3" t="n">
        <v>4</v>
      </c>
      <c r="E121" s="10" t="n">
        <v>45666.27858796297</v>
      </c>
      <c r="F121" s="10" t="n">
        <v>45666.86368055556</v>
      </c>
      <c r="G121" s="10" t="n">
        <v>45666.86454861111</v>
      </c>
      <c r="H121" s="10" t="n">
        <v>45666.88584490741</v>
      </c>
      <c r="I121" s="10" t="n">
        <v>45666.88584490741</v>
      </c>
      <c r="J121" s="10" t="n">
        <v>45666.88663194444</v>
      </c>
      <c r="K121" s="11">
        <f>IF(AND(ISNUMBER(E121),ISNUMBER(F121)),(F121-E121),"")</f>
        <v/>
      </c>
      <c r="L121" s="11">
        <f>IF(AND(ISNUMBER(F121),ISNUMBER(G121)),(G121-F121),"")</f>
        <v/>
      </c>
      <c r="M121" s="11">
        <f>IF(AND(ISNUMBER(H121),ISNUMBER(I121)),(I121-H121),"")</f>
        <v/>
      </c>
      <c r="N121" s="11">
        <f>IF(AND(ISNUMBER(E121),ISNUMBER(J121)),(J121-E121),"")</f>
        <v/>
      </c>
    </row>
    <row r="122">
      <c r="A122" s="3" t="inlineStr">
        <is>
          <t>OBT090125204925-Other sidings north</t>
        </is>
      </c>
      <c r="B122" s="3" t="inlineStr">
        <is>
          <t>Other sidings north</t>
        </is>
      </c>
      <c r="C122" s="3" t="inlineStr">
        <is>
          <t>629</t>
        </is>
      </c>
      <c r="D122" s="3" t="n">
        <v>2</v>
      </c>
      <c r="E122" s="10" t="n">
        <v>45666.77706018519</v>
      </c>
      <c r="F122" s="10" t="n">
        <v>45666.86765046296</v>
      </c>
      <c r="G122" s="10" t="n">
        <v>45666.86848379629</v>
      </c>
      <c r="H122" s="10" t="n">
        <v>45666.8903587963</v>
      </c>
      <c r="I122" s="10" t="n">
        <v>45666.8903587963</v>
      </c>
      <c r="J122" s="10" t="n">
        <v>45666.89103009259</v>
      </c>
      <c r="K122" s="11">
        <f>IF(AND(ISNUMBER(E122),ISNUMBER(F122)),(F122-E122),"")</f>
        <v/>
      </c>
      <c r="L122" s="11">
        <f>IF(AND(ISNUMBER(F122),ISNUMBER(G122)),(G122-F122),"")</f>
        <v/>
      </c>
      <c r="M122" s="11">
        <f>IF(AND(ISNUMBER(H122),ISNUMBER(I122)),(I122-H122),"")</f>
        <v/>
      </c>
      <c r="N122" s="11">
        <f>IF(AND(ISNUMBER(E122),ISNUMBER(J122)),(J122-E122),"")</f>
        <v/>
      </c>
    </row>
    <row r="123">
      <c r="A123" s="3" t="inlineStr">
        <is>
          <t>OBT100125031244-Neunkirchen (loading tracks)</t>
        </is>
      </c>
      <c r="B123" s="3" t="inlineStr">
        <is>
          <t>Neunkirchen (loading tracks)</t>
        </is>
      </c>
      <c r="C123" s="3" t="inlineStr">
        <is>
          <t>621</t>
        </is>
      </c>
      <c r="D123" s="3" t="n">
        <v>3</v>
      </c>
      <c r="E123" s="10" t="n">
        <v>45666.77334490741</v>
      </c>
      <c r="F123" s="10" t="n">
        <v>45667.13384259259</v>
      </c>
      <c r="G123" s="10" t="n">
        <v>45667.1346875</v>
      </c>
      <c r="H123" s="10" t="n">
        <v>45667.17326388889</v>
      </c>
      <c r="I123" s="10" t="n">
        <v>45667.17326388889</v>
      </c>
      <c r="J123" s="10" t="n">
        <v>45667.17431712963</v>
      </c>
      <c r="K123" s="11">
        <f>IF(AND(ISNUMBER(E123),ISNUMBER(F123)),(F123-E123),"")</f>
        <v/>
      </c>
      <c r="L123" s="11">
        <f>IF(AND(ISNUMBER(F123),ISNUMBER(G123)),(G123-F123),"")</f>
        <v/>
      </c>
      <c r="M123" s="11">
        <f>IF(AND(ISNUMBER(H123),ISNUMBER(I123)),(I123-H123),"")</f>
        <v/>
      </c>
      <c r="N123" s="11">
        <f>IF(AND(ISNUMBER(E123),ISNUMBER(J123)),(J123-E123),"")</f>
        <v/>
      </c>
    </row>
    <row r="124">
      <c r="A124" s="3" t="inlineStr">
        <is>
          <t>OBT100125031522-Other sidings south</t>
        </is>
      </c>
      <c r="B124" s="3" t="inlineStr">
        <is>
          <t>Other sidings south</t>
        </is>
      </c>
      <c r="C124" s="3" t="inlineStr">
        <is>
          <t>623</t>
        </is>
      </c>
      <c r="D124" s="3" t="n">
        <v>5</v>
      </c>
      <c r="E124" s="10" t="n">
        <v>45665.34321759259</v>
      </c>
      <c r="F124" s="10" t="n">
        <v>45667.1356712963</v>
      </c>
      <c r="G124" s="10" t="n">
        <v>45667.13653935185</v>
      </c>
      <c r="H124" s="10" t="n">
        <v>45667.15913194444</v>
      </c>
      <c r="I124" s="10" t="n">
        <v>45667.15913194444</v>
      </c>
      <c r="J124" s="10" t="n">
        <v>45667.15997685185</v>
      </c>
      <c r="K124" s="11">
        <f>IF(AND(ISNUMBER(E124),ISNUMBER(F124)),(F124-E124),"")</f>
        <v/>
      </c>
      <c r="L124" s="11">
        <f>IF(AND(ISNUMBER(F124),ISNUMBER(G124)),(G124-F124),"")</f>
        <v/>
      </c>
      <c r="M124" s="11">
        <f>IF(AND(ISNUMBER(H124),ISNUMBER(I124)),(I124-H124),"")</f>
        <v/>
      </c>
      <c r="N124" s="11">
        <f>IF(AND(ISNUMBER(E124),ISNUMBER(J124)),(J124-E124),"")</f>
        <v/>
      </c>
    </row>
    <row r="125">
      <c r="A125" s="3" t="inlineStr">
        <is>
          <t>OBT100125045052-Neudörfl (FunderMax)</t>
        </is>
      </c>
      <c r="B125" s="3" t="inlineStr">
        <is>
          <t>Neudörfl (FunderMax)</t>
        </is>
      </c>
      <c r="C125" s="3" t="inlineStr">
        <is>
          <t>615</t>
        </is>
      </c>
      <c r="D125" s="3" t="n">
        <v>2</v>
      </c>
      <c r="E125" s="10" t="n">
        <v>45666.85280092592</v>
      </c>
      <c r="F125" s="10" t="n">
        <v>45667.20199074074</v>
      </c>
      <c r="G125" s="10" t="n">
        <v>45667.2028587963</v>
      </c>
      <c r="H125" s="10" t="n">
        <v>45667.24460648148</v>
      </c>
      <c r="I125" s="10" t="n">
        <v>45667.24460648148</v>
      </c>
      <c r="J125" s="10" t="n">
        <v>45667.245625</v>
      </c>
      <c r="K125" s="11">
        <f>IF(AND(ISNUMBER(E125),ISNUMBER(F125)),(F125-E125),"")</f>
        <v/>
      </c>
      <c r="L125" s="11">
        <f>IF(AND(ISNUMBER(F125),ISNUMBER(G125)),(G125-F125),"")</f>
        <v/>
      </c>
      <c r="M125" s="11">
        <f>IF(AND(ISNUMBER(H125),ISNUMBER(I125)),(I125-H125),"")</f>
        <v/>
      </c>
      <c r="N125" s="11">
        <f>IF(AND(ISNUMBER(E125),ISNUMBER(J125)),(J125-E125),"")</f>
        <v/>
      </c>
    </row>
    <row r="126">
      <c r="A126" s="3" t="inlineStr">
        <is>
          <t>OBT100125060642-Wien Kledering</t>
        </is>
      </c>
      <c r="B126" s="3" t="inlineStr">
        <is>
          <t>Wien Kledering</t>
        </is>
      </c>
      <c r="C126" s="3" t="inlineStr">
        <is>
          <t>611</t>
        </is>
      </c>
      <c r="D126" s="3" t="n">
        <v>2</v>
      </c>
      <c r="E126" s="10" t="n">
        <v>45666.74795138889</v>
      </c>
      <c r="F126" s="10" t="n">
        <v>45667.25465277778</v>
      </c>
      <c r="G126" s="10" t="n">
        <v>45667.25549768518</v>
      </c>
      <c r="H126" s="10" t="n">
        <v>45667.31542824074</v>
      </c>
      <c r="I126" s="10" t="n">
        <v>45667.31542824074</v>
      </c>
      <c r="J126" s="10" t="n">
        <v>45667.31671296297</v>
      </c>
      <c r="K126" s="11">
        <f>IF(AND(ISNUMBER(E126),ISNUMBER(F126)),(F126-E126),"")</f>
        <v/>
      </c>
      <c r="L126" s="11">
        <f>IF(AND(ISNUMBER(F126),ISNUMBER(G126)),(G126-F126),"")</f>
        <v/>
      </c>
      <c r="M126" s="11">
        <f>IF(AND(ISNUMBER(H126),ISNUMBER(I126)),(I126-H126),"")</f>
        <v/>
      </c>
      <c r="N126" s="11">
        <f>IF(AND(ISNUMBER(E126),ISNUMBER(J126)),(J126-E126),"")</f>
        <v/>
      </c>
    </row>
    <row r="127">
      <c r="A127" s="3" t="inlineStr">
        <is>
          <t>OBT100125071706-Wr. Neustadt (Hödlmayr)</t>
        </is>
      </c>
      <c r="B127" s="3" t="inlineStr">
        <is>
          <t>Wr. Neustadt (Hödlmayr)</t>
        </is>
      </c>
      <c r="C127" s="3" t="inlineStr">
        <is>
          <t>613</t>
        </is>
      </c>
      <c r="D127" s="3" t="n">
        <v>4</v>
      </c>
      <c r="E127" s="10" t="n">
        <v>45666.7850925926</v>
      </c>
      <c r="F127" s="10" t="n">
        <v>45667.30354166667</v>
      </c>
      <c r="G127" s="10" t="n">
        <v>45667.30527777778</v>
      </c>
      <c r="H127" s="10" t="n">
        <v>45667.33181712963</v>
      </c>
      <c r="I127" s="10" t="n">
        <v>45667.33181712963</v>
      </c>
      <c r="J127" s="10" t="n">
        <v>45667.33260416667</v>
      </c>
      <c r="K127" s="11">
        <f>IF(AND(ISNUMBER(E127),ISNUMBER(F127)),(F127-E127),"")</f>
        <v/>
      </c>
      <c r="L127" s="11">
        <f>IF(AND(ISNUMBER(F127),ISNUMBER(G127)),(G127-F127),"")</f>
        <v/>
      </c>
      <c r="M127" s="11">
        <f>IF(AND(ISNUMBER(H127),ISNUMBER(I127)),(I127-H127),"")</f>
        <v/>
      </c>
      <c r="N127" s="11">
        <f>IF(AND(ISNUMBER(E127),ISNUMBER(J127)),(J127-E127),"")</f>
        <v/>
      </c>
    </row>
    <row r="128">
      <c r="A128" s="3" t="inlineStr">
        <is>
          <t>OBT100125071957-Pitten (Hamburger)</t>
        </is>
      </c>
      <c r="B128" s="3" t="inlineStr">
        <is>
          <t>Pitten (Hamburger)</t>
        </is>
      </c>
      <c r="C128" s="3" t="inlineStr">
        <is>
          <t>605</t>
        </is>
      </c>
      <c r="D128" s="3" t="n">
        <v>2</v>
      </c>
      <c r="E128" s="10" t="n">
        <v>45666.8559375</v>
      </c>
      <c r="F128" s="10" t="n">
        <v>45667.30552083333</v>
      </c>
      <c r="G128" s="10" t="n">
        <v>45667.31530092593</v>
      </c>
      <c r="H128" s="10" t="n">
        <v>45667.34769675926</v>
      </c>
      <c r="I128" s="10" t="n">
        <v>45667.34769675926</v>
      </c>
      <c r="J128" s="10" t="n">
        <v>45667.34872685185</v>
      </c>
      <c r="K128" s="11">
        <f>IF(AND(ISNUMBER(E128),ISNUMBER(F128)),(F128-E128),"")</f>
        <v/>
      </c>
      <c r="L128" s="11">
        <f>IF(AND(ISNUMBER(F128),ISNUMBER(G128)),(G128-F128),"")</f>
        <v/>
      </c>
      <c r="M128" s="11">
        <f>IF(AND(ISNUMBER(H128),ISNUMBER(I128)),(I128-H128),"")</f>
        <v/>
      </c>
      <c r="N128" s="11">
        <f>IF(AND(ISNUMBER(E128),ISNUMBER(J128)),(J128-E128),"")</f>
        <v/>
      </c>
    </row>
    <row r="129">
      <c r="A129" s="3" t="inlineStr">
        <is>
          <t>OBT100125074357-Wien Kledering</t>
        </is>
      </c>
      <c r="B129" s="3" t="inlineStr">
        <is>
          <t>Wien Kledering</t>
        </is>
      </c>
      <c r="C129" s="3" t="inlineStr">
        <is>
          <t>619</t>
        </is>
      </c>
      <c r="D129" s="3" t="n">
        <v>1</v>
      </c>
      <c r="E129" s="10" t="n">
        <v>45667.31981481481</v>
      </c>
      <c r="F129" s="10" t="n">
        <v>45667.3221875</v>
      </c>
      <c r="G129" s="10" t="n">
        <v>45667.32388888889</v>
      </c>
      <c r="H129" s="10" t="n">
        <v>45667.35741898148</v>
      </c>
      <c r="I129" s="10" t="n">
        <v>45667.35741898148</v>
      </c>
      <c r="J129" s="10" t="n">
        <v>45667.35841435185</v>
      </c>
      <c r="K129" s="11">
        <f>IF(AND(ISNUMBER(E129),ISNUMBER(F129)),(F129-E129),"")</f>
        <v/>
      </c>
      <c r="L129" s="11">
        <f>IF(AND(ISNUMBER(F129),ISNUMBER(G129)),(G129-F129),"")</f>
        <v/>
      </c>
      <c r="M129" s="11">
        <f>IF(AND(ISNUMBER(H129),ISNUMBER(I129)),(I129-H129),"")</f>
        <v/>
      </c>
      <c r="N129" s="11">
        <f>IF(AND(ISNUMBER(E129),ISNUMBER(J129)),(J129-E129),"")</f>
        <v/>
      </c>
    </row>
    <row r="130">
      <c r="A130" s="3" t="inlineStr">
        <is>
          <t>OBT100125081531-Wien Kledering</t>
        </is>
      </c>
      <c r="B130" s="3" t="inlineStr">
        <is>
          <t>Wien Kledering</t>
        </is>
      </c>
      <c r="C130" s="3" t="inlineStr">
        <is>
          <t>606</t>
        </is>
      </c>
      <c r="D130" s="3" t="n">
        <v>1</v>
      </c>
      <c r="E130" s="10" t="n">
        <v>45667.34171296296</v>
      </c>
      <c r="F130" s="10" t="n">
        <v>45667.34410879629</v>
      </c>
      <c r="G130" s="10" t="n">
        <v>45667.34584490741</v>
      </c>
      <c r="H130" s="10" t="n">
        <v>45667.41195601852</v>
      </c>
      <c r="I130" s="10" t="n">
        <v>45667.41195601852</v>
      </c>
      <c r="J130" s="10" t="n">
        <v>45667.41334490741</v>
      </c>
      <c r="K130" s="11">
        <f>IF(AND(ISNUMBER(E130),ISNUMBER(F130)),(F130-E130),"")</f>
        <v/>
      </c>
      <c r="L130" s="11">
        <f>IF(AND(ISNUMBER(F130),ISNUMBER(G130)),(G130-F130),"")</f>
        <v/>
      </c>
      <c r="M130" s="11">
        <f>IF(AND(ISNUMBER(H130),ISNUMBER(I130)),(I130-H130),"")</f>
        <v/>
      </c>
      <c r="N130" s="11">
        <f>IF(AND(ISNUMBER(E130),ISNUMBER(J130)),(J130-E130),"")</f>
        <v/>
      </c>
    </row>
    <row r="131">
      <c r="A131" s="3" t="inlineStr">
        <is>
          <t>OBT100125092212-St. Veit an der Glan</t>
        </is>
      </c>
      <c r="B131" s="3" t="inlineStr">
        <is>
          <t>St. Veit an der Glan</t>
        </is>
      </c>
      <c r="C131" s="3" t="inlineStr">
        <is>
          <t>627</t>
        </is>
      </c>
      <c r="D131" s="3" t="n">
        <v>5</v>
      </c>
      <c r="E131" s="10" t="n">
        <v>45666.46443287037</v>
      </c>
      <c r="F131" s="10" t="n">
        <v>45667.39041666667</v>
      </c>
      <c r="G131" s="10" t="n">
        <v>45667.39128472222</v>
      </c>
      <c r="H131" s="10" t="n">
        <v>45667.41510416667</v>
      </c>
      <c r="I131" s="10" t="n">
        <v>45667.41510416667</v>
      </c>
      <c r="J131" s="10" t="n">
        <v>45667.41582175926</v>
      </c>
      <c r="K131" s="11">
        <f>IF(AND(ISNUMBER(E131),ISNUMBER(F131)),(F131-E131),"")</f>
        <v/>
      </c>
      <c r="L131" s="11">
        <f>IF(AND(ISNUMBER(F131),ISNUMBER(G131)),(G131-F131),"")</f>
        <v/>
      </c>
      <c r="M131" s="11">
        <f>IF(AND(ISNUMBER(H131),ISNUMBER(I131)),(I131-H131),"")</f>
        <v/>
      </c>
      <c r="N131" s="11">
        <f>IF(AND(ISNUMBER(E131),ISNUMBER(J131)),(J131-E131),"")</f>
        <v/>
      </c>
    </row>
    <row r="132">
      <c r="A132" s="3" t="inlineStr">
        <is>
          <t>OBT100125092457-Wien Kledering</t>
        </is>
      </c>
      <c r="B132" s="3" t="inlineStr">
        <is>
          <t>Wien Kledering</t>
        </is>
      </c>
      <c r="C132" s="3" t="inlineStr">
        <is>
          <t>611</t>
        </is>
      </c>
      <c r="D132" s="3" t="n">
        <v>2</v>
      </c>
      <c r="E132" s="10" t="n">
        <v>45667.38488425926</v>
      </c>
      <c r="F132" s="10" t="n">
        <v>45667.39232638889</v>
      </c>
      <c r="G132" s="10" t="n">
        <v>45667.41369212963</v>
      </c>
      <c r="H132" s="10" t="n">
        <v>45667.44299768518</v>
      </c>
      <c r="I132" s="10" t="n">
        <v>45667.44299768518</v>
      </c>
      <c r="J132" s="10" t="n">
        <v>45667.44386574074</v>
      </c>
      <c r="K132" s="11">
        <f>IF(AND(ISNUMBER(E132),ISNUMBER(F132)),(F132-E132),"")</f>
        <v/>
      </c>
      <c r="L132" s="11">
        <f>IF(AND(ISNUMBER(F132),ISNUMBER(G132)),(G132-F132),"")</f>
        <v/>
      </c>
      <c r="M132" s="11">
        <f>IF(AND(ISNUMBER(H132),ISNUMBER(I132)),(I132-H132),"")</f>
        <v/>
      </c>
      <c r="N132" s="11">
        <f>IF(AND(ISNUMBER(E132),ISNUMBER(J132)),(J132-E132),"")</f>
        <v/>
      </c>
    </row>
    <row r="133">
      <c r="A133" s="3" t="inlineStr">
        <is>
          <t>OBT100125092935-Ebenfurth (beet loading)</t>
        </is>
      </c>
      <c r="B133" s="3" t="inlineStr">
        <is>
          <t>Ebenfurth (beet loading)</t>
        </is>
      </c>
      <c r="C133" s="3" t="inlineStr">
        <is>
          <t>613</t>
        </is>
      </c>
      <c r="D133" s="3" t="n">
        <v>1</v>
      </c>
      <c r="E133" s="10" t="n">
        <v>45667.39254629629</v>
      </c>
      <c r="F133" s="10" t="n">
        <v>45667.39554398148</v>
      </c>
      <c r="G133" s="10" t="n">
        <v>45667.41666666666</v>
      </c>
      <c r="H133" s="10" t="n">
        <v>45667.44126157407</v>
      </c>
      <c r="I133" s="10" t="n">
        <v>45667.44130787037</v>
      </c>
      <c r="J133" s="10" t="n">
        <v>45667.44206018518</v>
      </c>
      <c r="K133" s="11">
        <f>IF(AND(ISNUMBER(E133),ISNUMBER(F133)),(F133-E133),"")</f>
        <v/>
      </c>
      <c r="L133" s="11">
        <f>IF(AND(ISNUMBER(F133),ISNUMBER(G133)),(G133-F133),"")</f>
        <v/>
      </c>
      <c r="M133" s="11">
        <f>IF(AND(ISNUMBER(H133),ISNUMBER(I133)),(I133-H133),"")</f>
        <v/>
      </c>
      <c r="N133" s="11">
        <f>IF(AND(ISNUMBER(E133),ISNUMBER(J133)),(J133-E133),"")</f>
        <v/>
      </c>
    </row>
    <row r="134">
      <c r="A134" s="3" t="inlineStr">
        <is>
          <t>OBT100125094326-Other sidings north</t>
        </is>
      </c>
      <c r="B134" s="3" t="inlineStr">
        <is>
          <t>Other sidings north</t>
        </is>
      </c>
      <c r="C134" s="3" t="inlineStr">
        <is>
          <t>605</t>
        </is>
      </c>
      <c r="D134" s="3" t="n">
        <v>4</v>
      </c>
      <c r="E134" s="10" t="n">
        <v>45667.30660879629</v>
      </c>
      <c r="F134" s="10" t="n">
        <v>45667.40516203704</v>
      </c>
      <c r="G134" s="10" t="n">
        <v>45667.41795138889</v>
      </c>
      <c r="H134" s="10" t="n">
        <v>45667.4404050926</v>
      </c>
      <c r="I134" s="10" t="n">
        <v>45667.4404050926</v>
      </c>
      <c r="J134" s="10" t="n">
        <v>45667.44130787037</v>
      </c>
      <c r="K134" s="11">
        <f>IF(AND(ISNUMBER(E134),ISNUMBER(F134)),(F134-E134),"")</f>
        <v/>
      </c>
      <c r="L134" s="11">
        <f>IF(AND(ISNUMBER(F134),ISNUMBER(G134)),(G134-F134),"")</f>
        <v/>
      </c>
      <c r="M134" s="11">
        <f>IF(AND(ISNUMBER(H134),ISNUMBER(I134)),(I134-H134),"")</f>
        <v/>
      </c>
      <c r="N134" s="11">
        <f>IF(AND(ISNUMBER(E134),ISNUMBER(J134)),(J134-E134),"")</f>
        <v/>
      </c>
    </row>
    <row r="135">
      <c r="A135" s="3" t="inlineStr">
        <is>
          <t>OBT100125095359-Felixdorf/Sollenau (Bundesheer, Maba)</t>
        </is>
      </c>
      <c r="B135" s="3" t="inlineStr">
        <is>
          <t>Felixdorf/Sollenau (Bundesheer, Maba)</t>
        </is>
      </c>
      <c r="C135" s="3" t="inlineStr">
        <is>
          <t>625</t>
        </is>
      </c>
      <c r="D135" s="3" t="n">
        <v>3</v>
      </c>
      <c r="E135" s="10" t="n">
        <v>45667.29623842592</v>
      </c>
      <c r="F135" s="10" t="n">
        <v>45667.41248842593</v>
      </c>
      <c r="G135" s="10" t="n">
        <v>45667.44290509259</v>
      </c>
      <c r="H135" s="10" t="n">
        <v>45667.46283564815</v>
      </c>
      <c r="I135" s="10" t="n">
        <v>45667.46283564815</v>
      </c>
      <c r="J135" s="10" t="n">
        <v>45667.46359953703</v>
      </c>
      <c r="K135" s="11">
        <f>IF(AND(ISNUMBER(E135),ISNUMBER(F135)),(F135-E135),"")</f>
        <v/>
      </c>
      <c r="L135" s="11">
        <f>IF(AND(ISNUMBER(F135),ISNUMBER(G135)),(G135-F135),"")</f>
        <v/>
      </c>
      <c r="M135" s="11">
        <f>IF(AND(ISNUMBER(H135),ISNUMBER(I135)),(I135-H135),"")</f>
        <v/>
      </c>
      <c r="N135" s="11">
        <f>IF(AND(ISNUMBER(E135),ISNUMBER(J135)),(J135-E135),"")</f>
        <v/>
      </c>
    </row>
    <row r="136">
      <c r="A136" s="3" t="inlineStr">
        <is>
          <t>OBT100125103849-Wien Kledering</t>
        </is>
      </c>
      <c r="B136" s="3" t="inlineStr">
        <is>
          <t>Wien Kledering</t>
        </is>
      </c>
      <c r="C136" s="3" t="inlineStr">
        <is>
          <t>627</t>
        </is>
      </c>
      <c r="D136" s="3" t="n">
        <v>2</v>
      </c>
      <c r="E136" s="10" t="n">
        <v>45667.39873842592</v>
      </c>
      <c r="F136" s="10" t="n">
        <v>45667.44362268518</v>
      </c>
      <c r="G136" s="10" t="n">
        <v>45667.44466435185</v>
      </c>
      <c r="H136" s="10" t="n">
        <v>45667.48974537037</v>
      </c>
      <c r="I136" s="10" t="n">
        <v>45667.48974537037</v>
      </c>
      <c r="J136" s="10" t="n">
        <v>45667.49074074074</v>
      </c>
      <c r="K136" s="11">
        <f>IF(AND(ISNUMBER(E136),ISNUMBER(F136)),(F136-E136),"")</f>
        <v/>
      </c>
      <c r="L136" s="11">
        <f>IF(AND(ISNUMBER(F136),ISNUMBER(G136)),(G136-F136),"")</f>
        <v/>
      </c>
      <c r="M136" s="11">
        <f>IF(AND(ISNUMBER(H136),ISNUMBER(I136)),(I136-H136),"")</f>
        <v/>
      </c>
      <c r="N136" s="11">
        <f>IF(AND(ISNUMBER(E136),ISNUMBER(J136)),(J136-E136),"")</f>
        <v/>
      </c>
    </row>
    <row r="137">
      <c r="A137" s="3" t="inlineStr">
        <is>
          <t>OBT100125142646-Wien Kledering</t>
        </is>
      </c>
      <c r="B137" s="3" t="inlineStr">
        <is>
          <t>Wien Kledering</t>
        </is>
      </c>
      <c r="C137" s="3" t="inlineStr">
        <is>
          <t>613</t>
        </is>
      </c>
      <c r="D137" s="3" t="n">
        <v>3</v>
      </c>
      <c r="E137" s="10" t="n">
        <v>45667.39685185185</v>
      </c>
      <c r="F137" s="10" t="n">
        <v>45667.60192129629</v>
      </c>
      <c r="G137" s="10" t="n">
        <v>45667.60278935185</v>
      </c>
      <c r="H137" s="10" t="n">
        <v>45667.62337962963</v>
      </c>
      <c r="I137" s="10" t="n">
        <v>45667.62337962963</v>
      </c>
      <c r="J137" s="10" t="n">
        <v>45667.62408564815</v>
      </c>
      <c r="K137" s="11">
        <f>IF(AND(ISNUMBER(E137),ISNUMBER(F137)),(F137-E137),"")</f>
        <v/>
      </c>
      <c r="L137" s="11">
        <f>IF(AND(ISNUMBER(F137),ISNUMBER(G137)),(G137-F137),"")</f>
        <v/>
      </c>
      <c r="M137" s="11">
        <f>IF(AND(ISNUMBER(H137),ISNUMBER(I137)),(I137-H137),"")</f>
        <v/>
      </c>
      <c r="N137" s="11">
        <f>IF(AND(ISNUMBER(E137),ISNUMBER(J137)),(J137-E137),"")</f>
        <v/>
      </c>
    </row>
    <row r="138">
      <c r="A138" s="3" t="inlineStr">
        <is>
          <t>OBT100125150940-Wien Kledering</t>
        </is>
      </c>
      <c r="B138" s="3" t="inlineStr">
        <is>
          <t>Wien Kledering</t>
        </is>
      </c>
      <c r="C138" s="3" t="inlineStr">
        <is>
          <t>627</t>
        </is>
      </c>
      <c r="D138" s="3" t="n">
        <v>1</v>
      </c>
      <c r="E138" s="10" t="n">
        <v>45667.62931712963</v>
      </c>
      <c r="F138" s="10" t="n">
        <v>45667.63171296296</v>
      </c>
      <c r="G138" s="10" t="n">
        <v>45667.6325462963</v>
      </c>
      <c r="H138" s="10" t="n">
        <v>45667.70086805556</v>
      </c>
      <c r="I138" s="10" t="n">
        <v>45667.70086805556</v>
      </c>
      <c r="J138" s="10" t="n">
        <v>45667.70216435185</v>
      </c>
      <c r="K138" s="11">
        <f>IF(AND(ISNUMBER(E138),ISNUMBER(F138)),(F138-E138),"")</f>
        <v/>
      </c>
      <c r="L138" s="11">
        <f>IF(AND(ISNUMBER(F138),ISNUMBER(G138)),(G138-F138),"")</f>
        <v/>
      </c>
      <c r="M138" s="11">
        <f>IF(AND(ISNUMBER(H138),ISNUMBER(I138)),(I138-H138),"")</f>
        <v/>
      </c>
      <c r="N138" s="11">
        <f>IF(AND(ISNUMBER(E138),ISNUMBER(J138)),(J138-E138),"")</f>
        <v/>
      </c>
    </row>
    <row r="139">
      <c r="A139" s="3" t="inlineStr">
        <is>
          <t>OBT100125174706-Wien Kledering</t>
        </is>
      </c>
      <c r="B139" s="3" t="inlineStr">
        <is>
          <t>Wien Kledering</t>
        </is>
      </c>
      <c r="C139" s="3" t="inlineStr">
        <is>
          <t>613</t>
        </is>
      </c>
      <c r="D139" s="3" t="n">
        <v>1</v>
      </c>
      <c r="E139" s="10" t="n">
        <v>45667.73868055556</v>
      </c>
      <c r="F139" s="10" t="n">
        <v>45667.74104166667</v>
      </c>
      <c r="G139" s="10" t="n">
        <v>45667.74190972222</v>
      </c>
      <c r="H139" s="10" t="n">
        <v>45667.79436342593</v>
      </c>
      <c r="I139" s="10" t="n">
        <v>45667.79436342593</v>
      </c>
      <c r="J139" s="10" t="n">
        <v>45667.79549768518</v>
      </c>
      <c r="K139" s="11">
        <f>IF(AND(ISNUMBER(E139),ISNUMBER(F139)),(F139-E139),"")</f>
        <v/>
      </c>
      <c r="L139" s="11">
        <f>IF(AND(ISNUMBER(F139),ISNUMBER(G139)),(G139-F139),"")</f>
        <v/>
      </c>
      <c r="M139" s="11">
        <f>IF(AND(ISNUMBER(H139),ISNUMBER(I139)),(I139-H139),"")</f>
        <v/>
      </c>
      <c r="N139" s="11">
        <f>IF(AND(ISNUMBER(E139),ISNUMBER(J139)),(J139-E139),"")</f>
        <v/>
      </c>
    </row>
    <row r="140">
      <c r="A140" s="3" t="inlineStr">
        <is>
          <t>OBT100125182130-Pitten (Hamburger)</t>
        </is>
      </c>
      <c r="B140" s="3" t="inlineStr">
        <is>
          <t>Pitten (Hamburger)</t>
        </is>
      </c>
      <c r="C140" s="3" t="inlineStr">
        <is>
          <t>627</t>
        </is>
      </c>
      <c r="D140" s="3" t="n">
        <v>1</v>
      </c>
      <c r="E140" s="10" t="n">
        <v>45667.7627662037</v>
      </c>
      <c r="F140" s="10" t="n">
        <v>45667.76493055555</v>
      </c>
      <c r="G140" s="10" t="n">
        <v>45667.76601851852</v>
      </c>
      <c r="H140" s="10" t="n">
        <v>45667.80388888889</v>
      </c>
      <c r="I140" s="10" t="n">
        <v>45667.80388888889</v>
      </c>
      <c r="J140" s="10" t="n">
        <v>45667.80478009259</v>
      </c>
      <c r="K140" s="11">
        <f>IF(AND(ISNUMBER(E140),ISNUMBER(F140)),(F140-E140),"")</f>
        <v/>
      </c>
      <c r="L140" s="11">
        <f>IF(AND(ISNUMBER(F140),ISNUMBER(G140)),(G140-F140),"")</f>
        <v/>
      </c>
      <c r="M140" s="11">
        <f>IF(AND(ISNUMBER(H140),ISNUMBER(I140)),(I140-H140),"")</f>
        <v/>
      </c>
      <c r="N140" s="11">
        <f>IF(AND(ISNUMBER(E140),ISNUMBER(J140)),(J140-E140),"")</f>
        <v/>
      </c>
    </row>
    <row r="141">
      <c r="A141" s="3" t="inlineStr">
        <is>
          <t>OBT100125183202-Other sidings north</t>
        </is>
      </c>
      <c r="B141" s="3" t="inlineStr">
        <is>
          <t>Other sidings north</t>
        </is>
      </c>
      <c r="C141" s="3" t="inlineStr">
        <is>
          <t>605</t>
        </is>
      </c>
      <c r="D141" s="3" t="n">
        <v>2</v>
      </c>
      <c r="E141" s="10" t="n">
        <v>45667.76446759259</v>
      </c>
      <c r="F141" s="10" t="n">
        <v>45667.77224537037</v>
      </c>
      <c r="G141" s="10" t="n">
        <v>45667.78793981481</v>
      </c>
      <c r="H141" s="10" t="n">
        <v>45667.80707175926</v>
      </c>
      <c r="I141" s="10" t="n">
        <v>45667.80707175926</v>
      </c>
      <c r="J141" s="10" t="n">
        <v>45667.80792824074</v>
      </c>
      <c r="K141" s="11">
        <f>IF(AND(ISNUMBER(E141),ISNUMBER(F141)),(F141-E141),"")</f>
        <v/>
      </c>
      <c r="L141" s="11">
        <f>IF(AND(ISNUMBER(F141),ISNUMBER(G141)),(G141-F141),"")</f>
        <v/>
      </c>
      <c r="M141" s="11">
        <f>IF(AND(ISNUMBER(H141),ISNUMBER(I141)),(I141-H141),"")</f>
        <v/>
      </c>
      <c r="N141" s="11">
        <f>IF(AND(ISNUMBER(E141),ISNUMBER(J141)),(J141-E141),"")</f>
        <v/>
      </c>
    </row>
    <row r="142">
      <c r="A142" s="3" t="inlineStr">
        <is>
          <t>OBT100125183853-Wr. Neustadt Ausfahrbf (Furtenbach)</t>
        </is>
      </c>
      <c r="B142" s="3" t="inlineStr">
        <is>
          <t>Wr. Neustadt Ausfahrbf (Furtenbach)</t>
        </is>
      </c>
      <c r="C142" s="3" t="inlineStr">
        <is>
          <t>609</t>
        </is>
      </c>
      <c r="D142" s="3" t="n">
        <v>4</v>
      </c>
      <c r="E142" s="10" t="n">
        <v>45667.4075</v>
      </c>
      <c r="F142" s="10" t="n">
        <v>45667.77700231481</v>
      </c>
      <c r="G142" s="10" t="n">
        <v>45667.79609953704</v>
      </c>
      <c r="H142" s="10" t="n">
        <v>45667.81925925926</v>
      </c>
      <c r="I142" s="10" t="n">
        <v>45667.81925925926</v>
      </c>
      <c r="J142" s="10" t="n">
        <v>45667.82010416667</v>
      </c>
      <c r="K142" s="11">
        <f>IF(AND(ISNUMBER(E142),ISNUMBER(F142)),(F142-E142),"")</f>
        <v/>
      </c>
      <c r="L142" s="11">
        <f>IF(AND(ISNUMBER(F142),ISNUMBER(G142)),(G142-F142),"")</f>
        <v/>
      </c>
      <c r="M142" s="11">
        <f>IF(AND(ISNUMBER(H142),ISNUMBER(I142)),(I142-H142),"")</f>
        <v/>
      </c>
      <c r="N142" s="11">
        <f>IF(AND(ISNUMBER(E142),ISNUMBER(J142)),(J142-E142),"")</f>
        <v/>
      </c>
    </row>
    <row r="143">
      <c r="A143" s="3" t="inlineStr">
        <is>
          <t>OBT100125185219-Neunkirchen (loading tracks)</t>
        </is>
      </c>
      <c r="B143" s="3" t="inlineStr">
        <is>
          <t>Neunkirchen (loading tracks)</t>
        </is>
      </c>
      <c r="C143" s="3" t="inlineStr">
        <is>
          <t>619</t>
        </is>
      </c>
      <c r="D143" s="3" t="n">
        <v>2</v>
      </c>
      <c r="E143" s="10" t="n">
        <v>45667.40381944444</v>
      </c>
      <c r="F143" s="10" t="n">
        <v>45667.78633101852</v>
      </c>
      <c r="G143" s="10" t="n">
        <v>45667.805625</v>
      </c>
      <c r="H143" s="10" t="n">
        <v>45667.83038194444</v>
      </c>
      <c r="I143" s="10" t="n">
        <v>45667.83038194444</v>
      </c>
      <c r="J143" s="10" t="n">
        <v>45667.83126157407</v>
      </c>
      <c r="K143" s="11">
        <f>IF(AND(ISNUMBER(E143),ISNUMBER(F143)),(F143-E143),"")</f>
        <v/>
      </c>
      <c r="L143" s="11">
        <f>IF(AND(ISNUMBER(F143),ISNUMBER(G143)),(G143-F143),"")</f>
        <v/>
      </c>
      <c r="M143" s="11">
        <f>IF(AND(ISNUMBER(H143),ISNUMBER(I143)),(I143-H143),"")</f>
        <v/>
      </c>
      <c r="N143" s="11">
        <f>IF(AND(ISNUMBER(E143),ISNUMBER(J143)),(J143-E143),"")</f>
        <v/>
      </c>
    </row>
    <row r="144">
      <c r="A144" s="3" t="inlineStr">
        <is>
          <t>OBT100125205103-Pitten (Hamburger)</t>
        </is>
      </c>
      <c r="B144" s="3" t="inlineStr">
        <is>
          <t>Pitten (Hamburger)</t>
        </is>
      </c>
      <c r="C144" s="3" t="inlineStr">
        <is>
          <t>613</t>
        </is>
      </c>
      <c r="D144" s="3" t="n">
        <v>3</v>
      </c>
      <c r="E144" s="10" t="n">
        <v>45667.77731481481</v>
      </c>
      <c r="F144" s="10" t="n">
        <v>45667.86878472222</v>
      </c>
      <c r="G144" s="10" t="n">
        <v>45667.86965277778</v>
      </c>
      <c r="H144" s="10" t="n">
        <v>45667.88917824074</v>
      </c>
      <c r="I144" s="10" t="n">
        <v>45667.88917824074</v>
      </c>
      <c r="J144" s="10" t="n">
        <v>45667.88987268518</v>
      </c>
      <c r="K144" s="11">
        <f>IF(AND(ISNUMBER(E144),ISNUMBER(F144)),(F144-E144),"")</f>
        <v/>
      </c>
      <c r="L144" s="11">
        <f>IF(AND(ISNUMBER(F144),ISNUMBER(G144)),(G144-F144),"")</f>
        <v/>
      </c>
      <c r="M144" s="11">
        <f>IF(AND(ISNUMBER(H144),ISNUMBER(I144)),(I144-H144),"")</f>
        <v/>
      </c>
      <c r="N144" s="11">
        <f>IF(AND(ISNUMBER(E144),ISNUMBER(J144)),(J144-E144),"")</f>
        <v/>
      </c>
    </row>
    <row r="145">
      <c r="A145" s="3" t="inlineStr">
        <is>
          <t>OBT100125205342-Other sidings south</t>
        </is>
      </c>
      <c r="B145" s="3" t="inlineStr">
        <is>
          <t>Other sidings south</t>
        </is>
      </c>
      <c r="C145" s="3" t="inlineStr">
        <is>
          <t>623</t>
        </is>
      </c>
      <c r="D145" s="3" t="n">
        <v>5</v>
      </c>
      <c r="E145" s="10" t="n">
        <v>45667.30836805556</v>
      </c>
      <c r="F145" s="10" t="n">
        <v>45667.870625</v>
      </c>
      <c r="G145" s="10" t="n">
        <v>45667.87236111111</v>
      </c>
      <c r="H145" s="10" t="n">
        <v>45667.89222222222</v>
      </c>
      <c r="I145" s="10" t="n">
        <v>45667.89222222222</v>
      </c>
      <c r="J145" s="10" t="n">
        <v>45667.89303240741</v>
      </c>
      <c r="K145" s="11">
        <f>IF(AND(ISNUMBER(E145),ISNUMBER(F145)),(F145-E145),"")</f>
        <v/>
      </c>
      <c r="L145" s="11">
        <f>IF(AND(ISNUMBER(F145),ISNUMBER(G145)),(G145-F145),"")</f>
        <v/>
      </c>
      <c r="M145" s="11">
        <f>IF(AND(ISNUMBER(H145),ISNUMBER(I145)),(I145-H145),"")</f>
        <v/>
      </c>
      <c r="N145" s="11">
        <f>IF(AND(ISNUMBER(E145),ISNUMBER(J145)),(J145-E145),"")</f>
        <v/>
      </c>
    </row>
    <row r="146">
      <c r="A146" s="3" t="inlineStr">
        <is>
          <t>OBT110125052224-Ebenfurth (beet loading)</t>
        </is>
      </c>
      <c r="B146" s="3" t="inlineStr">
        <is>
          <t>Ebenfurth (beet loading)</t>
        </is>
      </c>
      <c r="C146" s="3" t="inlineStr">
        <is>
          <t>619</t>
        </is>
      </c>
      <c r="D146" s="3" t="n">
        <v>2</v>
      </c>
      <c r="E146" s="10" t="n">
        <v>45667.87052083333</v>
      </c>
      <c r="F146" s="10" t="n">
        <v>45668.22388888889</v>
      </c>
      <c r="G146" s="10" t="n">
        <v>45668.2247337963</v>
      </c>
      <c r="H146" s="10" t="n">
        <v>45668.24385416666</v>
      </c>
      <c r="I146" s="10" t="n">
        <v>45668.24385416666</v>
      </c>
      <c r="J146" s="10" t="n">
        <v>45668.24466435185</v>
      </c>
      <c r="K146" s="11">
        <f>IF(AND(ISNUMBER(E146),ISNUMBER(F146)),(F146-E146),"")</f>
        <v/>
      </c>
      <c r="L146" s="11">
        <f>IF(AND(ISNUMBER(F146),ISNUMBER(G146)),(G146-F146),"")</f>
        <v/>
      </c>
      <c r="M146" s="11">
        <f>IF(AND(ISNUMBER(H146),ISNUMBER(I146)),(I146-H146),"")</f>
        <v/>
      </c>
      <c r="N146" s="11">
        <f>IF(AND(ISNUMBER(E146),ISNUMBER(J146)),(J146-E146),"")</f>
        <v/>
      </c>
    </row>
    <row r="147">
      <c r="A147" s="3" t="inlineStr">
        <is>
          <t>OBT110125052552-Pitten (Hamburger)</t>
        </is>
      </c>
      <c r="B147" s="3" t="inlineStr">
        <is>
          <t>Pitten (Hamburger)</t>
        </is>
      </c>
      <c r="C147" s="3" t="inlineStr">
        <is>
          <t>613</t>
        </is>
      </c>
      <c r="D147" s="3" t="n">
        <v>1</v>
      </c>
      <c r="E147" s="10" t="n">
        <v>45668.22392361111</v>
      </c>
      <c r="F147" s="10" t="n">
        <v>45668.2262962963</v>
      </c>
      <c r="G147" s="10" t="n">
        <v>45668.22716435185</v>
      </c>
      <c r="H147" s="10" t="n">
        <v>45668.27974537037</v>
      </c>
      <c r="I147" s="10" t="n">
        <v>45668.27974537037</v>
      </c>
      <c r="J147" s="10" t="n">
        <v>45668.28086805555</v>
      </c>
      <c r="K147" s="11">
        <f>IF(AND(ISNUMBER(E147),ISNUMBER(F147)),(F147-E147),"")</f>
        <v/>
      </c>
      <c r="L147" s="11">
        <f>IF(AND(ISNUMBER(F147),ISNUMBER(G147)),(G147-F147),"")</f>
        <v/>
      </c>
      <c r="M147" s="11">
        <f>IF(AND(ISNUMBER(H147),ISNUMBER(I147)),(I147-H147),"")</f>
        <v/>
      </c>
      <c r="N147" s="11">
        <f>IF(AND(ISNUMBER(E147),ISNUMBER(J147)),(J147-E147),"")</f>
        <v/>
      </c>
    </row>
    <row r="148">
      <c r="A148" s="3" t="inlineStr">
        <is>
          <t>OBT110125055616-Ebenfurth (beet loading)</t>
        </is>
      </c>
      <c r="B148" s="3" t="inlineStr">
        <is>
          <t>Ebenfurth (beet loading)</t>
        </is>
      </c>
      <c r="C148" s="3" t="inlineStr">
        <is>
          <t>623</t>
        </is>
      </c>
      <c r="D148" s="3" t="n">
        <v>1</v>
      </c>
      <c r="E148" s="10" t="n">
        <v>45668.24523148148</v>
      </c>
      <c r="F148" s="10" t="n">
        <v>45668.24740740741</v>
      </c>
      <c r="G148" s="10" t="n">
        <v>45668.24881944444</v>
      </c>
      <c r="H148" s="10" t="n">
        <v>45668.26795138889</v>
      </c>
      <c r="I148" s="10" t="n">
        <v>45668.26795138889</v>
      </c>
      <c r="J148" s="10" t="n">
        <v>45668.26873842593</v>
      </c>
      <c r="K148" s="11">
        <f>IF(AND(ISNUMBER(E148),ISNUMBER(F148)),(F148-E148),"")</f>
        <v/>
      </c>
      <c r="L148" s="11">
        <f>IF(AND(ISNUMBER(F148),ISNUMBER(G148)),(G148-F148),"")</f>
        <v/>
      </c>
      <c r="M148" s="11">
        <f>IF(AND(ISNUMBER(H148),ISNUMBER(I148)),(I148-H148),"")</f>
        <v/>
      </c>
      <c r="N148" s="11">
        <f>IF(AND(ISNUMBER(E148),ISNUMBER(J148)),(J148-E148),"")</f>
        <v/>
      </c>
    </row>
    <row r="149">
      <c r="A149" s="3" t="inlineStr">
        <is>
          <t>OBT110125055912-Pitten (Hamburger)</t>
        </is>
      </c>
      <c r="B149" s="3" t="inlineStr">
        <is>
          <t>Pitten (Hamburger)</t>
        </is>
      </c>
      <c r="C149" s="3" t="inlineStr">
        <is>
          <t>611</t>
        </is>
      </c>
      <c r="D149" s="3" t="n">
        <v>1</v>
      </c>
      <c r="E149" s="10" t="n">
        <v>45668.24706018518</v>
      </c>
      <c r="F149" s="10" t="n">
        <v>45668.24944444445</v>
      </c>
      <c r="G149" s="10" t="n">
        <v>45668.25430555556</v>
      </c>
      <c r="H149" s="10" t="n">
        <v>45668.29087962963</v>
      </c>
      <c r="I149" s="10" t="n">
        <v>45668.29087962963</v>
      </c>
      <c r="J149" s="10" t="n">
        <v>45668.29185185185</v>
      </c>
      <c r="K149" s="11">
        <f>IF(AND(ISNUMBER(E149),ISNUMBER(F149)),(F149-E149),"")</f>
        <v/>
      </c>
      <c r="L149" s="11">
        <f>IF(AND(ISNUMBER(F149),ISNUMBER(G149)),(G149-F149),"")</f>
        <v/>
      </c>
      <c r="M149" s="11">
        <f>IF(AND(ISNUMBER(H149),ISNUMBER(I149)),(I149-H149),"")</f>
        <v/>
      </c>
      <c r="N149" s="11">
        <f>IF(AND(ISNUMBER(E149),ISNUMBER(J149)),(J149-E149),"")</f>
        <v/>
      </c>
    </row>
    <row r="150">
      <c r="A150" s="3" t="inlineStr">
        <is>
          <t>OBT120125180841-Neudörfl (FunderMax)</t>
        </is>
      </c>
      <c r="B150" s="3" t="inlineStr">
        <is>
          <t>Neudörfl (FunderMax)</t>
        </is>
      </c>
      <c r="C150" s="3" t="inlineStr">
        <is>
          <t>625</t>
        </is>
      </c>
      <c r="D150" s="3" t="n">
        <v>5</v>
      </c>
      <c r="E150" s="10" t="n">
        <v>45667.76646990741</v>
      </c>
      <c r="F150" s="10" t="n">
        <v>45669.75603009259</v>
      </c>
      <c r="G150" s="10" t="n">
        <v>45669.75689814815</v>
      </c>
      <c r="H150" s="10" t="n">
        <v>45669.80346064815</v>
      </c>
      <c r="I150" s="10" t="n">
        <v>45669.80346064815</v>
      </c>
      <c r="J150" s="10" t="n">
        <v>45669.80458333333</v>
      </c>
      <c r="K150" s="11">
        <f>IF(AND(ISNUMBER(E150),ISNUMBER(F150)),(F150-E150),"")</f>
        <v/>
      </c>
      <c r="L150" s="11">
        <f>IF(AND(ISNUMBER(F150),ISNUMBER(G150)),(G150-F150),"")</f>
        <v/>
      </c>
      <c r="M150" s="11">
        <f>IF(AND(ISNUMBER(H150),ISNUMBER(I150)),(I150-H150),"")</f>
        <v/>
      </c>
      <c r="N150" s="11">
        <f>IF(AND(ISNUMBER(E150),ISNUMBER(J150)),(J150-E150),"")</f>
        <v/>
      </c>
    </row>
    <row r="151">
      <c r="A151" s="3" t="inlineStr">
        <is>
          <t>OBT120125180921-Pitten (Hamburger)</t>
        </is>
      </c>
      <c r="B151" s="3" t="inlineStr">
        <is>
          <t>Pitten (Hamburger)</t>
        </is>
      </c>
      <c r="C151" s="3" t="inlineStr">
        <is>
          <t>613</t>
        </is>
      </c>
      <c r="D151" s="3" t="n">
        <v>1</v>
      </c>
      <c r="E151" s="10" t="n">
        <v>45669.75413194444</v>
      </c>
      <c r="F151" s="10" t="n">
        <v>45669.75649305555</v>
      </c>
      <c r="G151" s="10" t="n">
        <v>45669.7577662037</v>
      </c>
      <c r="H151" s="10" t="n">
        <v>45669.81841435185</v>
      </c>
      <c r="I151" s="10" t="n">
        <v>45669.81841435185</v>
      </c>
      <c r="J151" s="10" t="n">
        <v>45669.81965277778</v>
      </c>
      <c r="K151" s="11">
        <f>IF(AND(ISNUMBER(E151),ISNUMBER(F151)),(F151-E151),"")</f>
        <v/>
      </c>
      <c r="L151" s="11">
        <f>IF(AND(ISNUMBER(F151),ISNUMBER(G151)),(G151-F151),"")</f>
        <v/>
      </c>
      <c r="M151" s="11">
        <f>IF(AND(ISNUMBER(H151),ISNUMBER(I151)),(I151-H151),"")</f>
        <v/>
      </c>
      <c r="N151" s="11">
        <f>IF(AND(ISNUMBER(E151),ISNUMBER(J151)),(J151-E151),"")</f>
        <v/>
      </c>
    </row>
    <row r="152">
      <c r="A152" s="3" t="inlineStr">
        <is>
          <t>OBT120125201952-Neudörfl (FunderMax)</t>
        </is>
      </c>
      <c r="B152" s="3" t="inlineStr">
        <is>
          <t>Neudörfl (FunderMax)</t>
        </is>
      </c>
      <c r="C152" s="3" t="inlineStr">
        <is>
          <t>613</t>
        </is>
      </c>
      <c r="D152" s="3" t="n">
        <v>1</v>
      </c>
      <c r="E152" s="10" t="n">
        <v>45669.8449537037</v>
      </c>
      <c r="F152" s="10" t="n">
        <v>45669.84712962963</v>
      </c>
      <c r="G152" s="10" t="n">
        <v>45669.84799768519</v>
      </c>
      <c r="H152" s="10" t="n">
        <v>45669.86655092592</v>
      </c>
      <c r="I152" s="10" t="n">
        <v>45669.86655092592</v>
      </c>
      <c r="J152" s="10" t="n">
        <v>45669.8672337963</v>
      </c>
      <c r="K152" s="11">
        <f>IF(AND(ISNUMBER(E152),ISNUMBER(F152)),(F152-E152),"")</f>
        <v/>
      </c>
      <c r="L152" s="11">
        <f>IF(AND(ISNUMBER(F152),ISNUMBER(G152)),(G152-F152),"")</f>
        <v/>
      </c>
      <c r="M152" s="11">
        <f>IF(AND(ISNUMBER(H152),ISNUMBER(I152)),(I152-H152),"")</f>
        <v/>
      </c>
      <c r="N152" s="11">
        <f>IF(AND(ISNUMBER(E152),ISNUMBER(J152)),(J152-E152),"")</f>
        <v/>
      </c>
    </row>
    <row r="153">
      <c r="A153" s="3" t="inlineStr">
        <is>
          <t>OBT120125202320-Pitten (Hamburger)</t>
        </is>
      </c>
      <c r="B153" s="3" t="inlineStr">
        <is>
          <t>Pitten (Hamburger)</t>
        </is>
      </c>
      <c r="C153" s="3" t="inlineStr">
        <is>
          <t>625</t>
        </is>
      </c>
      <c r="D153" s="3" t="n">
        <v>1</v>
      </c>
      <c r="E153" s="10" t="n">
        <v>45669.84717592593</v>
      </c>
      <c r="F153" s="10" t="n">
        <v>45669.84953703704</v>
      </c>
      <c r="G153" s="10" t="n">
        <v>45669.85032407408</v>
      </c>
      <c r="H153" s="10" t="n">
        <v>45669.86789351852</v>
      </c>
      <c r="I153" s="10" t="n">
        <v>45669.86789351852</v>
      </c>
      <c r="J153" s="10" t="n">
        <v>45669.86863425926</v>
      </c>
      <c r="K153" s="11">
        <f>IF(AND(ISNUMBER(E153),ISNUMBER(F153)),(F153-E153),"")</f>
        <v/>
      </c>
      <c r="L153" s="11">
        <f>IF(AND(ISNUMBER(F153),ISNUMBER(G153)),(G153-F153),"")</f>
        <v/>
      </c>
      <c r="M153" s="11">
        <f>IF(AND(ISNUMBER(H153),ISNUMBER(I153)),(I153-H153),"")</f>
        <v/>
      </c>
      <c r="N153" s="11">
        <f>IF(AND(ISNUMBER(E153),ISNUMBER(J153)),(J153-E153),"")</f>
        <v/>
      </c>
    </row>
    <row r="154">
      <c r="A154" s="3" t="inlineStr">
        <is>
          <t>OBT130125024918-Neunkirchen (loading tracks)</t>
        </is>
      </c>
      <c r="B154" s="3" t="inlineStr">
        <is>
          <t>Neunkirchen (loading tracks)</t>
        </is>
      </c>
      <c r="C154" s="3" t="inlineStr">
        <is>
          <t>605</t>
        </is>
      </c>
      <c r="D154" s="3" t="n">
        <v>2</v>
      </c>
      <c r="E154" s="10" t="n">
        <v>45667.86358796297</v>
      </c>
      <c r="F154" s="10" t="n">
        <v>45670.11756944445</v>
      </c>
      <c r="G154" s="10" t="n">
        <v>45670.1184375</v>
      </c>
      <c r="H154" s="10" t="n">
        <v>45670.15086805556</v>
      </c>
      <c r="I154" s="10" t="n">
        <v>45670.15086805556</v>
      </c>
      <c r="J154" s="10" t="n">
        <v>45670.15189814815</v>
      </c>
      <c r="K154" s="11">
        <f>IF(AND(ISNUMBER(E154),ISNUMBER(F154)),(F154-E154),"")</f>
        <v/>
      </c>
      <c r="L154" s="11">
        <f>IF(AND(ISNUMBER(F154),ISNUMBER(G154)),(G154-F154),"")</f>
        <v/>
      </c>
      <c r="M154" s="11">
        <f>IF(AND(ISNUMBER(H154),ISNUMBER(I154)),(I154-H154),"")</f>
        <v/>
      </c>
      <c r="N154" s="11">
        <f>IF(AND(ISNUMBER(E154),ISNUMBER(J154)),(J154-E154),"")</f>
        <v/>
      </c>
    </row>
    <row r="155">
      <c r="A155" s="3" t="inlineStr">
        <is>
          <t>OBT130125044756-Neudörfl (FunderMax)</t>
        </is>
      </c>
      <c r="B155" s="3" t="inlineStr">
        <is>
          <t>Neudörfl (FunderMax)</t>
        </is>
      </c>
      <c r="C155" s="3" t="inlineStr">
        <is>
          <t>625</t>
        </is>
      </c>
      <c r="D155" s="3" t="n">
        <v>1</v>
      </c>
      <c r="E155" s="10" t="n">
        <v>45670.19755787037</v>
      </c>
      <c r="F155" s="10" t="n">
        <v>45670.1999537037</v>
      </c>
      <c r="G155" s="10" t="n">
        <v>45670.20079861111</v>
      </c>
      <c r="H155" s="10" t="n">
        <v>45670.25309027778</v>
      </c>
      <c r="I155" s="10" t="n">
        <v>45670.25309027778</v>
      </c>
      <c r="J155" s="10" t="n">
        <v>45670.25429398148</v>
      </c>
      <c r="K155" s="11">
        <f>IF(AND(ISNUMBER(E155),ISNUMBER(F155)),(F155-E155),"")</f>
        <v/>
      </c>
      <c r="L155" s="11">
        <f>IF(AND(ISNUMBER(F155),ISNUMBER(G155)),(G155-F155),"")</f>
        <v/>
      </c>
      <c r="M155" s="11">
        <f>IF(AND(ISNUMBER(H155),ISNUMBER(I155)),(I155-H155),"")</f>
        <v/>
      </c>
      <c r="N155" s="11">
        <f>IF(AND(ISNUMBER(E155),ISNUMBER(J155)),(J155-E155),"")</f>
        <v/>
      </c>
    </row>
    <row r="156">
      <c r="A156" s="3" t="inlineStr">
        <is>
          <t>OBT130125062348-Wien Kledering</t>
        </is>
      </c>
      <c r="B156" s="3" t="inlineStr">
        <is>
          <t>Wien Kledering</t>
        </is>
      </c>
      <c r="C156" s="3" t="inlineStr">
        <is>
          <t>625</t>
        </is>
      </c>
      <c r="D156" s="3" t="n">
        <v>1</v>
      </c>
      <c r="E156" s="10" t="n">
        <v>45670.26436342593</v>
      </c>
      <c r="F156" s="10" t="n">
        <v>45670.26652777778</v>
      </c>
      <c r="G156" s="10" t="n">
        <v>45670.26739583333</v>
      </c>
      <c r="H156" s="10" t="n">
        <v>45670.31913194444</v>
      </c>
      <c r="I156" s="10" t="n">
        <v>45670.31913194444</v>
      </c>
      <c r="J156" s="10" t="n">
        <v>45670.3203125</v>
      </c>
      <c r="K156" s="11">
        <f>IF(AND(ISNUMBER(E156),ISNUMBER(F156)),(F156-E156),"")</f>
        <v/>
      </c>
      <c r="L156" s="11">
        <f>IF(AND(ISNUMBER(F156),ISNUMBER(G156)),(G156-F156),"")</f>
        <v/>
      </c>
      <c r="M156" s="11">
        <f>IF(AND(ISNUMBER(H156),ISNUMBER(I156)),(I156-H156),"")</f>
        <v/>
      </c>
      <c r="N156" s="11">
        <f>IF(AND(ISNUMBER(E156),ISNUMBER(J156)),(J156-E156),"")</f>
        <v/>
      </c>
    </row>
    <row r="157">
      <c r="A157" s="3" t="inlineStr">
        <is>
          <t>OBT130125071902-Wien Kledering</t>
        </is>
      </c>
      <c r="B157" s="3" t="inlineStr">
        <is>
          <t>Wien Kledering</t>
        </is>
      </c>
      <c r="C157" s="3" t="inlineStr">
        <is>
          <t>605</t>
        </is>
      </c>
      <c r="D157" s="3" t="n">
        <v>1</v>
      </c>
      <c r="E157" s="10" t="n">
        <v>45670.30271990741</v>
      </c>
      <c r="F157" s="10" t="n">
        <v>45670.30488425926</v>
      </c>
      <c r="G157" s="10" t="n">
        <v>45670.30571759259</v>
      </c>
      <c r="H157" s="10" t="n">
        <v>45670.34140046296</v>
      </c>
      <c r="I157" s="10" t="n">
        <v>45670.34140046296</v>
      </c>
      <c r="J157" s="10" t="n">
        <v>45670.34246527778</v>
      </c>
      <c r="K157" s="11">
        <f>IF(AND(ISNUMBER(E157),ISNUMBER(F157)),(F157-E157),"")</f>
        <v/>
      </c>
      <c r="L157" s="11">
        <f>IF(AND(ISNUMBER(F157),ISNUMBER(G157)),(G157-F157),"")</f>
        <v/>
      </c>
      <c r="M157" s="11">
        <f>IF(AND(ISNUMBER(H157),ISNUMBER(I157)),(I157-H157),"")</f>
        <v/>
      </c>
      <c r="N157" s="11">
        <f>IF(AND(ISNUMBER(E157),ISNUMBER(J157)),(J157-E157),"")</f>
        <v/>
      </c>
    </row>
    <row r="158">
      <c r="A158" s="3" t="inlineStr">
        <is>
          <t>OBT130125073501-Wien Kledering</t>
        </is>
      </c>
      <c r="B158" s="3" t="inlineStr">
        <is>
          <t>Wien Kledering</t>
        </is>
      </c>
      <c r="C158" s="3" t="inlineStr">
        <is>
          <t>619</t>
        </is>
      </c>
      <c r="D158" s="3" t="n">
        <v>1</v>
      </c>
      <c r="E158" s="10" t="n">
        <v>45670.31383101852</v>
      </c>
      <c r="F158" s="10" t="n">
        <v>45670.3159837963</v>
      </c>
      <c r="G158" s="10" t="n">
        <v>45670.31762731481</v>
      </c>
      <c r="H158" s="10" t="n">
        <v>45670.3866087963</v>
      </c>
      <c r="I158" s="10" t="n">
        <v>45670.3866087963</v>
      </c>
      <c r="J158" s="10" t="n">
        <v>45670.38806712963</v>
      </c>
      <c r="K158" s="11">
        <f>IF(AND(ISNUMBER(E158),ISNUMBER(F158)),(F158-E158),"")</f>
        <v/>
      </c>
      <c r="L158" s="11">
        <f>IF(AND(ISNUMBER(F158),ISNUMBER(G158)),(G158-F158),"")</f>
        <v/>
      </c>
      <c r="M158" s="11">
        <f>IF(AND(ISNUMBER(H158),ISNUMBER(I158)),(I158-H158),"")</f>
        <v/>
      </c>
      <c r="N158" s="11">
        <f>IF(AND(ISNUMBER(E158),ISNUMBER(J158)),(J158-E158),"")</f>
        <v/>
      </c>
    </row>
    <row r="159">
      <c r="A159" s="3" t="inlineStr">
        <is>
          <t>OBT130125082326-Wr. Neustadt (Hödlmayr)</t>
        </is>
      </c>
      <c r="B159" s="3" t="inlineStr">
        <is>
          <t>Wr. Neustadt (Hödlmayr)</t>
        </is>
      </c>
      <c r="C159" s="3" t="inlineStr">
        <is>
          <t>606</t>
        </is>
      </c>
      <c r="D159" s="3" t="n">
        <v>3</v>
      </c>
      <c r="E159" s="10" t="n">
        <v>45667.86844907407</v>
      </c>
      <c r="F159" s="10" t="n">
        <v>45670.34960648148</v>
      </c>
      <c r="G159" s="10" t="n">
        <v>45670.35333333333</v>
      </c>
      <c r="H159" s="10" t="n">
        <v>45670.38145833334</v>
      </c>
      <c r="I159" s="10" t="n">
        <v>45670.38145833334</v>
      </c>
      <c r="J159" s="10" t="n">
        <v>45670.38234953704</v>
      </c>
      <c r="K159" s="11">
        <f>IF(AND(ISNUMBER(E159),ISNUMBER(F159)),(F159-E159),"")</f>
        <v/>
      </c>
      <c r="L159" s="11">
        <f>IF(AND(ISNUMBER(F159),ISNUMBER(G159)),(G159-F159),"")</f>
        <v/>
      </c>
      <c r="M159" s="11">
        <f>IF(AND(ISNUMBER(H159),ISNUMBER(I159)),(I159-H159),"")</f>
        <v/>
      </c>
      <c r="N159" s="11">
        <f>IF(AND(ISNUMBER(E159),ISNUMBER(J159)),(J159-E159),"")</f>
        <v/>
      </c>
    </row>
    <row r="160">
      <c r="A160" s="3" t="inlineStr">
        <is>
          <t>OBT130125092157-Wien Kledering</t>
        </is>
      </c>
      <c r="B160" s="3" t="inlineStr">
        <is>
          <t>Wien Kledering</t>
        </is>
      </c>
      <c r="C160" s="3" t="inlineStr">
        <is>
          <t>625</t>
        </is>
      </c>
      <c r="D160" s="3" t="n">
        <v>1</v>
      </c>
      <c r="E160" s="10" t="n">
        <v>45670.38788194444</v>
      </c>
      <c r="F160" s="10" t="n">
        <v>45670.39024305555</v>
      </c>
      <c r="G160" s="10" t="n">
        <v>45670.39111111111</v>
      </c>
      <c r="H160" s="10" t="n">
        <v>45670.43954861111</v>
      </c>
      <c r="I160" s="10" t="n">
        <v>45670.43954861111</v>
      </c>
      <c r="J160" s="10" t="n">
        <v>45670.44069444444</v>
      </c>
      <c r="K160" s="11">
        <f>IF(AND(ISNUMBER(E160),ISNUMBER(F160)),(F160-E160),"")</f>
        <v/>
      </c>
      <c r="L160" s="11">
        <f>IF(AND(ISNUMBER(F160),ISNUMBER(G160)),(G160-F160),"")</f>
        <v/>
      </c>
      <c r="M160" s="11">
        <f>IF(AND(ISNUMBER(H160),ISNUMBER(I160)),(I160-H160),"")</f>
        <v/>
      </c>
      <c r="N160" s="11">
        <f>IF(AND(ISNUMBER(E160),ISNUMBER(J160)),(J160-E160),"")</f>
        <v/>
      </c>
    </row>
    <row r="161">
      <c r="A161" s="3" t="inlineStr">
        <is>
          <t>OBT130125092620-Ternitz (Schoeller-Bleckmann)</t>
        </is>
      </c>
      <c r="B161" s="3" t="inlineStr">
        <is>
          <t>Ternitz (Schoeller-Bleckmann)</t>
        </is>
      </c>
      <c r="C161" s="3" t="inlineStr">
        <is>
          <t>617</t>
        </is>
      </c>
      <c r="D161" s="3" t="n">
        <v>4</v>
      </c>
      <c r="E161" s="10" t="n">
        <v>45666.28115740741</v>
      </c>
      <c r="F161" s="10" t="n">
        <v>45670.39328703703</v>
      </c>
      <c r="G161" s="10" t="n">
        <v>45670.3941550926</v>
      </c>
      <c r="H161" s="10" t="n">
        <v>45670.42590277778</v>
      </c>
      <c r="I161" s="10" t="n">
        <v>45670.42590277778</v>
      </c>
      <c r="J161" s="10" t="n">
        <v>45670.426875</v>
      </c>
      <c r="K161" s="11">
        <f>IF(AND(ISNUMBER(E161),ISNUMBER(F161)),(F161-E161),"")</f>
        <v/>
      </c>
      <c r="L161" s="11">
        <f>IF(AND(ISNUMBER(F161),ISNUMBER(G161)),(G161-F161),"")</f>
        <v/>
      </c>
      <c r="M161" s="11">
        <f>IF(AND(ISNUMBER(H161),ISNUMBER(I161)),(I161-H161),"")</f>
        <v/>
      </c>
      <c r="N161" s="11">
        <f>IF(AND(ISNUMBER(E161),ISNUMBER(J161)),(J161-E161),"")</f>
        <v/>
      </c>
    </row>
    <row r="162">
      <c r="A162" s="3" t="inlineStr">
        <is>
          <t>OBT130125093830-Other sidings local</t>
        </is>
      </c>
      <c r="B162" s="3" t="inlineStr">
        <is>
          <t>Other sidings local</t>
        </is>
      </c>
      <c r="C162" s="3" t="inlineStr">
        <is>
          <t>615</t>
        </is>
      </c>
      <c r="D162" s="3" t="n">
        <v>5</v>
      </c>
      <c r="E162" s="10" t="n">
        <v>45667.30276620371</v>
      </c>
      <c r="F162" s="10" t="n">
        <v>45670.40173611111</v>
      </c>
      <c r="G162" s="10" t="n">
        <v>45670.42009259259</v>
      </c>
      <c r="H162" s="10" t="n">
        <v>45670.43755787037</v>
      </c>
      <c r="I162" s="10" t="n">
        <v>45670.43755787037</v>
      </c>
      <c r="J162" s="10" t="n">
        <v>45670.43825231482</v>
      </c>
      <c r="K162" s="11">
        <f>IF(AND(ISNUMBER(E162),ISNUMBER(F162)),(F162-E162),"")</f>
        <v/>
      </c>
      <c r="L162" s="11">
        <f>IF(AND(ISNUMBER(F162),ISNUMBER(G162)),(G162-F162),"")</f>
        <v/>
      </c>
      <c r="M162" s="11">
        <f>IF(AND(ISNUMBER(H162),ISNUMBER(I162)),(I162-H162),"")</f>
        <v/>
      </c>
      <c r="N162" s="11">
        <f>IF(AND(ISNUMBER(E162),ISNUMBER(J162)),(J162-E162),"")</f>
        <v/>
      </c>
    </row>
    <row r="163">
      <c r="A163" s="3" t="inlineStr">
        <is>
          <t>OBT130125094410-Other sidings south</t>
        </is>
      </c>
      <c r="B163" s="3" t="inlineStr">
        <is>
          <t>Other sidings south</t>
        </is>
      </c>
      <c r="C163" s="3" t="inlineStr">
        <is>
          <t>613</t>
        </is>
      </c>
      <c r="D163" s="3" t="n">
        <v>4</v>
      </c>
      <c r="E163" s="10" t="n">
        <v>45670.11494212963</v>
      </c>
      <c r="F163" s="10" t="n">
        <v>45670.4056712963</v>
      </c>
      <c r="G163" s="10" t="n">
        <v>45670.42763888889</v>
      </c>
      <c r="H163" s="10" t="n">
        <v>45670.44938657407</v>
      </c>
      <c r="I163" s="10" t="n">
        <v>45670.44938657407</v>
      </c>
      <c r="J163" s="10" t="n">
        <v>45670.45010416667</v>
      </c>
      <c r="K163" s="11">
        <f>IF(AND(ISNUMBER(E163),ISNUMBER(F163)),(F163-E163),"")</f>
        <v/>
      </c>
      <c r="L163" s="11">
        <f>IF(AND(ISNUMBER(F163),ISNUMBER(G163)),(G163-F163),"")</f>
        <v/>
      </c>
      <c r="M163" s="11">
        <f>IF(AND(ISNUMBER(H163),ISNUMBER(I163)),(I163-H163),"")</f>
        <v/>
      </c>
      <c r="N163" s="11">
        <f>IF(AND(ISNUMBER(E163),ISNUMBER(J163)),(J163-E163),"")</f>
        <v/>
      </c>
    </row>
    <row r="164">
      <c r="A164" s="3" t="inlineStr">
        <is>
          <t>OBT130125095519-Other sidings north</t>
        </is>
      </c>
      <c r="B164" s="3" t="inlineStr">
        <is>
          <t>Other sidings north</t>
        </is>
      </c>
      <c r="C164" s="3" t="inlineStr">
        <is>
          <t>605</t>
        </is>
      </c>
      <c r="D164" s="3" t="n">
        <v>4</v>
      </c>
      <c r="E164" s="10" t="n">
        <v>45670.3387037037</v>
      </c>
      <c r="F164" s="10" t="n">
        <v>45670.41341435185</v>
      </c>
      <c r="G164" s="10" t="n">
        <v>45670.44217592593</v>
      </c>
      <c r="H164" s="10" t="n">
        <v>45670.46769675926</v>
      </c>
      <c r="I164" s="10" t="n">
        <v>45670.46769675926</v>
      </c>
      <c r="J164" s="10" t="n">
        <v>45670.46863425926</v>
      </c>
      <c r="K164" s="11">
        <f>IF(AND(ISNUMBER(E164),ISNUMBER(F164)),(F164-E164),"")</f>
        <v/>
      </c>
      <c r="L164" s="11">
        <f>IF(AND(ISNUMBER(F164),ISNUMBER(G164)),(G164-F164),"")</f>
        <v/>
      </c>
      <c r="M164" s="11">
        <f>IF(AND(ISNUMBER(H164),ISNUMBER(I164)),(I164-H164),"")</f>
        <v/>
      </c>
      <c r="N164" s="11">
        <f>IF(AND(ISNUMBER(E164),ISNUMBER(J164)),(J164-E164),"")</f>
        <v/>
      </c>
    </row>
    <row r="165">
      <c r="A165" s="3" t="inlineStr">
        <is>
          <t>OBT130125095539-Pitten (Hamburger)</t>
        </is>
      </c>
      <c r="B165" s="3" t="inlineStr">
        <is>
          <t>Pitten (Hamburger)</t>
        </is>
      </c>
      <c r="C165" s="3" t="inlineStr">
        <is>
          <t>611</t>
        </is>
      </c>
      <c r="D165" s="3" t="n">
        <v>3</v>
      </c>
      <c r="E165" s="10" t="n">
        <v>45670.33203703703</v>
      </c>
      <c r="F165" s="10" t="n">
        <v>45670.41364583333</v>
      </c>
      <c r="G165" s="10" t="n">
        <v>45670.44409722222</v>
      </c>
      <c r="H165" s="10" t="n">
        <v>45670.48196759259</v>
      </c>
      <c r="I165" s="10" t="n">
        <v>45670.48196759259</v>
      </c>
      <c r="J165" s="10" t="n">
        <v>45670.48296296296</v>
      </c>
      <c r="K165" s="11">
        <f>IF(AND(ISNUMBER(E165),ISNUMBER(F165)),(F165-E165),"")</f>
        <v/>
      </c>
      <c r="L165" s="11">
        <f>IF(AND(ISNUMBER(F165),ISNUMBER(G165)),(G165-F165),"")</f>
        <v/>
      </c>
      <c r="M165" s="11">
        <f>IF(AND(ISNUMBER(H165),ISNUMBER(I165)),(I165-H165),"")</f>
        <v/>
      </c>
      <c r="N165" s="11">
        <f>IF(AND(ISNUMBER(E165),ISNUMBER(J165)),(J165-E165),"")</f>
        <v/>
      </c>
    </row>
    <row r="166">
      <c r="A166" s="3" t="inlineStr">
        <is>
          <t>OBT130125103421-Wien Kledering</t>
        </is>
      </c>
      <c r="B166" s="3" t="inlineStr">
        <is>
          <t>Wien Kledering</t>
        </is>
      </c>
      <c r="C166" s="3" t="inlineStr">
        <is>
          <t>619</t>
        </is>
      </c>
      <c r="D166" s="3" t="n">
        <v>1</v>
      </c>
      <c r="E166" s="10" t="n">
        <v>45670.43336805556</v>
      </c>
      <c r="F166" s="10" t="n">
        <v>45670.44052083333</v>
      </c>
      <c r="G166" s="10" t="n">
        <v>45670.45112268518</v>
      </c>
      <c r="H166" s="10" t="n">
        <v>45670.49756944444</v>
      </c>
      <c r="I166" s="10" t="n">
        <v>45670.49756944444</v>
      </c>
      <c r="J166" s="10" t="n">
        <v>45670.49873842593</v>
      </c>
      <c r="K166" s="11">
        <f>IF(AND(ISNUMBER(E166),ISNUMBER(F166)),(F166-E166),"")</f>
        <v/>
      </c>
      <c r="L166" s="11">
        <f>IF(AND(ISNUMBER(F166),ISNUMBER(G166)),(G166-F166),"")</f>
        <v/>
      </c>
      <c r="M166" s="11">
        <f>IF(AND(ISNUMBER(H166),ISNUMBER(I166)),(I166-H166),"")</f>
        <v/>
      </c>
      <c r="N166" s="11">
        <f>IF(AND(ISNUMBER(E166),ISNUMBER(J166)),(J166-E166),"")</f>
        <v/>
      </c>
    </row>
    <row r="167">
      <c r="A167" s="3" t="inlineStr">
        <is>
          <t>OBT130125123545-Wien Kledering</t>
        </is>
      </c>
      <c r="B167" s="3" t="inlineStr">
        <is>
          <t>Wien Kledering</t>
        </is>
      </c>
      <c r="C167" s="3" t="inlineStr">
        <is>
          <t>617</t>
        </is>
      </c>
      <c r="D167" s="3" t="n">
        <v>3</v>
      </c>
      <c r="E167" s="10" t="n">
        <v>45670.40361111111</v>
      </c>
      <c r="F167" s="10" t="n">
        <v>45670.52482638889</v>
      </c>
      <c r="G167" s="10" t="n">
        <v>45670.52567129629</v>
      </c>
      <c r="H167" s="10" t="n">
        <v>45670.58372685185</v>
      </c>
      <c r="I167" s="10" t="n">
        <v>45670.58372685185</v>
      </c>
      <c r="J167" s="10" t="n">
        <v>45670.5850462963</v>
      </c>
      <c r="K167" s="11">
        <f>IF(AND(ISNUMBER(E167),ISNUMBER(F167)),(F167-E167),"")</f>
        <v/>
      </c>
      <c r="L167" s="11">
        <f>IF(AND(ISNUMBER(F167),ISNUMBER(G167)),(G167-F167),"")</f>
        <v/>
      </c>
      <c r="M167" s="11">
        <f>IF(AND(ISNUMBER(H167),ISNUMBER(I167)),(I167-H167),"")</f>
        <v/>
      </c>
      <c r="N167" s="11">
        <f>IF(AND(ISNUMBER(E167),ISNUMBER(J167)),(J167-E167),"")</f>
        <v/>
      </c>
    </row>
    <row r="168">
      <c r="A168" s="3" t="inlineStr">
        <is>
          <t>OBT130125144644-Wien Kledering</t>
        </is>
      </c>
      <c r="B168" s="3" t="inlineStr">
        <is>
          <t>Wien Kledering</t>
        </is>
      </c>
      <c r="C168" s="3" t="inlineStr">
        <is>
          <t>615</t>
        </is>
      </c>
      <c r="D168" s="3" t="n">
        <v>2</v>
      </c>
      <c r="E168" s="10" t="n">
        <v>45670.40236111111</v>
      </c>
      <c r="F168" s="10" t="n">
        <v>45670.61578703704</v>
      </c>
      <c r="G168" s="10" t="n">
        <v>45670.61665509259</v>
      </c>
      <c r="H168" s="10" t="n">
        <v>45670.68407407407</v>
      </c>
      <c r="I168" s="10" t="n">
        <v>45670.68407407407</v>
      </c>
      <c r="J168" s="10" t="n">
        <v>45670.68543981481</v>
      </c>
      <c r="K168" s="11">
        <f>IF(AND(ISNUMBER(E168),ISNUMBER(F168)),(F168-E168),"")</f>
        <v/>
      </c>
      <c r="L168" s="11">
        <f>IF(AND(ISNUMBER(F168),ISNUMBER(G168)),(G168-F168),"")</f>
        <v/>
      </c>
      <c r="M168" s="11">
        <f>IF(AND(ISNUMBER(H168),ISNUMBER(I168)),(I168-H168),"")</f>
        <v/>
      </c>
      <c r="N168" s="11">
        <f>IF(AND(ISNUMBER(E168),ISNUMBER(J168)),(J168-E168),"")</f>
        <v/>
      </c>
    </row>
    <row r="169">
      <c r="A169" s="3" t="inlineStr">
        <is>
          <t>OBT130125152935-Wr. Neustadt (Hödlmayr)</t>
        </is>
      </c>
      <c r="B169" s="3" t="inlineStr">
        <is>
          <t>Wr. Neustadt (Hödlmayr)</t>
        </is>
      </c>
      <c r="C169" s="3" t="inlineStr">
        <is>
          <t>625</t>
        </is>
      </c>
      <c r="D169" s="3" t="n">
        <v>2</v>
      </c>
      <c r="E169" s="10" t="n">
        <v>45670.63792824074</v>
      </c>
      <c r="F169" s="10" t="n">
        <v>45670.64554398148</v>
      </c>
      <c r="G169" s="10" t="n">
        <v>45670.64724537037</v>
      </c>
      <c r="H169" s="10" t="n">
        <v>45670.66475694445</v>
      </c>
      <c r="I169" s="10" t="n">
        <v>45670.66475694445</v>
      </c>
      <c r="J169" s="10" t="n">
        <v>45670.66549768519</v>
      </c>
      <c r="K169" s="11">
        <f>IF(AND(ISNUMBER(E169),ISNUMBER(F169)),(F169-E169),"")</f>
        <v/>
      </c>
      <c r="L169" s="11">
        <f>IF(AND(ISNUMBER(F169),ISNUMBER(G169)),(G169-F169),"")</f>
        <v/>
      </c>
      <c r="M169" s="11">
        <f>IF(AND(ISNUMBER(H169),ISNUMBER(I169)),(I169-H169),"")</f>
        <v/>
      </c>
      <c r="N169" s="11">
        <f>IF(AND(ISNUMBER(E169),ISNUMBER(J169)),(J169-E169),"")</f>
        <v/>
      </c>
    </row>
    <row r="170">
      <c r="A170" s="3" t="inlineStr">
        <is>
          <t>OBT130125155039-Wr. Neustadt Ausfahrbf (Furtenbach)</t>
        </is>
      </c>
      <c r="B170" s="3" t="inlineStr">
        <is>
          <t>Wr. Neustadt Ausfahrbf (Furtenbach)</t>
        </is>
      </c>
      <c r="C170" s="3" t="inlineStr">
        <is>
          <t>609</t>
        </is>
      </c>
      <c r="D170" s="3" t="n">
        <v>3</v>
      </c>
      <c r="E170" s="10" t="n">
        <v>45667.86185185185</v>
      </c>
      <c r="F170" s="10" t="n">
        <v>45670.66017361111</v>
      </c>
      <c r="G170" s="10" t="n">
        <v>45670.66203703704</v>
      </c>
      <c r="H170" s="10" t="n">
        <v>45670.6827662037</v>
      </c>
      <c r="I170" s="10" t="n">
        <v>45670.6827662037</v>
      </c>
      <c r="J170" s="10" t="n">
        <v>45670.68358796297</v>
      </c>
      <c r="K170" s="11">
        <f>IF(AND(ISNUMBER(E170),ISNUMBER(F170)),(F170-E170),"")</f>
        <v/>
      </c>
      <c r="L170" s="11">
        <f>IF(AND(ISNUMBER(F170),ISNUMBER(G170)),(G170-F170),"")</f>
        <v/>
      </c>
      <c r="M170" s="11">
        <f>IF(AND(ISNUMBER(H170),ISNUMBER(I170)),(I170-H170),"")</f>
        <v/>
      </c>
      <c r="N170" s="11">
        <f>IF(AND(ISNUMBER(E170),ISNUMBER(J170)),(J170-E170),"")</f>
        <v/>
      </c>
    </row>
    <row r="171">
      <c r="A171" s="3" t="inlineStr">
        <is>
          <t>OBT130125155053-Wien Kledering</t>
        </is>
      </c>
      <c r="B171" s="3" t="inlineStr">
        <is>
          <t>Wien Kledering</t>
        </is>
      </c>
      <c r="C171" s="3" t="inlineStr">
        <is>
          <t>611</t>
        </is>
      </c>
      <c r="D171" s="3" t="n">
        <v>1</v>
      </c>
      <c r="E171" s="10" t="n">
        <v>45670.65763888889</v>
      </c>
      <c r="F171" s="10" t="n">
        <v>45670.66033564815</v>
      </c>
      <c r="G171" s="10" t="n">
        <v>45670.66645833333</v>
      </c>
      <c r="H171" s="10" t="n">
        <v>45670.73476851852</v>
      </c>
      <c r="I171" s="10" t="n">
        <v>45670.73476851852</v>
      </c>
      <c r="J171" s="10" t="n">
        <v>45670.73616898148</v>
      </c>
      <c r="K171" s="11">
        <f>IF(AND(ISNUMBER(E171),ISNUMBER(F171)),(F171-E171),"")</f>
        <v/>
      </c>
      <c r="L171" s="11">
        <f>IF(AND(ISNUMBER(F171),ISNUMBER(G171)),(G171-F171),"")</f>
        <v/>
      </c>
      <c r="M171" s="11">
        <f>IF(AND(ISNUMBER(H171),ISNUMBER(I171)),(I171-H171),"")</f>
        <v/>
      </c>
      <c r="N171" s="11">
        <f>IF(AND(ISNUMBER(E171),ISNUMBER(J171)),(J171-E171),"")</f>
        <v/>
      </c>
    </row>
    <row r="172">
      <c r="A172" s="3" t="inlineStr">
        <is>
          <t>OBT130125162753-Wien Kledering</t>
        </is>
      </c>
      <c r="B172" s="3" t="inlineStr">
        <is>
          <t>Wien Kledering</t>
        </is>
      </c>
      <c r="C172" s="3" t="inlineStr">
        <is>
          <t>625</t>
        </is>
      </c>
      <c r="D172" s="3" t="n">
        <v>1</v>
      </c>
      <c r="E172" s="10" t="n">
        <v>45670.68224537037</v>
      </c>
      <c r="F172" s="10" t="n">
        <v>45670.68603009259</v>
      </c>
      <c r="G172" s="10" t="n">
        <v>45670.68689814815</v>
      </c>
      <c r="H172" s="10" t="n">
        <v>45670.72678240741</v>
      </c>
      <c r="I172" s="10" t="n">
        <v>45670.72678240741</v>
      </c>
      <c r="J172" s="10" t="n">
        <v>45670.7278125</v>
      </c>
      <c r="K172" s="11">
        <f>IF(AND(ISNUMBER(E172),ISNUMBER(F172)),(F172-E172),"")</f>
        <v/>
      </c>
      <c r="L172" s="11">
        <f>IF(AND(ISNUMBER(F172),ISNUMBER(G172)),(G172-F172),"")</f>
        <v/>
      </c>
      <c r="M172" s="11">
        <f>IF(AND(ISNUMBER(H172),ISNUMBER(I172)),(I172-H172),"")</f>
        <v/>
      </c>
      <c r="N172" s="11">
        <f>IF(AND(ISNUMBER(E172),ISNUMBER(J172)),(J172-E172),"")</f>
        <v/>
      </c>
    </row>
    <row r="173">
      <c r="A173" s="3" t="inlineStr">
        <is>
          <t>OBT130125163000-St. Veit an der Glan</t>
        </is>
      </c>
      <c r="B173" s="3" t="inlineStr">
        <is>
          <t>St. Veit an der Glan</t>
        </is>
      </c>
      <c r="C173" s="3" t="inlineStr">
        <is>
          <t>606</t>
        </is>
      </c>
      <c r="D173" s="3" t="n">
        <v>2</v>
      </c>
      <c r="E173" s="10" t="n">
        <v>45670.43515046296</v>
      </c>
      <c r="F173" s="10" t="n">
        <v>45670.6875</v>
      </c>
      <c r="G173" s="10" t="n">
        <v>45670.68920138889</v>
      </c>
      <c r="H173" s="10" t="n">
        <v>45670.72371527777</v>
      </c>
      <c r="I173" s="10" t="n">
        <v>45670.72371527777</v>
      </c>
      <c r="J173" s="10" t="n">
        <v>45670.7246875</v>
      </c>
      <c r="K173" s="11">
        <f>IF(AND(ISNUMBER(E173),ISNUMBER(F173)),(F173-E173),"")</f>
        <v/>
      </c>
      <c r="L173" s="11">
        <f>IF(AND(ISNUMBER(F173),ISNUMBER(G173)),(G173-F173),"")</f>
        <v/>
      </c>
      <c r="M173" s="11">
        <f>IF(AND(ISNUMBER(H173),ISNUMBER(I173)),(I173-H173),"")</f>
        <v/>
      </c>
      <c r="N173" s="11">
        <f>IF(AND(ISNUMBER(E173),ISNUMBER(J173)),(J173-E173),"")</f>
        <v/>
      </c>
    </row>
    <row r="174">
      <c r="A174" s="3" t="inlineStr">
        <is>
          <t>OBT130125174233-Wien Kledering</t>
        </is>
      </c>
      <c r="B174" s="3" t="inlineStr">
        <is>
          <t>Wien Kledering</t>
        </is>
      </c>
      <c r="C174" s="3" t="inlineStr">
        <is>
          <t>615</t>
        </is>
      </c>
      <c r="D174" s="3" t="n">
        <v>1</v>
      </c>
      <c r="E174" s="10" t="n">
        <v>45670.73548611111</v>
      </c>
      <c r="F174" s="10" t="n">
        <v>45670.73788194444</v>
      </c>
      <c r="G174" s="10" t="n">
        <v>45670.73875</v>
      </c>
      <c r="H174" s="10" t="n">
        <v>45670.77103009259</v>
      </c>
      <c r="I174" s="10" t="n">
        <v>45670.77103009259</v>
      </c>
      <c r="J174" s="10" t="n">
        <v>45670.77193287037</v>
      </c>
      <c r="K174" s="11">
        <f>IF(AND(ISNUMBER(E174),ISNUMBER(F174)),(F174-E174),"")</f>
        <v/>
      </c>
      <c r="L174" s="11">
        <f>IF(AND(ISNUMBER(F174),ISNUMBER(G174)),(G174-F174),"")</f>
        <v/>
      </c>
      <c r="M174" s="11">
        <f>IF(AND(ISNUMBER(H174),ISNUMBER(I174)),(I174-H174),"")</f>
        <v/>
      </c>
      <c r="N174" s="11">
        <f>IF(AND(ISNUMBER(E174),ISNUMBER(J174)),(J174-E174),"")</f>
        <v/>
      </c>
    </row>
    <row r="175">
      <c r="A175" s="3" t="inlineStr">
        <is>
          <t>OBT130125212354-Wien Kledering</t>
        </is>
      </c>
      <c r="B175" s="3" t="inlineStr">
        <is>
          <t>Wien Kledering</t>
        </is>
      </c>
      <c r="C175" s="3" t="inlineStr">
        <is>
          <t>615</t>
        </is>
      </c>
      <c r="D175" s="3" t="n">
        <v>1</v>
      </c>
      <c r="E175" s="10" t="n">
        <v>45670.88920138889</v>
      </c>
      <c r="F175" s="10" t="n">
        <v>45670.89159722222</v>
      </c>
      <c r="G175" s="10" t="n">
        <v>45670.89246527778</v>
      </c>
      <c r="H175" s="10" t="n">
        <v>45670.96001157408</v>
      </c>
      <c r="I175" s="10" t="n">
        <v>45670.96001157408</v>
      </c>
      <c r="J175" s="10" t="n">
        <v>45670.96137731482</v>
      </c>
      <c r="K175" s="11">
        <f>IF(AND(ISNUMBER(E175),ISNUMBER(F175)),(F175-E175),"")</f>
        <v/>
      </c>
      <c r="L175" s="11">
        <f>IF(AND(ISNUMBER(F175),ISNUMBER(G175)),(G175-F175),"")</f>
        <v/>
      </c>
      <c r="M175" s="11">
        <f>IF(AND(ISNUMBER(H175),ISNUMBER(I175)),(I175-H175),"")</f>
        <v/>
      </c>
      <c r="N175" s="11">
        <f>IF(AND(ISNUMBER(E175),ISNUMBER(J175)),(J175-E175),"")</f>
        <v/>
      </c>
    </row>
    <row r="176">
      <c r="A176" s="3" t="inlineStr">
        <is>
          <t>OBT140125024930-Neunkirchen (loading tracks)</t>
        </is>
      </c>
      <c r="B176" s="3" t="inlineStr">
        <is>
          <t>Neunkirchen (loading tracks)</t>
        </is>
      </c>
      <c r="C176" s="3" t="inlineStr">
        <is>
          <t>605</t>
        </is>
      </c>
      <c r="D176" s="3" t="n">
        <v>2</v>
      </c>
      <c r="E176" s="10" t="n">
        <v>45670.64704861111</v>
      </c>
      <c r="F176" s="10" t="n">
        <v>45671.11770833333</v>
      </c>
      <c r="G176" s="10" t="n">
        <v>45671.11855324074</v>
      </c>
      <c r="H176" s="10" t="n">
        <v>45671.14023148148</v>
      </c>
      <c r="I176" s="10" t="n">
        <v>45671.14023148148</v>
      </c>
      <c r="J176" s="10" t="n">
        <v>45671.14112268519</v>
      </c>
      <c r="K176" s="11">
        <f>IF(AND(ISNUMBER(E176),ISNUMBER(F176)),(F176-E176),"")</f>
        <v/>
      </c>
      <c r="L176" s="11">
        <f>IF(AND(ISNUMBER(F176),ISNUMBER(G176)),(G176-F176),"")</f>
        <v/>
      </c>
      <c r="M176" s="11">
        <f>IF(AND(ISNUMBER(H176),ISNUMBER(I176)),(I176-H176),"")</f>
        <v/>
      </c>
      <c r="N176" s="11">
        <f>IF(AND(ISNUMBER(E176),ISNUMBER(J176)),(J176-E176),"")</f>
        <v/>
      </c>
    </row>
    <row r="177">
      <c r="A177" s="3" t="inlineStr">
        <is>
          <t>OBT140125064740-Wien Kledering</t>
        </is>
      </c>
      <c r="B177" s="3" t="inlineStr">
        <is>
          <t>Wien Kledering</t>
        </is>
      </c>
      <c r="C177" s="3" t="inlineStr">
        <is>
          <t>615</t>
        </is>
      </c>
      <c r="D177" s="3" t="n">
        <v>1</v>
      </c>
      <c r="E177" s="10" t="n">
        <v>45671.28072916667</v>
      </c>
      <c r="F177" s="10" t="n">
        <v>45671.28310185186</v>
      </c>
      <c r="G177" s="10" t="n">
        <v>45671.28396990741</v>
      </c>
      <c r="H177" s="10" t="n">
        <v>45671.33553240741</v>
      </c>
      <c r="I177" s="10" t="n">
        <v>45671.33553240741</v>
      </c>
      <c r="J177" s="10" t="n">
        <v>45671.33668981482</v>
      </c>
      <c r="K177" s="11">
        <f>IF(AND(ISNUMBER(E177),ISNUMBER(F177)),(F177-E177),"")</f>
        <v/>
      </c>
      <c r="L177" s="11">
        <f>IF(AND(ISNUMBER(F177),ISNUMBER(G177)),(G177-F177),"")</f>
        <v/>
      </c>
      <c r="M177" s="11">
        <f>IF(AND(ISNUMBER(H177),ISNUMBER(I177)),(I177-H177),"")</f>
        <v/>
      </c>
      <c r="N177" s="11">
        <f>IF(AND(ISNUMBER(E177),ISNUMBER(J177)),(J177-E177),"")</f>
        <v/>
      </c>
    </row>
    <row r="178">
      <c r="A178" s="3" t="inlineStr">
        <is>
          <t>OBT140125070727-Neudörfl (FunderMax)</t>
        </is>
      </c>
      <c r="B178" s="3" t="inlineStr">
        <is>
          <t>Neudörfl (FunderMax)</t>
        </is>
      </c>
      <c r="C178" s="3" t="inlineStr">
        <is>
          <t>629</t>
        </is>
      </c>
      <c r="D178" s="3" t="n">
        <v>4</v>
      </c>
      <c r="E178" s="10" t="n">
        <v>45670.34236111111</v>
      </c>
      <c r="F178" s="10" t="n">
        <v>45671.29684027778</v>
      </c>
      <c r="G178" s="10" t="n">
        <v>45671.29853009259</v>
      </c>
      <c r="H178" s="10" t="n">
        <v>45671.33109953703</v>
      </c>
      <c r="I178" s="10" t="n">
        <v>45671.33109953703</v>
      </c>
      <c r="J178" s="10" t="n">
        <v>45671.3319212963</v>
      </c>
      <c r="K178" s="11">
        <f>IF(AND(ISNUMBER(E178),ISNUMBER(F178)),(F178-E178),"")</f>
        <v/>
      </c>
      <c r="L178" s="11">
        <f>IF(AND(ISNUMBER(F178),ISNUMBER(G178)),(G178-F178),"")</f>
        <v/>
      </c>
      <c r="M178" s="11">
        <f>IF(AND(ISNUMBER(H178),ISNUMBER(I178)),(I178-H178),"")</f>
        <v/>
      </c>
      <c r="N178" s="11">
        <f>IF(AND(ISNUMBER(E178),ISNUMBER(J178)),(J178-E178),"")</f>
        <v/>
      </c>
    </row>
    <row r="179">
      <c r="A179" s="3" t="inlineStr">
        <is>
          <t>OBT140125070928-Pitten (Hamburger)</t>
        </is>
      </c>
      <c r="B179" s="3" t="inlineStr">
        <is>
          <t>Pitten (Hamburger)</t>
        </is>
      </c>
      <c r="C179" s="3" t="inlineStr">
        <is>
          <t>613</t>
        </is>
      </c>
      <c r="D179" s="3" t="n">
        <v>2</v>
      </c>
      <c r="E179" s="10" t="n">
        <v>45670.63574074074</v>
      </c>
      <c r="F179" s="10" t="n">
        <v>45671.29824074074</v>
      </c>
      <c r="G179" s="10" t="n">
        <v>45671.30900462963</v>
      </c>
      <c r="H179" s="10" t="n">
        <v>45671.32670138889</v>
      </c>
      <c r="I179" s="10" t="n">
        <v>45671.32670138889</v>
      </c>
      <c r="J179" s="10" t="n">
        <v>45671.32736111111</v>
      </c>
      <c r="K179" s="11">
        <f>IF(AND(ISNUMBER(E179),ISNUMBER(F179)),(F179-E179),"")</f>
        <v/>
      </c>
      <c r="L179" s="11">
        <f>IF(AND(ISNUMBER(F179),ISNUMBER(G179)),(G179-F179),"")</f>
        <v/>
      </c>
      <c r="M179" s="11">
        <f>IF(AND(ISNUMBER(H179),ISNUMBER(I179)),(I179-H179),"")</f>
        <v/>
      </c>
      <c r="N179" s="11">
        <f>IF(AND(ISNUMBER(E179),ISNUMBER(J179)),(J179-E179),"")</f>
        <v/>
      </c>
    </row>
    <row r="180">
      <c r="A180" s="3" t="inlineStr">
        <is>
          <t>OBT140125075443-Wien Kledering</t>
        </is>
      </c>
      <c r="B180" s="3" t="inlineStr">
        <is>
          <t>Wien Kledering</t>
        </is>
      </c>
      <c r="C180" s="3" t="inlineStr">
        <is>
          <t>606</t>
        </is>
      </c>
      <c r="D180" s="3" t="n">
        <v>1</v>
      </c>
      <c r="E180" s="10" t="n">
        <v>45671.31490740741</v>
      </c>
      <c r="F180" s="10" t="n">
        <v>45671.32966435186</v>
      </c>
      <c r="G180" s="10" t="n">
        <v>45671.33133101852</v>
      </c>
      <c r="H180" s="10" t="n">
        <v>45671.36844907407</v>
      </c>
      <c r="I180" s="10" t="n">
        <v>45671.36844907407</v>
      </c>
      <c r="J180" s="10" t="n">
        <v>45671.36945601852</v>
      </c>
      <c r="K180" s="11">
        <f>IF(AND(ISNUMBER(E180),ISNUMBER(F180)),(F180-E180),"")</f>
        <v/>
      </c>
      <c r="L180" s="11">
        <f>IF(AND(ISNUMBER(F180),ISNUMBER(G180)),(G180-F180),"")</f>
        <v/>
      </c>
      <c r="M180" s="11">
        <f>IF(AND(ISNUMBER(H180),ISNUMBER(I180)),(I180-H180),"")</f>
        <v/>
      </c>
      <c r="N180" s="11">
        <f>IF(AND(ISNUMBER(E180),ISNUMBER(J180)),(J180-E180),"")</f>
        <v/>
      </c>
    </row>
    <row r="181">
      <c r="A181" s="3" t="inlineStr">
        <is>
          <t>OBT140125081951-Wien Kledering</t>
        </is>
      </c>
      <c r="B181" s="3" t="inlineStr">
        <is>
          <t>Wien Kledering</t>
        </is>
      </c>
      <c r="C181" s="3" t="inlineStr">
        <is>
          <t>613</t>
        </is>
      </c>
      <c r="D181" s="3" t="n">
        <v>1</v>
      </c>
      <c r="E181" s="10" t="n">
        <v>45671.34474537037</v>
      </c>
      <c r="F181" s="10" t="n">
        <v>45671.34711805556</v>
      </c>
      <c r="G181" s="10" t="n">
        <v>45671.34798611111</v>
      </c>
      <c r="H181" s="10" t="n">
        <v>45671.41565972222</v>
      </c>
      <c r="I181" s="10" t="n">
        <v>45671.41565972222</v>
      </c>
      <c r="J181" s="10" t="n">
        <v>45671.41699074074</v>
      </c>
      <c r="K181" s="11">
        <f>IF(AND(ISNUMBER(E181),ISNUMBER(F181)),(F181-E181),"")</f>
        <v/>
      </c>
      <c r="L181" s="11">
        <f>IF(AND(ISNUMBER(F181),ISNUMBER(G181)),(G181-F181),"")</f>
        <v/>
      </c>
      <c r="M181" s="11">
        <f>IF(AND(ISNUMBER(H181),ISNUMBER(I181)),(I181-H181),"")</f>
        <v/>
      </c>
      <c r="N181" s="11">
        <f>IF(AND(ISNUMBER(E181),ISNUMBER(J181)),(J181-E181),"")</f>
        <v/>
      </c>
    </row>
    <row r="182">
      <c r="A182" s="3" t="inlineStr">
        <is>
          <t>OBT140125093209-Obereggendorf (Hofer)</t>
        </is>
      </c>
      <c r="B182" s="3" t="inlineStr">
        <is>
          <t>Obereggendorf (Hofer)</t>
        </is>
      </c>
      <c r="C182" s="3" t="inlineStr">
        <is>
          <t>607</t>
        </is>
      </c>
      <c r="D182" s="3" t="n">
        <v>4</v>
      </c>
      <c r="E182" s="10" t="n">
        <v>45666.86172453704</v>
      </c>
      <c r="F182" s="10" t="n">
        <v>45671.39732638889</v>
      </c>
      <c r="G182" s="10" t="n">
        <v>45671.39819444445</v>
      </c>
      <c r="H182" s="10" t="n">
        <v>45671.45782407407</v>
      </c>
      <c r="I182" s="10" t="n">
        <v>45671.45814814815</v>
      </c>
      <c r="J182" s="10" t="n">
        <v>45671.45953703704</v>
      </c>
      <c r="K182" s="11">
        <f>IF(AND(ISNUMBER(E182),ISNUMBER(F182)),(F182-E182),"")</f>
        <v/>
      </c>
      <c r="L182" s="11">
        <f>IF(AND(ISNUMBER(F182),ISNUMBER(G182)),(G182-F182),"")</f>
        <v/>
      </c>
      <c r="M182" s="11">
        <f>IF(AND(ISNUMBER(H182),ISNUMBER(I182)),(I182-H182),"")</f>
        <v/>
      </c>
      <c r="N182" s="11">
        <f>IF(AND(ISNUMBER(E182),ISNUMBER(J182)),(J182-E182),"")</f>
        <v/>
      </c>
    </row>
    <row r="183">
      <c r="A183" s="3" t="inlineStr">
        <is>
          <t>OBT140125093437-St. Veit an der Glan</t>
        </is>
      </c>
      <c r="B183" s="3" t="inlineStr">
        <is>
          <t>St. Veit an der Glan</t>
        </is>
      </c>
      <c r="C183" s="3" t="inlineStr">
        <is>
          <t>629</t>
        </is>
      </c>
      <c r="D183" s="3" t="n">
        <v>2</v>
      </c>
      <c r="E183" s="10" t="n">
        <v>45671.39123842592</v>
      </c>
      <c r="F183" s="10" t="n">
        <v>45671.39903935185</v>
      </c>
      <c r="G183" s="10" t="n">
        <v>45671.40067129629</v>
      </c>
      <c r="H183" s="10" t="n">
        <v>45671.42309027778</v>
      </c>
      <c r="I183" s="10" t="n">
        <v>45671.42309027778</v>
      </c>
      <c r="J183" s="10" t="n">
        <v>45671.42376157407</v>
      </c>
      <c r="K183" s="11">
        <f>IF(AND(ISNUMBER(E183),ISNUMBER(F183)),(F183-E183),"")</f>
        <v/>
      </c>
      <c r="L183" s="11">
        <f>IF(AND(ISNUMBER(F183),ISNUMBER(G183)),(G183-F183),"")</f>
        <v/>
      </c>
      <c r="M183" s="11">
        <f>IF(AND(ISNUMBER(H183),ISNUMBER(I183)),(I183-H183),"")</f>
        <v/>
      </c>
      <c r="N183" s="11">
        <f>IF(AND(ISNUMBER(E183),ISNUMBER(J183)),(J183-E183),"")</f>
        <v/>
      </c>
    </row>
    <row r="184">
      <c r="A184" s="3" t="inlineStr">
        <is>
          <t>OBT140125101210-Wr. Neustadt (Hödlmayr)</t>
        </is>
      </c>
      <c r="B184" s="3" t="inlineStr">
        <is>
          <t>Wr. Neustadt (Hödlmayr)</t>
        </is>
      </c>
      <c r="C184" s="3" t="inlineStr">
        <is>
          <t>625</t>
        </is>
      </c>
      <c r="D184" s="3" t="n">
        <v>3</v>
      </c>
      <c r="E184" s="10" t="n">
        <v>45671.29640046296</v>
      </c>
      <c r="F184" s="10" t="n">
        <v>45671.42511574074</v>
      </c>
      <c r="G184" s="10" t="n">
        <v>45671.43638888889</v>
      </c>
      <c r="H184" s="10" t="n">
        <v>45671.46920138889</v>
      </c>
      <c r="I184" s="10" t="n">
        <v>45671.46920138889</v>
      </c>
      <c r="J184" s="10" t="n">
        <v>45671.47013888889</v>
      </c>
      <c r="K184" s="11">
        <f>IF(AND(ISNUMBER(E184),ISNUMBER(F184)),(F184-E184),"")</f>
        <v/>
      </c>
      <c r="L184" s="11">
        <f>IF(AND(ISNUMBER(F184),ISNUMBER(G184)),(G184-F184),"")</f>
        <v/>
      </c>
      <c r="M184" s="11">
        <f>IF(AND(ISNUMBER(H184),ISNUMBER(I184)),(I184-H184),"")</f>
        <v/>
      </c>
      <c r="N184" s="11">
        <f>IF(AND(ISNUMBER(E184),ISNUMBER(J184)),(J184-E184),"")</f>
        <v/>
      </c>
    </row>
    <row r="185">
      <c r="A185" s="3" t="inlineStr">
        <is>
          <t>OBT140125101947-Other sidings north</t>
        </is>
      </c>
      <c r="B185" s="3" t="inlineStr">
        <is>
          <t>Other sidings north</t>
        </is>
      </c>
      <c r="C185" s="3" t="inlineStr">
        <is>
          <t>605</t>
        </is>
      </c>
      <c r="D185" s="3" t="n">
        <v>4</v>
      </c>
      <c r="E185" s="10" t="n">
        <v>45671.29811342592</v>
      </c>
      <c r="F185" s="10" t="n">
        <v>45671.43040509259</v>
      </c>
      <c r="G185" s="10" t="n">
        <v>45671.43829861111</v>
      </c>
      <c r="H185" s="10" t="n">
        <v>45671.45730324074</v>
      </c>
      <c r="I185" s="10" t="n">
        <v>45671.45730324074</v>
      </c>
      <c r="J185" s="10" t="n">
        <v>45671.45814814815</v>
      </c>
      <c r="K185" s="11">
        <f>IF(AND(ISNUMBER(E185),ISNUMBER(F185)),(F185-E185),"")</f>
        <v/>
      </c>
      <c r="L185" s="11">
        <f>IF(AND(ISNUMBER(F185),ISNUMBER(G185)),(G185-F185),"")</f>
        <v/>
      </c>
      <c r="M185" s="11">
        <f>IF(AND(ISNUMBER(H185),ISNUMBER(I185)),(I185-H185),"")</f>
        <v/>
      </c>
      <c r="N185" s="11">
        <f>IF(AND(ISNUMBER(E185),ISNUMBER(J185)),(J185-E185),"")</f>
        <v/>
      </c>
    </row>
    <row r="186">
      <c r="A186" s="3" t="inlineStr">
        <is>
          <t>OBT140125102734-Pitten (Hamburger)</t>
        </is>
      </c>
      <c r="B186" s="3" t="inlineStr">
        <is>
          <t>Pitten (Hamburger)</t>
        </is>
      </c>
      <c r="C186" s="3" t="inlineStr">
        <is>
          <t>611</t>
        </is>
      </c>
      <c r="D186" s="3" t="n">
        <v>2</v>
      </c>
      <c r="E186" s="10" t="n">
        <v>45671.41883101852</v>
      </c>
      <c r="F186" s="10" t="n">
        <v>45671.43581018518</v>
      </c>
      <c r="G186" s="10" t="n">
        <v>45671.45903935185</v>
      </c>
      <c r="H186" s="10" t="n">
        <v>45671.57219907407</v>
      </c>
      <c r="I186" s="10" t="n">
        <v>45671.57219907407</v>
      </c>
      <c r="J186" s="10" t="n">
        <v>45671.57418981481</v>
      </c>
      <c r="K186" s="11">
        <f>IF(AND(ISNUMBER(E186),ISNUMBER(F186)),(F186-E186),"")</f>
        <v/>
      </c>
      <c r="L186" s="11">
        <f>IF(AND(ISNUMBER(F186),ISNUMBER(G186)),(G186-F186),"")</f>
        <v/>
      </c>
      <c r="M186" s="11">
        <f>IF(AND(ISNUMBER(H186),ISNUMBER(I186)),(I186-H186),"")</f>
        <v/>
      </c>
      <c r="N186" s="11">
        <f>IF(AND(ISNUMBER(E186),ISNUMBER(J186)),(J186-E186),"")</f>
        <v/>
      </c>
    </row>
    <row r="187">
      <c r="A187" s="3" t="inlineStr">
        <is>
          <t>OBT140125102839-Wr. Neustadt (Brenntag)</t>
        </is>
      </c>
      <c r="B187" s="3" t="inlineStr">
        <is>
          <t>Wr. Neustadt (Brenntag)</t>
        </is>
      </c>
      <c r="C187" s="3" t="inlineStr">
        <is>
          <t>627</t>
        </is>
      </c>
      <c r="D187" s="3" t="n">
        <v>8</v>
      </c>
      <c r="E187" s="10" t="n">
        <v>45667.77431712963</v>
      </c>
      <c r="F187" s="10" t="n">
        <v>45671.4365625</v>
      </c>
      <c r="G187" s="10" t="n">
        <v>45671.45956018518</v>
      </c>
      <c r="H187" s="10" t="n">
        <v>45671.47991898148</v>
      </c>
      <c r="I187" s="10" t="n">
        <v>45671.47991898148</v>
      </c>
      <c r="J187" s="10" t="n">
        <v>45671.4805787037</v>
      </c>
      <c r="K187" s="11">
        <f>IF(AND(ISNUMBER(E187),ISNUMBER(F187)),(F187-E187),"")</f>
        <v/>
      </c>
      <c r="L187" s="11">
        <f>IF(AND(ISNUMBER(F187),ISNUMBER(G187)),(G187-F187),"")</f>
        <v/>
      </c>
      <c r="M187" s="11">
        <f>IF(AND(ISNUMBER(H187),ISNUMBER(I187)),(I187-H187),"")</f>
        <v/>
      </c>
      <c r="N187" s="11">
        <f>IF(AND(ISNUMBER(E187),ISNUMBER(J187)),(J187-E187),"")</f>
        <v/>
      </c>
    </row>
    <row r="188">
      <c r="A188" s="3" t="inlineStr">
        <is>
          <t>OBT140125130928-Wien Kledering</t>
        </is>
      </c>
      <c r="B188" s="3" t="inlineStr">
        <is>
          <t>Wien Kledering</t>
        </is>
      </c>
      <c r="C188" s="3" t="inlineStr">
        <is>
          <t>611</t>
        </is>
      </c>
      <c r="D188" s="3" t="n">
        <v>1</v>
      </c>
      <c r="E188" s="10" t="n">
        <v>45671.54584490741</v>
      </c>
      <c r="F188" s="10" t="n">
        <v>45671.54824074074</v>
      </c>
      <c r="G188" s="10" t="n">
        <v>45671.54907407407</v>
      </c>
      <c r="H188" s="10" t="n">
        <v>45671.60077546296</v>
      </c>
      <c r="I188" s="10" t="n">
        <v>45671.60077546296</v>
      </c>
      <c r="J188" s="10" t="n">
        <v>45671.60194444445</v>
      </c>
      <c r="K188" s="11">
        <f>IF(AND(ISNUMBER(E188),ISNUMBER(F188)),(F188-E188),"")</f>
        <v/>
      </c>
      <c r="L188" s="11">
        <f>IF(AND(ISNUMBER(F188),ISNUMBER(G188)),(G188-F188),"")</f>
        <v/>
      </c>
      <c r="M188" s="11">
        <f>IF(AND(ISNUMBER(H188),ISNUMBER(I188)),(I188-H188),"")</f>
        <v/>
      </c>
      <c r="N188" s="11">
        <f>IF(AND(ISNUMBER(E188),ISNUMBER(J188)),(J188-E188),"")</f>
        <v/>
      </c>
    </row>
    <row r="189">
      <c r="A189" s="3" t="inlineStr">
        <is>
          <t>OBT140125144027-Wien Kledering</t>
        </is>
      </c>
      <c r="B189" s="3" t="inlineStr">
        <is>
          <t>Wien Kledering</t>
        </is>
      </c>
      <c r="C189" s="3" t="inlineStr">
        <is>
          <t>611</t>
        </is>
      </c>
      <c r="D189" s="3" t="n">
        <v>1</v>
      </c>
      <c r="E189" s="10" t="n">
        <v>45671.60902777778</v>
      </c>
      <c r="F189" s="10" t="n">
        <v>45671.61142361111</v>
      </c>
      <c r="G189" s="10" t="n">
        <v>45671.61225694444</v>
      </c>
      <c r="H189" s="10" t="n">
        <v>45671.65143518519</v>
      </c>
      <c r="I189" s="10" t="n">
        <v>45671.65143518519</v>
      </c>
      <c r="J189" s="10" t="n">
        <v>45671.65244212963</v>
      </c>
      <c r="K189" s="11">
        <f>IF(AND(ISNUMBER(E189),ISNUMBER(F189)),(F189-E189),"")</f>
        <v/>
      </c>
      <c r="L189" s="11">
        <f>IF(AND(ISNUMBER(F189),ISNUMBER(G189)),(G189-F189),"")</f>
        <v/>
      </c>
      <c r="M189" s="11">
        <f>IF(AND(ISNUMBER(H189),ISNUMBER(I189)),(I189-H189),"")</f>
        <v/>
      </c>
      <c r="N189" s="11">
        <f>IF(AND(ISNUMBER(E189),ISNUMBER(J189)),(J189-E189),"")</f>
        <v/>
      </c>
    </row>
    <row r="190">
      <c r="A190" s="3" t="inlineStr">
        <is>
          <t>OBT140125153402-Felixdorf/Sollenau (Bundesheer, Maba)</t>
        </is>
      </c>
      <c r="B190" s="3" t="inlineStr">
        <is>
          <t>Felixdorf/Sollenau (Bundesheer, Maba)</t>
        </is>
      </c>
      <c r="C190" s="3" t="inlineStr">
        <is>
          <t>609</t>
        </is>
      </c>
      <c r="D190" s="3" t="n">
        <v>3</v>
      </c>
      <c r="E190" s="10" t="n">
        <v>45671.41046296297</v>
      </c>
      <c r="F190" s="10" t="n">
        <v>45671.64863425926</v>
      </c>
      <c r="G190" s="10" t="n">
        <v>45671.65034722222</v>
      </c>
      <c r="H190" s="10" t="n">
        <v>45671.6678125</v>
      </c>
      <c r="I190" s="10" t="n">
        <v>45671.6678125</v>
      </c>
      <c r="J190" s="10" t="n">
        <v>45671.66858796297</v>
      </c>
      <c r="K190" s="11">
        <f>IF(AND(ISNUMBER(E190),ISNUMBER(F190)),(F190-E190),"")</f>
        <v/>
      </c>
      <c r="L190" s="11">
        <f>IF(AND(ISNUMBER(F190),ISNUMBER(G190)),(G190-F190),"")</f>
        <v/>
      </c>
      <c r="M190" s="11">
        <f>IF(AND(ISNUMBER(H190),ISNUMBER(I190)),(I190-H190),"")</f>
        <v/>
      </c>
      <c r="N190" s="11">
        <f>IF(AND(ISNUMBER(E190),ISNUMBER(J190)),(J190-E190),"")</f>
        <v/>
      </c>
    </row>
    <row r="191">
      <c r="A191" s="3" t="inlineStr">
        <is>
          <t>OBT140125153639-Ebenfurth (beet loading)</t>
        </is>
      </c>
      <c r="B191" s="3" t="inlineStr">
        <is>
          <t>Ebenfurth (beet loading)</t>
        </is>
      </c>
      <c r="C191" s="3" t="inlineStr">
        <is>
          <t>623</t>
        </is>
      </c>
      <c r="D191" s="3" t="n">
        <v>5</v>
      </c>
      <c r="E191" s="10" t="n">
        <v>45669.75589120371</v>
      </c>
      <c r="F191" s="10" t="n">
        <v>45671.65045138889</v>
      </c>
      <c r="G191" s="10" t="n">
        <v>45671.65310185185</v>
      </c>
      <c r="H191" s="10" t="n">
        <v>45671.67769675926</v>
      </c>
      <c r="I191" s="10" t="n">
        <v>45671.67769675926</v>
      </c>
      <c r="J191" s="10" t="n">
        <v>45671.67856481481</v>
      </c>
      <c r="K191" s="11">
        <f>IF(AND(ISNUMBER(E191),ISNUMBER(F191)),(F191-E191),"")</f>
        <v/>
      </c>
      <c r="L191" s="11">
        <f>IF(AND(ISNUMBER(F191),ISNUMBER(G191)),(G191-F191),"")</f>
        <v/>
      </c>
      <c r="M191" s="11">
        <f>IF(AND(ISNUMBER(H191),ISNUMBER(I191)),(I191-H191),"")</f>
        <v/>
      </c>
      <c r="N191" s="11">
        <f>IF(AND(ISNUMBER(E191),ISNUMBER(J191)),(J191-E191),"")</f>
        <v/>
      </c>
    </row>
    <row r="192">
      <c r="A192" s="3" t="inlineStr">
        <is>
          <t>OBT140125153802-Neudörfl (FunderMax)</t>
        </is>
      </c>
      <c r="B192" s="3" t="inlineStr">
        <is>
          <t>Neudörfl (FunderMax)</t>
        </is>
      </c>
      <c r="C192" s="3" t="inlineStr">
        <is>
          <t>615</t>
        </is>
      </c>
      <c r="D192" s="3" t="n">
        <v>3</v>
      </c>
      <c r="E192" s="10" t="n">
        <v>45671.40118055556</v>
      </c>
      <c r="F192" s="10" t="n">
        <v>45671.65141203703</v>
      </c>
      <c r="G192" s="10" t="n">
        <v>45671.66950231481</v>
      </c>
      <c r="H192" s="10" t="n">
        <v>45671.69248842593</v>
      </c>
      <c r="I192" s="10" t="n">
        <v>45671.69248842593</v>
      </c>
      <c r="J192" s="10" t="n">
        <v>45671.69326388889</v>
      </c>
      <c r="K192" s="11">
        <f>IF(AND(ISNUMBER(E192),ISNUMBER(F192)),(F192-E192),"")</f>
        <v/>
      </c>
      <c r="L192" s="11">
        <f>IF(AND(ISNUMBER(F192),ISNUMBER(G192)),(G192-F192),"")</f>
        <v/>
      </c>
      <c r="M192" s="11">
        <f>IF(AND(ISNUMBER(H192),ISNUMBER(I192)),(I192-H192),"")</f>
        <v/>
      </c>
      <c r="N192" s="11">
        <f>IF(AND(ISNUMBER(E192),ISNUMBER(J192)),(J192-E192),"")</f>
        <v/>
      </c>
    </row>
    <row r="193">
      <c r="A193" s="3" t="inlineStr">
        <is>
          <t>OBT140125154219-Pitten (Hamburger)</t>
        </is>
      </c>
      <c r="B193" s="3" t="inlineStr">
        <is>
          <t>Pitten (Hamburger)</t>
        </is>
      </c>
      <c r="C193" s="3" t="inlineStr">
        <is>
          <t>613</t>
        </is>
      </c>
      <c r="D193" s="3" t="n">
        <v>1</v>
      </c>
      <c r="E193" s="10" t="n">
        <v>45671.65131944444</v>
      </c>
      <c r="F193" s="10" t="n">
        <v>45671.65438657408</v>
      </c>
      <c r="G193" s="10" t="n">
        <v>45671.6715625</v>
      </c>
      <c r="H193" s="10" t="n">
        <v>45671.69993055556</v>
      </c>
      <c r="I193" s="10" t="n">
        <v>45671.69993055556</v>
      </c>
      <c r="J193" s="10" t="n">
        <v>45671.70074074074</v>
      </c>
      <c r="K193" s="11">
        <f>IF(AND(ISNUMBER(E193),ISNUMBER(F193)),(F193-E193),"")</f>
        <v/>
      </c>
      <c r="L193" s="11">
        <f>IF(AND(ISNUMBER(F193),ISNUMBER(G193)),(G193-F193),"")</f>
        <v/>
      </c>
      <c r="M193" s="11">
        <f>IF(AND(ISNUMBER(H193),ISNUMBER(I193)),(I193-H193),"")</f>
        <v/>
      </c>
      <c r="N193" s="11">
        <f>IF(AND(ISNUMBER(E193),ISNUMBER(J193)),(J193-E193),"")</f>
        <v/>
      </c>
    </row>
    <row r="194">
      <c r="A194" s="3" t="inlineStr">
        <is>
          <t>OBT140125155553-Gloggnitz</t>
        </is>
      </c>
      <c r="B194" s="3" t="inlineStr">
        <is>
          <t>Gloggnitz</t>
        </is>
      </c>
      <c r="C194" s="3" t="inlineStr">
        <is>
          <t>627</t>
        </is>
      </c>
      <c r="D194" s="3" t="n">
        <v>4</v>
      </c>
      <c r="E194" s="10" t="n">
        <v>45671.64973379629</v>
      </c>
      <c r="F194" s="10" t="n">
        <v>45671.66380787037</v>
      </c>
      <c r="G194" s="10" t="n">
        <v>45671.679375</v>
      </c>
      <c r="H194" s="10" t="n">
        <v>45671.70358796296</v>
      </c>
      <c r="I194" s="10" t="n">
        <v>45671.70358796296</v>
      </c>
      <c r="J194" s="10" t="n">
        <v>45671.70430555556</v>
      </c>
      <c r="K194" s="11">
        <f>IF(AND(ISNUMBER(E194),ISNUMBER(F194)),(F194-E194),"")</f>
        <v/>
      </c>
      <c r="L194" s="11">
        <f>IF(AND(ISNUMBER(F194),ISNUMBER(G194)),(G194-F194),"")</f>
        <v/>
      </c>
      <c r="M194" s="11">
        <f>IF(AND(ISNUMBER(H194),ISNUMBER(I194)),(I194-H194),"")</f>
        <v/>
      </c>
      <c r="N194" s="11">
        <f>IF(AND(ISNUMBER(E194),ISNUMBER(J194)),(J194-E194),"")</f>
        <v/>
      </c>
    </row>
    <row r="195">
      <c r="A195" s="3" t="inlineStr">
        <is>
          <t>OBT140125160010-Wien Kledering</t>
        </is>
      </c>
      <c r="B195" s="3" t="inlineStr">
        <is>
          <t>Wien Kledering</t>
        </is>
      </c>
      <c r="C195" s="3" t="inlineStr">
        <is>
          <t>605</t>
        </is>
      </c>
      <c r="D195" s="3" t="n">
        <v>1</v>
      </c>
      <c r="E195" s="10" t="n">
        <v>45671.66342592592</v>
      </c>
      <c r="F195" s="10" t="n">
        <v>45671.66678240741</v>
      </c>
      <c r="G195" s="10" t="n">
        <v>45671.69418981481</v>
      </c>
      <c r="H195" s="10" t="n">
        <v>45671.72424768518</v>
      </c>
      <c r="I195" s="10" t="n">
        <v>45671.72424768518</v>
      </c>
      <c r="J195" s="10" t="n">
        <v>45671.72524305555</v>
      </c>
      <c r="K195" s="11">
        <f>IF(AND(ISNUMBER(E195),ISNUMBER(F195)),(F195-E195),"")</f>
        <v/>
      </c>
      <c r="L195" s="11">
        <f>IF(AND(ISNUMBER(F195),ISNUMBER(G195)),(G195-F195),"")</f>
        <v/>
      </c>
      <c r="M195" s="11">
        <f>IF(AND(ISNUMBER(H195),ISNUMBER(I195)),(I195-H195),"")</f>
        <v/>
      </c>
      <c r="N195" s="11">
        <f>IF(AND(ISNUMBER(E195),ISNUMBER(J195)),(J195-E195),"")</f>
        <v/>
      </c>
    </row>
    <row r="196">
      <c r="A196" s="3" t="inlineStr">
        <is>
          <t>OBT140125180846-Wien Kledering</t>
        </is>
      </c>
      <c r="B196" s="3" t="inlineStr">
        <is>
          <t>Wien Kledering</t>
        </is>
      </c>
      <c r="C196" s="3" t="inlineStr">
        <is>
          <t>607</t>
        </is>
      </c>
      <c r="D196" s="3" t="n">
        <v>2</v>
      </c>
      <c r="E196" s="10" t="n">
        <v>45671.66631944444</v>
      </c>
      <c r="F196" s="10" t="n">
        <v>45671.75608796296</v>
      </c>
      <c r="G196" s="10" t="n">
        <v>45671.75695601852</v>
      </c>
      <c r="H196" s="10" t="n">
        <v>45671.77498842592</v>
      </c>
      <c r="I196" s="10" t="n">
        <v>45671.77498842592</v>
      </c>
      <c r="J196" s="10" t="n">
        <v>45671.77582175926</v>
      </c>
      <c r="K196" s="11">
        <f>IF(AND(ISNUMBER(E196),ISNUMBER(F196)),(F196-E196),"")</f>
        <v/>
      </c>
      <c r="L196" s="11">
        <f>IF(AND(ISNUMBER(F196),ISNUMBER(G196)),(G196-F196),"")</f>
        <v/>
      </c>
      <c r="M196" s="11">
        <f>IF(AND(ISNUMBER(H196),ISNUMBER(I196)),(I196-H196),"")</f>
        <v/>
      </c>
      <c r="N196" s="11">
        <f>IF(AND(ISNUMBER(E196),ISNUMBER(J196)),(J196-E196),"")</f>
        <v/>
      </c>
    </row>
    <row r="197">
      <c r="A197" s="3" t="inlineStr">
        <is>
          <t>OBT140125181221-Wr. Neustadt (Hödlmayr)</t>
        </is>
      </c>
      <c r="B197" s="3" t="inlineStr">
        <is>
          <t>Wr. Neustadt (Hödlmayr)</t>
        </is>
      </c>
      <c r="C197" s="3" t="inlineStr">
        <is>
          <t>615</t>
        </is>
      </c>
      <c r="D197" s="3" t="n">
        <v>1</v>
      </c>
      <c r="E197" s="10" t="n">
        <v>45671.75641203704</v>
      </c>
      <c r="F197" s="10" t="n">
        <v>45671.75857638889</v>
      </c>
      <c r="G197" s="10" t="n">
        <v>45671.76021990741</v>
      </c>
      <c r="H197" s="10" t="n">
        <v>45671.77896990741</v>
      </c>
      <c r="I197" s="10" t="n">
        <v>45671.77896990741</v>
      </c>
      <c r="J197" s="10" t="n">
        <v>45671.7796875</v>
      </c>
      <c r="K197" s="11">
        <f>IF(AND(ISNUMBER(E197),ISNUMBER(F197)),(F197-E197),"")</f>
        <v/>
      </c>
      <c r="L197" s="11">
        <f>IF(AND(ISNUMBER(F197),ISNUMBER(G197)),(G197-F197),"")</f>
        <v/>
      </c>
      <c r="M197" s="11">
        <f>IF(AND(ISNUMBER(H197),ISNUMBER(I197)),(I197-H197),"")</f>
        <v/>
      </c>
      <c r="N197" s="11">
        <f>IF(AND(ISNUMBER(E197),ISNUMBER(J197)),(J197-E197),"")</f>
        <v/>
      </c>
    </row>
    <row r="198">
      <c r="A198" s="3" t="inlineStr">
        <is>
          <t>OBT140125181252-Steinabrückl/Wöllersdorf</t>
        </is>
      </c>
      <c r="B198" s="3" t="inlineStr">
        <is>
          <t>Steinabrückl/Wöllersdorf</t>
        </is>
      </c>
      <c r="C198" s="3" t="inlineStr">
        <is>
          <t>621</t>
        </is>
      </c>
      <c r="D198" s="3" t="n">
        <v>4</v>
      </c>
      <c r="E198" s="10" t="n">
        <v>45670.33696759259</v>
      </c>
      <c r="F198" s="10" t="n">
        <v>45671.75893518519</v>
      </c>
      <c r="G198" s="10" t="n">
        <v>45671.77648148148</v>
      </c>
      <c r="H198" s="10" t="n">
        <v>45671.79834490741</v>
      </c>
      <c r="I198" s="10" t="n">
        <v>45671.79834490741</v>
      </c>
      <c r="J198" s="10" t="n">
        <v>45671.79916666666</v>
      </c>
      <c r="K198" s="11">
        <f>IF(AND(ISNUMBER(E198),ISNUMBER(F198)),(F198-E198),"")</f>
        <v/>
      </c>
      <c r="L198" s="11">
        <f>IF(AND(ISNUMBER(F198),ISNUMBER(G198)),(G198-F198),"")</f>
        <v/>
      </c>
      <c r="M198" s="11">
        <f>IF(AND(ISNUMBER(H198),ISNUMBER(I198)),(I198-H198),"")</f>
        <v/>
      </c>
      <c r="N198" s="11">
        <f>IF(AND(ISNUMBER(E198),ISNUMBER(J198)),(J198-E198),"")</f>
        <v/>
      </c>
    </row>
    <row r="199">
      <c r="A199" s="3" t="inlineStr">
        <is>
          <t>OBT140125181642-Ternitz (Schoeller-Bleckmann)</t>
        </is>
      </c>
      <c r="B199" s="3" t="inlineStr">
        <is>
          <t>Ternitz (Schoeller-Bleckmann)</t>
        </is>
      </c>
      <c r="C199" s="3" t="inlineStr">
        <is>
          <t>617</t>
        </is>
      </c>
      <c r="D199" s="3" t="n">
        <v>5</v>
      </c>
      <c r="E199" s="10" t="n">
        <v>45671.11541666667</v>
      </c>
      <c r="F199" s="10" t="n">
        <v>45671.76159722222</v>
      </c>
      <c r="G199" s="10" t="n">
        <v>45671.77672453703</v>
      </c>
      <c r="H199" s="10" t="n">
        <v>45671.79472222222</v>
      </c>
      <c r="I199" s="10" t="n">
        <v>45671.79472222222</v>
      </c>
      <c r="J199" s="10" t="n">
        <v>45671.79550925926</v>
      </c>
      <c r="K199" s="11">
        <f>IF(AND(ISNUMBER(E199),ISNUMBER(F199)),(F199-E199),"")</f>
        <v/>
      </c>
      <c r="L199" s="11">
        <f>IF(AND(ISNUMBER(F199),ISNUMBER(G199)),(G199-F199),"")</f>
        <v/>
      </c>
      <c r="M199" s="11">
        <f>IF(AND(ISNUMBER(H199),ISNUMBER(I199)),(I199-H199),"")</f>
        <v/>
      </c>
      <c r="N199" s="11">
        <f>IF(AND(ISNUMBER(E199),ISNUMBER(J199)),(J199-E199),"")</f>
        <v/>
      </c>
    </row>
    <row r="200">
      <c r="A200" s="3" t="inlineStr">
        <is>
          <t>OBT140125182854-Neudörfl (FunderMax)</t>
        </is>
      </c>
      <c r="B200" s="3" t="inlineStr">
        <is>
          <t>Neudörfl (FunderMax)</t>
        </is>
      </c>
      <c r="C200" s="3" t="inlineStr">
        <is>
          <t>623</t>
        </is>
      </c>
      <c r="D200" s="3" t="n">
        <v>1</v>
      </c>
      <c r="E200" s="10" t="n">
        <v>45671.76675925926</v>
      </c>
      <c r="F200" s="10" t="n">
        <v>45671.77006944444</v>
      </c>
      <c r="G200" s="10" t="n">
        <v>45671.78070601852</v>
      </c>
      <c r="H200" s="10" t="n">
        <v>45671.8000462963</v>
      </c>
      <c r="I200" s="10" t="n">
        <v>45671.8000462963</v>
      </c>
      <c r="J200" s="10" t="n">
        <v>45671.8008449074</v>
      </c>
      <c r="K200" s="11">
        <f>IF(AND(ISNUMBER(E200),ISNUMBER(F200)),(F200-E200),"")</f>
        <v/>
      </c>
      <c r="L200" s="11">
        <f>IF(AND(ISNUMBER(F200),ISNUMBER(G200)),(G200-F200),"")</f>
        <v/>
      </c>
      <c r="M200" s="11">
        <f>IF(AND(ISNUMBER(H200),ISNUMBER(I200)),(I200-H200),"")</f>
        <v/>
      </c>
      <c r="N200" s="11">
        <f>IF(AND(ISNUMBER(E200),ISNUMBER(J200)),(J200-E200),"")</f>
        <v/>
      </c>
    </row>
    <row r="201">
      <c r="A201" s="3" t="inlineStr">
        <is>
          <t>OBT140125183542-Pitten (Hamburger)</t>
        </is>
      </c>
      <c r="B201" s="3" t="inlineStr">
        <is>
          <t>Pitten (Hamburger)</t>
        </is>
      </c>
      <c r="C201" s="3" t="inlineStr">
        <is>
          <t>605</t>
        </is>
      </c>
      <c r="D201" s="3" t="n">
        <v>2</v>
      </c>
      <c r="E201" s="10" t="n">
        <v>45671.76478009259</v>
      </c>
      <c r="F201" s="10" t="n">
        <v>45671.77479166666</v>
      </c>
      <c r="G201" s="10" t="n">
        <v>45671.79645833333</v>
      </c>
      <c r="H201" s="10" t="n">
        <v>45671.81949074074</v>
      </c>
      <c r="I201" s="10" t="n">
        <v>45671.81949074074</v>
      </c>
      <c r="J201" s="10" t="n">
        <v>45671.82039351852</v>
      </c>
      <c r="K201" s="11">
        <f>IF(AND(ISNUMBER(E201),ISNUMBER(F201)),(F201-E201),"")</f>
        <v/>
      </c>
      <c r="L201" s="11">
        <f>IF(AND(ISNUMBER(F201),ISNUMBER(G201)),(G201-F201),"")</f>
        <v/>
      </c>
      <c r="M201" s="11">
        <f>IF(AND(ISNUMBER(H201),ISNUMBER(I201)),(I201-H201),"")</f>
        <v/>
      </c>
      <c r="N201" s="11">
        <f>IF(AND(ISNUMBER(E201),ISNUMBER(J201)),(J201-E201),"")</f>
        <v/>
      </c>
    </row>
    <row r="202">
      <c r="A202" s="3" t="inlineStr">
        <is>
          <t>OBT150125024833-Neunkirchen (loading tracks)</t>
        </is>
      </c>
      <c r="B202" s="3" t="inlineStr">
        <is>
          <t>Neunkirchen (loading tracks)</t>
        </is>
      </c>
      <c r="C202" s="3" t="inlineStr">
        <is>
          <t>606</t>
        </is>
      </c>
      <c r="D202" s="3" t="n">
        <v>2</v>
      </c>
      <c r="E202" s="10" t="n">
        <v>45671.40706018519</v>
      </c>
      <c r="F202" s="10" t="n">
        <v>45672.11704861111</v>
      </c>
      <c r="G202" s="10" t="n">
        <v>45672.11791666667</v>
      </c>
      <c r="H202" s="10" t="n">
        <v>45672.15417824074</v>
      </c>
      <c r="I202" s="10" t="n">
        <v>45672.15417824074</v>
      </c>
      <c r="J202" s="10" t="n">
        <v>45672.15517361111</v>
      </c>
      <c r="K202" s="11">
        <f>IF(AND(ISNUMBER(E202),ISNUMBER(F202)),(F202-E202),"")</f>
        <v/>
      </c>
      <c r="L202" s="11">
        <f>IF(AND(ISNUMBER(F202),ISNUMBER(G202)),(G202-F202),"")</f>
        <v/>
      </c>
      <c r="M202" s="11">
        <f>IF(AND(ISNUMBER(H202),ISNUMBER(I202)),(I202-H202),"")</f>
        <v/>
      </c>
      <c r="N202" s="11">
        <f>IF(AND(ISNUMBER(E202),ISNUMBER(J202)),(J202-E202),"")</f>
        <v/>
      </c>
    </row>
    <row r="203">
      <c r="A203" s="3" t="inlineStr">
        <is>
          <t>OBT150125025656-Other sidings south</t>
        </is>
      </c>
      <c r="B203" s="3" t="inlineStr">
        <is>
          <t>Other sidings south</t>
        </is>
      </c>
      <c r="C203" s="3" t="inlineStr">
        <is>
          <t>619</t>
        </is>
      </c>
      <c r="D203" s="3" t="n">
        <v>4</v>
      </c>
      <c r="E203" s="10" t="n">
        <v>45670.64909722222</v>
      </c>
      <c r="F203" s="10" t="n">
        <v>45672.12287037037</v>
      </c>
      <c r="G203" s="10" t="n">
        <v>45672.12370370371</v>
      </c>
      <c r="H203" s="10" t="n">
        <v>45672.15450231481</v>
      </c>
      <c r="I203" s="10" t="n">
        <v>45672.15517361111</v>
      </c>
      <c r="J203" s="10" t="n">
        <v>45672.15613425926</v>
      </c>
      <c r="K203" s="11">
        <f>IF(AND(ISNUMBER(E203),ISNUMBER(F203)),(F203-E203),"")</f>
        <v/>
      </c>
      <c r="L203" s="11">
        <f>IF(AND(ISNUMBER(F203),ISNUMBER(G203)),(G203-F203),"")</f>
        <v/>
      </c>
      <c r="M203" s="11">
        <f>IF(AND(ISNUMBER(H203),ISNUMBER(I203)),(I203-H203),"")</f>
        <v/>
      </c>
      <c r="N203" s="11">
        <f>IF(AND(ISNUMBER(E203),ISNUMBER(J203)),(J203-E203),"")</f>
        <v/>
      </c>
    </row>
    <row r="204">
      <c r="A204" s="3" t="inlineStr">
        <is>
          <t>OBT150125045827-Neudörfl (FunderMax)</t>
        </is>
      </c>
      <c r="B204" s="3" t="inlineStr">
        <is>
          <t>Neudörfl (FunderMax)</t>
        </is>
      </c>
      <c r="C204" s="3" t="inlineStr">
        <is>
          <t>623</t>
        </is>
      </c>
      <c r="D204" s="3" t="n">
        <v>1</v>
      </c>
      <c r="E204" s="10" t="n">
        <v>45672.20488425926</v>
      </c>
      <c r="F204" s="10" t="n">
        <v>45672.20725694444</v>
      </c>
      <c r="G204" s="10" t="n">
        <v>45672.20810185185</v>
      </c>
      <c r="H204" s="10" t="n">
        <v>45672.2987037037</v>
      </c>
      <c r="I204" s="10" t="n">
        <v>45672.2987037037</v>
      </c>
      <c r="J204" s="10" t="n">
        <v>45672.30045138889</v>
      </c>
      <c r="K204" s="11">
        <f>IF(AND(ISNUMBER(E204),ISNUMBER(F204)),(F204-E204),"")</f>
        <v/>
      </c>
      <c r="L204" s="11">
        <f>IF(AND(ISNUMBER(F204),ISNUMBER(G204)),(G204-F204),"")</f>
        <v/>
      </c>
      <c r="M204" s="11">
        <f>IF(AND(ISNUMBER(H204),ISNUMBER(I204)),(I204-H204),"")</f>
        <v/>
      </c>
      <c r="N204" s="11">
        <f>IF(AND(ISNUMBER(E204),ISNUMBER(J204)),(J204-E204),"")</f>
        <v/>
      </c>
    </row>
    <row r="205">
      <c r="A205" s="3" t="inlineStr">
        <is>
          <t>OBT150125064840-Wien Kledering</t>
        </is>
      </c>
      <c r="B205" s="3" t="inlineStr">
        <is>
          <t>Wien Kledering</t>
        </is>
      </c>
      <c r="C205" s="3" t="inlineStr">
        <is>
          <t>615</t>
        </is>
      </c>
      <c r="D205" s="3" t="n">
        <v>2</v>
      </c>
      <c r="E205" s="10" t="n">
        <v>45671.83133101852</v>
      </c>
      <c r="F205" s="10" t="n">
        <v>45672.28379629629</v>
      </c>
      <c r="G205" s="10" t="n">
        <v>45672.28466435185</v>
      </c>
      <c r="H205" s="10" t="n">
        <v>45672.33913194444</v>
      </c>
      <c r="I205" s="10" t="n">
        <v>45672.33913194444</v>
      </c>
      <c r="J205" s="10" t="n">
        <v>45672.34032407407</v>
      </c>
      <c r="K205" s="11">
        <f>IF(AND(ISNUMBER(E205),ISNUMBER(F205)),(F205-E205),"")</f>
        <v/>
      </c>
      <c r="L205" s="11">
        <f>IF(AND(ISNUMBER(F205),ISNUMBER(G205)),(G205-F205),"")</f>
        <v/>
      </c>
      <c r="M205" s="11">
        <f>IF(AND(ISNUMBER(H205),ISNUMBER(I205)),(I205-H205),"")</f>
        <v/>
      </c>
      <c r="N205" s="11">
        <f>IF(AND(ISNUMBER(E205),ISNUMBER(J205)),(J205-E205),"")</f>
        <v/>
      </c>
    </row>
    <row r="206">
      <c r="A206" s="3" t="inlineStr">
        <is>
          <t>OBT150125074216-Ebenfurth (beet loading)</t>
        </is>
      </c>
      <c r="B206" s="3" t="inlineStr">
        <is>
          <t>Ebenfurth (beet loading)</t>
        </is>
      </c>
      <c r="C206" s="3" t="inlineStr">
        <is>
          <t>627</t>
        </is>
      </c>
      <c r="D206" s="3" t="n">
        <v>3</v>
      </c>
      <c r="E206" s="10" t="n">
        <v>45671.76297453704</v>
      </c>
      <c r="F206" s="10" t="n">
        <v>45672.32101851852</v>
      </c>
      <c r="G206" s="10" t="n">
        <v>45672.32188657407</v>
      </c>
      <c r="H206" s="10" t="n">
        <v>45672.34101851852</v>
      </c>
      <c r="I206" s="10" t="n">
        <v>45672.34101851852</v>
      </c>
      <c r="J206" s="10" t="n">
        <v>45672.34166666667</v>
      </c>
      <c r="K206" s="11">
        <f>IF(AND(ISNUMBER(E206),ISNUMBER(F206)),(F206-E206),"")</f>
        <v/>
      </c>
      <c r="L206" s="11">
        <f>IF(AND(ISNUMBER(F206),ISNUMBER(G206)),(G206-F206),"")</f>
        <v/>
      </c>
      <c r="M206" s="11">
        <f>IF(AND(ISNUMBER(H206),ISNUMBER(I206)),(I206-H206),"")</f>
        <v/>
      </c>
      <c r="N206" s="11">
        <f>IF(AND(ISNUMBER(E206),ISNUMBER(J206)),(J206-E206),"")</f>
        <v/>
      </c>
    </row>
    <row r="207">
      <c r="A207" s="3" t="inlineStr">
        <is>
          <t>OBT150125075736-Other sidings north</t>
        </is>
      </c>
      <c r="B207" s="3" t="inlineStr">
        <is>
          <t>Other sidings north</t>
        </is>
      </c>
      <c r="C207" s="3" t="inlineStr">
        <is>
          <t>625</t>
        </is>
      </c>
      <c r="D207" s="3" t="n">
        <v>3</v>
      </c>
      <c r="E207" s="10" t="n">
        <v>45671.66046296297</v>
      </c>
      <c r="F207" s="10" t="n">
        <v>45672.33166666667</v>
      </c>
      <c r="G207" s="10" t="n">
        <v>45672.33923611111</v>
      </c>
      <c r="H207" s="10" t="n">
        <v>45672.3644212963</v>
      </c>
      <c r="I207" s="10" t="n">
        <v>45672.3644212963</v>
      </c>
      <c r="J207" s="10" t="n">
        <v>45672.36525462963</v>
      </c>
      <c r="K207" s="11">
        <f>IF(AND(ISNUMBER(E207),ISNUMBER(F207)),(F207-E207),"")</f>
        <v/>
      </c>
      <c r="L207" s="11">
        <f>IF(AND(ISNUMBER(F207),ISNUMBER(G207)),(G207-F207),"")</f>
        <v/>
      </c>
      <c r="M207" s="11">
        <f>IF(AND(ISNUMBER(H207),ISNUMBER(I207)),(I207-H207),"")</f>
        <v/>
      </c>
      <c r="N207" s="11">
        <f>IF(AND(ISNUMBER(E207),ISNUMBER(J207)),(J207-E207),"")</f>
        <v/>
      </c>
    </row>
    <row r="208">
      <c r="A208" s="3" t="inlineStr">
        <is>
          <t>OBT150125080153-Wr. Neustadt (Hödlmayr)</t>
        </is>
      </c>
      <c r="B208" s="3" t="inlineStr">
        <is>
          <t>Wr. Neustadt (Hödlmayr)</t>
        </is>
      </c>
      <c r="C208" s="3" t="inlineStr">
        <is>
          <t>617</t>
        </is>
      </c>
      <c r="D208" s="3" t="n">
        <v>1</v>
      </c>
      <c r="E208" s="10" t="n">
        <v>45672.33166666667</v>
      </c>
      <c r="F208" s="10" t="n">
        <v>45672.33464120371</v>
      </c>
      <c r="G208" s="10" t="n">
        <v>45672.34086805556</v>
      </c>
      <c r="H208" s="10" t="n">
        <v>45672.35961805555</v>
      </c>
      <c r="I208" s="10" t="n">
        <v>45672.35961805555</v>
      </c>
      <c r="J208" s="10" t="n">
        <v>45672.36041666667</v>
      </c>
      <c r="K208" s="11">
        <f>IF(AND(ISNUMBER(E208),ISNUMBER(F208)),(F208-E208),"")</f>
        <v/>
      </c>
      <c r="L208" s="11">
        <f>IF(AND(ISNUMBER(F208),ISNUMBER(G208)),(G208-F208),"")</f>
        <v/>
      </c>
      <c r="M208" s="11">
        <f>IF(AND(ISNUMBER(H208),ISNUMBER(I208)),(I208-H208),"")</f>
        <v/>
      </c>
      <c r="N208" s="11">
        <f>IF(AND(ISNUMBER(E208),ISNUMBER(J208)),(J208-E208),"")</f>
        <v/>
      </c>
    </row>
    <row r="209">
      <c r="A209" s="3" t="inlineStr">
        <is>
          <t>OBT150125080609-Wien Kledering</t>
        </is>
      </c>
      <c r="B209" s="3" t="inlineStr">
        <is>
          <t>Wien Kledering</t>
        </is>
      </c>
      <c r="C209" s="3" t="inlineStr">
        <is>
          <t>623</t>
        </is>
      </c>
      <c r="D209" s="3" t="n">
        <v>1</v>
      </c>
      <c r="E209" s="10" t="n">
        <v>45672.33482638889</v>
      </c>
      <c r="F209" s="10" t="n">
        <v>45672.33760416666</v>
      </c>
      <c r="G209" s="10" t="n">
        <v>45672.34275462963</v>
      </c>
      <c r="H209" s="10" t="n">
        <v>45672.38737268518</v>
      </c>
      <c r="I209" s="10" t="n">
        <v>45672.38737268518</v>
      </c>
      <c r="J209" s="10" t="n">
        <v>45672.38850694444</v>
      </c>
      <c r="K209" s="11">
        <f>IF(AND(ISNUMBER(E209),ISNUMBER(F209)),(F209-E209),"")</f>
        <v/>
      </c>
      <c r="L209" s="11">
        <f>IF(AND(ISNUMBER(F209),ISNUMBER(G209)),(G209-F209),"")</f>
        <v/>
      </c>
      <c r="M209" s="11">
        <f>IF(AND(ISNUMBER(H209),ISNUMBER(I209)),(I209-H209),"")</f>
        <v/>
      </c>
      <c r="N209" s="11">
        <f>IF(AND(ISNUMBER(E209),ISNUMBER(J209)),(J209-E209),"")</f>
        <v/>
      </c>
    </row>
    <row r="210">
      <c r="A210" s="3" t="inlineStr">
        <is>
          <t>OBT150125084204-Wien Kledering</t>
        </is>
      </c>
      <c r="B210" s="3" t="inlineStr">
        <is>
          <t>Wien Kledering</t>
        </is>
      </c>
      <c r="C210" s="3" t="inlineStr">
        <is>
          <t>621</t>
        </is>
      </c>
      <c r="D210" s="3" t="n">
        <v>1</v>
      </c>
      <c r="E210" s="10" t="n">
        <v>45672.34710648148</v>
      </c>
      <c r="F210" s="10" t="n">
        <v>45672.3625462963</v>
      </c>
      <c r="G210" s="10" t="n">
        <v>45672.36418981481</v>
      </c>
      <c r="H210" s="10" t="n">
        <v>45672.42913194445</v>
      </c>
      <c r="I210" s="10" t="n">
        <v>45672.42913194445</v>
      </c>
      <c r="J210" s="10" t="n">
        <v>45672.43053240741</v>
      </c>
      <c r="K210" s="11">
        <f>IF(AND(ISNUMBER(E210),ISNUMBER(F210)),(F210-E210),"")</f>
        <v/>
      </c>
      <c r="L210" s="11">
        <f>IF(AND(ISNUMBER(F210),ISNUMBER(G210)),(G210-F210),"")</f>
        <v/>
      </c>
      <c r="M210" s="11">
        <f>IF(AND(ISNUMBER(H210),ISNUMBER(I210)),(I210-H210),"")</f>
        <v/>
      </c>
      <c r="N210" s="11">
        <f>IF(AND(ISNUMBER(E210),ISNUMBER(J210)),(J210-E210),"")</f>
        <v/>
      </c>
    </row>
    <row r="211">
      <c r="A211" s="3" t="inlineStr">
        <is>
          <t>OBT150125092356-Pitten (Hamburger)</t>
        </is>
      </c>
      <c r="B211" s="3" t="inlineStr">
        <is>
          <t>Pitten (Hamburger)</t>
        </is>
      </c>
      <c r="C211" s="3" t="inlineStr">
        <is>
          <t>619</t>
        </is>
      </c>
      <c r="D211" s="3" t="n">
        <v>3</v>
      </c>
      <c r="E211" s="10" t="n">
        <v>45672.3194212963</v>
      </c>
      <c r="F211" s="10" t="n">
        <v>45672.39162037037</v>
      </c>
      <c r="G211" s="10" t="n">
        <v>45672.39465277778</v>
      </c>
      <c r="H211" s="10" t="n">
        <v>45672.41353009259</v>
      </c>
      <c r="I211" s="10" t="n">
        <v>45672.41353009259</v>
      </c>
      <c r="J211" s="10" t="n">
        <v>45672.4143287037</v>
      </c>
      <c r="K211" s="11">
        <f>IF(AND(ISNUMBER(E211),ISNUMBER(F211)),(F211-E211),"")</f>
        <v/>
      </c>
      <c r="L211" s="11">
        <f>IF(AND(ISNUMBER(F211),ISNUMBER(G211)),(G211-F211),"")</f>
        <v/>
      </c>
      <c r="M211" s="11">
        <f>IF(AND(ISNUMBER(H211),ISNUMBER(I211)),(I211-H211),"")</f>
        <v/>
      </c>
      <c r="N211" s="11">
        <f>IF(AND(ISNUMBER(E211),ISNUMBER(J211)),(J211-E211),"")</f>
        <v/>
      </c>
    </row>
    <row r="212">
      <c r="A212" s="3" t="inlineStr">
        <is>
          <t>OBT150125094220-Wien Kledering</t>
        </is>
      </c>
      <c r="B212" s="3" t="inlineStr">
        <is>
          <t>Wien Kledering</t>
        </is>
      </c>
      <c r="C212" s="3" t="inlineStr">
        <is>
          <t>617</t>
        </is>
      </c>
      <c r="D212" s="3" t="n">
        <v>1</v>
      </c>
      <c r="E212" s="10" t="n">
        <v>45672.40203703703</v>
      </c>
      <c r="F212" s="10" t="n">
        <v>45672.40439814814</v>
      </c>
      <c r="G212" s="10" t="n">
        <v>45672.41065972222</v>
      </c>
      <c r="H212" s="10" t="n">
        <v>45672.45951388889</v>
      </c>
      <c r="I212" s="10" t="n">
        <v>45672.45951388889</v>
      </c>
      <c r="J212" s="10" t="n">
        <v>45672.46071759259</v>
      </c>
      <c r="K212" s="11">
        <f>IF(AND(ISNUMBER(E212),ISNUMBER(F212)),(F212-E212),"")</f>
        <v/>
      </c>
      <c r="L212" s="11">
        <f>IF(AND(ISNUMBER(F212),ISNUMBER(G212)),(G212-F212),"")</f>
        <v/>
      </c>
      <c r="M212" s="11">
        <f>IF(AND(ISNUMBER(H212),ISNUMBER(I212)),(I212-H212),"")</f>
        <v/>
      </c>
      <c r="N212" s="11">
        <f>IF(AND(ISNUMBER(E212),ISNUMBER(J212)),(J212-E212),"")</f>
        <v/>
      </c>
    </row>
    <row r="213">
      <c r="A213" s="3" t="inlineStr">
        <is>
          <t>OBT150125101800-Felixdorf/Sollenau (Bundesheer, Maba)</t>
        </is>
      </c>
      <c r="B213" s="3" t="inlineStr">
        <is>
          <t>Felixdorf/Sollenau (Bundesheer, Maba)</t>
        </is>
      </c>
      <c r="C213" s="3" t="inlineStr">
        <is>
          <t>609</t>
        </is>
      </c>
      <c r="D213" s="3" t="n">
        <v>3</v>
      </c>
      <c r="E213" s="10" t="n">
        <v>45671.76826388889</v>
      </c>
      <c r="F213" s="10" t="n">
        <v>45672.42916666667</v>
      </c>
      <c r="G213" s="10" t="n">
        <v>45672.43086805556</v>
      </c>
      <c r="H213" s="10" t="n">
        <v>45672.45079861111</v>
      </c>
      <c r="I213" s="10" t="n">
        <v>45672.45079861111</v>
      </c>
      <c r="J213" s="10" t="n">
        <v>45672.45159722222</v>
      </c>
      <c r="K213" s="11">
        <f>IF(AND(ISNUMBER(E213),ISNUMBER(F213)),(F213-E213),"")</f>
        <v/>
      </c>
      <c r="L213" s="11">
        <f>IF(AND(ISNUMBER(F213),ISNUMBER(G213)),(G213-F213),"")</f>
        <v/>
      </c>
      <c r="M213" s="11">
        <f>IF(AND(ISNUMBER(H213),ISNUMBER(I213)),(I213-H213),"")</f>
        <v/>
      </c>
      <c r="N213" s="11">
        <f>IF(AND(ISNUMBER(E213),ISNUMBER(J213)),(J213-E213),"")</f>
        <v/>
      </c>
    </row>
    <row r="214">
      <c r="A214" s="3" t="inlineStr">
        <is>
          <t>OBT150125101848-Wien Kledering</t>
        </is>
      </c>
      <c r="B214" s="3" t="inlineStr">
        <is>
          <t>Wien Kledering</t>
        </is>
      </c>
      <c r="C214" s="3" t="inlineStr">
        <is>
          <t>623</t>
        </is>
      </c>
      <c r="D214" s="3" t="n">
        <v>1</v>
      </c>
      <c r="E214" s="10" t="n">
        <v>45672.42753472222</v>
      </c>
      <c r="F214" s="10" t="n">
        <v>45672.42972222222</v>
      </c>
      <c r="G214" s="10" t="n">
        <v>45672.43137731482</v>
      </c>
      <c r="H214" s="10" t="n">
        <v>45672.47523148148</v>
      </c>
      <c r="I214" s="10" t="n">
        <v>45672.47523148148</v>
      </c>
      <c r="J214" s="10" t="n">
        <v>45672.47635416667</v>
      </c>
      <c r="K214" s="11">
        <f>IF(AND(ISNUMBER(E214),ISNUMBER(F214)),(F214-E214),"")</f>
        <v/>
      </c>
      <c r="L214" s="11">
        <f>IF(AND(ISNUMBER(F214),ISNUMBER(G214)),(G214-F214),"")</f>
        <v/>
      </c>
      <c r="M214" s="11">
        <f>IF(AND(ISNUMBER(H214),ISNUMBER(I214)),(I214-H214),"")</f>
        <v/>
      </c>
      <c r="N214" s="11">
        <f>IF(AND(ISNUMBER(E214),ISNUMBER(J214)),(J214-E214),"")</f>
        <v/>
      </c>
    </row>
    <row r="215">
      <c r="A215" s="3" t="inlineStr">
        <is>
          <t>OBT150125131431-Wien Kledering</t>
        </is>
      </c>
      <c r="B215" s="3" t="inlineStr">
        <is>
          <t>Wien Kledering</t>
        </is>
      </c>
      <c r="C215" s="3" t="inlineStr">
        <is>
          <t>623</t>
        </is>
      </c>
      <c r="D215" s="3" t="n">
        <v>1</v>
      </c>
      <c r="E215" s="10" t="n">
        <v>45672.54936342593</v>
      </c>
      <c r="F215" s="10" t="n">
        <v>45672.55174768518</v>
      </c>
      <c r="G215" s="10" t="n">
        <v>45672.55261574074</v>
      </c>
      <c r="H215" s="10" t="n">
        <v>45672.57359953703</v>
      </c>
      <c r="I215" s="10" t="n">
        <v>45672.57359953703</v>
      </c>
      <c r="J215" s="10" t="n">
        <v>45672.5744212963</v>
      </c>
      <c r="K215" s="11">
        <f>IF(AND(ISNUMBER(E215),ISNUMBER(F215)),(F215-E215),"")</f>
        <v/>
      </c>
      <c r="L215" s="11">
        <f>IF(AND(ISNUMBER(F215),ISNUMBER(G215)),(G215-F215),"")</f>
        <v/>
      </c>
      <c r="M215" s="11">
        <f>IF(AND(ISNUMBER(H215),ISNUMBER(I215)),(I215-H215),"")</f>
        <v/>
      </c>
      <c r="N215" s="11">
        <f>IF(AND(ISNUMBER(E215),ISNUMBER(J215)),(J215-E215),"")</f>
        <v/>
      </c>
    </row>
    <row r="216">
      <c r="A216" s="3" t="inlineStr">
        <is>
          <t>OBT150125154642-Wr. Neustadt (Hödlmayr)</t>
        </is>
      </c>
      <c r="B216" s="3" t="inlineStr">
        <is>
          <t>Wr. Neustadt (Hödlmayr)</t>
        </is>
      </c>
      <c r="C216" s="3" t="inlineStr">
        <is>
          <t>625</t>
        </is>
      </c>
      <c r="D216" s="3" t="n">
        <v>2</v>
      </c>
      <c r="E216" s="10" t="n">
        <v>45672.39768518518</v>
      </c>
      <c r="F216" s="10" t="n">
        <v>45672.65743055556</v>
      </c>
      <c r="G216" s="10" t="n">
        <v>45672.65829861111</v>
      </c>
      <c r="H216" s="10" t="n">
        <v>45672.69111111111</v>
      </c>
      <c r="I216" s="10" t="n">
        <v>45672.69111111111</v>
      </c>
      <c r="J216" s="10" t="n">
        <v>45672.69204861111</v>
      </c>
      <c r="K216" s="11">
        <f>IF(AND(ISNUMBER(E216),ISNUMBER(F216)),(F216-E216),"")</f>
        <v/>
      </c>
      <c r="L216" s="11">
        <f>IF(AND(ISNUMBER(F216),ISNUMBER(G216)),(G216-F216),"")</f>
        <v/>
      </c>
      <c r="M216" s="11">
        <f>IF(AND(ISNUMBER(H216),ISNUMBER(I216)),(I216-H216),"")</f>
        <v/>
      </c>
      <c r="N216" s="11">
        <f>IF(AND(ISNUMBER(E216),ISNUMBER(J216)),(J216-E216),"")</f>
        <v/>
      </c>
    </row>
    <row r="217">
      <c r="A217" s="3" t="inlineStr">
        <is>
          <t>OBT150125155826-Other sidings north</t>
        </is>
      </c>
      <c r="B217" s="3" t="inlineStr">
        <is>
          <t>Other sidings north</t>
        </is>
      </c>
      <c r="C217" s="3" t="inlineStr">
        <is>
          <t>615</t>
        </is>
      </c>
      <c r="D217" s="3" t="n">
        <v>3</v>
      </c>
      <c r="E217" s="10" t="n">
        <v>45672.39052083333</v>
      </c>
      <c r="F217" s="10" t="n">
        <v>45672.6655787037</v>
      </c>
      <c r="G217" s="10" t="n">
        <v>45672.66721064815</v>
      </c>
      <c r="H217" s="10" t="n">
        <v>45672.68505787037</v>
      </c>
      <c r="I217" s="10" t="n">
        <v>45672.68505787037</v>
      </c>
      <c r="J217" s="10" t="n">
        <v>45672.68575231481</v>
      </c>
      <c r="K217" s="11">
        <f>IF(AND(ISNUMBER(E217),ISNUMBER(F217)),(F217-E217),"")</f>
        <v/>
      </c>
      <c r="L217" s="11">
        <f>IF(AND(ISNUMBER(F217),ISNUMBER(G217)),(G217-F217),"")</f>
        <v/>
      </c>
      <c r="M217" s="11">
        <f>IF(AND(ISNUMBER(H217),ISNUMBER(I217)),(I217-H217),"")</f>
        <v/>
      </c>
      <c r="N217" s="11">
        <f>IF(AND(ISNUMBER(E217),ISNUMBER(J217)),(J217-E217),"")</f>
        <v/>
      </c>
    </row>
    <row r="218">
      <c r="A218" s="3" t="inlineStr">
        <is>
          <t>OBT150125160356-Neudörfl (FunderMax)</t>
        </is>
      </c>
      <c r="B218" s="3" t="inlineStr">
        <is>
          <t>Neudörfl (FunderMax)</t>
        </is>
      </c>
      <c r="C218" s="3" t="inlineStr">
        <is>
          <t>606</t>
        </is>
      </c>
      <c r="D218" s="3" t="n">
        <v>3</v>
      </c>
      <c r="E218" s="10" t="n">
        <v>45672.3212037037</v>
      </c>
      <c r="F218" s="10" t="n">
        <v>45672.66939814815</v>
      </c>
      <c r="G218" s="10" t="n">
        <v>45672.67197916667</v>
      </c>
      <c r="H218" s="10" t="n">
        <v>45672.71085648148</v>
      </c>
      <c r="I218" s="10" t="n">
        <v>45672.71085648148</v>
      </c>
      <c r="J218" s="10" t="n">
        <v>45672.71188657408</v>
      </c>
      <c r="K218" s="11">
        <f>IF(AND(ISNUMBER(E218),ISNUMBER(F218)),(F218-E218),"")</f>
        <v/>
      </c>
      <c r="L218" s="11">
        <f>IF(AND(ISNUMBER(F218),ISNUMBER(G218)),(G218-F218),"")</f>
        <v/>
      </c>
      <c r="M218" s="11">
        <f>IF(AND(ISNUMBER(H218),ISNUMBER(I218)),(I218-H218),"")</f>
        <v/>
      </c>
      <c r="N218" s="11">
        <f>IF(AND(ISNUMBER(E218),ISNUMBER(J218)),(J218-E218),"")</f>
        <v/>
      </c>
    </row>
    <row r="219">
      <c r="A219" s="3" t="inlineStr">
        <is>
          <t>OBT150125160509-Wien Kledering</t>
        </is>
      </c>
      <c r="B219" s="3" t="inlineStr">
        <is>
          <t>Wien Kledering</t>
        </is>
      </c>
      <c r="C219" s="3" t="inlineStr">
        <is>
          <t>617</t>
        </is>
      </c>
      <c r="D219" s="3" t="n">
        <v>1</v>
      </c>
      <c r="E219" s="10" t="n">
        <v>45672.66784722222</v>
      </c>
      <c r="F219" s="10" t="n">
        <v>45672.67024305555</v>
      </c>
      <c r="G219" s="10" t="n">
        <v>45672.68674768518</v>
      </c>
      <c r="H219" s="10" t="n">
        <v>45672.70587962963</v>
      </c>
      <c r="I219" s="10" t="n">
        <v>45672.70587962963</v>
      </c>
      <c r="J219" s="10" t="n">
        <v>45672.70667824074</v>
      </c>
      <c r="K219" s="11">
        <f>IF(AND(ISNUMBER(E219),ISNUMBER(F219)),(F219-E219),"")</f>
        <v/>
      </c>
      <c r="L219" s="11">
        <f>IF(AND(ISNUMBER(F219),ISNUMBER(G219)),(G219-F219),"")</f>
        <v/>
      </c>
      <c r="M219" s="11">
        <f>IF(AND(ISNUMBER(H219),ISNUMBER(I219)),(I219-H219),"")</f>
        <v/>
      </c>
      <c r="N219" s="11">
        <f>IF(AND(ISNUMBER(E219),ISNUMBER(J219)),(J219-E219),"")</f>
        <v/>
      </c>
    </row>
    <row r="220">
      <c r="A220" s="3" t="inlineStr">
        <is>
          <t>OBT150125173247-Wien Kledering</t>
        </is>
      </c>
      <c r="B220" s="3" t="inlineStr">
        <is>
          <t>Wien Kledering</t>
        </is>
      </c>
      <c r="C220" s="3" t="inlineStr">
        <is>
          <t>615</t>
        </is>
      </c>
      <c r="D220" s="3" t="n">
        <v>1</v>
      </c>
      <c r="E220" s="10" t="n">
        <v>45672.7287037037</v>
      </c>
      <c r="F220" s="10" t="n">
        <v>45672.73109953704</v>
      </c>
      <c r="G220" s="10" t="n">
        <v>45672.73196759259</v>
      </c>
      <c r="H220" s="10" t="n">
        <v>45672.78846064815</v>
      </c>
      <c r="I220" s="10" t="n">
        <v>45672.78846064815</v>
      </c>
      <c r="J220" s="10" t="n">
        <v>45672.78967592592</v>
      </c>
      <c r="K220" s="11">
        <f>IF(AND(ISNUMBER(E220),ISNUMBER(F220)),(F220-E220),"")</f>
        <v/>
      </c>
      <c r="L220" s="11">
        <f>IF(AND(ISNUMBER(F220),ISNUMBER(G220)),(G220-F220),"")</f>
        <v/>
      </c>
      <c r="M220" s="11">
        <f>IF(AND(ISNUMBER(H220),ISNUMBER(I220)),(I220-H220),"")</f>
        <v/>
      </c>
      <c r="N220" s="11">
        <f>IF(AND(ISNUMBER(E220),ISNUMBER(J220)),(J220-E220),"")</f>
        <v/>
      </c>
    </row>
    <row r="221">
      <c r="A221" s="3" t="inlineStr">
        <is>
          <t>OBT150125181910-Pitten (Hamburger)</t>
        </is>
      </c>
      <c r="B221" s="3" t="inlineStr">
        <is>
          <t>Pitten (Hamburger)</t>
        </is>
      </c>
      <c r="C221" s="3" t="inlineStr">
        <is>
          <t>619</t>
        </is>
      </c>
      <c r="D221" s="3" t="n">
        <v>2</v>
      </c>
      <c r="E221" s="10" t="n">
        <v>45672.65743055556</v>
      </c>
      <c r="F221" s="10" t="n">
        <v>45672.76331018518</v>
      </c>
      <c r="G221" s="10" t="n">
        <v>45672.76415509259</v>
      </c>
      <c r="H221" s="10" t="n">
        <v>45672.78445601852</v>
      </c>
      <c r="I221" s="10" t="n">
        <v>45672.78445601852</v>
      </c>
      <c r="J221" s="10" t="n">
        <v>45672.78527777778</v>
      </c>
      <c r="K221" s="11">
        <f>IF(AND(ISNUMBER(E221),ISNUMBER(F221)),(F221-E221),"")</f>
        <v/>
      </c>
      <c r="L221" s="11">
        <f>IF(AND(ISNUMBER(F221),ISNUMBER(G221)),(G221-F221),"")</f>
        <v/>
      </c>
      <c r="M221" s="11">
        <f>IF(AND(ISNUMBER(H221),ISNUMBER(I221)),(I221-H221),"")</f>
        <v/>
      </c>
      <c r="N221" s="11">
        <f>IF(AND(ISNUMBER(E221),ISNUMBER(J221)),(J221-E221),"")</f>
        <v/>
      </c>
    </row>
    <row r="222">
      <c r="A222" s="3" t="inlineStr">
        <is>
          <t>OBT150125182201-Neunkirchen (loading tracks)</t>
        </is>
      </c>
      <c r="B222" s="3" t="inlineStr">
        <is>
          <t>Neunkirchen (loading tracks)</t>
        </is>
      </c>
      <c r="C222" s="3" t="inlineStr">
        <is>
          <t>607</t>
        </is>
      </c>
      <c r="D222" s="3" t="n">
        <v>6</v>
      </c>
      <c r="E222" s="10" t="n">
        <v>45672.32454861111</v>
      </c>
      <c r="F222" s="10" t="n">
        <v>45672.76528935185</v>
      </c>
      <c r="G222" s="10" t="n">
        <v>45672.7783449074</v>
      </c>
      <c r="H222" s="10" t="n">
        <v>45672.79892361111</v>
      </c>
      <c r="I222" s="10" t="n">
        <v>45672.79892361111</v>
      </c>
      <c r="J222" s="10" t="n">
        <v>45672.79980324074</v>
      </c>
      <c r="K222" s="11">
        <f>IF(AND(ISNUMBER(E222),ISNUMBER(F222)),(F222-E222),"")</f>
        <v/>
      </c>
      <c r="L222" s="11">
        <f>IF(AND(ISNUMBER(F222),ISNUMBER(G222)),(G222-F222),"")</f>
        <v/>
      </c>
      <c r="M222" s="11">
        <f>IF(AND(ISNUMBER(H222),ISNUMBER(I222)),(I222-H222),"")</f>
        <v/>
      </c>
      <c r="N222" s="11">
        <f>IF(AND(ISNUMBER(E222),ISNUMBER(J222)),(J222-E222),"")</f>
        <v/>
      </c>
    </row>
    <row r="223">
      <c r="A223" s="3" t="inlineStr">
        <is>
          <t>OBT150125183815-Ebenfurth (beet loading)</t>
        </is>
      </c>
      <c r="B223" s="3" t="inlineStr">
        <is>
          <t>Ebenfurth (beet loading)</t>
        </is>
      </c>
      <c r="C223" s="3" t="inlineStr">
        <is>
          <t>627</t>
        </is>
      </c>
      <c r="D223" s="3" t="n">
        <v>4</v>
      </c>
      <c r="E223" s="10" t="n">
        <v>45672.39556712963</v>
      </c>
      <c r="F223" s="10" t="n">
        <v>45672.7765625</v>
      </c>
      <c r="G223" s="10" t="n">
        <v>45672.7861574074</v>
      </c>
      <c r="H223" s="10" t="n">
        <v>45672.80800925926</v>
      </c>
      <c r="I223" s="10" t="n">
        <v>45672.80800925926</v>
      </c>
      <c r="J223" s="10" t="n">
        <v>45672.80869212963</v>
      </c>
      <c r="K223" s="11">
        <f>IF(AND(ISNUMBER(E223),ISNUMBER(F223)),(F223-E223),"")</f>
        <v/>
      </c>
      <c r="L223" s="11">
        <f>IF(AND(ISNUMBER(F223),ISNUMBER(G223)),(G223-F223),"")</f>
        <v/>
      </c>
      <c r="M223" s="11">
        <f>IF(AND(ISNUMBER(H223),ISNUMBER(I223)),(I223-H223),"")</f>
        <v/>
      </c>
      <c r="N223" s="11">
        <f>IF(AND(ISNUMBER(E223),ISNUMBER(J223)),(J223-E223),"")</f>
        <v/>
      </c>
    </row>
    <row r="224">
      <c r="A224" s="3" t="inlineStr">
        <is>
          <t>OBT160125025835-Neunkirchen (loading tracks)</t>
        </is>
      </c>
      <c r="B224" s="3" t="inlineStr">
        <is>
          <t>Neunkirchen (loading tracks)</t>
        </is>
      </c>
      <c r="C224" s="3" t="inlineStr">
        <is>
          <t>615</t>
        </is>
      </c>
      <c r="D224" s="3" t="n">
        <v>2</v>
      </c>
      <c r="E224" s="10" t="n">
        <v>45672.76658564815</v>
      </c>
      <c r="F224" s="10" t="n">
        <v>45673.12401620371</v>
      </c>
      <c r="G224" s="10" t="n">
        <v>45673.12480324074</v>
      </c>
      <c r="H224" s="10" t="n">
        <v>45673.14994212963</v>
      </c>
      <c r="I224" s="10" t="n">
        <v>45673.14994212963</v>
      </c>
      <c r="J224" s="10" t="n">
        <v>45673.15074074074</v>
      </c>
      <c r="K224" s="11">
        <f>IF(AND(ISNUMBER(E224),ISNUMBER(F224)),(F224-E224),"")</f>
        <v/>
      </c>
      <c r="L224" s="11">
        <f>IF(AND(ISNUMBER(F224),ISNUMBER(G224)),(G224-F224),"")</f>
        <v/>
      </c>
      <c r="M224" s="11">
        <f>IF(AND(ISNUMBER(H224),ISNUMBER(I224)),(I224-H224),"")</f>
        <v/>
      </c>
      <c r="N224" s="11">
        <f>IF(AND(ISNUMBER(E224),ISNUMBER(J224)),(J224-E224),"")</f>
        <v/>
      </c>
    </row>
    <row r="225">
      <c r="A225" s="3" t="inlineStr">
        <is>
          <t>OBT160125063851-Wien Kledering</t>
        </is>
      </c>
      <c r="B225" s="3" t="inlineStr">
        <is>
          <t>Wien Kledering</t>
        </is>
      </c>
      <c r="C225" s="3" t="inlineStr">
        <is>
          <t>615</t>
        </is>
      </c>
      <c r="D225" s="3" t="n">
        <v>1</v>
      </c>
      <c r="E225" s="10" t="n">
        <v>45673.27460648148</v>
      </c>
      <c r="F225" s="10" t="n">
        <v>45673.27697916667</v>
      </c>
      <c r="G225" s="10" t="n">
        <v>45673.27784722222</v>
      </c>
      <c r="H225" s="10" t="n">
        <v>45673.32940972222</v>
      </c>
      <c r="I225" s="10" t="n">
        <v>45673.32940972222</v>
      </c>
      <c r="J225" s="10" t="n">
        <v>45673.33056712963</v>
      </c>
      <c r="K225" s="11">
        <f>IF(AND(ISNUMBER(E225),ISNUMBER(F225)),(F225-E225),"")</f>
        <v/>
      </c>
      <c r="L225" s="11">
        <f>IF(AND(ISNUMBER(F225),ISNUMBER(G225)),(G225-F225),"")</f>
        <v/>
      </c>
      <c r="M225" s="11">
        <f>IF(AND(ISNUMBER(H225),ISNUMBER(I225)),(I225-H225),"")</f>
        <v/>
      </c>
      <c r="N225" s="11">
        <f>IF(AND(ISNUMBER(E225),ISNUMBER(J225)),(J225-E225),"")</f>
        <v/>
      </c>
    </row>
    <row r="226">
      <c r="A226" s="3" t="inlineStr">
        <is>
          <t>OBT160125072923-Wien Kledering</t>
        </is>
      </c>
      <c r="B226" s="3" t="inlineStr">
        <is>
          <t>Wien Kledering</t>
        </is>
      </c>
      <c r="C226" s="3" t="inlineStr">
        <is>
          <t>619</t>
        </is>
      </c>
      <c r="D226" s="3" t="n">
        <v>1</v>
      </c>
      <c r="E226" s="10" t="n">
        <v>45673.30969907407</v>
      </c>
      <c r="F226" s="10" t="n">
        <v>45673.31207175926</v>
      </c>
      <c r="G226" s="10" t="n">
        <v>45673.31290509259</v>
      </c>
      <c r="H226" s="10" t="n">
        <v>45673.33478009259</v>
      </c>
      <c r="I226" s="10" t="n">
        <v>45673.33478009259</v>
      </c>
      <c r="J226" s="10" t="n">
        <v>45673.335625</v>
      </c>
      <c r="K226" s="11">
        <f>IF(AND(ISNUMBER(E226),ISNUMBER(F226)),(F226-E226),"")</f>
        <v/>
      </c>
      <c r="L226" s="11">
        <f>IF(AND(ISNUMBER(F226),ISNUMBER(G226)),(G226-F226),"")</f>
        <v/>
      </c>
      <c r="M226" s="11">
        <f>IF(AND(ISNUMBER(H226),ISNUMBER(I226)),(I226-H226),"")</f>
        <v/>
      </c>
      <c r="N226" s="11">
        <f>IF(AND(ISNUMBER(E226),ISNUMBER(J226)),(J226-E226),"")</f>
        <v/>
      </c>
    </row>
    <row r="227">
      <c r="A227" s="3" t="inlineStr">
        <is>
          <t>OBT160125075109-Pitten (Hamburger)</t>
        </is>
      </c>
      <c r="B227" s="3" t="inlineStr">
        <is>
          <t>Pitten (Hamburger)</t>
        </is>
      </c>
      <c r="C227" s="3" t="inlineStr">
        <is>
          <t>621</t>
        </is>
      </c>
      <c r="D227" s="3" t="n">
        <v>2</v>
      </c>
      <c r="E227" s="10" t="n">
        <v>45672.76539351852</v>
      </c>
      <c r="F227" s="10" t="n">
        <v>45673.3271875</v>
      </c>
      <c r="G227" s="10" t="n">
        <v>45673.33552083333</v>
      </c>
      <c r="H227" s="10" t="n">
        <v>45673.35712962963</v>
      </c>
      <c r="I227" s="10" t="n">
        <v>45673.35712962963</v>
      </c>
      <c r="J227" s="10" t="n">
        <v>45673.35795138889</v>
      </c>
      <c r="K227" s="11">
        <f>IF(AND(ISNUMBER(E227),ISNUMBER(F227)),(F227-E227),"")</f>
        <v/>
      </c>
      <c r="L227" s="11">
        <f>IF(AND(ISNUMBER(F227),ISNUMBER(G227)),(G227-F227),"")</f>
        <v/>
      </c>
      <c r="M227" s="11">
        <f>IF(AND(ISNUMBER(H227),ISNUMBER(I227)),(I227-H227),"")</f>
        <v/>
      </c>
      <c r="N227" s="11">
        <f>IF(AND(ISNUMBER(E227),ISNUMBER(J227)),(J227-E227),"")</f>
        <v/>
      </c>
    </row>
    <row r="228">
      <c r="A228" s="3" t="inlineStr">
        <is>
          <t>OBT160125081022-Ternitz (Schoeller-Bleckmann)</t>
        </is>
      </c>
      <c r="B228" s="3" t="inlineStr">
        <is>
          <t>Ternitz (Schoeller-Bleckmann)</t>
        </is>
      </c>
      <c r="C228" s="3" t="inlineStr">
        <is>
          <t>605</t>
        </is>
      </c>
      <c r="D228" s="3" t="n">
        <v>5</v>
      </c>
      <c r="E228" s="10" t="n">
        <v>45672.11685185185</v>
      </c>
      <c r="F228" s="10" t="n">
        <v>45673.3405324074</v>
      </c>
      <c r="G228" s="10" t="n">
        <v>45673.34136574074</v>
      </c>
      <c r="H228" s="10" t="n">
        <v>45673.36009259259</v>
      </c>
      <c r="I228" s="10" t="n">
        <v>45673.36009259259</v>
      </c>
      <c r="J228" s="10" t="n">
        <v>45673.3609375</v>
      </c>
      <c r="K228" s="11">
        <f>IF(AND(ISNUMBER(E228),ISNUMBER(F228)),(F228-E228),"")</f>
        <v/>
      </c>
      <c r="L228" s="11">
        <f>IF(AND(ISNUMBER(F228),ISNUMBER(G228)),(G228-F228),"")</f>
        <v/>
      </c>
      <c r="M228" s="11">
        <f>IF(AND(ISNUMBER(H228),ISNUMBER(I228)),(I228-H228),"")</f>
        <v/>
      </c>
      <c r="N228" s="11">
        <f>IF(AND(ISNUMBER(E228),ISNUMBER(J228)),(J228-E228),"")</f>
        <v/>
      </c>
    </row>
    <row r="229">
      <c r="A229" s="3" t="inlineStr">
        <is>
          <t>OBT160125081516-Wien Kledering</t>
        </is>
      </c>
      <c r="B229" s="3" t="inlineStr">
        <is>
          <t>Wien Kledering</t>
        </is>
      </c>
      <c r="C229" s="3" t="inlineStr">
        <is>
          <t>615</t>
        </is>
      </c>
      <c r="D229" s="3" t="n">
        <v>1</v>
      </c>
      <c r="E229" s="10" t="n">
        <v>45673.34153935185</v>
      </c>
      <c r="F229" s="10" t="n">
        <v>45673.34393518518</v>
      </c>
      <c r="G229" s="10" t="n">
        <v>45673.34567129629</v>
      </c>
      <c r="H229" s="10" t="n">
        <v>45673.41452546296</v>
      </c>
      <c r="I229" s="10" t="n">
        <v>45673.41452546296</v>
      </c>
      <c r="J229" s="10" t="n">
        <v>45673.41590277778</v>
      </c>
      <c r="K229" s="11">
        <f>IF(AND(ISNUMBER(E229),ISNUMBER(F229)),(F229-E229),"")</f>
        <v/>
      </c>
      <c r="L229" s="11">
        <f>IF(AND(ISNUMBER(F229),ISNUMBER(G229)),(G229-F229),"")</f>
        <v/>
      </c>
      <c r="M229" s="11">
        <f>IF(AND(ISNUMBER(H229),ISNUMBER(I229)),(I229-H229),"")</f>
        <v/>
      </c>
      <c r="N229" s="11">
        <f>IF(AND(ISNUMBER(E229),ISNUMBER(J229)),(J229-E229),"")</f>
        <v/>
      </c>
    </row>
    <row r="230">
      <c r="A230" s="3" t="inlineStr">
        <is>
          <t>OBT160125092224-St. Veit an der Glan</t>
        </is>
      </c>
      <c r="B230" s="3" t="inlineStr">
        <is>
          <t>St. Veit an der Glan</t>
        </is>
      </c>
      <c r="C230" s="3" t="inlineStr">
        <is>
          <t>605</t>
        </is>
      </c>
      <c r="D230" s="3" t="n">
        <v>1</v>
      </c>
      <c r="E230" s="10" t="n">
        <v>45673.38819444444</v>
      </c>
      <c r="F230" s="10" t="n">
        <v>45673.39055555555</v>
      </c>
      <c r="G230" s="10" t="n">
        <v>45673.39140046296</v>
      </c>
      <c r="H230" s="10" t="n">
        <v>45673.42761574074</v>
      </c>
      <c r="I230" s="10" t="n">
        <v>45673.42761574074</v>
      </c>
      <c r="J230" s="10" t="n">
        <v>45673.42869212963</v>
      </c>
      <c r="K230" s="11">
        <f>IF(AND(ISNUMBER(E230),ISNUMBER(F230)),(F230-E230),"")</f>
        <v/>
      </c>
      <c r="L230" s="11">
        <f>IF(AND(ISNUMBER(F230),ISNUMBER(G230)),(G230-F230),"")</f>
        <v/>
      </c>
      <c r="M230" s="11">
        <f>IF(AND(ISNUMBER(H230),ISNUMBER(I230)),(I230-H230),"")</f>
        <v/>
      </c>
      <c r="N230" s="11">
        <f>IF(AND(ISNUMBER(E230),ISNUMBER(J230)),(J230-E230),"")</f>
        <v/>
      </c>
    </row>
    <row r="231">
      <c r="A231" s="3" t="inlineStr">
        <is>
          <t>OBT160125092526-Wien Kledering</t>
        </is>
      </c>
      <c r="B231" s="3" t="inlineStr">
        <is>
          <t>Wien Kledering</t>
        </is>
      </c>
      <c r="C231" s="3" t="inlineStr">
        <is>
          <t>619</t>
        </is>
      </c>
      <c r="D231" s="3" t="n">
        <v>1</v>
      </c>
      <c r="E231" s="10" t="n">
        <v>45673.39049768518</v>
      </c>
      <c r="F231" s="10" t="n">
        <v>45673.39266203704</v>
      </c>
      <c r="G231" s="10" t="n">
        <v>45673.39427083333</v>
      </c>
      <c r="H231" s="10" t="n">
        <v>45673.42565972222</v>
      </c>
      <c r="I231" s="10" t="n">
        <v>45673.42565972222</v>
      </c>
      <c r="J231" s="10" t="n">
        <v>45673.42662037037</v>
      </c>
      <c r="K231" s="11">
        <f>IF(AND(ISNUMBER(E231),ISNUMBER(F231)),(F231-E231),"")</f>
        <v/>
      </c>
      <c r="L231" s="11">
        <f>IF(AND(ISNUMBER(F231),ISNUMBER(G231)),(G231-F231),"")</f>
        <v/>
      </c>
      <c r="M231" s="11">
        <f>IF(AND(ISNUMBER(H231),ISNUMBER(I231)),(I231-H231),"")</f>
        <v/>
      </c>
      <c r="N231" s="11">
        <f>IF(AND(ISNUMBER(E231),ISNUMBER(J231)),(J231-E231),"")</f>
        <v/>
      </c>
    </row>
    <row r="232">
      <c r="A232" s="3" t="inlineStr">
        <is>
          <t>OBT160125101737-Wr. Neustadt (Hödlmayr)</t>
        </is>
      </c>
      <c r="B232" s="3" t="inlineStr">
        <is>
          <t>Wr. Neustadt (Hödlmayr)</t>
        </is>
      </c>
      <c r="C232" s="3" t="inlineStr">
        <is>
          <t>625</t>
        </is>
      </c>
      <c r="D232" s="3" t="n">
        <v>4</v>
      </c>
      <c r="E232" s="10" t="n">
        <v>45672.76342592593</v>
      </c>
      <c r="F232" s="10" t="n">
        <v>45673.42890046296</v>
      </c>
      <c r="G232" s="10" t="n">
        <v>45673.43063657408</v>
      </c>
      <c r="H232" s="10" t="n">
        <v>45673.44938657407</v>
      </c>
      <c r="I232" s="10" t="n">
        <v>45673.44938657407</v>
      </c>
      <c r="J232" s="10" t="n">
        <v>45673.45012731481</v>
      </c>
      <c r="K232" s="11">
        <f>IF(AND(ISNUMBER(E232),ISNUMBER(F232)),(F232-E232),"")</f>
        <v/>
      </c>
      <c r="L232" s="11">
        <f>IF(AND(ISNUMBER(F232),ISNUMBER(G232)),(G232-F232),"")</f>
        <v/>
      </c>
      <c r="M232" s="11">
        <f>IF(AND(ISNUMBER(H232),ISNUMBER(I232)),(I232-H232),"")</f>
        <v/>
      </c>
      <c r="N232" s="11">
        <f>IF(AND(ISNUMBER(E232),ISNUMBER(J232)),(J232-E232),"")</f>
        <v/>
      </c>
    </row>
    <row r="233">
      <c r="A233" s="3" t="inlineStr">
        <is>
          <t>OBT160125101737-Neudörfl (FunderMax)</t>
        </is>
      </c>
      <c r="B233" s="3" t="inlineStr">
        <is>
          <t>Neudörfl (FunderMax)</t>
        </is>
      </c>
      <c r="C233" s="3" t="inlineStr">
        <is>
          <t>617</t>
        </is>
      </c>
      <c r="D233" s="3" t="n">
        <v>3</v>
      </c>
      <c r="E233" s="10" t="n">
        <v>45672.77318287037</v>
      </c>
      <c r="F233" s="10" t="n">
        <v>45673.42890046296</v>
      </c>
      <c r="G233" s="10" t="n">
        <v>45673.4565162037</v>
      </c>
      <c r="H233" s="10" t="n">
        <v>45673.47396990741</v>
      </c>
      <c r="I233" s="10" t="n">
        <v>45673.47396990741</v>
      </c>
      <c r="J233" s="10" t="n">
        <v>45673.47474537037</v>
      </c>
      <c r="K233" s="11">
        <f>IF(AND(ISNUMBER(E233),ISNUMBER(F233)),(F233-E233),"")</f>
        <v/>
      </c>
      <c r="L233" s="11">
        <f>IF(AND(ISNUMBER(F233),ISNUMBER(G233)),(G233-F233),"")</f>
        <v/>
      </c>
      <c r="M233" s="11">
        <f>IF(AND(ISNUMBER(H233),ISNUMBER(I233)),(I233-H233),"")</f>
        <v/>
      </c>
      <c r="N233" s="11">
        <f>IF(AND(ISNUMBER(E233),ISNUMBER(J233)),(J233-E233),"")</f>
        <v/>
      </c>
    </row>
    <row r="234">
      <c r="A234" s="3" t="inlineStr">
        <is>
          <t>OBT160125102340-Wr. Neustadt Ausfahrbf (Furtenbach)</t>
        </is>
      </c>
      <c r="B234" s="3" t="inlineStr">
        <is>
          <t>Wr. Neustadt Ausfahrbf (Furtenbach)</t>
        </is>
      </c>
      <c r="C234" s="3" t="inlineStr">
        <is>
          <t>613</t>
        </is>
      </c>
      <c r="D234" s="3" t="n">
        <v>5</v>
      </c>
      <c r="E234" s="10" t="n">
        <v>45671.76105324074</v>
      </c>
      <c r="F234" s="10" t="n">
        <v>45673.43310185185</v>
      </c>
      <c r="G234" s="10" t="n">
        <v>45673.543125</v>
      </c>
      <c r="H234" s="10" t="n">
        <v>45673.59827546297</v>
      </c>
      <c r="I234" s="10" t="n">
        <v>45673.59827546297</v>
      </c>
      <c r="J234" s="10" t="n">
        <v>45673.59943287037</v>
      </c>
      <c r="K234" s="11">
        <f>IF(AND(ISNUMBER(E234),ISNUMBER(F234)),(F234-E234),"")</f>
        <v/>
      </c>
      <c r="L234" s="11">
        <f>IF(AND(ISNUMBER(F234),ISNUMBER(G234)),(G234-F234),"")</f>
        <v/>
      </c>
      <c r="M234" s="11">
        <f>IF(AND(ISNUMBER(H234),ISNUMBER(I234)),(I234-H234),"")</f>
        <v/>
      </c>
      <c r="N234" s="11">
        <f>IF(AND(ISNUMBER(E234),ISNUMBER(J234)),(J234-E234),"")</f>
        <v/>
      </c>
    </row>
    <row r="235">
      <c r="A235" s="3" t="inlineStr">
        <is>
          <t>OBT160125105820-Wien Kledering</t>
        </is>
      </c>
      <c r="B235" s="3" t="inlineStr">
        <is>
          <t>Wien Kledering</t>
        </is>
      </c>
      <c r="C235" s="3" t="inlineStr">
        <is>
          <t>605</t>
        </is>
      </c>
      <c r="D235" s="3" t="n">
        <v>1</v>
      </c>
      <c r="E235" s="10" t="n">
        <v>45673.45478009259</v>
      </c>
      <c r="F235" s="10" t="n">
        <v>45673.45717592593</v>
      </c>
      <c r="G235" s="10" t="n">
        <v>45673.61599537037</v>
      </c>
      <c r="H235" s="10" t="n">
        <v>45673.6747337963</v>
      </c>
      <c r="I235" s="10" t="n">
        <v>45673.6747337963</v>
      </c>
      <c r="J235" s="10" t="n">
        <v>45673.67611111111</v>
      </c>
      <c r="K235" s="11">
        <f>IF(AND(ISNUMBER(E235),ISNUMBER(F235)),(F235-E235),"")</f>
        <v/>
      </c>
      <c r="L235" s="11">
        <f>IF(AND(ISNUMBER(F235),ISNUMBER(G235)),(G235-F235),"")</f>
        <v/>
      </c>
      <c r="M235" s="11">
        <f>IF(AND(ISNUMBER(H235),ISNUMBER(I235)),(I235-H235),"")</f>
        <v/>
      </c>
      <c r="N235" s="11">
        <f>IF(AND(ISNUMBER(E235),ISNUMBER(J235)),(J235-E235),"")</f>
        <v/>
      </c>
    </row>
    <row r="236">
      <c r="A236" s="3" t="inlineStr">
        <is>
          <t>OBT160125130303-Wien Kledering</t>
        </is>
      </c>
      <c r="B236" s="3" t="inlineStr">
        <is>
          <t>Wien Kledering</t>
        </is>
      </c>
      <c r="C236" s="3" t="inlineStr">
        <is>
          <t>625</t>
        </is>
      </c>
      <c r="D236" s="3" t="n">
        <v>1</v>
      </c>
      <c r="E236" s="10" t="n">
        <v>45673.54138888889</v>
      </c>
      <c r="F236" s="10" t="n">
        <v>45673.54378472222</v>
      </c>
      <c r="G236" s="10" t="n">
        <v>45673.6430787037</v>
      </c>
      <c r="H236" s="10" t="n">
        <v>45673.67310185185</v>
      </c>
      <c r="I236" s="10" t="n">
        <v>45673.67310185185</v>
      </c>
      <c r="J236" s="10" t="n">
        <v>45673.67400462963</v>
      </c>
      <c r="K236" s="11">
        <f>IF(AND(ISNUMBER(E236),ISNUMBER(F236)),(F236-E236),"")</f>
        <v/>
      </c>
      <c r="L236" s="11">
        <f>IF(AND(ISNUMBER(F236),ISNUMBER(G236)),(G236-F236),"")</f>
        <v/>
      </c>
      <c r="M236" s="11">
        <f>IF(AND(ISNUMBER(H236),ISNUMBER(I236)),(I236-H236),"")</f>
        <v/>
      </c>
      <c r="N236" s="11">
        <f>IF(AND(ISNUMBER(E236),ISNUMBER(J236)),(J236-E236),"")</f>
        <v/>
      </c>
    </row>
    <row r="237">
      <c r="A237" s="3" t="inlineStr">
        <is>
          <t>OBT160125144759-Wien Kledering</t>
        </is>
      </c>
      <c r="B237" s="3" t="inlineStr">
        <is>
          <t>Wien Kledering</t>
        </is>
      </c>
      <c r="C237" s="3" t="inlineStr">
        <is>
          <t>613</t>
        </is>
      </c>
      <c r="D237" s="3" t="n">
        <v>1</v>
      </c>
      <c r="E237" s="10" t="n">
        <v>45673.61425925926</v>
      </c>
      <c r="F237" s="10" t="n">
        <v>45673.61665509259</v>
      </c>
      <c r="G237" s="10" t="n">
        <v>45673.65523148148</v>
      </c>
      <c r="H237" s="10" t="n">
        <v>45673.69584490741</v>
      </c>
      <c r="I237" s="10" t="n">
        <v>45673.69584490741</v>
      </c>
      <c r="J237" s="10" t="n">
        <v>45673.69680555556</v>
      </c>
      <c r="K237" s="11">
        <f>IF(AND(ISNUMBER(E237),ISNUMBER(F237)),(F237-E237),"")</f>
        <v/>
      </c>
      <c r="L237" s="11">
        <f>IF(AND(ISNUMBER(F237),ISNUMBER(G237)),(G237-F237),"")</f>
        <v/>
      </c>
      <c r="M237" s="11">
        <f>IF(AND(ISNUMBER(H237),ISNUMBER(I237)),(I237-H237),"")</f>
        <v/>
      </c>
      <c r="N237" s="11">
        <f>IF(AND(ISNUMBER(E237),ISNUMBER(J237)),(J237-E237),"")</f>
        <v/>
      </c>
    </row>
    <row r="238">
      <c r="A238" s="3" t="inlineStr">
        <is>
          <t>OBT160125151346-Pitten (Hamburger)</t>
        </is>
      </c>
      <c r="B238" s="3" t="inlineStr">
        <is>
          <t>Pitten (Hamburger)</t>
        </is>
      </c>
      <c r="C238" s="3" t="inlineStr">
        <is>
          <t>613</t>
        </is>
      </c>
      <c r="D238" s="3" t="n">
        <v>1</v>
      </c>
      <c r="E238" s="10" t="n">
        <v>45673.63238425926</v>
      </c>
      <c r="F238" s="10" t="n">
        <v>45673.63456018519</v>
      </c>
      <c r="G238" s="10" t="n">
        <v>45673.68303240741</v>
      </c>
      <c r="H238" s="10" t="n">
        <v>45673.71283564815</v>
      </c>
      <c r="I238" s="10" t="n">
        <v>45673.71283564815</v>
      </c>
      <c r="J238" s="10" t="n">
        <v>45673.71365740741</v>
      </c>
      <c r="K238" s="11">
        <f>IF(AND(ISNUMBER(E238),ISNUMBER(F238)),(F238-E238),"")</f>
        <v/>
      </c>
      <c r="L238" s="11">
        <f>IF(AND(ISNUMBER(F238),ISNUMBER(G238)),(G238-F238),"")</f>
        <v/>
      </c>
      <c r="M238" s="11">
        <f>IF(AND(ISNUMBER(H238),ISNUMBER(I238)),(I238-H238),"")</f>
        <v/>
      </c>
      <c r="N238" s="11">
        <f>IF(AND(ISNUMBER(E238),ISNUMBER(J238)),(J238-E238),"")</f>
        <v/>
      </c>
    </row>
    <row r="239">
      <c r="A239" s="3" t="inlineStr">
        <is>
          <t>OBT160125162643-Wien Kledering</t>
        </is>
      </c>
      <c r="B239" s="3" t="inlineStr">
        <is>
          <t>Wien Kledering</t>
        </is>
      </c>
      <c r="C239" s="3" t="inlineStr">
        <is>
          <t>621</t>
        </is>
      </c>
      <c r="D239" s="3" t="n">
        <v>2</v>
      </c>
      <c r="E239" s="10" t="n">
        <v>45673.65143518519</v>
      </c>
      <c r="F239" s="10" t="n">
        <v>45673.68521990741</v>
      </c>
      <c r="G239" s="10" t="n">
        <v>45673.75186342592</v>
      </c>
      <c r="H239" s="10" t="n">
        <v>45673.77275462963</v>
      </c>
      <c r="I239" s="10" t="n">
        <v>45673.77275462963</v>
      </c>
      <c r="J239" s="10" t="n">
        <v>45673.77357638889</v>
      </c>
      <c r="K239" s="11">
        <f>IF(AND(ISNUMBER(E239),ISNUMBER(F239)),(F239-E239),"")</f>
        <v/>
      </c>
      <c r="L239" s="11">
        <f>IF(AND(ISNUMBER(F239),ISNUMBER(G239)),(G239-F239),"")</f>
        <v/>
      </c>
      <c r="M239" s="11">
        <f>IF(AND(ISNUMBER(H239),ISNUMBER(I239)),(I239-H239),"")</f>
        <v/>
      </c>
      <c r="N239" s="11">
        <f>IF(AND(ISNUMBER(E239),ISNUMBER(J239)),(J239-E239),"")</f>
        <v/>
      </c>
    </row>
    <row r="240">
      <c r="A240" s="3" t="inlineStr">
        <is>
          <t>OBT160125175803-Neunkirchen (loading tracks)</t>
        </is>
      </c>
      <c r="B240" s="3" t="inlineStr">
        <is>
          <t>Neunkirchen (loading tracks)</t>
        </is>
      </c>
      <c r="C240" s="3" t="inlineStr">
        <is>
          <t>629</t>
        </is>
      </c>
      <c r="D240" s="3" t="n">
        <v>4</v>
      </c>
      <c r="E240" s="10" t="n">
        <v>45673.33483796296</v>
      </c>
      <c r="F240" s="10" t="n">
        <v>45673.74864583334</v>
      </c>
      <c r="G240" s="10" t="n">
        <v>45673.86166666666</v>
      </c>
      <c r="H240" s="10" t="n">
        <v>45673.88354166667</v>
      </c>
      <c r="I240" s="10" t="n">
        <v>45673.88354166667</v>
      </c>
      <c r="J240" s="10" t="n">
        <v>45673.88421296296</v>
      </c>
      <c r="K240" s="11">
        <f>IF(AND(ISNUMBER(E240),ISNUMBER(F240)),(F240-E240),"")</f>
        <v/>
      </c>
      <c r="L240" s="11">
        <f>IF(AND(ISNUMBER(F240),ISNUMBER(G240)),(G240-F240),"")</f>
        <v/>
      </c>
      <c r="M240" s="11">
        <f>IF(AND(ISNUMBER(H240),ISNUMBER(I240)),(I240-H240),"")</f>
        <v/>
      </c>
      <c r="N240" s="11">
        <f>IF(AND(ISNUMBER(E240),ISNUMBER(J240)),(J240-E240),"")</f>
        <v/>
      </c>
    </row>
    <row r="241">
      <c r="A241" s="3" t="inlineStr">
        <is>
          <t>OBT160125175833-Pitten (Hamburger)</t>
        </is>
      </c>
      <c r="B241" s="3" t="inlineStr">
        <is>
          <t>Pitten (Hamburger)</t>
        </is>
      </c>
      <c r="C241" s="3" t="inlineStr">
        <is>
          <t>613</t>
        </is>
      </c>
      <c r="D241" s="3" t="n">
        <v>1</v>
      </c>
      <c r="E241" s="10" t="n">
        <v>45673.7468287037</v>
      </c>
      <c r="F241" s="10" t="n">
        <v>45673.74899305555</v>
      </c>
      <c r="G241" s="10" t="n">
        <v>45674.13369212963</v>
      </c>
      <c r="H241" s="10" t="n">
        <v>45674.19850694444</v>
      </c>
      <c r="I241" s="10" t="n">
        <v>45674.19850694444</v>
      </c>
      <c r="J241" s="10" t="n">
        <v>45674.19979166667</v>
      </c>
      <c r="K241" s="11">
        <f>IF(AND(ISNUMBER(E241),ISNUMBER(F241)),(F241-E241),"")</f>
        <v/>
      </c>
      <c r="L241" s="11">
        <f>IF(AND(ISNUMBER(F241),ISNUMBER(G241)),(G241-F241),"")</f>
        <v/>
      </c>
      <c r="M241" s="11">
        <f>IF(AND(ISNUMBER(H241),ISNUMBER(I241)),(I241-H241),"")</f>
        <v/>
      </c>
      <c r="N241" s="11">
        <f>IF(AND(ISNUMBER(E241),ISNUMBER(J241)),(J241-E241),"")</f>
        <v/>
      </c>
    </row>
    <row r="242">
      <c r="A242" s="3" t="inlineStr">
        <is>
          <t>OBT160125203020-Pitten (Hamburger)</t>
        </is>
      </c>
      <c r="B242" s="3" t="inlineStr">
        <is>
          <t>Pitten (Hamburger)</t>
        </is>
      </c>
      <c r="C242" s="3" t="inlineStr">
        <is>
          <t>625</t>
        </is>
      </c>
      <c r="D242" s="3" t="n">
        <v>1</v>
      </c>
      <c r="E242" s="10" t="n">
        <v>45673.85200231482</v>
      </c>
      <c r="F242" s="10" t="n">
        <v>45673.85439814815</v>
      </c>
      <c r="G242" s="10" t="n">
        <v>45674.19945601852</v>
      </c>
      <c r="H242" s="10" t="n">
        <v>45674.21833333333</v>
      </c>
      <c r="I242" s="10" t="n">
        <v>45674.21833333333</v>
      </c>
      <c r="J242" s="10" t="n">
        <v>45674.21908564815</v>
      </c>
      <c r="K242" s="11">
        <f>IF(AND(ISNUMBER(E242),ISNUMBER(F242)),(F242-E242),"")</f>
        <v/>
      </c>
      <c r="L242" s="11">
        <f>IF(AND(ISNUMBER(F242),ISNUMBER(G242)),(G242-F242),"")</f>
        <v/>
      </c>
      <c r="M242" s="11">
        <f>IF(AND(ISNUMBER(H242),ISNUMBER(I242)),(I242-H242),"")</f>
        <v/>
      </c>
      <c r="N242" s="11">
        <f>IF(AND(ISNUMBER(E242),ISNUMBER(J242)),(J242-E242),"")</f>
        <v/>
      </c>
    </row>
    <row r="243">
      <c r="A243" s="3" t="inlineStr">
        <is>
          <t>OBT160125203907-Wr. Neustadt (Hödlmayr)</t>
        </is>
      </c>
      <c r="B243" s="3" t="inlineStr">
        <is>
          <t>Wr. Neustadt (Hödlmayr)</t>
        </is>
      </c>
      <c r="C243" s="3" t="inlineStr">
        <is>
          <t>617</t>
        </is>
      </c>
      <c r="D243" s="3" t="n">
        <v>3</v>
      </c>
      <c r="E243" s="10" t="n">
        <v>45673.64075231482</v>
      </c>
      <c r="F243" s="10" t="n">
        <v>45673.86049768519</v>
      </c>
      <c r="G243" s="10" t="n">
        <v>45674.2815162037</v>
      </c>
      <c r="H243" s="10" t="n">
        <v>45674.3002662037</v>
      </c>
      <c r="I243" s="10" t="n">
        <v>45674.3002662037</v>
      </c>
      <c r="J243" s="10" t="n">
        <v>45674.30106481481</v>
      </c>
      <c r="K243" s="11">
        <f>IF(AND(ISNUMBER(E243),ISNUMBER(F243)),(F243-E243),"")</f>
        <v/>
      </c>
      <c r="L243" s="11">
        <f>IF(AND(ISNUMBER(F243),ISNUMBER(G243)),(G243-F243),"")</f>
        <v/>
      </c>
      <c r="M243" s="11">
        <f>IF(AND(ISNUMBER(H243),ISNUMBER(I243)),(I243-H243),"")</f>
        <v/>
      </c>
      <c r="N243" s="11">
        <f>IF(AND(ISNUMBER(E243),ISNUMBER(J243)),(J243-E243),"")</f>
        <v/>
      </c>
    </row>
    <row r="244">
      <c r="A244" s="3" t="inlineStr">
        <is>
          <t>OBT160125204054-Ebenfurth (beet loading)</t>
        </is>
      </c>
      <c r="B244" s="3" t="inlineStr">
        <is>
          <t>Ebenfurth (beet loading)</t>
        </is>
      </c>
      <c r="C244" s="3" t="inlineStr">
        <is>
          <t>607</t>
        </is>
      </c>
      <c r="D244" s="3" t="n">
        <v>4</v>
      </c>
      <c r="E244" s="10" t="n">
        <v>45673.32111111111</v>
      </c>
      <c r="F244" s="10" t="n">
        <v>45673.86173611111</v>
      </c>
      <c r="G244" s="10" t="n">
        <v>45674.32607638889</v>
      </c>
      <c r="H244" s="10" t="n">
        <v>45674.34520833333</v>
      </c>
      <c r="I244" s="10" t="n">
        <v>45674.34520833333</v>
      </c>
      <c r="J244" s="10" t="n">
        <v>45674.34606481482</v>
      </c>
      <c r="K244" s="11">
        <f>IF(AND(ISNUMBER(E244),ISNUMBER(F244)),(F244-E244),"")</f>
        <v/>
      </c>
      <c r="L244" s="11">
        <f>IF(AND(ISNUMBER(F244),ISNUMBER(G244)),(G244-F244),"")</f>
        <v/>
      </c>
      <c r="M244" s="11">
        <f>IF(AND(ISNUMBER(H244),ISNUMBER(I244)),(I244-H244),"")</f>
        <v/>
      </c>
      <c r="N244" s="11">
        <f>IF(AND(ISNUMBER(E244),ISNUMBER(J244)),(J244-E244),"")</f>
        <v/>
      </c>
    </row>
    <row r="245">
      <c r="A245" s="3" t="inlineStr">
        <is>
          <t>OBT170125030753-Neunkirchen (loading tracks)</t>
        </is>
      </c>
      <c r="B245" s="3" t="inlineStr">
        <is>
          <t>Neunkirchen (loading tracks)</t>
        </is>
      </c>
      <c r="C245" s="3" t="inlineStr">
        <is>
          <t>605</t>
        </is>
      </c>
      <c r="D245" s="3" t="n">
        <v>2</v>
      </c>
      <c r="E245" s="10" t="n">
        <v>45673.85993055555</v>
      </c>
      <c r="F245" s="10" t="n">
        <v>45674.13047453704</v>
      </c>
      <c r="G245" s="10" t="n">
        <v>45674.32890046296</v>
      </c>
      <c r="H245" s="10" t="n">
        <v>45674.35768518518</v>
      </c>
      <c r="I245" s="10" t="n">
        <v>45674.35768518518</v>
      </c>
      <c r="J245" s="10" t="n">
        <v>45674.35865740741</v>
      </c>
      <c r="K245" s="11">
        <f>IF(AND(ISNUMBER(E245),ISNUMBER(F245)),(F245-E245),"")</f>
        <v/>
      </c>
      <c r="L245" s="11">
        <f>IF(AND(ISNUMBER(F245),ISNUMBER(G245)),(G245-F245),"")</f>
        <v/>
      </c>
      <c r="M245" s="11">
        <f>IF(AND(ISNUMBER(H245),ISNUMBER(I245)),(I245-H245),"")</f>
        <v/>
      </c>
      <c r="N245" s="11">
        <f>IF(AND(ISNUMBER(E245),ISNUMBER(J245)),(J245-E245),"")</f>
        <v/>
      </c>
    </row>
    <row r="246">
      <c r="A246" s="3" t="inlineStr">
        <is>
          <t>OBT170125031540-Other sidings south</t>
        </is>
      </c>
      <c r="B246" s="3" t="inlineStr">
        <is>
          <t>Other sidings south</t>
        </is>
      </c>
      <c r="C246" s="3" t="inlineStr">
        <is>
          <t>609</t>
        </is>
      </c>
      <c r="D246" s="3" t="n">
        <v>6</v>
      </c>
      <c r="E246" s="10" t="n">
        <v>45672.66353009259</v>
      </c>
      <c r="F246" s="10" t="n">
        <v>45674.13587962963</v>
      </c>
      <c r="G246" s="10" t="n">
        <v>45674.34686342593</v>
      </c>
      <c r="H246" s="10" t="n">
        <v>45674.37018518519</v>
      </c>
      <c r="I246" s="10" t="n">
        <v>45674.37018518519</v>
      </c>
      <c r="J246" s="10" t="n">
        <v>45674.37104166667</v>
      </c>
      <c r="K246" s="11">
        <f>IF(AND(ISNUMBER(E246),ISNUMBER(F246)),(F246-E246),"")</f>
        <v/>
      </c>
      <c r="L246" s="11">
        <f>IF(AND(ISNUMBER(F246),ISNUMBER(G246)),(G246-F246),"")</f>
        <v/>
      </c>
      <c r="M246" s="11">
        <f>IF(AND(ISNUMBER(H246),ISNUMBER(I246)),(I246-H246),"")</f>
        <v/>
      </c>
      <c r="N246" s="11">
        <f>IF(AND(ISNUMBER(E246),ISNUMBER(J246)),(J246-E246),"")</f>
        <v/>
      </c>
    </row>
    <row r="247">
      <c r="A247" s="3" t="inlineStr">
        <is>
          <t>OBT170125044950-Neudörfl (FunderMax)</t>
        </is>
      </c>
      <c r="B247" s="3" t="inlineStr">
        <is>
          <t>Neudörfl (FunderMax)</t>
        </is>
      </c>
      <c r="C247" s="3" t="inlineStr">
        <is>
          <t>619</t>
        </is>
      </c>
      <c r="D247" s="3" t="n">
        <v>3</v>
      </c>
      <c r="E247" s="10" t="n">
        <v>45673.639375</v>
      </c>
      <c r="F247" s="10" t="n">
        <v>45674.20127314814</v>
      </c>
      <c r="G247" s="10" t="n">
        <v>45674.37914351852</v>
      </c>
      <c r="H247" s="10" t="n">
        <v>45674.47880787037</v>
      </c>
      <c r="I247" s="10" t="n">
        <v>45674.47880787037</v>
      </c>
      <c r="J247" s="10" t="n">
        <v>45674.48069444444</v>
      </c>
      <c r="K247" s="11">
        <f>IF(AND(ISNUMBER(E247),ISNUMBER(F247)),(F247-E247),"")</f>
        <v/>
      </c>
      <c r="L247" s="11">
        <f>IF(AND(ISNUMBER(F247),ISNUMBER(G247)),(G247-F247),"")</f>
        <v/>
      </c>
      <c r="M247" s="11">
        <f>IF(AND(ISNUMBER(H247),ISNUMBER(I247)),(I247-H247),"")</f>
        <v/>
      </c>
      <c r="N247" s="11">
        <f>IF(AND(ISNUMBER(E247),ISNUMBER(J247)),(J247-E247),"")</f>
        <v/>
      </c>
    </row>
    <row r="248">
      <c r="A248" s="3" t="inlineStr">
        <is>
          <t>OBT170125064600-Wien Kledering</t>
        </is>
      </c>
      <c r="B248" s="3" t="inlineStr">
        <is>
          <t>Wien Kledering</t>
        </is>
      </c>
      <c r="C248" s="3" t="inlineStr">
        <is>
          <t>613</t>
        </is>
      </c>
      <c r="D248" s="3" t="n">
        <v>2</v>
      </c>
      <c r="E248" s="10" t="n">
        <v>45673.75012731482</v>
      </c>
      <c r="F248" s="10" t="n">
        <v>45674.28194444445</v>
      </c>
      <c r="G248" s="10" t="n">
        <v>45674.39969907407</v>
      </c>
      <c r="H248" s="10" t="n">
        <v>45674.45126157408</v>
      </c>
      <c r="I248" s="10" t="n">
        <v>45674.45126157408</v>
      </c>
      <c r="J248" s="10" t="n">
        <v>45674.45237268518</v>
      </c>
      <c r="K248" s="11">
        <f>IF(AND(ISNUMBER(E248),ISNUMBER(F248)),(F248-E248),"")</f>
        <v/>
      </c>
      <c r="L248" s="11">
        <f>IF(AND(ISNUMBER(F248),ISNUMBER(G248)),(G248-F248),"")</f>
        <v/>
      </c>
      <c r="M248" s="11">
        <f>IF(AND(ISNUMBER(H248),ISNUMBER(I248)),(I248-H248),"")</f>
        <v/>
      </c>
      <c r="N248" s="11">
        <f>IF(AND(ISNUMBER(E248),ISNUMBER(J248)),(J248-E248),"")</f>
        <v/>
      </c>
    </row>
    <row r="249">
      <c r="A249" s="3" t="inlineStr">
        <is>
          <t>OBT170125073030-Other sidings north</t>
        </is>
      </c>
      <c r="B249" s="3" t="inlineStr">
        <is>
          <t>Other sidings north</t>
        </is>
      </c>
      <c r="C249" s="3" t="inlineStr">
        <is>
          <t>606</t>
        </is>
      </c>
      <c r="D249" s="3" t="n">
        <v>3</v>
      </c>
      <c r="E249" s="10" t="n">
        <v>45672.7699074074</v>
      </c>
      <c r="F249" s="10" t="n">
        <v>45674.31284722222</v>
      </c>
      <c r="G249" s="10" t="n">
        <v>45674.43931712963</v>
      </c>
      <c r="H249" s="10" t="n">
        <v>45674.46262731482</v>
      </c>
      <c r="I249" s="10" t="n">
        <v>45674.46262731482</v>
      </c>
      <c r="J249" s="10" t="n">
        <v>45674.46344907407</v>
      </c>
      <c r="K249" s="11">
        <f>IF(AND(ISNUMBER(E249),ISNUMBER(F249)),(F249-E249),"")</f>
        <v/>
      </c>
      <c r="L249" s="11">
        <f>IF(AND(ISNUMBER(F249),ISNUMBER(G249)),(G249-F249),"")</f>
        <v/>
      </c>
      <c r="M249" s="11">
        <f>IF(AND(ISNUMBER(H249),ISNUMBER(I249)),(I249-H249),"")</f>
        <v/>
      </c>
      <c r="N249" s="11">
        <f>IF(AND(ISNUMBER(E249),ISNUMBER(J249)),(J249-E249),"")</f>
        <v/>
      </c>
    </row>
    <row r="250">
      <c r="A250" s="3" t="inlineStr">
        <is>
          <t>OBT170125073211-Pitten (Hamburger)</t>
        </is>
      </c>
      <c r="B250" s="3" t="inlineStr">
        <is>
          <t>Pitten (Hamburger)</t>
        </is>
      </c>
      <c r="C250" s="3" t="inlineStr">
        <is>
          <t>625</t>
        </is>
      </c>
      <c r="D250" s="3" t="n">
        <v>1</v>
      </c>
      <c r="E250" s="10" t="n">
        <v>45674.31162037037</v>
      </c>
      <c r="F250" s="10" t="n">
        <v>45674.3140162037</v>
      </c>
      <c r="G250" s="10" t="n">
        <v>45674.54545138889</v>
      </c>
      <c r="H250" s="10" t="n">
        <v>45674.57109953704</v>
      </c>
      <c r="I250" s="10" t="n">
        <v>45674.57109953704</v>
      </c>
      <c r="J250" s="10" t="n">
        <v>45674.57193287037</v>
      </c>
      <c r="K250" s="11">
        <f>IF(AND(ISNUMBER(E250),ISNUMBER(F250)),(F250-E250),"")</f>
        <v/>
      </c>
      <c r="L250" s="11">
        <f>IF(AND(ISNUMBER(F250),ISNUMBER(G250)),(G250-F250),"")</f>
        <v/>
      </c>
      <c r="M250" s="11">
        <f>IF(AND(ISNUMBER(H250),ISNUMBER(I250)),(I250-H250),"")</f>
        <v/>
      </c>
      <c r="N250" s="11">
        <f>IF(AND(ISNUMBER(E250),ISNUMBER(J250)),(J250-E250),"")</f>
        <v/>
      </c>
    </row>
    <row r="251">
      <c r="A251" s="3" t="inlineStr">
        <is>
          <t>OBT170125073842-St. Veit an der Glan</t>
        </is>
      </c>
      <c r="B251" s="3" t="inlineStr">
        <is>
          <t>St. Veit an der Glan</t>
        </is>
      </c>
      <c r="C251" s="3" t="inlineStr">
        <is>
          <t>615</t>
        </is>
      </c>
      <c r="D251" s="3" t="n">
        <v>3</v>
      </c>
      <c r="E251" s="10" t="n">
        <v>45673.45231481481</v>
      </c>
      <c r="F251" s="10" t="n">
        <v>45674.31854166667</v>
      </c>
      <c r="G251" s="10" t="n">
        <v>45674.65956018519</v>
      </c>
      <c r="H251" s="10" t="n">
        <v>45674.68287037037</v>
      </c>
      <c r="I251" s="10" t="n">
        <v>45674.68287037037</v>
      </c>
      <c r="J251" s="10" t="n">
        <v>45674.68364583333</v>
      </c>
      <c r="K251" s="11">
        <f>IF(AND(ISNUMBER(E251),ISNUMBER(F251)),(F251-E251),"")</f>
        <v/>
      </c>
      <c r="L251" s="11">
        <f>IF(AND(ISNUMBER(F251),ISNUMBER(G251)),(G251-F251),"")</f>
        <v/>
      </c>
      <c r="M251" s="11">
        <f>IF(AND(ISNUMBER(H251),ISNUMBER(I251)),(I251-H251),"")</f>
        <v/>
      </c>
      <c r="N251" s="11">
        <f>IF(AND(ISNUMBER(E251),ISNUMBER(J251)),(J251-E251),"")</f>
        <v/>
      </c>
    </row>
    <row r="252">
      <c r="A252" s="3" t="inlineStr">
        <is>
          <t>OBT170125075244-Ternitz (Schoeller-Bleckmann)</t>
        </is>
      </c>
      <c r="B252" s="3" t="inlineStr">
        <is>
          <t>Ternitz (Schoeller-Bleckmann)</t>
        </is>
      </c>
      <c r="C252" s="3" t="inlineStr">
        <is>
          <t>621</t>
        </is>
      </c>
      <c r="D252" s="3" t="n">
        <v>3</v>
      </c>
      <c r="E252" s="10" t="n">
        <v>45674.13040509259</v>
      </c>
      <c r="F252" s="10" t="n">
        <v>45674.32828703704</v>
      </c>
      <c r="G252" s="10" t="n">
        <v>45674.74086805555</v>
      </c>
      <c r="H252" s="10" t="n">
        <v>45674.76534722222</v>
      </c>
      <c r="I252" s="10" t="n">
        <v>45674.76534722222</v>
      </c>
      <c r="J252" s="10" t="n">
        <v>45674.76621527778</v>
      </c>
      <c r="K252" s="11">
        <f>IF(AND(ISNUMBER(E252),ISNUMBER(F252)),(F252-E252),"")</f>
        <v/>
      </c>
      <c r="L252" s="11">
        <f>IF(AND(ISNUMBER(F252),ISNUMBER(G252)),(G252-F252),"")</f>
        <v/>
      </c>
      <c r="M252" s="11">
        <f>IF(AND(ISNUMBER(H252),ISNUMBER(I252)),(I252-H252),"")</f>
        <v/>
      </c>
      <c r="N252" s="11">
        <f>IF(AND(ISNUMBER(E252),ISNUMBER(J252)),(J252-E252),"")</f>
        <v/>
      </c>
    </row>
    <row r="253">
      <c r="A253" s="3" t="inlineStr">
        <is>
          <t>OBT170125075431-Wien Kledering</t>
        </is>
      </c>
      <c r="B253" s="3" t="inlineStr">
        <is>
          <t>Wien Kledering</t>
        </is>
      </c>
      <c r="C253" s="3" t="inlineStr">
        <is>
          <t>617</t>
        </is>
      </c>
      <c r="D253" s="3" t="n">
        <v>1</v>
      </c>
      <c r="E253" s="10" t="n">
        <v>45674.32716435185</v>
      </c>
      <c r="F253" s="10" t="n">
        <v>45674.32952546296</v>
      </c>
      <c r="G253" s="10" t="n">
        <v>45674.76011574074</v>
      </c>
      <c r="H253" s="10" t="n">
        <v>45674.81912037037</v>
      </c>
      <c r="I253" s="10" t="n">
        <v>45674.81912037037</v>
      </c>
      <c r="J253" s="10" t="n">
        <v>45674.82045138889</v>
      </c>
      <c r="K253" s="11">
        <f>IF(AND(ISNUMBER(E253),ISNUMBER(F253)),(F253-E253),"")</f>
        <v/>
      </c>
      <c r="L253" s="11">
        <f>IF(AND(ISNUMBER(F253),ISNUMBER(G253)),(G253-F253),"")</f>
        <v/>
      </c>
      <c r="M253" s="11">
        <f>IF(AND(ISNUMBER(H253),ISNUMBER(I253)),(I253-H253),"")</f>
        <v/>
      </c>
      <c r="N253" s="11">
        <f>IF(AND(ISNUMBER(E253),ISNUMBER(J253)),(J253-E253),"")</f>
        <v/>
      </c>
    </row>
    <row r="254">
      <c r="A254" s="3" t="inlineStr">
        <is>
          <t>OBT170125081922-Steinabrückl/Wöllersdorf</t>
        </is>
      </c>
      <c r="B254" s="3" t="inlineStr">
        <is>
          <t>Steinabrückl/Wöllersdorf</t>
        </is>
      </c>
      <c r="C254" s="3" t="inlineStr">
        <is>
          <t>623</t>
        </is>
      </c>
      <c r="D254" s="3" t="n">
        <v>5</v>
      </c>
      <c r="E254" s="10" t="n">
        <v>45672.65528935185</v>
      </c>
      <c r="F254" s="10" t="n">
        <v>45674.34678240741</v>
      </c>
      <c r="G254" s="10" t="n">
        <v>45674.86785879629</v>
      </c>
      <c r="H254" s="10" t="n">
        <v>45674.92876157408</v>
      </c>
      <c r="I254" s="10" t="n">
        <v>45674.92876157408</v>
      </c>
      <c r="J254" s="10" t="n">
        <v>45674.93011574074</v>
      </c>
      <c r="K254" s="11">
        <f>IF(AND(ISNUMBER(E254),ISNUMBER(F254)),(F254-E254),"")</f>
        <v/>
      </c>
      <c r="L254" s="11">
        <f>IF(AND(ISNUMBER(F254),ISNUMBER(G254)),(G254-F254),"")</f>
        <v/>
      </c>
      <c r="M254" s="11">
        <f>IF(AND(ISNUMBER(H254),ISNUMBER(I254)),(I254-H254),"")</f>
        <v/>
      </c>
      <c r="N254" s="11">
        <f>IF(AND(ISNUMBER(E254),ISNUMBER(J254)),(J254-E254),"")</f>
        <v/>
      </c>
    </row>
    <row r="255">
      <c r="A255" s="3" t="inlineStr">
        <is>
          <t>OBT170125090658-St. Veit an der Glan</t>
        </is>
      </c>
      <c r="B255" s="3" t="inlineStr">
        <is>
          <t>St. Veit an der Glan</t>
        </is>
      </c>
      <c r="C255" s="3" t="inlineStr">
        <is>
          <t>615</t>
        </is>
      </c>
      <c r="D255" s="3" t="n">
        <v>1</v>
      </c>
      <c r="E255" s="10" t="n">
        <v>45674.37744212963</v>
      </c>
      <c r="F255" s="10" t="n">
        <v>45674.37983796297</v>
      </c>
      <c r="G255" s="10" t="n">
        <v>45675.03643518518</v>
      </c>
      <c r="H255" s="10" t="n">
        <v>45675.0665162037</v>
      </c>
      <c r="I255" s="10" t="n">
        <v>45675.0665162037</v>
      </c>
      <c r="J255" s="10" t="n">
        <v>45675.06738425926</v>
      </c>
      <c r="K255" s="11">
        <f>IF(AND(ISNUMBER(E255),ISNUMBER(F255)),(F255-E255),"")</f>
        <v/>
      </c>
      <c r="L255" s="11">
        <f>IF(AND(ISNUMBER(F255),ISNUMBER(G255)),(G255-F255),"")</f>
        <v/>
      </c>
      <c r="M255" s="11">
        <f>IF(AND(ISNUMBER(H255),ISNUMBER(I255)),(I255-H255),"")</f>
        <v/>
      </c>
      <c r="N255" s="11">
        <f>IF(AND(ISNUMBER(E255),ISNUMBER(J255)),(J255-E255),"")</f>
        <v/>
      </c>
    </row>
    <row r="256">
      <c r="A256" s="3" t="inlineStr">
        <is>
          <t>OBT170125091546-Pitten (Hamburger)</t>
        </is>
      </c>
      <c r="B256" s="3" t="inlineStr">
        <is>
          <t>Pitten (Hamburger)</t>
        </is>
      </c>
      <c r="C256" s="3" t="inlineStr">
        <is>
          <t>607</t>
        </is>
      </c>
      <c r="D256" s="3" t="n">
        <v>2</v>
      </c>
      <c r="E256" s="10" t="n">
        <v>45674.31623842593</v>
      </c>
      <c r="F256" s="10" t="n">
        <v>45674.38594907407</v>
      </c>
      <c r="G256" s="10" t="n">
        <v>45675.25440972222</v>
      </c>
      <c r="H256" s="10" t="n">
        <v>45675.29618055555</v>
      </c>
      <c r="I256" s="10" t="n">
        <v>45675.29618055555</v>
      </c>
      <c r="J256" s="10" t="n">
        <v>45675.29733796296</v>
      </c>
      <c r="K256" s="11">
        <f>IF(AND(ISNUMBER(E256),ISNUMBER(F256)),(F256-E256),"")</f>
        <v/>
      </c>
      <c r="L256" s="11">
        <f>IF(AND(ISNUMBER(F256),ISNUMBER(G256)),(G256-F256),"")</f>
        <v/>
      </c>
      <c r="M256" s="11">
        <f>IF(AND(ISNUMBER(H256),ISNUMBER(I256)),(I256-H256),"")</f>
        <v/>
      </c>
      <c r="N256" s="11">
        <f>IF(AND(ISNUMBER(E256),ISNUMBER(J256)),(J256-E256),"")</f>
        <v/>
      </c>
    </row>
    <row r="257">
      <c r="A257" s="3" t="inlineStr">
        <is>
          <t>OBT170125093600-Gloggnitz</t>
        </is>
      </c>
      <c r="B257" s="3" t="inlineStr">
        <is>
          <t>Gloggnitz</t>
        </is>
      </c>
      <c r="C257" s="3" t="inlineStr">
        <is>
          <t>627</t>
        </is>
      </c>
      <c r="D257" s="3" t="n">
        <v>6</v>
      </c>
      <c r="E257" s="10" t="n">
        <v>45673.1253125</v>
      </c>
      <c r="F257" s="10" t="n">
        <v>45674.4</v>
      </c>
      <c r="G257" s="10" t="n">
        <v>45675.30059027778</v>
      </c>
      <c r="H257" s="10" t="n">
        <v>45675.32832175926</v>
      </c>
      <c r="I257" s="10" t="n">
        <v>45675.32832175926</v>
      </c>
      <c r="J257" s="10" t="n">
        <v>45675.32907407408</v>
      </c>
      <c r="K257" s="11">
        <f>IF(AND(ISNUMBER(E257),ISNUMBER(F257)),(F257-E257),"")</f>
        <v/>
      </c>
      <c r="L257" s="11">
        <f>IF(AND(ISNUMBER(F257),ISNUMBER(G257)),(G257-F257),"")</f>
        <v/>
      </c>
      <c r="M257" s="11">
        <f>IF(AND(ISNUMBER(H257),ISNUMBER(I257)),(I257-H257),"")</f>
        <v/>
      </c>
      <c r="N257" s="11">
        <f>IF(AND(ISNUMBER(E257),ISNUMBER(J257)),(J257-E257),"")</f>
        <v/>
      </c>
    </row>
    <row r="258">
      <c r="A258" s="3" t="inlineStr">
        <is>
          <t>OBT170125093812-Neudörfl (FunderMax)</t>
        </is>
      </c>
      <c r="B258" s="3" t="inlineStr">
        <is>
          <t>Neudörfl (FunderMax)</t>
        </is>
      </c>
      <c r="C258" s="3" t="inlineStr">
        <is>
          <t>629</t>
        </is>
      </c>
      <c r="D258" s="3" t="n">
        <v>3</v>
      </c>
      <c r="E258" s="10" t="n">
        <v>45674.31828703704</v>
      </c>
      <c r="F258" s="10" t="n">
        <v>45674.40152777778</v>
      </c>
      <c r="G258" s="10" t="n">
        <v>45676.74791666667</v>
      </c>
      <c r="H258" s="10" t="n">
        <v>45676.77996527778</v>
      </c>
      <c r="I258" s="10" t="n">
        <v>45676.77996527778</v>
      </c>
      <c r="J258" s="10" t="n">
        <v>45676.78076388889</v>
      </c>
      <c r="K258" s="11">
        <f>IF(AND(ISNUMBER(E258),ISNUMBER(F258)),(F258-E258),"")</f>
        <v/>
      </c>
      <c r="L258" s="11">
        <f>IF(AND(ISNUMBER(F258),ISNUMBER(G258)),(G258-F258),"")</f>
        <v/>
      </c>
      <c r="M258" s="11">
        <f>IF(AND(ISNUMBER(H258),ISNUMBER(I258)),(I258-H258),"")</f>
        <v/>
      </c>
      <c r="N258" s="11">
        <f>IF(AND(ISNUMBER(E258),ISNUMBER(J258)),(J258-E258),"")</f>
        <v/>
      </c>
    </row>
    <row r="259">
      <c r="A259" s="3" t="inlineStr">
        <is>
          <t>OBT170125130627-Wien Kledering</t>
        </is>
      </c>
      <c r="B259" s="3" t="inlineStr">
        <is>
          <t>Wien Kledering</t>
        </is>
      </c>
      <c r="C259" s="3" t="inlineStr">
        <is>
          <t>613</t>
        </is>
      </c>
      <c r="D259" s="3" t="n">
        <v>1</v>
      </c>
      <c r="E259" s="10" t="n">
        <v>45674.54375</v>
      </c>
      <c r="F259" s="10" t="n">
        <v>45674.54614583333</v>
      </c>
      <c r="G259" s="10" t="n">
        <v>45676.8556712963</v>
      </c>
      <c r="H259" s="10" t="n">
        <v>45676.89707175926</v>
      </c>
      <c r="I259" s="10" t="n">
        <v>45676.89707175926</v>
      </c>
      <c r="J259" s="10" t="n">
        <v>45676.89804398148</v>
      </c>
      <c r="K259" s="11">
        <f>IF(AND(ISNUMBER(E259),ISNUMBER(F259)),(F259-E259),"")</f>
        <v/>
      </c>
      <c r="L259" s="11">
        <f>IF(AND(ISNUMBER(F259),ISNUMBER(G259)),(G259-F259),"")</f>
        <v/>
      </c>
      <c r="M259" s="11">
        <f>IF(AND(ISNUMBER(H259),ISNUMBER(I259)),(I259-H259),"")</f>
        <v/>
      </c>
      <c r="N259" s="11">
        <f>IF(AND(ISNUMBER(E259),ISNUMBER(J259)),(J259-E259),"")</f>
        <v/>
      </c>
    </row>
    <row r="260">
      <c r="A260" s="3" t="inlineStr">
        <is>
          <t>OBT170125155040-Wien Kledering</t>
        </is>
      </c>
      <c r="B260" s="3" t="inlineStr">
        <is>
          <t>Wien Kledering</t>
        </is>
      </c>
      <c r="C260" s="3" t="inlineStr">
        <is>
          <t>625</t>
        </is>
      </c>
      <c r="D260" s="3" t="n">
        <v>2</v>
      </c>
      <c r="E260" s="10" t="n">
        <v>45674.38902777778</v>
      </c>
      <c r="F260" s="10" t="n">
        <v>45674.66018518519</v>
      </c>
      <c r="G260" s="10" t="n">
        <v>45677.12273148148</v>
      </c>
      <c r="H260" s="10" t="n">
        <v>45677.1609837963</v>
      </c>
      <c r="I260" s="10" t="n">
        <v>45677.1609837963</v>
      </c>
      <c r="J260" s="10" t="n">
        <v>45677.16200231481</v>
      </c>
      <c r="K260" s="11">
        <f>IF(AND(ISNUMBER(E260),ISNUMBER(F260)),(F260-E260),"")</f>
        <v/>
      </c>
      <c r="L260" s="11">
        <f>IF(AND(ISNUMBER(F260),ISNUMBER(G260)),(G260-F260),"")</f>
        <v/>
      </c>
      <c r="M260" s="11">
        <f>IF(AND(ISNUMBER(H260),ISNUMBER(I260)),(I260-H260),"")</f>
        <v/>
      </c>
      <c r="N260" s="11">
        <f>IF(AND(ISNUMBER(E260),ISNUMBER(J260)),(J260-E260),"")</f>
        <v/>
      </c>
    </row>
    <row r="261">
      <c r="A261" s="3" t="inlineStr">
        <is>
          <t>OBT170125174751-Wien Kledering</t>
        </is>
      </c>
      <c r="B261" s="3" t="inlineStr">
        <is>
          <t>Wien Kledering</t>
        </is>
      </c>
      <c r="C261" s="3" t="inlineStr">
        <is>
          <t>615</t>
        </is>
      </c>
      <c r="D261" s="3" t="n">
        <v>2</v>
      </c>
      <c r="E261" s="10" t="n">
        <v>45674.43547453704</v>
      </c>
      <c r="F261" s="10" t="n">
        <v>45674.7415625</v>
      </c>
      <c r="G261" s="10" t="n">
        <v>45677.20133101852</v>
      </c>
      <c r="H261" s="10" t="n">
        <v>45677.25378472222</v>
      </c>
      <c r="I261" s="10" t="n">
        <v>45677.25378472222</v>
      </c>
      <c r="J261" s="10" t="n">
        <v>45677.25494212963</v>
      </c>
      <c r="K261" s="11">
        <f>IF(AND(ISNUMBER(E261),ISNUMBER(F261)),(F261-E261),"")</f>
        <v/>
      </c>
      <c r="L261" s="11">
        <f>IF(AND(ISNUMBER(F261),ISNUMBER(G261)),(G261-F261),"")</f>
        <v/>
      </c>
      <c r="M261" s="11">
        <f>IF(AND(ISNUMBER(H261),ISNUMBER(I261)),(I261-H261),"")</f>
        <v/>
      </c>
      <c r="N261" s="11">
        <f>IF(AND(ISNUMBER(E261),ISNUMBER(J261)),(J261-E261),"")</f>
        <v/>
      </c>
    </row>
    <row r="262">
      <c r="A262" s="3" t="inlineStr">
        <is>
          <t>OBT170125181531-Wien Kledering</t>
        </is>
      </c>
      <c r="B262" s="3" t="inlineStr">
        <is>
          <t>Wien Kledering</t>
        </is>
      </c>
      <c r="C262" s="3" t="inlineStr">
        <is>
          <t>619</t>
        </is>
      </c>
      <c r="D262" s="3" t="n">
        <v>3</v>
      </c>
      <c r="E262" s="10" t="n">
        <v>45674.32023148148</v>
      </c>
      <c r="F262" s="10" t="n">
        <v>45674.76077546296</v>
      </c>
      <c r="G262" s="10" t="n">
        <v>45677.25707175926</v>
      </c>
      <c r="H262" s="10" t="n">
        <v>45677.27619212963</v>
      </c>
      <c r="I262" s="10" t="n">
        <v>45677.27619212963</v>
      </c>
      <c r="J262" s="10" t="n">
        <v>45677.27700231481</v>
      </c>
      <c r="K262" s="11">
        <f>IF(AND(ISNUMBER(E262),ISNUMBER(F262)),(F262-E262),"")</f>
        <v/>
      </c>
      <c r="L262" s="11">
        <f>IF(AND(ISNUMBER(F262),ISNUMBER(G262)),(G262-F262),"")</f>
        <v/>
      </c>
      <c r="M262" s="11">
        <f>IF(AND(ISNUMBER(H262),ISNUMBER(I262)),(I262-H262),"")</f>
        <v/>
      </c>
      <c r="N262" s="11">
        <f>IF(AND(ISNUMBER(E262),ISNUMBER(J262)),(J262-E262),"")</f>
        <v/>
      </c>
    </row>
    <row r="263">
      <c r="A263" s="3" t="inlineStr">
        <is>
          <t>OBT170125205009-Ternitz (Schoeller-Bleckmann)</t>
        </is>
      </c>
      <c r="B263" s="3" t="inlineStr">
        <is>
          <t>Ternitz (Schoeller-Bleckmann)</t>
        </is>
      </c>
      <c r="C263" s="3" t="inlineStr">
        <is>
          <t>621</t>
        </is>
      </c>
      <c r="D263" s="3" t="n">
        <v>2</v>
      </c>
      <c r="E263" s="10" t="n">
        <v>45674.85903935185</v>
      </c>
      <c r="F263" s="10" t="n">
        <v>45674.86815972222</v>
      </c>
      <c r="G263" s="10" t="n">
        <v>45677.32125</v>
      </c>
      <c r="H263" s="10" t="n">
        <v>45677.35177083333</v>
      </c>
      <c r="I263" s="10" t="n">
        <v>45677.35177083333</v>
      </c>
      <c r="J263" s="10" t="n">
        <v>45677.35271990741</v>
      </c>
      <c r="K263" s="11">
        <f>IF(AND(ISNUMBER(E263),ISNUMBER(F263)),(F263-E263),"")</f>
        <v/>
      </c>
      <c r="L263" s="11">
        <f>IF(AND(ISNUMBER(F263),ISNUMBER(G263)),(G263-F263),"")</f>
        <v/>
      </c>
      <c r="M263" s="11">
        <f>IF(AND(ISNUMBER(H263),ISNUMBER(I263)),(I263-H263),"")</f>
        <v/>
      </c>
      <c r="N263" s="11">
        <f>IF(AND(ISNUMBER(E263),ISNUMBER(J263)),(J263-E263),"")</f>
        <v/>
      </c>
    </row>
    <row r="264">
      <c r="A264" s="3" t="inlineStr">
        <is>
          <t>OBT180125004751-Pitten (Hamburger)</t>
        </is>
      </c>
      <c r="B264" s="3" t="inlineStr">
        <is>
          <t>Pitten (Hamburger)</t>
        </is>
      </c>
      <c r="C264" s="3" t="inlineStr">
        <is>
          <t>623</t>
        </is>
      </c>
      <c r="D264" s="3" t="n">
        <v>1</v>
      </c>
      <c r="E264" s="10" t="n">
        <v>45675.03107638889</v>
      </c>
      <c r="F264" s="10" t="n">
        <v>45675.03322916666</v>
      </c>
      <c r="G264" s="10" t="n">
        <v>45677.3228125</v>
      </c>
      <c r="H264" s="10" t="n">
        <v>45677.35392361111</v>
      </c>
      <c r="I264" s="10" t="n">
        <v>45677.35392361111</v>
      </c>
      <c r="J264" s="10" t="n">
        <v>45677.35487268519</v>
      </c>
      <c r="K264" s="11">
        <f>IF(AND(ISNUMBER(E264),ISNUMBER(F264)),(F264-E264),"")</f>
        <v/>
      </c>
      <c r="L264" s="11">
        <f>IF(AND(ISNUMBER(F264),ISNUMBER(G264)),(G264-F264),"")</f>
        <v/>
      </c>
      <c r="M264" s="11">
        <f>IF(AND(ISNUMBER(H264),ISNUMBER(I264)),(I264-H264),"")</f>
        <v/>
      </c>
      <c r="N264" s="11">
        <f>IF(AND(ISNUMBER(E264),ISNUMBER(J264)),(J264-E264),"")</f>
        <v/>
      </c>
    </row>
    <row r="265">
      <c r="A265" s="3" t="inlineStr">
        <is>
          <t>OBT180125005504-Neudörfl (FunderMax)</t>
        </is>
      </c>
      <c r="B265" s="3" t="inlineStr">
        <is>
          <t>Neudörfl (FunderMax)</t>
        </is>
      </c>
      <c r="C265" s="3" t="inlineStr">
        <is>
          <t>606</t>
        </is>
      </c>
      <c r="D265" s="3" t="n">
        <v>3</v>
      </c>
      <c r="E265" s="10" t="n">
        <v>45674.85707175926</v>
      </c>
      <c r="F265" s="10" t="n">
        <v>45675.03824074074</v>
      </c>
      <c r="G265" s="10" t="n">
        <v>45677.35517361111</v>
      </c>
      <c r="H265" s="10" t="n">
        <v>45677.38005787037</v>
      </c>
      <c r="I265" s="10" t="n">
        <v>45677.38005787037</v>
      </c>
      <c r="J265" s="10" t="n">
        <v>45677.38089120371</v>
      </c>
      <c r="K265" s="11">
        <f>IF(AND(ISNUMBER(E265),ISNUMBER(F265)),(F265-E265),"")</f>
        <v/>
      </c>
      <c r="L265" s="11">
        <f>IF(AND(ISNUMBER(F265),ISNUMBER(G265)),(G265-F265),"")</f>
        <v/>
      </c>
      <c r="M265" s="11">
        <f>IF(AND(ISNUMBER(H265),ISNUMBER(I265)),(I265-H265),"")</f>
        <v/>
      </c>
      <c r="N265" s="11">
        <f>IF(AND(ISNUMBER(E265),ISNUMBER(J265)),(J265-E265),"")</f>
        <v/>
      </c>
    </row>
    <row r="266">
      <c r="A266" s="3" t="inlineStr">
        <is>
          <t>OBT180125071607-Neudörfl (FunderMax)</t>
        </is>
      </c>
      <c r="B266" s="3" t="inlineStr">
        <is>
          <t>Neudörfl (FunderMax)</t>
        </is>
      </c>
      <c r="C266" s="3" t="inlineStr">
        <is>
          <t>615</t>
        </is>
      </c>
      <c r="D266" s="3" t="n">
        <v>2</v>
      </c>
      <c r="E266" s="10" t="n">
        <v>45675.25267361111</v>
      </c>
      <c r="F266" s="10" t="n">
        <v>45675.3028587963</v>
      </c>
      <c r="G266" s="10" t="n">
        <v>45677.38726851852</v>
      </c>
      <c r="H266" s="10" t="n">
        <v>45677.40641203704</v>
      </c>
      <c r="I266" s="10" t="n">
        <v>45677.40641203704</v>
      </c>
      <c r="J266" s="10" t="n">
        <v>45677.4071412037</v>
      </c>
      <c r="K266" s="11">
        <f>IF(AND(ISNUMBER(E266),ISNUMBER(F266)),(F266-E266),"")</f>
        <v/>
      </c>
      <c r="L266" s="11">
        <f>IF(AND(ISNUMBER(F266),ISNUMBER(G266)),(G266-F266),"")</f>
        <v/>
      </c>
      <c r="M266" s="11">
        <f>IF(AND(ISNUMBER(H266),ISNUMBER(I266)),(I266-H266),"")</f>
        <v/>
      </c>
      <c r="N266" s="11">
        <f>IF(AND(ISNUMBER(E266),ISNUMBER(J266)),(J266-E266),"")</f>
        <v/>
      </c>
    </row>
    <row r="267">
      <c r="A267" s="3" t="inlineStr">
        <is>
          <t>OBT190125175511-Pitten (Hamburger)</t>
        </is>
      </c>
      <c r="B267" s="3" t="inlineStr">
        <is>
          <t>Pitten (Hamburger)</t>
        </is>
      </c>
      <c r="C267" s="3" t="inlineStr">
        <is>
          <t>627</t>
        </is>
      </c>
      <c r="D267" s="3" t="n">
        <v>2</v>
      </c>
      <c r="E267" s="10" t="n">
        <v>45675.2905787037</v>
      </c>
      <c r="F267" s="10" t="n">
        <v>45676.74665509259</v>
      </c>
      <c r="G267" s="10" t="n">
        <v>45677.40931712963</v>
      </c>
      <c r="H267" s="10" t="n">
        <v>45677.49989583333</v>
      </c>
      <c r="I267" s="10" t="n">
        <v>45677.49989583333</v>
      </c>
      <c r="J267" s="10" t="n">
        <v>45677.50149305556</v>
      </c>
      <c r="K267" s="11">
        <f>IF(AND(ISNUMBER(E267),ISNUMBER(F267)),(F267-E267),"")</f>
        <v/>
      </c>
      <c r="L267" s="11">
        <f>IF(AND(ISNUMBER(F267),ISNUMBER(G267)),(G267-F267),"")</f>
        <v/>
      </c>
      <c r="M267" s="11">
        <f>IF(AND(ISNUMBER(H267),ISNUMBER(I267)),(I267-H267),"")</f>
        <v/>
      </c>
      <c r="N267" s="11">
        <f>IF(AND(ISNUMBER(E267),ISNUMBER(J267)),(J267-E267),"")</f>
        <v/>
      </c>
    </row>
    <row r="268">
      <c r="A268" s="3" t="inlineStr">
        <is>
          <t>OBT190125203024-Pitten (Hamburger)</t>
        </is>
      </c>
      <c r="B268" s="3" t="inlineStr">
        <is>
          <t>Pitten (Hamburger)</t>
        </is>
      </c>
      <c r="C268" s="3" t="inlineStr">
        <is>
          <t>629</t>
        </is>
      </c>
      <c r="D268" s="3" t="n">
        <v>3</v>
      </c>
      <c r="E268" s="10" t="n">
        <v>45674.86233796296</v>
      </c>
      <c r="F268" s="10" t="n">
        <v>45676.85444444444</v>
      </c>
      <c r="G268" s="10" t="n">
        <v>45677.4568287037</v>
      </c>
      <c r="H268" s="10" t="n">
        <v>45677.47986111111</v>
      </c>
      <c r="I268" s="10" t="n">
        <v>45677.47986111111</v>
      </c>
      <c r="J268" s="10" t="n">
        <v>45677.48055555556</v>
      </c>
      <c r="K268" s="11">
        <f>IF(AND(ISNUMBER(E268),ISNUMBER(F268)),(F268-E268),"")</f>
        <v/>
      </c>
      <c r="L268" s="11">
        <f>IF(AND(ISNUMBER(F268),ISNUMBER(G268)),(G268-F268),"")</f>
        <v/>
      </c>
      <c r="M268" s="11">
        <f>IF(AND(ISNUMBER(H268),ISNUMBER(I268)),(I268-H268),"")</f>
        <v/>
      </c>
      <c r="N268" s="11">
        <f>IF(AND(ISNUMBER(E268),ISNUMBER(J268)),(J268-E268),"")</f>
        <v/>
      </c>
    </row>
    <row r="269">
      <c r="A269" s="3" t="inlineStr">
        <is>
          <t>OBT190125203519-Neudörfl (FunderMax)</t>
        </is>
      </c>
      <c r="B269" s="3" t="inlineStr">
        <is>
          <t>Neudörfl (FunderMax)</t>
        </is>
      </c>
      <c r="C269" s="3" t="inlineStr">
        <is>
          <t>607</t>
        </is>
      </c>
      <c r="D269" s="3" t="n">
        <v>3</v>
      </c>
      <c r="E269" s="10" t="n">
        <v>45674.39196759259</v>
      </c>
      <c r="F269" s="10" t="n">
        <v>45676.8578587963</v>
      </c>
      <c r="G269" s="10" t="n">
        <v>45677.54091435186</v>
      </c>
      <c r="H269" s="10" t="n">
        <v>45677.55966435185</v>
      </c>
      <c r="I269" s="10" t="n">
        <v>45677.55966435185</v>
      </c>
      <c r="J269" s="10" t="n">
        <v>45677.56050925926</v>
      </c>
      <c r="K269" s="11">
        <f>IF(AND(ISNUMBER(E269),ISNUMBER(F269)),(F269-E269),"")</f>
        <v/>
      </c>
      <c r="L269" s="11">
        <f>IF(AND(ISNUMBER(F269),ISNUMBER(G269)),(G269-F269),"")</f>
        <v/>
      </c>
      <c r="M269" s="11">
        <f>IF(AND(ISNUMBER(H269),ISNUMBER(I269)),(I269-H269),"")</f>
        <v/>
      </c>
      <c r="N269" s="11">
        <f>IF(AND(ISNUMBER(E269),ISNUMBER(J269)),(J269-E269),"")</f>
        <v/>
      </c>
    </row>
    <row r="270">
      <c r="A270" s="3" t="inlineStr">
        <is>
          <t>OBT200125025157-Neunkirchen (loading tracks)</t>
        </is>
      </c>
      <c r="B270" s="3" t="inlineStr">
        <is>
          <t>Neunkirchen (loading tracks)</t>
        </is>
      </c>
      <c r="C270" s="3" t="inlineStr">
        <is>
          <t>613</t>
        </is>
      </c>
      <c r="D270" s="3" t="n">
        <v>1</v>
      </c>
      <c r="E270" s="10" t="n">
        <v>45677.11701388889</v>
      </c>
      <c r="F270" s="10" t="n">
        <v>45677.11940972223</v>
      </c>
      <c r="G270" s="10" t="n">
        <v>45677.61266203703</v>
      </c>
      <c r="H270" s="10" t="n">
        <v>45677.64144675926</v>
      </c>
      <c r="I270" s="10" t="n">
        <v>45677.64144675926</v>
      </c>
      <c r="J270" s="10" t="n">
        <v>45677.64225694445</v>
      </c>
      <c r="K270" s="11">
        <f>IF(AND(ISNUMBER(E270),ISNUMBER(F270)),(F270-E270),"")</f>
        <v/>
      </c>
      <c r="L270" s="11">
        <f>IF(AND(ISNUMBER(F270),ISNUMBER(G270)),(G270-F270),"")</f>
        <v/>
      </c>
      <c r="M270" s="11">
        <f>IF(AND(ISNUMBER(H270),ISNUMBER(I270)),(I270-H270),"")</f>
        <v/>
      </c>
      <c r="N270" s="11">
        <f>IF(AND(ISNUMBER(E270),ISNUMBER(J270)),(J270-E270),"")</f>
        <v/>
      </c>
    </row>
    <row r="271">
      <c r="A271" s="3" t="inlineStr">
        <is>
          <t>OBT200125045059-Neudörfl (FunderMax)</t>
        </is>
      </c>
      <c r="B271" s="3" t="inlineStr">
        <is>
          <t>Neudörfl (FunderMax)</t>
        </is>
      </c>
      <c r="C271" s="3" t="inlineStr">
        <is>
          <t>625</t>
        </is>
      </c>
      <c r="D271" s="3" t="n">
        <v>4</v>
      </c>
      <c r="E271" s="10" t="n">
        <v>45674.85530092593</v>
      </c>
      <c r="F271" s="10" t="n">
        <v>45677.20207175926</v>
      </c>
      <c r="G271" s="10" t="n">
        <v>45677.66603009259</v>
      </c>
      <c r="H271" s="10" t="n">
        <v>45677.72326388889</v>
      </c>
      <c r="I271" s="10" t="n">
        <v>45677.72326388889</v>
      </c>
      <c r="J271" s="10" t="n">
        <v>45677.72453703704</v>
      </c>
      <c r="K271" s="11">
        <f>IF(AND(ISNUMBER(E271),ISNUMBER(F271)),(F271-E271),"")</f>
        <v/>
      </c>
      <c r="L271" s="11">
        <f>IF(AND(ISNUMBER(F271),ISNUMBER(G271)),(G271-F271),"")</f>
        <v/>
      </c>
      <c r="M271" s="11">
        <f>IF(AND(ISNUMBER(H271),ISNUMBER(I271)),(I271-H271),"")</f>
        <v/>
      </c>
      <c r="N271" s="11">
        <f>IF(AND(ISNUMBER(E271),ISNUMBER(J271)),(J271-E271),"")</f>
        <v/>
      </c>
    </row>
    <row r="272">
      <c r="A272" s="3" t="inlineStr">
        <is>
          <t>OBT200125080054-Neunkirchen (loading tracks)</t>
        </is>
      </c>
      <c r="B272" s="3" t="inlineStr">
        <is>
          <t>Neunkirchen (loading tracks)</t>
        </is>
      </c>
      <c r="C272" s="3" t="inlineStr">
        <is>
          <t>615</t>
        </is>
      </c>
      <c r="D272" s="3" t="n">
        <v>1</v>
      </c>
      <c r="E272" s="10" t="n">
        <v>45677.33179398148</v>
      </c>
      <c r="F272" s="10" t="n">
        <v>45677.33395833334</v>
      </c>
      <c r="G272" s="10" t="n">
        <v>45677.66756944444</v>
      </c>
      <c r="H272" s="10" t="n">
        <v>45677.68541666667</v>
      </c>
      <c r="I272" s="10" t="n">
        <v>45677.68541666667</v>
      </c>
      <c r="J272" s="10" t="n">
        <v>45677.68611111111</v>
      </c>
      <c r="K272" s="11">
        <f>IF(AND(ISNUMBER(E272),ISNUMBER(F272)),(F272-E272),"")</f>
        <v/>
      </c>
      <c r="L272" s="11">
        <f>IF(AND(ISNUMBER(F272),ISNUMBER(G272)),(G272-F272),"")</f>
        <v/>
      </c>
      <c r="M272" s="11">
        <f>IF(AND(ISNUMBER(H272),ISNUMBER(I272)),(I272-H272),"")</f>
        <v/>
      </c>
      <c r="N272" s="11">
        <f>IF(AND(ISNUMBER(E272),ISNUMBER(J272)),(J272-E272),"")</f>
        <v/>
      </c>
    </row>
    <row r="273">
      <c r="A273" s="3" t="inlineStr">
        <is>
          <t>OBT200125080717-Wr. Neustadt (Hödlmayr)</t>
        </is>
      </c>
      <c r="B273" s="3" t="inlineStr">
        <is>
          <t>Wr. Neustadt (Hödlmayr)</t>
        </is>
      </c>
      <c r="C273" s="3" t="inlineStr">
        <is>
          <t>617</t>
        </is>
      </c>
      <c r="D273" s="3" t="n">
        <v>3</v>
      </c>
      <c r="E273" s="10" t="n">
        <v>45674.86040509259</v>
      </c>
      <c r="F273" s="10" t="n">
        <v>45677.3383912037</v>
      </c>
      <c r="G273" s="10" t="n">
        <v>45677.67223379629</v>
      </c>
      <c r="H273" s="10" t="n">
        <v>45677.69567129629</v>
      </c>
      <c r="I273" s="10" t="n">
        <v>45677.69567129629</v>
      </c>
      <c r="J273" s="10" t="n">
        <v>45677.69652777778</v>
      </c>
      <c r="K273" s="11">
        <f>IF(AND(ISNUMBER(E273),ISNUMBER(F273)),(F273-E273),"")</f>
        <v/>
      </c>
      <c r="L273" s="11">
        <f>IF(AND(ISNUMBER(F273),ISNUMBER(G273)),(G273-F273),"")</f>
        <v/>
      </c>
      <c r="M273" s="11">
        <f>IF(AND(ISNUMBER(H273),ISNUMBER(I273)),(I273-H273),"")</f>
        <v/>
      </c>
      <c r="N273" s="11">
        <f>IF(AND(ISNUMBER(E273),ISNUMBER(J273)),(J273-E273),"")</f>
        <v/>
      </c>
    </row>
    <row r="274">
      <c r="A274" s="3" t="inlineStr">
        <is>
          <t>OBT200125083327-Wr. Neustadt (Brenntag)</t>
        </is>
      </c>
      <c r="B274" s="3" t="inlineStr">
        <is>
          <t>Wr. Neustadt (Brenntag)</t>
        </is>
      </c>
      <c r="C274" s="3" t="inlineStr">
        <is>
          <t>611</t>
        </is>
      </c>
      <c r="D274" s="3" t="n">
        <v>6</v>
      </c>
      <c r="E274" s="10" t="n">
        <v>45672.32596064815</v>
      </c>
      <c r="F274" s="10" t="n">
        <v>45677.3565625</v>
      </c>
      <c r="G274" s="10" t="n">
        <v>45677.7199537037</v>
      </c>
      <c r="H274" s="10" t="n">
        <v>45677.74182870371</v>
      </c>
      <c r="I274" s="10" t="n">
        <v>45677.74182870371</v>
      </c>
      <c r="J274" s="10" t="n">
        <v>45677.74260416667</v>
      </c>
      <c r="K274" s="11">
        <f>IF(AND(ISNUMBER(E274),ISNUMBER(F274)),(F274-E274),"")</f>
        <v/>
      </c>
      <c r="L274" s="11">
        <f>IF(AND(ISNUMBER(F274),ISNUMBER(G274)),(G274-F274),"")</f>
        <v/>
      </c>
      <c r="M274" s="11">
        <f>IF(AND(ISNUMBER(H274),ISNUMBER(I274)),(I274-H274),"")</f>
        <v/>
      </c>
      <c r="N274" s="11">
        <f>IF(AND(ISNUMBER(E274),ISNUMBER(J274)),(J274-E274),"")</f>
        <v/>
      </c>
    </row>
    <row r="275">
      <c r="A275" s="3" t="inlineStr">
        <is>
          <t>OBT200125091839-St. Veit an der Glan</t>
        </is>
      </c>
      <c r="B275" s="3" t="inlineStr">
        <is>
          <t>St. Veit an der Glan</t>
        </is>
      </c>
      <c r="C275" s="3" t="inlineStr">
        <is>
          <t>615</t>
        </is>
      </c>
      <c r="D275" s="3" t="n">
        <v>1</v>
      </c>
      <c r="E275" s="10" t="n">
        <v>45677.38555555556</v>
      </c>
      <c r="F275" s="10" t="n">
        <v>45677.38795138889</v>
      </c>
      <c r="G275" s="10" t="n">
        <v>45677.88935185185</v>
      </c>
      <c r="H275" s="10" t="n">
        <v>45677.91462962963</v>
      </c>
      <c r="I275" s="10" t="n">
        <v>45677.91462962963</v>
      </c>
      <c r="J275" s="10" t="n">
        <v>45677.91542824074</v>
      </c>
      <c r="K275" s="11">
        <f>IF(AND(ISNUMBER(E275),ISNUMBER(F275)),(F275-E275),"")</f>
        <v/>
      </c>
      <c r="L275" s="11">
        <f>IF(AND(ISNUMBER(F275),ISNUMBER(G275)),(G275-F275),"")</f>
        <v/>
      </c>
      <c r="M275" s="11">
        <f>IF(AND(ISNUMBER(H275),ISNUMBER(I275)),(I275-H275),"")</f>
        <v/>
      </c>
      <c r="N275" s="11">
        <f>IF(AND(ISNUMBER(E275),ISNUMBER(J275)),(J275-E275),"")</f>
        <v/>
      </c>
    </row>
    <row r="276">
      <c r="A276" s="3" t="inlineStr">
        <is>
          <t>OBT200125093149-Wr. Neustadt (Hödlmayr)</t>
        </is>
      </c>
      <c r="B276" s="3" t="inlineStr">
        <is>
          <t>Wr. Neustadt (Hödlmayr)</t>
        </is>
      </c>
      <c r="C276" s="3" t="inlineStr">
        <is>
          <t>621</t>
        </is>
      </c>
      <c r="D276" s="3" t="n">
        <v>3</v>
      </c>
      <c r="E276" s="10" t="n">
        <v>45675.29449074074</v>
      </c>
      <c r="F276" s="10" t="n">
        <v>45677.39709490741</v>
      </c>
      <c r="G276" s="10" t="n">
        <v>45678.1406712963</v>
      </c>
      <c r="H276" s="10" t="n">
        <v>45678.1641087963</v>
      </c>
      <c r="I276" s="10" t="n">
        <v>45678.1641087963</v>
      </c>
      <c r="J276" s="10" t="n">
        <v>45678.16496527778</v>
      </c>
      <c r="K276" s="11">
        <f>IF(AND(ISNUMBER(E276),ISNUMBER(F276)),(F276-E276),"")</f>
        <v/>
      </c>
      <c r="L276" s="11">
        <f>IF(AND(ISNUMBER(F276),ISNUMBER(G276)),(G276-F276),"")</f>
        <v/>
      </c>
      <c r="M276" s="11">
        <f>IF(AND(ISNUMBER(H276),ISNUMBER(I276)),(I276-H276),"")</f>
        <v/>
      </c>
      <c r="N276" s="11">
        <f>IF(AND(ISNUMBER(E276),ISNUMBER(J276)),(J276-E276),"")</f>
        <v/>
      </c>
    </row>
    <row r="277">
      <c r="A277" s="3" t="inlineStr">
        <is>
          <t>OBT200125094944-Neudörfl (FunderMax)</t>
        </is>
      </c>
      <c r="B277" s="3" t="inlineStr">
        <is>
          <t>Neudörfl (FunderMax)</t>
        </is>
      </c>
      <c r="C277" s="3" t="inlineStr">
        <is>
          <t>619</t>
        </is>
      </c>
      <c r="D277" s="3" t="n">
        <v>7</v>
      </c>
      <c r="E277" s="10" t="n">
        <v>45675.29253472222</v>
      </c>
      <c r="F277" s="10" t="n">
        <v>45677.40953703703</v>
      </c>
      <c r="G277" s="10" t="n">
        <v>45678.28607638889</v>
      </c>
      <c r="H277" s="10" t="n">
        <v>45678.30972222222</v>
      </c>
      <c r="I277" s="10" t="n">
        <v>45678.30972222222</v>
      </c>
      <c r="J277" s="10" t="n">
        <v>45678.31057870371</v>
      </c>
      <c r="K277" s="11">
        <f>IF(AND(ISNUMBER(E277),ISNUMBER(F277)),(F277-E277),"")</f>
        <v/>
      </c>
      <c r="L277" s="11">
        <f>IF(AND(ISNUMBER(F277),ISNUMBER(G277)),(G277-F277),"")</f>
        <v/>
      </c>
      <c r="M277" s="11">
        <f>IF(AND(ISNUMBER(H277),ISNUMBER(I277)),(I277-H277),"")</f>
        <v/>
      </c>
      <c r="N277" s="11">
        <f>IF(AND(ISNUMBER(E277),ISNUMBER(J277)),(J277-E277),"")</f>
        <v/>
      </c>
    </row>
    <row r="278">
      <c r="A278" s="3" t="inlineStr">
        <is>
          <t>OBT200125105804-Wien Kledering</t>
        </is>
      </c>
      <c r="B278" s="3" t="inlineStr">
        <is>
          <t>Wien Kledering</t>
        </is>
      </c>
      <c r="C278" s="3" t="inlineStr">
        <is>
          <t>615</t>
        </is>
      </c>
      <c r="D278" s="3" t="n">
        <v>2</v>
      </c>
      <c r="E278" s="10" t="n">
        <v>45677.45189814815</v>
      </c>
      <c r="F278" s="10" t="n">
        <v>45677.45699074074</v>
      </c>
      <c r="G278" s="10" t="n">
        <v>45678.31637731481</v>
      </c>
      <c r="H278" s="10" t="n">
        <v>45678.34516203704</v>
      </c>
      <c r="I278" s="10" t="n">
        <v>45678.34516203704</v>
      </c>
      <c r="J278" s="10" t="n">
        <v>45678.34601851852</v>
      </c>
      <c r="K278" s="11">
        <f>IF(AND(ISNUMBER(E278),ISNUMBER(F278)),(F278-E278),"")</f>
        <v/>
      </c>
      <c r="L278" s="11">
        <f>IF(AND(ISNUMBER(F278),ISNUMBER(G278)),(G278-F278),"")</f>
        <v/>
      </c>
      <c r="M278" s="11">
        <f>IF(AND(ISNUMBER(H278),ISNUMBER(I278)),(I278-H278),"")</f>
        <v/>
      </c>
      <c r="N278" s="11">
        <f>IF(AND(ISNUMBER(E278),ISNUMBER(J278)),(J278-E278),"")</f>
        <v/>
      </c>
    </row>
    <row r="279">
      <c r="A279" s="3" t="inlineStr">
        <is>
          <t>OBT200125105846-Wien Kledering</t>
        </is>
      </c>
      <c r="B279" s="3" t="inlineStr">
        <is>
          <t>Wien Kledering</t>
        </is>
      </c>
      <c r="C279" s="3" t="inlineStr">
        <is>
          <t>606</t>
        </is>
      </c>
      <c r="D279" s="3" t="n">
        <v>1</v>
      </c>
      <c r="E279" s="10" t="n">
        <v>45677.45511574074</v>
      </c>
      <c r="F279" s="10" t="n">
        <v>45677.45747685185</v>
      </c>
      <c r="G279" s="10" t="n">
        <v>45678.33471064815</v>
      </c>
      <c r="H279" s="10" t="n">
        <v>45678.36142361111</v>
      </c>
      <c r="I279" s="10" t="n">
        <v>45678.36142361111</v>
      </c>
      <c r="J279" s="10" t="n">
        <v>45678.36229166666</v>
      </c>
      <c r="K279" s="11">
        <f>IF(AND(ISNUMBER(E279),ISNUMBER(F279)),(F279-E279),"")</f>
        <v/>
      </c>
      <c r="L279" s="11">
        <f>IF(AND(ISNUMBER(F279),ISNUMBER(G279)),(G279-F279),"")</f>
        <v/>
      </c>
      <c r="M279" s="11">
        <f>IF(AND(ISNUMBER(H279),ISNUMBER(I279)),(I279-H279),"")</f>
        <v/>
      </c>
      <c r="N279" s="11">
        <f>IF(AND(ISNUMBER(E279),ISNUMBER(J279)),(J279-E279),"")</f>
        <v/>
      </c>
    </row>
    <row r="280">
      <c r="A280" s="3" t="inlineStr">
        <is>
          <t>OBT200125125954-Wien Kledering</t>
        </is>
      </c>
      <c r="B280" s="3" t="inlineStr">
        <is>
          <t>Wien Kledering</t>
        </is>
      </c>
      <c r="C280" s="3" t="inlineStr">
        <is>
          <t>627</t>
        </is>
      </c>
      <c r="D280" s="3" t="n">
        <v>4</v>
      </c>
      <c r="E280" s="10" t="n">
        <v>45677.12099537037</v>
      </c>
      <c r="F280" s="10" t="n">
        <v>45677.54159722223</v>
      </c>
      <c r="G280" s="10" t="n">
        <v>45678.3405324074</v>
      </c>
      <c r="H280" s="10" t="n">
        <v>45678.35875</v>
      </c>
      <c r="I280" s="10" t="n">
        <v>45678.35875</v>
      </c>
      <c r="J280" s="10" t="n">
        <v>45678.35938657408</v>
      </c>
      <c r="K280" s="11">
        <f>IF(AND(ISNUMBER(E280),ISNUMBER(F280)),(F280-E280),"")</f>
        <v/>
      </c>
      <c r="L280" s="11">
        <f>IF(AND(ISNUMBER(F280),ISNUMBER(G280)),(G280-F280),"")</f>
        <v/>
      </c>
      <c r="M280" s="11">
        <f>IF(AND(ISNUMBER(H280),ISNUMBER(I280)),(I280-H280),"")</f>
        <v/>
      </c>
      <c r="N280" s="11">
        <f>IF(AND(ISNUMBER(E280),ISNUMBER(J280)),(J280-E280),"")</f>
        <v/>
      </c>
    </row>
    <row r="281">
      <c r="A281" s="3" t="inlineStr">
        <is>
          <t>OBT200125144313-Wien Kledering</t>
        </is>
      </c>
      <c r="B281" s="3" t="inlineStr">
        <is>
          <t>Wien Kledering</t>
        </is>
      </c>
      <c r="C281" s="3" t="inlineStr">
        <is>
          <t>607</t>
        </is>
      </c>
      <c r="D281" s="3" t="n">
        <v>2</v>
      </c>
      <c r="E281" s="10" t="n">
        <v>45677.34686342593</v>
      </c>
      <c r="F281" s="10" t="n">
        <v>45677.6133449074</v>
      </c>
      <c r="G281" s="10" t="n">
        <v>45678.38799768518</v>
      </c>
      <c r="H281" s="10" t="n">
        <v>45678.45554398148</v>
      </c>
      <c r="I281" s="10" t="n">
        <v>45678.45554398148</v>
      </c>
      <c r="J281" s="10" t="n">
        <v>45678.45703703703</v>
      </c>
      <c r="K281" s="11">
        <f>IF(AND(ISNUMBER(E281),ISNUMBER(F281)),(F281-E281),"")</f>
        <v/>
      </c>
      <c r="L281" s="11">
        <f>IF(AND(ISNUMBER(F281),ISNUMBER(G281)),(G281-F281),"")</f>
        <v/>
      </c>
      <c r="M281" s="11">
        <f>IF(AND(ISNUMBER(H281),ISNUMBER(I281)),(I281-H281),"")</f>
        <v/>
      </c>
      <c r="N281" s="11">
        <f>IF(AND(ISNUMBER(E281),ISNUMBER(J281)),(J281-E281),"")</f>
        <v/>
      </c>
    </row>
    <row r="282">
      <c r="A282" s="3" t="inlineStr">
        <is>
          <t>OBT200125155402-Pitten (Hamburger)</t>
        </is>
      </c>
      <c r="B282" s="3" t="inlineStr">
        <is>
          <t>Pitten (Hamburger)</t>
        </is>
      </c>
      <c r="C282" s="3" t="inlineStr">
        <is>
          <t>623</t>
        </is>
      </c>
      <c r="D282" s="3" t="n">
        <v>5</v>
      </c>
      <c r="E282" s="10" t="n">
        <v>45677.34539351852</v>
      </c>
      <c r="F282" s="10" t="n">
        <v>45677.66252314814</v>
      </c>
      <c r="G282" s="10" t="n">
        <v>45678.4019212963</v>
      </c>
      <c r="H282" s="10" t="n">
        <v>45678.42626157407</v>
      </c>
      <c r="I282" s="10" t="n">
        <v>45678.42626157407</v>
      </c>
      <c r="J282" s="10" t="n">
        <v>45678.42711805556</v>
      </c>
      <c r="K282" s="11">
        <f>IF(AND(ISNUMBER(E282),ISNUMBER(F282)),(F282-E282),"")</f>
        <v/>
      </c>
      <c r="L282" s="11">
        <f>IF(AND(ISNUMBER(F282),ISNUMBER(G282)),(G282-F282),"")</f>
        <v/>
      </c>
      <c r="M282" s="11">
        <f>IF(AND(ISNUMBER(H282),ISNUMBER(I282)),(I282-H282),"")</f>
        <v/>
      </c>
      <c r="N282" s="11">
        <f>IF(AND(ISNUMBER(E282),ISNUMBER(J282)),(J282-E282),"")</f>
        <v/>
      </c>
    </row>
    <row r="283">
      <c r="A283" s="3" t="inlineStr">
        <is>
          <t>OBT200125160533-St. Veit an der Glan</t>
        </is>
      </c>
      <c r="B283" s="3" t="inlineStr">
        <is>
          <t>St. Veit an der Glan</t>
        </is>
      </c>
      <c r="C283" s="3" t="inlineStr">
        <is>
          <t>615</t>
        </is>
      </c>
      <c r="D283" s="3" t="n">
        <v>1</v>
      </c>
      <c r="E283" s="10" t="n">
        <v>45677.66814814815</v>
      </c>
      <c r="F283" s="10" t="n">
        <v>45677.67052083334</v>
      </c>
      <c r="G283" s="10" t="n">
        <v>45678.43840277778</v>
      </c>
      <c r="H283" s="10" t="n">
        <v>45678.46484953703</v>
      </c>
      <c r="I283" s="10" t="n">
        <v>45678.46484953703</v>
      </c>
      <c r="J283" s="10" t="n">
        <v>45678.4656712963</v>
      </c>
      <c r="K283" s="11">
        <f>IF(AND(ISNUMBER(E283),ISNUMBER(F283)),(F283-E283),"")</f>
        <v/>
      </c>
      <c r="L283" s="11">
        <f>IF(AND(ISNUMBER(F283),ISNUMBER(G283)),(G283-F283),"")</f>
        <v/>
      </c>
      <c r="M283" s="11">
        <f>IF(AND(ISNUMBER(H283),ISNUMBER(I283)),(I283-H283),"")</f>
        <v/>
      </c>
      <c r="N283" s="11">
        <f>IF(AND(ISNUMBER(E283),ISNUMBER(J283)),(J283-E283),"")</f>
        <v/>
      </c>
    </row>
    <row r="284">
      <c r="A284" s="3" t="inlineStr">
        <is>
          <t>OBT200125171741-Wien Kledering</t>
        </is>
      </c>
      <c r="B284" s="3" t="inlineStr">
        <is>
          <t>Wien Kledering</t>
        </is>
      </c>
      <c r="C284" s="3" t="inlineStr">
        <is>
          <t>615</t>
        </is>
      </c>
      <c r="D284" s="3" t="n">
        <v>1</v>
      </c>
      <c r="E284" s="10" t="n">
        <v>45677.71821759259</v>
      </c>
      <c r="F284" s="10" t="n">
        <v>45677.72061342592</v>
      </c>
      <c r="G284" s="10" t="n">
        <v>45678.6159375</v>
      </c>
      <c r="H284" s="10" t="n">
        <v>45678.67241898148</v>
      </c>
      <c r="I284" s="10" t="n">
        <v>45678.67241898148</v>
      </c>
      <c r="J284" s="10" t="n">
        <v>45678.67363425926</v>
      </c>
      <c r="K284" s="11">
        <f>IF(AND(ISNUMBER(E284),ISNUMBER(F284)),(F284-E284),"")</f>
        <v/>
      </c>
      <c r="L284" s="11">
        <f>IF(AND(ISNUMBER(F284),ISNUMBER(G284)),(G284-F284),"")</f>
        <v/>
      </c>
      <c r="M284" s="11">
        <f>IF(AND(ISNUMBER(H284),ISNUMBER(I284)),(I284-H284),"")</f>
        <v/>
      </c>
      <c r="N284" s="11">
        <f>IF(AND(ISNUMBER(E284),ISNUMBER(J284)),(J284-E284),"")</f>
        <v/>
      </c>
    </row>
    <row r="285">
      <c r="A285" s="3" t="inlineStr">
        <is>
          <t>OBT200125212137-Wien Kledering</t>
        </is>
      </c>
      <c r="B285" s="3" t="inlineStr">
        <is>
          <t>Wien Kledering</t>
        </is>
      </c>
      <c r="C285" s="3" t="inlineStr">
        <is>
          <t>625</t>
        </is>
      </c>
      <c r="D285" s="3" t="n">
        <v>4</v>
      </c>
      <c r="E285" s="10" t="n">
        <v>45677.33834490741</v>
      </c>
      <c r="F285" s="10" t="n">
        <v>45677.89001157408</v>
      </c>
      <c r="G285" s="10" t="n">
        <v>45678.64188657407</v>
      </c>
      <c r="H285" s="10" t="n">
        <v>45678.7109837963</v>
      </c>
      <c r="I285" s="10" t="n">
        <v>45678.7109837963</v>
      </c>
      <c r="J285" s="10" t="n">
        <v>45678.71240740741</v>
      </c>
      <c r="K285" s="11">
        <f>IF(AND(ISNUMBER(E285),ISNUMBER(F285)),(F285-E285),"")</f>
        <v/>
      </c>
      <c r="L285" s="11">
        <f>IF(AND(ISNUMBER(F285),ISNUMBER(G285)),(G285-F285),"")</f>
        <v/>
      </c>
      <c r="M285" s="11">
        <f>IF(AND(ISNUMBER(H285),ISNUMBER(I285)),(I285-H285),"")</f>
        <v/>
      </c>
      <c r="N285" s="11">
        <f>IF(AND(ISNUMBER(E285),ISNUMBER(J285)),(J285-E285),"")</f>
        <v/>
      </c>
    </row>
    <row r="286">
      <c r="A286" s="3" t="inlineStr">
        <is>
          <t>OBT210125032545-Neunkirchen (loading tracks)</t>
        </is>
      </c>
      <c r="B286" s="3" t="inlineStr">
        <is>
          <t>Neunkirchen (loading tracks)</t>
        </is>
      </c>
      <c r="C286" s="3" t="inlineStr">
        <is>
          <t>629</t>
        </is>
      </c>
      <c r="D286" s="3" t="n">
        <v>6</v>
      </c>
      <c r="E286" s="10" t="n">
        <v>45677.34015046297</v>
      </c>
      <c r="F286" s="10" t="n">
        <v>45678.14288194444</v>
      </c>
      <c r="G286" s="10" t="n">
        <v>45678.64737268518</v>
      </c>
      <c r="H286" s="10" t="n">
        <v>45678.6987037037</v>
      </c>
      <c r="I286" s="10" t="n">
        <v>45678.6987037037</v>
      </c>
      <c r="J286" s="10" t="n">
        <v>45678.69976851852</v>
      </c>
      <c r="K286" s="11">
        <f>IF(AND(ISNUMBER(E286),ISNUMBER(F286)),(F286-E286),"")</f>
        <v/>
      </c>
      <c r="L286" s="11">
        <f>IF(AND(ISNUMBER(F286),ISNUMBER(G286)),(G286-F286),"")</f>
        <v/>
      </c>
      <c r="M286" s="11">
        <f>IF(AND(ISNUMBER(H286),ISNUMBER(I286)),(I286-H286),"")</f>
        <v/>
      </c>
      <c r="N286" s="11">
        <f>IF(AND(ISNUMBER(E286),ISNUMBER(J286)),(J286-E286),"")</f>
        <v/>
      </c>
    </row>
    <row r="287">
      <c r="A287" s="3" t="inlineStr">
        <is>
          <t>OBT210125065252-Wien Kledering</t>
        </is>
      </c>
      <c r="B287" s="3" t="inlineStr">
        <is>
          <t>Wien Kledering</t>
        </is>
      </c>
      <c r="C287" s="3" t="inlineStr">
        <is>
          <t>611</t>
        </is>
      </c>
      <c r="D287" s="3" t="n">
        <v>1</v>
      </c>
      <c r="E287" s="10" t="n">
        <v>45678.28434027778</v>
      </c>
      <c r="F287" s="10" t="n">
        <v>45678.28671296296</v>
      </c>
      <c r="G287" s="10" t="n">
        <v>45678.87943287037</v>
      </c>
      <c r="H287" s="10" t="n">
        <v>45678.91990740741</v>
      </c>
      <c r="I287" s="10" t="n">
        <v>45678.91990740741</v>
      </c>
      <c r="J287" s="10" t="n">
        <v>45678.92092592592</v>
      </c>
      <c r="K287" s="11">
        <f>IF(AND(ISNUMBER(E287),ISNUMBER(F287)),(F287-E287),"")</f>
        <v/>
      </c>
      <c r="L287" s="11">
        <f>IF(AND(ISNUMBER(F287),ISNUMBER(G287)),(G287-F287),"")</f>
        <v/>
      </c>
      <c r="M287" s="11">
        <f>IF(AND(ISNUMBER(H287),ISNUMBER(I287)),(I287-H287),"")</f>
        <v/>
      </c>
      <c r="N287" s="11">
        <f>IF(AND(ISNUMBER(E287),ISNUMBER(J287)),(J287-E287),"")</f>
        <v/>
      </c>
    </row>
    <row r="288">
      <c r="A288" s="3" t="inlineStr">
        <is>
          <t>OBT210125075153-Pitten (Hamburger)</t>
        </is>
      </c>
      <c r="B288" s="3" t="inlineStr">
        <is>
          <t>Pitten (Hamburger)</t>
        </is>
      </c>
      <c r="C288" s="3" t="inlineStr">
        <is>
          <t>621</t>
        </is>
      </c>
      <c r="D288" s="3" t="n">
        <v>3</v>
      </c>
      <c r="E288" s="10" t="n">
        <v>45677.40758101852</v>
      </c>
      <c r="F288" s="10" t="n">
        <v>45678.32769675926</v>
      </c>
      <c r="G288" s="10" t="n">
        <v>45679.12300925926</v>
      </c>
      <c r="H288" s="10" t="n">
        <v>45679.14331018519</v>
      </c>
      <c r="I288" s="10" t="n">
        <v>45679.14331018519</v>
      </c>
      <c r="J288" s="10" t="n">
        <v>45679.14412037037</v>
      </c>
      <c r="K288" s="11">
        <f>IF(AND(ISNUMBER(E288),ISNUMBER(F288)),(F288-E288),"")</f>
        <v/>
      </c>
      <c r="L288" s="11">
        <f>IF(AND(ISNUMBER(F288),ISNUMBER(G288)),(G288-F288),"")</f>
        <v/>
      </c>
      <c r="M288" s="11">
        <f>IF(AND(ISNUMBER(H288),ISNUMBER(I288)),(I288-H288),"")</f>
        <v/>
      </c>
      <c r="N288" s="11">
        <f>IF(AND(ISNUMBER(E288),ISNUMBER(J288)),(J288-E288),"")</f>
        <v/>
      </c>
    </row>
    <row r="289">
      <c r="A289" s="3" t="inlineStr">
        <is>
          <t>OBT210125080256-Neudörfl (FunderMax)</t>
        </is>
      </c>
      <c r="B289" s="3" t="inlineStr">
        <is>
          <t>Neudörfl (FunderMax)</t>
        </is>
      </c>
      <c r="C289" s="3" t="inlineStr">
        <is>
          <t>619</t>
        </is>
      </c>
      <c r="D289" s="3" t="n">
        <v>2</v>
      </c>
      <c r="E289" s="10" t="n">
        <v>45677.65177083333</v>
      </c>
      <c r="F289" s="10" t="n">
        <v>45678.33537037037</v>
      </c>
      <c r="G289" s="10" t="n">
        <v>45679.20344907408</v>
      </c>
      <c r="H289" s="10" t="n">
        <v>45679.22378472222</v>
      </c>
      <c r="I289" s="10" t="n">
        <v>45679.22378472222</v>
      </c>
      <c r="J289" s="10" t="n">
        <v>45679.22459490741</v>
      </c>
      <c r="K289" s="11">
        <f>IF(AND(ISNUMBER(E289),ISNUMBER(F289)),(F289-E289),"")</f>
        <v/>
      </c>
      <c r="L289" s="11">
        <f>IF(AND(ISNUMBER(F289),ISNUMBER(G289)),(G289-F289),"")</f>
        <v/>
      </c>
      <c r="M289" s="11">
        <f>IF(AND(ISNUMBER(H289),ISNUMBER(I289)),(I289-H289),"")</f>
        <v/>
      </c>
      <c r="N289" s="11">
        <f>IF(AND(ISNUMBER(E289),ISNUMBER(J289)),(J289-E289),"")</f>
        <v/>
      </c>
    </row>
    <row r="290">
      <c r="A290" s="3" t="inlineStr">
        <is>
          <t>OBT210125080752-Wien Kledering</t>
        </is>
      </c>
      <c r="B290" s="3" t="inlineStr">
        <is>
          <t>Wien Kledering</t>
        </is>
      </c>
      <c r="C290" s="3" t="inlineStr">
        <is>
          <t>619</t>
        </is>
      </c>
      <c r="D290" s="3" t="n">
        <v>1</v>
      </c>
      <c r="E290" s="10" t="n">
        <v>45678.33640046296</v>
      </c>
      <c r="F290" s="10" t="n">
        <v>45678.3387962963</v>
      </c>
      <c r="G290" s="10" t="n">
        <v>45679.27695601852</v>
      </c>
      <c r="H290" s="10" t="n">
        <v>45679.33583333333</v>
      </c>
      <c r="I290" s="10" t="n">
        <v>45679.33583333333</v>
      </c>
      <c r="J290" s="10" t="n">
        <v>45679.33716435185</v>
      </c>
      <c r="K290" s="11">
        <f>IF(AND(ISNUMBER(E290),ISNUMBER(F290)),(F290-E290),"")</f>
        <v/>
      </c>
      <c r="L290" s="11">
        <f>IF(AND(ISNUMBER(F290),ISNUMBER(G290)),(G290-F290),"")</f>
        <v/>
      </c>
      <c r="M290" s="11">
        <f>IF(AND(ISNUMBER(H290),ISNUMBER(I290)),(I290-H290),"")</f>
        <v/>
      </c>
      <c r="N290" s="11">
        <f>IF(AND(ISNUMBER(E290),ISNUMBER(J290)),(J290-E290),"")</f>
        <v/>
      </c>
    </row>
    <row r="291">
      <c r="A291" s="3" t="inlineStr">
        <is>
          <t>OBT210125092833-St. Veit an der Glan</t>
        </is>
      </c>
      <c r="B291" s="3" t="inlineStr">
        <is>
          <t>St. Veit an der Glan</t>
        </is>
      </c>
      <c r="C291" s="3" t="inlineStr">
        <is>
          <t>615</t>
        </is>
      </c>
      <c r="D291" s="3" t="n">
        <v>4</v>
      </c>
      <c r="E291" s="10" t="n">
        <v>45678.13465277778</v>
      </c>
      <c r="F291" s="10" t="n">
        <v>45678.39482638889</v>
      </c>
      <c r="G291" s="10" t="n">
        <v>45679.32265046296</v>
      </c>
      <c r="H291" s="10" t="n">
        <v>45679.34758101852</v>
      </c>
      <c r="I291" s="10" t="n">
        <v>45679.34758101852</v>
      </c>
      <c r="J291" s="10" t="n">
        <v>45679.34836805556</v>
      </c>
      <c r="K291" s="11">
        <f>IF(AND(ISNUMBER(E291),ISNUMBER(F291)),(F291-E291),"")</f>
        <v/>
      </c>
      <c r="L291" s="11">
        <f>IF(AND(ISNUMBER(F291),ISNUMBER(G291)),(G291-F291),"")</f>
        <v/>
      </c>
      <c r="M291" s="11">
        <f>IF(AND(ISNUMBER(H291),ISNUMBER(I291)),(I291-H291),"")</f>
        <v/>
      </c>
      <c r="N291" s="11">
        <f>IF(AND(ISNUMBER(E291),ISNUMBER(J291)),(J291-E291),"")</f>
        <v/>
      </c>
    </row>
    <row r="292">
      <c r="A292" s="3" t="inlineStr">
        <is>
          <t>OBT210125093211-Wr. Neustadt (Hödlmayr)</t>
        </is>
      </c>
      <c r="B292" s="3" t="inlineStr">
        <is>
          <t>Wr. Neustadt (Hödlmayr)</t>
        </is>
      </c>
      <c r="C292" s="3" t="inlineStr">
        <is>
          <t>606</t>
        </is>
      </c>
      <c r="D292" s="3" t="n">
        <v>1</v>
      </c>
      <c r="E292" s="10" t="n">
        <v>45678.3949537037</v>
      </c>
      <c r="F292" s="10" t="n">
        <v>45678.39734953704</v>
      </c>
      <c r="G292" s="10" t="n">
        <v>45679.32489583334</v>
      </c>
      <c r="H292" s="10" t="n">
        <v>45679.34364583333</v>
      </c>
      <c r="I292" s="10" t="n">
        <v>45679.34364583333</v>
      </c>
      <c r="J292" s="10" t="n">
        <v>45679.34440972222</v>
      </c>
      <c r="K292" s="11">
        <f>IF(AND(ISNUMBER(E292),ISNUMBER(F292)),(F292-E292),"")</f>
        <v/>
      </c>
      <c r="L292" s="11">
        <f>IF(AND(ISNUMBER(F292),ISNUMBER(G292)),(G292-F292),"")</f>
        <v/>
      </c>
      <c r="M292" s="11">
        <f>IF(AND(ISNUMBER(H292),ISNUMBER(I292)),(I292-H292),"")</f>
        <v/>
      </c>
      <c r="N292" s="11">
        <f>IF(AND(ISNUMBER(E292),ISNUMBER(J292)),(J292-E292),"")</f>
        <v/>
      </c>
    </row>
    <row r="293">
      <c r="A293" s="3" t="inlineStr">
        <is>
          <t>OBT210125093910-Neudörfl (FunderMax)</t>
        </is>
      </c>
      <c r="B293" s="3" t="inlineStr">
        <is>
          <t>Neudörfl (FunderMax)</t>
        </is>
      </c>
      <c r="C293" s="3" t="inlineStr">
        <is>
          <t>627</t>
        </is>
      </c>
      <c r="D293" s="3" t="n">
        <v>5</v>
      </c>
      <c r="E293" s="10" t="n">
        <v>45677.66050925926</v>
      </c>
      <c r="F293" s="10" t="n">
        <v>45678.40219907407</v>
      </c>
      <c r="G293" s="10" t="n">
        <v>45679.34151620371</v>
      </c>
      <c r="H293" s="10" t="n">
        <v>45679.36085648148</v>
      </c>
      <c r="I293" s="10" t="n">
        <v>45679.36085648148</v>
      </c>
      <c r="J293" s="10" t="n">
        <v>45679.36150462963</v>
      </c>
      <c r="K293" s="11">
        <f>IF(AND(ISNUMBER(E293),ISNUMBER(F293)),(F293-E293),"")</f>
        <v/>
      </c>
      <c r="L293" s="11">
        <f>IF(AND(ISNUMBER(F293),ISNUMBER(G293)),(G293-F293),"")</f>
        <v/>
      </c>
      <c r="M293" s="11">
        <f>IF(AND(ISNUMBER(H293),ISNUMBER(I293)),(I293-H293),"")</f>
        <v/>
      </c>
      <c r="N293" s="11">
        <f>IF(AND(ISNUMBER(E293),ISNUMBER(J293)),(J293-E293),"")</f>
        <v/>
      </c>
    </row>
    <row r="294">
      <c r="A294" s="3" t="inlineStr">
        <is>
          <t>OBT210125103404-Wien Kledering</t>
        </is>
      </c>
      <c r="B294" s="3" t="inlineStr">
        <is>
          <t>Wien Kledering</t>
        </is>
      </c>
      <c r="C294" s="3" t="inlineStr">
        <is>
          <t>619</t>
        </is>
      </c>
      <c r="D294" s="3" t="n">
        <v>3</v>
      </c>
      <c r="E294" s="10" t="n">
        <v>45678.38510416666</v>
      </c>
      <c r="F294" s="10" t="n">
        <v>45678.44032407407</v>
      </c>
      <c r="G294" s="10" t="n">
        <v>45679.36295138889</v>
      </c>
      <c r="H294" s="10" t="n">
        <v>45679.44189814815</v>
      </c>
      <c r="I294" s="10" t="n">
        <v>45679.44189814815</v>
      </c>
      <c r="J294" s="10" t="n">
        <v>45679.44350694444</v>
      </c>
      <c r="K294" s="11">
        <f>IF(AND(ISNUMBER(E294),ISNUMBER(F294)),(F294-E294),"")</f>
        <v/>
      </c>
      <c r="L294" s="11">
        <f>IF(AND(ISNUMBER(F294),ISNUMBER(G294)),(G294-F294),"")</f>
        <v/>
      </c>
      <c r="M294" s="11">
        <f>IF(AND(ISNUMBER(H294),ISNUMBER(I294)),(I294-H294),"")</f>
        <v/>
      </c>
      <c r="N294" s="11">
        <f>IF(AND(ISNUMBER(E294),ISNUMBER(J294)),(J294-E294),"")</f>
        <v/>
      </c>
    </row>
    <row r="295">
      <c r="A295" s="3" t="inlineStr">
        <is>
          <t>OBT210125144735-Wien Kledering</t>
        </is>
      </c>
      <c r="B295" s="3" t="inlineStr">
        <is>
          <t>Wien Kledering</t>
        </is>
      </c>
      <c r="C295" s="3" t="inlineStr">
        <is>
          <t>619</t>
        </is>
      </c>
      <c r="D295" s="3" t="n">
        <v>1</v>
      </c>
      <c r="E295" s="10" t="n">
        <v>45678.61420138889</v>
      </c>
      <c r="F295" s="10" t="n">
        <v>45678.61637731481</v>
      </c>
      <c r="G295" s="10" t="n">
        <v>45679.42063657408</v>
      </c>
      <c r="H295" s="10" t="n">
        <v>45679.48974537037</v>
      </c>
      <c r="I295" s="10" t="n">
        <v>45679.48974537037</v>
      </c>
      <c r="J295" s="10" t="n">
        <v>45679.49121527778</v>
      </c>
      <c r="K295" s="11">
        <f>IF(AND(ISNUMBER(E295),ISNUMBER(F295)),(F295-E295),"")</f>
        <v/>
      </c>
      <c r="L295" s="11">
        <f>IF(AND(ISNUMBER(F295),ISNUMBER(G295)),(G295-F295),"")</f>
        <v/>
      </c>
      <c r="M295" s="11">
        <f>IF(AND(ISNUMBER(H295),ISNUMBER(I295)),(I295-H295),"")</f>
        <v/>
      </c>
      <c r="N295" s="11">
        <f>IF(AND(ISNUMBER(E295),ISNUMBER(J295)),(J295-E295),"")</f>
        <v/>
      </c>
    </row>
    <row r="296">
      <c r="A296" s="3" t="inlineStr">
        <is>
          <t>OBT210125150922-Neunkirchen (loading tracks)</t>
        </is>
      </c>
      <c r="B296" s="3" t="inlineStr">
        <is>
          <t>Neunkirchen (loading tracks)</t>
        </is>
      </c>
      <c r="C296" s="3" t="inlineStr">
        <is>
          <t>617</t>
        </is>
      </c>
      <c r="D296" s="3" t="n">
        <v>3</v>
      </c>
      <c r="E296" s="10" t="n">
        <v>45678.31990740741</v>
      </c>
      <c r="F296" s="10" t="n">
        <v>45678.63150462963</v>
      </c>
      <c r="G296" s="10" t="n">
        <v>45679.44578703704</v>
      </c>
      <c r="H296" s="10" t="n">
        <v>45679.46344907407</v>
      </c>
      <c r="I296" s="10" t="n">
        <v>45679.46344907407</v>
      </c>
      <c r="J296" s="10" t="n">
        <v>45679.46422453703</v>
      </c>
      <c r="K296" s="11">
        <f>IF(AND(ISNUMBER(E296),ISNUMBER(F296)),(F296-E296),"")</f>
        <v/>
      </c>
      <c r="L296" s="11">
        <f>IF(AND(ISNUMBER(F296),ISNUMBER(G296)),(G296-F296),"")</f>
        <v/>
      </c>
      <c r="M296" s="11">
        <f>IF(AND(ISNUMBER(H296),ISNUMBER(I296)),(I296-H296),"")</f>
        <v/>
      </c>
      <c r="N296" s="11">
        <f>IF(AND(ISNUMBER(E296),ISNUMBER(J296)),(J296-E296),"")</f>
        <v/>
      </c>
    </row>
    <row r="297">
      <c r="A297" s="3" t="inlineStr">
        <is>
          <t>OBT210125151409-Neudörfl (FunderMax)</t>
        </is>
      </c>
      <c r="B297" s="3" t="inlineStr">
        <is>
          <t>Neudörfl (FunderMax)</t>
        </is>
      </c>
      <c r="C297" s="3" t="inlineStr">
        <is>
          <t>615</t>
        </is>
      </c>
      <c r="D297" s="3" t="n">
        <v>2</v>
      </c>
      <c r="E297" s="10" t="n">
        <v>45678.43427083334</v>
      </c>
      <c r="F297" s="10" t="n">
        <v>45678.63482638889</v>
      </c>
      <c r="G297" s="10" t="n">
        <v>45679.54993055556</v>
      </c>
      <c r="H297" s="10" t="n">
        <v>45679.58002314815</v>
      </c>
      <c r="I297" s="10" t="n">
        <v>45679.58002314815</v>
      </c>
      <c r="J297" s="10" t="n">
        <v>45679.5808912037</v>
      </c>
      <c r="K297" s="11">
        <f>IF(AND(ISNUMBER(E297),ISNUMBER(F297)),(F297-E297),"")</f>
        <v/>
      </c>
      <c r="L297" s="11">
        <f>IF(AND(ISNUMBER(F297),ISNUMBER(G297)),(G297-F297),"")</f>
        <v/>
      </c>
      <c r="M297" s="11">
        <f>IF(AND(ISNUMBER(H297),ISNUMBER(I297)),(I297-H297),"")</f>
        <v/>
      </c>
      <c r="N297" s="11">
        <f>IF(AND(ISNUMBER(E297),ISNUMBER(J297)),(J297-E297),"")</f>
        <v/>
      </c>
    </row>
    <row r="298">
      <c r="A298" s="3" t="inlineStr">
        <is>
          <t>OBT210125151926-Steinabrückl/Wöllersdorf</t>
        </is>
      </c>
      <c r="B298" s="3" t="inlineStr">
        <is>
          <t>Steinabrückl/Wöllersdorf</t>
        </is>
      </c>
      <c r="C298" s="3" t="inlineStr">
        <is>
          <t>623</t>
        </is>
      </c>
      <c r="D298" s="3" t="n">
        <v>2</v>
      </c>
      <c r="E298" s="10" t="n">
        <v>45678.63116898148</v>
      </c>
      <c r="F298" s="10" t="n">
        <v>45678.63849537037</v>
      </c>
      <c r="G298" s="10" t="n">
        <v>45679.64212962963</v>
      </c>
      <c r="H298" s="10" t="n">
        <v>45679.66361111111</v>
      </c>
      <c r="I298" s="10" t="n">
        <v>45679.66361111111</v>
      </c>
      <c r="J298" s="10" t="n">
        <v>45679.66444444445</v>
      </c>
      <c r="K298" s="11">
        <f>IF(AND(ISNUMBER(E298),ISNUMBER(F298)),(F298-E298),"")</f>
        <v/>
      </c>
      <c r="L298" s="11">
        <f>IF(AND(ISNUMBER(F298),ISNUMBER(G298)),(G298-F298),"")</f>
        <v/>
      </c>
      <c r="M298" s="11">
        <f>IF(AND(ISNUMBER(H298),ISNUMBER(I298)),(I298-H298),"")</f>
        <v/>
      </c>
      <c r="N298" s="11">
        <f>IF(AND(ISNUMBER(E298),ISNUMBER(J298)),(J298-E298),"")</f>
        <v/>
      </c>
    </row>
    <row r="299">
      <c r="A299" s="3" t="inlineStr">
        <is>
          <t>OBT210125152253-Pitten (Hamburger)</t>
        </is>
      </c>
      <c r="B299" s="3" t="inlineStr">
        <is>
          <t>Pitten (Hamburger)</t>
        </is>
      </c>
      <c r="C299" s="3" t="inlineStr">
        <is>
          <t>607</t>
        </is>
      </c>
      <c r="D299" s="3" t="n">
        <v>1</v>
      </c>
      <c r="E299" s="10" t="n">
        <v>45678.63851851852</v>
      </c>
      <c r="F299" s="10" t="n">
        <v>45678.6408912037</v>
      </c>
      <c r="G299" s="10" t="n">
        <v>45679.74309027778</v>
      </c>
      <c r="H299" s="10" t="n">
        <v>45679.77953703704</v>
      </c>
      <c r="I299" s="10" t="n">
        <v>45679.77953703704</v>
      </c>
      <c r="J299" s="10" t="n">
        <v>45679.78061342592</v>
      </c>
      <c r="K299" s="11">
        <f>IF(AND(ISNUMBER(E299),ISNUMBER(F299)),(F299-E299),"")</f>
        <v/>
      </c>
      <c r="L299" s="11">
        <f>IF(AND(ISNUMBER(F299),ISNUMBER(G299)),(G299-F299),"")</f>
        <v/>
      </c>
      <c r="M299" s="11">
        <f>IF(AND(ISNUMBER(H299),ISNUMBER(I299)),(I299-H299),"")</f>
        <v/>
      </c>
      <c r="N299" s="11">
        <f>IF(AND(ISNUMBER(E299),ISNUMBER(J299)),(J299-E299),"")</f>
        <v/>
      </c>
    </row>
    <row r="300">
      <c r="A300" s="3" t="inlineStr">
        <is>
          <t>OBT210125152947-Wien Kledering</t>
        </is>
      </c>
      <c r="B300" s="3" t="inlineStr">
        <is>
          <t>Wien Kledering</t>
        </is>
      </c>
      <c r="C300" s="3" t="inlineStr">
        <is>
          <t>619</t>
        </is>
      </c>
      <c r="D300" s="3" t="n">
        <v>1</v>
      </c>
      <c r="E300" s="10" t="n">
        <v>45678.64329861111</v>
      </c>
      <c r="F300" s="10" t="n">
        <v>45678.64568287037</v>
      </c>
      <c r="G300" s="10" t="n">
        <v>45679.76295138889</v>
      </c>
      <c r="H300" s="10" t="n">
        <v>45679.78480324074</v>
      </c>
      <c r="I300" s="10" t="n">
        <v>45679.78480324074</v>
      </c>
      <c r="J300" s="10" t="n">
        <v>45679.78564814815</v>
      </c>
      <c r="K300" s="11">
        <f>IF(AND(ISNUMBER(E300),ISNUMBER(F300)),(F300-E300),"")</f>
        <v/>
      </c>
      <c r="L300" s="11">
        <f>IF(AND(ISNUMBER(F300),ISNUMBER(G300)),(G300-F300),"")</f>
        <v/>
      </c>
      <c r="M300" s="11">
        <f>IF(AND(ISNUMBER(H300),ISNUMBER(I300)),(I300-H300),"")</f>
        <v/>
      </c>
      <c r="N300" s="11">
        <f>IF(AND(ISNUMBER(E300),ISNUMBER(J300)),(J300-E300),"")</f>
        <v/>
      </c>
    </row>
    <row r="301">
      <c r="A301" s="3" t="inlineStr">
        <is>
          <t>OBT210125210727-Wien Kledering</t>
        </is>
      </c>
      <c r="B301" s="3" t="inlineStr">
        <is>
          <t>Wien Kledering</t>
        </is>
      </c>
      <c r="C301" s="3" t="inlineStr">
        <is>
          <t>619</t>
        </is>
      </c>
      <c r="D301" s="3" t="n">
        <v>1</v>
      </c>
      <c r="E301" s="10" t="n">
        <v>45678.87777777778</v>
      </c>
      <c r="F301" s="10" t="n">
        <v>45678.88017361111</v>
      </c>
      <c r="G301" s="10" t="n">
        <v>45679.76534722222</v>
      </c>
      <c r="H301" s="10" t="n">
        <v>45679.79788194445</v>
      </c>
      <c r="I301" s="10" t="n">
        <v>45679.79788194445</v>
      </c>
      <c r="J301" s="10" t="n">
        <v>45679.79885416666</v>
      </c>
      <c r="K301" s="11">
        <f>IF(AND(ISNUMBER(E301),ISNUMBER(F301)),(F301-E301),"")</f>
        <v/>
      </c>
      <c r="L301" s="11">
        <f>IF(AND(ISNUMBER(F301),ISNUMBER(G301)),(G301-F301),"")</f>
        <v/>
      </c>
      <c r="M301" s="11">
        <f>IF(AND(ISNUMBER(H301),ISNUMBER(I301)),(I301-H301),"")</f>
        <v/>
      </c>
      <c r="N301" s="11">
        <f>IF(AND(ISNUMBER(E301),ISNUMBER(J301)),(J301-E301),"")</f>
        <v/>
      </c>
    </row>
    <row r="302">
      <c r="A302" s="3" t="inlineStr">
        <is>
          <t>OBT220125025432-Other sidings south</t>
        </is>
      </c>
      <c r="B302" s="3" t="inlineStr">
        <is>
          <t>Other sidings south</t>
        </is>
      </c>
      <c r="C302" s="3" t="inlineStr">
        <is>
          <t>615</t>
        </is>
      </c>
      <c r="D302" s="3" t="n">
        <v>2</v>
      </c>
      <c r="E302" s="10" t="n">
        <v>45679.11583333334</v>
      </c>
      <c r="F302" s="10" t="n">
        <v>45679.1212037037</v>
      </c>
      <c r="G302" s="10" t="n">
        <v>45679.86597222222</v>
      </c>
      <c r="H302" s="10" t="n">
        <v>45679.9040625</v>
      </c>
      <c r="I302" s="10" t="n">
        <v>45679.9040625</v>
      </c>
      <c r="J302" s="10" t="n">
        <v>45679.90503472222</v>
      </c>
      <c r="K302" s="11">
        <f>IF(AND(ISNUMBER(E302),ISNUMBER(F302)),(F302-E302),"")</f>
        <v/>
      </c>
      <c r="L302" s="11">
        <f>IF(AND(ISNUMBER(F302),ISNUMBER(G302)),(G302-F302),"")</f>
        <v/>
      </c>
      <c r="M302" s="11">
        <f>IF(AND(ISNUMBER(H302),ISNUMBER(I302)),(I302-H302),"")</f>
        <v/>
      </c>
      <c r="N302" s="11">
        <f>IF(AND(ISNUMBER(E302),ISNUMBER(J302)),(J302-E302),"")</f>
        <v/>
      </c>
    </row>
    <row r="303">
      <c r="A303" s="3" t="inlineStr">
        <is>
          <t>OBT220125045357-Neudörfl (FunderMax)</t>
        </is>
      </c>
      <c r="B303" s="3" t="inlineStr">
        <is>
          <t>Neudörfl (FunderMax)</t>
        </is>
      </c>
      <c r="C303" s="3" t="inlineStr">
        <is>
          <t>625</t>
        </is>
      </c>
      <c r="D303" s="3" t="n">
        <v>2</v>
      </c>
      <c r="E303" s="10" t="n">
        <v>45678.32905092592</v>
      </c>
      <c r="F303" s="10" t="n">
        <v>45679.20413194445</v>
      </c>
      <c r="G303" s="10" t="n">
        <v>45680.1319212963</v>
      </c>
      <c r="H303" s="10" t="n">
        <v>45680.19556712963</v>
      </c>
      <c r="I303" s="10" t="n">
        <v>45680.19556712963</v>
      </c>
      <c r="J303" s="10" t="n">
        <v>45680.19690972222</v>
      </c>
      <c r="K303" s="11">
        <f>IF(AND(ISNUMBER(E303),ISNUMBER(F303)),(F303-E303),"")</f>
        <v/>
      </c>
      <c r="L303" s="11">
        <f>IF(AND(ISNUMBER(F303),ISNUMBER(G303)),(G303-F303),"")</f>
        <v/>
      </c>
      <c r="M303" s="11">
        <f>IF(AND(ISNUMBER(H303),ISNUMBER(I303)),(I303-H303),"")</f>
        <v/>
      </c>
      <c r="N303" s="11">
        <f>IF(AND(ISNUMBER(E303),ISNUMBER(J303)),(J303-E303),"")</f>
        <v/>
      </c>
    </row>
    <row r="304">
      <c r="A304" s="3" t="inlineStr">
        <is>
          <t>OBT220125063948-Wien Kledering</t>
        </is>
      </c>
      <c r="B304" s="3" t="inlineStr">
        <is>
          <t>Wien Kledering</t>
        </is>
      </c>
      <c r="C304" s="3" t="inlineStr">
        <is>
          <t>619</t>
        </is>
      </c>
      <c r="D304" s="3" t="n">
        <v>1</v>
      </c>
      <c r="E304" s="10" t="n">
        <v>45679.27524305556</v>
      </c>
      <c r="F304" s="10" t="n">
        <v>45679.27763888889</v>
      </c>
      <c r="G304" s="10" t="n">
        <v>45680.27384259259</v>
      </c>
      <c r="H304" s="10" t="n">
        <v>45680.32447916667</v>
      </c>
      <c r="I304" s="10" t="n">
        <v>45680.32447916667</v>
      </c>
      <c r="J304" s="10" t="n">
        <v>45680.32570601852</v>
      </c>
      <c r="K304" s="11">
        <f>IF(AND(ISNUMBER(E304),ISNUMBER(F304)),(F304-E304),"")</f>
        <v/>
      </c>
      <c r="L304" s="11">
        <f>IF(AND(ISNUMBER(F304),ISNUMBER(G304)),(G304-F304),"")</f>
        <v/>
      </c>
      <c r="M304" s="11">
        <f>IF(AND(ISNUMBER(H304),ISNUMBER(I304)),(I304-H304),"")</f>
        <v/>
      </c>
      <c r="N304" s="11">
        <f>IF(AND(ISNUMBER(E304),ISNUMBER(J304)),(J304-E304),"")</f>
        <v/>
      </c>
    </row>
    <row r="305">
      <c r="A305" s="3" t="inlineStr">
        <is>
          <t>OBT220125073335-Other sidings local</t>
        </is>
      </c>
      <c r="B305" s="3" t="inlineStr">
        <is>
          <t>Other sidings local</t>
        </is>
      </c>
      <c r="C305" s="3" t="inlineStr">
        <is>
          <t>605</t>
        </is>
      </c>
      <c r="D305" s="3" t="n">
        <v>6</v>
      </c>
      <c r="E305" s="10" t="n">
        <v>45674.38144675926</v>
      </c>
      <c r="F305" s="10" t="n">
        <v>45679.31498842593</v>
      </c>
      <c r="G305" s="10" t="n">
        <v>45680.30650462963</v>
      </c>
      <c r="H305" s="10" t="n">
        <v>45680.32506944444</v>
      </c>
      <c r="I305" s="10" t="n">
        <v>45680.32570601852</v>
      </c>
      <c r="J305" s="10" t="n">
        <v>45680.32655092593</v>
      </c>
      <c r="K305" s="11">
        <f>IF(AND(ISNUMBER(E305),ISNUMBER(F305)),(F305-E305),"")</f>
        <v/>
      </c>
      <c r="L305" s="11">
        <f>IF(AND(ISNUMBER(F305),ISNUMBER(G305)),(G305-F305),"")</f>
        <v/>
      </c>
      <c r="M305" s="11">
        <f>IF(AND(ISNUMBER(H305),ISNUMBER(I305)),(I305-H305),"")</f>
        <v/>
      </c>
      <c r="N305" s="11">
        <f>IF(AND(ISNUMBER(E305),ISNUMBER(J305)),(J305-E305),"")</f>
        <v/>
      </c>
    </row>
    <row r="306">
      <c r="A306" s="3" t="inlineStr">
        <is>
          <t>OBT220125084547-St. Veit an der Glan</t>
        </is>
      </c>
      <c r="B306" s="3" t="inlineStr">
        <is>
          <t>St. Veit an der Glan</t>
        </is>
      </c>
      <c r="C306" s="3" t="inlineStr">
        <is>
          <t>615</t>
        </is>
      </c>
      <c r="D306" s="3" t="n">
        <v>2</v>
      </c>
      <c r="E306" s="10" t="n">
        <v>45679.35960648148</v>
      </c>
      <c r="F306" s="10" t="n">
        <v>45679.36512731481</v>
      </c>
      <c r="G306" s="10" t="n">
        <v>45680.31045138889</v>
      </c>
      <c r="H306" s="10" t="n">
        <v>45680.36795138889</v>
      </c>
      <c r="I306" s="10" t="n">
        <v>45680.36795138889</v>
      </c>
      <c r="J306" s="10" t="n">
        <v>45680.36918981482</v>
      </c>
      <c r="K306" s="11">
        <f>IF(AND(ISNUMBER(E306),ISNUMBER(F306)),(F306-E306),"")</f>
        <v/>
      </c>
      <c r="L306" s="11">
        <f>IF(AND(ISNUMBER(F306),ISNUMBER(G306)),(G306-F306),"")</f>
        <v/>
      </c>
      <c r="M306" s="11">
        <f>IF(AND(ISNUMBER(H306),ISNUMBER(I306)),(I306-H306),"")</f>
        <v/>
      </c>
      <c r="N306" s="11">
        <f>IF(AND(ISNUMBER(E306),ISNUMBER(J306)),(J306-E306),"")</f>
        <v/>
      </c>
    </row>
    <row r="307">
      <c r="A307" s="3" t="inlineStr">
        <is>
          <t>OBT220125094552-Pitten (Hamburger)</t>
        </is>
      </c>
      <c r="B307" s="3" t="inlineStr">
        <is>
          <t>Pitten (Hamburger)</t>
        </is>
      </c>
      <c r="C307" s="3" t="inlineStr">
        <is>
          <t>627</t>
        </is>
      </c>
      <c r="D307" s="3" t="n">
        <v>2</v>
      </c>
      <c r="E307" s="10" t="n">
        <v>45679.11928240741</v>
      </c>
      <c r="F307" s="10" t="n">
        <v>45679.40685185185</v>
      </c>
      <c r="G307" s="10" t="n">
        <v>45680.33</v>
      </c>
      <c r="H307" s="10" t="n">
        <v>45680.36111111111</v>
      </c>
      <c r="I307" s="10" t="n">
        <v>45680.36111111111</v>
      </c>
      <c r="J307" s="10" t="n">
        <v>45680.36192129629</v>
      </c>
      <c r="K307" s="11">
        <f>IF(AND(ISNUMBER(E307),ISNUMBER(F307)),(F307-E307),"")</f>
        <v/>
      </c>
      <c r="L307" s="11">
        <f>IF(AND(ISNUMBER(F307),ISNUMBER(G307)),(G307-F307),"")</f>
        <v/>
      </c>
      <c r="M307" s="11">
        <f>IF(AND(ISNUMBER(H307),ISNUMBER(I307)),(I307-H307),"")</f>
        <v/>
      </c>
      <c r="N307" s="11">
        <f>IF(AND(ISNUMBER(E307),ISNUMBER(J307)),(J307-E307),"")</f>
        <v/>
      </c>
    </row>
    <row r="308">
      <c r="A308" s="3" t="inlineStr">
        <is>
          <t>OBT220125095350-Neunkirchen (loading tracks)</t>
        </is>
      </c>
      <c r="B308" s="3" t="inlineStr">
        <is>
          <t>Neunkirchen (loading tracks)</t>
        </is>
      </c>
      <c r="C308" s="3" t="inlineStr">
        <is>
          <t>621</t>
        </is>
      </c>
      <c r="D308" s="3" t="n">
        <v>5</v>
      </c>
      <c r="E308" s="10" t="n">
        <v>45679.12127314815</v>
      </c>
      <c r="F308" s="10" t="n">
        <v>45679.41238425926</v>
      </c>
      <c r="G308" s="10" t="n">
        <v>45680.37738425926</v>
      </c>
      <c r="H308" s="10" t="n">
        <v>45680.39731481481</v>
      </c>
      <c r="I308" s="10" t="n">
        <v>45680.39731481481</v>
      </c>
      <c r="J308" s="10" t="n">
        <v>45680.398125</v>
      </c>
      <c r="K308" s="11">
        <f>IF(AND(ISNUMBER(E308),ISNUMBER(F308)),(F308-E308),"")</f>
        <v/>
      </c>
      <c r="L308" s="11">
        <f>IF(AND(ISNUMBER(F308),ISNUMBER(G308)),(G308-F308),"")</f>
        <v/>
      </c>
      <c r="M308" s="11">
        <f>IF(AND(ISNUMBER(H308),ISNUMBER(I308)),(I308-H308),"")</f>
        <v/>
      </c>
      <c r="N308" s="11">
        <f>IF(AND(ISNUMBER(E308),ISNUMBER(J308)),(J308-E308),"")</f>
        <v/>
      </c>
    </row>
    <row r="309">
      <c r="A309" s="3" t="inlineStr">
        <is>
          <t>OBT220125095549-Wr. Neustadt (Hödlmayr)</t>
        </is>
      </c>
      <c r="B309" s="3" t="inlineStr">
        <is>
          <t>Wr. Neustadt (Hödlmayr)</t>
        </is>
      </c>
      <c r="C309" s="3" t="inlineStr">
        <is>
          <t>611</t>
        </is>
      </c>
      <c r="D309" s="3" t="n">
        <v>2</v>
      </c>
      <c r="E309" s="10" t="n">
        <v>45679.30383101852</v>
      </c>
      <c r="F309" s="10" t="n">
        <v>45679.41376157408</v>
      </c>
      <c r="G309" s="10" t="n">
        <v>45680.41893518518</v>
      </c>
      <c r="H309" s="10" t="n">
        <v>45680.43768518518</v>
      </c>
      <c r="I309" s="10" t="n">
        <v>45680.43768518518</v>
      </c>
      <c r="J309" s="10" t="n">
        <v>45680.43841435185</v>
      </c>
      <c r="K309" s="11">
        <f>IF(AND(ISNUMBER(E309),ISNUMBER(F309)),(F309-E309),"")</f>
        <v/>
      </c>
      <c r="L309" s="11">
        <f>IF(AND(ISNUMBER(F309),ISNUMBER(G309)),(G309-F309),"")</f>
        <v/>
      </c>
      <c r="M309" s="11">
        <f>IF(AND(ISNUMBER(H309),ISNUMBER(I309)),(I309-H309),"")</f>
        <v/>
      </c>
      <c r="N309" s="11">
        <f>IF(AND(ISNUMBER(E309),ISNUMBER(J309)),(J309-E309),"")</f>
        <v/>
      </c>
    </row>
    <row r="310">
      <c r="A310" s="3" t="inlineStr">
        <is>
          <t>OBT220125100316-Neudörfl (FunderMax)</t>
        </is>
      </c>
      <c r="B310" s="3" t="inlineStr">
        <is>
          <t>Neudörfl (FunderMax)</t>
        </is>
      </c>
      <c r="C310" s="3" t="inlineStr">
        <is>
          <t>629</t>
        </is>
      </c>
      <c r="D310" s="3" t="n">
        <v>7</v>
      </c>
      <c r="E310" s="10" t="n">
        <v>45678.32311342593</v>
      </c>
      <c r="F310" s="10" t="n">
        <v>45679.41893518518</v>
      </c>
      <c r="G310" s="10" t="n">
        <v>45680.45319444445</v>
      </c>
      <c r="H310" s="10" t="n">
        <v>45680.47625</v>
      </c>
      <c r="I310" s="10" t="n">
        <v>45680.47625</v>
      </c>
      <c r="J310" s="10" t="n">
        <v>45680.47693287037</v>
      </c>
      <c r="K310" s="11">
        <f>IF(AND(ISNUMBER(E310),ISNUMBER(F310)),(F310-E310),"")</f>
        <v/>
      </c>
      <c r="L310" s="11">
        <f>IF(AND(ISNUMBER(F310),ISNUMBER(G310)),(G310-F310),"")</f>
        <v/>
      </c>
      <c r="M310" s="11">
        <f>IF(AND(ISNUMBER(H310),ISNUMBER(I310)),(I310-H310),"")</f>
        <v/>
      </c>
      <c r="N310" s="11">
        <f>IF(AND(ISNUMBER(E310),ISNUMBER(J310)),(J310-E310),"")</f>
        <v/>
      </c>
    </row>
    <row r="311">
      <c r="A311" s="3" t="inlineStr">
        <is>
          <t>OBT220125104258-Wien Kledering</t>
        </is>
      </c>
      <c r="B311" s="3" t="inlineStr">
        <is>
          <t>Wien Kledering</t>
        </is>
      </c>
      <c r="C311" s="3" t="inlineStr">
        <is>
          <t>615</t>
        </is>
      </c>
      <c r="D311" s="3" t="n">
        <v>1</v>
      </c>
      <c r="E311" s="10" t="n">
        <v>45679.44413194444</v>
      </c>
      <c r="F311" s="10" t="n">
        <v>45679.44650462963</v>
      </c>
      <c r="G311" s="10" t="n">
        <v>45680.61497685185</v>
      </c>
      <c r="H311" s="10" t="n">
        <v>45680.69244212963</v>
      </c>
      <c r="I311" s="10" t="n">
        <v>45680.69244212963</v>
      </c>
      <c r="J311" s="10" t="n">
        <v>45680.69394675926</v>
      </c>
      <c r="K311" s="11">
        <f>IF(AND(ISNUMBER(E311),ISNUMBER(F311)),(F311-E311),"")</f>
        <v/>
      </c>
      <c r="L311" s="11">
        <f>IF(AND(ISNUMBER(F311),ISNUMBER(G311)),(G311-F311),"")</f>
        <v/>
      </c>
      <c r="M311" s="11">
        <f>IF(AND(ISNUMBER(H311),ISNUMBER(I311)),(I311-H311),"")</f>
        <v/>
      </c>
      <c r="N311" s="11">
        <f>IF(AND(ISNUMBER(E311),ISNUMBER(J311)),(J311-E311),"")</f>
        <v/>
      </c>
    </row>
    <row r="312">
      <c r="A312" s="3" t="inlineStr">
        <is>
          <t>OBT220125175314-Wien Kledering</t>
        </is>
      </c>
      <c r="B312" s="3" t="inlineStr">
        <is>
          <t>Wien Kledering</t>
        </is>
      </c>
      <c r="C312" s="3" t="inlineStr">
        <is>
          <t>615</t>
        </is>
      </c>
      <c r="D312" s="3" t="n">
        <v>3</v>
      </c>
      <c r="E312" s="10" t="n">
        <v>45679.54821759259</v>
      </c>
      <c r="F312" s="10" t="n">
        <v>45679.74530092593</v>
      </c>
      <c r="G312" s="10" t="n">
        <v>45680.64006944445</v>
      </c>
      <c r="H312" s="10" t="n">
        <v>45680.70748842593</v>
      </c>
      <c r="I312" s="10" t="n">
        <v>45680.70748842593</v>
      </c>
      <c r="J312" s="10" t="n">
        <v>45680.70885416667</v>
      </c>
      <c r="K312" s="11">
        <f>IF(AND(ISNUMBER(E312),ISNUMBER(F312)),(F312-E312),"")</f>
        <v/>
      </c>
      <c r="L312" s="11">
        <f>IF(AND(ISNUMBER(F312),ISNUMBER(G312)),(G312-F312),"")</f>
        <v/>
      </c>
      <c r="M312" s="11">
        <f>IF(AND(ISNUMBER(H312),ISNUMBER(I312)),(I312-H312),"")</f>
        <v/>
      </c>
      <c r="N312" s="11">
        <f>IF(AND(ISNUMBER(E312),ISNUMBER(J312)),(J312-E312),"")</f>
        <v/>
      </c>
    </row>
    <row r="313">
      <c r="A313" s="3" t="inlineStr">
        <is>
          <t>OBT220125180146-Felixdorf/Sollenau (Bundesheer, Maba)</t>
        </is>
      </c>
      <c r="B313" s="3" t="inlineStr">
        <is>
          <t>Felixdorf/Sollenau (Bundesheer, Maba)</t>
        </is>
      </c>
      <c r="C313" s="3" t="inlineStr">
        <is>
          <t>609</t>
        </is>
      </c>
      <c r="D313" s="3" t="n">
        <v>6</v>
      </c>
      <c r="E313" s="10" t="n">
        <v>45674.38503472223</v>
      </c>
      <c r="F313" s="10" t="n">
        <v>45679.75122685185</v>
      </c>
      <c r="G313" s="10" t="n">
        <v>45680.65077546296</v>
      </c>
      <c r="H313" s="10" t="n">
        <v>45680.67150462963</v>
      </c>
      <c r="I313" s="10" t="n">
        <v>45680.67150462963</v>
      </c>
      <c r="J313" s="10" t="n">
        <v>45680.67232638889</v>
      </c>
      <c r="K313" s="11">
        <f>IF(AND(ISNUMBER(E313),ISNUMBER(F313)),(F313-E313),"")</f>
        <v/>
      </c>
      <c r="L313" s="11">
        <f>IF(AND(ISNUMBER(F313),ISNUMBER(G313)),(G313-F313),"")</f>
        <v/>
      </c>
      <c r="M313" s="11">
        <f>IF(AND(ISNUMBER(H313),ISNUMBER(I313)),(I313-H313),"")</f>
        <v/>
      </c>
      <c r="N313" s="11">
        <f>IF(AND(ISNUMBER(E313),ISNUMBER(J313)),(J313-E313),"")</f>
        <v/>
      </c>
    </row>
    <row r="314">
      <c r="A314" s="3" t="inlineStr">
        <is>
          <t>OBT220125180607-Wr. Neustadt Ausfahrbf (Furtenbach)</t>
        </is>
      </c>
      <c r="B314" s="3" t="inlineStr">
        <is>
          <t>Wr. Neustadt Ausfahrbf (Furtenbach)</t>
        </is>
      </c>
      <c r="C314" s="3" t="inlineStr">
        <is>
          <t>613</t>
        </is>
      </c>
      <c r="D314" s="3" t="n">
        <v>5</v>
      </c>
      <c r="E314" s="10" t="n">
        <v>45677.40184027778</v>
      </c>
      <c r="F314" s="10" t="n">
        <v>45679.75424768519</v>
      </c>
      <c r="G314" s="10" t="n">
        <v>45680.67324074074</v>
      </c>
      <c r="H314" s="10" t="n">
        <v>45680.70087962963</v>
      </c>
      <c r="I314" s="10" t="n">
        <v>45680.70087962963</v>
      </c>
      <c r="J314" s="10" t="n">
        <v>45680.70167824074</v>
      </c>
      <c r="K314" s="11">
        <f>IF(AND(ISNUMBER(E314),ISNUMBER(F314)),(F314-E314),"")</f>
        <v/>
      </c>
      <c r="L314" s="11">
        <f>IF(AND(ISNUMBER(F314),ISNUMBER(G314)),(G314-F314),"")</f>
        <v/>
      </c>
      <c r="M314" s="11">
        <f>IF(AND(ISNUMBER(H314),ISNUMBER(I314)),(I314-H314),"")</f>
        <v/>
      </c>
      <c r="N314" s="11">
        <f>IF(AND(ISNUMBER(E314),ISNUMBER(J314)),(J314-E314),"")</f>
        <v/>
      </c>
    </row>
    <row r="315">
      <c r="A315" s="3" t="inlineStr">
        <is>
          <t>OBT220125181516-Pitten (Hamburger)</t>
        </is>
      </c>
      <c r="B315" s="3" t="inlineStr">
        <is>
          <t>Pitten (Hamburger)</t>
        </is>
      </c>
      <c r="C315" s="3" t="inlineStr">
        <is>
          <t>619</t>
        </is>
      </c>
      <c r="D315" s="3" t="n">
        <v>2</v>
      </c>
      <c r="E315" s="10" t="n">
        <v>45679.41708333333</v>
      </c>
      <c r="F315" s="10" t="n">
        <v>45679.76060185185</v>
      </c>
      <c r="G315" s="10" t="n">
        <v>45680.75005787037</v>
      </c>
      <c r="H315" s="10" t="n">
        <v>45680.80133101852</v>
      </c>
      <c r="I315" s="10" t="n">
        <v>45680.80133101852</v>
      </c>
      <c r="J315" s="10" t="n">
        <v>45680.80255787037</v>
      </c>
      <c r="K315" s="11">
        <f>IF(AND(ISNUMBER(E315),ISNUMBER(F315)),(F315-E315),"")</f>
        <v/>
      </c>
      <c r="L315" s="11">
        <f>IF(AND(ISNUMBER(F315),ISNUMBER(G315)),(G315-F315),"")</f>
        <v/>
      </c>
      <c r="M315" s="11">
        <f>IF(AND(ISNUMBER(H315),ISNUMBER(I315)),(I315-H315),"")</f>
        <v/>
      </c>
      <c r="N315" s="11">
        <f>IF(AND(ISNUMBER(E315),ISNUMBER(J315)),(J315-E315),"")</f>
        <v/>
      </c>
    </row>
    <row r="316">
      <c r="A316" s="3" t="inlineStr">
        <is>
          <t>OBT220125203751-Pitten (Hamburger)</t>
        </is>
      </c>
      <c r="B316" s="3" t="inlineStr">
        <is>
          <t>Pitten (Hamburger)</t>
        </is>
      </c>
      <c r="C316" s="3" t="inlineStr">
        <is>
          <t>619</t>
        </is>
      </c>
      <c r="D316" s="3" t="n">
        <v>2</v>
      </c>
      <c r="E316" s="10" t="n">
        <v>45679.85211805555</v>
      </c>
      <c r="F316" s="10" t="n">
        <v>45679.85961805555</v>
      </c>
      <c r="G316" s="10" t="n">
        <v>45680.7528587963</v>
      </c>
      <c r="H316" s="10" t="n">
        <v>45680.77143518518</v>
      </c>
      <c r="I316" s="10" t="n">
        <v>45680.77143518518</v>
      </c>
      <c r="J316" s="10" t="n">
        <v>45680.7722337963</v>
      </c>
      <c r="K316" s="11">
        <f>IF(AND(ISNUMBER(E316),ISNUMBER(F316)),(F316-E316),"")</f>
        <v/>
      </c>
      <c r="L316" s="11">
        <f>IF(AND(ISNUMBER(F316),ISNUMBER(G316)),(G316-F316),"")</f>
        <v/>
      </c>
      <c r="M316" s="11">
        <f>IF(AND(ISNUMBER(H316),ISNUMBER(I316)),(I316-H316),"")</f>
        <v/>
      </c>
      <c r="N316" s="11">
        <f>IF(AND(ISNUMBER(E316),ISNUMBER(J316)),(J316-E316),"")</f>
        <v/>
      </c>
    </row>
    <row r="317">
      <c r="A317" s="3" t="inlineStr">
        <is>
          <t>OBT220125204226-Neunkirchen (loading tracks)</t>
        </is>
      </c>
      <c r="B317" s="3" t="inlineStr">
        <is>
          <t>Neunkirchen (loading tracks)</t>
        </is>
      </c>
      <c r="C317" s="3" t="inlineStr">
        <is>
          <t>623</t>
        </is>
      </c>
      <c r="D317" s="3" t="n">
        <v>4</v>
      </c>
      <c r="E317" s="10" t="n">
        <v>45679.32076388889</v>
      </c>
      <c r="F317" s="10" t="n">
        <v>45679.86280092593</v>
      </c>
      <c r="G317" s="10" t="n">
        <v>45680.8828587963</v>
      </c>
      <c r="H317" s="10" t="n">
        <v>45680.90070601852</v>
      </c>
      <c r="I317" s="10" t="n">
        <v>45680.90070601852</v>
      </c>
      <c r="J317" s="10" t="n">
        <v>45680.90148148148</v>
      </c>
      <c r="K317" s="11">
        <f>IF(AND(ISNUMBER(E317),ISNUMBER(F317)),(F317-E317),"")</f>
        <v/>
      </c>
      <c r="L317" s="11">
        <f>IF(AND(ISNUMBER(F317),ISNUMBER(G317)),(G317-F317),"")</f>
        <v/>
      </c>
      <c r="M317" s="11">
        <f>IF(AND(ISNUMBER(H317),ISNUMBER(I317)),(I317-H317),"")</f>
        <v/>
      </c>
      <c r="N317" s="11">
        <f>IF(AND(ISNUMBER(E317),ISNUMBER(J317)),(J317-E317),"")</f>
        <v/>
      </c>
    </row>
    <row r="318">
      <c r="A318" s="3" t="inlineStr">
        <is>
          <t>OBT220125205009-Other sidings local</t>
        </is>
      </c>
      <c r="B318" s="3" t="inlineStr">
        <is>
          <t>Other sidings local</t>
        </is>
      </c>
      <c r="C318" s="3" t="inlineStr">
        <is>
          <t>606</t>
        </is>
      </c>
      <c r="D318" s="3" t="n">
        <v>3</v>
      </c>
      <c r="E318" s="10" t="n">
        <v>45679.41890046297</v>
      </c>
      <c r="F318" s="10" t="n">
        <v>45679.86815972222</v>
      </c>
      <c r="G318" s="10" t="n">
        <v>45681.13284722222</v>
      </c>
      <c r="H318" s="10" t="n">
        <v>45681.15251157407</v>
      </c>
      <c r="I318" s="10" t="n">
        <v>45681.15251157407</v>
      </c>
      <c r="J318" s="10" t="n">
        <v>45681.15327546297</v>
      </c>
      <c r="K318" s="11">
        <f>IF(AND(ISNUMBER(E318),ISNUMBER(F318)),(F318-E318),"")</f>
        <v/>
      </c>
      <c r="L318" s="11">
        <f>IF(AND(ISNUMBER(F318),ISNUMBER(G318)),(G318-F318),"")</f>
        <v/>
      </c>
      <c r="M318" s="11">
        <f>IF(AND(ISNUMBER(H318),ISNUMBER(I318)),(I318-H318),"")</f>
        <v/>
      </c>
      <c r="N318" s="11">
        <f>IF(AND(ISNUMBER(E318),ISNUMBER(J318)),(J318-E318),"")</f>
        <v/>
      </c>
    </row>
    <row r="319">
      <c r="A319" s="3" t="inlineStr">
        <is>
          <t>OBT230125030314-Neunkirchen (loading tracks)</t>
        </is>
      </c>
      <c r="B319" s="3" t="inlineStr">
        <is>
          <t>Neunkirchen (loading tracks)</t>
        </is>
      </c>
      <c r="C319" s="3" t="inlineStr">
        <is>
          <t>615</t>
        </is>
      </c>
      <c r="D319" s="3" t="n">
        <v>2</v>
      </c>
      <c r="E319" s="10" t="n">
        <v>45679.74887731481</v>
      </c>
      <c r="F319" s="10" t="n">
        <v>45680.12724537037</v>
      </c>
      <c r="G319" s="10" t="n">
        <v>45681.19891203703</v>
      </c>
      <c r="H319" s="10" t="n">
        <v>45681.22040509259</v>
      </c>
      <c r="I319" s="10" t="n">
        <v>45681.22040509259</v>
      </c>
      <c r="J319" s="10" t="n">
        <v>45681.22115740741</v>
      </c>
      <c r="K319" s="11">
        <f>IF(AND(ISNUMBER(E319),ISNUMBER(F319)),(F319-E319),"")</f>
        <v/>
      </c>
      <c r="L319" s="11">
        <f>IF(AND(ISNUMBER(F319),ISNUMBER(G319)),(G319-F319),"")</f>
        <v/>
      </c>
      <c r="M319" s="11">
        <f>IF(AND(ISNUMBER(H319),ISNUMBER(I319)),(I319-H319),"")</f>
        <v/>
      </c>
      <c r="N319" s="11">
        <f>IF(AND(ISNUMBER(E319),ISNUMBER(J319)),(J319-E319),"")</f>
        <v/>
      </c>
    </row>
    <row r="320">
      <c r="A320" s="3" t="inlineStr">
        <is>
          <t>OBT230125030603-Ternitz (Schoeller-Bleckmann)</t>
        </is>
      </c>
      <c r="B320" s="3" t="inlineStr">
        <is>
          <t>Ternitz (Schoeller-Bleckmann)</t>
        </is>
      </c>
      <c r="C320" s="3" t="inlineStr">
        <is>
          <t>621</t>
        </is>
      </c>
      <c r="D320" s="3" t="n">
        <v>1</v>
      </c>
      <c r="E320" s="10" t="n">
        <v>45680.12701388889</v>
      </c>
      <c r="F320" s="10" t="n">
        <v>45680.12920138889</v>
      </c>
      <c r="G320" s="10" t="n">
        <v>45681.2693287037</v>
      </c>
      <c r="H320" s="10" t="n">
        <v>45681.28805555555</v>
      </c>
      <c r="I320" s="10" t="n">
        <v>45681.28805555555</v>
      </c>
      <c r="J320" s="10" t="n">
        <v>45681.28884259259</v>
      </c>
      <c r="K320" s="11">
        <f>IF(AND(ISNUMBER(E320),ISNUMBER(F320)),(F320-E320),"")</f>
        <v/>
      </c>
      <c r="L320" s="11">
        <f>IF(AND(ISNUMBER(F320),ISNUMBER(G320)),(G320-F320),"")</f>
        <v/>
      </c>
      <c r="M320" s="11">
        <f>IF(AND(ISNUMBER(H320),ISNUMBER(I320)),(I320-H320),"")</f>
        <v/>
      </c>
      <c r="N320" s="11">
        <f>IF(AND(ISNUMBER(E320),ISNUMBER(J320)),(J320-E320),"")</f>
        <v/>
      </c>
    </row>
    <row r="321">
      <c r="A321" s="3" t="inlineStr">
        <is>
          <t>OBT230125063522-Wien Kledering</t>
        </is>
      </c>
      <c r="B321" s="3" t="inlineStr">
        <is>
          <t>Wien Kledering</t>
        </is>
      </c>
      <c r="C321" s="3" t="inlineStr">
        <is>
          <t>625</t>
        </is>
      </c>
      <c r="D321" s="3" t="n">
        <v>4</v>
      </c>
      <c r="E321" s="10" t="n">
        <v>45679.31505787037</v>
      </c>
      <c r="F321" s="10" t="n">
        <v>45680.27456018519</v>
      </c>
      <c r="G321" s="10" t="n">
        <v>45681.3009375</v>
      </c>
      <c r="H321" s="10" t="n">
        <v>45681.32601851852</v>
      </c>
      <c r="I321" s="10" t="n">
        <v>45681.32601851852</v>
      </c>
      <c r="J321" s="10" t="n">
        <v>45681.32685185185</v>
      </c>
      <c r="K321" s="11">
        <f>IF(AND(ISNUMBER(E321),ISNUMBER(F321)),(F321-E321),"")</f>
        <v/>
      </c>
      <c r="L321" s="11">
        <f>IF(AND(ISNUMBER(F321),ISNUMBER(G321)),(G321-F321),"")</f>
        <v/>
      </c>
      <c r="M321" s="11">
        <f>IF(AND(ISNUMBER(H321),ISNUMBER(I321)),(I321-H321),"")</f>
        <v/>
      </c>
      <c r="N321" s="11">
        <f>IF(AND(ISNUMBER(E321),ISNUMBER(J321)),(J321-E321),"")</f>
        <v/>
      </c>
    </row>
    <row r="322">
      <c r="A322" s="3" t="inlineStr">
        <is>
          <t>OBT230125071649-Other sidings south</t>
        </is>
      </c>
      <c r="B322" s="3" t="inlineStr">
        <is>
          <t>Other sidings south</t>
        </is>
      </c>
      <c r="C322" s="3" t="inlineStr">
        <is>
          <t>615</t>
        </is>
      </c>
      <c r="D322" s="3" t="n">
        <v>2</v>
      </c>
      <c r="E322" s="10" t="n">
        <v>45680.13020833334</v>
      </c>
      <c r="F322" s="10" t="n">
        <v>45680.30334490741</v>
      </c>
      <c r="G322" s="10" t="n">
        <v>45681.31454861111</v>
      </c>
      <c r="H322" s="10" t="n">
        <v>45681.335</v>
      </c>
      <c r="I322" s="10" t="n">
        <v>45681.335</v>
      </c>
      <c r="J322" s="10" t="n">
        <v>45681.33572916667</v>
      </c>
      <c r="K322" s="11">
        <f>IF(AND(ISNUMBER(E322),ISNUMBER(F322)),(F322-E322),"")</f>
        <v/>
      </c>
      <c r="L322" s="11">
        <f>IF(AND(ISNUMBER(F322),ISNUMBER(G322)),(G322-F322),"")</f>
        <v/>
      </c>
      <c r="M322" s="11">
        <f>IF(AND(ISNUMBER(H322),ISNUMBER(I322)),(I322-H322),"")</f>
        <v/>
      </c>
      <c r="N322" s="11">
        <f>IF(AND(ISNUMBER(E322),ISNUMBER(J322)),(J322-E322),"")</f>
        <v/>
      </c>
    </row>
    <row r="323">
      <c r="A323" s="3" t="inlineStr">
        <is>
          <t>OBT230125090110-Wien Kledering</t>
        </is>
      </c>
      <c r="B323" s="3" t="inlineStr">
        <is>
          <t>Wien Kledering</t>
        </is>
      </c>
      <c r="C323" s="3" t="inlineStr">
        <is>
          <t>627</t>
        </is>
      </c>
      <c r="D323" s="3" t="n">
        <v>2</v>
      </c>
      <c r="E323" s="10" t="n">
        <v>45680.12893518519</v>
      </c>
      <c r="F323" s="10" t="n">
        <v>45680.37581018519</v>
      </c>
      <c r="G323" s="10" t="n">
        <v>45681.33265046297</v>
      </c>
      <c r="H323" s="10" t="n">
        <v>45681.36351851852</v>
      </c>
      <c r="I323" s="10" t="n">
        <v>45681.36351851852</v>
      </c>
      <c r="J323" s="10" t="n">
        <v>45681.3643287037</v>
      </c>
      <c r="K323" s="11">
        <f>IF(AND(ISNUMBER(E323),ISNUMBER(F323)),(F323-E323),"")</f>
        <v/>
      </c>
      <c r="L323" s="11">
        <f>IF(AND(ISNUMBER(F323),ISNUMBER(G323)),(G323-F323),"")</f>
        <v/>
      </c>
      <c r="M323" s="11">
        <f>IF(AND(ISNUMBER(H323),ISNUMBER(I323)),(I323-H323),"")</f>
        <v/>
      </c>
      <c r="N323" s="11">
        <f>IF(AND(ISNUMBER(E323),ISNUMBER(J323)),(J323-E323),"")</f>
        <v/>
      </c>
    </row>
    <row r="324">
      <c r="A324" s="3" t="inlineStr">
        <is>
          <t>OBT230125090423-St. Veit an der Glan</t>
        </is>
      </c>
      <c r="B324" s="3" t="inlineStr">
        <is>
          <t>St. Veit an der Glan</t>
        </is>
      </c>
      <c r="C324" s="3" t="inlineStr">
        <is>
          <t>605</t>
        </is>
      </c>
      <c r="D324" s="3" t="n">
        <v>1</v>
      </c>
      <c r="E324" s="10" t="n">
        <v>45680.37564814815</v>
      </c>
      <c r="F324" s="10" t="n">
        <v>45680.37804398148</v>
      </c>
      <c r="G324" s="10" t="n">
        <v>45681.37797453703</v>
      </c>
      <c r="H324" s="10" t="n">
        <v>45681.41594907407</v>
      </c>
      <c r="I324" s="10" t="n">
        <v>45681.41594907407</v>
      </c>
      <c r="J324" s="10" t="n">
        <v>45681.41704861111</v>
      </c>
      <c r="K324" s="11">
        <f>IF(AND(ISNUMBER(E324),ISNUMBER(F324)),(F324-E324),"")</f>
        <v/>
      </c>
      <c r="L324" s="11">
        <f>IF(AND(ISNUMBER(F324),ISNUMBER(G324)),(G324-F324),"")</f>
        <v/>
      </c>
      <c r="M324" s="11">
        <f>IF(AND(ISNUMBER(H324),ISNUMBER(I324)),(I324-H324),"")</f>
        <v/>
      </c>
      <c r="N324" s="11">
        <f>IF(AND(ISNUMBER(E324),ISNUMBER(J324)),(J324-E324),"")</f>
        <v/>
      </c>
    </row>
    <row r="325">
      <c r="A325" s="3" t="inlineStr">
        <is>
          <t>OBT230125095448-Neudörfl (FunderMax)</t>
        </is>
      </c>
      <c r="B325" s="3" t="inlineStr">
        <is>
          <t>Neudörfl (FunderMax)</t>
        </is>
      </c>
      <c r="C325" s="3" t="inlineStr">
        <is>
          <t>617</t>
        </is>
      </c>
      <c r="D325" s="3" t="n">
        <v>4</v>
      </c>
      <c r="E325" s="10" t="n">
        <v>45679.76121527778</v>
      </c>
      <c r="F325" s="10" t="n">
        <v>45680.41305555555</v>
      </c>
      <c r="G325" s="10" t="n">
        <v>45681.40077546296</v>
      </c>
      <c r="H325" s="10" t="n">
        <v>45681.42721064815</v>
      </c>
      <c r="I325" s="10" t="n">
        <v>45681.42721064815</v>
      </c>
      <c r="J325" s="10" t="n">
        <v>45681.42811342593</v>
      </c>
      <c r="K325" s="11">
        <f>IF(AND(ISNUMBER(E325),ISNUMBER(F325)),(F325-E325),"")</f>
        <v/>
      </c>
      <c r="L325" s="11">
        <f>IF(AND(ISNUMBER(F325),ISNUMBER(G325)),(G325-F325),"")</f>
        <v/>
      </c>
      <c r="M325" s="11">
        <f>IF(AND(ISNUMBER(H325),ISNUMBER(I325)),(I325-H325),"")</f>
        <v/>
      </c>
      <c r="N325" s="11">
        <f>IF(AND(ISNUMBER(E325),ISNUMBER(J325)),(J325-E325),"")</f>
        <v/>
      </c>
    </row>
    <row r="326">
      <c r="A326" s="3" t="inlineStr">
        <is>
          <t>OBT230125095729-Other sidings north</t>
        </is>
      </c>
      <c r="B326" s="3" t="inlineStr">
        <is>
          <t>Other sidings north</t>
        </is>
      </c>
      <c r="C326" s="3" t="inlineStr">
        <is>
          <t>629</t>
        </is>
      </c>
      <c r="D326" s="3" t="n">
        <v>3</v>
      </c>
      <c r="E326" s="10" t="n">
        <v>45680.30144675926</v>
      </c>
      <c r="F326" s="10" t="n">
        <v>45680.41491898148</v>
      </c>
      <c r="G326" s="10" t="n">
        <v>45681.42479166666</v>
      </c>
      <c r="H326" s="10" t="n">
        <v>45681.4534375</v>
      </c>
      <c r="I326" s="10" t="n">
        <v>45681.4534375</v>
      </c>
      <c r="J326" s="10" t="n">
        <v>45681.45420138889</v>
      </c>
      <c r="K326" s="11">
        <f>IF(AND(ISNUMBER(E326),ISNUMBER(F326)),(F326-E326),"")</f>
        <v/>
      </c>
      <c r="L326" s="11">
        <f>IF(AND(ISNUMBER(F326),ISNUMBER(G326)),(G326-F326),"")</f>
        <v/>
      </c>
      <c r="M326" s="11">
        <f>IF(AND(ISNUMBER(H326),ISNUMBER(I326)),(I326-H326),"")</f>
        <v/>
      </c>
      <c r="N326" s="11">
        <f>IF(AND(ISNUMBER(E326),ISNUMBER(J326)),(J326-E326),"")</f>
        <v/>
      </c>
    </row>
    <row r="327">
      <c r="A327" s="3" t="inlineStr">
        <is>
          <t>OBT230125100554-Pitten (Hamburger)</t>
        </is>
      </c>
      <c r="B327" s="3" t="inlineStr">
        <is>
          <t>Pitten (Hamburger)</t>
        </is>
      </c>
      <c r="C327" s="3" t="inlineStr">
        <is>
          <t>619</t>
        </is>
      </c>
      <c r="D327" s="3" t="n">
        <v>5</v>
      </c>
      <c r="E327" s="10" t="n">
        <v>45679.86086805556</v>
      </c>
      <c r="F327" s="10" t="n">
        <v>45680.42076388889</v>
      </c>
      <c r="G327" s="10" t="n">
        <v>45681.55319444444</v>
      </c>
      <c r="H327" s="10" t="n">
        <v>45681.58391203704</v>
      </c>
      <c r="I327" s="10" t="n">
        <v>45681.58391203704</v>
      </c>
      <c r="J327" s="10" t="n">
        <v>45681.58487268518</v>
      </c>
      <c r="K327" s="11">
        <f>IF(AND(ISNUMBER(E327),ISNUMBER(F327)),(F327-E327),"")</f>
        <v/>
      </c>
      <c r="L327" s="11">
        <f>IF(AND(ISNUMBER(F327),ISNUMBER(G327)),(G327-F327),"")</f>
        <v/>
      </c>
      <c r="M327" s="11">
        <f>IF(AND(ISNUMBER(H327),ISNUMBER(I327)),(I327-H327),"")</f>
        <v/>
      </c>
      <c r="N327" s="11">
        <f>IF(AND(ISNUMBER(E327),ISNUMBER(J327)),(J327-E327),"")</f>
        <v/>
      </c>
    </row>
    <row r="328">
      <c r="A328" s="3" t="inlineStr">
        <is>
          <t>OBT230125105334-Wien Kledering</t>
        </is>
      </c>
      <c r="B328" s="3" t="inlineStr">
        <is>
          <t>Wien Kledering</t>
        </is>
      </c>
      <c r="C328" s="3" t="inlineStr">
        <is>
          <t>621</t>
        </is>
      </c>
      <c r="D328" s="3" t="n">
        <v>4</v>
      </c>
      <c r="E328" s="10" t="n">
        <v>45680.29817129629</v>
      </c>
      <c r="F328" s="10" t="n">
        <v>45680.45386574074</v>
      </c>
      <c r="G328" s="10" t="n">
        <v>45681.61537037037</v>
      </c>
      <c r="H328" s="10" t="n">
        <v>45681.68616898148</v>
      </c>
      <c r="I328" s="10" t="n">
        <v>45681.68616898148</v>
      </c>
      <c r="J328" s="10" t="n">
        <v>45681.68765046296</v>
      </c>
      <c r="K328" s="11">
        <f>IF(AND(ISNUMBER(E328),ISNUMBER(F328)),(F328-E328),"")</f>
        <v/>
      </c>
      <c r="L328" s="11">
        <f>IF(AND(ISNUMBER(F328),ISNUMBER(G328)),(G328-F328),"")</f>
        <v/>
      </c>
      <c r="M328" s="11">
        <f>IF(AND(ISNUMBER(H328),ISNUMBER(I328)),(I328-H328),"")</f>
        <v/>
      </c>
      <c r="N328" s="11">
        <f>IF(AND(ISNUMBER(E328),ISNUMBER(J328)),(J328-E328),"")</f>
        <v/>
      </c>
    </row>
    <row r="329">
      <c r="A329" s="3" t="inlineStr">
        <is>
          <t>OBT230125144630-Wien Kledering</t>
        </is>
      </c>
      <c r="B329" s="3" t="inlineStr">
        <is>
          <t>Wien Kledering</t>
        </is>
      </c>
      <c r="C329" s="3" t="inlineStr">
        <is>
          <t>611</t>
        </is>
      </c>
      <c r="D329" s="3" t="n">
        <v>1</v>
      </c>
      <c r="E329" s="10" t="n">
        <v>45680.61325231481</v>
      </c>
      <c r="F329" s="10" t="n">
        <v>45680.615625</v>
      </c>
      <c r="G329" s="10" t="n">
        <v>45681.65070601852</v>
      </c>
      <c r="H329" s="10" t="n">
        <v>45681.71954861111</v>
      </c>
      <c r="I329" s="10" t="n">
        <v>45681.71954861111</v>
      </c>
      <c r="J329" s="10" t="n">
        <v>45681.72094907407</v>
      </c>
      <c r="K329" s="11">
        <f>IF(AND(ISNUMBER(E329),ISNUMBER(F329)),(F329-E329),"")</f>
        <v/>
      </c>
      <c r="L329" s="11">
        <f>IF(AND(ISNUMBER(F329),ISNUMBER(G329)),(G329-F329),"")</f>
        <v/>
      </c>
      <c r="M329" s="11">
        <f>IF(AND(ISNUMBER(H329),ISNUMBER(I329)),(I329-H329),"")</f>
        <v/>
      </c>
      <c r="N329" s="11">
        <f>IF(AND(ISNUMBER(E329),ISNUMBER(J329)),(J329-E329),"")</f>
        <v/>
      </c>
    </row>
    <row r="330">
      <c r="A330" s="3" t="inlineStr">
        <is>
          <t>OBT230125174306-Other sidings north</t>
        </is>
      </c>
      <c r="B330" s="3" t="inlineStr">
        <is>
          <t>Other sidings north</t>
        </is>
      </c>
      <c r="C330" s="3" t="inlineStr">
        <is>
          <t>629</t>
        </is>
      </c>
      <c r="D330" s="3" t="n">
        <v>4</v>
      </c>
      <c r="E330" s="10" t="n">
        <v>45680.6288425926</v>
      </c>
      <c r="F330" s="10" t="n">
        <v>45680.73826388889</v>
      </c>
      <c r="G330" s="10" t="n">
        <v>45681.65447916667</v>
      </c>
      <c r="H330" s="10" t="n">
        <v>45681.67707175926</v>
      </c>
      <c r="I330" s="10" t="n">
        <v>45681.67707175926</v>
      </c>
      <c r="J330" s="10" t="n">
        <v>45681.67775462963</v>
      </c>
      <c r="K330" s="11">
        <f>IF(AND(ISNUMBER(E330),ISNUMBER(F330)),(F330-E330),"")</f>
        <v/>
      </c>
      <c r="L330" s="11">
        <f>IF(AND(ISNUMBER(F330),ISNUMBER(G330)),(G330-F330),"")</f>
        <v/>
      </c>
      <c r="M330" s="11">
        <f>IF(AND(ISNUMBER(H330),ISNUMBER(I330)),(I330-H330),"")</f>
        <v/>
      </c>
      <c r="N330" s="11">
        <f>IF(AND(ISNUMBER(E330),ISNUMBER(J330)),(J330-E330),"")</f>
        <v/>
      </c>
    </row>
    <row r="331">
      <c r="A331" s="3" t="inlineStr">
        <is>
          <t>OBT230125175458-Wr. Neustadt Ausfahrbf (Furtenbach)</t>
        </is>
      </c>
      <c r="B331" s="3" t="inlineStr">
        <is>
          <t>Wr. Neustadt Ausfahrbf (Furtenbach)</t>
        </is>
      </c>
      <c r="C331" s="3" t="inlineStr">
        <is>
          <t>607</t>
        </is>
      </c>
      <c r="D331" s="3" t="n">
        <v>9</v>
      </c>
      <c r="E331" s="10" t="n">
        <v>45679.30740740741</v>
      </c>
      <c r="F331" s="10" t="n">
        <v>45680.74650462963</v>
      </c>
      <c r="G331" s="10" t="n">
        <v>45681.73866898148</v>
      </c>
      <c r="H331" s="10" t="n">
        <v>45681.7572337963</v>
      </c>
      <c r="I331" s="10" t="n">
        <v>45681.7572337963</v>
      </c>
      <c r="J331" s="10" t="n">
        <v>45681.7580787037</v>
      </c>
      <c r="K331" s="11">
        <f>IF(AND(ISNUMBER(E331),ISNUMBER(F331)),(F331-E331),"")</f>
        <v/>
      </c>
      <c r="L331" s="11">
        <f>IF(AND(ISNUMBER(F331),ISNUMBER(G331)),(G331-F331),"")</f>
        <v/>
      </c>
      <c r="M331" s="11">
        <f>IF(AND(ISNUMBER(H331),ISNUMBER(I331)),(I331-H331),"")</f>
        <v/>
      </c>
      <c r="N331" s="11">
        <f>IF(AND(ISNUMBER(E331),ISNUMBER(J331)),(J331-E331),"")</f>
        <v/>
      </c>
    </row>
    <row r="332">
      <c r="A332" s="3" t="inlineStr">
        <is>
          <t>OBT230125175919-Pitten (Hamburger)</t>
        </is>
      </c>
      <c r="B332" s="3" t="inlineStr">
        <is>
          <t>Pitten (Hamburger)</t>
        </is>
      </c>
      <c r="C332" s="3" t="inlineStr">
        <is>
          <t>613</t>
        </is>
      </c>
      <c r="D332" s="3" t="n">
        <v>1</v>
      </c>
      <c r="E332" s="10" t="n">
        <v>45680.74716435185</v>
      </c>
      <c r="F332" s="10" t="n">
        <v>45680.74952546296</v>
      </c>
      <c r="G332" s="10" t="n">
        <v>45681.74197916667</v>
      </c>
      <c r="H332" s="10" t="n">
        <v>45681.7624074074</v>
      </c>
      <c r="I332" s="10" t="n">
        <v>45681.7624074074</v>
      </c>
      <c r="J332" s="10" t="n">
        <v>45681.76310185185</v>
      </c>
      <c r="K332" s="11">
        <f>IF(AND(ISNUMBER(E332),ISNUMBER(F332)),(F332-E332),"")</f>
        <v/>
      </c>
      <c r="L332" s="11">
        <f>IF(AND(ISNUMBER(F332),ISNUMBER(G332)),(G332-F332),"")</f>
        <v/>
      </c>
      <c r="M332" s="11">
        <f>IF(AND(ISNUMBER(H332),ISNUMBER(I332)),(I332-H332),"")</f>
        <v/>
      </c>
      <c r="N332" s="11">
        <f>IF(AND(ISNUMBER(E332),ISNUMBER(J332)),(J332-E332),"")</f>
        <v/>
      </c>
    </row>
    <row r="333">
      <c r="A333" s="3" t="inlineStr">
        <is>
          <t>OBT230125211356-Wien Kledering</t>
        </is>
      </c>
      <c r="B333" s="3" t="inlineStr">
        <is>
          <t>Wien Kledering</t>
        </is>
      </c>
      <c r="C333" s="3" t="inlineStr">
        <is>
          <t>609</t>
        </is>
      </c>
      <c r="D333" s="3" t="n">
        <v>2</v>
      </c>
      <c r="E333" s="10" t="n">
        <v>45680.75112268519</v>
      </c>
      <c r="F333" s="10" t="n">
        <v>45680.88467592592</v>
      </c>
      <c r="G333" s="10" t="n">
        <v>45682.09043981481</v>
      </c>
      <c r="H333" s="10" t="n">
        <v>45682.11478009259</v>
      </c>
      <c r="I333" s="10" t="n">
        <v>45682.11478009259</v>
      </c>
      <c r="J333" s="10" t="n">
        <v>45682.11563657408</v>
      </c>
      <c r="K333" s="11">
        <f>IF(AND(ISNUMBER(E333),ISNUMBER(F333)),(F333-E333),"")</f>
        <v/>
      </c>
      <c r="L333" s="11">
        <f>IF(AND(ISNUMBER(F333),ISNUMBER(G333)),(G333-F333),"")</f>
        <v/>
      </c>
      <c r="M333" s="11">
        <f>IF(AND(ISNUMBER(H333),ISNUMBER(I333)),(I333-H333),"")</f>
        <v/>
      </c>
      <c r="N333" s="11">
        <f>IF(AND(ISNUMBER(E333),ISNUMBER(J333)),(J333-E333),"")</f>
        <v/>
      </c>
    </row>
    <row r="334">
      <c r="A334" s="3" t="inlineStr">
        <is>
          <t>OBT240125030555-Neunkirchen (loading tracks)</t>
        </is>
      </c>
      <c r="B334" s="3" t="inlineStr">
        <is>
          <t>Neunkirchen (loading tracks)</t>
        </is>
      </c>
      <c r="C334" s="3" t="inlineStr">
        <is>
          <t>619</t>
        </is>
      </c>
      <c r="D334" s="3" t="n">
        <v>2</v>
      </c>
      <c r="E334" s="10" t="n">
        <v>45680.73049768519</v>
      </c>
      <c r="F334" s="10" t="n">
        <v>45681.1291087963</v>
      </c>
      <c r="G334" s="10" t="n">
        <v>45683.76060185185</v>
      </c>
      <c r="H334" s="10" t="n">
        <v>45683.78920138889</v>
      </c>
      <c r="I334" s="10" t="n">
        <v>45683.78920138889</v>
      </c>
      <c r="J334" s="10" t="n">
        <v>45683.79012731482</v>
      </c>
      <c r="K334" s="11">
        <f>IF(AND(ISNUMBER(E334),ISNUMBER(F334)),(F334-E334),"")</f>
        <v/>
      </c>
      <c r="L334" s="11">
        <f>IF(AND(ISNUMBER(F334),ISNUMBER(G334)),(G334-F334),"")</f>
        <v/>
      </c>
      <c r="M334" s="11">
        <f>IF(AND(ISNUMBER(H334),ISNUMBER(I334)),(I334-H334),"")</f>
        <v/>
      </c>
      <c r="N334" s="11">
        <f>IF(AND(ISNUMBER(E334),ISNUMBER(J334)),(J334-E334),"")</f>
        <v/>
      </c>
    </row>
    <row r="335">
      <c r="A335" s="3" t="inlineStr">
        <is>
          <t>OBT240125031427-Wr. Neustadt (Hödlmayr)</t>
        </is>
      </c>
      <c r="B335" s="3" t="inlineStr">
        <is>
          <t>Wr. Neustadt (Hödlmayr)</t>
        </is>
      </c>
      <c r="C335" s="3" t="inlineStr">
        <is>
          <t>615</t>
        </is>
      </c>
      <c r="D335" s="3" t="n">
        <v>7</v>
      </c>
      <c r="E335" s="10" t="n">
        <v>45680.39967592592</v>
      </c>
      <c r="F335" s="10" t="n">
        <v>45681.13503472223</v>
      </c>
      <c r="G335" s="10" t="n">
        <v>45684.1284837963</v>
      </c>
      <c r="H335" s="10" t="n">
        <v>45684.1534375</v>
      </c>
      <c r="I335" s="10" t="n">
        <v>45684.1534375</v>
      </c>
      <c r="J335" s="10" t="n">
        <v>45684.15423611111</v>
      </c>
      <c r="K335" s="11">
        <f>IF(AND(ISNUMBER(E335),ISNUMBER(F335)),(F335-E335),"")</f>
        <v/>
      </c>
      <c r="L335" s="11">
        <f>IF(AND(ISNUMBER(F335),ISNUMBER(G335)),(G335-F335),"")</f>
        <v/>
      </c>
      <c r="M335" s="11">
        <f>IF(AND(ISNUMBER(H335),ISNUMBER(I335)),(I335-H335),"")</f>
        <v/>
      </c>
      <c r="N335" s="11">
        <f>IF(AND(ISNUMBER(E335),ISNUMBER(J335)),(J335-E335),"")</f>
        <v/>
      </c>
    </row>
    <row r="336">
      <c r="A336" s="3" t="inlineStr">
        <is>
          <t>OBT240125044723-Neudörfl (FunderMax)</t>
        </is>
      </c>
      <c r="B336" s="3" t="inlineStr">
        <is>
          <t>Neudörfl (FunderMax)</t>
        </is>
      </c>
      <c r="C336" s="3" t="inlineStr">
        <is>
          <t>623</t>
        </is>
      </c>
      <c r="D336" s="3" t="n">
        <v>4</v>
      </c>
      <c r="E336" s="10" t="n">
        <v>45680.40140046296</v>
      </c>
      <c r="F336" s="10" t="n">
        <v>45681.19957175926</v>
      </c>
      <c r="G336" s="10" t="n">
        <v>45684.20037037037</v>
      </c>
      <c r="H336" s="10" t="n">
        <v>45684.2208912037</v>
      </c>
      <c r="I336" s="10" t="n">
        <v>45684.2208912037</v>
      </c>
      <c r="J336" s="10" t="n">
        <v>45684.22171296296</v>
      </c>
      <c r="K336" s="11">
        <f>IF(AND(ISNUMBER(E336),ISNUMBER(F336)),(F336-E336),"")</f>
        <v/>
      </c>
      <c r="L336" s="11">
        <f>IF(AND(ISNUMBER(F336),ISNUMBER(G336)),(G336-F336),"")</f>
        <v/>
      </c>
      <c r="M336" s="11">
        <f>IF(AND(ISNUMBER(H336),ISNUMBER(I336)),(I336-H336),"")</f>
        <v/>
      </c>
      <c r="N336" s="11">
        <f>IF(AND(ISNUMBER(E336),ISNUMBER(J336)),(J336-E336),"")</f>
        <v/>
      </c>
    </row>
    <row r="337">
      <c r="A337" s="3" t="inlineStr">
        <is>
          <t>OBT240125062847-Wien Kledering</t>
        </is>
      </c>
      <c r="B337" s="3" t="inlineStr">
        <is>
          <t>Wien Kledering</t>
        </is>
      </c>
      <c r="C337" s="3" t="inlineStr">
        <is>
          <t>615</t>
        </is>
      </c>
      <c r="D337" s="3" t="n">
        <v>1</v>
      </c>
      <c r="E337" s="10" t="n">
        <v>45681.26759259259</v>
      </c>
      <c r="F337" s="10" t="n">
        <v>45681.26998842593</v>
      </c>
      <c r="G337" s="10" t="n">
        <v>45684.28619212963</v>
      </c>
      <c r="H337" s="10" t="n">
        <v>45684.33775462963</v>
      </c>
      <c r="I337" s="10" t="n">
        <v>45684.33775462963</v>
      </c>
      <c r="J337" s="10" t="n">
        <v>45684.33891203703</v>
      </c>
      <c r="K337" s="11">
        <f>IF(AND(ISNUMBER(E337),ISNUMBER(F337)),(F337-E337),"")</f>
        <v/>
      </c>
      <c r="L337" s="11">
        <f>IF(AND(ISNUMBER(F337),ISNUMBER(G337)),(G337-F337),"")</f>
        <v/>
      </c>
      <c r="M337" s="11">
        <f>IF(AND(ISNUMBER(H337),ISNUMBER(I337)),(I337-H337),"")</f>
        <v/>
      </c>
      <c r="N337" s="11">
        <f>IF(AND(ISNUMBER(E337),ISNUMBER(J337)),(J337-E337),"")</f>
        <v/>
      </c>
    </row>
    <row r="338">
      <c r="A338" s="3" t="inlineStr">
        <is>
          <t>OBT240125071418-Wien Kledering</t>
        </is>
      </c>
      <c r="B338" s="3" t="inlineStr">
        <is>
          <t>Wien Kledering</t>
        </is>
      </c>
      <c r="C338" s="3" t="inlineStr">
        <is>
          <t>606</t>
        </is>
      </c>
      <c r="D338" s="3" t="n">
        <v>1</v>
      </c>
      <c r="E338" s="10" t="n">
        <v>45681.29920138889</v>
      </c>
      <c r="F338" s="10" t="n">
        <v>45681.30159722222</v>
      </c>
      <c r="G338" s="10" t="n">
        <v>45684.32334490741</v>
      </c>
      <c r="H338" s="10" t="n">
        <v>45684.36508101852</v>
      </c>
      <c r="I338" s="10" t="n">
        <v>45684.36508101852</v>
      </c>
      <c r="J338" s="10" t="n">
        <v>45684.36614583333</v>
      </c>
      <c r="K338" s="11">
        <f>IF(AND(ISNUMBER(E338),ISNUMBER(F338)),(F338-E338),"")</f>
        <v/>
      </c>
      <c r="L338" s="11">
        <f>IF(AND(ISNUMBER(F338),ISNUMBER(G338)),(G338-F338),"")</f>
        <v/>
      </c>
      <c r="M338" s="11">
        <f>IF(AND(ISNUMBER(H338),ISNUMBER(I338)),(I338-H338),"")</f>
        <v/>
      </c>
      <c r="N338" s="11">
        <f>IF(AND(ISNUMBER(E338),ISNUMBER(J338)),(J338-E338),"")</f>
        <v/>
      </c>
    </row>
    <row r="339">
      <c r="A339" s="3" t="inlineStr">
        <is>
          <t>OBT240125090519-Wien Kledering</t>
        </is>
      </c>
      <c r="B339" s="3" t="inlineStr">
        <is>
          <t>Wien Kledering</t>
        </is>
      </c>
      <c r="C339" s="3" t="inlineStr">
        <is>
          <t>627</t>
        </is>
      </c>
      <c r="D339" s="3" t="n">
        <v>4</v>
      </c>
      <c r="E339" s="10" t="n">
        <v>45680.63822916667</v>
      </c>
      <c r="F339" s="10" t="n">
        <v>45681.37869212963</v>
      </c>
      <c r="G339" s="10" t="n">
        <v>45684.32550925926</v>
      </c>
      <c r="H339" s="10" t="n">
        <v>45684.34484953704</v>
      </c>
      <c r="I339" s="10" t="n">
        <v>45684.34484953704</v>
      </c>
      <c r="J339" s="10" t="n">
        <v>45684.34549768519</v>
      </c>
      <c r="K339" s="11">
        <f>IF(AND(ISNUMBER(E339),ISNUMBER(F339)),(F339-E339),"")</f>
        <v/>
      </c>
      <c r="L339" s="11">
        <f>IF(AND(ISNUMBER(F339),ISNUMBER(G339)),(G339-F339),"")</f>
        <v/>
      </c>
      <c r="M339" s="11">
        <f>IF(AND(ISNUMBER(H339),ISNUMBER(I339)),(I339-H339),"")</f>
        <v/>
      </c>
      <c r="N339" s="11">
        <f>IF(AND(ISNUMBER(E339),ISNUMBER(J339)),(J339-E339),"")</f>
        <v/>
      </c>
    </row>
    <row r="340">
      <c r="A340" s="3" t="inlineStr">
        <is>
          <t>OBT240125093343-Pitten (Hamburger)</t>
        </is>
      </c>
      <c r="B340" s="3" t="inlineStr">
        <is>
          <t>Pitten (Hamburger)</t>
        </is>
      </c>
      <c r="C340" s="3" t="inlineStr">
        <is>
          <t>625</t>
        </is>
      </c>
      <c r="D340" s="3" t="n">
        <v>3</v>
      </c>
      <c r="E340" s="10" t="n">
        <v>45680.41303240741</v>
      </c>
      <c r="F340" s="10" t="n">
        <v>45681.39841435185</v>
      </c>
      <c r="G340" s="10" t="n">
        <v>45684.33965277778</v>
      </c>
      <c r="H340" s="10" t="n">
        <v>45684.370625</v>
      </c>
      <c r="I340" s="10" t="n">
        <v>45684.370625</v>
      </c>
      <c r="J340" s="10" t="n">
        <v>45684.37153935185</v>
      </c>
      <c r="K340" s="11">
        <f>IF(AND(ISNUMBER(E340),ISNUMBER(F340)),(F340-E340),"")</f>
        <v/>
      </c>
      <c r="L340" s="11">
        <f>IF(AND(ISNUMBER(F340),ISNUMBER(G340)),(G340-F340),"")</f>
        <v/>
      </c>
      <c r="M340" s="11">
        <f>IF(AND(ISNUMBER(H340),ISNUMBER(I340)),(I340-H340),"")</f>
        <v/>
      </c>
      <c r="N340" s="11">
        <f>IF(AND(ISNUMBER(E340),ISNUMBER(J340)),(J340-E340),"")</f>
        <v/>
      </c>
    </row>
    <row r="341">
      <c r="A341" s="3" t="inlineStr">
        <is>
          <t>OBT240125101450-St. Veit an der Glan</t>
        </is>
      </c>
      <c r="B341" s="3" t="inlineStr">
        <is>
          <t>St. Veit an der Glan</t>
        </is>
      </c>
      <c r="C341" s="3" t="inlineStr">
        <is>
          <t>615</t>
        </is>
      </c>
      <c r="D341" s="3" t="n">
        <v>6</v>
      </c>
      <c r="E341" s="10" t="n">
        <v>45681.32200231482</v>
      </c>
      <c r="F341" s="10" t="n">
        <v>45681.42696759259</v>
      </c>
      <c r="G341" s="10" t="n">
        <v>45684.36520833334</v>
      </c>
      <c r="H341" s="10" t="n">
        <v>45684.38939814815</v>
      </c>
      <c r="I341" s="10" t="n">
        <v>45684.38939814815</v>
      </c>
      <c r="J341" s="10" t="n">
        <v>45684.39018518518</v>
      </c>
      <c r="K341" s="11">
        <f>IF(AND(ISNUMBER(E341),ISNUMBER(F341)),(F341-E341),"")</f>
        <v/>
      </c>
      <c r="L341" s="11">
        <f>IF(AND(ISNUMBER(F341),ISNUMBER(G341)),(G341-F341),"")</f>
        <v/>
      </c>
      <c r="M341" s="11">
        <f>IF(AND(ISNUMBER(H341),ISNUMBER(I341)),(I341-H341),"")</f>
        <v/>
      </c>
      <c r="N341" s="11">
        <f>IF(AND(ISNUMBER(E341),ISNUMBER(J341)),(J341-E341),"")</f>
        <v/>
      </c>
    </row>
    <row r="342">
      <c r="A342" s="3" t="inlineStr">
        <is>
          <t>OBT240125131735-Wien Kledering</t>
        </is>
      </c>
      <c r="B342" s="3" t="inlineStr">
        <is>
          <t>Wien Kledering</t>
        </is>
      </c>
      <c r="C342" s="3" t="inlineStr">
        <is>
          <t>605</t>
        </is>
      </c>
      <c r="D342" s="3" t="n">
        <v>1</v>
      </c>
      <c r="E342" s="10" t="n">
        <v>45681.55148148148</v>
      </c>
      <c r="F342" s="10" t="n">
        <v>45681.55387731481</v>
      </c>
      <c r="G342" s="10" t="n">
        <v>45684.39259259259</v>
      </c>
      <c r="H342" s="10" t="n">
        <v>45684.42341435186</v>
      </c>
      <c r="I342" s="10" t="n">
        <v>45684.42341435186</v>
      </c>
      <c r="J342" s="10" t="n">
        <v>45684.42442129629</v>
      </c>
      <c r="K342" s="11">
        <f>IF(AND(ISNUMBER(E342),ISNUMBER(F342)),(F342-E342),"")</f>
        <v/>
      </c>
      <c r="L342" s="11">
        <f>IF(AND(ISNUMBER(F342),ISNUMBER(G342)),(G342-F342),"")</f>
        <v/>
      </c>
      <c r="M342" s="11">
        <f>IF(AND(ISNUMBER(H342),ISNUMBER(I342)),(I342-H342),"")</f>
        <v/>
      </c>
      <c r="N342" s="11">
        <f>IF(AND(ISNUMBER(E342),ISNUMBER(J342)),(J342-E342),"")</f>
        <v/>
      </c>
    </row>
    <row r="343">
      <c r="A343" s="3" t="inlineStr">
        <is>
          <t>OBT240125144703-Wien Kledering</t>
        </is>
      </c>
      <c r="B343" s="3" t="inlineStr">
        <is>
          <t>Wien Kledering</t>
        </is>
      </c>
      <c r="C343" s="3" t="inlineStr">
        <is>
          <t>619</t>
        </is>
      </c>
      <c r="D343" s="3" t="n">
        <v>1</v>
      </c>
      <c r="E343" s="10" t="n">
        <v>45681.61363425926</v>
      </c>
      <c r="F343" s="10" t="n">
        <v>45681.61600694444</v>
      </c>
      <c r="G343" s="10" t="n">
        <v>45684.45369212963</v>
      </c>
      <c r="H343" s="10" t="n">
        <v>45684.50509259259</v>
      </c>
      <c r="I343" s="10" t="n">
        <v>45684.50509259259</v>
      </c>
      <c r="J343" s="10" t="n">
        <v>45684.50633101852</v>
      </c>
      <c r="K343" s="11">
        <f>IF(AND(ISNUMBER(E343),ISNUMBER(F343)),(F343-E343),"")</f>
        <v/>
      </c>
      <c r="L343" s="11">
        <f>IF(AND(ISNUMBER(F343),ISNUMBER(G343)),(G343-F343),"")</f>
        <v/>
      </c>
      <c r="M343" s="11">
        <f>IF(AND(ISNUMBER(H343),ISNUMBER(I343)),(I343-H343),"")</f>
        <v/>
      </c>
      <c r="N343" s="11">
        <f>IF(AND(ISNUMBER(E343),ISNUMBER(J343)),(J343-E343),"")</f>
        <v/>
      </c>
    </row>
    <row r="344">
      <c r="A344" s="3" t="inlineStr">
        <is>
          <t>OBT240125152920-Pitten (Hamburger)</t>
        </is>
      </c>
      <c r="B344" s="3" t="inlineStr">
        <is>
          <t>Pitten (Hamburger)</t>
        </is>
      </c>
      <c r="C344" s="3" t="inlineStr">
        <is>
          <t>629</t>
        </is>
      </c>
      <c r="D344" s="3" t="n">
        <v>2</v>
      </c>
      <c r="E344" s="10" t="n">
        <v>45680.74564814815</v>
      </c>
      <c r="F344" s="10" t="n">
        <v>45681.64537037037</v>
      </c>
      <c r="G344" s="10" t="n">
        <v>45684.53989583333</v>
      </c>
      <c r="H344" s="10" t="n">
        <v>45684.5575925926</v>
      </c>
      <c r="I344" s="10" t="n">
        <v>45684.5575925926</v>
      </c>
      <c r="J344" s="10" t="n">
        <v>45684.5582175926</v>
      </c>
      <c r="K344" s="11">
        <f>IF(AND(ISNUMBER(E344),ISNUMBER(F344)),(F344-E344),"")</f>
        <v/>
      </c>
      <c r="L344" s="11">
        <f>IF(AND(ISNUMBER(F344),ISNUMBER(G344)),(G344-F344),"")</f>
        <v/>
      </c>
      <c r="M344" s="11">
        <f>IF(AND(ISNUMBER(H344),ISNUMBER(I344)),(I344-H344),"")</f>
        <v/>
      </c>
      <c r="N344" s="11">
        <f>IF(AND(ISNUMBER(E344),ISNUMBER(J344)),(J344-E344),"")</f>
        <v/>
      </c>
    </row>
    <row r="345">
      <c r="A345" s="3" t="inlineStr">
        <is>
          <t>OBT240125174436-Wien Kledering</t>
        </is>
      </c>
      <c r="B345" s="3" t="inlineStr">
        <is>
          <t>Wien Kledering</t>
        </is>
      </c>
      <c r="C345" s="3" t="inlineStr">
        <is>
          <t>611</t>
        </is>
      </c>
      <c r="D345" s="3" t="n">
        <v>1</v>
      </c>
      <c r="E345" s="10" t="n">
        <v>45681.73693287037</v>
      </c>
      <c r="F345" s="10" t="n">
        <v>45681.73930555556</v>
      </c>
      <c r="G345" s="10" t="n">
        <v>45684.61123842592</v>
      </c>
      <c r="H345" s="10" t="n">
        <v>45684.63461805556</v>
      </c>
      <c r="I345" s="10" t="n">
        <v>45684.63461805556</v>
      </c>
      <c r="J345" s="10" t="n">
        <v>45684.63541666666</v>
      </c>
      <c r="K345" s="11">
        <f>IF(AND(ISNUMBER(E345),ISNUMBER(F345)),(F345-E345),"")</f>
        <v/>
      </c>
      <c r="L345" s="11">
        <f>IF(AND(ISNUMBER(F345),ISNUMBER(G345)),(G345-F345),"")</f>
        <v/>
      </c>
      <c r="M345" s="11">
        <f>IF(AND(ISNUMBER(H345),ISNUMBER(I345)),(I345-H345),"")</f>
        <v/>
      </c>
      <c r="N345" s="11">
        <f>IF(AND(ISNUMBER(E345),ISNUMBER(J345)),(J345-E345),"")</f>
        <v/>
      </c>
    </row>
    <row r="346">
      <c r="A346" s="3" t="inlineStr">
        <is>
          <t>OBT240125174924-Wien Kledering</t>
        </is>
      </c>
      <c r="B346" s="3" t="inlineStr">
        <is>
          <t>Wien Kledering</t>
        </is>
      </c>
      <c r="C346" s="3" t="inlineStr">
        <is>
          <t>621</t>
        </is>
      </c>
      <c r="D346" s="3" t="n">
        <v>7</v>
      </c>
      <c r="E346" s="10" t="n">
        <v>45680.63079861111</v>
      </c>
      <c r="F346" s="10" t="n">
        <v>45681.74263888889</v>
      </c>
      <c r="G346" s="10" t="n">
        <v>45684.65190972222</v>
      </c>
      <c r="H346" s="10" t="n">
        <v>45684.69225694444</v>
      </c>
      <c r="I346" s="10" t="n">
        <v>45684.69225694444</v>
      </c>
      <c r="J346" s="10" t="n">
        <v>45684.69333333334</v>
      </c>
      <c r="K346" s="11">
        <f>IF(AND(ISNUMBER(E346),ISNUMBER(F346)),(F346-E346),"")</f>
        <v/>
      </c>
      <c r="L346" s="11">
        <f>IF(AND(ISNUMBER(F346),ISNUMBER(G346)),(G346-F346),"")</f>
        <v/>
      </c>
      <c r="M346" s="11">
        <f>IF(AND(ISNUMBER(H346),ISNUMBER(I346)),(I346-H346),"")</f>
        <v/>
      </c>
      <c r="N346" s="11">
        <f>IF(AND(ISNUMBER(E346),ISNUMBER(J346)),(J346-E346),"")</f>
        <v/>
      </c>
    </row>
    <row r="347">
      <c r="A347" s="3" t="inlineStr">
        <is>
          <t>OBT250125020542-Pitten (Hamburger)</t>
        </is>
      </c>
      <c r="B347" s="3" t="inlineStr">
        <is>
          <t>Pitten (Hamburger)</t>
        </is>
      </c>
      <c r="C347" s="3" t="inlineStr">
        <is>
          <t>613</t>
        </is>
      </c>
      <c r="D347" s="3" t="n">
        <v>1</v>
      </c>
      <c r="E347" s="10" t="n">
        <v>45682.08489583333</v>
      </c>
      <c r="F347" s="10" t="n">
        <v>45682.08729166666</v>
      </c>
      <c r="G347" s="10" t="n">
        <v>45684.67938657408</v>
      </c>
      <c r="H347" s="10" t="n">
        <v>45684.74693287037</v>
      </c>
      <c r="I347" s="10" t="n">
        <v>45684.74693287037</v>
      </c>
      <c r="J347" s="10" t="n">
        <v>45684.74825231481</v>
      </c>
      <c r="K347" s="11">
        <f>IF(AND(ISNUMBER(E347),ISNUMBER(F347)),(F347-E347),"")</f>
        <v/>
      </c>
      <c r="L347" s="11">
        <f>IF(AND(ISNUMBER(F347),ISNUMBER(G347)),(G347-F347),"")</f>
        <v/>
      </c>
      <c r="M347" s="11">
        <f>IF(AND(ISNUMBER(H347),ISNUMBER(I347)),(I347-H347),"")</f>
        <v/>
      </c>
      <c r="N347" s="11">
        <f>IF(AND(ISNUMBER(E347),ISNUMBER(J347)),(J347-E347),"")</f>
        <v/>
      </c>
    </row>
    <row r="348">
      <c r="A348" s="3" t="inlineStr">
        <is>
          <t>OBT250125021114-Pitten (Hamburger)</t>
        </is>
      </c>
      <c r="B348" s="3" t="inlineStr">
        <is>
          <t>Pitten (Hamburger)</t>
        </is>
      </c>
      <c r="C348" s="3" t="inlineStr">
        <is>
          <t>629</t>
        </is>
      </c>
      <c r="D348" s="3" t="n">
        <v>1</v>
      </c>
      <c r="E348" s="10" t="n">
        <v>45682.08873842593</v>
      </c>
      <c r="F348" s="10" t="n">
        <v>45682.09113425926</v>
      </c>
      <c r="G348" s="10" t="n">
        <v>45684.74144675926</v>
      </c>
      <c r="H348" s="10" t="n">
        <v>45684.76851851852</v>
      </c>
      <c r="I348" s="10" t="n">
        <v>45684.76851851852</v>
      </c>
      <c r="J348" s="10" t="n">
        <v>45684.76925925926</v>
      </c>
      <c r="K348" s="11">
        <f>IF(AND(ISNUMBER(E348),ISNUMBER(F348)),(F348-E348),"")</f>
        <v/>
      </c>
      <c r="L348" s="11">
        <f>IF(AND(ISNUMBER(F348),ISNUMBER(G348)),(G348-F348),"")</f>
        <v/>
      </c>
      <c r="M348" s="11">
        <f>IF(AND(ISNUMBER(H348),ISNUMBER(I348)),(I348-H348),"")</f>
        <v/>
      </c>
      <c r="N348" s="11">
        <f>IF(AND(ISNUMBER(E348),ISNUMBER(J348)),(J348-E348),"")</f>
        <v/>
      </c>
    </row>
    <row r="349">
      <c r="A349" s="3" t="inlineStr">
        <is>
          <t>OBT260125181348-Pitten (Hamburger)</t>
        </is>
      </c>
      <c r="B349" s="3" t="inlineStr">
        <is>
          <t>Pitten (Hamburger)</t>
        </is>
      </c>
      <c r="C349" s="3" t="inlineStr">
        <is>
          <t>609</t>
        </is>
      </c>
      <c r="D349" s="3" t="n">
        <v>1</v>
      </c>
      <c r="E349" s="10" t="n">
        <v>45683.75722222222</v>
      </c>
      <c r="F349" s="10" t="n">
        <v>45683.75958333333</v>
      </c>
      <c r="G349" s="10" t="n">
        <v>45684.75555555556</v>
      </c>
      <c r="H349" s="10" t="n">
        <v>45684.83533564815</v>
      </c>
      <c r="I349" s="10" t="n">
        <v>45684.83533564815</v>
      </c>
      <c r="J349" s="10" t="n">
        <v>45684.83693287037</v>
      </c>
      <c r="K349" s="11">
        <f>IF(AND(ISNUMBER(E349),ISNUMBER(F349)),(F349-E349),"")</f>
        <v/>
      </c>
      <c r="L349" s="11">
        <f>IF(AND(ISNUMBER(F349),ISNUMBER(G349)),(G349-F349),"")</f>
        <v/>
      </c>
      <c r="M349" s="11">
        <f>IF(AND(ISNUMBER(H349),ISNUMBER(I349)),(I349-H349),"")</f>
        <v/>
      </c>
      <c r="N349" s="11">
        <f>IF(AND(ISNUMBER(E349),ISNUMBER(J349)),(J349-E349),"")</f>
        <v/>
      </c>
    </row>
    <row r="350">
      <c r="A350" s="3" t="inlineStr">
        <is>
          <t>OBT260125181754-Neudörfl (FunderMax)</t>
        </is>
      </c>
      <c r="B350" s="3" t="inlineStr">
        <is>
          <t>Neudörfl (FunderMax)</t>
        </is>
      </c>
      <c r="C350" s="3" t="inlineStr">
        <is>
          <t>607</t>
        </is>
      </c>
      <c r="D350" s="3" t="n">
        <v>4</v>
      </c>
      <c r="E350" s="10" t="n">
        <v>45681.33050925926</v>
      </c>
      <c r="F350" s="10" t="n">
        <v>45683.76243055556</v>
      </c>
      <c r="G350" s="10" t="n">
        <v>45684.88719907407</v>
      </c>
      <c r="H350" s="10" t="n">
        <v>45684.9111574074</v>
      </c>
      <c r="I350" s="10" t="n">
        <v>45684.9111574074</v>
      </c>
      <c r="J350" s="10" t="n">
        <v>45684.91208333334</v>
      </c>
      <c r="K350" s="11">
        <f>IF(AND(ISNUMBER(E350),ISNUMBER(F350)),(F350-E350),"")</f>
        <v/>
      </c>
      <c r="L350" s="11">
        <f>IF(AND(ISNUMBER(F350),ISNUMBER(G350)),(G350-F350),"")</f>
        <v/>
      </c>
      <c r="M350" s="11">
        <f>IF(AND(ISNUMBER(H350),ISNUMBER(I350)),(I350-H350),"")</f>
        <v/>
      </c>
      <c r="N350" s="11">
        <f>IF(AND(ISNUMBER(E350),ISNUMBER(J350)),(J350-E350),"")</f>
        <v/>
      </c>
    </row>
    <row r="351">
      <c r="A351" s="3" t="inlineStr">
        <is>
          <t>OBT270125030450-Neunkirchen (loading tracks)</t>
        </is>
      </c>
      <c r="B351" s="3" t="inlineStr">
        <is>
          <t>Neunkirchen (loading tracks)</t>
        </is>
      </c>
      <c r="C351" s="3" t="inlineStr">
        <is>
          <t>617</t>
        </is>
      </c>
      <c r="D351" s="3" t="n">
        <v>2</v>
      </c>
      <c r="E351" s="10" t="n">
        <v>45681.63787037037</v>
      </c>
      <c r="F351" s="10" t="n">
        <v>45684.12835648148</v>
      </c>
      <c r="G351" s="10" t="n">
        <v>45685.13552083333</v>
      </c>
      <c r="H351" s="10" t="n">
        <v>45685.17467592593</v>
      </c>
      <c r="I351" s="10" t="n">
        <v>45685.17467592593</v>
      </c>
      <c r="J351" s="10" t="n">
        <v>45685.17574074074</v>
      </c>
      <c r="K351" s="11">
        <f>IF(AND(ISNUMBER(E351),ISNUMBER(F351)),(F351-E351),"")</f>
        <v/>
      </c>
      <c r="L351" s="11">
        <f>IF(AND(ISNUMBER(F351),ISNUMBER(G351)),(G351-F351),"")</f>
        <v/>
      </c>
      <c r="M351" s="11">
        <f>IF(AND(ISNUMBER(H351),ISNUMBER(I351)),(I351-H351),"")</f>
        <v/>
      </c>
      <c r="N351" s="11">
        <f>IF(AND(ISNUMBER(E351),ISNUMBER(J351)),(J351-E351),"")</f>
        <v/>
      </c>
    </row>
    <row r="352">
      <c r="A352" s="3" t="inlineStr">
        <is>
          <t>OBT270125044934-Neudörfl (FunderMax)</t>
        </is>
      </c>
      <c r="B352" s="3" t="inlineStr">
        <is>
          <t>Neudörfl (FunderMax)</t>
        </is>
      </c>
      <c r="C352" s="3" t="inlineStr">
        <is>
          <t>615</t>
        </is>
      </c>
      <c r="D352" s="3" t="n">
        <v>2</v>
      </c>
      <c r="E352" s="10" t="n">
        <v>45681.63912037037</v>
      </c>
      <c r="F352" s="10" t="n">
        <v>45684.20108796296</v>
      </c>
      <c r="G352" s="10" t="n">
        <v>45685.28248842592</v>
      </c>
      <c r="H352" s="10" t="n">
        <v>45685.33425925926</v>
      </c>
      <c r="I352" s="10" t="n">
        <v>45685.33425925926</v>
      </c>
      <c r="J352" s="10" t="n">
        <v>45685.33541666667</v>
      </c>
      <c r="K352" s="11">
        <f>IF(AND(ISNUMBER(E352),ISNUMBER(F352)),(F352-E352),"")</f>
        <v/>
      </c>
      <c r="L352" s="11">
        <f>IF(AND(ISNUMBER(F352),ISNUMBER(G352)),(G352-F352),"")</f>
        <v/>
      </c>
      <c r="M352" s="11">
        <f>IF(AND(ISNUMBER(H352),ISNUMBER(I352)),(I352-H352),"")</f>
        <v/>
      </c>
      <c r="N352" s="11">
        <f>IF(AND(ISNUMBER(E352),ISNUMBER(J352)),(J352-E352),"")</f>
        <v/>
      </c>
    </row>
    <row r="353">
      <c r="A353" s="3" t="inlineStr">
        <is>
          <t>OBT270125065248-Wien Kledering</t>
        </is>
      </c>
      <c r="B353" s="3" t="inlineStr">
        <is>
          <t>Wien Kledering</t>
        </is>
      </c>
      <c r="C353" s="3" t="inlineStr">
        <is>
          <t>623</t>
        </is>
      </c>
      <c r="D353" s="3" t="n">
        <v>4</v>
      </c>
      <c r="E353" s="10" t="n">
        <v>45681.32884259259</v>
      </c>
      <c r="F353" s="10" t="n">
        <v>45684.28666666667</v>
      </c>
      <c r="G353" s="10" t="n">
        <v>45685.32569444444</v>
      </c>
      <c r="H353" s="10" t="n">
        <v>45685.37513888889</v>
      </c>
      <c r="I353" s="10" t="n">
        <v>45685.37513888889</v>
      </c>
      <c r="J353" s="10" t="n">
        <v>45685.37634259259</v>
      </c>
      <c r="K353" s="11">
        <f>IF(AND(ISNUMBER(E353),ISNUMBER(F353)),(F353-E353),"")</f>
        <v/>
      </c>
      <c r="L353" s="11">
        <f>IF(AND(ISNUMBER(F353),ISNUMBER(G353)),(G353-F353),"")</f>
        <v/>
      </c>
      <c r="M353" s="11">
        <f>IF(AND(ISNUMBER(H353),ISNUMBER(I353)),(I353-H353),"")</f>
        <v/>
      </c>
      <c r="N353" s="11">
        <f>IF(AND(ISNUMBER(E353),ISNUMBER(J353)),(J353-E353),"")</f>
        <v/>
      </c>
    </row>
    <row r="354">
      <c r="A354" s="3" t="inlineStr">
        <is>
          <t>OBT270125074356-Other sidings local</t>
        </is>
      </c>
      <c r="B354" s="3" t="inlineStr">
        <is>
          <t>Other sidings local</t>
        </is>
      </c>
      <c r="C354" s="3" t="inlineStr">
        <is>
          <t>629</t>
        </is>
      </c>
      <c r="D354" s="3" t="n">
        <v>1</v>
      </c>
      <c r="E354" s="10" t="n">
        <v>45684.31978009259</v>
      </c>
      <c r="F354" s="10" t="n">
        <v>45684.32217592592</v>
      </c>
      <c r="G354" s="10" t="n">
        <v>45685.32960648148</v>
      </c>
      <c r="H354" s="10" t="n">
        <v>45685.3481712963</v>
      </c>
      <c r="I354" s="10" t="n">
        <v>45685.3481712963</v>
      </c>
      <c r="J354" s="10" t="n">
        <v>45685.3487962963</v>
      </c>
      <c r="K354" s="11">
        <f>IF(AND(ISNUMBER(E354),ISNUMBER(F354)),(F354-E354),"")</f>
        <v/>
      </c>
      <c r="L354" s="11">
        <f>IF(AND(ISNUMBER(F354),ISNUMBER(G354)),(G354-F354),"")</f>
        <v/>
      </c>
      <c r="M354" s="11">
        <f>IF(AND(ISNUMBER(H354),ISNUMBER(I354)),(I354-H354),"")</f>
        <v/>
      </c>
      <c r="N354" s="11">
        <f>IF(AND(ISNUMBER(E354),ISNUMBER(J354)),(J354-E354),"")</f>
        <v/>
      </c>
    </row>
    <row r="355">
      <c r="A355" s="3" t="inlineStr">
        <is>
          <t>OBT270125092111-Pitten (Hamburger)</t>
        </is>
      </c>
      <c r="B355" s="3" t="inlineStr">
        <is>
          <t>Pitten (Hamburger)</t>
        </is>
      </c>
      <c r="C355" s="3" t="inlineStr">
        <is>
          <t>627</t>
        </is>
      </c>
      <c r="D355" s="3" t="n">
        <v>5</v>
      </c>
      <c r="E355" s="10" t="n">
        <v>45681.39903935185</v>
      </c>
      <c r="F355" s="10" t="n">
        <v>45684.38971064815</v>
      </c>
      <c r="G355" s="10" t="n">
        <v>45685.33599537037</v>
      </c>
      <c r="H355" s="10" t="n">
        <v>45685.36983796296</v>
      </c>
      <c r="I355" s="10" t="n">
        <v>45685.36983796296</v>
      </c>
      <c r="J355" s="10" t="n">
        <v>45685.3706712963</v>
      </c>
      <c r="K355" s="11">
        <f>IF(AND(ISNUMBER(E355),ISNUMBER(F355)),(F355-E355),"")</f>
        <v/>
      </c>
      <c r="L355" s="11">
        <f>IF(AND(ISNUMBER(F355),ISNUMBER(G355)),(G355-F355),"")</f>
        <v/>
      </c>
      <c r="M355" s="11">
        <f>IF(AND(ISNUMBER(H355),ISNUMBER(I355)),(I355-H355),"")</f>
        <v/>
      </c>
      <c r="N355" s="11">
        <f>IF(AND(ISNUMBER(E355),ISNUMBER(J355)),(J355-E355),"")</f>
        <v/>
      </c>
    </row>
    <row r="356">
      <c r="A356" s="3" t="inlineStr">
        <is>
          <t>OBT270125105122-Wien Kledering</t>
        </is>
      </c>
      <c r="B356" s="3" t="inlineStr">
        <is>
          <t>Wien Kledering</t>
        </is>
      </c>
      <c r="C356" s="3" t="inlineStr">
        <is>
          <t>615</t>
        </is>
      </c>
      <c r="D356" s="3" t="n">
        <v>5</v>
      </c>
      <c r="E356" s="10" t="n">
        <v>45684.31570601852</v>
      </c>
      <c r="F356" s="10" t="n">
        <v>45684.45233796296</v>
      </c>
      <c r="G356" s="10" t="n">
        <v>45685.39344907407</v>
      </c>
      <c r="H356" s="10" t="n">
        <v>45685.46195601852</v>
      </c>
      <c r="I356" s="10" t="n">
        <v>45685.46195601852</v>
      </c>
      <c r="J356" s="10" t="n">
        <v>45685.46333333333</v>
      </c>
      <c r="K356" s="11">
        <f>IF(AND(ISNUMBER(E356),ISNUMBER(F356)),(F356-E356),"")</f>
        <v/>
      </c>
      <c r="L356" s="11">
        <f>IF(AND(ISNUMBER(F356),ISNUMBER(G356)),(G356-F356),"")</f>
        <v/>
      </c>
      <c r="M356" s="11">
        <f>IF(AND(ISNUMBER(H356),ISNUMBER(I356)),(I356-H356),"")</f>
        <v/>
      </c>
      <c r="N356" s="11">
        <f>IF(AND(ISNUMBER(E356),ISNUMBER(J356)),(J356-E356),"")</f>
        <v/>
      </c>
    </row>
    <row r="357">
      <c r="A357" s="3" t="inlineStr">
        <is>
          <t>OBT270125125831-Wien Kledering</t>
        </is>
      </c>
      <c r="B357" s="3" t="inlineStr">
        <is>
          <t>Wien Kledering</t>
        </is>
      </c>
      <c r="C357" s="3" t="inlineStr">
        <is>
          <t>605</t>
        </is>
      </c>
      <c r="D357" s="3" t="n">
        <v>1</v>
      </c>
      <c r="E357" s="10" t="n">
        <v>45684.53824074074</v>
      </c>
      <c r="F357" s="10" t="n">
        <v>45684.54063657407</v>
      </c>
      <c r="G357" s="10" t="n">
        <v>45685.41371527778</v>
      </c>
      <c r="H357" s="10" t="n">
        <v>45685.45054398148</v>
      </c>
      <c r="I357" s="10" t="n">
        <v>45685.45054398148</v>
      </c>
      <c r="J357" s="10" t="n">
        <v>45685.45163194444</v>
      </c>
      <c r="K357" s="11">
        <f>IF(AND(ISNUMBER(E357),ISNUMBER(F357)),(F357-E357),"")</f>
        <v/>
      </c>
      <c r="L357" s="11">
        <f>IF(AND(ISNUMBER(F357),ISNUMBER(G357)),(G357-F357),"")</f>
        <v/>
      </c>
      <c r="M357" s="11">
        <f>IF(AND(ISNUMBER(H357),ISNUMBER(I357)),(I357-H357),"")</f>
        <v/>
      </c>
      <c r="N357" s="11">
        <f>IF(AND(ISNUMBER(E357),ISNUMBER(J357)),(J357-E357),"")</f>
        <v/>
      </c>
    </row>
    <row r="358">
      <c r="A358" s="3" t="inlineStr">
        <is>
          <t>OBT270125144049-Wien Kledering</t>
        </is>
      </c>
      <c r="B358" s="3" t="inlineStr">
        <is>
          <t>Wien Kledering</t>
        </is>
      </c>
      <c r="C358" s="3" t="inlineStr">
        <is>
          <t>619</t>
        </is>
      </c>
      <c r="D358" s="3" t="n">
        <v>4</v>
      </c>
      <c r="E358" s="10" t="n">
        <v>45684.12313657408</v>
      </c>
      <c r="F358" s="10" t="n">
        <v>45684.61167824074</v>
      </c>
      <c r="G358" s="10" t="n">
        <v>45685.45540509259</v>
      </c>
      <c r="H358" s="10" t="n">
        <v>45685.52165509259</v>
      </c>
      <c r="I358" s="10" t="n">
        <v>45685.52165509259</v>
      </c>
      <c r="J358" s="10" t="n">
        <v>45685.52307870371</v>
      </c>
      <c r="K358" s="11">
        <f>IF(AND(ISNUMBER(E358),ISNUMBER(F358)),(F358-E358),"")</f>
        <v/>
      </c>
      <c r="L358" s="11">
        <f>IF(AND(ISNUMBER(F358),ISNUMBER(G358)),(G358-F358),"")</f>
        <v/>
      </c>
      <c r="M358" s="11">
        <f>IF(AND(ISNUMBER(H358),ISNUMBER(I358)),(I358-H358),"")</f>
        <v/>
      </c>
      <c r="N358" s="11">
        <f>IF(AND(ISNUMBER(E358),ISNUMBER(J358)),(J358-E358),"")</f>
        <v/>
      </c>
    </row>
    <row r="359">
      <c r="A359" s="3" t="inlineStr">
        <is>
          <t>OBT270125161730-St. Veit an der Glan</t>
        </is>
      </c>
      <c r="B359" s="3" t="inlineStr">
        <is>
          <t>St. Veit an der Glan</t>
        </is>
      </c>
      <c r="C359" s="3" t="inlineStr">
        <is>
          <t>625</t>
        </is>
      </c>
      <c r="D359" s="3" t="n">
        <v>2</v>
      </c>
      <c r="E359" s="10" t="n">
        <v>45684.45202546296</v>
      </c>
      <c r="F359" s="10" t="n">
        <v>45684.67881944445</v>
      </c>
      <c r="G359" s="10" t="n">
        <v>45685.55023148148</v>
      </c>
      <c r="H359" s="10" t="n">
        <v>45685.57075231482</v>
      </c>
      <c r="I359" s="10" t="n">
        <v>45685.57075231482</v>
      </c>
      <c r="J359" s="10" t="n">
        <v>45685.57152777778</v>
      </c>
      <c r="K359" s="11">
        <f>IF(AND(ISNUMBER(E359),ISNUMBER(F359)),(F359-E359),"")</f>
        <v/>
      </c>
      <c r="L359" s="11">
        <f>IF(AND(ISNUMBER(F359),ISNUMBER(G359)),(G359-F359),"")</f>
        <v/>
      </c>
      <c r="M359" s="11">
        <f>IF(AND(ISNUMBER(H359),ISNUMBER(I359)),(I359-H359),"")</f>
        <v/>
      </c>
      <c r="N359" s="11">
        <f>IF(AND(ISNUMBER(E359),ISNUMBER(J359)),(J359-E359),"")</f>
        <v/>
      </c>
    </row>
    <row r="360">
      <c r="A360" s="3" t="inlineStr">
        <is>
          <t>OBT270125162126-Wien Kledering</t>
        </is>
      </c>
      <c r="B360" s="3" t="inlineStr">
        <is>
          <t>Wien Kledering</t>
        </is>
      </c>
      <c r="C360" s="3" t="inlineStr">
        <is>
          <t>606</t>
        </is>
      </c>
      <c r="D360" s="3" t="n">
        <v>2</v>
      </c>
      <c r="E360" s="10" t="n">
        <v>45684.65017361111</v>
      </c>
      <c r="F360" s="10" t="n">
        <v>45684.68155092592</v>
      </c>
      <c r="G360" s="10" t="n">
        <v>45685.60773148148</v>
      </c>
      <c r="H360" s="10" t="n">
        <v>45685.66355324074</v>
      </c>
      <c r="I360" s="10" t="n">
        <v>45685.66355324074</v>
      </c>
      <c r="J360" s="10" t="n">
        <v>45685.66481481482</v>
      </c>
      <c r="K360" s="11">
        <f>IF(AND(ISNUMBER(E360),ISNUMBER(F360)),(F360-E360),"")</f>
        <v/>
      </c>
      <c r="L360" s="11">
        <f>IF(AND(ISNUMBER(F360),ISNUMBER(G360)),(G360-F360),"")</f>
        <v/>
      </c>
      <c r="M360" s="11">
        <f>IF(AND(ISNUMBER(H360),ISNUMBER(I360)),(I360-H360),"")</f>
        <v/>
      </c>
      <c r="N360" s="11">
        <f>IF(AND(ISNUMBER(E360),ISNUMBER(J360)),(J360-E360),"")</f>
        <v/>
      </c>
    </row>
    <row r="361">
      <c r="A361" s="3" t="inlineStr">
        <is>
          <t>OBT270125174840-Wien Kledering</t>
        </is>
      </c>
      <c r="B361" s="3" t="inlineStr">
        <is>
          <t>Wien Kledering</t>
        </is>
      </c>
      <c r="C361" s="3" t="inlineStr">
        <is>
          <t>611</t>
        </is>
      </c>
      <c r="D361" s="3" t="n">
        <v>1</v>
      </c>
      <c r="E361" s="10" t="n">
        <v>45684.7397337963</v>
      </c>
      <c r="F361" s="10" t="n">
        <v>45684.74212962963</v>
      </c>
      <c r="G361" s="10" t="n">
        <v>45685.63396990741</v>
      </c>
      <c r="H361" s="10" t="n">
        <v>45685.67431712963</v>
      </c>
      <c r="I361" s="10" t="n">
        <v>45685.67431712963</v>
      </c>
      <c r="J361" s="10" t="n">
        <v>45685.67533564815</v>
      </c>
      <c r="K361" s="11">
        <f>IF(AND(ISNUMBER(E361),ISNUMBER(F361)),(F361-E361),"")</f>
        <v/>
      </c>
      <c r="L361" s="11">
        <f>IF(AND(ISNUMBER(F361),ISNUMBER(G361)),(G361-F361),"")</f>
        <v/>
      </c>
      <c r="M361" s="11">
        <f>IF(AND(ISNUMBER(H361),ISNUMBER(I361)),(I361-H361),"")</f>
        <v/>
      </c>
      <c r="N361" s="11">
        <f>IF(AND(ISNUMBER(E361),ISNUMBER(J361)),(J361-E361),"")</f>
        <v/>
      </c>
    </row>
    <row r="362">
      <c r="A362" s="3" t="inlineStr">
        <is>
          <t>OBT270125180405-Wien Kledering</t>
        </is>
      </c>
      <c r="B362" s="3" t="inlineStr">
        <is>
          <t>Wien Kledering</t>
        </is>
      </c>
      <c r="C362" s="3" t="inlineStr">
        <is>
          <t>629</t>
        </is>
      </c>
      <c r="D362" s="3" t="n">
        <v>2</v>
      </c>
      <c r="E362" s="10" t="n">
        <v>45684.37891203703</v>
      </c>
      <c r="F362" s="10" t="n">
        <v>45684.75283564815</v>
      </c>
      <c r="G362" s="10" t="n">
        <v>45685.6533449074</v>
      </c>
      <c r="H362" s="10" t="n">
        <v>45685.70726851852</v>
      </c>
      <c r="I362" s="10" t="n">
        <v>45685.70726851852</v>
      </c>
      <c r="J362" s="10" t="n">
        <v>45685.70836805556</v>
      </c>
      <c r="K362" s="11">
        <f>IF(AND(ISNUMBER(E362),ISNUMBER(F362)),(F362-E362),"")</f>
        <v/>
      </c>
      <c r="L362" s="11">
        <f>IF(AND(ISNUMBER(F362),ISNUMBER(G362)),(G362-F362),"")</f>
        <v/>
      </c>
      <c r="M362" s="11">
        <f>IF(AND(ISNUMBER(H362),ISNUMBER(I362)),(I362-H362),"")</f>
        <v/>
      </c>
      <c r="N362" s="11">
        <f>IF(AND(ISNUMBER(E362),ISNUMBER(J362)),(J362-E362),"")</f>
        <v/>
      </c>
    </row>
    <row r="363">
      <c r="A363" s="3" t="inlineStr">
        <is>
          <t>OBT270125212041-Wien Kledering</t>
        </is>
      </c>
      <c r="B363" s="3" t="inlineStr">
        <is>
          <t>Wien Kledering</t>
        </is>
      </c>
      <c r="C363" s="3" t="inlineStr">
        <is>
          <t>613</t>
        </is>
      </c>
      <c r="D363" s="3" t="n">
        <v>2</v>
      </c>
      <c r="E363" s="10" t="n">
        <v>45684.75385416667</v>
      </c>
      <c r="F363" s="10" t="n">
        <v>45684.88936342593</v>
      </c>
      <c r="G363" s="10" t="n">
        <v>45685.823125</v>
      </c>
      <c r="H363" s="10" t="n">
        <v>45685.90101851852</v>
      </c>
      <c r="I363" s="10" t="n">
        <v>45685.90101851852</v>
      </c>
      <c r="J363" s="10" t="n">
        <v>45685.90248842593</v>
      </c>
      <c r="K363" s="11">
        <f>IF(AND(ISNUMBER(E363),ISNUMBER(F363)),(F363-E363),"")</f>
        <v/>
      </c>
      <c r="L363" s="11">
        <f>IF(AND(ISNUMBER(F363),ISNUMBER(G363)),(G363-F363),"")</f>
        <v/>
      </c>
      <c r="M363" s="11">
        <f>IF(AND(ISNUMBER(H363),ISNUMBER(I363)),(I363-H363),"")</f>
        <v/>
      </c>
      <c r="N363" s="11">
        <f>IF(AND(ISNUMBER(E363),ISNUMBER(J363)),(J363-E363),"")</f>
        <v/>
      </c>
    </row>
    <row r="364">
      <c r="A364" s="3" t="inlineStr">
        <is>
          <t>OBT280125031301-Neunkirchen (loading tracks)</t>
        </is>
      </c>
      <c r="B364" s="3" t="inlineStr">
        <is>
          <t>Neunkirchen (loading tracks)</t>
        </is>
      </c>
      <c r="C364" s="3" t="inlineStr">
        <is>
          <t>615</t>
        </is>
      </c>
      <c r="D364" s="3" t="n">
        <v>1</v>
      </c>
      <c r="E364" s="10" t="n">
        <v>45685.13186342592</v>
      </c>
      <c r="F364" s="10" t="n">
        <v>45685.13403935185</v>
      </c>
      <c r="G364" s="10" t="n">
        <v>45685.88734953704</v>
      </c>
      <c r="H364" s="10" t="n">
        <v>45685.905</v>
      </c>
      <c r="I364" s="10" t="n">
        <v>45685.905</v>
      </c>
      <c r="J364" s="10" t="n">
        <v>45685.90570601852</v>
      </c>
      <c r="K364" s="11">
        <f>IF(AND(ISNUMBER(E364),ISNUMBER(F364)),(F364-E364),"")</f>
        <v/>
      </c>
      <c r="L364" s="11">
        <f>IF(AND(ISNUMBER(F364),ISNUMBER(G364)),(G364-F364),"")</f>
        <v/>
      </c>
      <c r="M364" s="11">
        <f>IF(AND(ISNUMBER(H364),ISNUMBER(I364)),(I364-H364),"")</f>
        <v/>
      </c>
      <c r="N364" s="11">
        <f>IF(AND(ISNUMBER(E364),ISNUMBER(J364)),(J364-E364),"")</f>
        <v/>
      </c>
    </row>
    <row r="365">
      <c r="A365" s="3" t="inlineStr">
        <is>
          <t>OBT280125031334-St. Veit an der Glan</t>
        </is>
      </c>
      <c r="B365" s="3" t="inlineStr">
        <is>
          <t>St. Veit an der Glan</t>
        </is>
      </c>
      <c r="C365" s="3" t="inlineStr">
        <is>
          <t>621</t>
        </is>
      </c>
      <c r="D365" s="3" t="n">
        <v>4</v>
      </c>
      <c r="E365" s="10" t="n">
        <v>45684.12677083333</v>
      </c>
      <c r="F365" s="10" t="n">
        <v>45685.13442129629</v>
      </c>
      <c r="G365" s="10" t="n">
        <v>45686.13351851852</v>
      </c>
      <c r="H365" s="10" t="n">
        <v>45686.15229166667</v>
      </c>
      <c r="I365" s="10" t="n">
        <v>45686.15229166667</v>
      </c>
      <c r="J365" s="10" t="n">
        <v>45686.1530787037</v>
      </c>
      <c r="K365" s="11">
        <f>IF(AND(ISNUMBER(E365),ISNUMBER(F365)),(F365-E365),"")</f>
        <v/>
      </c>
      <c r="L365" s="11">
        <f>IF(AND(ISNUMBER(F365),ISNUMBER(G365)),(G365-F365),"")</f>
        <v/>
      </c>
      <c r="M365" s="11">
        <f>IF(AND(ISNUMBER(H365),ISNUMBER(I365)),(I365-H365),"")</f>
        <v/>
      </c>
      <c r="N365" s="11">
        <f>IF(AND(ISNUMBER(E365),ISNUMBER(J365)),(J365-E365),"")</f>
        <v/>
      </c>
    </row>
    <row r="366">
      <c r="A366" s="3" t="inlineStr">
        <is>
          <t>OBT280125064741-Wien Kledering</t>
        </is>
      </c>
      <c r="B366" s="3" t="inlineStr">
        <is>
          <t>Wien Kledering</t>
        </is>
      </c>
      <c r="C366" s="3" t="inlineStr">
        <is>
          <t>607</t>
        </is>
      </c>
      <c r="D366" s="3" t="n">
        <v>3</v>
      </c>
      <c r="E366" s="10" t="n">
        <v>45684.32141203704</v>
      </c>
      <c r="F366" s="10" t="n">
        <v>45685.28311342592</v>
      </c>
      <c r="G366" s="10" t="n">
        <v>45686.18910879629</v>
      </c>
      <c r="H366" s="10" t="n">
        <v>45686.2406712963</v>
      </c>
      <c r="I366" s="10" t="n">
        <v>45686.2406712963</v>
      </c>
      <c r="J366" s="10" t="n">
        <v>45686.24194444445</v>
      </c>
      <c r="K366" s="11">
        <f>IF(AND(ISNUMBER(E366),ISNUMBER(F366)),(F366-E366),"")</f>
        <v/>
      </c>
      <c r="L366" s="11">
        <f>IF(AND(ISNUMBER(F366),ISNUMBER(G366)),(G366-F366),"")</f>
        <v/>
      </c>
      <c r="M366" s="11">
        <f>IF(AND(ISNUMBER(H366),ISNUMBER(I366)),(I366-H366),"")</f>
        <v/>
      </c>
      <c r="N366" s="11">
        <f>IF(AND(ISNUMBER(E366),ISNUMBER(J366)),(J366-E366),"")</f>
        <v/>
      </c>
    </row>
    <row r="367">
      <c r="A367" s="3" t="inlineStr">
        <is>
          <t>OBT280125075210-Pitten (Hamburger)</t>
        </is>
      </c>
      <c r="B367" s="3" t="inlineStr">
        <is>
          <t>Pitten (Hamburger)</t>
        </is>
      </c>
      <c r="C367" s="3" t="inlineStr">
        <is>
          <t>629</t>
        </is>
      </c>
      <c r="D367" s="3" t="n">
        <v>2</v>
      </c>
      <c r="E367" s="10" t="n">
        <v>45685.32208333333</v>
      </c>
      <c r="F367" s="10" t="n">
        <v>45685.32789351852</v>
      </c>
      <c r="G367" s="10" t="n">
        <v>45686.27232638889</v>
      </c>
      <c r="H367" s="10" t="n">
        <v>45686.29232638889</v>
      </c>
      <c r="I367" s="10" t="n">
        <v>45686.29232638889</v>
      </c>
      <c r="J367" s="10" t="n">
        <v>45686.29297453703</v>
      </c>
      <c r="K367" s="11">
        <f>IF(AND(ISNUMBER(E367),ISNUMBER(F367)),(F367-E367),"")</f>
        <v/>
      </c>
      <c r="L367" s="11">
        <f>IF(AND(ISNUMBER(F367),ISNUMBER(G367)),(G367-F367),"")</f>
        <v/>
      </c>
      <c r="M367" s="11">
        <f>IF(AND(ISNUMBER(H367),ISNUMBER(I367)),(I367-H367),"")</f>
        <v/>
      </c>
      <c r="N367" s="11">
        <f>IF(AND(ISNUMBER(E367),ISNUMBER(J367)),(J367-E367),"")</f>
        <v/>
      </c>
    </row>
    <row r="368">
      <c r="A368" s="3" t="inlineStr">
        <is>
          <t>OBT280125092731-St. Veit an der Glan</t>
        </is>
      </c>
      <c r="B368" s="3" t="inlineStr">
        <is>
          <t>St. Veit an der Glan</t>
        </is>
      </c>
      <c r="C368" s="3" t="inlineStr">
        <is>
          <t>621</t>
        </is>
      </c>
      <c r="D368" s="3" t="n">
        <v>1</v>
      </c>
      <c r="E368" s="10" t="n">
        <v>45685.39171296296</v>
      </c>
      <c r="F368" s="10" t="n">
        <v>45685.3941087963</v>
      </c>
      <c r="G368" s="10" t="n">
        <v>45686.31684027778</v>
      </c>
      <c r="H368" s="10" t="n">
        <v>45686.34268518518</v>
      </c>
      <c r="I368" s="10" t="n">
        <v>45686.34268518518</v>
      </c>
      <c r="J368" s="10" t="n">
        <v>45686.34357638889</v>
      </c>
      <c r="K368" s="11">
        <f>IF(AND(ISNUMBER(E368),ISNUMBER(F368)),(F368-E368),"")</f>
        <v/>
      </c>
      <c r="L368" s="11">
        <f>IF(AND(ISNUMBER(F368),ISNUMBER(G368)),(G368-F368),"")</f>
        <v/>
      </c>
      <c r="M368" s="11">
        <f>IF(AND(ISNUMBER(H368),ISNUMBER(I368)),(I368-H368),"")</f>
        <v/>
      </c>
      <c r="N368" s="11">
        <f>IF(AND(ISNUMBER(E368),ISNUMBER(J368)),(J368-E368),"")</f>
        <v/>
      </c>
    </row>
    <row r="369">
      <c r="A369" s="3" t="inlineStr">
        <is>
          <t>OBT280125095318-Wr. Neustadt (Hödlmayr)</t>
        </is>
      </c>
      <c r="B369" s="3" t="inlineStr">
        <is>
          <t>Wr. Neustadt (Hödlmayr)</t>
        </is>
      </c>
      <c r="C369" s="3" t="inlineStr">
        <is>
          <t>615</t>
        </is>
      </c>
      <c r="D369" s="3" t="n">
        <v>6</v>
      </c>
      <c r="E369" s="10" t="n">
        <v>45685.31591435185</v>
      </c>
      <c r="F369" s="10" t="n">
        <v>45685.41201388889</v>
      </c>
      <c r="G369" s="10" t="n">
        <v>45686.32211805556</v>
      </c>
      <c r="H369" s="10" t="n">
        <v>45686.34131944444</v>
      </c>
      <c r="I369" s="10" t="n">
        <v>45686.34131944444</v>
      </c>
      <c r="J369" s="10" t="n">
        <v>45686.34203703704</v>
      </c>
      <c r="K369" s="11">
        <f>IF(AND(ISNUMBER(E369),ISNUMBER(F369)),(F369-E369),"")</f>
        <v/>
      </c>
      <c r="L369" s="11">
        <f>IF(AND(ISNUMBER(F369),ISNUMBER(G369)),(G369-F369),"")</f>
        <v/>
      </c>
      <c r="M369" s="11">
        <f>IF(AND(ISNUMBER(H369),ISNUMBER(I369)),(I369-H369),"")</f>
        <v/>
      </c>
      <c r="N369" s="11">
        <f>IF(AND(ISNUMBER(E369),ISNUMBER(J369)),(J369-E369),"")</f>
        <v/>
      </c>
    </row>
    <row r="370">
      <c r="A370" s="3" t="inlineStr">
        <is>
          <t>OBT280125095752-Neudörfl (FunderMax)</t>
        </is>
      </c>
      <c r="B370" s="3" t="inlineStr">
        <is>
          <t>Neudörfl (FunderMax)</t>
        </is>
      </c>
      <c r="C370" s="3" t="inlineStr">
        <is>
          <t>609</t>
        </is>
      </c>
      <c r="D370" s="3" t="n">
        <v>2</v>
      </c>
      <c r="E370" s="10" t="n">
        <v>45685.31869212963</v>
      </c>
      <c r="F370" s="10" t="n">
        <v>45685.41518518519</v>
      </c>
      <c r="G370" s="10" t="n">
        <v>45686.35826388889</v>
      </c>
      <c r="H370" s="10" t="n">
        <v>45686.3789699074</v>
      </c>
      <c r="I370" s="10" t="n">
        <v>45686.3789699074</v>
      </c>
      <c r="J370" s="10" t="n">
        <v>45686.37979166667</v>
      </c>
      <c r="K370" s="11">
        <f>IF(AND(ISNUMBER(E370),ISNUMBER(F370)),(F370-E370),"")</f>
        <v/>
      </c>
      <c r="L370" s="11">
        <f>IF(AND(ISNUMBER(F370),ISNUMBER(G370)),(G370-F370),"")</f>
        <v/>
      </c>
      <c r="M370" s="11">
        <f>IF(AND(ISNUMBER(H370),ISNUMBER(I370)),(I370-H370),"")</f>
        <v/>
      </c>
      <c r="N370" s="11">
        <f>IF(AND(ISNUMBER(E370),ISNUMBER(J370)),(J370-E370),"")</f>
        <v/>
      </c>
    </row>
    <row r="371">
      <c r="A371" s="3" t="inlineStr">
        <is>
          <t>OBT280125105241-Wien Kledering</t>
        </is>
      </c>
      <c r="B371" s="3" t="inlineStr">
        <is>
          <t>Wien Kledering</t>
        </is>
      </c>
      <c r="C371" s="3" t="inlineStr">
        <is>
          <t>627</t>
        </is>
      </c>
      <c r="D371" s="3" t="n">
        <v>3</v>
      </c>
      <c r="E371" s="10" t="n">
        <v>45685.38944444444</v>
      </c>
      <c r="F371" s="10" t="n">
        <v>45685.45325231482</v>
      </c>
      <c r="G371" s="10" t="n">
        <v>45686.40908564815</v>
      </c>
      <c r="H371" s="10" t="n">
        <v>45686.44287037037</v>
      </c>
      <c r="I371" s="10" t="n">
        <v>45686.44287037037</v>
      </c>
      <c r="J371" s="10" t="n">
        <v>45686.44371527778</v>
      </c>
      <c r="K371" s="11">
        <f>IF(AND(ISNUMBER(E371),ISNUMBER(F371)),(F371-E371),"")</f>
        <v/>
      </c>
      <c r="L371" s="11">
        <f>IF(AND(ISNUMBER(F371),ISNUMBER(G371)),(G371-F371),"")</f>
        <v/>
      </c>
      <c r="M371" s="11">
        <f>IF(AND(ISNUMBER(H371),ISNUMBER(I371)),(I371-H371),"")</f>
        <v/>
      </c>
      <c r="N371" s="11">
        <f>IF(AND(ISNUMBER(E371),ISNUMBER(J371)),(J371-E371),"")</f>
        <v/>
      </c>
    </row>
    <row r="372">
      <c r="A372" s="3" t="inlineStr">
        <is>
          <t>OBT280125105646-Wien Kledering</t>
        </is>
      </c>
      <c r="B372" s="3" t="inlineStr">
        <is>
          <t>Wien Kledering</t>
        </is>
      </c>
      <c r="C372" s="3" t="inlineStr">
        <is>
          <t>605</t>
        </is>
      </c>
      <c r="D372" s="3" t="n">
        <v>1</v>
      </c>
      <c r="E372" s="10" t="n">
        <v>45685.45369212963</v>
      </c>
      <c r="F372" s="10" t="n">
        <v>45685.45608796296</v>
      </c>
      <c r="G372" s="10" t="n">
        <v>45686.45136574074</v>
      </c>
      <c r="H372" s="10" t="n">
        <v>45686.47688657408</v>
      </c>
      <c r="I372" s="10" t="n">
        <v>45686.47688657408</v>
      </c>
      <c r="J372" s="10" t="n">
        <v>45686.47782407407</v>
      </c>
      <c r="K372" s="11">
        <f>IF(AND(ISNUMBER(E372),ISNUMBER(F372)),(F372-E372),"")</f>
        <v/>
      </c>
      <c r="L372" s="11">
        <f>IF(AND(ISNUMBER(F372),ISNUMBER(G372)),(G372-F372),"")</f>
        <v/>
      </c>
      <c r="M372" s="11">
        <f>IF(AND(ISNUMBER(H372),ISNUMBER(I372)),(I372-H372),"")</f>
        <v/>
      </c>
      <c r="N372" s="11">
        <f>IF(AND(ISNUMBER(E372),ISNUMBER(J372)),(J372-E372),"")</f>
        <v/>
      </c>
    </row>
    <row r="373">
      <c r="A373" s="3" t="inlineStr">
        <is>
          <t>OBT280125131319-Wien Kledering</t>
        </is>
      </c>
      <c r="B373" s="3" t="inlineStr">
        <is>
          <t>Wien Kledering</t>
        </is>
      </c>
      <c r="C373" s="3" t="inlineStr">
        <is>
          <t>615</t>
        </is>
      </c>
      <c r="D373" s="3" t="n">
        <v>1</v>
      </c>
      <c r="E373" s="10" t="n">
        <v>45685.54851851852</v>
      </c>
      <c r="F373" s="10" t="n">
        <v>45685.55091435185</v>
      </c>
      <c r="G373" s="10" t="n">
        <v>45686.55601851852</v>
      </c>
      <c r="H373" s="10" t="n">
        <v>45686.60668981481</v>
      </c>
      <c r="I373" s="10" t="n">
        <v>45686.60668981481</v>
      </c>
      <c r="J373" s="10" t="n">
        <v>45686.60783564814</v>
      </c>
      <c r="K373" s="11">
        <f>IF(AND(ISNUMBER(E373),ISNUMBER(F373)),(F373-E373),"")</f>
        <v/>
      </c>
      <c r="L373" s="11">
        <f>IF(AND(ISNUMBER(F373),ISNUMBER(G373)),(G373-F373),"")</f>
        <v/>
      </c>
      <c r="M373" s="11">
        <f>IF(AND(ISNUMBER(H373),ISNUMBER(I373)),(I373-H373),"")</f>
        <v/>
      </c>
      <c r="N373" s="11">
        <f>IF(AND(ISNUMBER(E373),ISNUMBER(J373)),(J373-E373),"")</f>
        <v/>
      </c>
    </row>
    <row r="374">
      <c r="A374" s="3" t="inlineStr">
        <is>
          <t>OBT280125143604-Wien Kledering</t>
        </is>
      </c>
      <c r="B374" s="3" t="inlineStr">
        <is>
          <t>Wien Kledering</t>
        </is>
      </c>
      <c r="C374" s="3" t="inlineStr">
        <is>
          <t>625</t>
        </is>
      </c>
      <c r="D374" s="3" t="n">
        <v>1</v>
      </c>
      <c r="E374" s="10" t="n">
        <v>45685.60599537037</v>
      </c>
      <c r="F374" s="10" t="n">
        <v>45685.60837962963</v>
      </c>
      <c r="G374" s="10" t="n">
        <v>45686.61636574074</v>
      </c>
      <c r="H374" s="10" t="n">
        <v>45686.68403935185</v>
      </c>
      <c r="I374" s="10" t="n">
        <v>45686.68403935185</v>
      </c>
      <c r="J374" s="10" t="n">
        <v>45686.68543981481</v>
      </c>
      <c r="K374" s="11">
        <f>IF(AND(ISNUMBER(E374),ISNUMBER(F374)),(F374-E374),"")</f>
        <v/>
      </c>
      <c r="L374" s="11">
        <f>IF(AND(ISNUMBER(F374),ISNUMBER(G374)),(G374-F374),"")</f>
        <v/>
      </c>
      <c r="M374" s="11">
        <f>IF(AND(ISNUMBER(H374),ISNUMBER(I374)),(I374-H374),"")</f>
        <v/>
      </c>
      <c r="N374" s="11">
        <f>IF(AND(ISNUMBER(E374),ISNUMBER(J374)),(J374-E374),"")</f>
        <v/>
      </c>
    </row>
    <row r="375">
      <c r="A375" s="3" t="inlineStr">
        <is>
          <t>OBT280125151006-Other sidings local</t>
        </is>
      </c>
      <c r="B375" s="3" t="inlineStr">
        <is>
          <t>Other sidings local</t>
        </is>
      </c>
      <c r="C375" s="3" t="inlineStr">
        <is>
          <t>629</t>
        </is>
      </c>
      <c r="D375" s="3" t="n">
        <v>3</v>
      </c>
      <c r="E375" s="10" t="n">
        <v>45685.40395833334</v>
      </c>
      <c r="F375" s="10" t="n">
        <v>45685.63201388889</v>
      </c>
      <c r="G375" s="10" t="n">
        <v>45686.65686342592</v>
      </c>
      <c r="H375" s="10" t="n">
        <v>45686.67820601852</v>
      </c>
      <c r="I375" s="10" t="n">
        <v>45686.67820601852</v>
      </c>
      <c r="J375" s="10" t="n">
        <v>45686.67886574074</v>
      </c>
      <c r="K375" s="11">
        <f>IF(AND(ISNUMBER(E375),ISNUMBER(F375)),(F375-E375),"")</f>
        <v/>
      </c>
      <c r="L375" s="11">
        <f>IF(AND(ISNUMBER(F375),ISNUMBER(G375)),(G375-F375),"")</f>
        <v/>
      </c>
      <c r="M375" s="11">
        <f>IF(AND(ISNUMBER(H375),ISNUMBER(I375)),(I375-H375),"")</f>
        <v/>
      </c>
      <c r="N375" s="11">
        <f>IF(AND(ISNUMBER(E375),ISNUMBER(J375)),(J375-E375),"")</f>
        <v/>
      </c>
    </row>
    <row r="376">
      <c r="A376" s="3" t="inlineStr">
        <is>
          <t>OBT280125151602-Neunkirchen (loading tracks)</t>
        </is>
      </c>
      <c r="B376" s="3" t="inlineStr">
        <is>
          <t>Neunkirchen (loading tracks)</t>
        </is>
      </c>
      <c r="C376" s="3" t="inlineStr">
        <is>
          <t>615</t>
        </is>
      </c>
      <c r="D376" s="3" t="n">
        <v>2</v>
      </c>
      <c r="E376" s="10" t="n">
        <v>45685.63082175926</v>
      </c>
      <c r="F376" s="10" t="n">
        <v>45685.63613425926</v>
      </c>
      <c r="G376" s="10" t="n">
        <v>45686.66518518519</v>
      </c>
      <c r="H376" s="10" t="n">
        <v>45686.69226851852</v>
      </c>
      <c r="I376" s="10" t="n">
        <v>45686.69226851852</v>
      </c>
      <c r="J376" s="10" t="n">
        <v>45686.69310185185</v>
      </c>
      <c r="K376" s="11">
        <f>IF(AND(ISNUMBER(E376),ISNUMBER(F376)),(F376-E376),"")</f>
        <v/>
      </c>
      <c r="L376" s="11">
        <f>IF(AND(ISNUMBER(F376),ISNUMBER(G376)),(G376-F376),"")</f>
        <v/>
      </c>
      <c r="M376" s="11">
        <f>IF(AND(ISNUMBER(H376),ISNUMBER(I376)),(I376-H376),"")</f>
        <v/>
      </c>
      <c r="N376" s="11">
        <f>IF(AND(ISNUMBER(E376),ISNUMBER(J376)),(J376-E376),"")</f>
        <v/>
      </c>
    </row>
    <row r="377">
      <c r="A377" s="3" t="inlineStr">
        <is>
          <t>OBT280125194613-Wien Kledering</t>
        </is>
      </c>
      <c r="B377" s="3" t="inlineStr">
        <is>
          <t>Wien Kledering</t>
        </is>
      </c>
      <c r="C377" s="3" t="inlineStr">
        <is>
          <t>606</t>
        </is>
      </c>
      <c r="D377" s="3" t="n">
        <v>1</v>
      </c>
      <c r="E377" s="10" t="n">
        <v>45685.82138888889</v>
      </c>
      <c r="F377" s="10" t="n">
        <v>45685.82376157407</v>
      </c>
      <c r="G377" s="10" t="n">
        <v>45686.74023148148</v>
      </c>
      <c r="H377" s="10" t="n">
        <v>45686.780625</v>
      </c>
      <c r="I377" s="10" t="n">
        <v>45686.780625</v>
      </c>
      <c r="J377" s="10" t="n">
        <v>45686.78166666667</v>
      </c>
      <c r="K377" s="11">
        <f>IF(AND(ISNUMBER(E377),ISNUMBER(F377)),(F377-E377),"")</f>
        <v/>
      </c>
      <c r="L377" s="11">
        <f>IF(AND(ISNUMBER(F377),ISNUMBER(G377)),(G377-F377),"")</f>
        <v/>
      </c>
      <c r="M377" s="11">
        <f>IF(AND(ISNUMBER(H377),ISNUMBER(I377)),(I377-H377),"")</f>
        <v/>
      </c>
      <c r="N377" s="11">
        <f>IF(AND(ISNUMBER(E377),ISNUMBER(J377)),(J377-E377),"")</f>
        <v/>
      </c>
    </row>
    <row r="378">
      <c r="A378" s="3" t="inlineStr">
        <is>
          <t>OBT280125211842-Wien Kledering</t>
        </is>
      </c>
      <c r="B378" s="3" t="inlineStr">
        <is>
          <t>Wien Kledering</t>
        </is>
      </c>
      <c r="C378" s="3" t="inlineStr">
        <is>
          <t>611</t>
        </is>
      </c>
      <c r="D378" s="3" t="n">
        <v>1</v>
      </c>
      <c r="E378" s="10" t="n">
        <v>45685.88561342593</v>
      </c>
      <c r="F378" s="10" t="n">
        <v>45685.88798611111</v>
      </c>
      <c r="G378" s="10" t="n">
        <v>45686.773125</v>
      </c>
      <c r="H378" s="10" t="n">
        <v>45686.84210648148</v>
      </c>
      <c r="I378" s="10" t="n">
        <v>45686.84210648148</v>
      </c>
      <c r="J378" s="10" t="n">
        <v>45686.84350694445</v>
      </c>
      <c r="K378" s="11">
        <f>IF(AND(ISNUMBER(E378),ISNUMBER(F378)),(F378-E378),"")</f>
        <v/>
      </c>
      <c r="L378" s="11">
        <f>IF(AND(ISNUMBER(F378),ISNUMBER(G378)),(G378-F378),"")</f>
        <v/>
      </c>
      <c r="M378" s="11">
        <f>IF(AND(ISNUMBER(H378),ISNUMBER(I378)),(I378-H378),"")</f>
        <v/>
      </c>
      <c r="N378" s="11">
        <f>IF(AND(ISNUMBER(E378),ISNUMBER(J378)),(J378-E378),"")</f>
        <v/>
      </c>
    </row>
    <row r="379">
      <c r="A379" s="3" t="inlineStr">
        <is>
          <t>OBT290125030733-Neunkirchen (loading tracks)</t>
        </is>
      </c>
      <c r="B379" s="3" t="inlineStr">
        <is>
          <t>Neunkirchen (loading tracks)</t>
        </is>
      </c>
      <c r="C379" s="3" t="inlineStr">
        <is>
          <t>615</t>
        </is>
      </c>
      <c r="D379" s="3" t="n">
        <v>1</v>
      </c>
      <c r="E379" s="10" t="n">
        <v>45686.12784722223</v>
      </c>
      <c r="F379" s="10" t="n">
        <v>45686.13024305556</v>
      </c>
      <c r="G379" s="10" t="n">
        <v>45686.87881944444</v>
      </c>
      <c r="H379" s="10" t="n">
        <v>45686.90760416666</v>
      </c>
      <c r="I379" s="10" t="n">
        <v>45686.90760416666</v>
      </c>
      <c r="J379" s="10" t="n">
        <v>45686.90846064815</v>
      </c>
      <c r="K379" s="11">
        <f>IF(AND(ISNUMBER(E379),ISNUMBER(F379)),(F379-E379),"")</f>
        <v/>
      </c>
      <c r="L379" s="11">
        <f>IF(AND(ISNUMBER(F379),ISNUMBER(G379)),(G379-F379),"")</f>
        <v/>
      </c>
      <c r="M379" s="11">
        <f>IF(AND(ISNUMBER(H379),ISNUMBER(I379)),(I379-H379),"")</f>
        <v/>
      </c>
      <c r="N379" s="11">
        <f>IF(AND(ISNUMBER(E379),ISNUMBER(J379)),(J379-E379),"")</f>
        <v/>
      </c>
    </row>
    <row r="380">
      <c r="A380" s="3" t="inlineStr">
        <is>
          <t>OBT290125043313-Neudörfl (FunderMax)</t>
        </is>
      </c>
      <c r="B380" s="3" t="inlineStr">
        <is>
          <t>Neudörfl (FunderMax)</t>
        </is>
      </c>
      <c r="C380" s="3" t="inlineStr">
        <is>
          <t>613</t>
        </is>
      </c>
      <c r="D380" s="3" t="n">
        <v>1</v>
      </c>
      <c r="E380" s="10" t="n">
        <v>45686.18737268518</v>
      </c>
      <c r="F380" s="10" t="n">
        <v>45686.18973379629</v>
      </c>
      <c r="G380" s="10" t="n">
        <v>45687.13313657408</v>
      </c>
      <c r="H380" s="10" t="n">
        <v>45687.15170138889</v>
      </c>
      <c r="I380" s="10" t="n">
        <v>45687.15170138889</v>
      </c>
      <c r="J380" s="10" t="n">
        <v>45687.15237268519</v>
      </c>
      <c r="K380" s="11">
        <f>IF(AND(ISNUMBER(E380),ISNUMBER(F380)),(F380-E380),"")</f>
        <v/>
      </c>
      <c r="L380" s="11">
        <f>IF(AND(ISNUMBER(F380),ISNUMBER(G380)),(G380-F380),"")</f>
        <v/>
      </c>
      <c r="M380" s="11">
        <f>IF(AND(ISNUMBER(H380),ISNUMBER(I380)),(I380-H380),"")</f>
        <v/>
      </c>
      <c r="N380" s="11">
        <f>IF(AND(ISNUMBER(E380),ISNUMBER(J380)),(J380-E380),"")</f>
        <v/>
      </c>
    </row>
    <row r="381">
      <c r="A381" s="3" t="inlineStr">
        <is>
          <t>OBT290125063308-Wien Kledering</t>
        </is>
      </c>
      <c r="B381" s="3" t="inlineStr">
        <is>
          <t>Wien Kledering</t>
        </is>
      </c>
      <c r="C381" s="3" t="inlineStr">
        <is>
          <t>607</t>
        </is>
      </c>
      <c r="D381" s="3" t="n">
        <v>2</v>
      </c>
      <c r="E381" s="10" t="n">
        <v>45685.62967592593</v>
      </c>
      <c r="F381" s="10" t="n">
        <v>45686.27300925926</v>
      </c>
      <c r="G381" s="10" t="n">
        <v>45687.2740162037</v>
      </c>
      <c r="H381" s="10" t="n">
        <v>45687.32557870371</v>
      </c>
      <c r="I381" s="10" t="n">
        <v>45687.32557870371</v>
      </c>
      <c r="J381" s="10" t="n">
        <v>45687.32686342593</v>
      </c>
      <c r="K381" s="11">
        <f>IF(AND(ISNUMBER(E381),ISNUMBER(F381)),(F381-E381),"")</f>
        <v/>
      </c>
      <c r="L381" s="11">
        <f>IF(AND(ISNUMBER(F381),ISNUMBER(G381)),(G381-F381),"")</f>
        <v/>
      </c>
      <c r="M381" s="11">
        <f>IF(AND(ISNUMBER(H381),ISNUMBER(I381)),(I381-H381),"")</f>
        <v/>
      </c>
      <c r="N381" s="11">
        <f>IF(AND(ISNUMBER(E381),ISNUMBER(J381)),(J381-E381),"")</f>
        <v/>
      </c>
    </row>
    <row r="382">
      <c r="A382" s="3" t="inlineStr">
        <is>
          <t>OBT290125073710-Wien Kledering</t>
        </is>
      </c>
      <c r="B382" s="3" t="inlineStr">
        <is>
          <t>Wien Kledering</t>
        </is>
      </c>
      <c r="C382" s="3" t="inlineStr">
        <is>
          <t>621</t>
        </is>
      </c>
      <c r="D382" s="3" t="n">
        <v>3</v>
      </c>
      <c r="E382" s="10" t="n">
        <v>45685.39875</v>
      </c>
      <c r="F382" s="10" t="n">
        <v>45686.31747685185</v>
      </c>
      <c r="G382" s="10" t="n">
        <v>45687.29908564815</v>
      </c>
      <c r="H382" s="10" t="n">
        <v>45687.36805555555</v>
      </c>
      <c r="I382" s="10" t="n">
        <v>45687.36836805556</v>
      </c>
      <c r="J382" s="10" t="n">
        <v>45687.36982638889</v>
      </c>
      <c r="K382" s="11">
        <f>IF(AND(ISNUMBER(E382),ISNUMBER(F382)),(F382-E382),"")</f>
        <v/>
      </c>
      <c r="L382" s="11">
        <f>IF(AND(ISNUMBER(F382),ISNUMBER(G382)),(G382-F382),"")</f>
        <v/>
      </c>
      <c r="M382" s="11">
        <f>IF(AND(ISNUMBER(H382),ISNUMBER(I382)),(I382-H382),"")</f>
        <v/>
      </c>
      <c r="N382" s="11">
        <f>IF(AND(ISNUMBER(E382),ISNUMBER(J382)),(J382-E382),"")</f>
        <v/>
      </c>
    </row>
    <row r="383">
      <c r="A383" s="3" t="inlineStr">
        <is>
          <t>OBT290125074446-Wien Kledering</t>
        </is>
      </c>
      <c r="B383" s="3" t="inlineStr">
        <is>
          <t>Wien Kledering</t>
        </is>
      </c>
      <c r="C383" s="3" t="inlineStr">
        <is>
          <t>629</t>
        </is>
      </c>
      <c r="D383" s="3" t="n">
        <v>3</v>
      </c>
      <c r="E383" s="10" t="n">
        <v>45686.12634259259</v>
      </c>
      <c r="F383" s="10" t="n">
        <v>45686.32275462963</v>
      </c>
      <c r="G383" s="10" t="n">
        <v>45687.34200231481</v>
      </c>
      <c r="H383" s="10" t="n">
        <v>45687.36445601852</v>
      </c>
      <c r="I383" s="10" t="n">
        <v>45687.36445601852</v>
      </c>
      <c r="J383" s="10" t="n">
        <v>45687.36512731481</v>
      </c>
      <c r="K383" s="11">
        <f>IF(AND(ISNUMBER(E383),ISNUMBER(F383)),(F383-E383),"")</f>
        <v/>
      </c>
      <c r="L383" s="11">
        <f>IF(AND(ISNUMBER(F383),ISNUMBER(G383)),(G383-F383),"")</f>
        <v/>
      </c>
      <c r="M383" s="11">
        <f>IF(AND(ISNUMBER(H383),ISNUMBER(I383)),(I383-H383),"")</f>
        <v/>
      </c>
      <c r="N383" s="11">
        <f>IF(AND(ISNUMBER(E383),ISNUMBER(J383)),(J383-E383),"")</f>
        <v/>
      </c>
    </row>
    <row r="384">
      <c r="A384" s="3" t="inlineStr">
        <is>
          <t>OBT290125093729-Other sidings south</t>
        </is>
      </c>
      <c r="B384" s="3" t="inlineStr">
        <is>
          <t>Other sidings south</t>
        </is>
      </c>
      <c r="C384" s="3" t="inlineStr">
        <is>
          <t>619</t>
        </is>
      </c>
      <c r="D384" s="3" t="n">
        <v>7</v>
      </c>
      <c r="E384" s="10" t="n">
        <v>45685.13381944445</v>
      </c>
      <c r="F384" s="10" t="n">
        <v>45686.40103009259</v>
      </c>
      <c r="G384" s="10" t="n">
        <v>45687.34841435185</v>
      </c>
      <c r="H384" s="10" t="n">
        <v>45687.36755787037</v>
      </c>
      <c r="I384" s="10" t="n">
        <v>45687.36755787037</v>
      </c>
      <c r="J384" s="10" t="n">
        <v>45687.36836805556</v>
      </c>
      <c r="K384" s="11">
        <f>IF(AND(ISNUMBER(E384),ISNUMBER(F384)),(F384-E384),"")</f>
        <v/>
      </c>
      <c r="L384" s="11">
        <f>IF(AND(ISNUMBER(F384),ISNUMBER(G384)),(G384-F384),"")</f>
        <v/>
      </c>
      <c r="M384" s="11">
        <f>IF(AND(ISNUMBER(H384),ISNUMBER(I384)),(I384-H384),"")</f>
        <v/>
      </c>
      <c r="N384" s="11">
        <f>IF(AND(ISNUMBER(E384),ISNUMBER(J384)),(J384-E384),"")</f>
        <v/>
      </c>
    </row>
    <row r="385">
      <c r="A385" s="3" t="inlineStr">
        <is>
          <t>OBT290125094134-Wien Kledering</t>
        </is>
      </c>
      <c r="B385" s="3" t="inlineStr">
        <is>
          <t>Wien Kledering</t>
        </is>
      </c>
      <c r="C385" s="3" t="inlineStr">
        <is>
          <t>615</t>
        </is>
      </c>
      <c r="D385" s="3" t="n">
        <v>2</v>
      </c>
      <c r="E385" s="10" t="n">
        <v>45686.35652777777</v>
      </c>
      <c r="F385" s="10" t="n">
        <v>45686.40386574074</v>
      </c>
      <c r="G385" s="10" t="n">
        <v>45687.36918981482</v>
      </c>
      <c r="H385" s="10" t="n">
        <v>45687.41293981481</v>
      </c>
      <c r="I385" s="10" t="n">
        <v>45687.41293981481</v>
      </c>
      <c r="J385" s="10" t="n">
        <v>45687.41398148148</v>
      </c>
      <c r="K385" s="11">
        <f>IF(AND(ISNUMBER(E385),ISNUMBER(F385)),(F385-E385),"")</f>
        <v/>
      </c>
      <c r="L385" s="11">
        <f>IF(AND(ISNUMBER(F385),ISNUMBER(G385)),(G385-F385),"")</f>
        <v/>
      </c>
      <c r="M385" s="11">
        <f>IF(AND(ISNUMBER(H385),ISNUMBER(I385)),(I385-H385),"")</f>
        <v/>
      </c>
      <c r="N385" s="11">
        <f>IF(AND(ISNUMBER(E385),ISNUMBER(J385)),(J385-E385),"")</f>
        <v/>
      </c>
    </row>
    <row r="386">
      <c r="A386" s="3" t="inlineStr">
        <is>
          <t>OBT290125105057-Wien Kledering</t>
        </is>
      </c>
      <c r="B386" s="3" t="inlineStr">
        <is>
          <t>Wien Kledering</t>
        </is>
      </c>
      <c r="C386" s="3" t="inlineStr">
        <is>
          <t>615</t>
        </is>
      </c>
      <c r="D386" s="3" t="n">
        <v>1</v>
      </c>
      <c r="E386" s="10" t="n">
        <v>45686.44965277778</v>
      </c>
      <c r="F386" s="10" t="n">
        <v>45686.45204861111</v>
      </c>
      <c r="G386" s="10" t="n">
        <v>45687.40633101852</v>
      </c>
      <c r="H386" s="10" t="n">
        <v>45687.44457175926</v>
      </c>
      <c r="I386" s="10" t="n">
        <v>45687.44457175926</v>
      </c>
      <c r="J386" s="10" t="n">
        <v>45687.44554398148</v>
      </c>
      <c r="K386" s="11">
        <f>IF(AND(ISNUMBER(E386),ISNUMBER(F386)),(F386-E386),"")</f>
        <v/>
      </c>
      <c r="L386" s="11">
        <f>IF(AND(ISNUMBER(F386),ISNUMBER(G386)),(G386-F386),"")</f>
        <v/>
      </c>
      <c r="M386" s="11">
        <f>IF(AND(ISNUMBER(H386),ISNUMBER(I386)),(I386-H386),"")</f>
        <v/>
      </c>
      <c r="N386" s="11">
        <f>IF(AND(ISNUMBER(E386),ISNUMBER(J386)),(J386-E386),"")</f>
        <v/>
      </c>
    </row>
    <row r="387">
      <c r="A387" s="3" t="inlineStr">
        <is>
          <t>OBT290125132135-Wien Kledering</t>
        </is>
      </c>
      <c r="B387" s="3" t="inlineStr">
        <is>
          <t>Wien Kledering</t>
        </is>
      </c>
      <c r="C387" s="3" t="inlineStr">
        <is>
          <t>615</t>
        </is>
      </c>
      <c r="D387" s="3" t="n">
        <v>1</v>
      </c>
      <c r="E387" s="10" t="n">
        <v>45686.55428240741</v>
      </c>
      <c r="F387" s="10" t="n">
        <v>45686.55665509259</v>
      </c>
      <c r="G387" s="10" t="n">
        <v>45687.42520833333</v>
      </c>
      <c r="H387" s="10" t="n">
        <v>45687.47028935186</v>
      </c>
      <c r="I387" s="10" t="n">
        <v>45687.47028935186</v>
      </c>
      <c r="J387" s="10" t="n">
        <v>45687.47135416666</v>
      </c>
      <c r="K387" s="11">
        <f>IF(AND(ISNUMBER(E387),ISNUMBER(F387)),(F387-E387),"")</f>
        <v/>
      </c>
      <c r="L387" s="11">
        <f>IF(AND(ISNUMBER(F387),ISNUMBER(G387)),(G387-F387),"")</f>
        <v/>
      </c>
      <c r="M387" s="11">
        <f>IF(AND(ISNUMBER(H387),ISNUMBER(I387)),(I387-H387),"")</f>
        <v/>
      </c>
      <c r="N387" s="11">
        <f>IF(AND(ISNUMBER(E387),ISNUMBER(J387)),(J387-E387),"")</f>
        <v/>
      </c>
    </row>
    <row r="388">
      <c r="A388" s="3" t="inlineStr">
        <is>
          <t>OBT290125144829-Wien Kledering</t>
        </is>
      </c>
      <c r="B388" s="3" t="inlineStr">
        <is>
          <t>Wien Kledering</t>
        </is>
      </c>
      <c r="C388" s="3" t="inlineStr">
        <is>
          <t>615</t>
        </is>
      </c>
      <c r="D388" s="3" t="n">
        <v>1</v>
      </c>
      <c r="E388" s="10" t="n">
        <v>45686.61462962963</v>
      </c>
      <c r="F388" s="10" t="n">
        <v>45686.61700231482</v>
      </c>
      <c r="G388" s="10" t="n">
        <v>45687.5509837963</v>
      </c>
      <c r="H388" s="10" t="n">
        <v>45687.62008101852</v>
      </c>
      <c r="I388" s="10" t="n">
        <v>45687.62008101852</v>
      </c>
      <c r="J388" s="10" t="n">
        <v>45687.6214699074</v>
      </c>
      <c r="K388" s="11">
        <f>IF(AND(ISNUMBER(E388),ISNUMBER(F388)),(F388-E388),"")</f>
        <v/>
      </c>
      <c r="L388" s="11">
        <f>IF(AND(ISNUMBER(F388),ISNUMBER(G388)),(G388-F388),"")</f>
        <v/>
      </c>
      <c r="M388" s="11">
        <f>IF(AND(ISNUMBER(H388),ISNUMBER(I388)),(I388-H388),"")</f>
        <v/>
      </c>
      <c r="N388" s="11">
        <f>IF(AND(ISNUMBER(E388),ISNUMBER(J388)),(J388-E388),"")</f>
        <v/>
      </c>
    </row>
    <row r="389">
      <c r="A389" s="3" t="inlineStr">
        <is>
          <t>OBT290125152804-Other sidings north</t>
        </is>
      </c>
      <c r="B389" s="3" t="inlineStr">
        <is>
          <t>Other sidings north</t>
        </is>
      </c>
      <c r="C389" s="3" t="inlineStr">
        <is>
          <t>623</t>
        </is>
      </c>
      <c r="D389" s="3" t="n">
        <v>3</v>
      </c>
      <c r="E389" s="10" t="n">
        <v>45685.62226851852</v>
      </c>
      <c r="F389" s="10" t="n">
        <v>45686.64449074074</v>
      </c>
      <c r="G389" s="10" t="n">
        <v>45687.61464120371</v>
      </c>
      <c r="H389" s="10" t="n">
        <v>45687.63377314815</v>
      </c>
      <c r="I389" s="10" t="n">
        <v>45687.63377314815</v>
      </c>
      <c r="J389" s="10" t="n">
        <v>45687.63457175926</v>
      </c>
      <c r="K389" s="11">
        <f>IF(AND(ISNUMBER(E389),ISNUMBER(F389)),(F389-E389),"")</f>
        <v/>
      </c>
      <c r="L389" s="11">
        <f>IF(AND(ISNUMBER(F389),ISNUMBER(G389)),(G389-F389),"")</f>
        <v/>
      </c>
      <c r="M389" s="11">
        <f>IF(AND(ISNUMBER(H389),ISNUMBER(I389)),(I389-H389),"")</f>
        <v/>
      </c>
      <c r="N389" s="11">
        <f>IF(AND(ISNUMBER(E389),ISNUMBER(J389)),(J389-E389),"")</f>
        <v/>
      </c>
    </row>
    <row r="390">
      <c r="A390" s="3" t="inlineStr">
        <is>
          <t>OBT290125154754-Wr. Neustadt (Hödlmayr)</t>
        </is>
      </c>
      <c r="B390" s="3" t="inlineStr">
        <is>
          <t>Wr. Neustadt (Hödlmayr)</t>
        </is>
      </c>
      <c r="C390" s="3" t="inlineStr">
        <is>
          <t>627</t>
        </is>
      </c>
      <c r="D390" s="3" t="n">
        <v>2</v>
      </c>
      <c r="E390" s="10" t="n">
        <v>45686.64265046296</v>
      </c>
      <c r="F390" s="10" t="n">
        <v>45686.65826388889</v>
      </c>
      <c r="G390" s="10" t="n">
        <v>45687.64940972222</v>
      </c>
      <c r="H390" s="10" t="n">
        <v>45687.66893518518</v>
      </c>
      <c r="I390" s="10" t="n">
        <v>45687.66893518518</v>
      </c>
      <c r="J390" s="10" t="n">
        <v>45687.66959490741</v>
      </c>
      <c r="K390" s="11">
        <f>IF(AND(ISNUMBER(E390),ISNUMBER(F390)),(F390-E390),"")</f>
        <v/>
      </c>
      <c r="L390" s="11">
        <f>IF(AND(ISNUMBER(F390),ISNUMBER(G390)),(G390-F390),"")</f>
        <v/>
      </c>
      <c r="M390" s="11">
        <f>IF(AND(ISNUMBER(H390),ISNUMBER(I390)),(I390-H390),"")</f>
        <v/>
      </c>
      <c r="N390" s="11">
        <f>IF(AND(ISNUMBER(E390),ISNUMBER(J390)),(J390-E390),"")</f>
        <v/>
      </c>
    </row>
    <row r="391">
      <c r="A391" s="3" t="inlineStr">
        <is>
          <t>OBT290125174650-Wien Kledering</t>
        </is>
      </c>
      <c r="B391" s="3" t="inlineStr">
        <is>
          <t>Wien Kledering</t>
        </is>
      </c>
      <c r="C391" s="3" t="inlineStr">
        <is>
          <t>615</t>
        </is>
      </c>
      <c r="D391" s="3" t="n">
        <v>1</v>
      </c>
      <c r="E391" s="10" t="n">
        <v>45686.73849537037</v>
      </c>
      <c r="F391" s="10" t="n">
        <v>45686.74085648148</v>
      </c>
      <c r="G391" s="10" t="n">
        <v>45687.65604166667</v>
      </c>
      <c r="H391" s="10" t="n">
        <v>45687.70849537037</v>
      </c>
      <c r="I391" s="10" t="n">
        <v>45687.70849537037</v>
      </c>
      <c r="J391" s="10" t="n">
        <v>45687.70966435185</v>
      </c>
      <c r="K391" s="11">
        <f>IF(AND(ISNUMBER(E391),ISNUMBER(F391)),(F391-E391),"")</f>
        <v/>
      </c>
      <c r="L391" s="11">
        <f>IF(AND(ISNUMBER(F391),ISNUMBER(G391)),(G391-F391),"")</f>
        <v/>
      </c>
      <c r="M391" s="11">
        <f>IF(AND(ISNUMBER(H391),ISNUMBER(I391)),(I391-H391),"")</f>
        <v/>
      </c>
      <c r="N391" s="11">
        <f>IF(AND(ISNUMBER(E391),ISNUMBER(J391)),(J391-E391),"")</f>
        <v/>
      </c>
    </row>
    <row r="392">
      <c r="A392" s="3" t="inlineStr">
        <is>
          <t>OBT290125182252-Pitten (Hamburger)</t>
        </is>
      </c>
      <c r="B392" s="3" t="inlineStr">
        <is>
          <t>Pitten (Hamburger)</t>
        </is>
      </c>
      <c r="C392" s="3" t="inlineStr">
        <is>
          <t>609</t>
        </is>
      </c>
      <c r="D392" s="3" t="n">
        <v>3</v>
      </c>
      <c r="E392" s="10" t="n">
        <v>45686.64921296296</v>
      </c>
      <c r="F392" s="10" t="n">
        <v>45686.76587962963</v>
      </c>
      <c r="G392" s="10" t="n">
        <v>45687.73236111111</v>
      </c>
      <c r="H392" s="10" t="n">
        <v>45687.76489583333</v>
      </c>
      <c r="I392" s="10" t="n">
        <v>45687.76489583333</v>
      </c>
      <c r="J392" s="10" t="n">
        <v>45687.76586805555</v>
      </c>
      <c r="K392" s="11">
        <f>IF(AND(ISNUMBER(E392),ISNUMBER(F392)),(F392-E392),"")</f>
        <v/>
      </c>
      <c r="L392" s="11">
        <f>IF(AND(ISNUMBER(F392),ISNUMBER(G392)),(G392-F392),"")</f>
        <v/>
      </c>
      <c r="M392" s="11">
        <f>IF(AND(ISNUMBER(H392),ISNUMBER(I392)),(I392-H392),"")</f>
        <v/>
      </c>
      <c r="N392" s="11">
        <f>IF(AND(ISNUMBER(E392),ISNUMBER(J392)),(J392-E392),"")</f>
        <v/>
      </c>
    </row>
    <row r="393">
      <c r="A393" s="3" t="inlineStr">
        <is>
          <t>OBT290125210626-Wien Kledering</t>
        </is>
      </c>
      <c r="B393" s="3" t="inlineStr">
        <is>
          <t>Wien Kledering</t>
        </is>
      </c>
      <c r="C393" s="3" t="inlineStr">
        <is>
          <t>606</t>
        </is>
      </c>
      <c r="D393" s="3" t="n">
        <v>1</v>
      </c>
      <c r="E393" s="10" t="n">
        <v>45686.87708333333</v>
      </c>
      <c r="F393" s="10" t="n">
        <v>45686.87946759259</v>
      </c>
      <c r="G393" s="10" t="n">
        <v>45687.8312037037</v>
      </c>
      <c r="H393" s="10" t="n">
        <v>45687.89732638889</v>
      </c>
      <c r="I393" s="10" t="n">
        <v>45687.89732638889</v>
      </c>
      <c r="J393" s="10" t="n">
        <v>45687.89871527778</v>
      </c>
      <c r="K393" s="11">
        <f>IF(AND(ISNUMBER(E393),ISNUMBER(F393)),(F393-E393),"")</f>
        <v/>
      </c>
      <c r="L393" s="11">
        <f>IF(AND(ISNUMBER(F393),ISNUMBER(G393)),(G393-F393),"")</f>
        <v/>
      </c>
      <c r="M393" s="11">
        <f>IF(AND(ISNUMBER(H393),ISNUMBER(I393)),(I393-H393),"")</f>
        <v/>
      </c>
      <c r="N393" s="11">
        <f>IF(AND(ISNUMBER(E393),ISNUMBER(J393)),(J393-E393),"")</f>
        <v/>
      </c>
    </row>
    <row r="394">
      <c r="A394" s="3" t="inlineStr">
        <is>
          <t>OBT300125030547-Neunkirchen (loading tracks)</t>
        </is>
      </c>
      <c r="B394" s="3" t="inlineStr">
        <is>
          <t>Neunkirchen (loading tracks)</t>
        </is>
      </c>
      <c r="C394" s="3" t="inlineStr">
        <is>
          <t>629</t>
        </is>
      </c>
      <c r="D394" s="3" t="n">
        <v>4</v>
      </c>
      <c r="E394" s="10" t="n">
        <v>45686.64756944445</v>
      </c>
      <c r="F394" s="10" t="n">
        <v>45687.1290162037</v>
      </c>
      <c r="G394" s="10" t="n">
        <v>45687.86457175926</v>
      </c>
      <c r="H394" s="10" t="n">
        <v>45687.88241898148</v>
      </c>
      <c r="I394" s="10" t="n">
        <v>45687.88241898148</v>
      </c>
      <c r="J394" s="10" t="n">
        <v>45687.88303240741</v>
      </c>
      <c r="K394" s="11">
        <f>IF(AND(ISNUMBER(E394),ISNUMBER(F394)),(F394-E394),"")</f>
        <v/>
      </c>
      <c r="L394" s="11">
        <f>IF(AND(ISNUMBER(F394),ISNUMBER(G394)),(G394-F394),"")</f>
        <v/>
      </c>
      <c r="M394" s="11">
        <f>IF(AND(ISNUMBER(H394),ISNUMBER(I394)),(I394-H394),"")</f>
        <v/>
      </c>
      <c r="N394" s="11">
        <f>IF(AND(ISNUMBER(E394),ISNUMBER(J394)),(J394-E394),"")</f>
        <v/>
      </c>
    </row>
    <row r="395">
      <c r="A395" s="3" t="inlineStr">
        <is>
          <t>OBT300125063532-Wien Kledering</t>
        </is>
      </c>
      <c r="B395" s="3" t="inlineStr">
        <is>
          <t>Wien Kledering</t>
        </is>
      </c>
      <c r="C395" s="3" t="inlineStr">
        <is>
          <t>613</t>
        </is>
      </c>
      <c r="D395" s="3" t="n">
        <v>1</v>
      </c>
      <c r="E395" s="10" t="n">
        <v>45687.27228009259</v>
      </c>
      <c r="F395" s="10" t="n">
        <v>45687.27467592592</v>
      </c>
      <c r="G395" s="10" t="n">
        <v>45688.1371412037</v>
      </c>
      <c r="H395" s="10" t="n">
        <v>45688.1887037037</v>
      </c>
      <c r="I395" s="10" t="n">
        <v>45688.1887037037</v>
      </c>
      <c r="J395" s="10" t="n">
        <v>45688.18981481482</v>
      </c>
      <c r="K395" s="11">
        <f>IF(AND(ISNUMBER(E395),ISNUMBER(F395)),(F395-E395),"")</f>
        <v/>
      </c>
      <c r="L395" s="11">
        <f>IF(AND(ISNUMBER(F395),ISNUMBER(G395)),(G395-F395),"")</f>
        <v/>
      </c>
      <c r="M395" s="11">
        <f>IF(AND(ISNUMBER(H395),ISNUMBER(I395)),(I395-H395),"")</f>
        <v/>
      </c>
      <c r="N395" s="11">
        <f>IF(AND(ISNUMBER(E395),ISNUMBER(J395)),(J395-E395),"")</f>
        <v/>
      </c>
    </row>
    <row r="396">
      <c r="A396" s="3" t="inlineStr">
        <is>
          <t>OBT300125075751-Wr. Neustadt (Hödlmayr)</t>
        </is>
      </c>
      <c r="B396" s="3" t="inlineStr">
        <is>
          <t>Wr. Neustadt (Hödlmayr)</t>
        </is>
      </c>
      <c r="C396" s="3" t="inlineStr">
        <is>
          <t>627</t>
        </is>
      </c>
      <c r="D396" s="3" t="n">
        <v>3</v>
      </c>
      <c r="E396" s="10" t="n">
        <v>45686.75840277778</v>
      </c>
      <c r="F396" s="10" t="n">
        <v>45687.33184027778</v>
      </c>
      <c r="G396" s="10" t="n">
        <v>45688.19435185185</v>
      </c>
      <c r="H396" s="10" t="n">
        <v>45688.24591435185</v>
      </c>
      <c r="I396" s="10" t="n">
        <v>45688.24591435185</v>
      </c>
      <c r="J396" s="10" t="n">
        <v>45688.24699074074</v>
      </c>
      <c r="K396" s="11">
        <f>IF(AND(ISNUMBER(E396),ISNUMBER(F396)),(F396-E396),"")</f>
        <v/>
      </c>
      <c r="L396" s="11">
        <f>IF(AND(ISNUMBER(F396),ISNUMBER(G396)),(G396-F396),"")</f>
        <v/>
      </c>
      <c r="M396" s="11">
        <f>IF(AND(ISNUMBER(H396),ISNUMBER(I396)),(I396-H396),"")</f>
        <v/>
      </c>
      <c r="N396" s="11">
        <f>IF(AND(ISNUMBER(E396),ISNUMBER(J396)),(J396-E396),"")</f>
        <v/>
      </c>
    </row>
    <row r="397">
      <c r="A397" s="3" t="inlineStr">
        <is>
          <t>OBT300125080541-Neunkirchen (loading tracks)</t>
        </is>
      </c>
      <c r="B397" s="3" t="inlineStr">
        <is>
          <t>Neunkirchen (loading tracks)</t>
        </is>
      </c>
      <c r="C397" s="3" t="inlineStr">
        <is>
          <t>611</t>
        </is>
      </c>
      <c r="D397" s="3" t="n">
        <v>3</v>
      </c>
      <c r="E397" s="10" t="n">
        <v>45687.13140046296</v>
      </c>
      <c r="F397" s="10" t="n">
        <v>45687.33728009259</v>
      </c>
      <c r="G397" s="10" t="n">
        <v>45688.25971064815</v>
      </c>
      <c r="H397" s="10" t="n">
        <v>45688.27736111111</v>
      </c>
      <c r="I397" s="10" t="n">
        <v>45688.27736111111</v>
      </c>
      <c r="J397" s="10" t="n">
        <v>45688.27809027778</v>
      </c>
      <c r="K397" s="11">
        <f>IF(AND(ISNUMBER(E397),ISNUMBER(F397)),(F397-E397),"")</f>
        <v/>
      </c>
      <c r="L397" s="11">
        <f>IF(AND(ISNUMBER(F397),ISNUMBER(G397)),(G397-F397),"")</f>
        <v/>
      </c>
      <c r="M397" s="11">
        <f>IF(AND(ISNUMBER(H397),ISNUMBER(I397)),(I397-H397),"")</f>
        <v/>
      </c>
      <c r="N397" s="11">
        <f>IF(AND(ISNUMBER(E397),ISNUMBER(J397)),(J397-E397),"")</f>
        <v/>
      </c>
    </row>
    <row r="398">
      <c r="A398" s="3" t="inlineStr">
        <is>
          <t>OBT300125081010-Wr. Neustadt (Brenntag)</t>
        </is>
      </c>
      <c r="B398" s="3" t="inlineStr">
        <is>
          <t>Wr. Neustadt (Brenntag)</t>
        </is>
      </c>
      <c r="C398" s="3" t="inlineStr">
        <is>
          <t>617</t>
        </is>
      </c>
      <c r="D398" s="3" t="n">
        <v>6</v>
      </c>
      <c r="E398" s="10" t="n">
        <v>45685.31996527778</v>
      </c>
      <c r="F398" s="10" t="n">
        <v>45687.34039351852</v>
      </c>
      <c r="G398" s="10" t="n">
        <v>45688.30097222222</v>
      </c>
      <c r="H398" s="10" t="n">
        <v>45688.32527777777</v>
      </c>
      <c r="I398" s="10" t="n">
        <v>45688.32527777777</v>
      </c>
      <c r="J398" s="10" t="n">
        <v>45688.32615740741</v>
      </c>
      <c r="K398" s="11">
        <f>IF(AND(ISNUMBER(E398),ISNUMBER(F398)),(F398-E398),"")</f>
        <v/>
      </c>
      <c r="L398" s="11">
        <f>IF(AND(ISNUMBER(F398),ISNUMBER(G398)),(G398-F398),"")</f>
        <v/>
      </c>
      <c r="M398" s="11">
        <f>IF(AND(ISNUMBER(H398),ISNUMBER(I398)),(I398-H398),"")</f>
        <v/>
      </c>
      <c r="N398" s="11">
        <f>IF(AND(ISNUMBER(E398),ISNUMBER(J398)),(J398-E398),"")</f>
        <v/>
      </c>
    </row>
    <row r="399">
      <c r="A399" s="3" t="inlineStr">
        <is>
          <t>OBT300125081913-Wr. Neustadt Ausfahrbf (Furtenbach)</t>
        </is>
      </c>
      <c r="B399" s="3" t="inlineStr">
        <is>
          <t>Wr. Neustadt Ausfahrbf (Furtenbach)</t>
        </is>
      </c>
      <c r="C399" s="3" t="inlineStr">
        <is>
          <t>607</t>
        </is>
      </c>
      <c r="D399" s="3" t="n">
        <v>4</v>
      </c>
      <c r="E399" s="10" t="n">
        <v>45686.4016550926</v>
      </c>
      <c r="F399" s="10" t="n">
        <v>45687.34667824074</v>
      </c>
      <c r="G399" s="10" t="n">
        <v>45688.33234953704</v>
      </c>
      <c r="H399" s="10" t="n">
        <v>45688.40537037037</v>
      </c>
      <c r="I399" s="10" t="n">
        <v>45688.40537037037</v>
      </c>
      <c r="J399" s="10" t="n">
        <v>45688.40694444445</v>
      </c>
      <c r="K399" s="11">
        <f>IF(AND(ISNUMBER(E399),ISNUMBER(F399)),(F399-E399),"")</f>
        <v/>
      </c>
      <c r="L399" s="11">
        <f>IF(AND(ISNUMBER(F399),ISNUMBER(G399)),(G399-F399),"")</f>
        <v/>
      </c>
      <c r="M399" s="11">
        <f>IF(AND(ISNUMBER(H399),ISNUMBER(I399)),(I399-H399),"")</f>
        <v/>
      </c>
      <c r="N399" s="11">
        <f>IF(AND(ISNUMBER(E399),ISNUMBER(J399)),(J399-E399),"")</f>
        <v/>
      </c>
    </row>
    <row r="400">
      <c r="A400" s="3" t="inlineStr">
        <is>
          <t>OBT300125085102-St. Veit an der Glan</t>
        </is>
      </c>
      <c r="B400" s="3" t="inlineStr">
        <is>
          <t>St. Veit an der Glan</t>
        </is>
      </c>
      <c r="C400" s="3" t="inlineStr">
        <is>
          <t>621</t>
        </is>
      </c>
      <c r="D400" s="3" t="n">
        <v>6</v>
      </c>
      <c r="E400" s="10" t="n">
        <v>45686.35525462963</v>
      </c>
      <c r="F400" s="10" t="n">
        <v>45687.36877314815</v>
      </c>
      <c r="G400" s="10" t="n">
        <v>45688.34722222222</v>
      </c>
      <c r="H400" s="10" t="n">
        <v>45688.36916666666</v>
      </c>
      <c r="I400" s="10" t="n">
        <v>45688.36916666666</v>
      </c>
      <c r="J400" s="10" t="n">
        <v>45688.36998842593</v>
      </c>
      <c r="K400" s="11">
        <f>IF(AND(ISNUMBER(E400),ISNUMBER(F400)),(F400-E400),"")</f>
        <v/>
      </c>
      <c r="L400" s="11">
        <f>IF(AND(ISNUMBER(F400),ISNUMBER(G400)),(G400-F400),"")</f>
        <v/>
      </c>
      <c r="M400" s="11">
        <f>IF(AND(ISNUMBER(H400),ISNUMBER(I400)),(I400-H400),"")</f>
        <v/>
      </c>
      <c r="N400" s="11">
        <f>IF(AND(ISNUMBER(E400),ISNUMBER(J400)),(J400-E400),"")</f>
        <v/>
      </c>
    </row>
    <row r="401">
      <c r="A401" s="3" t="inlineStr">
        <is>
          <t>OBT300125093406-Wr. Neustadt (Hödlmayr)</t>
        </is>
      </c>
      <c r="B401" s="3" t="inlineStr">
        <is>
          <t>Wr. Neustadt (Hödlmayr)</t>
        </is>
      </c>
      <c r="C401" s="3" t="inlineStr">
        <is>
          <t>627</t>
        </is>
      </c>
      <c r="D401" s="3" t="n">
        <v>1</v>
      </c>
      <c r="E401" s="10" t="n">
        <v>45687.39652777778</v>
      </c>
      <c r="F401" s="10" t="n">
        <v>45687.39868055555</v>
      </c>
      <c r="G401" s="10" t="n">
        <v>45688.38344907408</v>
      </c>
      <c r="H401" s="10" t="n">
        <v>45688.40688657408</v>
      </c>
      <c r="I401" s="10" t="n">
        <v>45688.40694444445</v>
      </c>
      <c r="J401" s="10" t="n">
        <v>45688.40765046296</v>
      </c>
      <c r="K401" s="11">
        <f>IF(AND(ISNUMBER(E401),ISNUMBER(F401)),(F401-E401),"")</f>
        <v/>
      </c>
      <c r="L401" s="11">
        <f>IF(AND(ISNUMBER(F401),ISNUMBER(G401)),(G401-F401),"")</f>
        <v/>
      </c>
      <c r="M401" s="11">
        <f>IF(AND(ISNUMBER(H401),ISNUMBER(I401)),(I401-H401),"")</f>
        <v/>
      </c>
      <c r="N401" s="11">
        <f>IF(AND(ISNUMBER(E401),ISNUMBER(J401)),(J401-E401),"")</f>
        <v/>
      </c>
    </row>
    <row r="402">
      <c r="A402" s="3" t="inlineStr">
        <is>
          <t>OBT300125131403-Wien Kledering</t>
        </is>
      </c>
      <c r="B402" s="3" t="inlineStr">
        <is>
          <t>Wien Kledering</t>
        </is>
      </c>
      <c r="C402" s="3" t="inlineStr">
        <is>
          <t>615</t>
        </is>
      </c>
      <c r="D402" s="3" t="n">
        <v>3</v>
      </c>
      <c r="E402" s="10" t="n">
        <v>45687.12810185185</v>
      </c>
      <c r="F402" s="10" t="n">
        <v>45687.55142361111</v>
      </c>
      <c r="G402" s="10" t="n">
        <v>45688.40701388889</v>
      </c>
      <c r="H402" s="10" t="n">
        <v>45688.45766203704</v>
      </c>
      <c r="I402" s="10" t="n">
        <v>45688.45766203704</v>
      </c>
      <c r="J402" s="10" t="n">
        <v>45688.4587962963</v>
      </c>
      <c r="K402" s="11">
        <f>IF(AND(ISNUMBER(E402),ISNUMBER(F402)),(F402-E402),"")</f>
        <v/>
      </c>
      <c r="L402" s="11">
        <f>IF(AND(ISNUMBER(F402),ISNUMBER(G402)),(G402-F402),"")</f>
        <v/>
      </c>
      <c r="M402" s="11">
        <f>IF(AND(ISNUMBER(H402),ISNUMBER(I402)),(I402-H402),"")</f>
        <v/>
      </c>
      <c r="N402" s="11">
        <f>IF(AND(ISNUMBER(E402),ISNUMBER(J402)),(J402-E402),"")</f>
        <v/>
      </c>
    </row>
    <row r="403">
      <c r="A403" s="3" t="inlineStr">
        <is>
          <t>OBT300125153249-Neudörfl (FunderMax)</t>
        </is>
      </c>
      <c r="B403" s="3" t="inlineStr">
        <is>
          <t>Neudörfl (FunderMax)</t>
        </is>
      </c>
      <c r="C403" s="3" t="inlineStr">
        <is>
          <t>621</t>
        </is>
      </c>
      <c r="D403" s="3" t="n">
        <v>3</v>
      </c>
      <c r="E403" s="10" t="n">
        <v>45687.40262731481</v>
      </c>
      <c r="F403" s="10" t="n">
        <v>45687.64778935185</v>
      </c>
      <c r="G403" s="10" t="n">
        <v>45688.45875</v>
      </c>
      <c r="H403" s="10" t="n">
        <v>45688.48446759259</v>
      </c>
      <c r="I403" s="10" t="n">
        <v>45688.48446759259</v>
      </c>
      <c r="J403" s="10" t="n">
        <v>45688.48535879629</v>
      </c>
      <c r="K403" s="11">
        <f>IF(AND(ISNUMBER(E403),ISNUMBER(F403)),(F403-E403),"")</f>
        <v/>
      </c>
      <c r="L403" s="11">
        <f>IF(AND(ISNUMBER(F403),ISNUMBER(G403)),(G403-F403),"")</f>
        <v/>
      </c>
      <c r="M403" s="11">
        <f>IF(AND(ISNUMBER(H403),ISNUMBER(I403)),(I403-H403),"")</f>
        <v/>
      </c>
      <c r="N403" s="11">
        <f>IF(AND(ISNUMBER(E403),ISNUMBER(J403)),(J403-E403),"")</f>
        <v/>
      </c>
    </row>
    <row r="404">
      <c r="A404" s="3" t="inlineStr">
        <is>
          <t>OBT300125153454-Other sidings south</t>
        </is>
      </c>
      <c r="B404" s="3" t="inlineStr">
        <is>
          <t>Other sidings south</t>
        </is>
      </c>
      <c r="C404" s="3" t="inlineStr">
        <is>
          <t>605</t>
        </is>
      </c>
      <c r="D404" s="3" t="n">
        <v>5</v>
      </c>
      <c r="E404" s="10" t="n">
        <v>45686.64564814815</v>
      </c>
      <c r="F404" s="10" t="n">
        <v>45687.64923611111</v>
      </c>
      <c r="G404" s="10" t="n">
        <v>45688.53015046296</v>
      </c>
      <c r="H404" s="10" t="n">
        <v>45688.55475694445</v>
      </c>
      <c r="I404" s="10" t="n">
        <v>45688.55475694445</v>
      </c>
      <c r="J404" s="10" t="n">
        <v>45688.55568287037</v>
      </c>
      <c r="K404" s="11">
        <f>IF(AND(ISNUMBER(E404),ISNUMBER(F404)),(F404-E404),"")</f>
        <v/>
      </c>
      <c r="L404" s="11">
        <f>IF(AND(ISNUMBER(F404),ISNUMBER(G404)),(G404-F404),"")</f>
        <v/>
      </c>
      <c r="M404" s="11">
        <f>IF(AND(ISNUMBER(H404),ISNUMBER(I404)),(I404-H404),"")</f>
        <v/>
      </c>
      <c r="N404" s="11">
        <f>IF(AND(ISNUMBER(E404),ISNUMBER(J404)),(J404-E404),"")</f>
        <v/>
      </c>
    </row>
    <row r="405">
      <c r="A405" s="3" t="inlineStr">
        <is>
          <t>OBT300125200005-Wien Kledering</t>
        </is>
      </c>
      <c r="B405" s="3" t="inlineStr">
        <is>
          <t>Wien Kledering</t>
        </is>
      </c>
      <c r="C405" s="3" t="inlineStr">
        <is>
          <t>615</t>
        </is>
      </c>
      <c r="D405" s="3" t="n">
        <v>3</v>
      </c>
      <c r="E405" s="10" t="n">
        <v>45687.65430555555</v>
      </c>
      <c r="F405" s="10" t="n">
        <v>45687.83339120371</v>
      </c>
      <c r="G405" s="10" t="n">
        <v>45688.60199074074</v>
      </c>
      <c r="H405" s="10" t="n">
        <v>45688.63364583333</v>
      </c>
      <c r="I405" s="10" t="n">
        <v>45688.63364583333</v>
      </c>
      <c r="J405" s="10" t="n">
        <v>45688.63453703704</v>
      </c>
      <c r="K405" s="11">
        <f>IF(AND(ISNUMBER(E405),ISNUMBER(F405)),(F405-E405),"")</f>
        <v/>
      </c>
      <c r="L405" s="11">
        <f>IF(AND(ISNUMBER(F405),ISNUMBER(G405)),(G405-F405),"")</f>
        <v/>
      </c>
      <c r="M405" s="11">
        <f>IF(AND(ISNUMBER(H405),ISNUMBER(I405)),(I405-H405),"")</f>
        <v/>
      </c>
      <c r="N405" s="11">
        <f>IF(AND(ISNUMBER(E405),ISNUMBER(J405)),(J405-E405),"")</f>
        <v/>
      </c>
    </row>
    <row r="406">
      <c r="A406" s="3" t="inlineStr">
        <is>
          <t>OBT300125204557-Wien Kledering</t>
        </is>
      </c>
      <c r="B406" s="3" t="inlineStr">
        <is>
          <t>Wien Kledering</t>
        </is>
      </c>
      <c r="C406" s="3" t="inlineStr">
        <is>
          <t>627</t>
        </is>
      </c>
      <c r="D406" s="3" t="n">
        <v>2</v>
      </c>
      <c r="E406" s="10" t="n">
        <v>45687.64767361111</v>
      </c>
      <c r="F406" s="10" t="n">
        <v>45687.86524305555</v>
      </c>
      <c r="G406" s="10" t="n">
        <v>45688.65584490741</v>
      </c>
      <c r="H406" s="10" t="n">
        <v>45688.7233912037</v>
      </c>
      <c r="I406" s="10" t="n">
        <v>45688.7233912037</v>
      </c>
      <c r="J406" s="10" t="n">
        <v>45688.7246875</v>
      </c>
      <c r="K406" s="11">
        <f>IF(AND(ISNUMBER(E406),ISNUMBER(F406)),(F406-E406),"")</f>
        <v/>
      </c>
      <c r="L406" s="11">
        <f>IF(AND(ISNUMBER(F406),ISNUMBER(G406)),(G406-F406),"")</f>
        <v/>
      </c>
      <c r="M406" s="11">
        <f>IF(AND(ISNUMBER(H406),ISNUMBER(I406)),(I406-H406),"")</f>
        <v/>
      </c>
      <c r="N406" s="11">
        <f>IF(AND(ISNUMBER(E406),ISNUMBER(J406)),(J406-E406),"")</f>
        <v/>
      </c>
    </row>
    <row r="407">
      <c r="A407" s="3" t="inlineStr">
        <is>
          <t>OBT310125061436-Wien Kledering</t>
        </is>
      </c>
      <c r="B407" s="3" t="inlineStr">
        <is>
          <t>Wien Kledering</t>
        </is>
      </c>
      <c r="C407" s="3" t="inlineStr">
        <is>
          <t>613</t>
        </is>
      </c>
      <c r="D407" s="3" t="n">
        <v>1</v>
      </c>
      <c r="E407" s="10" t="n">
        <v>45688.25797453704</v>
      </c>
      <c r="F407" s="10" t="n">
        <v>45688.26013888889</v>
      </c>
      <c r="G407" s="10" t="n">
        <v>45688.65667824074</v>
      </c>
      <c r="H407" s="10" t="n">
        <v>45688.70824074074</v>
      </c>
      <c r="I407" s="10" t="n">
        <v>45688.70824074074</v>
      </c>
      <c r="J407" s="10" t="n">
        <v>45688.70936342593</v>
      </c>
      <c r="K407" s="11">
        <f>IF(AND(ISNUMBER(E407),ISNUMBER(F407)),(F407-E407),"")</f>
        <v/>
      </c>
      <c r="L407" s="11">
        <f>IF(AND(ISNUMBER(F407),ISNUMBER(G407)),(G407-F407),"")</f>
        <v/>
      </c>
      <c r="M407" s="11">
        <f>IF(AND(ISNUMBER(H407),ISNUMBER(I407)),(I407-H407),"")</f>
        <v/>
      </c>
      <c r="N407" s="11">
        <f>IF(AND(ISNUMBER(E407),ISNUMBER(J407)),(J407-E407),"")</f>
        <v/>
      </c>
    </row>
    <row r="408">
      <c r="A408" s="3" t="inlineStr">
        <is>
          <t>OBT310125074214-Wien Kledering</t>
        </is>
      </c>
      <c r="B408" s="3" t="inlineStr">
        <is>
          <t>Wien Kledering</t>
        </is>
      </c>
      <c r="C408" s="3" t="inlineStr">
        <is>
          <t>627</t>
        </is>
      </c>
      <c r="D408" s="3" t="n">
        <v>2</v>
      </c>
      <c r="E408" s="10" t="n">
        <v>45688.29923611111</v>
      </c>
      <c r="F408" s="10" t="n">
        <v>45688.32099537037</v>
      </c>
      <c r="G408" s="10" t="n">
        <v>45688.68502314815</v>
      </c>
      <c r="H408" s="10" t="n">
        <v>45688.71672453704</v>
      </c>
      <c r="I408" s="10" t="n">
        <v>45688.71672453704</v>
      </c>
      <c r="J408" s="10" t="n">
        <v>45688.7175462963</v>
      </c>
      <c r="K408" s="11">
        <f>IF(AND(ISNUMBER(E408),ISNUMBER(F408)),(F408-E408),"")</f>
        <v/>
      </c>
      <c r="L408" s="11">
        <f>IF(AND(ISNUMBER(F408),ISNUMBER(G408)),(G408-F408),"")</f>
        <v/>
      </c>
      <c r="M408" s="11">
        <f>IF(AND(ISNUMBER(H408),ISNUMBER(I408)),(I408-H408),"")</f>
        <v/>
      </c>
      <c r="N408" s="11">
        <f>IF(AND(ISNUMBER(E408),ISNUMBER(J408)),(J408-E408),"")</f>
        <v/>
      </c>
    </row>
    <row r="409">
      <c r="A409" s="3" t="inlineStr">
        <is>
          <t>OBT310125075536-Neunkirchen (loading tracks)</t>
        </is>
      </c>
      <c r="B409" s="3" t="inlineStr">
        <is>
          <t>Neunkirchen (loading tracks)</t>
        </is>
      </c>
      <c r="C409" s="3" t="inlineStr">
        <is>
          <t>606</t>
        </is>
      </c>
      <c r="D409" s="3" t="n">
        <v>2</v>
      </c>
      <c r="E409" s="10" t="n">
        <v>45688.13069444444</v>
      </c>
      <c r="F409" s="10" t="n">
        <v>45688.33027777778</v>
      </c>
      <c r="G409" s="10" t="n">
        <v>45688.74189814815</v>
      </c>
      <c r="H409" s="10" t="n">
        <v>45688.78085648148</v>
      </c>
      <c r="I409" s="10" t="n">
        <v>45688.78085648148</v>
      </c>
      <c r="J409" s="10" t="n">
        <v>45688.78188657408</v>
      </c>
      <c r="K409" s="11">
        <f>IF(AND(ISNUMBER(E409),ISNUMBER(F409)),(F409-E409),"")</f>
        <v/>
      </c>
      <c r="L409" s="11">
        <f>IF(AND(ISNUMBER(F409),ISNUMBER(G409)),(G409-F409),"")</f>
        <v/>
      </c>
      <c r="M409" s="11">
        <f>IF(AND(ISNUMBER(H409),ISNUMBER(I409)),(I409-H409),"")</f>
        <v/>
      </c>
      <c r="N409" s="11">
        <f>IF(AND(ISNUMBER(E409),ISNUMBER(J409)),(J409-E409),"")</f>
        <v/>
      </c>
    </row>
    <row r="410">
      <c r="A410" s="3" t="inlineStr">
        <is>
          <t>OBT310125075821-Ternitz (Schoeller-Bleckmann)</t>
        </is>
      </c>
      <c r="B410" s="3" t="inlineStr">
        <is>
          <t>Ternitz (Schoeller-Bleckmann)</t>
        </is>
      </c>
      <c r="C410" s="3" t="inlineStr">
        <is>
          <t>629</t>
        </is>
      </c>
      <c r="D410" s="3" t="n">
        <v>7</v>
      </c>
      <c r="E410" s="10" t="n">
        <v>45687.13</v>
      </c>
      <c r="F410" s="10" t="n">
        <v>45688.3321875</v>
      </c>
      <c r="G410" s="10" t="n">
        <v>45688.75071759259</v>
      </c>
      <c r="H410" s="10" t="n">
        <v>45688.77137731481</v>
      </c>
      <c r="I410" s="10" t="n">
        <v>45688.77137731481</v>
      </c>
      <c r="J410" s="10" t="n">
        <v>45688.77202546296</v>
      </c>
      <c r="K410" s="11">
        <f>IF(AND(ISNUMBER(E410),ISNUMBER(F410)),(F410-E410),"")</f>
        <v/>
      </c>
      <c r="L410" s="11">
        <f>IF(AND(ISNUMBER(F410),ISNUMBER(G410)),(G410-F410),"")</f>
        <v/>
      </c>
      <c r="M410" s="11">
        <f>IF(AND(ISNUMBER(H410),ISNUMBER(I410)),(I410-H410),"")</f>
        <v/>
      </c>
      <c r="N410" s="11">
        <f>IF(AND(ISNUMBER(E410),ISNUMBER(J410)),(J410-E410),"")</f>
        <v/>
      </c>
    </row>
    <row r="411">
      <c r="A411" s="3" t="inlineStr">
        <is>
          <t>OBT310125080145-Wr. Neustadt (Brenntag)</t>
        </is>
      </c>
      <c r="B411" s="3" t="inlineStr">
        <is>
          <t>Wr. Neustadt (Brenntag)</t>
        </is>
      </c>
      <c r="C411" s="3" t="inlineStr">
        <is>
          <t>619</t>
        </is>
      </c>
      <c r="D411" s="3" t="n">
        <v>6</v>
      </c>
      <c r="E411" s="10" t="n">
        <v>45686.40557870371</v>
      </c>
      <c r="F411" s="10" t="n">
        <v>45688.33454861111</v>
      </c>
      <c r="G411" s="10" t="n">
        <v>45688.86421296297</v>
      </c>
      <c r="H411" s="10" t="n">
        <v>45688.88429398148</v>
      </c>
      <c r="I411" s="10" t="n">
        <v>45688.88429398148</v>
      </c>
      <c r="J411" s="10" t="n">
        <v>45688.88511574074</v>
      </c>
      <c r="K411" s="11">
        <f>IF(AND(ISNUMBER(E411),ISNUMBER(F411)),(F411-E411),"")</f>
        <v/>
      </c>
      <c r="L411" s="11">
        <f>IF(AND(ISNUMBER(F411),ISNUMBER(G411)),(G411-F411),"")</f>
        <v/>
      </c>
      <c r="M411" s="11">
        <f>IF(AND(ISNUMBER(H411),ISNUMBER(I411)),(I411-H411),"")</f>
        <v/>
      </c>
      <c r="N411" s="11">
        <f>IF(AND(ISNUMBER(E411),ISNUMBER(J411)),(J411-E411),"")</f>
        <v/>
      </c>
    </row>
    <row r="412">
      <c r="A412" s="3" t="inlineStr">
        <is>
          <t>OBT310125082055-Wien Kledering</t>
        </is>
      </c>
      <c r="B412" s="3" t="inlineStr">
        <is>
          <t>Wien Kledering</t>
        </is>
      </c>
      <c r="C412" s="3" t="inlineStr">
        <is>
          <t>627</t>
        </is>
      </c>
      <c r="D412" s="3" t="n">
        <v>1</v>
      </c>
      <c r="E412" s="10" t="n">
        <v>45688.34548611111</v>
      </c>
      <c r="F412" s="10" t="n">
        <v>45688.3478587963</v>
      </c>
      <c r="G412" s="10" t="n"/>
      <c r="H412" s="10" t="n"/>
      <c r="I412" s="10" t="n"/>
      <c r="J412" s="10" t="n"/>
      <c r="K412" s="11">
        <f>IF(AND(ISNUMBER(E412),ISNUMBER(F412)),(F412-E412),"")</f>
        <v/>
      </c>
      <c r="L412" s="11">
        <f>IF(AND(ISNUMBER(F412),ISNUMBER(G412)),(G412-F412),"")</f>
        <v/>
      </c>
      <c r="M412" s="11">
        <f>IF(AND(ISNUMBER(H412),ISNUMBER(I412)),(I412-H412),"")</f>
        <v/>
      </c>
      <c r="N412" s="11">
        <f>IF(AND(ISNUMBER(E412),ISNUMBER(J412)),(J412-E412),"")</f>
        <v/>
      </c>
    </row>
    <row r="413">
      <c r="A413" s="3" t="inlineStr">
        <is>
          <t>OBT310125091105-Wien Kledering</t>
        </is>
      </c>
      <c r="B413" s="3" t="inlineStr">
        <is>
          <t>Wien Kledering</t>
        </is>
      </c>
      <c r="C413" s="3" t="inlineStr">
        <is>
          <t>627</t>
        </is>
      </c>
      <c r="D413" s="3" t="n">
        <v>1</v>
      </c>
      <c r="E413" s="10" t="n">
        <v>45688.38030092593</v>
      </c>
      <c r="F413" s="10" t="n">
        <v>45688.38269675926</v>
      </c>
      <c r="G413" s="10" t="n"/>
      <c r="H413" s="10" t="n"/>
      <c r="I413" s="10" t="n"/>
      <c r="J413" s="10" t="n"/>
      <c r="K413" s="11">
        <f>IF(AND(ISNUMBER(E413),ISNUMBER(F413)),(F413-E413),"")</f>
        <v/>
      </c>
      <c r="L413" s="11">
        <f>IF(AND(ISNUMBER(F413),ISNUMBER(G413)),(G413-F413),"")</f>
        <v/>
      </c>
      <c r="M413" s="11">
        <f>IF(AND(ISNUMBER(H413),ISNUMBER(I413)),(I413-H413),"")</f>
        <v/>
      </c>
      <c r="N413" s="11">
        <f>IF(AND(ISNUMBER(E413),ISNUMBER(J413)),(J413-E413),"")</f>
        <v/>
      </c>
    </row>
    <row r="414">
      <c r="A414" s="3" t="inlineStr">
        <is>
          <t>OBT310125105654-Wien Kledering</t>
        </is>
      </c>
      <c r="B414" s="3" t="inlineStr">
        <is>
          <t>Wien Kledering</t>
        </is>
      </c>
      <c r="C414" s="3" t="inlineStr">
        <is>
          <t>627</t>
        </is>
      </c>
      <c r="D414" s="3" t="n">
        <v>1</v>
      </c>
      <c r="E414" s="10" t="n">
        <v>45688.45378472222</v>
      </c>
      <c r="F414" s="10" t="n">
        <v>45688.45618055556</v>
      </c>
      <c r="G414" s="10" t="n"/>
      <c r="H414" s="10" t="n"/>
      <c r="I414" s="10" t="n"/>
      <c r="J414" s="10" t="n"/>
      <c r="K414" s="11">
        <f>IF(AND(ISNUMBER(E414),ISNUMBER(F414)),(F414-E414),"")</f>
        <v/>
      </c>
      <c r="L414" s="11">
        <f>IF(AND(ISNUMBER(F414),ISNUMBER(G414)),(G414-F414),"")</f>
        <v/>
      </c>
      <c r="M414" s="11">
        <f>IF(AND(ISNUMBER(H414),ISNUMBER(I414)),(I414-H414),"")</f>
        <v/>
      </c>
      <c r="N414" s="11">
        <f>IF(AND(ISNUMBER(E414),ISNUMBER(J414)),(J414-E414),"")</f>
        <v/>
      </c>
    </row>
    <row r="415">
      <c r="A415" s="3" t="inlineStr">
        <is>
          <t>OBT310125110109-St. Veit an der Glan</t>
        </is>
      </c>
      <c r="B415" s="3" t="inlineStr">
        <is>
          <t>St. Veit an der Glan</t>
        </is>
      </c>
      <c r="C415" s="3" t="inlineStr">
        <is>
          <t>617</t>
        </is>
      </c>
      <c r="D415" s="3" t="n">
        <v>2</v>
      </c>
      <c r="E415" s="10" t="n">
        <v>45688.38171296296</v>
      </c>
      <c r="F415" s="10" t="n">
        <v>45688.45913194444</v>
      </c>
      <c r="G415" s="10" t="n"/>
      <c r="H415" s="10" t="n"/>
      <c r="I415" s="10" t="n"/>
      <c r="J415" s="10" t="n"/>
      <c r="K415" s="11">
        <f>IF(AND(ISNUMBER(E415),ISNUMBER(F415)),(F415-E415),"")</f>
        <v/>
      </c>
      <c r="L415" s="11">
        <f>IF(AND(ISNUMBER(F415),ISNUMBER(G415)),(G415-F415),"")</f>
        <v/>
      </c>
      <c r="M415" s="11">
        <f>IF(AND(ISNUMBER(H415),ISNUMBER(I415)),(I415-H415),"")</f>
        <v/>
      </c>
      <c r="N415" s="11">
        <f>IF(AND(ISNUMBER(E415),ISNUMBER(J415)),(J415-E415),"")</f>
        <v/>
      </c>
    </row>
    <row r="416">
      <c r="A416" s="3" t="inlineStr">
        <is>
          <t>OBT310125124603-Wien Kledering</t>
        </is>
      </c>
      <c r="B416" s="3" t="inlineStr">
        <is>
          <t>Wien Kledering</t>
        </is>
      </c>
      <c r="C416" s="3" t="inlineStr">
        <is>
          <t>607</t>
        </is>
      </c>
      <c r="D416" s="3" t="n">
        <v>2</v>
      </c>
      <c r="E416" s="10" t="n">
        <v>45688.45701388889</v>
      </c>
      <c r="F416" s="10" t="n">
        <v>45688.53197916667</v>
      </c>
      <c r="G416" s="10" t="n"/>
      <c r="H416" s="10" t="n"/>
      <c r="I416" s="10" t="n"/>
      <c r="J416" s="10" t="n"/>
      <c r="K416" s="11">
        <f>IF(AND(ISNUMBER(E416),ISNUMBER(F416)),(F416-E416),"")</f>
        <v/>
      </c>
      <c r="L416" s="11">
        <f>IF(AND(ISNUMBER(F416),ISNUMBER(G416)),(G416-F416),"")</f>
        <v/>
      </c>
      <c r="M416" s="11">
        <f>IF(AND(ISNUMBER(H416),ISNUMBER(I416)),(I416-H416),"")</f>
        <v/>
      </c>
      <c r="N416" s="11">
        <f>IF(AND(ISNUMBER(E416),ISNUMBER(J416)),(J416-E416),"")</f>
        <v/>
      </c>
    </row>
    <row r="417">
      <c r="A417" s="3" t="inlineStr">
        <is>
          <t>OBT310125142730-Wien Kledering</t>
        </is>
      </c>
      <c r="B417" s="3" t="inlineStr">
        <is>
          <t>Wien Kledering</t>
        </is>
      </c>
      <c r="C417" s="3" t="inlineStr">
        <is>
          <t>615</t>
        </is>
      </c>
      <c r="D417" s="3" t="n">
        <v>3</v>
      </c>
      <c r="E417" s="10" t="n">
        <v>45688.12881944444</v>
      </c>
      <c r="F417" s="10" t="n">
        <v>45688.60243055555</v>
      </c>
      <c r="G417" s="10" t="n"/>
      <c r="H417" s="10" t="n"/>
      <c r="I417" s="10" t="n"/>
      <c r="J417" s="10" t="n"/>
      <c r="K417" s="11">
        <f>IF(AND(ISNUMBER(E417),ISNUMBER(F417)),(F417-E417),"")</f>
        <v/>
      </c>
      <c r="L417" s="11">
        <f>IF(AND(ISNUMBER(F417),ISNUMBER(G417)),(G417-F417),"")</f>
        <v/>
      </c>
      <c r="M417" s="11">
        <f>IF(AND(ISNUMBER(H417),ISNUMBER(I417)),(I417-H417),"")</f>
        <v/>
      </c>
      <c r="N417" s="11">
        <f>IF(AND(ISNUMBER(E417),ISNUMBER(J417)),(J417-E417),"")</f>
        <v/>
      </c>
    </row>
    <row r="418">
      <c r="A418" s="3" t="inlineStr">
        <is>
          <t>OBT310125155632-Pitten (Hamburger)</t>
        </is>
      </c>
      <c r="B418" s="3" t="inlineStr">
        <is>
          <t>Pitten (Hamburger)</t>
        </is>
      </c>
      <c r="C418" s="3" t="inlineStr">
        <is>
          <t>621</t>
        </is>
      </c>
      <c r="D418" s="3" t="n">
        <v>6</v>
      </c>
      <c r="E418" s="10" t="n">
        <v>45688.3228125</v>
      </c>
      <c r="F418" s="10" t="n">
        <v>45688.66425925926</v>
      </c>
      <c r="G418" s="10" t="n"/>
      <c r="H418" s="10" t="n"/>
      <c r="I418" s="10" t="n"/>
      <c r="J418" s="10" t="n"/>
      <c r="K418" s="11">
        <f>IF(AND(ISNUMBER(E418),ISNUMBER(F418)),(F418-E418),"")</f>
        <v/>
      </c>
      <c r="L418" s="11">
        <f>IF(AND(ISNUMBER(F418),ISNUMBER(G418)),(G418-F418),"")</f>
        <v/>
      </c>
      <c r="M418" s="11">
        <f>IF(AND(ISNUMBER(H418),ISNUMBER(I418)),(I418-H418),"")</f>
        <v/>
      </c>
      <c r="N418" s="11">
        <f>IF(AND(ISNUMBER(E418),ISNUMBER(J418)),(J418-E418),"")</f>
        <v/>
      </c>
    </row>
    <row r="419">
      <c r="A419" s="3" t="inlineStr">
        <is>
          <t>OBT310125155832-Neudörfl (FunderMax)</t>
        </is>
      </c>
      <c r="B419" s="3" t="inlineStr">
        <is>
          <t>Neudörfl (FunderMax)</t>
        </is>
      </c>
      <c r="C419" s="3" t="inlineStr">
        <is>
          <t>611</t>
        </is>
      </c>
      <c r="D419" s="3" t="n">
        <v>3</v>
      </c>
      <c r="E419" s="10" t="n">
        <v>45688.31533564815</v>
      </c>
      <c r="F419" s="10" t="n">
        <v>45688.66564814815</v>
      </c>
      <c r="G419" s="10" t="n"/>
      <c r="H419" s="10" t="n"/>
      <c r="I419" s="10" t="n"/>
      <c r="J419" s="10" t="n"/>
      <c r="K419" s="11">
        <f>IF(AND(ISNUMBER(E419),ISNUMBER(F419)),(F419-E419),"")</f>
        <v/>
      </c>
      <c r="L419" s="11">
        <f>IF(AND(ISNUMBER(F419),ISNUMBER(G419)),(G419-F419),"")</f>
        <v/>
      </c>
      <c r="M419" s="11">
        <f>IF(AND(ISNUMBER(H419),ISNUMBER(I419)),(I419-H419),"")</f>
        <v/>
      </c>
      <c r="N419" s="11">
        <f>IF(AND(ISNUMBER(E419),ISNUMBER(J419)),(J419-E419),"")</f>
        <v/>
      </c>
    </row>
    <row r="420">
      <c r="A420" s="3" t="inlineStr">
        <is>
          <t>OBT310125160801-Other sidings north</t>
        </is>
      </c>
      <c r="B420" s="3" t="inlineStr">
        <is>
          <t>Other sidings north</t>
        </is>
      </c>
      <c r="C420" s="3" t="inlineStr">
        <is>
          <t>629</t>
        </is>
      </c>
      <c r="D420" s="3" t="n">
        <v>2</v>
      </c>
      <c r="E420" s="10" t="n">
        <v>45688.64299768519</v>
      </c>
      <c r="F420" s="10" t="n">
        <v>45688.67223379629</v>
      </c>
      <c r="G420" s="10" t="n"/>
      <c r="H420" s="10" t="n"/>
      <c r="I420" s="10" t="n"/>
      <c r="J420" s="10" t="n"/>
      <c r="K420" s="11">
        <f>IF(AND(ISNUMBER(E420),ISNUMBER(F420)),(F420-E420),"")</f>
        <v/>
      </c>
      <c r="L420" s="11">
        <f>IF(AND(ISNUMBER(F420),ISNUMBER(G420)),(G420-F420),"")</f>
        <v/>
      </c>
      <c r="M420" s="11">
        <f>IF(AND(ISNUMBER(H420),ISNUMBER(I420)),(I420-H420),"")</f>
        <v/>
      </c>
      <c r="N420" s="11">
        <f>IF(AND(ISNUMBER(E420),ISNUMBER(J420)),(J420-E420),"")</f>
        <v/>
      </c>
    </row>
    <row r="421">
      <c r="A421" s="3" t="inlineStr">
        <is>
          <t>OBT310125161451-Steinabrückl/Wöllersdorf</t>
        </is>
      </c>
      <c r="B421" s="3" t="inlineStr">
        <is>
          <t>Steinabrückl/Wöllersdorf</t>
        </is>
      </c>
      <c r="C421" s="3" t="inlineStr">
        <is>
          <t>623</t>
        </is>
      </c>
      <c r="D421" s="3" t="n">
        <v>6</v>
      </c>
      <c r="E421" s="10" t="n">
        <v>45687.33077546296</v>
      </c>
      <c r="F421" s="10" t="n">
        <v>45688.67697916667</v>
      </c>
      <c r="G421" s="10" t="n"/>
      <c r="H421" s="10" t="n"/>
      <c r="I421" s="10" t="n"/>
      <c r="J421" s="10" t="n"/>
      <c r="K421" s="11">
        <f>IF(AND(ISNUMBER(E421),ISNUMBER(F421)),(F421-E421),"")</f>
        <v/>
      </c>
      <c r="L421" s="11">
        <f>IF(AND(ISNUMBER(F421),ISNUMBER(G421)),(G421-F421),"")</f>
        <v/>
      </c>
      <c r="M421" s="11">
        <f>IF(AND(ISNUMBER(H421),ISNUMBER(I421)),(I421-H421),"")</f>
        <v/>
      </c>
      <c r="N421" s="11">
        <f>IF(AND(ISNUMBER(E421),ISNUMBER(J421)),(J421-E421),"")</f>
        <v/>
      </c>
    </row>
    <row r="422">
      <c r="A422" s="3" t="inlineStr">
        <is>
          <t>OBT310125162356-Other sidings south</t>
        </is>
      </c>
      <c r="B422" s="3" t="inlineStr">
        <is>
          <t>Other sidings south</t>
        </is>
      </c>
      <c r="C422" s="3" t="inlineStr">
        <is>
          <t>609</t>
        </is>
      </c>
      <c r="D422" s="3" t="n">
        <v>3</v>
      </c>
      <c r="E422" s="10" t="n">
        <v>45688.13229166667</v>
      </c>
      <c r="F422" s="10" t="n">
        <v>45688.68328703703</v>
      </c>
      <c r="G422" s="10" t="n"/>
      <c r="H422" s="10" t="n"/>
      <c r="I422" s="10" t="n"/>
      <c r="J422" s="10" t="n"/>
      <c r="K422" s="11">
        <f>IF(AND(ISNUMBER(E422),ISNUMBER(F422)),(F422-E422),"")</f>
        <v/>
      </c>
      <c r="L422" s="11">
        <f>IF(AND(ISNUMBER(F422),ISNUMBER(G422)),(G422-F422),"")</f>
        <v/>
      </c>
      <c r="M422" s="11">
        <f>IF(AND(ISNUMBER(H422),ISNUMBER(I422)),(I422-H422),"")</f>
        <v/>
      </c>
      <c r="N422" s="11">
        <f>IF(AND(ISNUMBER(E422),ISNUMBER(J422)),(J422-E422),"")</f>
        <v/>
      </c>
    </row>
    <row r="423">
      <c r="A423" s="3" t="inlineStr">
        <is>
          <t>OBT310125174917-Wien Kledering</t>
        </is>
      </c>
      <c r="B423" s="3" t="inlineStr">
        <is>
          <t>Wien Kledering</t>
        </is>
      </c>
      <c r="C423" s="3" t="inlineStr">
        <is>
          <t>613</t>
        </is>
      </c>
      <c r="D423" s="3" t="n">
        <v>1</v>
      </c>
      <c r="E423" s="10" t="n">
        <v>45688.74016203704</v>
      </c>
      <c r="F423" s="10" t="n">
        <v>45688.74255787037</v>
      </c>
      <c r="G423" s="10" t="n"/>
      <c r="H423" s="10" t="n"/>
      <c r="I423" s="10" t="n"/>
      <c r="J423" s="10" t="n"/>
      <c r="K423" s="11">
        <f>IF(AND(ISNUMBER(E423),ISNUMBER(F423)),(F423-E423),"")</f>
        <v/>
      </c>
      <c r="L423" s="11">
        <f>IF(AND(ISNUMBER(F423),ISNUMBER(G423)),(G423-F423),"")</f>
        <v/>
      </c>
      <c r="M423" s="11">
        <f>IF(AND(ISNUMBER(H423),ISNUMBER(I423)),(I423-H423),"")</f>
        <v/>
      </c>
      <c r="N423" s="11">
        <f>IF(AND(ISNUMBER(E423),ISNUMBER(J423)),(J423-E423),"")</f>
        <v/>
      </c>
    </row>
    <row r="424">
      <c r="A424" s="3" t="inlineStr">
        <is>
          <t>OBT310125180201-Wien Kledering</t>
        </is>
      </c>
      <c r="B424" s="3" t="inlineStr">
        <is>
          <t>Wien Kledering</t>
        </is>
      </c>
      <c r="C424" s="3" t="inlineStr">
        <is>
          <t>627</t>
        </is>
      </c>
      <c r="D424" s="3" t="n">
        <v>1</v>
      </c>
      <c r="E424" s="10" t="n">
        <v>45688.74900462963</v>
      </c>
      <c r="F424" s="10" t="n">
        <v>45688.75140046296</v>
      </c>
      <c r="G424" s="10" t="n"/>
      <c r="H424" s="10" t="n"/>
      <c r="I424" s="10" t="n"/>
      <c r="J424" s="10" t="n"/>
      <c r="K424" s="11">
        <f>IF(AND(ISNUMBER(E424),ISNUMBER(F424)),(F424-E424),"")</f>
        <v/>
      </c>
      <c r="L424" s="11">
        <f>IF(AND(ISNUMBER(F424),ISNUMBER(G424)),(G424-F424),"")</f>
        <v/>
      </c>
      <c r="M424" s="11">
        <f>IF(AND(ISNUMBER(H424),ISNUMBER(I424)),(I424-H424),"")</f>
        <v/>
      </c>
      <c r="N424" s="11">
        <f>IF(AND(ISNUMBER(E424),ISNUMBER(J424)),(J424-E424),"")</f>
        <v/>
      </c>
    </row>
    <row r="425">
      <c r="A425" s="3" t="inlineStr">
        <is>
          <t>OBT310125203154-Wr. Neustadt (Hödlmayr)</t>
        </is>
      </c>
      <c r="B425" s="3" t="inlineStr">
        <is>
          <t>Wr. Neustadt (Hödlmayr)</t>
        </is>
      </c>
      <c r="C425" s="3" t="inlineStr">
        <is>
          <t>606</t>
        </is>
      </c>
      <c r="D425" s="3" t="n">
        <v>1</v>
      </c>
      <c r="E425" s="10" t="n">
        <v>45688.853125</v>
      </c>
      <c r="F425" s="10" t="n">
        <v>45688.85548611111</v>
      </c>
      <c r="G425" s="10" t="n"/>
      <c r="H425" s="10" t="n"/>
      <c r="I425" s="10" t="n"/>
      <c r="J425" s="10" t="n"/>
      <c r="K425" s="11">
        <f>IF(AND(ISNUMBER(E425),ISNUMBER(F425)),(F425-E425),"")</f>
        <v/>
      </c>
      <c r="L425" s="11">
        <f>IF(AND(ISNUMBER(F425),ISNUMBER(G425)),(G425-F425),"")</f>
        <v/>
      </c>
      <c r="M425" s="11">
        <f>IF(AND(ISNUMBER(H425),ISNUMBER(I425)),(I425-H425),"")</f>
        <v/>
      </c>
      <c r="N425" s="11">
        <f>IF(AND(ISNUMBER(E425),ISNUMBER(J425)),(J425-E425),"")</f>
        <v/>
      </c>
    </row>
    <row r="426">
      <c r="A426" s="3" t="inlineStr">
        <is>
          <t>OBT310125203626-Pitten (Hamburger)</t>
        </is>
      </c>
      <c r="B426" s="3" t="inlineStr">
        <is>
          <t>Pitten (Hamburger)</t>
        </is>
      </c>
      <c r="C426" s="3" t="inlineStr">
        <is>
          <t>621</t>
        </is>
      </c>
      <c r="D426" s="3" t="n">
        <v>3</v>
      </c>
      <c r="E426" s="10" t="n">
        <v>45688.66856481481</v>
      </c>
      <c r="F426" s="10" t="n">
        <v>45688.85863425926</v>
      </c>
      <c r="G426" s="10" t="n"/>
      <c r="H426" s="10" t="n"/>
      <c r="I426" s="10" t="n"/>
      <c r="J426" s="10" t="n"/>
      <c r="K426" s="11">
        <f>IF(AND(ISNUMBER(E426),ISNUMBER(F426)),(F426-E426),"")</f>
        <v/>
      </c>
      <c r="L426" s="11">
        <f>IF(AND(ISNUMBER(F426),ISNUMBER(G426)),(G426-F426),"")</f>
        <v/>
      </c>
      <c r="M426" s="11">
        <f>IF(AND(ISNUMBER(H426),ISNUMBER(I426)),(I426-H426),"")</f>
        <v/>
      </c>
      <c r="N426" s="11">
        <f>IF(AND(ISNUMBER(E426),ISNUMBER(J426)),(J426-E426),"")</f>
        <v/>
      </c>
    </row>
    <row r="427">
      <c r="A427" s="3" t="inlineStr">
        <is>
          <t>OBT310125204436-Other sidings south</t>
        </is>
      </c>
      <c r="B427" s="3" t="inlineStr">
        <is>
          <t>Other sidings south</t>
        </is>
      </c>
      <c r="C427" s="3" t="inlineStr">
        <is>
          <t>629</t>
        </is>
      </c>
      <c r="D427" s="3" t="n">
        <v>2</v>
      </c>
      <c r="E427" s="10" t="n">
        <v>45688.85862268518</v>
      </c>
      <c r="F427" s="10" t="n">
        <v>45688.86430555556</v>
      </c>
      <c r="G427" s="10" t="n"/>
      <c r="H427" s="10" t="n"/>
      <c r="I427" s="10" t="n"/>
      <c r="J427" s="10" t="n"/>
      <c r="K427" s="11">
        <f>IF(AND(ISNUMBER(E427),ISNUMBER(F427)),(F427-E427),"")</f>
        <v/>
      </c>
      <c r="L427" s="11">
        <f>IF(AND(ISNUMBER(F427),ISNUMBER(G427)),(G427-F427),"")</f>
        <v/>
      </c>
      <c r="M427" s="11">
        <f>IF(AND(ISNUMBER(H427),ISNUMBER(I427)),(I427-H427),"")</f>
        <v/>
      </c>
      <c r="N427" s="11">
        <f>IF(AND(ISNUMBER(E427),ISNUMBER(J427)),(J427-E427),"")</f>
        <v/>
      </c>
    </row>
  </sheetData>
  <autoFilter ref="A1:N4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19" customWidth="1" min="3" max="3"/>
    <col width="8.199999999999999" customWidth="1" min="4" max="4"/>
    <col width="19" customWidth="1" min="5" max="5"/>
    <col width="19" customWidth="1" min="6" max="6"/>
    <col width="8.199999999999999" customWidth="1" min="7" max="7"/>
    <col width="8.199999999999999" customWidth="1" min="8" max="8"/>
  </cols>
  <sheetData>
    <row r="1" ht="45" customHeight="1">
      <c r="A1" s="1" t="inlineStr">
        <is>
          <t>WG Id</t>
        </is>
      </c>
      <c r="B1" s="1" t="inlineStr">
        <is>
          <t>Track</t>
        </is>
      </c>
      <c r="C1" s="1" t="inlineStr">
        <is>
          <t>Arrived At</t>
        </is>
      </c>
      <c r="D1" s="1" t="inlineStr">
        <is>
          <t>OBT Id</t>
        </is>
      </c>
      <c r="E1" s="1" t="inlineStr">
        <is>
          <t>OBT Created</t>
        </is>
      </c>
      <c r="F1" s="1" t="inlineStr">
        <is>
          <t>OBT Departed</t>
        </is>
      </c>
      <c r="G1" s="1" t="inlineStr">
        <is>
          <t>Dwell Until OBT Created (hh:mm:ss)</t>
        </is>
      </c>
      <c r="H1" s="1" t="inlineStr">
        <is>
          <t>Total in Classification (hh:mm:ss)</t>
        </is>
      </c>
    </row>
    <row r="2">
      <c r="A2" s="3" t="inlineStr">
        <is>
          <t>1000101</t>
        </is>
      </c>
      <c r="B2" s="3" t="inlineStr">
        <is>
          <t>615</t>
        </is>
      </c>
      <c r="C2" s="10" t="n">
        <v>45659.1221875</v>
      </c>
      <c r="D2" s="3" t="inlineStr">
        <is>
          <t>OBT030125061555-Other sidings south</t>
        </is>
      </c>
      <c r="E2" s="10" t="n">
        <v>45660.26105324074</v>
      </c>
      <c r="F2" s="10" t="n">
        <v>45660.28123842592</v>
      </c>
      <c r="G2" s="11">
        <f>IF(AND(ISNUMBER(C2),ISNUMBER(E2)),(E2-C2),"")</f>
        <v/>
      </c>
      <c r="H2" s="11">
        <f>IF(AND(ISNUMBER(C2),ISNUMBER(F2)),(F2-C2),"")</f>
        <v/>
      </c>
    </row>
    <row r="3">
      <c r="A3" s="3" t="inlineStr">
        <is>
          <t>1000102</t>
        </is>
      </c>
      <c r="B3" s="3" t="inlineStr">
        <is>
          <t>613</t>
        </is>
      </c>
      <c r="C3" s="10" t="n">
        <v>45659.12366898148</v>
      </c>
      <c r="D3" s="3" t="inlineStr">
        <is>
          <t>OBT020125030112-Neunkirchen (loading tracks)</t>
        </is>
      </c>
      <c r="E3" s="10" t="n">
        <v>45659.12583333333</v>
      </c>
      <c r="F3" s="10" t="n">
        <v>45659.14540509259</v>
      </c>
      <c r="G3" s="11">
        <f>IF(AND(ISNUMBER(C3),ISNUMBER(E3)),(E3-C3),"")</f>
        <v/>
      </c>
      <c r="H3" s="11">
        <f>IF(AND(ISNUMBER(C3),ISNUMBER(F3)),(F3-C3),"")</f>
        <v/>
      </c>
    </row>
    <row r="4">
      <c r="A4" s="3" t="inlineStr">
        <is>
          <t>1000103</t>
        </is>
      </c>
      <c r="B4" s="3" t="inlineStr">
        <is>
          <t>627</t>
        </is>
      </c>
      <c r="C4" s="10" t="n">
        <v>45659.12571759259</v>
      </c>
      <c r="D4" s="3" t="inlineStr">
        <is>
          <t>OBT020125152222-Ternitz (Schoeller-Bleckmann)</t>
        </is>
      </c>
      <c r="E4" s="10" t="n">
        <v>45659.64053240741</v>
      </c>
      <c r="F4" s="10" t="n">
        <v>45659.70583333333</v>
      </c>
      <c r="G4" s="11">
        <f>IF(AND(ISNUMBER(C4),ISNUMBER(E4)),(E4-C4),"")</f>
        <v/>
      </c>
      <c r="H4" s="11">
        <f>IF(AND(ISNUMBER(C4),ISNUMBER(F4)),(F4-C4),"")</f>
        <v/>
      </c>
    </row>
    <row r="5">
      <c r="A5" s="3" t="inlineStr">
        <is>
          <t>1000104</t>
        </is>
      </c>
      <c r="B5" s="3" t="inlineStr">
        <is>
          <t>625</t>
        </is>
      </c>
      <c r="C5" s="10" t="n">
        <v>45659.12777777778</v>
      </c>
      <c r="D5" s="3" t="inlineStr">
        <is>
          <t>OBT030125063005-Gloggnitz</t>
        </is>
      </c>
      <c r="E5" s="10" t="n">
        <v>45660.27089120371</v>
      </c>
      <c r="F5" s="10" t="n">
        <v>45660.31383101852</v>
      </c>
      <c r="G5" s="11">
        <f>IF(AND(ISNUMBER(C5),ISNUMBER(E5)),(E5-C5),"")</f>
        <v/>
      </c>
      <c r="H5" s="11">
        <f>IF(AND(ISNUMBER(C5),ISNUMBER(F5)),(F5-C5),"")</f>
        <v/>
      </c>
    </row>
    <row r="6">
      <c r="A6" s="3" t="inlineStr">
        <is>
          <t>1000201</t>
        </is>
      </c>
      <c r="B6" s="3" t="inlineStr">
        <is>
          <t>613</t>
        </is>
      </c>
      <c r="C6" s="10" t="n">
        <v>45659.2778587963</v>
      </c>
      <c r="D6" s="3" t="inlineStr">
        <is>
          <t>OBT020125064334-Wien Kledering</t>
        </is>
      </c>
      <c r="E6" s="10" t="n">
        <v>45659.28025462963</v>
      </c>
      <c r="F6" s="10" t="n">
        <v>45659.31366898148</v>
      </c>
      <c r="G6" s="11">
        <f>IF(AND(ISNUMBER(C6),ISNUMBER(E6)),(E6-C6),"")</f>
        <v/>
      </c>
      <c r="H6" s="11">
        <f>IF(AND(ISNUMBER(C6),ISNUMBER(F6)),(F6-C6),"")</f>
        <v/>
      </c>
    </row>
    <row r="7">
      <c r="A7" s="3" t="inlineStr">
        <is>
          <t>1000401</t>
        </is>
      </c>
      <c r="B7" s="3" t="inlineStr">
        <is>
          <t>621</t>
        </is>
      </c>
      <c r="C7" s="10" t="n">
        <v>45659.31631944444</v>
      </c>
      <c r="D7" s="3" t="inlineStr">
        <is>
          <t>OBT020125073857-Wien Kledering</t>
        </is>
      </c>
      <c r="E7" s="10" t="n">
        <v>45659.31871527778</v>
      </c>
      <c r="F7" s="10" t="n">
        <v>45659.35333333333</v>
      </c>
      <c r="G7" s="11">
        <f>IF(AND(ISNUMBER(C7),ISNUMBER(E7)),(E7-C7),"")</f>
        <v/>
      </c>
      <c r="H7" s="11">
        <f>IF(AND(ISNUMBER(C7),ISNUMBER(F7)),(F7-C7),"")</f>
        <v/>
      </c>
    </row>
    <row r="8">
      <c r="A8" s="3" t="inlineStr">
        <is>
          <t>1000301</t>
        </is>
      </c>
      <c r="B8" s="3" t="inlineStr">
        <is>
          <t>615</t>
        </is>
      </c>
      <c r="C8" s="10" t="n">
        <v>45659.32020833333</v>
      </c>
      <c r="D8" s="3" t="inlineStr">
        <is>
          <t>OBT030125061555-Other sidings south</t>
        </is>
      </c>
      <c r="E8" s="10" t="n">
        <v>45660.26105324074</v>
      </c>
      <c r="F8" s="10" t="n">
        <v>45660.28123842592</v>
      </c>
      <c r="G8" s="11">
        <f>IF(AND(ISNUMBER(C8),ISNUMBER(E8)),(E8-C8),"")</f>
        <v/>
      </c>
      <c r="H8" s="11">
        <f>IF(AND(ISNUMBER(C8),ISNUMBER(F8)),(F8-C8),"")</f>
        <v/>
      </c>
    </row>
    <row r="9">
      <c r="A9" s="3" t="inlineStr">
        <is>
          <t>1000302</t>
        </is>
      </c>
      <c r="B9" s="3" t="inlineStr">
        <is>
          <t>605</t>
        </is>
      </c>
      <c r="C9" s="10" t="n">
        <v>45659.32248842593</v>
      </c>
      <c r="D9" s="3" t="inlineStr">
        <is>
          <t>OBT020125074750-Pitten (Hamburger)</t>
        </is>
      </c>
      <c r="E9" s="10" t="n">
        <v>45659.32488425926</v>
      </c>
      <c r="F9" s="10" t="n">
        <v>45659.37302083334</v>
      </c>
      <c r="G9" s="11">
        <f>IF(AND(ISNUMBER(C9),ISNUMBER(E9)),(E9-C9),"")</f>
        <v/>
      </c>
      <c r="H9" s="11">
        <f>IF(AND(ISNUMBER(C9),ISNUMBER(F9)),(F9-C9),"")</f>
        <v/>
      </c>
    </row>
    <row r="10">
      <c r="A10" s="3" t="inlineStr">
        <is>
          <t>1000303</t>
        </is>
      </c>
      <c r="B10" s="3" t="inlineStr">
        <is>
          <t>623</t>
        </is>
      </c>
      <c r="C10" s="10" t="n">
        <v>45659.32422453703</v>
      </c>
      <c r="D10" s="3" t="inlineStr">
        <is>
          <t>OBT020125184418-Neunkirchen (loading tracks)</t>
        </is>
      </c>
      <c r="E10" s="10" t="n">
        <v>45659.78076388889</v>
      </c>
      <c r="F10" s="10" t="n">
        <v>45659.80267361111</v>
      </c>
      <c r="G10" s="11">
        <f>IF(AND(ISNUMBER(C10),ISNUMBER(E10)),(E10-C10),"")</f>
        <v/>
      </c>
      <c r="H10" s="11">
        <f>IF(AND(ISNUMBER(C10),ISNUMBER(F10)),(F10-C10),"")</f>
        <v/>
      </c>
    </row>
    <row r="11">
      <c r="A11" s="3" t="inlineStr">
        <is>
          <t>1000304</t>
        </is>
      </c>
      <c r="B11" s="3" t="inlineStr">
        <is>
          <t>627</t>
        </is>
      </c>
      <c r="C11" s="10" t="n">
        <v>45659.32609953704</v>
      </c>
      <c r="D11" s="3" t="inlineStr">
        <is>
          <t>OBT020125152222-Ternitz (Schoeller-Bleckmann)</t>
        </is>
      </c>
      <c r="E11" s="10" t="n">
        <v>45659.64053240741</v>
      </c>
      <c r="F11" s="10" t="n">
        <v>45659.70583333333</v>
      </c>
      <c r="G11" s="11">
        <f>IF(AND(ISNUMBER(C11),ISNUMBER(E11)),(E11-C11),"")</f>
        <v/>
      </c>
      <c r="H11" s="11">
        <f>IF(AND(ISNUMBER(C11),ISNUMBER(F11)),(F11-C11),"")</f>
        <v/>
      </c>
    </row>
    <row r="12">
      <c r="A12" s="3" t="inlineStr">
        <is>
          <t>1000305</t>
        </is>
      </c>
      <c r="B12" s="3" t="inlineStr">
        <is>
          <t>619</t>
        </is>
      </c>
      <c r="C12" s="10" t="n">
        <v>45659.32821759259</v>
      </c>
      <c r="D12" s="3" t="inlineStr">
        <is>
          <t>OBT020125093208-Other sidings north</t>
        </is>
      </c>
      <c r="E12" s="10" t="n">
        <v>45659.39731481481</v>
      </c>
      <c r="F12" s="10" t="n">
        <v>45659.43848379629</v>
      </c>
      <c r="G12" s="11">
        <f>IF(AND(ISNUMBER(C12),ISNUMBER(E12)),(E12-C12),"")</f>
        <v/>
      </c>
      <c r="H12" s="11">
        <f>IF(AND(ISNUMBER(C12),ISNUMBER(F12)),(F12-C12),"")</f>
        <v/>
      </c>
    </row>
    <row r="13">
      <c r="A13" s="3" t="inlineStr">
        <is>
          <t>1000306</t>
        </is>
      </c>
      <c r="B13" s="3" t="inlineStr">
        <is>
          <t>606</t>
        </is>
      </c>
      <c r="C13" s="10" t="n">
        <v>45659.32991898148</v>
      </c>
      <c r="D13" s="3" t="inlineStr">
        <is>
          <t>OBT020125154035-Neudörfl (FunderMax)</t>
        </is>
      </c>
      <c r="E13" s="10" t="n">
        <v>45659.65318287037</v>
      </c>
      <c r="F13" s="10" t="n">
        <v>45659.68270833333</v>
      </c>
      <c r="G13" s="11">
        <f>IF(AND(ISNUMBER(C13),ISNUMBER(E13)),(E13-C13),"")</f>
        <v/>
      </c>
      <c r="H13" s="11">
        <f>IF(AND(ISNUMBER(C13),ISNUMBER(F13)),(F13-C13),"")</f>
        <v/>
      </c>
    </row>
    <row r="14">
      <c r="A14" s="3" t="inlineStr">
        <is>
          <t>1000307</t>
        </is>
      </c>
      <c r="B14" s="3" t="inlineStr">
        <is>
          <t>607</t>
        </is>
      </c>
      <c r="C14" s="10" t="n">
        <v>45659.33150462963</v>
      </c>
      <c r="D14" s="3" t="inlineStr">
        <is>
          <t>OBT030125205107-Other sidings local</t>
        </is>
      </c>
      <c r="E14" s="10" t="n">
        <v>45660.86883101852</v>
      </c>
      <c r="F14" s="10" t="n">
        <v>45660.91559027778</v>
      </c>
      <c r="G14" s="11">
        <f>IF(AND(ISNUMBER(C14),ISNUMBER(E14)),(E14-C14),"")</f>
        <v/>
      </c>
      <c r="H14" s="11">
        <f>IF(AND(ISNUMBER(C14),ISNUMBER(F14)),(F14-C14),"")</f>
        <v/>
      </c>
    </row>
    <row r="15">
      <c r="A15" s="3" t="inlineStr">
        <is>
          <t>1000308</t>
        </is>
      </c>
      <c r="B15" s="3" t="inlineStr">
        <is>
          <t>609</t>
        </is>
      </c>
      <c r="C15" s="10" t="n">
        <v>45659.33306712963</v>
      </c>
      <c r="D15" s="3" t="inlineStr">
        <is>
          <t>OBT020125093825-Wr. Neustadt (Hödlmayr)</t>
        </is>
      </c>
      <c r="E15" s="10" t="n">
        <v>45659.40167824074</v>
      </c>
      <c r="F15" s="10" t="n">
        <v>45659.43603009259</v>
      </c>
      <c r="G15" s="11">
        <f>IF(AND(ISNUMBER(C15),ISNUMBER(E15)),(E15-C15),"")</f>
        <v/>
      </c>
      <c r="H15" s="11">
        <f>IF(AND(ISNUMBER(C15),ISNUMBER(F15)),(F15-C15),"")</f>
        <v/>
      </c>
    </row>
    <row r="16">
      <c r="A16" s="3" t="inlineStr">
        <is>
          <t>1000309</t>
        </is>
      </c>
      <c r="B16" s="3" t="inlineStr">
        <is>
          <t>623</t>
        </is>
      </c>
      <c r="C16" s="10" t="n">
        <v>45659.33480324074</v>
      </c>
      <c r="D16" s="3" t="inlineStr">
        <is>
          <t>OBT020125184418-Neunkirchen (loading tracks)</t>
        </is>
      </c>
      <c r="E16" s="10" t="n">
        <v>45659.78076388889</v>
      </c>
      <c r="F16" s="10" t="n">
        <v>45659.80267361111</v>
      </c>
      <c r="G16" s="11">
        <f>IF(AND(ISNUMBER(C16),ISNUMBER(E16)),(E16-C16),"")</f>
        <v/>
      </c>
      <c r="H16" s="11">
        <f>IF(AND(ISNUMBER(C16),ISNUMBER(F16)),(F16-C16),"")</f>
        <v/>
      </c>
    </row>
    <row r="17">
      <c r="A17" s="3" t="inlineStr">
        <is>
          <t>1000310</t>
        </is>
      </c>
      <c r="B17" s="3" t="inlineStr">
        <is>
          <t>611</t>
        </is>
      </c>
      <c r="C17" s="10" t="n">
        <v>45659.33615740741</v>
      </c>
      <c r="D17" s="3" t="inlineStr">
        <is>
          <t>OBT020125205242-Ebenfurth (beet loading)</t>
        </is>
      </c>
      <c r="E17" s="10" t="n">
        <v>45659.86993055556</v>
      </c>
      <c r="F17" s="10" t="n">
        <v>45659.89896990741</v>
      </c>
      <c r="G17" s="11">
        <f>IF(AND(ISNUMBER(C17),ISNUMBER(E17)),(E17-C17),"")</f>
        <v/>
      </c>
      <c r="H17" s="11">
        <f>IF(AND(ISNUMBER(C17),ISNUMBER(F17)),(F17-C17),"")</f>
        <v/>
      </c>
    </row>
    <row r="18">
      <c r="A18" s="3" t="inlineStr">
        <is>
          <t>1000311</t>
        </is>
      </c>
      <c r="B18" s="3" t="inlineStr">
        <is>
          <t>606</t>
        </is>
      </c>
      <c r="C18" s="10" t="n">
        <v>45659.33785879629</v>
      </c>
      <c r="D18" s="3" t="inlineStr">
        <is>
          <t>OBT020125154035-Neudörfl (FunderMax)</t>
        </is>
      </c>
      <c r="E18" s="10" t="n">
        <v>45659.65318287037</v>
      </c>
      <c r="F18" s="10" t="n">
        <v>45659.68270833333</v>
      </c>
      <c r="G18" s="11">
        <f>IF(AND(ISNUMBER(C18),ISNUMBER(E18)),(E18-C18),"")</f>
        <v/>
      </c>
      <c r="H18" s="11">
        <f>IF(AND(ISNUMBER(C18),ISNUMBER(F18)),(F18-C18),"")</f>
        <v/>
      </c>
    </row>
    <row r="19">
      <c r="A19" s="3" t="inlineStr">
        <is>
          <t>1000312</t>
        </is>
      </c>
      <c r="B19" s="3" t="inlineStr">
        <is>
          <t>617</t>
        </is>
      </c>
      <c r="C19" s="10" t="n">
        <v>45659.33913194444</v>
      </c>
      <c r="D19" s="3" t="inlineStr">
        <is>
          <t>OBT030125160132-Wr. Neustadt Ausfahrbf (Furtenbach)</t>
        </is>
      </c>
      <c r="E19" s="10" t="n">
        <v>45660.66773148148</v>
      </c>
      <c r="F19" s="10" t="n">
        <v>45660.69015046296</v>
      </c>
      <c r="G19" s="11">
        <f>IF(AND(ISNUMBER(C19),ISNUMBER(E19)),(E19-C19),"")</f>
        <v/>
      </c>
      <c r="H19" s="11">
        <f>IF(AND(ISNUMBER(C19),ISNUMBER(F19)),(F19-C19),"")</f>
        <v/>
      </c>
    </row>
    <row r="20">
      <c r="A20" s="3" t="inlineStr">
        <is>
          <t>1000501</t>
        </is>
      </c>
      <c r="B20" s="3" t="inlineStr">
        <is>
          <t>613</t>
        </is>
      </c>
      <c r="C20" s="10" t="n">
        <v>45659.34535879629</v>
      </c>
      <c r="D20" s="3" t="inlineStr">
        <is>
          <t>OBT020125082044-Wien Kledering</t>
        </is>
      </c>
      <c r="E20" s="10" t="n">
        <v>45659.34773148148</v>
      </c>
      <c r="F20" s="10" t="n">
        <v>45659.41964120371</v>
      </c>
      <c r="G20" s="11">
        <f>IF(AND(ISNUMBER(C20),ISNUMBER(E20)),(E20-C20),"")</f>
        <v/>
      </c>
      <c r="H20" s="11">
        <f>IF(AND(ISNUMBER(C20),ISNUMBER(F20)),(F20-C20),"")</f>
        <v/>
      </c>
    </row>
    <row r="21">
      <c r="A21" s="3" t="inlineStr">
        <is>
          <t>1000701</t>
        </is>
      </c>
      <c r="B21" s="3" t="inlineStr">
        <is>
          <t>605</t>
        </is>
      </c>
      <c r="C21" s="10" t="n">
        <v>45659.38472222222</v>
      </c>
      <c r="D21" s="3" t="inlineStr">
        <is>
          <t>OBT030125090715-St. Veit an der Glan</t>
        </is>
      </c>
      <c r="E21" s="10" t="n">
        <v>45660.38003472222</v>
      </c>
      <c r="F21" s="10" t="n">
        <v>45660.42228009259</v>
      </c>
      <c r="G21" s="11">
        <f>IF(AND(ISNUMBER(C21),ISNUMBER(E21)),(E21-C21),"")</f>
        <v/>
      </c>
      <c r="H21" s="11">
        <f>IF(AND(ISNUMBER(C21),ISNUMBER(F21)),(F21-C21),"")</f>
        <v/>
      </c>
    </row>
    <row r="22">
      <c r="A22" s="3" t="inlineStr">
        <is>
          <t>1000702</t>
        </is>
      </c>
      <c r="B22" s="3" t="inlineStr">
        <is>
          <t>629</t>
        </is>
      </c>
      <c r="C22" s="10" t="n">
        <v>45659.38689814815</v>
      </c>
      <c r="D22" s="3" t="inlineStr">
        <is>
          <t>OBT020125092035-Wien Kledering</t>
        </is>
      </c>
      <c r="E22" s="10" t="n">
        <v>45659.38929398148</v>
      </c>
      <c r="F22" s="10" t="n">
        <v>45659.41552083333</v>
      </c>
      <c r="G22" s="11">
        <f>IF(AND(ISNUMBER(C22),ISNUMBER(E22)),(E22-C22),"")</f>
        <v/>
      </c>
      <c r="H22" s="11">
        <f>IF(AND(ISNUMBER(C22),ISNUMBER(F22)),(F22-C22),"")</f>
        <v/>
      </c>
    </row>
    <row r="23">
      <c r="A23" s="3" t="inlineStr">
        <is>
          <t>1000601</t>
        </is>
      </c>
      <c r="B23" s="3" t="inlineStr">
        <is>
          <t>606</t>
        </is>
      </c>
      <c r="C23" s="10" t="n">
        <v>45659.38939814815</v>
      </c>
      <c r="D23" s="3" t="inlineStr">
        <is>
          <t>OBT020125154035-Neudörfl (FunderMax)</t>
        </is>
      </c>
      <c r="E23" s="10" t="n">
        <v>45659.65318287037</v>
      </c>
      <c r="F23" s="10" t="n">
        <v>45659.68270833333</v>
      </c>
      <c r="G23" s="11">
        <f>IF(AND(ISNUMBER(C23),ISNUMBER(E23)),(E23-C23),"")</f>
        <v/>
      </c>
      <c r="H23" s="11">
        <f>IF(AND(ISNUMBER(C23),ISNUMBER(F23)),(F23-C23),"")</f>
        <v/>
      </c>
    </row>
    <row r="24">
      <c r="A24" s="3" t="inlineStr">
        <is>
          <t>1000602</t>
        </is>
      </c>
      <c r="B24" s="3" t="inlineStr">
        <is>
          <t>607</t>
        </is>
      </c>
      <c r="C24" s="10" t="n">
        <v>45659.39101851852</v>
      </c>
      <c r="D24" s="3" t="inlineStr">
        <is>
          <t>OBT030125205107-Other sidings local</t>
        </is>
      </c>
      <c r="E24" s="10" t="n">
        <v>45660.86883101852</v>
      </c>
      <c r="F24" s="10" t="n">
        <v>45660.91559027778</v>
      </c>
      <c r="G24" s="11">
        <f>IF(AND(ISNUMBER(C24),ISNUMBER(E24)),(E24-C24),"")</f>
        <v/>
      </c>
      <c r="H24" s="11">
        <f>IF(AND(ISNUMBER(C24),ISNUMBER(F24)),(F24-C24),"")</f>
        <v/>
      </c>
    </row>
    <row r="25">
      <c r="A25" s="3" t="inlineStr">
        <is>
          <t>1000603</t>
        </is>
      </c>
      <c r="B25" s="3" t="inlineStr">
        <is>
          <t>619</t>
        </is>
      </c>
      <c r="C25" s="10" t="n">
        <v>45659.39302083333</v>
      </c>
      <c r="D25" s="3" t="inlineStr">
        <is>
          <t>OBT020125093208-Other sidings north</t>
        </is>
      </c>
      <c r="E25" s="10" t="n">
        <v>45659.39731481481</v>
      </c>
      <c r="F25" s="10" t="n">
        <v>45659.43848379629</v>
      </c>
      <c r="G25" s="11">
        <f>IF(AND(ISNUMBER(C25),ISNUMBER(E25)),(E25-C25),"")</f>
        <v/>
      </c>
      <c r="H25" s="11">
        <f>IF(AND(ISNUMBER(C25),ISNUMBER(F25)),(F25-C25),"")</f>
        <v/>
      </c>
    </row>
    <row r="26">
      <c r="A26" s="3" t="inlineStr">
        <is>
          <t>1000604</t>
        </is>
      </c>
      <c r="B26" s="3" t="inlineStr">
        <is>
          <t>606</t>
        </is>
      </c>
      <c r="C26" s="10" t="n">
        <v>45659.39479166667</v>
      </c>
      <c r="D26" s="3" t="inlineStr">
        <is>
          <t>OBT020125154035-Neudörfl (FunderMax)</t>
        </is>
      </c>
      <c r="E26" s="10" t="n">
        <v>45659.65318287037</v>
      </c>
      <c r="F26" s="10" t="n">
        <v>45659.68270833333</v>
      </c>
      <c r="G26" s="11">
        <f>IF(AND(ISNUMBER(C26),ISNUMBER(E26)),(E26-C26),"")</f>
        <v/>
      </c>
      <c r="H26" s="11">
        <f>IF(AND(ISNUMBER(C26),ISNUMBER(F26)),(F26-C26),"")</f>
        <v/>
      </c>
    </row>
    <row r="27">
      <c r="A27" s="3" t="inlineStr">
        <is>
          <t>1000605</t>
        </is>
      </c>
      <c r="B27" s="3" t="inlineStr">
        <is>
          <t>609</t>
        </is>
      </c>
      <c r="C27" s="10" t="n">
        <v>45659.39637731481</v>
      </c>
      <c r="D27" s="3" t="inlineStr">
        <is>
          <t>OBT020125093825-Wr. Neustadt (Hödlmayr)</t>
        </is>
      </c>
      <c r="E27" s="10" t="n">
        <v>45659.40167824074</v>
      </c>
      <c r="F27" s="10" t="n">
        <v>45659.43603009259</v>
      </c>
      <c r="G27" s="11">
        <f>IF(AND(ISNUMBER(C27),ISNUMBER(E27)),(E27-C27),"")</f>
        <v/>
      </c>
      <c r="H27" s="11">
        <f>IF(AND(ISNUMBER(C27),ISNUMBER(F27)),(F27-C27),"")</f>
        <v/>
      </c>
    </row>
    <row r="28">
      <c r="A28" s="3" t="inlineStr">
        <is>
          <t>1000606</t>
        </is>
      </c>
      <c r="B28" s="3" t="inlineStr">
        <is>
          <t>627</t>
        </is>
      </c>
      <c r="C28" s="10" t="n">
        <v>45659.39827546296</v>
      </c>
      <c r="D28" s="3" t="inlineStr">
        <is>
          <t>OBT020125152222-Ternitz (Schoeller-Bleckmann)</t>
        </is>
      </c>
      <c r="E28" s="10" t="n">
        <v>45659.64053240741</v>
      </c>
      <c r="F28" s="10" t="n">
        <v>45659.70583333333</v>
      </c>
      <c r="G28" s="11">
        <f>IF(AND(ISNUMBER(C28),ISNUMBER(E28)),(E28-C28),"")</f>
        <v/>
      </c>
      <c r="H28" s="11">
        <f>IF(AND(ISNUMBER(C28),ISNUMBER(F28)),(F28-C28),"")</f>
        <v/>
      </c>
    </row>
    <row r="29">
      <c r="A29" s="3" t="inlineStr">
        <is>
          <t>1000607</t>
        </is>
      </c>
      <c r="B29" s="3" t="inlineStr">
        <is>
          <t>611</t>
        </is>
      </c>
      <c r="C29" s="10" t="n">
        <v>45659.39969907407</v>
      </c>
      <c r="D29" s="3" t="inlineStr">
        <is>
          <t>OBT020125205242-Ebenfurth (beet loading)</t>
        </is>
      </c>
      <c r="E29" s="10" t="n">
        <v>45659.86993055556</v>
      </c>
      <c r="F29" s="10" t="n">
        <v>45659.89896990741</v>
      </c>
      <c r="G29" s="11">
        <f>IF(AND(ISNUMBER(C29),ISNUMBER(E29)),(E29-C29),"")</f>
        <v/>
      </c>
      <c r="H29" s="11">
        <f>IF(AND(ISNUMBER(C29),ISNUMBER(F29)),(F29-C29),"")</f>
        <v/>
      </c>
    </row>
    <row r="30">
      <c r="A30" s="3" t="inlineStr">
        <is>
          <t>1000608</t>
        </is>
      </c>
      <c r="B30" s="3" t="inlineStr">
        <is>
          <t>621</t>
        </is>
      </c>
      <c r="C30" s="10" t="n">
        <v>45659.40166666666</v>
      </c>
      <c r="D30" s="3" t="inlineStr">
        <is>
          <t>OBT030125075311-Felixdorf/Sollenau (Bundesheer, Maba)</t>
        </is>
      </c>
      <c r="E30" s="10" t="n">
        <v>45660.32859953704</v>
      </c>
      <c r="F30" s="10" t="n">
        <v>45660.36324074074</v>
      </c>
      <c r="G30" s="11">
        <f>IF(AND(ISNUMBER(C30),ISNUMBER(E30)),(E30-C30),"")</f>
        <v/>
      </c>
      <c r="H30" s="11">
        <f>IF(AND(ISNUMBER(C30),ISNUMBER(F30)),(F30-C30),"")</f>
        <v/>
      </c>
    </row>
    <row r="31">
      <c r="A31" s="3" t="inlineStr">
        <is>
          <t>1000609</t>
        </is>
      </c>
      <c r="B31" s="3" t="inlineStr">
        <is>
          <t>629</t>
        </is>
      </c>
      <c r="C31" s="10" t="n">
        <v>45659.40399305556</v>
      </c>
      <c r="D31" s="3" t="inlineStr">
        <is>
          <t>OBT020125094857-Pitten (Hamburger)</t>
        </is>
      </c>
      <c r="E31" s="10" t="n">
        <v>45659.40899305556</v>
      </c>
      <c r="F31" s="10" t="n">
        <v>45659.45457175926</v>
      </c>
      <c r="G31" s="11">
        <f>IF(AND(ISNUMBER(C31),ISNUMBER(E31)),(E31-C31),"")</f>
        <v/>
      </c>
      <c r="H31" s="11">
        <f>IF(AND(ISNUMBER(C31),ISNUMBER(F31)),(F31-C31),"")</f>
        <v/>
      </c>
    </row>
    <row r="32">
      <c r="A32" s="3" t="inlineStr">
        <is>
          <t>1000610</t>
        </is>
      </c>
      <c r="B32" s="3" t="inlineStr">
        <is>
          <t>625</t>
        </is>
      </c>
      <c r="C32" s="10" t="n">
        <v>45659.40601851852</v>
      </c>
      <c r="D32" s="3" t="inlineStr">
        <is>
          <t>OBT030125063005-Gloggnitz</t>
        </is>
      </c>
      <c r="E32" s="10" t="n">
        <v>45660.27089120371</v>
      </c>
      <c r="F32" s="10" t="n">
        <v>45660.31383101852</v>
      </c>
      <c r="G32" s="11">
        <f>IF(AND(ISNUMBER(C32),ISNUMBER(E32)),(E32-C32),"")</f>
        <v/>
      </c>
      <c r="H32" s="11">
        <f>IF(AND(ISNUMBER(C32),ISNUMBER(F32)),(F32-C32),"")</f>
        <v/>
      </c>
    </row>
    <row r="33">
      <c r="A33" s="3" t="inlineStr">
        <is>
          <t>1000801</t>
        </is>
      </c>
      <c r="B33" s="3" t="inlineStr">
        <is>
          <t>613</t>
        </is>
      </c>
      <c r="C33" s="10" t="n">
        <v>45659.44939814815</v>
      </c>
      <c r="D33" s="3" t="inlineStr">
        <is>
          <t>OBT020125105809-Wien Kledering</t>
        </is>
      </c>
      <c r="E33" s="10" t="n">
        <v>45659.45704861111</v>
      </c>
      <c r="F33" s="10" t="n">
        <v>45659.52293981481</v>
      </c>
      <c r="G33" s="11">
        <f>IF(AND(ISNUMBER(C33),ISNUMBER(E33)),(E33-C33),"")</f>
        <v/>
      </c>
      <c r="H33" s="11">
        <f>IF(AND(ISNUMBER(C33),ISNUMBER(F33)),(F33-C33),"")</f>
        <v/>
      </c>
    </row>
    <row r="34">
      <c r="A34" s="3" t="inlineStr">
        <is>
          <t>1000802</t>
        </is>
      </c>
      <c r="B34" s="3" t="inlineStr">
        <is>
          <t>605</t>
        </is>
      </c>
      <c r="C34" s="10" t="n">
        <v>45659.45113425926</v>
      </c>
      <c r="D34" s="3" t="inlineStr">
        <is>
          <t>OBT030125090715-St. Veit an der Glan</t>
        </is>
      </c>
      <c r="E34" s="10" t="n">
        <v>45660.38003472222</v>
      </c>
      <c r="F34" s="10" t="n">
        <v>45660.42228009259</v>
      </c>
      <c r="G34" s="11">
        <f>IF(AND(ISNUMBER(C34),ISNUMBER(E34)),(E34-C34),"")</f>
        <v/>
      </c>
      <c r="H34" s="11">
        <f>IF(AND(ISNUMBER(C34),ISNUMBER(F34)),(F34-C34),"")</f>
        <v/>
      </c>
    </row>
    <row r="35">
      <c r="A35" s="3" t="inlineStr">
        <is>
          <t>1000803</t>
        </is>
      </c>
      <c r="B35" s="3" t="inlineStr">
        <is>
          <t>613</t>
        </is>
      </c>
      <c r="C35" s="10" t="n">
        <v>45659.453125</v>
      </c>
      <c r="D35" s="3" t="inlineStr">
        <is>
          <t>OBT020125105809-Wien Kledering</t>
        </is>
      </c>
      <c r="E35" s="10" t="n">
        <v>45659.45704861111</v>
      </c>
      <c r="F35" s="10" t="n">
        <v>45659.52293981481</v>
      </c>
      <c r="G35" s="11">
        <f>IF(AND(ISNUMBER(C35),ISNUMBER(E35)),(E35-C35),"")</f>
        <v/>
      </c>
      <c r="H35" s="11">
        <f>IF(AND(ISNUMBER(C35),ISNUMBER(F35)),(F35-C35),"")</f>
        <v/>
      </c>
    </row>
    <row r="36">
      <c r="A36" s="3" t="inlineStr">
        <is>
          <t>1000901</t>
        </is>
      </c>
      <c r="B36" s="3" t="inlineStr">
        <is>
          <t>613</t>
        </is>
      </c>
      <c r="C36" s="10" t="n">
        <v>45659.61733796296</v>
      </c>
      <c r="D36" s="3" t="inlineStr">
        <is>
          <t>OBT020125145206-Wien Kledering</t>
        </is>
      </c>
      <c r="E36" s="10" t="n">
        <v>45659.61951388889</v>
      </c>
      <c r="F36" s="10" t="n">
        <v>45659.67131944445</v>
      </c>
      <c r="G36" s="11">
        <f>IF(AND(ISNUMBER(C36),ISNUMBER(E36)),(E36-C36),"")</f>
        <v/>
      </c>
      <c r="H36" s="11">
        <f>IF(AND(ISNUMBER(C36),ISNUMBER(F36)),(F36-C36),"")</f>
        <v/>
      </c>
    </row>
    <row r="37">
      <c r="A37" s="3" t="inlineStr">
        <is>
          <t>1001101</t>
        </is>
      </c>
      <c r="B37" s="3" t="inlineStr">
        <is>
          <t>627</t>
        </is>
      </c>
      <c r="C37" s="10" t="n">
        <v>45659.6369675926</v>
      </c>
      <c r="D37" s="3" t="inlineStr">
        <is>
          <t>OBT020125152222-Ternitz (Schoeller-Bleckmann)</t>
        </is>
      </c>
      <c r="E37" s="10" t="n">
        <v>45659.64053240741</v>
      </c>
      <c r="F37" s="10" t="n">
        <v>45659.70583333333</v>
      </c>
      <c r="G37" s="11">
        <f>IF(AND(ISNUMBER(C37),ISNUMBER(E37)),(E37-C37),"")</f>
        <v/>
      </c>
      <c r="H37" s="11">
        <f>IF(AND(ISNUMBER(C37),ISNUMBER(F37)),(F37-C37),"")</f>
        <v/>
      </c>
    </row>
    <row r="38">
      <c r="A38" s="3" t="inlineStr">
        <is>
          <t>1001001</t>
        </is>
      </c>
      <c r="B38" s="3" t="inlineStr">
        <is>
          <t>619</t>
        </is>
      </c>
      <c r="C38" s="10" t="n">
        <v>45659.6445949074</v>
      </c>
      <c r="D38" s="3" t="inlineStr">
        <is>
          <t>OBT020125183042-Wr. Neustadt (Hödlmayr)</t>
        </is>
      </c>
      <c r="E38" s="10" t="n">
        <v>45659.77131944444</v>
      </c>
      <c r="F38" s="10" t="n">
        <v>45659.81069444444</v>
      </c>
      <c r="G38" s="11">
        <f>IF(AND(ISNUMBER(C38),ISNUMBER(E38)),(E38-C38),"")</f>
        <v/>
      </c>
      <c r="H38" s="11">
        <f>IF(AND(ISNUMBER(C38),ISNUMBER(F38)),(F38-C38),"")</f>
        <v/>
      </c>
    </row>
    <row r="39">
      <c r="A39" s="3" t="inlineStr">
        <is>
          <t>1001002</t>
        </is>
      </c>
      <c r="B39" s="3" t="inlineStr">
        <is>
          <t>627</t>
        </is>
      </c>
      <c r="C39" s="10" t="n">
        <v>45659.64646990741</v>
      </c>
      <c r="D39" s="3" t="inlineStr">
        <is>
          <t>OBT020125183645-Pitten (Hamburger)</t>
        </is>
      </c>
      <c r="E39" s="10" t="n">
        <v>45659.77552083333</v>
      </c>
      <c r="F39" s="10" t="n">
        <v>45659.81153935185</v>
      </c>
      <c r="G39" s="11">
        <f>IF(AND(ISNUMBER(C39),ISNUMBER(E39)),(E39-C39),"")</f>
        <v/>
      </c>
      <c r="H39" s="11">
        <f>IF(AND(ISNUMBER(C39),ISNUMBER(F39)),(F39-C39),"")</f>
        <v/>
      </c>
    </row>
    <row r="40">
      <c r="A40" s="3" t="inlineStr">
        <is>
          <t>1001003</t>
        </is>
      </c>
      <c r="B40" s="3" t="inlineStr">
        <is>
          <t>609</t>
        </is>
      </c>
      <c r="C40" s="10" t="n">
        <v>45659.64793981481</v>
      </c>
      <c r="D40" s="3" t="inlineStr">
        <is>
          <t>OBT090125074546-Wr. Neustadt (Brenntag)</t>
        </is>
      </c>
      <c r="E40" s="10" t="n">
        <v>45666.32344907407</v>
      </c>
      <c r="F40" s="10" t="n">
        <v>45666.39756944445</v>
      </c>
      <c r="G40" s="11">
        <f>IF(AND(ISNUMBER(C40),ISNUMBER(E40)),(E40-C40),"")</f>
        <v/>
      </c>
      <c r="H40" s="11">
        <f>IF(AND(ISNUMBER(C40),ISNUMBER(F40)),(F40-C40),"")</f>
        <v/>
      </c>
    </row>
    <row r="41">
      <c r="A41" s="3" t="inlineStr">
        <is>
          <t>1001004</t>
        </is>
      </c>
      <c r="B41" s="3" t="inlineStr">
        <is>
          <t>606</t>
        </is>
      </c>
      <c r="C41" s="10" t="n">
        <v>45659.64962962963</v>
      </c>
      <c r="D41" s="3" t="inlineStr">
        <is>
          <t>OBT020125154035-Neudörfl (FunderMax)</t>
        </is>
      </c>
      <c r="E41" s="10" t="n">
        <v>45659.65318287037</v>
      </c>
      <c r="F41" s="10" t="n">
        <v>45659.68270833333</v>
      </c>
      <c r="G41" s="11">
        <f>IF(AND(ISNUMBER(C41),ISNUMBER(E41)),(E41-C41),"")</f>
        <v/>
      </c>
      <c r="H41" s="11">
        <f>IF(AND(ISNUMBER(C41),ISNUMBER(F41)),(F41-C41),"")</f>
        <v/>
      </c>
    </row>
    <row r="42">
      <c r="A42" s="3" t="inlineStr">
        <is>
          <t>1001005</t>
        </is>
      </c>
      <c r="B42" s="3" t="inlineStr">
        <is>
          <t>629</t>
        </is>
      </c>
      <c r="C42" s="10" t="n">
        <v>45659.65208333333</v>
      </c>
      <c r="D42" s="3" t="inlineStr">
        <is>
          <t>OBT020125154208-Pitten (Hamburger)</t>
        </is>
      </c>
      <c r="E42" s="10" t="n">
        <v>45659.65425925926</v>
      </c>
      <c r="F42" s="10" t="n">
        <v>45659.71758101852</v>
      </c>
      <c r="G42" s="11">
        <f>IF(AND(ISNUMBER(C42),ISNUMBER(E42)),(E42-C42),"")</f>
        <v/>
      </c>
      <c r="H42" s="11">
        <f>IF(AND(ISNUMBER(C42),ISNUMBER(F42)),(F42-C42),"")</f>
        <v/>
      </c>
    </row>
    <row r="43">
      <c r="A43" s="3" t="inlineStr">
        <is>
          <t>1001006</t>
        </is>
      </c>
      <c r="B43" s="3" t="inlineStr">
        <is>
          <t>611</t>
        </is>
      </c>
      <c r="C43" s="10" t="n">
        <v>45659.65347222222</v>
      </c>
      <c r="D43" s="3" t="inlineStr">
        <is>
          <t>OBT020125205242-Ebenfurth (beet loading)</t>
        </is>
      </c>
      <c r="E43" s="10" t="n">
        <v>45659.86993055556</v>
      </c>
      <c r="F43" s="10" t="n">
        <v>45659.89896990741</v>
      </c>
      <c r="G43" s="11">
        <f>IF(AND(ISNUMBER(C43),ISNUMBER(E43)),(E43-C43),"")</f>
        <v/>
      </c>
      <c r="H43" s="11">
        <f>IF(AND(ISNUMBER(C43),ISNUMBER(F43)),(F43-C43),"")</f>
        <v/>
      </c>
    </row>
    <row r="44">
      <c r="A44" s="3" t="inlineStr">
        <is>
          <t>1001007</t>
        </is>
      </c>
      <c r="B44" s="3" t="inlineStr">
        <is>
          <t>623</t>
        </is>
      </c>
      <c r="C44" s="10" t="n">
        <v>45659.65525462963</v>
      </c>
      <c r="D44" s="3" t="inlineStr">
        <is>
          <t>OBT020125184418-Neunkirchen (loading tracks)</t>
        </is>
      </c>
      <c r="E44" s="10" t="n">
        <v>45659.78076388889</v>
      </c>
      <c r="F44" s="10" t="n">
        <v>45659.80267361111</v>
      </c>
      <c r="G44" s="11">
        <f>IF(AND(ISNUMBER(C44),ISNUMBER(E44)),(E44-C44),"")</f>
        <v/>
      </c>
      <c r="H44" s="11">
        <f>IF(AND(ISNUMBER(C44),ISNUMBER(F44)),(F44-C44),"")</f>
        <v/>
      </c>
    </row>
    <row r="45">
      <c r="A45" s="3" t="inlineStr">
        <is>
          <t>1001008</t>
        </is>
      </c>
      <c r="B45" s="3" t="inlineStr">
        <is>
          <t>629</t>
        </is>
      </c>
      <c r="C45" s="10" t="n">
        <v>45659.65738425926</v>
      </c>
      <c r="D45" s="3" t="inlineStr">
        <is>
          <t>OBT020125155102-Other sidings north</t>
        </is>
      </c>
      <c r="E45" s="10" t="n">
        <v>45659.66043981481</v>
      </c>
      <c r="F45" s="10" t="n">
        <v>45659.70460648148</v>
      </c>
      <c r="G45" s="11">
        <f>IF(AND(ISNUMBER(C45),ISNUMBER(E45)),(E45-C45),"")</f>
        <v/>
      </c>
      <c r="H45" s="11">
        <f>IF(AND(ISNUMBER(C45),ISNUMBER(F45)),(F45-C45),"")</f>
        <v/>
      </c>
    </row>
    <row r="46">
      <c r="A46" s="3" t="inlineStr">
        <is>
          <t>1001201</t>
        </is>
      </c>
      <c r="B46" s="3" t="inlineStr">
        <is>
          <t>615</t>
        </is>
      </c>
      <c r="C46" s="10" t="n">
        <v>45659.76037037037</v>
      </c>
      <c r="D46" s="3" t="inlineStr">
        <is>
          <t>OBT030125061555-Other sidings south</t>
        </is>
      </c>
      <c r="E46" s="10" t="n">
        <v>45660.26105324074</v>
      </c>
      <c r="F46" s="10" t="n">
        <v>45660.28123842592</v>
      </c>
      <c r="G46" s="11">
        <f>IF(AND(ISNUMBER(C46),ISNUMBER(E46)),(E46-C46),"")</f>
        <v/>
      </c>
      <c r="H46" s="11">
        <f>IF(AND(ISNUMBER(C46),ISNUMBER(F46)),(F46-C46),"")</f>
        <v/>
      </c>
    </row>
    <row r="47">
      <c r="A47" s="3" t="inlineStr">
        <is>
          <t>1001202</t>
        </is>
      </c>
      <c r="B47" s="3" t="inlineStr">
        <is>
          <t>625</t>
        </is>
      </c>
      <c r="C47" s="10" t="n">
        <v>45659.76237268518</v>
      </c>
      <c r="D47" s="3" t="inlineStr">
        <is>
          <t>OBT030125063005-Gloggnitz</t>
        </is>
      </c>
      <c r="E47" s="10" t="n">
        <v>45660.27089120371</v>
      </c>
      <c r="F47" s="10" t="n">
        <v>45660.31383101852</v>
      </c>
      <c r="G47" s="11">
        <f>IF(AND(ISNUMBER(C47),ISNUMBER(E47)),(E47-C47),"")</f>
        <v/>
      </c>
      <c r="H47" s="11">
        <f>IF(AND(ISNUMBER(C47),ISNUMBER(F47)),(F47-C47),"")</f>
        <v/>
      </c>
    </row>
    <row r="48">
      <c r="A48" s="3" t="inlineStr">
        <is>
          <t>1001203</t>
        </is>
      </c>
      <c r="B48" s="3" t="inlineStr">
        <is>
          <t>613</t>
        </is>
      </c>
      <c r="C48" s="10" t="n">
        <v>45659.76363425926</v>
      </c>
      <c r="D48" s="3" t="inlineStr">
        <is>
          <t>OBT020125210709-Neudörfl (FunderMax)</t>
        </is>
      </c>
      <c r="E48" s="10" t="n">
        <v>45659.87996527777</v>
      </c>
      <c r="F48" s="10" t="n">
        <v>45659.90002314815</v>
      </c>
      <c r="G48" s="11">
        <f>IF(AND(ISNUMBER(C48),ISNUMBER(E48)),(E48-C48),"")</f>
        <v/>
      </c>
      <c r="H48" s="11">
        <f>IF(AND(ISNUMBER(C48),ISNUMBER(F48)),(F48-C48),"")</f>
        <v/>
      </c>
    </row>
    <row r="49">
      <c r="A49" s="3" t="inlineStr">
        <is>
          <t>1001204</t>
        </is>
      </c>
      <c r="B49" s="3" t="inlineStr">
        <is>
          <t>607</t>
        </is>
      </c>
      <c r="C49" s="10" t="n">
        <v>45659.76520833333</v>
      </c>
      <c r="D49" s="3" t="inlineStr">
        <is>
          <t>OBT030125205107-Other sidings local</t>
        </is>
      </c>
      <c r="E49" s="10" t="n">
        <v>45660.86883101852</v>
      </c>
      <c r="F49" s="10" t="n">
        <v>45660.91559027778</v>
      </c>
      <c r="G49" s="11">
        <f>IF(AND(ISNUMBER(C49),ISNUMBER(E49)),(E49-C49),"")</f>
        <v/>
      </c>
      <c r="H49" s="11">
        <f>IF(AND(ISNUMBER(C49),ISNUMBER(F49)),(F49-C49),"")</f>
        <v/>
      </c>
    </row>
    <row r="50">
      <c r="A50" s="3" t="inlineStr">
        <is>
          <t>1001205</t>
        </is>
      </c>
      <c r="B50" s="3" t="inlineStr">
        <is>
          <t>619</t>
        </is>
      </c>
      <c r="C50" s="10" t="n">
        <v>45659.76740740741</v>
      </c>
      <c r="D50" s="3" t="inlineStr">
        <is>
          <t>OBT020125183042-Wr. Neustadt (Hödlmayr)</t>
        </is>
      </c>
      <c r="E50" s="10" t="n">
        <v>45659.77131944444</v>
      </c>
      <c r="F50" s="10" t="n">
        <v>45659.81069444444</v>
      </c>
      <c r="G50" s="11">
        <f>IF(AND(ISNUMBER(C50),ISNUMBER(E50)),(E50-C50),"")</f>
        <v/>
      </c>
      <c r="H50" s="11">
        <f>IF(AND(ISNUMBER(C50),ISNUMBER(F50)),(F50-C50),"")</f>
        <v/>
      </c>
    </row>
    <row r="51">
      <c r="A51" s="3" t="inlineStr">
        <is>
          <t>1001206</t>
        </is>
      </c>
      <c r="B51" s="3" t="inlineStr">
        <is>
          <t>611</t>
        </is>
      </c>
      <c r="C51" s="10" t="n">
        <v>45659.76877314815</v>
      </c>
      <c r="D51" s="3" t="inlineStr">
        <is>
          <t>OBT020125205242-Ebenfurth (beet loading)</t>
        </is>
      </c>
      <c r="E51" s="10" t="n">
        <v>45659.86993055556</v>
      </c>
      <c r="F51" s="10" t="n">
        <v>45659.89896990741</v>
      </c>
      <c r="G51" s="11">
        <f>IF(AND(ISNUMBER(C51),ISNUMBER(E51)),(E51-C51),"")</f>
        <v/>
      </c>
      <c r="H51" s="11">
        <f>IF(AND(ISNUMBER(C51),ISNUMBER(F51)),(F51-C51),"")</f>
        <v/>
      </c>
    </row>
    <row r="52">
      <c r="A52" s="3" t="inlineStr">
        <is>
          <t>1001207</t>
        </is>
      </c>
      <c r="B52" s="3" t="inlineStr">
        <is>
          <t>629</t>
        </is>
      </c>
      <c r="C52" s="10" t="n">
        <v>45659.77084490741</v>
      </c>
      <c r="D52" s="3" t="inlineStr">
        <is>
          <t>OBT020125210324-Other sidings north</t>
        </is>
      </c>
      <c r="E52" s="10" t="n">
        <v>45659.87736111111</v>
      </c>
      <c r="F52" s="10" t="n">
        <v>45659.90067129629</v>
      </c>
      <c r="G52" s="11">
        <f>IF(AND(ISNUMBER(C52),ISNUMBER(E52)),(E52-C52),"")</f>
        <v/>
      </c>
      <c r="H52" s="11">
        <f>IF(AND(ISNUMBER(C52),ISNUMBER(F52)),(F52-C52),"")</f>
        <v/>
      </c>
    </row>
    <row r="53">
      <c r="A53" s="3" t="inlineStr">
        <is>
          <t>1001208</t>
        </is>
      </c>
      <c r="B53" s="3" t="inlineStr">
        <is>
          <t>627</t>
        </is>
      </c>
      <c r="C53" s="10" t="n">
        <v>45659.77314814815</v>
      </c>
      <c r="D53" s="3" t="inlineStr">
        <is>
          <t>OBT020125183645-Pitten (Hamburger)</t>
        </is>
      </c>
      <c r="E53" s="10" t="n">
        <v>45659.77552083333</v>
      </c>
      <c r="F53" s="10" t="n">
        <v>45659.81153935185</v>
      </c>
      <c r="G53" s="11">
        <f>IF(AND(ISNUMBER(C53),ISNUMBER(E53)),(E53-C53),"")</f>
        <v/>
      </c>
      <c r="H53" s="11">
        <f>IF(AND(ISNUMBER(C53),ISNUMBER(F53)),(F53-C53),"")</f>
        <v/>
      </c>
    </row>
    <row r="54">
      <c r="A54" s="3" t="inlineStr">
        <is>
          <t>1001209</t>
        </is>
      </c>
      <c r="B54" s="3" t="inlineStr">
        <is>
          <t>621</t>
        </is>
      </c>
      <c r="C54" s="10" t="n">
        <v>45659.77512731482</v>
      </c>
      <c r="D54" s="3" t="inlineStr">
        <is>
          <t>OBT030125075311-Felixdorf/Sollenau (Bundesheer, Maba)</t>
        </is>
      </c>
      <c r="E54" s="10" t="n">
        <v>45660.32859953704</v>
      </c>
      <c r="F54" s="10" t="n">
        <v>45660.36324074074</v>
      </c>
      <c r="G54" s="11">
        <f>IF(AND(ISNUMBER(C54),ISNUMBER(E54)),(E54-C54),"")</f>
        <v/>
      </c>
      <c r="H54" s="11">
        <f>IF(AND(ISNUMBER(C54),ISNUMBER(F54)),(F54-C54),"")</f>
        <v/>
      </c>
    </row>
    <row r="55">
      <c r="A55" s="3" t="inlineStr">
        <is>
          <t>1001210</t>
        </is>
      </c>
      <c r="B55" s="3" t="inlineStr">
        <is>
          <t>623</t>
        </is>
      </c>
      <c r="C55" s="10" t="n">
        <v>45659.77686342593</v>
      </c>
      <c r="D55" s="3" t="inlineStr">
        <is>
          <t>OBT020125184418-Neunkirchen (loading tracks)</t>
        </is>
      </c>
      <c r="E55" s="10" t="n">
        <v>45659.78076388889</v>
      </c>
      <c r="F55" s="10" t="n">
        <v>45659.80267361111</v>
      </c>
      <c r="G55" s="11">
        <f>IF(AND(ISNUMBER(C55),ISNUMBER(E55)),(E55-C55),"")</f>
        <v/>
      </c>
      <c r="H55" s="11">
        <f>IF(AND(ISNUMBER(C55),ISNUMBER(F55)),(F55-C55),"")</f>
        <v/>
      </c>
    </row>
    <row r="56">
      <c r="A56" s="3" t="inlineStr">
        <is>
          <t>1001211</t>
        </is>
      </c>
      <c r="B56" s="3" t="inlineStr">
        <is>
          <t>627</t>
        </is>
      </c>
      <c r="C56" s="10" t="n">
        <v>45659.77873842593</v>
      </c>
      <c r="D56" s="3" t="inlineStr">
        <is>
          <t>OBT030125030120-Pitten (Hamburger)</t>
        </is>
      </c>
      <c r="E56" s="10" t="n">
        <v>45660.12592592592</v>
      </c>
      <c r="F56" s="10" t="n">
        <v>45660.15079861111</v>
      </c>
      <c r="G56" s="11">
        <f>IF(AND(ISNUMBER(C56),ISNUMBER(E56)),(E56-C56),"")</f>
        <v/>
      </c>
      <c r="H56" s="11">
        <f>IF(AND(ISNUMBER(C56),ISNUMBER(F56)),(F56-C56),"")</f>
        <v/>
      </c>
    </row>
    <row r="57">
      <c r="A57" s="3" t="inlineStr">
        <is>
          <t>1001301</t>
        </is>
      </c>
      <c r="B57" s="3" t="inlineStr">
        <is>
          <t>627</t>
        </is>
      </c>
      <c r="C57" s="10" t="n">
        <v>45659.85960648148</v>
      </c>
      <c r="D57" s="3" t="inlineStr">
        <is>
          <t>OBT030125030120-Pitten (Hamburger)</t>
        </is>
      </c>
      <c r="E57" s="10" t="n">
        <v>45660.12592592592</v>
      </c>
      <c r="F57" s="10" t="n">
        <v>45660.15079861111</v>
      </c>
      <c r="G57" s="11">
        <f>IF(AND(ISNUMBER(C57),ISNUMBER(E57)),(E57-C57),"")</f>
        <v/>
      </c>
      <c r="H57" s="11">
        <f>IF(AND(ISNUMBER(C57),ISNUMBER(F57)),(F57-C57),"")</f>
        <v/>
      </c>
    </row>
    <row r="58">
      <c r="A58" s="3" t="inlineStr">
        <is>
          <t>1001302</t>
        </is>
      </c>
      <c r="B58" s="3" t="inlineStr">
        <is>
          <t>625</t>
        </is>
      </c>
      <c r="C58" s="10" t="n">
        <v>45659.86164351852</v>
      </c>
      <c r="D58" s="3" t="inlineStr">
        <is>
          <t>OBT030125063005-Gloggnitz</t>
        </is>
      </c>
      <c r="E58" s="10" t="n">
        <v>45660.27089120371</v>
      </c>
      <c r="F58" s="10" t="n">
        <v>45660.31383101852</v>
      </c>
      <c r="G58" s="11">
        <f>IF(AND(ISNUMBER(C58),ISNUMBER(E58)),(E58-C58),"")</f>
        <v/>
      </c>
      <c r="H58" s="11">
        <f>IF(AND(ISNUMBER(C58),ISNUMBER(F58)),(F58-C58),"")</f>
        <v/>
      </c>
    </row>
    <row r="59">
      <c r="A59" s="3" t="inlineStr">
        <is>
          <t>1001303</t>
        </is>
      </c>
      <c r="B59" s="3" t="inlineStr">
        <is>
          <t>609</t>
        </is>
      </c>
      <c r="C59" s="10" t="n">
        <v>45659.86313657407</v>
      </c>
      <c r="D59" s="3" t="inlineStr">
        <is>
          <t>OBT090125074546-Wr. Neustadt (Brenntag)</t>
        </is>
      </c>
      <c r="E59" s="10" t="n">
        <v>45666.32344907407</v>
      </c>
      <c r="F59" s="10" t="n">
        <v>45666.39756944445</v>
      </c>
      <c r="G59" s="11">
        <f>IF(AND(ISNUMBER(C59),ISNUMBER(E59)),(E59-C59),"")</f>
        <v/>
      </c>
      <c r="H59" s="11">
        <f>IF(AND(ISNUMBER(C59),ISNUMBER(F59)),(F59-C59),"")</f>
        <v/>
      </c>
    </row>
    <row r="60">
      <c r="A60" s="3" t="inlineStr">
        <is>
          <t>1001304</t>
        </is>
      </c>
      <c r="B60" s="3" t="inlineStr">
        <is>
          <t>613</t>
        </is>
      </c>
      <c r="C60" s="10" t="n">
        <v>45659.86451388889</v>
      </c>
      <c r="D60" s="3" t="inlineStr">
        <is>
          <t>OBT020125210709-Neudörfl (FunderMax)</t>
        </is>
      </c>
      <c r="E60" s="10" t="n">
        <v>45659.87996527777</v>
      </c>
      <c r="F60" s="10" t="n">
        <v>45659.90002314815</v>
      </c>
      <c r="G60" s="11">
        <f>IF(AND(ISNUMBER(C60),ISNUMBER(E60)),(E60-C60),"")</f>
        <v/>
      </c>
      <c r="H60" s="11">
        <f>IF(AND(ISNUMBER(C60),ISNUMBER(F60)),(F60-C60),"")</f>
        <v/>
      </c>
    </row>
    <row r="61">
      <c r="A61" s="3" t="inlineStr">
        <is>
          <t>1001305</t>
        </is>
      </c>
      <c r="B61" s="3" t="inlineStr">
        <is>
          <t>611</t>
        </is>
      </c>
      <c r="C61" s="10" t="n">
        <v>45659.86600694444</v>
      </c>
      <c r="D61" s="3" t="inlineStr">
        <is>
          <t>OBT020125205242-Ebenfurth (beet loading)</t>
        </is>
      </c>
      <c r="E61" s="10" t="n">
        <v>45659.86993055556</v>
      </c>
      <c r="F61" s="10" t="n">
        <v>45659.89896990741</v>
      </c>
      <c r="G61" s="11">
        <f>IF(AND(ISNUMBER(C61),ISNUMBER(E61)),(E61-C61),"")</f>
        <v/>
      </c>
      <c r="H61" s="11">
        <f>IF(AND(ISNUMBER(C61),ISNUMBER(F61)),(F61-C61),"")</f>
        <v/>
      </c>
    </row>
    <row r="62">
      <c r="A62" s="3" t="inlineStr">
        <is>
          <t>1001306</t>
        </is>
      </c>
      <c r="B62" s="3" t="inlineStr">
        <is>
          <t>623</t>
        </is>
      </c>
      <c r="C62" s="10" t="n">
        <v>45659.86777777778</v>
      </c>
      <c r="D62" s="3" t="inlineStr">
        <is>
          <t>OBT030125070748-Neunkirchen (loading tracks)</t>
        </is>
      </c>
      <c r="E62" s="10" t="n">
        <v>45660.29708333333</v>
      </c>
      <c r="F62" s="10" t="n">
        <v>45660.37274305556</v>
      </c>
      <c r="G62" s="11">
        <f>IF(AND(ISNUMBER(C62),ISNUMBER(E62)),(E62-C62),"")</f>
        <v/>
      </c>
      <c r="H62" s="11">
        <f>IF(AND(ISNUMBER(C62),ISNUMBER(F62)),(F62-C62),"")</f>
        <v/>
      </c>
    </row>
    <row r="63">
      <c r="A63" s="3" t="inlineStr">
        <is>
          <t>1001307</t>
        </is>
      </c>
      <c r="B63" s="3" t="inlineStr">
        <is>
          <t>619</t>
        </is>
      </c>
      <c r="C63" s="10" t="n">
        <v>45659.86981481482</v>
      </c>
      <c r="D63" s="3" t="inlineStr">
        <is>
          <t>OBT030125063655-Wr. Neustadt (Hödlmayr)</t>
        </is>
      </c>
      <c r="E63" s="10" t="n">
        <v>45660.27563657407</v>
      </c>
      <c r="F63" s="10" t="n">
        <v>45660.31833333334</v>
      </c>
      <c r="G63" s="11">
        <f>IF(AND(ISNUMBER(C63),ISNUMBER(E63)),(E63-C63),"")</f>
        <v/>
      </c>
      <c r="H63" s="11">
        <f>IF(AND(ISNUMBER(C63),ISNUMBER(F63)),(F63-C63),"")</f>
        <v/>
      </c>
    </row>
    <row r="64">
      <c r="A64" s="3" t="inlineStr">
        <is>
          <t>1001308</t>
        </is>
      </c>
      <c r="B64" s="3" t="inlineStr">
        <is>
          <t>606</t>
        </is>
      </c>
      <c r="C64" s="10" t="n">
        <v>45659.87153935185</v>
      </c>
      <c r="D64" s="3" t="inlineStr">
        <is>
          <t>OBT090125184210-Steinabrückl/Wöllersdorf</t>
        </is>
      </c>
      <c r="E64" s="10" t="n">
        <v>45666.77928240741</v>
      </c>
      <c r="F64" s="10" t="n">
        <v>45666.8174537037</v>
      </c>
      <c r="G64" s="11">
        <f>IF(AND(ISNUMBER(C64),ISNUMBER(E64)),(E64-C64),"")</f>
        <v/>
      </c>
      <c r="H64" s="11">
        <f>IF(AND(ISNUMBER(C64),ISNUMBER(F64)),(F64-C64),"")</f>
        <v/>
      </c>
    </row>
    <row r="65">
      <c r="A65" s="3" t="inlineStr">
        <is>
          <t>1001309</t>
        </is>
      </c>
      <c r="B65" s="3" t="inlineStr">
        <is>
          <t>629</t>
        </is>
      </c>
      <c r="C65" s="10" t="n">
        <v>45659.87346064814</v>
      </c>
      <c r="D65" s="3" t="inlineStr">
        <is>
          <t>OBT020125210324-Other sidings north</t>
        </is>
      </c>
      <c r="E65" s="10" t="n">
        <v>45659.87736111111</v>
      </c>
      <c r="F65" s="10" t="n">
        <v>45659.90067129629</v>
      </c>
      <c r="G65" s="11">
        <f>IF(AND(ISNUMBER(C65),ISNUMBER(E65)),(E65-C65),"")</f>
        <v/>
      </c>
      <c r="H65" s="11">
        <f>IF(AND(ISNUMBER(C65),ISNUMBER(F65)),(F65-C65),"")</f>
        <v/>
      </c>
    </row>
    <row r="66">
      <c r="A66" s="3" t="inlineStr">
        <is>
          <t>1001310</t>
        </is>
      </c>
      <c r="B66" s="3" t="inlineStr">
        <is>
          <t>617</t>
        </is>
      </c>
      <c r="C66" s="10" t="n">
        <v>45659.87475694445</v>
      </c>
      <c r="D66" s="3" t="inlineStr">
        <is>
          <t>OBT030125160132-Wr. Neustadt Ausfahrbf (Furtenbach)</t>
        </is>
      </c>
      <c r="E66" s="10" t="n">
        <v>45660.66773148148</v>
      </c>
      <c r="F66" s="10" t="n">
        <v>45660.69015046296</v>
      </c>
      <c r="G66" s="11">
        <f>IF(AND(ISNUMBER(C66),ISNUMBER(E66)),(E66-C66),"")</f>
        <v/>
      </c>
      <c r="H66" s="11">
        <f>IF(AND(ISNUMBER(C66),ISNUMBER(F66)),(F66-C66),"")</f>
        <v/>
      </c>
    </row>
    <row r="67">
      <c r="A67" s="3" t="inlineStr">
        <is>
          <t>1001311</t>
        </is>
      </c>
      <c r="B67" s="3" t="inlineStr">
        <is>
          <t>613</t>
        </is>
      </c>
      <c r="C67" s="10" t="n">
        <v>45659.87604166667</v>
      </c>
      <c r="D67" s="3" t="inlineStr">
        <is>
          <t>OBT020125210709-Neudörfl (FunderMax)</t>
        </is>
      </c>
      <c r="E67" s="10" t="n">
        <v>45659.87996527777</v>
      </c>
      <c r="F67" s="10" t="n">
        <v>45659.90002314815</v>
      </c>
      <c r="G67" s="11">
        <f>IF(AND(ISNUMBER(C67),ISNUMBER(E67)),(E67-C67),"")</f>
        <v/>
      </c>
      <c r="H67" s="11">
        <f>IF(AND(ISNUMBER(C67),ISNUMBER(F67)),(F67-C67),"")</f>
        <v/>
      </c>
    </row>
    <row r="68">
      <c r="A68" s="3" t="inlineStr">
        <is>
          <t>1001401</t>
        </is>
      </c>
      <c r="B68" s="3" t="inlineStr">
        <is>
          <t>627</t>
        </is>
      </c>
      <c r="C68" s="10" t="n">
        <v>45660.12236111111</v>
      </c>
      <c r="D68" s="3" t="inlineStr">
        <is>
          <t>OBT030125030120-Pitten (Hamburger)</t>
        </is>
      </c>
      <c r="E68" s="10" t="n">
        <v>45660.12592592592</v>
      </c>
      <c r="F68" s="10" t="n">
        <v>45660.15079861111</v>
      </c>
      <c r="G68" s="11">
        <f>IF(AND(ISNUMBER(C68),ISNUMBER(E68)),(E68-C68),"")</f>
        <v/>
      </c>
      <c r="H68" s="11">
        <f>IF(AND(ISNUMBER(C68),ISNUMBER(F68)),(F68-C68),"")</f>
        <v/>
      </c>
    </row>
    <row r="69">
      <c r="A69" s="3" t="inlineStr">
        <is>
          <t>1001402</t>
        </is>
      </c>
      <c r="B69" s="3" t="inlineStr">
        <is>
          <t>615</t>
        </is>
      </c>
      <c r="C69" s="10" t="n">
        <v>45660.12351851852</v>
      </c>
      <c r="D69" s="3" t="inlineStr">
        <is>
          <t>OBT030125061555-Other sidings south</t>
        </is>
      </c>
      <c r="E69" s="10" t="n">
        <v>45660.26105324074</v>
      </c>
      <c r="F69" s="10" t="n">
        <v>45660.28123842592</v>
      </c>
      <c r="G69" s="11">
        <f>IF(AND(ISNUMBER(C69),ISNUMBER(E69)),(E69-C69),"")</f>
        <v/>
      </c>
      <c r="H69" s="11">
        <f>IF(AND(ISNUMBER(C69),ISNUMBER(F69)),(F69-C69),"")</f>
        <v/>
      </c>
    </row>
    <row r="70">
      <c r="A70" s="3" t="inlineStr">
        <is>
          <t>1001403</t>
        </is>
      </c>
      <c r="B70" s="3" t="inlineStr">
        <is>
          <t>623</t>
        </is>
      </c>
      <c r="C70" s="10" t="n">
        <v>45660.12527777778</v>
      </c>
      <c r="D70" s="3" t="inlineStr">
        <is>
          <t>OBT030125070748-Neunkirchen (loading tracks)</t>
        </is>
      </c>
      <c r="E70" s="10" t="n">
        <v>45660.29708333333</v>
      </c>
      <c r="F70" s="10" t="n">
        <v>45660.37274305556</v>
      </c>
      <c r="G70" s="11">
        <f>IF(AND(ISNUMBER(C70),ISNUMBER(E70)),(E70-C70),"")</f>
        <v/>
      </c>
      <c r="H70" s="11">
        <f>IF(AND(ISNUMBER(C70),ISNUMBER(F70)),(F70-C70),"")</f>
        <v/>
      </c>
    </row>
    <row r="71">
      <c r="A71" s="3" t="inlineStr">
        <is>
          <t>1001404</t>
        </is>
      </c>
      <c r="B71" s="3" t="inlineStr">
        <is>
          <t>615</t>
        </is>
      </c>
      <c r="C71" s="10" t="n">
        <v>45660.12644675926</v>
      </c>
      <c r="D71" s="3" t="inlineStr">
        <is>
          <t>OBT030125061555-Other sidings south</t>
        </is>
      </c>
      <c r="E71" s="10" t="n">
        <v>45660.26105324074</v>
      </c>
      <c r="F71" s="10" t="n">
        <v>45660.28123842592</v>
      </c>
      <c r="G71" s="11">
        <f>IF(AND(ISNUMBER(C71),ISNUMBER(E71)),(E71-C71),"")</f>
        <v/>
      </c>
      <c r="H71" s="11">
        <f>IF(AND(ISNUMBER(C71),ISNUMBER(F71)),(F71-C71),"")</f>
        <v/>
      </c>
    </row>
    <row r="72">
      <c r="A72" s="3" t="inlineStr">
        <is>
          <t>1001501</t>
        </is>
      </c>
      <c r="B72" s="3" t="inlineStr">
        <is>
          <t>613</t>
        </is>
      </c>
      <c r="C72" s="10" t="n">
        <v>45660.20282407408</v>
      </c>
      <c r="D72" s="3" t="inlineStr">
        <is>
          <t>OBT030125045529-Neudörfl (FunderMax)</t>
        </is>
      </c>
      <c r="E72" s="10" t="n">
        <v>45660.20519675926</v>
      </c>
      <c r="F72" s="10" t="n">
        <v>45660.29392361111</v>
      </c>
      <c r="G72" s="11">
        <f>IF(AND(ISNUMBER(C72),ISNUMBER(E72)),(E72-C72),"")</f>
        <v/>
      </c>
      <c r="H72" s="11">
        <f>IF(AND(ISNUMBER(C72),ISNUMBER(F72)),(F72-C72),"")</f>
        <v/>
      </c>
    </row>
    <row r="73">
      <c r="A73" s="3" t="inlineStr">
        <is>
          <t>1001601</t>
        </is>
      </c>
      <c r="B73" s="3" t="inlineStr">
        <is>
          <t>607</t>
        </is>
      </c>
      <c r="C73" s="10" t="n">
        <v>45660.25265046296</v>
      </c>
      <c r="D73" s="3" t="inlineStr">
        <is>
          <t>OBT030125205107-Other sidings local</t>
        </is>
      </c>
      <c r="E73" s="10" t="n">
        <v>45660.86883101852</v>
      </c>
      <c r="F73" s="10" t="n">
        <v>45660.91559027778</v>
      </c>
      <c r="G73" s="11">
        <f>IF(AND(ISNUMBER(C73),ISNUMBER(E73)),(E73-C73),"")</f>
        <v/>
      </c>
      <c r="H73" s="11">
        <f>IF(AND(ISNUMBER(C73),ISNUMBER(F73)),(F73-C73),"")</f>
        <v/>
      </c>
    </row>
    <row r="74">
      <c r="A74" s="3" t="inlineStr">
        <is>
          <t>1001602</t>
        </is>
      </c>
      <c r="B74" s="3" t="inlineStr">
        <is>
          <t>627</t>
        </is>
      </c>
      <c r="C74" s="10" t="n">
        <v>45660.25457175926</v>
      </c>
      <c r="D74" s="3" t="inlineStr">
        <is>
          <t>OBT030125063320-Ternitz (Schoeller-Bleckmann)</t>
        </is>
      </c>
      <c r="E74" s="10" t="n">
        <v>45660.27314814815</v>
      </c>
      <c r="F74" s="10" t="n">
        <v>45660.30805555556</v>
      </c>
      <c r="G74" s="11">
        <f>IF(AND(ISNUMBER(C74),ISNUMBER(E74)),(E74-C74),"")</f>
        <v/>
      </c>
      <c r="H74" s="11">
        <f>IF(AND(ISNUMBER(C74),ISNUMBER(F74)),(F74-C74),"")</f>
        <v/>
      </c>
    </row>
    <row r="75">
      <c r="A75" s="3" t="inlineStr">
        <is>
          <t>1001603</t>
        </is>
      </c>
      <c r="B75" s="3" t="inlineStr">
        <is>
          <t>623</t>
        </is>
      </c>
      <c r="C75" s="10" t="n">
        <v>45660.25633101852</v>
      </c>
      <c r="D75" s="3" t="inlineStr">
        <is>
          <t>OBT030125070748-Neunkirchen (loading tracks)</t>
        </is>
      </c>
      <c r="E75" s="10" t="n">
        <v>45660.29708333333</v>
      </c>
      <c r="F75" s="10" t="n">
        <v>45660.37274305556</v>
      </c>
      <c r="G75" s="11">
        <f>IF(AND(ISNUMBER(C75),ISNUMBER(E75)),(E75-C75),"")</f>
        <v/>
      </c>
      <c r="H75" s="11">
        <f>IF(AND(ISNUMBER(C75),ISNUMBER(F75)),(F75-C75),"")</f>
        <v/>
      </c>
    </row>
    <row r="76">
      <c r="A76" s="3" t="inlineStr">
        <is>
          <t>1001604</t>
        </is>
      </c>
      <c r="B76" s="3" t="inlineStr">
        <is>
          <t>615</t>
        </is>
      </c>
      <c r="C76" s="10" t="n">
        <v>45660.25751157408</v>
      </c>
      <c r="D76" s="3" t="inlineStr">
        <is>
          <t>OBT030125061555-Other sidings south</t>
        </is>
      </c>
      <c r="E76" s="10" t="n">
        <v>45660.26105324074</v>
      </c>
      <c r="F76" s="10" t="n">
        <v>45660.28123842592</v>
      </c>
      <c r="G76" s="11">
        <f>IF(AND(ISNUMBER(C76),ISNUMBER(E76)),(E76-C76),"")</f>
        <v/>
      </c>
      <c r="H76" s="11">
        <f>IF(AND(ISNUMBER(C76),ISNUMBER(F76)),(F76-C76),"")</f>
        <v/>
      </c>
    </row>
    <row r="77">
      <c r="A77" s="3" t="inlineStr">
        <is>
          <t>1001605</t>
        </is>
      </c>
      <c r="B77" s="3" t="inlineStr">
        <is>
          <t>611</t>
        </is>
      </c>
      <c r="C77" s="10" t="n">
        <v>45660.25890046296</v>
      </c>
      <c r="D77" s="3" t="inlineStr">
        <is>
          <t>OBT030125220232-Neudörfl (FunderMax)</t>
        </is>
      </c>
      <c r="E77" s="10" t="n">
        <v>45660.91842592593</v>
      </c>
      <c r="F77" s="10" t="n">
        <v>45660.93917824074</v>
      </c>
      <c r="G77" s="11">
        <f>IF(AND(ISNUMBER(C77),ISNUMBER(E77)),(E77-C77),"")</f>
        <v/>
      </c>
      <c r="H77" s="11">
        <f>IF(AND(ISNUMBER(C77),ISNUMBER(F77)),(F77-C77),"")</f>
        <v/>
      </c>
    </row>
    <row r="78">
      <c r="A78" s="3" t="inlineStr">
        <is>
          <t>1001606</t>
        </is>
      </c>
      <c r="B78" s="3" t="inlineStr">
        <is>
          <t>619</t>
        </is>
      </c>
      <c r="C78" s="10" t="n">
        <v>45660.26087962963</v>
      </c>
      <c r="D78" s="3" t="inlineStr">
        <is>
          <t>OBT030125063655-Wr. Neustadt (Hödlmayr)</t>
        </is>
      </c>
      <c r="E78" s="10" t="n">
        <v>45660.27563657407</v>
      </c>
      <c r="F78" s="10" t="n">
        <v>45660.31833333334</v>
      </c>
      <c r="G78" s="11">
        <f>IF(AND(ISNUMBER(C78),ISNUMBER(E78)),(E78-C78),"")</f>
        <v/>
      </c>
      <c r="H78" s="11">
        <f>IF(AND(ISNUMBER(C78),ISNUMBER(F78)),(F78-C78),"")</f>
        <v/>
      </c>
    </row>
    <row r="79">
      <c r="A79" s="3" t="inlineStr">
        <is>
          <t>1001607</t>
        </is>
      </c>
      <c r="B79" s="3" t="inlineStr">
        <is>
          <t>629</t>
        </is>
      </c>
      <c r="C79" s="10" t="n">
        <v>45660.26278935185</v>
      </c>
      <c r="D79" s="3" t="inlineStr">
        <is>
          <t>OBT030125203217-Other sidings north</t>
        </is>
      </c>
      <c r="E79" s="10" t="n">
        <v>45660.85575231481</v>
      </c>
      <c r="F79" s="10" t="n">
        <v>45660.87640046296</v>
      </c>
      <c r="G79" s="11">
        <f>IF(AND(ISNUMBER(C79),ISNUMBER(E79)),(E79-C79),"")</f>
        <v/>
      </c>
      <c r="H79" s="11">
        <f>IF(AND(ISNUMBER(C79),ISNUMBER(F79)),(F79-C79),"")</f>
        <v/>
      </c>
    </row>
    <row r="80">
      <c r="A80" s="3" t="inlineStr">
        <is>
          <t>1001608</t>
        </is>
      </c>
      <c r="B80" s="3" t="inlineStr">
        <is>
          <t>627</t>
        </is>
      </c>
      <c r="C80" s="10" t="n">
        <v>45660.26469907408</v>
      </c>
      <c r="D80" s="3" t="inlineStr">
        <is>
          <t>OBT030125063320-Ternitz (Schoeller-Bleckmann)</t>
        </is>
      </c>
      <c r="E80" s="10" t="n">
        <v>45660.27314814815</v>
      </c>
      <c r="F80" s="10" t="n">
        <v>45660.30805555556</v>
      </c>
      <c r="G80" s="11">
        <f>IF(AND(ISNUMBER(C80),ISNUMBER(E80)),(E80-C80),"")</f>
        <v/>
      </c>
      <c r="H80" s="11">
        <f>IF(AND(ISNUMBER(C80),ISNUMBER(F80)),(F80-C80),"")</f>
        <v/>
      </c>
    </row>
    <row r="81">
      <c r="A81" s="3" t="inlineStr">
        <is>
          <t>1001609</t>
        </is>
      </c>
      <c r="B81" s="3" t="inlineStr">
        <is>
          <t>625</t>
        </is>
      </c>
      <c r="C81" s="10" t="n">
        <v>45660.26697916666</v>
      </c>
      <c r="D81" s="3" t="inlineStr">
        <is>
          <t>OBT030125063005-Gloggnitz</t>
        </is>
      </c>
      <c r="E81" s="10" t="n">
        <v>45660.27089120371</v>
      </c>
      <c r="F81" s="10" t="n">
        <v>45660.31383101852</v>
      </c>
      <c r="G81" s="11">
        <f>IF(AND(ISNUMBER(C81),ISNUMBER(E81)),(E81-C81),"")</f>
        <v/>
      </c>
      <c r="H81" s="11">
        <f>IF(AND(ISNUMBER(C81),ISNUMBER(F81)),(F81-C81),"")</f>
        <v/>
      </c>
    </row>
    <row r="82">
      <c r="A82" s="3" t="inlineStr">
        <is>
          <t>1001610</t>
        </is>
      </c>
      <c r="B82" s="3" t="inlineStr">
        <is>
          <t>627</t>
        </is>
      </c>
      <c r="C82" s="10" t="n">
        <v>45660.2691087963</v>
      </c>
      <c r="D82" s="3" t="inlineStr">
        <is>
          <t>OBT030125063320-Ternitz (Schoeller-Bleckmann)</t>
        </is>
      </c>
      <c r="E82" s="10" t="n">
        <v>45660.27314814815</v>
      </c>
      <c r="F82" s="10" t="n">
        <v>45660.30805555556</v>
      </c>
      <c r="G82" s="11">
        <f>IF(AND(ISNUMBER(C82),ISNUMBER(E82)),(E82-C82),"")</f>
        <v/>
      </c>
      <c r="H82" s="11">
        <f>IF(AND(ISNUMBER(C82),ISNUMBER(F82)),(F82-C82),"")</f>
        <v/>
      </c>
    </row>
    <row r="83">
      <c r="A83" s="3" t="inlineStr">
        <is>
          <t>1001611</t>
        </is>
      </c>
      <c r="B83" s="3" t="inlineStr">
        <is>
          <t>619</t>
        </is>
      </c>
      <c r="C83" s="10" t="n">
        <v>45660.27108796296</v>
      </c>
      <c r="D83" s="3" t="inlineStr">
        <is>
          <t>OBT030125063655-Wr. Neustadt (Hödlmayr)</t>
        </is>
      </c>
      <c r="E83" s="10" t="n">
        <v>45660.27563657407</v>
      </c>
      <c r="F83" s="10" t="n">
        <v>45660.31833333334</v>
      </c>
      <c r="G83" s="11">
        <f>IF(AND(ISNUMBER(C83),ISNUMBER(E83)),(E83-C83),"")</f>
        <v/>
      </c>
      <c r="H83" s="11">
        <f>IF(AND(ISNUMBER(C83),ISNUMBER(F83)),(F83-C83),"")</f>
        <v/>
      </c>
    </row>
    <row r="84">
      <c r="A84" s="3" t="inlineStr">
        <is>
          <t>1001701</t>
        </is>
      </c>
      <c r="B84" s="3" t="inlineStr">
        <is>
          <t>623</t>
        </is>
      </c>
      <c r="C84" s="10" t="n">
        <v>45660.28252314815</v>
      </c>
      <c r="D84" s="3" t="inlineStr">
        <is>
          <t>OBT030125070748-Neunkirchen (loading tracks)</t>
        </is>
      </c>
      <c r="E84" s="10" t="n">
        <v>45660.29708333333</v>
      </c>
      <c r="F84" s="10" t="n">
        <v>45660.37274305556</v>
      </c>
      <c r="G84" s="11">
        <f>IF(AND(ISNUMBER(C84),ISNUMBER(E84)),(E84-C84),"")</f>
        <v/>
      </c>
      <c r="H84" s="11">
        <f>IF(AND(ISNUMBER(C84),ISNUMBER(F84)),(F84-C84),"")</f>
        <v/>
      </c>
    </row>
    <row r="85">
      <c r="A85" s="3" t="inlineStr">
        <is>
          <t>1001801</t>
        </is>
      </c>
      <c r="B85" s="3" t="inlineStr">
        <is>
          <t>629</t>
        </is>
      </c>
      <c r="C85" s="10" t="n">
        <v>45660.31821759259</v>
      </c>
      <c r="D85" s="3" t="inlineStr">
        <is>
          <t>OBT030125203217-Other sidings north</t>
        </is>
      </c>
      <c r="E85" s="10" t="n">
        <v>45660.85575231481</v>
      </c>
      <c r="F85" s="10" t="n">
        <v>45660.87640046296</v>
      </c>
      <c r="G85" s="11">
        <f>IF(AND(ISNUMBER(C85),ISNUMBER(E85)),(E85-C85),"")</f>
        <v/>
      </c>
      <c r="H85" s="11">
        <f>IF(AND(ISNUMBER(C85),ISNUMBER(F85)),(F85-C85),"")</f>
        <v/>
      </c>
    </row>
    <row r="86">
      <c r="A86" s="3" t="inlineStr">
        <is>
          <t>1001802</t>
        </is>
      </c>
      <c r="B86" s="3" t="inlineStr">
        <is>
          <t>615</t>
        </is>
      </c>
      <c r="C86" s="10" t="n">
        <v>45660.31938657408</v>
      </c>
      <c r="D86" s="3" t="inlineStr">
        <is>
          <t>OBT030125220353-Other sidings south</t>
        </is>
      </c>
      <c r="E86" s="10" t="n">
        <v>45660.91936342593</v>
      </c>
      <c r="F86" s="10" t="n">
        <v>45660.94706018519</v>
      </c>
      <c r="G86" s="11">
        <f>IF(AND(ISNUMBER(C86),ISNUMBER(E86)),(E86-C86),"")</f>
        <v/>
      </c>
      <c r="H86" s="11">
        <f>IF(AND(ISNUMBER(C86),ISNUMBER(F86)),(F86-C86),"")</f>
        <v/>
      </c>
    </row>
    <row r="87">
      <c r="A87" s="3" t="inlineStr">
        <is>
          <t>1001803</t>
        </is>
      </c>
      <c r="B87" s="3" t="inlineStr">
        <is>
          <t>623</t>
        </is>
      </c>
      <c r="C87" s="10" t="n">
        <v>45660.3212037037</v>
      </c>
      <c r="D87" s="3" t="inlineStr">
        <is>
          <t>OBT070125031735-Neunkirchen (loading tracks)</t>
        </is>
      </c>
      <c r="E87" s="10" t="n">
        <v>45664.13721064815</v>
      </c>
      <c r="F87" s="10" t="n">
        <v>45664.18564814814</v>
      </c>
      <c r="G87" s="11">
        <f>IF(AND(ISNUMBER(C87),ISNUMBER(E87)),(E87-C87),"")</f>
        <v/>
      </c>
      <c r="H87" s="11">
        <f>IF(AND(ISNUMBER(C87),ISNUMBER(F87)),(F87-C87),"")</f>
        <v/>
      </c>
    </row>
    <row r="88">
      <c r="A88" s="3" t="inlineStr">
        <is>
          <t>1001804</t>
        </is>
      </c>
      <c r="B88" s="3" t="inlineStr">
        <is>
          <t>613</t>
        </is>
      </c>
      <c r="C88" s="10" t="n">
        <v>45660.3225</v>
      </c>
      <c r="D88" s="3" t="inlineStr">
        <is>
          <t>OBT030125203727-Wr. Neustadt (Hödlmayr)</t>
        </is>
      </c>
      <c r="E88" s="10" t="n">
        <v>45660.85934027778</v>
      </c>
      <c r="F88" s="10" t="n">
        <v>45660.89388888889</v>
      </c>
      <c r="G88" s="11">
        <f>IF(AND(ISNUMBER(C88),ISNUMBER(E88)),(E88-C88),"")</f>
        <v/>
      </c>
      <c r="H88" s="11">
        <f>IF(AND(ISNUMBER(C88),ISNUMBER(F88)),(F88-C88),"")</f>
        <v/>
      </c>
    </row>
    <row r="89">
      <c r="A89" s="3" t="inlineStr">
        <is>
          <t>1001805</t>
        </is>
      </c>
      <c r="B89" s="3" t="inlineStr">
        <is>
          <t>621</t>
        </is>
      </c>
      <c r="C89" s="10" t="n">
        <v>45660.32471064815</v>
      </c>
      <c r="D89" s="3" t="inlineStr">
        <is>
          <t>OBT030125075311-Felixdorf/Sollenau (Bundesheer, Maba)</t>
        </is>
      </c>
      <c r="E89" s="10" t="n">
        <v>45660.32859953704</v>
      </c>
      <c r="F89" s="10" t="n">
        <v>45660.36324074074</v>
      </c>
      <c r="G89" s="11">
        <f>IF(AND(ISNUMBER(C89),ISNUMBER(E89)),(E89-C89),"")</f>
        <v/>
      </c>
      <c r="H89" s="11">
        <f>IF(AND(ISNUMBER(C89),ISNUMBER(F89)),(F89-C89),"")</f>
        <v/>
      </c>
    </row>
    <row r="90">
      <c r="A90" s="3" t="inlineStr">
        <is>
          <t>1001806</t>
        </is>
      </c>
      <c r="B90" s="3" t="inlineStr">
        <is>
          <t>619</t>
        </is>
      </c>
      <c r="C90" s="10" t="n">
        <v>45660.32677083334</v>
      </c>
      <c r="D90" s="3" t="inlineStr">
        <is>
          <t>OBT030125090958-Ebenfurth (beet loading)</t>
        </is>
      </c>
      <c r="E90" s="10" t="n">
        <v>45660.3819212963</v>
      </c>
      <c r="F90" s="10" t="n">
        <v>45660.42116898148</v>
      </c>
      <c r="G90" s="11">
        <f>IF(AND(ISNUMBER(C90),ISNUMBER(E90)),(E90-C90),"")</f>
        <v/>
      </c>
      <c r="H90" s="11">
        <f>IF(AND(ISNUMBER(C90),ISNUMBER(F90)),(F90-C90),"")</f>
        <v/>
      </c>
    </row>
    <row r="91">
      <c r="A91" s="3" t="inlineStr">
        <is>
          <t>1001807</t>
        </is>
      </c>
      <c r="B91" s="3" t="inlineStr">
        <is>
          <t>607</t>
        </is>
      </c>
      <c r="C91" s="10" t="n">
        <v>45660.32837962963</v>
      </c>
      <c r="D91" s="3" t="inlineStr">
        <is>
          <t>OBT030125205107-Other sidings local</t>
        </is>
      </c>
      <c r="E91" s="10" t="n">
        <v>45660.86883101852</v>
      </c>
      <c r="F91" s="10" t="n">
        <v>45660.91559027778</v>
      </c>
      <c r="G91" s="11">
        <f>IF(AND(ISNUMBER(C91),ISNUMBER(E91)),(E91-C91),"")</f>
        <v/>
      </c>
      <c r="H91" s="11">
        <f>IF(AND(ISNUMBER(C91),ISNUMBER(F91)),(F91-C91),"")</f>
        <v/>
      </c>
    </row>
    <row r="92">
      <c r="A92" s="3" t="inlineStr">
        <is>
          <t>1001901</t>
        </is>
      </c>
      <c r="B92" s="3" t="inlineStr">
        <is>
          <t>627</t>
        </is>
      </c>
      <c r="C92" s="10" t="n">
        <v>45660.33168981481</v>
      </c>
      <c r="D92" s="3" t="inlineStr">
        <is>
          <t>OBT030125080046-Wien Kledering</t>
        </is>
      </c>
      <c r="E92" s="10" t="n">
        <v>45660.33386574074</v>
      </c>
      <c r="F92" s="10" t="n">
        <v>45660.38109953704</v>
      </c>
      <c r="G92" s="11">
        <f>IF(AND(ISNUMBER(C92),ISNUMBER(E92)),(E92-C92),"")</f>
        <v/>
      </c>
      <c r="H92" s="11">
        <f>IF(AND(ISNUMBER(C92),ISNUMBER(F92)),(F92-C92),"")</f>
        <v/>
      </c>
    </row>
    <row r="93">
      <c r="A93" s="3" t="inlineStr">
        <is>
          <t>1002001</t>
        </is>
      </c>
      <c r="B93" s="3" t="inlineStr">
        <is>
          <t>625</t>
        </is>
      </c>
      <c r="C93" s="10" t="n">
        <v>45660.34387731482</v>
      </c>
      <c r="D93" s="3" t="inlineStr">
        <is>
          <t>OBT030125084617-Wien Kledering</t>
        </is>
      </c>
      <c r="E93" s="10" t="n">
        <v>45660.36547453704</v>
      </c>
      <c r="F93" s="10" t="n">
        <v>45660.43744212963</v>
      </c>
      <c r="G93" s="11">
        <f>IF(AND(ISNUMBER(C93),ISNUMBER(E93)),(E93-C93),"")</f>
        <v/>
      </c>
      <c r="H93" s="11">
        <f>IF(AND(ISNUMBER(C93),ISNUMBER(F93)),(F93-C93),"")</f>
        <v/>
      </c>
    </row>
    <row r="94">
      <c r="A94" s="3" t="inlineStr">
        <is>
          <t>1002101</t>
        </is>
      </c>
      <c r="B94" s="3" t="inlineStr">
        <is>
          <t>605</t>
        </is>
      </c>
      <c r="C94" s="10" t="n">
        <v>45660.37611111111</v>
      </c>
      <c r="D94" s="3" t="inlineStr">
        <is>
          <t>OBT030125090715-St. Veit an der Glan</t>
        </is>
      </c>
      <c r="E94" s="10" t="n">
        <v>45660.38003472222</v>
      </c>
      <c r="F94" s="10" t="n">
        <v>45660.42228009259</v>
      </c>
      <c r="G94" s="11">
        <f>IF(AND(ISNUMBER(C94),ISNUMBER(E94)),(E94-C94),"")</f>
        <v/>
      </c>
      <c r="H94" s="11">
        <f>IF(AND(ISNUMBER(C94),ISNUMBER(F94)),(F94-C94),"")</f>
        <v/>
      </c>
    </row>
    <row r="95">
      <c r="A95" s="3" t="inlineStr">
        <is>
          <t>1002102</t>
        </is>
      </c>
      <c r="B95" s="3" t="inlineStr">
        <is>
          <t>619</t>
        </is>
      </c>
      <c r="C95" s="10" t="n">
        <v>45660.37836805556</v>
      </c>
      <c r="D95" s="3" t="inlineStr">
        <is>
          <t>OBT030125090958-Ebenfurth (beet loading)</t>
        </is>
      </c>
      <c r="E95" s="10" t="n">
        <v>45660.3819212963</v>
      </c>
      <c r="F95" s="10" t="n">
        <v>45660.42116898148</v>
      </c>
      <c r="G95" s="11">
        <f>IF(AND(ISNUMBER(C95),ISNUMBER(E95)),(E95-C95),"")</f>
        <v/>
      </c>
      <c r="H95" s="11">
        <f>IF(AND(ISNUMBER(C95),ISNUMBER(F95)),(F95-C95),"")</f>
        <v/>
      </c>
    </row>
    <row r="96">
      <c r="A96" s="3" t="inlineStr">
        <is>
          <t>1002201</t>
        </is>
      </c>
      <c r="B96" s="3" t="inlineStr">
        <is>
          <t>627</t>
        </is>
      </c>
      <c r="C96" s="10" t="n">
        <v>45660.45200231481</v>
      </c>
      <c r="D96" s="3" t="inlineStr">
        <is>
          <t>OBT030125105420-Wien Kledering</t>
        </is>
      </c>
      <c r="E96" s="10" t="n">
        <v>45660.45439814815</v>
      </c>
      <c r="F96" s="10" t="n">
        <v>45660.50251157407</v>
      </c>
      <c r="G96" s="11">
        <f>IF(AND(ISNUMBER(C96),ISNUMBER(E96)),(E96-C96),"")</f>
        <v/>
      </c>
      <c r="H96" s="11">
        <f>IF(AND(ISNUMBER(C96),ISNUMBER(F96)),(F96-C96),"")</f>
        <v/>
      </c>
    </row>
    <row r="97">
      <c r="A97" s="3" t="inlineStr">
        <is>
          <t>1002202</t>
        </is>
      </c>
      <c r="B97" s="3" t="inlineStr">
        <is>
          <t>625</t>
        </is>
      </c>
      <c r="C97" s="10" t="n">
        <v>45660.45403935185</v>
      </c>
      <c r="D97" s="3" t="inlineStr">
        <is>
          <t>OBT070125084545-St. Veit an der Glan</t>
        </is>
      </c>
      <c r="E97" s="10" t="n">
        <v>45664.36510416667</v>
      </c>
      <c r="F97" s="10" t="n">
        <v>45664.43795138889</v>
      </c>
      <c r="G97" s="11">
        <f>IF(AND(ISNUMBER(C97),ISNUMBER(E97)),(E97-C97),"")</f>
        <v/>
      </c>
      <c r="H97" s="11">
        <f>IF(AND(ISNUMBER(C97),ISNUMBER(F97)),(F97-C97),"")</f>
        <v/>
      </c>
    </row>
    <row r="98">
      <c r="A98" s="3" t="inlineStr">
        <is>
          <t>1002203</t>
        </is>
      </c>
      <c r="B98" s="3" t="inlineStr">
        <is>
          <t>605</t>
        </is>
      </c>
      <c r="C98" s="10" t="n">
        <v>45660.45607638889</v>
      </c>
      <c r="D98" s="3" t="inlineStr">
        <is>
          <t>OBT030125110012-Wien Kledering</t>
        </is>
      </c>
      <c r="E98" s="10" t="n">
        <v>45660.45847222222</v>
      </c>
      <c r="F98" s="10" t="n">
        <v>45660.48567129629</v>
      </c>
      <c r="G98" s="11">
        <f>IF(AND(ISNUMBER(C98),ISNUMBER(E98)),(E98-C98),"")</f>
        <v/>
      </c>
      <c r="H98" s="11">
        <f>IF(AND(ISNUMBER(C98),ISNUMBER(F98)),(F98-C98),"")</f>
        <v/>
      </c>
    </row>
    <row r="99">
      <c r="A99" s="3" t="inlineStr">
        <is>
          <t>1002301</t>
        </is>
      </c>
      <c r="B99" s="3" t="inlineStr">
        <is>
          <t>627</t>
        </is>
      </c>
      <c r="C99" s="10" t="n">
        <v>45660.55142361111</v>
      </c>
      <c r="D99" s="3" t="inlineStr">
        <is>
          <t>OBT030125131727-Wien Kledering</t>
        </is>
      </c>
      <c r="E99" s="10" t="n">
        <v>45660.55378472222</v>
      </c>
      <c r="F99" s="10" t="n">
        <v>45660.60395833333</v>
      </c>
      <c r="G99" s="11">
        <f>IF(AND(ISNUMBER(C99),ISNUMBER(E99)),(E99-C99),"")</f>
        <v/>
      </c>
      <c r="H99" s="11">
        <f>IF(AND(ISNUMBER(C99),ISNUMBER(F99)),(F99-C99),"")</f>
        <v/>
      </c>
    </row>
    <row r="100">
      <c r="A100" s="3" t="inlineStr">
        <is>
          <t>1002401</t>
        </is>
      </c>
      <c r="B100" s="3" t="inlineStr">
        <is>
          <t>605</t>
        </is>
      </c>
      <c r="C100" s="10" t="n">
        <v>45660.60427083333</v>
      </c>
      <c r="D100" s="3" t="inlineStr">
        <is>
          <t>OBT030125160747-Wien Kledering</t>
        </is>
      </c>
      <c r="E100" s="10" t="n">
        <v>45660.67207175926</v>
      </c>
      <c r="F100" s="10" t="n">
        <v>45660.69645833333</v>
      </c>
      <c r="G100" s="11">
        <f>IF(AND(ISNUMBER(C100),ISNUMBER(E100)),(E100-C100),"")</f>
        <v/>
      </c>
      <c r="H100" s="11">
        <f>IF(AND(ISNUMBER(C100),ISNUMBER(F100)),(F100-C100),"")</f>
        <v/>
      </c>
    </row>
    <row r="101">
      <c r="A101" s="3" t="inlineStr">
        <is>
          <t>1002501</t>
        </is>
      </c>
      <c r="B101" s="3" t="inlineStr">
        <is>
          <t>619</t>
        </is>
      </c>
      <c r="C101" s="10" t="n">
        <v>45660.64829861111</v>
      </c>
      <c r="D101" s="3" t="inlineStr">
        <is>
          <t>OBT030125204417-Ebenfurth (beet loading)</t>
        </is>
      </c>
      <c r="E101" s="10" t="n">
        <v>45660.86408564815</v>
      </c>
      <c r="F101" s="10" t="n">
        <v>45660.90193287037</v>
      </c>
      <c r="G101" s="11">
        <f>IF(AND(ISNUMBER(C101),ISNUMBER(E101)),(E101-C101),"")</f>
        <v/>
      </c>
      <c r="H101" s="11">
        <f>IF(AND(ISNUMBER(C101),ISNUMBER(F101)),(F101-C101),"")</f>
        <v/>
      </c>
    </row>
    <row r="102">
      <c r="A102" s="3" t="inlineStr">
        <is>
          <t>1002502</t>
        </is>
      </c>
      <c r="B102" s="3" t="inlineStr">
        <is>
          <t>627</t>
        </is>
      </c>
      <c r="C102" s="10" t="n">
        <v>45660.65055555556</v>
      </c>
      <c r="D102" s="3" t="inlineStr">
        <is>
          <t>OBT030125154014-Pitten (Hamburger)</t>
        </is>
      </c>
      <c r="E102" s="10" t="n">
        <v>45660.65293981481</v>
      </c>
      <c r="F102" s="10" t="n">
        <v>45660.68304398148</v>
      </c>
      <c r="G102" s="11">
        <f>IF(AND(ISNUMBER(C102),ISNUMBER(E102)),(E102-C102),"")</f>
        <v/>
      </c>
      <c r="H102" s="11">
        <f>IF(AND(ISNUMBER(C102),ISNUMBER(F102)),(F102-C102),"")</f>
        <v/>
      </c>
    </row>
    <row r="103">
      <c r="A103" s="3" t="inlineStr">
        <is>
          <t>1002503</t>
        </is>
      </c>
      <c r="B103" s="3" t="inlineStr">
        <is>
          <t>613</t>
        </is>
      </c>
      <c r="C103" s="10" t="n">
        <v>45660.65186342593</v>
      </c>
      <c r="D103" s="3" t="inlineStr">
        <is>
          <t>OBT030125203727-Wr. Neustadt (Hödlmayr)</t>
        </is>
      </c>
      <c r="E103" s="10" t="n">
        <v>45660.85934027778</v>
      </c>
      <c r="F103" s="10" t="n">
        <v>45660.89388888889</v>
      </c>
      <c r="G103" s="11">
        <f>IF(AND(ISNUMBER(C103),ISNUMBER(E103)),(E103-C103),"")</f>
        <v/>
      </c>
      <c r="H103" s="11">
        <f>IF(AND(ISNUMBER(C103),ISNUMBER(F103)),(F103-C103),"")</f>
        <v/>
      </c>
    </row>
    <row r="104">
      <c r="A104" s="3" t="inlineStr">
        <is>
          <t>1002504</t>
        </is>
      </c>
      <c r="B104" s="3" t="inlineStr">
        <is>
          <t>619</t>
        </is>
      </c>
      <c r="C104" s="10" t="n">
        <v>45660.65381944444</v>
      </c>
      <c r="D104" s="3" t="inlineStr">
        <is>
          <t>OBT030125204417-Ebenfurth (beet loading)</t>
        </is>
      </c>
      <c r="E104" s="10" t="n">
        <v>45660.86408564815</v>
      </c>
      <c r="F104" s="10" t="n">
        <v>45660.90193287037</v>
      </c>
      <c r="G104" s="11">
        <f>IF(AND(ISNUMBER(C104),ISNUMBER(E104)),(E104-C104),"")</f>
        <v/>
      </c>
      <c r="H104" s="11">
        <f>IF(AND(ISNUMBER(C104),ISNUMBER(F104)),(F104-C104),"")</f>
        <v/>
      </c>
    </row>
    <row r="105">
      <c r="A105" s="3" t="inlineStr">
        <is>
          <t>1002505</t>
        </is>
      </c>
      <c r="B105" s="3" t="inlineStr">
        <is>
          <t>611</t>
        </is>
      </c>
      <c r="C105" s="10" t="n">
        <v>45660.65521990741</v>
      </c>
      <c r="D105" s="3" t="inlineStr">
        <is>
          <t>OBT030125220232-Neudörfl (FunderMax)</t>
        </is>
      </c>
      <c r="E105" s="10" t="n">
        <v>45660.91842592593</v>
      </c>
      <c r="F105" s="10" t="n">
        <v>45660.93917824074</v>
      </c>
      <c r="G105" s="11">
        <f>IF(AND(ISNUMBER(C105),ISNUMBER(E105)),(E105-C105),"")</f>
        <v/>
      </c>
      <c r="H105" s="11">
        <f>IF(AND(ISNUMBER(C105),ISNUMBER(F105)),(F105-C105),"")</f>
        <v/>
      </c>
    </row>
    <row r="106">
      <c r="A106" s="3" t="inlineStr">
        <is>
          <t>1002506</t>
        </is>
      </c>
      <c r="B106" s="3" t="inlineStr">
        <is>
          <t>621</t>
        </is>
      </c>
      <c r="C106" s="10" t="n">
        <v>45660.65717592592</v>
      </c>
      <c r="D106" s="3" t="inlineStr">
        <is>
          <t>OBT080125153109-Felixdorf/Sollenau (Bundesheer, Maba)</t>
        </is>
      </c>
      <c r="E106" s="10" t="n">
        <v>45665.64663194444</v>
      </c>
      <c r="F106" s="10" t="n">
        <v>45665.67341435186</v>
      </c>
      <c r="G106" s="11">
        <f>IF(AND(ISNUMBER(C106),ISNUMBER(E106)),(E106-C106),"")</f>
        <v/>
      </c>
      <c r="H106" s="11">
        <f>IF(AND(ISNUMBER(C106),ISNUMBER(F106)),(F106-C106),"")</f>
        <v/>
      </c>
    </row>
    <row r="107">
      <c r="A107" s="3" t="inlineStr">
        <is>
          <t>1002507</t>
        </is>
      </c>
      <c r="B107" s="3" t="inlineStr">
        <is>
          <t>629</t>
        </is>
      </c>
      <c r="C107" s="10" t="n">
        <v>45660.65909722223</v>
      </c>
      <c r="D107" s="3" t="inlineStr">
        <is>
          <t>OBT030125203217-Other sidings north</t>
        </is>
      </c>
      <c r="E107" s="10" t="n">
        <v>45660.85575231481</v>
      </c>
      <c r="F107" s="10" t="n">
        <v>45660.87640046296</v>
      </c>
      <c r="G107" s="11">
        <f>IF(AND(ISNUMBER(C107),ISNUMBER(E107)),(E107-C107),"")</f>
        <v/>
      </c>
      <c r="H107" s="11">
        <f>IF(AND(ISNUMBER(C107),ISNUMBER(F107)),(F107-C107),"")</f>
        <v/>
      </c>
    </row>
    <row r="108">
      <c r="A108" s="3" t="inlineStr">
        <is>
          <t>1002508</t>
        </is>
      </c>
      <c r="B108" s="3" t="inlineStr">
        <is>
          <t>617</t>
        </is>
      </c>
      <c r="C108" s="10" t="n">
        <v>45660.66039351852</v>
      </c>
      <c r="D108" s="3" t="inlineStr">
        <is>
          <t>OBT030125160132-Wr. Neustadt Ausfahrbf (Furtenbach)</t>
        </is>
      </c>
      <c r="E108" s="10" t="n">
        <v>45660.66773148148</v>
      </c>
      <c r="F108" s="10" t="n">
        <v>45660.69015046296</v>
      </c>
      <c r="G108" s="11">
        <f>IF(AND(ISNUMBER(C108),ISNUMBER(E108)),(E108-C108),"")</f>
        <v/>
      </c>
      <c r="H108" s="11">
        <f>IF(AND(ISNUMBER(C108),ISNUMBER(F108)),(F108-C108),"")</f>
        <v/>
      </c>
    </row>
    <row r="109">
      <c r="A109" s="3" t="inlineStr">
        <is>
          <t>1002509</t>
        </is>
      </c>
      <c r="B109" s="3" t="inlineStr">
        <is>
          <t>625</t>
        </is>
      </c>
      <c r="C109" s="10" t="n">
        <v>45660.66241898148</v>
      </c>
      <c r="D109" s="3" t="inlineStr">
        <is>
          <t>OBT070125084545-St. Veit an der Glan</t>
        </is>
      </c>
      <c r="E109" s="10" t="n">
        <v>45664.36510416667</v>
      </c>
      <c r="F109" s="10" t="n">
        <v>45664.43795138889</v>
      </c>
      <c r="G109" s="11">
        <f>IF(AND(ISNUMBER(C109),ISNUMBER(E109)),(E109-C109),"")</f>
        <v/>
      </c>
      <c r="H109" s="11">
        <f>IF(AND(ISNUMBER(C109),ISNUMBER(F109)),(F109-C109),"")</f>
        <v/>
      </c>
    </row>
    <row r="110">
      <c r="A110" s="3" t="inlineStr">
        <is>
          <t>1002510</t>
        </is>
      </c>
      <c r="B110" s="3" t="inlineStr">
        <is>
          <t>617</t>
        </is>
      </c>
      <c r="C110" s="10" t="n">
        <v>45660.66380787037</v>
      </c>
      <c r="D110" s="3" t="inlineStr">
        <is>
          <t>OBT030125160132-Wr. Neustadt Ausfahrbf (Furtenbach)</t>
        </is>
      </c>
      <c r="E110" s="10" t="n">
        <v>45660.66773148148</v>
      </c>
      <c r="F110" s="10" t="n">
        <v>45660.69015046296</v>
      </c>
      <c r="G110" s="11">
        <f>IF(AND(ISNUMBER(C110),ISNUMBER(E110)),(E110-C110),"")</f>
        <v/>
      </c>
      <c r="H110" s="11">
        <f>IF(AND(ISNUMBER(C110),ISNUMBER(F110)),(F110-C110),"")</f>
        <v/>
      </c>
    </row>
    <row r="111">
      <c r="A111" s="3" t="inlineStr">
        <is>
          <t>1002511</t>
        </is>
      </c>
      <c r="B111" s="3" t="inlineStr">
        <is>
          <t>623</t>
        </is>
      </c>
      <c r="C111" s="10" t="n">
        <v>45660.66556712963</v>
      </c>
      <c r="D111" s="3" t="inlineStr">
        <is>
          <t>OBT070125031735-Neunkirchen (loading tracks)</t>
        </is>
      </c>
      <c r="E111" s="10" t="n">
        <v>45664.13721064815</v>
      </c>
      <c r="F111" s="10" t="n">
        <v>45664.18564814814</v>
      </c>
      <c r="G111" s="11">
        <f>IF(AND(ISNUMBER(C111),ISNUMBER(E111)),(E111-C111),"")</f>
        <v/>
      </c>
      <c r="H111" s="11">
        <f>IF(AND(ISNUMBER(C111),ISNUMBER(F111)),(F111-C111),"")</f>
        <v/>
      </c>
    </row>
    <row r="112">
      <c r="A112" s="3" t="inlineStr">
        <is>
          <t>1002601</t>
        </is>
      </c>
      <c r="B112" s="3" t="inlineStr">
        <is>
          <t>605</t>
        </is>
      </c>
      <c r="C112" s="10" t="n">
        <v>45660.66851851852</v>
      </c>
      <c r="D112" s="3" t="inlineStr">
        <is>
          <t>OBT030125160747-Wien Kledering</t>
        </is>
      </c>
      <c r="E112" s="10" t="n">
        <v>45660.67207175926</v>
      </c>
      <c r="F112" s="10" t="n">
        <v>45660.69645833333</v>
      </c>
      <c r="G112" s="11">
        <f>IF(AND(ISNUMBER(C112),ISNUMBER(E112)),(E112-C112),"")</f>
        <v/>
      </c>
      <c r="H112" s="11">
        <f>IF(AND(ISNUMBER(C112),ISNUMBER(F112)),(F112-C112),"")</f>
        <v/>
      </c>
    </row>
    <row r="113">
      <c r="A113" s="3" t="inlineStr">
        <is>
          <t>1002701</t>
        </is>
      </c>
      <c r="B113" s="3" t="inlineStr">
        <is>
          <t>627</t>
        </is>
      </c>
      <c r="C113" s="10" t="n">
        <v>45660.72690972222</v>
      </c>
      <c r="D113" s="3" t="inlineStr">
        <is>
          <t>OBT030125173012-Wien Kledering</t>
        </is>
      </c>
      <c r="E113" s="10" t="n">
        <v>45660.72930555556</v>
      </c>
      <c r="F113" s="10" t="n">
        <v>45660.77960648148</v>
      </c>
      <c r="G113" s="11">
        <f>IF(AND(ISNUMBER(C113),ISNUMBER(E113)),(E113-C113),"")</f>
        <v/>
      </c>
      <c r="H113" s="11">
        <f>IF(AND(ISNUMBER(C113),ISNUMBER(F113)),(F113-C113),"")</f>
        <v/>
      </c>
    </row>
    <row r="114">
      <c r="A114" s="3" t="inlineStr">
        <is>
          <t>1002801</t>
        </is>
      </c>
      <c r="B114" s="3" t="inlineStr">
        <is>
          <t>629</t>
        </is>
      </c>
      <c r="C114" s="10" t="n">
        <v>45660.85221064815</v>
      </c>
      <c r="D114" s="3" t="inlineStr">
        <is>
          <t>OBT030125203217-Other sidings north</t>
        </is>
      </c>
      <c r="E114" s="10" t="n">
        <v>45660.85575231481</v>
      </c>
      <c r="F114" s="10" t="n">
        <v>45660.87640046296</v>
      </c>
      <c r="G114" s="11">
        <f>IF(AND(ISNUMBER(C114),ISNUMBER(E114)),(E114-C114),"")</f>
        <v/>
      </c>
      <c r="H114" s="11">
        <f>IF(AND(ISNUMBER(C114),ISNUMBER(F114)),(F114-C114),"")</f>
        <v/>
      </c>
    </row>
    <row r="115">
      <c r="A115" s="3" t="inlineStr">
        <is>
          <t>1002802</t>
        </is>
      </c>
      <c r="B115" s="3" t="inlineStr">
        <is>
          <t>621</t>
        </is>
      </c>
      <c r="C115" s="10" t="n">
        <v>45660.85402777778</v>
      </c>
      <c r="D115" s="3" t="inlineStr">
        <is>
          <t>OBT080125153109-Felixdorf/Sollenau (Bundesheer, Maba)</t>
        </is>
      </c>
      <c r="E115" s="10" t="n">
        <v>45665.64663194444</v>
      </c>
      <c r="F115" s="10" t="n">
        <v>45665.67341435186</v>
      </c>
      <c r="G115" s="11">
        <f>IF(AND(ISNUMBER(C115),ISNUMBER(E115)),(E115-C115),"")</f>
        <v/>
      </c>
      <c r="H115" s="11">
        <f>IF(AND(ISNUMBER(C115),ISNUMBER(F115)),(F115-C115),"")</f>
        <v/>
      </c>
    </row>
    <row r="116">
      <c r="A116" s="3" t="inlineStr">
        <is>
          <t>1002803</t>
        </is>
      </c>
      <c r="B116" s="3" t="inlineStr">
        <is>
          <t>613</t>
        </is>
      </c>
      <c r="C116" s="10" t="n">
        <v>45660.85543981481</v>
      </c>
      <c r="D116" s="3" t="inlineStr">
        <is>
          <t>OBT030125203727-Wr. Neustadt (Hödlmayr)</t>
        </is>
      </c>
      <c r="E116" s="10" t="n">
        <v>45660.85934027778</v>
      </c>
      <c r="F116" s="10" t="n">
        <v>45660.89388888889</v>
      </c>
      <c r="G116" s="11">
        <f>IF(AND(ISNUMBER(C116),ISNUMBER(E116)),(E116-C116),"")</f>
        <v/>
      </c>
      <c r="H116" s="11">
        <f>IF(AND(ISNUMBER(C116),ISNUMBER(F116)),(F116-C116),"")</f>
        <v/>
      </c>
    </row>
    <row r="117">
      <c r="A117" s="3" t="inlineStr">
        <is>
          <t>1002804</t>
        </is>
      </c>
      <c r="B117" s="3" t="inlineStr">
        <is>
          <t>627</t>
        </is>
      </c>
      <c r="C117" s="10" t="n">
        <v>45660.85734953704</v>
      </c>
      <c r="D117" s="3" t="inlineStr">
        <is>
          <t>OBT030125204535-Pitten (Hamburger)</t>
        </is>
      </c>
      <c r="E117" s="10" t="n">
        <v>45660.86498842593</v>
      </c>
      <c r="F117" s="10" t="n">
        <v>45660.91072916667</v>
      </c>
      <c r="G117" s="11">
        <f>IF(AND(ISNUMBER(C117),ISNUMBER(E117)),(E117-C117),"")</f>
        <v/>
      </c>
      <c r="H117" s="11">
        <f>IF(AND(ISNUMBER(C117),ISNUMBER(F117)),(F117-C117),"")</f>
        <v/>
      </c>
    </row>
    <row r="118">
      <c r="A118" s="3" t="inlineStr">
        <is>
          <t>1002805</t>
        </is>
      </c>
      <c r="B118" s="3" t="inlineStr">
        <is>
          <t>619</t>
        </is>
      </c>
      <c r="C118" s="10" t="n">
        <v>45660.85945601852</v>
      </c>
      <c r="D118" s="3" t="inlineStr">
        <is>
          <t>OBT030125204417-Ebenfurth (beet loading)</t>
        </is>
      </c>
      <c r="E118" s="10" t="n">
        <v>45660.86408564815</v>
      </c>
      <c r="F118" s="10" t="n">
        <v>45660.90193287037</v>
      </c>
      <c r="G118" s="11">
        <f>IF(AND(ISNUMBER(C118),ISNUMBER(E118)),(E118-C118),"")</f>
        <v/>
      </c>
      <c r="H118" s="11">
        <f>IF(AND(ISNUMBER(C118),ISNUMBER(F118)),(F118-C118),"")</f>
        <v/>
      </c>
    </row>
    <row r="119">
      <c r="A119" s="3" t="inlineStr">
        <is>
          <t>1002806</t>
        </is>
      </c>
      <c r="B119" s="3" t="inlineStr">
        <is>
          <t>627</t>
        </is>
      </c>
      <c r="C119" s="10" t="n">
        <v>45660.86143518519</v>
      </c>
      <c r="D119" s="3" t="inlineStr">
        <is>
          <t>OBT030125204535-Pitten (Hamburger)</t>
        </is>
      </c>
      <c r="E119" s="10" t="n">
        <v>45660.86498842593</v>
      </c>
      <c r="F119" s="10" t="n">
        <v>45660.91072916667</v>
      </c>
      <c r="G119" s="11">
        <f>IF(AND(ISNUMBER(C119),ISNUMBER(E119)),(E119-C119),"")</f>
        <v/>
      </c>
      <c r="H119" s="11">
        <f>IF(AND(ISNUMBER(C119),ISNUMBER(F119)),(F119-C119),"")</f>
        <v/>
      </c>
    </row>
    <row r="120">
      <c r="A120" s="3" t="inlineStr">
        <is>
          <t>1002807</t>
        </is>
      </c>
      <c r="B120" s="3" t="inlineStr">
        <is>
          <t>607</t>
        </is>
      </c>
      <c r="C120" s="10" t="n">
        <v>45660.86295138889</v>
      </c>
      <c r="D120" s="3" t="inlineStr">
        <is>
          <t>OBT030125205107-Other sidings local</t>
        </is>
      </c>
      <c r="E120" s="10" t="n">
        <v>45660.86883101852</v>
      </c>
      <c r="F120" s="10" t="n">
        <v>45660.91559027778</v>
      </c>
      <c r="G120" s="11">
        <f>IF(AND(ISNUMBER(C120),ISNUMBER(E120)),(E120-C120),"")</f>
        <v/>
      </c>
      <c r="H120" s="11">
        <f>IF(AND(ISNUMBER(C120),ISNUMBER(F120)),(F120-C120),"")</f>
        <v/>
      </c>
    </row>
    <row r="121">
      <c r="A121" s="3" t="inlineStr">
        <is>
          <t>1002808</t>
        </is>
      </c>
      <c r="B121" s="3" t="inlineStr">
        <is>
          <t>611</t>
        </is>
      </c>
      <c r="C121" s="10" t="n">
        <v>45660.86420138889</v>
      </c>
      <c r="D121" s="3" t="inlineStr">
        <is>
          <t>OBT030125220232-Neudörfl (FunderMax)</t>
        </is>
      </c>
      <c r="E121" s="10" t="n">
        <v>45660.91842592593</v>
      </c>
      <c r="F121" s="10" t="n">
        <v>45660.93917824074</v>
      </c>
      <c r="G121" s="11">
        <f>IF(AND(ISNUMBER(C121),ISNUMBER(E121)),(E121-C121),"")</f>
        <v/>
      </c>
      <c r="H121" s="11">
        <f>IF(AND(ISNUMBER(C121),ISNUMBER(F121)),(F121-C121),"")</f>
        <v/>
      </c>
    </row>
    <row r="122">
      <c r="A122" s="3" t="inlineStr">
        <is>
          <t>1002901</t>
        </is>
      </c>
      <c r="B122" s="3" t="inlineStr">
        <is>
          <t>605</t>
        </is>
      </c>
      <c r="C122" s="10" t="n">
        <v>45660.89559027777</v>
      </c>
      <c r="D122" s="3" t="inlineStr">
        <is>
          <t>OBT070125180657-Wr. Neustadt Ausfahrbf (Furtenbach)</t>
        </is>
      </c>
      <c r="E122" s="10" t="n">
        <v>45664.75482638889</v>
      </c>
      <c r="F122" s="10" t="n">
        <v>45664.78077546296</v>
      </c>
      <c r="G122" s="11">
        <f>IF(AND(ISNUMBER(C122),ISNUMBER(E122)),(E122-C122),"")</f>
        <v/>
      </c>
      <c r="H122" s="11">
        <f>IF(AND(ISNUMBER(C122),ISNUMBER(F122)),(F122-C122),"")</f>
        <v/>
      </c>
    </row>
    <row r="123">
      <c r="A123" s="3" t="inlineStr">
        <is>
          <t>1002902</t>
        </is>
      </c>
      <c r="B123" s="3" t="inlineStr">
        <is>
          <t>619</t>
        </is>
      </c>
      <c r="C123" s="10" t="n">
        <v>45660.89763888889</v>
      </c>
      <c r="D123" s="3" t="inlineStr">
        <is>
          <t>OBT050125180143-Pitten (Hamburger)</t>
        </is>
      </c>
      <c r="E123" s="10" t="n">
        <v>45662.75119212963</v>
      </c>
      <c r="F123" s="10" t="n">
        <v>45662.8225</v>
      </c>
      <c r="G123" s="11">
        <f>IF(AND(ISNUMBER(C123),ISNUMBER(E123)),(E123-C123),"")</f>
        <v/>
      </c>
      <c r="H123" s="11">
        <f>IF(AND(ISNUMBER(C123),ISNUMBER(F123)),(F123-C123),"")</f>
        <v/>
      </c>
    </row>
    <row r="124">
      <c r="A124" s="3" t="inlineStr">
        <is>
          <t>1002903</t>
        </is>
      </c>
      <c r="B124" s="3" t="inlineStr">
        <is>
          <t>627</t>
        </is>
      </c>
      <c r="C124" s="10" t="n">
        <v>45660.89951388889</v>
      </c>
      <c r="D124" s="3" t="inlineStr">
        <is>
          <t>OBT070125075235-Neudörfl (FunderMax)</t>
        </is>
      </c>
      <c r="E124" s="10" t="n">
        <v>45664.32818287037</v>
      </c>
      <c r="F124" s="10" t="n">
        <v>45664.36096064815</v>
      </c>
      <c r="G124" s="11">
        <f>IF(AND(ISNUMBER(C124),ISNUMBER(E124)),(E124-C124),"")</f>
        <v/>
      </c>
      <c r="H124" s="11">
        <f>IF(AND(ISNUMBER(C124),ISNUMBER(F124)),(F124-C124),"")</f>
        <v/>
      </c>
    </row>
    <row r="125">
      <c r="A125" s="3" t="inlineStr">
        <is>
          <t>1002904</t>
        </is>
      </c>
      <c r="B125" s="3" t="inlineStr">
        <is>
          <t>619</t>
        </is>
      </c>
      <c r="C125" s="10" t="n">
        <v>45660.90158564815</v>
      </c>
      <c r="D125" s="3" t="inlineStr">
        <is>
          <t>OBT050125180143-Pitten (Hamburger)</t>
        </is>
      </c>
      <c r="E125" s="10" t="n">
        <v>45662.75119212963</v>
      </c>
      <c r="F125" s="10" t="n">
        <v>45662.8225</v>
      </c>
      <c r="G125" s="11">
        <f>IF(AND(ISNUMBER(C125),ISNUMBER(E125)),(E125-C125),"")</f>
        <v/>
      </c>
      <c r="H125" s="11">
        <f>IF(AND(ISNUMBER(C125),ISNUMBER(F125)),(F125-C125),"")</f>
        <v/>
      </c>
    </row>
    <row r="126">
      <c r="A126" s="3" t="inlineStr">
        <is>
          <t>1002905</t>
        </is>
      </c>
      <c r="B126" s="3" t="inlineStr">
        <is>
          <t>617</t>
        </is>
      </c>
      <c r="C126" s="10" t="n">
        <v>45660.90283564815</v>
      </c>
      <c r="D126" s="3" t="inlineStr">
        <is>
          <t>OBT070125080206-Other sidings north</t>
        </is>
      </c>
      <c r="E126" s="10" t="n">
        <v>45664.33479166667</v>
      </c>
      <c r="F126" s="10" t="n">
        <v>45664.4050462963</v>
      </c>
      <c r="G126" s="11">
        <f>IF(AND(ISNUMBER(C126),ISNUMBER(E126)),(E126-C126),"")</f>
        <v/>
      </c>
      <c r="H126" s="11">
        <f>IF(AND(ISNUMBER(C126),ISNUMBER(F126)),(F126-C126),"")</f>
        <v/>
      </c>
    </row>
    <row r="127">
      <c r="A127" s="3" t="inlineStr">
        <is>
          <t>1002906</t>
        </is>
      </c>
      <c r="B127" s="3" t="inlineStr">
        <is>
          <t>617</t>
        </is>
      </c>
      <c r="C127" s="10" t="n">
        <v>45660.90424768518</v>
      </c>
      <c r="D127" s="3" t="inlineStr">
        <is>
          <t>OBT070125080206-Other sidings north</t>
        </is>
      </c>
      <c r="E127" s="10" t="n">
        <v>45664.33479166667</v>
      </c>
      <c r="F127" s="10" t="n">
        <v>45664.4050462963</v>
      </c>
      <c r="G127" s="11">
        <f>IF(AND(ISNUMBER(C127),ISNUMBER(E127)),(E127-C127),"")</f>
        <v/>
      </c>
      <c r="H127" s="11">
        <f>IF(AND(ISNUMBER(C127),ISNUMBER(F127)),(F127-C127),"")</f>
        <v/>
      </c>
    </row>
    <row r="128">
      <c r="A128" s="3" t="inlineStr">
        <is>
          <t>1002907</t>
        </is>
      </c>
      <c r="B128" s="3" t="inlineStr">
        <is>
          <t>611</t>
        </is>
      </c>
      <c r="C128" s="10" t="n">
        <v>45660.90560185185</v>
      </c>
      <c r="D128" s="3" t="inlineStr">
        <is>
          <t>OBT030125220232-Neudörfl (FunderMax)</t>
        </is>
      </c>
      <c r="E128" s="10" t="n">
        <v>45660.91842592593</v>
      </c>
      <c r="F128" s="10" t="n">
        <v>45660.93917824074</v>
      </c>
      <c r="G128" s="11">
        <f>IF(AND(ISNUMBER(C128),ISNUMBER(E128)),(E128-C128),"")</f>
        <v/>
      </c>
      <c r="H128" s="11">
        <f>IF(AND(ISNUMBER(C128),ISNUMBER(F128)),(F128-C128),"")</f>
        <v/>
      </c>
    </row>
    <row r="129">
      <c r="A129" s="3" t="inlineStr">
        <is>
          <t>1002908</t>
        </is>
      </c>
      <c r="B129" s="3" t="inlineStr">
        <is>
          <t>623</t>
        </is>
      </c>
      <c r="C129" s="10" t="n">
        <v>45660.90743055556</v>
      </c>
      <c r="D129" s="3" t="inlineStr">
        <is>
          <t>OBT070125031735-Neunkirchen (loading tracks)</t>
        </is>
      </c>
      <c r="E129" s="10" t="n">
        <v>45664.13721064815</v>
      </c>
      <c r="F129" s="10" t="n">
        <v>45664.18564814814</v>
      </c>
      <c r="G129" s="11">
        <f>IF(AND(ISNUMBER(C129),ISNUMBER(E129)),(E129-C129),"")</f>
        <v/>
      </c>
      <c r="H129" s="11">
        <f>IF(AND(ISNUMBER(C129),ISNUMBER(F129)),(F129-C129),"")</f>
        <v/>
      </c>
    </row>
    <row r="130">
      <c r="A130" s="3" t="inlineStr">
        <is>
          <t>1002909</t>
        </is>
      </c>
      <c r="B130" s="3" t="inlineStr">
        <is>
          <t>621</t>
        </is>
      </c>
      <c r="C130" s="10" t="n">
        <v>45660.909375</v>
      </c>
      <c r="D130" s="3" t="inlineStr">
        <is>
          <t>OBT080125153109-Felixdorf/Sollenau (Bundesheer, Maba)</t>
        </is>
      </c>
      <c r="E130" s="10" t="n">
        <v>45665.64663194444</v>
      </c>
      <c r="F130" s="10" t="n">
        <v>45665.67341435186</v>
      </c>
      <c r="G130" s="11">
        <f>IF(AND(ISNUMBER(C130),ISNUMBER(E130)),(E130-C130),"")</f>
        <v/>
      </c>
      <c r="H130" s="11">
        <f>IF(AND(ISNUMBER(C130),ISNUMBER(F130)),(F130-C130),"")</f>
        <v/>
      </c>
    </row>
    <row r="131">
      <c r="A131" s="3" t="inlineStr">
        <is>
          <t>1002910</t>
        </is>
      </c>
      <c r="B131" s="3" t="inlineStr">
        <is>
          <t>615</t>
        </is>
      </c>
      <c r="C131" s="10" t="n">
        <v>45660.91071759259</v>
      </c>
      <c r="D131" s="3" t="inlineStr">
        <is>
          <t>OBT030125220353-Other sidings south</t>
        </is>
      </c>
      <c r="E131" s="10" t="n">
        <v>45660.91936342593</v>
      </c>
      <c r="F131" s="10" t="n">
        <v>45660.94706018519</v>
      </c>
      <c r="G131" s="11">
        <f>IF(AND(ISNUMBER(C131),ISNUMBER(E131)),(E131-C131),"")</f>
        <v/>
      </c>
      <c r="H131" s="11">
        <f>IF(AND(ISNUMBER(C131),ISNUMBER(F131)),(F131-C131),"")</f>
        <v/>
      </c>
    </row>
    <row r="132">
      <c r="A132" s="3" t="inlineStr">
        <is>
          <t>1002911</t>
        </is>
      </c>
      <c r="B132" s="3" t="inlineStr">
        <is>
          <t>611</t>
        </is>
      </c>
      <c r="C132" s="10" t="n">
        <v>45660.91212962963</v>
      </c>
      <c r="D132" s="3" t="inlineStr">
        <is>
          <t>OBT030125220232-Neudörfl (FunderMax)</t>
        </is>
      </c>
      <c r="E132" s="10" t="n">
        <v>45660.91842592593</v>
      </c>
      <c r="F132" s="10" t="n">
        <v>45660.93917824074</v>
      </c>
      <c r="G132" s="11">
        <f>IF(AND(ISNUMBER(C132),ISNUMBER(E132)),(E132-C132),"")</f>
        <v/>
      </c>
      <c r="H132" s="11">
        <f>IF(AND(ISNUMBER(C132),ISNUMBER(F132)),(F132-C132),"")</f>
        <v/>
      </c>
    </row>
    <row r="133">
      <c r="A133" s="3" t="inlineStr">
        <is>
          <t>1002912</t>
        </is>
      </c>
      <c r="B133" s="3" t="inlineStr">
        <is>
          <t>615</t>
        </is>
      </c>
      <c r="C133" s="10" t="n">
        <v>45660.91327546296</v>
      </c>
      <c r="D133" s="3" t="inlineStr">
        <is>
          <t>OBT030125220353-Other sidings south</t>
        </is>
      </c>
      <c r="E133" s="10" t="n">
        <v>45660.91936342593</v>
      </c>
      <c r="F133" s="10" t="n">
        <v>45660.94706018519</v>
      </c>
      <c r="G133" s="11">
        <f>IF(AND(ISNUMBER(C133),ISNUMBER(E133)),(E133-C133),"")</f>
        <v/>
      </c>
      <c r="H133" s="11">
        <f>IF(AND(ISNUMBER(C133),ISNUMBER(F133)),(F133-C133),"")</f>
        <v/>
      </c>
    </row>
    <row r="134">
      <c r="A134" s="3" t="inlineStr">
        <is>
          <t>1003001</t>
        </is>
      </c>
      <c r="B134" s="3" t="inlineStr">
        <is>
          <t>615</t>
        </is>
      </c>
      <c r="C134" s="10" t="n">
        <v>45661.24702546297</v>
      </c>
      <c r="D134" s="3" t="inlineStr">
        <is>
          <t>OBT040125055908-Ebenfurth (beet loading)</t>
        </is>
      </c>
      <c r="E134" s="10" t="n">
        <v>45661.24939814815</v>
      </c>
      <c r="F134" s="10" t="n">
        <v>45661.28946759259</v>
      </c>
      <c r="G134" s="11">
        <f>IF(AND(ISNUMBER(C134),ISNUMBER(E134)),(E134-C134),"")</f>
        <v/>
      </c>
      <c r="H134" s="11">
        <f>IF(AND(ISNUMBER(C134),ISNUMBER(F134)),(F134-C134),"")</f>
        <v/>
      </c>
    </row>
    <row r="135">
      <c r="A135" s="3" t="inlineStr">
        <is>
          <t>1003002</t>
        </is>
      </c>
      <c r="B135" s="3" t="inlineStr">
        <is>
          <t>613</t>
        </is>
      </c>
      <c r="C135" s="10" t="n">
        <v>45661.24831018518</v>
      </c>
      <c r="D135" s="3" t="inlineStr">
        <is>
          <t>OBT050125180350-Neudörfl (FunderMax)</t>
        </is>
      </c>
      <c r="E135" s="10" t="n">
        <v>45662.75266203703</v>
      </c>
      <c r="F135" s="10" t="n">
        <v>45662.77472222222</v>
      </c>
      <c r="G135" s="11">
        <f>IF(AND(ISNUMBER(C135),ISNUMBER(E135)),(E135-C135),"")</f>
        <v/>
      </c>
      <c r="H135" s="11">
        <f>IF(AND(ISNUMBER(C135),ISNUMBER(F135)),(F135-C135),"")</f>
        <v/>
      </c>
    </row>
    <row r="136">
      <c r="A136" s="3" t="inlineStr">
        <is>
          <t>1003003</t>
        </is>
      </c>
      <c r="B136" s="3" t="inlineStr">
        <is>
          <t>619</t>
        </is>
      </c>
      <c r="C136" s="10" t="n">
        <v>45661.25035879629</v>
      </c>
      <c r="D136" s="3" t="inlineStr">
        <is>
          <t>OBT050125180143-Pitten (Hamburger)</t>
        </is>
      </c>
      <c r="E136" s="10" t="n">
        <v>45662.75119212963</v>
      </c>
      <c r="F136" s="10" t="n">
        <v>45662.8225</v>
      </c>
      <c r="G136" s="11">
        <f>IF(AND(ISNUMBER(C136),ISNUMBER(E136)),(E136-C136),"")</f>
        <v/>
      </c>
      <c r="H136" s="11">
        <f>IF(AND(ISNUMBER(C136),ISNUMBER(F136)),(F136-C136),"")</f>
        <v/>
      </c>
    </row>
    <row r="137">
      <c r="A137" s="3" t="inlineStr">
        <is>
          <t>1003101</t>
        </is>
      </c>
      <c r="B137" s="3" t="inlineStr">
        <is>
          <t>615</t>
        </is>
      </c>
      <c r="C137" s="10" t="n">
        <v>45662.74461805556</v>
      </c>
      <c r="D137" s="3" t="inlineStr">
        <is>
          <t>OBT070125031850-Ebenfurth (beet loading)</t>
        </is>
      </c>
      <c r="E137" s="10" t="n">
        <v>45664.13807870371</v>
      </c>
      <c r="F137" s="10" t="n">
        <v>45664.16361111111</v>
      </c>
      <c r="G137" s="11">
        <f>IF(AND(ISNUMBER(C137),ISNUMBER(E137)),(E137-C137),"")</f>
        <v/>
      </c>
      <c r="H137" s="11">
        <f>IF(AND(ISNUMBER(C137),ISNUMBER(F137)),(F137-C137),"")</f>
        <v/>
      </c>
    </row>
    <row r="138">
      <c r="A138" s="3" t="inlineStr">
        <is>
          <t>1003102</t>
        </is>
      </c>
      <c r="B138" s="3" t="inlineStr">
        <is>
          <t>619</t>
        </is>
      </c>
      <c r="C138" s="10" t="n">
        <v>45662.74729166667</v>
      </c>
      <c r="D138" s="3" t="inlineStr">
        <is>
          <t>OBT050125180143-Pitten (Hamburger)</t>
        </is>
      </c>
      <c r="E138" s="10" t="n">
        <v>45662.75119212963</v>
      </c>
      <c r="F138" s="10" t="n">
        <v>45662.8225</v>
      </c>
      <c r="G138" s="11">
        <f>IF(AND(ISNUMBER(C138),ISNUMBER(E138)),(E138-C138),"")</f>
        <v/>
      </c>
      <c r="H138" s="11">
        <f>IF(AND(ISNUMBER(C138),ISNUMBER(F138)),(F138-C138),"")</f>
        <v/>
      </c>
    </row>
    <row r="139">
      <c r="A139" s="3" t="inlineStr">
        <is>
          <t>1003103</t>
        </is>
      </c>
      <c r="B139" s="3" t="inlineStr">
        <is>
          <t>613</t>
        </is>
      </c>
      <c r="C139" s="10" t="n">
        <v>45662.74873842593</v>
      </c>
      <c r="D139" s="3" t="inlineStr">
        <is>
          <t>OBT050125180350-Neudörfl (FunderMax)</t>
        </is>
      </c>
      <c r="E139" s="10" t="n">
        <v>45662.75266203703</v>
      </c>
      <c r="F139" s="10" t="n">
        <v>45662.77472222222</v>
      </c>
      <c r="G139" s="11">
        <f>IF(AND(ISNUMBER(C139),ISNUMBER(E139)),(E139-C139),"")</f>
        <v/>
      </c>
      <c r="H139" s="11">
        <f>IF(AND(ISNUMBER(C139),ISNUMBER(F139)),(F139-C139),"")</f>
        <v/>
      </c>
    </row>
    <row r="140">
      <c r="A140" s="3" t="inlineStr">
        <is>
          <t>1003201</t>
        </is>
      </c>
      <c r="B140" s="3" t="inlineStr">
        <is>
          <t>613</t>
        </is>
      </c>
      <c r="C140" s="10" t="n">
        <v>45662.85261574074</v>
      </c>
      <c r="D140" s="3" t="inlineStr">
        <is>
          <t>OBT050125203113-Pitten (Hamburger)</t>
        </is>
      </c>
      <c r="E140" s="10" t="n">
        <v>45662.85501157407</v>
      </c>
      <c r="F140" s="10" t="n">
        <v>45662.93170138889</v>
      </c>
      <c r="G140" s="11">
        <f>IF(AND(ISNUMBER(C140),ISNUMBER(E140)),(E140-C140),"")</f>
        <v/>
      </c>
      <c r="H140" s="11">
        <f>IF(AND(ISNUMBER(C140),ISNUMBER(F140)),(F140-C140),"")</f>
        <v/>
      </c>
    </row>
    <row r="141">
      <c r="A141" s="3" t="inlineStr">
        <is>
          <t>1003202</t>
        </is>
      </c>
      <c r="B141" s="3" t="inlineStr">
        <is>
          <t>627</t>
        </is>
      </c>
      <c r="C141" s="10" t="n">
        <v>45662.85459490741</v>
      </c>
      <c r="D141" s="3" t="inlineStr">
        <is>
          <t>OBT070125075235-Neudörfl (FunderMax)</t>
        </is>
      </c>
      <c r="E141" s="10" t="n">
        <v>45664.32818287037</v>
      </c>
      <c r="F141" s="10" t="n">
        <v>45664.36096064815</v>
      </c>
      <c r="G141" s="11">
        <f>IF(AND(ISNUMBER(C141),ISNUMBER(E141)),(E141-C141),"")</f>
        <v/>
      </c>
      <c r="H141" s="11">
        <f>IF(AND(ISNUMBER(C141),ISNUMBER(F141)),(F141-C141),"")</f>
        <v/>
      </c>
    </row>
    <row r="142">
      <c r="A142" s="3" t="inlineStr">
        <is>
          <t>1003203</t>
        </is>
      </c>
      <c r="B142" s="3" t="inlineStr">
        <is>
          <t>619</t>
        </is>
      </c>
      <c r="C142" s="10" t="n">
        <v>45662.85672453704</v>
      </c>
      <c r="D142" s="3" t="inlineStr">
        <is>
          <t>OBT050125203708-Pitten (Hamburger)</t>
        </is>
      </c>
      <c r="E142" s="10" t="n">
        <v>45662.85912037037</v>
      </c>
      <c r="F142" s="10" t="n">
        <v>45662.87833333333</v>
      </c>
      <c r="G142" s="11">
        <f>IF(AND(ISNUMBER(C142),ISNUMBER(E142)),(E142-C142),"")</f>
        <v/>
      </c>
      <c r="H142" s="11">
        <f>IF(AND(ISNUMBER(C142),ISNUMBER(F142)),(F142-C142),"")</f>
        <v/>
      </c>
    </row>
    <row r="143">
      <c r="A143" s="3" t="inlineStr">
        <is>
          <t>1003301</t>
        </is>
      </c>
      <c r="B143" s="3" t="inlineStr">
        <is>
          <t>613</t>
        </is>
      </c>
      <c r="C143" s="10" t="n">
        <v>45663.745</v>
      </c>
      <c r="D143" s="3" t="inlineStr">
        <is>
          <t>OBT060125175612-Pitten (Hamburger)</t>
        </is>
      </c>
      <c r="E143" s="10" t="n">
        <v>45663.74736111111</v>
      </c>
      <c r="F143" s="10" t="n">
        <v>45663.79112268519</v>
      </c>
      <c r="G143" s="11">
        <f>IF(AND(ISNUMBER(C143),ISNUMBER(E143)),(E143-C143),"")</f>
        <v/>
      </c>
      <c r="H143" s="11">
        <f>IF(AND(ISNUMBER(C143),ISNUMBER(F143)),(F143-C143),"")</f>
        <v/>
      </c>
    </row>
    <row r="144">
      <c r="A144" s="3" t="inlineStr">
        <is>
          <t>1003401</t>
        </is>
      </c>
      <c r="B144" s="3" t="inlineStr">
        <is>
          <t>627</t>
        </is>
      </c>
      <c r="C144" s="10" t="n">
        <v>45664.12717592593</v>
      </c>
      <c r="D144" s="3" t="inlineStr">
        <is>
          <t>OBT070125075235-Neudörfl (FunderMax)</t>
        </is>
      </c>
      <c r="E144" s="10" t="n">
        <v>45664.32818287037</v>
      </c>
      <c r="F144" s="10" t="n">
        <v>45664.36096064815</v>
      </c>
      <c r="G144" s="11">
        <f>IF(AND(ISNUMBER(C144),ISNUMBER(E144)),(E144-C144),"")</f>
        <v/>
      </c>
      <c r="H144" s="11">
        <f>IF(AND(ISNUMBER(C144),ISNUMBER(F144)),(F144-C144),"")</f>
        <v/>
      </c>
    </row>
    <row r="145">
      <c r="A145" s="3" t="inlineStr">
        <is>
          <t>1003402</t>
        </is>
      </c>
      <c r="B145" s="3" t="inlineStr">
        <is>
          <t>625</t>
        </is>
      </c>
      <c r="C145" s="10" t="n">
        <v>45664.12923611111</v>
      </c>
      <c r="D145" s="3" t="inlineStr">
        <is>
          <t>OBT070125084545-St. Veit an der Glan</t>
        </is>
      </c>
      <c r="E145" s="10" t="n">
        <v>45664.36510416667</v>
      </c>
      <c r="F145" s="10" t="n">
        <v>45664.43795138889</v>
      </c>
      <c r="G145" s="11">
        <f>IF(AND(ISNUMBER(C145),ISNUMBER(E145)),(E145-C145),"")</f>
        <v/>
      </c>
      <c r="H145" s="11">
        <f>IF(AND(ISNUMBER(C145),ISNUMBER(F145)),(F145-C145),"")</f>
        <v/>
      </c>
    </row>
    <row r="146">
      <c r="A146" s="3" t="inlineStr">
        <is>
          <t>1003403</t>
        </is>
      </c>
      <c r="B146" s="3" t="inlineStr">
        <is>
          <t>627</t>
        </is>
      </c>
      <c r="C146" s="10" t="n">
        <v>45664.13114583334</v>
      </c>
      <c r="D146" s="3" t="inlineStr">
        <is>
          <t>OBT070125075235-Neudörfl (FunderMax)</t>
        </is>
      </c>
      <c r="E146" s="10" t="n">
        <v>45664.32818287037</v>
      </c>
      <c r="F146" s="10" t="n">
        <v>45664.36096064815</v>
      </c>
      <c r="G146" s="11">
        <f>IF(AND(ISNUMBER(C146),ISNUMBER(E146)),(E146-C146),"")</f>
        <v/>
      </c>
      <c r="H146" s="11">
        <f>IF(AND(ISNUMBER(C146),ISNUMBER(F146)),(F146-C146),"")</f>
        <v/>
      </c>
    </row>
    <row r="147">
      <c r="A147" s="3" t="inlineStr">
        <is>
          <t>1003404</t>
        </is>
      </c>
      <c r="B147" s="3" t="inlineStr">
        <is>
          <t>623</t>
        </is>
      </c>
      <c r="C147" s="10" t="n">
        <v>45664.13328703704</v>
      </c>
      <c r="D147" s="3" t="inlineStr">
        <is>
          <t>OBT070125031735-Neunkirchen (loading tracks)</t>
        </is>
      </c>
      <c r="E147" s="10" t="n">
        <v>45664.13721064815</v>
      </c>
      <c r="F147" s="10" t="n">
        <v>45664.18564814814</v>
      </c>
      <c r="G147" s="11">
        <f>IF(AND(ISNUMBER(C147),ISNUMBER(E147)),(E147-C147),"")</f>
        <v/>
      </c>
      <c r="H147" s="11">
        <f>IF(AND(ISNUMBER(C147),ISNUMBER(F147)),(F147-C147),"")</f>
        <v/>
      </c>
    </row>
    <row r="148">
      <c r="A148" s="3" t="inlineStr">
        <is>
          <t>1003405</t>
        </is>
      </c>
      <c r="B148" s="3" t="inlineStr">
        <is>
          <t>615</t>
        </is>
      </c>
      <c r="C148" s="10" t="n">
        <v>45664.13451388889</v>
      </c>
      <c r="D148" s="3" t="inlineStr">
        <is>
          <t>OBT070125031850-Ebenfurth (beet loading)</t>
        </is>
      </c>
      <c r="E148" s="10" t="n">
        <v>45664.13807870371</v>
      </c>
      <c r="F148" s="10" t="n">
        <v>45664.16361111111</v>
      </c>
      <c r="G148" s="11">
        <f>IF(AND(ISNUMBER(C148),ISNUMBER(E148)),(E148-C148),"")</f>
        <v/>
      </c>
      <c r="H148" s="11">
        <f>IF(AND(ISNUMBER(C148),ISNUMBER(F148)),(F148-C148),"")</f>
        <v/>
      </c>
    </row>
    <row r="149">
      <c r="A149" s="3" t="inlineStr">
        <is>
          <t>1003501</t>
        </is>
      </c>
      <c r="B149" s="3" t="inlineStr">
        <is>
          <t>615</t>
        </is>
      </c>
      <c r="C149" s="10" t="n">
        <v>45664.28119212963</v>
      </c>
      <c r="D149" s="3" t="inlineStr">
        <is>
          <t>OBT070125064820-Wien Kledering</t>
        </is>
      </c>
      <c r="E149" s="10" t="n">
        <v>45664.28356481482</v>
      </c>
      <c r="F149" s="10" t="n">
        <v>45664.3371412037</v>
      </c>
      <c r="G149" s="11">
        <f>IF(AND(ISNUMBER(C149),ISNUMBER(E149)),(E149-C149),"")</f>
        <v/>
      </c>
      <c r="H149" s="11">
        <f>IF(AND(ISNUMBER(C149),ISNUMBER(F149)),(F149-C149),"")</f>
        <v/>
      </c>
    </row>
    <row r="150">
      <c r="A150" s="3" t="inlineStr">
        <is>
          <t>1003701</t>
        </is>
      </c>
      <c r="B150" s="3" t="inlineStr">
        <is>
          <t>619</t>
        </is>
      </c>
      <c r="C150" s="10" t="n">
        <v>45664.31876157408</v>
      </c>
      <c r="D150" s="3" t="inlineStr">
        <is>
          <t>OBT070125074225-Wien Kledering</t>
        </is>
      </c>
      <c r="E150" s="10" t="n">
        <v>45664.32112268519</v>
      </c>
      <c r="F150" s="10" t="n">
        <v>45664.39228009259</v>
      </c>
      <c r="G150" s="11">
        <f>IF(AND(ISNUMBER(C150),ISNUMBER(E150)),(E150-C150),"")</f>
        <v/>
      </c>
      <c r="H150" s="11">
        <f>IF(AND(ISNUMBER(C150),ISNUMBER(F150)),(F150-C150),"")</f>
        <v/>
      </c>
    </row>
    <row r="151">
      <c r="A151" s="3" t="inlineStr">
        <is>
          <t>1003801</t>
        </is>
      </c>
      <c r="B151" s="3" t="inlineStr">
        <is>
          <t>607</t>
        </is>
      </c>
      <c r="C151" s="10" t="n">
        <v>45664.32150462963</v>
      </c>
      <c r="D151" s="3" t="inlineStr">
        <is>
          <t>OBT070125074625-Wien Kledering</t>
        </is>
      </c>
      <c r="E151" s="10" t="n">
        <v>45664.32390046296</v>
      </c>
      <c r="F151" s="10" t="n">
        <v>45664.37181712963</v>
      </c>
      <c r="G151" s="11">
        <f>IF(AND(ISNUMBER(C151),ISNUMBER(E151)),(E151-C151),"")</f>
        <v/>
      </c>
      <c r="H151" s="11">
        <f>IF(AND(ISNUMBER(C151),ISNUMBER(F151)),(F151-C151),"")</f>
        <v/>
      </c>
    </row>
    <row r="152">
      <c r="A152" s="3" t="inlineStr">
        <is>
          <t>1003601</t>
        </is>
      </c>
      <c r="B152" s="3" t="inlineStr">
        <is>
          <t>627</t>
        </is>
      </c>
      <c r="C152" s="10" t="n">
        <v>45664.32429398148</v>
      </c>
      <c r="D152" s="3" t="inlineStr">
        <is>
          <t>OBT070125075235-Neudörfl (FunderMax)</t>
        </is>
      </c>
      <c r="E152" s="10" t="n">
        <v>45664.32818287037</v>
      </c>
      <c r="F152" s="10" t="n">
        <v>45664.36096064815</v>
      </c>
      <c r="G152" s="11">
        <f>IF(AND(ISNUMBER(C152),ISNUMBER(E152)),(E152-C152),"")</f>
        <v/>
      </c>
      <c r="H152" s="11">
        <f>IF(AND(ISNUMBER(C152),ISNUMBER(F152)),(F152-C152),"")</f>
        <v/>
      </c>
    </row>
    <row r="153">
      <c r="A153" s="3" t="inlineStr">
        <is>
          <t>1003602</t>
        </is>
      </c>
      <c r="B153" s="3" t="inlineStr">
        <is>
          <t>605</t>
        </is>
      </c>
      <c r="C153" s="10" t="n">
        <v>45664.32607638889</v>
      </c>
      <c r="D153" s="3" t="inlineStr">
        <is>
          <t>OBT070125180657-Wr. Neustadt Ausfahrbf (Furtenbach)</t>
        </is>
      </c>
      <c r="E153" s="10" t="n">
        <v>45664.75482638889</v>
      </c>
      <c r="F153" s="10" t="n">
        <v>45664.78077546296</v>
      </c>
      <c r="G153" s="11">
        <f>IF(AND(ISNUMBER(C153),ISNUMBER(E153)),(E153-C153),"")</f>
        <v/>
      </c>
      <c r="H153" s="11">
        <f>IF(AND(ISNUMBER(C153),ISNUMBER(F153)),(F153-C153),"")</f>
        <v/>
      </c>
    </row>
    <row r="154">
      <c r="A154" s="3" t="inlineStr">
        <is>
          <t>1003603</t>
        </is>
      </c>
      <c r="B154" s="3" t="inlineStr">
        <is>
          <t>617</t>
        </is>
      </c>
      <c r="C154" s="10" t="n">
        <v>45664.32738425926</v>
      </c>
      <c r="D154" s="3" t="inlineStr">
        <is>
          <t>OBT070125080206-Other sidings north</t>
        </is>
      </c>
      <c r="E154" s="10" t="n">
        <v>45664.33479166667</v>
      </c>
      <c r="F154" s="10" t="n">
        <v>45664.4050462963</v>
      </c>
      <c r="G154" s="11">
        <f>IF(AND(ISNUMBER(C154),ISNUMBER(E154)),(E154-C154),"")</f>
        <v/>
      </c>
      <c r="H154" s="11">
        <f>IF(AND(ISNUMBER(C154),ISNUMBER(F154)),(F154-C154),"")</f>
        <v/>
      </c>
    </row>
    <row r="155">
      <c r="A155" s="3" t="inlineStr">
        <is>
          <t>1003604</t>
        </is>
      </c>
      <c r="B155" s="3" t="inlineStr">
        <is>
          <t>617</t>
        </is>
      </c>
      <c r="C155" s="10" t="n">
        <v>45664.32884259259</v>
      </c>
      <c r="D155" s="3" t="inlineStr">
        <is>
          <t>OBT070125080206-Other sidings north</t>
        </is>
      </c>
      <c r="E155" s="10" t="n">
        <v>45664.33479166667</v>
      </c>
      <c r="F155" s="10" t="n">
        <v>45664.4050462963</v>
      </c>
      <c r="G155" s="11">
        <f>IF(AND(ISNUMBER(C155),ISNUMBER(E155)),(E155-C155),"")</f>
        <v/>
      </c>
      <c r="H155" s="11">
        <f>IF(AND(ISNUMBER(C155),ISNUMBER(F155)),(F155-C155),"")</f>
        <v/>
      </c>
    </row>
    <row r="156">
      <c r="A156" s="3" t="inlineStr">
        <is>
          <t>1003605</t>
        </is>
      </c>
      <c r="B156" s="3" t="inlineStr">
        <is>
          <t>613</t>
        </is>
      </c>
      <c r="C156" s="10" t="n">
        <v>45664.33017361111</v>
      </c>
      <c r="D156" s="3" t="inlineStr">
        <is>
          <t>OBT070125155207-Pitten (Hamburger)</t>
        </is>
      </c>
      <c r="E156" s="10" t="n">
        <v>45664.66119212963</v>
      </c>
      <c r="F156" s="10" t="n">
        <v>45664.70534722223</v>
      </c>
      <c r="G156" s="11">
        <f>IF(AND(ISNUMBER(C156),ISNUMBER(E156)),(E156-C156),"")</f>
        <v/>
      </c>
      <c r="H156" s="11">
        <f>IF(AND(ISNUMBER(C156),ISNUMBER(F156)),(F156-C156),"")</f>
        <v/>
      </c>
    </row>
    <row r="157">
      <c r="A157" s="3" t="inlineStr">
        <is>
          <t>1003606</t>
        </is>
      </c>
      <c r="B157" s="3" t="inlineStr">
        <is>
          <t>615</t>
        </is>
      </c>
      <c r="C157" s="10" t="n">
        <v>45664.33133101852</v>
      </c>
      <c r="D157" s="3" t="inlineStr">
        <is>
          <t>OBT070125084304-Wien Kledering</t>
        </is>
      </c>
      <c r="E157" s="10" t="n">
        <v>45664.36324074074</v>
      </c>
      <c r="F157" s="10" t="n">
        <v>45664.42248842592</v>
      </c>
      <c r="G157" s="11">
        <f>IF(AND(ISNUMBER(C157),ISNUMBER(E157)),(E157-C157),"")</f>
        <v/>
      </c>
      <c r="H157" s="11">
        <f>IF(AND(ISNUMBER(C157),ISNUMBER(F157)),(F157-C157),"")</f>
        <v/>
      </c>
    </row>
    <row r="158">
      <c r="A158" s="3" t="inlineStr">
        <is>
          <t>1003607</t>
        </is>
      </c>
      <c r="B158" s="3" t="inlineStr">
        <is>
          <t>623</t>
        </is>
      </c>
      <c r="C158" s="10" t="n">
        <v>45664.33313657407</v>
      </c>
      <c r="D158" s="3" t="inlineStr">
        <is>
          <t>OBT080125032215-Other sidings south</t>
        </is>
      </c>
      <c r="E158" s="10" t="n">
        <v>45665.14045138889</v>
      </c>
      <c r="F158" s="10" t="n">
        <v>45665.18077546296</v>
      </c>
      <c r="G158" s="11">
        <f>IF(AND(ISNUMBER(C158),ISNUMBER(E158)),(E158-C158),"")</f>
        <v/>
      </c>
      <c r="H158" s="11">
        <f>IF(AND(ISNUMBER(C158),ISNUMBER(F158)),(F158-C158),"")</f>
        <v/>
      </c>
    </row>
    <row r="159">
      <c r="A159" s="3" t="inlineStr">
        <is>
          <t>1003901</t>
        </is>
      </c>
      <c r="B159" s="3" t="inlineStr">
        <is>
          <t>615</t>
        </is>
      </c>
      <c r="C159" s="10" t="n">
        <v>45664.35701388889</v>
      </c>
      <c r="D159" s="3" t="inlineStr">
        <is>
          <t>OBT070125084304-Wien Kledering</t>
        </is>
      </c>
      <c r="E159" s="10" t="n">
        <v>45664.36324074074</v>
      </c>
      <c r="F159" s="10" t="n">
        <v>45664.42248842592</v>
      </c>
      <c r="G159" s="11">
        <f>IF(AND(ISNUMBER(C159),ISNUMBER(E159)),(E159-C159),"")</f>
        <v/>
      </c>
      <c r="H159" s="11">
        <f>IF(AND(ISNUMBER(C159),ISNUMBER(F159)),(F159-C159),"")</f>
        <v/>
      </c>
    </row>
    <row r="160">
      <c r="A160" s="3" t="inlineStr">
        <is>
          <t>1003902</t>
        </is>
      </c>
      <c r="B160" s="3" t="inlineStr">
        <is>
          <t>625</t>
        </is>
      </c>
      <c r="C160" s="10" t="n">
        <v>45664.35927083333</v>
      </c>
      <c r="D160" s="3" t="inlineStr">
        <is>
          <t>OBT070125084545-St. Veit an der Glan</t>
        </is>
      </c>
      <c r="E160" s="10" t="n">
        <v>45664.36510416667</v>
      </c>
      <c r="F160" s="10" t="n">
        <v>45664.43795138889</v>
      </c>
      <c r="G160" s="11">
        <f>IF(AND(ISNUMBER(C160),ISNUMBER(E160)),(E160-C160),"")</f>
        <v/>
      </c>
      <c r="H160" s="11">
        <f>IF(AND(ISNUMBER(C160),ISNUMBER(F160)),(F160-C160),"")</f>
        <v/>
      </c>
    </row>
    <row r="161">
      <c r="A161" s="3" t="inlineStr">
        <is>
          <t>1004001</t>
        </is>
      </c>
      <c r="B161" s="3" t="inlineStr">
        <is>
          <t>611</t>
        </is>
      </c>
      <c r="C161" s="10" t="n">
        <v>45664.37475694445</v>
      </c>
      <c r="D161" s="3" t="inlineStr">
        <is>
          <t>OBT080125041024-Neudörfl (FunderMax)</t>
        </is>
      </c>
      <c r="E161" s="10" t="n">
        <v>45665.17388888889</v>
      </c>
      <c r="F161" s="10" t="n">
        <v>45665.27949074074</v>
      </c>
      <c r="G161" s="11">
        <f>IF(AND(ISNUMBER(C161),ISNUMBER(E161)),(E161-C161),"")</f>
        <v/>
      </c>
      <c r="H161" s="11">
        <f>IF(AND(ISNUMBER(C161),ISNUMBER(F161)),(F161-C161),"")</f>
        <v/>
      </c>
    </row>
    <row r="162">
      <c r="A162" s="3" t="inlineStr">
        <is>
          <t>1004002</t>
        </is>
      </c>
      <c r="B162" s="3" t="inlineStr">
        <is>
          <t>613</t>
        </is>
      </c>
      <c r="C162" s="10" t="n">
        <v>45664.37600694445</v>
      </c>
      <c r="D162" s="3" t="inlineStr">
        <is>
          <t>OBT070125155207-Pitten (Hamburger)</t>
        </is>
      </c>
      <c r="E162" s="10" t="n">
        <v>45664.66119212963</v>
      </c>
      <c r="F162" s="10" t="n">
        <v>45664.70534722223</v>
      </c>
      <c r="G162" s="11">
        <f>IF(AND(ISNUMBER(C162),ISNUMBER(E162)),(E162-C162),"")</f>
        <v/>
      </c>
      <c r="H162" s="11">
        <f>IF(AND(ISNUMBER(C162),ISNUMBER(F162)),(F162-C162),"")</f>
        <v/>
      </c>
    </row>
    <row r="163">
      <c r="A163" s="3" t="inlineStr">
        <is>
          <t>1004003</t>
        </is>
      </c>
      <c r="B163" s="3" t="inlineStr">
        <is>
          <t>615</t>
        </is>
      </c>
      <c r="C163" s="10" t="n">
        <v>45664.37724537037</v>
      </c>
      <c r="D163" s="3" t="inlineStr">
        <is>
          <t>OBT070125105541-Wien Kledering</t>
        </is>
      </c>
      <c r="E163" s="10" t="n">
        <v>45664.45533564815</v>
      </c>
      <c r="F163" s="10" t="n">
        <v>45664.50817129629</v>
      </c>
      <c r="G163" s="11">
        <f>IF(AND(ISNUMBER(C163),ISNUMBER(E163)),(E163-C163),"")</f>
        <v/>
      </c>
      <c r="H163" s="11">
        <f>IF(AND(ISNUMBER(C163),ISNUMBER(F163)),(F163-C163),"")</f>
        <v/>
      </c>
    </row>
    <row r="164">
      <c r="A164" s="3" t="inlineStr">
        <is>
          <t>1004004</t>
        </is>
      </c>
      <c r="B164" s="3" t="inlineStr">
        <is>
          <t>623</t>
        </is>
      </c>
      <c r="C164" s="10" t="n">
        <v>45664.3789699074</v>
      </c>
      <c r="D164" s="3" t="inlineStr">
        <is>
          <t>OBT080125032215-Other sidings south</t>
        </is>
      </c>
      <c r="E164" s="10" t="n">
        <v>45665.14045138889</v>
      </c>
      <c r="F164" s="10" t="n">
        <v>45665.18077546296</v>
      </c>
      <c r="G164" s="11">
        <f>IF(AND(ISNUMBER(C164),ISNUMBER(E164)),(E164-C164),"")</f>
        <v/>
      </c>
      <c r="H164" s="11">
        <f>IF(AND(ISNUMBER(C164),ISNUMBER(F164)),(F164-C164),"")</f>
        <v/>
      </c>
    </row>
    <row r="165">
      <c r="A165" s="3" t="inlineStr">
        <is>
          <t>1004005</t>
        </is>
      </c>
      <c r="B165" s="3" t="inlineStr">
        <is>
          <t>605</t>
        </is>
      </c>
      <c r="C165" s="10" t="n">
        <v>45664.38068287037</v>
      </c>
      <c r="D165" s="3" t="inlineStr">
        <is>
          <t>OBT070125180657-Wr. Neustadt Ausfahrbf (Furtenbach)</t>
        </is>
      </c>
      <c r="E165" s="10" t="n">
        <v>45664.75482638889</v>
      </c>
      <c r="F165" s="10" t="n">
        <v>45664.78077546296</v>
      </c>
      <c r="G165" s="11">
        <f>IF(AND(ISNUMBER(C165),ISNUMBER(E165)),(E165-C165),"")</f>
        <v/>
      </c>
      <c r="H165" s="11">
        <f>IF(AND(ISNUMBER(C165),ISNUMBER(F165)),(F165-C165),"")</f>
        <v/>
      </c>
    </row>
    <row r="166">
      <c r="A166" s="3" t="inlineStr">
        <is>
          <t>1004006</t>
        </is>
      </c>
      <c r="B166" s="3" t="inlineStr">
        <is>
          <t>617</t>
        </is>
      </c>
      <c r="C166" s="10" t="n">
        <v>45664.38199074074</v>
      </c>
      <c r="D166" s="3" t="inlineStr">
        <is>
          <t>OBT070125154601-Other sidings north</t>
        </is>
      </c>
      <c r="E166" s="10" t="n">
        <v>45664.65695601852</v>
      </c>
      <c r="F166" s="10" t="n">
        <v>45664.68701388889</v>
      </c>
      <c r="G166" s="11">
        <f>IF(AND(ISNUMBER(C166),ISNUMBER(E166)),(E166-C166),"")</f>
        <v/>
      </c>
      <c r="H166" s="11">
        <f>IF(AND(ISNUMBER(C166),ISNUMBER(F166)),(F166-C166),"")</f>
        <v/>
      </c>
    </row>
    <row r="167">
      <c r="A167" s="3" t="inlineStr">
        <is>
          <t>1004007</t>
        </is>
      </c>
      <c r="B167" s="3" t="inlineStr">
        <is>
          <t>629</t>
        </is>
      </c>
      <c r="C167" s="10" t="n">
        <v>45664.38402777778</v>
      </c>
      <c r="D167" s="3" t="inlineStr">
        <is>
          <t>OBT070125154136-Wr. Neustadt (Hödlmayr)</t>
        </is>
      </c>
      <c r="E167" s="10" t="n">
        <v>45664.65388888889</v>
      </c>
      <c r="F167" s="10" t="n">
        <v>45664.68289351852</v>
      </c>
      <c r="G167" s="11">
        <f>IF(AND(ISNUMBER(C167),ISNUMBER(E167)),(E167-C167),"")</f>
        <v/>
      </c>
      <c r="H167" s="11">
        <f>IF(AND(ISNUMBER(C167),ISNUMBER(F167)),(F167-C167),"")</f>
        <v/>
      </c>
    </row>
    <row r="168">
      <c r="A168" s="3" t="inlineStr">
        <is>
          <t>1004008</t>
        </is>
      </c>
      <c r="B168" s="3" t="inlineStr">
        <is>
          <t>613</t>
        </is>
      </c>
      <c r="C168" s="10" t="n">
        <v>45664.38528935185</v>
      </c>
      <c r="D168" s="3" t="inlineStr">
        <is>
          <t>OBT070125155207-Pitten (Hamburger)</t>
        </is>
      </c>
      <c r="E168" s="10" t="n">
        <v>45664.66119212963</v>
      </c>
      <c r="F168" s="10" t="n">
        <v>45664.70534722223</v>
      </c>
      <c r="G168" s="11">
        <f>IF(AND(ISNUMBER(C168),ISNUMBER(E168)),(E168-C168),"")</f>
        <v/>
      </c>
      <c r="H168" s="11">
        <f>IF(AND(ISNUMBER(C168),ISNUMBER(F168)),(F168-C168),"")</f>
        <v/>
      </c>
    </row>
    <row r="169">
      <c r="A169" s="3" t="inlineStr">
        <is>
          <t>1004101</t>
        </is>
      </c>
      <c r="B169" s="3" t="inlineStr">
        <is>
          <t>615</t>
        </is>
      </c>
      <c r="C169" s="10" t="n">
        <v>45664.45293981482</v>
      </c>
      <c r="D169" s="3" t="inlineStr">
        <is>
          <t>OBT070125105541-Wien Kledering</t>
        </is>
      </c>
      <c r="E169" s="10" t="n">
        <v>45664.45533564815</v>
      </c>
      <c r="F169" s="10" t="n">
        <v>45664.50817129629</v>
      </c>
      <c r="G169" s="11">
        <f>IF(AND(ISNUMBER(C169),ISNUMBER(E169)),(E169-C169),"")</f>
        <v/>
      </c>
      <c r="H169" s="11">
        <f>IF(AND(ISNUMBER(C169),ISNUMBER(F169)),(F169-C169),"")</f>
        <v/>
      </c>
    </row>
    <row r="170">
      <c r="A170" s="3" t="inlineStr">
        <is>
          <t>1004102</t>
        </is>
      </c>
      <c r="B170" s="3" t="inlineStr">
        <is>
          <t>627</t>
        </is>
      </c>
      <c r="C170" s="10" t="n">
        <v>45664.45501157407</v>
      </c>
      <c r="D170" s="3" t="inlineStr">
        <is>
          <t>OBT070125162217-St. Veit an der Glan</t>
        </is>
      </c>
      <c r="E170" s="10" t="n">
        <v>45664.6821412037</v>
      </c>
      <c r="F170" s="10" t="n">
        <v>45664.7060300926</v>
      </c>
      <c r="G170" s="11">
        <f>IF(AND(ISNUMBER(C170),ISNUMBER(E170)),(E170-C170),"")</f>
        <v/>
      </c>
      <c r="H170" s="11">
        <f>IF(AND(ISNUMBER(C170),ISNUMBER(F170)),(F170-C170),"")</f>
        <v/>
      </c>
    </row>
    <row r="171">
      <c r="A171" s="3" t="inlineStr">
        <is>
          <t>1004103</t>
        </is>
      </c>
      <c r="B171" s="3" t="inlineStr">
        <is>
          <t>625</t>
        </is>
      </c>
      <c r="C171" s="10" t="n">
        <v>45664.45717592593</v>
      </c>
      <c r="D171" s="3" t="inlineStr">
        <is>
          <t>OBT070125131825-Wien Kledering</t>
        </is>
      </c>
      <c r="E171" s="10" t="n">
        <v>45664.55445601852</v>
      </c>
      <c r="F171" s="10" t="n">
        <v>45664.60231481482</v>
      </c>
      <c r="G171" s="11">
        <f>IF(AND(ISNUMBER(C171),ISNUMBER(E171)),(E171-C171),"")</f>
        <v/>
      </c>
      <c r="H171" s="11">
        <f>IF(AND(ISNUMBER(C171),ISNUMBER(F171)),(F171-C171),"")</f>
        <v/>
      </c>
    </row>
    <row r="172">
      <c r="A172" s="3" t="inlineStr">
        <is>
          <t>1004201</t>
        </is>
      </c>
      <c r="B172" s="3" t="inlineStr">
        <is>
          <t>625</t>
        </is>
      </c>
      <c r="C172" s="10" t="n">
        <v>45664.55087962963</v>
      </c>
      <c r="D172" s="3" t="inlineStr">
        <is>
          <t>OBT070125131825-Wien Kledering</t>
        </is>
      </c>
      <c r="E172" s="10" t="n">
        <v>45664.55445601852</v>
      </c>
      <c r="F172" s="10" t="n">
        <v>45664.60231481482</v>
      </c>
      <c r="G172" s="11">
        <f>IF(AND(ISNUMBER(C172),ISNUMBER(E172)),(E172-C172),"")</f>
        <v/>
      </c>
      <c r="H172" s="11">
        <f>IF(AND(ISNUMBER(C172),ISNUMBER(F172)),(F172-C172),"")</f>
        <v/>
      </c>
    </row>
    <row r="173">
      <c r="A173" s="3" t="inlineStr">
        <is>
          <t>1004301</t>
        </is>
      </c>
      <c r="B173" s="3" t="inlineStr">
        <is>
          <t>615</t>
        </is>
      </c>
      <c r="C173" s="10" t="n">
        <v>45664.60460648148</v>
      </c>
      <c r="D173" s="3" t="inlineStr">
        <is>
          <t>OBT070125143346-Wien Kledering</t>
        </is>
      </c>
      <c r="E173" s="10" t="n">
        <v>45664.60678240741</v>
      </c>
      <c r="F173" s="10" t="n">
        <v>45664.67811342593</v>
      </c>
      <c r="G173" s="11">
        <f>IF(AND(ISNUMBER(C173),ISNUMBER(E173)),(E173-C173),"")</f>
        <v/>
      </c>
      <c r="H173" s="11">
        <f>IF(AND(ISNUMBER(C173),ISNUMBER(F173)),(F173-C173),"")</f>
        <v/>
      </c>
    </row>
    <row r="174">
      <c r="A174" s="3" t="inlineStr">
        <is>
          <t>1004401</t>
        </is>
      </c>
      <c r="B174" s="3" t="inlineStr">
        <is>
          <t>625</t>
        </is>
      </c>
      <c r="C174" s="10" t="n">
        <v>45664.64542824074</v>
      </c>
      <c r="D174" s="3" t="inlineStr">
        <is>
          <t>OBT080125031718-Other sidings local</t>
        </is>
      </c>
      <c r="E174" s="10" t="n">
        <v>45665.13701388889</v>
      </c>
      <c r="F174" s="10" t="n">
        <v>45665.1594675926</v>
      </c>
      <c r="G174" s="11">
        <f>IF(AND(ISNUMBER(C174),ISNUMBER(E174)),(E174-C174),"")</f>
        <v/>
      </c>
      <c r="H174" s="11">
        <f>IF(AND(ISNUMBER(C174),ISNUMBER(F174)),(F174-C174),"")</f>
        <v/>
      </c>
    </row>
    <row r="175">
      <c r="A175" s="3" t="inlineStr">
        <is>
          <t>1004402</t>
        </is>
      </c>
      <c r="B175" s="3" t="inlineStr">
        <is>
          <t>606</t>
        </is>
      </c>
      <c r="C175" s="10" t="n">
        <v>45664.64715277778</v>
      </c>
      <c r="D175" s="3" t="inlineStr">
        <is>
          <t>OBT090125184210-Steinabrückl/Wöllersdorf</t>
        </is>
      </c>
      <c r="E175" s="10" t="n">
        <v>45666.77928240741</v>
      </c>
      <c r="F175" s="10" t="n">
        <v>45666.8174537037</v>
      </c>
      <c r="G175" s="11">
        <f>IF(AND(ISNUMBER(C175),ISNUMBER(E175)),(E175-C175),"")</f>
        <v/>
      </c>
      <c r="H175" s="11">
        <f>IF(AND(ISNUMBER(C175),ISNUMBER(F175)),(F175-C175),"")</f>
        <v/>
      </c>
    </row>
    <row r="176">
      <c r="A176" s="3" t="inlineStr">
        <is>
          <t>1004403</t>
        </is>
      </c>
      <c r="B176" s="3" t="inlineStr">
        <is>
          <t>615</t>
        </is>
      </c>
      <c r="C176" s="10" t="n">
        <v>45664.64832175926</v>
      </c>
      <c r="D176" s="3" t="inlineStr">
        <is>
          <t>OBT080125081724-Other sidings north</t>
        </is>
      </c>
      <c r="E176" s="10" t="n">
        <v>45665.34541666666</v>
      </c>
      <c r="F176" s="10" t="n">
        <v>45665.36962962963</v>
      </c>
      <c r="G176" s="11">
        <f>IF(AND(ISNUMBER(C176),ISNUMBER(E176)),(E176-C176),"")</f>
        <v/>
      </c>
      <c r="H176" s="11">
        <f>IF(AND(ISNUMBER(C176),ISNUMBER(F176)),(F176-C176),"")</f>
        <v/>
      </c>
    </row>
    <row r="177">
      <c r="A177" s="3" t="inlineStr">
        <is>
          <t>1004404</t>
        </is>
      </c>
      <c r="B177" s="3" t="inlineStr">
        <is>
          <t>629</t>
        </is>
      </c>
      <c r="C177" s="10" t="n">
        <v>45664.6503125</v>
      </c>
      <c r="D177" s="3" t="inlineStr">
        <is>
          <t>OBT070125154136-Wr. Neustadt (Hödlmayr)</t>
        </is>
      </c>
      <c r="E177" s="10" t="n">
        <v>45664.65388888889</v>
      </c>
      <c r="F177" s="10" t="n">
        <v>45664.68289351852</v>
      </c>
      <c r="G177" s="11">
        <f>IF(AND(ISNUMBER(C177),ISNUMBER(E177)),(E177-C177),"")</f>
        <v/>
      </c>
      <c r="H177" s="11">
        <f>IF(AND(ISNUMBER(C177),ISNUMBER(F177)),(F177-C177),"")</f>
        <v/>
      </c>
    </row>
    <row r="178">
      <c r="A178" s="3" t="inlineStr">
        <is>
          <t>1004405</t>
        </is>
      </c>
      <c r="B178" s="3" t="inlineStr">
        <is>
          <t>613</t>
        </is>
      </c>
      <c r="C178" s="10" t="n">
        <v>45664.6516087963</v>
      </c>
      <c r="D178" s="3" t="inlineStr">
        <is>
          <t>OBT070125155207-Pitten (Hamburger)</t>
        </is>
      </c>
      <c r="E178" s="10" t="n">
        <v>45664.66119212963</v>
      </c>
      <c r="F178" s="10" t="n">
        <v>45664.70534722223</v>
      </c>
      <c r="G178" s="11">
        <f>IF(AND(ISNUMBER(C178),ISNUMBER(E178)),(E178-C178),"")</f>
        <v/>
      </c>
      <c r="H178" s="11">
        <f>IF(AND(ISNUMBER(C178),ISNUMBER(F178)),(F178-C178),"")</f>
        <v/>
      </c>
    </row>
    <row r="179">
      <c r="A179" s="3" t="inlineStr">
        <is>
          <t>1004406</t>
        </is>
      </c>
      <c r="B179" s="3" t="inlineStr">
        <is>
          <t>609</t>
        </is>
      </c>
      <c r="C179" s="10" t="n">
        <v>45664.65310185185</v>
      </c>
      <c r="D179" s="3" t="inlineStr">
        <is>
          <t>OBT090125074546-Wr. Neustadt (Brenntag)</t>
        </is>
      </c>
      <c r="E179" s="10" t="n">
        <v>45666.32344907407</v>
      </c>
      <c r="F179" s="10" t="n">
        <v>45666.39756944445</v>
      </c>
      <c r="G179" s="11">
        <f>IF(AND(ISNUMBER(C179),ISNUMBER(E179)),(E179-C179),"")</f>
        <v/>
      </c>
      <c r="H179" s="11">
        <f>IF(AND(ISNUMBER(C179),ISNUMBER(F179)),(F179-C179),"")</f>
        <v/>
      </c>
    </row>
    <row r="180">
      <c r="A180" s="3" t="inlineStr">
        <is>
          <t>1004407</t>
        </is>
      </c>
      <c r="B180" s="3" t="inlineStr">
        <is>
          <t>617</t>
        </is>
      </c>
      <c r="C180" s="10" t="n">
        <v>45664.65458333334</v>
      </c>
      <c r="D180" s="3" t="inlineStr">
        <is>
          <t>OBT070125154601-Other sidings north</t>
        </is>
      </c>
      <c r="E180" s="10" t="n">
        <v>45664.65695601852</v>
      </c>
      <c r="F180" s="10" t="n">
        <v>45664.68701388889</v>
      </c>
      <c r="G180" s="11">
        <f>IF(AND(ISNUMBER(C180),ISNUMBER(E180)),(E180-C180),"")</f>
        <v/>
      </c>
      <c r="H180" s="11">
        <f>IF(AND(ISNUMBER(C180),ISNUMBER(F180)),(F180-C180),"")</f>
        <v/>
      </c>
    </row>
    <row r="181">
      <c r="A181" s="3" t="inlineStr">
        <is>
          <t>1004408</t>
        </is>
      </c>
      <c r="B181" s="3" t="inlineStr">
        <is>
          <t>611</t>
        </is>
      </c>
      <c r="C181" s="10" t="n">
        <v>45664.6559837963</v>
      </c>
      <c r="D181" s="3" t="inlineStr">
        <is>
          <t>OBT080125041024-Neudörfl (FunderMax)</t>
        </is>
      </c>
      <c r="E181" s="10" t="n">
        <v>45665.17388888889</v>
      </c>
      <c r="F181" s="10" t="n">
        <v>45665.27949074074</v>
      </c>
      <c r="G181" s="11">
        <f>IF(AND(ISNUMBER(C181),ISNUMBER(E181)),(E181-C181),"")</f>
        <v/>
      </c>
      <c r="H181" s="11">
        <f>IF(AND(ISNUMBER(C181),ISNUMBER(F181)),(F181-C181),"")</f>
        <v/>
      </c>
    </row>
    <row r="182">
      <c r="A182" s="3" t="inlineStr">
        <is>
          <t>1004409</t>
        </is>
      </c>
      <c r="B182" s="3" t="inlineStr">
        <is>
          <t>613</t>
        </is>
      </c>
      <c r="C182" s="10" t="n">
        <v>45664.65726851852</v>
      </c>
      <c r="D182" s="3" t="inlineStr">
        <is>
          <t>OBT070125155207-Pitten (Hamburger)</t>
        </is>
      </c>
      <c r="E182" s="10" t="n">
        <v>45664.66119212963</v>
      </c>
      <c r="F182" s="10" t="n">
        <v>45664.70534722223</v>
      </c>
      <c r="G182" s="11">
        <f>IF(AND(ISNUMBER(C182),ISNUMBER(E182)),(E182-C182),"")</f>
        <v/>
      </c>
      <c r="H182" s="11">
        <f>IF(AND(ISNUMBER(C182),ISNUMBER(F182)),(F182-C182),"")</f>
        <v/>
      </c>
    </row>
    <row r="183">
      <c r="A183" s="3" t="inlineStr">
        <is>
          <t>1004410</t>
        </is>
      </c>
      <c r="B183" s="3" t="inlineStr">
        <is>
          <t>623</t>
        </is>
      </c>
      <c r="C183" s="10" t="n">
        <v>45664.65902777778</v>
      </c>
      <c r="D183" s="3" t="inlineStr">
        <is>
          <t>OBT080125032215-Other sidings south</t>
        </is>
      </c>
      <c r="E183" s="10" t="n">
        <v>45665.14045138889</v>
      </c>
      <c r="F183" s="10" t="n">
        <v>45665.18077546296</v>
      </c>
      <c r="G183" s="11">
        <f>IF(AND(ISNUMBER(C183),ISNUMBER(E183)),(E183-C183),"")</f>
        <v/>
      </c>
      <c r="H183" s="11">
        <f>IF(AND(ISNUMBER(C183),ISNUMBER(F183)),(F183-C183),"")</f>
        <v/>
      </c>
    </row>
    <row r="184">
      <c r="A184" s="3" t="inlineStr">
        <is>
          <t>1004411</t>
        </is>
      </c>
      <c r="B184" s="3" t="inlineStr">
        <is>
          <t>605</t>
        </is>
      </c>
      <c r="C184" s="10" t="n">
        <v>45664.66076388889</v>
      </c>
      <c r="D184" s="3" t="inlineStr">
        <is>
          <t>OBT070125180657-Wr. Neustadt Ausfahrbf (Furtenbach)</t>
        </is>
      </c>
      <c r="E184" s="10" t="n">
        <v>45664.75482638889</v>
      </c>
      <c r="F184" s="10" t="n">
        <v>45664.78077546296</v>
      </c>
      <c r="G184" s="11">
        <f>IF(AND(ISNUMBER(C184),ISNUMBER(E184)),(E184-C184),"")</f>
        <v/>
      </c>
      <c r="H184" s="11">
        <f>IF(AND(ISNUMBER(C184),ISNUMBER(F184)),(F184-C184),"")</f>
        <v/>
      </c>
    </row>
    <row r="185">
      <c r="A185" s="3" t="inlineStr">
        <is>
          <t>1004501</t>
        </is>
      </c>
      <c r="B185" s="3" t="inlineStr">
        <is>
          <t>619</t>
        </is>
      </c>
      <c r="C185" s="10" t="n">
        <v>45664.66443287037</v>
      </c>
      <c r="D185" s="3" t="inlineStr">
        <is>
          <t>OBT070125160018-Wien Kledering</t>
        </is>
      </c>
      <c r="E185" s="10" t="n">
        <v>45664.666875</v>
      </c>
      <c r="F185" s="10" t="n">
        <v>45664.7537037037</v>
      </c>
      <c r="G185" s="11">
        <f>IF(AND(ISNUMBER(C185),ISNUMBER(E185)),(E185-C185),"")</f>
        <v/>
      </c>
      <c r="H185" s="11">
        <f>IF(AND(ISNUMBER(C185),ISNUMBER(F185)),(F185-C185),"")</f>
        <v/>
      </c>
    </row>
    <row r="186">
      <c r="A186" s="3" t="inlineStr">
        <is>
          <t>1004601</t>
        </is>
      </c>
      <c r="B186" s="3" t="inlineStr">
        <is>
          <t>607</t>
        </is>
      </c>
      <c r="C186" s="10" t="n">
        <v>45664.67633101852</v>
      </c>
      <c r="D186" s="3" t="inlineStr">
        <is>
          <t>OBT070125183432-Wien Kledering</t>
        </is>
      </c>
      <c r="E186" s="10" t="n">
        <v>45664.77398148148</v>
      </c>
      <c r="F186" s="10" t="n">
        <v>45664.83010416666</v>
      </c>
      <c r="G186" s="11">
        <f>IF(AND(ISNUMBER(C186),ISNUMBER(E186)),(E186-C186),"")</f>
        <v/>
      </c>
      <c r="H186" s="11">
        <f>IF(AND(ISNUMBER(C186),ISNUMBER(F186)),(F186-C186),"")</f>
        <v/>
      </c>
    </row>
    <row r="187">
      <c r="A187" s="3" t="inlineStr">
        <is>
          <t>1004602</t>
        </is>
      </c>
      <c r="B187" s="3" t="inlineStr">
        <is>
          <t>627</t>
        </is>
      </c>
      <c r="C187" s="10" t="n">
        <v>45664.67825231481</v>
      </c>
      <c r="D187" s="3" t="inlineStr">
        <is>
          <t>OBT070125162217-St. Veit an der Glan</t>
        </is>
      </c>
      <c r="E187" s="10" t="n">
        <v>45664.6821412037</v>
      </c>
      <c r="F187" s="10" t="n">
        <v>45664.7060300926</v>
      </c>
      <c r="G187" s="11">
        <f>IF(AND(ISNUMBER(C187),ISNUMBER(E187)),(E187-C187),"")</f>
        <v/>
      </c>
      <c r="H187" s="11">
        <f>IF(AND(ISNUMBER(C187),ISNUMBER(F187)),(F187-C187),"")</f>
        <v/>
      </c>
    </row>
    <row r="188">
      <c r="A188" s="3" t="inlineStr">
        <is>
          <t>1004701</t>
        </is>
      </c>
      <c r="B188" s="3" t="inlineStr">
        <is>
          <t>611</t>
        </is>
      </c>
      <c r="C188" s="10" t="n">
        <v>45664.74449074074</v>
      </c>
      <c r="D188" s="3" t="inlineStr">
        <is>
          <t>OBT080125041024-Neudörfl (FunderMax)</t>
        </is>
      </c>
      <c r="E188" s="10" t="n">
        <v>45665.17388888889</v>
      </c>
      <c r="F188" s="10" t="n">
        <v>45665.27949074074</v>
      </c>
      <c r="G188" s="11">
        <f>IF(AND(ISNUMBER(C188),ISNUMBER(E188)),(E188-C188),"")</f>
        <v/>
      </c>
      <c r="H188" s="11">
        <f>IF(AND(ISNUMBER(C188),ISNUMBER(F188)),(F188-C188),"")</f>
        <v/>
      </c>
    </row>
    <row r="189">
      <c r="A189" s="3" t="inlineStr">
        <is>
          <t>1004702</t>
        </is>
      </c>
      <c r="B189" s="3" t="inlineStr">
        <is>
          <t>625</t>
        </is>
      </c>
      <c r="C189" s="10" t="n">
        <v>45664.7465162037</v>
      </c>
      <c r="D189" s="3" t="inlineStr">
        <is>
          <t>OBT080125031718-Other sidings local</t>
        </is>
      </c>
      <c r="E189" s="10" t="n">
        <v>45665.13701388889</v>
      </c>
      <c r="F189" s="10" t="n">
        <v>45665.1594675926</v>
      </c>
      <c r="G189" s="11">
        <f>IF(AND(ISNUMBER(C189),ISNUMBER(E189)),(E189-C189),"")</f>
        <v/>
      </c>
      <c r="H189" s="11">
        <f>IF(AND(ISNUMBER(C189),ISNUMBER(F189)),(F189-C189),"")</f>
        <v/>
      </c>
    </row>
    <row r="190">
      <c r="A190" s="3" t="inlineStr">
        <is>
          <t>1004703</t>
        </is>
      </c>
      <c r="B190" s="3" t="inlineStr">
        <is>
          <t>623</t>
        </is>
      </c>
      <c r="C190" s="10" t="n">
        <v>45664.74828703704</v>
      </c>
      <c r="D190" s="3" t="inlineStr">
        <is>
          <t>OBT080125032215-Other sidings south</t>
        </is>
      </c>
      <c r="E190" s="10" t="n">
        <v>45665.14045138889</v>
      </c>
      <c r="F190" s="10" t="n">
        <v>45665.18077546296</v>
      </c>
      <c r="G190" s="11">
        <f>IF(AND(ISNUMBER(C190),ISNUMBER(E190)),(E190-C190),"")</f>
        <v/>
      </c>
      <c r="H190" s="11">
        <f>IF(AND(ISNUMBER(C190),ISNUMBER(F190)),(F190-C190),"")</f>
        <v/>
      </c>
    </row>
    <row r="191">
      <c r="A191" s="3" t="inlineStr">
        <is>
          <t>1004704</t>
        </is>
      </c>
      <c r="B191" s="3" t="inlineStr">
        <is>
          <t>615</t>
        </is>
      </c>
      <c r="C191" s="10" t="n">
        <v>45664.74947916667</v>
      </c>
      <c r="D191" s="3" t="inlineStr">
        <is>
          <t>OBT080125081724-Other sidings north</t>
        </is>
      </c>
      <c r="E191" s="10" t="n">
        <v>45665.34541666666</v>
      </c>
      <c r="F191" s="10" t="n">
        <v>45665.36962962963</v>
      </c>
      <c r="G191" s="11">
        <f>IF(AND(ISNUMBER(C191),ISNUMBER(E191)),(E191-C191),"")</f>
        <v/>
      </c>
      <c r="H191" s="11">
        <f>IF(AND(ISNUMBER(C191),ISNUMBER(F191)),(F191-C191),"")</f>
        <v/>
      </c>
    </row>
    <row r="192">
      <c r="A192" s="3" t="inlineStr">
        <is>
          <t>1004705</t>
        </is>
      </c>
      <c r="B192" s="3" t="inlineStr">
        <is>
          <t>605</t>
        </is>
      </c>
      <c r="C192" s="10" t="n">
        <v>45664.75126157407</v>
      </c>
      <c r="D192" s="3" t="inlineStr">
        <is>
          <t>OBT070125180657-Wr. Neustadt Ausfahrbf (Furtenbach)</t>
        </is>
      </c>
      <c r="E192" s="10" t="n">
        <v>45664.75482638889</v>
      </c>
      <c r="F192" s="10" t="n">
        <v>45664.78077546296</v>
      </c>
      <c r="G192" s="11">
        <f>IF(AND(ISNUMBER(C192),ISNUMBER(E192)),(E192-C192),"")</f>
        <v/>
      </c>
      <c r="H192" s="11">
        <f>IF(AND(ISNUMBER(C192),ISNUMBER(F192)),(F192-C192),"")</f>
        <v/>
      </c>
    </row>
    <row r="193">
      <c r="A193" s="3" t="inlineStr">
        <is>
          <t>1004706</t>
        </is>
      </c>
      <c r="B193" s="3" t="inlineStr">
        <is>
          <t>613</t>
        </is>
      </c>
      <c r="C193" s="10" t="n">
        <v>45664.75275462963</v>
      </c>
      <c r="D193" s="3" t="inlineStr">
        <is>
          <t>OBT070125180725-Wr. Neustadt (Hödlmayr)</t>
        </is>
      </c>
      <c r="E193" s="10" t="n">
        <v>45664.75515046297</v>
      </c>
      <c r="F193" s="10" t="n">
        <v>45664.77583333333</v>
      </c>
      <c r="G193" s="11">
        <f>IF(AND(ISNUMBER(C193),ISNUMBER(E193)),(E193-C193),"")</f>
        <v/>
      </c>
      <c r="H193" s="11">
        <f>IF(AND(ISNUMBER(C193),ISNUMBER(F193)),(F193-C193),"")</f>
        <v/>
      </c>
    </row>
    <row r="194">
      <c r="A194" s="3" t="inlineStr">
        <is>
          <t>1004707</t>
        </is>
      </c>
      <c r="B194" s="3" t="inlineStr">
        <is>
          <t>625</t>
        </is>
      </c>
      <c r="C194" s="10" t="n">
        <v>45664.75478009259</v>
      </c>
      <c r="D194" s="3" t="inlineStr">
        <is>
          <t>OBT080125031718-Other sidings local</t>
        </is>
      </c>
      <c r="E194" s="10" t="n">
        <v>45665.13701388889</v>
      </c>
      <c r="F194" s="10" t="n">
        <v>45665.1594675926</v>
      </c>
      <c r="G194" s="11">
        <f>IF(AND(ISNUMBER(C194),ISNUMBER(E194)),(E194-C194),"")</f>
        <v/>
      </c>
      <c r="H194" s="11">
        <f>IF(AND(ISNUMBER(C194),ISNUMBER(F194)),(F194-C194),"")</f>
        <v/>
      </c>
    </row>
    <row r="195">
      <c r="A195" s="3" t="inlineStr">
        <is>
          <t>1004708</t>
        </is>
      </c>
      <c r="B195" s="3" t="inlineStr">
        <is>
          <t>627</t>
        </is>
      </c>
      <c r="C195" s="10" t="n">
        <v>45664.75674768518</v>
      </c>
      <c r="D195" s="3" t="inlineStr">
        <is>
          <t>OBT080125031418-Pitten (Hamburger)</t>
        </is>
      </c>
      <c r="E195" s="10" t="n">
        <v>45665.13493055556</v>
      </c>
      <c r="F195" s="10" t="n">
        <v>45665.15424768518</v>
      </c>
      <c r="G195" s="11">
        <f>IF(AND(ISNUMBER(C195),ISNUMBER(E195)),(E195-C195),"")</f>
        <v/>
      </c>
      <c r="H195" s="11">
        <f>IF(AND(ISNUMBER(C195),ISNUMBER(F195)),(F195-C195),"")</f>
        <v/>
      </c>
    </row>
    <row r="196">
      <c r="A196" s="3" t="inlineStr">
        <is>
          <t>1004709</t>
        </is>
      </c>
      <c r="B196" s="3" t="inlineStr">
        <is>
          <t>621</t>
        </is>
      </c>
      <c r="C196" s="10" t="n">
        <v>45664.75871527778</v>
      </c>
      <c r="D196" s="3" t="inlineStr">
        <is>
          <t>OBT080125153109-Felixdorf/Sollenau (Bundesheer, Maba)</t>
        </is>
      </c>
      <c r="E196" s="10" t="n">
        <v>45665.64663194444</v>
      </c>
      <c r="F196" s="10" t="n">
        <v>45665.67341435186</v>
      </c>
      <c r="G196" s="11">
        <f>IF(AND(ISNUMBER(C196),ISNUMBER(E196)),(E196-C196),"")</f>
        <v/>
      </c>
      <c r="H196" s="11">
        <f>IF(AND(ISNUMBER(C196),ISNUMBER(F196)),(F196-C196),"")</f>
        <v/>
      </c>
    </row>
    <row r="197">
      <c r="A197" s="3" t="inlineStr">
        <is>
          <t>1004710</t>
        </is>
      </c>
      <c r="B197" s="3" t="inlineStr">
        <is>
          <t>606</t>
        </is>
      </c>
      <c r="C197" s="10" t="n">
        <v>45664.76047453703</v>
      </c>
      <c r="D197" s="3" t="inlineStr">
        <is>
          <t>OBT090125184210-Steinabrückl/Wöllersdorf</t>
        </is>
      </c>
      <c r="E197" s="10" t="n">
        <v>45666.77928240741</v>
      </c>
      <c r="F197" s="10" t="n">
        <v>45666.8174537037</v>
      </c>
      <c r="G197" s="11">
        <f>IF(AND(ISNUMBER(C197),ISNUMBER(E197)),(E197-C197),"")</f>
        <v/>
      </c>
      <c r="H197" s="11">
        <f>IF(AND(ISNUMBER(C197),ISNUMBER(F197)),(F197-C197),"")</f>
        <v/>
      </c>
    </row>
    <row r="198">
      <c r="A198" s="3" t="inlineStr">
        <is>
          <t>1004711</t>
        </is>
      </c>
      <c r="B198" s="3" t="inlineStr">
        <is>
          <t>627</t>
        </is>
      </c>
      <c r="C198" s="10" t="n">
        <v>45664.76241898148</v>
      </c>
      <c r="D198" s="3" t="inlineStr">
        <is>
          <t>OBT080125031418-Pitten (Hamburger)</t>
        </is>
      </c>
      <c r="E198" s="10" t="n">
        <v>45665.13493055556</v>
      </c>
      <c r="F198" s="10" t="n">
        <v>45665.15424768518</v>
      </c>
      <c r="G198" s="11">
        <f>IF(AND(ISNUMBER(C198),ISNUMBER(E198)),(E198-C198),"")</f>
        <v/>
      </c>
      <c r="H198" s="11">
        <f>IF(AND(ISNUMBER(C198),ISNUMBER(F198)),(F198-C198),"")</f>
        <v/>
      </c>
    </row>
    <row r="199">
      <c r="A199" s="3" t="inlineStr">
        <is>
          <t>1004712</t>
        </is>
      </c>
      <c r="B199" s="3" t="inlineStr">
        <is>
          <t>615</t>
        </is>
      </c>
      <c r="C199" s="10" t="n">
        <v>45664.76357638889</v>
      </c>
      <c r="D199" s="3" t="inlineStr">
        <is>
          <t>OBT080125081724-Other sidings north</t>
        </is>
      </c>
      <c r="E199" s="10" t="n">
        <v>45665.34541666666</v>
      </c>
      <c r="F199" s="10" t="n">
        <v>45665.36962962963</v>
      </c>
      <c r="G199" s="11">
        <f>IF(AND(ISNUMBER(C199),ISNUMBER(E199)),(E199-C199),"")</f>
        <v/>
      </c>
      <c r="H199" s="11">
        <f>IF(AND(ISNUMBER(C199),ISNUMBER(F199)),(F199-C199),"")</f>
        <v/>
      </c>
    </row>
    <row r="200">
      <c r="A200" s="3" t="inlineStr">
        <is>
          <t>1004713</t>
        </is>
      </c>
      <c r="B200" s="3" t="inlineStr">
        <is>
          <t>615</t>
        </is>
      </c>
      <c r="C200" s="10" t="n">
        <v>45664.76478009259</v>
      </c>
      <c r="D200" s="3" t="inlineStr">
        <is>
          <t>OBT080125081724-Other sidings north</t>
        </is>
      </c>
      <c r="E200" s="10" t="n">
        <v>45665.34541666666</v>
      </c>
      <c r="F200" s="10" t="n">
        <v>45665.36962962963</v>
      </c>
      <c r="G200" s="11">
        <f>IF(AND(ISNUMBER(C200),ISNUMBER(E200)),(E200-C200),"")</f>
        <v/>
      </c>
      <c r="H200" s="11">
        <f>IF(AND(ISNUMBER(C200),ISNUMBER(F200)),(F200-C200),"")</f>
        <v/>
      </c>
    </row>
    <row r="201">
      <c r="A201" s="3" t="inlineStr">
        <is>
          <t>1004801</t>
        </is>
      </c>
      <c r="B201" s="3" t="inlineStr">
        <is>
          <t>607</t>
        </is>
      </c>
      <c r="C201" s="10" t="n">
        <v>45664.76758101852</v>
      </c>
      <c r="D201" s="3" t="inlineStr">
        <is>
          <t>OBT070125183432-Wien Kledering</t>
        </is>
      </c>
      <c r="E201" s="10" t="n">
        <v>45664.77398148148</v>
      </c>
      <c r="F201" s="10" t="n">
        <v>45664.83010416666</v>
      </c>
      <c r="G201" s="11">
        <f>IF(AND(ISNUMBER(C201),ISNUMBER(E201)),(E201-C201),"")</f>
        <v/>
      </c>
      <c r="H201" s="11">
        <f>IF(AND(ISNUMBER(C201),ISNUMBER(F201)),(F201-C201),"")</f>
        <v/>
      </c>
    </row>
    <row r="202">
      <c r="A202" s="3" t="inlineStr">
        <is>
          <t>1004901</t>
        </is>
      </c>
      <c r="B202" s="3" t="inlineStr">
        <is>
          <t>613</t>
        </is>
      </c>
      <c r="C202" s="10" t="n">
        <v>45664.88657407407</v>
      </c>
      <c r="D202" s="3" t="inlineStr">
        <is>
          <t>OBT070125212007-Wien Kledering</t>
        </is>
      </c>
      <c r="E202" s="10" t="n">
        <v>45664.88896990741</v>
      </c>
      <c r="F202" s="10" t="n">
        <v>45664.95870370371</v>
      </c>
      <c r="G202" s="11">
        <f>IF(AND(ISNUMBER(C202),ISNUMBER(E202)),(E202-C202),"")</f>
        <v/>
      </c>
      <c r="H202" s="11">
        <f>IF(AND(ISNUMBER(C202),ISNUMBER(F202)),(F202-C202),"")</f>
        <v/>
      </c>
    </row>
    <row r="203">
      <c r="A203" s="3" t="inlineStr">
        <is>
          <t>1005001</t>
        </is>
      </c>
      <c r="B203" s="3" t="inlineStr">
        <is>
          <t>625</t>
        </is>
      </c>
      <c r="C203" s="10" t="n">
        <v>45665.12907407407</v>
      </c>
      <c r="D203" s="3" t="inlineStr">
        <is>
          <t>OBT080125031718-Other sidings local</t>
        </is>
      </c>
      <c r="E203" s="10" t="n">
        <v>45665.13701388889</v>
      </c>
      <c r="F203" s="10" t="n">
        <v>45665.1594675926</v>
      </c>
      <c r="G203" s="11">
        <f>IF(AND(ISNUMBER(C203),ISNUMBER(E203)),(E203-C203),"")</f>
        <v/>
      </c>
      <c r="H203" s="11">
        <f>IF(AND(ISNUMBER(C203),ISNUMBER(F203)),(F203-C203),"")</f>
        <v/>
      </c>
    </row>
    <row r="204">
      <c r="A204" s="3" t="inlineStr">
        <is>
          <t>1005002</t>
        </is>
      </c>
      <c r="B204" s="3" t="inlineStr">
        <is>
          <t>627</t>
        </is>
      </c>
      <c r="C204" s="10" t="n">
        <v>45665.13103009259</v>
      </c>
      <c r="D204" s="3" t="inlineStr">
        <is>
          <t>OBT080125031418-Pitten (Hamburger)</t>
        </is>
      </c>
      <c r="E204" s="10" t="n">
        <v>45665.13493055556</v>
      </c>
      <c r="F204" s="10" t="n">
        <v>45665.15424768518</v>
      </c>
      <c r="G204" s="11">
        <f>IF(AND(ISNUMBER(C204),ISNUMBER(E204)),(E204-C204),"")</f>
        <v/>
      </c>
      <c r="H204" s="11">
        <f>IF(AND(ISNUMBER(C204),ISNUMBER(F204)),(F204-C204),"")</f>
        <v/>
      </c>
    </row>
    <row r="205">
      <c r="A205" s="3" t="inlineStr">
        <is>
          <t>1005003</t>
        </is>
      </c>
      <c r="B205" s="3" t="inlineStr">
        <is>
          <t>625</t>
        </is>
      </c>
      <c r="C205" s="10" t="n">
        <v>45665.13309027778</v>
      </c>
      <c r="D205" s="3" t="inlineStr">
        <is>
          <t>OBT080125031718-Other sidings local</t>
        </is>
      </c>
      <c r="E205" s="10" t="n">
        <v>45665.13701388889</v>
      </c>
      <c r="F205" s="10" t="n">
        <v>45665.1594675926</v>
      </c>
      <c r="G205" s="11">
        <f>IF(AND(ISNUMBER(C205),ISNUMBER(E205)),(E205-C205),"")</f>
        <v/>
      </c>
      <c r="H205" s="11">
        <f>IF(AND(ISNUMBER(C205),ISNUMBER(F205)),(F205-C205),"")</f>
        <v/>
      </c>
    </row>
    <row r="206">
      <c r="A206" s="3" t="inlineStr">
        <is>
          <t>1005004</t>
        </is>
      </c>
      <c r="B206" s="3" t="inlineStr">
        <is>
          <t>613</t>
        </is>
      </c>
      <c r="C206" s="10" t="n">
        <v>45665.13471064815</v>
      </c>
      <c r="D206" s="3" t="inlineStr">
        <is>
          <t>OBT080125031726-Neunkirchen (loading tracks)</t>
        </is>
      </c>
      <c r="E206" s="10" t="n">
        <v>45665.13710648148</v>
      </c>
      <c r="F206" s="10" t="n">
        <v>45665.17193287037</v>
      </c>
      <c r="G206" s="11">
        <f>IF(AND(ISNUMBER(C206),ISNUMBER(E206)),(E206-C206),"")</f>
        <v/>
      </c>
      <c r="H206" s="11">
        <f>IF(AND(ISNUMBER(C206),ISNUMBER(F206)),(F206-C206),"")</f>
        <v/>
      </c>
    </row>
    <row r="207">
      <c r="A207" s="3" t="inlineStr">
        <is>
          <t>1005005</t>
        </is>
      </c>
      <c r="B207" s="3" t="inlineStr">
        <is>
          <t>623</t>
        </is>
      </c>
      <c r="C207" s="10" t="n">
        <v>45665.13655092593</v>
      </c>
      <c r="D207" s="3" t="inlineStr">
        <is>
          <t>OBT080125032215-Other sidings south</t>
        </is>
      </c>
      <c r="E207" s="10" t="n">
        <v>45665.14045138889</v>
      </c>
      <c r="F207" s="10" t="n">
        <v>45665.18077546296</v>
      </c>
      <c r="G207" s="11">
        <f>IF(AND(ISNUMBER(C207),ISNUMBER(E207)),(E207-C207),"")</f>
        <v/>
      </c>
      <c r="H207" s="11">
        <f>IF(AND(ISNUMBER(C207),ISNUMBER(F207)),(F207-C207),"")</f>
        <v/>
      </c>
    </row>
    <row r="208">
      <c r="A208" s="3" t="inlineStr">
        <is>
          <t>1005006</t>
        </is>
      </c>
      <c r="B208" s="3" t="inlineStr">
        <is>
          <t>613</t>
        </is>
      </c>
      <c r="C208" s="10" t="n">
        <v>45665.1378125</v>
      </c>
      <c r="D208" s="3" t="inlineStr">
        <is>
          <t>OBT080125061845-Wien Kledering</t>
        </is>
      </c>
      <c r="E208" s="10" t="n">
        <v>45665.26302083334</v>
      </c>
      <c r="F208" s="10" t="n">
        <v>45665.31657407407</v>
      </c>
      <c r="G208" s="11">
        <f>IF(AND(ISNUMBER(C208),ISNUMBER(E208)),(E208-C208),"")</f>
        <v/>
      </c>
      <c r="H208" s="11">
        <f>IF(AND(ISNUMBER(C208),ISNUMBER(F208)),(F208-C208),"")</f>
        <v/>
      </c>
    </row>
    <row r="209">
      <c r="A209" s="3" t="inlineStr">
        <is>
          <t>1005101</t>
        </is>
      </c>
      <c r="B209" s="3" t="inlineStr">
        <is>
          <t>611</t>
        </is>
      </c>
      <c r="C209" s="10" t="n">
        <v>45665.16996527778</v>
      </c>
      <c r="D209" s="3" t="inlineStr">
        <is>
          <t>OBT080125041024-Neudörfl (FunderMax)</t>
        </is>
      </c>
      <c r="E209" s="10" t="n">
        <v>45665.17388888889</v>
      </c>
      <c r="F209" s="10" t="n">
        <v>45665.27949074074</v>
      </c>
      <c r="G209" s="11">
        <f>IF(AND(ISNUMBER(C209),ISNUMBER(E209)),(E209-C209),"")</f>
        <v/>
      </c>
      <c r="H209" s="11">
        <f>IF(AND(ISNUMBER(C209),ISNUMBER(F209)),(F209-C209),"")</f>
        <v/>
      </c>
    </row>
    <row r="210">
      <c r="A210" s="3" t="inlineStr">
        <is>
          <t>1005201</t>
        </is>
      </c>
      <c r="B210" s="3" t="inlineStr">
        <is>
          <t>613</t>
        </is>
      </c>
      <c r="C210" s="10" t="n">
        <v>45665.26084490741</v>
      </c>
      <c r="D210" s="3" t="inlineStr">
        <is>
          <t>OBT080125061845-Wien Kledering</t>
        </is>
      </c>
      <c r="E210" s="10" t="n">
        <v>45665.26302083334</v>
      </c>
      <c r="F210" s="10" t="n">
        <v>45665.31657407407</v>
      </c>
      <c r="G210" s="11">
        <f>IF(AND(ISNUMBER(C210),ISNUMBER(E210)),(E210-C210),"")</f>
        <v/>
      </c>
      <c r="H210" s="11">
        <f>IF(AND(ISNUMBER(C210),ISNUMBER(F210)),(F210-C210),"")</f>
        <v/>
      </c>
    </row>
    <row r="211">
      <c r="A211" s="3" t="inlineStr">
        <is>
          <t>1005401</t>
        </is>
      </c>
      <c r="B211" s="3" t="inlineStr">
        <is>
          <t>611</t>
        </is>
      </c>
      <c r="C211" s="10" t="n">
        <v>45665.31413194445</v>
      </c>
      <c r="D211" s="3" t="inlineStr">
        <is>
          <t>OBT080125073527-Wien Kledering</t>
        </is>
      </c>
      <c r="E211" s="10" t="n">
        <v>45665.31628472222</v>
      </c>
      <c r="F211" s="10" t="n">
        <v>45665.34519675926</v>
      </c>
      <c r="G211" s="11">
        <f>IF(AND(ISNUMBER(C211),ISNUMBER(E211)),(E211-C211),"")</f>
        <v/>
      </c>
      <c r="H211" s="11">
        <f>IF(AND(ISNUMBER(C211),ISNUMBER(F211)),(F211-C211),"")</f>
        <v/>
      </c>
    </row>
    <row r="212">
      <c r="A212" s="3" t="inlineStr">
        <is>
          <t>1005301</t>
        </is>
      </c>
      <c r="B212" s="3" t="inlineStr">
        <is>
          <t>627</t>
        </is>
      </c>
      <c r="C212" s="10" t="n">
        <v>45665.33141203703</v>
      </c>
      <c r="D212" s="3" t="inlineStr">
        <is>
          <t>OBT080125083220-Pitten (Hamburger)</t>
        </is>
      </c>
      <c r="E212" s="10" t="n">
        <v>45665.35578703704</v>
      </c>
      <c r="F212" s="10" t="n">
        <v>45665.38809027777</v>
      </c>
      <c r="G212" s="11">
        <f>IF(AND(ISNUMBER(C212),ISNUMBER(E212)),(E212-C212),"")</f>
        <v/>
      </c>
      <c r="H212" s="11">
        <f>IF(AND(ISNUMBER(C212),ISNUMBER(F212)),(F212-C212),"")</f>
        <v/>
      </c>
    </row>
    <row r="213">
      <c r="A213" s="3" t="inlineStr">
        <is>
          <t>1005302</t>
        </is>
      </c>
      <c r="B213" s="3" t="inlineStr">
        <is>
          <t>621</t>
        </is>
      </c>
      <c r="C213" s="10" t="n">
        <v>45665.33334490741</v>
      </c>
      <c r="D213" s="3" t="inlineStr">
        <is>
          <t>OBT080125153109-Felixdorf/Sollenau (Bundesheer, Maba)</t>
        </is>
      </c>
      <c r="E213" s="10" t="n">
        <v>45665.64663194444</v>
      </c>
      <c r="F213" s="10" t="n">
        <v>45665.67341435186</v>
      </c>
      <c r="G213" s="11">
        <f>IF(AND(ISNUMBER(C213),ISNUMBER(E213)),(E213-C213),"")</f>
        <v/>
      </c>
      <c r="H213" s="11">
        <f>IF(AND(ISNUMBER(C213),ISNUMBER(F213)),(F213-C213),"")</f>
        <v/>
      </c>
    </row>
    <row r="214">
      <c r="A214" s="3" t="inlineStr">
        <is>
          <t>1005303</t>
        </is>
      </c>
      <c r="B214" s="3" t="inlineStr">
        <is>
          <t>627</t>
        </is>
      </c>
      <c r="C214" s="10" t="n">
        <v>45665.33521990741</v>
      </c>
      <c r="D214" s="3" t="inlineStr">
        <is>
          <t>OBT080125083220-Pitten (Hamburger)</t>
        </is>
      </c>
      <c r="E214" s="10" t="n">
        <v>45665.35578703704</v>
      </c>
      <c r="F214" s="10" t="n">
        <v>45665.38809027777</v>
      </c>
      <c r="G214" s="11">
        <f>IF(AND(ISNUMBER(C214),ISNUMBER(E214)),(E214-C214),"")</f>
        <v/>
      </c>
      <c r="H214" s="11">
        <f>IF(AND(ISNUMBER(C214),ISNUMBER(F214)),(F214-C214),"")</f>
        <v/>
      </c>
    </row>
    <row r="215">
      <c r="A215" s="3" t="inlineStr">
        <is>
          <t>1005304</t>
        </is>
      </c>
      <c r="B215" s="3" t="inlineStr">
        <is>
          <t>625</t>
        </is>
      </c>
      <c r="C215" s="10" t="n">
        <v>45665.33732638889</v>
      </c>
      <c r="D215" s="3" t="inlineStr">
        <is>
          <t>OBT090125031241-Neunkirchen (loading tracks)</t>
        </is>
      </c>
      <c r="E215" s="10" t="n">
        <v>45666.13380787037</v>
      </c>
      <c r="F215" s="10" t="n">
        <v>45666.16983796296</v>
      </c>
      <c r="G215" s="11">
        <f>IF(AND(ISNUMBER(C215),ISNUMBER(E215)),(E215-C215),"")</f>
        <v/>
      </c>
      <c r="H215" s="11">
        <f>IF(AND(ISNUMBER(C215),ISNUMBER(F215)),(F215-C215),"")</f>
        <v/>
      </c>
    </row>
    <row r="216">
      <c r="A216" s="3" t="inlineStr">
        <is>
          <t>1005305</t>
        </is>
      </c>
      <c r="B216" s="3" t="inlineStr">
        <is>
          <t>605</t>
        </is>
      </c>
      <c r="C216" s="10" t="n">
        <v>45665.33903935185</v>
      </c>
      <c r="D216" s="3" t="inlineStr">
        <is>
          <t>OBT090125075601-Wr. Neustadt Ausfahrbf (Furtenbach)</t>
        </is>
      </c>
      <c r="E216" s="10" t="n">
        <v>45666.33056712963</v>
      </c>
      <c r="F216" s="10" t="n">
        <v>45666.35390046296</v>
      </c>
      <c r="G216" s="11">
        <f>IF(AND(ISNUMBER(C216),ISNUMBER(E216)),(E216-C216),"")</f>
        <v/>
      </c>
      <c r="H216" s="11">
        <f>IF(AND(ISNUMBER(C216),ISNUMBER(F216)),(F216-C216),"")</f>
        <v/>
      </c>
    </row>
    <row r="217">
      <c r="A217" s="3" t="inlineStr">
        <is>
          <t>1005306</t>
        </is>
      </c>
      <c r="B217" s="3" t="inlineStr">
        <is>
          <t>613</t>
        </is>
      </c>
      <c r="C217" s="10" t="n">
        <v>45665.34027777778</v>
      </c>
      <c r="D217" s="3" t="inlineStr">
        <is>
          <t>OBT080125084420-Ternitz (Schoeller-Bleckmann)</t>
        </is>
      </c>
      <c r="E217" s="10" t="n">
        <v>45665.36412037037</v>
      </c>
      <c r="F217" s="10" t="n">
        <v>45665.44020833333</v>
      </c>
      <c r="G217" s="11">
        <f>IF(AND(ISNUMBER(C217),ISNUMBER(E217)),(E217-C217),"")</f>
        <v/>
      </c>
      <c r="H217" s="11">
        <f>IF(AND(ISNUMBER(C217),ISNUMBER(F217)),(F217-C217),"")</f>
        <v/>
      </c>
    </row>
    <row r="218">
      <c r="A218" s="3" t="inlineStr">
        <is>
          <t>1005307</t>
        </is>
      </c>
      <c r="B218" s="3" t="inlineStr">
        <is>
          <t>615</t>
        </is>
      </c>
      <c r="C218" s="10" t="n">
        <v>45665.34149305556</v>
      </c>
      <c r="D218" s="3" t="inlineStr">
        <is>
          <t>OBT080125081724-Other sidings north</t>
        </is>
      </c>
      <c r="E218" s="10" t="n">
        <v>45665.34541666666</v>
      </c>
      <c r="F218" s="10" t="n">
        <v>45665.36962962963</v>
      </c>
      <c r="G218" s="11">
        <f>IF(AND(ISNUMBER(C218),ISNUMBER(E218)),(E218-C218),"")</f>
        <v/>
      </c>
      <c r="H218" s="11">
        <f>IF(AND(ISNUMBER(C218),ISNUMBER(F218)),(F218-C218),"")</f>
        <v/>
      </c>
    </row>
    <row r="219">
      <c r="A219" s="3" t="inlineStr">
        <is>
          <t>1005308</t>
        </is>
      </c>
      <c r="B219" s="3" t="inlineStr">
        <is>
          <t>623</t>
        </is>
      </c>
      <c r="C219" s="10" t="n">
        <v>45665.34321759259</v>
      </c>
      <c r="D219" s="3" t="inlineStr">
        <is>
          <t>OBT100125031522-Other sidings south</t>
        </is>
      </c>
      <c r="E219" s="10" t="n">
        <v>45667.1356712963</v>
      </c>
      <c r="F219" s="10" t="n">
        <v>45667.15997685185</v>
      </c>
      <c r="G219" s="11">
        <f>IF(AND(ISNUMBER(C219),ISNUMBER(E219)),(E219-C219),"")</f>
        <v/>
      </c>
      <c r="H219" s="11">
        <f>IF(AND(ISNUMBER(C219),ISNUMBER(F219)),(F219-C219),"")</f>
        <v/>
      </c>
    </row>
    <row r="220">
      <c r="A220" s="3" t="inlineStr">
        <is>
          <t>1005309</t>
        </is>
      </c>
      <c r="B220" s="3" t="inlineStr">
        <is>
          <t>619</t>
        </is>
      </c>
      <c r="C220" s="10" t="n">
        <v>45665.34534722222</v>
      </c>
      <c r="D220" s="3" t="inlineStr">
        <is>
          <t>OBT080125082044-Wr. Neustadt (Hödlmayr)</t>
        </is>
      </c>
      <c r="E220" s="10" t="n">
        <v>45665.34773148148</v>
      </c>
      <c r="F220" s="10" t="n">
        <v>45665.36813657408</v>
      </c>
      <c r="G220" s="11">
        <f>IF(AND(ISNUMBER(C220),ISNUMBER(E220)),(E220-C220),"")</f>
        <v/>
      </c>
      <c r="H220" s="11">
        <f>IF(AND(ISNUMBER(C220),ISNUMBER(F220)),(F220-C220),"")</f>
        <v/>
      </c>
    </row>
    <row r="221">
      <c r="A221" s="3" t="inlineStr">
        <is>
          <t>1005310</t>
        </is>
      </c>
      <c r="B221" s="3" t="inlineStr">
        <is>
          <t>625</t>
        </is>
      </c>
      <c r="C221" s="10" t="n">
        <v>45665.34734953703</v>
      </c>
      <c r="D221" s="3" t="inlineStr">
        <is>
          <t>OBT090125031241-Neunkirchen (loading tracks)</t>
        </is>
      </c>
      <c r="E221" s="10" t="n">
        <v>45666.13380787037</v>
      </c>
      <c r="F221" s="10" t="n">
        <v>45666.16983796296</v>
      </c>
      <c r="G221" s="11">
        <f>IF(AND(ISNUMBER(C221),ISNUMBER(E221)),(E221-C221),"")</f>
        <v/>
      </c>
      <c r="H221" s="11">
        <f>IF(AND(ISNUMBER(C221),ISNUMBER(F221)),(F221-C221),"")</f>
        <v/>
      </c>
    </row>
    <row r="222">
      <c r="A222" s="3" t="inlineStr">
        <is>
          <t>1005311</t>
        </is>
      </c>
      <c r="B222" s="3" t="inlineStr">
        <is>
          <t>615</t>
        </is>
      </c>
      <c r="C222" s="10" t="n">
        <v>45665.34866898148</v>
      </c>
      <c r="D222" s="3" t="inlineStr">
        <is>
          <t>OBT080125091709-Wien Kledering</t>
        </is>
      </c>
      <c r="E222" s="10" t="n">
        <v>45665.38690972222</v>
      </c>
      <c r="F222" s="10" t="n">
        <v>45665.40976851852</v>
      </c>
      <c r="G222" s="11">
        <f>IF(AND(ISNUMBER(C222),ISNUMBER(E222)),(E222-C222),"")</f>
        <v/>
      </c>
      <c r="H222" s="11">
        <f>IF(AND(ISNUMBER(C222),ISNUMBER(F222)),(F222-C222),"")</f>
        <v/>
      </c>
    </row>
    <row r="223">
      <c r="A223" s="3" t="inlineStr">
        <is>
          <t>1005312</t>
        </is>
      </c>
      <c r="B223" s="3" t="inlineStr">
        <is>
          <t>627</t>
        </is>
      </c>
      <c r="C223" s="10" t="n">
        <v>45665.35070601852</v>
      </c>
      <c r="D223" s="3" t="inlineStr">
        <is>
          <t>OBT080125083220-Pitten (Hamburger)</t>
        </is>
      </c>
      <c r="E223" s="10" t="n">
        <v>45665.35578703704</v>
      </c>
      <c r="F223" s="10" t="n">
        <v>45665.38809027777</v>
      </c>
      <c r="G223" s="11">
        <f>IF(AND(ISNUMBER(C223),ISNUMBER(E223)),(E223-C223),"")</f>
        <v/>
      </c>
      <c r="H223" s="11">
        <f>IF(AND(ISNUMBER(C223),ISNUMBER(F223)),(F223-C223),"")</f>
        <v/>
      </c>
    </row>
    <row r="224">
      <c r="A224" s="3" t="inlineStr">
        <is>
          <t>1005313</t>
        </is>
      </c>
      <c r="B224" s="3" t="inlineStr">
        <is>
          <t>607</t>
        </is>
      </c>
      <c r="C224" s="10" t="n">
        <v>45665.35229166667</v>
      </c>
      <c r="D224" s="3" t="inlineStr">
        <is>
          <t>OBT090125184904-Obereggendorf (Hofer)</t>
        </is>
      </c>
      <c r="E224" s="10" t="n">
        <v>45666.78407407407</v>
      </c>
      <c r="F224" s="10" t="n">
        <v>45666.81667824074</v>
      </c>
      <c r="G224" s="11">
        <f>IF(AND(ISNUMBER(C224),ISNUMBER(E224)),(E224-C224),"")</f>
        <v/>
      </c>
      <c r="H224" s="11">
        <f>IF(AND(ISNUMBER(C224),ISNUMBER(F224)),(F224-C224),"")</f>
        <v/>
      </c>
    </row>
    <row r="225">
      <c r="A225" s="3" t="inlineStr">
        <is>
          <t>1005314</t>
        </is>
      </c>
      <c r="B225" s="3" t="inlineStr">
        <is>
          <t>605</t>
        </is>
      </c>
      <c r="C225" s="10" t="n">
        <v>45665.35400462963</v>
      </c>
      <c r="D225" s="3" t="inlineStr">
        <is>
          <t>OBT090125075601-Wr. Neustadt Ausfahrbf (Furtenbach)</t>
        </is>
      </c>
      <c r="E225" s="10" t="n">
        <v>45666.33056712963</v>
      </c>
      <c r="F225" s="10" t="n">
        <v>45666.35390046296</v>
      </c>
      <c r="G225" s="11">
        <f>IF(AND(ISNUMBER(C225),ISNUMBER(E225)),(E225-C225),"")</f>
        <v/>
      </c>
      <c r="H225" s="11">
        <f>IF(AND(ISNUMBER(C225),ISNUMBER(F225)),(F225-C225),"")</f>
        <v/>
      </c>
    </row>
    <row r="226">
      <c r="A226" s="3" t="inlineStr">
        <is>
          <t>1005315</t>
        </is>
      </c>
      <c r="B226" s="3" t="inlineStr">
        <is>
          <t>609</t>
        </is>
      </c>
      <c r="C226" s="10" t="n">
        <v>45665.35546296297</v>
      </c>
      <c r="D226" s="3" t="inlineStr">
        <is>
          <t>OBT090125074546-Wr. Neustadt (Brenntag)</t>
        </is>
      </c>
      <c r="E226" s="10" t="n">
        <v>45666.32344907407</v>
      </c>
      <c r="F226" s="10" t="n">
        <v>45666.39756944445</v>
      </c>
      <c r="G226" s="11">
        <f>IF(AND(ISNUMBER(C226),ISNUMBER(E226)),(E226-C226),"")</f>
        <v/>
      </c>
      <c r="H226" s="11">
        <f>IF(AND(ISNUMBER(C226),ISNUMBER(F226)),(F226-C226),"")</f>
        <v/>
      </c>
    </row>
    <row r="227">
      <c r="A227" s="3" t="inlineStr">
        <is>
          <t>1005501</t>
        </is>
      </c>
      <c r="B227" s="3" t="inlineStr">
        <is>
          <t>613</t>
        </is>
      </c>
      <c r="C227" s="10" t="n">
        <v>45665.3584837963</v>
      </c>
      <c r="D227" s="3" t="inlineStr">
        <is>
          <t>OBT080125084420-Ternitz (Schoeller-Bleckmann)</t>
        </is>
      </c>
      <c r="E227" s="10" t="n">
        <v>45665.36412037037</v>
      </c>
      <c r="F227" s="10" t="n">
        <v>45665.44020833333</v>
      </c>
      <c r="G227" s="11">
        <f>IF(AND(ISNUMBER(C227),ISNUMBER(E227)),(E227-C227),"")</f>
        <v/>
      </c>
      <c r="H227" s="11">
        <f>IF(AND(ISNUMBER(C227),ISNUMBER(F227)),(F227-C227),"")</f>
        <v/>
      </c>
    </row>
    <row r="228">
      <c r="A228" s="3" t="inlineStr">
        <is>
          <t>1005601</t>
        </is>
      </c>
      <c r="B228" s="3" t="inlineStr">
        <is>
          <t>615</t>
        </is>
      </c>
      <c r="C228" s="10" t="n">
        <v>45665.38451388889</v>
      </c>
      <c r="D228" s="3" t="inlineStr">
        <is>
          <t>OBT080125091709-Wien Kledering</t>
        </is>
      </c>
      <c r="E228" s="10" t="n">
        <v>45665.38690972222</v>
      </c>
      <c r="F228" s="10" t="n">
        <v>45665.40976851852</v>
      </c>
      <c r="G228" s="11">
        <f>IF(AND(ISNUMBER(C228),ISNUMBER(E228)),(E228-C228),"")</f>
        <v/>
      </c>
      <c r="H228" s="11">
        <f>IF(AND(ISNUMBER(C228),ISNUMBER(F228)),(F228-C228),"")</f>
        <v/>
      </c>
    </row>
    <row r="229">
      <c r="A229" s="3" t="inlineStr">
        <is>
          <t>1005602</t>
        </is>
      </c>
      <c r="B229" s="3" t="inlineStr">
        <is>
          <t>619</t>
        </is>
      </c>
      <c r="C229" s="10" t="n">
        <v>45665.38671296297</v>
      </c>
      <c r="D229" s="3" t="inlineStr">
        <is>
          <t>OBT080125092000-St. Veit an der Glan</t>
        </is>
      </c>
      <c r="E229" s="10" t="n">
        <v>45665.38888888889</v>
      </c>
      <c r="F229" s="10" t="n">
        <v>45665.41225694444</v>
      </c>
      <c r="G229" s="11">
        <f>IF(AND(ISNUMBER(C229),ISNUMBER(E229)),(E229-C229),"")</f>
        <v/>
      </c>
      <c r="H229" s="11">
        <f>IF(AND(ISNUMBER(C229),ISNUMBER(F229)),(F229-C229),"")</f>
        <v/>
      </c>
    </row>
    <row r="230">
      <c r="A230" s="3" t="inlineStr">
        <is>
          <t>1005701</t>
        </is>
      </c>
      <c r="B230" s="3" t="inlineStr">
        <is>
          <t>615</t>
        </is>
      </c>
      <c r="C230" s="10" t="n">
        <v>45665.43928240741</v>
      </c>
      <c r="D230" s="3" t="inlineStr">
        <is>
          <t>OBT080125103559-Wien Kledering</t>
        </is>
      </c>
      <c r="E230" s="10" t="n">
        <v>45665.4416550926</v>
      </c>
      <c r="F230" s="10" t="n">
        <v>45665.4649537037</v>
      </c>
      <c r="G230" s="11">
        <f>IF(AND(ISNUMBER(C230),ISNUMBER(E230)),(E230-C230),"")</f>
        <v/>
      </c>
      <c r="H230" s="11">
        <f>IF(AND(ISNUMBER(C230),ISNUMBER(F230)),(F230-C230),"")</f>
        <v/>
      </c>
    </row>
    <row r="231">
      <c r="A231" s="3" t="inlineStr">
        <is>
          <t>1005702</t>
        </is>
      </c>
      <c r="B231" s="3" t="inlineStr">
        <is>
          <t>627</t>
        </is>
      </c>
      <c r="C231" s="10" t="n">
        <v>45665.4412037037</v>
      </c>
      <c r="D231" s="3" t="inlineStr">
        <is>
          <t>OBT090125091140-St. Veit an der Glan</t>
        </is>
      </c>
      <c r="E231" s="10" t="n">
        <v>45666.38310185185</v>
      </c>
      <c r="F231" s="10" t="n">
        <v>45666.4447337963</v>
      </c>
      <c r="G231" s="11">
        <f>IF(AND(ISNUMBER(C231),ISNUMBER(E231)),(E231-C231),"")</f>
        <v/>
      </c>
      <c r="H231" s="11">
        <f>IF(AND(ISNUMBER(C231),ISNUMBER(F231)),(F231-C231),"")</f>
        <v/>
      </c>
    </row>
    <row r="232">
      <c r="A232" s="3" t="inlineStr">
        <is>
          <t>1005703</t>
        </is>
      </c>
      <c r="B232" s="3" t="inlineStr">
        <is>
          <t>613</t>
        </is>
      </c>
      <c r="C232" s="10" t="n">
        <v>45665.443125</v>
      </c>
      <c r="D232" s="3" t="inlineStr">
        <is>
          <t>OBT080125104132-Wien Kledering</t>
        </is>
      </c>
      <c r="E232" s="10" t="n">
        <v>45665.44550925926</v>
      </c>
      <c r="F232" s="10" t="n">
        <v>45665.49901620371</v>
      </c>
      <c r="G232" s="11">
        <f>IF(AND(ISNUMBER(C232),ISNUMBER(E232)),(E232-C232),"")</f>
        <v/>
      </c>
      <c r="H232" s="11">
        <f>IF(AND(ISNUMBER(C232),ISNUMBER(F232)),(F232-C232),"")</f>
        <v/>
      </c>
    </row>
    <row r="233">
      <c r="A233" s="3" t="inlineStr">
        <is>
          <t>1005801</t>
        </is>
      </c>
      <c r="B233" s="3" t="inlineStr">
        <is>
          <t>615</t>
        </is>
      </c>
      <c r="C233" s="10" t="n">
        <v>45665.5425</v>
      </c>
      <c r="D233" s="3" t="inlineStr">
        <is>
          <t>OBT080125130420-Wien Kledering</t>
        </is>
      </c>
      <c r="E233" s="10" t="n">
        <v>45665.54467592593</v>
      </c>
      <c r="F233" s="10" t="n">
        <v>45665.59822916667</v>
      </c>
      <c r="G233" s="11">
        <f>IF(AND(ISNUMBER(C233),ISNUMBER(E233)),(E233-C233),"")</f>
        <v/>
      </c>
      <c r="H233" s="11">
        <f>IF(AND(ISNUMBER(C233),ISNUMBER(F233)),(F233-C233),"")</f>
        <v/>
      </c>
    </row>
    <row r="234">
      <c r="A234" s="3" t="inlineStr">
        <is>
          <t>1005901</t>
        </is>
      </c>
      <c r="B234" s="3" t="inlineStr">
        <is>
          <t>615</t>
        </is>
      </c>
      <c r="C234" s="10" t="n">
        <v>45665.61263888889</v>
      </c>
      <c r="D234" s="3" t="inlineStr">
        <is>
          <t>OBT080125144539-Wien Kledering</t>
        </is>
      </c>
      <c r="E234" s="10" t="n">
        <v>45665.61503472222</v>
      </c>
      <c r="F234" s="10" t="n">
        <v>45665.68064814815</v>
      </c>
      <c r="G234" s="11">
        <f>IF(AND(ISNUMBER(C234),ISNUMBER(E234)),(E234-C234),"")</f>
        <v/>
      </c>
      <c r="H234" s="11">
        <f>IF(AND(ISNUMBER(C234),ISNUMBER(F234)),(F234-C234),"")</f>
        <v/>
      </c>
    </row>
    <row r="235">
      <c r="A235" s="3" t="inlineStr">
        <is>
          <t>1006001</t>
        </is>
      </c>
      <c r="B235" s="3" t="inlineStr">
        <is>
          <t>621</t>
        </is>
      </c>
      <c r="C235" s="10" t="n">
        <v>45665.64270833333</v>
      </c>
      <c r="D235" s="3" t="inlineStr">
        <is>
          <t>OBT080125153109-Felixdorf/Sollenau (Bundesheer, Maba)</t>
        </is>
      </c>
      <c r="E235" s="10" t="n">
        <v>45665.64663194444</v>
      </c>
      <c r="F235" s="10" t="n">
        <v>45665.67341435186</v>
      </c>
      <c r="G235" s="11">
        <f>IF(AND(ISNUMBER(C235),ISNUMBER(E235)),(E235-C235),"")</f>
        <v/>
      </c>
      <c r="H235" s="11">
        <f>IF(AND(ISNUMBER(C235),ISNUMBER(F235)),(F235-C235),"")</f>
        <v/>
      </c>
    </row>
    <row r="236">
      <c r="A236" s="3" t="inlineStr">
        <is>
          <t>1006002</t>
        </is>
      </c>
      <c r="B236" s="3" t="inlineStr">
        <is>
          <t>607</t>
        </is>
      </c>
      <c r="C236" s="10" t="n">
        <v>45665.64431712963</v>
      </c>
      <c r="D236" s="3" t="inlineStr">
        <is>
          <t>OBT090125184904-Obereggendorf (Hofer)</t>
        </is>
      </c>
      <c r="E236" s="10" t="n">
        <v>45666.78407407407</v>
      </c>
      <c r="F236" s="10" t="n">
        <v>45666.81667824074</v>
      </c>
      <c r="G236" s="11">
        <f>IF(AND(ISNUMBER(C236),ISNUMBER(E236)),(E236-C236),"")</f>
        <v/>
      </c>
      <c r="H236" s="11">
        <f>IF(AND(ISNUMBER(C236),ISNUMBER(F236)),(F236-C236),"")</f>
        <v/>
      </c>
    </row>
    <row r="237">
      <c r="A237" s="3" t="inlineStr">
        <is>
          <t>1006003</t>
        </is>
      </c>
      <c r="B237" s="3" t="inlineStr">
        <is>
          <t>613</t>
        </is>
      </c>
      <c r="C237" s="10" t="n">
        <v>45665.645625</v>
      </c>
      <c r="D237" s="3" t="inlineStr">
        <is>
          <t>OBT090125030658-Wr. Neustadt (Hödlmayr)</t>
        </is>
      </c>
      <c r="E237" s="10" t="n">
        <v>45666.12983796297</v>
      </c>
      <c r="F237" s="10" t="n">
        <v>45666.15041666666</v>
      </c>
      <c r="G237" s="11">
        <f>IF(AND(ISNUMBER(C237),ISNUMBER(E237)),(E237-C237),"")</f>
        <v/>
      </c>
      <c r="H237" s="11">
        <f>IF(AND(ISNUMBER(C237),ISNUMBER(F237)),(F237-C237),"")</f>
        <v/>
      </c>
    </row>
    <row r="238">
      <c r="A238" s="3" t="inlineStr">
        <is>
          <t>1006004</t>
        </is>
      </c>
      <c r="B238" s="3" t="inlineStr">
        <is>
          <t>619</t>
        </is>
      </c>
      <c r="C238" s="10" t="n">
        <v>45665.64756944445</v>
      </c>
      <c r="D238" s="3" t="inlineStr">
        <is>
          <t>OBT090125064202-Other sidings north</t>
        </is>
      </c>
      <c r="E238" s="10" t="n">
        <v>45666.27918981481</v>
      </c>
      <c r="F238" s="10" t="n">
        <v>45666.31216435185</v>
      </c>
      <c r="G238" s="11">
        <f>IF(AND(ISNUMBER(C238),ISNUMBER(E238)),(E238-C238),"")</f>
        <v/>
      </c>
      <c r="H238" s="11">
        <f>IF(AND(ISNUMBER(C238),ISNUMBER(F238)),(F238-C238),"")</f>
        <v/>
      </c>
    </row>
    <row r="239">
      <c r="A239" s="3" t="inlineStr">
        <is>
          <t>1006005</t>
        </is>
      </c>
      <c r="B239" s="3" t="inlineStr">
        <is>
          <t>623</t>
        </is>
      </c>
      <c r="C239" s="10" t="n">
        <v>45665.6493287037</v>
      </c>
      <c r="D239" s="3" t="inlineStr">
        <is>
          <t>OBT100125031522-Other sidings south</t>
        </is>
      </c>
      <c r="E239" s="10" t="n">
        <v>45667.1356712963</v>
      </c>
      <c r="F239" s="10" t="n">
        <v>45667.15997685185</v>
      </c>
      <c r="G239" s="11">
        <f>IF(AND(ISNUMBER(C239),ISNUMBER(E239)),(E239-C239),"")</f>
        <v/>
      </c>
      <c r="H239" s="11">
        <f>IF(AND(ISNUMBER(C239),ISNUMBER(F239)),(F239-C239),"")</f>
        <v/>
      </c>
    </row>
    <row r="240">
      <c r="A240" s="3" t="inlineStr">
        <is>
          <t>1006006</t>
        </is>
      </c>
      <c r="B240" s="3" t="inlineStr">
        <is>
          <t>615</t>
        </is>
      </c>
      <c r="C240" s="10" t="n">
        <v>45665.65067129629</v>
      </c>
      <c r="D240" s="3" t="inlineStr">
        <is>
          <t>OBT080125173713-Wien Kledering</t>
        </is>
      </c>
      <c r="E240" s="10" t="n">
        <v>45665.73417824074</v>
      </c>
      <c r="F240" s="10" t="n">
        <v>45665.77226851852</v>
      </c>
      <c r="G240" s="11">
        <f>IF(AND(ISNUMBER(C240),ISNUMBER(E240)),(E240-C240),"")</f>
        <v/>
      </c>
      <c r="H240" s="11">
        <f>IF(AND(ISNUMBER(C240),ISNUMBER(F240)),(F240-C240),"")</f>
        <v/>
      </c>
    </row>
    <row r="241">
      <c r="A241" s="3" t="inlineStr">
        <is>
          <t>1006007</t>
        </is>
      </c>
      <c r="B241" s="3" t="inlineStr">
        <is>
          <t>613</t>
        </is>
      </c>
      <c r="C241" s="10" t="n">
        <v>45665.65193287037</v>
      </c>
      <c r="D241" s="3" t="inlineStr">
        <is>
          <t>OBT090125030658-Wr. Neustadt (Hödlmayr)</t>
        </is>
      </c>
      <c r="E241" s="10" t="n">
        <v>45666.12983796297</v>
      </c>
      <c r="F241" s="10" t="n">
        <v>45666.15041666666</v>
      </c>
      <c r="G241" s="11">
        <f>IF(AND(ISNUMBER(C241),ISNUMBER(E241)),(E241-C241),"")</f>
        <v/>
      </c>
      <c r="H241" s="11">
        <f>IF(AND(ISNUMBER(C241),ISNUMBER(F241)),(F241-C241),"")</f>
        <v/>
      </c>
    </row>
    <row r="242">
      <c r="A242" s="3" t="inlineStr">
        <is>
          <t>1006008</t>
        </is>
      </c>
      <c r="B242" s="3" t="inlineStr">
        <is>
          <t>605</t>
        </is>
      </c>
      <c r="C242" s="10" t="n">
        <v>45665.65366898148</v>
      </c>
      <c r="D242" s="3" t="inlineStr">
        <is>
          <t>OBT090125075601-Wr. Neustadt Ausfahrbf (Furtenbach)</t>
        </is>
      </c>
      <c r="E242" s="10" t="n">
        <v>45666.33056712963</v>
      </c>
      <c r="F242" s="10" t="n">
        <v>45666.35390046296</v>
      </c>
      <c r="G242" s="11">
        <f>IF(AND(ISNUMBER(C242),ISNUMBER(E242)),(E242-C242),"")</f>
        <v/>
      </c>
      <c r="H242" s="11">
        <f>IF(AND(ISNUMBER(C242),ISNUMBER(F242)),(F242-C242),"")</f>
        <v/>
      </c>
    </row>
    <row r="243">
      <c r="A243" s="3" t="inlineStr">
        <is>
          <t>1006009</t>
        </is>
      </c>
      <c r="B243" s="3" t="inlineStr">
        <is>
          <t>611</t>
        </is>
      </c>
      <c r="C243" s="10" t="n">
        <v>45665.65511574074</v>
      </c>
      <c r="D243" s="3" t="inlineStr">
        <is>
          <t>OBT090125075111-Pitten (Hamburger)</t>
        </is>
      </c>
      <c r="E243" s="10" t="n">
        <v>45666.32721064815</v>
      </c>
      <c r="F243" s="10" t="n">
        <v>45666.3559375</v>
      </c>
      <c r="G243" s="11">
        <f>IF(AND(ISNUMBER(C243),ISNUMBER(E243)),(E243-C243),"")</f>
        <v/>
      </c>
      <c r="H243" s="11">
        <f>IF(AND(ISNUMBER(C243),ISNUMBER(F243)),(F243-C243),"")</f>
        <v/>
      </c>
    </row>
    <row r="244">
      <c r="A244" s="3" t="inlineStr">
        <is>
          <t>1006010</t>
        </is>
      </c>
      <c r="B244" s="3" t="inlineStr">
        <is>
          <t>619</t>
        </is>
      </c>
      <c r="C244" s="10" t="n">
        <v>45665.65708333333</v>
      </c>
      <c r="D244" s="3" t="inlineStr">
        <is>
          <t>OBT090125064202-Other sidings north</t>
        </is>
      </c>
      <c r="E244" s="10" t="n">
        <v>45666.27918981481</v>
      </c>
      <c r="F244" s="10" t="n">
        <v>45666.31216435185</v>
      </c>
      <c r="G244" s="11">
        <f>IF(AND(ISNUMBER(C244),ISNUMBER(E244)),(E244-C244),"")</f>
        <v/>
      </c>
      <c r="H244" s="11">
        <f>IF(AND(ISNUMBER(C244),ISNUMBER(F244)),(F244-C244),"")</f>
        <v/>
      </c>
    </row>
    <row r="245">
      <c r="A245" s="3" t="inlineStr">
        <is>
          <t>1006011</t>
        </is>
      </c>
      <c r="B245" s="3" t="inlineStr">
        <is>
          <t>609</t>
        </is>
      </c>
      <c r="C245" s="10" t="n">
        <v>45665.65857638889</v>
      </c>
      <c r="D245" s="3" t="inlineStr">
        <is>
          <t>OBT090125074546-Wr. Neustadt (Brenntag)</t>
        </is>
      </c>
      <c r="E245" s="10" t="n">
        <v>45666.32344907407</v>
      </c>
      <c r="F245" s="10" t="n">
        <v>45666.39756944445</v>
      </c>
      <c r="G245" s="11">
        <f>IF(AND(ISNUMBER(C245),ISNUMBER(E245)),(E245-C245),"")</f>
        <v/>
      </c>
      <c r="H245" s="11">
        <f>IF(AND(ISNUMBER(C245),ISNUMBER(F245)),(F245-C245),"")</f>
        <v/>
      </c>
    </row>
    <row r="246">
      <c r="A246" s="3" t="inlineStr">
        <is>
          <t>1006101</t>
        </is>
      </c>
      <c r="B246" s="3" t="inlineStr">
        <is>
          <t>617</t>
        </is>
      </c>
      <c r="C246" s="10" t="n">
        <v>45665.66150462963</v>
      </c>
      <c r="D246" s="3" t="inlineStr">
        <is>
          <t>OBT080125160042-Wien Kledering</t>
        </is>
      </c>
      <c r="E246" s="10" t="n">
        <v>45665.66715277778</v>
      </c>
      <c r="F246" s="10" t="n">
        <v>45665.73309027778</v>
      </c>
      <c r="G246" s="11">
        <f>IF(AND(ISNUMBER(C246),ISNUMBER(E246)),(E246-C246),"")</f>
        <v/>
      </c>
      <c r="H246" s="11">
        <f>IF(AND(ISNUMBER(C246),ISNUMBER(F246)),(F246-C246),"")</f>
        <v/>
      </c>
    </row>
    <row r="247">
      <c r="A247" s="3" t="inlineStr">
        <is>
          <t>1006201</t>
        </is>
      </c>
      <c r="B247" s="3" t="inlineStr">
        <is>
          <t>615</t>
        </is>
      </c>
      <c r="C247" s="10" t="n">
        <v>45665.73199074074</v>
      </c>
      <c r="D247" s="3" t="inlineStr">
        <is>
          <t>OBT080125173713-Wien Kledering</t>
        </is>
      </c>
      <c r="E247" s="10" t="n">
        <v>45665.73417824074</v>
      </c>
      <c r="F247" s="10" t="n">
        <v>45665.77226851852</v>
      </c>
      <c r="G247" s="11">
        <f>IF(AND(ISNUMBER(C247),ISNUMBER(E247)),(E247-C247),"")</f>
        <v/>
      </c>
      <c r="H247" s="11">
        <f>IF(AND(ISNUMBER(C247),ISNUMBER(F247)),(F247-C247),"")</f>
        <v/>
      </c>
    </row>
    <row r="248">
      <c r="A248" s="3" t="inlineStr">
        <is>
          <t>1006301</t>
        </is>
      </c>
      <c r="B248" s="3" t="inlineStr">
        <is>
          <t>617</t>
        </is>
      </c>
      <c r="C248" s="10" t="n">
        <v>45665.75652777778</v>
      </c>
      <c r="D248" s="3" t="inlineStr">
        <is>
          <t>OBT080125203302-Wien Kledering</t>
        </is>
      </c>
      <c r="E248" s="10" t="n">
        <v>45665.85627314815</v>
      </c>
      <c r="F248" s="10" t="n">
        <v>45665.87796296296</v>
      </c>
      <c r="G248" s="11">
        <f>IF(AND(ISNUMBER(C248),ISNUMBER(E248)),(E248-C248),"")</f>
        <v/>
      </c>
      <c r="H248" s="11">
        <f>IF(AND(ISNUMBER(C248),ISNUMBER(F248)),(F248-C248),"")</f>
        <v/>
      </c>
    </row>
    <row r="249">
      <c r="A249" s="3" t="inlineStr">
        <is>
          <t>1006401</t>
        </is>
      </c>
      <c r="B249" s="3" t="inlineStr">
        <is>
          <t>611</t>
        </is>
      </c>
      <c r="C249" s="10" t="n">
        <v>45665.83707175926</v>
      </c>
      <c r="D249" s="3" t="inlineStr">
        <is>
          <t>OBT090125075111-Pitten (Hamburger)</t>
        </is>
      </c>
      <c r="E249" s="10" t="n">
        <v>45666.32721064815</v>
      </c>
      <c r="F249" s="10" t="n">
        <v>45666.3559375</v>
      </c>
      <c r="G249" s="11">
        <f>IF(AND(ISNUMBER(C249),ISNUMBER(E249)),(E249-C249),"")</f>
        <v/>
      </c>
      <c r="H249" s="11">
        <f>IF(AND(ISNUMBER(C249),ISNUMBER(F249)),(F249-C249),"")</f>
        <v/>
      </c>
    </row>
    <row r="250">
      <c r="A250" s="3" t="inlineStr">
        <is>
          <t>1006402</t>
        </is>
      </c>
      <c r="B250" s="3" t="inlineStr">
        <is>
          <t>607</t>
        </is>
      </c>
      <c r="C250" s="10" t="n">
        <v>45665.83869212963</v>
      </c>
      <c r="D250" s="3" t="inlineStr">
        <is>
          <t>OBT090125184904-Obereggendorf (Hofer)</t>
        </is>
      </c>
      <c r="E250" s="10" t="n">
        <v>45666.78407407407</v>
      </c>
      <c r="F250" s="10" t="n">
        <v>45666.81667824074</v>
      </c>
      <c r="G250" s="11">
        <f>IF(AND(ISNUMBER(C250),ISNUMBER(E250)),(E250-C250),"")</f>
        <v/>
      </c>
      <c r="H250" s="11">
        <f>IF(AND(ISNUMBER(C250),ISNUMBER(F250)),(F250-C250),"")</f>
        <v/>
      </c>
    </row>
    <row r="251">
      <c r="A251" s="3" t="inlineStr">
        <is>
          <t>1006403</t>
        </is>
      </c>
      <c r="B251" s="3" t="inlineStr">
        <is>
          <t>606</t>
        </is>
      </c>
      <c r="C251" s="10" t="n">
        <v>45665.84040509259</v>
      </c>
      <c r="D251" s="3" t="inlineStr">
        <is>
          <t>OBT090125184210-Steinabrückl/Wöllersdorf</t>
        </is>
      </c>
      <c r="E251" s="10" t="n">
        <v>45666.77928240741</v>
      </c>
      <c r="F251" s="10" t="n">
        <v>45666.8174537037</v>
      </c>
      <c r="G251" s="11">
        <f>IF(AND(ISNUMBER(C251),ISNUMBER(E251)),(E251-C251),"")</f>
        <v/>
      </c>
      <c r="H251" s="11">
        <f>IF(AND(ISNUMBER(C251),ISNUMBER(F251)),(F251-C251),"")</f>
        <v/>
      </c>
    </row>
    <row r="252">
      <c r="A252" s="3" t="inlineStr">
        <is>
          <t>1006404</t>
        </is>
      </c>
      <c r="B252" s="3" t="inlineStr">
        <is>
          <t>625</t>
        </is>
      </c>
      <c r="C252" s="10" t="n">
        <v>45665.84244212963</v>
      </c>
      <c r="D252" s="3" t="inlineStr">
        <is>
          <t>OBT090125031241-Neunkirchen (loading tracks)</t>
        </is>
      </c>
      <c r="E252" s="10" t="n">
        <v>45666.13380787037</v>
      </c>
      <c r="F252" s="10" t="n">
        <v>45666.16983796296</v>
      </c>
      <c r="G252" s="11">
        <f>IF(AND(ISNUMBER(C252),ISNUMBER(E252)),(E252-C252),"")</f>
        <v/>
      </c>
      <c r="H252" s="11">
        <f>IF(AND(ISNUMBER(C252),ISNUMBER(F252)),(F252-C252),"")</f>
        <v/>
      </c>
    </row>
    <row r="253">
      <c r="A253" s="3" t="inlineStr">
        <is>
          <t>1006405</t>
        </is>
      </c>
      <c r="B253" s="3" t="inlineStr">
        <is>
          <t>615</t>
        </is>
      </c>
      <c r="C253" s="10" t="n">
        <v>45665.84375</v>
      </c>
      <c r="D253" s="3" t="inlineStr">
        <is>
          <t>OBT090125063820-Ebenfurth (beet loading)</t>
        </is>
      </c>
      <c r="E253" s="10" t="n">
        <v>45666.27662037037</v>
      </c>
      <c r="F253" s="10" t="n">
        <v>45666.30284722222</v>
      </c>
      <c r="G253" s="11">
        <f>IF(AND(ISNUMBER(C253),ISNUMBER(E253)),(E253-C253),"")</f>
        <v/>
      </c>
      <c r="H253" s="11">
        <f>IF(AND(ISNUMBER(C253),ISNUMBER(F253)),(F253-C253),"")</f>
        <v/>
      </c>
    </row>
    <row r="254">
      <c r="A254" s="3" t="inlineStr">
        <is>
          <t>1006406</t>
        </is>
      </c>
      <c r="B254" s="3" t="inlineStr">
        <is>
          <t>613</t>
        </is>
      </c>
      <c r="C254" s="10" t="n">
        <v>45665.84505787037</v>
      </c>
      <c r="D254" s="3" t="inlineStr">
        <is>
          <t>OBT090125030658-Wr. Neustadt (Hödlmayr)</t>
        </is>
      </c>
      <c r="E254" s="10" t="n">
        <v>45666.12983796297</v>
      </c>
      <c r="F254" s="10" t="n">
        <v>45666.15041666666</v>
      </c>
      <c r="G254" s="11">
        <f>IF(AND(ISNUMBER(C254),ISNUMBER(E254)),(E254-C254),"")</f>
        <v/>
      </c>
      <c r="H254" s="11">
        <f>IF(AND(ISNUMBER(C254),ISNUMBER(F254)),(F254-C254),"")</f>
        <v/>
      </c>
    </row>
    <row r="255">
      <c r="A255" s="3" t="inlineStr">
        <is>
          <t>1006407</t>
        </is>
      </c>
      <c r="B255" s="3" t="inlineStr">
        <is>
          <t>619</t>
        </is>
      </c>
      <c r="C255" s="10" t="n">
        <v>45665.84701388889</v>
      </c>
      <c r="D255" s="3" t="inlineStr">
        <is>
          <t>OBT090125064202-Other sidings north</t>
        </is>
      </c>
      <c r="E255" s="10" t="n">
        <v>45666.27918981481</v>
      </c>
      <c r="F255" s="10" t="n">
        <v>45666.31216435185</v>
      </c>
      <c r="G255" s="11">
        <f>IF(AND(ISNUMBER(C255),ISNUMBER(E255)),(E255-C255),"")</f>
        <v/>
      </c>
      <c r="H255" s="11">
        <f>IF(AND(ISNUMBER(C255),ISNUMBER(F255)),(F255-C255),"")</f>
        <v/>
      </c>
    </row>
    <row r="256">
      <c r="A256" s="3" t="inlineStr">
        <is>
          <t>1006408</t>
        </is>
      </c>
      <c r="B256" s="3" t="inlineStr">
        <is>
          <t>605</t>
        </is>
      </c>
      <c r="C256" s="10" t="n">
        <v>45665.84878472222</v>
      </c>
      <c r="D256" s="3" t="inlineStr">
        <is>
          <t>OBT090125075601-Wr. Neustadt Ausfahrbf (Furtenbach)</t>
        </is>
      </c>
      <c r="E256" s="10" t="n">
        <v>45666.33056712963</v>
      </c>
      <c r="F256" s="10" t="n">
        <v>45666.35390046296</v>
      </c>
      <c r="G256" s="11">
        <f>IF(AND(ISNUMBER(C256),ISNUMBER(E256)),(E256-C256),"")</f>
        <v/>
      </c>
      <c r="H256" s="11">
        <f>IF(AND(ISNUMBER(C256),ISNUMBER(F256)),(F256-C256),"")</f>
        <v/>
      </c>
    </row>
    <row r="257">
      <c r="A257" s="3" t="inlineStr">
        <is>
          <t>1006409</t>
        </is>
      </c>
      <c r="B257" s="3" t="inlineStr">
        <is>
          <t>607</t>
        </is>
      </c>
      <c r="C257" s="10" t="n">
        <v>45665.85040509259</v>
      </c>
      <c r="D257" s="3" t="inlineStr">
        <is>
          <t>OBT090125184904-Obereggendorf (Hofer)</t>
        </is>
      </c>
      <c r="E257" s="10" t="n">
        <v>45666.78407407407</v>
      </c>
      <c r="F257" s="10" t="n">
        <v>45666.81667824074</v>
      </c>
      <c r="G257" s="11">
        <f>IF(AND(ISNUMBER(C257),ISNUMBER(E257)),(E257-C257),"")</f>
        <v/>
      </c>
      <c r="H257" s="11">
        <f>IF(AND(ISNUMBER(C257),ISNUMBER(F257)),(F257-C257),"")</f>
        <v/>
      </c>
    </row>
    <row r="258">
      <c r="A258" s="3" t="inlineStr">
        <is>
          <t>1006501</t>
        </is>
      </c>
      <c r="B258" s="3" t="inlineStr">
        <is>
          <t>617</t>
        </is>
      </c>
      <c r="C258" s="10" t="n">
        <v>45665.85271990741</v>
      </c>
      <c r="D258" s="3" t="inlineStr">
        <is>
          <t>OBT080125203302-Wien Kledering</t>
        </is>
      </c>
      <c r="E258" s="10" t="n">
        <v>45665.85627314815</v>
      </c>
      <c r="F258" s="10" t="n">
        <v>45665.87796296296</v>
      </c>
      <c r="G258" s="11">
        <f>IF(AND(ISNUMBER(C258),ISNUMBER(E258)),(E258-C258),"")</f>
        <v/>
      </c>
      <c r="H258" s="11">
        <f>IF(AND(ISNUMBER(C258),ISNUMBER(F258)),(F258-C258),"")</f>
        <v/>
      </c>
    </row>
    <row r="259">
      <c r="A259" s="3" t="inlineStr">
        <is>
          <t>1006601</t>
        </is>
      </c>
      <c r="B259" s="3" t="inlineStr">
        <is>
          <t>613</t>
        </is>
      </c>
      <c r="C259" s="10" t="n">
        <v>45666.12591435185</v>
      </c>
      <c r="D259" s="3" t="inlineStr">
        <is>
          <t>OBT090125030658-Wr. Neustadt (Hödlmayr)</t>
        </is>
      </c>
      <c r="E259" s="10" t="n">
        <v>45666.12983796297</v>
      </c>
      <c r="F259" s="10" t="n">
        <v>45666.15041666666</v>
      </c>
      <c r="G259" s="11">
        <f>IF(AND(ISNUMBER(C259),ISNUMBER(E259)),(E259-C259),"")</f>
        <v/>
      </c>
      <c r="H259" s="11">
        <f>IF(AND(ISNUMBER(C259),ISNUMBER(F259)),(F259-C259),"")</f>
        <v/>
      </c>
    </row>
    <row r="260">
      <c r="A260" s="3" t="inlineStr">
        <is>
          <t>1006602</t>
        </is>
      </c>
      <c r="B260" s="3" t="inlineStr">
        <is>
          <t>623</t>
        </is>
      </c>
      <c r="C260" s="10" t="n">
        <v>45666.12768518519</v>
      </c>
      <c r="D260" s="3" t="inlineStr">
        <is>
          <t>OBT100125031522-Other sidings south</t>
        </is>
      </c>
      <c r="E260" s="10" t="n">
        <v>45667.1356712963</v>
      </c>
      <c r="F260" s="10" t="n">
        <v>45667.15997685185</v>
      </c>
      <c r="G260" s="11">
        <f>IF(AND(ISNUMBER(C260),ISNUMBER(E260)),(E260-C260),"")</f>
        <v/>
      </c>
      <c r="H260" s="11">
        <f>IF(AND(ISNUMBER(C260),ISNUMBER(F260)),(F260-C260),"")</f>
        <v/>
      </c>
    </row>
    <row r="261">
      <c r="A261" s="3" t="inlineStr">
        <is>
          <t>1006603</t>
        </is>
      </c>
      <c r="B261" s="3" t="inlineStr">
        <is>
          <t>625</t>
        </is>
      </c>
      <c r="C261" s="10" t="n">
        <v>45666.1299074074</v>
      </c>
      <c r="D261" s="3" t="inlineStr">
        <is>
          <t>OBT090125031241-Neunkirchen (loading tracks)</t>
        </is>
      </c>
      <c r="E261" s="10" t="n">
        <v>45666.13380787037</v>
      </c>
      <c r="F261" s="10" t="n">
        <v>45666.16983796296</v>
      </c>
      <c r="G261" s="11">
        <f>IF(AND(ISNUMBER(C261),ISNUMBER(E261)),(E261-C261),"")</f>
        <v/>
      </c>
      <c r="H261" s="11">
        <f>IF(AND(ISNUMBER(C261),ISNUMBER(F261)),(F261-C261),"")</f>
        <v/>
      </c>
    </row>
    <row r="262">
      <c r="A262" s="3" t="inlineStr">
        <is>
          <t>1006701</t>
        </is>
      </c>
      <c r="B262" s="3" t="inlineStr">
        <is>
          <t>615</t>
        </is>
      </c>
      <c r="C262" s="10" t="n">
        <v>45666.27306712963</v>
      </c>
      <c r="D262" s="3" t="inlineStr">
        <is>
          <t>OBT090125063820-Ebenfurth (beet loading)</t>
        </is>
      </c>
      <c r="E262" s="10" t="n">
        <v>45666.27662037037</v>
      </c>
      <c r="F262" s="10" t="n">
        <v>45666.30284722222</v>
      </c>
      <c r="G262" s="11">
        <f>IF(AND(ISNUMBER(C262),ISNUMBER(E262)),(E262-C262),"")</f>
        <v/>
      </c>
      <c r="H262" s="11">
        <f>IF(AND(ISNUMBER(C262),ISNUMBER(F262)),(F262-C262),"")</f>
        <v/>
      </c>
    </row>
    <row r="263">
      <c r="A263" s="3" t="inlineStr">
        <is>
          <t>1006702</t>
        </is>
      </c>
      <c r="B263" s="3" t="inlineStr">
        <is>
          <t>619</t>
        </is>
      </c>
      <c r="C263" s="10" t="n">
        <v>45666.2752662037</v>
      </c>
      <c r="D263" s="3" t="inlineStr">
        <is>
          <t>OBT090125064202-Other sidings north</t>
        </is>
      </c>
      <c r="E263" s="10" t="n">
        <v>45666.27918981481</v>
      </c>
      <c r="F263" s="10" t="n">
        <v>45666.31216435185</v>
      </c>
      <c r="G263" s="11">
        <f>IF(AND(ISNUMBER(C263),ISNUMBER(E263)),(E263-C263),"")</f>
        <v/>
      </c>
      <c r="H263" s="11">
        <f>IF(AND(ISNUMBER(C263),ISNUMBER(F263)),(F263-C263),"")</f>
        <v/>
      </c>
    </row>
    <row r="264">
      <c r="A264" s="3" t="inlineStr">
        <is>
          <t>1006703</t>
        </is>
      </c>
      <c r="B264" s="3" t="inlineStr">
        <is>
          <t>613</t>
        </is>
      </c>
      <c r="C264" s="10" t="n">
        <v>45666.27655092593</v>
      </c>
      <c r="D264" s="3" t="inlineStr">
        <is>
          <t>OBT090125182822-Neunkirchen (loading tracks)</t>
        </is>
      </c>
      <c r="E264" s="10" t="n">
        <v>45666.76969907407</v>
      </c>
      <c r="F264" s="10" t="n">
        <v>45666.81018518518</v>
      </c>
      <c r="G264" s="11">
        <f>IF(AND(ISNUMBER(C264),ISNUMBER(E264)),(E264-C264),"")</f>
        <v/>
      </c>
      <c r="H264" s="11">
        <f>IF(AND(ISNUMBER(C264),ISNUMBER(F264)),(F264-C264),"")</f>
        <v/>
      </c>
    </row>
    <row r="265">
      <c r="A265" s="3" t="inlineStr">
        <is>
          <t>1006704</t>
        </is>
      </c>
      <c r="B265" s="3" t="inlineStr">
        <is>
          <t>625</t>
        </is>
      </c>
      <c r="C265" s="10" t="n">
        <v>45666.27858796297</v>
      </c>
      <c r="D265" s="3" t="inlineStr">
        <is>
          <t>OBT090125204342-Felixdorf/Sollenau (Bundesheer, Maba)</t>
        </is>
      </c>
      <c r="E265" s="10" t="n">
        <v>45666.86368055556</v>
      </c>
      <c r="F265" s="10" t="n">
        <v>45666.88663194444</v>
      </c>
      <c r="G265" s="11">
        <f>IF(AND(ISNUMBER(C265),ISNUMBER(E265)),(E265-C265),"")</f>
        <v/>
      </c>
      <c r="H265" s="11">
        <f>IF(AND(ISNUMBER(C265),ISNUMBER(F265)),(F265-C265),"")</f>
        <v/>
      </c>
    </row>
    <row r="266">
      <c r="A266" s="3" t="inlineStr">
        <is>
          <t>1006705</t>
        </is>
      </c>
      <c r="B266" s="3" t="inlineStr">
        <is>
          <t>613</t>
        </is>
      </c>
      <c r="C266" s="10" t="n">
        <v>45666.27988425926</v>
      </c>
      <c r="D266" s="3" t="inlineStr">
        <is>
          <t>OBT090125182822-Neunkirchen (loading tracks)</t>
        </is>
      </c>
      <c r="E266" s="10" t="n">
        <v>45666.76969907407</v>
      </c>
      <c r="F266" s="10" t="n">
        <v>45666.81018518518</v>
      </c>
      <c r="G266" s="11">
        <f>IF(AND(ISNUMBER(C266),ISNUMBER(E266)),(E266-C266),"")</f>
        <v/>
      </c>
      <c r="H266" s="11">
        <f>IF(AND(ISNUMBER(C266),ISNUMBER(F266)),(F266-C266),"")</f>
        <v/>
      </c>
    </row>
    <row r="267">
      <c r="A267" s="3" t="inlineStr">
        <is>
          <t>1006706</t>
        </is>
      </c>
      <c r="B267" s="3" t="inlineStr">
        <is>
          <t>617</t>
        </is>
      </c>
      <c r="C267" s="10" t="n">
        <v>45666.28115740741</v>
      </c>
      <c r="D267" s="3" t="inlineStr">
        <is>
          <t>OBT130125092620-Ternitz (Schoeller-Bleckmann)</t>
        </is>
      </c>
      <c r="E267" s="10" t="n">
        <v>45670.39328703703</v>
      </c>
      <c r="F267" s="10" t="n">
        <v>45670.426875</v>
      </c>
      <c r="G267" s="11">
        <f>IF(AND(ISNUMBER(C267),ISNUMBER(E267)),(E267-C267),"")</f>
        <v/>
      </c>
      <c r="H267" s="11">
        <f>IF(AND(ISNUMBER(C267),ISNUMBER(F267)),(F267-C267),"")</f>
        <v/>
      </c>
    </row>
    <row r="268">
      <c r="A268" s="3" t="inlineStr">
        <is>
          <t>1006707</t>
        </is>
      </c>
      <c r="B268" s="3" t="inlineStr">
        <is>
          <t>611</t>
        </is>
      </c>
      <c r="C268" s="10" t="n">
        <v>45666.28259259259</v>
      </c>
      <c r="D268" s="3" t="inlineStr">
        <is>
          <t>OBT090125075111-Pitten (Hamburger)</t>
        </is>
      </c>
      <c r="E268" s="10" t="n">
        <v>45666.32721064815</v>
      </c>
      <c r="F268" s="10" t="n">
        <v>45666.3559375</v>
      </c>
      <c r="G268" s="11">
        <f>IF(AND(ISNUMBER(C268),ISNUMBER(E268)),(E268-C268),"")</f>
        <v/>
      </c>
      <c r="H268" s="11">
        <f>IF(AND(ISNUMBER(C268),ISNUMBER(F268)),(F268-C268),"")</f>
        <v/>
      </c>
    </row>
    <row r="269">
      <c r="A269" s="3" t="inlineStr">
        <is>
          <t>1006708</t>
        </is>
      </c>
      <c r="B269" s="3" t="inlineStr">
        <is>
          <t>621</t>
        </is>
      </c>
      <c r="C269" s="10" t="n">
        <v>45666.28459490741</v>
      </c>
      <c r="D269" s="3" t="inlineStr">
        <is>
          <t>OBT090125152828-Neudörfl (FunderMax)</t>
        </is>
      </c>
      <c r="E269" s="10" t="n">
        <v>45666.64476851852</v>
      </c>
      <c r="F269" s="10" t="n">
        <v>45666.66673611111</v>
      </c>
      <c r="G269" s="11">
        <f>IF(AND(ISNUMBER(C269),ISNUMBER(E269)),(E269-C269),"")</f>
        <v/>
      </c>
      <c r="H269" s="11">
        <f>IF(AND(ISNUMBER(C269),ISNUMBER(F269)),(F269-C269),"")</f>
        <v/>
      </c>
    </row>
    <row r="270">
      <c r="A270" s="3" t="inlineStr">
        <is>
          <t>1006709</t>
        </is>
      </c>
      <c r="B270" s="3" t="inlineStr">
        <is>
          <t>623</t>
        </is>
      </c>
      <c r="C270" s="10" t="n">
        <v>45666.28641203704</v>
      </c>
      <c r="D270" s="3" t="inlineStr">
        <is>
          <t>OBT100125031522-Other sidings south</t>
        </is>
      </c>
      <c r="E270" s="10" t="n">
        <v>45667.1356712963</v>
      </c>
      <c r="F270" s="10" t="n">
        <v>45667.15997685185</v>
      </c>
      <c r="G270" s="11">
        <f>IF(AND(ISNUMBER(C270),ISNUMBER(E270)),(E270-C270),"")</f>
        <v/>
      </c>
      <c r="H270" s="11">
        <f>IF(AND(ISNUMBER(C270),ISNUMBER(F270)),(F270-C270),"")</f>
        <v/>
      </c>
    </row>
    <row r="271">
      <c r="A271" s="3" t="inlineStr">
        <is>
          <t>1006801</t>
        </is>
      </c>
      <c r="B271" s="3" t="inlineStr">
        <is>
          <t>629</t>
        </is>
      </c>
      <c r="C271" s="10" t="n">
        <v>45666.28954861111</v>
      </c>
      <c r="D271" s="3" t="inlineStr">
        <is>
          <t>OBT090125070004-Wien Kledering</t>
        </is>
      </c>
      <c r="E271" s="10" t="n">
        <v>45666.29171296296</v>
      </c>
      <c r="F271" s="10" t="n">
        <v>45666.32685185185</v>
      </c>
      <c r="G271" s="11">
        <f>IF(AND(ISNUMBER(C271),ISNUMBER(E271)),(E271-C271),"")</f>
        <v/>
      </c>
      <c r="H271" s="11">
        <f>IF(AND(ISNUMBER(C271),ISNUMBER(F271)),(F271-C271),"")</f>
        <v/>
      </c>
    </row>
    <row r="272">
      <c r="A272" s="3" t="inlineStr">
        <is>
          <t>1007001</t>
        </is>
      </c>
      <c r="B272" s="3" t="inlineStr">
        <is>
          <t>609</t>
        </is>
      </c>
      <c r="C272" s="10" t="n">
        <v>45666.31633101852</v>
      </c>
      <c r="D272" s="3" t="inlineStr">
        <is>
          <t>OBT090125074546-Wr. Neustadt (Brenntag)</t>
        </is>
      </c>
      <c r="E272" s="10" t="n">
        <v>45666.32344907407</v>
      </c>
      <c r="F272" s="10" t="n">
        <v>45666.39756944445</v>
      </c>
      <c r="G272" s="11">
        <f>IF(AND(ISNUMBER(C272),ISNUMBER(E272)),(E272-C272),"")</f>
        <v/>
      </c>
      <c r="H272" s="11">
        <f>IF(AND(ISNUMBER(C272),ISNUMBER(F272)),(F272-C272),"")</f>
        <v/>
      </c>
    </row>
    <row r="273">
      <c r="A273" s="3" t="inlineStr">
        <is>
          <t>1006901</t>
        </is>
      </c>
      <c r="B273" s="3" t="inlineStr">
        <is>
          <t>615</t>
        </is>
      </c>
      <c r="C273" s="10" t="n">
        <v>45666.31839120371</v>
      </c>
      <c r="D273" s="3" t="inlineStr">
        <is>
          <t>OBT090125153646-Ebenfurth (beet loading)</t>
        </is>
      </c>
      <c r="E273" s="10" t="n">
        <v>45666.65053240741</v>
      </c>
      <c r="F273" s="10" t="n">
        <v>45666.69753472223</v>
      </c>
      <c r="G273" s="11">
        <f>IF(AND(ISNUMBER(C273),ISNUMBER(E273)),(E273-C273),"")</f>
        <v/>
      </c>
      <c r="H273" s="11">
        <f>IF(AND(ISNUMBER(C273),ISNUMBER(F273)),(F273-C273),"")</f>
        <v/>
      </c>
    </row>
    <row r="274">
      <c r="A274" s="3" t="inlineStr">
        <is>
          <t>1006902</t>
        </is>
      </c>
      <c r="B274" s="3" t="inlineStr">
        <is>
          <t>609</t>
        </is>
      </c>
      <c r="C274" s="10" t="n">
        <v>45666.31988425926</v>
      </c>
      <c r="D274" s="3" t="inlineStr">
        <is>
          <t>OBT090125074546-Wr. Neustadt (Brenntag)</t>
        </is>
      </c>
      <c r="E274" s="10" t="n">
        <v>45666.32344907407</v>
      </c>
      <c r="F274" s="10" t="n">
        <v>45666.39756944445</v>
      </c>
      <c r="G274" s="11">
        <f>IF(AND(ISNUMBER(C274),ISNUMBER(E274)),(E274-C274),"")</f>
        <v/>
      </c>
      <c r="H274" s="11">
        <f>IF(AND(ISNUMBER(C274),ISNUMBER(F274)),(F274-C274),"")</f>
        <v/>
      </c>
    </row>
    <row r="275">
      <c r="A275" s="3" t="inlineStr">
        <is>
          <t>1006903</t>
        </is>
      </c>
      <c r="B275" s="3" t="inlineStr">
        <is>
          <t>621</t>
        </is>
      </c>
      <c r="C275" s="10" t="n">
        <v>45666.32185185186</v>
      </c>
      <c r="D275" s="3" t="inlineStr">
        <is>
          <t>OBT090125152828-Neudörfl (FunderMax)</t>
        </is>
      </c>
      <c r="E275" s="10" t="n">
        <v>45666.64476851852</v>
      </c>
      <c r="F275" s="10" t="n">
        <v>45666.66673611111</v>
      </c>
      <c r="G275" s="11">
        <f>IF(AND(ISNUMBER(C275),ISNUMBER(E275)),(E275-C275),"")</f>
        <v/>
      </c>
      <c r="H275" s="11">
        <f>IF(AND(ISNUMBER(C275),ISNUMBER(F275)),(F275-C275),"")</f>
        <v/>
      </c>
    </row>
    <row r="276">
      <c r="A276" s="3" t="inlineStr">
        <is>
          <t>1006904</t>
        </is>
      </c>
      <c r="B276" s="3" t="inlineStr">
        <is>
          <t>611</t>
        </is>
      </c>
      <c r="C276" s="10" t="n">
        <v>45666.32331018519</v>
      </c>
      <c r="D276" s="3" t="inlineStr">
        <is>
          <t>OBT090125075111-Pitten (Hamburger)</t>
        </is>
      </c>
      <c r="E276" s="10" t="n">
        <v>45666.32721064815</v>
      </c>
      <c r="F276" s="10" t="n">
        <v>45666.3559375</v>
      </c>
      <c r="G276" s="11">
        <f>IF(AND(ISNUMBER(C276),ISNUMBER(E276)),(E276-C276),"")</f>
        <v/>
      </c>
      <c r="H276" s="11">
        <f>IF(AND(ISNUMBER(C276),ISNUMBER(F276)),(F276-C276),"")</f>
        <v/>
      </c>
    </row>
    <row r="277">
      <c r="A277" s="3" t="inlineStr">
        <is>
          <t>1006905</t>
        </is>
      </c>
      <c r="B277" s="3" t="inlineStr">
        <is>
          <t>605</t>
        </is>
      </c>
      <c r="C277" s="10" t="n">
        <v>45666.3250462963</v>
      </c>
      <c r="D277" s="3" t="inlineStr">
        <is>
          <t>OBT090125075601-Wr. Neustadt Ausfahrbf (Furtenbach)</t>
        </is>
      </c>
      <c r="E277" s="10" t="n">
        <v>45666.33056712963</v>
      </c>
      <c r="F277" s="10" t="n">
        <v>45666.35390046296</v>
      </c>
      <c r="G277" s="11">
        <f>IF(AND(ISNUMBER(C277),ISNUMBER(E277)),(E277-C277),"")</f>
        <v/>
      </c>
      <c r="H277" s="11">
        <f>IF(AND(ISNUMBER(C277),ISNUMBER(F277)),(F277-C277),"")</f>
        <v/>
      </c>
    </row>
    <row r="278">
      <c r="A278" s="3" t="inlineStr">
        <is>
          <t>1006906</t>
        </is>
      </c>
      <c r="B278" s="3" t="inlineStr">
        <is>
          <t>613</t>
        </is>
      </c>
      <c r="C278" s="10" t="n">
        <v>45666.32633101852</v>
      </c>
      <c r="D278" s="3" t="inlineStr">
        <is>
          <t>OBT090125182822-Neunkirchen (loading tracks)</t>
        </is>
      </c>
      <c r="E278" s="10" t="n">
        <v>45666.76969907407</v>
      </c>
      <c r="F278" s="10" t="n">
        <v>45666.81018518518</v>
      </c>
      <c r="G278" s="11">
        <f>IF(AND(ISNUMBER(C278),ISNUMBER(E278)),(E278-C278),"")</f>
        <v/>
      </c>
      <c r="H278" s="11">
        <f>IF(AND(ISNUMBER(C278),ISNUMBER(F278)),(F278-C278),"")</f>
        <v/>
      </c>
    </row>
    <row r="279">
      <c r="A279" s="3" t="inlineStr">
        <is>
          <t>1006907</t>
        </is>
      </c>
      <c r="B279" s="3" t="inlineStr">
        <is>
          <t>611</t>
        </is>
      </c>
      <c r="C279" s="10" t="n">
        <v>45666.32789351852</v>
      </c>
      <c r="D279" s="3" t="inlineStr">
        <is>
          <t>OBT090125153241-Pitten (Hamburger)</t>
        </is>
      </c>
      <c r="E279" s="10" t="n">
        <v>45666.64769675926</v>
      </c>
      <c r="F279" s="10" t="n">
        <v>45666.67734953704</v>
      </c>
      <c r="G279" s="11">
        <f>IF(AND(ISNUMBER(C279),ISNUMBER(E279)),(E279-C279),"")</f>
        <v/>
      </c>
      <c r="H279" s="11">
        <f>IF(AND(ISNUMBER(C279),ISNUMBER(F279)),(F279-C279),"")</f>
        <v/>
      </c>
    </row>
    <row r="280">
      <c r="A280" s="3" t="inlineStr">
        <is>
          <t>1007101</t>
        </is>
      </c>
      <c r="B280" s="3" t="inlineStr">
        <is>
          <t>619</t>
        </is>
      </c>
      <c r="C280" s="10" t="n">
        <v>45666.33900462963</v>
      </c>
      <c r="D280" s="3" t="inlineStr">
        <is>
          <t>OBT090125083304-Wien Kledering</t>
        </is>
      </c>
      <c r="E280" s="10" t="n">
        <v>45666.3562962963</v>
      </c>
      <c r="F280" s="10" t="n">
        <v>45666.42481481482</v>
      </c>
      <c r="G280" s="11">
        <f>IF(AND(ISNUMBER(C280),ISNUMBER(E280)),(E280-C280),"")</f>
        <v/>
      </c>
      <c r="H280" s="11">
        <f>IF(AND(ISNUMBER(C280),ISNUMBER(F280)),(F280-C280),"")</f>
        <v/>
      </c>
    </row>
    <row r="281">
      <c r="A281" s="3" t="inlineStr">
        <is>
          <t>1007201</t>
        </is>
      </c>
      <c r="B281" s="3" t="inlineStr">
        <is>
          <t>605</t>
        </is>
      </c>
      <c r="C281" s="10" t="n">
        <v>45666.37673611111</v>
      </c>
      <c r="D281" s="3" t="inlineStr">
        <is>
          <t>OBT090125090557-Wien Kledering</t>
        </is>
      </c>
      <c r="E281" s="10" t="n">
        <v>45666.37913194444</v>
      </c>
      <c r="F281" s="10" t="n">
        <v>45666.40622685185</v>
      </c>
      <c r="G281" s="11">
        <f>IF(AND(ISNUMBER(C281),ISNUMBER(E281)),(E281-C281),"")</f>
        <v/>
      </c>
      <c r="H281" s="11">
        <f>IF(AND(ISNUMBER(C281),ISNUMBER(F281)),(F281-C281),"")</f>
        <v/>
      </c>
    </row>
    <row r="282">
      <c r="A282" s="3" t="inlineStr">
        <is>
          <t>1007202</t>
        </is>
      </c>
      <c r="B282" s="3" t="inlineStr">
        <is>
          <t>627</t>
        </is>
      </c>
      <c r="C282" s="10" t="n">
        <v>45666.37917824074</v>
      </c>
      <c r="D282" s="3" t="inlineStr">
        <is>
          <t>OBT090125091140-St. Veit an der Glan</t>
        </is>
      </c>
      <c r="E282" s="10" t="n">
        <v>45666.38310185185</v>
      </c>
      <c r="F282" s="10" t="n">
        <v>45666.4447337963</v>
      </c>
      <c r="G282" s="11">
        <f>IF(AND(ISNUMBER(C282),ISNUMBER(E282)),(E282-C282),"")</f>
        <v/>
      </c>
      <c r="H282" s="11">
        <f>IF(AND(ISNUMBER(C282),ISNUMBER(F282)),(F282-C282),"")</f>
        <v/>
      </c>
    </row>
    <row r="283">
      <c r="A283" s="3" t="inlineStr">
        <is>
          <t>1007301</t>
        </is>
      </c>
      <c r="B283" s="3" t="inlineStr">
        <is>
          <t>627</t>
        </is>
      </c>
      <c r="C283" s="10" t="n">
        <v>45666.46443287037</v>
      </c>
      <c r="D283" s="3" t="inlineStr">
        <is>
          <t>OBT100125092212-St. Veit an der Glan</t>
        </is>
      </c>
      <c r="E283" s="10" t="n">
        <v>45667.39041666667</v>
      </c>
      <c r="F283" s="10" t="n">
        <v>45667.41582175926</v>
      </c>
      <c r="G283" s="11">
        <f>IF(AND(ISNUMBER(C283),ISNUMBER(E283)),(E283-C283),"")</f>
        <v/>
      </c>
      <c r="H283" s="11">
        <f>IF(AND(ISNUMBER(C283),ISNUMBER(F283)),(F283-C283),"")</f>
        <v/>
      </c>
    </row>
    <row r="284">
      <c r="A284" s="3" t="inlineStr">
        <is>
          <t>1007302</t>
        </is>
      </c>
      <c r="B284" s="3" t="inlineStr">
        <is>
          <t>605</t>
        </is>
      </c>
      <c r="C284" s="10" t="n">
        <v>45666.46708333334</v>
      </c>
      <c r="D284" s="3" t="inlineStr">
        <is>
          <t>OBT090125111603-Wien Kledering</t>
        </is>
      </c>
      <c r="E284" s="10" t="n">
        <v>45666.46947916667</v>
      </c>
      <c r="F284" s="10" t="n">
        <v>45666.54386574074</v>
      </c>
      <c r="G284" s="11">
        <f>IF(AND(ISNUMBER(C284),ISNUMBER(E284)),(E284-C284),"")</f>
        <v/>
      </c>
      <c r="H284" s="11">
        <f>IF(AND(ISNUMBER(C284),ISNUMBER(F284)),(F284-C284),"")</f>
        <v/>
      </c>
    </row>
    <row r="285">
      <c r="A285" s="3" t="inlineStr">
        <is>
          <t>1007401</t>
        </is>
      </c>
      <c r="B285" s="3" t="inlineStr">
        <is>
          <t>605</t>
        </is>
      </c>
      <c r="C285" s="10" t="n">
        <v>45666.61677083333</v>
      </c>
      <c r="D285" s="3" t="inlineStr">
        <is>
          <t>OBT090125145115-Wien Kledering</t>
        </is>
      </c>
      <c r="E285" s="10" t="n">
        <v>45666.61892361111</v>
      </c>
      <c r="F285" s="10" t="n">
        <v>45666.6628587963</v>
      </c>
      <c r="G285" s="11">
        <f>IF(AND(ISNUMBER(C285),ISNUMBER(E285)),(E285-C285),"")</f>
        <v/>
      </c>
      <c r="H285" s="11">
        <f>IF(AND(ISNUMBER(C285),ISNUMBER(F285)),(F285-C285),"")</f>
        <v/>
      </c>
    </row>
    <row r="286">
      <c r="A286" s="3" t="inlineStr">
        <is>
          <t>1007501</t>
        </is>
      </c>
      <c r="B286" s="3" t="inlineStr">
        <is>
          <t>621</t>
        </is>
      </c>
      <c r="C286" s="10" t="n">
        <v>45666.64121527778</v>
      </c>
      <c r="D286" s="3" t="inlineStr">
        <is>
          <t>OBT090125152828-Neudörfl (FunderMax)</t>
        </is>
      </c>
      <c r="E286" s="10" t="n">
        <v>45666.64476851852</v>
      </c>
      <c r="F286" s="10" t="n">
        <v>45666.66673611111</v>
      </c>
      <c r="G286" s="11">
        <f>IF(AND(ISNUMBER(C286),ISNUMBER(E286)),(E286-C286),"")</f>
        <v/>
      </c>
      <c r="H286" s="11">
        <f>IF(AND(ISNUMBER(C286),ISNUMBER(F286)),(F286-C286),"")</f>
        <v/>
      </c>
    </row>
    <row r="287">
      <c r="A287" s="3" t="inlineStr">
        <is>
          <t>1007502</t>
        </is>
      </c>
      <c r="B287" s="3" t="inlineStr">
        <is>
          <t>619</t>
        </is>
      </c>
      <c r="C287" s="10" t="n">
        <v>45666.64334490741</v>
      </c>
      <c r="D287" s="3" t="inlineStr">
        <is>
          <t>OBT090125182601-Other sidings north</t>
        </is>
      </c>
      <c r="E287" s="10" t="n">
        <v>45666.76806712963</v>
      </c>
      <c r="F287" s="10" t="n">
        <v>45666.79736111111</v>
      </c>
      <c r="G287" s="11">
        <f>IF(AND(ISNUMBER(C287),ISNUMBER(E287)),(E287-C287),"")</f>
        <v/>
      </c>
      <c r="H287" s="11">
        <f>IF(AND(ISNUMBER(C287),ISNUMBER(F287)),(F287-C287),"")</f>
        <v/>
      </c>
    </row>
    <row r="288">
      <c r="A288" s="3" t="inlineStr">
        <is>
          <t>1007503</t>
        </is>
      </c>
      <c r="B288" s="3" t="inlineStr">
        <is>
          <t>611</t>
        </is>
      </c>
      <c r="C288" s="10" t="n">
        <v>45666.645</v>
      </c>
      <c r="D288" s="3" t="inlineStr">
        <is>
          <t>OBT090125153241-Pitten (Hamburger)</t>
        </is>
      </c>
      <c r="E288" s="10" t="n">
        <v>45666.64769675926</v>
      </c>
      <c r="F288" s="10" t="n">
        <v>45666.67734953704</v>
      </c>
      <c r="G288" s="11">
        <f>IF(AND(ISNUMBER(C288),ISNUMBER(E288)),(E288-C288),"")</f>
        <v/>
      </c>
      <c r="H288" s="11">
        <f>IF(AND(ISNUMBER(C288),ISNUMBER(F288)),(F288-C288),"")</f>
        <v/>
      </c>
    </row>
    <row r="289">
      <c r="A289" s="3" t="inlineStr">
        <is>
          <t>1007504</t>
        </is>
      </c>
      <c r="B289" s="3" t="inlineStr">
        <is>
          <t>615</t>
        </is>
      </c>
      <c r="C289" s="10" t="n">
        <v>45666.64637731481</v>
      </c>
      <c r="D289" s="3" t="inlineStr">
        <is>
          <t>OBT090125153646-Ebenfurth (beet loading)</t>
        </is>
      </c>
      <c r="E289" s="10" t="n">
        <v>45666.65053240741</v>
      </c>
      <c r="F289" s="10" t="n">
        <v>45666.69753472223</v>
      </c>
      <c r="G289" s="11">
        <f>IF(AND(ISNUMBER(C289),ISNUMBER(E289)),(E289-C289),"")</f>
        <v/>
      </c>
      <c r="H289" s="11">
        <f>IF(AND(ISNUMBER(C289),ISNUMBER(F289)),(F289-C289),"")</f>
        <v/>
      </c>
    </row>
    <row r="290">
      <c r="A290" s="3" t="inlineStr">
        <is>
          <t>1007505</t>
        </is>
      </c>
      <c r="B290" s="3" t="inlineStr">
        <is>
          <t>607</t>
        </is>
      </c>
      <c r="C290" s="10" t="n">
        <v>45666.64798611111</v>
      </c>
      <c r="D290" s="3" t="inlineStr">
        <is>
          <t>OBT090125184904-Obereggendorf (Hofer)</t>
        </is>
      </c>
      <c r="E290" s="10" t="n">
        <v>45666.78407407407</v>
      </c>
      <c r="F290" s="10" t="n">
        <v>45666.81667824074</v>
      </c>
      <c r="G290" s="11">
        <f>IF(AND(ISNUMBER(C290),ISNUMBER(E290)),(E290-C290),"")</f>
        <v/>
      </c>
      <c r="H290" s="11">
        <f>IF(AND(ISNUMBER(C290),ISNUMBER(F290)),(F290-C290),"")</f>
        <v/>
      </c>
    </row>
    <row r="291">
      <c r="A291" s="3" t="inlineStr">
        <is>
          <t>1007601</t>
        </is>
      </c>
      <c r="B291" s="3" t="inlineStr">
        <is>
          <t>609</t>
        </is>
      </c>
      <c r="C291" s="10" t="n">
        <v>45666.65394675926</v>
      </c>
      <c r="D291" s="3" t="inlineStr">
        <is>
          <t>OBT090125155728-Wien Kledering</t>
        </is>
      </c>
      <c r="E291" s="10" t="n">
        <v>45666.66490740741</v>
      </c>
      <c r="F291" s="10" t="n">
        <v>45666.72354166667</v>
      </c>
      <c r="G291" s="11">
        <f>IF(AND(ISNUMBER(C291),ISNUMBER(E291)),(E291-C291),"")</f>
        <v/>
      </c>
      <c r="H291" s="11">
        <f>IF(AND(ISNUMBER(C291),ISNUMBER(F291)),(F291-C291),"")</f>
        <v/>
      </c>
    </row>
    <row r="292">
      <c r="A292" s="3" t="inlineStr">
        <is>
          <t>1007801</t>
        </is>
      </c>
      <c r="B292" s="3" t="inlineStr">
        <is>
          <t>611</t>
        </is>
      </c>
      <c r="C292" s="10" t="n">
        <v>45666.74795138889</v>
      </c>
      <c r="D292" s="3" t="inlineStr">
        <is>
          <t>OBT100125060642-Wien Kledering</t>
        </is>
      </c>
      <c r="E292" s="10" t="n">
        <v>45667.25465277778</v>
      </c>
      <c r="F292" s="10" t="n">
        <v>45667.31671296297</v>
      </c>
      <c r="G292" s="11">
        <f>IF(AND(ISNUMBER(C292),ISNUMBER(E292)),(E292-C292),"")</f>
        <v/>
      </c>
      <c r="H292" s="11">
        <f>IF(AND(ISNUMBER(C292),ISNUMBER(F292)),(F292-C292),"")</f>
        <v/>
      </c>
    </row>
    <row r="293">
      <c r="A293" s="3" t="inlineStr">
        <is>
          <t>1007701</t>
        </is>
      </c>
      <c r="B293" s="3" t="inlineStr">
        <is>
          <t>613</t>
        </is>
      </c>
      <c r="C293" s="10" t="n">
        <v>45666.75728009259</v>
      </c>
      <c r="D293" s="3" t="inlineStr">
        <is>
          <t>OBT090125182822-Neunkirchen (loading tracks)</t>
        </is>
      </c>
      <c r="E293" s="10" t="n">
        <v>45666.76969907407</v>
      </c>
      <c r="F293" s="10" t="n">
        <v>45666.81018518518</v>
      </c>
      <c r="G293" s="11">
        <f>IF(AND(ISNUMBER(C293),ISNUMBER(E293)),(E293-C293),"")</f>
        <v/>
      </c>
      <c r="H293" s="11">
        <f>IF(AND(ISNUMBER(C293),ISNUMBER(F293)),(F293-C293),"")</f>
        <v/>
      </c>
    </row>
    <row r="294">
      <c r="A294" s="3" t="inlineStr">
        <is>
          <t>1007702</t>
        </is>
      </c>
      <c r="B294" s="3" t="inlineStr">
        <is>
          <t>625</t>
        </is>
      </c>
      <c r="C294" s="10" t="n">
        <v>45666.75931712963</v>
      </c>
      <c r="D294" s="3" t="inlineStr">
        <is>
          <t>OBT090125204342-Felixdorf/Sollenau (Bundesheer, Maba)</t>
        </is>
      </c>
      <c r="E294" s="10" t="n">
        <v>45666.86368055556</v>
      </c>
      <c r="F294" s="10" t="n">
        <v>45666.88663194444</v>
      </c>
      <c r="G294" s="11">
        <f>IF(AND(ISNUMBER(C294),ISNUMBER(E294)),(E294-C294),"")</f>
        <v/>
      </c>
      <c r="H294" s="11">
        <f>IF(AND(ISNUMBER(C294),ISNUMBER(F294)),(F294-C294),"")</f>
        <v/>
      </c>
    </row>
    <row r="295">
      <c r="A295" s="3" t="inlineStr">
        <is>
          <t>1007703</t>
        </is>
      </c>
      <c r="B295" s="3" t="inlineStr">
        <is>
          <t>606</t>
        </is>
      </c>
      <c r="C295" s="10" t="n">
        <v>45666.76104166666</v>
      </c>
      <c r="D295" s="3" t="inlineStr">
        <is>
          <t>OBT090125184210-Steinabrückl/Wöllersdorf</t>
        </is>
      </c>
      <c r="E295" s="10" t="n">
        <v>45666.77928240741</v>
      </c>
      <c r="F295" s="10" t="n">
        <v>45666.8174537037</v>
      </c>
      <c r="G295" s="11">
        <f>IF(AND(ISNUMBER(C295),ISNUMBER(E295)),(E295-C295),"")</f>
        <v/>
      </c>
      <c r="H295" s="11">
        <f>IF(AND(ISNUMBER(C295),ISNUMBER(F295)),(F295-C295),"")</f>
        <v/>
      </c>
    </row>
    <row r="296">
      <c r="A296" s="3" t="inlineStr">
        <is>
          <t>1007704</t>
        </is>
      </c>
      <c r="B296" s="3" t="inlineStr">
        <is>
          <t>615</t>
        </is>
      </c>
      <c r="C296" s="10" t="n">
        <v>45666.76243055556</v>
      </c>
      <c r="D296" s="3" t="inlineStr">
        <is>
          <t>OBT090125182121-Pitten (Hamburger)</t>
        </is>
      </c>
      <c r="E296" s="10" t="n">
        <v>45666.76482638889</v>
      </c>
      <c r="F296" s="10" t="n">
        <v>45666.78670138889</v>
      </c>
      <c r="G296" s="11">
        <f>IF(AND(ISNUMBER(C296),ISNUMBER(E296)),(E296-C296),"")</f>
        <v/>
      </c>
      <c r="H296" s="11">
        <f>IF(AND(ISNUMBER(C296),ISNUMBER(F296)),(F296-C296),"")</f>
        <v/>
      </c>
    </row>
    <row r="297">
      <c r="A297" s="3" t="inlineStr">
        <is>
          <t>1007705</t>
        </is>
      </c>
      <c r="B297" s="3" t="inlineStr">
        <is>
          <t>619</t>
        </is>
      </c>
      <c r="C297" s="10" t="n">
        <v>45666.76449074074</v>
      </c>
      <c r="D297" s="3" t="inlineStr">
        <is>
          <t>OBT090125182601-Other sidings north</t>
        </is>
      </c>
      <c r="E297" s="10" t="n">
        <v>45666.76806712963</v>
      </c>
      <c r="F297" s="10" t="n">
        <v>45666.79736111111</v>
      </c>
      <c r="G297" s="11">
        <f>IF(AND(ISNUMBER(C297),ISNUMBER(E297)),(E297-C297),"")</f>
        <v/>
      </c>
      <c r="H297" s="11">
        <f>IF(AND(ISNUMBER(C297),ISNUMBER(F297)),(F297-C297),"")</f>
        <v/>
      </c>
    </row>
    <row r="298">
      <c r="A298" s="3" t="inlineStr">
        <is>
          <t>1007706</t>
        </is>
      </c>
      <c r="B298" s="3" t="inlineStr">
        <is>
          <t>613</t>
        </is>
      </c>
      <c r="C298" s="10" t="n">
        <v>45666.76577546296</v>
      </c>
      <c r="D298" s="3" t="inlineStr">
        <is>
          <t>OBT090125182822-Neunkirchen (loading tracks)</t>
        </is>
      </c>
      <c r="E298" s="10" t="n">
        <v>45666.76969907407</v>
      </c>
      <c r="F298" s="10" t="n">
        <v>45666.81018518518</v>
      </c>
      <c r="G298" s="11">
        <f>IF(AND(ISNUMBER(C298),ISNUMBER(E298)),(E298-C298),"")</f>
        <v/>
      </c>
      <c r="H298" s="11">
        <f>IF(AND(ISNUMBER(C298),ISNUMBER(F298)),(F298-C298),"")</f>
        <v/>
      </c>
    </row>
    <row r="299">
      <c r="A299" s="3" t="inlineStr">
        <is>
          <t>1007707</t>
        </is>
      </c>
      <c r="B299" s="3" t="inlineStr">
        <is>
          <t>609</t>
        </is>
      </c>
      <c r="C299" s="10" t="n">
        <v>45666.76730324074</v>
      </c>
      <c r="D299" s="3" t="inlineStr">
        <is>
          <t>OBT090125185836-Wr. Neustadt (Brenntag)</t>
        </is>
      </c>
      <c r="E299" s="10" t="n">
        <v>45666.79069444445</v>
      </c>
      <c r="F299" s="10" t="n">
        <v>45666.83302083334</v>
      </c>
      <c r="G299" s="11">
        <f>IF(AND(ISNUMBER(C299),ISNUMBER(E299)),(E299-C299),"")</f>
        <v/>
      </c>
      <c r="H299" s="11">
        <f>IF(AND(ISNUMBER(C299),ISNUMBER(F299)),(F299-C299),"")</f>
        <v/>
      </c>
    </row>
    <row r="300">
      <c r="A300" s="3" t="inlineStr">
        <is>
          <t>1007708</t>
        </is>
      </c>
      <c r="B300" s="3" t="inlineStr">
        <is>
          <t>605</t>
        </is>
      </c>
      <c r="C300" s="10" t="n">
        <v>45666.76903935185</v>
      </c>
      <c r="D300" s="3" t="inlineStr">
        <is>
          <t>OBT090125190525-Neudörfl (FunderMax)</t>
        </is>
      </c>
      <c r="E300" s="10" t="n">
        <v>45666.79542824074</v>
      </c>
      <c r="F300" s="10" t="n">
        <v>45666.84230324074</v>
      </c>
      <c r="G300" s="11">
        <f>IF(AND(ISNUMBER(C300),ISNUMBER(E300)),(E300-C300),"")</f>
        <v/>
      </c>
      <c r="H300" s="11">
        <f>IF(AND(ISNUMBER(C300),ISNUMBER(F300)),(F300-C300),"")</f>
        <v/>
      </c>
    </row>
    <row r="301">
      <c r="A301" s="3" t="inlineStr">
        <is>
          <t>1007709</t>
        </is>
      </c>
      <c r="B301" s="3" t="inlineStr">
        <is>
          <t>609</t>
        </is>
      </c>
      <c r="C301" s="10" t="n">
        <v>45666.77054398148</v>
      </c>
      <c r="D301" s="3" t="inlineStr">
        <is>
          <t>OBT090125185836-Wr. Neustadt (Brenntag)</t>
        </is>
      </c>
      <c r="E301" s="10" t="n">
        <v>45666.79069444445</v>
      </c>
      <c r="F301" s="10" t="n">
        <v>45666.83302083334</v>
      </c>
      <c r="G301" s="11">
        <f>IF(AND(ISNUMBER(C301),ISNUMBER(E301)),(E301-C301),"")</f>
        <v/>
      </c>
      <c r="H301" s="11">
        <f>IF(AND(ISNUMBER(C301),ISNUMBER(F301)),(F301-C301),"")</f>
        <v/>
      </c>
    </row>
    <row r="302">
      <c r="A302" s="3" t="inlineStr">
        <is>
          <t>1007901</t>
        </is>
      </c>
      <c r="B302" s="3" t="inlineStr">
        <is>
          <t>621</t>
        </is>
      </c>
      <c r="C302" s="10" t="n">
        <v>45666.77334490741</v>
      </c>
      <c r="D302" s="3" t="inlineStr">
        <is>
          <t>OBT100125031244-Neunkirchen (loading tracks)</t>
        </is>
      </c>
      <c r="E302" s="10" t="n">
        <v>45667.13384259259</v>
      </c>
      <c r="F302" s="10" t="n">
        <v>45667.17431712963</v>
      </c>
      <c r="G302" s="11">
        <f>IF(AND(ISNUMBER(C302),ISNUMBER(E302)),(E302-C302),"")</f>
        <v/>
      </c>
      <c r="H302" s="11">
        <f>IF(AND(ISNUMBER(C302),ISNUMBER(F302)),(F302-C302),"")</f>
        <v/>
      </c>
    </row>
    <row r="303">
      <c r="A303" s="3" t="inlineStr">
        <is>
          <t>1007902</t>
        </is>
      </c>
      <c r="B303" s="3" t="inlineStr">
        <is>
          <t>606</t>
        </is>
      </c>
      <c r="C303" s="10" t="n">
        <v>45666.77503472222</v>
      </c>
      <c r="D303" s="3" t="inlineStr">
        <is>
          <t>OBT090125184210-Steinabrückl/Wöllersdorf</t>
        </is>
      </c>
      <c r="E303" s="10" t="n">
        <v>45666.77928240741</v>
      </c>
      <c r="F303" s="10" t="n">
        <v>45666.8174537037</v>
      </c>
      <c r="G303" s="11">
        <f>IF(AND(ISNUMBER(C303),ISNUMBER(E303)),(E303-C303),"")</f>
        <v/>
      </c>
      <c r="H303" s="11">
        <f>IF(AND(ISNUMBER(C303),ISNUMBER(F303)),(F303-C303),"")</f>
        <v/>
      </c>
    </row>
    <row r="304">
      <c r="A304" s="3" t="inlineStr">
        <is>
          <t>1007903</t>
        </is>
      </c>
      <c r="B304" s="3" t="inlineStr">
        <is>
          <t>629</t>
        </is>
      </c>
      <c r="C304" s="10" t="n">
        <v>45666.77706018519</v>
      </c>
      <c r="D304" s="3" t="inlineStr">
        <is>
          <t>OBT090125204925-Other sidings north</t>
        </is>
      </c>
      <c r="E304" s="10" t="n">
        <v>45666.86765046296</v>
      </c>
      <c r="F304" s="10" t="n">
        <v>45666.89103009259</v>
      </c>
      <c r="G304" s="11">
        <f>IF(AND(ISNUMBER(C304),ISNUMBER(E304)),(E304-C304),"")</f>
        <v/>
      </c>
      <c r="H304" s="11">
        <f>IF(AND(ISNUMBER(C304),ISNUMBER(F304)),(F304-C304),"")</f>
        <v/>
      </c>
    </row>
    <row r="305">
      <c r="A305" s="3" t="inlineStr">
        <is>
          <t>1007904</t>
        </is>
      </c>
      <c r="B305" s="3" t="inlineStr">
        <is>
          <t>607</t>
        </is>
      </c>
      <c r="C305" s="10" t="n">
        <v>45666.77865740741</v>
      </c>
      <c r="D305" s="3" t="inlineStr">
        <is>
          <t>OBT090125184904-Obereggendorf (Hofer)</t>
        </is>
      </c>
      <c r="E305" s="10" t="n">
        <v>45666.78407407407</v>
      </c>
      <c r="F305" s="10" t="n">
        <v>45666.81667824074</v>
      </c>
      <c r="G305" s="11">
        <f>IF(AND(ISNUMBER(C305),ISNUMBER(E305)),(E305-C305),"")</f>
        <v/>
      </c>
      <c r="H305" s="11">
        <f>IF(AND(ISNUMBER(C305),ISNUMBER(F305)),(F305-C305),"")</f>
        <v/>
      </c>
    </row>
    <row r="306">
      <c r="A306" s="3" t="inlineStr">
        <is>
          <t>1007905</t>
        </is>
      </c>
      <c r="B306" s="3" t="inlineStr">
        <is>
          <t>609</t>
        </is>
      </c>
      <c r="C306" s="10" t="n">
        <v>45666.78012731481</v>
      </c>
      <c r="D306" s="3" t="inlineStr">
        <is>
          <t>OBT090125185836-Wr. Neustadt (Brenntag)</t>
        </is>
      </c>
      <c r="E306" s="10" t="n">
        <v>45666.79069444445</v>
      </c>
      <c r="F306" s="10" t="n">
        <v>45666.83302083334</v>
      </c>
      <c r="G306" s="11">
        <f>IF(AND(ISNUMBER(C306),ISNUMBER(E306)),(E306-C306),"")</f>
        <v/>
      </c>
      <c r="H306" s="11">
        <f>IF(AND(ISNUMBER(C306),ISNUMBER(F306)),(F306-C306),"")</f>
        <v/>
      </c>
    </row>
    <row r="307">
      <c r="A307" s="3" t="inlineStr">
        <is>
          <t>1007906</t>
        </is>
      </c>
      <c r="B307" s="3" t="inlineStr">
        <is>
          <t>605</t>
        </is>
      </c>
      <c r="C307" s="10" t="n">
        <v>45666.7818287037</v>
      </c>
      <c r="D307" s="3" t="inlineStr">
        <is>
          <t>OBT090125190525-Neudörfl (FunderMax)</t>
        </is>
      </c>
      <c r="E307" s="10" t="n">
        <v>45666.79542824074</v>
      </c>
      <c r="F307" s="10" t="n">
        <v>45666.84230324074</v>
      </c>
      <c r="G307" s="11">
        <f>IF(AND(ISNUMBER(C307),ISNUMBER(E307)),(E307-C307),"")</f>
        <v/>
      </c>
      <c r="H307" s="11">
        <f>IF(AND(ISNUMBER(C307),ISNUMBER(F307)),(F307-C307),"")</f>
        <v/>
      </c>
    </row>
    <row r="308">
      <c r="A308" s="3" t="inlineStr">
        <is>
          <t>1007907</t>
        </is>
      </c>
      <c r="B308" s="3" t="inlineStr">
        <is>
          <t>621</t>
        </is>
      </c>
      <c r="C308" s="10" t="n">
        <v>45666.78376157407</v>
      </c>
      <c r="D308" s="3" t="inlineStr">
        <is>
          <t>OBT100125031244-Neunkirchen (loading tracks)</t>
        </is>
      </c>
      <c r="E308" s="10" t="n">
        <v>45667.13384259259</v>
      </c>
      <c r="F308" s="10" t="n">
        <v>45667.17431712963</v>
      </c>
      <c r="G308" s="11">
        <f>IF(AND(ISNUMBER(C308),ISNUMBER(E308)),(E308-C308),"")</f>
        <v/>
      </c>
      <c r="H308" s="11">
        <f>IF(AND(ISNUMBER(C308),ISNUMBER(F308)),(F308-C308),"")</f>
        <v/>
      </c>
    </row>
    <row r="309">
      <c r="A309" s="3" t="inlineStr">
        <is>
          <t>1007908</t>
        </is>
      </c>
      <c r="B309" s="3" t="inlineStr">
        <is>
          <t>613</t>
        </is>
      </c>
      <c r="C309" s="10" t="n">
        <v>45666.7850925926</v>
      </c>
      <c r="D309" s="3" t="inlineStr">
        <is>
          <t>OBT100125071706-Wr. Neustadt (Hödlmayr)</t>
        </is>
      </c>
      <c r="E309" s="10" t="n">
        <v>45667.30354166667</v>
      </c>
      <c r="F309" s="10" t="n">
        <v>45667.33260416667</v>
      </c>
      <c r="G309" s="11">
        <f>IF(AND(ISNUMBER(C309),ISNUMBER(E309)),(E309-C309),"")</f>
        <v/>
      </c>
      <c r="H309" s="11">
        <f>IF(AND(ISNUMBER(C309),ISNUMBER(F309)),(F309-C309),"")</f>
        <v/>
      </c>
    </row>
    <row r="310">
      <c r="A310" s="3" t="inlineStr">
        <is>
          <t>1007909</t>
        </is>
      </c>
      <c r="B310" s="3" t="inlineStr">
        <is>
          <t>609</t>
        </is>
      </c>
      <c r="C310" s="10" t="n">
        <v>45666.78667824074</v>
      </c>
      <c r="D310" s="3" t="inlineStr">
        <is>
          <t>OBT090125185836-Wr. Neustadt (Brenntag)</t>
        </is>
      </c>
      <c r="E310" s="10" t="n">
        <v>45666.79069444445</v>
      </c>
      <c r="F310" s="10" t="n">
        <v>45666.83302083334</v>
      </c>
      <c r="G310" s="11">
        <f>IF(AND(ISNUMBER(C310),ISNUMBER(E310)),(E310-C310),"")</f>
        <v/>
      </c>
      <c r="H310" s="11">
        <f>IF(AND(ISNUMBER(C310),ISNUMBER(F310)),(F310-C310),"")</f>
        <v/>
      </c>
    </row>
    <row r="311">
      <c r="A311" s="3" t="inlineStr">
        <is>
          <t>1007910</t>
        </is>
      </c>
      <c r="B311" s="3" t="inlineStr">
        <is>
          <t>627</t>
        </is>
      </c>
      <c r="C311" s="10" t="n">
        <v>45666.78855324074</v>
      </c>
      <c r="D311" s="3" t="inlineStr">
        <is>
          <t>OBT100125092212-St. Veit an der Glan</t>
        </is>
      </c>
      <c r="E311" s="10" t="n">
        <v>45667.39041666667</v>
      </c>
      <c r="F311" s="10" t="n">
        <v>45667.41582175926</v>
      </c>
      <c r="G311" s="11">
        <f>IF(AND(ISNUMBER(C311),ISNUMBER(E311)),(E311-C311),"")</f>
        <v/>
      </c>
      <c r="H311" s="11">
        <f>IF(AND(ISNUMBER(C311),ISNUMBER(F311)),(F311-C311),"")</f>
        <v/>
      </c>
    </row>
    <row r="312">
      <c r="A312" s="3" t="inlineStr">
        <is>
          <t>1007911</t>
        </is>
      </c>
      <c r="B312" s="3" t="inlineStr">
        <is>
          <t>605</t>
        </is>
      </c>
      <c r="C312" s="10" t="n">
        <v>45666.79045138889</v>
      </c>
      <c r="D312" s="3" t="inlineStr">
        <is>
          <t>OBT090125190525-Neudörfl (FunderMax)</t>
        </is>
      </c>
      <c r="E312" s="10" t="n">
        <v>45666.79542824074</v>
      </c>
      <c r="F312" s="10" t="n">
        <v>45666.84230324074</v>
      </c>
      <c r="G312" s="11">
        <f>IF(AND(ISNUMBER(C312),ISNUMBER(E312)),(E312-C312),"")</f>
        <v/>
      </c>
      <c r="H312" s="11">
        <f>IF(AND(ISNUMBER(C312),ISNUMBER(F312)),(F312-C312),"")</f>
        <v/>
      </c>
    </row>
    <row r="313">
      <c r="A313" s="3" t="inlineStr">
        <is>
          <t>1008001</t>
        </is>
      </c>
      <c r="B313" s="3" t="inlineStr">
        <is>
          <t>613</t>
        </is>
      </c>
      <c r="C313" s="10" t="n">
        <v>45666.85162037037</v>
      </c>
      <c r="D313" s="3" t="inlineStr">
        <is>
          <t>OBT100125071706-Wr. Neustadt (Hödlmayr)</t>
        </is>
      </c>
      <c r="E313" s="10" t="n">
        <v>45667.30354166667</v>
      </c>
      <c r="F313" s="10" t="n">
        <v>45667.33260416667</v>
      </c>
      <c r="G313" s="11">
        <f>IF(AND(ISNUMBER(C313),ISNUMBER(E313)),(E313-C313),"")</f>
        <v/>
      </c>
      <c r="H313" s="11">
        <f>IF(AND(ISNUMBER(C313),ISNUMBER(F313)),(F313-C313),"")</f>
        <v/>
      </c>
    </row>
    <row r="314">
      <c r="A314" s="3" t="inlineStr">
        <is>
          <t>1008002</t>
        </is>
      </c>
      <c r="B314" s="3" t="inlineStr">
        <is>
          <t>615</t>
        </is>
      </c>
      <c r="C314" s="10" t="n">
        <v>45666.85280092592</v>
      </c>
      <c r="D314" s="3" t="inlineStr">
        <is>
          <t>OBT100125045052-Neudörfl (FunderMax)</t>
        </is>
      </c>
      <c r="E314" s="10" t="n">
        <v>45667.20199074074</v>
      </c>
      <c r="F314" s="10" t="n">
        <v>45667.245625</v>
      </c>
      <c r="G314" s="11">
        <f>IF(AND(ISNUMBER(C314),ISNUMBER(E314)),(E314-C314),"")</f>
        <v/>
      </c>
      <c r="H314" s="11">
        <f>IF(AND(ISNUMBER(C314),ISNUMBER(F314)),(F314-C314),"")</f>
        <v/>
      </c>
    </row>
    <row r="315">
      <c r="A315" s="3" t="inlineStr">
        <is>
          <t>1008003</t>
        </is>
      </c>
      <c r="B315" s="3" t="inlineStr">
        <is>
          <t>613</t>
        </is>
      </c>
      <c r="C315" s="10" t="n">
        <v>45666.85410879629</v>
      </c>
      <c r="D315" s="3" t="inlineStr">
        <is>
          <t>OBT100125071706-Wr. Neustadt (Hödlmayr)</t>
        </is>
      </c>
      <c r="E315" s="10" t="n">
        <v>45667.30354166667</v>
      </c>
      <c r="F315" s="10" t="n">
        <v>45667.33260416667</v>
      </c>
      <c r="G315" s="11">
        <f>IF(AND(ISNUMBER(C315),ISNUMBER(E315)),(E315-C315),"")</f>
        <v/>
      </c>
      <c r="H315" s="11">
        <f>IF(AND(ISNUMBER(C315),ISNUMBER(F315)),(F315-C315),"")</f>
        <v/>
      </c>
    </row>
    <row r="316">
      <c r="A316" s="3" t="inlineStr">
        <is>
          <t>1008004</t>
        </is>
      </c>
      <c r="B316" s="3" t="inlineStr">
        <is>
          <t>605</t>
        </is>
      </c>
      <c r="C316" s="10" t="n">
        <v>45666.8559375</v>
      </c>
      <c r="D316" s="3" t="inlineStr">
        <is>
          <t>OBT100125071957-Pitten (Hamburger)</t>
        </is>
      </c>
      <c r="E316" s="10" t="n">
        <v>45667.30552083333</v>
      </c>
      <c r="F316" s="10" t="n">
        <v>45667.34872685185</v>
      </c>
      <c r="G316" s="11">
        <f>IF(AND(ISNUMBER(C316),ISNUMBER(E316)),(E316-C316),"")</f>
        <v/>
      </c>
      <c r="H316" s="11">
        <f>IF(AND(ISNUMBER(C316),ISNUMBER(F316)),(F316-C316),"")</f>
        <v/>
      </c>
    </row>
    <row r="317">
      <c r="A317" s="3" t="inlineStr">
        <is>
          <t>1008005</t>
        </is>
      </c>
      <c r="B317" s="3" t="inlineStr">
        <is>
          <t>625</t>
        </is>
      </c>
      <c r="C317" s="10" t="n">
        <v>45666.85797453704</v>
      </c>
      <c r="D317" s="3" t="inlineStr">
        <is>
          <t>OBT090125204342-Felixdorf/Sollenau (Bundesheer, Maba)</t>
        </is>
      </c>
      <c r="E317" s="10" t="n">
        <v>45666.86368055556</v>
      </c>
      <c r="F317" s="10" t="n">
        <v>45666.88663194444</v>
      </c>
      <c r="G317" s="11">
        <f>IF(AND(ISNUMBER(C317),ISNUMBER(E317)),(E317-C317),"")</f>
        <v/>
      </c>
      <c r="H317" s="11">
        <f>IF(AND(ISNUMBER(C317),ISNUMBER(F317)),(F317-C317),"")</f>
        <v/>
      </c>
    </row>
    <row r="318">
      <c r="A318" s="3" t="inlineStr">
        <is>
          <t>1008006</t>
        </is>
      </c>
      <c r="B318" s="3" t="inlineStr">
        <is>
          <t>625</t>
        </is>
      </c>
      <c r="C318" s="10" t="n">
        <v>45666.86011574074</v>
      </c>
      <c r="D318" s="3" t="inlineStr">
        <is>
          <t>OBT090125204342-Felixdorf/Sollenau (Bundesheer, Maba)</t>
        </is>
      </c>
      <c r="E318" s="10" t="n">
        <v>45666.86368055556</v>
      </c>
      <c r="F318" s="10" t="n">
        <v>45666.88663194444</v>
      </c>
      <c r="G318" s="11">
        <f>IF(AND(ISNUMBER(C318),ISNUMBER(E318)),(E318-C318),"")</f>
        <v/>
      </c>
      <c r="H318" s="11">
        <f>IF(AND(ISNUMBER(C318),ISNUMBER(F318)),(F318-C318),"")</f>
        <v/>
      </c>
    </row>
    <row r="319">
      <c r="A319" s="3" t="inlineStr">
        <is>
          <t>1008007</t>
        </is>
      </c>
      <c r="B319" s="3" t="inlineStr">
        <is>
          <t>607</t>
        </is>
      </c>
      <c r="C319" s="10" t="n">
        <v>45666.86172453704</v>
      </c>
      <c r="D319" s="3" t="inlineStr">
        <is>
          <t>OBT140125093209-Obereggendorf (Hofer)</t>
        </is>
      </c>
      <c r="E319" s="10" t="n">
        <v>45671.39732638889</v>
      </c>
      <c r="F319" s="10" t="n">
        <v>45671.45953703704</v>
      </c>
      <c r="G319" s="11">
        <f>IF(AND(ISNUMBER(C319),ISNUMBER(E319)),(E319-C319),"")</f>
        <v/>
      </c>
      <c r="H319" s="11">
        <f>IF(AND(ISNUMBER(C319),ISNUMBER(F319)),(F319-C319),"")</f>
        <v/>
      </c>
    </row>
    <row r="320">
      <c r="A320" s="3" t="inlineStr">
        <is>
          <t>1008008</t>
        </is>
      </c>
      <c r="B320" s="3" t="inlineStr">
        <is>
          <t>629</t>
        </is>
      </c>
      <c r="C320" s="10" t="n">
        <v>45666.86372685185</v>
      </c>
      <c r="D320" s="3" t="inlineStr">
        <is>
          <t>OBT090125204925-Other sidings north</t>
        </is>
      </c>
      <c r="E320" s="10" t="n">
        <v>45666.86765046296</v>
      </c>
      <c r="F320" s="10" t="n">
        <v>45666.89103009259</v>
      </c>
      <c r="G320" s="11">
        <f>IF(AND(ISNUMBER(C320),ISNUMBER(E320)),(E320-C320),"")</f>
        <v/>
      </c>
      <c r="H320" s="11">
        <f>IF(AND(ISNUMBER(C320),ISNUMBER(F320)),(F320-C320),"")</f>
        <v/>
      </c>
    </row>
    <row r="321">
      <c r="A321" s="3" t="inlineStr">
        <is>
          <t>1008101</t>
        </is>
      </c>
      <c r="B321" s="3" t="inlineStr">
        <is>
          <t>617</t>
        </is>
      </c>
      <c r="C321" s="10" t="n">
        <v>45667.125625</v>
      </c>
      <c r="D321" s="3" t="inlineStr">
        <is>
          <t>OBT130125092620-Ternitz (Schoeller-Bleckmann)</t>
        </is>
      </c>
      <c r="E321" s="10" t="n">
        <v>45670.39328703703</v>
      </c>
      <c r="F321" s="10" t="n">
        <v>45670.426875</v>
      </c>
      <c r="G321" s="11">
        <f>IF(AND(ISNUMBER(C321),ISNUMBER(E321)),(E321-C321),"")</f>
        <v/>
      </c>
      <c r="H321" s="11">
        <f>IF(AND(ISNUMBER(C321),ISNUMBER(F321)),(F321-C321),"")</f>
        <v/>
      </c>
    </row>
    <row r="322">
      <c r="A322" s="3" t="inlineStr">
        <is>
          <t>1008102</t>
        </is>
      </c>
      <c r="B322" s="3" t="inlineStr">
        <is>
          <t>627</t>
        </is>
      </c>
      <c r="C322" s="10" t="n">
        <v>45667.12760416666</v>
      </c>
      <c r="D322" s="3" t="inlineStr">
        <is>
          <t>OBT100125092212-St. Veit an der Glan</t>
        </is>
      </c>
      <c r="E322" s="10" t="n">
        <v>45667.39041666667</v>
      </c>
      <c r="F322" s="10" t="n">
        <v>45667.41582175926</v>
      </c>
      <c r="G322" s="11">
        <f>IF(AND(ISNUMBER(C322),ISNUMBER(E322)),(E322-C322),"")</f>
        <v/>
      </c>
      <c r="H322" s="11">
        <f>IF(AND(ISNUMBER(C322),ISNUMBER(F322)),(F322-C322),"")</f>
        <v/>
      </c>
    </row>
    <row r="323">
      <c r="A323" s="3" t="inlineStr">
        <is>
          <t>1008103</t>
        </is>
      </c>
      <c r="B323" s="3" t="inlineStr">
        <is>
          <t>621</t>
        </is>
      </c>
      <c r="C323" s="10" t="n">
        <v>45667.12994212963</v>
      </c>
      <c r="D323" s="3" t="inlineStr">
        <is>
          <t>OBT100125031244-Neunkirchen (loading tracks)</t>
        </is>
      </c>
      <c r="E323" s="10" t="n">
        <v>45667.13384259259</v>
      </c>
      <c r="F323" s="10" t="n">
        <v>45667.17431712963</v>
      </c>
      <c r="G323" s="11">
        <f>IF(AND(ISNUMBER(C323),ISNUMBER(E323)),(E323-C323),"")</f>
        <v/>
      </c>
      <c r="H323" s="11">
        <f>IF(AND(ISNUMBER(C323),ISNUMBER(F323)),(F323-C323),"")</f>
        <v/>
      </c>
    </row>
    <row r="324">
      <c r="A324" s="3" t="inlineStr">
        <is>
          <t>1008104</t>
        </is>
      </c>
      <c r="B324" s="3" t="inlineStr">
        <is>
          <t>623</t>
        </is>
      </c>
      <c r="C324" s="10" t="n">
        <v>45667.13174768518</v>
      </c>
      <c r="D324" s="3" t="inlineStr">
        <is>
          <t>OBT100125031522-Other sidings south</t>
        </is>
      </c>
      <c r="E324" s="10" t="n">
        <v>45667.1356712963</v>
      </c>
      <c r="F324" s="10" t="n">
        <v>45667.15997685185</v>
      </c>
      <c r="G324" s="11">
        <f>IF(AND(ISNUMBER(C324),ISNUMBER(E324)),(E324-C324),"")</f>
        <v/>
      </c>
      <c r="H324" s="11">
        <f>IF(AND(ISNUMBER(C324),ISNUMBER(F324)),(F324-C324),"")</f>
        <v/>
      </c>
    </row>
    <row r="325">
      <c r="A325" s="3" t="inlineStr">
        <is>
          <t>1008201</t>
        </is>
      </c>
      <c r="B325" s="3" t="inlineStr">
        <is>
          <t>615</t>
        </is>
      </c>
      <c r="C325" s="10" t="n">
        <v>45667.1980787037</v>
      </c>
      <c r="D325" s="3" t="inlineStr">
        <is>
          <t>OBT100125045052-Neudörfl (FunderMax)</t>
        </is>
      </c>
      <c r="E325" s="10" t="n">
        <v>45667.20199074074</v>
      </c>
      <c r="F325" s="10" t="n">
        <v>45667.245625</v>
      </c>
      <c r="G325" s="11">
        <f>IF(AND(ISNUMBER(C325),ISNUMBER(E325)),(E325-C325),"")</f>
        <v/>
      </c>
      <c r="H325" s="11">
        <f>IF(AND(ISNUMBER(C325),ISNUMBER(F325)),(F325-C325),"")</f>
        <v/>
      </c>
    </row>
    <row r="326">
      <c r="A326" s="3" t="inlineStr">
        <is>
          <t>1008301</t>
        </is>
      </c>
      <c r="B326" s="3" t="inlineStr">
        <is>
          <t>611</t>
        </is>
      </c>
      <c r="C326" s="10" t="n">
        <v>45667.25072916667</v>
      </c>
      <c r="D326" s="3" t="inlineStr">
        <is>
          <t>OBT100125060642-Wien Kledering</t>
        </is>
      </c>
      <c r="E326" s="10" t="n">
        <v>45667.25465277778</v>
      </c>
      <c r="F326" s="10" t="n">
        <v>45667.31671296297</v>
      </c>
      <c r="G326" s="11">
        <f>IF(AND(ISNUMBER(C326),ISNUMBER(E326)),(E326-C326),"")</f>
        <v/>
      </c>
      <c r="H326" s="11">
        <f>IF(AND(ISNUMBER(C326),ISNUMBER(F326)),(F326-C326),"")</f>
        <v/>
      </c>
    </row>
    <row r="327">
      <c r="A327" s="3" t="inlineStr">
        <is>
          <t>1008401</t>
        </is>
      </c>
      <c r="B327" s="3" t="inlineStr">
        <is>
          <t>625</t>
        </is>
      </c>
      <c r="C327" s="10" t="n">
        <v>45667.29623842592</v>
      </c>
      <c r="D327" s="3" t="inlineStr">
        <is>
          <t>OBT100125095359-Felixdorf/Sollenau (Bundesheer, Maba)</t>
        </is>
      </c>
      <c r="E327" s="10" t="n">
        <v>45667.41248842593</v>
      </c>
      <c r="F327" s="10" t="n">
        <v>45667.46359953703</v>
      </c>
      <c r="G327" s="11">
        <f>IF(AND(ISNUMBER(C327),ISNUMBER(E327)),(E327-C327),"")</f>
        <v/>
      </c>
      <c r="H327" s="11">
        <f>IF(AND(ISNUMBER(C327),ISNUMBER(F327)),(F327-C327),"")</f>
        <v/>
      </c>
    </row>
    <row r="328">
      <c r="A328" s="3" t="inlineStr">
        <is>
          <t>1008402</t>
        </is>
      </c>
      <c r="B328" s="3" t="inlineStr">
        <is>
          <t>627</t>
        </is>
      </c>
      <c r="C328" s="10" t="n">
        <v>45667.29815972222</v>
      </c>
      <c r="D328" s="3" t="inlineStr">
        <is>
          <t>OBT100125092212-St. Veit an der Glan</t>
        </is>
      </c>
      <c r="E328" s="10" t="n">
        <v>45667.39041666667</v>
      </c>
      <c r="F328" s="10" t="n">
        <v>45667.41582175926</v>
      </c>
      <c r="G328" s="11">
        <f>IF(AND(ISNUMBER(C328),ISNUMBER(E328)),(E328-C328),"")</f>
        <v/>
      </c>
      <c r="H328" s="11">
        <f>IF(AND(ISNUMBER(C328),ISNUMBER(F328)),(F328-C328),"")</f>
        <v/>
      </c>
    </row>
    <row r="329">
      <c r="A329" s="3" t="inlineStr">
        <is>
          <t>1008403</t>
        </is>
      </c>
      <c r="B329" s="3" t="inlineStr">
        <is>
          <t>613</t>
        </is>
      </c>
      <c r="C329" s="10" t="n">
        <v>45667.29961805556</v>
      </c>
      <c r="D329" s="3" t="inlineStr">
        <is>
          <t>OBT100125071706-Wr. Neustadt (Hödlmayr)</t>
        </is>
      </c>
      <c r="E329" s="10" t="n">
        <v>45667.30354166667</v>
      </c>
      <c r="F329" s="10" t="n">
        <v>45667.33260416667</v>
      </c>
      <c r="G329" s="11">
        <f>IF(AND(ISNUMBER(C329),ISNUMBER(E329)),(E329-C329),"")</f>
        <v/>
      </c>
      <c r="H329" s="11">
        <f>IF(AND(ISNUMBER(C329),ISNUMBER(F329)),(F329-C329),"")</f>
        <v/>
      </c>
    </row>
    <row r="330">
      <c r="A330" s="3" t="inlineStr">
        <is>
          <t>1008404</t>
        </is>
      </c>
      <c r="B330" s="3" t="inlineStr">
        <is>
          <t>605</t>
        </is>
      </c>
      <c r="C330" s="10" t="n">
        <v>45667.30159722222</v>
      </c>
      <c r="D330" s="3" t="inlineStr">
        <is>
          <t>OBT100125071957-Pitten (Hamburger)</t>
        </is>
      </c>
      <c r="E330" s="10" t="n">
        <v>45667.30552083333</v>
      </c>
      <c r="F330" s="10" t="n">
        <v>45667.34872685185</v>
      </c>
      <c r="G330" s="11">
        <f>IF(AND(ISNUMBER(C330),ISNUMBER(E330)),(E330-C330),"")</f>
        <v/>
      </c>
      <c r="H330" s="11">
        <f>IF(AND(ISNUMBER(C330),ISNUMBER(F330)),(F330-C330),"")</f>
        <v/>
      </c>
    </row>
    <row r="331">
      <c r="A331" s="3" t="inlineStr">
        <is>
          <t>1008405</t>
        </is>
      </c>
      <c r="B331" s="3" t="inlineStr">
        <is>
          <t>615</t>
        </is>
      </c>
      <c r="C331" s="10" t="n">
        <v>45667.30276620371</v>
      </c>
      <c r="D331" s="3" t="inlineStr">
        <is>
          <t>OBT130125093830-Other sidings local</t>
        </is>
      </c>
      <c r="E331" s="10" t="n">
        <v>45670.40173611111</v>
      </c>
      <c r="F331" s="10" t="n">
        <v>45670.43825231482</v>
      </c>
      <c r="G331" s="11">
        <f>IF(AND(ISNUMBER(C331),ISNUMBER(E331)),(E331-C331),"")</f>
        <v/>
      </c>
      <c r="H331" s="11">
        <f>IF(AND(ISNUMBER(C331),ISNUMBER(F331)),(F331-C331),"")</f>
        <v/>
      </c>
    </row>
    <row r="332">
      <c r="A332" s="3" t="inlineStr">
        <is>
          <t>1008406</t>
        </is>
      </c>
      <c r="B332" s="3" t="inlineStr">
        <is>
          <t>625</t>
        </is>
      </c>
      <c r="C332" s="10" t="n">
        <v>45667.30483796296</v>
      </c>
      <c r="D332" s="3" t="inlineStr">
        <is>
          <t>OBT100125095359-Felixdorf/Sollenau (Bundesheer, Maba)</t>
        </is>
      </c>
      <c r="E332" s="10" t="n">
        <v>45667.41248842593</v>
      </c>
      <c r="F332" s="10" t="n">
        <v>45667.46359953703</v>
      </c>
      <c r="G332" s="11">
        <f>IF(AND(ISNUMBER(C332),ISNUMBER(E332)),(E332-C332),"")</f>
        <v/>
      </c>
      <c r="H332" s="11">
        <f>IF(AND(ISNUMBER(C332),ISNUMBER(F332)),(F332-C332),"")</f>
        <v/>
      </c>
    </row>
    <row r="333">
      <c r="A333" s="3" t="inlineStr">
        <is>
          <t>1008407</t>
        </is>
      </c>
      <c r="B333" s="3" t="inlineStr">
        <is>
          <t>605</t>
        </is>
      </c>
      <c r="C333" s="10" t="n">
        <v>45667.30660879629</v>
      </c>
      <c r="D333" s="3" t="inlineStr">
        <is>
          <t>OBT100125094326-Other sidings north</t>
        </is>
      </c>
      <c r="E333" s="10" t="n">
        <v>45667.40516203704</v>
      </c>
      <c r="F333" s="10" t="n">
        <v>45667.44130787037</v>
      </c>
      <c r="G333" s="11">
        <f>IF(AND(ISNUMBER(C333),ISNUMBER(E333)),(E333-C333),"")</f>
        <v/>
      </c>
      <c r="H333" s="11">
        <f>IF(AND(ISNUMBER(C333),ISNUMBER(F333)),(F333-C333),"")</f>
        <v/>
      </c>
    </row>
    <row r="334">
      <c r="A334" s="3" t="inlineStr">
        <is>
          <t>1008408</t>
        </is>
      </c>
      <c r="B334" s="3" t="inlineStr">
        <is>
          <t>623</t>
        </is>
      </c>
      <c r="C334" s="10" t="n">
        <v>45667.30836805556</v>
      </c>
      <c r="D334" s="3" t="inlineStr">
        <is>
          <t>OBT100125205342-Other sidings south</t>
        </is>
      </c>
      <c r="E334" s="10" t="n">
        <v>45667.870625</v>
      </c>
      <c r="F334" s="10" t="n">
        <v>45667.89303240741</v>
      </c>
      <c r="G334" s="11">
        <f>IF(AND(ISNUMBER(C334),ISNUMBER(E334)),(E334-C334),"")</f>
        <v/>
      </c>
      <c r="H334" s="11">
        <f>IF(AND(ISNUMBER(C334),ISNUMBER(F334)),(F334-C334),"")</f>
        <v/>
      </c>
    </row>
    <row r="335">
      <c r="A335" s="3" t="inlineStr">
        <is>
          <t>1008409</t>
        </is>
      </c>
      <c r="B335" s="3" t="inlineStr">
        <is>
          <t>605</t>
        </is>
      </c>
      <c r="C335" s="10" t="n">
        <v>45667.31010416667</v>
      </c>
      <c r="D335" s="3" t="inlineStr">
        <is>
          <t>OBT100125094326-Other sidings north</t>
        </is>
      </c>
      <c r="E335" s="10" t="n">
        <v>45667.40516203704</v>
      </c>
      <c r="F335" s="10" t="n">
        <v>45667.44130787037</v>
      </c>
      <c r="G335" s="11">
        <f>IF(AND(ISNUMBER(C335),ISNUMBER(E335)),(E335-C335),"")</f>
        <v/>
      </c>
      <c r="H335" s="11">
        <f>IF(AND(ISNUMBER(C335),ISNUMBER(F335)),(F335-C335),"")</f>
        <v/>
      </c>
    </row>
    <row r="336">
      <c r="A336" s="3" t="inlineStr">
        <is>
          <t>1008501</t>
        </is>
      </c>
      <c r="B336" s="3" t="inlineStr">
        <is>
          <t>619</t>
        </is>
      </c>
      <c r="C336" s="10" t="n">
        <v>45667.31981481481</v>
      </c>
      <c r="D336" s="3" t="inlineStr">
        <is>
          <t>OBT100125074357-Wien Kledering</t>
        </is>
      </c>
      <c r="E336" s="10" t="n">
        <v>45667.3221875</v>
      </c>
      <c r="F336" s="10" t="n">
        <v>45667.35841435185</v>
      </c>
      <c r="G336" s="11">
        <f>IF(AND(ISNUMBER(C336),ISNUMBER(E336)),(E336-C336),"")</f>
        <v/>
      </c>
      <c r="H336" s="11">
        <f>IF(AND(ISNUMBER(C336),ISNUMBER(F336)),(F336-C336),"")</f>
        <v/>
      </c>
    </row>
    <row r="337">
      <c r="A337" s="3" t="inlineStr">
        <is>
          <t>1008601</t>
        </is>
      </c>
      <c r="B337" s="3" t="inlineStr">
        <is>
          <t>606</t>
        </is>
      </c>
      <c r="C337" s="10" t="n">
        <v>45667.34171296296</v>
      </c>
      <c r="D337" s="3" t="inlineStr">
        <is>
          <t>OBT100125081531-Wien Kledering</t>
        </is>
      </c>
      <c r="E337" s="10" t="n">
        <v>45667.34410879629</v>
      </c>
      <c r="F337" s="10" t="n">
        <v>45667.41334490741</v>
      </c>
      <c r="G337" s="11">
        <f>IF(AND(ISNUMBER(C337),ISNUMBER(E337)),(E337-C337),"")</f>
        <v/>
      </c>
      <c r="H337" s="11">
        <f>IF(AND(ISNUMBER(C337),ISNUMBER(F337)),(F337-C337),"")</f>
        <v/>
      </c>
    </row>
    <row r="338">
      <c r="A338" s="3" t="inlineStr">
        <is>
          <t>1008801</t>
        </is>
      </c>
      <c r="B338" s="3" t="inlineStr">
        <is>
          <t>611</t>
        </is>
      </c>
      <c r="C338" s="10" t="n">
        <v>45667.38488425926</v>
      </c>
      <c r="D338" s="3" t="inlineStr">
        <is>
          <t>OBT100125092457-Wien Kledering</t>
        </is>
      </c>
      <c r="E338" s="10" t="n">
        <v>45667.39232638889</v>
      </c>
      <c r="F338" s="10" t="n">
        <v>45667.44386574074</v>
      </c>
      <c r="G338" s="11">
        <f>IF(AND(ISNUMBER(C338),ISNUMBER(E338)),(E338-C338),"")</f>
        <v/>
      </c>
      <c r="H338" s="11">
        <f>IF(AND(ISNUMBER(C338),ISNUMBER(F338)),(F338-C338),"")</f>
        <v/>
      </c>
    </row>
    <row r="339">
      <c r="A339" s="3" t="inlineStr">
        <is>
          <t>1008802</t>
        </is>
      </c>
      <c r="B339" s="3" t="inlineStr">
        <is>
          <t>627</t>
        </is>
      </c>
      <c r="C339" s="10" t="n">
        <v>45667.38685185185</v>
      </c>
      <c r="D339" s="3" t="inlineStr">
        <is>
          <t>OBT100125092212-St. Veit an der Glan</t>
        </is>
      </c>
      <c r="E339" s="10" t="n">
        <v>45667.39041666667</v>
      </c>
      <c r="F339" s="10" t="n">
        <v>45667.41582175926</v>
      </c>
      <c r="G339" s="11">
        <f>IF(AND(ISNUMBER(C339),ISNUMBER(E339)),(E339-C339),"")</f>
        <v/>
      </c>
      <c r="H339" s="11">
        <f>IF(AND(ISNUMBER(C339),ISNUMBER(F339)),(F339-C339),"")</f>
        <v/>
      </c>
    </row>
    <row r="340">
      <c r="A340" s="3" t="inlineStr">
        <is>
          <t>1008803</t>
        </is>
      </c>
      <c r="B340" s="3" t="inlineStr">
        <is>
          <t>611</t>
        </is>
      </c>
      <c r="C340" s="10" t="n">
        <v>45667.38842592593</v>
      </c>
      <c r="D340" s="3" t="inlineStr">
        <is>
          <t>OBT100125092457-Wien Kledering</t>
        </is>
      </c>
      <c r="E340" s="10" t="n">
        <v>45667.39232638889</v>
      </c>
      <c r="F340" s="10" t="n">
        <v>45667.44386574074</v>
      </c>
      <c r="G340" s="11">
        <f>IF(AND(ISNUMBER(C340),ISNUMBER(E340)),(E340-C340),"")</f>
        <v/>
      </c>
      <c r="H340" s="11">
        <f>IF(AND(ISNUMBER(C340),ISNUMBER(F340)),(F340-C340),"")</f>
        <v/>
      </c>
    </row>
    <row r="341">
      <c r="A341" s="3" t="inlineStr">
        <is>
          <t>1008701</t>
        </is>
      </c>
      <c r="B341" s="3" t="inlineStr">
        <is>
          <t>605</t>
        </is>
      </c>
      <c r="C341" s="10" t="n">
        <v>45667.39100694445</v>
      </c>
      <c r="D341" s="3" t="inlineStr">
        <is>
          <t>OBT100125094326-Other sidings north</t>
        </is>
      </c>
      <c r="E341" s="10" t="n">
        <v>45667.40516203704</v>
      </c>
      <c r="F341" s="10" t="n">
        <v>45667.44130787037</v>
      </c>
      <c r="G341" s="11">
        <f>IF(AND(ISNUMBER(C341),ISNUMBER(E341)),(E341-C341),"")</f>
        <v/>
      </c>
      <c r="H341" s="11">
        <f>IF(AND(ISNUMBER(C341),ISNUMBER(F341)),(F341-C341),"")</f>
        <v/>
      </c>
    </row>
    <row r="342">
      <c r="A342" s="3" t="inlineStr">
        <is>
          <t>1008702</t>
        </is>
      </c>
      <c r="B342" s="3" t="inlineStr">
        <is>
          <t>613</t>
        </is>
      </c>
      <c r="C342" s="10" t="n">
        <v>45667.39254629629</v>
      </c>
      <c r="D342" s="3" t="inlineStr">
        <is>
          <t>OBT100125092935-Ebenfurth (beet loading)</t>
        </is>
      </c>
      <c r="E342" s="10" t="n">
        <v>45667.39554398148</v>
      </c>
      <c r="F342" s="10" t="n">
        <v>45667.44206018518</v>
      </c>
      <c r="G342" s="11">
        <f>IF(AND(ISNUMBER(C342),ISNUMBER(E342)),(E342-C342),"")</f>
        <v/>
      </c>
      <c r="H342" s="11">
        <f>IF(AND(ISNUMBER(C342),ISNUMBER(F342)),(F342-C342),"")</f>
        <v/>
      </c>
    </row>
    <row r="343">
      <c r="A343" s="3" t="inlineStr">
        <is>
          <t>1008703</t>
        </is>
      </c>
      <c r="B343" s="3" t="inlineStr">
        <is>
          <t>623</t>
        </is>
      </c>
      <c r="C343" s="10" t="n">
        <v>45667.39427083333</v>
      </c>
      <c r="D343" s="3" t="inlineStr">
        <is>
          <t>OBT100125205342-Other sidings south</t>
        </is>
      </c>
      <c r="E343" s="10" t="n">
        <v>45667.870625</v>
      </c>
      <c r="F343" s="10" t="n">
        <v>45667.89303240741</v>
      </c>
      <c r="G343" s="11">
        <f>IF(AND(ISNUMBER(C343),ISNUMBER(E343)),(E343-C343),"")</f>
        <v/>
      </c>
      <c r="H343" s="11">
        <f>IF(AND(ISNUMBER(C343),ISNUMBER(F343)),(F343-C343),"")</f>
        <v/>
      </c>
    </row>
    <row r="344">
      <c r="A344" s="3" t="inlineStr">
        <is>
          <t>1008704</t>
        </is>
      </c>
      <c r="B344" s="3" t="inlineStr">
        <is>
          <t>617</t>
        </is>
      </c>
      <c r="C344" s="10" t="n">
        <v>45667.39552083334</v>
      </c>
      <c r="D344" s="3" t="inlineStr">
        <is>
          <t>OBT130125092620-Ternitz (Schoeller-Bleckmann)</t>
        </is>
      </c>
      <c r="E344" s="10" t="n">
        <v>45670.39328703703</v>
      </c>
      <c r="F344" s="10" t="n">
        <v>45670.426875</v>
      </c>
      <c r="G344" s="11">
        <f>IF(AND(ISNUMBER(C344),ISNUMBER(E344)),(E344-C344),"")</f>
        <v/>
      </c>
      <c r="H344" s="11">
        <f>IF(AND(ISNUMBER(C344),ISNUMBER(F344)),(F344-C344),"")</f>
        <v/>
      </c>
    </row>
    <row r="345">
      <c r="A345" s="3" t="inlineStr">
        <is>
          <t>1008705</t>
        </is>
      </c>
      <c r="B345" s="3" t="inlineStr">
        <is>
          <t>613</t>
        </is>
      </c>
      <c r="C345" s="10" t="n">
        <v>45667.39685185185</v>
      </c>
      <c r="D345" s="3" t="inlineStr">
        <is>
          <t>OBT100125142646-Wien Kledering</t>
        </is>
      </c>
      <c r="E345" s="10" t="n">
        <v>45667.60192129629</v>
      </c>
      <c r="F345" s="10" t="n">
        <v>45667.62408564815</v>
      </c>
      <c r="G345" s="11">
        <f>IF(AND(ISNUMBER(C345),ISNUMBER(E345)),(E345-C345),"")</f>
        <v/>
      </c>
      <c r="H345" s="11">
        <f>IF(AND(ISNUMBER(C345),ISNUMBER(F345)),(F345-C345),"")</f>
        <v/>
      </c>
    </row>
    <row r="346">
      <c r="A346" s="3" t="inlineStr">
        <is>
          <t>1008706</t>
        </is>
      </c>
      <c r="B346" s="3" t="inlineStr">
        <is>
          <t>627</t>
        </is>
      </c>
      <c r="C346" s="10" t="n">
        <v>45667.39873842592</v>
      </c>
      <c r="D346" s="3" t="inlineStr">
        <is>
          <t>OBT100125103849-Wien Kledering</t>
        </is>
      </c>
      <c r="E346" s="10" t="n">
        <v>45667.44362268518</v>
      </c>
      <c r="F346" s="10" t="n">
        <v>45667.49074074074</v>
      </c>
      <c r="G346" s="11">
        <f>IF(AND(ISNUMBER(C346),ISNUMBER(E346)),(E346-C346),"")</f>
        <v/>
      </c>
      <c r="H346" s="11">
        <f>IF(AND(ISNUMBER(C346),ISNUMBER(F346)),(F346-C346),"")</f>
        <v/>
      </c>
    </row>
    <row r="347">
      <c r="A347" s="3" t="inlineStr">
        <is>
          <t>1008707</t>
        </is>
      </c>
      <c r="B347" s="3" t="inlineStr">
        <is>
          <t>605</t>
        </is>
      </c>
      <c r="C347" s="10" t="n">
        <v>45667.40064814815</v>
      </c>
      <c r="D347" s="3" t="inlineStr">
        <is>
          <t>OBT100125094326-Other sidings north</t>
        </is>
      </c>
      <c r="E347" s="10" t="n">
        <v>45667.40516203704</v>
      </c>
      <c r="F347" s="10" t="n">
        <v>45667.44130787037</v>
      </c>
      <c r="G347" s="11">
        <f>IF(AND(ISNUMBER(C347),ISNUMBER(E347)),(E347-C347),"")</f>
        <v/>
      </c>
      <c r="H347" s="11">
        <f>IF(AND(ISNUMBER(C347),ISNUMBER(F347)),(F347-C347),"")</f>
        <v/>
      </c>
    </row>
    <row r="348">
      <c r="A348" s="3" t="inlineStr">
        <is>
          <t>1008708</t>
        </is>
      </c>
      <c r="B348" s="3" t="inlineStr">
        <is>
          <t>615</t>
        </is>
      </c>
      <c r="C348" s="10" t="n">
        <v>45667.40179398148</v>
      </c>
      <c r="D348" s="3" t="inlineStr">
        <is>
          <t>OBT130125093830-Other sidings local</t>
        </is>
      </c>
      <c r="E348" s="10" t="n">
        <v>45670.40173611111</v>
      </c>
      <c r="F348" s="10" t="n">
        <v>45670.43825231482</v>
      </c>
      <c r="G348" s="11">
        <f>IF(AND(ISNUMBER(C348),ISNUMBER(E348)),(E348-C348),"")</f>
        <v/>
      </c>
      <c r="H348" s="11">
        <f>IF(AND(ISNUMBER(C348),ISNUMBER(F348)),(F348-C348),"")</f>
        <v/>
      </c>
    </row>
    <row r="349">
      <c r="A349" s="3" t="inlineStr">
        <is>
          <t>1008709</t>
        </is>
      </c>
      <c r="B349" s="3" t="inlineStr">
        <is>
          <t>619</t>
        </is>
      </c>
      <c r="C349" s="10" t="n">
        <v>45667.40381944444</v>
      </c>
      <c r="D349" s="3" t="inlineStr">
        <is>
          <t>OBT100125185219-Neunkirchen (loading tracks)</t>
        </is>
      </c>
      <c r="E349" s="10" t="n">
        <v>45667.78633101852</v>
      </c>
      <c r="F349" s="10" t="n">
        <v>45667.83126157407</v>
      </c>
      <c r="G349" s="11">
        <f>IF(AND(ISNUMBER(C349),ISNUMBER(E349)),(E349-C349),"")</f>
        <v/>
      </c>
      <c r="H349" s="11">
        <f>IF(AND(ISNUMBER(C349),ISNUMBER(F349)),(F349-C349),"")</f>
        <v/>
      </c>
    </row>
    <row r="350">
      <c r="A350" s="3" t="inlineStr">
        <is>
          <t>1008710</t>
        </is>
      </c>
      <c r="B350" s="3" t="inlineStr">
        <is>
          <t>625</t>
        </is>
      </c>
      <c r="C350" s="10" t="n">
        <v>45667.40592592592</v>
      </c>
      <c r="D350" s="3" t="inlineStr">
        <is>
          <t>OBT100125095359-Felixdorf/Sollenau (Bundesheer, Maba)</t>
        </is>
      </c>
      <c r="E350" s="10" t="n">
        <v>45667.41248842593</v>
      </c>
      <c r="F350" s="10" t="n">
        <v>45667.46359953703</v>
      </c>
      <c r="G350" s="11">
        <f>IF(AND(ISNUMBER(C350),ISNUMBER(E350)),(E350-C350),"")</f>
        <v/>
      </c>
      <c r="H350" s="11">
        <f>IF(AND(ISNUMBER(C350),ISNUMBER(F350)),(F350-C350),"")</f>
        <v/>
      </c>
    </row>
    <row r="351">
      <c r="A351" s="3" t="inlineStr">
        <is>
          <t>1008711</t>
        </is>
      </c>
      <c r="B351" s="3" t="inlineStr">
        <is>
          <t>609</t>
        </is>
      </c>
      <c r="C351" s="10" t="n">
        <v>45667.4075</v>
      </c>
      <c r="D351" s="3" t="inlineStr">
        <is>
          <t>OBT100125183853-Wr. Neustadt Ausfahrbf (Furtenbach)</t>
        </is>
      </c>
      <c r="E351" s="10" t="n">
        <v>45667.77700231481</v>
      </c>
      <c r="F351" s="10" t="n">
        <v>45667.82010416667</v>
      </c>
      <c r="G351" s="11">
        <f>IF(AND(ISNUMBER(C351),ISNUMBER(E351)),(E351-C351),"")</f>
        <v/>
      </c>
      <c r="H351" s="11">
        <f>IF(AND(ISNUMBER(C351),ISNUMBER(F351)),(F351-C351),"")</f>
        <v/>
      </c>
    </row>
    <row r="352">
      <c r="A352" s="3" t="inlineStr">
        <is>
          <t>1008712</t>
        </is>
      </c>
      <c r="B352" s="3" t="inlineStr">
        <is>
          <t>623</t>
        </is>
      </c>
      <c r="C352" s="10" t="n">
        <v>45667.40922453703</v>
      </c>
      <c r="D352" s="3" t="inlineStr">
        <is>
          <t>OBT100125205342-Other sidings south</t>
        </is>
      </c>
      <c r="E352" s="10" t="n">
        <v>45667.870625</v>
      </c>
      <c r="F352" s="10" t="n">
        <v>45667.89303240741</v>
      </c>
      <c r="G352" s="11">
        <f>IF(AND(ISNUMBER(C352),ISNUMBER(E352)),(E352-C352),"")</f>
        <v/>
      </c>
      <c r="H352" s="11">
        <f>IF(AND(ISNUMBER(C352),ISNUMBER(F352)),(F352-C352),"")</f>
        <v/>
      </c>
    </row>
    <row r="353">
      <c r="A353" s="3" t="inlineStr">
        <is>
          <t>1008901</t>
        </is>
      </c>
      <c r="B353" s="3" t="inlineStr">
        <is>
          <t>627</t>
        </is>
      </c>
      <c r="C353" s="10" t="n">
        <v>45667.44012731482</v>
      </c>
      <c r="D353" s="3" t="inlineStr">
        <is>
          <t>OBT100125103849-Wien Kledering</t>
        </is>
      </c>
      <c r="E353" s="10" t="n">
        <v>45667.44362268518</v>
      </c>
      <c r="F353" s="10" t="n">
        <v>45667.49074074074</v>
      </c>
      <c r="G353" s="11">
        <f>IF(AND(ISNUMBER(C353),ISNUMBER(E353)),(E353-C353),"")</f>
        <v/>
      </c>
      <c r="H353" s="11">
        <f>IF(AND(ISNUMBER(C353),ISNUMBER(F353)),(F353-C353),"")</f>
        <v/>
      </c>
    </row>
    <row r="354">
      <c r="A354" s="3" t="inlineStr">
        <is>
          <t>1009001</t>
        </is>
      </c>
      <c r="B354" s="3" t="inlineStr">
        <is>
          <t>613</t>
        </is>
      </c>
      <c r="C354" s="10" t="n">
        <v>45667.55262731481</v>
      </c>
      <c r="D354" s="3" t="inlineStr">
        <is>
          <t>OBT100125142646-Wien Kledering</t>
        </is>
      </c>
      <c r="E354" s="10" t="n">
        <v>45667.60192129629</v>
      </c>
      <c r="F354" s="10" t="n">
        <v>45667.62408564815</v>
      </c>
      <c r="G354" s="11">
        <f>IF(AND(ISNUMBER(C354),ISNUMBER(E354)),(E354-C354),"")</f>
        <v/>
      </c>
      <c r="H354" s="11">
        <f>IF(AND(ISNUMBER(C354),ISNUMBER(F354)),(F354-C354),"")</f>
        <v/>
      </c>
    </row>
    <row r="355">
      <c r="A355" s="3" t="inlineStr">
        <is>
          <t>1009101</t>
        </is>
      </c>
      <c r="B355" s="3" t="inlineStr">
        <is>
          <t>613</t>
        </is>
      </c>
      <c r="C355" s="10" t="n">
        <v>45667.5980324074</v>
      </c>
      <c r="D355" s="3" t="inlineStr">
        <is>
          <t>OBT100125142646-Wien Kledering</t>
        </is>
      </c>
      <c r="E355" s="10" t="n">
        <v>45667.60192129629</v>
      </c>
      <c r="F355" s="10" t="n">
        <v>45667.62408564815</v>
      </c>
      <c r="G355" s="11">
        <f>IF(AND(ISNUMBER(C355),ISNUMBER(E355)),(E355-C355),"")</f>
        <v/>
      </c>
      <c r="H355" s="11">
        <f>IF(AND(ISNUMBER(C355),ISNUMBER(F355)),(F355-C355),"")</f>
        <v/>
      </c>
    </row>
    <row r="356">
      <c r="A356" s="3" t="inlineStr">
        <is>
          <t>1009201</t>
        </is>
      </c>
      <c r="B356" s="3" t="inlineStr">
        <is>
          <t>627</t>
        </is>
      </c>
      <c r="C356" s="10" t="n">
        <v>45667.62931712963</v>
      </c>
      <c r="D356" s="3" t="inlineStr">
        <is>
          <t>OBT100125150940-Wien Kledering</t>
        </is>
      </c>
      <c r="E356" s="10" t="n">
        <v>45667.63171296296</v>
      </c>
      <c r="F356" s="10" t="n">
        <v>45667.70216435185</v>
      </c>
      <c r="G356" s="11">
        <f>IF(AND(ISNUMBER(C356),ISNUMBER(E356)),(E356-C356),"")</f>
        <v/>
      </c>
      <c r="H356" s="11">
        <f>IF(AND(ISNUMBER(C356),ISNUMBER(F356)),(F356-C356),"")</f>
        <v/>
      </c>
    </row>
    <row r="357">
      <c r="A357" s="3" t="inlineStr">
        <is>
          <t>1009301</t>
        </is>
      </c>
      <c r="B357" s="3" t="inlineStr">
        <is>
          <t>613</t>
        </is>
      </c>
      <c r="C357" s="10" t="n">
        <v>45667.73868055556</v>
      </c>
      <c r="D357" s="3" t="inlineStr">
        <is>
          <t>OBT100125174706-Wien Kledering</t>
        </is>
      </c>
      <c r="E357" s="10" t="n">
        <v>45667.74104166667</v>
      </c>
      <c r="F357" s="10" t="n">
        <v>45667.79549768518</v>
      </c>
      <c r="G357" s="11">
        <f>IF(AND(ISNUMBER(C357),ISNUMBER(E357)),(E357-C357),"")</f>
        <v/>
      </c>
      <c r="H357" s="11">
        <f>IF(AND(ISNUMBER(C357),ISNUMBER(F357)),(F357-C357),"")</f>
        <v/>
      </c>
    </row>
    <row r="358">
      <c r="A358" s="3" t="inlineStr">
        <is>
          <t>1009401</t>
        </is>
      </c>
      <c r="B358" s="3" t="inlineStr">
        <is>
          <t>609</t>
        </is>
      </c>
      <c r="C358" s="10" t="n">
        <v>45667.76041666666</v>
      </c>
      <c r="D358" s="3" t="inlineStr">
        <is>
          <t>OBT100125183853-Wr. Neustadt Ausfahrbf (Furtenbach)</t>
        </is>
      </c>
      <c r="E358" s="10" t="n">
        <v>45667.77700231481</v>
      </c>
      <c r="F358" s="10" t="n">
        <v>45667.82010416667</v>
      </c>
      <c r="G358" s="11">
        <f>IF(AND(ISNUMBER(C358),ISNUMBER(E358)),(E358-C358),"")</f>
        <v/>
      </c>
      <c r="H358" s="11">
        <f>IF(AND(ISNUMBER(C358),ISNUMBER(F358)),(F358-C358),"")</f>
        <v/>
      </c>
    </row>
    <row r="359">
      <c r="A359" s="3" t="inlineStr">
        <is>
          <t>1009402</t>
        </is>
      </c>
      <c r="B359" s="3" t="inlineStr">
        <is>
          <t>627</t>
        </is>
      </c>
      <c r="C359" s="10" t="n">
        <v>45667.7627662037</v>
      </c>
      <c r="D359" s="3" t="inlineStr">
        <is>
          <t>OBT100125182130-Pitten (Hamburger)</t>
        </is>
      </c>
      <c r="E359" s="10" t="n">
        <v>45667.76493055555</v>
      </c>
      <c r="F359" s="10" t="n">
        <v>45667.80478009259</v>
      </c>
      <c r="G359" s="11">
        <f>IF(AND(ISNUMBER(C359),ISNUMBER(E359)),(E359-C359),"")</f>
        <v/>
      </c>
      <c r="H359" s="11">
        <f>IF(AND(ISNUMBER(C359),ISNUMBER(F359)),(F359-C359),"")</f>
        <v/>
      </c>
    </row>
    <row r="360">
      <c r="A360" s="3" t="inlineStr">
        <is>
          <t>1009403</t>
        </is>
      </c>
      <c r="B360" s="3" t="inlineStr">
        <is>
          <t>605</t>
        </is>
      </c>
      <c r="C360" s="10" t="n">
        <v>45667.76446759259</v>
      </c>
      <c r="D360" s="3" t="inlineStr">
        <is>
          <t>OBT100125183202-Other sidings north</t>
        </is>
      </c>
      <c r="E360" s="10" t="n">
        <v>45667.77224537037</v>
      </c>
      <c r="F360" s="10" t="n">
        <v>45667.80792824074</v>
      </c>
      <c r="G360" s="11">
        <f>IF(AND(ISNUMBER(C360),ISNUMBER(E360)),(E360-C360),"")</f>
        <v/>
      </c>
      <c r="H360" s="11">
        <f>IF(AND(ISNUMBER(C360),ISNUMBER(F360)),(F360-C360),"")</f>
        <v/>
      </c>
    </row>
    <row r="361">
      <c r="A361" s="3" t="inlineStr">
        <is>
          <t>1009404</t>
        </is>
      </c>
      <c r="B361" s="3" t="inlineStr">
        <is>
          <t>625</t>
        </is>
      </c>
      <c r="C361" s="10" t="n">
        <v>45667.76646990741</v>
      </c>
      <c r="D361" s="3" t="inlineStr">
        <is>
          <t>OBT120125180841-Neudörfl (FunderMax)</t>
        </is>
      </c>
      <c r="E361" s="10" t="n">
        <v>45669.75603009259</v>
      </c>
      <c r="F361" s="10" t="n">
        <v>45669.80458333333</v>
      </c>
      <c r="G361" s="11">
        <f>IF(AND(ISNUMBER(C361),ISNUMBER(E361)),(E361-C361),"")</f>
        <v/>
      </c>
      <c r="H361" s="11">
        <f>IF(AND(ISNUMBER(C361),ISNUMBER(F361)),(F361-C361),"")</f>
        <v/>
      </c>
    </row>
    <row r="362">
      <c r="A362" s="3" t="inlineStr">
        <is>
          <t>1009405</t>
        </is>
      </c>
      <c r="B362" s="3" t="inlineStr">
        <is>
          <t>605</t>
        </is>
      </c>
      <c r="C362" s="10" t="n">
        <v>45667.76834490741</v>
      </c>
      <c r="D362" s="3" t="inlineStr">
        <is>
          <t>OBT100125183202-Other sidings north</t>
        </is>
      </c>
      <c r="E362" s="10" t="n">
        <v>45667.77224537037</v>
      </c>
      <c r="F362" s="10" t="n">
        <v>45667.80792824074</v>
      </c>
      <c r="G362" s="11">
        <f>IF(AND(ISNUMBER(C362),ISNUMBER(E362)),(E362-C362),"")</f>
        <v/>
      </c>
      <c r="H362" s="11">
        <f>IF(AND(ISNUMBER(C362),ISNUMBER(F362)),(F362-C362),"")</f>
        <v/>
      </c>
    </row>
    <row r="363">
      <c r="A363" s="3" t="inlineStr">
        <is>
          <t>1009406</t>
        </is>
      </c>
      <c r="B363" s="3" t="inlineStr">
        <is>
          <t>609</t>
        </is>
      </c>
      <c r="C363" s="10" t="n">
        <v>45667.76981481481</v>
      </c>
      <c r="D363" s="3" t="inlineStr">
        <is>
          <t>OBT100125183853-Wr. Neustadt Ausfahrbf (Furtenbach)</t>
        </is>
      </c>
      <c r="E363" s="10" t="n">
        <v>45667.77700231481</v>
      </c>
      <c r="F363" s="10" t="n">
        <v>45667.82010416667</v>
      </c>
      <c r="G363" s="11">
        <f>IF(AND(ISNUMBER(C363),ISNUMBER(E363)),(E363-C363),"")</f>
        <v/>
      </c>
      <c r="H363" s="11">
        <f>IF(AND(ISNUMBER(C363),ISNUMBER(F363)),(F363-C363),"")</f>
        <v/>
      </c>
    </row>
    <row r="364">
      <c r="A364" s="3" t="inlineStr">
        <is>
          <t>1009407</t>
        </is>
      </c>
      <c r="B364" s="3" t="inlineStr">
        <is>
          <t>609</t>
        </is>
      </c>
      <c r="C364" s="10" t="n">
        <v>45667.7712962963</v>
      </c>
      <c r="D364" s="3" t="inlineStr">
        <is>
          <t>OBT100125183853-Wr. Neustadt Ausfahrbf (Furtenbach)</t>
        </is>
      </c>
      <c r="E364" s="10" t="n">
        <v>45667.77700231481</v>
      </c>
      <c r="F364" s="10" t="n">
        <v>45667.82010416667</v>
      </c>
      <c r="G364" s="11">
        <f>IF(AND(ISNUMBER(C364),ISNUMBER(E364)),(E364-C364),"")</f>
        <v/>
      </c>
      <c r="H364" s="11">
        <f>IF(AND(ISNUMBER(C364),ISNUMBER(F364)),(F364-C364),"")</f>
        <v/>
      </c>
    </row>
    <row r="365">
      <c r="A365" s="3" t="inlineStr">
        <is>
          <t>1009408</t>
        </is>
      </c>
      <c r="B365" s="3" t="inlineStr">
        <is>
          <t>615</t>
        </is>
      </c>
      <c r="C365" s="10" t="n">
        <v>45667.77243055555</v>
      </c>
      <c r="D365" s="3" t="inlineStr">
        <is>
          <t>OBT130125093830-Other sidings local</t>
        </is>
      </c>
      <c r="E365" s="10" t="n">
        <v>45670.40173611111</v>
      </c>
      <c r="F365" s="10" t="n">
        <v>45670.43825231482</v>
      </c>
      <c r="G365" s="11">
        <f>IF(AND(ISNUMBER(C365),ISNUMBER(E365)),(E365-C365),"")</f>
        <v/>
      </c>
      <c r="H365" s="11">
        <f>IF(AND(ISNUMBER(C365),ISNUMBER(F365)),(F365-C365),"")</f>
        <v/>
      </c>
    </row>
    <row r="366">
      <c r="A366" s="3" t="inlineStr">
        <is>
          <t>1009409</t>
        </is>
      </c>
      <c r="B366" s="3" t="inlineStr">
        <is>
          <t>627</t>
        </is>
      </c>
      <c r="C366" s="10" t="n">
        <v>45667.77431712963</v>
      </c>
      <c r="D366" s="3" t="inlineStr">
        <is>
          <t>OBT140125102839-Wr. Neustadt (Brenntag)</t>
        </is>
      </c>
      <c r="E366" s="10" t="n">
        <v>45671.4365625</v>
      </c>
      <c r="F366" s="10" t="n">
        <v>45671.4805787037</v>
      </c>
      <c r="G366" s="11">
        <f>IF(AND(ISNUMBER(C366),ISNUMBER(E366)),(E366-C366),"")</f>
        <v/>
      </c>
      <c r="H366" s="11">
        <f>IF(AND(ISNUMBER(C366),ISNUMBER(F366)),(F366-C366),"")</f>
        <v/>
      </c>
    </row>
    <row r="367">
      <c r="A367" s="3" t="inlineStr">
        <is>
          <t>1009410</t>
        </is>
      </c>
      <c r="B367" s="3" t="inlineStr">
        <is>
          <t>623</t>
        </is>
      </c>
      <c r="C367" s="10" t="n">
        <v>45667.77604166666</v>
      </c>
      <c r="D367" s="3" t="inlineStr">
        <is>
          <t>OBT100125205342-Other sidings south</t>
        </is>
      </c>
      <c r="E367" s="10" t="n">
        <v>45667.870625</v>
      </c>
      <c r="F367" s="10" t="n">
        <v>45667.89303240741</v>
      </c>
      <c r="G367" s="11">
        <f>IF(AND(ISNUMBER(C367),ISNUMBER(E367)),(E367-C367),"")</f>
        <v/>
      </c>
      <c r="H367" s="11">
        <f>IF(AND(ISNUMBER(C367),ISNUMBER(F367)),(F367-C367),"")</f>
        <v/>
      </c>
    </row>
    <row r="368">
      <c r="A368" s="3" t="inlineStr">
        <is>
          <t>1009411</t>
        </is>
      </c>
      <c r="B368" s="3" t="inlineStr">
        <is>
          <t>613</t>
        </is>
      </c>
      <c r="C368" s="10" t="n">
        <v>45667.77731481481</v>
      </c>
      <c r="D368" s="3" t="inlineStr">
        <is>
          <t>OBT100125205103-Pitten (Hamburger)</t>
        </is>
      </c>
      <c r="E368" s="10" t="n">
        <v>45667.86878472222</v>
      </c>
      <c r="F368" s="10" t="n">
        <v>45667.88987268518</v>
      </c>
      <c r="G368" s="11">
        <f>IF(AND(ISNUMBER(C368),ISNUMBER(E368)),(E368-C368),"")</f>
        <v/>
      </c>
      <c r="H368" s="11">
        <f>IF(AND(ISNUMBER(C368),ISNUMBER(F368)),(F368-C368),"")</f>
        <v/>
      </c>
    </row>
    <row r="369">
      <c r="A369" s="3" t="inlineStr">
        <is>
          <t>1009412</t>
        </is>
      </c>
      <c r="B369" s="3" t="inlineStr">
        <is>
          <t>619</t>
        </is>
      </c>
      <c r="C369" s="10" t="n">
        <v>45667.77939814814</v>
      </c>
      <c r="D369" s="3" t="inlineStr">
        <is>
          <t>OBT100125185219-Neunkirchen (loading tracks)</t>
        </is>
      </c>
      <c r="E369" s="10" t="n">
        <v>45667.78633101852</v>
      </c>
      <c r="F369" s="10" t="n">
        <v>45667.83126157407</v>
      </c>
      <c r="G369" s="11">
        <f>IF(AND(ISNUMBER(C369),ISNUMBER(E369)),(E369-C369),"")</f>
        <v/>
      </c>
      <c r="H369" s="11">
        <f>IF(AND(ISNUMBER(C369),ISNUMBER(F369)),(F369-C369),"")</f>
        <v/>
      </c>
    </row>
    <row r="370">
      <c r="A370" s="3" t="inlineStr">
        <is>
          <t>1009501</t>
        </is>
      </c>
      <c r="B370" s="3" t="inlineStr">
        <is>
          <t>613</t>
        </is>
      </c>
      <c r="C370" s="10" t="n">
        <v>45667.85842592592</v>
      </c>
      <c r="D370" s="3" t="inlineStr">
        <is>
          <t>OBT100125205103-Pitten (Hamburger)</t>
        </is>
      </c>
      <c r="E370" s="10" t="n">
        <v>45667.86878472222</v>
      </c>
      <c r="F370" s="10" t="n">
        <v>45667.88987268518</v>
      </c>
      <c r="G370" s="11">
        <f>IF(AND(ISNUMBER(C370),ISNUMBER(E370)),(E370-C370),"")</f>
        <v/>
      </c>
      <c r="H370" s="11">
        <f>IF(AND(ISNUMBER(C370),ISNUMBER(F370)),(F370-C370),"")</f>
        <v/>
      </c>
    </row>
    <row r="371">
      <c r="A371" s="3" t="inlineStr">
        <is>
          <t>1009502</t>
        </is>
      </c>
      <c r="B371" s="3" t="inlineStr">
        <is>
          <t>627</t>
        </is>
      </c>
      <c r="C371" s="10" t="n">
        <v>45667.86033564815</v>
      </c>
      <c r="D371" s="3" t="inlineStr">
        <is>
          <t>OBT140125102839-Wr. Neustadt (Brenntag)</t>
        </is>
      </c>
      <c r="E371" s="10" t="n">
        <v>45671.4365625</v>
      </c>
      <c r="F371" s="10" t="n">
        <v>45671.4805787037</v>
      </c>
      <c r="G371" s="11">
        <f>IF(AND(ISNUMBER(C371),ISNUMBER(E371)),(E371-C371),"")</f>
        <v/>
      </c>
      <c r="H371" s="11">
        <f>IF(AND(ISNUMBER(C371),ISNUMBER(F371)),(F371-C371),"")</f>
        <v/>
      </c>
    </row>
    <row r="372">
      <c r="A372" s="3" t="inlineStr">
        <is>
          <t>1009503</t>
        </is>
      </c>
      <c r="B372" s="3" t="inlineStr">
        <is>
          <t>609</t>
        </is>
      </c>
      <c r="C372" s="10" t="n">
        <v>45667.86185185185</v>
      </c>
      <c r="D372" s="3" t="inlineStr">
        <is>
          <t>OBT130125155039-Wr. Neustadt Ausfahrbf (Furtenbach)</t>
        </is>
      </c>
      <c r="E372" s="10" t="n">
        <v>45670.66017361111</v>
      </c>
      <c r="F372" s="10" t="n">
        <v>45670.68358796297</v>
      </c>
      <c r="G372" s="11">
        <f>IF(AND(ISNUMBER(C372),ISNUMBER(E372)),(E372-C372),"")</f>
        <v/>
      </c>
      <c r="H372" s="11">
        <f>IF(AND(ISNUMBER(C372),ISNUMBER(F372)),(F372-C372),"")</f>
        <v/>
      </c>
    </row>
    <row r="373">
      <c r="A373" s="3" t="inlineStr">
        <is>
          <t>1009504</t>
        </is>
      </c>
      <c r="B373" s="3" t="inlineStr">
        <is>
          <t>605</t>
        </is>
      </c>
      <c r="C373" s="10" t="n">
        <v>45667.86358796297</v>
      </c>
      <c r="D373" s="3" t="inlineStr">
        <is>
          <t>OBT130125024918-Neunkirchen (loading tracks)</t>
        </is>
      </c>
      <c r="E373" s="10" t="n">
        <v>45670.11756944445</v>
      </c>
      <c r="F373" s="10" t="n">
        <v>45670.15189814815</v>
      </c>
      <c r="G373" s="11">
        <f>IF(AND(ISNUMBER(C373),ISNUMBER(E373)),(E373-C373),"")</f>
        <v/>
      </c>
      <c r="H373" s="11">
        <f>IF(AND(ISNUMBER(C373),ISNUMBER(F373)),(F373-C373),"")</f>
        <v/>
      </c>
    </row>
    <row r="374">
      <c r="A374" s="3" t="inlineStr">
        <is>
          <t>1009505</t>
        </is>
      </c>
      <c r="B374" s="3" t="inlineStr">
        <is>
          <t>613</t>
        </is>
      </c>
      <c r="C374" s="10" t="n">
        <v>45667.86488425926</v>
      </c>
      <c r="D374" s="3" t="inlineStr">
        <is>
          <t>OBT100125205103-Pitten (Hamburger)</t>
        </is>
      </c>
      <c r="E374" s="10" t="n">
        <v>45667.86878472222</v>
      </c>
      <c r="F374" s="10" t="n">
        <v>45667.88987268518</v>
      </c>
      <c r="G374" s="11">
        <f>IF(AND(ISNUMBER(C374),ISNUMBER(E374)),(E374-C374),"")</f>
        <v/>
      </c>
      <c r="H374" s="11">
        <f>IF(AND(ISNUMBER(C374),ISNUMBER(F374)),(F374-C374),"")</f>
        <v/>
      </c>
    </row>
    <row r="375">
      <c r="A375" s="3" t="inlineStr">
        <is>
          <t>1009506</t>
        </is>
      </c>
      <c r="B375" s="3" t="inlineStr">
        <is>
          <t>623</t>
        </is>
      </c>
      <c r="C375" s="10" t="n">
        <v>45667.86670138889</v>
      </c>
      <c r="D375" s="3" t="inlineStr">
        <is>
          <t>OBT100125205342-Other sidings south</t>
        </is>
      </c>
      <c r="E375" s="10" t="n">
        <v>45667.870625</v>
      </c>
      <c r="F375" s="10" t="n">
        <v>45667.89303240741</v>
      </c>
      <c r="G375" s="11">
        <f>IF(AND(ISNUMBER(C375),ISNUMBER(E375)),(E375-C375),"")</f>
        <v/>
      </c>
      <c r="H375" s="11">
        <f>IF(AND(ISNUMBER(C375),ISNUMBER(F375)),(F375-C375),"")</f>
        <v/>
      </c>
    </row>
    <row r="376">
      <c r="A376" s="3" t="inlineStr">
        <is>
          <t>1009507</t>
        </is>
      </c>
      <c r="B376" s="3" t="inlineStr">
        <is>
          <t>606</t>
        </is>
      </c>
      <c r="C376" s="10" t="n">
        <v>45667.86844907407</v>
      </c>
      <c r="D376" s="3" t="inlineStr">
        <is>
          <t>OBT130125082326-Wr. Neustadt (Hödlmayr)</t>
        </is>
      </c>
      <c r="E376" s="10" t="n">
        <v>45670.34960648148</v>
      </c>
      <c r="F376" s="10" t="n">
        <v>45670.38234953704</v>
      </c>
      <c r="G376" s="11">
        <f>IF(AND(ISNUMBER(C376),ISNUMBER(E376)),(E376-C376),"")</f>
        <v/>
      </c>
      <c r="H376" s="11">
        <f>IF(AND(ISNUMBER(C376),ISNUMBER(F376)),(F376-C376),"")</f>
        <v/>
      </c>
    </row>
    <row r="377">
      <c r="A377" s="3" t="inlineStr">
        <is>
          <t>1009508</t>
        </is>
      </c>
      <c r="B377" s="3" t="inlineStr">
        <is>
          <t>619</t>
        </is>
      </c>
      <c r="C377" s="10" t="n">
        <v>45667.87052083333</v>
      </c>
      <c r="D377" s="3" t="inlineStr">
        <is>
          <t>OBT110125052224-Ebenfurth (beet loading)</t>
        </is>
      </c>
      <c r="E377" s="10" t="n">
        <v>45668.22388888889</v>
      </c>
      <c r="F377" s="10" t="n">
        <v>45668.24466435185</v>
      </c>
      <c r="G377" s="11">
        <f>IF(AND(ISNUMBER(C377),ISNUMBER(E377)),(E377-C377),"")</f>
        <v/>
      </c>
      <c r="H377" s="11">
        <f>IF(AND(ISNUMBER(C377),ISNUMBER(F377)),(F377-C377),"")</f>
        <v/>
      </c>
    </row>
    <row r="378">
      <c r="A378" s="3" t="inlineStr">
        <is>
          <t>1009601</t>
        </is>
      </c>
      <c r="B378" s="3" t="inlineStr">
        <is>
          <t>619</t>
        </is>
      </c>
      <c r="C378" s="10" t="n">
        <v>45668.21996527778</v>
      </c>
      <c r="D378" s="3" t="inlineStr">
        <is>
          <t>OBT110125052224-Ebenfurth (beet loading)</t>
        </is>
      </c>
      <c r="E378" s="10" t="n">
        <v>45668.22388888889</v>
      </c>
      <c r="F378" s="10" t="n">
        <v>45668.24466435185</v>
      </c>
      <c r="G378" s="11">
        <f>IF(AND(ISNUMBER(C378),ISNUMBER(E378)),(E378-C378),"")</f>
        <v/>
      </c>
      <c r="H378" s="11">
        <f>IF(AND(ISNUMBER(C378),ISNUMBER(F378)),(F378-C378),"")</f>
        <v/>
      </c>
    </row>
    <row r="379">
      <c r="A379" s="3" t="inlineStr">
        <is>
          <t>1009602</t>
        </is>
      </c>
      <c r="B379" s="3" t="inlineStr">
        <is>
          <t>625</t>
        </is>
      </c>
      <c r="C379" s="10" t="n">
        <v>45668.22199074074</v>
      </c>
      <c r="D379" s="3" t="inlineStr">
        <is>
          <t>OBT120125180841-Neudörfl (FunderMax)</t>
        </is>
      </c>
      <c r="E379" s="10" t="n">
        <v>45669.75603009259</v>
      </c>
      <c r="F379" s="10" t="n">
        <v>45669.80458333333</v>
      </c>
      <c r="G379" s="11">
        <f>IF(AND(ISNUMBER(C379),ISNUMBER(E379)),(E379-C379),"")</f>
        <v/>
      </c>
      <c r="H379" s="11">
        <f>IF(AND(ISNUMBER(C379),ISNUMBER(F379)),(F379-C379),"")</f>
        <v/>
      </c>
    </row>
    <row r="380">
      <c r="A380" s="3" t="inlineStr">
        <is>
          <t>1009603</t>
        </is>
      </c>
      <c r="B380" s="3" t="inlineStr">
        <is>
          <t>613</t>
        </is>
      </c>
      <c r="C380" s="10" t="n">
        <v>45668.22392361111</v>
      </c>
      <c r="D380" s="3" t="inlineStr">
        <is>
          <t>OBT110125052552-Pitten (Hamburger)</t>
        </is>
      </c>
      <c r="E380" s="10" t="n">
        <v>45668.2262962963</v>
      </c>
      <c r="F380" s="10" t="n">
        <v>45668.28086805555</v>
      </c>
      <c r="G380" s="11">
        <f>IF(AND(ISNUMBER(C380),ISNUMBER(E380)),(E380-C380),"")</f>
        <v/>
      </c>
      <c r="H380" s="11">
        <f>IF(AND(ISNUMBER(C380),ISNUMBER(F380)),(F380-C380),"")</f>
        <v/>
      </c>
    </row>
    <row r="381">
      <c r="A381" s="3" t="inlineStr">
        <is>
          <t>1009701</t>
        </is>
      </c>
      <c r="B381" s="3" t="inlineStr">
        <is>
          <t>625</t>
        </is>
      </c>
      <c r="C381" s="10" t="n">
        <v>45668.24325231482</v>
      </c>
      <c r="D381" s="3" t="inlineStr">
        <is>
          <t>OBT120125180841-Neudörfl (FunderMax)</t>
        </is>
      </c>
      <c r="E381" s="10" t="n">
        <v>45669.75603009259</v>
      </c>
      <c r="F381" s="10" t="n">
        <v>45669.80458333333</v>
      </c>
      <c r="G381" s="11">
        <f>IF(AND(ISNUMBER(C381),ISNUMBER(E381)),(E381-C381),"")</f>
        <v/>
      </c>
      <c r="H381" s="11">
        <f>IF(AND(ISNUMBER(C381),ISNUMBER(F381)),(F381-C381),"")</f>
        <v/>
      </c>
    </row>
    <row r="382">
      <c r="A382" s="3" t="inlineStr">
        <is>
          <t>1009702</t>
        </is>
      </c>
      <c r="B382" s="3" t="inlineStr">
        <is>
          <t>623</t>
        </is>
      </c>
      <c r="C382" s="10" t="n">
        <v>45668.24523148148</v>
      </c>
      <c r="D382" s="3" t="inlineStr">
        <is>
          <t>OBT110125055616-Ebenfurth (beet loading)</t>
        </is>
      </c>
      <c r="E382" s="10" t="n">
        <v>45668.24740740741</v>
      </c>
      <c r="F382" s="10" t="n">
        <v>45668.26873842593</v>
      </c>
      <c r="G382" s="11">
        <f>IF(AND(ISNUMBER(C382),ISNUMBER(E382)),(E382-C382),"")</f>
        <v/>
      </c>
      <c r="H382" s="11">
        <f>IF(AND(ISNUMBER(C382),ISNUMBER(F382)),(F382-C382),"")</f>
        <v/>
      </c>
    </row>
    <row r="383">
      <c r="A383" s="3" t="inlineStr">
        <is>
          <t>1009703</t>
        </is>
      </c>
      <c r="B383" s="3" t="inlineStr">
        <is>
          <t>611</t>
        </is>
      </c>
      <c r="C383" s="10" t="n">
        <v>45668.24706018518</v>
      </c>
      <c r="D383" s="3" t="inlineStr">
        <is>
          <t>OBT110125055912-Pitten (Hamburger)</t>
        </is>
      </c>
      <c r="E383" s="10" t="n">
        <v>45668.24944444445</v>
      </c>
      <c r="F383" s="10" t="n">
        <v>45668.29185185185</v>
      </c>
      <c r="G383" s="11">
        <f>IF(AND(ISNUMBER(C383),ISNUMBER(E383)),(E383-C383),"")</f>
        <v/>
      </c>
      <c r="H383" s="11">
        <f>IF(AND(ISNUMBER(C383),ISNUMBER(F383)),(F383-C383),"")</f>
        <v/>
      </c>
    </row>
    <row r="384">
      <c r="A384" s="3" t="inlineStr">
        <is>
          <t>1009704</t>
        </is>
      </c>
      <c r="B384" s="3" t="inlineStr">
        <is>
          <t>625</t>
        </is>
      </c>
      <c r="C384" s="10" t="n">
        <v>45668.2491087963</v>
      </c>
      <c r="D384" s="3" t="inlineStr">
        <is>
          <t>OBT120125180841-Neudörfl (FunderMax)</t>
        </is>
      </c>
      <c r="E384" s="10" t="n">
        <v>45669.75603009259</v>
      </c>
      <c r="F384" s="10" t="n">
        <v>45669.80458333333</v>
      </c>
      <c r="G384" s="11">
        <f>IF(AND(ISNUMBER(C384),ISNUMBER(E384)),(E384-C384),"")</f>
        <v/>
      </c>
      <c r="H384" s="11">
        <f>IF(AND(ISNUMBER(C384),ISNUMBER(F384)),(F384-C384),"")</f>
        <v/>
      </c>
    </row>
    <row r="385">
      <c r="A385" s="3" t="inlineStr">
        <is>
          <t>1009801</t>
        </is>
      </c>
      <c r="B385" s="3" t="inlineStr">
        <is>
          <t>625</t>
        </is>
      </c>
      <c r="C385" s="10" t="n">
        <v>45669.75210648148</v>
      </c>
      <c r="D385" s="3" t="inlineStr">
        <is>
          <t>OBT120125180841-Neudörfl (FunderMax)</t>
        </is>
      </c>
      <c r="E385" s="10" t="n">
        <v>45669.75603009259</v>
      </c>
      <c r="F385" s="10" t="n">
        <v>45669.80458333333</v>
      </c>
      <c r="G385" s="11">
        <f>IF(AND(ISNUMBER(C385),ISNUMBER(E385)),(E385-C385),"")</f>
        <v/>
      </c>
      <c r="H385" s="11">
        <f>IF(AND(ISNUMBER(C385),ISNUMBER(F385)),(F385-C385),"")</f>
        <v/>
      </c>
    </row>
    <row r="386">
      <c r="A386" s="3" t="inlineStr">
        <is>
          <t>1009802</t>
        </is>
      </c>
      <c r="B386" s="3" t="inlineStr">
        <is>
          <t>613</t>
        </is>
      </c>
      <c r="C386" s="10" t="n">
        <v>45669.75413194444</v>
      </c>
      <c r="D386" s="3" t="inlineStr">
        <is>
          <t>OBT120125180921-Pitten (Hamburger)</t>
        </is>
      </c>
      <c r="E386" s="10" t="n">
        <v>45669.75649305555</v>
      </c>
      <c r="F386" s="10" t="n">
        <v>45669.81965277778</v>
      </c>
      <c r="G386" s="11">
        <f>IF(AND(ISNUMBER(C386),ISNUMBER(E386)),(E386-C386),"")</f>
        <v/>
      </c>
      <c r="H386" s="11">
        <f>IF(AND(ISNUMBER(C386),ISNUMBER(F386)),(F386-C386),"")</f>
        <v/>
      </c>
    </row>
    <row r="387">
      <c r="A387" s="3" t="inlineStr">
        <is>
          <t>1009803</t>
        </is>
      </c>
      <c r="B387" s="3" t="inlineStr">
        <is>
          <t>623</t>
        </is>
      </c>
      <c r="C387" s="10" t="n">
        <v>45669.75589120371</v>
      </c>
      <c r="D387" s="3" t="inlineStr">
        <is>
          <t>OBT140125153639-Ebenfurth (beet loading)</t>
        </is>
      </c>
      <c r="E387" s="10" t="n">
        <v>45671.65045138889</v>
      </c>
      <c r="F387" s="10" t="n">
        <v>45671.67856481481</v>
      </c>
      <c r="G387" s="11">
        <f>IF(AND(ISNUMBER(C387),ISNUMBER(E387)),(E387-C387),"")</f>
        <v/>
      </c>
      <c r="H387" s="11">
        <f>IF(AND(ISNUMBER(C387),ISNUMBER(F387)),(F387-C387),"")</f>
        <v/>
      </c>
    </row>
    <row r="388">
      <c r="A388" s="3" t="inlineStr">
        <is>
          <t>1009901</t>
        </is>
      </c>
      <c r="B388" s="3" t="inlineStr">
        <is>
          <t>613</t>
        </is>
      </c>
      <c r="C388" s="10" t="n">
        <v>45669.8449537037</v>
      </c>
      <c r="D388" s="3" t="inlineStr">
        <is>
          <t>OBT120125201952-Neudörfl (FunderMax)</t>
        </is>
      </c>
      <c r="E388" s="10" t="n">
        <v>45669.84712962963</v>
      </c>
      <c r="F388" s="10" t="n">
        <v>45669.8672337963</v>
      </c>
      <c r="G388" s="11">
        <f>IF(AND(ISNUMBER(C388),ISNUMBER(E388)),(E388-C388),"")</f>
        <v/>
      </c>
      <c r="H388" s="11">
        <f>IF(AND(ISNUMBER(C388),ISNUMBER(F388)),(F388-C388),"")</f>
        <v/>
      </c>
    </row>
    <row r="389">
      <c r="A389" s="3" t="inlineStr">
        <is>
          <t>1009902</t>
        </is>
      </c>
      <c r="B389" s="3" t="inlineStr">
        <is>
          <t>625</t>
        </is>
      </c>
      <c r="C389" s="10" t="n">
        <v>45669.84717592593</v>
      </c>
      <c r="D389" s="3" t="inlineStr">
        <is>
          <t>OBT120125202320-Pitten (Hamburger)</t>
        </is>
      </c>
      <c r="E389" s="10" t="n">
        <v>45669.84953703704</v>
      </c>
      <c r="F389" s="10" t="n">
        <v>45669.86863425926</v>
      </c>
      <c r="G389" s="11">
        <f>IF(AND(ISNUMBER(C389),ISNUMBER(E389)),(E389-C389),"")</f>
        <v/>
      </c>
      <c r="H389" s="11">
        <f>IF(AND(ISNUMBER(C389),ISNUMBER(F389)),(F389-C389),"")</f>
        <v/>
      </c>
    </row>
    <row r="390">
      <c r="A390" s="3" t="inlineStr">
        <is>
          <t>1010001</t>
        </is>
      </c>
      <c r="B390" s="3" t="inlineStr">
        <is>
          <t>605</t>
        </is>
      </c>
      <c r="C390" s="10" t="n">
        <v>45670.1136574074</v>
      </c>
      <c r="D390" s="3" t="inlineStr">
        <is>
          <t>OBT130125024918-Neunkirchen (loading tracks)</t>
        </is>
      </c>
      <c r="E390" s="10" t="n">
        <v>45670.11756944445</v>
      </c>
      <c r="F390" s="10" t="n">
        <v>45670.15189814815</v>
      </c>
      <c r="G390" s="11">
        <f>IF(AND(ISNUMBER(C390),ISNUMBER(E390)),(E390-C390),"")</f>
        <v/>
      </c>
      <c r="H390" s="11">
        <f>IF(AND(ISNUMBER(C390),ISNUMBER(F390)),(F390-C390),"")</f>
        <v/>
      </c>
    </row>
    <row r="391">
      <c r="A391" s="3" t="inlineStr">
        <is>
          <t>1010002</t>
        </is>
      </c>
      <c r="B391" s="3" t="inlineStr">
        <is>
          <t>613</t>
        </is>
      </c>
      <c r="C391" s="10" t="n">
        <v>45670.11494212963</v>
      </c>
      <c r="D391" s="3" t="inlineStr">
        <is>
          <t>OBT130125094410-Other sidings south</t>
        </is>
      </c>
      <c r="E391" s="10" t="n">
        <v>45670.4056712963</v>
      </c>
      <c r="F391" s="10" t="n">
        <v>45670.45010416667</v>
      </c>
      <c r="G391" s="11">
        <f>IF(AND(ISNUMBER(C391),ISNUMBER(E391)),(E391-C391),"")</f>
        <v/>
      </c>
      <c r="H391" s="11">
        <f>IF(AND(ISNUMBER(C391),ISNUMBER(F391)),(F391-C391),"")</f>
        <v/>
      </c>
    </row>
    <row r="392">
      <c r="A392" s="3" t="inlineStr">
        <is>
          <t>1010101</t>
        </is>
      </c>
      <c r="B392" s="3" t="inlineStr">
        <is>
          <t>625</t>
        </is>
      </c>
      <c r="C392" s="10" t="n">
        <v>45670.19755787037</v>
      </c>
      <c r="D392" s="3" t="inlineStr">
        <is>
          <t>OBT130125044756-Neudörfl (FunderMax)</t>
        </is>
      </c>
      <c r="E392" s="10" t="n">
        <v>45670.1999537037</v>
      </c>
      <c r="F392" s="10" t="n">
        <v>45670.25429398148</v>
      </c>
      <c r="G392" s="11">
        <f>IF(AND(ISNUMBER(C392),ISNUMBER(E392)),(E392-C392),"")</f>
        <v/>
      </c>
      <c r="H392" s="11">
        <f>IF(AND(ISNUMBER(C392),ISNUMBER(F392)),(F392-C392),"")</f>
        <v/>
      </c>
    </row>
    <row r="393">
      <c r="A393" s="3" t="inlineStr">
        <is>
          <t>1010201</t>
        </is>
      </c>
      <c r="B393" s="3" t="inlineStr">
        <is>
          <t>625</t>
        </is>
      </c>
      <c r="C393" s="10" t="n">
        <v>45670.26436342593</v>
      </c>
      <c r="D393" s="3" t="inlineStr">
        <is>
          <t>OBT130125062348-Wien Kledering</t>
        </is>
      </c>
      <c r="E393" s="10" t="n">
        <v>45670.26652777778</v>
      </c>
      <c r="F393" s="10" t="n">
        <v>45670.3203125</v>
      </c>
      <c r="G393" s="11">
        <f>IF(AND(ISNUMBER(C393),ISNUMBER(E393)),(E393-C393),"")</f>
        <v/>
      </c>
      <c r="H393" s="11">
        <f>IF(AND(ISNUMBER(C393),ISNUMBER(F393)),(F393-C393),"")</f>
        <v/>
      </c>
    </row>
    <row r="394">
      <c r="A394" s="3" t="inlineStr">
        <is>
          <t>1010301</t>
        </is>
      </c>
      <c r="B394" s="3" t="inlineStr">
        <is>
          <t>605</t>
        </is>
      </c>
      <c r="C394" s="10" t="n">
        <v>45670.30271990741</v>
      </c>
      <c r="D394" s="3" t="inlineStr">
        <is>
          <t>OBT130125071902-Wien Kledering</t>
        </is>
      </c>
      <c r="E394" s="10" t="n">
        <v>45670.30488425926</v>
      </c>
      <c r="F394" s="10" t="n">
        <v>45670.34246527778</v>
      </c>
      <c r="G394" s="11">
        <f>IF(AND(ISNUMBER(C394),ISNUMBER(E394)),(E394-C394),"")</f>
        <v/>
      </c>
      <c r="H394" s="11">
        <f>IF(AND(ISNUMBER(C394),ISNUMBER(F394)),(F394-C394),"")</f>
        <v/>
      </c>
    </row>
    <row r="395">
      <c r="A395" s="3" t="inlineStr">
        <is>
          <t>1010401</t>
        </is>
      </c>
      <c r="B395" s="3" t="inlineStr">
        <is>
          <t>619</t>
        </is>
      </c>
      <c r="C395" s="10" t="n">
        <v>45670.31383101852</v>
      </c>
      <c r="D395" s="3" t="inlineStr">
        <is>
          <t>OBT130125073501-Wien Kledering</t>
        </is>
      </c>
      <c r="E395" s="10" t="n">
        <v>45670.3159837963</v>
      </c>
      <c r="F395" s="10" t="n">
        <v>45670.38806712963</v>
      </c>
      <c r="G395" s="11">
        <f>IF(AND(ISNUMBER(C395),ISNUMBER(E395)),(E395-C395),"")</f>
        <v/>
      </c>
      <c r="H395" s="11">
        <f>IF(AND(ISNUMBER(C395),ISNUMBER(F395)),(F395-C395),"")</f>
        <v/>
      </c>
    </row>
    <row r="396">
      <c r="A396" s="3" t="inlineStr">
        <is>
          <t>1010501</t>
        </is>
      </c>
      <c r="B396" s="3" t="inlineStr">
        <is>
          <t>607</t>
        </is>
      </c>
      <c r="C396" s="10" t="n">
        <v>45670.33052083333</v>
      </c>
      <c r="D396" s="3" t="inlineStr">
        <is>
          <t>OBT140125093209-Obereggendorf (Hofer)</t>
        </is>
      </c>
      <c r="E396" s="10" t="n">
        <v>45671.39732638889</v>
      </c>
      <c r="F396" s="10" t="n">
        <v>45671.45953703704</v>
      </c>
      <c r="G396" s="11">
        <f>IF(AND(ISNUMBER(C396),ISNUMBER(E396)),(E396-C396),"")</f>
        <v/>
      </c>
      <c r="H396" s="11">
        <f>IF(AND(ISNUMBER(C396),ISNUMBER(F396)),(F396-C396),"")</f>
        <v/>
      </c>
    </row>
    <row r="397">
      <c r="A397" s="3" t="inlineStr">
        <is>
          <t>1010502</t>
        </is>
      </c>
      <c r="B397" s="3" t="inlineStr">
        <is>
          <t>611</t>
        </is>
      </c>
      <c r="C397" s="10" t="n">
        <v>45670.33203703703</v>
      </c>
      <c r="D397" s="3" t="inlineStr">
        <is>
          <t>OBT130125095539-Pitten (Hamburger)</t>
        </is>
      </c>
      <c r="E397" s="10" t="n">
        <v>45670.41364583333</v>
      </c>
      <c r="F397" s="10" t="n">
        <v>45670.48296296296</v>
      </c>
      <c r="G397" s="11">
        <f>IF(AND(ISNUMBER(C397),ISNUMBER(E397)),(E397-C397),"")</f>
        <v/>
      </c>
      <c r="H397" s="11">
        <f>IF(AND(ISNUMBER(C397),ISNUMBER(F397)),(F397-C397),"")</f>
        <v/>
      </c>
    </row>
    <row r="398">
      <c r="A398" s="3" t="inlineStr">
        <is>
          <t>1010503</t>
        </is>
      </c>
      <c r="B398" s="3" t="inlineStr">
        <is>
          <t>613</t>
        </is>
      </c>
      <c r="C398" s="10" t="n">
        <v>45670.33333333334</v>
      </c>
      <c r="D398" s="3" t="inlineStr">
        <is>
          <t>OBT130125094410-Other sidings south</t>
        </is>
      </c>
      <c r="E398" s="10" t="n">
        <v>45670.4056712963</v>
      </c>
      <c r="F398" s="10" t="n">
        <v>45670.45010416667</v>
      </c>
      <c r="G398" s="11">
        <f>IF(AND(ISNUMBER(C398),ISNUMBER(E398)),(E398-C398),"")</f>
        <v/>
      </c>
      <c r="H398" s="11">
        <f>IF(AND(ISNUMBER(C398),ISNUMBER(F398)),(F398-C398),"")</f>
        <v/>
      </c>
    </row>
    <row r="399">
      <c r="A399" s="3" t="inlineStr">
        <is>
          <t>1010504</t>
        </is>
      </c>
      <c r="B399" s="3" t="inlineStr">
        <is>
          <t>609</t>
        </is>
      </c>
      <c r="C399" s="10" t="n">
        <v>45670.33497685185</v>
      </c>
      <c r="D399" s="3" t="inlineStr">
        <is>
          <t>OBT130125155039-Wr. Neustadt Ausfahrbf (Furtenbach)</t>
        </is>
      </c>
      <c r="E399" s="10" t="n">
        <v>45670.66017361111</v>
      </c>
      <c r="F399" s="10" t="n">
        <v>45670.68358796297</v>
      </c>
      <c r="G399" s="11">
        <f>IF(AND(ISNUMBER(C399),ISNUMBER(E399)),(E399-C399),"")</f>
        <v/>
      </c>
      <c r="H399" s="11">
        <f>IF(AND(ISNUMBER(C399),ISNUMBER(F399)),(F399-C399),"")</f>
        <v/>
      </c>
    </row>
    <row r="400">
      <c r="A400" s="3" t="inlineStr">
        <is>
          <t>1010505</t>
        </is>
      </c>
      <c r="B400" s="3" t="inlineStr">
        <is>
          <t>621</t>
        </is>
      </c>
      <c r="C400" s="10" t="n">
        <v>45670.33696759259</v>
      </c>
      <c r="D400" s="3" t="inlineStr">
        <is>
          <t>OBT140125181252-Steinabrückl/Wöllersdorf</t>
        </is>
      </c>
      <c r="E400" s="10" t="n">
        <v>45671.75893518519</v>
      </c>
      <c r="F400" s="10" t="n">
        <v>45671.79916666666</v>
      </c>
      <c r="G400" s="11">
        <f>IF(AND(ISNUMBER(C400),ISNUMBER(E400)),(E400-C400),"")</f>
        <v/>
      </c>
      <c r="H400" s="11">
        <f>IF(AND(ISNUMBER(C400),ISNUMBER(F400)),(F400-C400),"")</f>
        <v/>
      </c>
    </row>
    <row r="401">
      <c r="A401" s="3" t="inlineStr">
        <is>
          <t>1010506</t>
        </is>
      </c>
      <c r="B401" s="3" t="inlineStr">
        <is>
          <t>605</t>
        </is>
      </c>
      <c r="C401" s="10" t="n">
        <v>45670.3387037037</v>
      </c>
      <c r="D401" s="3" t="inlineStr">
        <is>
          <t>OBT130125095519-Other sidings north</t>
        </is>
      </c>
      <c r="E401" s="10" t="n">
        <v>45670.41341435185</v>
      </c>
      <c r="F401" s="10" t="n">
        <v>45670.46863425926</v>
      </c>
      <c r="G401" s="11">
        <f>IF(AND(ISNUMBER(C401),ISNUMBER(E401)),(E401-C401),"")</f>
        <v/>
      </c>
      <c r="H401" s="11">
        <f>IF(AND(ISNUMBER(C401),ISNUMBER(F401)),(F401-C401),"")</f>
        <v/>
      </c>
    </row>
    <row r="402">
      <c r="A402" s="3" t="inlineStr">
        <is>
          <t>1010507</t>
        </is>
      </c>
      <c r="B402" s="3" t="inlineStr">
        <is>
          <t>606</t>
        </is>
      </c>
      <c r="C402" s="10" t="n">
        <v>45670.34045138889</v>
      </c>
      <c r="D402" s="3" t="inlineStr">
        <is>
          <t>OBT130125082326-Wr. Neustadt (Hödlmayr)</t>
        </is>
      </c>
      <c r="E402" s="10" t="n">
        <v>45670.34960648148</v>
      </c>
      <c r="F402" s="10" t="n">
        <v>45670.38234953704</v>
      </c>
      <c r="G402" s="11">
        <f>IF(AND(ISNUMBER(C402),ISNUMBER(E402)),(E402-C402),"")</f>
        <v/>
      </c>
      <c r="H402" s="11">
        <f>IF(AND(ISNUMBER(C402),ISNUMBER(F402)),(F402-C402),"")</f>
        <v/>
      </c>
    </row>
    <row r="403">
      <c r="A403" s="3" t="inlineStr">
        <is>
          <t>1010508</t>
        </is>
      </c>
      <c r="B403" s="3" t="inlineStr">
        <is>
          <t>629</t>
        </is>
      </c>
      <c r="C403" s="10" t="n">
        <v>45670.34236111111</v>
      </c>
      <c r="D403" s="3" t="inlineStr">
        <is>
          <t>OBT140125070727-Neudörfl (FunderMax)</t>
        </is>
      </c>
      <c r="E403" s="10" t="n">
        <v>45671.29684027778</v>
      </c>
      <c r="F403" s="10" t="n">
        <v>45671.3319212963</v>
      </c>
      <c r="G403" s="11">
        <f>IF(AND(ISNUMBER(C403),ISNUMBER(E403)),(E403-C403),"")</f>
        <v/>
      </c>
      <c r="H403" s="11">
        <f>IF(AND(ISNUMBER(C403),ISNUMBER(F403)),(F403-C403),"")</f>
        <v/>
      </c>
    </row>
    <row r="404">
      <c r="A404" s="3" t="inlineStr">
        <is>
          <t>1010509</t>
        </is>
      </c>
      <c r="B404" s="3" t="inlineStr">
        <is>
          <t>611</t>
        </is>
      </c>
      <c r="C404" s="10" t="n">
        <v>45670.34377314815</v>
      </c>
      <c r="D404" s="3" t="inlineStr">
        <is>
          <t>OBT130125095539-Pitten (Hamburger)</t>
        </is>
      </c>
      <c r="E404" s="10" t="n">
        <v>45670.41364583333</v>
      </c>
      <c r="F404" s="10" t="n">
        <v>45670.48296296296</v>
      </c>
      <c r="G404" s="11">
        <f>IF(AND(ISNUMBER(C404),ISNUMBER(E404)),(E404-C404),"")</f>
        <v/>
      </c>
      <c r="H404" s="11">
        <f>IF(AND(ISNUMBER(C404),ISNUMBER(F404)),(F404-C404),"")</f>
        <v/>
      </c>
    </row>
    <row r="405">
      <c r="A405" s="3" t="inlineStr">
        <is>
          <t>1010510</t>
        </is>
      </c>
      <c r="B405" s="3" t="inlineStr">
        <is>
          <t>606</t>
        </is>
      </c>
      <c r="C405" s="10" t="n">
        <v>45670.34570601852</v>
      </c>
      <c r="D405" s="3" t="inlineStr">
        <is>
          <t>OBT130125082326-Wr. Neustadt (Hödlmayr)</t>
        </is>
      </c>
      <c r="E405" s="10" t="n">
        <v>45670.34960648148</v>
      </c>
      <c r="F405" s="10" t="n">
        <v>45670.38234953704</v>
      </c>
      <c r="G405" s="11">
        <f>IF(AND(ISNUMBER(C405),ISNUMBER(E405)),(E405-C405),"")</f>
        <v/>
      </c>
      <c r="H405" s="11">
        <f>IF(AND(ISNUMBER(C405),ISNUMBER(F405)),(F405-C405),"")</f>
        <v/>
      </c>
    </row>
    <row r="406">
      <c r="A406" s="3" t="inlineStr">
        <is>
          <t>1010511</t>
        </is>
      </c>
      <c r="B406" s="3" t="inlineStr">
        <is>
          <t>623</t>
        </is>
      </c>
      <c r="C406" s="10" t="n">
        <v>45670.34746527778</v>
      </c>
      <c r="D406" s="3" t="inlineStr">
        <is>
          <t>OBT140125153639-Ebenfurth (beet loading)</t>
        </is>
      </c>
      <c r="E406" s="10" t="n">
        <v>45671.65045138889</v>
      </c>
      <c r="F406" s="10" t="n">
        <v>45671.67856481481</v>
      </c>
      <c r="G406" s="11">
        <f>IF(AND(ISNUMBER(C406),ISNUMBER(E406)),(E406-C406),"")</f>
        <v/>
      </c>
      <c r="H406" s="11">
        <f>IF(AND(ISNUMBER(C406),ISNUMBER(F406)),(F406-C406),"")</f>
        <v/>
      </c>
    </row>
    <row r="407">
      <c r="A407" s="3" t="inlineStr">
        <is>
          <t>1010512</t>
        </is>
      </c>
      <c r="B407" s="3" t="inlineStr">
        <is>
          <t>605</t>
        </is>
      </c>
      <c r="C407" s="10" t="n">
        <v>45670.34920138889</v>
      </c>
      <c r="D407" s="3" t="inlineStr">
        <is>
          <t>OBT130125095519-Other sidings north</t>
        </is>
      </c>
      <c r="E407" s="10" t="n">
        <v>45670.41341435185</v>
      </c>
      <c r="F407" s="10" t="n">
        <v>45670.46863425926</v>
      </c>
      <c r="G407" s="11">
        <f>IF(AND(ISNUMBER(C407),ISNUMBER(E407)),(E407-C407),"")</f>
        <v/>
      </c>
      <c r="H407" s="11">
        <f>IF(AND(ISNUMBER(C407),ISNUMBER(F407)),(F407-C407),"")</f>
        <v/>
      </c>
    </row>
    <row r="408">
      <c r="A408" s="3" t="inlineStr">
        <is>
          <t>1010513</t>
        </is>
      </c>
      <c r="B408" s="3" t="inlineStr">
        <is>
          <t>615</t>
        </is>
      </c>
      <c r="C408" s="10" t="n">
        <v>45670.35038194444</v>
      </c>
      <c r="D408" s="3" t="inlineStr">
        <is>
          <t>OBT130125093830-Other sidings local</t>
        </is>
      </c>
      <c r="E408" s="10" t="n">
        <v>45670.40173611111</v>
      </c>
      <c r="F408" s="10" t="n">
        <v>45670.43825231482</v>
      </c>
      <c r="G408" s="11">
        <f>IF(AND(ISNUMBER(C408),ISNUMBER(E408)),(E408-C408),"")</f>
        <v/>
      </c>
      <c r="H408" s="11">
        <f>IF(AND(ISNUMBER(C408),ISNUMBER(F408)),(F408-C408),"")</f>
        <v/>
      </c>
    </row>
    <row r="409">
      <c r="A409" s="3" t="inlineStr">
        <is>
          <t>1010514</t>
        </is>
      </c>
      <c r="B409" s="3" t="inlineStr">
        <is>
          <t>613</t>
        </is>
      </c>
      <c r="C409" s="10" t="n">
        <v>45670.35166666667</v>
      </c>
      <c r="D409" s="3" t="inlineStr">
        <is>
          <t>OBT130125094410-Other sidings south</t>
        </is>
      </c>
      <c r="E409" s="10" t="n">
        <v>45670.4056712963</v>
      </c>
      <c r="F409" s="10" t="n">
        <v>45670.45010416667</v>
      </c>
      <c r="G409" s="11">
        <f>IF(AND(ISNUMBER(C409),ISNUMBER(E409)),(E409-C409),"")</f>
        <v/>
      </c>
      <c r="H409" s="11">
        <f>IF(AND(ISNUMBER(C409),ISNUMBER(F409)),(F409-C409),"")</f>
        <v/>
      </c>
    </row>
    <row r="410">
      <c r="A410" s="3" t="inlineStr">
        <is>
          <t>1010601</t>
        </is>
      </c>
      <c r="B410" s="3" t="inlineStr">
        <is>
          <t>625</t>
        </is>
      </c>
      <c r="C410" s="10" t="n">
        <v>45670.38788194444</v>
      </c>
      <c r="D410" s="3" t="inlineStr">
        <is>
          <t>OBT130125092157-Wien Kledering</t>
        </is>
      </c>
      <c r="E410" s="10" t="n">
        <v>45670.39024305555</v>
      </c>
      <c r="F410" s="10" t="n">
        <v>45670.44069444444</v>
      </c>
      <c r="G410" s="11">
        <f>IF(AND(ISNUMBER(C410),ISNUMBER(E410)),(E410-C410),"")</f>
        <v/>
      </c>
      <c r="H410" s="11">
        <f>IF(AND(ISNUMBER(C410),ISNUMBER(F410)),(F410-C410),"")</f>
        <v/>
      </c>
    </row>
    <row r="411">
      <c r="A411" s="3" t="inlineStr">
        <is>
          <t>1010602</t>
        </is>
      </c>
      <c r="B411" s="3" t="inlineStr">
        <is>
          <t>617</t>
        </is>
      </c>
      <c r="C411" s="10" t="n">
        <v>45670.38938657408</v>
      </c>
      <c r="D411" s="3" t="inlineStr">
        <is>
          <t>OBT130125092620-Ternitz (Schoeller-Bleckmann)</t>
        </is>
      </c>
      <c r="E411" s="10" t="n">
        <v>45670.39328703703</v>
      </c>
      <c r="F411" s="10" t="n">
        <v>45670.426875</v>
      </c>
      <c r="G411" s="11">
        <f>IF(AND(ISNUMBER(C411),ISNUMBER(E411)),(E411-C411),"")</f>
        <v/>
      </c>
      <c r="H411" s="11">
        <f>IF(AND(ISNUMBER(C411),ISNUMBER(F411)),(F411-C411),"")</f>
        <v/>
      </c>
    </row>
    <row r="412">
      <c r="A412" s="3" t="inlineStr">
        <is>
          <t>1010701</t>
        </is>
      </c>
      <c r="B412" s="3" t="inlineStr">
        <is>
          <t>627</t>
        </is>
      </c>
      <c r="C412" s="10" t="n">
        <v>45670.39702546296</v>
      </c>
      <c r="D412" s="3" t="inlineStr">
        <is>
          <t>OBT140125102839-Wr. Neustadt (Brenntag)</t>
        </is>
      </c>
      <c r="E412" s="10" t="n">
        <v>45671.4365625</v>
      </c>
      <c r="F412" s="10" t="n">
        <v>45671.4805787037</v>
      </c>
      <c r="G412" s="11">
        <f>IF(AND(ISNUMBER(C412),ISNUMBER(E412)),(E412-C412),"")</f>
        <v/>
      </c>
      <c r="H412" s="11">
        <f>IF(AND(ISNUMBER(C412),ISNUMBER(F412)),(F412-C412),"")</f>
        <v/>
      </c>
    </row>
    <row r="413">
      <c r="A413" s="3" t="inlineStr">
        <is>
          <t>1010702</t>
        </is>
      </c>
      <c r="B413" s="3" t="inlineStr">
        <is>
          <t>615</t>
        </is>
      </c>
      <c r="C413" s="10" t="n">
        <v>45670.3981712963</v>
      </c>
      <c r="D413" s="3" t="inlineStr">
        <is>
          <t>OBT130125093830-Other sidings local</t>
        </is>
      </c>
      <c r="E413" s="10" t="n">
        <v>45670.40173611111</v>
      </c>
      <c r="F413" s="10" t="n">
        <v>45670.43825231482</v>
      </c>
      <c r="G413" s="11">
        <f>IF(AND(ISNUMBER(C413),ISNUMBER(E413)),(E413-C413),"")</f>
        <v/>
      </c>
      <c r="H413" s="11">
        <f>IF(AND(ISNUMBER(C413),ISNUMBER(F413)),(F413-C413),"")</f>
        <v/>
      </c>
    </row>
    <row r="414">
      <c r="A414" s="3" t="inlineStr">
        <is>
          <t>1010703</t>
        </is>
      </c>
      <c r="B414" s="3" t="inlineStr">
        <is>
          <t>613</t>
        </is>
      </c>
      <c r="C414" s="10" t="n">
        <v>45670.39952546296</v>
      </c>
      <c r="D414" s="3" t="inlineStr">
        <is>
          <t>OBT130125094410-Other sidings south</t>
        </is>
      </c>
      <c r="E414" s="10" t="n">
        <v>45670.4056712963</v>
      </c>
      <c r="F414" s="10" t="n">
        <v>45670.45010416667</v>
      </c>
      <c r="G414" s="11">
        <f>IF(AND(ISNUMBER(C414),ISNUMBER(E414)),(E414-C414),"")</f>
        <v/>
      </c>
      <c r="H414" s="11">
        <f>IF(AND(ISNUMBER(C414),ISNUMBER(F414)),(F414-C414),"")</f>
        <v/>
      </c>
    </row>
    <row r="415">
      <c r="A415" s="3" t="inlineStr">
        <is>
          <t>1010704</t>
        </is>
      </c>
      <c r="B415" s="3" t="inlineStr">
        <is>
          <t>605</t>
        </is>
      </c>
      <c r="C415" s="10" t="n">
        <v>45670.40121527778</v>
      </c>
      <c r="D415" s="3" t="inlineStr">
        <is>
          <t>OBT130125095519-Other sidings north</t>
        </is>
      </c>
      <c r="E415" s="10" t="n">
        <v>45670.41341435185</v>
      </c>
      <c r="F415" s="10" t="n">
        <v>45670.46863425926</v>
      </c>
      <c r="G415" s="11">
        <f>IF(AND(ISNUMBER(C415),ISNUMBER(E415)),(E415-C415),"")</f>
        <v/>
      </c>
      <c r="H415" s="11">
        <f>IF(AND(ISNUMBER(C415),ISNUMBER(F415)),(F415-C415),"")</f>
        <v/>
      </c>
    </row>
    <row r="416">
      <c r="A416" s="3" t="inlineStr">
        <is>
          <t>1010705</t>
        </is>
      </c>
      <c r="B416" s="3" t="inlineStr">
        <is>
          <t>615</t>
        </is>
      </c>
      <c r="C416" s="10" t="n">
        <v>45670.40236111111</v>
      </c>
      <c r="D416" s="3" t="inlineStr">
        <is>
          <t>OBT130125144644-Wien Kledering</t>
        </is>
      </c>
      <c r="E416" s="10" t="n">
        <v>45670.61578703704</v>
      </c>
      <c r="F416" s="10" t="n">
        <v>45670.68543981481</v>
      </c>
      <c r="G416" s="11">
        <f>IF(AND(ISNUMBER(C416),ISNUMBER(E416)),(E416-C416),"")</f>
        <v/>
      </c>
      <c r="H416" s="11">
        <f>IF(AND(ISNUMBER(C416),ISNUMBER(F416)),(F416-C416),"")</f>
        <v/>
      </c>
    </row>
    <row r="417">
      <c r="A417" s="3" t="inlineStr">
        <is>
          <t>1010706</t>
        </is>
      </c>
      <c r="B417" s="3" t="inlineStr">
        <is>
          <t>617</t>
        </is>
      </c>
      <c r="C417" s="10" t="n">
        <v>45670.40361111111</v>
      </c>
      <c r="D417" s="3" t="inlineStr">
        <is>
          <t>OBT130125123545-Wien Kledering</t>
        </is>
      </c>
      <c r="E417" s="10" t="n">
        <v>45670.52482638889</v>
      </c>
      <c r="F417" s="10" t="n">
        <v>45670.5850462963</v>
      </c>
      <c r="G417" s="11">
        <f>IF(AND(ISNUMBER(C417),ISNUMBER(E417)),(E417-C417),"")</f>
        <v/>
      </c>
      <c r="H417" s="11">
        <f>IF(AND(ISNUMBER(C417),ISNUMBER(F417)),(F417-C417),"")</f>
        <v/>
      </c>
    </row>
    <row r="418">
      <c r="A418" s="3" t="inlineStr">
        <is>
          <t>1010707</t>
        </is>
      </c>
      <c r="B418" s="3" t="inlineStr">
        <is>
          <t>611</t>
        </is>
      </c>
      <c r="C418" s="10" t="n">
        <v>45670.40521990741</v>
      </c>
      <c r="D418" s="3" t="inlineStr">
        <is>
          <t>OBT130125095539-Pitten (Hamburger)</t>
        </is>
      </c>
      <c r="E418" s="10" t="n">
        <v>45670.41364583333</v>
      </c>
      <c r="F418" s="10" t="n">
        <v>45670.48296296296</v>
      </c>
      <c r="G418" s="11">
        <f>IF(AND(ISNUMBER(C418),ISNUMBER(E418)),(E418-C418),"")</f>
        <v/>
      </c>
      <c r="H418" s="11">
        <f>IF(AND(ISNUMBER(C418),ISNUMBER(F418)),(F418-C418),"")</f>
        <v/>
      </c>
    </row>
    <row r="419">
      <c r="A419" s="3" t="inlineStr">
        <is>
          <t>1010708</t>
        </is>
      </c>
      <c r="B419" s="3" t="inlineStr">
        <is>
          <t>605</t>
        </is>
      </c>
      <c r="C419" s="10" t="n">
        <v>45670.40712962963</v>
      </c>
      <c r="D419" s="3" t="inlineStr">
        <is>
          <t>OBT130125095519-Other sidings north</t>
        </is>
      </c>
      <c r="E419" s="10" t="n">
        <v>45670.41341435185</v>
      </c>
      <c r="F419" s="10" t="n">
        <v>45670.46863425926</v>
      </c>
      <c r="G419" s="11">
        <f>IF(AND(ISNUMBER(C419),ISNUMBER(E419)),(E419-C419),"")</f>
        <v/>
      </c>
      <c r="H419" s="11">
        <f>IF(AND(ISNUMBER(C419),ISNUMBER(F419)),(F419-C419),"")</f>
        <v/>
      </c>
    </row>
    <row r="420">
      <c r="A420" s="3" t="inlineStr">
        <is>
          <t>1010709</t>
        </is>
      </c>
      <c r="B420" s="3" t="inlineStr">
        <is>
          <t>629</t>
        </is>
      </c>
      <c r="C420" s="10" t="n">
        <v>45670.40902777778</v>
      </c>
      <c r="D420" s="3" t="inlineStr">
        <is>
          <t>OBT140125070727-Neudörfl (FunderMax)</t>
        </is>
      </c>
      <c r="E420" s="10" t="n">
        <v>45671.29684027778</v>
      </c>
      <c r="F420" s="10" t="n">
        <v>45671.3319212963</v>
      </c>
      <c r="G420" s="11">
        <f>IF(AND(ISNUMBER(C420),ISNUMBER(E420)),(E420-C420),"")</f>
        <v/>
      </c>
      <c r="H420" s="11">
        <f>IF(AND(ISNUMBER(C420),ISNUMBER(F420)),(F420-C420),"")</f>
        <v/>
      </c>
    </row>
    <row r="421">
      <c r="A421" s="3" t="inlineStr">
        <is>
          <t>1010710</t>
        </is>
      </c>
      <c r="B421" s="3" t="inlineStr">
        <is>
          <t>621</t>
        </is>
      </c>
      <c r="C421" s="10" t="n">
        <v>45670.41101851852</v>
      </c>
      <c r="D421" s="3" t="inlineStr">
        <is>
          <t>OBT140125181252-Steinabrückl/Wöllersdorf</t>
        </is>
      </c>
      <c r="E421" s="10" t="n">
        <v>45671.75893518519</v>
      </c>
      <c r="F421" s="10" t="n">
        <v>45671.79916666666</v>
      </c>
      <c r="G421" s="11">
        <f>IF(AND(ISNUMBER(C421),ISNUMBER(E421)),(E421-C421),"")</f>
        <v/>
      </c>
      <c r="H421" s="11">
        <f>IF(AND(ISNUMBER(C421),ISNUMBER(F421)),(F421-C421),"")</f>
        <v/>
      </c>
    </row>
    <row r="422">
      <c r="A422" s="3" t="inlineStr">
        <is>
          <t>1010801</t>
        </is>
      </c>
      <c r="B422" s="3" t="inlineStr">
        <is>
          <t>619</t>
        </is>
      </c>
      <c r="C422" s="10" t="n">
        <v>45670.43336805556</v>
      </c>
      <c r="D422" s="3" t="inlineStr">
        <is>
          <t>OBT130125103421-Wien Kledering</t>
        </is>
      </c>
      <c r="E422" s="10" t="n">
        <v>45670.44052083333</v>
      </c>
      <c r="F422" s="10" t="n">
        <v>45670.49873842593</v>
      </c>
      <c r="G422" s="11">
        <f>IF(AND(ISNUMBER(C422),ISNUMBER(E422)),(E422-C422),"")</f>
        <v/>
      </c>
      <c r="H422" s="11">
        <f>IF(AND(ISNUMBER(C422),ISNUMBER(F422)),(F422-C422),"")</f>
        <v/>
      </c>
    </row>
    <row r="423">
      <c r="A423" s="3" t="inlineStr">
        <is>
          <t>1010802</t>
        </is>
      </c>
      <c r="B423" s="3" t="inlineStr">
        <is>
          <t>606</t>
        </is>
      </c>
      <c r="C423" s="10" t="n">
        <v>45670.43515046296</v>
      </c>
      <c r="D423" s="3" t="inlineStr">
        <is>
          <t>OBT130125163000-St. Veit an der Glan</t>
        </is>
      </c>
      <c r="E423" s="10" t="n">
        <v>45670.6875</v>
      </c>
      <c r="F423" s="10" t="n">
        <v>45670.7246875</v>
      </c>
      <c r="G423" s="11">
        <f>IF(AND(ISNUMBER(C423),ISNUMBER(E423)),(E423-C423),"")</f>
        <v/>
      </c>
      <c r="H423" s="11">
        <f>IF(AND(ISNUMBER(C423),ISNUMBER(F423)),(F423-C423),"")</f>
        <v/>
      </c>
    </row>
    <row r="424">
      <c r="A424" s="3" t="inlineStr">
        <is>
          <t>1010803</t>
        </is>
      </c>
      <c r="B424" s="3" t="inlineStr">
        <is>
          <t>617</t>
        </is>
      </c>
      <c r="C424" s="10" t="n">
        <v>45670.43663194445</v>
      </c>
      <c r="D424" s="3" t="inlineStr">
        <is>
          <t>OBT130125123545-Wien Kledering</t>
        </is>
      </c>
      <c r="E424" s="10" t="n">
        <v>45670.52482638889</v>
      </c>
      <c r="F424" s="10" t="n">
        <v>45670.5850462963</v>
      </c>
      <c r="G424" s="11">
        <f>IF(AND(ISNUMBER(C424),ISNUMBER(E424)),(E424-C424),"")</f>
        <v/>
      </c>
      <c r="H424" s="11">
        <f>IF(AND(ISNUMBER(C424),ISNUMBER(F424)),(F424-C424),"")</f>
        <v/>
      </c>
    </row>
    <row r="425">
      <c r="A425" s="3" t="inlineStr">
        <is>
          <t>1010901</t>
        </is>
      </c>
      <c r="B425" s="3" t="inlineStr">
        <is>
          <t>617</t>
        </is>
      </c>
      <c r="C425" s="10" t="n">
        <v>45670.52090277777</v>
      </c>
      <c r="D425" s="3" t="inlineStr">
        <is>
          <t>OBT130125123545-Wien Kledering</t>
        </is>
      </c>
      <c r="E425" s="10" t="n">
        <v>45670.52482638889</v>
      </c>
      <c r="F425" s="10" t="n">
        <v>45670.5850462963</v>
      </c>
      <c r="G425" s="11">
        <f>IF(AND(ISNUMBER(C425),ISNUMBER(E425)),(E425-C425),"")</f>
        <v/>
      </c>
      <c r="H425" s="11">
        <f>IF(AND(ISNUMBER(C425),ISNUMBER(F425)),(F425-C425),"")</f>
        <v/>
      </c>
    </row>
    <row r="426">
      <c r="A426" s="3" t="inlineStr">
        <is>
          <t>1011001</t>
        </is>
      </c>
      <c r="B426" s="3" t="inlineStr">
        <is>
          <t>615</t>
        </is>
      </c>
      <c r="C426" s="10" t="n">
        <v>45670.61342592593</v>
      </c>
      <c r="D426" s="3" t="inlineStr">
        <is>
          <t>OBT130125144644-Wien Kledering</t>
        </is>
      </c>
      <c r="E426" s="10" t="n">
        <v>45670.61578703704</v>
      </c>
      <c r="F426" s="10" t="n">
        <v>45670.68543981481</v>
      </c>
      <c r="G426" s="11">
        <f>IF(AND(ISNUMBER(C426),ISNUMBER(E426)),(E426-C426),"")</f>
        <v/>
      </c>
      <c r="H426" s="11">
        <f>IF(AND(ISNUMBER(C426),ISNUMBER(F426)),(F426-C426),"")</f>
        <v/>
      </c>
    </row>
    <row r="427">
      <c r="A427" s="3" t="inlineStr">
        <is>
          <t>1011101</t>
        </is>
      </c>
      <c r="B427" s="3" t="inlineStr">
        <is>
          <t>613</t>
        </is>
      </c>
      <c r="C427" s="10" t="n">
        <v>45670.63574074074</v>
      </c>
      <c r="D427" s="3" t="inlineStr">
        <is>
          <t>OBT140125070928-Pitten (Hamburger)</t>
        </is>
      </c>
      <c r="E427" s="10" t="n">
        <v>45671.29824074074</v>
      </c>
      <c r="F427" s="10" t="n">
        <v>45671.32736111111</v>
      </c>
      <c r="G427" s="11">
        <f>IF(AND(ISNUMBER(C427),ISNUMBER(E427)),(E427-C427),"")</f>
        <v/>
      </c>
      <c r="H427" s="11">
        <f>IF(AND(ISNUMBER(C427),ISNUMBER(F427)),(F427-C427),"")</f>
        <v/>
      </c>
    </row>
    <row r="428">
      <c r="A428" s="3" t="inlineStr">
        <is>
          <t>1011102</t>
        </is>
      </c>
      <c r="B428" s="3" t="inlineStr">
        <is>
          <t>625</t>
        </is>
      </c>
      <c r="C428" s="10" t="n">
        <v>45670.63792824074</v>
      </c>
      <c r="D428" s="3" t="inlineStr">
        <is>
          <t>OBT130125152935-Wr. Neustadt (Hödlmayr)</t>
        </is>
      </c>
      <c r="E428" s="10" t="n">
        <v>45670.64554398148</v>
      </c>
      <c r="F428" s="10" t="n">
        <v>45670.66549768519</v>
      </c>
      <c r="G428" s="11">
        <f>IF(AND(ISNUMBER(C428),ISNUMBER(E428)),(E428-C428),"")</f>
        <v/>
      </c>
      <c r="H428" s="11">
        <f>IF(AND(ISNUMBER(C428),ISNUMBER(F428)),(F428-C428),"")</f>
        <v/>
      </c>
    </row>
    <row r="429">
      <c r="A429" s="3" t="inlineStr">
        <is>
          <t>1011103</t>
        </is>
      </c>
      <c r="B429" s="3" t="inlineStr">
        <is>
          <t>607</t>
        </is>
      </c>
      <c r="C429" s="10" t="n">
        <v>45670.63960648148</v>
      </c>
      <c r="D429" s="3" t="inlineStr">
        <is>
          <t>OBT140125093209-Obereggendorf (Hofer)</t>
        </is>
      </c>
      <c r="E429" s="10" t="n">
        <v>45671.39732638889</v>
      </c>
      <c r="F429" s="10" t="n">
        <v>45671.45953703704</v>
      </c>
      <c r="G429" s="11">
        <f>IF(AND(ISNUMBER(C429),ISNUMBER(E429)),(E429-C429),"")</f>
        <v/>
      </c>
      <c r="H429" s="11">
        <f>IF(AND(ISNUMBER(C429),ISNUMBER(F429)),(F429-C429),"")</f>
        <v/>
      </c>
    </row>
    <row r="430">
      <c r="A430" s="3" t="inlineStr">
        <is>
          <t>1011104</t>
        </is>
      </c>
      <c r="B430" s="3" t="inlineStr">
        <is>
          <t>625</t>
        </is>
      </c>
      <c r="C430" s="10" t="n">
        <v>45670.64164351852</v>
      </c>
      <c r="D430" s="3" t="inlineStr">
        <is>
          <t>OBT130125152935-Wr. Neustadt (Hödlmayr)</t>
        </is>
      </c>
      <c r="E430" s="10" t="n">
        <v>45670.64554398148</v>
      </c>
      <c r="F430" s="10" t="n">
        <v>45670.66549768519</v>
      </c>
      <c r="G430" s="11">
        <f>IF(AND(ISNUMBER(C430),ISNUMBER(E430)),(E430-C430),"")</f>
        <v/>
      </c>
      <c r="H430" s="11">
        <f>IF(AND(ISNUMBER(C430),ISNUMBER(F430)),(F430-C430),"")</f>
        <v/>
      </c>
    </row>
    <row r="431">
      <c r="A431" s="3" t="inlineStr">
        <is>
          <t>1011105</t>
        </is>
      </c>
      <c r="B431" s="3" t="inlineStr">
        <is>
          <t>623</t>
        </is>
      </c>
      <c r="C431" s="10" t="n">
        <v>45670.64340277778</v>
      </c>
      <c r="D431" s="3" t="inlineStr">
        <is>
          <t>OBT140125153639-Ebenfurth (beet loading)</t>
        </is>
      </c>
      <c r="E431" s="10" t="n">
        <v>45671.65045138889</v>
      </c>
      <c r="F431" s="10" t="n">
        <v>45671.67856481481</v>
      </c>
      <c r="G431" s="11">
        <f>IF(AND(ISNUMBER(C431),ISNUMBER(E431)),(E431-C431),"")</f>
        <v/>
      </c>
      <c r="H431" s="11">
        <f>IF(AND(ISNUMBER(C431),ISNUMBER(F431)),(F431-C431),"")</f>
        <v/>
      </c>
    </row>
    <row r="432">
      <c r="A432" s="3" t="inlineStr">
        <is>
          <t>1011106</t>
        </is>
      </c>
      <c r="B432" s="3" t="inlineStr">
        <is>
          <t>627</t>
        </is>
      </c>
      <c r="C432" s="10" t="n">
        <v>45670.6453125</v>
      </c>
      <c r="D432" s="3" t="inlineStr">
        <is>
          <t>OBT140125102839-Wr. Neustadt (Brenntag)</t>
        </is>
      </c>
      <c r="E432" s="10" t="n">
        <v>45671.4365625</v>
      </c>
      <c r="F432" s="10" t="n">
        <v>45671.4805787037</v>
      </c>
      <c r="G432" s="11">
        <f>IF(AND(ISNUMBER(C432),ISNUMBER(E432)),(E432-C432),"")</f>
        <v/>
      </c>
      <c r="H432" s="11">
        <f>IF(AND(ISNUMBER(C432),ISNUMBER(F432)),(F432-C432),"")</f>
        <v/>
      </c>
    </row>
    <row r="433">
      <c r="A433" s="3" t="inlineStr">
        <is>
          <t>1011107</t>
        </is>
      </c>
      <c r="B433" s="3" t="inlineStr">
        <is>
          <t>605</t>
        </is>
      </c>
      <c r="C433" s="10" t="n">
        <v>45670.64704861111</v>
      </c>
      <c r="D433" s="3" t="inlineStr">
        <is>
          <t>OBT140125024930-Neunkirchen (loading tracks)</t>
        </is>
      </c>
      <c r="E433" s="10" t="n">
        <v>45671.11770833333</v>
      </c>
      <c r="F433" s="10" t="n">
        <v>45671.14112268519</v>
      </c>
      <c r="G433" s="11">
        <f>IF(AND(ISNUMBER(C433),ISNUMBER(E433)),(E433-C433),"")</f>
        <v/>
      </c>
      <c r="H433" s="11">
        <f>IF(AND(ISNUMBER(C433),ISNUMBER(F433)),(F433-C433),"")</f>
        <v/>
      </c>
    </row>
    <row r="434">
      <c r="A434" s="3" t="inlineStr">
        <is>
          <t>1011108</t>
        </is>
      </c>
      <c r="B434" s="3" t="inlineStr">
        <is>
          <t>619</t>
        </is>
      </c>
      <c r="C434" s="10" t="n">
        <v>45670.64909722222</v>
      </c>
      <c r="D434" s="3" t="inlineStr">
        <is>
          <t>OBT150125025656-Other sidings south</t>
        </is>
      </c>
      <c r="E434" s="10" t="n">
        <v>45672.12287037037</v>
      </c>
      <c r="F434" s="10" t="n">
        <v>45672.15613425926</v>
      </c>
      <c r="G434" s="11">
        <f>IF(AND(ISNUMBER(C434),ISNUMBER(E434)),(E434-C434),"")</f>
        <v/>
      </c>
      <c r="H434" s="11">
        <f>IF(AND(ISNUMBER(C434),ISNUMBER(F434)),(F434-C434),"")</f>
        <v/>
      </c>
    </row>
    <row r="435">
      <c r="A435" s="3" t="inlineStr">
        <is>
          <t>1011109</t>
        </is>
      </c>
      <c r="B435" s="3" t="inlineStr">
        <is>
          <t>621</t>
        </is>
      </c>
      <c r="C435" s="10" t="n">
        <v>45670.65105324074</v>
      </c>
      <c r="D435" s="3" t="inlineStr">
        <is>
          <t>OBT140125181252-Steinabrückl/Wöllersdorf</t>
        </is>
      </c>
      <c r="E435" s="10" t="n">
        <v>45671.75893518519</v>
      </c>
      <c r="F435" s="10" t="n">
        <v>45671.79916666666</v>
      </c>
      <c r="G435" s="11">
        <f>IF(AND(ISNUMBER(C435),ISNUMBER(E435)),(E435-C435),"")</f>
        <v/>
      </c>
      <c r="H435" s="11">
        <f>IF(AND(ISNUMBER(C435),ISNUMBER(F435)),(F435-C435),"")</f>
        <v/>
      </c>
    </row>
    <row r="436">
      <c r="A436" s="3" t="inlineStr">
        <is>
          <t>1011110</t>
        </is>
      </c>
      <c r="B436" s="3" t="inlineStr">
        <is>
          <t>629</t>
        </is>
      </c>
      <c r="C436" s="10" t="n">
        <v>45670.6530324074</v>
      </c>
      <c r="D436" s="3" t="inlineStr">
        <is>
          <t>OBT140125070727-Neudörfl (FunderMax)</t>
        </is>
      </c>
      <c r="E436" s="10" t="n">
        <v>45671.29684027778</v>
      </c>
      <c r="F436" s="10" t="n">
        <v>45671.3319212963</v>
      </c>
      <c r="G436" s="11">
        <f>IF(AND(ISNUMBER(C436),ISNUMBER(E436)),(E436-C436),"")</f>
        <v/>
      </c>
      <c r="H436" s="11">
        <f>IF(AND(ISNUMBER(C436),ISNUMBER(F436)),(F436-C436),"")</f>
        <v/>
      </c>
    </row>
    <row r="437">
      <c r="A437" s="3" t="inlineStr">
        <is>
          <t>1011111</t>
        </is>
      </c>
      <c r="B437" s="3" t="inlineStr">
        <is>
          <t>609</t>
        </is>
      </c>
      <c r="C437" s="10" t="n">
        <v>45670.65453703704</v>
      </c>
      <c r="D437" s="3" t="inlineStr">
        <is>
          <t>OBT130125155039-Wr. Neustadt Ausfahrbf (Furtenbach)</t>
        </is>
      </c>
      <c r="E437" s="10" t="n">
        <v>45670.66017361111</v>
      </c>
      <c r="F437" s="10" t="n">
        <v>45670.68358796297</v>
      </c>
      <c r="G437" s="11">
        <f>IF(AND(ISNUMBER(C437),ISNUMBER(E437)),(E437-C437),"")</f>
        <v/>
      </c>
      <c r="H437" s="11">
        <f>IF(AND(ISNUMBER(C437),ISNUMBER(F437)),(F437-C437),"")</f>
        <v/>
      </c>
    </row>
    <row r="438">
      <c r="A438" s="3" t="inlineStr">
        <is>
          <t>1011201</t>
        </is>
      </c>
      <c r="B438" s="3" t="inlineStr">
        <is>
          <t>611</t>
        </is>
      </c>
      <c r="C438" s="10" t="n">
        <v>45670.65763888889</v>
      </c>
      <c r="D438" s="3" t="inlineStr">
        <is>
          <t>OBT130125155053-Wien Kledering</t>
        </is>
      </c>
      <c r="E438" s="10" t="n">
        <v>45670.66033564815</v>
      </c>
      <c r="F438" s="10" t="n">
        <v>45670.73616898148</v>
      </c>
      <c r="G438" s="11">
        <f>IF(AND(ISNUMBER(C438),ISNUMBER(E438)),(E438-C438),"")</f>
        <v/>
      </c>
      <c r="H438" s="11">
        <f>IF(AND(ISNUMBER(C438),ISNUMBER(F438)),(F438-C438),"")</f>
        <v/>
      </c>
    </row>
    <row r="439">
      <c r="A439" s="3" t="inlineStr">
        <is>
          <t>1011301</t>
        </is>
      </c>
      <c r="B439" s="3" t="inlineStr">
        <is>
          <t>606</t>
        </is>
      </c>
      <c r="C439" s="10" t="n">
        <v>45670.67972222222</v>
      </c>
      <c r="D439" s="3" t="inlineStr">
        <is>
          <t>OBT130125163000-St. Veit an der Glan</t>
        </is>
      </c>
      <c r="E439" s="10" t="n">
        <v>45670.6875</v>
      </c>
      <c r="F439" s="10" t="n">
        <v>45670.7246875</v>
      </c>
      <c r="G439" s="11">
        <f>IF(AND(ISNUMBER(C439),ISNUMBER(E439)),(E439-C439),"")</f>
        <v/>
      </c>
      <c r="H439" s="11">
        <f>IF(AND(ISNUMBER(C439),ISNUMBER(F439)),(F439-C439),"")</f>
        <v/>
      </c>
    </row>
    <row r="440">
      <c r="A440" s="3" t="inlineStr">
        <is>
          <t>1011302</t>
        </is>
      </c>
      <c r="B440" s="3" t="inlineStr">
        <is>
          <t>625</t>
        </is>
      </c>
      <c r="C440" s="10" t="n">
        <v>45670.68224537037</v>
      </c>
      <c r="D440" s="3" t="inlineStr">
        <is>
          <t>OBT130125162753-Wien Kledering</t>
        </is>
      </c>
      <c r="E440" s="10" t="n">
        <v>45670.68603009259</v>
      </c>
      <c r="F440" s="10" t="n">
        <v>45670.7278125</v>
      </c>
      <c r="G440" s="11">
        <f>IF(AND(ISNUMBER(C440),ISNUMBER(E440)),(E440-C440),"")</f>
        <v/>
      </c>
      <c r="H440" s="11">
        <f>IF(AND(ISNUMBER(C440),ISNUMBER(F440)),(F440-C440),"")</f>
        <v/>
      </c>
    </row>
    <row r="441">
      <c r="A441" s="3" t="inlineStr">
        <is>
          <t>1011401</t>
        </is>
      </c>
      <c r="B441" s="3" t="inlineStr">
        <is>
          <t>615</t>
        </is>
      </c>
      <c r="C441" s="10" t="n">
        <v>45670.73548611111</v>
      </c>
      <c r="D441" s="3" t="inlineStr">
        <is>
          <t>OBT130125174233-Wien Kledering</t>
        </is>
      </c>
      <c r="E441" s="10" t="n">
        <v>45670.73788194444</v>
      </c>
      <c r="F441" s="10" t="n">
        <v>45670.77193287037</v>
      </c>
      <c r="G441" s="11">
        <f>IF(AND(ISNUMBER(C441),ISNUMBER(E441)),(E441-C441),"")</f>
        <v/>
      </c>
      <c r="H441" s="11">
        <f>IF(AND(ISNUMBER(C441),ISNUMBER(F441)),(F441-C441),"")</f>
        <v/>
      </c>
    </row>
    <row r="442">
      <c r="A442" s="3" t="inlineStr">
        <is>
          <t>1011501</t>
        </is>
      </c>
      <c r="B442" s="3" t="inlineStr">
        <is>
          <t>615</t>
        </is>
      </c>
      <c r="C442" s="10" t="n">
        <v>45670.88920138889</v>
      </c>
      <c r="D442" s="3" t="inlineStr">
        <is>
          <t>OBT130125212354-Wien Kledering</t>
        </is>
      </c>
      <c r="E442" s="10" t="n">
        <v>45670.89159722222</v>
      </c>
      <c r="F442" s="10" t="n">
        <v>45670.96137731482</v>
      </c>
      <c r="G442" s="11">
        <f>IF(AND(ISNUMBER(C442),ISNUMBER(E442)),(E442-C442),"")</f>
        <v/>
      </c>
      <c r="H442" s="11">
        <f>IF(AND(ISNUMBER(C442),ISNUMBER(F442)),(F442-C442),"")</f>
        <v/>
      </c>
    </row>
    <row r="443">
      <c r="A443" s="3" t="inlineStr">
        <is>
          <t>1011601</t>
        </is>
      </c>
      <c r="B443" s="3" t="inlineStr">
        <is>
          <t>605</t>
        </is>
      </c>
      <c r="C443" s="10" t="n">
        <v>45671.11414351852</v>
      </c>
      <c r="D443" s="3" t="inlineStr">
        <is>
          <t>OBT140125024930-Neunkirchen (loading tracks)</t>
        </is>
      </c>
      <c r="E443" s="10" t="n">
        <v>45671.11770833333</v>
      </c>
      <c r="F443" s="10" t="n">
        <v>45671.14112268519</v>
      </c>
      <c r="G443" s="11">
        <f>IF(AND(ISNUMBER(C443),ISNUMBER(E443)),(E443-C443),"")</f>
        <v/>
      </c>
      <c r="H443" s="11">
        <f>IF(AND(ISNUMBER(C443),ISNUMBER(F443)),(F443-C443),"")</f>
        <v/>
      </c>
    </row>
    <row r="444">
      <c r="A444" s="3" t="inlineStr">
        <is>
          <t>1011602</t>
        </is>
      </c>
      <c r="B444" s="3" t="inlineStr">
        <is>
          <t>617</t>
        </is>
      </c>
      <c r="C444" s="10" t="n">
        <v>45671.11541666667</v>
      </c>
      <c r="D444" s="3" t="inlineStr">
        <is>
          <t>OBT140125181642-Ternitz (Schoeller-Bleckmann)</t>
        </is>
      </c>
      <c r="E444" s="10" t="n">
        <v>45671.76159722222</v>
      </c>
      <c r="F444" s="10" t="n">
        <v>45671.79550925926</v>
      </c>
      <c r="G444" s="11">
        <f>IF(AND(ISNUMBER(C444),ISNUMBER(E444)),(E444-C444),"")</f>
        <v/>
      </c>
      <c r="H444" s="11">
        <f>IF(AND(ISNUMBER(C444),ISNUMBER(F444)),(F444-C444),"")</f>
        <v/>
      </c>
    </row>
    <row r="445">
      <c r="A445" s="3" t="inlineStr">
        <is>
          <t>1011603</t>
        </is>
      </c>
      <c r="B445" s="3" t="inlineStr">
        <is>
          <t>619</t>
        </is>
      </c>
      <c r="C445" s="10" t="n">
        <v>45671.11736111111</v>
      </c>
      <c r="D445" s="3" t="inlineStr">
        <is>
          <t>OBT150125025656-Other sidings south</t>
        </is>
      </c>
      <c r="E445" s="10" t="n">
        <v>45672.12287037037</v>
      </c>
      <c r="F445" s="10" t="n">
        <v>45672.15613425926</v>
      </c>
      <c r="G445" s="11">
        <f>IF(AND(ISNUMBER(C445),ISNUMBER(E445)),(E445-C445),"")</f>
        <v/>
      </c>
      <c r="H445" s="11">
        <f>IF(AND(ISNUMBER(C445),ISNUMBER(F445)),(F445-C445),"")</f>
        <v/>
      </c>
    </row>
    <row r="446">
      <c r="A446" s="3" t="inlineStr">
        <is>
          <t>1011604</t>
        </is>
      </c>
      <c r="B446" s="3" t="inlineStr">
        <is>
          <t>627</t>
        </is>
      </c>
      <c r="C446" s="10" t="n">
        <v>45671.11928240741</v>
      </c>
      <c r="D446" s="3" t="inlineStr">
        <is>
          <t>OBT140125102839-Wr. Neustadt (Brenntag)</t>
        </is>
      </c>
      <c r="E446" s="10" t="n">
        <v>45671.4365625</v>
      </c>
      <c r="F446" s="10" t="n">
        <v>45671.4805787037</v>
      </c>
      <c r="G446" s="11">
        <f>IF(AND(ISNUMBER(C446),ISNUMBER(E446)),(E446-C446),"")</f>
        <v/>
      </c>
      <c r="H446" s="11">
        <f>IF(AND(ISNUMBER(C446),ISNUMBER(F446)),(F446-C446),"")</f>
        <v/>
      </c>
    </row>
    <row r="447">
      <c r="A447" s="3" t="inlineStr">
        <is>
          <t>1011701</t>
        </is>
      </c>
      <c r="B447" s="3" t="inlineStr">
        <is>
          <t>615</t>
        </is>
      </c>
      <c r="C447" s="10" t="n">
        <v>45671.28072916667</v>
      </c>
      <c r="D447" s="3" t="inlineStr">
        <is>
          <t>OBT140125064740-Wien Kledering</t>
        </is>
      </c>
      <c r="E447" s="10" t="n">
        <v>45671.28310185186</v>
      </c>
      <c r="F447" s="10" t="n">
        <v>45671.33668981482</v>
      </c>
      <c r="G447" s="11">
        <f>IF(AND(ISNUMBER(C447),ISNUMBER(E447)),(E447-C447),"")</f>
        <v/>
      </c>
      <c r="H447" s="11">
        <f>IF(AND(ISNUMBER(C447),ISNUMBER(F447)),(F447-C447),"")</f>
        <v/>
      </c>
    </row>
    <row r="448">
      <c r="A448" s="3" t="inlineStr">
        <is>
          <t>1011801</t>
        </is>
      </c>
      <c r="B448" s="3" t="inlineStr">
        <is>
          <t>629</t>
        </is>
      </c>
      <c r="C448" s="10" t="n">
        <v>45671.29293981481</v>
      </c>
      <c r="D448" s="3" t="inlineStr">
        <is>
          <t>OBT140125070727-Neudörfl (FunderMax)</t>
        </is>
      </c>
      <c r="E448" s="10" t="n">
        <v>45671.29684027778</v>
      </c>
      <c r="F448" s="10" t="n">
        <v>45671.3319212963</v>
      </c>
      <c r="G448" s="11">
        <f>IF(AND(ISNUMBER(C448),ISNUMBER(E448)),(E448-C448),"")</f>
        <v/>
      </c>
      <c r="H448" s="11">
        <f>IF(AND(ISNUMBER(C448),ISNUMBER(F448)),(F448-C448),"")</f>
        <v/>
      </c>
    </row>
    <row r="449">
      <c r="A449" s="3" t="inlineStr">
        <is>
          <t>1011802</t>
        </is>
      </c>
      <c r="B449" s="3" t="inlineStr">
        <is>
          <t>613</t>
        </is>
      </c>
      <c r="C449" s="10" t="n">
        <v>45671.29431712963</v>
      </c>
      <c r="D449" s="3" t="inlineStr">
        <is>
          <t>OBT140125070928-Pitten (Hamburger)</t>
        </is>
      </c>
      <c r="E449" s="10" t="n">
        <v>45671.29824074074</v>
      </c>
      <c r="F449" s="10" t="n">
        <v>45671.32736111111</v>
      </c>
      <c r="G449" s="11">
        <f>IF(AND(ISNUMBER(C449),ISNUMBER(E449)),(E449-C449),"")</f>
        <v/>
      </c>
      <c r="H449" s="11">
        <f>IF(AND(ISNUMBER(C449),ISNUMBER(F449)),(F449-C449),"")</f>
        <v/>
      </c>
    </row>
    <row r="450">
      <c r="A450" s="3" t="inlineStr">
        <is>
          <t>1011803</t>
        </is>
      </c>
      <c r="B450" s="3" t="inlineStr">
        <is>
          <t>625</t>
        </is>
      </c>
      <c r="C450" s="10" t="n">
        <v>45671.29640046296</v>
      </c>
      <c r="D450" s="3" t="inlineStr">
        <is>
          <t>OBT140125101210-Wr. Neustadt (Hödlmayr)</t>
        </is>
      </c>
      <c r="E450" s="10" t="n">
        <v>45671.42511574074</v>
      </c>
      <c r="F450" s="10" t="n">
        <v>45671.47013888889</v>
      </c>
      <c r="G450" s="11">
        <f>IF(AND(ISNUMBER(C450),ISNUMBER(E450)),(E450-C450),"")</f>
        <v/>
      </c>
      <c r="H450" s="11">
        <f>IF(AND(ISNUMBER(C450),ISNUMBER(F450)),(F450-C450),"")</f>
        <v/>
      </c>
    </row>
    <row r="451">
      <c r="A451" s="3" t="inlineStr">
        <is>
          <t>1011804</t>
        </is>
      </c>
      <c r="B451" s="3" t="inlineStr">
        <is>
          <t>605</t>
        </is>
      </c>
      <c r="C451" s="10" t="n">
        <v>45671.29811342592</v>
      </c>
      <c r="D451" s="3" t="inlineStr">
        <is>
          <t>OBT140125101947-Other sidings north</t>
        </is>
      </c>
      <c r="E451" s="10" t="n">
        <v>45671.43040509259</v>
      </c>
      <c r="F451" s="10" t="n">
        <v>45671.45814814815</v>
      </c>
      <c r="G451" s="11">
        <f>IF(AND(ISNUMBER(C451),ISNUMBER(E451)),(E451-C451),"")</f>
        <v/>
      </c>
      <c r="H451" s="11">
        <f>IF(AND(ISNUMBER(C451),ISNUMBER(F451)),(F451-C451),"")</f>
        <v/>
      </c>
    </row>
    <row r="452">
      <c r="A452" s="3" t="inlineStr">
        <is>
          <t>1011805</t>
        </is>
      </c>
      <c r="B452" s="3" t="inlineStr">
        <is>
          <t>617</t>
        </is>
      </c>
      <c r="C452" s="10" t="n">
        <v>45671.29942129629</v>
      </c>
      <c r="D452" s="3" t="inlineStr">
        <is>
          <t>OBT140125181642-Ternitz (Schoeller-Bleckmann)</t>
        </is>
      </c>
      <c r="E452" s="10" t="n">
        <v>45671.76159722222</v>
      </c>
      <c r="F452" s="10" t="n">
        <v>45671.79550925926</v>
      </c>
      <c r="G452" s="11">
        <f>IF(AND(ISNUMBER(C452),ISNUMBER(E452)),(E452-C452),"")</f>
        <v/>
      </c>
      <c r="H452" s="11">
        <f>IF(AND(ISNUMBER(C452),ISNUMBER(F452)),(F452-C452),"")</f>
        <v/>
      </c>
    </row>
    <row r="453">
      <c r="A453" s="3" t="inlineStr">
        <is>
          <t>1011806</t>
        </is>
      </c>
      <c r="B453" s="3" t="inlineStr">
        <is>
          <t>625</t>
        </is>
      </c>
      <c r="C453" s="10" t="n">
        <v>45671.30144675926</v>
      </c>
      <c r="D453" s="3" t="inlineStr">
        <is>
          <t>OBT140125101210-Wr. Neustadt (Hödlmayr)</t>
        </is>
      </c>
      <c r="E453" s="10" t="n">
        <v>45671.42511574074</v>
      </c>
      <c r="F453" s="10" t="n">
        <v>45671.47013888889</v>
      </c>
      <c r="G453" s="11">
        <f>IF(AND(ISNUMBER(C453),ISNUMBER(E453)),(E453-C453),"")</f>
        <v/>
      </c>
      <c r="H453" s="11">
        <f>IF(AND(ISNUMBER(C453),ISNUMBER(F453)),(F453-C453),"")</f>
        <v/>
      </c>
    </row>
    <row r="454">
      <c r="A454" s="3" t="inlineStr">
        <is>
          <t>1011807</t>
        </is>
      </c>
      <c r="B454" s="3" t="inlineStr">
        <is>
          <t>605</t>
        </is>
      </c>
      <c r="C454" s="10" t="n">
        <v>45671.30319444444</v>
      </c>
      <c r="D454" s="3" t="inlineStr">
        <is>
          <t>OBT140125101947-Other sidings north</t>
        </is>
      </c>
      <c r="E454" s="10" t="n">
        <v>45671.43040509259</v>
      </c>
      <c r="F454" s="10" t="n">
        <v>45671.45814814815</v>
      </c>
      <c r="G454" s="11">
        <f>IF(AND(ISNUMBER(C454),ISNUMBER(E454)),(E454-C454),"")</f>
        <v/>
      </c>
      <c r="H454" s="11">
        <f>IF(AND(ISNUMBER(C454),ISNUMBER(F454)),(F454-C454),"")</f>
        <v/>
      </c>
    </row>
    <row r="455">
      <c r="A455" s="3" t="inlineStr">
        <is>
          <t>1011901</t>
        </is>
      </c>
      <c r="B455" s="3" t="inlineStr">
        <is>
          <t>606</t>
        </is>
      </c>
      <c r="C455" s="10" t="n">
        <v>45671.31490740741</v>
      </c>
      <c r="D455" s="3" t="inlineStr">
        <is>
          <t>OBT140125075443-Wien Kledering</t>
        </is>
      </c>
      <c r="E455" s="10" t="n">
        <v>45671.32966435186</v>
      </c>
      <c r="F455" s="10" t="n">
        <v>45671.36945601852</v>
      </c>
      <c r="G455" s="11">
        <f>IF(AND(ISNUMBER(C455),ISNUMBER(E455)),(E455-C455),"")</f>
        <v/>
      </c>
      <c r="H455" s="11">
        <f>IF(AND(ISNUMBER(C455),ISNUMBER(F455)),(F455-C455),"")</f>
        <v/>
      </c>
    </row>
    <row r="456">
      <c r="A456" s="3" t="inlineStr">
        <is>
          <t>1012001</t>
        </is>
      </c>
      <c r="B456" s="3" t="inlineStr">
        <is>
          <t>613</t>
        </is>
      </c>
      <c r="C456" s="10" t="n">
        <v>45671.34474537037</v>
      </c>
      <c r="D456" s="3" t="inlineStr">
        <is>
          <t>OBT140125081951-Wien Kledering</t>
        </is>
      </c>
      <c r="E456" s="10" t="n">
        <v>45671.34711805556</v>
      </c>
      <c r="F456" s="10" t="n">
        <v>45671.41699074074</v>
      </c>
      <c r="G456" s="11">
        <f>IF(AND(ISNUMBER(C456),ISNUMBER(E456)),(E456-C456),"")</f>
        <v/>
      </c>
      <c r="H456" s="11">
        <f>IF(AND(ISNUMBER(C456),ISNUMBER(F456)),(F456-C456),"")</f>
        <v/>
      </c>
    </row>
    <row r="457">
      <c r="A457" s="3" t="inlineStr">
        <is>
          <t>1012201</t>
        </is>
      </c>
      <c r="B457" s="3" t="inlineStr">
        <is>
          <t>629</t>
        </is>
      </c>
      <c r="C457" s="10" t="n">
        <v>45671.39123842592</v>
      </c>
      <c r="D457" s="3" t="inlineStr">
        <is>
          <t>OBT140125093437-St. Veit an der Glan</t>
        </is>
      </c>
      <c r="E457" s="10" t="n">
        <v>45671.39903935185</v>
      </c>
      <c r="F457" s="10" t="n">
        <v>45671.42376157407</v>
      </c>
      <c r="G457" s="11">
        <f>IF(AND(ISNUMBER(C457),ISNUMBER(E457)),(E457-C457),"")</f>
        <v/>
      </c>
      <c r="H457" s="11">
        <f>IF(AND(ISNUMBER(C457),ISNUMBER(F457)),(F457-C457),"")</f>
        <v/>
      </c>
    </row>
    <row r="458">
      <c r="A458" s="3" t="inlineStr">
        <is>
          <t>1012202</t>
        </is>
      </c>
      <c r="B458" s="3" t="inlineStr">
        <is>
          <t>607</t>
        </is>
      </c>
      <c r="C458" s="10" t="n">
        <v>45671.39342592593</v>
      </c>
      <c r="D458" s="3" t="inlineStr">
        <is>
          <t>OBT140125093209-Obereggendorf (Hofer)</t>
        </is>
      </c>
      <c r="E458" s="10" t="n">
        <v>45671.39732638889</v>
      </c>
      <c r="F458" s="10" t="n">
        <v>45671.45953703704</v>
      </c>
      <c r="G458" s="11">
        <f>IF(AND(ISNUMBER(C458),ISNUMBER(E458)),(E458-C458),"")</f>
        <v/>
      </c>
      <c r="H458" s="11">
        <f>IF(AND(ISNUMBER(C458),ISNUMBER(F458)),(F458-C458),"")</f>
        <v/>
      </c>
    </row>
    <row r="459">
      <c r="A459" s="3" t="inlineStr">
        <is>
          <t>1012203</t>
        </is>
      </c>
      <c r="B459" s="3" t="inlineStr">
        <is>
          <t>629</t>
        </is>
      </c>
      <c r="C459" s="10" t="n">
        <v>45671.39546296297</v>
      </c>
      <c r="D459" s="3" t="inlineStr">
        <is>
          <t>OBT140125093437-St. Veit an der Glan</t>
        </is>
      </c>
      <c r="E459" s="10" t="n">
        <v>45671.39903935185</v>
      </c>
      <c r="F459" s="10" t="n">
        <v>45671.42376157407</v>
      </c>
      <c r="G459" s="11">
        <f>IF(AND(ISNUMBER(C459),ISNUMBER(E459)),(E459-C459),"")</f>
        <v/>
      </c>
      <c r="H459" s="11">
        <f>IF(AND(ISNUMBER(C459),ISNUMBER(F459)),(F459-C459),"")</f>
        <v/>
      </c>
    </row>
    <row r="460">
      <c r="A460" s="3" t="inlineStr">
        <is>
          <t>1012101</t>
        </is>
      </c>
      <c r="B460" s="3" t="inlineStr">
        <is>
          <t>605</t>
        </is>
      </c>
      <c r="C460" s="10" t="n">
        <v>45671.40003472222</v>
      </c>
      <c r="D460" s="3" t="inlineStr">
        <is>
          <t>OBT140125101947-Other sidings north</t>
        </is>
      </c>
      <c r="E460" s="10" t="n">
        <v>45671.43040509259</v>
      </c>
      <c r="F460" s="10" t="n">
        <v>45671.45814814815</v>
      </c>
      <c r="G460" s="11">
        <f>IF(AND(ISNUMBER(C460),ISNUMBER(E460)),(E460-C460),"")</f>
        <v/>
      </c>
      <c r="H460" s="11">
        <f>IF(AND(ISNUMBER(C460),ISNUMBER(F460)),(F460-C460),"")</f>
        <v/>
      </c>
    </row>
    <row r="461">
      <c r="A461" s="3" t="inlineStr">
        <is>
          <t>1012102</t>
        </is>
      </c>
      <c r="B461" s="3" t="inlineStr">
        <is>
          <t>615</t>
        </is>
      </c>
      <c r="C461" s="10" t="n">
        <v>45671.40118055556</v>
      </c>
      <c r="D461" s="3" t="inlineStr">
        <is>
          <t>OBT140125153802-Neudörfl (FunderMax)</t>
        </is>
      </c>
      <c r="E461" s="10" t="n">
        <v>45671.65141203703</v>
      </c>
      <c r="F461" s="10" t="n">
        <v>45671.69326388889</v>
      </c>
      <c r="G461" s="11">
        <f>IF(AND(ISNUMBER(C461),ISNUMBER(E461)),(E461-C461),"")</f>
        <v/>
      </c>
      <c r="H461" s="11">
        <f>IF(AND(ISNUMBER(C461),ISNUMBER(F461)),(F461-C461),"")</f>
        <v/>
      </c>
    </row>
    <row r="462">
      <c r="A462" s="3" t="inlineStr">
        <is>
          <t>1012103</t>
        </is>
      </c>
      <c r="B462" s="3" t="inlineStr">
        <is>
          <t>627</t>
        </is>
      </c>
      <c r="C462" s="10" t="n">
        <v>45671.40309027778</v>
      </c>
      <c r="D462" s="3" t="inlineStr">
        <is>
          <t>OBT140125102839-Wr. Neustadt (Brenntag)</t>
        </is>
      </c>
      <c r="E462" s="10" t="n">
        <v>45671.4365625</v>
      </c>
      <c r="F462" s="10" t="n">
        <v>45671.4805787037</v>
      </c>
      <c r="G462" s="11">
        <f>IF(AND(ISNUMBER(C462),ISNUMBER(E462)),(E462-C462),"")</f>
        <v/>
      </c>
      <c r="H462" s="11">
        <f>IF(AND(ISNUMBER(C462),ISNUMBER(F462)),(F462-C462),"")</f>
        <v/>
      </c>
    </row>
    <row r="463">
      <c r="A463" s="3" t="inlineStr">
        <is>
          <t>1012104</t>
        </is>
      </c>
      <c r="B463" s="3" t="inlineStr">
        <is>
          <t>625</t>
        </is>
      </c>
      <c r="C463" s="10" t="n">
        <v>45671.40530092592</v>
      </c>
      <c r="D463" s="3" t="inlineStr">
        <is>
          <t>OBT140125101210-Wr. Neustadt (Hödlmayr)</t>
        </is>
      </c>
      <c r="E463" s="10" t="n">
        <v>45671.42511574074</v>
      </c>
      <c r="F463" s="10" t="n">
        <v>45671.47013888889</v>
      </c>
      <c r="G463" s="11">
        <f>IF(AND(ISNUMBER(C463),ISNUMBER(E463)),(E463-C463),"")</f>
        <v/>
      </c>
      <c r="H463" s="11">
        <f>IF(AND(ISNUMBER(C463),ISNUMBER(F463)),(F463-C463),"")</f>
        <v/>
      </c>
    </row>
    <row r="464">
      <c r="A464" s="3" t="inlineStr">
        <is>
          <t>1012105</t>
        </is>
      </c>
      <c r="B464" s="3" t="inlineStr">
        <is>
          <t>606</t>
        </is>
      </c>
      <c r="C464" s="10" t="n">
        <v>45671.40706018519</v>
      </c>
      <c r="D464" s="3" t="inlineStr">
        <is>
          <t>OBT150125024833-Neunkirchen (loading tracks)</t>
        </is>
      </c>
      <c r="E464" s="10" t="n">
        <v>45672.11704861111</v>
      </c>
      <c r="F464" s="10" t="n">
        <v>45672.15517361111</v>
      </c>
      <c r="G464" s="11">
        <f>IF(AND(ISNUMBER(C464),ISNUMBER(E464)),(E464-C464),"")</f>
        <v/>
      </c>
      <c r="H464" s="11">
        <f>IF(AND(ISNUMBER(C464),ISNUMBER(F464)),(F464-C464),"")</f>
        <v/>
      </c>
    </row>
    <row r="465">
      <c r="A465" s="3" t="inlineStr">
        <is>
          <t>1012106</t>
        </is>
      </c>
      <c r="B465" s="3" t="inlineStr">
        <is>
          <t>619</t>
        </is>
      </c>
      <c r="C465" s="10" t="n">
        <v>45671.40898148148</v>
      </c>
      <c r="D465" s="3" t="inlineStr">
        <is>
          <t>OBT150125025656-Other sidings south</t>
        </is>
      </c>
      <c r="E465" s="10" t="n">
        <v>45672.12287037037</v>
      </c>
      <c r="F465" s="10" t="n">
        <v>45672.15613425926</v>
      </c>
      <c r="G465" s="11">
        <f>IF(AND(ISNUMBER(C465),ISNUMBER(E465)),(E465-C465),"")</f>
        <v/>
      </c>
      <c r="H465" s="11">
        <f>IF(AND(ISNUMBER(C465),ISNUMBER(F465)),(F465-C465),"")</f>
        <v/>
      </c>
    </row>
    <row r="466">
      <c r="A466" s="3" t="inlineStr">
        <is>
          <t>1012107</t>
        </is>
      </c>
      <c r="B466" s="3" t="inlineStr">
        <is>
          <t>609</t>
        </is>
      </c>
      <c r="C466" s="10" t="n">
        <v>45671.41046296297</v>
      </c>
      <c r="D466" s="3" t="inlineStr">
        <is>
          <t>OBT140125153402-Felixdorf/Sollenau (Bundesheer, Maba)</t>
        </is>
      </c>
      <c r="E466" s="10" t="n">
        <v>45671.64863425926</v>
      </c>
      <c r="F466" s="10" t="n">
        <v>45671.66858796297</v>
      </c>
      <c r="G466" s="11">
        <f>IF(AND(ISNUMBER(C466),ISNUMBER(E466)),(E466-C466),"")</f>
        <v/>
      </c>
      <c r="H466" s="11">
        <f>IF(AND(ISNUMBER(C466),ISNUMBER(F466)),(F466-C466),"")</f>
        <v/>
      </c>
    </row>
    <row r="467">
      <c r="A467" s="3" t="inlineStr">
        <is>
          <t>1012108</t>
        </is>
      </c>
      <c r="B467" s="3" t="inlineStr">
        <is>
          <t>615</t>
        </is>
      </c>
      <c r="C467" s="10" t="n">
        <v>45671.41159722222</v>
      </c>
      <c r="D467" s="3" t="inlineStr">
        <is>
          <t>OBT140125153802-Neudörfl (FunderMax)</t>
        </is>
      </c>
      <c r="E467" s="10" t="n">
        <v>45671.65141203703</v>
      </c>
      <c r="F467" s="10" t="n">
        <v>45671.69326388889</v>
      </c>
      <c r="G467" s="11">
        <f>IF(AND(ISNUMBER(C467),ISNUMBER(E467)),(E467-C467),"")</f>
        <v/>
      </c>
      <c r="H467" s="11">
        <f>IF(AND(ISNUMBER(C467),ISNUMBER(F467)),(F467-C467),"")</f>
        <v/>
      </c>
    </row>
    <row r="468">
      <c r="A468" s="3" t="inlineStr">
        <is>
          <t>1012109</t>
        </is>
      </c>
      <c r="B468" s="3" t="inlineStr">
        <is>
          <t>627</t>
        </is>
      </c>
      <c r="C468" s="10" t="n">
        <v>45671.41347222222</v>
      </c>
      <c r="D468" s="3" t="inlineStr">
        <is>
          <t>OBT140125102839-Wr. Neustadt (Brenntag)</t>
        </is>
      </c>
      <c r="E468" s="10" t="n">
        <v>45671.4365625</v>
      </c>
      <c r="F468" s="10" t="n">
        <v>45671.4805787037</v>
      </c>
      <c r="G468" s="11">
        <f>IF(AND(ISNUMBER(C468),ISNUMBER(E468)),(E468-C468),"")</f>
        <v/>
      </c>
      <c r="H468" s="11">
        <f>IF(AND(ISNUMBER(C468),ISNUMBER(F468)),(F468-C468),"")</f>
        <v/>
      </c>
    </row>
    <row r="469">
      <c r="A469" s="3" t="inlineStr">
        <is>
          <t>1012110</t>
        </is>
      </c>
      <c r="B469" s="3" t="inlineStr">
        <is>
          <t>605</t>
        </is>
      </c>
      <c r="C469" s="10" t="n">
        <v>45671.41520833333</v>
      </c>
      <c r="D469" s="3" t="inlineStr">
        <is>
          <t>OBT140125101947-Other sidings north</t>
        </is>
      </c>
      <c r="E469" s="10" t="n">
        <v>45671.43040509259</v>
      </c>
      <c r="F469" s="10" t="n">
        <v>45671.45814814815</v>
      </c>
      <c r="G469" s="11">
        <f>IF(AND(ISNUMBER(C469),ISNUMBER(E469)),(E469-C469),"")</f>
        <v/>
      </c>
      <c r="H469" s="11">
        <f>IF(AND(ISNUMBER(C469),ISNUMBER(F469)),(F469-C469),"")</f>
        <v/>
      </c>
    </row>
    <row r="470">
      <c r="A470" s="3" t="inlineStr">
        <is>
          <t>1012111</t>
        </is>
      </c>
      <c r="B470" s="3" t="inlineStr">
        <is>
          <t>623</t>
        </is>
      </c>
      <c r="C470" s="10" t="n">
        <v>45671.4169675926</v>
      </c>
      <c r="D470" s="3" t="inlineStr">
        <is>
          <t>OBT140125153639-Ebenfurth (beet loading)</t>
        </is>
      </c>
      <c r="E470" s="10" t="n">
        <v>45671.65045138889</v>
      </c>
      <c r="F470" s="10" t="n">
        <v>45671.67856481481</v>
      </c>
      <c r="G470" s="11">
        <f>IF(AND(ISNUMBER(C470),ISNUMBER(E470)),(E470-C470),"")</f>
        <v/>
      </c>
      <c r="H470" s="11">
        <f>IF(AND(ISNUMBER(C470),ISNUMBER(F470)),(F470-C470),"")</f>
        <v/>
      </c>
    </row>
    <row r="471">
      <c r="A471" s="3" t="inlineStr">
        <is>
          <t>1012112</t>
        </is>
      </c>
      <c r="B471" s="3" t="inlineStr">
        <is>
          <t>611</t>
        </is>
      </c>
      <c r="C471" s="10" t="n">
        <v>45671.41883101852</v>
      </c>
      <c r="D471" s="3" t="inlineStr">
        <is>
          <t>OBT140125102734-Pitten (Hamburger)</t>
        </is>
      </c>
      <c r="E471" s="10" t="n">
        <v>45671.43581018518</v>
      </c>
      <c r="F471" s="10" t="n">
        <v>45671.57418981481</v>
      </c>
      <c r="G471" s="11">
        <f>IF(AND(ISNUMBER(C471),ISNUMBER(E471)),(E471-C471),"")</f>
        <v/>
      </c>
      <c r="H471" s="11">
        <f>IF(AND(ISNUMBER(C471),ISNUMBER(F471)),(F471-C471),"")</f>
        <v/>
      </c>
    </row>
    <row r="472">
      <c r="A472" s="3" t="inlineStr">
        <is>
          <t>1012113</t>
        </is>
      </c>
      <c r="B472" s="3" t="inlineStr">
        <is>
          <t>627</t>
        </is>
      </c>
      <c r="C472" s="10" t="n">
        <v>45671.42071759259</v>
      </c>
      <c r="D472" s="3" t="inlineStr">
        <is>
          <t>OBT140125102839-Wr. Neustadt (Brenntag)</t>
        </is>
      </c>
      <c r="E472" s="10" t="n">
        <v>45671.4365625</v>
      </c>
      <c r="F472" s="10" t="n">
        <v>45671.4805787037</v>
      </c>
      <c r="G472" s="11">
        <f>IF(AND(ISNUMBER(C472),ISNUMBER(E472)),(E472-C472),"")</f>
        <v/>
      </c>
      <c r="H472" s="11">
        <f>IF(AND(ISNUMBER(C472),ISNUMBER(F472)),(F472-C472),"")</f>
        <v/>
      </c>
    </row>
    <row r="473">
      <c r="A473" s="3" t="inlineStr">
        <is>
          <t>1012301</t>
        </is>
      </c>
      <c r="B473" s="3" t="inlineStr">
        <is>
          <t>609</t>
        </is>
      </c>
      <c r="C473" s="10" t="n">
        <v>45671.42310185185</v>
      </c>
      <c r="D473" s="3" t="inlineStr">
        <is>
          <t>OBT140125153402-Felixdorf/Sollenau (Bundesheer, Maba)</t>
        </is>
      </c>
      <c r="E473" s="10" t="n">
        <v>45671.64863425926</v>
      </c>
      <c r="F473" s="10" t="n">
        <v>45671.66858796297</v>
      </c>
      <c r="G473" s="11">
        <f>IF(AND(ISNUMBER(C473),ISNUMBER(E473)),(E473-C473),"")</f>
        <v/>
      </c>
      <c r="H473" s="11">
        <f>IF(AND(ISNUMBER(C473),ISNUMBER(F473)),(F473-C473),"")</f>
        <v/>
      </c>
    </row>
    <row r="474">
      <c r="A474" s="3" t="inlineStr">
        <is>
          <t>1012302</t>
        </is>
      </c>
      <c r="B474" s="3" t="inlineStr">
        <is>
          <t>611</t>
        </is>
      </c>
      <c r="C474" s="10" t="n">
        <v>45671.42541666667</v>
      </c>
      <c r="D474" s="3" t="inlineStr">
        <is>
          <t>OBT140125102734-Pitten (Hamburger)</t>
        </is>
      </c>
      <c r="E474" s="10" t="n">
        <v>45671.43581018518</v>
      </c>
      <c r="F474" s="10" t="n">
        <v>45671.57418981481</v>
      </c>
      <c r="G474" s="11">
        <f>IF(AND(ISNUMBER(C474),ISNUMBER(E474)),(E474-C474),"")</f>
        <v/>
      </c>
      <c r="H474" s="11">
        <f>IF(AND(ISNUMBER(C474),ISNUMBER(F474)),(F474-C474),"")</f>
        <v/>
      </c>
    </row>
    <row r="475">
      <c r="A475" s="3" t="inlineStr">
        <is>
          <t>1012401</t>
        </is>
      </c>
      <c r="B475" s="3" t="inlineStr">
        <is>
          <t>611</t>
        </is>
      </c>
      <c r="C475" s="10" t="n">
        <v>45671.54584490741</v>
      </c>
      <c r="D475" s="3" t="inlineStr">
        <is>
          <t>OBT140125130928-Wien Kledering</t>
        </is>
      </c>
      <c r="E475" s="10" t="n">
        <v>45671.54824074074</v>
      </c>
      <c r="F475" s="10" t="n">
        <v>45671.60194444445</v>
      </c>
      <c r="G475" s="11">
        <f>IF(AND(ISNUMBER(C475),ISNUMBER(E475)),(E475-C475),"")</f>
        <v/>
      </c>
      <c r="H475" s="11">
        <f>IF(AND(ISNUMBER(C475),ISNUMBER(F475)),(F475-C475),"")</f>
        <v/>
      </c>
    </row>
    <row r="476">
      <c r="A476" s="3" t="inlineStr">
        <is>
          <t>1012501</t>
        </is>
      </c>
      <c r="B476" s="3" t="inlineStr">
        <is>
          <t>611</t>
        </is>
      </c>
      <c r="C476" s="10" t="n">
        <v>45671.60902777778</v>
      </c>
      <c r="D476" s="3" t="inlineStr">
        <is>
          <t>OBT140125144027-Wien Kledering</t>
        </is>
      </c>
      <c r="E476" s="10" t="n">
        <v>45671.61142361111</v>
      </c>
      <c r="F476" s="10" t="n">
        <v>45671.65244212963</v>
      </c>
      <c r="G476" s="11">
        <f>IF(AND(ISNUMBER(C476),ISNUMBER(E476)),(E476-C476),"")</f>
        <v/>
      </c>
      <c r="H476" s="11">
        <f>IF(AND(ISNUMBER(C476),ISNUMBER(F476)),(F476-C476),"")</f>
        <v/>
      </c>
    </row>
    <row r="477">
      <c r="A477" s="3" t="inlineStr">
        <is>
          <t>1012601</t>
        </is>
      </c>
      <c r="B477" s="3" t="inlineStr">
        <is>
          <t>617</t>
        </is>
      </c>
      <c r="C477" s="10" t="n">
        <v>45671.64315972223</v>
      </c>
      <c r="D477" s="3" t="inlineStr">
        <is>
          <t>OBT140125181642-Ternitz (Schoeller-Bleckmann)</t>
        </is>
      </c>
      <c r="E477" s="10" t="n">
        <v>45671.76159722222</v>
      </c>
      <c r="F477" s="10" t="n">
        <v>45671.79550925926</v>
      </c>
      <c r="G477" s="11">
        <f>IF(AND(ISNUMBER(C477),ISNUMBER(E477)),(E477-C477),"")</f>
        <v/>
      </c>
      <c r="H477" s="11">
        <f>IF(AND(ISNUMBER(C477),ISNUMBER(F477)),(F477-C477),"")</f>
        <v/>
      </c>
    </row>
    <row r="478">
      <c r="A478" s="3" t="inlineStr">
        <is>
          <t>1012602</t>
        </is>
      </c>
      <c r="B478" s="3" t="inlineStr">
        <is>
          <t>609</t>
        </is>
      </c>
      <c r="C478" s="10" t="n">
        <v>45671.6447337963</v>
      </c>
      <c r="D478" s="3" t="inlineStr">
        <is>
          <t>OBT140125153402-Felixdorf/Sollenau (Bundesheer, Maba)</t>
        </is>
      </c>
      <c r="E478" s="10" t="n">
        <v>45671.64863425926</v>
      </c>
      <c r="F478" s="10" t="n">
        <v>45671.66858796297</v>
      </c>
      <c r="G478" s="11">
        <f>IF(AND(ISNUMBER(C478),ISNUMBER(E478)),(E478-C478),"")</f>
        <v/>
      </c>
      <c r="H478" s="11">
        <f>IF(AND(ISNUMBER(C478),ISNUMBER(F478)),(F478-C478),"")</f>
        <v/>
      </c>
    </row>
    <row r="479">
      <c r="A479" s="3" t="inlineStr">
        <is>
          <t>1012603</t>
        </is>
      </c>
      <c r="B479" s="3" t="inlineStr">
        <is>
          <t>623</t>
        </is>
      </c>
      <c r="C479" s="10" t="n">
        <v>45671.64652777778</v>
      </c>
      <c r="D479" s="3" t="inlineStr">
        <is>
          <t>OBT140125153639-Ebenfurth (beet loading)</t>
        </is>
      </c>
      <c r="E479" s="10" t="n">
        <v>45671.65045138889</v>
      </c>
      <c r="F479" s="10" t="n">
        <v>45671.67856481481</v>
      </c>
      <c r="G479" s="11">
        <f>IF(AND(ISNUMBER(C479),ISNUMBER(E479)),(E479-C479),"")</f>
        <v/>
      </c>
      <c r="H479" s="11">
        <f>IF(AND(ISNUMBER(C479),ISNUMBER(F479)),(F479-C479),"")</f>
        <v/>
      </c>
    </row>
    <row r="480">
      <c r="A480" s="3" t="inlineStr">
        <is>
          <t>1012604</t>
        </is>
      </c>
      <c r="B480" s="3" t="inlineStr">
        <is>
          <t>615</t>
        </is>
      </c>
      <c r="C480" s="10" t="n">
        <v>45671.64784722222</v>
      </c>
      <c r="D480" s="3" t="inlineStr">
        <is>
          <t>OBT140125153802-Neudörfl (FunderMax)</t>
        </is>
      </c>
      <c r="E480" s="10" t="n">
        <v>45671.65141203703</v>
      </c>
      <c r="F480" s="10" t="n">
        <v>45671.69326388889</v>
      </c>
      <c r="G480" s="11">
        <f>IF(AND(ISNUMBER(C480),ISNUMBER(E480)),(E480-C480),"")</f>
        <v/>
      </c>
      <c r="H480" s="11">
        <f>IF(AND(ISNUMBER(C480),ISNUMBER(F480)),(F480-C480),"")</f>
        <v/>
      </c>
    </row>
    <row r="481">
      <c r="A481" s="3" t="inlineStr">
        <is>
          <t>1012605</t>
        </is>
      </c>
      <c r="B481" s="3" t="inlineStr">
        <is>
          <t>627</t>
        </is>
      </c>
      <c r="C481" s="10" t="n">
        <v>45671.64973379629</v>
      </c>
      <c r="D481" s="3" t="inlineStr">
        <is>
          <t>OBT140125155553-Gloggnitz</t>
        </is>
      </c>
      <c r="E481" s="10" t="n">
        <v>45671.66380787037</v>
      </c>
      <c r="F481" s="10" t="n">
        <v>45671.70430555556</v>
      </c>
      <c r="G481" s="11">
        <f>IF(AND(ISNUMBER(C481),ISNUMBER(E481)),(E481-C481),"")</f>
        <v/>
      </c>
      <c r="H481" s="11">
        <f>IF(AND(ISNUMBER(C481),ISNUMBER(F481)),(F481-C481),"")</f>
        <v/>
      </c>
    </row>
    <row r="482">
      <c r="A482" s="3" t="inlineStr">
        <is>
          <t>1012606</t>
        </is>
      </c>
      <c r="B482" s="3" t="inlineStr">
        <is>
          <t>613</t>
        </is>
      </c>
      <c r="C482" s="10" t="n">
        <v>45671.65131944444</v>
      </c>
      <c r="D482" s="3" t="inlineStr">
        <is>
          <t>OBT140125154219-Pitten (Hamburger)</t>
        </is>
      </c>
      <c r="E482" s="10" t="n">
        <v>45671.65438657408</v>
      </c>
      <c r="F482" s="10" t="n">
        <v>45671.70074074074</v>
      </c>
      <c r="G482" s="11">
        <f>IF(AND(ISNUMBER(C482),ISNUMBER(E482)),(E482-C482),"")</f>
        <v/>
      </c>
      <c r="H482" s="11">
        <f>IF(AND(ISNUMBER(C482),ISNUMBER(F482)),(F482-C482),"")</f>
        <v/>
      </c>
    </row>
    <row r="483">
      <c r="A483" s="3" t="inlineStr">
        <is>
          <t>1012607</t>
        </is>
      </c>
      <c r="B483" s="3" t="inlineStr">
        <is>
          <t>627</t>
        </is>
      </c>
      <c r="C483" s="10" t="n">
        <v>45671.65322916667</v>
      </c>
      <c r="D483" s="3" t="inlineStr">
        <is>
          <t>OBT140125155553-Gloggnitz</t>
        </is>
      </c>
      <c r="E483" s="10" t="n">
        <v>45671.66380787037</v>
      </c>
      <c r="F483" s="10" t="n">
        <v>45671.70430555556</v>
      </c>
      <c r="G483" s="11">
        <f>IF(AND(ISNUMBER(C483),ISNUMBER(E483)),(E483-C483),"")</f>
        <v/>
      </c>
      <c r="H483" s="11">
        <f>IF(AND(ISNUMBER(C483),ISNUMBER(F483)),(F483-C483),"")</f>
        <v/>
      </c>
    </row>
    <row r="484">
      <c r="A484" s="3" t="inlineStr">
        <is>
          <t>1012608</t>
        </is>
      </c>
      <c r="B484" s="3" t="inlineStr">
        <is>
          <t>617</t>
        </is>
      </c>
      <c r="C484" s="10" t="n">
        <v>45671.65449074074</v>
      </c>
      <c r="D484" s="3" t="inlineStr">
        <is>
          <t>OBT140125181642-Ternitz (Schoeller-Bleckmann)</t>
        </is>
      </c>
      <c r="E484" s="10" t="n">
        <v>45671.76159722222</v>
      </c>
      <c r="F484" s="10" t="n">
        <v>45671.79550925926</v>
      </c>
      <c r="G484" s="11">
        <f>IF(AND(ISNUMBER(C484),ISNUMBER(E484)),(E484-C484),"")</f>
        <v/>
      </c>
      <c r="H484" s="11">
        <f>IF(AND(ISNUMBER(C484),ISNUMBER(F484)),(F484-C484),"")</f>
        <v/>
      </c>
    </row>
    <row r="485">
      <c r="A485" s="3" t="inlineStr">
        <is>
          <t>1012609</t>
        </is>
      </c>
      <c r="B485" s="3" t="inlineStr">
        <is>
          <t>627</t>
        </is>
      </c>
      <c r="C485" s="10" t="n">
        <v>45671.65637731482</v>
      </c>
      <c r="D485" s="3" t="inlineStr">
        <is>
          <t>OBT140125155553-Gloggnitz</t>
        </is>
      </c>
      <c r="E485" s="10" t="n">
        <v>45671.66380787037</v>
      </c>
      <c r="F485" s="10" t="n">
        <v>45671.70430555556</v>
      </c>
      <c r="G485" s="11">
        <f>IF(AND(ISNUMBER(C485),ISNUMBER(E485)),(E485-C485),"")</f>
        <v/>
      </c>
      <c r="H485" s="11">
        <f>IF(AND(ISNUMBER(C485),ISNUMBER(F485)),(F485-C485),"")</f>
        <v/>
      </c>
    </row>
    <row r="486">
      <c r="A486" s="3" t="inlineStr">
        <is>
          <t>1012610</t>
        </is>
      </c>
      <c r="B486" s="3" t="inlineStr">
        <is>
          <t>627</t>
        </is>
      </c>
      <c r="C486" s="10" t="n">
        <v>45671.65841435185</v>
      </c>
      <c r="D486" s="3" t="inlineStr">
        <is>
          <t>OBT140125155553-Gloggnitz</t>
        </is>
      </c>
      <c r="E486" s="10" t="n">
        <v>45671.66380787037</v>
      </c>
      <c r="F486" s="10" t="n">
        <v>45671.70430555556</v>
      </c>
      <c r="G486" s="11">
        <f>IF(AND(ISNUMBER(C486),ISNUMBER(E486)),(E486-C486),"")</f>
        <v/>
      </c>
      <c r="H486" s="11">
        <f>IF(AND(ISNUMBER(C486),ISNUMBER(F486)),(F486-C486),"")</f>
        <v/>
      </c>
    </row>
    <row r="487">
      <c r="A487" s="3" t="inlineStr">
        <is>
          <t>1012611</t>
        </is>
      </c>
      <c r="B487" s="3" t="inlineStr">
        <is>
          <t>625</t>
        </is>
      </c>
      <c r="C487" s="10" t="n">
        <v>45671.66046296297</v>
      </c>
      <c r="D487" s="3" t="inlineStr">
        <is>
          <t>OBT150125075736-Other sidings north</t>
        </is>
      </c>
      <c r="E487" s="10" t="n">
        <v>45672.33166666667</v>
      </c>
      <c r="F487" s="10" t="n">
        <v>45672.36525462963</v>
      </c>
      <c r="G487" s="11">
        <f>IF(AND(ISNUMBER(C487),ISNUMBER(E487)),(E487-C487),"")</f>
        <v/>
      </c>
      <c r="H487" s="11">
        <f>IF(AND(ISNUMBER(C487),ISNUMBER(F487)),(F487-C487),"")</f>
        <v/>
      </c>
    </row>
    <row r="488">
      <c r="A488" s="3" t="inlineStr">
        <is>
          <t>1012701</t>
        </is>
      </c>
      <c r="B488" s="3" t="inlineStr">
        <is>
          <t>605</t>
        </is>
      </c>
      <c r="C488" s="10" t="n">
        <v>45671.66342592592</v>
      </c>
      <c r="D488" s="3" t="inlineStr">
        <is>
          <t>OBT140125160010-Wien Kledering</t>
        </is>
      </c>
      <c r="E488" s="10" t="n">
        <v>45671.66678240741</v>
      </c>
      <c r="F488" s="10" t="n">
        <v>45671.72524305555</v>
      </c>
      <c r="G488" s="11">
        <f>IF(AND(ISNUMBER(C488),ISNUMBER(E488)),(E488-C488),"")</f>
        <v/>
      </c>
      <c r="H488" s="11">
        <f>IF(AND(ISNUMBER(C488),ISNUMBER(F488)),(F488-C488),"")</f>
        <v/>
      </c>
    </row>
    <row r="489">
      <c r="A489" s="3" t="inlineStr">
        <is>
          <t>1012801</t>
        </is>
      </c>
      <c r="B489" s="3" t="inlineStr">
        <is>
          <t>607</t>
        </is>
      </c>
      <c r="C489" s="10" t="n">
        <v>45671.66631944444</v>
      </c>
      <c r="D489" s="3" t="inlineStr">
        <is>
          <t>OBT140125180846-Wien Kledering</t>
        </is>
      </c>
      <c r="E489" s="10" t="n">
        <v>45671.75608796296</v>
      </c>
      <c r="F489" s="10" t="n">
        <v>45671.77582175926</v>
      </c>
      <c r="G489" s="11">
        <f>IF(AND(ISNUMBER(C489),ISNUMBER(E489)),(E489-C489),"")</f>
        <v/>
      </c>
      <c r="H489" s="11">
        <f>IF(AND(ISNUMBER(C489),ISNUMBER(F489)),(F489-C489),"")</f>
        <v/>
      </c>
    </row>
    <row r="490">
      <c r="A490" s="3" t="inlineStr">
        <is>
          <t>1013001</t>
        </is>
      </c>
      <c r="B490" s="3" t="inlineStr">
        <is>
          <t>607</t>
        </is>
      </c>
      <c r="C490" s="10" t="n">
        <v>45671.7521875</v>
      </c>
      <c r="D490" s="3" t="inlineStr">
        <is>
          <t>OBT140125180846-Wien Kledering</t>
        </is>
      </c>
      <c r="E490" s="10" t="n">
        <v>45671.75608796296</v>
      </c>
      <c r="F490" s="10" t="n">
        <v>45671.77582175926</v>
      </c>
      <c r="G490" s="11">
        <f>IF(AND(ISNUMBER(C490),ISNUMBER(E490)),(E490-C490),"")</f>
        <v/>
      </c>
      <c r="H490" s="11">
        <f>IF(AND(ISNUMBER(C490),ISNUMBER(F490)),(F490-C490),"")</f>
        <v/>
      </c>
    </row>
    <row r="491">
      <c r="A491" s="3" t="inlineStr">
        <is>
          <t>1012901</t>
        </is>
      </c>
      <c r="B491" s="3" t="inlineStr">
        <is>
          <t>621</t>
        </is>
      </c>
      <c r="C491" s="10" t="n">
        <v>45671.7550462963</v>
      </c>
      <c r="D491" s="3" t="inlineStr">
        <is>
          <t>OBT140125181252-Steinabrückl/Wöllersdorf</t>
        </is>
      </c>
      <c r="E491" s="10" t="n">
        <v>45671.75893518519</v>
      </c>
      <c r="F491" s="10" t="n">
        <v>45671.79916666666</v>
      </c>
      <c r="G491" s="11">
        <f>IF(AND(ISNUMBER(C491),ISNUMBER(E491)),(E491-C491),"")</f>
        <v/>
      </c>
      <c r="H491" s="11">
        <f>IF(AND(ISNUMBER(C491),ISNUMBER(F491)),(F491-C491),"")</f>
        <v/>
      </c>
    </row>
    <row r="492">
      <c r="A492" s="3" t="inlineStr">
        <is>
          <t>1012902</t>
        </is>
      </c>
      <c r="B492" s="3" t="inlineStr">
        <is>
          <t>615</t>
        </is>
      </c>
      <c r="C492" s="10" t="n">
        <v>45671.75641203704</v>
      </c>
      <c r="D492" s="3" t="inlineStr">
        <is>
          <t>OBT140125181221-Wr. Neustadt (Hödlmayr)</t>
        </is>
      </c>
      <c r="E492" s="10" t="n">
        <v>45671.75857638889</v>
      </c>
      <c r="F492" s="10" t="n">
        <v>45671.7796875</v>
      </c>
      <c r="G492" s="11">
        <f>IF(AND(ISNUMBER(C492),ISNUMBER(E492)),(E492-C492),"")</f>
        <v/>
      </c>
      <c r="H492" s="11">
        <f>IF(AND(ISNUMBER(C492),ISNUMBER(F492)),(F492-C492),"")</f>
        <v/>
      </c>
    </row>
    <row r="493">
      <c r="A493" s="3" t="inlineStr">
        <is>
          <t>1012903</t>
        </is>
      </c>
      <c r="B493" s="3" t="inlineStr">
        <is>
          <t>617</t>
        </is>
      </c>
      <c r="C493" s="10" t="n">
        <v>45671.75768518518</v>
      </c>
      <c r="D493" s="3" t="inlineStr">
        <is>
          <t>OBT140125181642-Ternitz (Schoeller-Bleckmann)</t>
        </is>
      </c>
      <c r="E493" s="10" t="n">
        <v>45671.76159722222</v>
      </c>
      <c r="F493" s="10" t="n">
        <v>45671.79550925926</v>
      </c>
      <c r="G493" s="11">
        <f>IF(AND(ISNUMBER(C493),ISNUMBER(E493)),(E493-C493),"")</f>
        <v/>
      </c>
      <c r="H493" s="11">
        <f>IF(AND(ISNUMBER(C493),ISNUMBER(F493)),(F493-C493),"")</f>
        <v/>
      </c>
    </row>
    <row r="494">
      <c r="A494" s="3" t="inlineStr">
        <is>
          <t>1012904</t>
        </is>
      </c>
      <c r="B494" s="3" t="inlineStr">
        <is>
          <t>625</t>
        </is>
      </c>
      <c r="C494" s="10" t="n">
        <v>45671.75976851852</v>
      </c>
      <c r="D494" s="3" t="inlineStr">
        <is>
          <t>OBT150125075736-Other sidings north</t>
        </is>
      </c>
      <c r="E494" s="10" t="n">
        <v>45672.33166666667</v>
      </c>
      <c r="F494" s="10" t="n">
        <v>45672.36525462963</v>
      </c>
      <c r="G494" s="11">
        <f>IF(AND(ISNUMBER(C494),ISNUMBER(E494)),(E494-C494),"")</f>
        <v/>
      </c>
      <c r="H494" s="11">
        <f>IF(AND(ISNUMBER(C494),ISNUMBER(F494)),(F494-C494),"")</f>
        <v/>
      </c>
    </row>
    <row r="495">
      <c r="A495" s="3" t="inlineStr">
        <is>
          <t>1012905</t>
        </is>
      </c>
      <c r="B495" s="3" t="inlineStr">
        <is>
          <t>613</t>
        </is>
      </c>
      <c r="C495" s="10" t="n">
        <v>45671.76105324074</v>
      </c>
      <c r="D495" s="3" t="inlineStr">
        <is>
          <t>OBT160125102340-Wr. Neustadt Ausfahrbf (Furtenbach)</t>
        </is>
      </c>
      <c r="E495" s="10" t="n">
        <v>45673.43310185185</v>
      </c>
      <c r="F495" s="10" t="n">
        <v>45673.59943287037</v>
      </c>
      <c r="G495" s="11">
        <f>IF(AND(ISNUMBER(C495),ISNUMBER(E495)),(E495-C495),"")</f>
        <v/>
      </c>
      <c r="H495" s="11">
        <f>IF(AND(ISNUMBER(C495),ISNUMBER(F495)),(F495-C495),"")</f>
        <v/>
      </c>
    </row>
    <row r="496">
      <c r="A496" s="3" t="inlineStr">
        <is>
          <t>1012906</t>
        </is>
      </c>
      <c r="B496" s="3" t="inlineStr">
        <is>
          <t>627</t>
        </is>
      </c>
      <c r="C496" s="10" t="n">
        <v>45671.76297453704</v>
      </c>
      <c r="D496" s="3" t="inlineStr">
        <is>
          <t>OBT150125074216-Ebenfurth (beet loading)</t>
        </is>
      </c>
      <c r="E496" s="10" t="n">
        <v>45672.32101851852</v>
      </c>
      <c r="F496" s="10" t="n">
        <v>45672.34166666667</v>
      </c>
      <c r="G496" s="11">
        <f>IF(AND(ISNUMBER(C496),ISNUMBER(E496)),(E496-C496),"")</f>
        <v/>
      </c>
      <c r="H496" s="11">
        <f>IF(AND(ISNUMBER(C496),ISNUMBER(F496)),(F496-C496),"")</f>
        <v/>
      </c>
    </row>
    <row r="497">
      <c r="A497" s="3" t="inlineStr">
        <is>
          <t>1012907</t>
        </is>
      </c>
      <c r="B497" s="3" t="inlineStr">
        <is>
          <t>605</t>
        </is>
      </c>
      <c r="C497" s="10" t="n">
        <v>45671.76478009259</v>
      </c>
      <c r="D497" s="3" t="inlineStr">
        <is>
          <t>OBT140125183542-Pitten (Hamburger)</t>
        </is>
      </c>
      <c r="E497" s="10" t="n">
        <v>45671.77479166666</v>
      </c>
      <c r="F497" s="10" t="n">
        <v>45671.82039351852</v>
      </c>
      <c r="G497" s="11">
        <f>IF(AND(ISNUMBER(C497),ISNUMBER(E497)),(E497-C497),"")</f>
        <v/>
      </c>
      <c r="H497" s="11">
        <f>IF(AND(ISNUMBER(C497),ISNUMBER(F497)),(F497-C497),"")</f>
        <v/>
      </c>
    </row>
    <row r="498">
      <c r="A498" s="3" t="inlineStr">
        <is>
          <t>1012908</t>
        </is>
      </c>
      <c r="B498" s="3" t="inlineStr">
        <is>
          <t>623</t>
        </is>
      </c>
      <c r="C498" s="10" t="n">
        <v>45671.76675925926</v>
      </c>
      <c r="D498" s="3" t="inlineStr">
        <is>
          <t>OBT140125182854-Neudörfl (FunderMax)</t>
        </is>
      </c>
      <c r="E498" s="10" t="n">
        <v>45671.77006944444</v>
      </c>
      <c r="F498" s="10" t="n">
        <v>45671.8008449074</v>
      </c>
      <c r="G498" s="11">
        <f>IF(AND(ISNUMBER(C498),ISNUMBER(E498)),(E498-C498),"")</f>
        <v/>
      </c>
      <c r="H498" s="11">
        <f>IF(AND(ISNUMBER(C498),ISNUMBER(F498)),(F498-C498),"")</f>
        <v/>
      </c>
    </row>
    <row r="499">
      <c r="A499" s="3" t="inlineStr">
        <is>
          <t>1012909</t>
        </is>
      </c>
      <c r="B499" s="3" t="inlineStr">
        <is>
          <t>609</t>
        </is>
      </c>
      <c r="C499" s="10" t="n">
        <v>45671.76826388889</v>
      </c>
      <c r="D499" s="3" t="inlineStr">
        <is>
          <t>OBT150125101800-Felixdorf/Sollenau (Bundesheer, Maba)</t>
        </is>
      </c>
      <c r="E499" s="10" t="n">
        <v>45672.42916666667</v>
      </c>
      <c r="F499" s="10" t="n">
        <v>45672.45159722222</v>
      </c>
      <c r="G499" s="11">
        <f>IF(AND(ISNUMBER(C499),ISNUMBER(E499)),(E499-C499),"")</f>
        <v/>
      </c>
      <c r="H499" s="11">
        <f>IF(AND(ISNUMBER(C499),ISNUMBER(F499)),(F499-C499),"")</f>
        <v/>
      </c>
    </row>
    <row r="500">
      <c r="A500" s="3" t="inlineStr">
        <is>
          <t>1012910</t>
        </is>
      </c>
      <c r="B500" s="3" t="inlineStr">
        <is>
          <t>605</t>
        </is>
      </c>
      <c r="C500" s="10" t="n">
        <v>45671.77013888889</v>
      </c>
      <c r="D500" s="3" t="inlineStr">
        <is>
          <t>OBT140125183542-Pitten (Hamburger)</t>
        </is>
      </c>
      <c r="E500" s="10" t="n">
        <v>45671.77479166666</v>
      </c>
      <c r="F500" s="10" t="n">
        <v>45671.82039351852</v>
      </c>
      <c r="G500" s="11">
        <f>IF(AND(ISNUMBER(C500),ISNUMBER(E500)),(E500-C500),"")</f>
        <v/>
      </c>
      <c r="H500" s="11">
        <f>IF(AND(ISNUMBER(C500),ISNUMBER(F500)),(F500-C500),"")</f>
        <v/>
      </c>
    </row>
    <row r="501">
      <c r="A501" s="3" t="inlineStr">
        <is>
          <t>1013101</t>
        </is>
      </c>
      <c r="B501" s="3" t="inlineStr">
        <is>
          <t>615</t>
        </is>
      </c>
      <c r="C501" s="10" t="n">
        <v>45671.83133101852</v>
      </c>
      <c r="D501" s="3" t="inlineStr">
        <is>
          <t>OBT150125064840-Wien Kledering</t>
        </is>
      </c>
      <c r="E501" s="10" t="n">
        <v>45672.28379629629</v>
      </c>
      <c r="F501" s="10" t="n">
        <v>45672.34032407407</v>
      </c>
      <c r="G501" s="11">
        <f>IF(AND(ISNUMBER(C501),ISNUMBER(E501)),(E501-C501),"")</f>
        <v/>
      </c>
      <c r="H501" s="11">
        <f>IF(AND(ISNUMBER(C501),ISNUMBER(F501)),(F501-C501),"")</f>
        <v/>
      </c>
    </row>
    <row r="502">
      <c r="A502" s="3" t="inlineStr">
        <is>
          <t>1013201</t>
        </is>
      </c>
      <c r="B502" s="3" t="inlineStr">
        <is>
          <t>606</t>
        </is>
      </c>
      <c r="C502" s="10" t="n">
        <v>45672.11314814815</v>
      </c>
      <c r="D502" s="3" t="inlineStr">
        <is>
          <t>OBT150125024833-Neunkirchen (loading tracks)</t>
        </is>
      </c>
      <c r="E502" s="10" t="n">
        <v>45672.11704861111</v>
      </c>
      <c r="F502" s="10" t="n">
        <v>45672.15517361111</v>
      </c>
      <c r="G502" s="11">
        <f>IF(AND(ISNUMBER(C502),ISNUMBER(E502)),(E502-C502),"")</f>
        <v/>
      </c>
      <c r="H502" s="11">
        <f>IF(AND(ISNUMBER(C502),ISNUMBER(F502)),(F502-C502),"")</f>
        <v/>
      </c>
    </row>
    <row r="503">
      <c r="A503" s="3" t="inlineStr">
        <is>
          <t>1013202</t>
        </is>
      </c>
      <c r="B503" s="3" t="inlineStr">
        <is>
          <t>627</t>
        </is>
      </c>
      <c r="C503" s="10" t="n">
        <v>45672.11512731481</v>
      </c>
      <c r="D503" s="3" t="inlineStr">
        <is>
          <t>OBT150125074216-Ebenfurth (beet loading)</t>
        </is>
      </c>
      <c r="E503" s="10" t="n">
        <v>45672.32101851852</v>
      </c>
      <c r="F503" s="10" t="n">
        <v>45672.34166666667</v>
      </c>
      <c r="G503" s="11">
        <f>IF(AND(ISNUMBER(C503),ISNUMBER(E503)),(E503-C503),"")</f>
        <v/>
      </c>
      <c r="H503" s="11">
        <f>IF(AND(ISNUMBER(C503),ISNUMBER(F503)),(F503-C503),"")</f>
        <v/>
      </c>
    </row>
    <row r="504">
      <c r="A504" s="3" t="inlineStr">
        <is>
          <t>1013203</t>
        </is>
      </c>
      <c r="B504" s="3" t="inlineStr">
        <is>
          <t>605</t>
        </is>
      </c>
      <c r="C504" s="10" t="n">
        <v>45672.11685185185</v>
      </c>
      <c r="D504" s="3" t="inlineStr">
        <is>
          <t>OBT160125081022-Ternitz (Schoeller-Bleckmann)</t>
        </is>
      </c>
      <c r="E504" s="10" t="n">
        <v>45673.3405324074</v>
      </c>
      <c r="F504" s="10" t="n">
        <v>45673.3609375</v>
      </c>
      <c r="G504" s="11">
        <f>IF(AND(ISNUMBER(C504),ISNUMBER(E504)),(E504-C504),"")</f>
        <v/>
      </c>
      <c r="H504" s="11">
        <f>IF(AND(ISNUMBER(C504),ISNUMBER(F504)),(F504-C504),"")</f>
        <v/>
      </c>
    </row>
    <row r="505">
      <c r="A505" s="3" t="inlineStr">
        <is>
          <t>1013204</t>
        </is>
      </c>
      <c r="B505" s="3" t="inlineStr">
        <is>
          <t>619</t>
        </is>
      </c>
      <c r="C505" s="10" t="n">
        <v>45672.11896990741</v>
      </c>
      <c r="D505" s="3" t="inlineStr">
        <is>
          <t>OBT150125025656-Other sidings south</t>
        </is>
      </c>
      <c r="E505" s="10" t="n">
        <v>45672.12287037037</v>
      </c>
      <c r="F505" s="10" t="n">
        <v>45672.15613425926</v>
      </c>
      <c r="G505" s="11">
        <f>IF(AND(ISNUMBER(C505),ISNUMBER(E505)),(E505-C505),"")</f>
        <v/>
      </c>
      <c r="H505" s="11">
        <f>IF(AND(ISNUMBER(C505),ISNUMBER(F505)),(F505-C505),"")</f>
        <v/>
      </c>
    </row>
    <row r="506">
      <c r="A506" s="3" t="inlineStr">
        <is>
          <t>1013301</t>
        </is>
      </c>
      <c r="B506" s="3" t="inlineStr">
        <is>
          <t>623</t>
        </is>
      </c>
      <c r="C506" s="10" t="n">
        <v>45672.20488425926</v>
      </c>
      <c r="D506" s="3" t="inlineStr">
        <is>
          <t>OBT150125045827-Neudörfl (FunderMax)</t>
        </is>
      </c>
      <c r="E506" s="10" t="n">
        <v>45672.20725694444</v>
      </c>
      <c r="F506" s="10" t="n">
        <v>45672.30045138889</v>
      </c>
      <c r="G506" s="11">
        <f>IF(AND(ISNUMBER(C506),ISNUMBER(E506)),(E506-C506),"")</f>
        <v/>
      </c>
      <c r="H506" s="11">
        <f>IF(AND(ISNUMBER(C506),ISNUMBER(F506)),(F506-C506),"")</f>
        <v/>
      </c>
    </row>
    <row r="507">
      <c r="A507" s="3" t="inlineStr">
        <is>
          <t>1013401</t>
        </is>
      </c>
      <c r="B507" s="3" t="inlineStr">
        <is>
          <t>615</t>
        </is>
      </c>
      <c r="C507" s="10" t="n">
        <v>45672.27989583334</v>
      </c>
      <c r="D507" s="3" t="inlineStr">
        <is>
          <t>OBT150125064840-Wien Kledering</t>
        </is>
      </c>
      <c r="E507" s="10" t="n">
        <v>45672.28379629629</v>
      </c>
      <c r="F507" s="10" t="n">
        <v>45672.34032407407</v>
      </c>
      <c r="G507" s="11">
        <f>IF(AND(ISNUMBER(C507),ISNUMBER(E507)),(E507-C507),"")</f>
        <v/>
      </c>
      <c r="H507" s="11">
        <f>IF(AND(ISNUMBER(C507),ISNUMBER(F507)),(F507-C507),"")</f>
        <v/>
      </c>
    </row>
    <row r="508">
      <c r="A508" s="3" t="inlineStr">
        <is>
          <t>1013501</t>
        </is>
      </c>
      <c r="B508" s="3" t="inlineStr">
        <is>
          <t>627</t>
        </is>
      </c>
      <c r="C508" s="10" t="n">
        <v>45672.3174537037</v>
      </c>
      <c r="D508" s="3" t="inlineStr">
        <is>
          <t>OBT150125074216-Ebenfurth (beet loading)</t>
        </is>
      </c>
      <c r="E508" s="10" t="n">
        <v>45672.32101851852</v>
      </c>
      <c r="F508" s="10" t="n">
        <v>45672.34166666667</v>
      </c>
      <c r="G508" s="11">
        <f>IF(AND(ISNUMBER(C508),ISNUMBER(E508)),(E508-C508),"")</f>
        <v/>
      </c>
      <c r="H508" s="11">
        <f>IF(AND(ISNUMBER(C508),ISNUMBER(F508)),(F508-C508),"")</f>
        <v/>
      </c>
    </row>
    <row r="509">
      <c r="A509" s="3" t="inlineStr">
        <is>
          <t>1013502</t>
        </is>
      </c>
      <c r="B509" s="3" t="inlineStr">
        <is>
          <t>619</t>
        </is>
      </c>
      <c r="C509" s="10" t="n">
        <v>45672.3194212963</v>
      </c>
      <c r="D509" s="3" t="inlineStr">
        <is>
          <t>OBT150125092356-Pitten (Hamburger)</t>
        </is>
      </c>
      <c r="E509" s="10" t="n">
        <v>45672.39162037037</v>
      </c>
      <c r="F509" s="10" t="n">
        <v>45672.4143287037</v>
      </c>
      <c r="G509" s="11">
        <f>IF(AND(ISNUMBER(C509),ISNUMBER(E509)),(E509-C509),"")</f>
        <v/>
      </c>
      <c r="H509" s="11">
        <f>IF(AND(ISNUMBER(C509),ISNUMBER(F509)),(F509-C509),"")</f>
        <v/>
      </c>
    </row>
    <row r="510">
      <c r="A510" s="3" t="inlineStr">
        <is>
          <t>1013503</t>
        </is>
      </c>
      <c r="B510" s="3" t="inlineStr">
        <is>
          <t>606</t>
        </is>
      </c>
      <c r="C510" s="10" t="n">
        <v>45672.3212037037</v>
      </c>
      <c r="D510" s="3" t="inlineStr">
        <is>
          <t>OBT150125160356-Neudörfl (FunderMax)</t>
        </is>
      </c>
      <c r="E510" s="10" t="n">
        <v>45672.66939814815</v>
      </c>
      <c r="F510" s="10" t="n">
        <v>45672.71188657408</v>
      </c>
      <c r="G510" s="11">
        <f>IF(AND(ISNUMBER(C510),ISNUMBER(E510)),(E510-C510),"")</f>
        <v/>
      </c>
      <c r="H510" s="11">
        <f>IF(AND(ISNUMBER(C510),ISNUMBER(F510)),(F510-C510),"")</f>
        <v/>
      </c>
    </row>
    <row r="511">
      <c r="A511" s="3" t="inlineStr">
        <is>
          <t>1013504</t>
        </is>
      </c>
      <c r="B511" s="3" t="inlineStr">
        <is>
          <t>605</t>
        </is>
      </c>
      <c r="C511" s="10" t="n">
        <v>45672.32291666666</v>
      </c>
      <c r="D511" s="3" t="inlineStr">
        <is>
          <t>OBT160125081022-Ternitz (Schoeller-Bleckmann)</t>
        </is>
      </c>
      <c r="E511" s="10" t="n">
        <v>45673.3405324074</v>
      </c>
      <c r="F511" s="10" t="n">
        <v>45673.3609375</v>
      </c>
      <c r="G511" s="11">
        <f>IF(AND(ISNUMBER(C511),ISNUMBER(E511)),(E511-C511),"")</f>
        <v/>
      </c>
      <c r="H511" s="11">
        <f>IF(AND(ISNUMBER(C511),ISNUMBER(F511)),(F511-C511),"")</f>
        <v/>
      </c>
    </row>
    <row r="512">
      <c r="A512" s="3" t="inlineStr">
        <is>
          <t>1013505</t>
        </is>
      </c>
      <c r="B512" s="3" t="inlineStr">
        <is>
          <t>607</t>
        </is>
      </c>
      <c r="C512" s="10" t="n">
        <v>45672.32454861111</v>
      </c>
      <c r="D512" s="3" t="inlineStr">
        <is>
          <t>OBT150125182201-Neunkirchen (loading tracks)</t>
        </is>
      </c>
      <c r="E512" s="10" t="n">
        <v>45672.76528935185</v>
      </c>
      <c r="F512" s="10" t="n">
        <v>45672.79980324074</v>
      </c>
      <c r="G512" s="11">
        <f>IF(AND(ISNUMBER(C512),ISNUMBER(E512)),(E512-C512),"")</f>
        <v/>
      </c>
      <c r="H512" s="11">
        <f>IF(AND(ISNUMBER(C512),ISNUMBER(F512)),(F512-C512),"")</f>
        <v/>
      </c>
    </row>
    <row r="513">
      <c r="A513" s="3" t="inlineStr">
        <is>
          <t>1013506</t>
        </is>
      </c>
      <c r="B513" s="3" t="inlineStr">
        <is>
          <t>611</t>
        </is>
      </c>
      <c r="C513" s="10" t="n">
        <v>45672.32596064815</v>
      </c>
      <c r="D513" s="3" t="inlineStr">
        <is>
          <t>OBT200125083327-Wr. Neustadt (Brenntag)</t>
        </is>
      </c>
      <c r="E513" s="10" t="n">
        <v>45677.3565625</v>
      </c>
      <c r="F513" s="10" t="n">
        <v>45677.74260416667</v>
      </c>
      <c r="G513" s="11">
        <f>IF(AND(ISNUMBER(C513),ISNUMBER(E513)),(E513-C513),"")</f>
        <v/>
      </c>
      <c r="H513" s="11">
        <f>IF(AND(ISNUMBER(C513),ISNUMBER(F513)),(F513-C513),"")</f>
        <v/>
      </c>
    </row>
    <row r="514">
      <c r="A514" s="3" t="inlineStr">
        <is>
          <t>1013507</t>
        </is>
      </c>
      <c r="B514" s="3" t="inlineStr">
        <is>
          <t>625</t>
        </is>
      </c>
      <c r="C514" s="10" t="n">
        <v>45672.32810185185</v>
      </c>
      <c r="D514" s="3" t="inlineStr">
        <is>
          <t>OBT150125075736-Other sidings north</t>
        </is>
      </c>
      <c r="E514" s="10" t="n">
        <v>45672.33166666667</v>
      </c>
      <c r="F514" s="10" t="n">
        <v>45672.36525462963</v>
      </c>
      <c r="G514" s="11">
        <f>IF(AND(ISNUMBER(C514),ISNUMBER(E514)),(E514-C514),"")</f>
        <v/>
      </c>
      <c r="H514" s="11">
        <f>IF(AND(ISNUMBER(C514),ISNUMBER(F514)),(F514-C514),"")</f>
        <v/>
      </c>
    </row>
    <row r="515">
      <c r="A515" s="3" t="inlineStr">
        <is>
          <t>1013508</t>
        </is>
      </c>
      <c r="B515" s="3" t="inlineStr">
        <is>
          <t>619</t>
        </is>
      </c>
      <c r="C515" s="10" t="n">
        <v>45672.33016203704</v>
      </c>
      <c r="D515" s="3" t="inlineStr">
        <is>
          <t>OBT150125092356-Pitten (Hamburger)</t>
        </is>
      </c>
      <c r="E515" s="10" t="n">
        <v>45672.39162037037</v>
      </c>
      <c r="F515" s="10" t="n">
        <v>45672.4143287037</v>
      </c>
      <c r="G515" s="11">
        <f>IF(AND(ISNUMBER(C515),ISNUMBER(E515)),(E515-C515),"")</f>
        <v/>
      </c>
      <c r="H515" s="11">
        <f>IF(AND(ISNUMBER(C515),ISNUMBER(F515)),(F515-C515),"")</f>
        <v/>
      </c>
    </row>
    <row r="516">
      <c r="A516" s="3" t="inlineStr">
        <is>
          <t>1013509</t>
        </is>
      </c>
      <c r="B516" s="3" t="inlineStr">
        <is>
          <t>617</t>
        </is>
      </c>
      <c r="C516" s="10" t="n">
        <v>45672.33166666667</v>
      </c>
      <c r="D516" s="3" t="inlineStr">
        <is>
          <t>OBT150125080153-Wr. Neustadt (Hödlmayr)</t>
        </is>
      </c>
      <c r="E516" s="10" t="n">
        <v>45672.33464120371</v>
      </c>
      <c r="F516" s="10" t="n">
        <v>45672.36041666667</v>
      </c>
      <c r="G516" s="11">
        <f>IF(AND(ISNUMBER(C516),ISNUMBER(E516)),(E516-C516),"")</f>
        <v/>
      </c>
      <c r="H516" s="11">
        <f>IF(AND(ISNUMBER(C516),ISNUMBER(F516)),(F516-C516),"")</f>
        <v/>
      </c>
    </row>
    <row r="517">
      <c r="A517" s="3" t="inlineStr">
        <is>
          <t>1013601</t>
        </is>
      </c>
      <c r="B517" s="3" t="inlineStr">
        <is>
          <t>623</t>
        </is>
      </c>
      <c r="C517" s="10" t="n">
        <v>45672.33482638889</v>
      </c>
      <c r="D517" s="3" t="inlineStr">
        <is>
          <t>OBT150125080609-Wien Kledering</t>
        </is>
      </c>
      <c r="E517" s="10" t="n">
        <v>45672.33760416666</v>
      </c>
      <c r="F517" s="10" t="n">
        <v>45672.38850694444</v>
      </c>
      <c r="G517" s="11">
        <f>IF(AND(ISNUMBER(C517),ISNUMBER(E517)),(E517-C517),"")</f>
        <v/>
      </c>
      <c r="H517" s="11">
        <f>IF(AND(ISNUMBER(C517),ISNUMBER(F517)),(F517-C517),"")</f>
        <v/>
      </c>
    </row>
    <row r="518">
      <c r="A518" s="3" t="inlineStr">
        <is>
          <t>1013701</t>
        </is>
      </c>
      <c r="B518" s="3" t="inlineStr">
        <is>
          <t>621</t>
        </is>
      </c>
      <c r="C518" s="10" t="n">
        <v>45672.34710648148</v>
      </c>
      <c r="D518" s="3" t="inlineStr">
        <is>
          <t>OBT150125084204-Wien Kledering</t>
        </is>
      </c>
      <c r="E518" s="10" t="n">
        <v>45672.3625462963</v>
      </c>
      <c r="F518" s="10" t="n">
        <v>45672.43053240741</v>
      </c>
      <c r="G518" s="11">
        <f>IF(AND(ISNUMBER(C518),ISNUMBER(E518)),(E518-C518),"")</f>
        <v/>
      </c>
      <c r="H518" s="11">
        <f>IF(AND(ISNUMBER(C518),ISNUMBER(F518)),(F518-C518),"")</f>
        <v/>
      </c>
    </row>
    <row r="519">
      <c r="A519" s="3" t="inlineStr">
        <is>
          <t>1013801</t>
        </is>
      </c>
      <c r="B519" s="3" t="inlineStr">
        <is>
          <t>619</t>
        </is>
      </c>
      <c r="C519" s="10" t="n">
        <v>45672.38773148148</v>
      </c>
      <c r="D519" s="3" t="inlineStr">
        <is>
          <t>OBT150125092356-Pitten (Hamburger)</t>
        </is>
      </c>
      <c r="E519" s="10" t="n">
        <v>45672.39162037037</v>
      </c>
      <c r="F519" s="10" t="n">
        <v>45672.4143287037</v>
      </c>
      <c r="G519" s="11">
        <f>IF(AND(ISNUMBER(C519),ISNUMBER(E519)),(E519-C519),"")</f>
        <v/>
      </c>
      <c r="H519" s="11">
        <f>IF(AND(ISNUMBER(C519),ISNUMBER(F519)),(F519-C519),"")</f>
        <v/>
      </c>
    </row>
    <row r="520">
      <c r="A520" s="3" t="inlineStr">
        <is>
          <t>1013802</t>
        </is>
      </c>
      <c r="B520" s="3" t="inlineStr">
        <is>
          <t>607</t>
        </is>
      </c>
      <c r="C520" s="10" t="n">
        <v>45672.38935185185</v>
      </c>
      <c r="D520" s="3" t="inlineStr">
        <is>
          <t>OBT150125182201-Neunkirchen (loading tracks)</t>
        </is>
      </c>
      <c r="E520" s="10" t="n">
        <v>45672.76528935185</v>
      </c>
      <c r="F520" s="10" t="n">
        <v>45672.79980324074</v>
      </c>
      <c r="G520" s="11">
        <f>IF(AND(ISNUMBER(C520),ISNUMBER(E520)),(E520-C520),"")</f>
        <v/>
      </c>
      <c r="H520" s="11">
        <f>IF(AND(ISNUMBER(C520),ISNUMBER(F520)),(F520-C520),"")</f>
        <v/>
      </c>
    </row>
    <row r="521">
      <c r="A521" s="3" t="inlineStr">
        <is>
          <t>1013803</t>
        </is>
      </c>
      <c r="B521" s="3" t="inlineStr">
        <is>
          <t>615</t>
        </is>
      </c>
      <c r="C521" s="10" t="n">
        <v>45672.39052083333</v>
      </c>
      <c r="D521" s="3" t="inlineStr">
        <is>
          <t>OBT150125155826-Other sidings north</t>
        </is>
      </c>
      <c r="E521" s="10" t="n">
        <v>45672.6655787037</v>
      </c>
      <c r="F521" s="10" t="n">
        <v>45672.68575231481</v>
      </c>
      <c r="G521" s="11">
        <f>IF(AND(ISNUMBER(C521),ISNUMBER(E521)),(E521-C521),"")</f>
        <v/>
      </c>
      <c r="H521" s="11">
        <f>IF(AND(ISNUMBER(C521),ISNUMBER(F521)),(F521-C521),"")</f>
        <v/>
      </c>
    </row>
    <row r="522">
      <c r="A522" s="3" t="inlineStr">
        <is>
          <t>1013804</t>
        </is>
      </c>
      <c r="B522" s="3" t="inlineStr">
        <is>
          <t>606</t>
        </is>
      </c>
      <c r="C522" s="10" t="n">
        <v>45672.39234953704</v>
      </c>
      <c r="D522" s="3" t="inlineStr">
        <is>
          <t>OBT150125160356-Neudörfl (FunderMax)</t>
        </is>
      </c>
      <c r="E522" s="10" t="n">
        <v>45672.66939814815</v>
      </c>
      <c r="F522" s="10" t="n">
        <v>45672.71188657408</v>
      </c>
      <c r="G522" s="11">
        <f>IF(AND(ISNUMBER(C522),ISNUMBER(E522)),(E522-C522),"")</f>
        <v/>
      </c>
      <c r="H522" s="11">
        <f>IF(AND(ISNUMBER(C522),ISNUMBER(F522)),(F522-C522),"")</f>
        <v/>
      </c>
    </row>
    <row r="523">
      <c r="A523" s="3" t="inlineStr">
        <is>
          <t>1013805</t>
        </is>
      </c>
      <c r="B523" s="3" t="inlineStr">
        <is>
          <t>615</t>
        </is>
      </c>
      <c r="C523" s="10" t="n">
        <v>45672.39354166666</v>
      </c>
      <c r="D523" s="3" t="inlineStr">
        <is>
          <t>OBT150125155826-Other sidings north</t>
        </is>
      </c>
      <c r="E523" s="10" t="n">
        <v>45672.6655787037</v>
      </c>
      <c r="F523" s="10" t="n">
        <v>45672.68575231481</v>
      </c>
      <c r="G523" s="11">
        <f>IF(AND(ISNUMBER(C523),ISNUMBER(E523)),(E523-C523),"")</f>
        <v/>
      </c>
      <c r="H523" s="11">
        <f>IF(AND(ISNUMBER(C523),ISNUMBER(F523)),(F523-C523),"")</f>
        <v/>
      </c>
    </row>
    <row r="524">
      <c r="A524" s="3" t="inlineStr">
        <is>
          <t>1013806</t>
        </is>
      </c>
      <c r="B524" s="3" t="inlineStr">
        <is>
          <t>627</t>
        </is>
      </c>
      <c r="C524" s="10" t="n">
        <v>45672.39556712963</v>
      </c>
      <c r="D524" s="3" t="inlineStr">
        <is>
          <t>OBT150125183815-Ebenfurth (beet loading)</t>
        </is>
      </c>
      <c r="E524" s="10" t="n">
        <v>45672.7765625</v>
      </c>
      <c r="F524" s="10" t="n">
        <v>45672.80869212963</v>
      </c>
      <c r="G524" s="11">
        <f>IF(AND(ISNUMBER(C524),ISNUMBER(E524)),(E524-C524),"")</f>
        <v/>
      </c>
      <c r="H524" s="11">
        <f>IF(AND(ISNUMBER(C524),ISNUMBER(F524)),(F524-C524),"")</f>
        <v/>
      </c>
    </row>
    <row r="525">
      <c r="A525" s="3" t="inlineStr">
        <is>
          <t>1013807</t>
        </is>
      </c>
      <c r="B525" s="3" t="inlineStr">
        <is>
          <t>625</t>
        </is>
      </c>
      <c r="C525" s="10" t="n">
        <v>45672.39768518518</v>
      </c>
      <c r="D525" s="3" t="inlineStr">
        <is>
          <t>OBT150125154642-Wr. Neustadt (Hödlmayr)</t>
        </is>
      </c>
      <c r="E525" s="10" t="n">
        <v>45672.65743055556</v>
      </c>
      <c r="F525" s="10" t="n">
        <v>45672.69204861111</v>
      </c>
      <c r="G525" s="11">
        <f>IF(AND(ISNUMBER(C525),ISNUMBER(E525)),(E525-C525),"")</f>
        <v/>
      </c>
      <c r="H525" s="11">
        <f>IF(AND(ISNUMBER(C525),ISNUMBER(F525)),(F525-C525),"")</f>
        <v/>
      </c>
    </row>
    <row r="526">
      <c r="A526" s="3" t="inlineStr">
        <is>
          <t>1013808</t>
        </is>
      </c>
      <c r="B526" s="3" t="inlineStr">
        <is>
          <t>607</t>
        </is>
      </c>
      <c r="C526" s="10" t="n">
        <v>45672.39929398148</v>
      </c>
      <c r="D526" s="3" t="inlineStr">
        <is>
          <t>OBT150125182201-Neunkirchen (loading tracks)</t>
        </is>
      </c>
      <c r="E526" s="10" t="n">
        <v>45672.76528935185</v>
      </c>
      <c r="F526" s="10" t="n">
        <v>45672.79980324074</v>
      </c>
      <c r="G526" s="11">
        <f>IF(AND(ISNUMBER(C526),ISNUMBER(E526)),(E526-C526),"")</f>
        <v/>
      </c>
      <c r="H526" s="11">
        <f>IF(AND(ISNUMBER(C526),ISNUMBER(F526)),(F526-C526),"")</f>
        <v/>
      </c>
    </row>
    <row r="527">
      <c r="A527" s="3" t="inlineStr">
        <is>
          <t>1013901</t>
        </is>
      </c>
      <c r="B527" s="3" t="inlineStr">
        <is>
          <t>617</t>
        </is>
      </c>
      <c r="C527" s="10" t="n">
        <v>45672.40203703703</v>
      </c>
      <c r="D527" s="3" t="inlineStr">
        <is>
          <t>OBT150125094220-Wien Kledering</t>
        </is>
      </c>
      <c r="E527" s="10" t="n">
        <v>45672.40439814814</v>
      </c>
      <c r="F527" s="10" t="n">
        <v>45672.46071759259</v>
      </c>
      <c r="G527" s="11">
        <f>IF(AND(ISNUMBER(C527),ISNUMBER(E527)),(E527-C527),"")</f>
        <v/>
      </c>
      <c r="H527" s="11">
        <f>IF(AND(ISNUMBER(C527),ISNUMBER(F527)),(F527-C527),"")</f>
        <v/>
      </c>
    </row>
    <row r="528">
      <c r="A528" s="3" t="inlineStr">
        <is>
          <t>1013902</t>
        </is>
      </c>
      <c r="B528" s="3" t="inlineStr">
        <is>
          <t>609</t>
        </is>
      </c>
      <c r="C528" s="10" t="n">
        <v>45672.40363425926</v>
      </c>
      <c r="D528" s="3" t="inlineStr">
        <is>
          <t>OBT150125101800-Felixdorf/Sollenau (Bundesheer, Maba)</t>
        </is>
      </c>
      <c r="E528" s="10" t="n">
        <v>45672.42916666667</v>
      </c>
      <c r="F528" s="10" t="n">
        <v>45672.45159722222</v>
      </c>
      <c r="G528" s="11">
        <f>IF(AND(ISNUMBER(C528),ISNUMBER(E528)),(E528-C528),"")</f>
        <v/>
      </c>
      <c r="H528" s="11">
        <f>IF(AND(ISNUMBER(C528),ISNUMBER(F528)),(F528-C528),"")</f>
        <v/>
      </c>
    </row>
    <row r="529">
      <c r="A529" s="3" t="inlineStr">
        <is>
          <t>1014001</t>
        </is>
      </c>
      <c r="B529" s="3" t="inlineStr">
        <is>
          <t>609</t>
        </is>
      </c>
      <c r="C529" s="10" t="n">
        <v>45672.42524305556</v>
      </c>
      <c r="D529" s="3" t="inlineStr">
        <is>
          <t>OBT150125101800-Felixdorf/Sollenau (Bundesheer, Maba)</t>
        </is>
      </c>
      <c r="E529" s="10" t="n">
        <v>45672.42916666667</v>
      </c>
      <c r="F529" s="10" t="n">
        <v>45672.45159722222</v>
      </c>
      <c r="G529" s="11">
        <f>IF(AND(ISNUMBER(C529),ISNUMBER(E529)),(E529-C529),"")</f>
        <v/>
      </c>
      <c r="H529" s="11">
        <f>IF(AND(ISNUMBER(C529),ISNUMBER(F529)),(F529-C529),"")</f>
        <v/>
      </c>
    </row>
    <row r="530">
      <c r="A530" s="3" t="inlineStr">
        <is>
          <t>1014002</t>
        </is>
      </c>
      <c r="B530" s="3" t="inlineStr">
        <is>
          <t>623</t>
        </is>
      </c>
      <c r="C530" s="10" t="n">
        <v>45672.42753472222</v>
      </c>
      <c r="D530" s="3" t="inlineStr">
        <is>
          <t>OBT150125101848-Wien Kledering</t>
        </is>
      </c>
      <c r="E530" s="10" t="n">
        <v>45672.42972222222</v>
      </c>
      <c r="F530" s="10" t="n">
        <v>45672.47635416667</v>
      </c>
      <c r="G530" s="11">
        <f>IF(AND(ISNUMBER(C530),ISNUMBER(E530)),(E530-C530),"")</f>
        <v/>
      </c>
      <c r="H530" s="11">
        <f>IF(AND(ISNUMBER(C530),ISNUMBER(F530)),(F530-C530),"")</f>
        <v/>
      </c>
    </row>
    <row r="531">
      <c r="A531" s="3" t="inlineStr">
        <is>
          <t>1014101</t>
        </is>
      </c>
      <c r="B531" s="3" t="inlineStr">
        <is>
          <t>623</t>
        </is>
      </c>
      <c r="C531" s="10" t="n">
        <v>45672.54936342593</v>
      </c>
      <c r="D531" s="3" t="inlineStr">
        <is>
          <t>OBT150125131431-Wien Kledering</t>
        </is>
      </c>
      <c r="E531" s="10" t="n">
        <v>45672.55174768518</v>
      </c>
      <c r="F531" s="10" t="n">
        <v>45672.5744212963</v>
      </c>
      <c r="G531" s="11">
        <f>IF(AND(ISNUMBER(C531),ISNUMBER(E531)),(E531-C531),"")</f>
        <v/>
      </c>
      <c r="H531" s="11">
        <f>IF(AND(ISNUMBER(C531),ISNUMBER(F531)),(F531-C531),"")</f>
        <v/>
      </c>
    </row>
    <row r="532">
      <c r="A532" s="3" t="inlineStr">
        <is>
          <t>1014201</t>
        </is>
      </c>
      <c r="B532" s="3" t="inlineStr">
        <is>
          <t>607</t>
        </is>
      </c>
      <c r="C532" s="10" t="n">
        <v>45672.6493287037</v>
      </c>
      <c r="D532" s="3" t="inlineStr">
        <is>
          <t>OBT150125182201-Neunkirchen (loading tracks)</t>
        </is>
      </c>
      <c r="E532" s="10" t="n">
        <v>45672.76528935185</v>
      </c>
      <c r="F532" s="10" t="n">
        <v>45672.79980324074</v>
      </c>
      <c r="G532" s="11">
        <f>IF(AND(ISNUMBER(C532),ISNUMBER(E532)),(E532-C532),"")</f>
        <v/>
      </c>
      <c r="H532" s="11">
        <f>IF(AND(ISNUMBER(C532),ISNUMBER(F532)),(F532-C532),"")</f>
        <v/>
      </c>
    </row>
    <row r="533">
      <c r="A533" s="3" t="inlineStr">
        <is>
          <t>1014202</t>
        </is>
      </c>
      <c r="B533" s="3" t="inlineStr">
        <is>
          <t>627</t>
        </is>
      </c>
      <c r="C533" s="10" t="n">
        <v>45672.65123842593</v>
      </c>
      <c r="D533" s="3" t="inlineStr">
        <is>
          <t>OBT150125183815-Ebenfurth (beet loading)</t>
        </is>
      </c>
      <c r="E533" s="10" t="n">
        <v>45672.7765625</v>
      </c>
      <c r="F533" s="10" t="n">
        <v>45672.80869212963</v>
      </c>
      <c r="G533" s="11">
        <f>IF(AND(ISNUMBER(C533),ISNUMBER(E533)),(E533-C533),"")</f>
        <v/>
      </c>
      <c r="H533" s="11">
        <f>IF(AND(ISNUMBER(C533),ISNUMBER(F533)),(F533-C533),"")</f>
        <v/>
      </c>
    </row>
    <row r="534">
      <c r="A534" s="3" t="inlineStr">
        <is>
          <t>1014203</t>
        </is>
      </c>
      <c r="B534" s="3" t="inlineStr">
        <is>
          <t>625</t>
        </is>
      </c>
      <c r="C534" s="10" t="n">
        <v>45672.65354166667</v>
      </c>
      <c r="D534" s="3" t="inlineStr">
        <is>
          <t>OBT150125154642-Wr. Neustadt (Hödlmayr)</t>
        </is>
      </c>
      <c r="E534" s="10" t="n">
        <v>45672.65743055556</v>
      </c>
      <c r="F534" s="10" t="n">
        <v>45672.69204861111</v>
      </c>
      <c r="G534" s="11">
        <f>IF(AND(ISNUMBER(C534),ISNUMBER(E534)),(E534-C534),"")</f>
        <v/>
      </c>
      <c r="H534" s="11">
        <f>IF(AND(ISNUMBER(C534),ISNUMBER(F534)),(F534-C534),"")</f>
        <v/>
      </c>
    </row>
    <row r="535">
      <c r="A535" s="3" t="inlineStr">
        <is>
          <t>1014204</t>
        </is>
      </c>
      <c r="B535" s="3" t="inlineStr">
        <is>
          <t>623</t>
        </is>
      </c>
      <c r="C535" s="10" t="n">
        <v>45672.65528935185</v>
      </c>
      <c r="D535" s="3" t="inlineStr">
        <is>
          <t>OBT170125081922-Steinabrückl/Wöllersdorf</t>
        </is>
      </c>
      <c r="E535" s="10" t="n">
        <v>45674.34678240741</v>
      </c>
      <c r="F535" s="10" t="n">
        <v>45674.93011574074</v>
      </c>
      <c r="G535" s="11">
        <f>IF(AND(ISNUMBER(C535),ISNUMBER(E535)),(E535-C535),"")</f>
        <v/>
      </c>
      <c r="H535" s="11">
        <f>IF(AND(ISNUMBER(C535),ISNUMBER(F535)),(F535-C535),"")</f>
        <v/>
      </c>
    </row>
    <row r="536">
      <c r="A536" s="3" t="inlineStr">
        <is>
          <t>1014205</t>
        </is>
      </c>
      <c r="B536" s="3" t="inlineStr">
        <is>
          <t>619</t>
        </is>
      </c>
      <c r="C536" s="10" t="n">
        <v>45672.65743055556</v>
      </c>
      <c r="D536" s="3" t="inlineStr">
        <is>
          <t>OBT150125181910-Pitten (Hamburger)</t>
        </is>
      </c>
      <c r="E536" s="10" t="n">
        <v>45672.76331018518</v>
      </c>
      <c r="F536" s="10" t="n">
        <v>45672.78527777778</v>
      </c>
      <c r="G536" s="11">
        <f>IF(AND(ISNUMBER(C536),ISNUMBER(E536)),(E536-C536),"")</f>
        <v/>
      </c>
      <c r="H536" s="11">
        <f>IF(AND(ISNUMBER(C536),ISNUMBER(F536)),(F536-C536),"")</f>
        <v/>
      </c>
    </row>
    <row r="537">
      <c r="A537" s="3" t="inlineStr">
        <is>
          <t>1014206</t>
        </is>
      </c>
      <c r="B537" s="3" t="inlineStr">
        <is>
          <t>607</t>
        </is>
      </c>
      <c r="C537" s="10" t="n">
        <v>45672.65905092593</v>
      </c>
      <c r="D537" s="3" t="inlineStr">
        <is>
          <t>OBT150125182201-Neunkirchen (loading tracks)</t>
        </is>
      </c>
      <c r="E537" s="10" t="n">
        <v>45672.76528935185</v>
      </c>
      <c r="F537" s="10" t="n">
        <v>45672.79980324074</v>
      </c>
      <c r="G537" s="11">
        <f>IF(AND(ISNUMBER(C537),ISNUMBER(E537)),(E537-C537),"")</f>
        <v/>
      </c>
      <c r="H537" s="11">
        <f>IF(AND(ISNUMBER(C537),ISNUMBER(F537)),(F537-C537),"")</f>
        <v/>
      </c>
    </row>
    <row r="538">
      <c r="A538" s="3" t="inlineStr">
        <is>
          <t>1014207</t>
        </is>
      </c>
      <c r="B538" s="3" t="inlineStr">
        <is>
          <t>605</t>
        </is>
      </c>
      <c r="C538" s="10" t="n">
        <v>45672.66076388889</v>
      </c>
      <c r="D538" s="3" t="inlineStr">
        <is>
          <t>OBT160125081022-Ternitz (Schoeller-Bleckmann)</t>
        </is>
      </c>
      <c r="E538" s="10" t="n">
        <v>45673.3405324074</v>
      </c>
      <c r="F538" s="10" t="n">
        <v>45673.3609375</v>
      </c>
      <c r="G538" s="11">
        <f>IF(AND(ISNUMBER(C538),ISNUMBER(E538)),(E538-C538),"")</f>
        <v/>
      </c>
      <c r="H538" s="11">
        <f>IF(AND(ISNUMBER(C538),ISNUMBER(F538)),(F538-C538),"")</f>
        <v/>
      </c>
    </row>
    <row r="539">
      <c r="A539" s="3" t="inlineStr">
        <is>
          <t>1014208</t>
        </is>
      </c>
      <c r="B539" s="3" t="inlineStr">
        <is>
          <t>615</t>
        </is>
      </c>
      <c r="C539" s="10" t="n">
        <v>45672.66201388889</v>
      </c>
      <c r="D539" s="3" t="inlineStr">
        <is>
          <t>OBT150125155826-Other sidings north</t>
        </is>
      </c>
      <c r="E539" s="10" t="n">
        <v>45672.6655787037</v>
      </c>
      <c r="F539" s="10" t="n">
        <v>45672.68575231481</v>
      </c>
      <c r="G539" s="11">
        <f>IF(AND(ISNUMBER(C539),ISNUMBER(E539)),(E539-C539),"")</f>
        <v/>
      </c>
      <c r="H539" s="11">
        <f>IF(AND(ISNUMBER(C539),ISNUMBER(F539)),(F539-C539),"")</f>
        <v/>
      </c>
    </row>
    <row r="540">
      <c r="A540" s="3" t="inlineStr">
        <is>
          <t>1014209</t>
        </is>
      </c>
      <c r="B540" s="3" t="inlineStr">
        <is>
          <t>609</t>
        </is>
      </c>
      <c r="C540" s="10" t="n">
        <v>45672.66353009259</v>
      </c>
      <c r="D540" s="3" t="inlineStr">
        <is>
          <t>OBT170125031540-Other sidings south</t>
        </is>
      </c>
      <c r="E540" s="10" t="n">
        <v>45674.13587962963</v>
      </c>
      <c r="F540" s="10" t="n">
        <v>45674.37104166667</v>
      </c>
      <c r="G540" s="11">
        <f>IF(AND(ISNUMBER(C540),ISNUMBER(E540)),(E540-C540),"")</f>
        <v/>
      </c>
      <c r="H540" s="11">
        <f>IF(AND(ISNUMBER(C540),ISNUMBER(F540)),(F540-C540),"")</f>
        <v/>
      </c>
    </row>
    <row r="541">
      <c r="A541" s="3" t="inlineStr">
        <is>
          <t>1014210</t>
        </is>
      </c>
      <c r="B541" s="3" t="inlineStr">
        <is>
          <t>606</t>
        </is>
      </c>
      <c r="C541" s="10" t="n">
        <v>45672.66550925926</v>
      </c>
      <c r="D541" s="3" t="inlineStr">
        <is>
          <t>OBT150125160356-Neudörfl (FunderMax)</t>
        </is>
      </c>
      <c r="E541" s="10" t="n">
        <v>45672.66939814815</v>
      </c>
      <c r="F541" s="10" t="n">
        <v>45672.71188657408</v>
      </c>
      <c r="G541" s="11">
        <f>IF(AND(ISNUMBER(C541),ISNUMBER(E541)),(E541-C541),"")</f>
        <v/>
      </c>
      <c r="H541" s="11">
        <f>IF(AND(ISNUMBER(C541),ISNUMBER(F541)),(F541-C541),"")</f>
        <v/>
      </c>
    </row>
    <row r="542">
      <c r="A542" s="3" t="inlineStr">
        <is>
          <t>1014301</t>
        </is>
      </c>
      <c r="B542" s="3" t="inlineStr">
        <is>
          <t>617</t>
        </is>
      </c>
      <c r="C542" s="10" t="n">
        <v>45672.66784722222</v>
      </c>
      <c r="D542" s="3" t="inlineStr">
        <is>
          <t>OBT150125160509-Wien Kledering</t>
        </is>
      </c>
      <c r="E542" s="10" t="n">
        <v>45672.67024305555</v>
      </c>
      <c r="F542" s="10" t="n">
        <v>45672.70667824074</v>
      </c>
      <c r="G542" s="11">
        <f>IF(AND(ISNUMBER(C542),ISNUMBER(E542)),(E542-C542),"")</f>
        <v/>
      </c>
      <c r="H542" s="11">
        <f>IF(AND(ISNUMBER(C542),ISNUMBER(F542)),(F542-C542),"")</f>
        <v/>
      </c>
    </row>
    <row r="543">
      <c r="A543" s="3" t="inlineStr">
        <is>
          <t>1014401</t>
        </is>
      </c>
      <c r="B543" s="3" t="inlineStr">
        <is>
          <t>615</t>
        </is>
      </c>
      <c r="C543" s="10" t="n">
        <v>45672.7287037037</v>
      </c>
      <c r="D543" s="3" t="inlineStr">
        <is>
          <t>OBT150125173247-Wien Kledering</t>
        </is>
      </c>
      <c r="E543" s="10" t="n">
        <v>45672.73109953704</v>
      </c>
      <c r="F543" s="10" t="n">
        <v>45672.78967592592</v>
      </c>
      <c r="G543" s="11">
        <f>IF(AND(ISNUMBER(C543),ISNUMBER(E543)),(E543-C543),"")</f>
        <v/>
      </c>
      <c r="H543" s="11">
        <f>IF(AND(ISNUMBER(C543),ISNUMBER(F543)),(F543-C543),"")</f>
        <v/>
      </c>
    </row>
    <row r="544">
      <c r="A544" s="3" t="inlineStr">
        <is>
          <t>1014501</t>
        </is>
      </c>
      <c r="B544" s="3" t="inlineStr">
        <is>
          <t>627</t>
        </is>
      </c>
      <c r="C544" s="10" t="n">
        <v>45672.75638888889</v>
      </c>
      <c r="D544" s="3" t="inlineStr">
        <is>
          <t>OBT150125183815-Ebenfurth (beet loading)</t>
        </is>
      </c>
      <c r="E544" s="10" t="n">
        <v>45672.7765625</v>
      </c>
      <c r="F544" s="10" t="n">
        <v>45672.80869212963</v>
      </c>
      <c r="G544" s="11">
        <f>IF(AND(ISNUMBER(C544),ISNUMBER(E544)),(E544-C544),"")</f>
        <v/>
      </c>
      <c r="H544" s="11">
        <f>IF(AND(ISNUMBER(C544),ISNUMBER(F544)),(F544-C544),"")</f>
        <v/>
      </c>
    </row>
    <row r="545">
      <c r="A545" s="3" t="inlineStr">
        <is>
          <t>1014502</t>
        </is>
      </c>
      <c r="B545" s="3" t="inlineStr">
        <is>
          <t>611</t>
        </is>
      </c>
      <c r="C545" s="10" t="n">
        <v>45672.75777777778</v>
      </c>
      <c r="D545" s="3" t="inlineStr">
        <is>
          <t>OBT200125083327-Wr. Neustadt (Brenntag)</t>
        </is>
      </c>
      <c r="E545" s="10" t="n">
        <v>45677.3565625</v>
      </c>
      <c r="F545" s="10" t="n">
        <v>45677.74260416667</v>
      </c>
      <c r="G545" s="11">
        <f>IF(AND(ISNUMBER(C545),ISNUMBER(E545)),(E545-C545),"")</f>
        <v/>
      </c>
      <c r="H545" s="11">
        <f>IF(AND(ISNUMBER(C545),ISNUMBER(F545)),(F545-C545),"")</f>
        <v/>
      </c>
    </row>
    <row r="546">
      <c r="A546" s="3" t="inlineStr">
        <is>
          <t>1014503</t>
        </is>
      </c>
      <c r="B546" s="3" t="inlineStr">
        <is>
          <t>619</t>
        </is>
      </c>
      <c r="C546" s="10" t="n">
        <v>45672.75974537037</v>
      </c>
      <c r="D546" s="3" t="inlineStr">
        <is>
          <t>OBT150125181910-Pitten (Hamburger)</t>
        </is>
      </c>
      <c r="E546" s="10" t="n">
        <v>45672.76331018518</v>
      </c>
      <c r="F546" s="10" t="n">
        <v>45672.78527777778</v>
      </c>
      <c r="G546" s="11">
        <f>IF(AND(ISNUMBER(C546),ISNUMBER(E546)),(E546-C546),"")</f>
        <v/>
      </c>
      <c r="H546" s="11">
        <f>IF(AND(ISNUMBER(C546),ISNUMBER(F546)),(F546-C546),"")</f>
        <v/>
      </c>
    </row>
    <row r="547">
      <c r="A547" s="3" t="inlineStr">
        <is>
          <t>1014504</t>
        </is>
      </c>
      <c r="B547" s="3" t="inlineStr">
        <is>
          <t>607</t>
        </is>
      </c>
      <c r="C547" s="10" t="n">
        <v>45672.76136574074</v>
      </c>
      <c r="D547" s="3" t="inlineStr">
        <is>
          <t>OBT150125182201-Neunkirchen (loading tracks)</t>
        </is>
      </c>
      <c r="E547" s="10" t="n">
        <v>45672.76528935185</v>
      </c>
      <c r="F547" s="10" t="n">
        <v>45672.79980324074</v>
      </c>
      <c r="G547" s="11">
        <f>IF(AND(ISNUMBER(C547),ISNUMBER(E547)),(E547-C547),"")</f>
        <v/>
      </c>
      <c r="H547" s="11">
        <f>IF(AND(ISNUMBER(C547),ISNUMBER(F547)),(F547-C547),"")</f>
        <v/>
      </c>
    </row>
    <row r="548">
      <c r="A548" s="3" t="inlineStr">
        <is>
          <t>1014505</t>
        </is>
      </c>
      <c r="B548" s="3" t="inlineStr">
        <is>
          <t>625</t>
        </is>
      </c>
      <c r="C548" s="10" t="n">
        <v>45672.76342592593</v>
      </c>
      <c r="D548" s="3" t="inlineStr">
        <is>
          <t>OBT160125101737-Wr. Neustadt (Hödlmayr)</t>
        </is>
      </c>
      <c r="E548" s="10" t="n">
        <v>45673.42890046296</v>
      </c>
      <c r="F548" s="10" t="n">
        <v>45673.45012731481</v>
      </c>
      <c r="G548" s="11">
        <f>IF(AND(ISNUMBER(C548),ISNUMBER(E548)),(E548-C548),"")</f>
        <v/>
      </c>
      <c r="H548" s="11">
        <f>IF(AND(ISNUMBER(C548),ISNUMBER(F548)),(F548-C548),"")</f>
        <v/>
      </c>
    </row>
    <row r="549">
      <c r="A549" s="3" t="inlineStr">
        <is>
          <t>1014506</t>
        </is>
      </c>
      <c r="B549" s="3" t="inlineStr">
        <is>
          <t>621</t>
        </is>
      </c>
      <c r="C549" s="10" t="n">
        <v>45672.76539351852</v>
      </c>
      <c r="D549" s="3" t="inlineStr">
        <is>
          <t>OBT160125075109-Pitten (Hamburger)</t>
        </is>
      </c>
      <c r="E549" s="10" t="n">
        <v>45673.3271875</v>
      </c>
      <c r="F549" s="10" t="n">
        <v>45673.35795138889</v>
      </c>
      <c r="G549" s="11">
        <f>IF(AND(ISNUMBER(C549),ISNUMBER(E549)),(E549-C549),"")</f>
        <v/>
      </c>
      <c r="H549" s="11">
        <f>IF(AND(ISNUMBER(C549),ISNUMBER(F549)),(F549-C549),"")</f>
        <v/>
      </c>
    </row>
    <row r="550">
      <c r="A550" s="3" t="inlineStr">
        <is>
          <t>1014507</t>
        </is>
      </c>
      <c r="B550" s="3" t="inlineStr">
        <is>
          <t>615</t>
        </is>
      </c>
      <c r="C550" s="10" t="n">
        <v>45672.76658564815</v>
      </c>
      <c r="D550" s="3" t="inlineStr">
        <is>
          <t>OBT160125025835-Neunkirchen (loading tracks)</t>
        </is>
      </c>
      <c r="E550" s="10" t="n">
        <v>45673.12401620371</v>
      </c>
      <c r="F550" s="10" t="n">
        <v>45673.15074074074</v>
      </c>
      <c r="G550" s="11">
        <f>IF(AND(ISNUMBER(C550),ISNUMBER(E550)),(E550-C550),"")</f>
        <v/>
      </c>
      <c r="H550" s="11">
        <f>IF(AND(ISNUMBER(C550),ISNUMBER(F550)),(F550-C550),"")</f>
        <v/>
      </c>
    </row>
    <row r="551">
      <c r="A551" s="3" t="inlineStr">
        <is>
          <t>1014508</t>
        </is>
      </c>
      <c r="B551" s="3" t="inlineStr">
        <is>
          <t>609</t>
        </is>
      </c>
      <c r="C551" s="10" t="n">
        <v>45672.7680787037</v>
      </c>
      <c r="D551" s="3" t="inlineStr">
        <is>
          <t>OBT170125031540-Other sidings south</t>
        </is>
      </c>
      <c r="E551" s="10" t="n">
        <v>45674.13587962963</v>
      </c>
      <c r="F551" s="10" t="n">
        <v>45674.37104166667</v>
      </c>
      <c r="G551" s="11">
        <f>IF(AND(ISNUMBER(C551),ISNUMBER(E551)),(E551-C551),"")</f>
        <v/>
      </c>
      <c r="H551" s="11">
        <f>IF(AND(ISNUMBER(C551),ISNUMBER(F551)),(F551-C551),"")</f>
        <v/>
      </c>
    </row>
    <row r="552">
      <c r="A552" s="3" t="inlineStr">
        <is>
          <t>1014509</t>
        </is>
      </c>
      <c r="B552" s="3" t="inlineStr">
        <is>
          <t>606</t>
        </is>
      </c>
      <c r="C552" s="10" t="n">
        <v>45672.7699074074</v>
      </c>
      <c r="D552" s="3" t="inlineStr">
        <is>
          <t>OBT170125073030-Other sidings north</t>
        </is>
      </c>
      <c r="E552" s="10" t="n">
        <v>45674.31284722222</v>
      </c>
      <c r="F552" s="10" t="n">
        <v>45674.46344907407</v>
      </c>
      <c r="G552" s="11">
        <f>IF(AND(ISNUMBER(C552),ISNUMBER(E552)),(E552-C552),"")</f>
        <v/>
      </c>
      <c r="H552" s="11">
        <f>IF(AND(ISNUMBER(C552),ISNUMBER(F552)),(F552-C552),"")</f>
        <v/>
      </c>
    </row>
    <row r="553">
      <c r="A553" s="3" t="inlineStr">
        <is>
          <t>1014510</t>
        </is>
      </c>
      <c r="B553" s="3" t="inlineStr">
        <is>
          <t>627</t>
        </is>
      </c>
      <c r="C553" s="10" t="n">
        <v>45672.77185185185</v>
      </c>
      <c r="D553" s="3" t="inlineStr">
        <is>
          <t>OBT150125183815-Ebenfurth (beet loading)</t>
        </is>
      </c>
      <c r="E553" s="10" t="n">
        <v>45672.7765625</v>
      </c>
      <c r="F553" s="10" t="n">
        <v>45672.80869212963</v>
      </c>
      <c r="G553" s="11">
        <f>IF(AND(ISNUMBER(C553),ISNUMBER(E553)),(E553-C553),"")</f>
        <v/>
      </c>
      <c r="H553" s="11">
        <f>IF(AND(ISNUMBER(C553),ISNUMBER(F553)),(F553-C553),"")</f>
        <v/>
      </c>
    </row>
    <row r="554">
      <c r="A554" s="3" t="inlineStr">
        <is>
          <t>1014511</t>
        </is>
      </c>
      <c r="B554" s="3" t="inlineStr">
        <is>
          <t>617</t>
        </is>
      </c>
      <c r="C554" s="10" t="n">
        <v>45672.77318287037</v>
      </c>
      <c r="D554" s="3" t="inlineStr">
        <is>
          <t>OBT160125101737-Neudörfl (FunderMax)</t>
        </is>
      </c>
      <c r="E554" s="10" t="n">
        <v>45673.42890046296</v>
      </c>
      <c r="F554" s="10" t="n">
        <v>45673.47474537037</v>
      </c>
      <c r="G554" s="11">
        <f>IF(AND(ISNUMBER(C554),ISNUMBER(E554)),(E554-C554),"")</f>
        <v/>
      </c>
      <c r="H554" s="11">
        <f>IF(AND(ISNUMBER(C554),ISNUMBER(F554)),(F554-C554),"")</f>
        <v/>
      </c>
    </row>
    <row r="555">
      <c r="A555" s="3" t="inlineStr">
        <is>
          <t>1014601</t>
        </is>
      </c>
      <c r="B555" s="3" t="inlineStr">
        <is>
          <t>615</t>
        </is>
      </c>
      <c r="C555" s="10" t="n">
        <v>45673.12162037037</v>
      </c>
      <c r="D555" s="3" t="inlineStr">
        <is>
          <t>OBT160125025835-Neunkirchen (loading tracks)</t>
        </is>
      </c>
      <c r="E555" s="10" t="n">
        <v>45673.12401620371</v>
      </c>
      <c r="F555" s="10" t="n">
        <v>45673.15074074074</v>
      </c>
      <c r="G555" s="11">
        <f>IF(AND(ISNUMBER(C555),ISNUMBER(E555)),(E555-C555),"")</f>
        <v/>
      </c>
      <c r="H555" s="11">
        <f>IF(AND(ISNUMBER(C555),ISNUMBER(F555)),(F555-C555),"")</f>
        <v/>
      </c>
    </row>
    <row r="556">
      <c r="A556" s="3" t="inlineStr">
        <is>
          <t>1014602</t>
        </is>
      </c>
      <c r="B556" s="3" t="inlineStr">
        <is>
          <t>605</t>
        </is>
      </c>
      <c r="C556" s="10" t="n">
        <v>45673.12340277778</v>
      </c>
      <c r="D556" s="3" t="inlineStr">
        <is>
          <t>OBT160125081022-Ternitz (Schoeller-Bleckmann)</t>
        </is>
      </c>
      <c r="E556" s="10" t="n">
        <v>45673.3405324074</v>
      </c>
      <c r="F556" s="10" t="n">
        <v>45673.3609375</v>
      </c>
      <c r="G556" s="11">
        <f>IF(AND(ISNUMBER(C556),ISNUMBER(E556)),(E556-C556),"")</f>
        <v/>
      </c>
      <c r="H556" s="11">
        <f>IF(AND(ISNUMBER(C556),ISNUMBER(F556)),(F556-C556),"")</f>
        <v/>
      </c>
    </row>
    <row r="557">
      <c r="A557" s="3" t="inlineStr">
        <is>
          <t>1014603</t>
        </is>
      </c>
      <c r="B557" s="3" t="inlineStr">
        <is>
          <t>627</t>
        </is>
      </c>
      <c r="C557" s="10" t="n">
        <v>45673.1253125</v>
      </c>
      <c r="D557" s="3" t="inlineStr">
        <is>
          <t>OBT170125093600-Gloggnitz</t>
        </is>
      </c>
      <c r="E557" s="10" t="n">
        <v>45674.4</v>
      </c>
      <c r="F557" s="10" t="n">
        <v>45675.32907407408</v>
      </c>
      <c r="G557" s="11">
        <f>IF(AND(ISNUMBER(C557),ISNUMBER(E557)),(E557-C557),"")</f>
        <v/>
      </c>
      <c r="H557" s="11">
        <f>IF(AND(ISNUMBER(C557),ISNUMBER(F557)),(F557-C557),"")</f>
        <v/>
      </c>
    </row>
    <row r="558">
      <c r="A558" s="3" t="inlineStr">
        <is>
          <t>1014701</t>
        </is>
      </c>
      <c r="B558" s="3" t="inlineStr">
        <is>
          <t>615</t>
        </is>
      </c>
      <c r="C558" s="10" t="n">
        <v>45673.27460648148</v>
      </c>
      <c r="D558" s="3" t="inlineStr">
        <is>
          <t>OBT160125063851-Wien Kledering</t>
        </is>
      </c>
      <c r="E558" s="10" t="n">
        <v>45673.27697916667</v>
      </c>
      <c r="F558" s="10" t="n">
        <v>45673.33056712963</v>
      </c>
      <c r="G558" s="11">
        <f>IF(AND(ISNUMBER(C558),ISNUMBER(E558)),(E558-C558),"")</f>
        <v/>
      </c>
      <c r="H558" s="11">
        <f>IF(AND(ISNUMBER(C558),ISNUMBER(F558)),(F558-C558),"")</f>
        <v/>
      </c>
    </row>
    <row r="559">
      <c r="A559" s="3" t="inlineStr">
        <is>
          <t>1014901</t>
        </is>
      </c>
      <c r="B559" s="3" t="inlineStr">
        <is>
          <t>619</t>
        </is>
      </c>
      <c r="C559" s="10" t="n">
        <v>45673.30969907407</v>
      </c>
      <c r="D559" s="3" t="inlineStr">
        <is>
          <t>OBT160125072923-Wien Kledering</t>
        </is>
      </c>
      <c r="E559" s="10" t="n">
        <v>45673.31207175926</v>
      </c>
      <c r="F559" s="10" t="n">
        <v>45673.335625</v>
      </c>
      <c r="G559" s="11">
        <f>IF(AND(ISNUMBER(C559),ISNUMBER(E559)),(E559-C559),"")</f>
        <v/>
      </c>
      <c r="H559" s="11">
        <f>IF(AND(ISNUMBER(C559),ISNUMBER(F559)),(F559-C559),"")</f>
        <v/>
      </c>
    </row>
    <row r="560">
      <c r="A560" s="3" t="inlineStr">
        <is>
          <t>1014801</t>
        </is>
      </c>
      <c r="B560" s="3" t="inlineStr">
        <is>
          <t>607</t>
        </is>
      </c>
      <c r="C560" s="10" t="n">
        <v>45673.32111111111</v>
      </c>
      <c r="D560" s="3" t="inlineStr">
        <is>
          <t>OBT160125204054-Ebenfurth (beet loading)</t>
        </is>
      </c>
      <c r="E560" s="10" t="n">
        <v>45673.86173611111</v>
      </c>
      <c r="F560" s="10" t="n">
        <v>45674.34606481482</v>
      </c>
      <c r="G560" s="11">
        <f>IF(AND(ISNUMBER(C560),ISNUMBER(E560)),(E560-C560),"")</f>
        <v/>
      </c>
      <c r="H560" s="11">
        <f>IF(AND(ISNUMBER(C560),ISNUMBER(F560)),(F560-C560),"")</f>
        <v/>
      </c>
    </row>
    <row r="561">
      <c r="A561" s="3" t="inlineStr">
        <is>
          <t>1014802</t>
        </is>
      </c>
      <c r="B561" s="3" t="inlineStr">
        <is>
          <t>621</t>
        </is>
      </c>
      <c r="C561" s="10" t="n">
        <v>45673.32326388889</v>
      </c>
      <c r="D561" s="3" t="inlineStr">
        <is>
          <t>OBT160125075109-Pitten (Hamburger)</t>
        </is>
      </c>
      <c r="E561" s="10" t="n">
        <v>45673.3271875</v>
      </c>
      <c r="F561" s="10" t="n">
        <v>45673.35795138889</v>
      </c>
      <c r="G561" s="11">
        <f>IF(AND(ISNUMBER(C561),ISNUMBER(E561)),(E561-C561),"")</f>
        <v/>
      </c>
      <c r="H561" s="11">
        <f>IF(AND(ISNUMBER(C561),ISNUMBER(F561)),(F561-C561),"")</f>
        <v/>
      </c>
    </row>
    <row r="562">
      <c r="A562" s="3" t="inlineStr">
        <is>
          <t>1014803</t>
        </is>
      </c>
      <c r="B562" s="3" t="inlineStr">
        <is>
          <t>627</t>
        </is>
      </c>
      <c r="C562" s="10" t="n">
        <v>45673.32517361111</v>
      </c>
      <c r="D562" s="3" t="inlineStr">
        <is>
          <t>OBT170125093600-Gloggnitz</t>
        </is>
      </c>
      <c r="E562" s="10" t="n">
        <v>45674.4</v>
      </c>
      <c r="F562" s="10" t="n">
        <v>45675.32907407408</v>
      </c>
      <c r="G562" s="11">
        <f>IF(AND(ISNUMBER(C562),ISNUMBER(E562)),(E562-C562),"")</f>
        <v/>
      </c>
      <c r="H562" s="11">
        <f>IF(AND(ISNUMBER(C562),ISNUMBER(F562)),(F562-C562),"")</f>
        <v/>
      </c>
    </row>
    <row r="563">
      <c r="A563" s="3" t="inlineStr">
        <is>
          <t>1014804</t>
        </is>
      </c>
      <c r="B563" s="3" t="inlineStr">
        <is>
          <t>613</t>
        </is>
      </c>
      <c r="C563" s="10" t="n">
        <v>45673.32645833334</v>
      </c>
      <c r="D563" s="3" t="inlineStr">
        <is>
          <t>OBT160125102340-Wr. Neustadt Ausfahrbf (Furtenbach)</t>
        </is>
      </c>
      <c r="E563" s="10" t="n">
        <v>45673.43310185185</v>
      </c>
      <c r="F563" s="10" t="n">
        <v>45673.59943287037</v>
      </c>
      <c r="G563" s="11">
        <f>IF(AND(ISNUMBER(C563),ISNUMBER(E563)),(E563-C563),"")</f>
        <v/>
      </c>
      <c r="H563" s="11">
        <f>IF(AND(ISNUMBER(C563),ISNUMBER(F563)),(F563-C563),"")</f>
        <v/>
      </c>
    </row>
    <row r="564">
      <c r="A564" s="3" t="inlineStr">
        <is>
          <t>1014805</t>
        </is>
      </c>
      <c r="B564" s="3" t="inlineStr">
        <is>
          <t>617</t>
        </is>
      </c>
      <c r="C564" s="10" t="n">
        <v>45673.32775462963</v>
      </c>
      <c r="D564" s="3" t="inlineStr">
        <is>
          <t>OBT160125101737-Neudörfl (FunderMax)</t>
        </is>
      </c>
      <c r="E564" s="10" t="n">
        <v>45673.42890046296</v>
      </c>
      <c r="F564" s="10" t="n">
        <v>45673.47474537037</v>
      </c>
      <c r="G564" s="11">
        <f>IF(AND(ISNUMBER(C564),ISNUMBER(E564)),(E564-C564),"")</f>
        <v/>
      </c>
      <c r="H564" s="11">
        <f>IF(AND(ISNUMBER(C564),ISNUMBER(F564)),(F564-C564),"")</f>
        <v/>
      </c>
    </row>
    <row r="565">
      <c r="A565" s="3" t="inlineStr">
        <is>
          <t>1014806</t>
        </is>
      </c>
      <c r="B565" s="3" t="inlineStr">
        <is>
          <t>613</t>
        </is>
      </c>
      <c r="C565" s="10" t="n">
        <v>45673.32910879629</v>
      </c>
      <c r="D565" s="3" t="inlineStr">
        <is>
          <t>OBT160125102340-Wr. Neustadt Ausfahrbf (Furtenbach)</t>
        </is>
      </c>
      <c r="E565" s="10" t="n">
        <v>45673.43310185185</v>
      </c>
      <c r="F565" s="10" t="n">
        <v>45673.59943287037</v>
      </c>
      <c r="G565" s="11">
        <f>IF(AND(ISNUMBER(C565),ISNUMBER(E565)),(E565-C565),"")</f>
        <v/>
      </c>
      <c r="H565" s="11">
        <f>IF(AND(ISNUMBER(C565),ISNUMBER(F565)),(F565-C565),"")</f>
        <v/>
      </c>
    </row>
    <row r="566">
      <c r="A566" s="3" t="inlineStr">
        <is>
          <t>1014807</t>
        </is>
      </c>
      <c r="B566" s="3" t="inlineStr">
        <is>
          <t>625</t>
        </is>
      </c>
      <c r="C566" s="10" t="n">
        <v>45673.33115740741</v>
      </c>
      <c r="D566" s="3" t="inlineStr">
        <is>
          <t>OBT160125101737-Wr. Neustadt (Hödlmayr)</t>
        </is>
      </c>
      <c r="E566" s="10" t="n">
        <v>45673.42890046296</v>
      </c>
      <c r="F566" s="10" t="n">
        <v>45673.45012731481</v>
      </c>
      <c r="G566" s="11">
        <f>IF(AND(ISNUMBER(C566),ISNUMBER(E566)),(E566-C566),"")</f>
        <v/>
      </c>
      <c r="H566" s="11">
        <f>IF(AND(ISNUMBER(C566),ISNUMBER(F566)),(F566-C566),"")</f>
        <v/>
      </c>
    </row>
    <row r="567">
      <c r="A567" s="3" t="inlineStr">
        <is>
          <t>1014808</t>
        </is>
      </c>
      <c r="B567" s="3" t="inlineStr">
        <is>
          <t>606</t>
        </is>
      </c>
      <c r="C567" s="10" t="n">
        <v>45673.33291666667</v>
      </c>
      <c r="D567" s="3" t="inlineStr">
        <is>
          <t>OBT170125073030-Other sidings north</t>
        </is>
      </c>
      <c r="E567" s="10" t="n">
        <v>45674.31284722222</v>
      </c>
      <c r="F567" s="10" t="n">
        <v>45674.46344907407</v>
      </c>
      <c r="G567" s="11">
        <f>IF(AND(ISNUMBER(C567),ISNUMBER(E567)),(E567-C567),"")</f>
        <v/>
      </c>
      <c r="H567" s="11">
        <f>IF(AND(ISNUMBER(C567),ISNUMBER(F567)),(F567-C567),"")</f>
        <v/>
      </c>
    </row>
    <row r="568">
      <c r="A568" s="3" t="inlineStr">
        <is>
          <t>1014809</t>
        </is>
      </c>
      <c r="B568" s="3" t="inlineStr">
        <is>
          <t>629</t>
        </is>
      </c>
      <c r="C568" s="10" t="n">
        <v>45673.33483796296</v>
      </c>
      <c r="D568" s="3" t="inlineStr">
        <is>
          <t>OBT160125175803-Neunkirchen (loading tracks)</t>
        </is>
      </c>
      <c r="E568" s="10" t="n">
        <v>45673.74864583334</v>
      </c>
      <c r="F568" s="10" t="n">
        <v>45673.88421296296</v>
      </c>
      <c r="G568" s="11">
        <f>IF(AND(ISNUMBER(C568),ISNUMBER(E568)),(E568-C568),"")</f>
        <v/>
      </c>
      <c r="H568" s="11">
        <f>IF(AND(ISNUMBER(C568),ISNUMBER(F568)),(F568-C568),"")</f>
        <v/>
      </c>
    </row>
    <row r="569">
      <c r="A569" s="3" t="inlineStr">
        <is>
          <t>1014810</t>
        </is>
      </c>
      <c r="B569" s="3" t="inlineStr">
        <is>
          <t>605</t>
        </is>
      </c>
      <c r="C569" s="10" t="n">
        <v>45673.33660879629</v>
      </c>
      <c r="D569" s="3" t="inlineStr">
        <is>
          <t>OBT160125081022-Ternitz (Schoeller-Bleckmann)</t>
        </is>
      </c>
      <c r="E569" s="10" t="n">
        <v>45673.3405324074</v>
      </c>
      <c r="F569" s="10" t="n">
        <v>45673.3609375</v>
      </c>
      <c r="G569" s="11">
        <f>IF(AND(ISNUMBER(C569),ISNUMBER(E569)),(E569-C569),"")</f>
        <v/>
      </c>
      <c r="H569" s="11">
        <f>IF(AND(ISNUMBER(C569),ISNUMBER(F569)),(F569-C569),"")</f>
        <v/>
      </c>
    </row>
    <row r="570">
      <c r="A570" s="3" t="inlineStr">
        <is>
          <t>1014811</t>
        </is>
      </c>
      <c r="B570" s="3" t="inlineStr">
        <is>
          <t>625</t>
        </is>
      </c>
      <c r="C570" s="10" t="n">
        <v>45673.33865740741</v>
      </c>
      <c r="D570" s="3" t="inlineStr">
        <is>
          <t>OBT160125101737-Wr. Neustadt (Hödlmayr)</t>
        </is>
      </c>
      <c r="E570" s="10" t="n">
        <v>45673.42890046296</v>
      </c>
      <c r="F570" s="10" t="n">
        <v>45673.45012731481</v>
      </c>
      <c r="G570" s="11">
        <f>IF(AND(ISNUMBER(C570),ISNUMBER(E570)),(E570-C570),"")</f>
        <v/>
      </c>
      <c r="H570" s="11">
        <f>IF(AND(ISNUMBER(C570),ISNUMBER(F570)),(F570-C570),"")</f>
        <v/>
      </c>
    </row>
    <row r="571">
      <c r="A571" s="3" t="inlineStr">
        <is>
          <t>1015001</t>
        </is>
      </c>
      <c r="B571" s="3" t="inlineStr">
        <is>
          <t>615</t>
        </is>
      </c>
      <c r="C571" s="10" t="n">
        <v>45673.34153935185</v>
      </c>
      <c r="D571" s="3" t="inlineStr">
        <is>
          <t>OBT160125081516-Wien Kledering</t>
        </is>
      </c>
      <c r="E571" s="10" t="n">
        <v>45673.34393518518</v>
      </c>
      <c r="F571" s="10" t="n">
        <v>45673.41590277778</v>
      </c>
      <c r="G571" s="11">
        <f>IF(AND(ISNUMBER(C571),ISNUMBER(E571)),(E571-C571),"")</f>
        <v/>
      </c>
      <c r="H571" s="11">
        <f>IF(AND(ISNUMBER(C571),ISNUMBER(F571)),(F571-C571),"")</f>
        <v/>
      </c>
    </row>
    <row r="572">
      <c r="A572" s="3" t="inlineStr">
        <is>
          <t>1015201</t>
        </is>
      </c>
      <c r="B572" s="3" t="inlineStr">
        <is>
          <t>605</t>
        </is>
      </c>
      <c r="C572" s="10" t="n">
        <v>45673.38819444444</v>
      </c>
      <c r="D572" s="3" t="inlineStr">
        <is>
          <t>OBT160125092224-St. Veit an der Glan</t>
        </is>
      </c>
      <c r="E572" s="10" t="n">
        <v>45673.39055555555</v>
      </c>
      <c r="F572" s="10" t="n">
        <v>45673.42869212963</v>
      </c>
      <c r="G572" s="11">
        <f>IF(AND(ISNUMBER(C572),ISNUMBER(E572)),(E572-C572),"")</f>
        <v/>
      </c>
      <c r="H572" s="11">
        <f>IF(AND(ISNUMBER(C572),ISNUMBER(F572)),(F572-C572),"")</f>
        <v/>
      </c>
    </row>
    <row r="573">
      <c r="A573" s="3" t="inlineStr">
        <is>
          <t>1015202</t>
        </is>
      </c>
      <c r="B573" s="3" t="inlineStr">
        <is>
          <t>619</t>
        </is>
      </c>
      <c r="C573" s="10" t="n">
        <v>45673.39049768518</v>
      </c>
      <c r="D573" s="3" t="inlineStr">
        <is>
          <t>OBT160125092526-Wien Kledering</t>
        </is>
      </c>
      <c r="E573" s="10" t="n">
        <v>45673.39266203704</v>
      </c>
      <c r="F573" s="10" t="n">
        <v>45673.42662037037</v>
      </c>
      <c r="G573" s="11">
        <f>IF(AND(ISNUMBER(C573),ISNUMBER(E573)),(E573-C573),"")</f>
        <v/>
      </c>
      <c r="H573" s="11">
        <f>IF(AND(ISNUMBER(C573),ISNUMBER(F573)),(F573-C573),"")</f>
        <v/>
      </c>
    </row>
    <row r="574">
      <c r="A574" s="3" t="inlineStr">
        <is>
          <t>1015101</t>
        </is>
      </c>
      <c r="B574" s="3" t="inlineStr">
        <is>
          <t>607</t>
        </is>
      </c>
      <c r="C574" s="10" t="n">
        <v>45673.39665509259</v>
      </c>
      <c r="D574" s="3" t="inlineStr">
        <is>
          <t>OBT160125204054-Ebenfurth (beet loading)</t>
        </is>
      </c>
      <c r="E574" s="10" t="n">
        <v>45673.86173611111</v>
      </c>
      <c r="F574" s="10" t="n">
        <v>45674.34606481482</v>
      </c>
      <c r="G574" s="11">
        <f>IF(AND(ISNUMBER(C574),ISNUMBER(E574)),(E574-C574),"")</f>
        <v/>
      </c>
      <c r="H574" s="11">
        <f>IF(AND(ISNUMBER(C574),ISNUMBER(F574)),(F574-C574),"")</f>
        <v/>
      </c>
    </row>
    <row r="575">
      <c r="A575" s="3" t="inlineStr">
        <is>
          <t>1015102</t>
        </is>
      </c>
      <c r="B575" s="3" t="inlineStr">
        <is>
          <t>611</t>
        </is>
      </c>
      <c r="C575" s="10" t="n">
        <v>45673.39804398148</v>
      </c>
      <c r="D575" s="3" t="inlineStr">
        <is>
          <t>OBT200125083327-Wr. Neustadt (Brenntag)</t>
        </is>
      </c>
      <c r="E575" s="10" t="n">
        <v>45677.3565625</v>
      </c>
      <c r="F575" s="10" t="n">
        <v>45677.74260416667</v>
      </c>
      <c r="G575" s="11">
        <f>IF(AND(ISNUMBER(C575),ISNUMBER(E575)),(E575-C575),"")</f>
        <v/>
      </c>
      <c r="H575" s="11">
        <f>IF(AND(ISNUMBER(C575),ISNUMBER(F575)),(F575-C575),"")</f>
        <v/>
      </c>
    </row>
    <row r="576">
      <c r="A576" s="3" t="inlineStr">
        <is>
          <t>1015103</t>
        </is>
      </c>
      <c r="B576" s="3" t="inlineStr">
        <is>
          <t>623</t>
        </is>
      </c>
      <c r="C576" s="10" t="n">
        <v>45673.39979166666</v>
      </c>
      <c r="D576" s="3" t="inlineStr">
        <is>
          <t>OBT170125081922-Steinabrückl/Wöllersdorf</t>
        </is>
      </c>
      <c r="E576" s="10" t="n">
        <v>45674.34678240741</v>
      </c>
      <c r="F576" s="10" t="n">
        <v>45674.93011574074</v>
      </c>
      <c r="G576" s="11">
        <f>IF(AND(ISNUMBER(C576),ISNUMBER(E576)),(E576-C576),"")</f>
        <v/>
      </c>
      <c r="H576" s="11">
        <f>IF(AND(ISNUMBER(C576),ISNUMBER(F576)),(F576-C576),"")</f>
        <v/>
      </c>
    </row>
    <row r="577">
      <c r="A577" s="3" t="inlineStr">
        <is>
          <t>1015104</t>
        </is>
      </c>
      <c r="B577" s="3" t="inlineStr">
        <is>
          <t>629</t>
        </is>
      </c>
      <c r="C577" s="10" t="n">
        <v>45673.40172453703</v>
      </c>
      <c r="D577" s="3" t="inlineStr">
        <is>
          <t>OBT160125175803-Neunkirchen (loading tracks)</t>
        </is>
      </c>
      <c r="E577" s="10" t="n">
        <v>45673.74864583334</v>
      </c>
      <c r="F577" s="10" t="n">
        <v>45673.88421296296</v>
      </c>
      <c r="G577" s="11">
        <f>IF(AND(ISNUMBER(C577),ISNUMBER(E577)),(E577-C577),"")</f>
        <v/>
      </c>
      <c r="H577" s="11">
        <f>IF(AND(ISNUMBER(C577),ISNUMBER(F577)),(F577-C577),"")</f>
        <v/>
      </c>
    </row>
    <row r="578">
      <c r="A578" s="3" t="inlineStr">
        <is>
          <t>1015105</t>
        </is>
      </c>
      <c r="B578" s="3" t="inlineStr">
        <is>
          <t>625</t>
        </is>
      </c>
      <c r="C578" s="10" t="n">
        <v>45673.40377314815</v>
      </c>
      <c r="D578" s="3" t="inlineStr">
        <is>
          <t>OBT160125101737-Wr. Neustadt (Hödlmayr)</t>
        </is>
      </c>
      <c r="E578" s="10" t="n">
        <v>45673.42890046296</v>
      </c>
      <c r="F578" s="10" t="n">
        <v>45673.45012731481</v>
      </c>
      <c r="G578" s="11">
        <f>IF(AND(ISNUMBER(C578),ISNUMBER(E578)),(E578-C578),"")</f>
        <v/>
      </c>
      <c r="H578" s="11">
        <f>IF(AND(ISNUMBER(C578),ISNUMBER(F578)),(F578-C578),"")</f>
        <v/>
      </c>
    </row>
    <row r="579">
      <c r="A579" s="3" t="inlineStr">
        <is>
          <t>1015106</t>
        </is>
      </c>
      <c r="B579" s="3" t="inlineStr">
        <is>
          <t>617</t>
        </is>
      </c>
      <c r="C579" s="10" t="n">
        <v>45673.40511574074</v>
      </c>
      <c r="D579" s="3" t="inlineStr">
        <is>
          <t>OBT160125101737-Neudörfl (FunderMax)</t>
        </is>
      </c>
      <c r="E579" s="10" t="n">
        <v>45673.42890046296</v>
      </c>
      <c r="F579" s="10" t="n">
        <v>45673.47474537037</v>
      </c>
      <c r="G579" s="11">
        <f>IF(AND(ISNUMBER(C579),ISNUMBER(E579)),(E579-C579),"")</f>
        <v/>
      </c>
      <c r="H579" s="11">
        <f>IF(AND(ISNUMBER(C579),ISNUMBER(F579)),(F579-C579),"")</f>
        <v/>
      </c>
    </row>
    <row r="580">
      <c r="A580" s="3" t="inlineStr">
        <is>
          <t>1015107</t>
        </is>
      </c>
      <c r="B580" s="3" t="inlineStr">
        <is>
          <t>627</t>
        </is>
      </c>
      <c r="C580" s="10" t="n">
        <v>45673.40702546296</v>
      </c>
      <c r="D580" s="3" t="inlineStr">
        <is>
          <t>OBT170125093600-Gloggnitz</t>
        </is>
      </c>
      <c r="E580" s="10" t="n">
        <v>45674.4</v>
      </c>
      <c r="F580" s="10" t="n">
        <v>45675.32907407408</v>
      </c>
      <c r="G580" s="11">
        <f>IF(AND(ISNUMBER(C580),ISNUMBER(E580)),(E580-C580),"")</f>
        <v/>
      </c>
      <c r="H580" s="11">
        <f>IF(AND(ISNUMBER(C580),ISNUMBER(F580)),(F580-C580),"")</f>
        <v/>
      </c>
    </row>
    <row r="581">
      <c r="A581" s="3" t="inlineStr">
        <is>
          <t>1015108</t>
        </is>
      </c>
      <c r="B581" s="3" t="inlineStr">
        <is>
          <t>609</t>
        </is>
      </c>
      <c r="C581" s="10" t="n">
        <v>45673.40854166666</v>
      </c>
      <c r="D581" s="3" t="inlineStr">
        <is>
          <t>OBT170125031540-Other sidings south</t>
        </is>
      </c>
      <c r="E581" s="10" t="n">
        <v>45674.13587962963</v>
      </c>
      <c r="F581" s="10" t="n">
        <v>45674.37104166667</v>
      </c>
      <c r="G581" s="11">
        <f>IF(AND(ISNUMBER(C581),ISNUMBER(E581)),(E581-C581),"")</f>
        <v/>
      </c>
      <c r="H581" s="11">
        <f>IF(AND(ISNUMBER(C581),ISNUMBER(F581)),(F581-C581),"")</f>
        <v/>
      </c>
    </row>
    <row r="582">
      <c r="A582" s="3" t="inlineStr">
        <is>
          <t>1015109</t>
        </is>
      </c>
      <c r="B582" s="3" t="inlineStr">
        <is>
          <t>613</t>
        </is>
      </c>
      <c r="C582" s="10" t="n">
        <v>45673.40991898148</v>
      </c>
      <c r="D582" s="3" t="inlineStr">
        <is>
          <t>OBT160125102340-Wr. Neustadt Ausfahrbf (Furtenbach)</t>
        </is>
      </c>
      <c r="E582" s="10" t="n">
        <v>45673.43310185185</v>
      </c>
      <c r="F582" s="10" t="n">
        <v>45673.59943287037</v>
      </c>
      <c r="G582" s="11">
        <f>IF(AND(ISNUMBER(C582),ISNUMBER(E582)),(E582-C582),"")</f>
        <v/>
      </c>
      <c r="H582" s="11">
        <f>IF(AND(ISNUMBER(C582),ISNUMBER(F582)),(F582-C582),"")</f>
        <v/>
      </c>
    </row>
    <row r="583">
      <c r="A583" s="3" t="inlineStr">
        <is>
          <t>1015110</t>
        </is>
      </c>
      <c r="B583" s="3" t="inlineStr">
        <is>
          <t>613</t>
        </is>
      </c>
      <c r="C583" s="10" t="n">
        <v>45673.41155092593</v>
      </c>
      <c r="D583" s="3" t="inlineStr">
        <is>
          <t>OBT160125102340-Wr. Neustadt Ausfahrbf (Furtenbach)</t>
        </is>
      </c>
      <c r="E583" s="10" t="n">
        <v>45673.43310185185</v>
      </c>
      <c r="F583" s="10" t="n">
        <v>45673.59943287037</v>
      </c>
      <c r="G583" s="11">
        <f>IF(AND(ISNUMBER(C583),ISNUMBER(E583)),(E583-C583),"")</f>
        <v/>
      </c>
      <c r="H583" s="11">
        <f>IF(AND(ISNUMBER(C583),ISNUMBER(F583)),(F583-C583),"")</f>
        <v/>
      </c>
    </row>
    <row r="584">
      <c r="A584" s="3" t="inlineStr">
        <is>
          <t>1015301</t>
        </is>
      </c>
      <c r="B584" s="3" t="inlineStr">
        <is>
          <t>615</t>
        </is>
      </c>
      <c r="C584" s="10" t="n">
        <v>45673.45231481481</v>
      </c>
      <c r="D584" s="3" t="inlineStr">
        <is>
          <t>OBT170125073842-St. Veit an der Glan</t>
        </is>
      </c>
      <c r="E584" s="10" t="n">
        <v>45674.31854166667</v>
      </c>
      <c r="F584" s="10" t="n">
        <v>45674.68364583333</v>
      </c>
      <c r="G584" s="11">
        <f>IF(AND(ISNUMBER(C584),ISNUMBER(E584)),(E584-C584),"")</f>
        <v/>
      </c>
      <c r="H584" s="11">
        <f>IF(AND(ISNUMBER(C584),ISNUMBER(F584)),(F584-C584),"")</f>
        <v/>
      </c>
    </row>
    <row r="585">
      <c r="A585" s="3" t="inlineStr">
        <is>
          <t>1015302</t>
        </is>
      </c>
      <c r="B585" s="3" t="inlineStr">
        <is>
          <t>605</t>
        </is>
      </c>
      <c r="C585" s="10" t="n">
        <v>45673.45478009259</v>
      </c>
      <c r="D585" s="3" t="inlineStr">
        <is>
          <t>OBT160125105820-Wien Kledering</t>
        </is>
      </c>
      <c r="E585" s="10" t="n">
        <v>45673.45717592593</v>
      </c>
      <c r="F585" s="10" t="n">
        <v>45673.67611111111</v>
      </c>
      <c r="G585" s="11">
        <f>IF(AND(ISNUMBER(C585),ISNUMBER(E585)),(E585-C585),"")</f>
        <v/>
      </c>
      <c r="H585" s="11">
        <f>IF(AND(ISNUMBER(C585),ISNUMBER(F585)),(F585-C585),"")</f>
        <v/>
      </c>
    </row>
    <row r="586">
      <c r="A586" s="3" t="inlineStr">
        <is>
          <t>1015401</t>
        </is>
      </c>
      <c r="B586" s="3" t="inlineStr">
        <is>
          <t>625</t>
        </is>
      </c>
      <c r="C586" s="10" t="n">
        <v>45673.54138888889</v>
      </c>
      <c r="D586" s="3" t="inlineStr">
        <is>
          <t>OBT160125130303-Wien Kledering</t>
        </is>
      </c>
      <c r="E586" s="10" t="n">
        <v>45673.54378472222</v>
      </c>
      <c r="F586" s="10" t="n">
        <v>45673.67400462963</v>
      </c>
      <c r="G586" s="11">
        <f>IF(AND(ISNUMBER(C586),ISNUMBER(E586)),(E586-C586),"")</f>
        <v/>
      </c>
      <c r="H586" s="11">
        <f>IF(AND(ISNUMBER(C586),ISNUMBER(F586)),(F586-C586),"")</f>
        <v/>
      </c>
    </row>
    <row r="587">
      <c r="A587" s="3" t="inlineStr">
        <is>
          <t>1015501</t>
        </is>
      </c>
      <c r="B587" s="3" t="inlineStr">
        <is>
          <t>613</t>
        </is>
      </c>
      <c r="C587" s="10" t="n">
        <v>45673.61425925926</v>
      </c>
      <c r="D587" s="3" t="inlineStr">
        <is>
          <t>OBT160125144759-Wien Kledering</t>
        </is>
      </c>
      <c r="E587" s="10" t="n">
        <v>45673.61665509259</v>
      </c>
      <c r="F587" s="10" t="n">
        <v>45673.69680555556</v>
      </c>
      <c r="G587" s="11">
        <f>IF(AND(ISNUMBER(C587),ISNUMBER(E587)),(E587-C587),"")</f>
        <v/>
      </c>
      <c r="H587" s="11">
        <f>IF(AND(ISNUMBER(C587),ISNUMBER(F587)),(F587-C587),"")</f>
        <v/>
      </c>
    </row>
    <row r="588">
      <c r="A588" s="3" t="inlineStr">
        <is>
          <t>1015601</t>
        </is>
      </c>
      <c r="B588" s="3" t="inlineStr">
        <is>
          <t>629</t>
        </is>
      </c>
      <c r="C588" s="10" t="n">
        <v>45673.63074074074</v>
      </c>
      <c r="D588" s="3" t="inlineStr">
        <is>
          <t>OBT160125175803-Neunkirchen (loading tracks)</t>
        </is>
      </c>
      <c r="E588" s="10" t="n">
        <v>45673.74864583334</v>
      </c>
      <c r="F588" s="10" t="n">
        <v>45673.88421296296</v>
      </c>
      <c r="G588" s="11">
        <f>IF(AND(ISNUMBER(C588),ISNUMBER(E588)),(E588-C588),"")</f>
        <v/>
      </c>
      <c r="H588" s="11">
        <f>IF(AND(ISNUMBER(C588),ISNUMBER(F588)),(F588-C588),"")</f>
        <v/>
      </c>
    </row>
    <row r="589">
      <c r="A589" s="3" t="inlineStr">
        <is>
          <t>1015602</t>
        </is>
      </c>
      <c r="B589" s="3" t="inlineStr">
        <is>
          <t>613</t>
        </is>
      </c>
      <c r="C589" s="10" t="n">
        <v>45673.63238425926</v>
      </c>
      <c r="D589" s="3" t="inlineStr">
        <is>
          <t>OBT160125151346-Pitten (Hamburger)</t>
        </is>
      </c>
      <c r="E589" s="10" t="n">
        <v>45673.63456018519</v>
      </c>
      <c r="F589" s="10" t="n">
        <v>45673.71365740741</v>
      </c>
      <c r="G589" s="11">
        <f>IF(AND(ISNUMBER(C589),ISNUMBER(E589)),(E589-C589),"")</f>
        <v/>
      </c>
      <c r="H589" s="11">
        <f>IF(AND(ISNUMBER(C589),ISNUMBER(F589)),(F589-C589),"")</f>
        <v/>
      </c>
    </row>
    <row r="590">
      <c r="A590" s="3" t="inlineStr">
        <is>
          <t>1015603</t>
        </is>
      </c>
      <c r="B590" s="3" t="inlineStr">
        <is>
          <t>607</t>
        </is>
      </c>
      <c r="C590" s="10" t="n">
        <v>45673.63399305556</v>
      </c>
      <c r="D590" s="3" t="inlineStr">
        <is>
          <t>OBT160125204054-Ebenfurth (beet loading)</t>
        </is>
      </c>
      <c r="E590" s="10" t="n">
        <v>45673.86173611111</v>
      </c>
      <c r="F590" s="10" t="n">
        <v>45674.34606481482</v>
      </c>
      <c r="G590" s="11">
        <f>IF(AND(ISNUMBER(C590),ISNUMBER(E590)),(E590-C590),"")</f>
        <v/>
      </c>
      <c r="H590" s="11">
        <f>IF(AND(ISNUMBER(C590),ISNUMBER(F590)),(F590-C590),"")</f>
        <v/>
      </c>
    </row>
    <row r="591">
      <c r="A591" s="3" t="inlineStr">
        <is>
          <t>1015604</t>
        </is>
      </c>
      <c r="B591" s="3" t="inlineStr">
        <is>
          <t>609</t>
        </is>
      </c>
      <c r="C591" s="10" t="n">
        <v>45673.63549768519</v>
      </c>
      <c r="D591" s="3" t="inlineStr">
        <is>
          <t>OBT170125031540-Other sidings south</t>
        </is>
      </c>
      <c r="E591" s="10" t="n">
        <v>45674.13587962963</v>
      </c>
      <c r="F591" s="10" t="n">
        <v>45674.37104166667</v>
      </c>
      <c r="G591" s="11">
        <f>IF(AND(ISNUMBER(C591),ISNUMBER(E591)),(E591-C591),"")</f>
        <v/>
      </c>
      <c r="H591" s="11">
        <f>IF(AND(ISNUMBER(C591),ISNUMBER(F591)),(F591-C591),"")</f>
        <v/>
      </c>
    </row>
    <row r="592">
      <c r="A592" s="3" t="inlineStr">
        <is>
          <t>1015605</t>
        </is>
      </c>
      <c r="B592" s="3" t="inlineStr">
        <is>
          <t>627</t>
        </is>
      </c>
      <c r="C592" s="10" t="n">
        <v>45673.63741898148</v>
      </c>
      <c r="D592" s="3" t="inlineStr">
        <is>
          <t>OBT170125093600-Gloggnitz</t>
        </is>
      </c>
      <c r="E592" s="10" t="n">
        <v>45674.4</v>
      </c>
      <c r="F592" s="10" t="n">
        <v>45675.32907407408</v>
      </c>
      <c r="G592" s="11">
        <f>IF(AND(ISNUMBER(C592),ISNUMBER(E592)),(E592-C592),"")</f>
        <v/>
      </c>
      <c r="H592" s="11">
        <f>IF(AND(ISNUMBER(C592),ISNUMBER(F592)),(F592-C592),"")</f>
        <v/>
      </c>
    </row>
    <row r="593">
      <c r="A593" s="3" t="inlineStr">
        <is>
          <t>1015606</t>
        </is>
      </c>
      <c r="B593" s="3" t="inlineStr">
        <is>
          <t>619</t>
        </is>
      </c>
      <c r="C593" s="10" t="n">
        <v>45673.639375</v>
      </c>
      <c r="D593" s="3" t="inlineStr">
        <is>
          <t>OBT170125044950-Neudörfl (FunderMax)</t>
        </is>
      </c>
      <c r="E593" s="10" t="n">
        <v>45674.20127314814</v>
      </c>
      <c r="F593" s="10" t="n">
        <v>45674.48069444444</v>
      </c>
      <c r="G593" s="11">
        <f>IF(AND(ISNUMBER(C593),ISNUMBER(E593)),(E593-C593),"")</f>
        <v/>
      </c>
      <c r="H593" s="11">
        <f>IF(AND(ISNUMBER(C593),ISNUMBER(F593)),(F593-C593),"")</f>
        <v/>
      </c>
    </row>
    <row r="594">
      <c r="A594" s="3" t="inlineStr">
        <is>
          <t>1015607</t>
        </is>
      </c>
      <c r="B594" s="3" t="inlineStr">
        <is>
          <t>617</t>
        </is>
      </c>
      <c r="C594" s="10" t="n">
        <v>45673.64075231482</v>
      </c>
      <c r="D594" s="3" t="inlineStr">
        <is>
          <t>OBT160125203907-Wr. Neustadt (Hödlmayr)</t>
        </is>
      </c>
      <c r="E594" s="10" t="n">
        <v>45673.86049768519</v>
      </c>
      <c r="F594" s="10" t="n">
        <v>45674.30106481481</v>
      </c>
      <c r="G594" s="11">
        <f>IF(AND(ISNUMBER(C594),ISNUMBER(E594)),(E594-C594),"")</f>
        <v/>
      </c>
      <c r="H594" s="11">
        <f>IF(AND(ISNUMBER(C594),ISNUMBER(F594)),(F594-C594),"")</f>
        <v/>
      </c>
    </row>
    <row r="595">
      <c r="A595" s="3" t="inlineStr">
        <is>
          <t>1015701</t>
        </is>
      </c>
      <c r="B595" s="3" t="inlineStr">
        <is>
          <t>621</t>
        </is>
      </c>
      <c r="C595" s="10" t="n">
        <v>45673.65143518519</v>
      </c>
      <c r="D595" s="3" t="inlineStr">
        <is>
          <t>OBT160125162643-Wien Kledering</t>
        </is>
      </c>
      <c r="E595" s="10" t="n">
        <v>45673.68521990741</v>
      </c>
      <c r="F595" s="10" t="n">
        <v>45673.77357638889</v>
      </c>
      <c r="G595" s="11">
        <f>IF(AND(ISNUMBER(C595),ISNUMBER(E595)),(E595-C595),"")</f>
        <v/>
      </c>
      <c r="H595" s="11">
        <f>IF(AND(ISNUMBER(C595),ISNUMBER(F595)),(F595-C595),"")</f>
        <v/>
      </c>
    </row>
    <row r="596">
      <c r="A596" s="3" t="inlineStr">
        <is>
          <t>1015801</t>
        </is>
      </c>
      <c r="B596" s="3" t="inlineStr">
        <is>
          <t>615</t>
        </is>
      </c>
      <c r="C596" s="10" t="n">
        <v>45673.67924768518</v>
      </c>
      <c r="D596" s="3" t="inlineStr">
        <is>
          <t>OBT170125073842-St. Veit an der Glan</t>
        </is>
      </c>
      <c r="E596" s="10" t="n">
        <v>45674.31854166667</v>
      </c>
      <c r="F596" s="10" t="n">
        <v>45674.68364583333</v>
      </c>
      <c r="G596" s="11">
        <f>IF(AND(ISNUMBER(C596),ISNUMBER(E596)),(E596-C596),"")</f>
        <v/>
      </c>
      <c r="H596" s="11">
        <f>IF(AND(ISNUMBER(C596),ISNUMBER(F596)),(F596-C596),"")</f>
        <v/>
      </c>
    </row>
    <row r="597">
      <c r="A597" s="3" t="inlineStr">
        <is>
          <t>1015802</t>
        </is>
      </c>
      <c r="B597" s="3" t="inlineStr">
        <is>
          <t>621</t>
        </is>
      </c>
      <c r="C597" s="10" t="n">
        <v>45673.68129629629</v>
      </c>
      <c r="D597" s="3" t="inlineStr">
        <is>
          <t>OBT160125162643-Wien Kledering</t>
        </is>
      </c>
      <c r="E597" s="10" t="n">
        <v>45673.68521990741</v>
      </c>
      <c r="F597" s="10" t="n">
        <v>45673.77357638889</v>
      </c>
      <c r="G597" s="11">
        <f>IF(AND(ISNUMBER(C597),ISNUMBER(E597)),(E597-C597),"")</f>
        <v/>
      </c>
      <c r="H597" s="11">
        <f>IF(AND(ISNUMBER(C597),ISNUMBER(F597)),(F597-C597),"")</f>
        <v/>
      </c>
    </row>
    <row r="598">
      <c r="A598" s="3" t="inlineStr">
        <is>
          <t>1015901</t>
        </is>
      </c>
      <c r="B598" s="3" t="inlineStr">
        <is>
          <t>617</t>
        </is>
      </c>
      <c r="C598" s="10" t="n">
        <v>45673.74275462963</v>
      </c>
      <c r="D598" s="3" t="inlineStr">
        <is>
          <t>OBT160125203907-Wr. Neustadt (Hödlmayr)</t>
        </is>
      </c>
      <c r="E598" s="10" t="n">
        <v>45673.86049768519</v>
      </c>
      <c r="F598" s="10" t="n">
        <v>45674.30106481481</v>
      </c>
      <c r="G598" s="11">
        <f>IF(AND(ISNUMBER(C598),ISNUMBER(E598)),(E598-C598),"")</f>
        <v/>
      </c>
      <c r="H598" s="11">
        <f>IF(AND(ISNUMBER(C598),ISNUMBER(F598)),(F598-C598),"")</f>
        <v/>
      </c>
    </row>
    <row r="599">
      <c r="A599" s="3" t="inlineStr">
        <is>
          <t>1015902</t>
        </is>
      </c>
      <c r="B599" s="3" t="inlineStr">
        <is>
          <t>629</t>
        </is>
      </c>
      <c r="C599" s="10" t="n">
        <v>45673.74472222223</v>
      </c>
      <c r="D599" s="3" t="inlineStr">
        <is>
          <t>OBT160125175803-Neunkirchen (loading tracks)</t>
        </is>
      </c>
      <c r="E599" s="10" t="n">
        <v>45673.74864583334</v>
      </c>
      <c r="F599" s="10" t="n">
        <v>45673.88421296296</v>
      </c>
      <c r="G599" s="11">
        <f>IF(AND(ISNUMBER(C599),ISNUMBER(E599)),(E599-C599),"")</f>
        <v/>
      </c>
      <c r="H599" s="11">
        <f>IF(AND(ISNUMBER(C599),ISNUMBER(F599)),(F599-C599),"")</f>
        <v/>
      </c>
    </row>
    <row r="600">
      <c r="A600" s="3" t="inlineStr">
        <is>
          <t>1015903</t>
        </is>
      </c>
      <c r="B600" s="3" t="inlineStr">
        <is>
          <t>613</t>
        </is>
      </c>
      <c r="C600" s="10" t="n">
        <v>45673.7468287037</v>
      </c>
      <c r="D600" s="3" t="inlineStr">
        <is>
          <t>OBT160125175833-Pitten (Hamburger)</t>
        </is>
      </c>
      <c r="E600" s="10" t="n">
        <v>45673.74899305555</v>
      </c>
      <c r="F600" s="10" t="n">
        <v>45674.19979166667</v>
      </c>
      <c r="G600" s="11">
        <f>IF(AND(ISNUMBER(C600),ISNUMBER(E600)),(E600-C600),"")</f>
        <v/>
      </c>
      <c r="H600" s="11">
        <f>IF(AND(ISNUMBER(C600),ISNUMBER(F600)),(F600-C600),"")</f>
        <v/>
      </c>
    </row>
    <row r="601">
      <c r="A601" s="3" t="inlineStr">
        <is>
          <t>1015904</t>
        </is>
      </c>
      <c r="B601" s="3" t="inlineStr">
        <is>
          <t>619</t>
        </is>
      </c>
      <c r="C601" s="10" t="n">
        <v>45673.74884259259</v>
      </c>
      <c r="D601" s="3" t="inlineStr">
        <is>
          <t>OBT170125044950-Neudörfl (FunderMax)</t>
        </is>
      </c>
      <c r="E601" s="10" t="n">
        <v>45674.20127314814</v>
      </c>
      <c r="F601" s="10" t="n">
        <v>45674.48069444444</v>
      </c>
      <c r="G601" s="11">
        <f>IF(AND(ISNUMBER(C601),ISNUMBER(E601)),(E601-C601),"")</f>
        <v/>
      </c>
      <c r="H601" s="11">
        <f>IF(AND(ISNUMBER(C601),ISNUMBER(F601)),(F601-C601),"")</f>
        <v/>
      </c>
    </row>
    <row r="602">
      <c r="A602" s="3" t="inlineStr">
        <is>
          <t>1015905</t>
        </is>
      </c>
      <c r="B602" s="3" t="inlineStr">
        <is>
          <t>613</t>
        </is>
      </c>
      <c r="C602" s="10" t="n">
        <v>45673.75012731482</v>
      </c>
      <c r="D602" s="3" t="inlineStr">
        <is>
          <t>OBT170125064600-Wien Kledering</t>
        </is>
      </c>
      <c r="E602" s="10" t="n">
        <v>45674.28194444445</v>
      </c>
      <c r="F602" s="10" t="n">
        <v>45674.45237268518</v>
      </c>
      <c r="G602" s="11">
        <f>IF(AND(ISNUMBER(C602),ISNUMBER(E602)),(E602-C602),"")</f>
        <v/>
      </c>
      <c r="H602" s="11">
        <f>IF(AND(ISNUMBER(C602),ISNUMBER(F602)),(F602-C602),"")</f>
        <v/>
      </c>
    </row>
    <row r="603">
      <c r="A603" s="3" t="inlineStr">
        <is>
          <t>1016001</t>
        </is>
      </c>
      <c r="B603" s="3" t="inlineStr">
        <is>
          <t>611</t>
        </is>
      </c>
      <c r="C603" s="10" t="n">
        <v>45673.84976851852</v>
      </c>
      <c r="D603" s="3" t="inlineStr">
        <is>
          <t>OBT200125083327-Wr. Neustadt (Brenntag)</t>
        </is>
      </c>
      <c r="E603" s="10" t="n">
        <v>45677.3565625</v>
      </c>
      <c r="F603" s="10" t="n">
        <v>45677.74260416667</v>
      </c>
      <c r="G603" s="11">
        <f>IF(AND(ISNUMBER(C603),ISNUMBER(E603)),(E603-C603),"")</f>
        <v/>
      </c>
      <c r="H603" s="11">
        <f>IF(AND(ISNUMBER(C603),ISNUMBER(F603)),(F603-C603),"")</f>
        <v/>
      </c>
    </row>
    <row r="604">
      <c r="A604" s="3" t="inlineStr">
        <is>
          <t>1016002</t>
        </is>
      </c>
      <c r="B604" s="3" t="inlineStr">
        <is>
          <t>625</t>
        </is>
      </c>
      <c r="C604" s="10" t="n">
        <v>45673.85200231482</v>
      </c>
      <c r="D604" s="3" t="inlineStr">
        <is>
          <t>OBT160125203020-Pitten (Hamburger)</t>
        </is>
      </c>
      <c r="E604" s="10" t="n">
        <v>45673.85439814815</v>
      </c>
      <c r="F604" s="10" t="n">
        <v>45674.21908564815</v>
      </c>
      <c r="G604" s="11">
        <f>IF(AND(ISNUMBER(C604),ISNUMBER(E604)),(E604-C604),"")</f>
        <v/>
      </c>
      <c r="H604" s="11">
        <f>IF(AND(ISNUMBER(C604),ISNUMBER(F604)),(F604-C604),"")</f>
        <v/>
      </c>
    </row>
    <row r="605">
      <c r="A605" s="3" t="inlineStr">
        <is>
          <t>1016003</t>
        </is>
      </c>
      <c r="B605" s="3" t="inlineStr">
        <is>
          <t>609</t>
        </is>
      </c>
      <c r="C605" s="10" t="n">
        <v>45673.85351851852</v>
      </c>
      <c r="D605" s="3" t="inlineStr">
        <is>
          <t>OBT170125031540-Other sidings south</t>
        </is>
      </c>
      <c r="E605" s="10" t="n">
        <v>45674.13587962963</v>
      </c>
      <c r="F605" s="10" t="n">
        <v>45674.37104166667</v>
      </c>
      <c r="G605" s="11">
        <f>IF(AND(ISNUMBER(C605),ISNUMBER(E605)),(E605-C605),"")</f>
        <v/>
      </c>
      <c r="H605" s="11">
        <f>IF(AND(ISNUMBER(C605),ISNUMBER(F605)),(F605-C605),"")</f>
        <v/>
      </c>
    </row>
    <row r="606">
      <c r="A606" s="3" t="inlineStr">
        <is>
          <t>1016004</t>
        </is>
      </c>
      <c r="B606" s="3" t="inlineStr">
        <is>
          <t>623</t>
        </is>
      </c>
      <c r="C606" s="10" t="n">
        <v>45673.8552662037</v>
      </c>
      <c r="D606" s="3" t="inlineStr">
        <is>
          <t>OBT170125081922-Steinabrückl/Wöllersdorf</t>
        </is>
      </c>
      <c r="E606" s="10" t="n">
        <v>45674.34678240741</v>
      </c>
      <c r="F606" s="10" t="n">
        <v>45674.93011574074</v>
      </c>
      <c r="G606" s="11">
        <f>IF(AND(ISNUMBER(C606),ISNUMBER(E606)),(E606-C606),"")</f>
        <v/>
      </c>
      <c r="H606" s="11">
        <f>IF(AND(ISNUMBER(C606),ISNUMBER(F606)),(F606-C606),"")</f>
        <v/>
      </c>
    </row>
    <row r="607">
      <c r="A607" s="3" t="inlineStr">
        <is>
          <t>1016005</t>
        </is>
      </c>
      <c r="B607" s="3" t="inlineStr">
        <is>
          <t>617</t>
        </is>
      </c>
      <c r="C607" s="10" t="n">
        <v>45673.85657407407</v>
      </c>
      <c r="D607" s="3" t="inlineStr">
        <is>
          <t>OBT160125203907-Wr. Neustadt (Hödlmayr)</t>
        </is>
      </c>
      <c r="E607" s="10" t="n">
        <v>45673.86049768519</v>
      </c>
      <c r="F607" s="10" t="n">
        <v>45674.30106481481</v>
      </c>
      <c r="G607" s="11">
        <f>IF(AND(ISNUMBER(C607),ISNUMBER(E607)),(E607-C607),"")</f>
        <v/>
      </c>
      <c r="H607" s="11">
        <f>IF(AND(ISNUMBER(C607),ISNUMBER(F607)),(F607-C607),"")</f>
        <v/>
      </c>
    </row>
    <row r="608">
      <c r="A608" s="3" t="inlineStr">
        <is>
          <t>1016006</t>
        </is>
      </c>
      <c r="B608" s="3" t="inlineStr">
        <is>
          <t>607</t>
        </is>
      </c>
      <c r="C608" s="10" t="n">
        <v>45673.85819444444</v>
      </c>
      <c r="D608" s="3" t="inlineStr">
        <is>
          <t>OBT160125204054-Ebenfurth (beet loading)</t>
        </is>
      </c>
      <c r="E608" s="10" t="n">
        <v>45673.86173611111</v>
      </c>
      <c r="F608" s="10" t="n">
        <v>45674.34606481482</v>
      </c>
      <c r="G608" s="11">
        <f>IF(AND(ISNUMBER(C608),ISNUMBER(E608)),(E608-C608),"")</f>
        <v/>
      </c>
      <c r="H608" s="11">
        <f>IF(AND(ISNUMBER(C608),ISNUMBER(F608)),(F608-C608),"")</f>
        <v/>
      </c>
    </row>
    <row r="609">
      <c r="A609" s="3" t="inlineStr">
        <is>
          <t>1016007</t>
        </is>
      </c>
      <c r="B609" s="3" t="inlineStr">
        <is>
          <t>605</t>
        </is>
      </c>
      <c r="C609" s="10" t="n">
        <v>45673.85993055555</v>
      </c>
      <c r="D609" s="3" t="inlineStr">
        <is>
          <t>OBT170125030753-Neunkirchen (loading tracks)</t>
        </is>
      </c>
      <c r="E609" s="10" t="n">
        <v>45674.13047453704</v>
      </c>
      <c r="F609" s="10" t="n">
        <v>45674.35865740741</v>
      </c>
      <c r="G609" s="11">
        <f>IF(AND(ISNUMBER(C609),ISNUMBER(E609)),(E609-C609),"")</f>
        <v/>
      </c>
      <c r="H609" s="11">
        <f>IF(AND(ISNUMBER(C609),ISNUMBER(F609)),(F609-C609),"")</f>
        <v/>
      </c>
    </row>
    <row r="610">
      <c r="A610" s="3" t="inlineStr">
        <is>
          <t>1016101</t>
        </is>
      </c>
      <c r="B610" s="3" t="inlineStr">
        <is>
          <t>605</t>
        </is>
      </c>
      <c r="C610" s="10" t="n">
        <v>45674.12655092592</v>
      </c>
      <c r="D610" s="3" t="inlineStr">
        <is>
          <t>OBT170125030753-Neunkirchen (loading tracks)</t>
        </is>
      </c>
      <c r="E610" s="10" t="n">
        <v>45674.13047453704</v>
      </c>
      <c r="F610" s="10" t="n">
        <v>45674.35865740741</v>
      </c>
      <c r="G610" s="11">
        <f>IF(AND(ISNUMBER(C610),ISNUMBER(E610)),(E610-C610),"")</f>
        <v/>
      </c>
      <c r="H610" s="11">
        <f>IF(AND(ISNUMBER(C610),ISNUMBER(F610)),(F610-C610),"")</f>
        <v/>
      </c>
    </row>
    <row r="611">
      <c r="A611" s="3" t="inlineStr">
        <is>
          <t>1016102</t>
        </is>
      </c>
      <c r="B611" s="3" t="inlineStr">
        <is>
          <t>627</t>
        </is>
      </c>
      <c r="C611" s="10" t="n">
        <v>45674.12847222222</v>
      </c>
      <c r="D611" s="3" t="inlineStr">
        <is>
          <t>OBT170125093600-Gloggnitz</t>
        </is>
      </c>
      <c r="E611" s="10" t="n">
        <v>45674.4</v>
      </c>
      <c r="F611" s="10" t="n">
        <v>45675.32907407408</v>
      </c>
      <c r="G611" s="11">
        <f>IF(AND(ISNUMBER(C611),ISNUMBER(E611)),(E611-C611),"")</f>
        <v/>
      </c>
      <c r="H611" s="11">
        <f>IF(AND(ISNUMBER(C611),ISNUMBER(F611)),(F611-C611),"")</f>
        <v/>
      </c>
    </row>
    <row r="612">
      <c r="A612" s="3" t="inlineStr">
        <is>
          <t>1016103</t>
        </is>
      </c>
      <c r="B612" s="3" t="inlineStr">
        <is>
          <t>621</t>
        </is>
      </c>
      <c r="C612" s="10" t="n">
        <v>45674.13040509259</v>
      </c>
      <c r="D612" s="3" t="inlineStr">
        <is>
          <t>OBT170125075244-Ternitz (Schoeller-Bleckmann)</t>
        </is>
      </c>
      <c r="E612" s="10" t="n">
        <v>45674.32828703704</v>
      </c>
      <c r="F612" s="10" t="n">
        <v>45674.76621527778</v>
      </c>
      <c r="G612" s="11">
        <f>IF(AND(ISNUMBER(C612),ISNUMBER(E612)),(E612-C612),"")</f>
        <v/>
      </c>
      <c r="H612" s="11">
        <f>IF(AND(ISNUMBER(C612),ISNUMBER(F612)),(F612-C612),"")</f>
        <v/>
      </c>
    </row>
    <row r="613">
      <c r="A613" s="3" t="inlineStr">
        <is>
          <t>1016104</t>
        </is>
      </c>
      <c r="B613" s="3" t="inlineStr">
        <is>
          <t>609</t>
        </is>
      </c>
      <c r="C613" s="10" t="n">
        <v>45674.13195601852</v>
      </c>
      <c r="D613" s="3" t="inlineStr">
        <is>
          <t>OBT170125031540-Other sidings south</t>
        </is>
      </c>
      <c r="E613" s="10" t="n">
        <v>45674.13587962963</v>
      </c>
      <c r="F613" s="10" t="n">
        <v>45674.37104166667</v>
      </c>
      <c r="G613" s="11">
        <f>IF(AND(ISNUMBER(C613),ISNUMBER(E613)),(E613-C613),"")</f>
        <v/>
      </c>
      <c r="H613" s="11">
        <f>IF(AND(ISNUMBER(C613),ISNUMBER(F613)),(F613-C613),"")</f>
        <v/>
      </c>
    </row>
    <row r="614">
      <c r="A614" s="3" t="inlineStr">
        <is>
          <t>1016201</t>
        </is>
      </c>
      <c r="B614" s="3" t="inlineStr">
        <is>
          <t>619</t>
        </is>
      </c>
      <c r="C614" s="10" t="n">
        <v>45674.19771990741</v>
      </c>
      <c r="D614" s="3" t="inlineStr">
        <is>
          <t>OBT170125044950-Neudörfl (FunderMax)</t>
        </is>
      </c>
      <c r="E614" s="10" t="n">
        <v>45674.20127314814</v>
      </c>
      <c r="F614" s="10" t="n">
        <v>45674.48069444444</v>
      </c>
      <c r="G614" s="11">
        <f>IF(AND(ISNUMBER(C614),ISNUMBER(E614)),(E614-C614),"")</f>
        <v/>
      </c>
      <c r="H614" s="11">
        <f>IF(AND(ISNUMBER(C614),ISNUMBER(F614)),(F614-C614),"")</f>
        <v/>
      </c>
    </row>
    <row r="615">
      <c r="A615" s="3" t="inlineStr">
        <is>
          <t>1016301</t>
        </is>
      </c>
      <c r="B615" s="3" t="inlineStr">
        <is>
          <t>613</t>
        </is>
      </c>
      <c r="C615" s="10" t="n">
        <v>45674.27978009259</v>
      </c>
      <c r="D615" s="3" t="inlineStr">
        <is>
          <t>OBT170125064600-Wien Kledering</t>
        </is>
      </c>
      <c r="E615" s="10" t="n">
        <v>45674.28194444445</v>
      </c>
      <c r="F615" s="10" t="n">
        <v>45674.45237268518</v>
      </c>
      <c r="G615" s="11">
        <f>IF(AND(ISNUMBER(C615),ISNUMBER(E615)),(E615-C615),"")</f>
        <v/>
      </c>
      <c r="H615" s="11">
        <f>IF(AND(ISNUMBER(C615),ISNUMBER(F615)),(F615-C615),"")</f>
        <v/>
      </c>
    </row>
    <row r="616">
      <c r="A616" s="3" t="inlineStr">
        <is>
          <t>1016401</t>
        </is>
      </c>
      <c r="B616" s="3" t="inlineStr">
        <is>
          <t>606</t>
        </is>
      </c>
      <c r="C616" s="10" t="n">
        <v>45674.30929398148</v>
      </c>
      <c r="D616" s="3" t="inlineStr">
        <is>
          <t>OBT170125073030-Other sidings north</t>
        </is>
      </c>
      <c r="E616" s="10" t="n">
        <v>45674.31284722222</v>
      </c>
      <c r="F616" s="10" t="n">
        <v>45674.46344907407</v>
      </c>
      <c r="G616" s="11">
        <f>IF(AND(ISNUMBER(C616),ISNUMBER(E616)),(E616-C616),"")</f>
        <v/>
      </c>
      <c r="H616" s="11">
        <f>IF(AND(ISNUMBER(C616),ISNUMBER(F616)),(F616-C616),"")</f>
        <v/>
      </c>
    </row>
    <row r="617">
      <c r="A617" s="3" t="inlineStr">
        <is>
          <t>1016402</t>
        </is>
      </c>
      <c r="B617" s="3" t="inlineStr">
        <is>
          <t>625</t>
        </is>
      </c>
      <c r="C617" s="10" t="n">
        <v>45674.31162037037</v>
      </c>
      <c r="D617" s="3" t="inlineStr">
        <is>
          <t>OBT170125073211-Pitten (Hamburger)</t>
        </is>
      </c>
      <c r="E617" s="10" t="n">
        <v>45674.3140162037</v>
      </c>
      <c r="F617" s="10" t="n">
        <v>45674.57193287037</v>
      </c>
      <c r="G617" s="11">
        <f>IF(AND(ISNUMBER(C617),ISNUMBER(E617)),(E617-C617),"")</f>
        <v/>
      </c>
      <c r="H617" s="11">
        <f>IF(AND(ISNUMBER(C617),ISNUMBER(F617)),(F617-C617),"")</f>
        <v/>
      </c>
    </row>
    <row r="618">
      <c r="A618" s="3" t="inlineStr">
        <is>
          <t>1016403</t>
        </is>
      </c>
      <c r="B618" s="3" t="inlineStr">
        <is>
          <t>623</t>
        </is>
      </c>
      <c r="C618" s="10" t="n">
        <v>45674.31337962963</v>
      </c>
      <c r="D618" s="3" t="inlineStr">
        <is>
          <t>OBT170125081922-Steinabrückl/Wöllersdorf</t>
        </is>
      </c>
      <c r="E618" s="10" t="n">
        <v>45674.34678240741</v>
      </c>
      <c r="F618" s="10" t="n">
        <v>45674.93011574074</v>
      </c>
      <c r="G618" s="11">
        <f>IF(AND(ISNUMBER(C618),ISNUMBER(E618)),(E618-C618),"")</f>
        <v/>
      </c>
      <c r="H618" s="11">
        <f>IF(AND(ISNUMBER(C618),ISNUMBER(F618)),(F618-C618),"")</f>
        <v/>
      </c>
    </row>
    <row r="619">
      <c r="A619" s="3" t="inlineStr">
        <is>
          <t>1016404</t>
        </is>
      </c>
      <c r="B619" s="3" t="inlineStr">
        <is>
          <t>615</t>
        </is>
      </c>
      <c r="C619" s="10" t="n">
        <v>45674.31461805556</v>
      </c>
      <c r="D619" s="3" t="inlineStr">
        <is>
          <t>OBT170125073842-St. Veit an der Glan</t>
        </is>
      </c>
      <c r="E619" s="10" t="n">
        <v>45674.31854166667</v>
      </c>
      <c r="F619" s="10" t="n">
        <v>45674.68364583333</v>
      </c>
      <c r="G619" s="11">
        <f>IF(AND(ISNUMBER(C619),ISNUMBER(E619)),(E619-C619),"")</f>
        <v/>
      </c>
      <c r="H619" s="11">
        <f>IF(AND(ISNUMBER(C619),ISNUMBER(F619)),(F619-C619),"")</f>
        <v/>
      </c>
    </row>
    <row r="620">
      <c r="A620" s="3" t="inlineStr">
        <is>
          <t>1016405</t>
        </is>
      </c>
      <c r="B620" s="3" t="inlineStr">
        <is>
          <t>607</t>
        </is>
      </c>
      <c r="C620" s="10" t="n">
        <v>45674.31623842593</v>
      </c>
      <c r="D620" s="3" t="inlineStr">
        <is>
          <t>OBT170125091546-Pitten (Hamburger)</t>
        </is>
      </c>
      <c r="E620" s="10" t="n">
        <v>45674.38594907407</v>
      </c>
      <c r="F620" s="10" t="n">
        <v>45675.29733796296</v>
      </c>
      <c r="G620" s="11">
        <f>IF(AND(ISNUMBER(C620),ISNUMBER(E620)),(E620-C620),"")</f>
        <v/>
      </c>
      <c r="H620" s="11">
        <f>IF(AND(ISNUMBER(C620),ISNUMBER(F620)),(F620-C620),"")</f>
        <v/>
      </c>
    </row>
    <row r="621">
      <c r="A621" s="3" t="inlineStr">
        <is>
          <t>1016406</t>
        </is>
      </c>
      <c r="B621" s="3" t="inlineStr">
        <is>
          <t>629</t>
        </is>
      </c>
      <c r="C621" s="10" t="n">
        <v>45674.31828703704</v>
      </c>
      <c r="D621" s="3" t="inlineStr">
        <is>
          <t>OBT170125093812-Neudörfl (FunderMax)</t>
        </is>
      </c>
      <c r="E621" s="10" t="n">
        <v>45674.40152777778</v>
      </c>
      <c r="F621" s="10" t="n">
        <v>45676.78076388889</v>
      </c>
      <c r="G621" s="11">
        <f>IF(AND(ISNUMBER(C621),ISNUMBER(E621)),(E621-C621),"")</f>
        <v/>
      </c>
      <c r="H621" s="11">
        <f>IF(AND(ISNUMBER(C621),ISNUMBER(F621)),(F621-C621),"")</f>
        <v/>
      </c>
    </row>
    <row r="622">
      <c r="A622" s="3" t="inlineStr">
        <is>
          <t>1016407</t>
        </is>
      </c>
      <c r="B622" s="3" t="inlineStr">
        <is>
          <t>619</t>
        </is>
      </c>
      <c r="C622" s="10" t="n">
        <v>45674.32023148148</v>
      </c>
      <c r="D622" s="3" t="inlineStr">
        <is>
          <t>OBT170125181531-Wien Kledering</t>
        </is>
      </c>
      <c r="E622" s="10" t="n">
        <v>45674.76077546296</v>
      </c>
      <c r="F622" s="10" t="n">
        <v>45677.27700231481</v>
      </c>
      <c r="G622" s="11">
        <f>IF(AND(ISNUMBER(C622),ISNUMBER(E622)),(E622-C622),"")</f>
        <v/>
      </c>
      <c r="H622" s="11">
        <f>IF(AND(ISNUMBER(C622),ISNUMBER(F622)),(F622-C622),"")</f>
        <v/>
      </c>
    </row>
    <row r="623">
      <c r="A623" s="3" t="inlineStr">
        <is>
          <t>1016408</t>
        </is>
      </c>
      <c r="B623" s="3" t="inlineStr">
        <is>
          <t>621</t>
        </is>
      </c>
      <c r="C623" s="10" t="n">
        <v>45674.32241898148</v>
      </c>
      <c r="D623" s="3" t="inlineStr">
        <is>
          <t>OBT170125075244-Ternitz (Schoeller-Bleckmann)</t>
        </is>
      </c>
      <c r="E623" s="10" t="n">
        <v>45674.32828703704</v>
      </c>
      <c r="F623" s="10" t="n">
        <v>45674.76621527778</v>
      </c>
      <c r="G623" s="11">
        <f>IF(AND(ISNUMBER(C623),ISNUMBER(E623)),(E623-C623),"")</f>
        <v/>
      </c>
      <c r="H623" s="11">
        <f>IF(AND(ISNUMBER(C623),ISNUMBER(F623)),(F623-C623),"")</f>
        <v/>
      </c>
    </row>
    <row r="624">
      <c r="A624" s="3" t="inlineStr">
        <is>
          <t>1016409</t>
        </is>
      </c>
      <c r="B624" s="3" t="inlineStr">
        <is>
          <t>621</t>
        </is>
      </c>
      <c r="C624" s="10" t="n">
        <v>45674.32436342593</v>
      </c>
      <c r="D624" s="3" t="inlineStr">
        <is>
          <t>OBT170125075244-Ternitz (Schoeller-Bleckmann)</t>
        </is>
      </c>
      <c r="E624" s="10" t="n">
        <v>45674.32828703704</v>
      </c>
      <c r="F624" s="10" t="n">
        <v>45674.76621527778</v>
      </c>
      <c r="G624" s="11">
        <f>IF(AND(ISNUMBER(C624),ISNUMBER(E624)),(E624-C624),"")</f>
        <v/>
      </c>
      <c r="H624" s="11">
        <f>IF(AND(ISNUMBER(C624),ISNUMBER(F624)),(F624-C624),"")</f>
        <v/>
      </c>
    </row>
    <row r="625">
      <c r="A625" s="3" t="inlineStr">
        <is>
          <t>1016501</t>
        </is>
      </c>
      <c r="B625" s="3" t="inlineStr">
        <is>
          <t>617</t>
        </is>
      </c>
      <c r="C625" s="10" t="n">
        <v>45674.32716435185</v>
      </c>
      <c r="D625" s="3" t="inlineStr">
        <is>
          <t>OBT170125075431-Wien Kledering</t>
        </is>
      </c>
      <c r="E625" s="10" t="n">
        <v>45674.32952546296</v>
      </c>
      <c r="F625" s="10" t="n">
        <v>45674.82045138889</v>
      </c>
      <c r="G625" s="11">
        <f>IF(AND(ISNUMBER(C625),ISNUMBER(E625)),(E625-C625),"")</f>
        <v/>
      </c>
      <c r="H625" s="11">
        <f>IF(AND(ISNUMBER(C625),ISNUMBER(F625)),(F625-C625),"")</f>
        <v/>
      </c>
    </row>
    <row r="626">
      <c r="A626" s="3" t="inlineStr">
        <is>
          <t>1016601</t>
        </is>
      </c>
      <c r="B626" s="3" t="inlineStr">
        <is>
          <t>623</t>
        </is>
      </c>
      <c r="C626" s="10" t="n">
        <v>45674.34289351852</v>
      </c>
      <c r="D626" s="3" t="inlineStr">
        <is>
          <t>OBT170125081922-Steinabrückl/Wöllersdorf</t>
        </is>
      </c>
      <c r="E626" s="10" t="n">
        <v>45674.34678240741</v>
      </c>
      <c r="F626" s="10" t="n">
        <v>45674.93011574074</v>
      </c>
      <c r="G626" s="11">
        <f>IF(AND(ISNUMBER(C626),ISNUMBER(E626)),(E626-C626),"")</f>
        <v/>
      </c>
      <c r="H626" s="11">
        <f>IF(AND(ISNUMBER(C626),ISNUMBER(F626)),(F626-C626),"")</f>
        <v/>
      </c>
    </row>
    <row r="627">
      <c r="A627" s="3" t="inlineStr">
        <is>
          <t>1016802</t>
        </is>
      </c>
      <c r="B627" s="3" t="inlineStr">
        <is>
          <t>615</t>
        </is>
      </c>
      <c r="C627" s="10" t="n">
        <v>45674.37744212963</v>
      </c>
      <c r="D627" s="3" t="inlineStr">
        <is>
          <t>OBT170125090658-St. Veit an der Glan</t>
        </is>
      </c>
      <c r="E627" s="10" t="n">
        <v>45674.37983796297</v>
      </c>
      <c r="F627" s="10" t="n">
        <v>45675.06738425926</v>
      </c>
      <c r="G627" s="11">
        <f>IF(AND(ISNUMBER(C627),ISNUMBER(E627)),(E627-C627),"")</f>
        <v/>
      </c>
      <c r="H627" s="11">
        <f>IF(AND(ISNUMBER(C627),ISNUMBER(F627)),(F627-C627),"")</f>
        <v/>
      </c>
    </row>
    <row r="628">
      <c r="A628" s="3" t="inlineStr">
        <is>
          <t>1016701</t>
        </is>
      </c>
      <c r="B628" s="3" t="inlineStr">
        <is>
          <t>605</t>
        </is>
      </c>
      <c r="C628" s="10" t="n">
        <v>45674.38144675926</v>
      </c>
      <c r="D628" s="3" t="inlineStr">
        <is>
          <t>OBT220125073335-Other sidings local</t>
        </is>
      </c>
      <c r="E628" s="10" t="n">
        <v>45679.31498842593</v>
      </c>
      <c r="F628" s="10" t="n">
        <v>45680.32655092593</v>
      </c>
      <c r="G628" s="11">
        <f>IF(AND(ISNUMBER(C628),ISNUMBER(E628)),(E628-C628),"")</f>
        <v/>
      </c>
      <c r="H628" s="11">
        <f>IF(AND(ISNUMBER(C628),ISNUMBER(F628)),(F628-C628),"")</f>
        <v/>
      </c>
    </row>
    <row r="629">
      <c r="A629" s="3" t="inlineStr">
        <is>
          <t>1016702</t>
        </is>
      </c>
      <c r="B629" s="3" t="inlineStr">
        <is>
          <t>607</t>
        </is>
      </c>
      <c r="C629" s="10" t="n">
        <v>45674.38355324074</v>
      </c>
      <c r="D629" s="3" t="inlineStr">
        <is>
          <t>OBT170125091546-Pitten (Hamburger)</t>
        </is>
      </c>
      <c r="E629" s="10" t="n">
        <v>45674.38594907407</v>
      </c>
      <c r="F629" s="10" t="n">
        <v>45675.29733796296</v>
      </c>
      <c r="G629" s="11">
        <f>IF(AND(ISNUMBER(C629),ISNUMBER(E629)),(E629-C629),"")</f>
        <v/>
      </c>
      <c r="H629" s="11">
        <f>IF(AND(ISNUMBER(C629),ISNUMBER(F629)),(F629-C629),"")</f>
        <v/>
      </c>
    </row>
    <row r="630">
      <c r="A630" s="3" t="inlineStr">
        <is>
          <t>1016703</t>
        </is>
      </c>
      <c r="B630" s="3" t="inlineStr">
        <is>
          <t>609</t>
        </is>
      </c>
      <c r="C630" s="10" t="n">
        <v>45674.38503472223</v>
      </c>
      <c r="D630" s="3" t="inlineStr">
        <is>
          <t>OBT220125180146-Felixdorf/Sollenau (Bundesheer, Maba)</t>
        </is>
      </c>
      <c r="E630" s="10" t="n">
        <v>45679.75122685185</v>
      </c>
      <c r="F630" s="10" t="n">
        <v>45680.67232638889</v>
      </c>
      <c r="G630" s="11">
        <f>IF(AND(ISNUMBER(C630),ISNUMBER(E630)),(E630-C630),"")</f>
        <v/>
      </c>
      <c r="H630" s="11">
        <f>IF(AND(ISNUMBER(C630),ISNUMBER(F630)),(F630-C630),"")</f>
        <v/>
      </c>
    </row>
    <row r="631">
      <c r="A631" s="3" t="inlineStr">
        <is>
          <t>1016704</t>
        </is>
      </c>
      <c r="B631" s="3" t="inlineStr">
        <is>
          <t>619</t>
        </is>
      </c>
      <c r="C631" s="10" t="n">
        <v>45674.38695601852</v>
      </c>
      <c r="D631" s="3" t="inlineStr">
        <is>
          <t>OBT170125181531-Wien Kledering</t>
        </is>
      </c>
      <c r="E631" s="10" t="n">
        <v>45674.76077546296</v>
      </c>
      <c r="F631" s="10" t="n">
        <v>45677.27700231481</v>
      </c>
      <c r="G631" s="11">
        <f>IF(AND(ISNUMBER(C631),ISNUMBER(E631)),(E631-C631),"")</f>
        <v/>
      </c>
      <c r="H631" s="11">
        <f>IF(AND(ISNUMBER(C631),ISNUMBER(F631)),(F631-C631),"")</f>
        <v/>
      </c>
    </row>
    <row r="632">
      <c r="A632" s="3" t="inlineStr">
        <is>
          <t>1016705</t>
        </is>
      </c>
      <c r="B632" s="3" t="inlineStr">
        <is>
          <t>625</t>
        </is>
      </c>
      <c r="C632" s="10" t="n">
        <v>45674.38902777778</v>
      </c>
      <c r="D632" s="3" t="inlineStr">
        <is>
          <t>OBT170125155040-Wien Kledering</t>
        </is>
      </c>
      <c r="E632" s="10" t="n">
        <v>45674.66018518519</v>
      </c>
      <c r="F632" s="10" t="n">
        <v>45677.16200231481</v>
      </c>
      <c r="G632" s="11">
        <f>IF(AND(ISNUMBER(C632),ISNUMBER(E632)),(E632-C632),"")</f>
        <v/>
      </c>
      <c r="H632" s="11">
        <f>IF(AND(ISNUMBER(C632),ISNUMBER(F632)),(F632-C632),"")</f>
        <v/>
      </c>
    </row>
    <row r="633">
      <c r="A633" s="3" t="inlineStr">
        <is>
          <t>1016706</t>
        </is>
      </c>
      <c r="B633" s="3" t="inlineStr">
        <is>
          <t>611</t>
        </is>
      </c>
      <c r="C633" s="10" t="n">
        <v>45674.39038194445</v>
      </c>
      <c r="D633" s="3" t="inlineStr">
        <is>
          <t>OBT200125083327-Wr. Neustadt (Brenntag)</t>
        </is>
      </c>
      <c r="E633" s="10" t="n">
        <v>45677.3565625</v>
      </c>
      <c r="F633" s="10" t="n">
        <v>45677.74260416667</v>
      </c>
      <c r="G633" s="11">
        <f>IF(AND(ISNUMBER(C633),ISNUMBER(E633)),(E633-C633),"")</f>
        <v/>
      </c>
      <c r="H633" s="11">
        <f>IF(AND(ISNUMBER(C633),ISNUMBER(F633)),(F633-C633),"")</f>
        <v/>
      </c>
    </row>
    <row r="634">
      <c r="A634" s="3" t="inlineStr">
        <is>
          <t>1016707</t>
        </is>
      </c>
      <c r="B634" s="3" t="inlineStr">
        <is>
          <t>607</t>
        </is>
      </c>
      <c r="C634" s="10" t="n">
        <v>45674.39196759259</v>
      </c>
      <c r="D634" s="3" t="inlineStr">
        <is>
          <t>OBT190125203519-Neudörfl (FunderMax)</t>
        </is>
      </c>
      <c r="E634" s="10" t="n">
        <v>45676.8578587963</v>
      </c>
      <c r="F634" s="10" t="n">
        <v>45677.56050925926</v>
      </c>
      <c r="G634" s="11">
        <f>IF(AND(ISNUMBER(C634),ISNUMBER(E634)),(E634-C634),"")</f>
        <v/>
      </c>
      <c r="H634" s="11">
        <f>IF(AND(ISNUMBER(C634),ISNUMBER(F634)),(F634-C634),"")</f>
        <v/>
      </c>
    </row>
    <row r="635">
      <c r="A635" s="3" t="inlineStr">
        <is>
          <t>1016708</t>
        </is>
      </c>
      <c r="B635" s="3" t="inlineStr">
        <is>
          <t>629</t>
        </is>
      </c>
      <c r="C635" s="10" t="n">
        <v>45674.39403935185</v>
      </c>
      <c r="D635" s="3" t="inlineStr">
        <is>
          <t>OBT170125093812-Neudörfl (FunderMax)</t>
        </is>
      </c>
      <c r="E635" s="10" t="n">
        <v>45674.40152777778</v>
      </c>
      <c r="F635" s="10" t="n">
        <v>45676.78076388889</v>
      </c>
      <c r="G635" s="11">
        <f>IF(AND(ISNUMBER(C635),ISNUMBER(E635)),(E635-C635),"")</f>
        <v/>
      </c>
      <c r="H635" s="11">
        <f>IF(AND(ISNUMBER(C635),ISNUMBER(F635)),(F635-C635),"")</f>
        <v/>
      </c>
    </row>
    <row r="636">
      <c r="A636" s="3" t="inlineStr">
        <is>
          <t>1016709</t>
        </is>
      </c>
      <c r="B636" s="3" t="inlineStr">
        <is>
          <t>627</t>
        </is>
      </c>
      <c r="C636" s="10" t="n">
        <v>45674.39607638889</v>
      </c>
      <c r="D636" s="3" t="inlineStr">
        <is>
          <t>OBT170125093600-Gloggnitz</t>
        </is>
      </c>
      <c r="E636" s="10" t="n">
        <v>45674.4</v>
      </c>
      <c r="F636" s="10" t="n">
        <v>45675.32907407408</v>
      </c>
      <c r="G636" s="11">
        <f>IF(AND(ISNUMBER(C636),ISNUMBER(E636)),(E636-C636),"")</f>
        <v/>
      </c>
      <c r="H636" s="11">
        <f>IF(AND(ISNUMBER(C636),ISNUMBER(F636)),(F636-C636),"")</f>
        <v/>
      </c>
    </row>
    <row r="637">
      <c r="A637" s="3" t="inlineStr">
        <is>
          <t>1016710</t>
        </is>
      </c>
      <c r="B637" s="3" t="inlineStr">
        <is>
          <t>629</t>
        </is>
      </c>
      <c r="C637" s="10" t="n">
        <v>45674.39795138889</v>
      </c>
      <c r="D637" s="3" t="inlineStr">
        <is>
          <t>OBT170125093812-Neudörfl (FunderMax)</t>
        </is>
      </c>
      <c r="E637" s="10" t="n">
        <v>45674.40152777778</v>
      </c>
      <c r="F637" s="10" t="n">
        <v>45676.78076388889</v>
      </c>
      <c r="G637" s="11">
        <f>IF(AND(ISNUMBER(C637),ISNUMBER(E637)),(E637-C637),"")</f>
        <v/>
      </c>
      <c r="H637" s="11">
        <f>IF(AND(ISNUMBER(C637),ISNUMBER(F637)),(F637-C637),"")</f>
        <v/>
      </c>
    </row>
    <row r="638">
      <c r="A638" s="3" t="inlineStr">
        <is>
          <t>1016901</t>
        </is>
      </c>
      <c r="B638" s="3" t="inlineStr">
        <is>
          <t>615</t>
        </is>
      </c>
      <c r="C638" s="10" t="n">
        <v>45674.43547453704</v>
      </c>
      <c r="D638" s="3" t="inlineStr">
        <is>
          <t>OBT170125174751-Wien Kledering</t>
        </is>
      </c>
      <c r="E638" s="10" t="n">
        <v>45674.7415625</v>
      </c>
      <c r="F638" s="10" t="n">
        <v>45677.25494212963</v>
      </c>
      <c r="G638" s="11">
        <f>IF(AND(ISNUMBER(C638),ISNUMBER(E638)),(E638-C638),"")</f>
        <v/>
      </c>
      <c r="H638" s="11">
        <f>IF(AND(ISNUMBER(C638),ISNUMBER(F638)),(F638-C638),"")</f>
        <v/>
      </c>
    </row>
    <row r="639">
      <c r="A639" s="3" t="inlineStr">
        <is>
          <t>1017001</t>
        </is>
      </c>
      <c r="B639" s="3" t="inlineStr">
        <is>
          <t>613</t>
        </is>
      </c>
      <c r="C639" s="10" t="n">
        <v>45674.54375</v>
      </c>
      <c r="D639" s="3" t="inlineStr">
        <is>
          <t>OBT170125130627-Wien Kledering</t>
        </is>
      </c>
      <c r="E639" s="10" t="n">
        <v>45674.54614583333</v>
      </c>
      <c r="F639" s="10" t="n">
        <v>45676.89804398148</v>
      </c>
      <c r="G639" s="11">
        <f>IF(AND(ISNUMBER(C639),ISNUMBER(E639)),(E639-C639),"")</f>
        <v/>
      </c>
      <c r="H639" s="11">
        <f>IF(AND(ISNUMBER(C639),ISNUMBER(F639)),(F639-C639),"")</f>
        <v/>
      </c>
    </row>
    <row r="640">
      <c r="A640" s="3" t="inlineStr">
        <is>
          <t>1017101</t>
        </is>
      </c>
      <c r="B640" s="3" t="inlineStr">
        <is>
          <t>625</t>
        </is>
      </c>
      <c r="C640" s="10" t="n">
        <v>45674.65782407407</v>
      </c>
      <c r="D640" s="3" t="inlineStr">
        <is>
          <t>OBT170125155040-Wien Kledering</t>
        </is>
      </c>
      <c r="E640" s="10" t="n">
        <v>45674.66018518519</v>
      </c>
      <c r="F640" s="10" t="n">
        <v>45677.16200231481</v>
      </c>
      <c r="G640" s="11">
        <f>IF(AND(ISNUMBER(C640),ISNUMBER(E640)),(E640-C640),"")</f>
        <v/>
      </c>
      <c r="H640" s="11">
        <f>IF(AND(ISNUMBER(C640),ISNUMBER(F640)),(F640-C640),"")</f>
        <v/>
      </c>
    </row>
    <row r="641">
      <c r="A641" s="3" t="inlineStr">
        <is>
          <t>1017201</t>
        </is>
      </c>
      <c r="B641" s="3" t="inlineStr">
        <is>
          <t>615</t>
        </is>
      </c>
      <c r="C641" s="10" t="n">
        <v>45674.73916666667</v>
      </c>
      <c r="D641" s="3" t="inlineStr">
        <is>
          <t>OBT170125174751-Wien Kledering</t>
        </is>
      </c>
      <c r="E641" s="10" t="n">
        <v>45674.7415625</v>
      </c>
      <c r="F641" s="10" t="n">
        <v>45677.25494212963</v>
      </c>
      <c r="G641" s="11">
        <f>IF(AND(ISNUMBER(C641),ISNUMBER(E641)),(E641-C641),"")</f>
        <v/>
      </c>
      <c r="H641" s="11">
        <f>IF(AND(ISNUMBER(C641),ISNUMBER(F641)),(F641-C641),"")</f>
        <v/>
      </c>
    </row>
    <row r="642">
      <c r="A642" s="3" t="inlineStr">
        <is>
          <t>1017301</t>
        </is>
      </c>
      <c r="B642" s="3" t="inlineStr">
        <is>
          <t>619</t>
        </is>
      </c>
      <c r="C642" s="10" t="n">
        <v>45674.75837962963</v>
      </c>
      <c r="D642" s="3" t="inlineStr">
        <is>
          <t>OBT170125181531-Wien Kledering</t>
        </is>
      </c>
      <c r="E642" s="10" t="n">
        <v>45674.76077546296</v>
      </c>
      <c r="F642" s="10" t="n">
        <v>45677.27700231481</v>
      </c>
      <c r="G642" s="11">
        <f>IF(AND(ISNUMBER(C642),ISNUMBER(E642)),(E642-C642),"")</f>
        <v/>
      </c>
      <c r="H642" s="11">
        <f>IF(AND(ISNUMBER(C642),ISNUMBER(F642)),(F642-C642),"")</f>
        <v/>
      </c>
    </row>
    <row r="643">
      <c r="A643" s="3" t="inlineStr">
        <is>
          <t>1017401</t>
        </is>
      </c>
      <c r="B643" s="3" t="inlineStr">
        <is>
          <t>625</t>
        </is>
      </c>
      <c r="C643" s="10" t="n">
        <v>45674.85530092593</v>
      </c>
      <c r="D643" s="3" t="inlineStr">
        <is>
          <t>OBT200125045059-Neudörfl (FunderMax)</t>
        </is>
      </c>
      <c r="E643" s="10" t="n">
        <v>45677.20207175926</v>
      </c>
      <c r="F643" s="10" t="n">
        <v>45677.72453703704</v>
      </c>
      <c r="G643" s="11">
        <f>IF(AND(ISNUMBER(C643),ISNUMBER(E643)),(E643-C643),"")</f>
        <v/>
      </c>
      <c r="H643" s="11">
        <f>IF(AND(ISNUMBER(C643),ISNUMBER(F643)),(F643-C643),"")</f>
        <v/>
      </c>
    </row>
    <row r="644">
      <c r="A644" s="3" t="inlineStr">
        <is>
          <t>1017402</t>
        </is>
      </c>
      <c r="B644" s="3" t="inlineStr">
        <is>
          <t>606</t>
        </is>
      </c>
      <c r="C644" s="10" t="n">
        <v>45674.85707175926</v>
      </c>
      <c r="D644" s="3" t="inlineStr">
        <is>
          <t>OBT180125005504-Neudörfl (FunderMax)</t>
        </is>
      </c>
      <c r="E644" s="10" t="n">
        <v>45675.03824074074</v>
      </c>
      <c r="F644" s="10" t="n">
        <v>45677.38089120371</v>
      </c>
      <c r="G644" s="11">
        <f>IF(AND(ISNUMBER(C644),ISNUMBER(E644)),(E644-C644),"")</f>
        <v/>
      </c>
      <c r="H644" s="11">
        <f>IF(AND(ISNUMBER(C644),ISNUMBER(F644)),(F644-C644),"")</f>
        <v/>
      </c>
    </row>
    <row r="645">
      <c r="A645" s="3" t="inlineStr">
        <is>
          <t>1017403</t>
        </is>
      </c>
      <c r="B645" s="3" t="inlineStr">
        <is>
          <t>621</t>
        </is>
      </c>
      <c r="C645" s="10" t="n">
        <v>45674.85903935185</v>
      </c>
      <c r="D645" s="3" t="inlineStr">
        <is>
          <t>OBT170125205009-Ternitz (Schoeller-Bleckmann)</t>
        </is>
      </c>
      <c r="E645" s="10" t="n">
        <v>45674.86815972222</v>
      </c>
      <c r="F645" s="10" t="n">
        <v>45677.35271990741</v>
      </c>
      <c r="G645" s="11">
        <f>IF(AND(ISNUMBER(C645),ISNUMBER(E645)),(E645-C645),"")</f>
        <v/>
      </c>
      <c r="H645" s="11">
        <f>IF(AND(ISNUMBER(C645),ISNUMBER(F645)),(F645-C645),"")</f>
        <v/>
      </c>
    </row>
    <row r="646">
      <c r="A646" s="3" t="inlineStr">
        <is>
          <t>1017404</t>
        </is>
      </c>
      <c r="B646" s="3" t="inlineStr">
        <is>
          <t>617</t>
        </is>
      </c>
      <c r="C646" s="10" t="n">
        <v>45674.86040509259</v>
      </c>
      <c r="D646" s="3" t="inlineStr">
        <is>
          <t>OBT200125080717-Wr. Neustadt (Hödlmayr)</t>
        </is>
      </c>
      <c r="E646" s="10" t="n">
        <v>45677.3383912037</v>
      </c>
      <c r="F646" s="10" t="n">
        <v>45677.69652777778</v>
      </c>
      <c r="G646" s="11">
        <f>IF(AND(ISNUMBER(C646),ISNUMBER(E646)),(E646-C646),"")</f>
        <v/>
      </c>
      <c r="H646" s="11">
        <f>IF(AND(ISNUMBER(C646),ISNUMBER(F646)),(F646-C646),"")</f>
        <v/>
      </c>
    </row>
    <row r="647">
      <c r="A647" s="3" t="inlineStr">
        <is>
          <t>1017405</t>
        </is>
      </c>
      <c r="B647" s="3" t="inlineStr">
        <is>
          <t>629</t>
        </is>
      </c>
      <c r="C647" s="10" t="n">
        <v>45674.86233796296</v>
      </c>
      <c r="D647" s="3" t="inlineStr">
        <is>
          <t>OBT190125203024-Pitten (Hamburger)</t>
        </is>
      </c>
      <c r="E647" s="10" t="n">
        <v>45676.85444444444</v>
      </c>
      <c r="F647" s="10" t="n">
        <v>45677.48055555556</v>
      </c>
      <c r="G647" s="11">
        <f>IF(AND(ISNUMBER(C647),ISNUMBER(E647)),(E647-C647),"")</f>
        <v/>
      </c>
      <c r="H647" s="11">
        <f>IF(AND(ISNUMBER(C647),ISNUMBER(F647)),(F647-C647),"")</f>
        <v/>
      </c>
    </row>
    <row r="648">
      <c r="A648" s="3" t="inlineStr">
        <is>
          <t>1017406</t>
        </is>
      </c>
      <c r="B648" s="3" t="inlineStr">
        <is>
          <t>621</t>
        </is>
      </c>
      <c r="C648" s="10" t="n">
        <v>45674.86461805556</v>
      </c>
      <c r="D648" s="3" t="inlineStr">
        <is>
          <t>OBT170125205009-Ternitz (Schoeller-Bleckmann)</t>
        </is>
      </c>
      <c r="E648" s="10" t="n">
        <v>45674.86815972222</v>
      </c>
      <c r="F648" s="10" t="n">
        <v>45677.35271990741</v>
      </c>
      <c r="G648" s="11">
        <f>IF(AND(ISNUMBER(C648),ISNUMBER(E648)),(E648-C648),"")</f>
        <v/>
      </c>
      <c r="H648" s="11">
        <f>IF(AND(ISNUMBER(C648),ISNUMBER(F648)),(F648-C648),"")</f>
        <v/>
      </c>
    </row>
    <row r="649">
      <c r="A649" s="3" t="inlineStr">
        <is>
          <t>1017407</t>
        </is>
      </c>
      <c r="B649" s="3" t="inlineStr">
        <is>
          <t>609</t>
        </is>
      </c>
      <c r="C649" s="10" t="n">
        <v>45674.86612268518</v>
      </c>
      <c r="D649" s="3" t="inlineStr">
        <is>
          <t>OBT220125180146-Felixdorf/Sollenau (Bundesheer, Maba)</t>
        </is>
      </c>
      <c r="E649" s="10" t="n">
        <v>45679.75122685185</v>
      </c>
      <c r="F649" s="10" t="n">
        <v>45680.67232638889</v>
      </c>
      <c r="G649" s="11">
        <f>IF(AND(ISNUMBER(C649),ISNUMBER(E649)),(E649-C649),"")</f>
        <v/>
      </c>
      <c r="H649" s="11">
        <f>IF(AND(ISNUMBER(C649),ISNUMBER(F649)),(F649-C649),"")</f>
        <v/>
      </c>
    </row>
    <row r="650">
      <c r="A650" s="3" t="inlineStr">
        <is>
          <t>1017501</t>
        </is>
      </c>
      <c r="B650" s="3" t="inlineStr">
        <is>
          <t>623</t>
        </is>
      </c>
      <c r="C650" s="10" t="n">
        <v>45675.03107638889</v>
      </c>
      <c r="D650" s="3" t="inlineStr">
        <is>
          <t>OBT180125004751-Pitten (Hamburger)</t>
        </is>
      </c>
      <c r="E650" s="10" t="n">
        <v>45675.03322916666</v>
      </c>
      <c r="F650" s="10" t="n">
        <v>45677.35487268519</v>
      </c>
      <c r="G650" s="11">
        <f>IF(AND(ISNUMBER(C650),ISNUMBER(E650)),(E650-C650),"")</f>
        <v/>
      </c>
      <c r="H650" s="11">
        <f>IF(AND(ISNUMBER(C650),ISNUMBER(F650)),(F650-C650),"")</f>
        <v/>
      </c>
    </row>
    <row r="651">
      <c r="A651" s="3" t="inlineStr">
        <is>
          <t>1017502</t>
        </is>
      </c>
      <c r="B651" s="3" t="inlineStr">
        <is>
          <t>606</t>
        </is>
      </c>
      <c r="C651" s="10" t="n">
        <v>45675.03288194445</v>
      </c>
      <c r="D651" s="3" t="inlineStr">
        <is>
          <t>OBT180125005504-Neudörfl (FunderMax)</t>
        </is>
      </c>
      <c r="E651" s="10" t="n">
        <v>45675.03824074074</v>
      </c>
      <c r="F651" s="10" t="n">
        <v>45677.38089120371</v>
      </c>
      <c r="G651" s="11">
        <f>IF(AND(ISNUMBER(C651),ISNUMBER(E651)),(E651-C651),"")</f>
        <v/>
      </c>
      <c r="H651" s="11">
        <f>IF(AND(ISNUMBER(C651),ISNUMBER(F651)),(F651-C651),"")</f>
        <v/>
      </c>
    </row>
    <row r="652">
      <c r="A652" s="3" t="inlineStr">
        <is>
          <t>1017504</t>
        </is>
      </c>
      <c r="B652" s="3" t="inlineStr">
        <is>
          <t>606</t>
        </is>
      </c>
      <c r="C652" s="10" t="n">
        <v>45675.03469907407</v>
      </c>
      <c r="D652" s="3" t="inlineStr">
        <is>
          <t>OBT180125005504-Neudörfl (FunderMax)</t>
        </is>
      </c>
      <c r="E652" s="10" t="n">
        <v>45675.03824074074</v>
      </c>
      <c r="F652" s="10" t="n">
        <v>45677.38089120371</v>
      </c>
      <c r="G652" s="11">
        <f>IF(AND(ISNUMBER(C652),ISNUMBER(E652)),(E652-C652),"")</f>
        <v/>
      </c>
      <c r="H652" s="11">
        <f>IF(AND(ISNUMBER(C652),ISNUMBER(F652)),(F652-C652),"")</f>
        <v/>
      </c>
    </row>
    <row r="653">
      <c r="A653" s="3" t="inlineStr">
        <is>
          <t>1017601</t>
        </is>
      </c>
      <c r="B653" s="3" t="inlineStr">
        <is>
          <t>625</t>
        </is>
      </c>
      <c r="C653" s="10" t="n">
        <v>45675.25133101852</v>
      </c>
      <c r="D653" s="3" t="inlineStr">
        <is>
          <t>OBT200125045059-Neudörfl (FunderMax)</t>
        </is>
      </c>
      <c r="E653" s="10" t="n">
        <v>45677.20207175926</v>
      </c>
      <c r="F653" s="10" t="n">
        <v>45677.72453703704</v>
      </c>
      <c r="G653" s="11">
        <f>IF(AND(ISNUMBER(C653),ISNUMBER(E653)),(E653-C653),"")</f>
        <v/>
      </c>
      <c r="H653" s="11">
        <f>IF(AND(ISNUMBER(C653),ISNUMBER(F653)),(F653-C653),"")</f>
        <v/>
      </c>
    </row>
    <row r="654">
      <c r="A654" s="3" t="inlineStr">
        <is>
          <t>1017602</t>
        </is>
      </c>
      <c r="B654" s="3" t="inlineStr">
        <is>
          <t>615</t>
        </is>
      </c>
      <c r="C654" s="10" t="n">
        <v>45675.25267361111</v>
      </c>
      <c r="D654" s="3" t="inlineStr">
        <is>
          <t>OBT180125071607-Neudörfl (FunderMax)</t>
        </is>
      </c>
      <c r="E654" s="10" t="n">
        <v>45675.3028587963</v>
      </c>
      <c r="F654" s="10" t="n">
        <v>45677.4071412037</v>
      </c>
      <c r="G654" s="11">
        <f>IF(AND(ISNUMBER(C654),ISNUMBER(E654)),(E654-C654),"")</f>
        <v/>
      </c>
      <c r="H654" s="11">
        <f>IF(AND(ISNUMBER(C654),ISNUMBER(F654)),(F654-C654),"")</f>
        <v/>
      </c>
    </row>
    <row r="655">
      <c r="A655" s="3" t="inlineStr">
        <is>
          <t>1017701</t>
        </is>
      </c>
      <c r="B655" s="3" t="inlineStr">
        <is>
          <t>625</t>
        </is>
      </c>
      <c r="C655" s="10" t="n">
        <v>45675.28863425926</v>
      </c>
      <c r="D655" s="3" t="inlineStr">
        <is>
          <t>OBT200125045059-Neudörfl (FunderMax)</t>
        </is>
      </c>
      <c r="E655" s="10" t="n">
        <v>45677.20207175926</v>
      </c>
      <c r="F655" s="10" t="n">
        <v>45677.72453703704</v>
      </c>
      <c r="G655" s="11">
        <f>IF(AND(ISNUMBER(C655),ISNUMBER(E655)),(E655-C655),"")</f>
        <v/>
      </c>
      <c r="H655" s="11">
        <f>IF(AND(ISNUMBER(C655),ISNUMBER(F655)),(F655-C655),"")</f>
        <v/>
      </c>
    </row>
    <row r="656">
      <c r="A656" s="3" t="inlineStr">
        <is>
          <t>1017703</t>
        </is>
      </c>
      <c r="B656" s="3" t="inlineStr">
        <is>
          <t>627</t>
        </is>
      </c>
      <c r="C656" s="10" t="n">
        <v>45675.2905787037</v>
      </c>
      <c r="D656" s="3" t="inlineStr">
        <is>
          <t>OBT190125175511-Pitten (Hamburger)</t>
        </is>
      </c>
      <c r="E656" s="10" t="n">
        <v>45676.74665509259</v>
      </c>
      <c r="F656" s="10" t="n">
        <v>45677.50149305556</v>
      </c>
      <c r="G656" s="11">
        <f>IF(AND(ISNUMBER(C656),ISNUMBER(E656)),(E656-C656),"")</f>
        <v/>
      </c>
      <c r="H656" s="11">
        <f>IF(AND(ISNUMBER(C656),ISNUMBER(F656)),(F656-C656),"")</f>
        <v/>
      </c>
    </row>
    <row r="657">
      <c r="A657" s="3" t="inlineStr">
        <is>
          <t>1017704</t>
        </is>
      </c>
      <c r="B657" s="3" t="inlineStr">
        <is>
          <t>619</t>
        </is>
      </c>
      <c r="C657" s="10" t="n">
        <v>45675.29253472222</v>
      </c>
      <c r="D657" s="3" t="inlineStr">
        <is>
          <t>OBT200125094944-Neudörfl (FunderMax)</t>
        </is>
      </c>
      <c r="E657" s="10" t="n">
        <v>45677.40953703703</v>
      </c>
      <c r="F657" s="10" t="n">
        <v>45678.31057870371</v>
      </c>
      <c r="G657" s="11">
        <f>IF(AND(ISNUMBER(C657),ISNUMBER(E657)),(E657-C657),"")</f>
        <v/>
      </c>
      <c r="H657" s="11">
        <f>IF(AND(ISNUMBER(C657),ISNUMBER(F657)),(F657-C657),"")</f>
        <v/>
      </c>
    </row>
    <row r="658">
      <c r="A658" s="3" t="inlineStr">
        <is>
          <t>1017705</t>
        </is>
      </c>
      <c r="B658" s="3" t="inlineStr">
        <is>
          <t>621</t>
        </is>
      </c>
      <c r="C658" s="10" t="n">
        <v>45675.29449074074</v>
      </c>
      <c r="D658" s="3" t="inlineStr">
        <is>
          <t>OBT200125093149-Wr. Neustadt (Hödlmayr)</t>
        </is>
      </c>
      <c r="E658" s="10" t="n">
        <v>45677.39709490741</v>
      </c>
      <c r="F658" s="10" t="n">
        <v>45678.16496527778</v>
      </c>
      <c r="G658" s="11">
        <f>IF(AND(ISNUMBER(C658),ISNUMBER(E658)),(E658-C658),"")</f>
        <v/>
      </c>
      <c r="H658" s="11">
        <f>IF(AND(ISNUMBER(C658),ISNUMBER(F658)),(F658-C658),"")</f>
        <v/>
      </c>
    </row>
    <row r="659">
      <c r="A659" s="3" t="inlineStr">
        <is>
          <t>1017706</t>
        </is>
      </c>
      <c r="B659" s="3" t="inlineStr">
        <is>
          <t>617</t>
        </is>
      </c>
      <c r="C659" s="10" t="n">
        <v>45675.29579861111</v>
      </c>
      <c r="D659" s="3" t="inlineStr">
        <is>
          <t>OBT200125080717-Wr. Neustadt (Hödlmayr)</t>
        </is>
      </c>
      <c r="E659" s="10" t="n">
        <v>45677.3383912037</v>
      </c>
      <c r="F659" s="10" t="n">
        <v>45677.69652777778</v>
      </c>
      <c r="G659" s="11">
        <f>IF(AND(ISNUMBER(C659),ISNUMBER(E659)),(E659-C659),"")</f>
        <v/>
      </c>
      <c r="H659" s="11">
        <f>IF(AND(ISNUMBER(C659),ISNUMBER(F659)),(F659-C659),"")</f>
        <v/>
      </c>
    </row>
    <row r="660">
      <c r="A660" s="3" t="inlineStr">
        <is>
          <t>1017707</t>
        </is>
      </c>
      <c r="B660" s="3" t="inlineStr">
        <is>
          <t>629</t>
        </is>
      </c>
      <c r="C660" s="10" t="n">
        <v>45675.2977662037</v>
      </c>
      <c r="D660" s="3" t="inlineStr">
        <is>
          <t>OBT190125203024-Pitten (Hamburger)</t>
        </is>
      </c>
      <c r="E660" s="10" t="n">
        <v>45676.85444444444</v>
      </c>
      <c r="F660" s="10" t="n">
        <v>45677.48055555556</v>
      </c>
      <c r="G660" s="11">
        <f>IF(AND(ISNUMBER(C660),ISNUMBER(E660)),(E660-C660),"")</f>
        <v/>
      </c>
      <c r="H660" s="11">
        <f>IF(AND(ISNUMBER(C660),ISNUMBER(F660)),(F660-C660),"")</f>
        <v/>
      </c>
    </row>
    <row r="661">
      <c r="A661" s="3" t="inlineStr">
        <is>
          <t>1017709</t>
        </is>
      </c>
      <c r="B661" s="3" t="inlineStr">
        <is>
          <t>615</t>
        </is>
      </c>
      <c r="C661" s="10" t="n">
        <v>45675.29893518519</v>
      </c>
      <c r="D661" s="3" t="inlineStr">
        <is>
          <t>OBT180125071607-Neudörfl (FunderMax)</t>
        </is>
      </c>
      <c r="E661" s="10" t="n">
        <v>45675.3028587963</v>
      </c>
      <c r="F661" s="10" t="n">
        <v>45677.4071412037</v>
      </c>
      <c r="G661" s="11">
        <f>IF(AND(ISNUMBER(C661),ISNUMBER(E661)),(E661-C661),"")</f>
        <v/>
      </c>
      <c r="H661" s="11">
        <f>IF(AND(ISNUMBER(C661),ISNUMBER(F661)),(F661-C661),"")</f>
        <v/>
      </c>
    </row>
    <row r="662">
      <c r="A662" s="3" t="inlineStr">
        <is>
          <t>1017801</t>
        </is>
      </c>
      <c r="B662" s="3" t="inlineStr">
        <is>
          <t>627</t>
        </is>
      </c>
      <c r="C662" s="10" t="n">
        <v>45676.74447916666</v>
      </c>
      <c r="D662" s="3" t="inlineStr">
        <is>
          <t>OBT190125175511-Pitten (Hamburger)</t>
        </is>
      </c>
      <c r="E662" s="10" t="n">
        <v>45676.74665509259</v>
      </c>
      <c r="F662" s="10" t="n">
        <v>45677.50149305556</v>
      </c>
      <c r="G662" s="11">
        <f>IF(AND(ISNUMBER(C662),ISNUMBER(E662)),(E662-C662),"")</f>
        <v/>
      </c>
      <c r="H662" s="11">
        <f>IF(AND(ISNUMBER(C662),ISNUMBER(F662)),(F662-C662),"")</f>
        <v/>
      </c>
    </row>
    <row r="663">
      <c r="A663" s="3" t="inlineStr">
        <is>
          <t>1017802</t>
        </is>
      </c>
      <c r="B663" s="3" t="inlineStr">
        <is>
          <t>607</t>
        </is>
      </c>
      <c r="C663" s="10" t="n">
        <v>45676.74618055556</v>
      </c>
      <c r="D663" s="3" t="inlineStr">
        <is>
          <t>OBT190125203519-Neudörfl (FunderMax)</t>
        </is>
      </c>
      <c r="E663" s="10" t="n">
        <v>45676.8578587963</v>
      </c>
      <c r="F663" s="10" t="n">
        <v>45677.56050925926</v>
      </c>
      <c r="G663" s="11">
        <f>IF(AND(ISNUMBER(C663),ISNUMBER(E663)),(E663-C663),"")</f>
        <v/>
      </c>
      <c r="H663" s="11">
        <f>IF(AND(ISNUMBER(C663),ISNUMBER(F663)),(F663-C663),"")</f>
        <v/>
      </c>
    </row>
    <row r="664">
      <c r="A664" s="3" t="inlineStr">
        <is>
          <t>1017901</t>
        </is>
      </c>
      <c r="B664" s="3" t="inlineStr">
        <is>
          <t>629</t>
        </is>
      </c>
      <c r="C664" s="10" t="n">
        <v>45676.85226851852</v>
      </c>
      <c r="D664" s="3" t="inlineStr">
        <is>
          <t>OBT190125203024-Pitten (Hamburger)</t>
        </is>
      </c>
      <c r="E664" s="10" t="n">
        <v>45676.85444444444</v>
      </c>
      <c r="F664" s="10" t="n">
        <v>45677.48055555556</v>
      </c>
      <c r="G664" s="11">
        <f>IF(AND(ISNUMBER(C664),ISNUMBER(E664)),(E664-C664),"")</f>
        <v/>
      </c>
      <c r="H664" s="11">
        <f>IF(AND(ISNUMBER(C664),ISNUMBER(F664)),(F664-C664),"")</f>
        <v/>
      </c>
    </row>
    <row r="665">
      <c r="A665" s="3" t="inlineStr">
        <is>
          <t>1017902</t>
        </is>
      </c>
      <c r="B665" s="3" t="inlineStr">
        <is>
          <t>607</t>
        </is>
      </c>
      <c r="C665" s="10" t="n">
        <v>45676.85393518519</v>
      </c>
      <c r="D665" s="3" t="inlineStr">
        <is>
          <t>OBT190125203519-Neudörfl (FunderMax)</t>
        </is>
      </c>
      <c r="E665" s="10" t="n">
        <v>45676.8578587963</v>
      </c>
      <c r="F665" s="10" t="n">
        <v>45677.56050925926</v>
      </c>
      <c r="G665" s="11">
        <f>IF(AND(ISNUMBER(C665),ISNUMBER(E665)),(E665-C665),"")</f>
        <v/>
      </c>
      <c r="H665" s="11">
        <f>IF(AND(ISNUMBER(C665),ISNUMBER(F665)),(F665-C665),"")</f>
        <v/>
      </c>
    </row>
    <row r="666">
      <c r="A666" s="3" t="inlineStr">
        <is>
          <t>1018001</t>
        </is>
      </c>
      <c r="B666" s="3" t="inlineStr">
        <is>
          <t>621</t>
        </is>
      </c>
      <c r="C666" s="10" t="n">
        <v>45677.11538194444</v>
      </c>
      <c r="D666" s="3" t="inlineStr">
        <is>
          <t>OBT200125093149-Wr. Neustadt (Hödlmayr)</t>
        </is>
      </c>
      <c r="E666" s="10" t="n">
        <v>45677.39709490741</v>
      </c>
      <c r="F666" s="10" t="n">
        <v>45678.16496527778</v>
      </c>
      <c r="G666" s="11">
        <f>IF(AND(ISNUMBER(C666),ISNUMBER(E666)),(E666-C666),"")</f>
        <v/>
      </c>
      <c r="H666" s="11">
        <f>IF(AND(ISNUMBER(C666),ISNUMBER(F666)),(F666-C666),"")</f>
        <v/>
      </c>
    </row>
    <row r="667">
      <c r="A667" s="3" t="inlineStr">
        <is>
          <t>1018002</t>
        </is>
      </c>
      <c r="B667" s="3" t="inlineStr">
        <is>
          <t>613</t>
        </is>
      </c>
      <c r="C667" s="10" t="n">
        <v>45677.11701388889</v>
      </c>
      <c r="D667" s="3" t="inlineStr">
        <is>
          <t>OBT200125025157-Neunkirchen (loading tracks)</t>
        </is>
      </c>
      <c r="E667" s="10" t="n">
        <v>45677.11940972223</v>
      </c>
      <c r="F667" s="10" t="n">
        <v>45677.64225694445</v>
      </c>
      <c r="G667" s="11">
        <f>IF(AND(ISNUMBER(C667),ISNUMBER(E667)),(E667-C667),"")</f>
        <v/>
      </c>
      <c r="H667" s="11">
        <f>IF(AND(ISNUMBER(C667),ISNUMBER(F667)),(F667-C667),"")</f>
        <v/>
      </c>
    </row>
    <row r="668">
      <c r="A668" s="3" t="inlineStr">
        <is>
          <t>1018003</t>
        </is>
      </c>
      <c r="B668" s="3" t="inlineStr">
        <is>
          <t>619</t>
        </is>
      </c>
      <c r="C668" s="10" t="n">
        <v>45677.11900462963</v>
      </c>
      <c r="D668" s="3" t="inlineStr">
        <is>
          <t>OBT200125094944-Neudörfl (FunderMax)</t>
        </is>
      </c>
      <c r="E668" s="10" t="n">
        <v>45677.40953703703</v>
      </c>
      <c r="F668" s="10" t="n">
        <v>45678.31057870371</v>
      </c>
      <c r="G668" s="11">
        <f>IF(AND(ISNUMBER(C668),ISNUMBER(E668)),(E668-C668),"")</f>
        <v/>
      </c>
      <c r="H668" s="11">
        <f>IF(AND(ISNUMBER(C668),ISNUMBER(F668)),(F668-C668),"")</f>
        <v/>
      </c>
    </row>
    <row r="669">
      <c r="A669" s="3" t="inlineStr">
        <is>
          <t>1018004</t>
        </is>
      </c>
      <c r="B669" s="3" t="inlineStr">
        <is>
          <t>627</t>
        </is>
      </c>
      <c r="C669" s="10" t="n">
        <v>45677.12099537037</v>
      </c>
      <c r="D669" s="3" t="inlineStr">
        <is>
          <t>OBT200125125954-Wien Kledering</t>
        </is>
      </c>
      <c r="E669" s="10" t="n">
        <v>45677.54159722223</v>
      </c>
      <c r="F669" s="10" t="n">
        <v>45678.35938657408</v>
      </c>
      <c r="G669" s="11">
        <f>IF(AND(ISNUMBER(C669),ISNUMBER(E669)),(E669-C669),"")</f>
        <v/>
      </c>
      <c r="H669" s="11">
        <f>IF(AND(ISNUMBER(C669),ISNUMBER(F669)),(F669-C669),"")</f>
        <v/>
      </c>
    </row>
    <row r="670">
      <c r="A670" s="3" t="inlineStr">
        <is>
          <t>1018101</t>
        </is>
      </c>
      <c r="B670" s="3" t="inlineStr">
        <is>
          <t>625</t>
        </is>
      </c>
      <c r="C670" s="10" t="n">
        <v>45677.19967592593</v>
      </c>
      <c r="D670" s="3" t="inlineStr">
        <is>
          <t>OBT200125045059-Neudörfl (FunderMax)</t>
        </is>
      </c>
      <c r="E670" s="10" t="n">
        <v>45677.20207175926</v>
      </c>
      <c r="F670" s="10" t="n">
        <v>45677.72453703704</v>
      </c>
      <c r="G670" s="11">
        <f>IF(AND(ISNUMBER(C670),ISNUMBER(E670)),(E670-C670),"")</f>
        <v/>
      </c>
      <c r="H670" s="11">
        <f>IF(AND(ISNUMBER(C670),ISNUMBER(F670)),(F670-C670),"")</f>
        <v/>
      </c>
    </row>
    <row r="671">
      <c r="A671" s="3" t="inlineStr">
        <is>
          <t>1018301</t>
        </is>
      </c>
      <c r="B671" s="3" t="inlineStr">
        <is>
          <t>615</t>
        </is>
      </c>
      <c r="C671" s="10" t="n">
        <v>45677.33179398148</v>
      </c>
      <c r="D671" s="3" t="inlineStr">
        <is>
          <t>OBT200125080054-Neunkirchen (loading tracks)</t>
        </is>
      </c>
      <c r="E671" s="10" t="n">
        <v>45677.33395833334</v>
      </c>
      <c r="F671" s="10" t="n">
        <v>45677.68611111111</v>
      </c>
      <c r="G671" s="11">
        <f>IF(AND(ISNUMBER(C671),ISNUMBER(E671)),(E671-C671),"")</f>
        <v/>
      </c>
      <c r="H671" s="11">
        <f>IF(AND(ISNUMBER(C671),ISNUMBER(F671)),(F671-C671),"")</f>
        <v/>
      </c>
    </row>
    <row r="672">
      <c r="A672" s="3" t="inlineStr">
        <is>
          <t>1018302</t>
        </is>
      </c>
      <c r="B672" s="3" t="inlineStr">
        <is>
          <t>619</t>
        </is>
      </c>
      <c r="C672" s="10" t="n">
        <v>45677.33361111111</v>
      </c>
      <c r="D672" s="3" t="inlineStr">
        <is>
          <t>OBT200125094944-Neudörfl (FunderMax)</t>
        </is>
      </c>
      <c r="E672" s="10" t="n">
        <v>45677.40953703703</v>
      </c>
      <c r="F672" s="10" t="n">
        <v>45678.31057870371</v>
      </c>
      <c r="G672" s="11">
        <f>IF(AND(ISNUMBER(C672),ISNUMBER(E672)),(E672-C672),"")</f>
        <v/>
      </c>
      <c r="H672" s="11">
        <f>IF(AND(ISNUMBER(C672),ISNUMBER(F672)),(F672-C672),"")</f>
        <v/>
      </c>
    </row>
    <row r="673">
      <c r="A673" s="3" t="inlineStr">
        <is>
          <t>1018303</t>
        </is>
      </c>
      <c r="B673" s="3" t="inlineStr">
        <is>
          <t>617</t>
        </is>
      </c>
      <c r="C673" s="10" t="n">
        <v>45677.33484953704</v>
      </c>
      <c r="D673" s="3" t="inlineStr">
        <is>
          <t>OBT200125080717-Wr. Neustadt (Hödlmayr)</t>
        </is>
      </c>
      <c r="E673" s="10" t="n">
        <v>45677.3383912037</v>
      </c>
      <c r="F673" s="10" t="n">
        <v>45677.69652777778</v>
      </c>
      <c r="G673" s="11">
        <f>IF(AND(ISNUMBER(C673),ISNUMBER(E673)),(E673-C673),"")</f>
        <v/>
      </c>
      <c r="H673" s="11">
        <f>IF(AND(ISNUMBER(C673),ISNUMBER(F673)),(F673-C673),"")</f>
        <v/>
      </c>
    </row>
    <row r="674">
      <c r="A674" s="3" t="inlineStr">
        <is>
          <t>1018304</t>
        </is>
      </c>
      <c r="B674" s="3" t="inlineStr">
        <is>
          <t>605</t>
        </is>
      </c>
      <c r="C674" s="10" t="n">
        <v>45677.33642361111</v>
      </c>
      <c r="D674" s="3" t="inlineStr">
        <is>
          <t>OBT220125073335-Other sidings local</t>
        </is>
      </c>
      <c r="E674" s="10" t="n">
        <v>45679.31498842593</v>
      </c>
      <c r="F674" s="10" t="n">
        <v>45680.32655092593</v>
      </c>
      <c r="G674" s="11">
        <f>IF(AND(ISNUMBER(C674),ISNUMBER(E674)),(E674-C674),"")</f>
        <v/>
      </c>
      <c r="H674" s="11">
        <f>IF(AND(ISNUMBER(C674),ISNUMBER(F674)),(F674-C674),"")</f>
        <v/>
      </c>
    </row>
    <row r="675">
      <c r="A675" s="3" t="inlineStr">
        <is>
          <t>1018305</t>
        </is>
      </c>
      <c r="B675" s="3" t="inlineStr">
        <is>
          <t>625</t>
        </is>
      </c>
      <c r="C675" s="10" t="n">
        <v>45677.33834490741</v>
      </c>
      <c r="D675" s="3" t="inlineStr">
        <is>
          <t>OBT200125212137-Wien Kledering</t>
        </is>
      </c>
      <c r="E675" s="10" t="n">
        <v>45677.89001157408</v>
      </c>
      <c r="F675" s="10" t="n">
        <v>45678.71240740741</v>
      </c>
      <c r="G675" s="11">
        <f>IF(AND(ISNUMBER(C675),ISNUMBER(E675)),(E675-C675),"")</f>
        <v/>
      </c>
      <c r="H675" s="11">
        <f>IF(AND(ISNUMBER(C675),ISNUMBER(F675)),(F675-C675),"")</f>
        <v/>
      </c>
    </row>
    <row r="676">
      <c r="A676" s="3" t="inlineStr">
        <is>
          <t>1018306</t>
        </is>
      </c>
      <c r="B676" s="3" t="inlineStr">
        <is>
          <t>629</t>
        </is>
      </c>
      <c r="C676" s="10" t="n">
        <v>45677.34015046297</v>
      </c>
      <c r="D676" s="3" t="inlineStr">
        <is>
          <t>OBT210125032545-Neunkirchen (loading tracks)</t>
        </is>
      </c>
      <c r="E676" s="10" t="n">
        <v>45678.14288194444</v>
      </c>
      <c r="F676" s="10" t="n">
        <v>45678.69976851852</v>
      </c>
      <c r="G676" s="11">
        <f>IF(AND(ISNUMBER(C676),ISNUMBER(E676)),(E676-C676),"")</f>
        <v/>
      </c>
      <c r="H676" s="11">
        <f>IF(AND(ISNUMBER(C676),ISNUMBER(F676)),(F676-C676),"")</f>
        <v/>
      </c>
    </row>
    <row r="677">
      <c r="A677" s="3" t="inlineStr">
        <is>
          <t>1018308</t>
        </is>
      </c>
      <c r="B677" s="3" t="inlineStr">
        <is>
          <t>627</t>
        </is>
      </c>
      <c r="C677" s="10" t="n">
        <v>45677.3419212963</v>
      </c>
      <c r="D677" s="3" t="inlineStr">
        <is>
          <t>OBT200125125954-Wien Kledering</t>
        </is>
      </c>
      <c r="E677" s="10" t="n">
        <v>45677.54159722223</v>
      </c>
      <c r="F677" s="10" t="n">
        <v>45678.35938657408</v>
      </c>
      <c r="G677" s="11">
        <f>IF(AND(ISNUMBER(C677),ISNUMBER(E677)),(E677-C677),"")</f>
        <v/>
      </c>
      <c r="H677" s="11">
        <f>IF(AND(ISNUMBER(C677),ISNUMBER(F677)),(F677-C677),"")</f>
        <v/>
      </c>
    </row>
    <row r="678">
      <c r="A678" s="3" t="inlineStr">
        <is>
          <t>1018310</t>
        </is>
      </c>
      <c r="B678" s="3" t="inlineStr">
        <is>
          <t>619</t>
        </is>
      </c>
      <c r="C678" s="10" t="n">
        <v>45677.34375</v>
      </c>
      <c r="D678" s="3" t="inlineStr">
        <is>
          <t>OBT200125094944-Neudörfl (FunderMax)</t>
        </is>
      </c>
      <c r="E678" s="10" t="n">
        <v>45677.40953703703</v>
      </c>
      <c r="F678" s="10" t="n">
        <v>45678.31057870371</v>
      </c>
      <c r="G678" s="11">
        <f>IF(AND(ISNUMBER(C678),ISNUMBER(E678)),(E678-C678),"")</f>
        <v/>
      </c>
      <c r="H678" s="11">
        <f>IF(AND(ISNUMBER(C678),ISNUMBER(F678)),(F678-C678),"")</f>
        <v/>
      </c>
    </row>
    <row r="679">
      <c r="A679" s="3" t="inlineStr">
        <is>
          <t>1018311</t>
        </is>
      </c>
      <c r="B679" s="3" t="inlineStr">
        <is>
          <t>623</t>
        </is>
      </c>
      <c r="C679" s="10" t="n">
        <v>45677.34539351852</v>
      </c>
      <c r="D679" s="3" t="inlineStr">
        <is>
          <t>OBT200125155402-Pitten (Hamburger)</t>
        </is>
      </c>
      <c r="E679" s="10" t="n">
        <v>45677.66252314814</v>
      </c>
      <c r="F679" s="10" t="n">
        <v>45678.42711805556</v>
      </c>
      <c r="G679" s="11">
        <f>IF(AND(ISNUMBER(C679),ISNUMBER(E679)),(E679-C679),"")</f>
        <v/>
      </c>
      <c r="H679" s="11">
        <f>IF(AND(ISNUMBER(C679),ISNUMBER(F679)),(F679-C679),"")</f>
        <v/>
      </c>
    </row>
    <row r="680">
      <c r="A680" s="3" t="inlineStr">
        <is>
          <t>1018313</t>
        </is>
      </c>
      <c r="B680" s="3" t="inlineStr">
        <is>
          <t>607</t>
        </is>
      </c>
      <c r="C680" s="10" t="n">
        <v>45677.34686342593</v>
      </c>
      <c r="D680" s="3" t="inlineStr">
        <is>
          <t>OBT200125144313-Wien Kledering</t>
        </is>
      </c>
      <c r="E680" s="10" t="n">
        <v>45677.6133449074</v>
      </c>
      <c r="F680" s="10" t="n">
        <v>45678.45703703703</v>
      </c>
      <c r="G680" s="11">
        <f>IF(AND(ISNUMBER(C680),ISNUMBER(E680)),(E680-C680),"")</f>
        <v/>
      </c>
      <c r="H680" s="11">
        <f>IF(AND(ISNUMBER(C680),ISNUMBER(F680)),(F680-C680),"")</f>
        <v/>
      </c>
    </row>
    <row r="681">
      <c r="A681" s="3" t="inlineStr">
        <is>
          <t>1018314</t>
        </is>
      </c>
      <c r="B681" s="3" t="inlineStr">
        <is>
          <t>625</t>
        </is>
      </c>
      <c r="C681" s="10" t="n">
        <v>45677.34875</v>
      </c>
      <c r="D681" s="3" t="inlineStr">
        <is>
          <t>OBT200125212137-Wien Kledering</t>
        </is>
      </c>
      <c r="E681" s="10" t="n">
        <v>45677.89001157408</v>
      </c>
      <c r="F681" s="10" t="n">
        <v>45678.71240740741</v>
      </c>
      <c r="G681" s="11">
        <f>IF(AND(ISNUMBER(C681),ISNUMBER(E681)),(E681-C681),"")</f>
        <v/>
      </c>
      <c r="H681" s="11">
        <f>IF(AND(ISNUMBER(C681),ISNUMBER(F681)),(F681-C681),"")</f>
        <v/>
      </c>
    </row>
    <row r="682">
      <c r="A682" s="3" t="inlineStr">
        <is>
          <t>1018315</t>
        </is>
      </c>
      <c r="B682" s="3" t="inlineStr">
        <is>
          <t>619</t>
        </is>
      </c>
      <c r="C682" s="10" t="n">
        <v>45677.35055555555</v>
      </c>
      <c r="D682" s="3" t="inlineStr">
        <is>
          <t>OBT200125094944-Neudörfl (FunderMax)</t>
        </is>
      </c>
      <c r="E682" s="10" t="n">
        <v>45677.40953703703</v>
      </c>
      <c r="F682" s="10" t="n">
        <v>45678.31057870371</v>
      </c>
      <c r="G682" s="11">
        <f>IF(AND(ISNUMBER(C682),ISNUMBER(E682)),(E682-C682),"")</f>
        <v/>
      </c>
      <c r="H682" s="11">
        <f>IF(AND(ISNUMBER(C682),ISNUMBER(F682)),(F682-C682),"")</f>
        <v/>
      </c>
    </row>
    <row r="683">
      <c r="A683" s="3" t="inlineStr">
        <is>
          <t>1018316</t>
        </is>
      </c>
      <c r="B683" s="3" t="inlineStr">
        <is>
          <t>611</t>
        </is>
      </c>
      <c r="C683" s="10" t="n">
        <v>45677.35186342592</v>
      </c>
      <c r="D683" s="3" t="inlineStr">
        <is>
          <t>OBT200125083327-Wr. Neustadt (Brenntag)</t>
        </is>
      </c>
      <c r="E683" s="10" t="n">
        <v>45677.3565625</v>
      </c>
      <c r="F683" s="10" t="n">
        <v>45677.74260416667</v>
      </c>
      <c r="G683" s="11">
        <f>IF(AND(ISNUMBER(C683),ISNUMBER(E683)),(E683-C683),"")</f>
        <v/>
      </c>
      <c r="H683" s="11">
        <f>IF(AND(ISNUMBER(C683),ISNUMBER(F683)),(F683-C683),"")</f>
        <v/>
      </c>
    </row>
    <row r="684">
      <c r="A684" s="3" t="inlineStr">
        <is>
          <t>1018702</t>
        </is>
      </c>
      <c r="B684" s="3" t="inlineStr">
        <is>
          <t>615</t>
        </is>
      </c>
      <c r="C684" s="10" t="n">
        <v>45677.38555555556</v>
      </c>
      <c r="D684" s="3" t="inlineStr">
        <is>
          <t>OBT200125091839-St. Veit an der Glan</t>
        </is>
      </c>
      <c r="E684" s="10" t="n">
        <v>45677.38795138889</v>
      </c>
      <c r="F684" s="10" t="n">
        <v>45677.91542824074</v>
      </c>
      <c r="G684" s="11">
        <f>IF(AND(ISNUMBER(C684),ISNUMBER(E684)),(E684-C684),"")</f>
        <v/>
      </c>
      <c r="H684" s="11">
        <f>IF(AND(ISNUMBER(C684),ISNUMBER(F684)),(F684-C684),"")</f>
        <v/>
      </c>
    </row>
    <row r="685">
      <c r="A685" s="3" t="inlineStr">
        <is>
          <t>1018601</t>
        </is>
      </c>
      <c r="B685" s="3" t="inlineStr">
        <is>
          <t>623</t>
        </is>
      </c>
      <c r="C685" s="10" t="n">
        <v>45677.39037037037</v>
      </c>
      <c r="D685" s="3" t="inlineStr">
        <is>
          <t>OBT200125155402-Pitten (Hamburger)</t>
        </is>
      </c>
      <c r="E685" s="10" t="n">
        <v>45677.66252314814</v>
      </c>
      <c r="F685" s="10" t="n">
        <v>45678.42711805556</v>
      </c>
      <c r="G685" s="11">
        <f>IF(AND(ISNUMBER(C685),ISNUMBER(E685)),(E685-C685),"")</f>
        <v/>
      </c>
      <c r="H685" s="11">
        <f>IF(AND(ISNUMBER(C685),ISNUMBER(F685)),(F685-C685),"")</f>
        <v/>
      </c>
    </row>
    <row r="686">
      <c r="A686" s="3" t="inlineStr">
        <is>
          <t>1018602</t>
        </is>
      </c>
      <c r="B686" s="3" t="inlineStr">
        <is>
          <t>625</t>
        </is>
      </c>
      <c r="C686" s="10" t="n">
        <v>45677.39246527778</v>
      </c>
      <c r="D686" s="3" t="inlineStr">
        <is>
          <t>OBT200125212137-Wien Kledering</t>
        </is>
      </c>
      <c r="E686" s="10" t="n">
        <v>45677.89001157408</v>
      </c>
      <c r="F686" s="10" t="n">
        <v>45678.71240740741</v>
      </c>
      <c r="G686" s="11">
        <f>IF(AND(ISNUMBER(C686),ISNUMBER(E686)),(E686-C686),"")</f>
        <v/>
      </c>
      <c r="H686" s="11">
        <f>IF(AND(ISNUMBER(C686),ISNUMBER(F686)),(F686-C686),"")</f>
        <v/>
      </c>
    </row>
    <row r="687">
      <c r="A687" s="3" t="inlineStr">
        <is>
          <t>1018603</t>
        </is>
      </c>
      <c r="B687" s="3" t="inlineStr">
        <is>
          <t>621</t>
        </is>
      </c>
      <c r="C687" s="10" t="n">
        <v>45677.39469907407</v>
      </c>
      <c r="D687" s="3" t="inlineStr">
        <is>
          <t>OBT200125093149-Wr. Neustadt (Hödlmayr)</t>
        </is>
      </c>
      <c r="E687" s="10" t="n">
        <v>45677.39709490741</v>
      </c>
      <c r="F687" s="10" t="n">
        <v>45678.16496527778</v>
      </c>
      <c r="G687" s="11">
        <f>IF(AND(ISNUMBER(C687),ISNUMBER(E687)),(E687-C687),"")</f>
        <v/>
      </c>
      <c r="H687" s="11">
        <f>IF(AND(ISNUMBER(C687),ISNUMBER(F687)),(F687-C687),"")</f>
        <v/>
      </c>
    </row>
    <row r="688">
      <c r="A688" s="3" t="inlineStr">
        <is>
          <t>1018604</t>
        </is>
      </c>
      <c r="B688" s="3" t="inlineStr">
        <is>
          <t>627</t>
        </is>
      </c>
      <c r="C688" s="10" t="n">
        <v>45677.3966087963</v>
      </c>
      <c r="D688" s="3" t="inlineStr">
        <is>
          <t>OBT200125125954-Wien Kledering</t>
        </is>
      </c>
      <c r="E688" s="10" t="n">
        <v>45677.54159722223</v>
      </c>
      <c r="F688" s="10" t="n">
        <v>45678.35938657408</v>
      </c>
      <c r="G688" s="11">
        <f>IF(AND(ISNUMBER(C688),ISNUMBER(E688)),(E688-C688),"")</f>
        <v/>
      </c>
      <c r="H688" s="11">
        <f>IF(AND(ISNUMBER(C688),ISNUMBER(F688)),(F688-C688),"")</f>
        <v/>
      </c>
    </row>
    <row r="689">
      <c r="A689" s="3" t="inlineStr">
        <is>
          <t>1018605</t>
        </is>
      </c>
      <c r="B689" s="3" t="inlineStr">
        <is>
          <t>619</t>
        </is>
      </c>
      <c r="C689" s="10" t="n">
        <v>45677.39861111111</v>
      </c>
      <c r="D689" s="3" t="inlineStr">
        <is>
          <t>OBT200125094944-Neudörfl (FunderMax)</t>
        </is>
      </c>
      <c r="E689" s="10" t="n">
        <v>45677.40953703703</v>
      </c>
      <c r="F689" s="10" t="n">
        <v>45678.31057870371</v>
      </c>
      <c r="G689" s="11">
        <f>IF(AND(ISNUMBER(C689),ISNUMBER(E689)),(E689-C689),"")</f>
        <v/>
      </c>
      <c r="H689" s="11">
        <f>IF(AND(ISNUMBER(C689),ISNUMBER(F689)),(F689-C689),"")</f>
        <v/>
      </c>
    </row>
    <row r="690">
      <c r="A690" s="3" t="inlineStr">
        <is>
          <t>1018607</t>
        </is>
      </c>
      <c r="B690" s="3" t="inlineStr">
        <is>
          <t>629</t>
        </is>
      </c>
      <c r="C690" s="10" t="n">
        <v>45677.40055555556</v>
      </c>
      <c r="D690" s="3" t="inlineStr">
        <is>
          <t>OBT210125032545-Neunkirchen (loading tracks)</t>
        </is>
      </c>
      <c r="E690" s="10" t="n">
        <v>45678.14288194444</v>
      </c>
      <c r="F690" s="10" t="n">
        <v>45678.69976851852</v>
      </c>
      <c r="G690" s="11">
        <f>IF(AND(ISNUMBER(C690),ISNUMBER(E690)),(E690-C690),"")</f>
        <v/>
      </c>
      <c r="H690" s="11">
        <f>IF(AND(ISNUMBER(C690),ISNUMBER(F690)),(F690-C690),"")</f>
        <v/>
      </c>
    </row>
    <row r="691">
      <c r="A691" s="3" t="inlineStr">
        <is>
          <t>1018608</t>
        </is>
      </c>
      <c r="B691" s="3" t="inlineStr">
        <is>
          <t>613</t>
        </is>
      </c>
      <c r="C691" s="10" t="n">
        <v>45677.40184027778</v>
      </c>
      <c r="D691" s="3" t="inlineStr">
        <is>
          <t>OBT220125180607-Wr. Neustadt Ausfahrbf (Furtenbach)</t>
        </is>
      </c>
      <c r="E691" s="10" t="n">
        <v>45679.75424768519</v>
      </c>
      <c r="F691" s="10" t="n">
        <v>45680.70167824074</v>
      </c>
      <c r="G691" s="11">
        <f>IF(AND(ISNUMBER(C691),ISNUMBER(E691)),(E691-C691),"")</f>
        <v/>
      </c>
      <c r="H691" s="11">
        <f>IF(AND(ISNUMBER(C691),ISNUMBER(F691)),(F691-C691),"")</f>
        <v/>
      </c>
    </row>
    <row r="692">
      <c r="A692" s="3" t="inlineStr">
        <is>
          <t>1018610</t>
        </is>
      </c>
      <c r="B692" s="3" t="inlineStr">
        <is>
          <t>623</t>
        </is>
      </c>
      <c r="C692" s="10" t="n">
        <v>45677.40359953704</v>
      </c>
      <c r="D692" s="3" t="inlineStr">
        <is>
          <t>OBT200125155402-Pitten (Hamburger)</t>
        </is>
      </c>
      <c r="E692" s="10" t="n">
        <v>45677.66252314814</v>
      </c>
      <c r="F692" s="10" t="n">
        <v>45678.42711805556</v>
      </c>
      <c r="G692" s="11">
        <f>IF(AND(ISNUMBER(C692),ISNUMBER(E692)),(E692-C692),"")</f>
        <v/>
      </c>
      <c r="H692" s="11">
        <f>IF(AND(ISNUMBER(C692),ISNUMBER(F692)),(F692-C692),"")</f>
        <v/>
      </c>
    </row>
    <row r="693">
      <c r="A693" s="3" t="inlineStr">
        <is>
          <t>1018611</t>
        </is>
      </c>
      <c r="B693" s="3" t="inlineStr">
        <is>
          <t>619</t>
        </is>
      </c>
      <c r="C693" s="10" t="n">
        <v>45677.40561342592</v>
      </c>
      <c r="D693" s="3" t="inlineStr">
        <is>
          <t>OBT200125094944-Neudörfl (FunderMax)</t>
        </is>
      </c>
      <c r="E693" s="10" t="n">
        <v>45677.40953703703</v>
      </c>
      <c r="F693" s="10" t="n">
        <v>45678.31057870371</v>
      </c>
      <c r="G693" s="11">
        <f>IF(AND(ISNUMBER(C693),ISNUMBER(E693)),(E693-C693),"")</f>
        <v/>
      </c>
      <c r="H693" s="11">
        <f>IF(AND(ISNUMBER(C693),ISNUMBER(F693)),(F693-C693),"")</f>
        <v/>
      </c>
    </row>
    <row r="694">
      <c r="A694" s="3" t="inlineStr">
        <is>
          <t>1018612</t>
        </is>
      </c>
      <c r="B694" s="3" t="inlineStr">
        <is>
          <t>621</t>
        </is>
      </c>
      <c r="C694" s="10" t="n">
        <v>45677.40758101852</v>
      </c>
      <c r="D694" s="3" t="inlineStr">
        <is>
          <t>OBT210125075153-Pitten (Hamburger)</t>
        </is>
      </c>
      <c r="E694" s="10" t="n">
        <v>45678.32769675926</v>
      </c>
      <c r="F694" s="10" t="n">
        <v>45679.14412037037</v>
      </c>
      <c r="G694" s="11">
        <f>IF(AND(ISNUMBER(C694),ISNUMBER(E694)),(E694-C694),"")</f>
        <v/>
      </c>
      <c r="H694" s="11">
        <f>IF(AND(ISNUMBER(C694),ISNUMBER(F694)),(F694-C694),"")</f>
        <v/>
      </c>
    </row>
    <row r="695">
      <c r="A695" s="3" t="inlineStr">
        <is>
          <t>1018801</t>
        </is>
      </c>
      <c r="B695" s="3" t="inlineStr">
        <is>
          <t>615</t>
        </is>
      </c>
      <c r="C695" s="10" t="n">
        <v>45677.45189814815</v>
      </c>
      <c r="D695" s="3" t="inlineStr">
        <is>
          <t>OBT200125105804-Wien Kledering</t>
        </is>
      </c>
      <c r="E695" s="10" t="n">
        <v>45677.45699074074</v>
      </c>
      <c r="F695" s="10" t="n">
        <v>45678.34601851852</v>
      </c>
      <c r="G695" s="11">
        <f>IF(AND(ISNUMBER(C695),ISNUMBER(E695)),(E695-C695),"")</f>
        <v/>
      </c>
      <c r="H695" s="11">
        <f>IF(AND(ISNUMBER(C695),ISNUMBER(F695)),(F695-C695),"")</f>
        <v/>
      </c>
    </row>
    <row r="696">
      <c r="A696" s="3" t="inlineStr">
        <is>
          <t>1018802</t>
        </is>
      </c>
      <c r="B696" s="3" t="inlineStr">
        <is>
          <t>615</t>
        </is>
      </c>
      <c r="C696" s="10" t="n">
        <v>45677.45306712963</v>
      </c>
      <c r="D696" s="3" t="inlineStr">
        <is>
          <t>OBT200125105804-Wien Kledering</t>
        </is>
      </c>
      <c r="E696" s="10" t="n">
        <v>45677.45699074074</v>
      </c>
      <c r="F696" s="10" t="n">
        <v>45678.34601851852</v>
      </c>
      <c r="G696" s="11">
        <f>IF(AND(ISNUMBER(C696),ISNUMBER(E696)),(E696-C696),"")</f>
        <v/>
      </c>
      <c r="H696" s="11">
        <f>IF(AND(ISNUMBER(C696),ISNUMBER(F696)),(F696-C696),"")</f>
        <v/>
      </c>
    </row>
    <row r="697">
      <c r="A697" s="3" t="inlineStr">
        <is>
          <t>1018803</t>
        </is>
      </c>
      <c r="B697" s="3" t="inlineStr">
        <is>
          <t>606</t>
        </is>
      </c>
      <c r="C697" s="10" t="n">
        <v>45677.45511574074</v>
      </c>
      <c r="D697" s="3" t="inlineStr">
        <is>
          <t>OBT200125105846-Wien Kledering</t>
        </is>
      </c>
      <c r="E697" s="10" t="n">
        <v>45677.45747685185</v>
      </c>
      <c r="F697" s="10" t="n">
        <v>45678.36229166666</v>
      </c>
      <c r="G697" s="11">
        <f>IF(AND(ISNUMBER(C697),ISNUMBER(E697)),(E697-C697),"")</f>
        <v/>
      </c>
      <c r="H697" s="11">
        <f>IF(AND(ISNUMBER(C697),ISNUMBER(F697)),(F697-C697),"")</f>
        <v/>
      </c>
    </row>
    <row r="698">
      <c r="A698" s="3" t="inlineStr">
        <is>
          <t>1018901</t>
        </is>
      </c>
      <c r="B698" s="3" t="inlineStr">
        <is>
          <t>627</t>
        </is>
      </c>
      <c r="C698" s="10" t="n">
        <v>45677.53920138889</v>
      </c>
      <c r="D698" s="3" t="inlineStr">
        <is>
          <t>OBT200125125954-Wien Kledering</t>
        </is>
      </c>
      <c r="E698" s="10" t="n">
        <v>45677.54159722223</v>
      </c>
      <c r="F698" s="10" t="n">
        <v>45678.35938657408</v>
      </c>
      <c r="G698" s="11">
        <f>IF(AND(ISNUMBER(C698),ISNUMBER(E698)),(E698-C698),"")</f>
        <v/>
      </c>
      <c r="H698" s="11">
        <f>IF(AND(ISNUMBER(C698),ISNUMBER(F698)),(F698-C698),"")</f>
        <v/>
      </c>
    </row>
    <row r="699">
      <c r="A699" s="3" t="inlineStr">
        <is>
          <t>1019001</t>
        </is>
      </c>
      <c r="B699" s="3" t="inlineStr">
        <is>
          <t>607</t>
        </is>
      </c>
      <c r="C699" s="10" t="n">
        <v>45677.61094907407</v>
      </c>
      <c r="D699" s="3" t="inlineStr">
        <is>
          <t>OBT200125144313-Wien Kledering</t>
        </is>
      </c>
      <c r="E699" s="10" t="n">
        <v>45677.6133449074</v>
      </c>
      <c r="F699" s="10" t="n">
        <v>45678.45703703703</v>
      </c>
      <c r="G699" s="11">
        <f>IF(AND(ISNUMBER(C699),ISNUMBER(E699)),(E699-C699),"")</f>
        <v/>
      </c>
      <c r="H699" s="11">
        <f>IF(AND(ISNUMBER(C699),ISNUMBER(F699)),(F699-C699),"")</f>
        <v/>
      </c>
    </row>
    <row r="700">
      <c r="A700" s="3" t="inlineStr">
        <is>
          <t>1019101</t>
        </is>
      </c>
      <c r="B700" s="3" t="inlineStr">
        <is>
          <t>609</t>
        </is>
      </c>
      <c r="C700" s="10" t="n">
        <v>45677.64981481482</v>
      </c>
      <c r="D700" s="3" t="inlineStr">
        <is>
          <t>OBT220125180146-Felixdorf/Sollenau (Bundesheer, Maba)</t>
        </is>
      </c>
      <c r="E700" s="10" t="n">
        <v>45679.75122685185</v>
      </c>
      <c r="F700" s="10" t="n">
        <v>45680.67232638889</v>
      </c>
      <c r="G700" s="11">
        <f>IF(AND(ISNUMBER(C700),ISNUMBER(E700)),(E700-C700),"")</f>
        <v/>
      </c>
      <c r="H700" s="11">
        <f>IF(AND(ISNUMBER(C700),ISNUMBER(F700)),(F700-C700),"")</f>
        <v/>
      </c>
    </row>
    <row r="701">
      <c r="A701" s="3" t="inlineStr">
        <is>
          <t>1019102</t>
        </is>
      </c>
      <c r="B701" s="3" t="inlineStr">
        <is>
          <t>619</t>
        </is>
      </c>
      <c r="C701" s="10" t="n">
        <v>45677.65177083333</v>
      </c>
      <c r="D701" s="3" t="inlineStr">
        <is>
          <t>OBT210125080256-Neudörfl (FunderMax)</t>
        </is>
      </c>
      <c r="E701" s="10" t="n">
        <v>45678.33537037037</v>
      </c>
      <c r="F701" s="10" t="n">
        <v>45679.22459490741</v>
      </c>
      <c r="G701" s="11">
        <f>IF(AND(ISNUMBER(C701),ISNUMBER(E701)),(E701-C701),"")</f>
        <v/>
      </c>
      <c r="H701" s="11">
        <f>IF(AND(ISNUMBER(C701),ISNUMBER(F701)),(F701-C701),"")</f>
        <v/>
      </c>
    </row>
    <row r="702">
      <c r="A702" s="3" t="inlineStr">
        <is>
          <t>1019103</t>
        </is>
      </c>
      <c r="B702" s="3" t="inlineStr">
        <is>
          <t>629</t>
        </is>
      </c>
      <c r="C702" s="10" t="n">
        <v>45677.65369212963</v>
      </c>
      <c r="D702" s="3" t="inlineStr">
        <is>
          <t>OBT210125032545-Neunkirchen (loading tracks)</t>
        </is>
      </c>
      <c r="E702" s="10" t="n">
        <v>45678.14288194444</v>
      </c>
      <c r="F702" s="10" t="n">
        <v>45678.69976851852</v>
      </c>
      <c r="G702" s="11">
        <f>IF(AND(ISNUMBER(C702),ISNUMBER(E702)),(E702-C702),"")</f>
        <v/>
      </c>
      <c r="H702" s="11">
        <f>IF(AND(ISNUMBER(C702),ISNUMBER(F702)),(F702-C702),"")</f>
        <v/>
      </c>
    </row>
    <row r="703">
      <c r="A703" s="3" t="inlineStr">
        <is>
          <t>1019105</t>
        </is>
      </c>
      <c r="B703" s="3" t="inlineStr">
        <is>
          <t>613</t>
        </is>
      </c>
      <c r="C703" s="10" t="n">
        <v>45677.65497685185</v>
      </c>
      <c r="D703" s="3" t="inlineStr">
        <is>
          <t>OBT220125180607-Wr. Neustadt Ausfahrbf (Furtenbach)</t>
        </is>
      </c>
      <c r="E703" s="10" t="n">
        <v>45679.75424768519</v>
      </c>
      <c r="F703" s="10" t="n">
        <v>45680.70167824074</v>
      </c>
      <c r="G703" s="11">
        <f>IF(AND(ISNUMBER(C703),ISNUMBER(E703)),(E703-C703),"")</f>
        <v/>
      </c>
      <c r="H703" s="11">
        <f>IF(AND(ISNUMBER(C703),ISNUMBER(F703)),(F703-C703),"")</f>
        <v/>
      </c>
    </row>
    <row r="704">
      <c r="A704" s="3" t="inlineStr">
        <is>
          <t>1019106</t>
        </is>
      </c>
      <c r="B704" s="3" t="inlineStr">
        <is>
          <t>623</t>
        </is>
      </c>
      <c r="C704" s="10" t="n">
        <v>45677.65673611111</v>
      </c>
      <c r="D704" s="3" t="inlineStr">
        <is>
          <t>OBT200125155402-Pitten (Hamburger)</t>
        </is>
      </c>
      <c r="E704" s="10" t="n">
        <v>45677.66252314814</v>
      </c>
      <c r="F704" s="10" t="n">
        <v>45678.42711805556</v>
      </c>
      <c r="G704" s="11">
        <f>IF(AND(ISNUMBER(C704),ISNUMBER(E704)),(E704-C704),"")</f>
        <v/>
      </c>
      <c r="H704" s="11">
        <f>IF(AND(ISNUMBER(C704),ISNUMBER(F704)),(F704-C704),"")</f>
        <v/>
      </c>
    </row>
    <row r="705">
      <c r="A705" s="3" t="inlineStr">
        <is>
          <t>1019107</t>
        </is>
      </c>
      <c r="B705" s="3" t="inlineStr">
        <is>
          <t>623</t>
        </is>
      </c>
      <c r="C705" s="10" t="n">
        <v>45677.65859953704</v>
      </c>
      <c r="D705" s="3" t="inlineStr">
        <is>
          <t>OBT200125155402-Pitten (Hamburger)</t>
        </is>
      </c>
      <c r="E705" s="10" t="n">
        <v>45677.66252314814</v>
      </c>
      <c r="F705" s="10" t="n">
        <v>45678.42711805556</v>
      </c>
      <c r="G705" s="11">
        <f>IF(AND(ISNUMBER(C705),ISNUMBER(E705)),(E705-C705),"")</f>
        <v/>
      </c>
      <c r="H705" s="11">
        <f>IF(AND(ISNUMBER(C705),ISNUMBER(F705)),(F705-C705),"")</f>
        <v/>
      </c>
    </row>
    <row r="706">
      <c r="A706" s="3" t="inlineStr">
        <is>
          <t>1019108</t>
        </is>
      </c>
      <c r="B706" s="3" t="inlineStr">
        <is>
          <t>627</t>
        </is>
      </c>
      <c r="C706" s="10" t="n">
        <v>45677.66050925926</v>
      </c>
      <c r="D706" s="3" t="inlineStr">
        <is>
          <t>OBT210125093910-Neudörfl (FunderMax)</t>
        </is>
      </c>
      <c r="E706" s="10" t="n">
        <v>45678.40219907407</v>
      </c>
      <c r="F706" s="10" t="n">
        <v>45679.36150462963</v>
      </c>
      <c r="G706" s="11">
        <f>IF(AND(ISNUMBER(C706),ISNUMBER(E706)),(E706-C706),"")</f>
        <v/>
      </c>
      <c r="H706" s="11">
        <f>IF(AND(ISNUMBER(C706),ISNUMBER(F706)),(F706-C706),"")</f>
        <v/>
      </c>
    </row>
    <row r="707">
      <c r="A707" s="3" t="inlineStr">
        <is>
          <t>1019109</t>
        </is>
      </c>
      <c r="B707" s="3" t="inlineStr">
        <is>
          <t>629</t>
        </is>
      </c>
      <c r="C707" s="10" t="n">
        <v>45677.66245370371</v>
      </c>
      <c r="D707" s="3" t="inlineStr">
        <is>
          <t>OBT210125032545-Neunkirchen (loading tracks)</t>
        </is>
      </c>
      <c r="E707" s="10" t="n">
        <v>45678.14288194444</v>
      </c>
      <c r="F707" s="10" t="n">
        <v>45678.69976851852</v>
      </c>
      <c r="G707" s="11">
        <f>IF(AND(ISNUMBER(C707),ISNUMBER(E707)),(E707-C707),"")</f>
        <v/>
      </c>
      <c r="H707" s="11">
        <f>IF(AND(ISNUMBER(C707),ISNUMBER(F707)),(F707-C707),"")</f>
        <v/>
      </c>
    </row>
    <row r="708">
      <c r="A708" s="3" t="inlineStr">
        <is>
          <t>1019110</t>
        </is>
      </c>
      <c r="B708" s="3" t="inlineStr">
        <is>
          <t>627</t>
        </is>
      </c>
      <c r="C708" s="10" t="n">
        <v>45677.664375</v>
      </c>
      <c r="D708" s="3" t="inlineStr">
        <is>
          <t>OBT210125093910-Neudörfl (FunderMax)</t>
        </is>
      </c>
      <c r="E708" s="10" t="n">
        <v>45678.40219907407</v>
      </c>
      <c r="F708" s="10" t="n">
        <v>45679.36150462963</v>
      </c>
      <c r="G708" s="11">
        <f>IF(AND(ISNUMBER(C708),ISNUMBER(E708)),(E708-C708),"")</f>
        <v/>
      </c>
      <c r="H708" s="11">
        <f>IF(AND(ISNUMBER(C708),ISNUMBER(F708)),(F708-C708),"")</f>
        <v/>
      </c>
    </row>
    <row r="709">
      <c r="A709" s="3" t="inlineStr">
        <is>
          <t>1019201</t>
        </is>
      </c>
      <c r="B709" s="3" t="inlineStr">
        <is>
          <t>615</t>
        </is>
      </c>
      <c r="C709" s="10" t="n">
        <v>45677.66814814815</v>
      </c>
      <c r="D709" s="3" t="inlineStr">
        <is>
          <t>OBT200125160533-St. Veit an der Glan</t>
        </is>
      </c>
      <c r="E709" s="10" t="n">
        <v>45677.67052083334</v>
      </c>
      <c r="F709" s="10" t="n">
        <v>45678.4656712963</v>
      </c>
      <c r="G709" s="11">
        <f>IF(AND(ISNUMBER(C709),ISNUMBER(E709)),(E709-C709),"")</f>
        <v/>
      </c>
      <c r="H709" s="11">
        <f>IF(AND(ISNUMBER(C709),ISNUMBER(F709)),(F709-C709),"")</f>
        <v/>
      </c>
    </row>
    <row r="710">
      <c r="A710" s="3" t="inlineStr">
        <is>
          <t>1019401</t>
        </is>
      </c>
      <c r="B710" s="3" t="inlineStr">
        <is>
          <t>615</t>
        </is>
      </c>
      <c r="C710" s="10" t="n">
        <v>45677.71821759259</v>
      </c>
      <c r="D710" s="3" t="inlineStr">
        <is>
          <t>OBT200125171741-Wien Kledering</t>
        </is>
      </c>
      <c r="E710" s="10" t="n">
        <v>45677.72061342592</v>
      </c>
      <c r="F710" s="10" t="n">
        <v>45678.67363425926</v>
      </c>
      <c r="G710" s="11">
        <f>IF(AND(ISNUMBER(C710),ISNUMBER(E710)),(E710-C710),"")</f>
        <v/>
      </c>
      <c r="H710" s="11">
        <f>IF(AND(ISNUMBER(C710),ISNUMBER(F710)),(F710-C710),"")</f>
        <v/>
      </c>
    </row>
    <row r="711">
      <c r="A711" s="3" t="inlineStr">
        <is>
          <t>1019501</t>
        </is>
      </c>
      <c r="B711" s="3" t="inlineStr">
        <is>
          <t>625</t>
        </is>
      </c>
      <c r="C711" s="10" t="n">
        <v>45677.88761574074</v>
      </c>
      <c r="D711" s="3" t="inlineStr">
        <is>
          <t>OBT200125212137-Wien Kledering</t>
        </is>
      </c>
      <c r="E711" s="10" t="n">
        <v>45677.89001157408</v>
      </c>
      <c r="F711" s="10" t="n">
        <v>45678.71240740741</v>
      </c>
      <c r="G711" s="11">
        <f>IF(AND(ISNUMBER(C711),ISNUMBER(E711)),(E711-C711),"")</f>
        <v/>
      </c>
      <c r="H711" s="11">
        <f>IF(AND(ISNUMBER(C711),ISNUMBER(F711)),(F711-C711),"")</f>
        <v/>
      </c>
    </row>
    <row r="712">
      <c r="A712" s="3" t="inlineStr">
        <is>
          <t>1019601</t>
        </is>
      </c>
      <c r="B712" s="3" t="inlineStr">
        <is>
          <t>627</t>
        </is>
      </c>
      <c r="C712" s="10" t="n">
        <v>45678.13146990741</v>
      </c>
      <c r="D712" s="3" t="inlineStr">
        <is>
          <t>OBT210125093910-Neudörfl (FunderMax)</t>
        </is>
      </c>
      <c r="E712" s="10" t="n">
        <v>45678.40219907407</v>
      </c>
      <c r="F712" s="10" t="n">
        <v>45679.36150462963</v>
      </c>
      <c r="G712" s="11">
        <f>IF(AND(ISNUMBER(C712),ISNUMBER(E712)),(E712-C712),"")</f>
        <v/>
      </c>
      <c r="H712" s="11">
        <f>IF(AND(ISNUMBER(C712),ISNUMBER(F712)),(F712-C712),"")</f>
        <v/>
      </c>
    </row>
    <row r="713">
      <c r="A713" s="3" t="inlineStr">
        <is>
          <t>1019602</t>
        </is>
      </c>
      <c r="B713" s="3" t="inlineStr">
        <is>
          <t>629</t>
        </is>
      </c>
      <c r="C713" s="10" t="n">
        <v>45678.13344907408</v>
      </c>
      <c r="D713" s="3" t="inlineStr">
        <is>
          <t>OBT210125032545-Neunkirchen (loading tracks)</t>
        </is>
      </c>
      <c r="E713" s="10" t="n">
        <v>45678.14288194444</v>
      </c>
      <c r="F713" s="10" t="n">
        <v>45678.69976851852</v>
      </c>
      <c r="G713" s="11">
        <f>IF(AND(ISNUMBER(C713),ISNUMBER(E713)),(E713-C713),"")</f>
        <v/>
      </c>
      <c r="H713" s="11">
        <f>IF(AND(ISNUMBER(C713),ISNUMBER(F713)),(F713-C713),"")</f>
        <v/>
      </c>
    </row>
    <row r="714">
      <c r="A714" s="3" t="inlineStr">
        <is>
          <t>1019603</t>
        </is>
      </c>
      <c r="B714" s="3" t="inlineStr">
        <is>
          <t>615</t>
        </is>
      </c>
      <c r="C714" s="10" t="n">
        <v>45678.13465277778</v>
      </c>
      <c r="D714" s="3" t="inlineStr">
        <is>
          <t>OBT210125092833-St. Veit an der Glan</t>
        </is>
      </c>
      <c r="E714" s="10" t="n">
        <v>45678.39482638889</v>
      </c>
      <c r="F714" s="10" t="n">
        <v>45679.34836805556</v>
      </c>
      <c r="G714" s="11">
        <f>IF(AND(ISNUMBER(C714),ISNUMBER(E714)),(E714-C714),"")</f>
        <v/>
      </c>
      <c r="H714" s="11">
        <f>IF(AND(ISNUMBER(C714),ISNUMBER(F714)),(F714-C714),"")</f>
        <v/>
      </c>
    </row>
    <row r="715">
      <c r="A715" s="3" t="inlineStr">
        <is>
          <t>1019604</t>
        </is>
      </c>
      <c r="B715" s="3" t="inlineStr">
        <is>
          <t>621</t>
        </is>
      </c>
      <c r="C715" s="10" t="n">
        <v>45678.1366087963</v>
      </c>
      <c r="D715" s="3" t="inlineStr">
        <is>
          <t>OBT210125075153-Pitten (Hamburger)</t>
        </is>
      </c>
      <c r="E715" s="10" t="n">
        <v>45678.32769675926</v>
      </c>
      <c r="F715" s="10" t="n">
        <v>45679.14412037037</v>
      </c>
      <c r="G715" s="11">
        <f>IF(AND(ISNUMBER(C715),ISNUMBER(E715)),(E715-C715),"")</f>
        <v/>
      </c>
      <c r="H715" s="11">
        <f>IF(AND(ISNUMBER(C715),ISNUMBER(F715)),(F715-C715),"")</f>
        <v/>
      </c>
    </row>
    <row r="716">
      <c r="A716" s="3" t="inlineStr">
        <is>
          <t>1019605</t>
        </is>
      </c>
      <c r="B716" s="3" t="inlineStr">
        <is>
          <t>629</t>
        </is>
      </c>
      <c r="C716" s="10" t="n">
        <v>45678.13895833334</v>
      </c>
      <c r="D716" s="3" t="inlineStr">
        <is>
          <t>OBT210125032545-Neunkirchen (loading tracks)</t>
        </is>
      </c>
      <c r="E716" s="10" t="n">
        <v>45678.14288194444</v>
      </c>
      <c r="F716" s="10" t="n">
        <v>45678.69976851852</v>
      </c>
      <c r="G716" s="11">
        <f>IF(AND(ISNUMBER(C716),ISNUMBER(E716)),(E716-C716),"")</f>
        <v/>
      </c>
      <c r="H716" s="11">
        <f>IF(AND(ISNUMBER(C716),ISNUMBER(F716)),(F716-C716),"")</f>
        <v/>
      </c>
    </row>
    <row r="717">
      <c r="A717" s="3" t="inlineStr">
        <is>
          <t>1019701</t>
        </is>
      </c>
      <c r="B717" s="3" t="inlineStr">
        <is>
          <t>611</t>
        </is>
      </c>
      <c r="C717" s="10" t="n">
        <v>45678.28434027778</v>
      </c>
      <c r="D717" s="3" t="inlineStr">
        <is>
          <t>OBT210125065252-Wien Kledering</t>
        </is>
      </c>
      <c r="E717" s="10" t="n">
        <v>45678.28671296296</v>
      </c>
      <c r="F717" s="10" t="n">
        <v>45678.92092592592</v>
      </c>
      <c r="G717" s="11">
        <f>IF(AND(ISNUMBER(C717),ISNUMBER(E717)),(E717-C717),"")</f>
        <v/>
      </c>
      <c r="H717" s="11">
        <f>IF(AND(ISNUMBER(C717),ISNUMBER(F717)),(F717-C717),"")</f>
        <v/>
      </c>
    </row>
    <row r="718">
      <c r="A718" s="3" t="inlineStr">
        <is>
          <t>1019801</t>
        </is>
      </c>
      <c r="B718" s="3" t="inlineStr">
        <is>
          <t>617</t>
        </is>
      </c>
      <c r="C718" s="10" t="n">
        <v>45678.31990740741</v>
      </c>
      <c r="D718" s="3" t="inlineStr">
        <is>
          <t>OBT210125150922-Neunkirchen (loading tracks)</t>
        </is>
      </c>
      <c r="E718" s="10" t="n">
        <v>45678.63150462963</v>
      </c>
      <c r="F718" s="10" t="n">
        <v>45679.46422453703</v>
      </c>
      <c r="G718" s="11">
        <f>IF(AND(ISNUMBER(C718),ISNUMBER(E718)),(E718-C718),"")</f>
        <v/>
      </c>
      <c r="H718" s="11">
        <f>IF(AND(ISNUMBER(C718),ISNUMBER(F718)),(F718-C718),"")</f>
        <v/>
      </c>
    </row>
    <row r="719">
      <c r="A719" s="3" t="inlineStr">
        <is>
          <t>1019802</t>
        </is>
      </c>
      <c r="B719" s="3" t="inlineStr">
        <is>
          <t>613</t>
        </is>
      </c>
      <c r="C719" s="10" t="n">
        <v>45678.32119212963</v>
      </c>
      <c r="D719" s="3" t="inlineStr">
        <is>
          <t>OBT220125180607-Wr. Neustadt Ausfahrbf (Furtenbach)</t>
        </is>
      </c>
      <c r="E719" s="10" t="n">
        <v>45679.75424768519</v>
      </c>
      <c r="F719" s="10" t="n">
        <v>45680.70167824074</v>
      </c>
      <c r="G719" s="11">
        <f>IF(AND(ISNUMBER(C719),ISNUMBER(E719)),(E719-C719),"")</f>
        <v/>
      </c>
      <c r="H719" s="11">
        <f>IF(AND(ISNUMBER(C719),ISNUMBER(F719)),(F719-C719),"")</f>
        <v/>
      </c>
    </row>
    <row r="720">
      <c r="A720" s="3" t="inlineStr">
        <is>
          <t>1019803</t>
        </is>
      </c>
      <c r="B720" s="3" t="inlineStr">
        <is>
          <t>629</t>
        </is>
      </c>
      <c r="C720" s="10" t="n">
        <v>45678.32311342593</v>
      </c>
      <c r="D720" s="3" t="inlineStr">
        <is>
          <t>OBT220125100316-Neudörfl (FunderMax)</t>
        </is>
      </c>
      <c r="E720" s="10" t="n">
        <v>45679.41893518518</v>
      </c>
      <c r="F720" s="10" t="n">
        <v>45680.47693287037</v>
      </c>
      <c r="G720" s="11">
        <f>IF(AND(ISNUMBER(C720),ISNUMBER(E720)),(E720-C720),"")</f>
        <v/>
      </c>
      <c r="H720" s="11">
        <f>IF(AND(ISNUMBER(C720),ISNUMBER(F720)),(F720-C720),"")</f>
        <v/>
      </c>
    </row>
    <row r="721">
      <c r="A721" s="3" t="inlineStr">
        <is>
          <t>1019804</t>
        </is>
      </c>
      <c r="B721" s="3" t="inlineStr">
        <is>
          <t>621</t>
        </is>
      </c>
      <c r="C721" s="10" t="n">
        <v>45678.32530092593</v>
      </c>
      <c r="D721" s="3" t="inlineStr">
        <is>
          <t>OBT210125075153-Pitten (Hamburger)</t>
        </is>
      </c>
      <c r="E721" s="10" t="n">
        <v>45678.32769675926</v>
      </c>
      <c r="F721" s="10" t="n">
        <v>45679.14412037037</v>
      </c>
      <c r="G721" s="11">
        <f>IF(AND(ISNUMBER(C721),ISNUMBER(E721)),(E721-C721),"")</f>
        <v/>
      </c>
      <c r="H721" s="11">
        <f>IF(AND(ISNUMBER(C721),ISNUMBER(F721)),(F721-C721),"")</f>
        <v/>
      </c>
    </row>
    <row r="722">
      <c r="A722" s="3" t="inlineStr">
        <is>
          <t>1019805</t>
        </is>
      </c>
      <c r="B722" s="3" t="inlineStr">
        <is>
          <t>605</t>
        </is>
      </c>
      <c r="C722" s="10" t="n">
        <v>45678.32702546296</v>
      </c>
      <c r="D722" s="3" t="inlineStr">
        <is>
          <t>OBT220125073335-Other sidings local</t>
        </is>
      </c>
      <c r="E722" s="10" t="n">
        <v>45679.31498842593</v>
      </c>
      <c r="F722" s="10" t="n">
        <v>45680.32655092593</v>
      </c>
      <c r="G722" s="11">
        <f>IF(AND(ISNUMBER(C722),ISNUMBER(E722)),(E722-C722),"")</f>
        <v/>
      </c>
      <c r="H722" s="11">
        <f>IF(AND(ISNUMBER(C722),ISNUMBER(F722)),(F722-C722),"")</f>
        <v/>
      </c>
    </row>
    <row r="723">
      <c r="A723" s="3" t="inlineStr">
        <is>
          <t>1019807</t>
        </is>
      </c>
      <c r="B723" s="3" t="inlineStr">
        <is>
          <t>625</t>
        </is>
      </c>
      <c r="C723" s="10" t="n">
        <v>45678.32905092592</v>
      </c>
      <c r="D723" s="3" t="inlineStr">
        <is>
          <t>OBT220125045357-Neudörfl (FunderMax)</t>
        </is>
      </c>
      <c r="E723" s="10" t="n">
        <v>45679.20413194445</v>
      </c>
      <c r="F723" s="10" t="n">
        <v>45680.19690972222</v>
      </c>
      <c r="G723" s="11">
        <f>IF(AND(ISNUMBER(C723),ISNUMBER(E723)),(E723-C723),"")</f>
        <v/>
      </c>
      <c r="H723" s="11">
        <f>IF(AND(ISNUMBER(C723),ISNUMBER(F723)),(F723-C723),"")</f>
        <v/>
      </c>
    </row>
    <row r="724">
      <c r="A724" s="3" t="inlineStr">
        <is>
          <t>1019808</t>
        </is>
      </c>
      <c r="B724" s="3" t="inlineStr">
        <is>
          <t>605</t>
        </is>
      </c>
      <c r="C724" s="10" t="n">
        <v>45678.33078703703</v>
      </c>
      <c r="D724" s="3" t="inlineStr">
        <is>
          <t>OBT220125073335-Other sidings local</t>
        </is>
      </c>
      <c r="E724" s="10" t="n">
        <v>45679.31498842593</v>
      </c>
      <c r="F724" s="10" t="n">
        <v>45680.32655092593</v>
      </c>
      <c r="G724" s="11">
        <f>IF(AND(ISNUMBER(C724),ISNUMBER(E724)),(E724-C724),"")</f>
        <v/>
      </c>
      <c r="H724" s="11">
        <f>IF(AND(ISNUMBER(C724),ISNUMBER(F724)),(F724-C724),"")</f>
        <v/>
      </c>
    </row>
    <row r="725">
      <c r="A725" s="3" t="inlineStr">
        <is>
          <t>1019809</t>
        </is>
      </c>
      <c r="B725" s="3" t="inlineStr">
        <is>
          <t>619</t>
        </is>
      </c>
      <c r="C725" s="10" t="n">
        <v>45678.33297453704</v>
      </c>
      <c r="D725" s="3" t="inlineStr">
        <is>
          <t>OBT210125080256-Neudörfl (FunderMax)</t>
        </is>
      </c>
      <c r="E725" s="10" t="n">
        <v>45678.33537037037</v>
      </c>
      <c r="F725" s="10" t="n">
        <v>45679.22459490741</v>
      </c>
      <c r="G725" s="11">
        <f>IF(AND(ISNUMBER(C725),ISNUMBER(E725)),(E725-C725),"")</f>
        <v/>
      </c>
      <c r="H725" s="11">
        <f>IF(AND(ISNUMBER(C725),ISNUMBER(F725)),(F725-C725),"")</f>
        <v/>
      </c>
    </row>
    <row r="726">
      <c r="A726" s="3" t="inlineStr">
        <is>
          <t>1020001</t>
        </is>
      </c>
      <c r="B726" s="3" t="inlineStr">
        <is>
          <t>619</t>
        </is>
      </c>
      <c r="C726" s="10" t="n">
        <v>45678.33640046296</v>
      </c>
      <c r="D726" s="3" t="inlineStr">
        <is>
          <t>OBT210125080752-Wien Kledering</t>
        </is>
      </c>
      <c r="E726" s="10" t="n">
        <v>45678.3387962963</v>
      </c>
      <c r="F726" s="10" t="n">
        <v>45679.33716435185</v>
      </c>
      <c r="G726" s="11">
        <f>IF(AND(ISNUMBER(C726),ISNUMBER(E726)),(E726-C726),"")</f>
        <v/>
      </c>
      <c r="H726" s="11">
        <f>IF(AND(ISNUMBER(C726),ISNUMBER(F726)),(F726-C726),"")</f>
        <v/>
      </c>
    </row>
    <row r="727">
      <c r="A727" s="3" t="inlineStr">
        <is>
          <t>1020201</t>
        </is>
      </c>
      <c r="B727" s="3" t="inlineStr">
        <is>
          <t>619</t>
        </is>
      </c>
      <c r="C727" s="10" t="n">
        <v>45678.38510416666</v>
      </c>
      <c r="D727" s="3" t="inlineStr">
        <is>
          <t>OBT210125103404-Wien Kledering</t>
        </is>
      </c>
      <c r="E727" s="10" t="n">
        <v>45678.44032407407</v>
      </c>
      <c r="F727" s="10" t="n">
        <v>45679.44350694444</v>
      </c>
      <c r="G727" s="11">
        <f>IF(AND(ISNUMBER(C727),ISNUMBER(E727)),(E727-C727),"")</f>
        <v/>
      </c>
      <c r="H727" s="11">
        <f>IF(AND(ISNUMBER(C727),ISNUMBER(F727)),(F727-C727),"")</f>
        <v/>
      </c>
    </row>
    <row r="728">
      <c r="A728" s="3" t="inlineStr">
        <is>
          <t>1020202</t>
        </is>
      </c>
      <c r="B728" s="3" t="inlineStr">
        <is>
          <t>615</t>
        </is>
      </c>
      <c r="C728" s="10" t="n">
        <v>45678.38628472222</v>
      </c>
      <c r="D728" s="3" t="inlineStr">
        <is>
          <t>OBT210125092833-St. Veit an der Glan</t>
        </is>
      </c>
      <c r="E728" s="10" t="n">
        <v>45678.39482638889</v>
      </c>
      <c r="F728" s="10" t="n">
        <v>45679.34836805556</v>
      </c>
      <c r="G728" s="11">
        <f>IF(AND(ISNUMBER(C728),ISNUMBER(E728)),(E728-C728),"")</f>
        <v/>
      </c>
      <c r="H728" s="11">
        <f>IF(AND(ISNUMBER(C728),ISNUMBER(F728)),(F728-C728),"")</f>
        <v/>
      </c>
    </row>
    <row r="729">
      <c r="A729" s="3" t="inlineStr">
        <is>
          <t>1020101</t>
        </is>
      </c>
      <c r="B729" s="3" t="inlineStr">
        <is>
          <t>613</t>
        </is>
      </c>
      <c r="C729" s="10" t="n">
        <v>45678.3884375</v>
      </c>
      <c r="D729" s="3" t="inlineStr">
        <is>
          <t>OBT220125180607-Wr. Neustadt Ausfahrbf (Furtenbach)</t>
        </is>
      </c>
      <c r="E729" s="10" t="n">
        <v>45679.75424768519</v>
      </c>
      <c r="F729" s="10" t="n">
        <v>45680.70167824074</v>
      </c>
      <c r="G729" s="11">
        <f>IF(AND(ISNUMBER(C729),ISNUMBER(E729)),(E729-C729),"")</f>
        <v/>
      </c>
      <c r="H729" s="11">
        <f>IF(AND(ISNUMBER(C729),ISNUMBER(F729)),(F729-C729),"")</f>
        <v/>
      </c>
    </row>
    <row r="730">
      <c r="A730" s="3" t="inlineStr">
        <is>
          <t>1020102</t>
        </is>
      </c>
      <c r="B730" s="3" t="inlineStr">
        <is>
          <t>615</t>
        </is>
      </c>
      <c r="C730" s="10" t="n">
        <v>45678.38972222222</v>
      </c>
      <c r="D730" s="3" t="inlineStr">
        <is>
          <t>OBT210125092833-St. Veit an der Glan</t>
        </is>
      </c>
      <c r="E730" s="10" t="n">
        <v>45678.39482638889</v>
      </c>
      <c r="F730" s="10" t="n">
        <v>45679.34836805556</v>
      </c>
      <c r="G730" s="11">
        <f>IF(AND(ISNUMBER(C730),ISNUMBER(E730)),(E730-C730),"")</f>
        <v/>
      </c>
      <c r="H730" s="11">
        <f>IF(AND(ISNUMBER(C730),ISNUMBER(F730)),(F730-C730),"")</f>
        <v/>
      </c>
    </row>
    <row r="731">
      <c r="A731" s="3" t="inlineStr">
        <is>
          <t>1020103</t>
        </is>
      </c>
      <c r="B731" s="3" t="inlineStr">
        <is>
          <t>615</t>
        </is>
      </c>
      <c r="C731" s="10" t="n">
        <v>45678.3909375</v>
      </c>
      <c r="D731" s="3" t="inlineStr">
        <is>
          <t>OBT210125092833-St. Veit an der Glan</t>
        </is>
      </c>
      <c r="E731" s="10" t="n">
        <v>45678.39482638889</v>
      </c>
      <c r="F731" s="10" t="n">
        <v>45679.34836805556</v>
      </c>
      <c r="G731" s="11">
        <f>IF(AND(ISNUMBER(C731),ISNUMBER(E731)),(E731-C731),"")</f>
        <v/>
      </c>
      <c r="H731" s="11">
        <f>IF(AND(ISNUMBER(C731),ISNUMBER(F731)),(F731-C731),"")</f>
        <v/>
      </c>
    </row>
    <row r="732">
      <c r="A732" s="3" t="inlineStr">
        <is>
          <t>1020104</t>
        </is>
      </c>
      <c r="B732" s="3" t="inlineStr">
        <is>
          <t>627</t>
        </is>
      </c>
      <c r="C732" s="10" t="n">
        <v>45678.39302083333</v>
      </c>
      <c r="D732" s="3" t="inlineStr">
        <is>
          <t>OBT210125093910-Neudörfl (FunderMax)</t>
        </is>
      </c>
      <c r="E732" s="10" t="n">
        <v>45678.40219907407</v>
      </c>
      <c r="F732" s="10" t="n">
        <v>45679.36150462963</v>
      </c>
      <c r="G732" s="11">
        <f>IF(AND(ISNUMBER(C732),ISNUMBER(E732)),(E732-C732),"")</f>
        <v/>
      </c>
      <c r="H732" s="11">
        <f>IF(AND(ISNUMBER(C732),ISNUMBER(F732)),(F732-C732),"")</f>
        <v/>
      </c>
    </row>
    <row r="733">
      <c r="A733" s="3" t="inlineStr">
        <is>
          <t>1020106</t>
        </is>
      </c>
      <c r="B733" s="3" t="inlineStr">
        <is>
          <t>606</t>
        </is>
      </c>
      <c r="C733" s="10" t="n">
        <v>45678.3949537037</v>
      </c>
      <c r="D733" s="3" t="inlineStr">
        <is>
          <t>OBT210125093211-Wr. Neustadt (Hödlmayr)</t>
        </is>
      </c>
      <c r="E733" s="10" t="n">
        <v>45678.39734953704</v>
      </c>
      <c r="F733" s="10" t="n">
        <v>45679.34440972222</v>
      </c>
      <c r="G733" s="11">
        <f>IF(AND(ISNUMBER(C733),ISNUMBER(E733)),(E733-C733),"")</f>
        <v/>
      </c>
      <c r="H733" s="11">
        <f>IF(AND(ISNUMBER(C733),ISNUMBER(F733)),(F733-C733),"")</f>
        <v/>
      </c>
    </row>
    <row r="734">
      <c r="A734" s="3" t="inlineStr">
        <is>
          <t>1020107</t>
        </is>
      </c>
      <c r="B734" s="3" t="inlineStr">
        <is>
          <t>617</t>
        </is>
      </c>
      <c r="C734" s="10" t="n">
        <v>45678.39634259259</v>
      </c>
      <c r="D734" s="3" t="inlineStr">
        <is>
          <t>OBT210125150922-Neunkirchen (loading tracks)</t>
        </is>
      </c>
      <c r="E734" s="10" t="n">
        <v>45678.63150462963</v>
      </c>
      <c r="F734" s="10" t="n">
        <v>45679.46422453703</v>
      </c>
      <c r="G734" s="11">
        <f>IF(AND(ISNUMBER(C734),ISNUMBER(E734)),(E734-C734),"")</f>
        <v/>
      </c>
      <c r="H734" s="11">
        <f>IF(AND(ISNUMBER(C734),ISNUMBER(F734)),(F734-C734),"")</f>
        <v/>
      </c>
    </row>
    <row r="735">
      <c r="A735" s="3" t="inlineStr">
        <is>
          <t>1020108</t>
        </is>
      </c>
      <c r="B735" s="3" t="inlineStr">
        <is>
          <t>627</t>
        </is>
      </c>
      <c r="C735" s="10" t="n">
        <v>45678.39827546296</v>
      </c>
      <c r="D735" s="3" t="inlineStr">
        <is>
          <t>OBT210125093910-Neudörfl (FunderMax)</t>
        </is>
      </c>
      <c r="E735" s="10" t="n">
        <v>45678.40219907407</v>
      </c>
      <c r="F735" s="10" t="n">
        <v>45679.36150462963</v>
      </c>
      <c r="G735" s="11">
        <f>IF(AND(ISNUMBER(C735),ISNUMBER(E735)),(E735-C735),"")</f>
        <v/>
      </c>
      <c r="H735" s="11">
        <f>IF(AND(ISNUMBER(C735),ISNUMBER(F735)),(F735-C735),"")</f>
        <v/>
      </c>
    </row>
    <row r="736">
      <c r="A736" s="3" t="inlineStr">
        <is>
          <t>1020109</t>
        </is>
      </c>
      <c r="B736" s="3" t="inlineStr">
        <is>
          <t>629</t>
        </is>
      </c>
      <c r="C736" s="10" t="n">
        <v>45678.40018518519</v>
      </c>
      <c r="D736" s="3" t="inlineStr">
        <is>
          <t>OBT220125100316-Neudörfl (FunderMax)</t>
        </is>
      </c>
      <c r="E736" s="10" t="n">
        <v>45679.41893518518</v>
      </c>
      <c r="F736" s="10" t="n">
        <v>45680.47693287037</v>
      </c>
      <c r="G736" s="11">
        <f>IF(AND(ISNUMBER(C736),ISNUMBER(E736)),(E736-C736),"")</f>
        <v/>
      </c>
      <c r="H736" s="11">
        <f>IF(AND(ISNUMBER(C736),ISNUMBER(F736)),(F736-C736),"")</f>
        <v/>
      </c>
    </row>
    <row r="737">
      <c r="A737" s="3" t="inlineStr">
        <is>
          <t>1020301</t>
        </is>
      </c>
      <c r="B737" s="3" t="inlineStr">
        <is>
          <t>619</t>
        </is>
      </c>
      <c r="C737" s="10" t="n">
        <v>45678.43305555556</v>
      </c>
      <c r="D737" s="3" t="inlineStr">
        <is>
          <t>OBT210125103404-Wien Kledering</t>
        </is>
      </c>
      <c r="E737" s="10" t="n">
        <v>45678.44032407407</v>
      </c>
      <c r="F737" s="10" t="n">
        <v>45679.44350694444</v>
      </c>
      <c r="G737" s="11">
        <f>IF(AND(ISNUMBER(C737),ISNUMBER(E737)),(E737-C737),"")</f>
        <v/>
      </c>
      <c r="H737" s="11">
        <f>IF(AND(ISNUMBER(C737),ISNUMBER(F737)),(F737-C737),"")</f>
        <v/>
      </c>
    </row>
    <row r="738">
      <c r="A738" s="3" t="inlineStr">
        <is>
          <t>1020302</t>
        </is>
      </c>
      <c r="B738" s="3" t="inlineStr">
        <is>
          <t>615</t>
        </is>
      </c>
      <c r="C738" s="10" t="n">
        <v>45678.43427083334</v>
      </c>
      <c r="D738" s="3" t="inlineStr">
        <is>
          <t>OBT210125151409-Neudörfl (FunderMax)</t>
        </is>
      </c>
      <c r="E738" s="10" t="n">
        <v>45678.63482638889</v>
      </c>
      <c r="F738" s="10" t="n">
        <v>45679.5808912037</v>
      </c>
      <c r="G738" s="11">
        <f>IF(AND(ISNUMBER(C738),ISNUMBER(E738)),(E738-C738),"")</f>
        <v/>
      </c>
      <c r="H738" s="11">
        <f>IF(AND(ISNUMBER(C738),ISNUMBER(F738)),(F738-C738),"")</f>
        <v/>
      </c>
    </row>
    <row r="739">
      <c r="A739" s="3" t="inlineStr">
        <is>
          <t>1020303</t>
        </is>
      </c>
      <c r="B739" s="3" t="inlineStr">
        <is>
          <t>619</t>
        </is>
      </c>
      <c r="C739" s="10" t="n">
        <v>45678.43640046296</v>
      </c>
      <c r="D739" s="3" t="inlineStr">
        <is>
          <t>OBT210125103404-Wien Kledering</t>
        </is>
      </c>
      <c r="E739" s="10" t="n">
        <v>45678.44032407407</v>
      </c>
      <c r="F739" s="10" t="n">
        <v>45679.44350694444</v>
      </c>
      <c r="G739" s="11">
        <f>IF(AND(ISNUMBER(C739),ISNUMBER(E739)),(E739-C739),"")</f>
        <v/>
      </c>
      <c r="H739" s="11">
        <f>IF(AND(ISNUMBER(C739),ISNUMBER(F739)),(F739-C739),"")</f>
        <v/>
      </c>
    </row>
    <row r="740">
      <c r="A740" s="3" t="inlineStr">
        <is>
          <t>1020401</t>
        </is>
      </c>
      <c r="B740" s="3" t="inlineStr">
        <is>
          <t>619</t>
        </is>
      </c>
      <c r="C740" s="10" t="n">
        <v>45678.61420138889</v>
      </c>
      <c r="D740" s="3" t="inlineStr">
        <is>
          <t>OBT210125144735-Wien Kledering</t>
        </is>
      </c>
      <c r="E740" s="10" t="n">
        <v>45678.61637731481</v>
      </c>
      <c r="F740" s="10" t="n">
        <v>45679.49121527778</v>
      </c>
      <c r="G740" s="11">
        <f>IF(AND(ISNUMBER(C740),ISNUMBER(E740)),(E740-C740),"")</f>
        <v/>
      </c>
      <c r="H740" s="11">
        <f>IF(AND(ISNUMBER(C740),ISNUMBER(F740)),(F740-C740),"")</f>
        <v/>
      </c>
    </row>
    <row r="741">
      <c r="A741" s="3" t="inlineStr">
        <is>
          <t>1020501</t>
        </is>
      </c>
      <c r="B741" s="3" t="inlineStr">
        <is>
          <t>617</t>
        </is>
      </c>
      <c r="C741" s="10" t="n">
        <v>45678.62796296296</v>
      </c>
      <c r="D741" s="3" t="inlineStr">
        <is>
          <t>OBT210125150922-Neunkirchen (loading tracks)</t>
        </is>
      </c>
      <c r="E741" s="10" t="n">
        <v>45678.63150462963</v>
      </c>
      <c r="F741" s="10" t="n">
        <v>45679.46422453703</v>
      </c>
      <c r="G741" s="11">
        <f>IF(AND(ISNUMBER(C741),ISNUMBER(E741)),(E741-C741),"")</f>
        <v/>
      </c>
      <c r="H741" s="11">
        <f>IF(AND(ISNUMBER(C741),ISNUMBER(F741)),(F741-C741),"")</f>
        <v/>
      </c>
    </row>
    <row r="742">
      <c r="A742" s="3" t="inlineStr">
        <is>
          <t>1020502</t>
        </is>
      </c>
      <c r="B742" s="3" t="inlineStr">
        <is>
          <t>609</t>
        </is>
      </c>
      <c r="C742" s="10" t="n">
        <v>45678.62944444444</v>
      </c>
      <c r="D742" s="3" t="inlineStr">
        <is>
          <t>OBT220125180146-Felixdorf/Sollenau (Bundesheer, Maba)</t>
        </is>
      </c>
      <c r="E742" s="10" t="n">
        <v>45679.75122685185</v>
      </c>
      <c r="F742" s="10" t="n">
        <v>45680.67232638889</v>
      </c>
      <c r="G742" s="11">
        <f>IF(AND(ISNUMBER(C742),ISNUMBER(E742)),(E742-C742),"")</f>
        <v/>
      </c>
      <c r="H742" s="11">
        <f>IF(AND(ISNUMBER(C742),ISNUMBER(F742)),(F742-C742),"")</f>
        <v/>
      </c>
    </row>
    <row r="743">
      <c r="A743" s="3" t="inlineStr">
        <is>
          <t>1020503</t>
        </is>
      </c>
      <c r="B743" s="3" t="inlineStr">
        <is>
          <t>623</t>
        </is>
      </c>
      <c r="C743" s="10" t="n">
        <v>45678.63116898148</v>
      </c>
      <c r="D743" s="3" t="inlineStr">
        <is>
          <t>OBT210125151926-Steinabrückl/Wöllersdorf</t>
        </is>
      </c>
      <c r="E743" s="10" t="n">
        <v>45678.63849537037</v>
      </c>
      <c r="F743" s="10" t="n">
        <v>45679.66444444445</v>
      </c>
      <c r="G743" s="11">
        <f>IF(AND(ISNUMBER(C743),ISNUMBER(E743)),(E743-C743),"")</f>
        <v/>
      </c>
      <c r="H743" s="11">
        <f>IF(AND(ISNUMBER(C743),ISNUMBER(F743)),(F743-C743),"")</f>
        <v/>
      </c>
    </row>
    <row r="744">
      <c r="A744" s="3" t="inlineStr">
        <is>
          <t>1020504</t>
        </is>
      </c>
      <c r="B744" s="3" t="inlineStr">
        <is>
          <t>615</t>
        </is>
      </c>
      <c r="C744" s="10" t="n">
        <v>45678.63266203704</v>
      </c>
      <c r="D744" s="3" t="inlineStr">
        <is>
          <t>OBT210125151409-Neudörfl (FunderMax)</t>
        </is>
      </c>
      <c r="E744" s="10" t="n">
        <v>45678.63482638889</v>
      </c>
      <c r="F744" s="10" t="n">
        <v>45679.5808912037</v>
      </c>
      <c r="G744" s="11">
        <f>IF(AND(ISNUMBER(C744),ISNUMBER(E744)),(E744-C744),"")</f>
        <v/>
      </c>
      <c r="H744" s="11">
        <f>IF(AND(ISNUMBER(C744),ISNUMBER(F744)),(F744-C744),"")</f>
        <v/>
      </c>
    </row>
    <row r="745">
      <c r="A745" s="3" t="inlineStr">
        <is>
          <t>1020505</t>
        </is>
      </c>
      <c r="B745" s="3" t="inlineStr">
        <is>
          <t>623</t>
        </is>
      </c>
      <c r="C745" s="10" t="n">
        <v>45678.63460648148</v>
      </c>
      <c r="D745" s="3" t="inlineStr">
        <is>
          <t>OBT210125151926-Steinabrückl/Wöllersdorf</t>
        </is>
      </c>
      <c r="E745" s="10" t="n">
        <v>45678.63849537037</v>
      </c>
      <c r="F745" s="10" t="n">
        <v>45679.66444444445</v>
      </c>
      <c r="G745" s="11">
        <f>IF(AND(ISNUMBER(C745),ISNUMBER(E745)),(E745-C745),"")</f>
        <v/>
      </c>
      <c r="H745" s="11">
        <f>IF(AND(ISNUMBER(C745),ISNUMBER(F745)),(F745-C745),"")</f>
        <v/>
      </c>
    </row>
    <row r="746">
      <c r="A746" s="3" t="inlineStr">
        <is>
          <t>1020506</t>
        </is>
      </c>
      <c r="B746" s="3" t="inlineStr">
        <is>
          <t>629</t>
        </is>
      </c>
      <c r="C746" s="10" t="n">
        <v>45678.63648148148</v>
      </c>
      <c r="D746" s="3" t="inlineStr">
        <is>
          <t>OBT220125100316-Neudörfl (FunderMax)</t>
        </is>
      </c>
      <c r="E746" s="10" t="n">
        <v>45679.41893518518</v>
      </c>
      <c r="F746" s="10" t="n">
        <v>45680.47693287037</v>
      </c>
      <c r="G746" s="11">
        <f>IF(AND(ISNUMBER(C746),ISNUMBER(E746)),(E746-C746),"")</f>
        <v/>
      </c>
      <c r="H746" s="11">
        <f>IF(AND(ISNUMBER(C746),ISNUMBER(F746)),(F746-C746),"")</f>
        <v/>
      </c>
    </row>
    <row r="747">
      <c r="A747" s="3" t="inlineStr">
        <is>
          <t>1020507</t>
        </is>
      </c>
      <c r="B747" s="3" t="inlineStr">
        <is>
          <t>607</t>
        </is>
      </c>
      <c r="C747" s="10" t="n">
        <v>45678.63851851852</v>
      </c>
      <c r="D747" s="3" t="inlineStr">
        <is>
          <t>OBT210125152253-Pitten (Hamburger)</t>
        </is>
      </c>
      <c r="E747" s="10" t="n">
        <v>45678.6408912037</v>
      </c>
      <c r="F747" s="10" t="n">
        <v>45679.78061342592</v>
      </c>
      <c r="G747" s="11">
        <f>IF(AND(ISNUMBER(C747),ISNUMBER(E747)),(E747-C747),"")</f>
        <v/>
      </c>
      <c r="H747" s="11">
        <f>IF(AND(ISNUMBER(C747),ISNUMBER(F747)),(F747-C747),"")</f>
        <v/>
      </c>
    </row>
    <row r="748">
      <c r="A748" s="3" t="inlineStr">
        <is>
          <t>1020508</t>
        </is>
      </c>
      <c r="B748" s="3" t="inlineStr">
        <is>
          <t>605</t>
        </is>
      </c>
      <c r="C748" s="10" t="n">
        <v>45678.64023148148</v>
      </c>
      <c r="D748" s="3" t="inlineStr">
        <is>
          <t>OBT220125073335-Other sidings local</t>
        </is>
      </c>
      <c r="E748" s="10" t="n">
        <v>45679.31498842593</v>
      </c>
      <c r="F748" s="10" t="n">
        <v>45680.32655092593</v>
      </c>
      <c r="G748" s="11">
        <f>IF(AND(ISNUMBER(C748),ISNUMBER(E748)),(E748-C748),"")</f>
        <v/>
      </c>
      <c r="H748" s="11">
        <f>IF(AND(ISNUMBER(C748),ISNUMBER(F748)),(F748-C748),"")</f>
        <v/>
      </c>
    </row>
    <row r="749">
      <c r="A749" s="3" t="inlineStr">
        <is>
          <t>1020601</t>
        </is>
      </c>
      <c r="B749" s="3" t="inlineStr">
        <is>
          <t>619</t>
        </is>
      </c>
      <c r="C749" s="10" t="n">
        <v>45678.64329861111</v>
      </c>
      <c r="D749" s="3" t="inlineStr">
        <is>
          <t>OBT210125152947-Wien Kledering</t>
        </is>
      </c>
      <c r="E749" s="10" t="n">
        <v>45678.64568287037</v>
      </c>
      <c r="F749" s="10" t="n">
        <v>45679.78564814815</v>
      </c>
      <c r="G749" s="11">
        <f>IF(AND(ISNUMBER(C749),ISNUMBER(E749)),(E749-C749),"")</f>
        <v/>
      </c>
      <c r="H749" s="11">
        <f>IF(AND(ISNUMBER(C749),ISNUMBER(F749)),(F749-C749),"")</f>
        <v/>
      </c>
    </row>
    <row r="750">
      <c r="A750" s="3" t="inlineStr">
        <is>
          <t>1020701</t>
        </is>
      </c>
      <c r="B750" s="3" t="inlineStr">
        <is>
          <t>619</t>
        </is>
      </c>
      <c r="C750" s="10" t="n">
        <v>45678.87777777778</v>
      </c>
      <c r="D750" s="3" t="inlineStr">
        <is>
          <t>OBT210125210727-Wien Kledering</t>
        </is>
      </c>
      <c r="E750" s="10" t="n">
        <v>45678.88017361111</v>
      </c>
      <c r="F750" s="10" t="n">
        <v>45679.79885416666</v>
      </c>
      <c r="G750" s="11">
        <f>IF(AND(ISNUMBER(C750),ISNUMBER(E750)),(E750-C750),"")</f>
        <v/>
      </c>
      <c r="H750" s="11">
        <f>IF(AND(ISNUMBER(C750),ISNUMBER(F750)),(F750-C750),"")</f>
        <v/>
      </c>
    </row>
    <row r="751">
      <c r="A751" s="3" t="inlineStr">
        <is>
          <t>1020801</t>
        </is>
      </c>
      <c r="B751" s="3" t="inlineStr">
        <is>
          <t>615</t>
        </is>
      </c>
      <c r="C751" s="10" t="n">
        <v>45679.11583333334</v>
      </c>
      <c r="D751" s="3" t="inlineStr">
        <is>
          <t>OBT220125025432-Other sidings south</t>
        </is>
      </c>
      <c r="E751" s="10" t="n">
        <v>45679.1212037037</v>
      </c>
      <c r="F751" s="10" t="n">
        <v>45679.90503472222</v>
      </c>
      <c r="G751" s="11">
        <f>IF(AND(ISNUMBER(C751),ISNUMBER(E751)),(E751-C751),"")</f>
        <v/>
      </c>
      <c r="H751" s="11">
        <f>IF(AND(ISNUMBER(C751),ISNUMBER(F751)),(F751-C751),"")</f>
        <v/>
      </c>
    </row>
    <row r="752">
      <c r="A752" s="3" t="inlineStr">
        <is>
          <t>1020802</t>
        </is>
      </c>
      <c r="B752" s="3" t="inlineStr">
        <is>
          <t>615</t>
        </is>
      </c>
      <c r="C752" s="10" t="n">
        <v>45679.11729166667</v>
      </c>
      <c r="D752" s="3" t="inlineStr">
        <is>
          <t>OBT220125025432-Other sidings south</t>
        </is>
      </c>
      <c r="E752" s="10" t="n">
        <v>45679.1212037037</v>
      </c>
      <c r="F752" s="10" t="n">
        <v>45679.90503472222</v>
      </c>
      <c r="G752" s="11">
        <f>IF(AND(ISNUMBER(C752),ISNUMBER(E752)),(E752-C752),"")</f>
        <v/>
      </c>
      <c r="H752" s="11">
        <f>IF(AND(ISNUMBER(C752),ISNUMBER(F752)),(F752-C752),"")</f>
        <v/>
      </c>
    </row>
    <row r="753">
      <c r="A753" s="3" t="inlineStr">
        <is>
          <t>1020803</t>
        </is>
      </c>
      <c r="B753" s="3" t="inlineStr">
        <is>
          <t>627</t>
        </is>
      </c>
      <c r="C753" s="10" t="n">
        <v>45679.11928240741</v>
      </c>
      <c r="D753" s="3" t="inlineStr">
        <is>
          <t>OBT220125094552-Pitten (Hamburger)</t>
        </is>
      </c>
      <c r="E753" s="10" t="n">
        <v>45679.40685185185</v>
      </c>
      <c r="F753" s="10" t="n">
        <v>45680.36192129629</v>
      </c>
      <c r="G753" s="11">
        <f>IF(AND(ISNUMBER(C753),ISNUMBER(E753)),(E753-C753),"")</f>
        <v/>
      </c>
      <c r="H753" s="11">
        <f>IF(AND(ISNUMBER(C753),ISNUMBER(F753)),(F753-C753),"")</f>
        <v/>
      </c>
    </row>
    <row r="754">
      <c r="A754" s="3" t="inlineStr">
        <is>
          <t>1020804</t>
        </is>
      </c>
      <c r="B754" s="3" t="inlineStr">
        <is>
          <t>621</t>
        </is>
      </c>
      <c r="C754" s="10" t="n">
        <v>45679.12127314815</v>
      </c>
      <c r="D754" s="3" t="inlineStr">
        <is>
          <t>OBT220125095350-Neunkirchen (loading tracks)</t>
        </is>
      </c>
      <c r="E754" s="10" t="n">
        <v>45679.41238425926</v>
      </c>
      <c r="F754" s="10" t="n">
        <v>45680.398125</v>
      </c>
      <c r="G754" s="11">
        <f>IF(AND(ISNUMBER(C754),ISNUMBER(E754)),(E754-C754),"")</f>
        <v/>
      </c>
      <c r="H754" s="11">
        <f>IF(AND(ISNUMBER(C754),ISNUMBER(F754)),(F754-C754),"")</f>
        <v/>
      </c>
    </row>
    <row r="755">
      <c r="A755" s="3" t="inlineStr">
        <is>
          <t>1020901</t>
        </is>
      </c>
      <c r="B755" s="3" t="inlineStr">
        <is>
          <t>625</t>
        </is>
      </c>
      <c r="C755" s="10" t="n">
        <v>45679.20173611111</v>
      </c>
      <c r="D755" s="3" t="inlineStr">
        <is>
          <t>OBT220125045357-Neudörfl (FunderMax)</t>
        </is>
      </c>
      <c r="E755" s="10" t="n">
        <v>45679.20413194445</v>
      </c>
      <c r="F755" s="10" t="n">
        <v>45680.19690972222</v>
      </c>
      <c r="G755" s="11">
        <f>IF(AND(ISNUMBER(C755),ISNUMBER(E755)),(E755-C755),"")</f>
        <v/>
      </c>
      <c r="H755" s="11">
        <f>IF(AND(ISNUMBER(C755),ISNUMBER(F755)),(F755-C755),"")</f>
        <v/>
      </c>
    </row>
    <row r="756">
      <c r="A756" s="3" t="inlineStr">
        <is>
          <t>1021001</t>
        </is>
      </c>
      <c r="B756" s="3" t="inlineStr">
        <is>
          <t>619</t>
        </is>
      </c>
      <c r="C756" s="10" t="n">
        <v>45679.27524305556</v>
      </c>
      <c r="D756" s="3" t="inlineStr">
        <is>
          <t>OBT220125063948-Wien Kledering</t>
        </is>
      </c>
      <c r="E756" s="10" t="n">
        <v>45679.27763888889</v>
      </c>
      <c r="F756" s="10" t="n">
        <v>45680.32570601852</v>
      </c>
      <c r="G756" s="11">
        <f>IF(AND(ISNUMBER(C756),ISNUMBER(E756)),(E756-C756),"")</f>
        <v/>
      </c>
      <c r="H756" s="11">
        <f>IF(AND(ISNUMBER(C756),ISNUMBER(F756)),(F756-C756),"")</f>
        <v/>
      </c>
    </row>
    <row r="757">
      <c r="A757" s="3" t="inlineStr">
        <is>
          <t>1021101</t>
        </is>
      </c>
      <c r="B757" s="3" t="inlineStr">
        <is>
          <t>611</t>
        </is>
      </c>
      <c r="C757" s="10" t="n">
        <v>45679.30383101852</v>
      </c>
      <c r="D757" s="3" t="inlineStr">
        <is>
          <t>OBT220125095549-Wr. Neustadt (Hödlmayr)</t>
        </is>
      </c>
      <c r="E757" s="10" t="n">
        <v>45679.41376157408</v>
      </c>
      <c r="F757" s="10" t="n">
        <v>45680.43841435185</v>
      </c>
      <c r="G757" s="11">
        <f>IF(AND(ISNUMBER(C757),ISNUMBER(E757)),(E757-C757),"")</f>
        <v/>
      </c>
      <c r="H757" s="11">
        <f>IF(AND(ISNUMBER(C757),ISNUMBER(F757)),(F757-C757),"")</f>
        <v/>
      </c>
    </row>
    <row r="758">
      <c r="A758" s="3" t="inlineStr">
        <is>
          <t>1021102</t>
        </is>
      </c>
      <c r="B758" s="3" t="inlineStr">
        <is>
          <t>621</t>
        </is>
      </c>
      <c r="C758" s="10" t="n">
        <v>45679.30578703704</v>
      </c>
      <c r="D758" s="3" t="inlineStr">
        <is>
          <t>OBT220125095350-Neunkirchen (loading tracks)</t>
        </is>
      </c>
      <c r="E758" s="10" t="n">
        <v>45679.41238425926</v>
      </c>
      <c r="F758" s="10" t="n">
        <v>45680.398125</v>
      </c>
      <c r="G758" s="11">
        <f>IF(AND(ISNUMBER(C758),ISNUMBER(E758)),(E758-C758),"")</f>
        <v/>
      </c>
      <c r="H758" s="11">
        <f>IF(AND(ISNUMBER(C758),ISNUMBER(F758)),(F758-C758),"")</f>
        <v/>
      </c>
    </row>
    <row r="759">
      <c r="A759" s="3" t="inlineStr">
        <is>
          <t>1021103</t>
        </is>
      </c>
      <c r="B759" s="3" t="inlineStr">
        <is>
          <t>607</t>
        </is>
      </c>
      <c r="C759" s="10" t="n">
        <v>45679.30740740741</v>
      </c>
      <c r="D759" s="3" t="inlineStr">
        <is>
          <t>OBT230125175458-Wr. Neustadt Ausfahrbf (Furtenbach)</t>
        </is>
      </c>
      <c r="E759" s="10" t="n">
        <v>45680.74650462963</v>
      </c>
      <c r="F759" s="10" t="n">
        <v>45681.7580787037</v>
      </c>
      <c r="G759" s="11">
        <f>IF(AND(ISNUMBER(C759),ISNUMBER(E759)),(E759-C759),"")</f>
        <v/>
      </c>
      <c r="H759" s="11">
        <f>IF(AND(ISNUMBER(C759),ISNUMBER(F759)),(F759-C759),"")</f>
        <v/>
      </c>
    </row>
    <row r="760">
      <c r="A760" s="3" t="inlineStr">
        <is>
          <t>1021104</t>
        </is>
      </c>
      <c r="B760" s="3" t="inlineStr">
        <is>
          <t>629</t>
        </is>
      </c>
      <c r="C760" s="10" t="n">
        <v>45679.3093287037</v>
      </c>
      <c r="D760" s="3" t="inlineStr">
        <is>
          <t>OBT220125100316-Neudörfl (FunderMax)</t>
        </is>
      </c>
      <c r="E760" s="10" t="n">
        <v>45679.41893518518</v>
      </c>
      <c r="F760" s="10" t="n">
        <v>45680.47693287037</v>
      </c>
      <c r="G760" s="11">
        <f>IF(AND(ISNUMBER(C760),ISNUMBER(E760)),(E760-C760),"")</f>
        <v/>
      </c>
      <c r="H760" s="11">
        <f>IF(AND(ISNUMBER(C760),ISNUMBER(F760)),(F760-C760),"")</f>
        <v/>
      </c>
    </row>
    <row r="761">
      <c r="A761" s="3" t="inlineStr">
        <is>
          <t>1021105</t>
        </is>
      </c>
      <c r="B761" s="3" t="inlineStr">
        <is>
          <t>605</t>
        </is>
      </c>
      <c r="C761" s="10" t="n">
        <v>45679.31106481481</v>
      </c>
      <c r="D761" s="3" t="inlineStr">
        <is>
          <t>OBT220125073335-Other sidings local</t>
        </is>
      </c>
      <c r="E761" s="10" t="n">
        <v>45679.31498842593</v>
      </c>
      <c r="F761" s="10" t="n">
        <v>45680.32655092593</v>
      </c>
      <c r="G761" s="11">
        <f>IF(AND(ISNUMBER(C761),ISNUMBER(E761)),(E761-C761),"")</f>
        <v/>
      </c>
      <c r="H761" s="11">
        <f>IF(AND(ISNUMBER(C761),ISNUMBER(F761)),(F761-C761),"")</f>
        <v/>
      </c>
    </row>
    <row r="762">
      <c r="A762" s="3" t="inlineStr">
        <is>
          <t>1021106</t>
        </is>
      </c>
      <c r="B762" s="3" t="inlineStr">
        <is>
          <t>621</t>
        </is>
      </c>
      <c r="C762" s="10" t="n">
        <v>45679.31303240741</v>
      </c>
      <c r="D762" s="3" t="inlineStr">
        <is>
          <t>OBT220125095350-Neunkirchen (loading tracks)</t>
        </is>
      </c>
      <c r="E762" s="10" t="n">
        <v>45679.41238425926</v>
      </c>
      <c r="F762" s="10" t="n">
        <v>45680.398125</v>
      </c>
      <c r="G762" s="11">
        <f>IF(AND(ISNUMBER(C762),ISNUMBER(E762)),(E762-C762),"")</f>
        <v/>
      </c>
      <c r="H762" s="11">
        <f>IF(AND(ISNUMBER(C762),ISNUMBER(F762)),(F762-C762),"")</f>
        <v/>
      </c>
    </row>
    <row r="763">
      <c r="A763" s="3" t="inlineStr">
        <is>
          <t>1021107</t>
        </is>
      </c>
      <c r="B763" s="3" t="inlineStr">
        <is>
          <t>625</t>
        </is>
      </c>
      <c r="C763" s="10" t="n">
        <v>45679.31505787037</v>
      </c>
      <c r="D763" s="3" t="inlineStr">
        <is>
          <t>OBT230125063522-Wien Kledering</t>
        </is>
      </c>
      <c r="E763" s="10" t="n">
        <v>45680.27456018519</v>
      </c>
      <c r="F763" s="10" t="n">
        <v>45681.32685185185</v>
      </c>
      <c r="G763" s="11">
        <f>IF(AND(ISNUMBER(C763),ISNUMBER(E763)),(E763-C763),"")</f>
        <v/>
      </c>
      <c r="H763" s="11">
        <f>IF(AND(ISNUMBER(C763),ISNUMBER(F763)),(F763-C763),"")</f>
        <v/>
      </c>
    </row>
    <row r="764">
      <c r="A764" s="3" t="inlineStr">
        <is>
          <t>1021109</t>
        </is>
      </c>
      <c r="B764" s="3" t="inlineStr">
        <is>
          <t>629</t>
        </is>
      </c>
      <c r="C764" s="10" t="n">
        <v>45679.31699074074</v>
      </c>
      <c r="D764" s="3" t="inlineStr">
        <is>
          <t>OBT220125100316-Neudörfl (FunderMax)</t>
        </is>
      </c>
      <c r="E764" s="10" t="n">
        <v>45679.41893518518</v>
      </c>
      <c r="F764" s="10" t="n">
        <v>45680.47693287037</v>
      </c>
      <c r="G764" s="11">
        <f>IF(AND(ISNUMBER(C764),ISNUMBER(E764)),(E764-C764),"")</f>
        <v/>
      </c>
      <c r="H764" s="11">
        <f>IF(AND(ISNUMBER(C764),ISNUMBER(F764)),(F764-C764),"")</f>
        <v/>
      </c>
    </row>
    <row r="765">
      <c r="A765" s="3" t="inlineStr">
        <is>
          <t>1021110</t>
        </is>
      </c>
      <c r="B765" s="3" t="inlineStr">
        <is>
          <t>625</t>
        </is>
      </c>
      <c r="C765" s="10" t="n">
        <v>45679.31901620371</v>
      </c>
      <c r="D765" s="3" t="inlineStr">
        <is>
          <t>OBT230125063522-Wien Kledering</t>
        </is>
      </c>
      <c r="E765" s="10" t="n">
        <v>45680.27456018519</v>
      </c>
      <c r="F765" s="10" t="n">
        <v>45681.32685185185</v>
      </c>
      <c r="G765" s="11">
        <f>IF(AND(ISNUMBER(C765),ISNUMBER(E765)),(E765-C765),"")</f>
        <v/>
      </c>
      <c r="H765" s="11">
        <f>IF(AND(ISNUMBER(C765),ISNUMBER(F765)),(F765-C765),"")</f>
        <v/>
      </c>
    </row>
    <row r="766">
      <c r="A766" s="3" t="inlineStr">
        <is>
          <t>1021111</t>
        </is>
      </c>
      <c r="B766" s="3" t="inlineStr">
        <is>
          <t>623</t>
        </is>
      </c>
      <c r="C766" s="10" t="n">
        <v>45679.32076388889</v>
      </c>
      <c r="D766" s="3" t="inlineStr">
        <is>
          <t>OBT220125204226-Neunkirchen (loading tracks)</t>
        </is>
      </c>
      <c r="E766" s="10" t="n">
        <v>45679.86280092593</v>
      </c>
      <c r="F766" s="10" t="n">
        <v>45680.90148148148</v>
      </c>
      <c r="G766" s="11">
        <f>IF(AND(ISNUMBER(C766),ISNUMBER(E766)),(E766-C766),"")</f>
        <v/>
      </c>
      <c r="H766" s="11">
        <f>IF(AND(ISNUMBER(C766),ISNUMBER(F766)),(F766-C766),"")</f>
        <v/>
      </c>
    </row>
    <row r="767">
      <c r="A767" s="3" t="inlineStr">
        <is>
          <t>1021401</t>
        </is>
      </c>
      <c r="B767" s="3" t="inlineStr">
        <is>
          <t>615</t>
        </is>
      </c>
      <c r="C767" s="10" t="n">
        <v>45679.35960648148</v>
      </c>
      <c r="D767" s="3" t="inlineStr">
        <is>
          <t>OBT220125084547-St. Veit an der Glan</t>
        </is>
      </c>
      <c r="E767" s="10" t="n">
        <v>45679.36512731481</v>
      </c>
      <c r="F767" s="10" t="n">
        <v>45680.36918981482</v>
      </c>
      <c r="G767" s="11">
        <f>IF(AND(ISNUMBER(C767),ISNUMBER(E767)),(E767-C767),"")</f>
        <v/>
      </c>
      <c r="H767" s="11">
        <f>IF(AND(ISNUMBER(C767),ISNUMBER(F767)),(F767-C767),"")</f>
        <v/>
      </c>
    </row>
    <row r="768">
      <c r="A768" s="3" t="inlineStr">
        <is>
          <t>1021402</t>
        </is>
      </c>
      <c r="B768" s="3" t="inlineStr">
        <is>
          <t>615</t>
        </is>
      </c>
      <c r="C768" s="10" t="n">
        <v>45679.36122685186</v>
      </c>
      <c r="D768" s="3" t="inlineStr">
        <is>
          <t>OBT220125084547-St. Veit an der Glan</t>
        </is>
      </c>
      <c r="E768" s="10" t="n">
        <v>45679.36512731481</v>
      </c>
      <c r="F768" s="10" t="n">
        <v>45680.36918981482</v>
      </c>
      <c r="G768" s="11">
        <f>IF(AND(ISNUMBER(C768),ISNUMBER(E768)),(E768-C768),"")</f>
        <v/>
      </c>
      <c r="H768" s="11">
        <f>IF(AND(ISNUMBER(C768),ISNUMBER(F768)),(F768-C768),"")</f>
        <v/>
      </c>
    </row>
    <row r="769">
      <c r="A769" s="3" t="inlineStr">
        <is>
          <t>1021501</t>
        </is>
      </c>
      <c r="B769" s="3" t="inlineStr">
        <is>
          <t>629</t>
        </is>
      </c>
      <c r="C769" s="10" t="n">
        <v>45679.40216435185</v>
      </c>
      <c r="D769" s="3" t="inlineStr">
        <is>
          <t>OBT220125100316-Neudörfl (FunderMax)</t>
        </is>
      </c>
      <c r="E769" s="10" t="n">
        <v>45679.41893518518</v>
      </c>
      <c r="F769" s="10" t="n">
        <v>45680.47693287037</v>
      </c>
      <c r="G769" s="11">
        <f>IF(AND(ISNUMBER(C769),ISNUMBER(E769)),(E769-C769),"")</f>
        <v/>
      </c>
      <c r="H769" s="11">
        <f>IF(AND(ISNUMBER(C769),ISNUMBER(F769)),(F769-C769),"")</f>
        <v/>
      </c>
    </row>
    <row r="770">
      <c r="A770" s="3" t="inlineStr">
        <is>
          <t>1021502</t>
        </is>
      </c>
      <c r="B770" s="3" t="inlineStr">
        <is>
          <t>627</t>
        </is>
      </c>
      <c r="C770" s="10" t="n">
        <v>45679.40445601852</v>
      </c>
      <c r="D770" s="3" t="inlineStr">
        <is>
          <t>OBT220125094552-Pitten (Hamburger)</t>
        </is>
      </c>
      <c r="E770" s="10" t="n">
        <v>45679.40685185185</v>
      </c>
      <c r="F770" s="10" t="n">
        <v>45680.36192129629</v>
      </c>
      <c r="G770" s="11">
        <f>IF(AND(ISNUMBER(C770),ISNUMBER(E770)),(E770-C770),"")</f>
        <v/>
      </c>
      <c r="H770" s="11">
        <f>IF(AND(ISNUMBER(C770),ISNUMBER(F770)),(F770-C770),"")</f>
        <v/>
      </c>
    </row>
    <row r="771">
      <c r="A771" s="3" t="inlineStr">
        <is>
          <t>1021503</t>
        </is>
      </c>
      <c r="B771" s="3" t="inlineStr">
        <is>
          <t>621</t>
        </is>
      </c>
      <c r="C771" s="10" t="n">
        <v>45679.4065162037</v>
      </c>
      <c r="D771" s="3" t="inlineStr">
        <is>
          <t>OBT220125095350-Neunkirchen (loading tracks)</t>
        </is>
      </c>
      <c r="E771" s="10" t="n">
        <v>45679.41238425926</v>
      </c>
      <c r="F771" s="10" t="n">
        <v>45680.398125</v>
      </c>
      <c r="G771" s="11">
        <f>IF(AND(ISNUMBER(C771),ISNUMBER(E771)),(E771-C771),"")</f>
        <v/>
      </c>
      <c r="H771" s="11">
        <f>IF(AND(ISNUMBER(C771),ISNUMBER(F771)),(F771-C771),"")</f>
        <v/>
      </c>
    </row>
    <row r="772">
      <c r="A772" s="3" t="inlineStr">
        <is>
          <t>1021504</t>
        </is>
      </c>
      <c r="B772" s="3" t="inlineStr">
        <is>
          <t>621</t>
        </is>
      </c>
      <c r="C772" s="10" t="n">
        <v>45679.40846064815</v>
      </c>
      <c r="D772" s="3" t="inlineStr">
        <is>
          <t>OBT220125095350-Neunkirchen (loading tracks)</t>
        </is>
      </c>
      <c r="E772" s="10" t="n">
        <v>45679.41238425926</v>
      </c>
      <c r="F772" s="10" t="n">
        <v>45680.398125</v>
      </c>
      <c r="G772" s="11">
        <f>IF(AND(ISNUMBER(C772),ISNUMBER(E772)),(E772-C772),"")</f>
        <v/>
      </c>
      <c r="H772" s="11">
        <f>IF(AND(ISNUMBER(C772),ISNUMBER(F772)),(F772-C772),"")</f>
        <v/>
      </c>
    </row>
    <row r="773">
      <c r="A773" s="3" t="inlineStr">
        <is>
          <t>1021505</t>
        </is>
      </c>
      <c r="B773" s="3" t="inlineStr">
        <is>
          <t>611</t>
        </is>
      </c>
      <c r="C773" s="10" t="n">
        <v>45679.40987268519</v>
      </c>
      <c r="D773" s="3" t="inlineStr">
        <is>
          <t>OBT220125095549-Wr. Neustadt (Hödlmayr)</t>
        </is>
      </c>
      <c r="E773" s="10" t="n">
        <v>45679.41376157408</v>
      </c>
      <c r="F773" s="10" t="n">
        <v>45680.43841435185</v>
      </c>
      <c r="G773" s="11">
        <f>IF(AND(ISNUMBER(C773),ISNUMBER(E773)),(E773-C773),"")</f>
        <v/>
      </c>
      <c r="H773" s="11">
        <f>IF(AND(ISNUMBER(C773),ISNUMBER(F773)),(F773-C773),"")</f>
        <v/>
      </c>
    </row>
    <row r="774">
      <c r="A774" s="3" t="inlineStr">
        <is>
          <t>1021506</t>
        </is>
      </c>
      <c r="B774" s="3" t="inlineStr">
        <is>
          <t>607</t>
        </is>
      </c>
      <c r="C774" s="10" t="n">
        <v>45679.41148148148</v>
      </c>
      <c r="D774" s="3" t="inlineStr">
        <is>
          <t>OBT230125175458-Wr. Neustadt Ausfahrbf (Furtenbach)</t>
        </is>
      </c>
      <c r="E774" s="10" t="n">
        <v>45680.74650462963</v>
      </c>
      <c r="F774" s="10" t="n">
        <v>45681.7580787037</v>
      </c>
      <c r="G774" s="11">
        <f>IF(AND(ISNUMBER(C774),ISNUMBER(E774)),(E774-C774),"")</f>
        <v/>
      </c>
      <c r="H774" s="11">
        <f>IF(AND(ISNUMBER(C774),ISNUMBER(F774)),(F774-C774),"")</f>
        <v/>
      </c>
    </row>
    <row r="775">
      <c r="A775" s="3" t="inlineStr">
        <is>
          <t>1021507</t>
        </is>
      </c>
      <c r="B775" s="3" t="inlineStr">
        <is>
          <t>609</t>
        </is>
      </c>
      <c r="C775" s="10" t="n">
        <v>45679.41299768518</v>
      </c>
      <c r="D775" s="3" t="inlineStr">
        <is>
          <t>OBT220125180146-Felixdorf/Sollenau (Bundesheer, Maba)</t>
        </is>
      </c>
      <c r="E775" s="10" t="n">
        <v>45679.75122685185</v>
      </c>
      <c r="F775" s="10" t="n">
        <v>45680.67232638889</v>
      </c>
      <c r="G775" s="11">
        <f>IF(AND(ISNUMBER(C775),ISNUMBER(E775)),(E775-C775),"")</f>
        <v/>
      </c>
      <c r="H775" s="11">
        <f>IF(AND(ISNUMBER(C775),ISNUMBER(F775)),(F775-C775),"")</f>
        <v/>
      </c>
    </row>
    <row r="776">
      <c r="A776" s="3" t="inlineStr">
        <is>
          <t>1021508</t>
        </is>
      </c>
      <c r="B776" s="3" t="inlineStr">
        <is>
          <t>629</t>
        </is>
      </c>
      <c r="C776" s="10" t="n">
        <v>45679.41504629629</v>
      </c>
      <c r="D776" s="3" t="inlineStr">
        <is>
          <t>OBT220125100316-Neudörfl (FunderMax)</t>
        </is>
      </c>
      <c r="E776" s="10" t="n">
        <v>45679.41893518518</v>
      </c>
      <c r="F776" s="10" t="n">
        <v>45680.47693287037</v>
      </c>
      <c r="G776" s="11">
        <f>IF(AND(ISNUMBER(C776),ISNUMBER(E776)),(E776-C776),"")</f>
        <v/>
      </c>
      <c r="H776" s="11">
        <f>IF(AND(ISNUMBER(C776),ISNUMBER(F776)),(F776-C776),"")</f>
        <v/>
      </c>
    </row>
    <row r="777">
      <c r="A777" s="3" t="inlineStr">
        <is>
          <t>1021509</t>
        </is>
      </c>
      <c r="B777" s="3" t="inlineStr">
        <is>
          <t>619</t>
        </is>
      </c>
      <c r="C777" s="10" t="n">
        <v>45679.41708333333</v>
      </c>
      <c r="D777" s="3" t="inlineStr">
        <is>
          <t>OBT220125181516-Pitten (Hamburger)</t>
        </is>
      </c>
      <c r="E777" s="10" t="n">
        <v>45679.76060185185</v>
      </c>
      <c r="F777" s="10" t="n">
        <v>45680.80255787037</v>
      </c>
      <c r="G777" s="11">
        <f>IF(AND(ISNUMBER(C777),ISNUMBER(E777)),(E777-C777),"")</f>
        <v/>
      </c>
      <c r="H777" s="11">
        <f>IF(AND(ISNUMBER(C777),ISNUMBER(F777)),(F777-C777),"")</f>
        <v/>
      </c>
    </row>
    <row r="778">
      <c r="A778" s="3" t="inlineStr">
        <is>
          <t>1021510</t>
        </is>
      </c>
      <c r="B778" s="3" t="inlineStr">
        <is>
          <t>606</t>
        </is>
      </c>
      <c r="C778" s="10" t="n">
        <v>45679.41890046297</v>
      </c>
      <c r="D778" s="3" t="inlineStr">
        <is>
          <t>OBT220125205009-Other sidings local</t>
        </is>
      </c>
      <c r="E778" s="10" t="n">
        <v>45679.86815972222</v>
      </c>
      <c r="F778" s="10" t="n">
        <v>45681.15327546297</v>
      </c>
      <c r="G778" s="11">
        <f>IF(AND(ISNUMBER(C778),ISNUMBER(E778)),(E778-C778),"")</f>
        <v/>
      </c>
      <c r="H778" s="11">
        <f>IF(AND(ISNUMBER(C778),ISNUMBER(F778)),(F778-C778),"")</f>
        <v/>
      </c>
    </row>
    <row r="779">
      <c r="A779" s="3" t="inlineStr">
        <is>
          <t>1021601</t>
        </is>
      </c>
      <c r="B779" s="3" t="inlineStr">
        <is>
          <t>615</t>
        </is>
      </c>
      <c r="C779" s="10" t="n">
        <v>45679.44413194444</v>
      </c>
      <c r="D779" s="3" t="inlineStr">
        <is>
          <t>OBT220125104258-Wien Kledering</t>
        </is>
      </c>
      <c r="E779" s="10" t="n">
        <v>45679.44650462963</v>
      </c>
      <c r="F779" s="10" t="n">
        <v>45680.69394675926</v>
      </c>
      <c r="G779" s="11">
        <f>IF(AND(ISNUMBER(C779),ISNUMBER(E779)),(E779-C779),"")</f>
        <v/>
      </c>
      <c r="H779" s="11">
        <f>IF(AND(ISNUMBER(C779),ISNUMBER(F779)),(F779-C779),"")</f>
        <v/>
      </c>
    </row>
    <row r="780">
      <c r="A780" s="3" t="inlineStr">
        <is>
          <t>1021701</t>
        </is>
      </c>
      <c r="B780" s="3" t="inlineStr">
        <is>
          <t>615</t>
        </is>
      </c>
      <c r="C780" s="10" t="n">
        <v>45679.54821759259</v>
      </c>
      <c r="D780" s="3" t="inlineStr">
        <is>
          <t>OBT220125175314-Wien Kledering</t>
        </is>
      </c>
      <c r="E780" s="10" t="n">
        <v>45679.74530092593</v>
      </c>
      <c r="F780" s="10" t="n">
        <v>45680.70885416667</v>
      </c>
      <c r="G780" s="11">
        <f>IF(AND(ISNUMBER(C780),ISNUMBER(E780)),(E780-C780),"")</f>
        <v/>
      </c>
      <c r="H780" s="11">
        <f>IF(AND(ISNUMBER(C780),ISNUMBER(F780)),(F780-C780),"")</f>
        <v/>
      </c>
    </row>
    <row r="781">
      <c r="A781" s="3" t="inlineStr">
        <is>
          <t>1021801</t>
        </is>
      </c>
      <c r="B781" s="3" t="inlineStr">
        <is>
          <t>615</t>
        </is>
      </c>
      <c r="C781" s="10" t="n">
        <v>45679.64039351852</v>
      </c>
      <c r="D781" s="3" t="inlineStr">
        <is>
          <t>OBT220125175314-Wien Kledering</t>
        </is>
      </c>
      <c r="E781" s="10" t="n">
        <v>45679.74530092593</v>
      </c>
      <c r="F781" s="10" t="n">
        <v>45680.70885416667</v>
      </c>
      <c r="G781" s="11">
        <f>IF(AND(ISNUMBER(C781),ISNUMBER(E781)),(E781-C781),"")</f>
        <v/>
      </c>
      <c r="H781" s="11">
        <f>IF(AND(ISNUMBER(C781),ISNUMBER(F781)),(F781-C781),"")</f>
        <v/>
      </c>
    </row>
    <row r="782">
      <c r="A782" s="3" t="inlineStr">
        <is>
          <t>1022001</t>
        </is>
      </c>
      <c r="B782" s="3" t="inlineStr">
        <is>
          <t>615</t>
        </is>
      </c>
      <c r="C782" s="10" t="n">
        <v>45679.74137731481</v>
      </c>
      <c r="D782" s="3" t="inlineStr">
        <is>
          <t>OBT220125175314-Wien Kledering</t>
        </is>
      </c>
      <c r="E782" s="10" t="n">
        <v>45679.74530092593</v>
      </c>
      <c r="F782" s="10" t="n">
        <v>45680.70885416667</v>
      </c>
      <c r="G782" s="11">
        <f>IF(AND(ISNUMBER(C782),ISNUMBER(E782)),(E782-C782),"")</f>
        <v/>
      </c>
      <c r="H782" s="11">
        <f>IF(AND(ISNUMBER(C782),ISNUMBER(F782)),(F782-C782),"")</f>
        <v/>
      </c>
    </row>
    <row r="783">
      <c r="A783" s="3" t="inlineStr">
        <is>
          <t>1021901</t>
        </is>
      </c>
      <c r="B783" s="3" t="inlineStr">
        <is>
          <t>606</t>
        </is>
      </c>
      <c r="C783" s="10" t="n">
        <v>45679.74618055556</v>
      </c>
      <c r="D783" s="3" t="inlineStr">
        <is>
          <t>OBT220125205009-Other sidings local</t>
        </is>
      </c>
      <c r="E783" s="10" t="n">
        <v>45679.86815972222</v>
      </c>
      <c r="F783" s="10" t="n">
        <v>45681.15327546297</v>
      </c>
      <c r="G783" s="11">
        <f>IF(AND(ISNUMBER(C783),ISNUMBER(E783)),(E783-C783),"")</f>
        <v/>
      </c>
      <c r="H783" s="11">
        <f>IF(AND(ISNUMBER(C783),ISNUMBER(F783)),(F783-C783),"")</f>
        <v/>
      </c>
    </row>
    <row r="784">
      <c r="A784" s="3" t="inlineStr">
        <is>
          <t>1021902</t>
        </is>
      </c>
      <c r="B784" s="3" t="inlineStr">
        <is>
          <t>609</t>
        </is>
      </c>
      <c r="C784" s="10" t="n">
        <v>45679.74766203704</v>
      </c>
      <c r="D784" s="3" t="inlineStr">
        <is>
          <t>OBT220125180146-Felixdorf/Sollenau (Bundesheer, Maba)</t>
        </is>
      </c>
      <c r="E784" s="10" t="n">
        <v>45679.75122685185</v>
      </c>
      <c r="F784" s="10" t="n">
        <v>45680.67232638889</v>
      </c>
      <c r="G784" s="11">
        <f>IF(AND(ISNUMBER(C784),ISNUMBER(E784)),(E784-C784),"")</f>
        <v/>
      </c>
      <c r="H784" s="11">
        <f>IF(AND(ISNUMBER(C784),ISNUMBER(F784)),(F784-C784),"")</f>
        <v/>
      </c>
    </row>
    <row r="785">
      <c r="A785" s="3" t="inlineStr">
        <is>
          <t>1021903</t>
        </is>
      </c>
      <c r="B785" s="3" t="inlineStr">
        <is>
          <t>615</t>
        </is>
      </c>
      <c r="C785" s="10" t="n">
        <v>45679.74887731481</v>
      </c>
      <c r="D785" s="3" t="inlineStr">
        <is>
          <t>OBT230125030314-Neunkirchen (loading tracks)</t>
        </is>
      </c>
      <c r="E785" s="10" t="n">
        <v>45680.12724537037</v>
      </c>
      <c r="F785" s="10" t="n">
        <v>45681.22115740741</v>
      </c>
      <c r="G785" s="11">
        <f>IF(AND(ISNUMBER(C785),ISNUMBER(E785)),(E785-C785),"")</f>
        <v/>
      </c>
      <c r="H785" s="11">
        <f>IF(AND(ISNUMBER(C785),ISNUMBER(F785)),(F785-C785),"")</f>
        <v/>
      </c>
    </row>
    <row r="786">
      <c r="A786" s="3" t="inlineStr">
        <is>
          <t>1021904</t>
        </is>
      </c>
      <c r="B786" s="3" t="inlineStr">
        <is>
          <t>613</t>
        </is>
      </c>
      <c r="C786" s="10" t="n">
        <v>45679.75032407408</v>
      </c>
      <c r="D786" s="3" t="inlineStr">
        <is>
          <t>OBT220125180607-Wr. Neustadt Ausfahrbf (Furtenbach)</t>
        </is>
      </c>
      <c r="E786" s="10" t="n">
        <v>45679.75424768519</v>
      </c>
      <c r="F786" s="10" t="n">
        <v>45680.70167824074</v>
      </c>
      <c r="G786" s="11">
        <f>IF(AND(ISNUMBER(C786),ISNUMBER(E786)),(E786-C786),"")</f>
        <v/>
      </c>
      <c r="H786" s="11">
        <f>IF(AND(ISNUMBER(C786),ISNUMBER(F786)),(F786-C786),"")</f>
        <v/>
      </c>
    </row>
    <row r="787">
      <c r="A787" s="3" t="inlineStr">
        <is>
          <t>1021905</t>
        </is>
      </c>
      <c r="B787" s="3" t="inlineStr">
        <is>
          <t>625</t>
        </is>
      </c>
      <c r="C787" s="10" t="n">
        <v>45679.75231481482</v>
      </c>
      <c r="D787" s="3" t="inlineStr">
        <is>
          <t>OBT230125063522-Wien Kledering</t>
        </is>
      </c>
      <c r="E787" s="10" t="n">
        <v>45680.27456018519</v>
      </c>
      <c r="F787" s="10" t="n">
        <v>45681.32685185185</v>
      </c>
      <c r="G787" s="11">
        <f>IF(AND(ISNUMBER(C787),ISNUMBER(E787)),(E787-C787),"")</f>
        <v/>
      </c>
      <c r="H787" s="11">
        <f>IF(AND(ISNUMBER(C787),ISNUMBER(F787)),(F787-C787),"")</f>
        <v/>
      </c>
    </row>
    <row r="788">
      <c r="A788" s="3" t="inlineStr">
        <is>
          <t>1021906</t>
        </is>
      </c>
      <c r="B788" s="3" t="inlineStr">
        <is>
          <t>623</t>
        </is>
      </c>
      <c r="C788" s="10" t="n">
        <v>45679.75405092593</v>
      </c>
      <c r="D788" s="3" t="inlineStr">
        <is>
          <t>OBT220125204226-Neunkirchen (loading tracks)</t>
        </is>
      </c>
      <c r="E788" s="10" t="n">
        <v>45679.86280092593</v>
      </c>
      <c r="F788" s="10" t="n">
        <v>45680.90148148148</v>
      </c>
      <c r="G788" s="11">
        <f>IF(AND(ISNUMBER(C788),ISNUMBER(E788)),(E788-C788),"")</f>
        <v/>
      </c>
      <c r="H788" s="11">
        <f>IF(AND(ISNUMBER(C788),ISNUMBER(F788)),(F788-C788),"")</f>
        <v/>
      </c>
    </row>
    <row r="789">
      <c r="A789" s="3" t="inlineStr">
        <is>
          <t>1021907</t>
        </is>
      </c>
      <c r="B789" s="3" t="inlineStr">
        <is>
          <t>607</t>
        </is>
      </c>
      <c r="C789" s="10" t="n">
        <v>45679.75563657407</v>
      </c>
      <c r="D789" s="3" t="inlineStr">
        <is>
          <t>OBT230125175458-Wr. Neustadt Ausfahrbf (Furtenbach)</t>
        </is>
      </c>
      <c r="E789" s="10" t="n">
        <v>45680.74650462963</v>
      </c>
      <c r="F789" s="10" t="n">
        <v>45681.7580787037</v>
      </c>
      <c r="G789" s="11">
        <f>IF(AND(ISNUMBER(C789),ISNUMBER(E789)),(E789-C789),"")</f>
        <v/>
      </c>
      <c r="H789" s="11">
        <f>IF(AND(ISNUMBER(C789),ISNUMBER(F789)),(F789-C789),"")</f>
        <v/>
      </c>
    </row>
    <row r="790">
      <c r="A790" s="3" t="inlineStr">
        <is>
          <t>1021908</t>
        </is>
      </c>
      <c r="B790" s="3" t="inlineStr">
        <is>
          <t>619</t>
        </is>
      </c>
      <c r="C790" s="10" t="n">
        <v>45679.75820601852</v>
      </c>
      <c r="D790" s="3" t="inlineStr">
        <is>
          <t>OBT220125181516-Pitten (Hamburger)</t>
        </is>
      </c>
      <c r="E790" s="10" t="n">
        <v>45679.76060185185</v>
      </c>
      <c r="F790" s="10" t="n">
        <v>45680.80255787037</v>
      </c>
      <c r="G790" s="11">
        <f>IF(AND(ISNUMBER(C790),ISNUMBER(E790)),(E790-C790),"")</f>
        <v/>
      </c>
      <c r="H790" s="11">
        <f>IF(AND(ISNUMBER(C790),ISNUMBER(F790)),(F790-C790),"")</f>
        <v/>
      </c>
    </row>
    <row r="791">
      <c r="A791" s="3" t="inlineStr">
        <is>
          <t>1021909</t>
        </is>
      </c>
      <c r="B791" s="3" t="inlineStr">
        <is>
          <t>623</t>
        </is>
      </c>
      <c r="C791" s="10" t="n">
        <v>45679.75994212963</v>
      </c>
      <c r="D791" s="3" t="inlineStr">
        <is>
          <t>OBT220125204226-Neunkirchen (loading tracks)</t>
        </is>
      </c>
      <c r="E791" s="10" t="n">
        <v>45679.86280092593</v>
      </c>
      <c r="F791" s="10" t="n">
        <v>45680.90148148148</v>
      </c>
      <c r="G791" s="11">
        <f>IF(AND(ISNUMBER(C791),ISNUMBER(E791)),(E791-C791),"")</f>
        <v/>
      </c>
      <c r="H791" s="11">
        <f>IF(AND(ISNUMBER(C791),ISNUMBER(F791)),(F791-C791),"")</f>
        <v/>
      </c>
    </row>
    <row r="792">
      <c r="A792" s="3" t="inlineStr">
        <is>
          <t>1021910</t>
        </is>
      </c>
      <c r="B792" s="3" t="inlineStr">
        <is>
          <t>617</t>
        </is>
      </c>
      <c r="C792" s="10" t="n">
        <v>45679.76121527778</v>
      </c>
      <c r="D792" s="3" t="inlineStr">
        <is>
          <t>OBT230125095448-Neudörfl (FunderMax)</t>
        </is>
      </c>
      <c r="E792" s="10" t="n">
        <v>45680.41305555555</v>
      </c>
      <c r="F792" s="10" t="n">
        <v>45681.42811342593</v>
      </c>
      <c r="G792" s="11">
        <f>IF(AND(ISNUMBER(C792),ISNUMBER(E792)),(E792-C792),"")</f>
        <v/>
      </c>
      <c r="H792" s="11">
        <f>IF(AND(ISNUMBER(C792),ISNUMBER(F792)),(F792-C792),"")</f>
        <v/>
      </c>
    </row>
    <row r="793">
      <c r="A793" s="3" t="inlineStr">
        <is>
          <t>1022201</t>
        </is>
      </c>
      <c r="B793" s="3" t="inlineStr">
        <is>
          <t>619</t>
        </is>
      </c>
      <c r="C793" s="10" t="n">
        <v>45679.85211805555</v>
      </c>
      <c r="D793" s="3" t="inlineStr">
        <is>
          <t>OBT220125203751-Pitten (Hamburger)</t>
        </is>
      </c>
      <c r="E793" s="10" t="n">
        <v>45679.85961805555</v>
      </c>
      <c r="F793" s="10" t="n">
        <v>45680.7722337963</v>
      </c>
      <c r="G793" s="11">
        <f>IF(AND(ISNUMBER(C793),ISNUMBER(E793)),(E793-C793),"")</f>
        <v/>
      </c>
      <c r="H793" s="11">
        <f>IF(AND(ISNUMBER(C793),ISNUMBER(F793)),(F793-C793),"")</f>
        <v/>
      </c>
    </row>
    <row r="794">
      <c r="A794" s="3" t="inlineStr">
        <is>
          <t>1022202</t>
        </is>
      </c>
      <c r="B794" s="3" t="inlineStr">
        <is>
          <t>607</t>
        </is>
      </c>
      <c r="C794" s="10" t="n">
        <v>45679.85373842593</v>
      </c>
      <c r="D794" s="3" t="inlineStr">
        <is>
          <t>OBT230125175458-Wr. Neustadt Ausfahrbf (Furtenbach)</t>
        </is>
      </c>
      <c r="E794" s="10" t="n">
        <v>45680.74650462963</v>
      </c>
      <c r="F794" s="10" t="n">
        <v>45681.7580787037</v>
      </c>
      <c r="G794" s="11">
        <f>IF(AND(ISNUMBER(C794),ISNUMBER(E794)),(E794-C794),"")</f>
        <v/>
      </c>
      <c r="H794" s="11">
        <f>IF(AND(ISNUMBER(C794),ISNUMBER(F794)),(F794-C794),"")</f>
        <v/>
      </c>
    </row>
    <row r="795">
      <c r="A795" s="3" t="inlineStr">
        <is>
          <t>1022203</t>
        </is>
      </c>
      <c r="B795" s="3" t="inlineStr">
        <is>
          <t>619</t>
        </is>
      </c>
      <c r="C795" s="10" t="n">
        <v>45679.85569444444</v>
      </c>
      <c r="D795" s="3" t="inlineStr">
        <is>
          <t>OBT220125203751-Pitten (Hamburger)</t>
        </is>
      </c>
      <c r="E795" s="10" t="n">
        <v>45679.85961805555</v>
      </c>
      <c r="F795" s="10" t="n">
        <v>45680.7722337963</v>
      </c>
      <c r="G795" s="11">
        <f>IF(AND(ISNUMBER(C795),ISNUMBER(E795)),(E795-C795),"")</f>
        <v/>
      </c>
      <c r="H795" s="11">
        <f>IF(AND(ISNUMBER(C795),ISNUMBER(F795)),(F795-C795),"")</f>
        <v/>
      </c>
    </row>
    <row r="796">
      <c r="A796" s="3" t="inlineStr">
        <is>
          <t>1022204</t>
        </is>
      </c>
      <c r="B796" s="3" t="inlineStr">
        <is>
          <t>617</t>
        </is>
      </c>
      <c r="C796" s="10" t="n">
        <v>45679.85701388889</v>
      </c>
      <c r="D796" s="3" t="inlineStr">
        <is>
          <t>OBT230125095448-Neudörfl (FunderMax)</t>
        </is>
      </c>
      <c r="E796" s="10" t="n">
        <v>45680.41305555555</v>
      </c>
      <c r="F796" s="10" t="n">
        <v>45681.42811342593</v>
      </c>
      <c r="G796" s="11">
        <f>IF(AND(ISNUMBER(C796),ISNUMBER(E796)),(E796-C796),"")</f>
        <v/>
      </c>
      <c r="H796" s="11">
        <f>IF(AND(ISNUMBER(C796),ISNUMBER(F796)),(F796-C796),"")</f>
        <v/>
      </c>
    </row>
    <row r="797">
      <c r="A797" s="3" t="inlineStr">
        <is>
          <t>1022205</t>
        </is>
      </c>
      <c r="B797" s="3" t="inlineStr">
        <is>
          <t>623</t>
        </is>
      </c>
      <c r="C797" s="10" t="n">
        <v>45679.85887731481</v>
      </c>
      <c r="D797" s="3" t="inlineStr">
        <is>
          <t>OBT220125204226-Neunkirchen (loading tracks)</t>
        </is>
      </c>
      <c r="E797" s="10" t="n">
        <v>45679.86280092593</v>
      </c>
      <c r="F797" s="10" t="n">
        <v>45680.90148148148</v>
      </c>
      <c r="G797" s="11">
        <f>IF(AND(ISNUMBER(C797),ISNUMBER(E797)),(E797-C797),"")</f>
        <v/>
      </c>
      <c r="H797" s="11">
        <f>IF(AND(ISNUMBER(C797),ISNUMBER(F797)),(F797-C797),"")</f>
        <v/>
      </c>
    </row>
    <row r="798">
      <c r="A798" s="3" t="inlineStr">
        <is>
          <t>1022206</t>
        </is>
      </c>
      <c r="B798" s="3" t="inlineStr">
        <is>
          <t>619</t>
        </is>
      </c>
      <c r="C798" s="10" t="n">
        <v>45679.86086805556</v>
      </c>
      <c r="D798" s="3" t="inlineStr">
        <is>
          <t>OBT230125100554-Pitten (Hamburger)</t>
        </is>
      </c>
      <c r="E798" s="10" t="n">
        <v>45680.42076388889</v>
      </c>
      <c r="F798" s="10" t="n">
        <v>45681.58487268518</v>
      </c>
      <c r="G798" s="11">
        <f>IF(AND(ISNUMBER(C798),ISNUMBER(E798)),(E798-C798),"")</f>
        <v/>
      </c>
      <c r="H798" s="11">
        <f>IF(AND(ISNUMBER(C798),ISNUMBER(F798)),(F798-C798),"")</f>
        <v/>
      </c>
    </row>
    <row r="799">
      <c r="A799" s="3" t="inlineStr">
        <is>
          <t>1022207</t>
        </is>
      </c>
      <c r="B799" s="3" t="inlineStr">
        <is>
          <t>607</t>
        </is>
      </c>
      <c r="C799" s="10" t="n">
        <v>45679.86247685185</v>
      </c>
      <c r="D799" s="3" t="inlineStr">
        <is>
          <t>OBT230125175458-Wr. Neustadt Ausfahrbf (Furtenbach)</t>
        </is>
      </c>
      <c r="E799" s="10" t="n">
        <v>45680.74650462963</v>
      </c>
      <c r="F799" s="10" t="n">
        <v>45681.7580787037</v>
      </c>
      <c r="G799" s="11">
        <f>IF(AND(ISNUMBER(C799),ISNUMBER(E799)),(E799-C799),"")</f>
        <v/>
      </c>
      <c r="H799" s="11">
        <f>IF(AND(ISNUMBER(C799),ISNUMBER(F799)),(F799-C799),"")</f>
        <v/>
      </c>
    </row>
    <row r="800">
      <c r="A800" s="3" t="inlineStr">
        <is>
          <t>1022208</t>
        </is>
      </c>
      <c r="B800" s="3" t="inlineStr">
        <is>
          <t>606</t>
        </is>
      </c>
      <c r="C800" s="10" t="n">
        <v>45679.86423611111</v>
      </c>
      <c r="D800" s="3" t="inlineStr">
        <is>
          <t>OBT220125205009-Other sidings local</t>
        </is>
      </c>
      <c r="E800" s="10" t="n">
        <v>45679.86815972222</v>
      </c>
      <c r="F800" s="10" t="n">
        <v>45681.15327546297</v>
      </c>
      <c r="G800" s="11">
        <f>IF(AND(ISNUMBER(C800),ISNUMBER(E800)),(E800-C800),"")</f>
        <v/>
      </c>
      <c r="H800" s="11">
        <f>IF(AND(ISNUMBER(C800),ISNUMBER(F800)),(F800-C800),"")</f>
        <v/>
      </c>
    </row>
    <row r="801">
      <c r="A801" s="3" t="inlineStr">
        <is>
          <t>1022301</t>
        </is>
      </c>
      <c r="B801" s="3" t="inlineStr">
        <is>
          <t>615</t>
        </is>
      </c>
      <c r="C801" s="10" t="n">
        <v>45680.12484953704</v>
      </c>
      <c r="D801" s="3" t="inlineStr">
        <is>
          <t>OBT230125030314-Neunkirchen (loading tracks)</t>
        </is>
      </c>
      <c r="E801" s="10" t="n">
        <v>45680.12724537037</v>
      </c>
      <c r="F801" s="10" t="n">
        <v>45681.22115740741</v>
      </c>
      <c r="G801" s="11">
        <f>IF(AND(ISNUMBER(C801),ISNUMBER(E801)),(E801-C801),"")</f>
        <v/>
      </c>
      <c r="H801" s="11">
        <f>IF(AND(ISNUMBER(C801),ISNUMBER(F801)),(F801-C801),"")</f>
        <v/>
      </c>
    </row>
    <row r="802">
      <c r="A802" s="3" t="inlineStr">
        <is>
          <t>1022302</t>
        </is>
      </c>
      <c r="B802" s="3" t="inlineStr">
        <is>
          <t>621</t>
        </is>
      </c>
      <c r="C802" s="10" t="n">
        <v>45680.12701388889</v>
      </c>
      <c r="D802" s="3" t="inlineStr">
        <is>
          <t>OBT230125030603-Ternitz (Schoeller-Bleckmann)</t>
        </is>
      </c>
      <c r="E802" s="10" t="n">
        <v>45680.12920138889</v>
      </c>
      <c r="F802" s="10" t="n">
        <v>45681.28884259259</v>
      </c>
      <c r="G802" s="11">
        <f>IF(AND(ISNUMBER(C802),ISNUMBER(E802)),(E802-C802),"")</f>
        <v/>
      </c>
      <c r="H802" s="11">
        <f>IF(AND(ISNUMBER(C802),ISNUMBER(F802)),(F802-C802),"")</f>
        <v/>
      </c>
    </row>
    <row r="803">
      <c r="A803" s="3" t="inlineStr">
        <is>
          <t>1022303</t>
        </is>
      </c>
      <c r="B803" s="3" t="inlineStr">
        <is>
          <t>627</t>
        </is>
      </c>
      <c r="C803" s="10" t="n">
        <v>45680.12893518519</v>
      </c>
      <c r="D803" s="3" t="inlineStr">
        <is>
          <t>OBT230125090110-Wien Kledering</t>
        </is>
      </c>
      <c r="E803" s="10" t="n">
        <v>45680.37581018519</v>
      </c>
      <c r="F803" s="10" t="n">
        <v>45681.3643287037</v>
      </c>
      <c r="G803" s="11">
        <f>IF(AND(ISNUMBER(C803),ISNUMBER(E803)),(E803-C803),"")</f>
        <v/>
      </c>
      <c r="H803" s="11">
        <f>IF(AND(ISNUMBER(C803),ISNUMBER(F803)),(F803-C803),"")</f>
        <v/>
      </c>
    </row>
    <row r="804">
      <c r="A804" s="3" t="inlineStr">
        <is>
          <t>1022304</t>
        </is>
      </c>
      <c r="B804" s="3" t="inlineStr">
        <is>
          <t>615</t>
        </is>
      </c>
      <c r="C804" s="10" t="n">
        <v>45680.13020833334</v>
      </c>
      <c r="D804" s="3" t="inlineStr">
        <is>
          <t>OBT230125071649-Other sidings south</t>
        </is>
      </c>
      <c r="E804" s="10" t="n">
        <v>45680.30334490741</v>
      </c>
      <c r="F804" s="10" t="n">
        <v>45681.33572916667</v>
      </c>
      <c r="G804" s="11">
        <f>IF(AND(ISNUMBER(C804),ISNUMBER(E804)),(E804-C804),"")</f>
        <v/>
      </c>
      <c r="H804" s="11">
        <f>IF(AND(ISNUMBER(C804),ISNUMBER(F804)),(F804-C804),"")</f>
        <v/>
      </c>
    </row>
    <row r="805">
      <c r="A805" s="3" t="inlineStr">
        <is>
          <t>1022401</t>
        </is>
      </c>
      <c r="B805" s="3" t="inlineStr">
        <is>
          <t>625</t>
        </is>
      </c>
      <c r="C805" s="10" t="n">
        <v>45680.27217592593</v>
      </c>
      <c r="D805" s="3" t="inlineStr">
        <is>
          <t>OBT230125063522-Wien Kledering</t>
        </is>
      </c>
      <c r="E805" s="10" t="n">
        <v>45680.27456018519</v>
      </c>
      <c r="F805" s="10" t="n">
        <v>45681.32685185185</v>
      </c>
      <c r="G805" s="11">
        <f>IF(AND(ISNUMBER(C805),ISNUMBER(E805)),(E805-C805),"")</f>
        <v/>
      </c>
      <c r="H805" s="11">
        <f>IF(AND(ISNUMBER(C805),ISNUMBER(F805)),(F805-C805),"")</f>
        <v/>
      </c>
    </row>
    <row r="806">
      <c r="A806" s="3" t="inlineStr">
        <is>
          <t>1022502</t>
        </is>
      </c>
      <c r="B806" s="3" t="inlineStr">
        <is>
          <t>621</t>
        </is>
      </c>
      <c r="C806" s="10" t="n">
        <v>45680.29817129629</v>
      </c>
      <c r="D806" s="3" t="inlineStr">
        <is>
          <t>OBT230125105334-Wien Kledering</t>
        </is>
      </c>
      <c r="E806" s="10" t="n">
        <v>45680.45386574074</v>
      </c>
      <c r="F806" s="10" t="n">
        <v>45681.68765046296</v>
      </c>
      <c r="G806" s="11">
        <f>IF(AND(ISNUMBER(C806),ISNUMBER(E806)),(E806-C806),"")</f>
        <v/>
      </c>
      <c r="H806" s="11">
        <f>IF(AND(ISNUMBER(C806),ISNUMBER(F806)),(F806-C806),"")</f>
        <v/>
      </c>
    </row>
    <row r="807">
      <c r="A807" s="3" t="inlineStr">
        <is>
          <t>1022503</t>
        </is>
      </c>
      <c r="B807" s="3" t="inlineStr">
        <is>
          <t>615</t>
        </is>
      </c>
      <c r="C807" s="10" t="n">
        <v>45680.29942129629</v>
      </c>
      <c r="D807" s="3" t="inlineStr">
        <is>
          <t>OBT230125071649-Other sidings south</t>
        </is>
      </c>
      <c r="E807" s="10" t="n">
        <v>45680.30334490741</v>
      </c>
      <c r="F807" s="10" t="n">
        <v>45681.33572916667</v>
      </c>
      <c r="G807" s="11">
        <f>IF(AND(ISNUMBER(C807),ISNUMBER(E807)),(E807-C807),"")</f>
        <v/>
      </c>
      <c r="H807" s="11">
        <f>IF(AND(ISNUMBER(C807),ISNUMBER(F807)),(F807-C807),"")</f>
        <v/>
      </c>
    </row>
    <row r="808">
      <c r="A808" s="3" t="inlineStr">
        <is>
          <t>1022504</t>
        </is>
      </c>
      <c r="B808" s="3" t="inlineStr">
        <is>
          <t>629</t>
        </is>
      </c>
      <c r="C808" s="10" t="n">
        <v>45680.30144675926</v>
      </c>
      <c r="D808" s="3" t="inlineStr">
        <is>
          <t>OBT230125095729-Other sidings north</t>
        </is>
      </c>
      <c r="E808" s="10" t="n">
        <v>45680.41491898148</v>
      </c>
      <c r="F808" s="10" t="n">
        <v>45681.45420138889</v>
      </c>
      <c r="G808" s="11">
        <f>IF(AND(ISNUMBER(C808),ISNUMBER(E808)),(E808-C808),"")</f>
        <v/>
      </c>
      <c r="H808" s="11">
        <f>IF(AND(ISNUMBER(C808),ISNUMBER(F808)),(F808-C808),"")</f>
        <v/>
      </c>
    </row>
    <row r="809">
      <c r="A809" s="3" t="inlineStr">
        <is>
          <t>1022505</t>
        </is>
      </c>
      <c r="B809" s="3" t="inlineStr">
        <is>
          <t>617</t>
        </is>
      </c>
      <c r="C809" s="10" t="n">
        <v>45680.30278935185</v>
      </c>
      <c r="D809" s="3" t="inlineStr">
        <is>
          <t>OBT230125095448-Neudörfl (FunderMax)</t>
        </is>
      </c>
      <c r="E809" s="10" t="n">
        <v>45680.41305555555</v>
      </c>
      <c r="F809" s="10" t="n">
        <v>45681.42811342593</v>
      </c>
      <c r="G809" s="11">
        <f>IF(AND(ISNUMBER(C809),ISNUMBER(E809)),(E809-C809),"")</f>
        <v/>
      </c>
      <c r="H809" s="11">
        <f>IF(AND(ISNUMBER(C809),ISNUMBER(F809)),(F809-C809),"")</f>
        <v/>
      </c>
    </row>
    <row r="810">
      <c r="A810" s="3" t="inlineStr">
        <is>
          <t>1022506</t>
        </is>
      </c>
      <c r="B810" s="3" t="inlineStr">
        <is>
          <t>619</t>
        </is>
      </c>
      <c r="C810" s="10" t="n">
        <v>45680.30479166667</v>
      </c>
      <c r="D810" s="3" t="inlineStr">
        <is>
          <t>OBT230125100554-Pitten (Hamburger)</t>
        </is>
      </c>
      <c r="E810" s="10" t="n">
        <v>45680.42076388889</v>
      </c>
      <c r="F810" s="10" t="n">
        <v>45681.58487268518</v>
      </c>
      <c r="G810" s="11">
        <f>IF(AND(ISNUMBER(C810),ISNUMBER(E810)),(E810-C810),"")</f>
        <v/>
      </c>
      <c r="H810" s="11">
        <f>IF(AND(ISNUMBER(C810),ISNUMBER(F810)),(F810-C810),"")</f>
        <v/>
      </c>
    </row>
    <row r="811">
      <c r="A811" s="3" t="inlineStr">
        <is>
          <t>1022508</t>
        </is>
      </c>
      <c r="B811" s="3" t="inlineStr">
        <is>
          <t>619</t>
        </is>
      </c>
      <c r="C811" s="10" t="n">
        <v>45680.30479166667</v>
      </c>
      <c r="D811" s="3" t="inlineStr">
        <is>
          <t>OBT230125100554-Pitten (Hamburger)</t>
        </is>
      </c>
      <c r="E811" s="10" t="n">
        <v>45680.42076388889</v>
      </c>
      <c r="F811" s="10" t="n">
        <v>45681.58487268518</v>
      </c>
      <c r="G811" s="11">
        <f>IF(AND(ISNUMBER(C811),ISNUMBER(E811)),(E811-C811),"")</f>
        <v/>
      </c>
      <c r="H811" s="11">
        <f>IF(AND(ISNUMBER(C811),ISNUMBER(F811)),(F811-C811),"")</f>
        <v/>
      </c>
    </row>
    <row r="812">
      <c r="A812" s="3" t="inlineStr">
        <is>
          <t>1022801</t>
        </is>
      </c>
      <c r="B812" s="3" t="inlineStr">
        <is>
          <t>627</t>
        </is>
      </c>
      <c r="C812" s="10" t="n">
        <v>45680.37344907408</v>
      </c>
      <c r="D812" s="3" t="inlineStr">
        <is>
          <t>OBT230125090110-Wien Kledering</t>
        </is>
      </c>
      <c r="E812" s="10" t="n">
        <v>45680.37581018519</v>
      </c>
      <c r="F812" s="10" t="n">
        <v>45681.3643287037</v>
      </c>
      <c r="G812" s="11">
        <f>IF(AND(ISNUMBER(C812),ISNUMBER(E812)),(E812-C812),"")</f>
        <v/>
      </c>
      <c r="H812" s="11">
        <f>IF(AND(ISNUMBER(C812),ISNUMBER(F812)),(F812-C812),"")</f>
        <v/>
      </c>
    </row>
    <row r="813">
      <c r="A813" s="3" t="inlineStr">
        <is>
          <t>1022802</t>
        </is>
      </c>
      <c r="B813" s="3" t="inlineStr">
        <is>
          <t>605</t>
        </is>
      </c>
      <c r="C813" s="10" t="n">
        <v>45680.37564814815</v>
      </c>
      <c r="D813" s="3" t="inlineStr">
        <is>
          <t>OBT230125090423-St. Veit an der Glan</t>
        </is>
      </c>
      <c r="E813" s="10" t="n">
        <v>45680.37804398148</v>
      </c>
      <c r="F813" s="10" t="n">
        <v>45681.41704861111</v>
      </c>
      <c r="G813" s="11">
        <f>IF(AND(ISNUMBER(C813),ISNUMBER(E813)),(E813-C813),"")</f>
        <v/>
      </c>
      <c r="H813" s="11">
        <f>IF(AND(ISNUMBER(C813),ISNUMBER(F813)),(F813-C813),"")</f>
        <v/>
      </c>
    </row>
    <row r="814">
      <c r="A814" s="3" t="inlineStr">
        <is>
          <t>1022901</t>
        </is>
      </c>
      <c r="B814" s="3" t="inlineStr">
        <is>
          <t>615</t>
        </is>
      </c>
      <c r="C814" s="10" t="n">
        <v>45680.39967592592</v>
      </c>
      <c r="D814" s="3" t="inlineStr">
        <is>
          <t>OBT240125031427-Wr. Neustadt (Hödlmayr)</t>
        </is>
      </c>
      <c r="E814" s="10" t="n">
        <v>45681.13503472223</v>
      </c>
      <c r="F814" s="10" t="n">
        <v>45684.15423611111</v>
      </c>
      <c r="G814" s="11">
        <f>IF(AND(ISNUMBER(C814),ISNUMBER(E814)),(E814-C814),"")</f>
        <v/>
      </c>
      <c r="H814" s="11">
        <f>IF(AND(ISNUMBER(C814),ISNUMBER(F814)),(F814-C814),"")</f>
        <v/>
      </c>
    </row>
    <row r="815">
      <c r="A815" s="3" t="inlineStr">
        <is>
          <t>1022902</t>
        </is>
      </c>
      <c r="B815" s="3" t="inlineStr">
        <is>
          <t>623</t>
        </is>
      </c>
      <c r="C815" s="10" t="n">
        <v>45680.40140046296</v>
      </c>
      <c r="D815" s="3" t="inlineStr">
        <is>
          <t>OBT240125044723-Neudörfl (FunderMax)</t>
        </is>
      </c>
      <c r="E815" s="10" t="n">
        <v>45681.19957175926</v>
      </c>
      <c r="F815" s="10" t="n">
        <v>45684.22171296296</v>
      </c>
      <c r="G815" s="11">
        <f>IF(AND(ISNUMBER(C815),ISNUMBER(E815)),(E815-C815),"")</f>
        <v/>
      </c>
      <c r="H815" s="11">
        <f>IF(AND(ISNUMBER(C815),ISNUMBER(F815)),(F815-C815),"")</f>
        <v/>
      </c>
    </row>
    <row r="816">
      <c r="A816" s="3" t="inlineStr">
        <is>
          <t>1022903</t>
        </is>
      </c>
      <c r="B816" s="3" t="inlineStr">
        <is>
          <t>615</t>
        </is>
      </c>
      <c r="C816" s="10" t="n">
        <v>45680.40256944444</v>
      </c>
      <c r="D816" s="3" t="inlineStr">
        <is>
          <t>OBT240125031427-Wr. Neustadt (Hödlmayr)</t>
        </is>
      </c>
      <c r="E816" s="10" t="n">
        <v>45681.13503472223</v>
      </c>
      <c r="F816" s="10" t="n">
        <v>45684.15423611111</v>
      </c>
      <c r="G816" s="11">
        <f>IF(AND(ISNUMBER(C816),ISNUMBER(E816)),(E816-C816),"")</f>
        <v/>
      </c>
      <c r="H816" s="11">
        <f>IF(AND(ISNUMBER(C816),ISNUMBER(F816)),(F816-C816),"")</f>
        <v/>
      </c>
    </row>
    <row r="817">
      <c r="A817" s="3" t="inlineStr">
        <is>
          <t>1022904</t>
        </is>
      </c>
      <c r="B817" s="3" t="inlineStr">
        <is>
          <t>607</t>
        </is>
      </c>
      <c r="C817" s="10" t="n">
        <v>45680.40416666667</v>
      </c>
      <c r="D817" s="3" t="inlineStr">
        <is>
          <t>OBT230125175458-Wr. Neustadt Ausfahrbf (Furtenbach)</t>
        </is>
      </c>
      <c r="E817" s="10" t="n">
        <v>45680.74650462963</v>
      </c>
      <c r="F817" s="10" t="n">
        <v>45681.7580787037</v>
      </c>
      <c r="G817" s="11">
        <f>IF(AND(ISNUMBER(C817),ISNUMBER(E817)),(E817-C817),"")</f>
        <v/>
      </c>
      <c r="H817" s="11">
        <f>IF(AND(ISNUMBER(C817),ISNUMBER(F817)),(F817-C817),"")</f>
        <v/>
      </c>
    </row>
    <row r="818">
      <c r="A818" s="3" t="inlineStr">
        <is>
          <t>1022905</t>
        </is>
      </c>
      <c r="B818" s="3" t="inlineStr">
        <is>
          <t>607</t>
        </is>
      </c>
      <c r="C818" s="10" t="n">
        <v>45680.40575231481</v>
      </c>
      <c r="D818" s="3" t="inlineStr">
        <is>
          <t>OBT230125175458-Wr. Neustadt Ausfahrbf (Furtenbach)</t>
        </is>
      </c>
      <c r="E818" s="10" t="n">
        <v>45680.74650462963</v>
      </c>
      <c r="F818" s="10" t="n">
        <v>45681.7580787037</v>
      </c>
      <c r="G818" s="11">
        <f>IF(AND(ISNUMBER(C818),ISNUMBER(E818)),(E818-C818),"")</f>
        <v/>
      </c>
      <c r="H818" s="11">
        <f>IF(AND(ISNUMBER(C818),ISNUMBER(F818)),(F818-C818),"")</f>
        <v/>
      </c>
    </row>
    <row r="819">
      <c r="A819" s="3" t="inlineStr">
        <is>
          <t>1022906</t>
        </is>
      </c>
      <c r="B819" s="3" t="inlineStr">
        <is>
          <t>629</t>
        </is>
      </c>
      <c r="C819" s="10" t="n">
        <v>45680.40778935186</v>
      </c>
      <c r="D819" s="3" t="inlineStr">
        <is>
          <t>OBT230125095729-Other sidings north</t>
        </is>
      </c>
      <c r="E819" s="10" t="n">
        <v>45680.41491898148</v>
      </c>
      <c r="F819" s="10" t="n">
        <v>45681.45420138889</v>
      </c>
      <c r="G819" s="11">
        <f>IF(AND(ISNUMBER(C819),ISNUMBER(E819)),(E819-C819),"")</f>
        <v/>
      </c>
      <c r="H819" s="11">
        <f>IF(AND(ISNUMBER(C819),ISNUMBER(F819)),(F819-C819),"")</f>
        <v/>
      </c>
    </row>
    <row r="820">
      <c r="A820" s="3" t="inlineStr">
        <is>
          <t>1022907</t>
        </is>
      </c>
      <c r="B820" s="3" t="inlineStr">
        <is>
          <t>617</t>
        </is>
      </c>
      <c r="C820" s="10" t="n">
        <v>45680.40913194444</v>
      </c>
      <c r="D820" s="3" t="inlineStr">
        <is>
          <t>OBT230125095448-Neudörfl (FunderMax)</t>
        </is>
      </c>
      <c r="E820" s="10" t="n">
        <v>45680.41305555555</v>
      </c>
      <c r="F820" s="10" t="n">
        <v>45681.42811342593</v>
      </c>
      <c r="G820" s="11">
        <f>IF(AND(ISNUMBER(C820),ISNUMBER(E820)),(E820-C820),"")</f>
        <v/>
      </c>
      <c r="H820" s="11">
        <f>IF(AND(ISNUMBER(C820),ISNUMBER(F820)),(F820-C820),"")</f>
        <v/>
      </c>
    </row>
    <row r="821">
      <c r="A821" s="3" t="inlineStr">
        <is>
          <t>1022908</t>
        </is>
      </c>
      <c r="B821" s="3" t="inlineStr">
        <is>
          <t>629</t>
        </is>
      </c>
      <c r="C821" s="10" t="n">
        <v>45680.41103009259</v>
      </c>
      <c r="D821" s="3" t="inlineStr">
        <is>
          <t>OBT230125095729-Other sidings north</t>
        </is>
      </c>
      <c r="E821" s="10" t="n">
        <v>45680.41491898148</v>
      </c>
      <c r="F821" s="10" t="n">
        <v>45681.45420138889</v>
      </c>
      <c r="G821" s="11">
        <f>IF(AND(ISNUMBER(C821),ISNUMBER(E821)),(E821-C821),"")</f>
        <v/>
      </c>
      <c r="H821" s="11">
        <f>IF(AND(ISNUMBER(C821),ISNUMBER(F821)),(F821-C821),"")</f>
        <v/>
      </c>
    </row>
    <row r="822">
      <c r="A822" s="3" t="inlineStr">
        <is>
          <t>1022909</t>
        </is>
      </c>
      <c r="B822" s="3" t="inlineStr">
        <is>
          <t>625</t>
        </is>
      </c>
      <c r="C822" s="10" t="n">
        <v>45680.41303240741</v>
      </c>
      <c r="D822" s="3" t="inlineStr">
        <is>
          <t>OBT240125093343-Pitten (Hamburger)</t>
        </is>
      </c>
      <c r="E822" s="10" t="n">
        <v>45681.39841435185</v>
      </c>
      <c r="F822" s="10" t="n">
        <v>45684.37153935185</v>
      </c>
      <c r="G822" s="11">
        <f>IF(AND(ISNUMBER(C822),ISNUMBER(E822)),(E822-C822),"")</f>
        <v/>
      </c>
      <c r="H822" s="11">
        <f>IF(AND(ISNUMBER(C822),ISNUMBER(F822)),(F822-C822),"")</f>
        <v/>
      </c>
    </row>
    <row r="823">
      <c r="A823" s="3" t="inlineStr">
        <is>
          <t>1022910</t>
        </is>
      </c>
      <c r="B823" s="3" t="inlineStr">
        <is>
          <t>619</t>
        </is>
      </c>
      <c r="C823" s="10" t="n">
        <v>45680.41527777778</v>
      </c>
      <c r="D823" s="3" t="inlineStr">
        <is>
          <t>OBT230125100554-Pitten (Hamburger)</t>
        </is>
      </c>
      <c r="E823" s="10" t="n">
        <v>45680.42076388889</v>
      </c>
      <c r="F823" s="10" t="n">
        <v>45681.58487268518</v>
      </c>
      <c r="G823" s="11">
        <f>IF(AND(ISNUMBER(C823),ISNUMBER(E823)),(E823-C823),"")</f>
        <v/>
      </c>
      <c r="H823" s="11">
        <f>IF(AND(ISNUMBER(C823),ISNUMBER(F823)),(F823-C823),"")</f>
        <v/>
      </c>
    </row>
    <row r="824">
      <c r="A824" s="3" t="inlineStr">
        <is>
          <t>1022911</t>
        </is>
      </c>
      <c r="B824" s="3" t="inlineStr">
        <is>
          <t>619</t>
        </is>
      </c>
      <c r="C824" s="10" t="n">
        <v>45680.41721064815</v>
      </c>
      <c r="D824" s="3" t="inlineStr">
        <is>
          <t>OBT230125100554-Pitten (Hamburger)</t>
        </is>
      </c>
      <c r="E824" s="10" t="n">
        <v>45680.42076388889</v>
      </c>
      <c r="F824" s="10" t="n">
        <v>45681.58487268518</v>
      </c>
      <c r="G824" s="11">
        <f>IF(AND(ISNUMBER(C824),ISNUMBER(E824)),(E824-C824),"")</f>
        <v/>
      </c>
      <c r="H824" s="11">
        <f>IF(AND(ISNUMBER(C824),ISNUMBER(F824)),(F824-C824),"")</f>
        <v/>
      </c>
    </row>
    <row r="825">
      <c r="A825" s="3" t="inlineStr">
        <is>
          <t>1023001</t>
        </is>
      </c>
      <c r="B825" s="3" t="inlineStr">
        <is>
          <t>621</t>
        </is>
      </c>
      <c r="C825" s="10" t="n">
        <v>45680.45149305555</v>
      </c>
      <c r="D825" s="3" t="inlineStr">
        <is>
          <t>OBT230125105334-Wien Kledering</t>
        </is>
      </c>
      <c r="E825" s="10" t="n">
        <v>45680.45386574074</v>
      </c>
      <c r="F825" s="10" t="n">
        <v>45681.68765046296</v>
      </c>
      <c r="G825" s="11">
        <f>IF(AND(ISNUMBER(C825),ISNUMBER(E825)),(E825-C825),"")</f>
        <v/>
      </c>
      <c r="H825" s="11">
        <f>IF(AND(ISNUMBER(C825),ISNUMBER(F825)),(F825-C825),"")</f>
        <v/>
      </c>
    </row>
    <row r="826">
      <c r="A826" s="3" t="inlineStr">
        <is>
          <t>1023003</t>
        </is>
      </c>
      <c r="B826" s="3" t="inlineStr">
        <is>
          <t>621</t>
        </is>
      </c>
      <c r="C826" s="10" t="n">
        <v>45680.45149305555</v>
      </c>
      <c r="D826" s="3" t="inlineStr">
        <is>
          <t>OBT230125105334-Wien Kledering</t>
        </is>
      </c>
      <c r="E826" s="10" t="n">
        <v>45680.45386574074</v>
      </c>
      <c r="F826" s="10" t="n">
        <v>45681.68765046296</v>
      </c>
      <c r="G826" s="11">
        <f>IF(AND(ISNUMBER(C826),ISNUMBER(E826)),(E826-C826),"")</f>
        <v/>
      </c>
      <c r="H826" s="11">
        <f>IF(AND(ISNUMBER(C826),ISNUMBER(F826)),(F826-C826),"")</f>
        <v/>
      </c>
    </row>
    <row r="827">
      <c r="A827" s="3" t="inlineStr">
        <is>
          <t>1023005</t>
        </is>
      </c>
      <c r="B827" s="3" t="inlineStr">
        <is>
          <t>621</t>
        </is>
      </c>
      <c r="C827" s="10" t="n">
        <v>45680.45149305555</v>
      </c>
      <c r="D827" s="3" t="inlineStr">
        <is>
          <t>OBT230125105334-Wien Kledering</t>
        </is>
      </c>
      <c r="E827" s="10" t="n">
        <v>45680.45386574074</v>
      </c>
      <c r="F827" s="10" t="n">
        <v>45681.68765046296</v>
      </c>
      <c r="G827" s="11">
        <f>IF(AND(ISNUMBER(C827),ISNUMBER(E827)),(E827-C827),"")</f>
        <v/>
      </c>
      <c r="H827" s="11">
        <f>IF(AND(ISNUMBER(C827),ISNUMBER(F827)),(F827-C827),"")</f>
        <v/>
      </c>
    </row>
    <row r="828">
      <c r="A828" s="3" t="inlineStr">
        <is>
          <t>1023101</t>
        </is>
      </c>
      <c r="B828" s="3" t="inlineStr">
        <is>
          <t>611</t>
        </is>
      </c>
      <c r="C828" s="10" t="n">
        <v>45680.61325231481</v>
      </c>
      <c r="D828" s="3" t="inlineStr">
        <is>
          <t>OBT230125144630-Wien Kledering</t>
        </is>
      </c>
      <c r="E828" s="10" t="n">
        <v>45680.615625</v>
      </c>
      <c r="F828" s="10" t="n">
        <v>45681.72094907407</v>
      </c>
      <c r="G828" s="11">
        <f>IF(AND(ISNUMBER(C828),ISNUMBER(E828)),(E828-C828),"")</f>
        <v/>
      </c>
      <c r="H828" s="11">
        <f>IF(AND(ISNUMBER(C828),ISNUMBER(F828)),(F828-C828),"")</f>
        <v/>
      </c>
    </row>
    <row r="829">
      <c r="A829" s="3" t="inlineStr">
        <is>
          <t>1023201</t>
        </is>
      </c>
      <c r="B829" s="3" t="inlineStr">
        <is>
          <t>629</t>
        </is>
      </c>
      <c r="C829" s="10" t="n">
        <v>45680.6288425926</v>
      </c>
      <c r="D829" s="3" t="inlineStr">
        <is>
          <t>OBT230125174306-Other sidings north</t>
        </is>
      </c>
      <c r="E829" s="10" t="n">
        <v>45680.73826388889</v>
      </c>
      <c r="F829" s="10" t="n">
        <v>45681.67775462963</v>
      </c>
      <c r="G829" s="11">
        <f>IF(AND(ISNUMBER(C829),ISNUMBER(E829)),(E829-C829),"")</f>
        <v/>
      </c>
      <c r="H829" s="11">
        <f>IF(AND(ISNUMBER(C829),ISNUMBER(F829)),(F829-C829),"")</f>
        <v/>
      </c>
    </row>
    <row r="830">
      <c r="A830" s="3" t="inlineStr">
        <is>
          <t>1023202</t>
        </is>
      </c>
      <c r="B830" s="3" t="inlineStr">
        <is>
          <t>621</t>
        </is>
      </c>
      <c r="C830" s="10" t="n">
        <v>45680.63079861111</v>
      </c>
      <c r="D830" s="3" t="inlineStr">
        <is>
          <t>OBT240125174924-Wien Kledering</t>
        </is>
      </c>
      <c r="E830" s="10" t="n">
        <v>45681.74263888889</v>
      </c>
      <c r="F830" s="10" t="n">
        <v>45684.69333333334</v>
      </c>
      <c r="G830" s="11">
        <f>IF(AND(ISNUMBER(C830),ISNUMBER(E830)),(E830-C830),"")</f>
        <v/>
      </c>
      <c r="H830" s="11">
        <f>IF(AND(ISNUMBER(C830),ISNUMBER(F830)),(F830-C830),"")</f>
        <v/>
      </c>
    </row>
    <row r="831">
      <c r="A831" s="3" t="inlineStr">
        <is>
          <t>1023203</t>
        </is>
      </c>
      <c r="B831" s="3" t="inlineStr">
        <is>
          <t>629</t>
        </is>
      </c>
      <c r="C831" s="10" t="n">
        <v>45680.63268518518</v>
      </c>
      <c r="D831" s="3" t="inlineStr">
        <is>
          <t>OBT230125174306-Other sidings north</t>
        </is>
      </c>
      <c r="E831" s="10" t="n">
        <v>45680.73826388889</v>
      </c>
      <c r="F831" s="10" t="n">
        <v>45681.67775462963</v>
      </c>
      <c r="G831" s="11">
        <f>IF(AND(ISNUMBER(C831),ISNUMBER(E831)),(E831-C831),"")</f>
        <v/>
      </c>
      <c r="H831" s="11">
        <f>IF(AND(ISNUMBER(C831),ISNUMBER(F831)),(F831-C831),"")</f>
        <v/>
      </c>
    </row>
    <row r="832">
      <c r="A832" s="3" t="inlineStr">
        <is>
          <t>1023204</t>
        </is>
      </c>
      <c r="B832" s="3" t="inlineStr">
        <is>
          <t>623</t>
        </is>
      </c>
      <c r="C832" s="10" t="n">
        <v>45680.63440972222</v>
      </c>
      <c r="D832" s="3" t="inlineStr">
        <is>
          <t>OBT240125044723-Neudörfl (FunderMax)</t>
        </is>
      </c>
      <c r="E832" s="10" t="n">
        <v>45681.19957175926</v>
      </c>
      <c r="F832" s="10" t="n">
        <v>45684.22171296296</v>
      </c>
      <c r="G832" s="11">
        <f>IF(AND(ISNUMBER(C832),ISNUMBER(E832)),(E832-C832),"")</f>
        <v/>
      </c>
      <c r="H832" s="11">
        <f>IF(AND(ISNUMBER(C832),ISNUMBER(F832)),(F832-C832),"")</f>
        <v/>
      </c>
    </row>
    <row r="833">
      <c r="A833" s="3" t="inlineStr">
        <is>
          <t>1023205</t>
        </is>
      </c>
      <c r="B833" s="3" t="inlineStr">
        <is>
          <t>629</t>
        </is>
      </c>
      <c r="C833" s="10" t="n">
        <v>45680.63635416667</v>
      </c>
      <c r="D833" s="3" t="inlineStr">
        <is>
          <t>OBT230125174306-Other sidings north</t>
        </is>
      </c>
      <c r="E833" s="10" t="n">
        <v>45680.73826388889</v>
      </c>
      <c r="F833" s="10" t="n">
        <v>45681.67775462963</v>
      </c>
      <c r="G833" s="11">
        <f>IF(AND(ISNUMBER(C833),ISNUMBER(E833)),(E833-C833),"")</f>
        <v/>
      </c>
      <c r="H833" s="11">
        <f>IF(AND(ISNUMBER(C833),ISNUMBER(F833)),(F833-C833),"")</f>
        <v/>
      </c>
    </row>
    <row r="834">
      <c r="A834" s="3" t="inlineStr">
        <is>
          <t>1023206</t>
        </is>
      </c>
      <c r="B834" s="3" t="inlineStr">
        <is>
          <t>627</t>
        </is>
      </c>
      <c r="C834" s="10" t="n">
        <v>45680.63822916667</v>
      </c>
      <c r="D834" s="3" t="inlineStr">
        <is>
          <t>OBT240125090519-Wien Kledering</t>
        </is>
      </c>
      <c r="E834" s="10" t="n">
        <v>45681.37869212963</v>
      </c>
      <c r="F834" s="10" t="n">
        <v>45684.34549768519</v>
      </c>
      <c r="G834" s="11">
        <f>IF(AND(ISNUMBER(C834),ISNUMBER(E834)),(E834-C834),"")</f>
        <v/>
      </c>
      <c r="H834" s="11">
        <f>IF(AND(ISNUMBER(C834),ISNUMBER(F834)),(F834-C834),"")</f>
        <v/>
      </c>
    </row>
    <row r="835">
      <c r="A835" s="3" t="inlineStr">
        <is>
          <t>1023501</t>
        </is>
      </c>
      <c r="B835" s="3" t="inlineStr">
        <is>
          <t>619</t>
        </is>
      </c>
      <c r="C835" s="10" t="n">
        <v>45680.73049768519</v>
      </c>
      <c r="D835" s="3" t="inlineStr">
        <is>
          <t>OBT240125030555-Neunkirchen (loading tracks)</t>
        </is>
      </c>
      <c r="E835" s="10" t="n">
        <v>45681.1291087963</v>
      </c>
      <c r="F835" s="10" t="n">
        <v>45683.79012731482</v>
      </c>
      <c r="G835" s="11">
        <f>IF(AND(ISNUMBER(C835),ISNUMBER(E835)),(E835-C835),"")</f>
        <v/>
      </c>
      <c r="H835" s="11">
        <f>IF(AND(ISNUMBER(C835),ISNUMBER(F835)),(F835-C835),"")</f>
        <v/>
      </c>
    </row>
    <row r="836">
      <c r="A836" s="3" t="inlineStr">
        <is>
          <t>1023502</t>
        </is>
      </c>
      <c r="B836" s="3" t="inlineStr">
        <is>
          <t>627</t>
        </is>
      </c>
      <c r="C836" s="10" t="n">
        <v>45680.73240740741</v>
      </c>
      <c r="D836" s="3" t="inlineStr">
        <is>
          <t>OBT240125090519-Wien Kledering</t>
        </is>
      </c>
      <c r="E836" s="10" t="n">
        <v>45681.37869212963</v>
      </c>
      <c r="F836" s="10" t="n">
        <v>45684.34549768519</v>
      </c>
      <c r="G836" s="11">
        <f>IF(AND(ISNUMBER(C836),ISNUMBER(E836)),(E836-C836),"")</f>
        <v/>
      </c>
      <c r="H836" s="11">
        <f>IF(AND(ISNUMBER(C836),ISNUMBER(F836)),(F836-C836),"")</f>
        <v/>
      </c>
    </row>
    <row r="837">
      <c r="A837" s="3" t="inlineStr">
        <is>
          <t>1023503</t>
        </is>
      </c>
      <c r="B837" s="3" t="inlineStr">
        <is>
          <t>629</t>
        </is>
      </c>
      <c r="C837" s="10" t="n">
        <v>45680.734375</v>
      </c>
      <c r="D837" s="3" t="inlineStr">
        <is>
          <t>OBT230125174306-Other sidings north</t>
        </is>
      </c>
      <c r="E837" s="10" t="n">
        <v>45680.73826388889</v>
      </c>
      <c r="F837" s="10" t="n">
        <v>45681.67775462963</v>
      </c>
      <c r="G837" s="11">
        <f>IF(AND(ISNUMBER(C837),ISNUMBER(E837)),(E837-C837),"")</f>
        <v/>
      </c>
      <c r="H837" s="11">
        <f>IF(AND(ISNUMBER(C837),ISNUMBER(F837)),(F837-C837),"")</f>
        <v/>
      </c>
    </row>
    <row r="838">
      <c r="A838" s="3" t="inlineStr">
        <is>
          <t>1023504</t>
        </is>
      </c>
      <c r="B838" s="3" t="inlineStr">
        <is>
          <t>615</t>
        </is>
      </c>
      <c r="C838" s="10" t="n">
        <v>45680.73556712963</v>
      </c>
      <c r="D838" s="3" t="inlineStr">
        <is>
          <t>OBT240125031427-Wr. Neustadt (Hödlmayr)</t>
        </is>
      </c>
      <c r="E838" s="10" t="n">
        <v>45681.13503472223</v>
      </c>
      <c r="F838" s="10" t="n">
        <v>45684.15423611111</v>
      </c>
      <c r="G838" s="11">
        <f>IF(AND(ISNUMBER(C838),ISNUMBER(E838)),(E838-C838),"")</f>
        <v/>
      </c>
      <c r="H838" s="11">
        <f>IF(AND(ISNUMBER(C838),ISNUMBER(F838)),(F838-C838),"")</f>
        <v/>
      </c>
    </row>
    <row r="839">
      <c r="A839" s="3" t="inlineStr">
        <is>
          <t>1023505</t>
        </is>
      </c>
      <c r="B839" s="3" t="inlineStr">
        <is>
          <t>607</t>
        </is>
      </c>
      <c r="C839" s="10" t="n">
        <v>45680.7371875</v>
      </c>
      <c r="D839" s="3" t="inlineStr">
        <is>
          <t>OBT230125175458-Wr. Neustadt Ausfahrbf (Furtenbach)</t>
        </is>
      </c>
      <c r="E839" s="10" t="n">
        <v>45680.74650462963</v>
      </c>
      <c r="F839" s="10" t="n">
        <v>45681.7580787037</v>
      </c>
      <c r="G839" s="11">
        <f>IF(AND(ISNUMBER(C839),ISNUMBER(E839)),(E839-C839),"")</f>
        <v/>
      </c>
      <c r="H839" s="11">
        <f>IF(AND(ISNUMBER(C839),ISNUMBER(F839)),(F839-C839),"")</f>
        <v/>
      </c>
    </row>
    <row r="840">
      <c r="A840" s="3" t="inlineStr">
        <is>
          <t>1023506</t>
        </is>
      </c>
      <c r="B840" s="3" t="inlineStr">
        <is>
          <t>623</t>
        </is>
      </c>
      <c r="C840" s="10" t="n">
        <v>45680.73893518518</v>
      </c>
      <c r="D840" s="3" t="inlineStr">
        <is>
          <t>OBT240125044723-Neudörfl (FunderMax)</t>
        </is>
      </c>
      <c r="E840" s="10" t="n">
        <v>45681.19957175926</v>
      </c>
      <c r="F840" s="10" t="n">
        <v>45684.22171296296</v>
      </c>
      <c r="G840" s="11">
        <f>IF(AND(ISNUMBER(C840),ISNUMBER(E840)),(E840-C840),"")</f>
        <v/>
      </c>
      <c r="H840" s="11">
        <f>IF(AND(ISNUMBER(C840),ISNUMBER(F840)),(F840-C840),"")</f>
        <v/>
      </c>
    </row>
    <row r="841">
      <c r="A841" s="3" t="inlineStr">
        <is>
          <t>1023507</t>
        </is>
      </c>
      <c r="B841" s="3" t="inlineStr">
        <is>
          <t>625</t>
        </is>
      </c>
      <c r="C841" s="10" t="n">
        <v>45680.74096064815</v>
      </c>
      <c r="D841" s="3" t="inlineStr">
        <is>
          <t>OBT240125093343-Pitten (Hamburger)</t>
        </is>
      </c>
      <c r="E841" s="10" t="n">
        <v>45681.39841435185</v>
      </c>
      <c r="F841" s="10" t="n">
        <v>45684.37153935185</v>
      </c>
      <c r="G841" s="11">
        <f>IF(AND(ISNUMBER(C841),ISNUMBER(E841)),(E841-C841),"")</f>
        <v/>
      </c>
      <c r="H841" s="11">
        <f>IF(AND(ISNUMBER(C841),ISNUMBER(F841)),(F841-C841),"")</f>
        <v/>
      </c>
    </row>
    <row r="842">
      <c r="A842" s="3" t="inlineStr">
        <is>
          <t>1023508</t>
        </is>
      </c>
      <c r="B842" s="3" t="inlineStr">
        <is>
          <t>607</t>
        </is>
      </c>
      <c r="C842" s="10" t="n">
        <v>45680.74258101852</v>
      </c>
      <c r="D842" s="3" t="inlineStr">
        <is>
          <t>OBT230125175458-Wr. Neustadt Ausfahrbf (Furtenbach)</t>
        </is>
      </c>
      <c r="E842" s="10" t="n">
        <v>45680.74650462963</v>
      </c>
      <c r="F842" s="10" t="n">
        <v>45681.7580787037</v>
      </c>
      <c r="G842" s="11">
        <f>IF(AND(ISNUMBER(C842),ISNUMBER(E842)),(E842-C842),"")</f>
        <v/>
      </c>
      <c r="H842" s="11">
        <f>IF(AND(ISNUMBER(C842),ISNUMBER(F842)),(F842-C842),"")</f>
        <v/>
      </c>
    </row>
    <row r="843">
      <c r="A843" s="3" t="inlineStr">
        <is>
          <t>1023509</t>
        </is>
      </c>
      <c r="B843" s="3" t="inlineStr">
        <is>
          <t>615</t>
        </is>
      </c>
      <c r="C843" s="10" t="n">
        <v>45680.74373842592</v>
      </c>
      <c r="D843" s="3" t="inlineStr">
        <is>
          <t>OBT240125031427-Wr. Neustadt (Hödlmayr)</t>
        </is>
      </c>
      <c r="E843" s="10" t="n">
        <v>45681.13503472223</v>
      </c>
      <c r="F843" s="10" t="n">
        <v>45684.15423611111</v>
      </c>
      <c r="G843" s="11">
        <f>IF(AND(ISNUMBER(C843),ISNUMBER(E843)),(E843-C843),"")</f>
        <v/>
      </c>
      <c r="H843" s="11">
        <f>IF(AND(ISNUMBER(C843),ISNUMBER(F843)),(F843-C843),"")</f>
        <v/>
      </c>
    </row>
    <row r="844">
      <c r="A844" s="3" t="inlineStr">
        <is>
          <t>1023510</t>
        </is>
      </c>
      <c r="B844" s="3" t="inlineStr">
        <is>
          <t>629</t>
        </is>
      </c>
      <c r="C844" s="10" t="n">
        <v>45680.74564814815</v>
      </c>
      <c r="D844" s="3" t="inlineStr">
        <is>
          <t>OBT240125152920-Pitten (Hamburger)</t>
        </is>
      </c>
      <c r="E844" s="10" t="n">
        <v>45681.64537037037</v>
      </c>
      <c r="F844" s="10" t="n">
        <v>45684.5582175926</v>
      </c>
      <c r="G844" s="11">
        <f>IF(AND(ISNUMBER(C844),ISNUMBER(E844)),(E844-C844),"")</f>
        <v/>
      </c>
      <c r="H844" s="11">
        <f>IF(AND(ISNUMBER(C844),ISNUMBER(F844)),(F844-C844),"")</f>
        <v/>
      </c>
    </row>
    <row r="845">
      <c r="A845" s="3" t="inlineStr">
        <is>
          <t>1023511</t>
        </is>
      </c>
      <c r="B845" s="3" t="inlineStr">
        <is>
          <t>613</t>
        </is>
      </c>
      <c r="C845" s="10" t="n">
        <v>45680.74716435185</v>
      </c>
      <c r="D845" s="3" t="inlineStr">
        <is>
          <t>OBT230125175919-Pitten (Hamburger)</t>
        </is>
      </c>
      <c r="E845" s="10" t="n">
        <v>45680.74952546296</v>
      </c>
      <c r="F845" s="10" t="n">
        <v>45681.76310185185</v>
      </c>
      <c r="G845" s="11">
        <f>IF(AND(ISNUMBER(C845),ISNUMBER(E845)),(E845-C845),"")</f>
        <v/>
      </c>
      <c r="H845" s="11">
        <f>IF(AND(ISNUMBER(C845),ISNUMBER(F845)),(F845-C845),"")</f>
        <v/>
      </c>
    </row>
    <row r="846">
      <c r="A846" s="3" t="inlineStr">
        <is>
          <t>1023512</t>
        </is>
      </c>
      <c r="B846" s="3" t="inlineStr">
        <is>
          <t>615</t>
        </is>
      </c>
      <c r="C846" s="10" t="n">
        <v>45680.74832175926</v>
      </c>
      <c r="D846" s="3" t="inlineStr">
        <is>
          <t>OBT240125031427-Wr. Neustadt (Hödlmayr)</t>
        </is>
      </c>
      <c r="E846" s="10" t="n">
        <v>45681.13503472223</v>
      </c>
      <c r="F846" s="10" t="n">
        <v>45684.15423611111</v>
      </c>
      <c r="G846" s="11">
        <f>IF(AND(ISNUMBER(C846),ISNUMBER(E846)),(E846-C846),"")</f>
        <v/>
      </c>
      <c r="H846" s="11">
        <f>IF(AND(ISNUMBER(C846),ISNUMBER(F846)),(F846-C846),"")</f>
        <v/>
      </c>
    </row>
    <row r="847">
      <c r="A847" s="3" t="inlineStr">
        <is>
          <t>1023601</t>
        </is>
      </c>
      <c r="B847" s="3" t="inlineStr">
        <is>
          <t>609</t>
        </is>
      </c>
      <c r="C847" s="10" t="n">
        <v>45680.75112268519</v>
      </c>
      <c r="D847" s="3" t="inlineStr">
        <is>
          <t>OBT230125211356-Wien Kledering</t>
        </is>
      </c>
      <c r="E847" s="10" t="n">
        <v>45680.88467592592</v>
      </c>
      <c r="F847" s="10" t="n">
        <v>45682.11563657408</v>
      </c>
      <c r="G847" s="11">
        <f>IF(AND(ISNUMBER(C847),ISNUMBER(E847)),(E847-C847),"")</f>
        <v/>
      </c>
      <c r="H847" s="11">
        <f>IF(AND(ISNUMBER(C847),ISNUMBER(F847)),(F847-C847),"")</f>
        <v/>
      </c>
    </row>
    <row r="848">
      <c r="A848" s="3" t="inlineStr">
        <is>
          <t>1023701</t>
        </is>
      </c>
      <c r="B848" s="3" t="inlineStr">
        <is>
          <t>609</t>
        </is>
      </c>
      <c r="C848" s="10" t="n">
        <v>45680.88112268518</v>
      </c>
      <c r="D848" s="3" t="inlineStr">
        <is>
          <t>OBT230125211356-Wien Kledering</t>
        </is>
      </c>
      <c r="E848" s="10" t="n">
        <v>45680.88467592592</v>
      </c>
      <c r="F848" s="10" t="n">
        <v>45682.11563657408</v>
      </c>
      <c r="G848" s="11">
        <f>IF(AND(ISNUMBER(C848),ISNUMBER(E848)),(E848-C848),"")</f>
        <v/>
      </c>
      <c r="H848" s="11">
        <f>IF(AND(ISNUMBER(C848),ISNUMBER(F848)),(F848-C848),"")</f>
        <v/>
      </c>
    </row>
    <row r="849">
      <c r="A849" s="3" t="inlineStr">
        <is>
          <t>1023801</t>
        </is>
      </c>
      <c r="B849" s="3" t="inlineStr">
        <is>
          <t>627</t>
        </is>
      </c>
      <c r="C849" s="10" t="n">
        <v>45681.12440972222</v>
      </c>
      <c r="D849" s="3" t="inlineStr">
        <is>
          <t>OBT240125090519-Wien Kledering</t>
        </is>
      </c>
      <c r="E849" s="10" t="n">
        <v>45681.37869212963</v>
      </c>
      <c r="F849" s="10" t="n">
        <v>45684.34549768519</v>
      </c>
      <c r="G849" s="11">
        <f>IF(AND(ISNUMBER(C849),ISNUMBER(E849)),(E849-C849),"")</f>
        <v/>
      </c>
      <c r="H849" s="11">
        <f>IF(AND(ISNUMBER(C849),ISNUMBER(F849)),(F849-C849),"")</f>
        <v/>
      </c>
    </row>
    <row r="850">
      <c r="A850" s="3" t="inlineStr">
        <is>
          <t>1023802</t>
        </is>
      </c>
      <c r="B850" s="3" t="inlineStr">
        <is>
          <t>619</t>
        </is>
      </c>
      <c r="C850" s="10" t="n">
        <v>45681.12671296296</v>
      </c>
      <c r="D850" s="3" t="inlineStr">
        <is>
          <t>OBT240125030555-Neunkirchen (loading tracks)</t>
        </is>
      </c>
      <c r="E850" s="10" t="n">
        <v>45681.1291087963</v>
      </c>
      <c r="F850" s="10" t="n">
        <v>45683.79012731482</v>
      </c>
      <c r="G850" s="11">
        <f>IF(AND(ISNUMBER(C850),ISNUMBER(E850)),(E850-C850),"")</f>
        <v/>
      </c>
      <c r="H850" s="11">
        <f>IF(AND(ISNUMBER(C850),ISNUMBER(F850)),(F850-C850),"")</f>
        <v/>
      </c>
    </row>
    <row r="851">
      <c r="A851" s="3" t="inlineStr">
        <is>
          <t>1023803</t>
        </is>
      </c>
      <c r="B851" s="3" t="inlineStr">
        <is>
          <t>615</t>
        </is>
      </c>
      <c r="C851" s="10" t="n">
        <v>45681.12791666666</v>
      </c>
      <c r="D851" s="3" t="inlineStr">
        <is>
          <t>OBT240125031427-Wr. Neustadt (Hödlmayr)</t>
        </is>
      </c>
      <c r="E851" s="10" t="n">
        <v>45681.13503472223</v>
      </c>
      <c r="F851" s="10" t="n">
        <v>45684.15423611111</v>
      </c>
      <c r="G851" s="11">
        <f>IF(AND(ISNUMBER(C851),ISNUMBER(E851)),(E851-C851),"")</f>
        <v/>
      </c>
      <c r="H851" s="11">
        <f>IF(AND(ISNUMBER(C851),ISNUMBER(F851)),(F851-C851),"")</f>
        <v/>
      </c>
    </row>
    <row r="852">
      <c r="A852" s="3" t="inlineStr">
        <is>
          <t>1023804</t>
        </is>
      </c>
      <c r="B852" s="3" t="inlineStr">
        <is>
          <t>621</t>
        </is>
      </c>
      <c r="C852" s="10" t="n">
        <v>45681.12986111111</v>
      </c>
      <c r="D852" s="3" t="inlineStr">
        <is>
          <t>OBT240125174924-Wien Kledering</t>
        </is>
      </c>
      <c r="E852" s="10" t="n">
        <v>45681.74263888889</v>
      </c>
      <c r="F852" s="10" t="n">
        <v>45684.69333333334</v>
      </c>
      <c r="G852" s="11">
        <f>IF(AND(ISNUMBER(C852),ISNUMBER(E852)),(E852-C852),"")</f>
        <v/>
      </c>
      <c r="H852" s="11">
        <f>IF(AND(ISNUMBER(C852),ISNUMBER(F852)),(F852-C852),"")</f>
        <v/>
      </c>
    </row>
    <row r="853">
      <c r="A853" s="3" t="inlineStr">
        <is>
          <t>1023805</t>
        </is>
      </c>
      <c r="B853" s="3" t="inlineStr">
        <is>
          <t>615</t>
        </is>
      </c>
      <c r="C853" s="10" t="n">
        <v>45681.13111111111</v>
      </c>
      <c r="D853" s="3" t="inlineStr">
        <is>
          <t>OBT240125031427-Wr. Neustadt (Hödlmayr)</t>
        </is>
      </c>
      <c r="E853" s="10" t="n">
        <v>45681.13503472223</v>
      </c>
      <c r="F853" s="10" t="n">
        <v>45684.15423611111</v>
      </c>
      <c r="G853" s="11">
        <f>IF(AND(ISNUMBER(C853),ISNUMBER(E853)),(E853-C853),"")</f>
        <v/>
      </c>
      <c r="H853" s="11">
        <f>IF(AND(ISNUMBER(C853),ISNUMBER(F853)),(F853-C853),"")</f>
        <v/>
      </c>
    </row>
    <row r="854">
      <c r="A854" s="3" t="inlineStr">
        <is>
          <t>1023901</t>
        </is>
      </c>
      <c r="B854" s="3" t="inlineStr">
        <is>
          <t>623</t>
        </is>
      </c>
      <c r="C854" s="10" t="n">
        <v>45681.19717592592</v>
      </c>
      <c r="D854" s="3" t="inlineStr">
        <is>
          <t>OBT240125044723-Neudörfl (FunderMax)</t>
        </is>
      </c>
      <c r="E854" s="10" t="n">
        <v>45681.19957175926</v>
      </c>
      <c r="F854" s="10" t="n">
        <v>45684.22171296296</v>
      </c>
      <c r="G854" s="11">
        <f>IF(AND(ISNUMBER(C854),ISNUMBER(E854)),(E854-C854),"")</f>
        <v/>
      </c>
      <c r="H854" s="11">
        <f>IF(AND(ISNUMBER(C854),ISNUMBER(F854)),(F854-C854),"")</f>
        <v/>
      </c>
    </row>
    <row r="855">
      <c r="A855" s="3" t="inlineStr">
        <is>
          <t>1024001</t>
        </is>
      </c>
      <c r="B855" s="3" t="inlineStr">
        <is>
          <t>615</t>
        </is>
      </c>
      <c r="C855" s="10" t="n">
        <v>45681.26759259259</v>
      </c>
      <c r="D855" s="3" t="inlineStr">
        <is>
          <t>OBT240125062847-Wien Kledering</t>
        </is>
      </c>
      <c r="E855" s="10" t="n">
        <v>45681.26998842593</v>
      </c>
      <c r="F855" s="10" t="n">
        <v>45684.33891203703</v>
      </c>
      <c r="G855" s="11">
        <f>IF(AND(ISNUMBER(C855),ISNUMBER(E855)),(E855-C855),"")</f>
        <v/>
      </c>
      <c r="H855" s="11">
        <f>IF(AND(ISNUMBER(C855),ISNUMBER(F855)),(F855-C855),"")</f>
        <v/>
      </c>
    </row>
    <row r="856">
      <c r="A856" s="3" t="inlineStr">
        <is>
          <t>1024101</t>
        </is>
      </c>
      <c r="B856" s="3" t="inlineStr">
        <is>
          <t>606</t>
        </is>
      </c>
      <c r="C856" s="10" t="n">
        <v>45681.29920138889</v>
      </c>
      <c r="D856" s="3" t="inlineStr">
        <is>
          <t>OBT240125071418-Wien Kledering</t>
        </is>
      </c>
      <c r="E856" s="10" t="n">
        <v>45681.30159722222</v>
      </c>
      <c r="F856" s="10" t="n">
        <v>45684.36614583333</v>
      </c>
      <c r="G856" s="11">
        <f>IF(AND(ISNUMBER(C856),ISNUMBER(E856)),(E856-C856),"")</f>
        <v/>
      </c>
      <c r="H856" s="11">
        <f>IF(AND(ISNUMBER(C856),ISNUMBER(F856)),(F856-C856),"")</f>
        <v/>
      </c>
    </row>
    <row r="857">
      <c r="A857" s="3" t="inlineStr">
        <is>
          <t>1024201</t>
        </is>
      </c>
      <c r="B857" s="3" t="inlineStr">
        <is>
          <t>615</t>
        </is>
      </c>
      <c r="C857" s="10" t="n">
        <v>45681.32200231482</v>
      </c>
      <c r="D857" s="3" t="inlineStr">
        <is>
          <t>OBT240125101450-St. Veit an der Glan</t>
        </is>
      </c>
      <c r="E857" s="10" t="n">
        <v>45681.42696759259</v>
      </c>
      <c r="F857" s="10" t="n">
        <v>45684.39018518518</v>
      </c>
      <c r="G857" s="11">
        <f>IF(AND(ISNUMBER(C857),ISNUMBER(E857)),(E857-C857),"")</f>
        <v/>
      </c>
      <c r="H857" s="11">
        <f>IF(AND(ISNUMBER(C857),ISNUMBER(F857)),(F857-C857),"")</f>
        <v/>
      </c>
    </row>
    <row r="858">
      <c r="A858" s="3" t="inlineStr">
        <is>
          <t>1024202</t>
        </is>
      </c>
      <c r="B858" s="3" t="inlineStr">
        <is>
          <t>621</t>
        </is>
      </c>
      <c r="C858" s="10" t="n">
        <v>45681.32395833333</v>
      </c>
      <c r="D858" s="3" t="inlineStr">
        <is>
          <t>OBT240125174924-Wien Kledering</t>
        </is>
      </c>
      <c r="E858" s="10" t="n">
        <v>45681.74263888889</v>
      </c>
      <c r="F858" s="10" t="n">
        <v>45684.69333333334</v>
      </c>
      <c r="G858" s="11">
        <f>IF(AND(ISNUMBER(C858),ISNUMBER(E858)),(E858-C858),"")</f>
        <v/>
      </c>
      <c r="H858" s="11">
        <f>IF(AND(ISNUMBER(C858),ISNUMBER(F858)),(F858-C858),"")</f>
        <v/>
      </c>
    </row>
    <row r="859">
      <c r="A859" s="3" t="inlineStr">
        <is>
          <t>1024206</t>
        </is>
      </c>
      <c r="B859" s="3" t="inlineStr">
        <is>
          <t>615</t>
        </is>
      </c>
      <c r="C859" s="10" t="n">
        <v>45681.32513888889</v>
      </c>
      <c r="D859" s="3" t="inlineStr">
        <is>
          <t>OBT240125101450-St. Veit an der Glan</t>
        </is>
      </c>
      <c r="E859" s="10" t="n">
        <v>45681.42696759259</v>
      </c>
      <c r="F859" s="10" t="n">
        <v>45684.39018518518</v>
      </c>
      <c r="G859" s="11">
        <f>IF(AND(ISNUMBER(C859),ISNUMBER(E859)),(E859-C859),"")</f>
        <v/>
      </c>
      <c r="H859" s="11">
        <f>IF(AND(ISNUMBER(C859),ISNUMBER(F859)),(F859-C859),"")</f>
        <v/>
      </c>
    </row>
    <row r="860">
      <c r="A860" s="3" t="inlineStr">
        <is>
          <t>1024208</t>
        </is>
      </c>
      <c r="B860" s="3" t="inlineStr">
        <is>
          <t>621</t>
        </is>
      </c>
      <c r="C860" s="10" t="n">
        <v>45681.32708333333</v>
      </c>
      <c r="D860" s="3" t="inlineStr">
        <is>
          <t>OBT240125174924-Wien Kledering</t>
        </is>
      </c>
      <c r="E860" s="10" t="n">
        <v>45681.74263888889</v>
      </c>
      <c r="F860" s="10" t="n">
        <v>45684.69333333334</v>
      </c>
      <c r="G860" s="11">
        <f>IF(AND(ISNUMBER(C860),ISNUMBER(E860)),(E860-C860),"")</f>
        <v/>
      </c>
      <c r="H860" s="11">
        <f>IF(AND(ISNUMBER(C860),ISNUMBER(F860)),(F860-C860),"")</f>
        <v/>
      </c>
    </row>
    <row r="861">
      <c r="A861" s="3" t="inlineStr">
        <is>
          <t>1024210</t>
        </is>
      </c>
      <c r="B861" s="3" t="inlineStr">
        <is>
          <t>623</t>
        </is>
      </c>
      <c r="C861" s="10" t="n">
        <v>45681.32884259259</v>
      </c>
      <c r="D861" s="3" t="inlineStr">
        <is>
          <t>OBT270125065248-Wien Kledering</t>
        </is>
      </c>
      <c r="E861" s="10" t="n">
        <v>45684.28666666667</v>
      </c>
      <c r="F861" s="10" t="n">
        <v>45685.37634259259</v>
      </c>
      <c r="G861" s="11">
        <f>IF(AND(ISNUMBER(C861),ISNUMBER(E861)),(E861-C861),"")</f>
        <v/>
      </c>
      <c r="H861" s="11">
        <f>IF(AND(ISNUMBER(C861),ISNUMBER(F861)),(F861-C861),"")</f>
        <v/>
      </c>
    </row>
    <row r="862">
      <c r="A862" s="3" t="inlineStr">
        <is>
          <t>1024213</t>
        </is>
      </c>
      <c r="B862" s="3" t="inlineStr">
        <is>
          <t>607</t>
        </is>
      </c>
      <c r="C862" s="10" t="n">
        <v>45681.33050925926</v>
      </c>
      <c r="D862" s="3" t="inlineStr">
        <is>
          <t>OBT260125181754-Neudörfl (FunderMax)</t>
        </is>
      </c>
      <c r="E862" s="10" t="n">
        <v>45683.76243055556</v>
      </c>
      <c r="F862" s="10" t="n">
        <v>45684.91208333334</v>
      </c>
      <c r="G862" s="11">
        <f>IF(AND(ISNUMBER(C862),ISNUMBER(E862)),(E862-C862),"")</f>
        <v/>
      </c>
      <c r="H862" s="11">
        <f>IF(AND(ISNUMBER(C862),ISNUMBER(F862)),(F862-C862),"")</f>
        <v/>
      </c>
    </row>
    <row r="863">
      <c r="A863" s="3" t="inlineStr">
        <is>
          <t>1024401</t>
        </is>
      </c>
      <c r="B863" s="3" t="inlineStr">
        <is>
          <t>615</t>
        </is>
      </c>
      <c r="C863" s="10" t="n">
        <v>45681.37418981481</v>
      </c>
      <c r="D863" s="3" t="inlineStr">
        <is>
          <t>OBT240125101450-St. Veit an der Glan</t>
        </is>
      </c>
      <c r="E863" s="10" t="n">
        <v>45681.42696759259</v>
      </c>
      <c r="F863" s="10" t="n">
        <v>45684.39018518518</v>
      </c>
      <c r="G863" s="11">
        <f>IF(AND(ISNUMBER(C863),ISNUMBER(E863)),(E863-C863),"")</f>
        <v/>
      </c>
      <c r="H863" s="11">
        <f>IF(AND(ISNUMBER(C863),ISNUMBER(F863)),(F863-C863),"")</f>
        <v/>
      </c>
    </row>
    <row r="864">
      <c r="A864" s="3" t="inlineStr">
        <is>
          <t>1024402</t>
        </is>
      </c>
      <c r="B864" s="3" t="inlineStr">
        <is>
          <t>627</t>
        </is>
      </c>
      <c r="C864" s="10" t="n">
        <v>45681.37631944445</v>
      </c>
      <c r="D864" s="3" t="inlineStr">
        <is>
          <t>OBT240125090519-Wien Kledering</t>
        </is>
      </c>
      <c r="E864" s="10" t="n">
        <v>45681.37869212963</v>
      </c>
      <c r="F864" s="10" t="n">
        <v>45684.34549768519</v>
      </c>
      <c r="G864" s="11">
        <f>IF(AND(ISNUMBER(C864),ISNUMBER(E864)),(E864-C864),"")</f>
        <v/>
      </c>
      <c r="H864" s="11">
        <f>IF(AND(ISNUMBER(C864),ISNUMBER(F864)),(F864-C864),"")</f>
        <v/>
      </c>
    </row>
    <row r="865">
      <c r="A865" s="3" t="inlineStr">
        <is>
          <t>1024501</t>
        </is>
      </c>
      <c r="B865" s="3" t="inlineStr">
        <is>
          <t>615</t>
        </is>
      </c>
      <c r="C865" s="10" t="n">
        <v>45681.39192129629</v>
      </c>
      <c r="D865" s="3" t="inlineStr">
        <is>
          <t>OBT240125101450-St. Veit an der Glan</t>
        </is>
      </c>
      <c r="E865" s="10" t="n">
        <v>45681.42696759259</v>
      </c>
      <c r="F865" s="10" t="n">
        <v>45684.39018518518</v>
      </c>
      <c r="G865" s="11">
        <f>IF(AND(ISNUMBER(C865),ISNUMBER(E865)),(E865-C865),"")</f>
        <v/>
      </c>
      <c r="H865" s="11">
        <f>IF(AND(ISNUMBER(C865),ISNUMBER(F865)),(F865-C865),"")</f>
        <v/>
      </c>
    </row>
    <row r="866">
      <c r="A866" s="3" t="inlineStr">
        <is>
          <t>1024502</t>
        </is>
      </c>
      <c r="B866" s="3" t="inlineStr">
        <is>
          <t>623</t>
        </is>
      </c>
      <c r="C866" s="10" t="n">
        <v>45681.39364583333</v>
      </c>
      <c r="D866" s="3" t="inlineStr">
        <is>
          <t>OBT270125065248-Wien Kledering</t>
        </is>
      </c>
      <c r="E866" s="10" t="n">
        <v>45684.28666666667</v>
      </c>
      <c r="F866" s="10" t="n">
        <v>45685.37634259259</v>
      </c>
      <c r="G866" s="11">
        <f>IF(AND(ISNUMBER(C866),ISNUMBER(E866)),(E866-C866),"")</f>
        <v/>
      </c>
      <c r="H866" s="11">
        <f>IF(AND(ISNUMBER(C866),ISNUMBER(F866)),(F866-C866),"")</f>
        <v/>
      </c>
    </row>
    <row r="867">
      <c r="A867" s="3" t="inlineStr">
        <is>
          <t>1024503</t>
        </is>
      </c>
      <c r="B867" s="3" t="inlineStr">
        <is>
          <t>625</t>
        </is>
      </c>
      <c r="C867" s="10" t="n">
        <v>45681.39601851852</v>
      </c>
      <c r="D867" s="3" t="inlineStr">
        <is>
          <t>OBT240125093343-Pitten (Hamburger)</t>
        </is>
      </c>
      <c r="E867" s="10" t="n">
        <v>45681.39841435185</v>
      </c>
      <c r="F867" s="10" t="n">
        <v>45684.37153935185</v>
      </c>
      <c r="G867" s="11">
        <f>IF(AND(ISNUMBER(C867),ISNUMBER(E867)),(E867-C867),"")</f>
        <v/>
      </c>
      <c r="H867" s="11">
        <f>IF(AND(ISNUMBER(C867),ISNUMBER(F867)),(F867-C867),"")</f>
        <v/>
      </c>
    </row>
    <row r="868">
      <c r="A868" s="3" t="inlineStr">
        <is>
          <t>1024505</t>
        </is>
      </c>
      <c r="B868" s="3" t="inlineStr">
        <is>
          <t>615</t>
        </is>
      </c>
      <c r="C868" s="10" t="n">
        <v>45681.39715277778</v>
      </c>
      <c r="D868" s="3" t="inlineStr">
        <is>
          <t>OBT240125101450-St. Veit an der Glan</t>
        </is>
      </c>
      <c r="E868" s="10" t="n">
        <v>45681.42696759259</v>
      </c>
      <c r="F868" s="10" t="n">
        <v>45684.39018518518</v>
      </c>
      <c r="G868" s="11">
        <f>IF(AND(ISNUMBER(C868),ISNUMBER(E868)),(E868-C868),"")</f>
        <v/>
      </c>
      <c r="H868" s="11">
        <f>IF(AND(ISNUMBER(C868),ISNUMBER(F868)),(F868-C868),"")</f>
        <v/>
      </c>
    </row>
    <row r="869">
      <c r="A869" s="3" t="inlineStr">
        <is>
          <t>1024507</t>
        </is>
      </c>
      <c r="B869" s="3" t="inlineStr">
        <is>
          <t>627</t>
        </is>
      </c>
      <c r="C869" s="10" t="n">
        <v>45681.39903935185</v>
      </c>
      <c r="D869" s="3" t="inlineStr">
        <is>
          <t>OBT270125092111-Pitten (Hamburger)</t>
        </is>
      </c>
      <c r="E869" s="10" t="n">
        <v>45684.38971064815</v>
      </c>
      <c r="F869" s="10" t="n">
        <v>45685.3706712963</v>
      </c>
      <c r="G869" s="11">
        <f>IF(AND(ISNUMBER(C869),ISNUMBER(E869)),(E869-C869),"")</f>
        <v/>
      </c>
      <c r="H869" s="11">
        <f>IF(AND(ISNUMBER(C869),ISNUMBER(F869)),(F869-C869),"")</f>
        <v/>
      </c>
    </row>
    <row r="870">
      <c r="A870" s="3" t="inlineStr">
        <is>
          <t>1024601</t>
        </is>
      </c>
      <c r="B870" s="3" t="inlineStr">
        <is>
          <t>615</t>
        </is>
      </c>
      <c r="C870" s="10" t="n">
        <v>45681.4230787037</v>
      </c>
      <c r="D870" s="3" t="inlineStr">
        <is>
          <t>OBT240125101450-St. Veit an der Glan</t>
        </is>
      </c>
      <c r="E870" s="10" t="n">
        <v>45681.42696759259</v>
      </c>
      <c r="F870" s="10" t="n">
        <v>45684.39018518518</v>
      </c>
      <c r="G870" s="11">
        <f>IF(AND(ISNUMBER(C870),ISNUMBER(E870)),(E870-C870),"")</f>
        <v/>
      </c>
      <c r="H870" s="11">
        <f>IF(AND(ISNUMBER(C870),ISNUMBER(F870)),(F870-C870),"")</f>
        <v/>
      </c>
    </row>
    <row r="871">
      <c r="A871" s="3" t="inlineStr">
        <is>
          <t>1024701</t>
        </is>
      </c>
      <c r="B871" s="3" t="inlineStr">
        <is>
          <t>605</t>
        </is>
      </c>
      <c r="C871" s="10" t="n">
        <v>45681.55148148148</v>
      </c>
      <c r="D871" s="3" t="inlineStr">
        <is>
          <t>OBT240125131735-Wien Kledering</t>
        </is>
      </c>
      <c r="E871" s="10" t="n">
        <v>45681.55387731481</v>
      </c>
      <c r="F871" s="10" t="n">
        <v>45684.42442129629</v>
      </c>
      <c r="G871" s="11">
        <f>IF(AND(ISNUMBER(C871),ISNUMBER(E871)),(E871-C871),"")</f>
        <v/>
      </c>
      <c r="H871" s="11">
        <f>IF(AND(ISNUMBER(C871),ISNUMBER(F871)),(F871-C871),"")</f>
        <v/>
      </c>
    </row>
    <row r="872">
      <c r="A872" s="3" t="inlineStr">
        <is>
          <t>1024801</t>
        </is>
      </c>
      <c r="B872" s="3" t="inlineStr">
        <is>
          <t>619</t>
        </is>
      </c>
      <c r="C872" s="10" t="n">
        <v>45681.61363425926</v>
      </c>
      <c r="D872" s="3" t="inlineStr">
        <is>
          <t>OBT240125144703-Wien Kledering</t>
        </is>
      </c>
      <c r="E872" s="10" t="n">
        <v>45681.61600694444</v>
      </c>
      <c r="F872" s="10" t="n">
        <v>45684.50633101852</v>
      </c>
      <c r="G872" s="11">
        <f>IF(AND(ISNUMBER(C872),ISNUMBER(E872)),(E872-C872),"")</f>
        <v/>
      </c>
      <c r="H872" s="11">
        <f>IF(AND(ISNUMBER(C872),ISNUMBER(F872)),(F872-C872),"")</f>
        <v/>
      </c>
    </row>
    <row r="873">
      <c r="A873" s="3" t="inlineStr">
        <is>
          <t>1024901</t>
        </is>
      </c>
      <c r="B873" s="3" t="inlineStr">
        <is>
          <t>617</t>
        </is>
      </c>
      <c r="C873" s="10" t="n">
        <v>45681.63787037037</v>
      </c>
      <c r="D873" s="3" t="inlineStr">
        <is>
          <t>OBT270125030450-Neunkirchen (loading tracks)</t>
        </is>
      </c>
      <c r="E873" s="10" t="n">
        <v>45684.12835648148</v>
      </c>
      <c r="F873" s="10" t="n">
        <v>45685.17574074074</v>
      </c>
      <c r="G873" s="11">
        <f>IF(AND(ISNUMBER(C873),ISNUMBER(E873)),(E873-C873),"")</f>
        <v/>
      </c>
      <c r="H873" s="11">
        <f>IF(AND(ISNUMBER(C873),ISNUMBER(F873)),(F873-C873),"")</f>
        <v/>
      </c>
    </row>
    <row r="874">
      <c r="A874" s="3" t="inlineStr">
        <is>
          <t>1024902</t>
        </is>
      </c>
      <c r="B874" s="3" t="inlineStr">
        <is>
          <t>615</t>
        </is>
      </c>
      <c r="C874" s="10" t="n">
        <v>45681.63912037037</v>
      </c>
      <c r="D874" s="3" t="inlineStr">
        <is>
          <t>OBT270125044934-Neudörfl (FunderMax)</t>
        </is>
      </c>
      <c r="E874" s="10" t="n">
        <v>45684.20108796296</v>
      </c>
      <c r="F874" s="10" t="n">
        <v>45685.33541666667</v>
      </c>
      <c r="G874" s="11">
        <f>IF(AND(ISNUMBER(C874),ISNUMBER(E874)),(E874-C874),"")</f>
        <v/>
      </c>
      <c r="H874" s="11">
        <f>IF(AND(ISNUMBER(C874),ISNUMBER(F874)),(F874-C874),"")</f>
        <v/>
      </c>
    </row>
    <row r="875">
      <c r="A875" s="3" t="inlineStr">
        <is>
          <t>1024903</t>
        </is>
      </c>
      <c r="B875" s="3" t="inlineStr">
        <is>
          <t>621</t>
        </is>
      </c>
      <c r="C875" s="10" t="n">
        <v>45681.64108796296</v>
      </c>
      <c r="D875" s="3" t="inlineStr">
        <is>
          <t>OBT240125174924-Wien Kledering</t>
        </is>
      </c>
      <c r="E875" s="10" t="n">
        <v>45681.74263888889</v>
      </c>
      <c r="F875" s="10" t="n">
        <v>45684.69333333334</v>
      </c>
      <c r="G875" s="11">
        <f>IF(AND(ISNUMBER(C875),ISNUMBER(E875)),(E875-C875),"")</f>
        <v/>
      </c>
      <c r="H875" s="11">
        <f>IF(AND(ISNUMBER(C875),ISNUMBER(F875)),(F875-C875),"")</f>
        <v/>
      </c>
    </row>
    <row r="876">
      <c r="A876" s="3" t="inlineStr">
        <is>
          <t>1024904</t>
        </is>
      </c>
      <c r="B876" s="3" t="inlineStr">
        <is>
          <t>629</t>
        </is>
      </c>
      <c r="C876" s="10" t="n">
        <v>45681.64319444444</v>
      </c>
      <c r="D876" s="3" t="inlineStr">
        <is>
          <t>OBT240125152920-Pitten (Hamburger)</t>
        </is>
      </c>
      <c r="E876" s="10" t="n">
        <v>45681.64537037037</v>
      </c>
      <c r="F876" s="10" t="n">
        <v>45684.5582175926</v>
      </c>
      <c r="G876" s="11">
        <f>IF(AND(ISNUMBER(C876),ISNUMBER(E876)),(E876-C876),"")</f>
        <v/>
      </c>
      <c r="H876" s="11">
        <f>IF(AND(ISNUMBER(C876),ISNUMBER(F876)),(F876-C876),"")</f>
        <v/>
      </c>
    </row>
    <row r="877">
      <c r="A877" s="3" t="inlineStr">
        <is>
          <t>1024905</t>
        </is>
      </c>
      <c r="B877" s="3" t="inlineStr">
        <is>
          <t>627</t>
        </is>
      </c>
      <c r="C877" s="10" t="n">
        <v>45681.64510416667</v>
      </c>
      <c r="D877" s="3" t="inlineStr">
        <is>
          <t>OBT270125092111-Pitten (Hamburger)</t>
        </is>
      </c>
      <c r="E877" s="10" t="n">
        <v>45684.38971064815</v>
      </c>
      <c r="F877" s="10" t="n">
        <v>45685.3706712963</v>
      </c>
      <c r="G877" s="11">
        <f>IF(AND(ISNUMBER(C877),ISNUMBER(E877)),(E877-C877),"")</f>
        <v/>
      </c>
      <c r="H877" s="11">
        <f>IF(AND(ISNUMBER(C877),ISNUMBER(F877)),(F877-C877),"")</f>
        <v/>
      </c>
    </row>
    <row r="878">
      <c r="A878" s="3" t="inlineStr">
        <is>
          <t>1024906</t>
        </is>
      </c>
      <c r="B878" s="3" t="inlineStr">
        <is>
          <t>621</t>
        </is>
      </c>
      <c r="C878" s="10" t="n">
        <v>45681.64706018518</v>
      </c>
      <c r="D878" s="3" t="inlineStr">
        <is>
          <t>OBT240125174924-Wien Kledering</t>
        </is>
      </c>
      <c r="E878" s="10" t="n">
        <v>45681.74263888889</v>
      </c>
      <c r="F878" s="10" t="n">
        <v>45684.69333333334</v>
      </c>
      <c r="G878" s="11">
        <f>IF(AND(ISNUMBER(C878),ISNUMBER(E878)),(E878-C878),"")</f>
        <v/>
      </c>
      <c r="H878" s="11">
        <f>IF(AND(ISNUMBER(C878),ISNUMBER(F878)),(F878-C878),"")</f>
        <v/>
      </c>
    </row>
    <row r="879">
      <c r="A879" s="3" t="inlineStr">
        <is>
          <t>1024908</t>
        </is>
      </c>
      <c r="B879" s="3" t="inlineStr">
        <is>
          <t>623</t>
        </is>
      </c>
      <c r="C879" s="10" t="n">
        <v>45681.64881944445</v>
      </c>
      <c r="D879" s="3" t="inlineStr">
        <is>
          <t>OBT270125065248-Wien Kledering</t>
        </is>
      </c>
      <c r="E879" s="10" t="n">
        <v>45684.28666666667</v>
      </c>
      <c r="F879" s="10" t="n">
        <v>45685.37634259259</v>
      </c>
      <c r="G879" s="11">
        <f>IF(AND(ISNUMBER(C879),ISNUMBER(E879)),(E879-C879),"")</f>
        <v/>
      </c>
      <c r="H879" s="11">
        <f>IF(AND(ISNUMBER(C879),ISNUMBER(F879)),(F879-C879),"")</f>
        <v/>
      </c>
    </row>
    <row r="880">
      <c r="A880" s="3" t="inlineStr">
        <is>
          <t>1025201</t>
        </is>
      </c>
      <c r="B880" s="3" t="inlineStr">
        <is>
          <t>611</t>
        </is>
      </c>
      <c r="C880" s="10" t="n">
        <v>45681.73693287037</v>
      </c>
      <c r="D880" s="3" t="inlineStr">
        <is>
          <t>OBT240125174436-Wien Kledering</t>
        </is>
      </c>
      <c r="E880" s="10" t="n">
        <v>45681.73930555556</v>
      </c>
      <c r="F880" s="10" t="n">
        <v>45684.63541666666</v>
      </c>
      <c r="G880" s="11">
        <f>IF(AND(ISNUMBER(C880),ISNUMBER(E880)),(E880-C880),"")</f>
        <v/>
      </c>
      <c r="H880" s="11">
        <f>IF(AND(ISNUMBER(C880),ISNUMBER(F880)),(F880-C880),"")</f>
        <v/>
      </c>
    </row>
    <row r="881">
      <c r="A881" s="3" t="inlineStr">
        <is>
          <t>1025101</t>
        </is>
      </c>
      <c r="B881" s="3" t="inlineStr">
        <is>
          <t>621</t>
        </is>
      </c>
      <c r="C881" s="10" t="n">
        <v>45681.74026620371</v>
      </c>
      <c r="D881" s="3" t="inlineStr">
        <is>
          <t>OBT240125174924-Wien Kledering</t>
        </is>
      </c>
      <c r="E881" s="10" t="n">
        <v>45681.74263888889</v>
      </c>
      <c r="F881" s="10" t="n">
        <v>45684.69333333334</v>
      </c>
      <c r="G881" s="11">
        <f>IF(AND(ISNUMBER(C881),ISNUMBER(E881)),(E881-C881),"")</f>
        <v/>
      </c>
      <c r="H881" s="11">
        <f>IF(AND(ISNUMBER(C881),ISNUMBER(F881)),(F881-C881),"")</f>
        <v/>
      </c>
    </row>
    <row r="882">
      <c r="A882" s="3" t="inlineStr">
        <is>
          <t>1025301</t>
        </is>
      </c>
      <c r="B882" s="3" t="inlineStr">
        <is>
          <t>613</t>
        </is>
      </c>
      <c r="C882" s="10" t="n">
        <v>45682.08489583333</v>
      </c>
      <c r="D882" s="3" t="inlineStr">
        <is>
          <t>OBT250125020542-Pitten (Hamburger)</t>
        </is>
      </c>
      <c r="E882" s="10" t="n">
        <v>45682.08729166666</v>
      </c>
      <c r="F882" s="10" t="n">
        <v>45684.74825231481</v>
      </c>
      <c r="G882" s="11">
        <f>IF(AND(ISNUMBER(C882),ISNUMBER(E882)),(E882-C882),"")</f>
        <v/>
      </c>
      <c r="H882" s="11">
        <f>IF(AND(ISNUMBER(C882),ISNUMBER(F882)),(F882-C882),"")</f>
        <v/>
      </c>
    </row>
    <row r="883">
      <c r="A883" s="3" t="inlineStr">
        <is>
          <t>1025302</t>
        </is>
      </c>
      <c r="B883" s="3" t="inlineStr">
        <is>
          <t>607</t>
        </is>
      </c>
      <c r="C883" s="10" t="n">
        <v>45682.08652777778</v>
      </c>
      <c r="D883" s="3" t="inlineStr">
        <is>
          <t>OBT260125181754-Neudörfl (FunderMax)</t>
        </is>
      </c>
      <c r="E883" s="10" t="n">
        <v>45683.76243055556</v>
      </c>
      <c r="F883" s="10" t="n">
        <v>45684.91208333334</v>
      </c>
      <c r="G883" s="11">
        <f>IF(AND(ISNUMBER(C883),ISNUMBER(E883)),(E883-C883),"")</f>
        <v/>
      </c>
      <c r="H883" s="11">
        <f>IF(AND(ISNUMBER(C883),ISNUMBER(F883)),(F883-C883),"")</f>
        <v/>
      </c>
    </row>
    <row r="884">
      <c r="A884" s="3" t="inlineStr">
        <is>
          <t>1025303</t>
        </is>
      </c>
      <c r="B884" s="3" t="inlineStr">
        <is>
          <t>629</t>
        </is>
      </c>
      <c r="C884" s="10" t="n">
        <v>45682.08873842593</v>
      </c>
      <c r="D884" s="3" t="inlineStr">
        <is>
          <t>OBT250125021114-Pitten (Hamburger)</t>
        </is>
      </c>
      <c r="E884" s="10" t="n">
        <v>45682.09113425926</v>
      </c>
      <c r="F884" s="10" t="n">
        <v>45684.76925925926</v>
      </c>
      <c r="G884" s="11">
        <f>IF(AND(ISNUMBER(C884),ISNUMBER(E884)),(E884-C884),"")</f>
        <v/>
      </c>
      <c r="H884" s="11">
        <f>IF(AND(ISNUMBER(C884),ISNUMBER(F884)),(F884-C884),"")</f>
        <v/>
      </c>
    </row>
    <row r="885">
      <c r="A885" s="3" t="inlineStr">
        <is>
          <t>1025401</t>
        </is>
      </c>
      <c r="B885" s="3" t="inlineStr">
        <is>
          <t>607</t>
        </is>
      </c>
      <c r="C885" s="10" t="n">
        <v>45683.75472222222</v>
      </c>
      <c r="D885" s="3" t="inlineStr">
        <is>
          <t>OBT260125181754-Neudörfl (FunderMax)</t>
        </is>
      </c>
      <c r="E885" s="10" t="n">
        <v>45683.76243055556</v>
      </c>
      <c r="F885" s="10" t="n">
        <v>45684.91208333334</v>
      </c>
      <c r="G885" s="11">
        <f>IF(AND(ISNUMBER(C885),ISNUMBER(E885)),(E885-C885),"")</f>
        <v/>
      </c>
      <c r="H885" s="11">
        <f>IF(AND(ISNUMBER(C885),ISNUMBER(F885)),(F885-C885),"")</f>
        <v/>
      </c>
    </row>
    <row r="886">
      <c r="A886" s="3" t="inlineStr">
        <is>
          <t>1025402</t>
        </is>
      </c>
      <c r="B886" s="3" t="inlineStr">
        <is>
          <t>609</t>
        </is>
      </c>
      <c r="C886" s="10" t="n">
        <v>45683.75722222222</v>
      </c>
      <c r="D886" s="3" t="inlineStr">
        <is>
          <t>OBT260125181348-Pitten (Hamburger)</t>
        </is>
      </c>
      <c r="E886" s="10" t="n">
        <v>45683.75958333333</v>
      </c>
      <c r="F886" s="10" t="n">
        <v>45684.83693287037</v>
      </c>
      <c r="G886" s="11">
        <f>IF(AND(ISNUMBER(C886),ISNUMBER(E886)),(E886-C886),"")</f>
        <v/>
      </c>
      <c r="H886" s="11">
        <f>IF(AND(ISNUMBER(C886),ISNUMBER(F886)),(F886-C886),"")</f>
        <v/>
      </c>
    </row>
    <row r="887">
      <c r="A887" s="3" t="inlineStr">
        <is>
          <t>1025403</t>
        </is>
      </c>
      <c r="B887" s="3" t="inlineStr">
        <is>
          <t>607</t>
        </is>
      </c>
      <c r="C887" s="10" t="n">
        <v>45683.75886574074</v>
      </c>
      <c r="D887" s="3" t="inlineStr">
        <is>
          <t>OBT260125181754-Neudörfl (FunderMax)</t>
        </is>
      </c>
      <c r="E887" s="10" t="n">
        <v>45683.76243055556</v>
      </c>
      <c r="F887" s="10" t="n">
        <v>45684.91208333334</v>
      </c>
      <c r="G887" s="11">
        <f>IF(AND(ISNUMBER(C887),ISNUMBER(E887)),(E887-C887),"")</f>
        <v/>
      </c>
      <c r="H887" s="11">
        <f>IF(AND(ISNUMBER(C887),ISNUMBER(F887)),(F887-C887),"")</f>
        <v/>
      </c>
    </row>
    <row r="888">
      <c r="A888" s="3" t="inlineStr">
        <is>
          <t>1025501</t>
        </is>
      </c>
      <c r="B888" s="3" t="inlineStr">
        <is>
          <t>627</t>
        </is>
      </c>
      <c r="C888" s="10" t="n">
        <v>45684.12116898148</v>
      </c>
      <c r="D888" s="3" t="inlineStr">
        <is>
          <t>OBT270125092111-Pitten (Hamburger)</t>
        </is>
      </c>
      <c r="E888" s="10" t="n">
        <v>45684.38971064815</v>
      </c>
      <c r="F888" s="10" t="n">
        <v>45685.3706712963</v>
      </c>
      <c r="G888" s="11">
        <f>IF(AND(ISNUMBER(C888),ISNUMBER(E888)),(E888-C888),"")</f>
        <v/>
      </c>
      <c r="H888" s="11">
        <f>IF(AND(ISNUMBER(C888),ISNUMBER(F888)),(F888-C888),"")</f>
        <v/>
      </c>
    </row>
    <row r="889">
      <c r="A889" s="3" t="inlineStr">
        <is>
          <t>1025502</t>
        </is>
      </c>
      <c r="B889" s="3" t="inlineStr">
        <is>
          <t>619</t>
        </is>
      </c>
      <c r="C889" s="10" t="n">
        <v>45684.12313657408</v>
      </c>
      <c r="D889" s="3" t="inlineStr">
        <is>
          <t>OBT270125144049-Wien Kledering</t>
        </is>
      </c>
      <c r="E889" s="10" t="n">
        <v>45684.61167824074</v>
      </c>
      <c r="F889" s="10" t="n">
        <v>45685.52307870371</v>
      </c>
      <c r="G889" s="11">
        <f>IF(AND(ISNUMBER(C889),ISNUMBER(E889)),(E889-C889),"")</f>
        <v/>
      </c>
      <c r="H889" s="11">
        <f>IF(AND(ISNUMBER(C889),ISNUMBER(F889)),(F889-C889),"")</f>
        <v/>
      </c>
    </row>
    <row r="890">
      <c r="A890" s="3" t="inlineStr">
        <is>
          <t>1025503</t>
        </is>
      </c>
      <c r="B890" s="3" t="inlineStr">
        <is>
          <t>617</t>
        </is>
      </c>
      <c r="C890" s="10" t="n">
        <v>45684.12480324074</v>
      </c>
      <c r="D890" s="3" t="inlineStr">
        <is>
          <t>OBT270125030450-Neunkirchen (loading tracks)</t>
        </is>
      </c>
      <c r="E890" s="10" t="n">
        <v>45684.12835648148</v>
      </c>
      <c r="F890" s="10" t="n">
        <v>45685.17574074074</v>
      </c>
      <c r="G890" s="11">
        <f>IF(AND(ISNUMBER(C890),ISNUMBER(E890)),(E890-C890),"")</f>
        <v/>
      </c>
      <c r="H890" s="11">
        <f>IF(AND(ISNUMBER(C890),ISNUMBER(F890)),(F890-C890),"")</f>
        <v/>
      </c>
    </row>
    <row r="891">
      <c r="A891" s="3" t="inlineStr">
        <is>
          <t>1025504</t>
        </is>
      </c>
      <c r="B891" s="3" t="inlineStr">
        <is>
          <t>621</t>
        </is>
      </c>
      <c r="C891" s="10" t="n">
        <v>45684.12677083333</v>
      </c>
      <c r="D891" s="3" t="inlineStr">
        <is>
          <t>OBT280125031334-St. Veit an der Glan</t>
        </is>
      </c>
      <c r="E891" s="10" t="n">
        <v>45685.13442129629</v>
      </c>
      <c r="F891" s="10" t="n">
        <v>45686.1530787037</v>
      </c>
      <c r="G891" s="11">
        <f>IF(AND(ISNUMBER(C891),ISNUMBER(E891)),(E891-C891),"")</f>
        <v/>
      </c>
      <c r="H891" s="11">
        <f>IF(AND(ISNUMBER(C891),ISNUMBER(F891)),(F891-C891),"")</f>
        <v/>
      </c>
    </row>
    <row r="892">
      <c r="A892" s="3" t="inlineStr">
        <is>
          <t>1025601</t>
        </is>
      </c>
      <c r="B892" s="3" t="inlineStr">
        <is>
          <t>615</t>
        </is>
      </c>
      <c r="C892" s="10" t="n">
        <v>45684.19871527778</v>
      </c>
      <c r="D892" s="3" t="inlineStr">
        <is>
          <t>OBT270125044934-Neudörfl (FunderMax)</t>
        </is>
      </c>
      <c r="E892" s="10" t="n">
        <v>45684.20108796296</v>
      </c>
      <c r="F892" s="10" t="n">
        <v>45685.33541666667</v>
      </c>
      <c r="G892" s="11">
        <f>IF(AND(ISNUMBER(C892),ISNUMBER(E892)),(E892-C892),"")</f>
        <v/>
      </c>
      <c r="H892" s="11">
        <f>IF(AND(ISNUMBER(C892),ISNUMBER(F892)),(F892-C892),"")</f>
        <v/>
      </c>
    </row>
    <row r="893">
      <c r="A893" s="3" t="inlineStr">
        <is>
          <t>1025701</t>
        </is>
      </c>
      <c r="B893" s="3" t="inlineStr">
        <is>
          <t>623</t>
        </is>
      </c>
      <c r="C893" s="10" t="n">
        <v>45684.28449074074</v>
      </c>
      <c r="D893" s="3" t="inlineStr">
        <is>
          <t>OBT270125065248-Wien Kledering</t>
        </is>
      </c>
      <c r="E893" s="10" t="n">
        <v>45684.28666666667</v>
      </c>
      <c r="F893" s="10" t="n">
        <v>45685.37634259259</v>
      </c>
      <c r="G893" s="11">
        <f>IF(AND(ISNUMBER(C893),ISNUMBER(E893)),(E893-C893),"")</f>
        <v/>
      </c>
      <c r="H893" s="11">
        <f>IF(AND(ISNUMBER(C893),ISNUMBER(F893)),(F893-C893),"")</f>
        <v/>
      </c>
    </row>
    <row r="894">
      <c r="A894" s="3" t="inlineStr">
        <is>
          <t>1025801</t>
        </is>
      </c>
      <c r="B894" s="3" t="inlineStr">
        <is>
          <t>615</t>
        </is>
      </c>
      <c r="C894" s="10" t="n">
        <v>45684.31570601852</v>
      </c>
      <c r="D894" s="3" t="inlineStr">
        <is>
          <t>OBT270125105122-Wien Kledering</t>
        </is>
      </c>
      <c r="E894" s="10" t="n">
        <v>45684.45233796296</v>
      </c>
      <c r="F894" s="10" t="n">
        <v>45685.46333333333</v>
      </c>
      <c r="G894" s="11">
        <f>IF(AND(ISNUMBER(C894),ISNUMBER(E894)),(E894-C894),"")</f>
        <v/>
      </c>
      <c r="H894" s="11">
        <f>IF(AND(ISNUMBER(C894),ISNUMBER(F894)),(F894-C894),"")</f>
        <v/>
      </c>
    </row>
    <row r="895">
      <c r="A895" s="3" t="inlineStr">
        <is>
          <t>1025802</t>
        </is>
      </c>
      <c r="B895" s="3" t="inlineStr">
        <is>
          <t>619</t>
        </is>
      </c>
      <c r="C895" s="10" t="n">
        <v>45684.31768518518</v>
      </c>
      <c r="D895" s="3" t="inlineStr">
        <is>
          <t>OBT270125144049-Wien Kledering</t>
        </is>
      </c>
      <c r="E895" s="10" t="n">
        <v>45684.61167824074</v>
      </c>
      <c r="F895" s="10" t="n">
        <v>45685.52307870371</v>
      </c>
      <c r="G895" s="11">
        <f>IF(AND(ISNUMBER(C895),ISNUMBER(E895)),(E895-C895),"")</f>
        <v/>
      </c>
      <c r="H895" s="11">
        <f>IF(AND(ISNUMBER(C895),ISNUMBER(F895)),(F895-C895),"")</f>
        <v/>
      </c>
    </row>
    <row r="896">
      <c r="A896" s="3" t="inlineStr">
        <is>
          <t>1025805</t>
        </is>
      </c>
      <c r="B896" s="3" t="inlineStr">
        <is>
          <t>629</t>
        </is>
      </c>
      <c r="C896" s="10" t="n">
        <v>45684.31978009259</v>
      </c>
      <c r="D896" s="3" t="inlineStr">
        <is>
          <t>OBT270125074356-Other sidings local</t>
        </is>
      </c>
      <c r="E896" s="10" t="n">
        <v>45684.32217592592</v>
      </c>
      <c r="F896" s="10" t="n">
        <v>45685.3487962963</v>
      </c>
      <c r="G896" s="11">
        <f>IF(AND(ISNUMBER(C896),ISNUMBER(E896)),(E896-C896),"")</f>
        <v/>
      </c>
      <c r="H896" s="11">
        <f>IF(AND(ISNUMBER(C896),ISNUMBER(F896)),(F896-C896),"")</f>
        <v/>
      </c>
    </row>
    <row r="897">
      <c r="A897" s="3" t="inlineStr">
        <is>
          <t>1025806</t>
        </is>
      </c>
      <c r="B897" s="3" t="inlineStr">
        <is>
          <t>607</t>
        </is>
      </c>
      <c r="C897" s="10" t="n">
        <v>45684.32141203704</v>
      </c>
      <c r="D897" s="3" t="inlineStr">
        <is>
          <t>OBT280125064741-Wien Kledering</t>
        </is>
      </c>
      <c r="E897" s="10" t="n">
        <v>45685.28311342592</v>
      </c>
      <c r="F897" s="10" t="n">
        <v>45686.24194444445</v>
      </c>
      <c r="G897" s="11">
        <f>IF(AND(ISNUMBER(C897),ISNUMBER(E897)),(E897-C897),"")</f>
        <v/>
      </c>
      <c r="H897" s="11">
        <f>IF(AND(ISNUMBER(C897),ISNUMBER(F897)),(F897-C897),"")</f>
        <v/>
      </c>
    </row>
    <row r="898">
      <c r="A898" s="3" t="inlineStr">
        <is>
          <t>1026101</t>
        </is>
      </c>
      <c r="B898" s="3" t="inlineStr">
        <is>
          <t>615</t>
        </is>
      </c>
      <c r="C898" s="10" t="n">
        <v>45684.37699074074</v>
      </c>
      <c r="D898" s="3" t="inlineStr">
        <is>
          <t>OBT270125105122-Wien Kledering</t>
        </is>
      </c>
      <c r="E898" s="10" t="n">
        <v>45684.45233796296</v>
      </c>
      <c r="F898" s="10" t="n">
        <v>45685.46333333333</v>
      </c>
      <c r="G898" s="11">
        <f>IF(AND(ISNUMBER(C898),ISNUMBER(E898)),(E898-C898),"")</f>
        <v/>
      </c>
      <c r="H898" s="11">
        <f>IF(AND(ISNUMBER(C898),ISNUMBER(F898)),(F898-C898),"")</f>
        <v/>
      </c>
    </row>
    <row r="899">
      <c r="A899" s="3" t="inlineStr">
        <is>
          <t>1026102</t>
        </is>
      </c>
      <c r="B899" s="3" t="inlineStr">
        <is>
          <t>629</t>
        </is>
      </c>
      <c r="C899" s="10" t="n">
        <v>45684.37891203703</v>
      </c>
      <c r="D899" s="3" t="inlineStr">
        <is>
          <t>OBT270125180405-Wien Kledering</t>
        </is>
      </c>
      <c r="E899" s="10" t="n">
        <v>45684.75283564815</v>
      </c>
      <c r="F899" s="10" t="n">
        <v>45685.70836805556</v>
      </c>
      <c r="G899" s="11">
        <f>IF(AND(ISNUMBER(C899),ISNUMBER(E899)),(E899-C899),"")</f>
        <v/>
      </c>
      <c r="H899" s="11">
        <f>IF(AND(ISNUMBER(C899),ISNUMBER(F899)),(F899-C899),"")</f>
        <v/>
      </c>
    </row>
    <row r="900">
      <c r="A900" s="3" t="inlineStr">
        <is>
          <t>1026103</t>
        </is>
      </c>
      <c r="B900" s="3" t="inlineStr">
        <is>
          <t>615</t>
        </is>
      </c>
      <c r="C900" s="10" t="n">
        <v>45684.38006944444</v>
      </c>
      <c r="D900" s="3" t="inlineStr">
        <is>
          <t>OBT270125105122-Wien Kledering</t>
        </is>
      </c>
      <c r="E900" s="10" t="n">
        <v>45684.45233796296</v>
      </c>
      <c r="F900" s="10" t="n">
        <v>45685.46333333333</v>
      </c>
      <c r="G900" s="11">
        <f>IF(AND(ISNUMBER(C900),ISNUMBER(E900)),(E900-C900),"")</f>
        <v/>
      </c>
      <c r="H900" s="11">
        <f>IF(AND(ISNUMBER(C900),ISNUMBER(F900)),(F900-C900),"")</f>
        <v/>
      </c>
    </row>
    <row r="901">
      <c r="A901" s="3" t="inlineStr">
        <is>
          <t>1026104</t>
        </is>
      </c>
      <c r="B901" s="3" t="inlineStr">
        <is>
          <t>619</t>
        </is>
      </c>
      <c r="C901" s="10" t="n">
        <v>45684.38200231481</v>
      </c>
      <c r="D901" s="3" t="inlineStr">
        <is>
          <t>OBT270125144049-Wien Kledering</t>
        </is>
      </c>
      <c r="E901" s="10" t="n">
        <v>45684.61167824074</v>
      </c>
      <c r="F901" s="10" t="n">
        <v>45685.52307870371</v>
      </c>
      <c r="G901" s="11">
        <f>IF(AND(ISNUMBER(C901),ISNUMBER(E901)),(E901-C901),"")</f>
        <v/>
      </c>
      <c r="H901" s="11">
        <f>IF(AND(ISNUMBER(C901),ISNUMBER(F901)),(F901-C901),"")</f>
        <v/>
      </c>
    </row>
    <row r="902">
      <c r="A902" s="3" t="inlineStr">
        <is>
          <t>1026105</t>
        </is>
      </c>
      <c r="B902" s="3" t="inlineStr">
        <is>
          <t>627</t>
        </is>
      </c>
      <c r="C902" s="10" t="n">
        <v>45684.38425925926</v>
      </c>
      <c r="D902" s="3" t="inlineStr">
        <is>
          <t>OBT270125092111-Pitten (Hamburger)</t>
        </is>
      </c>
      <c r="E902" s="10" t="n">
        <v>45684.38971064815</v>
      </c>
      <c r="F902" s="10" t="n">
        <v>45685.3706712963</v>
      </c>
      <c r="G902" s="11">
        <f>IF(AND(ISNUMBER(C902),ISNUMBER(E902)),(E902-C902),"")</f>
        <v/>
      </c>
      <c r="H902" s="11">
        <f>IF(AND(ISNUMBER(C902),ISNUMBER(F902)),(F902-C902),"")</f>
        <v/>
      </c>
    </row>
    <row r="903">
      <c r="A903" s="3" t="inlineStr">
        <is>
          <t>1026108</t>
        </is>
      </c>
      <c r="B903" s="3" t="inlineStr">
        <is>
          <t>627</t>
        </is>
      </c>
      <c r="C903" s="10" t="n">
        <v>45684.38614583333</v>
      </c>
      <c r="D903" s="3" t="inlineStr">
        <is>
          <t>OBT270125092111-Pitten (Hamburger)</t>
        </is>
      </c>
      <c r="E903" s="10" t="n">
        <v>45684.38971064815</v>
      </c>
      <c r="F903" s="10" t="n">
        <v>45685.3706712963</v>
      </c>
      <c r="G903" s="11">
        <f>IF(AND(ISNUMBER(C903),ISNUMBER(E903)),(E903-C903),"")</f>
        <v/>
      </c>
      <c r="H903" s="11">
        <f>IF(AND(ISNUMBER(C903),ISNUMBER(F903)),(F903-C903),"")</f>
        <v/>
      </c>
    </row>
    <row r="904">
      <c r="A904" s="3" t="inlineStr">
        <is>
          <t>1026109</t>
        </is>
      </c>
      <c r="B904" s="3" t="inlineStr">
        <is>
          <t>607</t>
        </is>
      </c>
      <c r="C904" s="10" t="n">
        <v>45684.38774305556</v>
      </c>
      <c r="D904" s="3" t="inlineStr">
        <is>
          <t>OBT280125064741-Wien Kledering</t>
        </is>
      </c>
      <c r="E904" s="10" t="n">
        <v>45685.28311342592</v>
      </c>
      <c r="F904" s="10" t="n">
        <v>45686.24194444445</v>
      </c>
      <c r="G904" s="11">
        <f>IF(AND(ISNUMBER(C904),ISNUMBER(E904)),(E904-C904),"")</f>
        <v/>
      </c>
      <c r="H904" s="11">
        <f>IF(AND(ISNUMBER(C904),ISNUMBER(F904)),(F904-C904),"")</f>
        <v/>
      </c>
    </row>
    <row r="905">
      <c r="A905" s="3" t="inlineStr">
        <is>
          <t>1026110</t>
        </is>
      </c>
      <c r="B905" s="3" t="inlineStr">
        <is>
          <t>615</t>
        </is>
      </c>
      <c r="C905" s="10" t="n">
        <v>45684.38893518518</v>
      </c>
      <c r="D905" s="3" t="inlineStr">
        <is>
          <t>OBT270125105122-Wien Kledering</t>
        </is>
      </c>
      <c r="E905" s="10" t="n">
        <v>45684.45233796296</v>
      </c>
      <c r="F905" s="10" t="n">
        <v>45685.46333333333</v>
      </c>
      <c r="G905" s="11">
        <f>IF(AND(ISNUMBER(C905),ISNUMBER(E905)),(E905-C905),"")</f>
        <v/>
      </c>
      <c r="H905" s="11">
        <f>IF(AND(ISNUMBER(C905),ISNUMBER(F905)),(F905-C905),"")</f>
        <v/>
      </c>
    </row>
    <row r="906">
      <c r="A906" s="3" t="inlineStr">
        <is>
          <t>1026112</t>
        </is>
      </c>
      <c r="B906" s="3" t="inlineStr">
        <is>
          <t>621</t>
        </is>
      </c>
      <c r="C906" s="10" t="n">
        <v>45684.39085648148</v>
      </c>
      <c r="D906" s="3" t="inlineStr">
        <is>
          <t>OBT280125031334-St. Veit an der Glan</t>
        </is>
      </c>
      <c r="E906" s="10" t="n">
        <v>45685.13442129629</v>
      </c>
      <c r="F906" s="10" t="n">
        <v>45686.1530787037</v>
      </c>
      <c r="G906" s="11">
        <f>IF(AND(ISNUMBER(C906),ISNUMBER(E906)),(E906-C906),"")</f>
        <v/>
      </c>
      <c r="H906" s="11">
        <f>IF(AND(ISNUMBER(C906),ISNUMBER(F906)),(F906-C906),"")</f>
        <v/>
      </c>
    </row>
    <row r="907">
      <c r="A907" s="3" t="inlineStr">
        <is>
          <t>1026301</t>
        </is>
      </c>
      <c r="B907" s="3" t="inlineStr">
        <is>
          <t>615</t>
        </is>
      </c>
      <c r="C907" s="10" t="n">
        <v>45684.44994212963</v>
      </c>
      <c r="D907" s="3" t="inlineStr">
        <is>
          <t>OBT270125105122-Wien Kledering</t>
        </is>
      </c>
      <c r="E907" s="10" t="n">
        <v>45684.45233796296</v>
      </c>
      <c r="F907" s="10" t="n">
        <v>45685.46333333333</v>
      </c>
      <c r="G907" s="11">
        <f>IF(AND(ISNUMBER(C907),ISNUMBER(E907)),(E907-C907),"")</f>
        <v/>
      </c>
      <c r="H907" s="11">
        <f>IF(AND(ISNUMBER(C907),ISNUMBER(F907)),(F907-C907),"")</f>
        <v/>
      </c>
    </row>
    <row r="908">
      <c r="A908" s="3" t="inlineStr">
        <is>
          <t>1026302</t>
        </is>
      </c>
      <c r="B908" s="3" t="inlineStr">
        <is>
          <t>625</t>
        </is>
      </c>
      <c r="C908" s="10" t="n">
        <v>45684.45202546296</v>
      </c>
      <c r="D908" s="3" t="inlineStr">
        <is>
          <t>OBT270125161730-St. Veit an der Glan</t>
        </is>
      </c>
      <c r="E908" s="10" t="n">
        <v>45684.67881944445</v>
      </c>
      <c r="F908" s="10" t="n">
        <v>45685.57152777778</v>
      </c>
      <c r="G908" s="11">
        <f>IF(AND(ISNUMBER(C908),ISNUMBER(E908)),(E908-C908),"")</f>
        <v/>
      </c>
      <c r="H908" s="11">
        <f>IF(AND(ISNUMBER(C908),ISNUMBER(F908)),(F908-C908),"")</f>
        <v/>
      </c>
    </row>
    <row r="909">
      <c r="A909" s="3" t="inlineStr">
        <is>
          <t>1026401</t>
        </is>
      </c>
      <c r="B909" s="3" t="inlineStr">
        <is>
          <t>605</t>
        </is>
      </c>
      <c r="C909" s="10" t="n">
        <v>45684.53824074074</v>
      </c>
      <c r="D909" s="3" t="inlineStr">
        <is>
          <t>OBT270125125831-Wien Kledering</t>
        </is>
      </c>
      <c r="E909" s="10" t="n">
        <v>45684.54063657407</v>
      </c>
      <c r="F909" s="10" t="n">
        <v>45685.45163194444</v>
      </c>
      <c r="G909" s="11">
        <f>IF(AND(ISNUMBER(C909),ISNUMBER(E909)),(E909-C909),"")</f>
        <v/>
      </c>
      <c r="H909" s="11">
        <f>IF(AND(ISNUMBER(C909),ISNUMBER(F909)),(F909-C909),"")</f>
        <v/>
      </c>
    </row>
    <row r="910">
      <c r="A910" s="3" t="inlineStr">
        <is>
          <t>1026501</t>
        </is>
      </c>
      <c r="B910" s="3" t="inlineStr">
        <is>
          <t>619</t>
        </is>
      </c>
      <c r="C910" s="10" t="n">
        <v>45684.60950231482</v>
      </c>
      <c r="D910" s="3" t="inlineStr">
        <is>
          <t>OBT270125144049-Wien Kledering</t>
        </is>
      </c>
      <c r="E910" s="10" t="n">
        <v>45684.61167824074</v>
      </c>
      <c r="F910" s="10" t="n">
        <v>45685.52307870371</v>
      </c>
      <c r="G910" s="11">
        <f>IF(AND(ISNUMBER(C910),ISNUMBER(E910)),(E910-C910),"")</f>
        <v/>
      </c>
      <c r="H910" s="11">
        <f>IF(AND(ISNUMBER(C910),ISNUMBER(F910)),(F910-C910),"")</f>
        <v/>
      </c>
    </row>
    <row r="911">
      <c r="A911" s="3" t="inlineStr">
        <is>
          <t>1026601</t>
        </is>
      </c>
      <c r="B911" s="3" t="inlineStr">
        <is>
          <t>606</t>
        </is>
      </c>
      <c r="C911" s="10" t="n">
        <v>45684.65017361111</v>
      </c>
      <c r="D911" s="3" t="inlineStr">
        <is>
          <t>OBT270125162126-Wien Kledering</t>
        </is>
      </c>
      <c r="E911" s="10" t="n">
        <v>45684.68155092592</v>
      </c>
      <c r="F911" s="10" t="n">
        <v>45685.66481481482</v>
      </c>
      <c r="G911" s="11">
        <f>IF(AND(ISNUMBER(C911),ISNUMBER(E911)),(E911-C911),"")</f>
        <v/>
      </c>
      <c r="H911" s="11">
        <f>IF(AND(ISNUMBER(C911),ISNUMBER(F911)),(F911-C911),"")</f>
        <v/>
      </c>
    </row>
    <row r="912">
      <c r="A912" s="3" t="inlineStr">
        <is>
          <t>1026701</t>
        </is>
      </c>
      <c r="B912" s="3" t="inlineStr">
        <is>
          <t>625</t>
        </is>
      </c>
      <c r="C912" s="10" t="n">
        <v>45684.67525462963</v>
      </c>
      <c r="D912" s="3" t="inlineStr">
        <is>
          <t>OBT270125161730-St. Veit an der Glan</t>
        </is>
      </c>
      <c r="E912" s="10" t="n">
        <v>45684.67881944445</v>
      </c>
      <c r="F912" s="10" t="n">
        <v>45685.57152777778</v>
      </c>
      <c r="G912" s="11">
        <f>IF(AND(ISNUMBER(C912),ISNUMBER(E912)),(E912-C912),"")</f>
        <v/>
      </c>
      <c r="H912" s="11">
        <f>IF(AND(ISNUMBER(C912),ISNUMBER(F912)),(F912-C912),"")</f>
        <v/>
      </c>
    </row>
    <row r="913">
      <c r="A913" s="3" t="inlineStr">
        <is>
          <t>1026702</t>
        </is>
      </c>
      <c r="B913" s="3" t="inlineStr">
        <is>
          <t>606</t>
        </is>
      </c>
      <c r="C913" s="10" t="n">
        <v>45684.67765046296</v>
      </c>
      <c r="D913" s="3" t="inlineStr">
        <is>
          <t>OBT270125162126-Wien Kledering</t>
        </is>
      </c>
      <c r="E913" s="10" t="n">
        <v>45684.68155092592</v>
      </c>
      <c r="F913" s="10" t="n">
        <v>45685.66481481482</v>
      </c>
      <c r="G913" s="11">
        <f>IF(AND(ISNUMBER(C913),ISNUMBER(E913)),(E913-C913),"")</f>
        <v/>
      </c>
      <c r="H913" s="11">
        <f>IF(AND(ISNUMBER(C913),ISNUMBER(F913)),(F913-C913),"")</f>
        <v/>
      </c>
    </row>
    <row r="914">
      <c r="A914" s="3" t="inlineStr">
        <is>
          <t>1026801</t>
        </is>
      </c>
      <c r="B914" s="3" t="inlineStr">
        <is>
          <t>611</t>
        </is>
      </c>
      <c r="C914" s="10" t="n">
        <v>45684.7397337963</v>
      </c>
      <c r="D914" s="3" t="inlineStr">
        <is>
          <t>OBT270125174840-Wien Kledering</t>
        </is>
      </c>
      <c r="E914" s="10" t="n">
        <v>45684.74212962963</v>
      </c>
      <c r="F914" s="10" t="n">
        <v>45685.67533564815</v>
      </c>
      <c r="G914" s="11">
        <f>IF(AND(ISNUMBER(C914),ISNUMBER(E914)),(E914-C914),"")</f>
        <v/>
      </c>
      <c r="H914" s="11">
        <f>IF(AND(ISNUMBER(C914),ISNUMBER(F914)),(F914-C914),"")</f>
        <v/>
      </c>
    </row>
    <row r="915">
      <c r="A915" s="3" t="inlineStr">
        <is>
          <t>1026901</t>
        </is>
      </c>
      <c r="B915" s="3" t="inlineStr">
        <is>
          <t>629</t>
        </is>
      </c>
      <c r="C915" s="10" t="n">
        <v>45684.75043981482</v>
      </c>
      <c r="D915" s="3" t="inlineStr">
        <is>
          <t>OBT270125180405-Wien Kledering</t>
        </is>
      </c>
      <c r="E915" s="10" t="n">
        <v>45684.75283564815</v>
      </c>
      <c r="F915" s="10" t="n">
        <v>45685.70836805556</v>
      </c>
      <c r="G915" s="11">
        <f>IF(AND(ISNUMBER(C915),ISNUMBER(E915)),(E915-C915),"")</f>
        <v/>
      </c>
      <c r="H915" s="11">
        <f>IF(AND(ISNUMBER(C915),ISNUMBER(F915)),(F915-C915),"")</f>
        <v/>
      </c>
    </row>
    <row r="916">
      <c r="A916" s="3" t="inlineStr">
        <is>
          <t>1026902</t>
        </is>
      </c>
      <c r="B916" s="3" t="inlineStr">
        <is>
          <t>621</t>
        </is>
      </c>
      <c r="C916" s="10" t="n">
        <v>45684.75252314815</v>
      </c>
      <c r="D916" s="3" t="inlineStr">
        <is>
          <t>OBT280125031334-St. Veit an der Glan</t>
        </is>
      </c>
      <c r="E916" s="10" t="n">
        <v>45685.13442129629</v>
      </c>
      <c r="F916" s="10" t="n">
        <v>45686.1530787037</v>
      </c>
      <c r="G916" s="11">
        <f>IF(AND(ISNUMBER(C916),ISNUMBER(E916)),(E916-C916),"")</f>
        <v/>
      </c>
      <c r="H916" s="11">
        <f>IF(AND(ISNUMBER(C916),ISNUMBER(F916)),(F916-C916),"")</f>
        <v/>
      </c>
    </row>
    <row r="917">
      <c r="A917" s="3" t="inlineStr">
        <is>
          <t>1026903</t>
        </is>
      </c>
      <c r="B917" s="3" t="inlineStr">
        <is>
          <t>613</t>
        </is>
      </c>
      <c r="C917" s="10" t="n">
        <v>45684.75385416667</v>
      </c>
      <c r="D917" s="3" t="inlineStr">
        <is>
          <t>OBT270125212041-Wien Kledering</t>
        </is>
      </c>
      <c r="E917" s="10" t="n">
        <v>45684.88936342593</v>
      </c>
      <c r="F917" s="10" t="n">
        <v>45685.90248842593</v>
      </c>
      <c r="G917" s="11">
        <f>IF(AND(ISNUMBER(C917),ISNUMBER(E917)),(E917-C917),"")</f>
        <v/>
      </c>
      <c r="H917" s="11">
        <f>IF(AND(ISNUMBER(C917),ISNUMBER(F917)),(F917-C917),"")</f>
        <v/>
      </c>
    </row>
    <row r="918">
      <c r="A918" s="3" t="inlineStr">
        <is>
          <t>1027001</t>
        </is>
      </c>
      <c r="B918" s="3" t="inlineStr">
        <is>
          <t>613</t>
        </is>
      </c>
      <c r="C918" s="10" t="n">
        <v>45684.88546296296</v>
      </c>
      <c r="D918" s="3" t="inlineStr">
        <is>
          <t>OBT270125212041-Wien Kledering</t>
        </is>
      </c>
      <c r="E918" s="10" t="n">
        <v>45684.88936342593</v>
      </c>
      <c r="F918" s="10" t="n">
        <v>45685.90248842593</v>
      </c>
      <c r="G918" s="11">
        <f>IF(AND(ISNUMBER(C918),ISNUMBER(E918)),(E918-C918),"")</f>
        <v/>
      </c>
      <c r="H918" s="11">
        <f>IF(AND(ISNUMBER(C918),ISNUMBER(F918)),(F918-C918),"")</f>
        <v/>
      </c>
    </row>
    <row r="919">
      <c r="A919" s="3" t="inlineStr">
        <is>
          <t>1027101</t>
        </is>
      </c>
      <c r="B919" s="3" t="inlineStr">
        <is>
          <t>621</t>
        </is>
      </c>
      <c r="C919" s="10" t="n">
        <v>45685.13049768518</v>
      </c>
      <c r="D919" s="3" t="inlineStr">
        <is>
          <t>OBT280125031334-St. Veit an der Glan</t>
        </is>
      </c>
      <c r="E919" s="10" t="n">
        <v>45685.13442129629</v>
      </c>
      <c r="F919" s="10" t="n">
        <v>45686.1530787037</v>
      </c>
      <c r="G919" s="11">
        <f>IF(AND(ISNUMBER(C919),ISNUMBER(E919)),(E919-C919),"")</f>
        <v/>
      </c>
      <c r="H919" s="11">
        <f>IF(AND(ISNUMBER(C919),ISNUMBER(F919)),(F919-C919),"")</f>
        <v/>
      </c>
    </row>
    <row r="920">
      <c r="A920" s="3" t="inlineStr">
        <is>
          <t>1027102</t>
        </is>
      </c>
      <c r="B920" s="3" t="inlineStr">
        <is>
          <t>615</t>
        </is>
      </c>
      <c r="C920" s="10" t="n">
        <v>45685.13186342592</v>
      </c>
      <c r="D920" s="3" t="inlineStr">
        <is>
          <t>OBT280125031301-Neunkirchen (loading tracks)</t>
        </is>
      </c>
      <c r="E920" s="10" t="n">
        <v>45685.13403935185</v>
      </c>
      <c r="F920" s="10" t="n">
        <v>45685.90570601852</v>
      </c>
      <c r="G920" s="11">
        <f>IF(AND(ISNUMBER(C920),ISNUMBER(E920)),(E920-C920),"")</f>
        <v/>
      </c>
      <c r="H920" s="11">
        <f>IF(AND(ISNUMBER(C920),ISNUMBER(F920)),(F920-C920),"")</f>
        <v/>
      </c>
    </row>
    <row r="921">
      <c r="A921" s="3" t="inlineStr">
        <is>
          <t>1027103</t>
        </is>
      </c>
      <c r="B921" s="3" t="inlineStr">
        <is>
          <t>619</t>
        </is>
      </c>
      <c r="C921" s="10" t="n">
        <v>45685.13381944445</v>
      </c>
      <c r="D921" s="3" t="inlineStr">
        <is>
          <t>OBT290125093729-Other sidings south</t>
        </is>
      </c>
      <c r="E921" s="10" t="n">
        <v>45686.40103009259</v>
      </c>
      <c r="F921" s="10" t="n">
        <v>45687.36836805556</v>
      </c>
      <c r="G921" s="11">
        <f>IF(AND(ISNUMBER(C921),ISNUMBER(E921)),(E921-C921),"")</f>
        <v/>
      </c>
      <c r="H921" s="11">
        <f>IF(AND(ISNUMBER(C921),ISNUMBER(F921)),(F921-C921),"")</f>
        <v/>
      </c>
    </row>
    <row r="922">
      <c r="A922" s="3" t="inlineStr">
        <is>
          <t>1027201</t>
        </is>
      </c>
      <c r="B922" s="3" t="inlineStr">
        <is>
          <t>607</t>
        </is>
      </c>
      <c r="C922" s="10" t="n">
        <v>45685.28075231481</v>
      </c>
      <c r="D922" s="3" t="inlineStr">
        <is>
          <t>OBT280125064741-Wien Kledering</t>
        </is>
      </c>
      <c r="E922" s="10" t="n">
        <v>45685.28311342592</v>
      </c>
      <c r="F922" s="10" t="n">
        <v>45686.24194444445</v>
      </c>
      <c r="G922" s="11">
        <f>IF(AND(ISNUMBER(C922),ISNUMBER(E922)),(E922-C922),"")</f>
        <v/>
      </c>
      <c r="H922" s="11">
        <f>IF(AND(ISNUMBER(C922),ISNUMBER(F922)),(F922-C922),"")</f>
        <v/>
      </c>
    </row>
    <row r="923">
      <c r="A923" s="3" t="inlineStr">
        <is>
          <t>1027301</t>
        </is>
      </c>
      <c r="B923" s="3" t="inlineStr">
        <is>
          <t>615</t>
        </is>
      </c>
      <c r="C923" s="10" t="n">
        <v>45685.31591435185</v>
      </c>
      <c r="D923" s="3" t="inlineStr">
        <is>
          <t>OBT280125095318-Wr. Neustadt (Hödlmayr)</t>
        </is>
      </c>
      <c r="E923" s="10" t="n">
        <v>45685.41201388889</v>
      </c>
      <c r="F923" s="10" t="n">
        <v>45686.34203703704</v>
      </c>
      <c r="G923" s="11">
        <f>IF(AND(ISNUMBER(C923),ISNUMBER(E923)),(E923-C923),"")</f>
        <v/>
      </c>
      <c r="H923" s="11">
        <f>IF(AND(ISNUMBER(C923),ISNUMBER(F923)),(F923-C923),"")</f>
        <v/>
      </c>
    </row>
    <row r="924">
      <c r="A924" s="3" t="inlineStr">
        <is>
          <t>1027302</t>
        </is>
      </c>
      <c r="B924" s="3" t="inlineStr">
        <is>
          <t>615</t>
        </is>
      </c>
      <c r="C924" s="10" t="n">
        <v>45685.3170949074</v>
      </c>
      <c r="D924" s="3" t="inlineStr">
        <is>
          <t>OBT280125095318-Wr. Neustadt (Hödlmayr)</t>
        </is>
      </c>
      <c r="E924" s="10" t="n">
        <v>45685.41201388889</v>
      </c>
      <c r="F924" s="10" t="n">
        <v>45686.34203703704</v>
      </c>
      <c r="G924" s="11">
        <f>IF(AND(ISNUMBER(C924),ISNUMBER(E924)),(E924-C924),"")</f>
        <v/>
      </c>
      <c r="H924" s="11">
        <f>IF(AND(ISNUMBER(C924),ISNUMBER(F924)),(F924-C924),"")</f>
        <v/>
      </c>
    </row>
    <row r="925">
      <c r="A925" s="3" t="inlineStr">
        <is>
          <t>1027303</t>
        </is>
      </c>
      <c r="B925" s="3" t="inlineStr">
        <is>
          <t>609</t>
        </is>
      </c>
      <c r="C925" s="10" t="n">
        <v>45685.31869212963</v>
      </c>
      <c r="D925" s="3" t="inlineStr">
        <is>
          <t>OBT280125095752-Neudörfl (FunderMax)</t>
        </is>
      </c>
      <c r="E925" s="10" t="n">
        <v>45685.41518518519</v>
      </c>
      <c r="F925" s="10" t="n">
        <v>45686.37979166667</v>
      </c>
      <c r="G925" s="11">
        <f>IF(AND(ISNUMBER(C925),ISNUMBER(E925)),(E925-C925),"")</f>
        <v/>
      </c>
      <c r="H925" s="11">
        <f>IF(AND(ISNUMBER(C925),ISNUMBER(F925)),(F925-C925),"")</f>
        <v/>
      </c>
    </row>
    <row r="926">
      <c r="A926" s="3" t="inlineStr">
        <is>
          <t>1027304</t>
        </is>
      </c>
      <c r="B926" s="3" t="inlineStr">
        <is>
          <t>617</t>
        </is>
      </c>
      <c r="C926" s="10" t="n">
        <v>45685.31996527778</v>
      </c>
      <c r="D926" s="3" t="inlineStr">
        <is>
          <t>OBT300125081010-Wr. Neustadt (Brenntag)</t>
        </is>
      </c>
      <c r="E926" s="10" t="n">
        <v>45687.34039351852</v>
      </c>
      <c r="F926" s="10" t="n">
        <v>45688.32615740741</v>
      </c>
      <c r="G926" s="11">
        <f>IF(AND(ISNUMBER(C926),ISNUMBER(E926)),(E926-C926),"")</f>
        <v/>
      </c>
      <c r="H926" s="11">
        <f>IF(AND(ISNUMBER(C926),ISNUMBER(F926)),(F926-C926),"")</f>
        <v/>
      </c>
    </row>
    <row r="927">
      <c r="A927" s="3" t="inlineStr">
        <is>
          <t>1027305</t>
        </is>
      </c>
      <c r="B927" s="3" t="inlineStr">
        <is>
          <t>629</t>
        </is>
      </c>
      <c r="C927" s="10" t="n">
        <v>45685.32208333333</v>
      </c>
      <c r="D927" s="3" t="inlineStr">
        <is>
          <t>OBT280125075210-Pitten (Hamburger)</t>
        </is>
      </c>
      <c r="E927" s="10" t="n">
        <v>45685.32789351852</v>
      </c>
      <c r="F927" s="10" t="n">
        <v>45686.29297453703</v>
      </c>
      <c r="G927" s="11">
        <f>IF(AND(ISNUMBER(C927),ISNUMBER(E927)),(E927-C927),"")</f>
        <v/>
      </c>
      <c r="H927" s="11">
        <f>IF(AND(ISNUMBER(C927),ISNUMBER(F927)),(F927-C927),"")</f>
        <v/>
      </c>
    </row>
    <row r="928">
      <c r="A928" s="3" t="inlineStr">
        <is>
          <t>1027307</t>
        </is>
      </c>
      <c r="B928" s="3" t="inlineStr">
        <is>
          <t>629</t>
        </is>
      </c>
      <c r="C928" s="10" t="n">
        <v>45685.32399305556</v>
      </c>
      <c r="D928" s="3" t="inlineStr">
        <is>
          <t>OBT280125075210-Pitten (Hamburger)</t>
        </is>
      </c>
      <c r="E928" s="10" t="n">
        <v>45685.32789351852</v>
      </c>
      <c r="F928" s="10" t="n">
        <v>45686.29297453703</v>
      </c>
      <c r="G928" s="11">
        <f>IF(AND(ISNUMBER(C928),ISNUMBER(E928)),(E928-C928),"")</f>
        <v/>
      </c>
      <c r="H928" s="11">
        <f>IF(AND(ISNUMBER(C928),ISNUMBER(F928)),(F928-C928),"")</f>
        <v/>
      </c>
    </row>
    <row r="929">
      <c r="A929" s="3" t="inlineStr">
        <is>
          <t>1027701</t>
        </is>
      </c>
      <c r="B929" s="3" t="inlineStr">
        <is>
          <t>627</t>
        </is>
      </c>
      <c r="C929" s="10" t="n">
        <v>45685.38944444444</v>
      </c>
      <c r="D929" s="3" t="inlineStr">
        <is>
          <t>OBT280125105241-Wien Kledering</t>
        </is>
      </c>
      <c r="E929" s="10" t="n">
        <v>45685.45325231482</v>
      </c>
      <c r="F929" s="10" t="n">
        <v>45686.44371527778</v>
      </c>
      <c r="G929" s="11">
        <f>IF(AND(ISNUMBER(C929),ISNUMBER(E929)),(E929-C929),"")</f>
        <v/>
      </c>
      <c r="H929" s="11">
        <f>IF(AND(ISNUMBER(C929),ISNUMBER(F929)),(F929-C929),"")</f>
        <v/>
      </c>
    </row>
    <row r="930">
      <c r="A930" s="3" t="inlineStr">
        <is>
          <t>1027702</t>
        </is>
      </c>
      <c r="B930" s="3" t="inlineStr">
        <is>
          <t>621</t>
        </is>
      </c>
      <c r="C930" s="10" t="n">
        <v>45685.39171296296</v>
      </c>
      <c r="D930" s="3" t="inlineStr">
        <is>
          <t>OBT280125092731-St. Veit an der Glan</t>
        </is>
      </c>
      <c r="E930" s="10" t="n">
        <v>45685.3941087963</v>
      </c>
      <c r="F930" s="10" t="n">
        <v>45686.34357638889</v>
      </c>
      <c r="G930" s="11">
        <f>IF(AND(ISNUMBER(C930),ISNUMBER(E930)),(E930-C930),"")</f>
        <v/>
      </c>
      <c r="H930" s="11">
        <f>IF(AND(ISNUMBER(C930),ISNUMBER(F930)),(F930-C930),"")</f>
        <v/>
      </c>
    </row>
    <row r="931">
      <c r="A931" s="3" t="inlineStr">
        <is>
          <t>1027601</t>
        </is>
      </c>
      <c r="B931" s="3" t="inlineStr">
        <is>
          <t>615</t>
        </is>
      </c>
      <c r="C931" s="10" t="n">
        <v>45685.39380787037</v>
      </c>
      <c r="D931" s="3" t="inlineStr">
        <is>
          <t>OBT280125095318-Wr. Neustadt (Hödlmayr)</t>
        </is>
      </c>
      <c r="E931" s="10" t="n">
        <v>45685.41201388889</v>
      </c>
      <c r="F931" s="10" t="n">
        <v>45686.34203703704</v>
      </c>
      <c r="G931" s="11">
        <f>IF(AND(ISNUMBER(C931),ISNUMBER(E931)),(E931-C931),"")</f>
        <v/>
      </c>
      <c r="H931" s="11">
        <f>IF(AND(ISNUMBER(C931),ISNUMBER(F931)),(F931-C931),"")</f>
        <v/>
      </c>
    </row>
    <row r="932">
      <c r="A932" s="3" t="inlineStr">
        <is>
          <t>1027602</t>
        </is>
      </c>
      <c r="B932" s="3" t="inlineStr">
        <is>
          <t>627</t>
        </is>
      </c>
      <c r="C932" s="10" t="n">
        <v>45685.39569444444</v>
      </c>
      <c r="D932" s="3" t="inlineStr">
        <is>
          <t>OBT280125105241-Wien Kledering</t>
        </is>
      </c>
      <c r="E932" s="10" t="n">
        <v>45685.45325231482</v>
      </c>
      <c r="F932" s="10" t="n">
        <v>45686.44371527778</v>
      </c>
      <c r="G932" s="11">
        <f>IF(AND(ISNUMBER(C932),ISNUMBER(E932)),(E932-C932),"")</f>
        <v/>
      </c>
      <c r="H932" s="11">
        <f>IF(AND(ISNUMBER(C932),ISNUMBER(F932)),(F932-C932),"")</f>
        <v/>
      </c>
    </row>
    <row r="933">
      <c r="A933" s="3" t="inlineStr">
        <is>
          <t>1027603</t>
        </is>
      </c>
      <c r="B933" s="3" t="inlineStr">
        <is>
          <t>615</t>
        </is>
      </c>
      <c r="C933" s="10" t="n">
        <v>45685.39682870371</v>
      </c>
      <c r="D933" s="3" t="inlineStr">
        <is>
          <t>OBT280125095318-Wr. Neustadt (Hödlmayr)</t>
        </is>
      </c>
      <c r="E933" s="10" t="n">
        <v>45685.41201388889</v>
      </c>
      <c r="F933" s="10" t="n">
        <v>45686.34203703704</v>
      </c>
      <c r="G933" s="11">
        <f>IF(AND(ISNUMBER(C933),ISNUMBER(E933)),(E933-C933),"")</f>
        <v/>
      </c>
      <c r="H933" s="11">
        <f>IF(AND(ISNUMBER(C933),ISNUMBER(F933)),(F933-C933),"")</f>
        <v/>
      </c>
    </row>
    <row r="934">
      <c r="A934" s="3" t="inlineStr">
        <is>
          <t>1027604</t>
        </is>
      </c>
      <c r="B934" s="3" t="inlineStr">
        <is>
          <t>621</t>
        </is>
      </c>
      <c r="C934" s="10" t="n">
        <v>45685.39875</v>
      </c>
      <c r="D934" s="3" t="inlineStr">
        <is>
          <t>OBT290125073710-Wien Kledering</t>
        </is>
      </c>
      <c r="E934" s="10" t="n">
        <v>45686.31747685185</v>
      </c>
      <c r="F934" s="10" t="n">
        <v>45687.36982638889</v>
      </c>
      <c r="G934" s="11">
        <f>IF(AND(ISNUMBER(C934),ISNUMBER(E934)),(E934-C934),"")</f>
        <v/>
      </c>
      <c r="H934" s="11">
        <f>IF(AND(ISNUMBER(C934),ISNUMBER(F934)),(F934-C934),"")</f>
        <v/>
      </c>
    </row>
    <row r="935">
      <c r="A935" s="3" t="inlineStr">
        <is>
          <t>1027605</t>
        </is>
      </c>
      <c r="B935" s="3" t="inlineStr">
        <is>
          <t>617</t>
        </is>
      </c>
      <c r="C935" s="10" t="n">
        <v>45685.40003472222</v>
      </c>
      <c r="D935" s="3" t="inlineStr">
        <is>
          <t>OBT300125081010-Wr. Neustadt (Brenntag)</t>
        </is>
      </c>
      <c r="E935" s="10" t="n">
        <v>45687.34039351852</v>
      </c>
      <c r="F935" s="10" t="n">
        <v>45688.32615740741</v>
      </c>
      <c r="G935" s="11">
        <f>IF(AND(ISNUMBER(C935),ISNUMBER(E935)),(E935-C935),"")</f>
        <v/>
      </c>
      <c r="H935" s="11">
        <f>IF(AND(ISNUMBER(C935),ISNUMBER(F935)),(F935-C935),"")</f>
        <v/>
      </c>
    </row>
    <row r="936">
      <c r="A936" s="3" t="inlineStr">
        <is>
          <t>1027606</t>
        </is>
      </c>
      <c r="B936" s="3" t="inlineStr">
        <is>
          <t>619</t>
        </is>
      </c>
      <c r="C936" s="10" t="n">
        <v>45685.4019675926</v>
      </c>
      <c r="D936" s="3" t="inlineStr">
        <is>
          <t>OBT290125093729-Other sidings south</t>
        </is>
      </c>
      <c r="E936" s="10" t="n">
        <v>45686.40103009259</v>
      </c>
      <c r="F936" s="10" t="n">
        <v>45687.36836805556</v>
      </c>
      <c r="G936" s="11">
        <f>IF(AND(ISNUMBER(C936),ISNUMBER(E936)),(E936-C936),"")</f>
        <v/>
      </c>
      <c r="H936" s="11">
        <f>IF(AND(ISNUMBER(C936),ISNUMBER(F936)),(F936-C936),"")</f>
        <v/>
      </c>
    </row>
    <row r="937">
      <c r="A937" s="3" t="inlineStr">
        <is>
          <t>1027607</t>
        </is>
      </c>
      <c r="B937" s="3" t="inlineStr">
        <is>
          <t>629</t>
        </is>
      </c>
      <c r="C937" s="10" t="n">
        <v>45685.40395833334</v>
      </c>
      <c r="D937" s="3" t="inlineStr">
        <is>
          <t>OBT280125151006-Other sidings local</t>
        </is>
      </c>
      <c r="E937" s="10" t="n">
        <v>45685.63201388889</v>
      </c>
      <c r="F937" s="10" t="n">
        <v>45686.67886574074</v>
      </c>
      <c r="G937" s="11">
        <f>IF(AND(ISNUMBER(C937),ISNUMBER(E937)),(E937-C937),"")</f>
        <v/>
      </c>
      <c r="H937" s="11">
        <f>IF(AND(ISNUMBER(C937),ISNUMBER(F937)),(F937-C937),"")</f>
        <v/>
      </c>
    </row>
    <row r="938">
      <c r="A938" s="3" t="inlineStr">
        <is>
          <t>1027608</t>
        </is>
      </c>
      <c r="B938" s="3" t="inlineStr">
        <is>
          <t>615</t>
        </is>
      </c>
      <c r="C938" s="10" t="n">
        <v>45685.40510416667</v>
      </c>
      <c r="D938" s="3" t="inlineStr">
        <is>
          <t>OBT280125095318-Wr. Neustadt (Hödlmayr)</t>
        </is>
      </c>
      <c r="E938" s="10" t="n">
        <v>45685.41201388889</v>
      </c>
      <c r="F938" s="10" t="n">
        <v>45686.34203703704</v>
      </c>
      <c r="G938" s="11">
        <f>IF(AND(ISNUMBER(C938),ISNUMBER(E938)),(E938-C938),"")</f>
        <v/>
      </c>
      <c r="H938" s="11">
        <f>IF(AND(ISNUMBER(C938),ISNUMBER(F938)),(F938-C938),"")</f>
        <v/>
      </c>
    </row>
    <row r="939">
      <c r="A939" s="3" t="inlineStr">
        <is>
          <t>1027609</t>
        </is>
      </c>
      <c r="B939" s="3" t="inlineStr">
        <is>
          <t>629</t>
        </is>
      </c>
      <c r="C939" s="10" t="n">
        <v>45685.40697916667</v>
      </c>
      <c r="D939" s="3" t="inlineStr">
        <is>
          <t>OBT280125151006-Other sidings local</t>
        </is>
      </c>
      <c r="E939" s="10" t="n">
        <v>45685.63201388889</v>
      </c>
      <c r="F939" s="10" t="n">
        <v>45686.67886574074</v>
      </c>
      <c r="G939" s="11">
        <f>IF(AND(ISNUMBER(C939),ISNUMBER(E939)),(E939-C939),"")</f>
        <v/>
      </c>
      <c r="H939" s="11">
        <f>IF(AND(ISNUMBER(C939),ISNUMBER(F939)),(F939-C939),"")</f>
        <v/>
      </c>
    </row>
    <row r="940">
      <c r="A940" s="3" t="inlineStr">
        <is>
          <t>1027611</t>
        </is>
      </c>
      <c r="B940" s="3" t="inlineStr">
        <is>
          <t>615</t>
        </is>
      </c>
      <c r="C940" s="10" t="n">
        <v>45685.408125</v>
      </c>
      <c r="D940" s="3" t="inlineStr">
        <is>
          <t>OBT280125095318-Wr. Neustadt (Hödlmayr)</t>
        </is>
      </c>
      <c r="E940" s="10" t="n">
        <v>45685.41201388889</v>
      </c>
      <c r="F940" s="10" t="n">
        <v>45686.34203703704</v>
      </c>
      <c r="G940" s="11">
        <f>IF(AND(ISNUMBER(C940),ISNUMBER(E940)),(E940-C940),"")</f>
        <v/>
      </c>
      <c r="H940" s="11">
        <f>IF(AND(ISNUMBER(C940),ISNUMBER(F940)),(F940-C940),"")</f>
        <v/>
      </c>
    </row>
    <row r="941">
      <c r="A941" s="3" t="inlineStr">
        <is>
          <t>1027612</t>
        </is>
      </c>
      <c r="B941" s="3" t="inlineStr">
        <is>
          <t>619</t>
        </is>
      </c>
      <c r="C941" s="10" t="n">
        <v>45685.41005787037</v>
      </c>
      <c r="D941" s="3" t="inlineStr">
        <is>
          <t>OBT290125093729-Other sidings south</t>
        </is>
      </c>
      <c r="E941" s="10" t="n">
        <v>45686.40103009259</v>
      </c>
      <c r="F941" s="10" t="n">
        <v>45687.36836805556</v>
      </c>
      <c r="G941" s="11">
        <f>IF(AND(ISNUMBER(C941),ISNUMBER(E941)),(E941-C941),"")</f>
        <v/>
      </c>
      <c r="H941" s="11">
        <f>IF(AND(ISNUMBER(C941),ISNUMBER(F941)),(F941-C941),"")</f>
        <v/>
      </c>
    </row>
    <row r="942">
      <c r="A942" s="3" t="inlineStr">
        <is>
          <t>1027614</t>
        </is>
      </c>
      <c r="B942" s="3" t="inlineStr">
        <is>
          <t>609</t>
        </is>
      </c>
      <c r="C942" s="10" t="n">
        <v>45685.41163194444</v>
      </c>
      <c r="D942" s="3" t="inlineStr">
        <is>
          <t>OBT280125095752-Neudörfl (FunderMax)</t>
        </is>
      </c>
      <c r="E942" s="10" t="n">
        <v>45685.41518518519</v>
      </c>
      <c r="F942" s="10" t="n">
        <v>45686.37979166667</v>
      </c>
      <c r="G942" s="11">
        <f>IF(AND(ISNUMBER(C942),ISNUMBER(E942)),(E942-C942),"")</f>
        <v/>
      </c>
      <c r="H942" s="11">
        <f>IF(AND(ISNUMBER(C942),ISNUMBER(F942)),(F942-C942),"")</f>
        <v/>
      </c>
    </row>
    <row r="943">
      <c r="A943" s="3" t="inlineStr">
        <is>
          <t>1027801</t>
        </is>
      </c>
      <c r="B943" s="3" t="inlineStr">
        <is>
          <t>627</t>
        </is>
      </c>
      <c r="C943" s="10" t="n">
        <v>45685.44969907407</v>
      </c>
      <c r="D943" s="3" t="inlineStr">
        <is>
          <t>OBT280125105241-Wien Kledering</t>
        </is>
      </c>
      <c r="E943" s="10" t="n">
        <v>45685.45325231482</v>
      </c>
      <c r="F943" s="10" t="n">
        <v>45686.44371527778</v>
      </c>
      <c r="G943" s="11">
        <f>IF(AND(ISNUMBER(C943),ISNUMBER(E943)),(E943-C943),"")</f>
        <v/>
      </c>
      <c r="H943" s="11">
        <f>IF(AND(ISNUMBER(C943),ISNUMBER(F943)),(F943-C943),"")</f>
        <v/>
      </c>
    </row>
    <row r="944">
      <c r="A944" s="3" t="inlineStr">
        <is>
          <t>1027802</t>
        </is>
      </c>
      <c r="B944" s="3" t="inlineStr">
        <is>
          <t>621</t>
        </is>
      </c>
      <c r="C944" s="10" t="n">
        <v>45685.45166666667</v>
      </c>
      <c r="D944" s="3" t="inlineStr">
        <is>
          <t>OBT290125073710-Wien Kledering</t>
        </is>
      </c>
      <c r="E944" s="10" t="n">
        <v>45686.31747685185</v>
      </c>
      <c r="F944" s="10" t="n">
        <v>45687.36982638889</v>
      </c>
      <c r="G944" s="11">
        <f>IF(AND(ISNUMBER(C944),ISNUMBER(E944)),(E944-C944),"")</f>
        <v/>
      </c>
      <c r="H944" s="11">
        <f>IF(AND(ISNUMBER(C944),ISNUMBER(F944)),(F944-C944),"")</f>
        <v/>
      </c>
    </row>
    <row r="945">
      <c r="A945" s="3" t="inlineStr">
        <is>
          <t>1027803</t>
        </is>
      </c>
      <c r="B945" s="3" t="inlineStr">
        <is>
          <t>605</t>
        </is>
      </c>
      <c r="C945" s="10" t="n">
        <v>45685.45369212963</v>
      </c>
      <c r="D945" s="3" t="inlineStr">
        <is>
          <t>OBT280125105646-Wien Kledering</t>
        </is>
      </c>
      <c r="E945" s="10" t="n">
        <v>45685.45608796296</v>
      </c>
      <c r="F945" s="10" t="n">
        <v>45686.47782407407</v>
      </c>
      <c r="G945" s="11">
        <f>IF(AND(ISNUMBER(C945),ISNUMBER(E945)),(E945-C945),"")</f>
        <v/>
      </c>
      <c r="H945" s="11">
        <f>IF(AND(ISNUMBER(C945),ISNUMBER(F945)),(F945-C945),"")</f>
        <v/>
      </c>
    </row>
    <row r="946">
      <c r="A946" s="3" t="inlineStr">
        <is>
          <t>1027901</t>
        </is>
      </c>
      <c r="B946" s="3" t="inlineStr">
        <is>
          <t>615</t>
        </is>
      </c>
      <c r="C946" s="10" t="n">
        <v>45685.54851851852</v>
      </c>
      <c r="D946" s="3" t="inlineStr">
        <is>
          <t>OBT280125131319-Wien Kledering</t>
        </is>
      </c>
      <c r="E946" s="10" t="n">
        <v>45685.55091435185</v>
      </c>
      <c r="F946" s="10" t="n">
        <v>45686.60783564814</v>
      </c>
      <c r="G946" s="11">
        <f>IF(AND(ISNUMBER(C946),ISNUMBER(E946)),(E946-C946),"")</f>
        <v/>
      </c>
      <c r="H946" s="11">
        <f>IF(AND(ISNUMBER(C946),ISNUMBER(F946)),(F946-C946),"")</f>
        <v/>
      </c>
    </row>
    <row r="947">
      <c r="A947" s="3" t="inlineStr">
        <is>
          <t>1028001</t>
        </is>
      </c>
      <c r="B947" s="3" t="inlineStr">
        <is>
          <t>625</t>
        </is>
      </c>
      <c r="C947" s="10" t="n">
        <v>45685.60599537037</v>
      </c>
      <c r="D947" s="3" t="inlineStr">
        <is>
          <t>OBT280125143604-Wien Kledering</t>
        </is>
      </c>
      <c r="E947" s="10" t="n">
        <v>45685.60837962963</v>
      </c>
      <c r="F947" s="10" t="n">
        <v>45686.68543981481</v>
      </c>
      <c r="G947" s="11">
        <f>IF(AND(ISNUMBER(C947),ISNUMBER(E947)),(E947-C947),"")</f>
        <v/>
      </c>
      <c r="H947" s="11">
        <f>IF(AND(ISNUMBER(C947),ISNUMBER(F947)),(F947-C947),"")</f>
        <v/>
      </c>
    </row>
    <row r="948">
      <c r="A948" s="3" t="inlineStr">
        <is>
          <t>1028101</t>
        </is>
      </c>
      <c r="B948" s="3" t="inlineStr">
        <is>
          <t>623</t>
        </is>
      </c>
      <c r="C948" s="10" t="n">
        <v>45685.62226851852</v>
      </c>
      <c r="D948" s="3" t="inlineStr">
        <is>
          <t>OBT290125152804-Other sidings north</t>
        </is>
      </c>
      <c r="E948" s="10" t="n">
        <v>45686.64449074074</v>
      </c>
      <c r="F948" s="10" t="n">
        <v>45687.63457175926</v>
      </c>
      <c r="G948" s="11">
        <f>IF(AND(ISNUMBER(C948),ISNUMBER(E948)),(E948-C948),"")</f>
        <v/>
      </c>
      <c r="H948" s="11">
        <f>IF(AND(ISNUMBER(C948),ISNUMBER(F948)),(F948-C948),"")</f>
        <v/>
      </c>
    </row>
    <row r="949">
      <c r="A949" s="3" t="inlineStr">
        <is>
          <t>1028102</t>
        </is>
      </c>
      <c r="B949" s="3" t="inlineStr">
        <is>
          <t>619</t>
        </is>
      </c>
      <c r="C949" s="10" t="n">
        <v>45685.62418981481</v>
      </c>
      <c r="D949" s="3" t="inlineStr">
        <is>
          <t>OBT290125093729-Other sidings south</t>
        </is>
      </c>
      <c r="E949" s="10" t="n">
        <v>45686.40103009259</v>
      </c>
      <c r="F949" s="10" t="n">
        <v>45687.36836805556</v>
      </c>
      <c r="G949" s="11">
        <f>IF(AND(ISNUMBER(C949),ISNUMBER(E949)),(E949-C949),"")</f>
        <v/>
      </c>
      <c r="H949" s="11">
        <f>IF(AND(ISNUMBER(C949),ISNUMBER(F949)),(F949-C949),"")</f>
        <v/>
      </c>
    </row>
    <row r="950">
      <c r="A950" s="3" t="inlineStr">
        <is>
          <t>1028103</t>
        </is>
      </c>
      <c r="B950" s="3" t="inlineStr">
        <is>
          <t>619</t>
        </is>
      </c>
      <c r="C950" s="10" t="n">
        <v>45685.62612268519</v>
      </c>
      <c r="D950" s="3" t="inlineStr">
        <is>
          <t>OBT290125093729-Other sidings south</t>
        </is>
      </c>
      <c r="E950" s="10" t="n">
        <v>45686.40103009259</v>
      </c>
      <c r="F950" s="10" t="n">
        <v>45687.36836805556</v>
      </c>
      <c r="G950" s="11">
        <f>IF(AND(ISNUMBER(C950),ISNUMBER(E950)),(E950-C950),"")</f>
        <v/>
      </c>
      <c r="H950" s="11">
        <f>IF(AND(ISNUMBER(C950),ISNUMBER(F950)),(F950-C950),"")</f>
        <v/>
      </c>
    </row>
    <row r="951">
      <c r="A951" s="3" t="inlineStr">
        <is>
          <t>1028104</t>
        </is>
      </c>
      <c r="B951" s="3" t="inlineStr">
        <is>
          <t>629</t>
        </is>
      </c>
      <c r="C951" s="10" t="n">
        <v>45685.62809027778</v>
      </c>
      <c r="D951" s="3" t="inlineStr">
        <is>
          <t>OBT280125151006-Other sidings local</t>
        </is>
      </c>
      <c r="E951" s="10" t="n">
        <v>45685.63201388889</v>
      </c>
      <c r="F951" s="10" t="n">
        <v>45686.67886574074</v>
      </c>
      <c r="G951" s="11">
        <f>IF(AND(ISNUMBER(C951),ISNUMBER(E951)),(E951-C951),"")</f>
        <v/>
      </c>
      <c r="H951" s="11">
        <f>IF(AND(ISNUMBER(C951),ISNUMBER(F951)),(F951-C951),"")</f>
        <v/>
      </c>
    </row>
    <row r="952">
      <c r="A952" s="3" t="inlineStr">
        <is>
          <t>1028106</t>
        </is>
      </c>
      <c r="B952" s="3" t="inlineStr">
        <is>
          <t>607</t>
        </is>
      </c>
      <c r="C952" s="10" t="n">
        <v>45685.62967592593</v>
      </c>
      <c r="D952" s="3" t="inlineStr">
        <is>
          <t>OBT290125063308-Wien Kledering</t>
        </is>
      </c>
      <c r="E952" s="10" t="n">
        <v>45686.27300925926</v>
      </c>
      <c r="F952" s="10" t="n">
        <v>45687.32686342593</v>
      </c>
      <c r="G952" s="11">
        <f>IF(AND(ISNUMBER(C952),ISNUMBER(E952)),(E952-C952),"")</f>
        <v/>
      </c>
      <c r="H952" s="11">
        <f>IF(AND(ISNUMBER(C952),ISNUMBER(F952)),(F952-C952),"")</f>
        <v/>
      </c>
    </row>
    <row r="953">
      <c r="A953" s="3" t="inlineStr">
        <is>
          <t>1028107</t>
        </is>
      </c>
      <c r="B953" s="3" t="inlineStr">
        <is>
          <t>615</t>
        </is>
      </c>
      <c r="C953" s="10" t="n">
        <v>45685.63082175926</v>
      </c>
      <c r="D953" s="3" t="inlineStr">
        <is>
          <t>OBT280125151602-Neunkirchen (loading tracks)</t>
        </is>
      </c>
      <c r="E953" s="10" t="n">
        <v>45685.63613425926</v>
      </c>
      <c r="F953" s="10" t="n">
        <v>45686.69310185185</v>
      </c>
      <c r="G953" s="11">
        <f>IF(AND(ISNUMBER(C953),ISNUMBER(E953)),(E953-C953),"")</f>
        <v/>
      </c>
      <c r="H953" s="11">
        <f>IF(AND(ISNUMBER(C953),ISNUMBER(F953)),(F953-C953),"")</f>
        <v/>
      </c>
    </row>
    <row r="954">
      <c r="A954" s="3" t="inlineStr">
        <is>
          <t>1028108</t>
        </is>
      </c>
      <c r="B954" s="3" t="inlineStr">
        <is>
          <t>615</t>
        </is>
      </c>
      <c r="C954" s="10" t="n">
        <v>45685.6322337963</v>
      </c>
      <c r="D954" s="3" t="inlineStr">
        <is>
          <t>OBT280125151602-Neunkirchen (loading tracks)</t>
        </is>
      </c>
      <c r="E954" s="10" t="n">
        <v>45685.63613425926</v>
      </c>
      <c r="F954" s="10" t="n">
        <v>45686.69310185185</v>
      </c>
      <c r="G954" s="11">
        <f>IF(AND(ISNUMBER(C954),ISNUMBER(E954)),(E954-C954),"")</f>
        <v/>
      </c>
      <c r="H954" s="11">
        <f>IF(AND(ISNUMBER(C954),ISNUMBER(F954)),(F954-C954),"")</f>
        <v/>
      </c>
    </row>
    <row r="955">
      <c r="A955" s="3" t="inlineStr">
        <is>
          <t>1028301</t>
        </is>
      </c>
      <c r="B955" s="3" t="inlineStr">
        <is>
          <t>606</t>
        </is>
      </c>
      <c r="C955" s="10" t="n">
        <v>45685.82138888889</v>
      </c>
      <c r="D955" s="3" t="inlineStr">
        <is>
          <t>OBT280125194613-Wien Kledering</t>
        </is>
      </c>
      <c r="E955" s="10" t="n">
        <v>45685.82376157407</v>
      </c>
      <c r="F955" s="10" t="n">
        <v>45686.78166666667</v>
      </c>
      <c r="G955" s="11">
        <f>IF(AND(ISNUMBER(C955),ISNUMBER(E955)),(E955-C955),"")</f>
        <v/>
      </c>
      <c r="H955" s="11">
        <f>IF(AND(ISNUMBER(C955),ISNUMBER(F955)),(F955-C955),"")</f>
        <v/>
      </c>
    </row>
    <row r="956">
      <c r="A956" s="3" t="inlineStr">
        <is>
          <t>1028401</t>
        </is>
      </c>
      <c r="B956" s="3" t="inlineStr">
        <is>
          <t>611</t>
        </is>
      </c>
      <c r="C956" s="10" t="n">
        <v>45685.88561342593</v>
      </c>
      <c r="D956" s="3" t="inlineStr">
        <is>
          <t>OBT280125211842-Wien Kledering</t>
        </is>
      </c>
      <c r="E956" s="10" t="n">
        <v>45685.88798611111</v>
      </c>
      <c r="F956" s="10" t="n">
        <v>45686.84350694445</v>
      </c>
      <c r="G956" s="11">
        <f>IF(AND(ISNUMBER(C956),ISNUMBER(E956)),(E956-C956),"")</f>
        <v/>
      </c>
      <c r="H956" s="11">
        <f>IF(AND(ISNUMBER(C956),ISNUMBER(F956)),(F956-C956),"")</f>
        <v/>
      </c>
    </row>
    <row r="957">
      <c r="A957" s="3" t="inlineStr">
        <is>
          <t>1028501</t>
        </is>
      </c>
      <c r="B957" s="3" t="inlineStr">
        <is>
          <t>629</t>
        </is>
      </c>
      <c r="C957" s="10" t="n">
        <v>45686.12634259259</v>
      </c>
      <c r="D957" s="3" t="inlineStr">
        <is>
          <t>OBT290125074446-Wien Kledering</t>
        </is>
      </c>
      <c r="E957" s="10" t="n">
        <v>45686.32275462963</v>
      </c>
      <c r="F957" s="10" t="n">
        <v>45687.36512731481</v>
      </c>
      <c r="G957" s="11">
        <f>IF(AND(ISNUMBER(C957),ISNUMBER(E957)),(E957-C957),"")</f>
        <v/>
      </c>
      <c r="H957" s="11">
        <f>IF(AND(ISNUMBER(C957),ISNUMBER(F957)),(F957-C957),"")</f>
        <v/>
      </c>
    </row>
    <row r="958">
      <c r="A958" s="3" t="inlineStr">
        <is>
          <t>1028502</t>
        </is>
      </c>
      <c r="B958" s="3" t="inlineStr">
        <is>
          <t>615</t>
        </is>
      </c>
      <c r="C958" s="10" t="n">
        <v>45686.12784722223</v>
      </c>
      <c r="D958" s="3" t="inlineStr">
        <is>
          <t>OBT290125030733-Neunkirchen (loading tracks)</t>
        </is>
      </c>
      <c r="E958" s="10" t="n">
        <v>45686.13024305556</v>
      </c>
      <c r="F958" s="10" t="n">
        <v>45686.90846064815</v>
      </c>
      <c r="G958" s="11">
        <f>IF(AND(ISNUMBER(C958),ISNUMBER(E958)),(E958-C958),"")</f>
        <v/>
      </c>
      <c r="H958" s="11">
        <f>IF(AND(ISNUMBER(C958),ISNUMBER(F958)),(F958-C958),"")</f>
        <v/>
      </c>
    </row>
    <row r="959">
      <c r="A959" s="3" t="inlineStr">
        <is>
          <t>1028503</t>
        </is>
      </c>
      <c r="B959" s="3" t="inlineStr">
        <is>
          <t>619</t>
        </is>
      </c>
      <c r="C959" s="10" t="n">
        <v>45686.12989583334</v>
      </c>
      <c r="D959" s="3" t="inlineStr">
        <is>
          <t>OBT290125093729-Other sidings south</t>
        </is>
      </c>
      <c r="E959" s="10" t="n">
        <v>45686.40103009259</v>
      </c>
      <c r="F959" s="10" t="n">
        <v>45687.36836805556</v>
      </c>
      <c r="G959" s="11">
        <f>IF(AND(ISNUMBER(C959),ISNUMBER(E959)),(E959-C959),"")</f>
        <v/>
      </c>
      <c r="H959" s="11">
        <f>IF(AND(ISNUMBER(C959),ISNUMBER(F959)),(F959-C959),"")</f>
        <v/>
      </c>
    </row>
    <row r="960">
      <c r="A960" s="3" t="inlineStr">
        <is>
          <t>1028504</t>
        </is>
      </c>
      <c r="B960" s="3" t="inlineStr">
        <is>
          <t>629</t>
        </is>
      </c>
      <c r="C960" s="10" t="n">
        <v>45686.13181712963</v>
      </c>
      <c r="D960" s="3" t="inlineStr">
        <is>
          <t>OBT290125074446-Wien Kledering</t>
        </is>
      </c>
      <c r="E960" s="10" t="n">
        <v>45686.32275462963</v>
      </c>
      <c r="F960" s="10" t="n">
        <v>45687.36512731481</v>
      </c>
      <c r="G960" s="11">
        <f>IF(AND(ISNUMBER(C960),ISNUMBER(E960)),(E960-C960),"")</f>
        <v/>
      </c>
      <c r="H960" s="11">
        <f>IF(AND(ISNUMBER(C960),ISNUMBER(F960)),(F960-C960),"")</f>
        <v/>
      </c>
    </row>
    <row r="961">
      <c r="A961" s="3" t="inlineStr">
        <is>
          <t>1028601</t>
        </is>
      </c>
      <c r="B961" s="3" t="inlineStr">
        <is>
          <t>613</t>
        </is>
      </c>
      <c r="C961" s="10" t="n">
        <v>45686.18737268518</v>
      </c>
      <c r="D961" s="3" t="inlineStr">
        <is>
          <t>OBT290125043313-Neudörfl (FunderMax)</t>
        </is>
      </c>
      <c r="E961" s="10" t="n">
        <v>45686.18973379629</v>
      </c>
      <c r="F961" s="10" t="n">
        <v>45687.15237268519</v>
      </c>
      <c r="G961" s="11">
        <f>IF(AND(ISNUMBER(C961),ISNUMBER(E961)),(E961-C961),"")</f>
        <v/>
      </c>
      <c r="H961" s="11">
        <f>IF(AND(ISNUMBER(C961),ISNUMBER(F961)),(F961-C961),"")</f>
        <v/>
      </c>
    </row>
    <row r="962">
      <c r="A962" s="3" t="inlineStr">
        <is>
          <t>1028701</t>
        </is>
      </c>
      <c r="B962" s="3" t="inlineStr">
        <is>
          <t>607</t>
        </is>
      </c>
      <c r="C962" s="10" t="n">
        <v>45686.27061342593</v>
      </c>
      <c r="D962" s="3" t="inlineStr">
        <is>
          <t>OBT290125063308-Wien Kledering</t>
        </is>
      </c>
      <c r="E962" s="10" t="n">
        <v>45686.27300925926</v>
      </c>
      <c r="F962" s="10" t="n">
        <v>45687.32686342593</v>
      </c>
      <c r="G962" s="11">
        <f>IF(AND(ISNUMBER(C962),ISNUMBER(E962)),(E962-C962),"")</f>
        <v/>
      </c>
      <c r="H962" s="11">
        <f>IF(AND(ISNUMBER(C962),ISNUMBER(F962)),(F962-C962),"")</f>
        <v/>
      </c>
    </row>
    <row r="963">
      <c r="A963" s="3" t="inlineStr">
        <is>
          <t>1028801</t>
        </is>
      </c>
      <c r="B963" s="3" t="inlineStr">
        <is>
          <t>621</t>
        </is>
      </c>
      <c r="C963" s="10" t="n">
        <v>45686.31510416666</v>
      </c>
      <c r="D963" s="3" t="inlineStr">
        <is>
          <t>OBT290125073710-Wien Kledering</t>
        </is>
      </c>
      <c r="E963" s="10" t="n">
        <v>45686.31747685185</v>
      </c>
      <c r="F963" s="10" t="n">
        <v>45687.36982638889</v>
      </c>
      <c r="G963" s="11">
        <f>IF(AND(ISNUMBER(C963),ISNUMBER(E963)),(E963-C963),"")</f>
        <v/>
      </c>
      <c r="H963" s="11">
        <f>IF(AND(ISNUMBER(C963),ISNUMBER(F963)),(F963-C963),"")</f>
        <v/>
      </c>
    </row>
    <row r="964">
      <c r="A964" s="3" t="inlineStr">
        <is>
          <t>1028901</t>
        </is>
      </c>
      <c r="B964" s="3" t="inlineStr">
        <is>
          <t>629</t>
        </is>
      </c>
      <c r="C964" s="10" t="n">
        <v>45686.32038194445</v>
      </c>
      <c r="D964" s="3" t="inlineStr">
        <is>
          <t>OBT290125074446-Wien Kledering</t>
        </is>
      </c>
      <c r="E964" s="10" t="n">
        <v>45686.32275462963</v>
      </c>
      <c r="F964" s="10" t="n">
        <v>45687.36512731481</v>
      </c>
      <c r="G964" s="11">
        <f>IF(AND(ISNUMBER(C964),ISNUMBER(E964)),(E964-C964),"")</f>
        <v/>
      </c>
      <c r="H964" s="11">
        <f>IF(AND(ISNUMBER(C964),ISNUMBER(F964)),(F964-C964),"")</f>
        <v/>
      </c>
    </row>
    <row r="965">
      <c r="A965" s="3" t="inlineStr">
        <is>
          <t>1029001</t>
        </is>
      </c>
      <c r="B965" s="3" t="inlineStr">
        <is>
          <t>621</t>
        </is>
      </c>
      <c r="C965" s="10" t="n">
        <v>45686.35525462963</v>
      </c>
      <c r="D965" s="3" t="inlineStr">
        <is>
          <t>OBT300125085102-St. Veit an der Glan</t>
        </is>
      </c>
      <c r="E965" s="10" t="n">
        <v>45687.36877314815</v>
      </c>
      <c r="F965" s="10" t="n">
        <v>45688.36998842593</v>
      </c>
      <c r="G965" s="11">
        <f>IF(AND(ISNUMBER(C965),ISNUMBER(E965)),(E965-C965),"")</f>
        <v/>
      </c>
      <c r="H965" s="11">
        <f>IF(AND(ISNUMBER(C965),ISNUMBER(F965)),(F965-C965),"")</f>
        <v/>
      </c>
    </row>
    <row r="966">
      <c r="A966" s="3" t="inlineStr">
        <is>
          <t>1029002</t>
        </is>
      </c>
      <c r="B966" s="3" t="inlineStr">
        <is>
          <t>615</t>
        </is>
      </c>
      <c r="C966" s="10" t="n">
        <v>45686.35652777777</v>
      </c>
      <c r="D966" s="3" t="inlineStr">
        <is>
          <t>OBT290125094134-Wien Kledering</t>
        </is>
      </c>
      <c r="E966" s="10" t="n">
        <v>45686.40386574074</v>
      </c>
      <c r="F966" s="10" t="n">
        <v>45687.41398148148</v>
      </c>
      <c r="G966" s="11">
        <f>IF(AND(ISNUMBER(C966),ISNUMBER(E966)),(E966-C966),"")</f>
        <v/>
      </c>
      <c r="H966" s="11">
        <f>IF(AND(ISNUMBER(C966),ISNUMBER(F966)),(F966-C966),"")</f>
        <v/>
      </c>
    </row>
    <row r="967">
      <c r="A967" s="3" t="inlineStr">
        <is>
          <t>1029101</t>
        </is>
      </c>
      <c r="B967" s="3" t="inlineStr">
        <is>
          <t>619</t>
        </is>
      </c>
      <c r="C967" s="10" t="n">
        <v>45686.39710648148</v>
      </c>
      <c r="D967" s="3" t="inlineStr">
        <is>
          <t>OBT290125093729-Other sidings south</t>
        </is>
      </c>
      <c r="E967" s="10" t="n">
        <v>45686.40103009259</v>
      </c>
      <c r="F967" s="10" t="n">
        <v>45687.36836805556</v>
      </c>
      <c r="G967" s="11">
        <f>IF(AND(ISNUMBER(C967),ISNUMBER(E967)),(E967-C967),"")</f>
        <v/>
      </c>
      <c r="H967" s="11">
        <f>IF(AND(ISNUMBER(C967),ISNUMBER(F967)),(F967-C967),"")</f>
        <v/>
      </c>
    </row>
    <row r="968">
      <c r="A968" s="3" t="inlineStr">
        <is>
          <t>1029102</t>
        </is>
      </c>
      <c r="B968" s="3" t="inlineStr">
        <is>
          <t>617</t>
        </is>
      </c>
      <c r="C968" s="10" t="n">
        <v>45686.39837962963</v>
      </c>
      <c r="D968" s="3" t="inlineStr">
        <is>
          <t>OBT300125081010-Wr. Neustadt (Brenntag)</t>
        </is>
      </c>
      <c r="E968" s="10" t="n">
        <v>45687.34039351852</v>
      </c>
      <c r="F968" s="10" t="n">
        <v>45688.32615740741</v>
      </c>
      <c r="G968" s="11">
        <f>IF(AND(ISNUMBER(C968),ISNUMBER(E968)),(E968-C968),"")</f>
        <v/>
      </c>
      <c r="H968" s="11">
        <f>IF(AND(ISNUMBER(C968),ISNUMBER(F968)),(F968-C968),"")</f>
        <v/>
      </c>
    </row>
    <row r="969">
      <c r="A969" s="3" t="inlineStr">
        <is>
          <t>1029104</t>
        </is>
      </c>
      <c r="B969" s="3" t="inlineStr">
        <is>
          <t>615</t>
        </is>
      </c>
      <c r="C969" s="10" t="n">
        <v>45686.39994212963</v>
      </c>
      <c r="D969" s="3" t="inlineStr">
        <is>
          <t>OBT290125094134-Wien Kledering</t>
        </is>
      </c>
      <c r="E969" s="10" t="n">
        <v>45686.40386574074</v>
      </c>
      <c r="F969" s="10" t="n">
        <v>45687.41398148148</v>
      </c>
      <c r="G969" s="11">
        <f>IF(AND(ISNUMBER(C969),ISNUMBER(E969)),(E969-C969),"")</f>
        <v/>
      </c>
      <c r="H969" s="11">
        <f>IF(AND(ISNUMBER(C969),ISNUMBER(F969)),(F969-C969),"")</f>
        <v/>
      </c>
    </row>
    <row r="970">
      <c r="A970" s="3" t="inlineStr">
        <is>
          <t>1029106</t>
        </is>
      </c>
      <c r="B970" s="3" t="inlineStr">
        <is>
          <t>607</t>
        </is>
      </c>
      <c r="C970" s="10" t="n">
        <v>45686.4016550926</v>
      </c>
      <c r="D970" s="3" t="inlineStr">
        <is>
          <t>OBT300125081913-Wr. Neustadt Ausfahrbf (Furtenbach)</t>
        </is>
      </c>
      <c r="E970" s="10" t="n">
        <v>45687.34667824074</v>
      </c>
      <c r="F970" s="10" t="n">
        <v>45688.40694444445</v>
      </c>
      <c r="G970" s="11">
        <f>IF(AND(ISNUMBER(C970),ISNUMBER(E970)),(E970-C970),"")</f>
        <v/>
      </c>
      <c r="H970" s="11">
        <f>IF(AND(ISNUMBER(C970),ISNUMBER(F970)),(F970-C970),"")</f>
        <v/>
      </c>
    </row>
    <row r="971">
      <c r="A971" s="3" t="inlineStr">
        <is>
          <t>1029107</t>
        </is>
      </c>
      <c r="B971" s="3" t="inlineStr">
        <is>
          <t>621</t>
        </is>
      </c>
      <c r="C971" s="10" t="n">
        <v>45686.40361111111</v>
      </c>
      <c r="D971" s="3" t="inlineStr">
        <is>
          <t>OBT300125085102-St. Veit an der Glan</t>
        </is>
      </c>
      <c r="E971" s="10" t="n">
        <v>45687.36877314815</v>
      </c>
      <c r="F971" s="10" t="n">
        <v>45688.36998842593</v>
      </c>
      <c r="G971" s="11">
        <f>IF(AND(ISNUMBER(C971),ISNUMBER(E971)),(E971-C971),"")</f>
        <v/>
      </c>
      <c r="H971" s="11">
        <f>IF(AND(ISNUMBER(C971),ISNUMBER(F971)),(F971-C971),"")</f>
        <v/>
      </c>
    </row>
    <row r="972">
      <c r="A972" s="3" t="inlineStr">
        <is>
          <t>1029109</t>
        </is>
      </c>
      <c r="B972" s="3" t="inlineStr">
        <is>
          <t>619</t>
        </is>
      </c>
      <c r="C972" s="10" t="n">
        <v>45686.40557870371</v>
      </c>
      <c r="D972" s="3" t="inlineStr">
        <is>
          <t>OBT310125080145-Wr. Neustadt (Brenntag)</t>
        </is>
      </c>
      <c r="E972" s="10" t="n">
        <v>45688.33454861111</v>
      </c>
      <c r="F972" s="10" t="n">
        <v>45688.88511574074</v>
      </c>
      <c r="G972" s="11">
        <f>IF(AND(ISNUMBER(C972),ISNUMBER(E972)),(E972-C972),"")</f>
        <v/>
      </c>
      <c r="H972" s="11">
        <f>IF(AND(ISNUMBER(C972),ISNUMBER(F972)),(F972-C972),"")</f>
        <v/>
      </c>
    </row>
    <row r="973">
      <c r="A973" s="3" t="inlineStr">
        <is>
          <t>1029110</t>
        </is>
      </c>
      <c r="B973" s="3" t="inlineStr">
        <is>
          <t>623</t>
        </is>
      </c>
      <c r="C973" s="10" t="n">
        <v>45686.40734953704</v>
      </c>
      <c r="D973" s="3" t="inlineStr">
        <is>
          <t>OBT290125152804-Other sidings north</t>
        </is>
      </c>
      <c r="E973" s="10" t="n">
        <v>45686.64449074074</v>
      </c>
      <c r="F973" s="10" t="n">
        <v>45687.63457175926</v>
      </c>
      <c r="G973" s="11">
        <f>IF(AND(ISNUMBER(C973),ISNUMBER(E973)),(E973-C973),"")</f>
        <v/>
      </c>
      <c r="H973" s="11">
        <f>IF(AND(ISNUMBER(C973),ISNUMBER(F973)),(F973-C973),"")</f>
        <v/>
      </c>
    </row>
    <row r="974">
      <c r="A974" s="3" t="inlineStr">
        <is>
          <t>1029201</t>
        </is>
      </c>
      <c r="B974" s="3" t="inlineStr">
        <is>
          <t>621</t>
        </is>
      </c>
      <c r="C974" s="10" t="n">
        <v>45686.44802083333</v>
      </c>
      <c r="D974" s="3" t="inlineStr">
        <is>
          <t>OBT300125085102-St. Veit an der Glan</t>
        </is>
      </c>
      <c r="E974" s="10" t="n">
        <v>45687.36877314815</v>
      </c>
      <c r="F974" s="10" t="n">
        <v>45688.36998842593</v>
      </c>
      <c r="G974" s="11">
        <f>IF(AND(ISNUMBER(C974),ISNUMBER(E974)),(E974-C974),"")</f>
        <v/>
      </c>
      <c r="H974" s="11">
        <f>IF(AND(ISNUMBER(C974),ISNUMBER(F974)),(F974-C974),"")</f>
        <v/>
      </c>
    </row>
    <row r="975">
      <c r="A975" s="3" t="inlineStr">
        <is>
          <t>1029202</t>
        </is>
      </c>
      <c r="B975" s="3" t="inlineStr">
        <is>
          <t>615</t>
        </is>
      </c>
      <c r="C975" s="10" t="n">
        <v>45686.44965277778</v>
      </c>
      <c r="D975" s="3" t="inlineStr">
        <is>
          <t>OBT290125105057-Wien Kledering</t>
        </is>
      </c>
      <c r="E975" s="10" t="n">
        <v>45686.45204861111</v>
      </c>
      <c r="F975" s="10" t="n">
        <v>45687.44554398148</v>
      </c>
      <c r="G975" s="11">
        <f>IF(AND(ISNUMBER(C975),ISNUMBER(E975)),(E975-C975),"")</f>
        <v/>
      </c>
      <c r="H975" s="11">
        <f>IF(AND(ISNUMBER(C975),ISNUMBER(F975)),(F975-C975),"")</f>
        <v/>
      </c>
    </row>
    <row r="976">
      <c r="A976" s="3" t="inlineStr">
        <is>
          <t>1029301</t>
        </is>
      </c>
      <c r="B976" s="3" t="inlineStr">
        <is>
          <t>615</t>
        </is>
      </c>
      <c r="C976" s="10" t="n">
        <v>45686.55428240741</v>
      </c>
      <c r="D976" s="3" t="inlineStr">
        <is>
          <t>OBT290125132135-Wien Kledering</t>
        </is>
      </c>
      <c r="E976" s="10" t="n">
        <v>45686.55665509259</v>
      </c>
      <c r="F976" s="10" t="n">
        <v>45687.47135416666</v>
      </c>
      <c r="G976" s="11">
        <f>IF(AND(ISNUMBER(C976),ISNUMBER(E976)),(E976-C976),"")</f>
        <v/>
      </c>
      <c r="H976" s="11">
        <f>IF(AND(ISNUMBER(C976),ISNUMBER(F976)),(F976-C976),"")</f>
        <v/>
      </c>
    </row>
    <row r="977">
      <c r="A977" s="3" t="inlineStr">
        <is>
          <t>1029401</t>
        </is>
      </c>
      <c r="B977" s="3" t="inlineStr">
        <is>
          <t>615</t>
        </is>
      </c>
      <c r="C977" s="10" t="n">
        <v>45686.61462962963</v>
      </c>
      <c r="D977" s="3" t="inlineStr">
        <is>
          <t>OBT290125144829-Wien Kledering</t>
        </is>
      </c>
      <c r="E977" s="10" t="n">
        <v>45686.61700231482</v>
      </c>
      <c r="F977" s="10" t="n">
        <v>45687.6214699074</v>
      </c>
      <c r="G977" s="11">
        <f>IF(AND(ISNUMBER(C977),ISNUMBER(E977)),(E977-C977),"")</f>
        <v/>
      </c>
      <c r="H977" s="11">
        <f>IF(AND(ISNUMBER(C977),ISNUMBER(F977)),(F977-C977),"")</f>
        <v/>
      </c>
    </row>
    <row r="978">
      <c r="A978" s="3" t="inlineStr">
        <is>
          <t>1029501</t>
        </is>
      </c>
      <c r="B978" s="3" t="inlineStr">
        <is>
          <t>623</t>
        </is>
      </c>
      <c r="C978" s="10" t="n">
        <v>45686.6405787037</v>
      </c>
      <c r="D978" s="3" t="inlineStr">
        <is>
          <t>OBT290125152804-Other sidings north</t>
        </is>
      </c>
      <c r="E978" s="10" t="n">
        <v>45686.64449074074</v>
      </c>
      <c r="F978" s="10" t="n">
        <v>45687.63457175926</v>
      </c>
      <c r="G978" s="11">
        <f>IF(AND(ISNUMBER(C978),ISNUMBER(E978)),(E978-C978),"")</f>
        <v/>
      </c>
      <c r="H978" s="11">
        <f>IF(AND(ISNUMBER(C978),ISNUMBER(F978)),(F978-C978),"")</f>
        <v/>
      </c>
    </row>
    <row r="979">
      <c r="A979" s="3" t="inlineStr">
        <is>
          <t>1029502</t>
        </is>
      </c>
      <c r="B979" s="3" t="inlineStr">
        <is>
          <t>627</t>
        </is>
      </c>
      <c r="C979" s="10" t="n">
        <v>45686.64265046296</v>
      </c>
      <c r="D979" s="3" t="inlineStr">
        <is>
          <t>OBT290125154754-Wr. Neustadt (Hödlmayr)</t>
        </is>
      </c>
      <c r="E979" s="10" t="n">
        <v>45686.65826388889</v>
      </c>
      <c r="F979" s="10" t="n">
        <v>45687.66959490741</v>
      </c>
      <c r="G979" s="11">
        <f>IF(AND(ISNUMBER(C979),ISNUMBER(E979)),(E979-C979),"")</f>
        <v/>
      </c>
      <c r="H979" s="11">
        <f>IF(AND(ISNUMBER(C979),ISNUMBER(F979)),(F979-C979),"")</f>
        <v/>
      </c>
    </row>
    <row r="980">
      <c r="A980" s="3" t="inlineStr">
        <is>
          <t>1029503</t>
        </is>
      </c>
      <c r="B980" s="3" t="inlineStr">
        <is>
          <t>617</t>
        </is>
      </c>
      <c r="C980" s="10" t="n">
        <v>45686.64392361111</v>
      </c>
      <c r="D980" s="3" t="inlineStr">
        <is>
          <t>OBT300125081010-Wr. Neustadt (Brenntag)</t>
        </is>
      </c>
      <c r="E980" s="10" t="n">
        <v>45687.34039351852</v>
      </c>
      <c r="F980" s="10" t="n">
        <v>45688.32615740741</v>
      </c>
      <c r="G980" s="11">
        <f>IF(AND(ISNUMBER(C980),ISNUMBER(E980)),(E980-C980),"")</f>
        <v/>
      </c>
      <c r="H980" s="11">
        <f>IF(AND(ISNUMBER(C980),ISNUMBER(F980)),(F980-C980),"")</f>
        <v/>
      </c>
    </row>
    <row r="981">
      <c r="A981" s="3" t="inlineStr">
        <is>
          <t>1029504</t>
        </is>
      </c>
      <c r="B981" s="3" t="inlineStr">
        <is>
          <t>605</t>
        </is>
      </c>
      <c r="C981" s="10" t="n">
        <v>45686.64564814815</v>
      </c>
      <c r="D981" s="3" t="inlineStr">
        <is>
          <t>OBT300125153454-Other sidings south</t>
        </is>
      </c>
      <c r="E981" s="10" t="n">
        <v>45687.64923611111</v>
      </c>
      <c r="F981" s="10" t="n">
        <v>45688.55568287037</v>
      </c>
      <c r="G981" s="11">
        <f>IF(AND(ISNUMBER(C981),ISNUMBER(E981)),(E981-C981),"")</f>
        <v/>
      </c>
      <c r="H981" s="11">
        <f>IF(AND(ISNUMBER(C981),ISNUMBER(F981)),(F981-C981),"")</f>
        <v/>
      </c>
    </row>
    <row r="982">
      <c r="A982" s="3" t="inlineStr">
        <is>
          <t>1029505</t>
        </is>
      </c>
      <c r="B982" s="3" t="inlineStr">
        <is>
          <t>629</t>
        </is>
      </c>
      <c r="C982" s="10" t="n">
        <v>45686.64756944445</v>
      </c>
      <c r="D982" s="3" t="inlineStr">
        <is>
          <t>OBT300125030547-Neunkirchen (loading tracks)</t>
        </is>
      </c>
      <c r="E982" s="10" t="n">
        <v>45687.1290162037</v>
      </c>
      <c r="F982" s="10" t="n">
        <v>45687.88303240741</v>
      </c>
      <c r="G982" s="11">
        <f>IF(AND(ISNUMBER(C982),ISNUMBER(E982)),(E982-C982),"")</f>
        <v/>
      </c>
      <c r="H982" s="11">
        <f>IF(AND(ISNUMBER(C982),ISNUMBER(F982)),(F982-C982),"")</f>
        <v/>
      </c>
    </row>
    <row r="983">
      <c r="A983" s="3" t="inlineStr">
        <is>
          <t>1029506</t>
        </is>
      </c>
      <c r="B983" s="3" t="inlineStr">
        <is>
          <t>609</t>
        </is>
      </c>
      <c r="C983" s="10" t="n">
        <v>45686.64921296296</v>
      </c>
      <c r="D983" s="3" t="inlineStr">
        <is>
          <t>OBT290125182252-Pitten (Hamburger)</t>
        </is>
      </c>
      <c r="E983" s="10" t="n">
        <v>45686.76587962963</v>
      </c>
      <c r="F983" s="10" t="n">
        <v>45687.76586805555</v>
      </c>
      <c r="G983" s="11">
        <f>IF(AND(ISNUMBER(C983),ISNUMBER(E983)),(E983-C983),"")</f>
        <v/>
      </c>
      <c r="H983" s="11">
        <f>IF(AND(ISNUMBER(C983),ISNUMBER(F983)),(F983-C983),"")</f>
        <v/>
      </c>
    </row>
    <row r="984">
      <c r="A984" s="3" t="inlineStr">
        <is>
          <t>1029507</t>
        </is>
      </c>
      <c r="B984" s="3" t="inlineStr">
        <is>
          <t>619</t>
        </is>
      </c>
      <c r="C984" s="10" t="n">
        <v>45686.65127314815</v>
      </c>
      <c r="D984" s="3" t="inlineStr">
        <is>
          <t>OBT310125080145-Wr. Neustadt (Brenntag)</t>
        </is>
      </c>
      <c r="E984" s="10" t="n">
        <v>45688.33454861111</v>
      </c>
      <c r="F984" s="10" t="n">
        <v>45688.88511574074</v>
      </c>
      <c r="G984" s="11">
        <f>IF(AND(ISNUMBER(C984),ISNUMBER(E984)),(E984-C984),"")</f>
        <v/>
      </c>
      <c r="H984" s="11">
        <f>IF(AND(ISNUMBER(C984),ISNUMBER(F984)),(F984-C984),"")</f>
        <v/>
      </c>
    </row>
    <row r="985">
      <c r="A985" s="3" t="inlineStr">
        <is>
          <t>1029508</t>
        </is>
      </c>
      <c r="B985" s="3" t="inlineStr">
        <is>
          <t>609</t>
        </is>
      </c>
      <c r="C985" s="10" t="n">
        <v>45686.6527662037</v>
      </c>
      <c r="D985" s="3" t="inlineStr">
        <is>
          <t>OBT290125182252-Pitten (Hamburger)</t>
        </is>
      </c>
      <c r="E985" s="10" t="n">
        <v>45686.76587962963</v>
      </c>
      <c r="F985" s="10" t="n">
        <v>45687.76586805555</v>
      </c>
      <c r="G985" s="11">
        <f>IF(AND(ISNUMBER(C985),ISNUMBER(E985)),(E985-C985),"")</f>
        <v/>
      </c>
      <c r="H985" s="11">
        <f>IF(AND(ISNUMBER(C985),ISNUMBER(F985)),(F985-C985),"")</f>
        <v/>
      </c>
    </row>
    <row r="986">
      <c r="A986" s="3" t="inlineStr">
        <is>
          <t>1029511</t>
        </is>
      </c>
      <c r="B986" s="3" t="inlineStr">
        <is>
          <t>627</t>
        </is>
      </c>
      <c r="C986" s="10" t="n">
        <v>45686.65472222222</v>
      </c>
      <c r="D986" s="3" t="inlineStr">
        <is>
          <t>OBT290125154754-Wr. Neustadt (Hödlmayr)</t>
        </is>
      </c>
      <c r="E986" s="10" t="n">
        <v>45686.65826388889</v>
      </c>
      <c r="F986" s="10" t="n">
        <v>45687.66959490741</v>
      </c>
      <c r="G986" s="11">
        <f>IF(AND(ISNUMBER(C986),ISNUMBER(E986)),(E986-C986),"")</f>
        <v/>
      </c>
      <c r="H986" s="11">
        <f>IF(AND(ISNUMBER(C986),ISNUMBER(F986)),(F986-C986),"")</f>
        <v/>
      </c>
    </row>
    <row r="987">
      <c r="A987" s="3" t="inlineStr">
        <is>
          <t>1029701</t>
        </is>
      </c>
      <c r="B987" s="3" t="inlineStr">
        <is>
          <t>615</t>
        </is>
      </c>
      <c r="C987" s="10" t="n">
        <v>45686.73849537037</v>
      </c>
      <c r="D987" s="3" t="inlineStr">
        <is>
          <t>OBT290125174650-Wien Kledering</t>
        </is>
      </c>
      <c r="E987" s="10" t="n">
        <v>45686.74085648148</v>
      </c>
      <c r="F987" s="10" t="n">
        <v>45687.70966435185</v>
      </c>
      <c r="G987" s="11">
        <f>IF(AND(ISNUMBER(C987),ISNUMBER(E987)),(E987-C987),"")</f>
        <v/>
      </c>
      <c r="H987" s="11">
        <f>IF(AND(ISNUMBER(C987),ISNUMBER(F987)),(F987-C987),"")</f>
        <v/>
      </c>
    </row>
    <row r="988">
      <c r="A988" s="3" t="inlineStr">
        <is>
          <t>1029802</t>
        </is>
      </c>
      <c r="B988" s="3" t="inlineStr">
        <is>
          <t>617</t>
        </is>
      </c>
      <c r="C988" s="10" t="n">
        <v>45686.75649305555</v>
      </c>
      <c r="D988" s="3" t="inlineStr">
        <is>
          <t>OBT300125081010-Wr. Neustadt (Brenntag)</t>
        </is>
      </c>
      <c r="E988" s="10" t="n">
        <v>45687.34039351852</v>
      </c>
      <c r="F988" s="10" t="n">
        <v>45688.32615740741</v>
      </c>
      <c r="G988" s="11">
        <f>IF(AND(ISNUMBER(C988),ISNUMBER(E988)),(E988-C988),"")</f>
        <v/>
      </c>
      <c r="H988" s="11">
        <f>IF(AND(ISNUMBER(C988),ISNUMBER(F988)),(F988-C988),"")</f>
        <v/>
      </c>
    </row>
    <row r="989">
      <c r="A989" s="3" t="inlineStr">
        <is>
          <t>1029803</t>
        </is>
      </c>
      <c r="B989" s="3" t="inlineStr">
        <is>
          <t>627</t>
        </is>
      </c>
      <c r="C989" s="10" t="n">
        <v>45686.75840277778</v>
      </c>
      <c r="D989" s="3" t="inlineStr">
        <is>
          <t>OBT300125075751-Wr. Neustadt (Hödlmayr)</t>
        </is>
      </c>
      <c r="E989" s="10" t="n">
        <v>45687.33184027778</v>
      </c>
      <c r="F989" s="10" t="n">
        <v>45688.24699074074</v>
      </c>
      <c r="G989" s="11">
        <f>IF(AND(ISNUMBER(C989),ISNUMBER(E989)),(E989-C989),"")</f>
        <v/>
      </c>
      <c r="H989" s="11">
        <f>IF(AND(ISNUMBER(C989),ISNUMBER(F989)),(F989-C989),"")</f>
        <v/>
      </c>
    </row>
    <row r="990">
      <c r="A990" s="3" t="inlineStr">
        <is>
          <t>1029804</t>
        </is>
      </c>
      <c r="B990" s="3" t="inlineStr">
        <is>
          <t>621</t>
        </is>
      </c>
      <c r="C990" s="10" t="n">
        <v>45686.76032407407</v>
      </c>
      <c r="D990" s="3" t="inlineStr">
        <is>
          <t>OBT300125085102-St. Veit an der Glan</t>
        </is>
      </c>
      <c r="E990" s="10" t="n">
        <v>45687.36877314815</v>
      </c>
      <c r="F990" s="10" t="n">
        <v>45688.36998842593</v>
      </c>
      <c r="G990" s="11">
        <f>IF(AND(ISNUMBER(C990),ISNUMBER(E990)),(E990-C990),"")</f>
        <v/>
      </c>
      <c r="H990" s="11">
        <f>IF(AND(ISNUMBER(C990),ISNUMBER(F990)),(F990-C990),"")</f>
        <v/>
      </c>
    </row>
    <row r="991">
      <c r="A991" s="3" t="inlineStr">
        <is>
          <t>1029805</t>
        </is>
      </c>
      <c r="B991" s="3" t="inlineStr">
        <is>
          <t>609</t>
        </is>
      </c>
      <c r="C991" s="10" t="n">
        <v>45686.7619675926</v>
      </c>
      <c r="D991" s="3" t="inlineStr">
        <is>
          <t>OBT290125182252-Pitten (Hamburger)</t>
        </is>
      </c>
      <c r="E991" s="10" t="n">
        <v>45686.76587962963</v>
      </c>
      <c r="F991" s="10" t="n">
        <v>45687.76586805555</v>
      </c>
      <c r="G991" s="11">
        <f>IF(AND(ISNUMBER(C991),ISNUMBER(E991)),(E991-C991),"")</f>
        <v/>
      </c>
      <c r="H991" s="11">
        <f>IF(AND(ISNUMBER(C991),ISNUMBER(F991)),(F991-C991),"")</f>
        <v/>
      </c>
    </row>
    <row r="992">
      <c r="A992" s="3" t="inlineStr">
        <is>
          <t>1029806</t>
        </is>
      </c>
      <c r="B992" s="3" t="inlineStr">
        <is>
          <t>627</t>
        </is>
      </c>
      <c r="C992" s="10" t="n">
        <v>45686.76394675926</v>
      </c>
      <c r="D992" s="3" t="inlineStr">
        <is>
          <t>OBT300125075751-Wr. Neustadt (Hödlmayr)</t>
        </is>
      </c>
      <c r="E992" s="10" t="n">
        <v>45687.33184027778</v>
      </c>
      <c r="F992" s="10" t="n">
        <v>45688.24699074074</v>
      </c>
      <c r="G992" s="11">
        <f>IF(AND(ISNUMBER(C992),ISNUMBER(E992)),(E992-C992),"")</f>
        <v/>
      </c>
      <c r="H992" s="11">
        <f>IF(AND(ISNUMBER(C992),ISNUMBER(F992)),(F992-C992),"")</f>
        <v/>
      </c>
    </row>
    <row r="993">
      <c r="A993" s="3" t="inlineStr">
        <is>
          <t>1029807</t>
        </is>
      </c>
      <c r="B993" s="3" t="inlineStr">
        <is>
          <t>629</t>
        </is>
      </c>
      <c r="C993" s="10" t="n">
        <v>45686.7658912037</v>
      </c>
      <c r="D993" s="3" t="inlineStr">
        <is>
          <t>OBT300125030547-Neunkirchen (loading tracks)</t>
        </is>
      </c>
      <c r="E993" s="10" t="n">
        <v>45687.1290162037</v>
      </c>
      <c r="F993" s="10" t="n">
        <v>45687.88303240741</v>
      </c>
      <c r="G993" s="11">
        <f>IF(AND(ISNUMBER(C993),ISNUMBER(E993)),(E993-C993),"")</f>
        <v/>
      </c>
      <c r="H993" s="11">
        <f>IF(AND(ISNUMBER(C993),ISNUMBER(F993)),(F993-C993),"")</f>
        <v/>
      </c>
    </row>
    <row r="994">
      <c r="A994" s="3" t="inlineStr">
        <is>
          <t>1029808</t>
        </is>
      </c>
      <c r="B994" s="3" t="inlineStr">
        <is>
          <t>607</t>
        </is>
      </c>
      <c r="C994" s="10" t="n">
        <v>45686.76753472222</v>
      </c>
      <c r="D994" s="3" t="inlineStr">
        <is>
          <t>OBT300125081913-Wr. Neustadt Ausfahrbf (Furtenbach)</t>
        </is>
      </c>
      <c r="E994" s="10" t="n">
        <v>45687.34667824074</v>
      </c>
      <c r="F994" s="10" t="n">
        <v>45688.40694444445</v>
      </c>
      <c r="G994" s="11">
        <f>IF(AND(ISNUMBER(C994),ISNUMBER(E994)),(E994-C994),"")</f>
        <v/>
      </c>
      <c r="H994" s="11">
        <f>IF(AND(ISNUMBER(C994),ISNUMBER(F994)),(F994-C994),"")</f>
        <v/>
      </c>
    </row>
    <row r="995">
      <c r="A995" s="3" t="inlineStr">
        <is>
          <t>1029809</t>
        </is>
      </c>
      <c r="B995" s="3" t="inlineStr">
        <is>
          <t>629</t>
        </is>
      </c>
      <c r="C995" s="10" t="n">
        <v>45686.7694675926</v>
      </c>
      <c r="D995" s="3" t="inlineStr">
        <is>
          <t>OBT300125030547-Neunkirchen (loading tracks)</t>
        </is>
      </c>
      <c r="E995" s="10" t="n">
        <v>45687.1290162037</v>
      </c>
      <c r="F995" s="10" t="n">
        <v>45687.88303240741</v>
      </c>
      <c r="G995" s="11">
        <f>IF(AND(ISNUMBER(C995),ISNUMBER(E995)),(E995-C995),"")</f>
        <v/>
      </c>
      <c r="H995" s="11">
        <f>IF(AND(ISNUMBER(C995),ISNUMBER(F995)),(F995-C995),"")</f>
        <v/>
      </c>
    </row>
    <row r="996">
      <c r="A996" s="3" t="inlineStr">
        <is>
          <t>1029810</t>
        </is>
      </c>
      <c r="B996" s="3" t="inlineStr">
        <is>
          <t>605</t>
        </is>
      </c>
      <c r="C996" s="10" t="n">
        <v>45686.77116898148</v>
      </c>
      <c r="D996" s="3" t="inlineStr">
        <is>
          <t>OBT300125153454-Other sidings south</t>
        </is>
      </c>
      <c r="E996" s="10" t="n">
        <v>45687.64923611111</v>
      </c>
      <c r="F996" s="10" t="n">
        <v>45688.55568287037</v>
      </c>
      <c r="G996" s="11">
        <f>IF(AND(ISNUMBER(C996),ISNUMBER(E996)),(E996-C996),"")</f>
        <v/>
      </c>
      <c r="H996" s="11">
        <f>IF(AND(ISNUMBER(C996),ISNUMBER(F996)),(F996-C996),"")</f>
        <v/>
      </c>
    </row>
    <row r="997">
      <c r="A997" s="3" t="inlineStr">
        <is>
          <t>1029901</t>
        </is>
      </c>
      <c r="B997" s="3" t="inlineStr">
        <is>
          <t>606</t>
        </is>
      </c>
      <c r="C997" s="10" t="n">
        <v>45686.87708333333</v>
      </c>
      <c r="D997" s="3" t="inlineStr">
        <is>
          <t>OBT290125210626-Wien Kledering</t>
        </is>
      </c>
      <c r="E997" s="10" t="n">
        <v>45686.87946759259</v>
      </c>
      <c r="F997" s="10" t="n">
        <v>45687.89871527778</v>
      </c>
      <c r="G997" s="11">
        <f>IF(AND(ISNUMBER(C997),ISNUMBER(E997)),(E997-C997),"")</f>
        <v/>
      </c>
      <c r="H997" s="11">
        <f>IF(AND(ISNUMBER(C997),ISNUMBER(F997)),(F997-C997),"")</f>
        <v/>
      </c>
    </row>
    <row r="998">
      <c r="A998" s="3" t="inlineStr">
        <is>
          <t>1030001</t>
        </is>
      </c>
      <c r="B998" s="3" t="inlineStr">
        <is>
          <t>629</t>
        </is>
      </c>
      <c r="C998" s="10" t="n">
        <v>45687.12509259259</v>
      </c>
      <c r="D998" s="3" t="inlineStr">
        <is>
          <t>OBT300125030547-Neunkirchen (loading tracks)</t>
        </is>
      </c>
      <c r="E998" s="10" t="n">
        <v>45687.1290162037</v>
      </c>
      <c r="F998" s="10" t="n">
        <v>45687.88303240741</v>
      </c>
      <c r="G998" s="11">
        <f>IF(AND(ISNUMBER(C998),ISNUMBER(E998)),(E998-C998),"")</f>
        <v/>
      </c>
      <c r="H998" s="11">
        <f>IF(AND(ISNUMBER(C998),ISNUMBER(F998)),(F998-C998),"")</f>
        <v/>
      </c>
    </row>
    <row r="999">
      <c r="A999" s="3" t="inlineStr">
        <is>
          <t>1030002</t>
        </is>
      </c>
      <c r="B999" s="3" t="inlineStr">
        <is>
          <t>605</t>
        </is>
      </c>
      <c r="C999" s="10" t="n">
        <v>45687.12689814815</v>
      </c>
      <c r="D999" s="3" t="inlineStr">
        <is>
          <t>OBT300125153454-Other sidings south</t>
        </is>
      </c>
      <c r="E999" s="10" t="n">
        <v>45687.64923611111</v>
      </c>
      <c r="F999" s="10" t="n">
        <v>45688.55568287037</v>
      </c>
      <c r="G999" s="11">
        <f>IF(AND(ISNUMBER(C999),ISNUMBER(E999)),(E999-C999),"")</f>
        <v/>
      </c>
      <c r="H999" s="11">
        <f>IF(AND(ISNUMBER(C999),ISNUMBER(F999)),(F999-C999),"")</f>
        <v/>
      </c>
    </row>
    <row r="1000">
      <c r="A1000" s="3" t="inlineStr">
        <is>
          <t>1030003</t>
        </is>
      </c>
      <c r="B1000" s="3" t="inlineStr">
        <is>
          <t>615</t>
        </is>
      </c>
      <c r="C1000" s="10" t="n">
        <v>45687.12810185185</v>
      </c>
      <c r="D1000" s="3" t="inlineStr">
        <is>
          <t>OBT300125131403-Wien Kledering</t>
        </is>
      </c>
      <c r="E1000" s="10" t="n">
        <v>45687.55142361111</v>
      </c>
      <c r="F1000" s="10" t="n">
        <v>45688.4587962963</v>
      </c>
      <c r="G1000" s="11">
        <f>IF(AND(ISNUMBER(C1000),ISNUMBER(E1000)),(E1000-C1000),"")</f>
        <v/>
      </c>
      <c r="H1000" s="11">
        <f>IF(AND(ISNUMBER(C1000),ISNUMBER(F1000)),(F1000-C1000),"")</f>
        <v/>
      </c>
    </row>
    <row r="1001">
      <c r="A1001" s="3" t="inlineStr">
        <is>
          <t>1030004</t>
        </is>
      </c>
      <c r="B1001" s="3" t="inlineStr">
        <is>
          <t>629</t>
        </is>
      </c>
      <c r="C1001" s="10" t="n">
        <v>45687.13</v>
      </c>
      <c r="D1001" s="3" t="inlineStr">
        <is>
          <t>OBT310125075821-Ternitz (Schoeller-Bleckmann)</t>
        </is>
      </c>
      <c r="E1001" s="10" t="n">
        <v>45688.3321875</v>
      </c>
      <c r="F1001" s="10" t="n">
        <v>45688.77202546296</v>
      </c>
      <c r="G1001" s="11">
        <f>IF(AND(ISNUMBER(C1001),ISNUMBER(E1001)),(E1001-C1001),"")</f>
        <v/>
      </c>
      <c r="H1001" s="11">
        <f>IF(AND(ISNUMBER(C1001),ISNUMBER(F1001)),(F1001-C1001),"")</f>
        <v/>
      </c>
    </row>
    <row r="1002">
      <c r="A1002" s="3" t="inlineStr">
        <is>
          <t>1030005</t>
        </is>
      </c>
      <c r="B1002" s="3" t="inlineStr">
        <is>
          <t>611</t>
        </is>
      </c>
      <c r="C1002" s="10" t="n">
        <v>45687.13140046296</v>
      </c>
      <c r="D1002" s="3" t="inlineStr">
        <is>
          <t>OBT300125080541-Neunkirchen (loading tracks)</t>
        </is>
      </c>
      <c r="E1002" s="10" t="n">
        <v>45687.33728009259</v>
      </c>
      <c r="F1002" s="10" t="n">
        <v>45688.27809027778</v>
      </c>
      <c r="G1002" s="11">
        <f>IF(AND(ISNUMBER(C1002),ISNUMBER(E1002)),(E1002-C1002),"")</f>
        <v/>
      </c>
      <c r="H1002" s="11">
        <f>IF(AND(ISNUMBER(C1002),ISNUMBER(F1002)),(F1002-C1002),"")</f>
        <v/>
      </c>
    </row>
    <row r="1003">
      <c r="A1003" s="3" t="inlineStr">
        <is>
          <t>1030101</t>
        </is>
      </c>
      <c r="B1003" s="3" t="inlineStr">
        <is>
          <t>613</t>
        </is>
      </c>
      <c r="C1003" s="10" t="n">
        <v>45687.27228009259</v>
      </c>
      <c r="D1003" s="3" t="inlineStr">
        <is>
          <t>OBT300125063532-Wien Kledering</t>
        </is>
      </c>
      <c r="E1003" s="10" t="n">
        <v>45687.27467592592</v>
      </c>
      <c r="F1003" s="10" t="n">
        <v>45688.18981481482</v>
      </c>
      <c r="G1003" s="11">
        <f>IF(AND(ISNUMBER(C1003),ISNUMBER(E1003)),(E1003-C1003),"")</f>
        <v/>
      </c>
      <c r="H1003" s="11">
        <f>IF(AND(ISNUMBER(C1003),ISNUMBER(F1003)),(F1003-C1003),"")</f>
        <v/>
      </c>
    </row>
    <row r="1004">
      <c r="A1004" s="3" t="inlineStr">
        <is>
          <t>1030301</t>
        </is>
      </c>
      <c r="B1004" s="3" t="inlineStr">
        <is>
          <t>629</t>
        </is>
      </c>
      <c r="C1004" s="10" t="n">
        <v>45687.32568287037</v>
      </c>
      <c r="D1004" s="3" t="inlineStr">
        <is>
          <t>OBT310125075821-Ternitz (Schoeller-Bleckmann)</t>
        </is>
      </c>
      <c r="E1004" s="10" t="n">
        <v>45688.3321875</v>
      </c>
      <c r="F1004" s="10" t="n">
        <v>45688.77202546296</v>
      </c>
      <c r="G1004" s="11">
        <f>IF(AND(ISNUMBER(C1004),ISNUMBER(E1004)),(E1004-C1004),"")</f>
        <v/>
      </c>
      <c r="H1004" s="11">
        <f>IF(AND(ISNUMBER(C1004),ISNUMBER(F1004)),(F1004-C1004),"")</f>
        <v/>
      </c>
    </row>
    <row r="1005">
      <c r="A1005" s="3" t="inlineStr">
        <is>
          <t>1030302</t>
        </is>
      </c>
      <c r="B1005" s="3" t="inlineStr">
        <is>
          <t>627</t>
        </is>
      </c>
      <c r="C1005" s="10" t="n">
        <v>45687.32791666667</v>
      </c>
      <c r="D1005" s="3" t="inlineStr">
        <is>
          <t>OBT300125075751-Wr. Neustadt (Hödlmayr)</t>
        </is>
      </c>
      <c r="E1005" s="10" t="n">
        <v>45687.33184027778</v>
      </c>
      <c r="F1005" s="10" t="n">
        <v>45688.24699074074</v>
      </c>
      <c r="G1005" s="11">
        <f>IF(AND(ISNUMBER(C1005),ISNUMBER(E1005)),(E1005-C1005),"")</f>
        <v/>
      </c>
      <c r="H1005" s="11">
        <f>IF(AND(ISNUMBER(C1005),ISNUMBER(F1005)),(F1005-C1005),"")</f>
        <v/>
      </c>
    </row>
    <row r="1006">
      <c r="A1006" s="3" t="inlineStr">
        <is>
          <t>1030303</t>
        </is>
      </c>
      <c r="B1006" s="3" t="inlineStr">
        <is>
          <t>611</t>
        </is>
      </c>
      <c r="C1006" s="10" t="n">
        <v>45687.32916666667</v>
      </c>
      <c r="D1006" s="3" t="inlineStr">
        <is>
          <t>OBT300125080541-Neunkirchen (loading tracks)</t>
        </is>
      </c>
      <c r="E1006" s="10" t="n">
        <v>45687.33728009259</v>
      </c>
      <c r="F1006" s="10" t="n">
        <v>45688.27809027778</v>
      </c>
      <c r="G1006" s="11">
        <f>IF(AND(ISNUMBER(C1006),ISNUMBER(E1006)),(E1006-C1006),"")</f>
        <v/>
      </c>
      <c r="H1006" s="11">
        <f>IF(AND(ISNUMBER(C1006),ISNUMBER(F1006)),(F1006-C1006),"")</f>
        <v/>
      </c>
    </row>
    <row r="1007">
      <c r="A1007" s="3" t="inlineStr">
        <is>
          <t>1030305</t>
        </is>
      </c>
      <c r="B1007" s="3" t="inlineStr">
        <is>
          <t>623</t>
        </is>
      </c>
      <c r="C1007" s="10" t="n">
        <v>45687.33077546296</v>
      </c>
      <c r="D1007" s="3" t="inlineStr">
        <is>
          <t>OBT310125161451-Steinabrückl/Wöllersdorf</t>
        </is>
      </c>
      <c r="E1007" s="10" t="n">
        <v>45688.67697916667</v>
      </c>
      <c r="F1007" s="10" t="n"/>
      <c r="G1007" s="11">
        <f>IF(AND(ISNUMBER(C1007),ISNUMBER(E1007)),(E1007-C1007),"")</f>
        <v/>
      </c>
      <c r="H1007" s="11">
        <f>IF(AND(ISNUMBER(C1007),ISNUMBER(F1007)),(F1007-C1007),"")</f>
        <v/>
      </c>
    </row>
    <row r="1008">
      <c r="A1008" s="3" t="inlineStr">
        <is>
          <t>1030306</t>
        </is>
      </c>
      <c r="B1008" s="3" t="inlineStr">
        <is>
          <t>605</t>
        </is>
      </c>
      <c r="C1008" s="10" t="n">
        <v>45687.33236111111</v>
      </c>
      <c r="D1008" s="3" t="inlineStr">
        <is>
          <t>OBT300125153454-Other sidings south</t>
        </is>
      </c>
      <c r="E1008" s="10" t="n">
        <v>45687.64923611111</v>
      </c>
      <c r="F1008" s="10" t="n">
        <v>45688.55568287037</v>
      </c>
      <c r="G1008" s="11">
        <f>IF(AND(ISNUMBER(C1008),ISNUMBER(E1008)),(E1008-C1008),"")</f>
        <v/>
      </c>
      <c r="H1008" s="11">
        <f>IF(AND(ISNUMBER(C1008),ISNUMBER(F1008)),(F1008-C1008),"")</f>
        <v/>
      </c>
    </row>
    <row r="1009">
      <c r="A1009" s="3" t="inlineStr">
        <is>
          <t>1030307</t>
        </is>
      </c>
      <c r="B1009" s="3" t="inlineStr">
        <is>
          <t>611</t>
        </is>
      </c>
      <c r="C1009" s="10" t="n">
        <v>45687.33371527777</v>
      </c>
      <c r="D1009" s="3" t="inlineStr">
        <is>
          <t>OBT300125080541-Neunkirchen (loading tracks)</t>
        </is>
      </c>
      <c r="E1009" s="10" t="n">
        <v>45687.33728009259</v>
      </c>
      <c r="F1009" s="10" t="n">
        <v>45688.27809027778</v>
      </c>
      <c r="G1009" s="11">
        <f>IF(AND(ISNUMBER(C1009),ISNUMBER(E1009)),(E1009-C1009),"")</f>
        <v/>
      </c>
      <c r="H1009" s="11">
        <f>IF(AND(ISNUMBER(C1009),ISNUMBER(F1009)),(F1009-C1009),"")</f>
        <v/>
      </c>
    </row>
    <row r="1010">
      <c r="A1010" s="3" t="inlineStr">
        <is>
          <t>1030310</t>
        </is>
      </c>
      <c r="B1010" s="3" t="inlineStr">
        <is>
          <t>617</t>
        </is>
      </c>
      <c r="C1010" s="10" t="n">
        <v>45687.33684027778</v>
      </c>
      <c r="D1010" s="3" t="inlineStr">
        <is>
          <t>OBT300125081010-Wr. Neustadt (Brenntag)</t>
        </is>
      </c>
      <c r="E1010" s="10" t="n">
        <v>45687.34039351852</v>
      </c>
      <c r="F1010" s="10" t="n">
        <v>45688.32615740741</v>
      </c>
      <c r="G1010" s="11">
        <f>IF(AND(ISNUMBER(C1010),ISNUMBER(E1010)),(E1010-C1010),"")</f>
        <v/>
      </c>
      <c r="H1010" s="11">
        <f>IF(AND(ISNUMBER(C1010),ISNUMBER(F1010)),(F1010-C1010),"")</f>
        <v/>
      </c>
    </row>
    <row r="1011">
      <c r="A1011" s="3" t="inlineStr">
        <is>
          <t>1030311</t>
        </is>
      </c>
      <c r="B1011" s="3" t="inlineStr">
        <is>
          <t>615</t>
        </is>
      </c>
      <c r="C1011" s="10" t="n">
        <v>45687.33789351852</v>
      </c>
      <c r="D1011" s="3" t="inlineStr">
        <is>
          <t>OBT300125131403-Wien Kledering</t>
        </is>
      </c>
      <c r="E1011" s="10" t="n">
        <v>45687.55142361111</v>
      </c>
      <c r="F1011" s="10" t="n">
        <v>45688.4587962963</v>
      </c>
      <c r="G1011" s="11">
        <f>IF(AND(ISNUMBER(C1011),ISNUMBER(E1011)),(E1011-C1011),"")</f>
        <v/>
      </c>
      <c r="H1011" s="11">
        <f>IF(AND(ISNUMBER(C1011),ISNUMBER(F1011)),(F1011-C1011),"")</f>
        <v/>
      </c>
    </row>
    <row r="1012">
      <c r="A1012" s="3" t="inlineStr">
        <is>
          <t>1030312</t>
        </is>
      </c>
      <c r="B1012" s="3" t="inlineStr">
        <is>
          <t>607</t>
        </is>
      </c>
      <c r="C1012" s="10" t="n">
        <v>45687.3394212963</v>
      </c>
      <c r="D1012" s="3" t="inlineStr">
        <is>
          <t>OBT300125081913-Wr. Neustadt Ausfahrbf (Furtenbach)</t>
        </is>
      </c>
      <c r="E1012" s="10" t="n">
        <v>45687.34667824074</v>
      </c>
      <c r="F1012" s="10" t="n">
        <v>45688.40694444445</v>
      </c>
      <c r="G1012" s="11">
        <f>IF(AND(ISNUMBER(C1012),ISNUMBER(E1012)),(E1012-C1012),"")</f>
        <v/>
      </c>
      <c r="H1012" s="11">
        <f>IF(AND(ISNUMBER(C1012),ISNUMBER(F1012)),(F1012-C1012),"")</f>
        <v/>
      </c>
    </row>
    <row r="1013">
      <c r="A1013" s="3" t="inlineStr">
        <is>
          <t>1030401</t>
        </is>
      </c>
      <c r="B1013" s="3" t="inlineStr">
        <is>
          <t>607</t>
        </is>
      </c>
      <c r="C1013" s="10" t="n">
        <v>45687.34275462963</v>
      </c>
      <c r="D1013" s="3" t="inlineStr">
        <is>
          <t>OBT300125081913-Wr. Neustadt Ausfahrbf (Furtenbach)</t>
        </is>
      </c>
      <c r="E1013" s="10" t="n">
        <v>45687.34667824074</v>
      </c>
      <c r="F1013" s="10" t="n">
        <v>45688.40694444445</v>
      </c>
      <c r="G1013" s="11">
        <f>IF(AND(ISNUMBER(C1013),ISNUMBER(E1013)),(E1013-C1013),"")</f>
        <v/>
      </c>
      <c r="H1013" s="11">
        <f>IF(AND(ISNUMBER(C1013),ISNUMBER(F1013)),(F1013-C1013),"")</f>
        <v/>
      </c>
    </row>
    <row r="1014">
      <c r="A1014" s="3" t="inlineStr">
        <is>
          <t>1030501</t>
        </is>
      </c>
      <c r="B1014" s="3" t="inlineStr">
        <is>
          <t>621</t>
        </is>
      </c>
      <c r="C1014" s="10" t="n">
        <v>45687.36032407408</v>
      </c>
      <c r="D1014" s="3" t="inlineStr">
        <is>
          <t>OBT300125085102-St. Veit an der Glan</t>
        </is>
      </c>
      <c r="E1014" s="10" t="n">
        <v>45687.36877314815</v>
      </c>
      <c r="F1014" s="10" t="n">
        <v>45688.36998842593</v>
      </c>
      <c r="G1014" s="11">
        <f>IF(AND(ISNUMBER(C1014),ISNUMBER(E1014)),(E1014-C1014),"")</f>
        <v/>
      </c>
      <c r="H1014" s="11">
        <f>IF(AND(ISNUMBER(C1014),ISNUMBER(F1014)),(F1014-C1014),"")</f>
        <v/>
      </c>
    </row>
    <row r="1015">
      <c r="A1015" s="3" t="inlineStr">
        <is>
          <t>1030503</t>
        </is>
      </c>
      <c r="B1015" s="3" t="inlineStr">
        <is>
          <t>621</t>
        </is>
      </c>
      <c r="C1015" s="10" t="n">
        <v>45687.36032407408</v>
      </c>
      <c r="D1015" s="3" t="inlineStr">
        <is>
          <t>OBT300125085102-St. Veit an der Glan</t>
        </is>
      </c>
      <c r="E1015" s="10" t="n">
        <v>45687.36877314815</v>
      </c>
      <c r="F1015" s="10" t="n">
        <v>45688.36998842593</v>
      </c>
      <c r="G1015" s="11">
        <f>IF(AND(ISNUMBER(C1015),ISNUMBER(E1015)),(E1015-C1015),"")</f>
        <v/>
      </c>
      <c r="H1015" s="11">
        <f>IF(AND(ISNUMBER(C1015),ISNUMBER(F1015)),(F1015-C1015),"")</f>
        <v/>
      </c>
    </row>
    <row r="1016">
      <c r="A1016" s="3" t="inlineStr">
        <is>
          <t>1030601</t>
        </is>
      </c>
      <c r="B1016" s="3" t="inlineStr">
        <is>
          <t>627</t>
        </is>
      </c>
      <c r="C1016" s="10" t="n">
        <v>45687.39652777778</v>
      </c>
      <c r="D1016" s="3" t="inlineStr">
        <is>
          <t>OBT300125093406-Wr. Neustadt (Hödlmayr)</t>
        </is>
      </c>
      <c r="E1016" s="10" t="n">
        <v>45687.39868055555</v>
      </c>
      <c r="F1016" s="10" t="n">
        <v>45688.40765046296</v>
      </c>
      <c r="G1016" s="11">
        <f>IF(AND(ISNUMBER(C1016),ISNUMBER(E1016)),(E1016-C1016),"")</f>
        <v/>
      </c>
      <c r="H1016" s="11">
        <f>IF(AND(ISNUMBER(C1016),ISNUMBER(F1016)),(F1016-C1016),"")</f>
        <v/>
      </c>
    </row>
    <row r="1017">
      <c r="A1017" s="3" t="inlineStr">
        <is>
          <t>1030602</t>
        </is>
      </c>
      <c r="B1017" s="3" t="inlineStr">
        <is>
          <t>619</t>
        </is>
      </c>
      <c r="C1017" s="10" t="n">
        <v>45687.39850694445</v>
      </c>
      <c r="D1017" s="3" t="inlineStr">
        <is>
          <t>OBT310125080145-Wr. Neustadt (Brenntag)</t>
        </is>
      </c>
      <c r="E1017" s="10" t="n">
        <v>45688.33454861111</v>
      </c>
      <c r="F1017" s="10" t="n">
        <v>45688.88511574074</v>
      </c>
      <c r="G1017" s="11">
        <f>IF(AND(ISNUMBER(C1017),ISNUMBER(E1017)),(E1017-C1017),"")</f>
        <v/>
      </c>
      <c r="H1017" s="11">
        <f>IF(AND(ISNUMBER(C1017),ISNUMBER(F1017)),(F1017-C1017),"")</f>
        <v/>
      </c>
    </row>
    <row r="1018">
      <c r="A1018" s="3" t="inlineStr">
        <is>
          <t>1030604</t>
        </is>
      </c>
      <c r="B1018" s="3" t="inlineStr">
        <is>
          <t>621</t>
        </is>
      </c>
      <c r="C1018" s="10" t="n">
        <v>45687.40262731481</v>
      </c>
      <c r="D1018" s="3" t="inlineStr">
        <is>
          <t>OBT300125153249-Neudörfl (FunderMax)</t>
        </is>
      </c>
      <c r="E1018" s="10" t="n">
        <v>45687.64778935185</v>
      </c>
      <c r="F1018" s="10" t="n">
        <v>45688.48535879629</v>
      </c>
      <c r="G1018" s="11">
        <f>IF(AND(ISNUMBER(C1018),ISNUMBER(E1018)),(E1018-C1018),"")</f>
        <v/>
      </c>
      <c r="H1018" s="11">
        <f>IF(AND(ISNUMBER(C1018),ISNUMBER(F1018)),(F1018-C1018),"")</f>
        <v/>
      </c>
    </row>
    <row r="1019">
      <c r="A1019" s="3" t="inlineStr">
        <is>
          <t>1030605</t>
        </is>
      </c>
      <c r="B1019" s="3" t="inlineStr">
        <is>
          <t>629</t>
        </is>
      </c>
      <c r="C1019" s="10" t="n">
        <v>45687.40459490741</v>
      </c>
      <c r="D1019" s="3" t="inlineStr">
        <is>
          <t>OBT310125075821-Ternitz (Schoeller-Bleckmann)</t>
        </is>
      </c>
      <c r="E1019" s="10" t="n">
        <v>45688.3321875</v>
      </c>
      <c r="F1019" s="10" t="n">
        <v>45688.77202546296</v>
      </c>
      <c r="G1019" s="11">
        <f>IF(AND(ISNUMBER(C1019),ISNUMBER(E1019)),(E1019-C1019),"")</f>
        <v/>
      </c>
      <c r="H1019" s="11">
        <f>IF(AND(ISNUMBER(C1019),ISNUMBER(F1019)),(F1019-C1019),"")</f>
        <v/>
      </c>
    </row>
    <row r="1020">
      <c r="A1020" s="3" t="inlineStr">
        <is>
          <t>1030801</t>
        </is>
      </c>
      <c r="B1020" s="3" t="inlineStr">
        <is>
          <t>615</t>
        </is>
      </c>
      <c r="C1020" s="10" t="n">
        <v>45687.54925925926</v>
      </c>
      <c r="D1020" s="3" t="inlineStr">
        <is>
          <t>OBT300125131403-Wien Kledering</t>
        </is>
      </c>
      <c r="E1020" s="10" t="n">
        <v>45687.55142361111</v>
      </c>
      <c r="F1020" s="10" t="n">
        <v>45688.4587962963</v>
      </c>
      <c r="G1020" s="11">
        <f>IF(AND(ISNUMBER(C1020),ISNUMBER(E1020)),(E1020-C1020),"")</f>
        <v/>
      </c>
      <c r="H1020" s="11">
        <f>IF(AND(ISNUMBER(C1020),ISNUMBER(F1020)),(F1020-C1020),"")</f>
        <v/>
      </c>
    </row>
    <row r="1021">
      <c r="A1021" s="3" t="inlineStr">
        <is>
          <t>1031001</t>
        </is>
      </c>
      <c r="B1021" s="3" t="inlineStr">
        <is>
          <t>629</t>
        </is>
      </c>
      <c r="C1021" s="10" t="n">
        <v>45687.63614583333</v>
      </c>
      <c r="D1021" s="3" t="inlineStr">
        <is>
          <t>OBT310125075821-Ternitz (Schoeller-Bleckmann)</t>
        </is>
      </c>
      <c r="E1021" s="10" t="n">
        <v>45688.3321875</v>
      </c>
      <c r="F1021" s="10" t="n">
        <v>45688.77202546296</v>
      </c>
      <c r="G1021" s="11">
        <f>IF(AND(ISNUMBER(C1021),ISNUMBER(E1021)),(E1021-C1021),"")</f>
        <v/>
      </c>
      <c r="H1021" s="11">
        <f>IF(AND(ISNUMBER(C1021),ISNUMBER(F1021)),(F1021-C1021),"")</f>
        <v/>
      </c>
    </row>
    <row r="1022">
      <c r="A1022" s="3" t="inlineStr">
        <is>
          <t>1031002</t>
        </is>
      </c>
      <c r="B1022" s="3" t="inlineStr">
        <is>
          <t>623</t>
        </is>
      </c>
      <c r="C1022" s="10" t="n">
        <v>45687.63793981481</v>
      </c>
      <c r="D1022" s="3" t="inlineStr">
        <is>
          <t>OBT310125161451-Steinabrückl/Wöllersdorf</t>
        </is>
      </c>
      <c r="E1022" s="10" t="n">
        <v>45688.67697916667</v>
      </c>
      <c r="F1022" s="10" t="n"/>
      <c r="G1022" s="11">
        <f>IF(AND(ISNUMBER(C1022),ISNUMBER(E1022)),(E1022-C1022),"")</f>
        <v/>
      </c>
      <c r="H1022" s="11">
        <f>IF(AND(ISNUMBER(C1022),ISNUMBER(F1022)),(F1022-C1022),"")</f>
        <v/>
      </c>
    </row>
    <row r="1023">
      <c r="A1023" s="3" t="inlineStr">
        <is>
          <t>1031003</t>
        </is>
      </c>
      <c r="B1023" s="3" t="inlineStr">
        <is>
          <t>619</t>
        </is>
      </c>
      <c r="C1023" s="10" t="n">
        <v>45687.63988425926</v>
      </c>
      <c r="D1023" s="3" t="inlineStr">
        <is>
          <t>OBT310125080145-Wr. Neustadt (Brenntag)</t>
        </is>
      </c>
      <c r="E1023" s="10" t="n">
        <v>45688.33454861111</v>
      </c>
      <c r="F1023" s="10" t="n">
        <v>45688.88511574074</v>
      </c>
      <c r="G1023" s="11">
        <f>IF(AND(ISNUMBER(C1023),ISNUMBER(E1023)),(E1023-C1023),"")</f>
        <v/>
      </c>
      <c r="H1023" s="11">
        <f>IF(AND(ISNUMBER(C1023),ISNUMBER(F1023)),(F1023-C1023),"")</f>
        <v/>
      </c>
    </row>
    <row r="1024">
      <c r="A1024" s="3" t="inlineStr">
        <is>
          <t>1031004</t>
        </is>
      </c>
      <c r="B1024" s="3" t="inlineStr">
        <is>
          <t>621</t>
        </is>
      </c>
      <c r="C1024" s="10" t="n">
        <v>45687.64184027778</v>
      </c>
      <c r="D1024" s="3" t="inlineStr">
        <is>
          <t>OBT300125153249-Neudörfl (FunderMax)</t>
        </is>
      </c>
      <c r="E1024" s="10" t="n">
        <v>45687.64778935185</v>
      </c>
      <c r="F1024" s="10" t="n">
        <v>45688.48535879629</v>
      </c>
      <c r="G1024" s="11">
        <f>IF(AND(ISNUMBER(C1024),ISNUMBER(E1024)),(E1024-C1024),"")</f>
        <v/>
      </c>
      <c r="H1024" s="11">
        <f>IF(AND(ISNUMBER(C1024),ISNUMBER(F1024)),(F1024-C1024),"")</f>
        <v/>
      </c>
    </row>
    <row r="1025">
      <c r="A1025" s="3" t="inlineStr">
        <is>
          <t>1031005</t>
        </is>
      </c>
      <c r="B1025" s="3" t="inlineStr">
        <is>
          <t>621</t>
        </is>
      </c>
      <c r="C1025" s="10" t="n">
        <v>45687.64388888889</v>
      </c>
      <c r="D1025" s="3" t="inlineStr">
        <is>
          <t>OBT300125153249-Neudörfl (FunderMax)</t>
        </is>
      </c>
      <c r="E1025" s="10" t="n">
        <v>45687.64778935185</v>
      </c>
      <c r="F1025" s="10" t="n">
        <v>45688.48535879629</v>
      </c>
      <c r="G1025" s="11">
        <f>IF(AND(ISNUMBER(C1025),ISNUMBER(E1025)),(E1025-C1025),"")</f>
        <v/>
      </c>
      <c r="H1025" s="11">
        <f>IF(AND(ISNUMBER(C1025),ISNUMBER(F1025)),(F1025-C1025),"")</f>
        <v/>
      </c>
    </row>
    <row r="1026">
      <c r="A1026" s="3" t="inlineStr">
        <is>
          <t>1031007</t>
        </is>
      </c>
      <c r="B1026" s="3" t="inlineStr">
        <is>
          <t>605</t>
        </is>
      </c>
      <c r="C1026" s="10" t="n">
        <v>45687.6456712963</v>
      </c>
      <c r="D1026" s="3" t="inlineStr">
        <is>
          <t>OBT300125153454-Other sidings south</t>
        </is>
      </c>
      <c r="E1026" s="10" t="n">
        <v>45687.64923611111</v>
      </c>
      <c r="F1026" s="10" t="n">
        <v>45688.55568287037</v>
      </c>
      <c r="G1026" s="11">
        <f>IF(AND(ISNUMBER(C1026),ISNUMBER(E1026)),(E1026-C1026),"")</f>
        <v/>
      </c>
      <c r="H1026" s="11">
        <f>IF(AND(ISNUMBER(C1026),ISNUMBER(F1026)),(F1026-C1026),"")</f>
        <v/>
      </c>
    </row>
    <row r="1027">
      <c r="A1027" s="3" t="inlineStr">
        <is>
          <t>1031008</t>
        </is>
      </c>
      <c r="B1027" s="3" t="inlineStr">
        <is>
          <t>627</t>
        </is>
      </c>
      <c r="C1027" s="10" t="n">
        <v>45687.64767361111</v>
      </c>
      <c r="D1027" s="3" t="inlineStr">
        <is>
          <t>OBT300125204557-Wien Kledering</t>
        </is>
      </c>
      <c r="E1027" s="10" t="n">
        <v>45687.86524305555</v>
      </c>
      <c r="F1027" s="10" t="n">
        <v>45688.7246875</v>
      </c>
      <c r="G1027" s="11">
        <f>IF(AND(ISNUMBER(C1027),ISNUMBER(E1027)),(E1027-C1027),"")</f>
        <v/>
      </c>
      <c r="H1027" s="11">
        <f>IF(AND(ISNUMBER(C1027),ISNUMBER(F1027)),(F1027-C1027),"")</f>
        <v/>
      </c>
    </row>
    <row r="1028">
      <c r="A1028" s="3" t="inlineStr">
        <is>
          <t>1031101</t>
        </is>
      </c>
      <c r="B1028" s="3" t="inlineStr">
        <is>
          <t>615</t>
        </is>
      </c>
      <c r="C1028" s="10" t="n">
        <v>45687.65430555555</v>
      </c>
      <c r="D1028" s="3" t="inlineStr">
        <is>
          <t>OBT300125200005-Wien Kledering</t>
        </is>
      </c>
      <c r="E1028" s="10" t="n">
        <v>45687.83339120371</v>
      </c>
      <c r="F1028" s="10" t="n">
        <v>45688.63453703704</v>
      </c>
      <c r="G1028" s="11">
        <f>IF(AND(ISNUMBER(C1028),ISNUMBER(E1028)),(E1028-C1028),"")</f>
        <v/>
      </c>
      <c r="H1028" s="11">
        <f>IF(AND(ISNUMBER(C1028),ISNUMBER(F1028)),(F1028-C1028),"")</f>
        <v/>
      </c>
    </row>
    <row r="1029">
      <c r="A1029" s="3" t="inlineStr">
        <is>
          <t>1031201</t>
        </is>
      </c>
      <c r="B1029" s="3" t="inlineStr">
        <is>
          <t>615</t>
        </is>
      </c>
      <c r="C1029" s="10" t="n">
        <v>45687.730625</v>
      </c>
      <c r="D1029" s="3" t="inlineStr">
        <is>
          <t>OBT300125200005-Wien Kledering</t>
        </is>
      </c>
      <c r="E1029" s="10" t="n">
        <v>45687.83339120371</v>
      </c>
      <c r="F1029" s="10" t="n">
        <v>45688.63453703704</v>
      </c>
      <c r="G1029" s="11">
        <f>IF(AND(ISNUMBER(C1029),ISNUMBER(E1029)),(E1029-C1029),"")</f>
        <v/>
      </c>
      <c r="H1029" s="11">
        <f>IF(AND(ISNUMBER(C1029),ISNUMBER(F1029)),(F1029-C1029),"")</f>
        <v/>
      </c>
    </row>
    <row r="1030">
      <c r="A1030" s="3" t="inlineStr">
        <is>
          <t>1031301</t>
        </is>
      </c>
      <c r="B1030" s="3" t="inlineStr">
        <is>
          <t>615</t>
        </is>
      </c>
      <c r="C1030" s="10" t="n">
        <v>45687.82946759259</v>
      </c>
      <c r="D1030" s="3" t="inlineStr">
        <is>
          <t>OBT300125200005-Wien Kledering</t>
        </is>
      </c>
      <c r="E1030" s="10" t="n">
        <v>45687.83339120371</v>
      </c>
      <c r="F1030" s="10" t="n">
        <v>45688.63453703704</v>
      </c>
      <c r="G1030" s="11">
        <f>IF(AND(ISNUMBER(C1030),ISNUMBER(E1030)),(E1030-C1030),"")</f>
        <v/>
      </c>
      <c r="H1030" s="11">
        <f>IF(AND(ISNUMBER(C1030),ISNUMBER(F1030)),(F1030-C1030),"")</f>
        <v/>
      </c>
    </row>
    <row r="1031">
      <c r="A1031" s="3" t="inlineStr">
        <is>
          <t>1031401</t>
        </is>
      </c>
      <c r="B1031" s="3" t="inlineStr">
        <is>
          <t>627</t>
        </is>
      </c>
      <c r="C1031" s="10" t="n">
        <v>45687.86284722222</v>
      </c>
      <c r="D1031" s="3" t="inlineStr">
        <is>
          <t>OBT300125204557-Wien Kledering</t>
        </is>
      </c>
      <c r="E1031" s="10" t="n">
        <v>45687.86524305555</v>
      </c>
      <c r="F1031" s="10" t="n">
        <v>45688.7246875</v>
      </c>
      <c r="G1031" s="11">
        <f>IF(AND(ISNUMBER(C1031),ISNUMBER(E1031)),(E1031-C1031),"")</f>
        <v/>
      </c>
      <c r="H1031" s="11">
        <f>IF(AND(ISNUMBER(C1031),ISNUMBER(F1031)),(F1031-C1031),"")</f>
        <v/>
      </c>
    </row>
    <row r="1032">
      <c r="A1032" s="3" t="inlineStr">
        <is>
          <t>1031501</t>
        </is>
      </c>
      <c r="B1032" s="3" t="inlineStr">
        <is>
          <t>615</t>
        </is>
      </c>
      <c r="C1032" s="10" t="n">
        <v>45688.12881944444</v>
      </c>
      <c r="D1032" s="3" t="inlineStr">
        <is>
          <t>OBT310125142730-Wien Kledering</t>
        </is>
      </c>
      <c r="E1032" s="10" t="n">
        <v>45688.60243055555</v>
      </c>
      <c r="F1032" s="10" t="n"/>
      <c r="G1032" s="11">
        <f>IF(AND(ISNUMBER(C1032),ISNUMBER(E1032)),(E1032-C1032),"")</f>
        <v/>
      </c>
      <c r="H1032" s="11">
        <f>IF(AND(ISNUMBER(C1032),ISNUMBER(F1032)),(F1032-C1032),"")</f>
        <v/>
      </c>
    </row>
    <row r="1033">
      <c r="A1033" s="3" t="inlineStr">
        <is>
          <t>1031502</t>
        </is>
      </c>
      <c r="B1033" s="3" t="inlineStr">
        <is>
          <t>606</t>
        </is>
      </c>
      <c r="C1033" s="10" t="n">
        <v>45688.13069444444</v>
      </c>
      <c r="D1033" s="3" t="inlineStr">
        <is>
          <t>OBT310125075536-Neunkirchen (loading tracks)</t>
        </is>
      </c>
      <c r="E1033" s="10" t="n">
        <v>45688.33027777778</v>
      </c>
      <c r="F1033" s="10" t="n">
        <v>45688.78188657408</v>
      </c>
      <c r="G1033" s="11">
        <f>IF(AND(ISNUMBER(C1033),ISNUMBER(E1033)),(E1033-C1033),"")</f>
        <v/>
      </c>
      <c r="H1033" s="11">
        <f>IF(AND(ISNUMBER(C1033),ISNUMBER(F1033)),(F1033-C1033),"")</f>
        <v/>
      </c>
    </row>
    <row r="1034">
      <c r="A1034" s="3" t="inlineStr">
        <is>
          <t>1031503</t>
        </is>
      </c>
      <c r="B1034" s="3" t="inlineStr">
        <is>
          <t>609</t>
        </is>
      </c>
      <c r="C1034" s="10" t="n">
        <v>45688.13229166667</v>
      </c>
      <c r="D1034" s="3" t="inlineStr">
        <is>
          <t>OBT310125162356-Other sidings south</t>
        </is>
      </c>
      <c r="E1034" s="10" t="n">
        <v>45688.68328703703</v>
      </c>
      <c r="F1034" s="10" t="n"/>
      <c r="G1034" s="11">
        <f>IF(AND(ISNUMBER(C1034),ISNUMBER(E1034)),(E1034-C1034),"")</f>
        <v/>
      </c>
      <c r="H1034" s="11">
        <f>IF(AND(ISNUMBER(C1034),ISNUMBER(F1034)),(F1034-C1034),"")</f>
        <v/>
      </c>
    </row>
    <row r="1035">
      <c r="A1035" s="3" t="inlineStr">
        <is>
          <t>1031504</t>
        </is>
      </c>
      <c r="B1035" s="3" t="inlineStr">
        <is>
          <t>615</t>
        </is>
      </c>
      <c r="C1035" s="10" t="n">
        <v>45688.13344907408</v>
      </c>
      <c r="D1035" s="3" t="inlineStr">
        <is>
          <t>OBT310125142730-Wien Kledering</t>
        </is>
      </c>
      <c r="E1035" s="10" t="n">
        <v>45688.60243055555</v>
      </c>
      <c r="F1035" s="10" t="n"/>
      <c r="G1035" s="11">
        <f>IF(AND(ISNUMBER(C1035),ISNUMBER(E1035)),(E1035-C1035),"")</f>
        <v/>
      </c>
      <c r="H1035" s="11">
        <f>IF(AND(ISNUMBER(C1035),ISNUMBER(F1035)),(F1035-C1035),"")</f>
        <v/>
      </c>
    </row>
    <row r="1036">
      <c r="A1036" s="3" t="inlineStr">
        <is>
          <t>1031505</t>
        </is>
      </c>
      <c r="B1036" s="3" t="inlineStr">
        <is>
          <t>629</t>
        </is>
      </c>
      <c r="C1036" s="10" t="n">
        <v>45688.13540509259</v>
      </c>
      <c r="D1036" s="3" t="inlineStr">
        <is>
          <t>OBT310125075821-Ternitz (Schoeller-Bleckmann)</t>
        </is>
      </c>
      <c r="E1036" s="10" t="n">
        <v>45688.3321875</v>
      </c>
      <c r="F1036" s="10" t="n">
        <v>45688.77202546296</v>
      </c>
      <c r="G1036" s="11">
        <f>IF(AND(ISNUMBER(C1036),ISNUMBER(E1036)),(E1036-C1036),"")</f>
        <v/>
      </c>
      <c r="H1036" s="11">
        <f>IF(AND(ISNUMBER(C1036),ISNUMBER(F1036)),(F1036-C1036),"")</f>
        <v/>
      </c>
    </row>
    <row r="1037">
      <c r="A1037" s="3" t="inlineStr">
        <is>
          <t>1031701</t>
        </is>
      </c>
      <c r="B1037" s="3" t="inlineStr">
        <is>
          <t>613</t>
        </is>
      </c>
      <c r="C1037" s="10" t="n">
        <v>45688.25797453704</v>
      </c>
      <c r="D1037" s="3" t="inlineStr">
        <is>
          <t>OBT310125061436-Wien Kledering</t>
        </is>
      </c>
      <c r="E1037" s="10" t="n">
        <v>45688.26013888889</v>
      </c>
      <c r="F1037" s="10" t="n">
        <v>45688.70936342593</v>
      </c>
      <c r="G1037" s="11">
        <f>IF(AND(ISNUMBER(C1037),ISNUMBER(E1037)),(E1037-C1037),"")</f>
        <v/>
      </c>
      <c r="H1037" s="11">
        <f>IF(AND(ISNUMBER(C1037),ISNUMBER(F1037)),(F1037-C1037),"")</f>
        <v/>
      </c>
    </row>
    <row r="1038">
      <c r="A1038" s="3" t="inlineStr">
        <is>
          <t>1031801</t>
        </is>
      </c>
      <c r="B1038" s="3" t="inlineStr">
        <is>
          <t>627</t>
        </is>
      </c>
      <c r="C1038" s="10" t="n">
        <v>45688.29923611111</v>
      </c>
      <c r="D1038" s="3" t="inlineStr">
        <is>
          <t>OBT310125074214-Wien Kledering</t>
        </is>
      </c>
      <c r="E1038" s="10" t="n">
        <v>45688.32099537037</v>
      </c>
      <c r="F1038" s="10" t="n">
        <v>45688.7175462963</v>
      </c>
      <c r="G1038" s="11">
        <f>IF(AND(ISNUMBER(C1038),ISNUMBER(E1038)),(E1038-C1038),"")</f>
        <v/>
      </c>
      <c r="H1038" s="11">
        <f>IF(AND(ISNUMBER(C1038),ISNUMBER(F1038)),(F1038-C1038),"")</f>
        <v/>
      </c>
    </row>
    <row r="1039">
      <c r="A1039" s="3" t="inlineStr">
        <is>
          <t>1031901</t>
        </is>
      </c>
      <c r="B1039" s="3" t="inlineStr">
        <is>
          <t>611</t>
        </is>
      </c>
      <c r="C1039" s="10" t="n">
        <v>45688.31533564815</v>
      </c>
      <c r="D1039" s="3" t="inlineStr">
        <is>
          <t>OBT310125155832-Neudörfl (FunderMax)</t>
        </is>
      </c>
      <c r="E1039" s="10" t="n">
        <v>45688.66564814815</v>
      </c>
      <c r="F1039" s="10" t="n"/>
      <c r="G1039" s="11">
        <f>IF(AND(ISNUMBER(C1039),ISNUMBER(E1039)),(E1039-C1039),"")</f>
        <v/>
      </c>
      <c r="H1039" s="11">
        <f>IF(AND(ISNUMBER(C1039),ISNUMBER(F1039)),(F1039-C1039),"")</f>
        <v/>
      </c>
    </row>
    <row r="1040">
      <c r="A1040" s="3" t="inlineStr">
        <is>
          <t>1031902</t>
        </is>
      </c>
      <c r="B1040" s="3" t="inlineStr">
        <is>
          <t>627</t>
        </is>
      </c>
      <c r="C1040" s="10" t="n">
        <v>45688.31743055556</v>
      </c>
      <c r="D1040" s="3" t="inlineStr">
        <is>
          <t>OBT310125074214-Wien Kledering</t>
        </is>
      </c>
      <c r="E1040" s="10" t="n">
        <v>45688.32099537037</v>
      </c>
      <c r="F1040" s="10" t="n">
        <v>45688.7175462963</v>
      </c>
      <c r="G1040" s="11">
        <f>IF(AND(ISNUMBER(C1040),ISNUMBER(E1040)),(E1040-C1040),"")</f>
        <v/>
      </c>
      <c r="H1040" s="11">
        <f>IF(AND(ISNUMBER(C1040),ISNUMBER(F1040)),(F1040-C1040),"")</f>
        <v/>
      </c>
    </row>
    <row r="1041">
      <c r="A1041" s="3" t="inlineStr">
        <is>
          <t>1031903</t>
        </is>
      </c>
      <c r="B1041" s="3" t="inlineStr">
        <is>
          <t>611</t>
        </is>
      </c>
      <c r="C1041" s="10" t="n">
        <v>45688.31888888889</v>
      </c>
      <c r="D1041" s="3" t="inlineStr">
        <is>
          <t>OBT310125155832-Neudörfl (FunderMax)</t>
        </is>
      </c>
      <c r="E1041" s="10" t="n">
        <v>45688.66564814815</v>
      </c>
      <c r="F1041" s="10" t="n"/>
      <c r="G1041" s="11">
        <f>IF(AND(ISNUMBER(C1041),ISNUMBER(E1041)),(E1041-C1041),"")</f>
        <v/>
      </c>
      <c r="H1041" s="11">
        <f>IF(AND(ISNUMBER(C1041),ISNUMBER(F1041)),(F1041-C1041),"")</f>
        <v/>
      </c>
    </row>
    <row r="1042">
      <c r="A1042" s="3" t="inlineStr">
        <is>
          <t>1031904</t>
        </is>
      </c>
      <c r="B1042" s="3" t="inlineStr">
        <is>
          <t>629</t>
        </is>
      </c>
      <c r="C1042" s="10" t="n">
        <v>45688.3208912037</v>
      </c>
      <c r="D1042" s="3" t="inlineStr">
        <is>
          <t>OBT310125075821-Ternitz (Schoeller-Bleckmann)</t>
        </is>
      </c>
      <c r="E1042" s="10" t="n">
        <v>45688.3321875</v>
      </c>
      <c r="F1042" s="10" t="n">
        <v>45688.77202546296</v>
      </c>
      <c r="G1042" s="11">
        <f>IF(AND(ISNUMBER(C1042),ISNUMBER(E1042)),(E1042-C1042),"")</f>
        <v/>
      </c>
      <c r="H1042" s="11">
        <f>IF(AND(ISNUMBER(C1042),ISNUMBER(F1042)),(F1042-C1042),"")</f>
        <v/>
      </c>
    </row>
    <row r="1043">
      <c r="A1043" s="3" t="inlineStr">
        <is>
          <t>1031905</t>
        </is>
      </c>
      <c r="B1043" s="3" t="inlineStr">
        <is>
          <t>621</t>
        </is>
      </c>
      <c r="C1043" s="10" t="n">
        <v>45688.3228125</v>
      </c>
      <c r="D1043" s="3" t="inlineStr">
        <is>
          <t>OBT310125155632-Pitten (Hamburger)</t>
        </is>
      </c>
      <c r="E1043" s="10" t="n">
        <v>45688.66425925926</v>
      </c>
      <c r="F1043" s="10" t="n"/>
      <c r="G1043" s="11">
        <f>IF(AND(ISNUMBER(C1043),ISNUMBER(E1043)),(E1043-C1043),"")</f>
        <v/>
      </c>
      <c r="H1043" s="11">
        <f>IF(AND(ISNUMBER(C1043),ISNUMBER(F1043)),(F1043-C1043),"")</f>
        <v/>
      </c>
    </row>
    <row r="1044">
      <c r="A1044" s="3" t="inlineStr">
        <is>
          <t>1031907</t>
        </is>
      </c>
      <c r="B1044" s="3" t="inlineStr">
        <is>
          <t>619</t>
        </is>
      </c>
      <c r="C1044" s="10" t="n">
        <v>45688.3247337963</v>
      </c>
      <c r="D1044" s="3" t="inlineStr">
        <is>
          <t>OBT310125080145-Wr. Neustadt (Brenntag)</t>
        </is>
      </c>
      <c r="E1044" s="10" t="n">
        <v>45688.33454861111</v>
      </c>
      <c r="F1044" s="10" t="n">
        <v>45688.88511574074</v>
      </c>
      <c r="G1044" s="11">
        <f>IF(AND(ISNUMBER(C1044),ISNUMBER(E1044)),(E1044-C1044),"")</f>
        <v/>
      </c>
      <c r="H1044" s="11">
        <f>IF(AND(ISNUMBER(C1044),ISNUMBER(F1044)),(F1044-C1044),"")</f>
        <v/>
      </c>
    </row>
    <row r="1045">
      <c r="A1045" s="3" t="inlineStr">
        <is>
          <t>1031908</t>
        </is>
      </c>
      <c r="B1045" s="3" t="inlineStr">
        <is>
          <t>606</t>
        </is>
      </c>
      <c r="C1045" s="10" t="n">
        <v>45688.32672453704</v>
      </c>
      <c r="D1045" s="3" t="inlineStr">
        <is>
          <t>OBT310125075536-Neunkirchen (loading tracks)</t>
        </is>
      </c>
      <c r="E1045" s="10" t="n">
        <v>45688.33027777778</v>
      </c>
      <c r="F1045" s="10" t="n">
        <v>45688.78188657408</v>
      </c>
      <c r="G1045" s="11">
        <f>IF(AND(ISNUMBER(C1045),ISNUMBER(E1045)),(E1045-C1045),"")</f>
        <v/>
      </c>
      <c r="H1045" s="11">
        <f>IF(AND(ISNUMBER(C1045),ISNUMBER(F1045)),(F1045-C1045),"")</f>
        <v/>
      </c>
    </row>
    <row r="1046">
      <c r="A1046" s="3" t="inlineStr">
        <is>
          <t>1031910</t>
        </is>
      </c>
      <c r="B1046" s="3" t="inlineStr">
        <is>
          <t>629</t>
        </is>
      </c>
      <c r="C1046" s="10" t="n">
        <v>45688.32862268519</v>
      </c>
      <c r="D1046" s="3" t="inlineStr">
        <is>
          <t>OBT310125075821-Ternitz (Schoeller-Bleckmann)</t>
        </is>
      </c>
      <c r="E1046" s="10" t="n">
        <v>45688.3321875</v>
      </c>
      <c r="F1046" s="10" t="n">
        <v>45688.77202546296</v>
      </c>
      <c r="G1046" s="11">
        <f>IF(AND(ISNUMBER(C1046),ISNUMBER(E1046)),(E1046-C1046),"")</f>
        <v/>
      </c>
      <c r="H1046" s="11">
        <f>IF(AND(ISNUMBER(C1046),ISNUMBER(F1046)),(F1046-C1046),"")</f>
        <v/>
      </c>
    </row>
    <row r="1047">
      <c r="A1047" s="3" t="inlineStr">
        <is>
          <t>1031911</t>
        </is>
      </c>
      <c r="B1047" s="3" t="inlineStr">
        <is>
          <t>619</t>
        </is>
      </c>
      <c r="C1047" s="10" t="n">
        <v>45688.33064814815</v>
      </c>
      <c r="D1047" s="3" t="inlineStr">
        <is>
          <t>OBT310125080145-Wr. Neustadt (Brenntag)</t>
        </is>
      </c>
      <c r="E1047" s="10" t="n">
        <v>45688.33454861111</v>
      </c>
      <c r="F1047" s="10" t="n">
        <v>45688.88511574074</v>
      </c>
      <c r="G1047" s="11">
        <f>IF(AND(ISNUMBER(C1047),ISNUMBER(E1047)),(E1047-C1047),"")</f>
        <v/>
      </c>
      <c r="H1047" s="11">
        <f>IF(AND(ISNUMBER(C1047),ISNUMBER(F1047)),(F1047-C1047),"")</f>
        <v/>
      </c>
    </row>
    <row r="1048">
      <c r="A1048" s="3" t="inlineStr">
        <is>
          <t>1032001</t>
        </is>
      </c>
      <c r="B1048" s="3" t="inlineStr">
        <is>
          <t>627</t>
        </is>
      </c>
      <c r="C1048" s="10" t="n">
        <v>45688.34548611111</v>
      </c>
      <c r="D1048" s="3" t="inlineStr">
        <is>
          <t>OBT310125082055-Wien Kledering</t>
        </is>
      </c>
      <c r="E1048" s="10" t="n">
        <v>45688.3478587963</v>
      </c>
      <c r="F1048" s="10" t="n"/>
      <c r="G1048" s="11">
        <f>IF(AND(ISNUMBER(C1048),ISNUMBER(E1048)),(E1048-C1048),"")</f>
        <v/>
      </c>
      <c r="H1048" s="11">
        <f>IF(AND(ISNUMBER(C1048),ISNUMBER(F1048)),(F1048-C1048),"")</f>
        <v/>
      </c>
    </row>
    <row r="1049">
      <c r="A1049" s="3" t="inlineStr">
        <is>
          <t>1032101</t>
        </is>
      </c>
      <c r="B1049" s="3" t="inlineStr">
        <is>
          <t>627</t>
        </is>
      </c>
      <c r="C1049" s="10" t="n">
        <v>45688.38030092593</v>
      </c>
      <c r="D1049" s="3" t="inlineStr">
        <is>
          <t>OBT310125091105-Wien Kledering</t>
        </is>
      </c>
      <c r="E1049" s="10" t="n">
        <v>45688.38269675926</v>
      </c>
      <c r="F1049" s="10" t="n"/>
      <c r="G1049" s="11">
        <f>IF(AND(ISNUMBER(C1049),ISNUMBER(E1049)),(E1049-C1049),"")</f>
        <v/>
      </c>
      <c r="H1049" s="11">
        <f>IF(AND(ISNUMBER(C1049),ISNUMBER(F1049)),(F1049-C1049),"")</f>
        <v/>
      </c>
    </row>
    <row r="1050">
      <c r="A1050" s="3" t="inlineStr">
        <is>
          <t>1032102</t>
        </is>
      </c>
      <c r="B1050" s="3" t="inlineStr">
        <is>
          <t>617</t>
        </is>
      </c>
      <c r="C1050" s="10" t="n">
        <v>45688.38171296296</v>
      </c>
      <c r="D1050" s="3" t="inlineStr">
        <is>
          <t>OBT310125110109-St. Veit an der Glan</t>
        </is>
      </c>
      <c r="E1050" s="10" t="n">
        <v>45688.45913194444</v>
      </c>
      <c r="F1050" s="10" t="n"/>
      <c r="G1050" s="11">
        <f>IF(AND(ISNUMBER(C1050),ISNUMBER(E1050)),(E1050-C1050),"")</f>
        <v/>
      </c>
      <c r="H1050" s="11">
        <f>IF(AND(ISNUMBER(C1050),ISNUMBER(F1050)),(F1050-C1050),"")</f>
        <v/>
      </c>
    </row>
    <row r="1051">
      <c r="A1051" s="3" t="inlineStr">
        <is>
          <t>1032201</t>
        </is>
      </c>
      <c r="B1051" s="3" t="inlineStr">
        <is>
          <t>621</t>
        </is>
      </c>
      <c r="C1051" s="10" t="n">
        <v>45688.39262731482</v>
      </c>
      <c r="D1051" s="3" t="inlineStr">
        <is>
          <t>OBT310125155632-Pitten (Hamburger)</t>
        </is>
      </c>
      <c r="E1051" s="10" t="n">
        <v>45688.66425925926</v>
      </c>
      <c r="F1051" s="10" t="n"/>
      <c r="G1051" s="11">
        <f>IF(AND(ISNUMBER(C1051),ISNUMBER(E1051)),(E1051-C1051),"")</f>
        <v/>
      </c>
      <c r="H1051" s="11">
        <f>IF(AND(ISNUMBER(C1051),ISNUMBER(F1051)),(F1051-C1051),"")</f>
        <v/>
      </c>
    </row>
    <row r="1052">
      <c r="A1052" s="3" t="inlineStr">
        <is>
          <t>1032203</t>
        </is>
      </c>
      <c r="B1052" s="3" t="inlineStr">
        <is>
          <t>623</t>
        </is>
      </c>
      <c r="C1052" s="10" t="n">
        <v>45688.39438657407</v>
      </c>
      <c r="D1052" s="3" t="inlineStr">
        <is>
          <t>OBT310125161451-Steinabrückl/Wöllersdorf</t>
        </is>
      </c>
      <c r="E1052" s="10" t="n">
        <v>45688.67697916667</v>
      </c>
      <c r="F1052" s="10" t="n"/>
      <c r="G1052" s="11">
        <f>IF(AND(ISNUMBER(C1052),ISNUMBER(E1052)),(E1052-C1052),"")</f>
        <v/>
      </c>
      <c r="H1052" s="11">
        <f>IF(AND(ISNUMBER(C1052),ISNUMBER(F1052)),(F1052-C1052),"")</f>
        <v/>
      </c>
    </row>
    <row r="1053">
      <c r="A1053" s="3" t="inlineStr">
        <is>
          <t>1032205</t>
        </is>
      </c>
      <c r="B1053" s="3" t="inlineStr">
        <is>
          <t>623</t>
        </is>
      </c>
      <c r="C1053" s="10" t="n">
        <v>45688.39815972222</v>
      </c>
      <c r="D1053" s="3" t="inlineStr">
        <is>
          <t>OBT310125161451-Steinabrückl/Wöllersdorf</t>
        </is>
      </c>
      <c r="E1053" s="10" t="n">
        <v>45688.67697916667</v>
      </c>
      <c r="F1053" s="10" t="n"/>
      <c r="G1053" s="11">
        <f>IF(AND(ISNUMBER(C1053),ISNUMBER(E1053)),(E1053-C1053),"")</f>
        <v/>
      </c>
      <c r="H1053" s="11">
        <f>IF(AND(ISNUMBER(C1053),ISNUMBER(F1053)),(F1053-C1053),"")</f>
        <v/>
      </c>
    </row>
    <row r="1054">
      <c r="A1054" s="3" t="inlineStr">
        <is>
          <t>1032206</t>
        </is>
      </c>
      <c r="B1054" s="3" t="inlineStr">
        <is>
          <t>609</t>
        </is>
      </c>
      <c r="C1054" s="10" t="n">
        <v>45688.39962962963</v>
      </c>
      <c r="D1054" s="3" t="inlineStr">
        <is>
          <t>OBT310125162356-Other sidings south</t>
        </is>
      </c>
      <c r="E1054" s="10" t="n">
        <v>45688.68328703703</v>
      </c>
      <c r="F1054" s="10" t="n"/>
      <c r="G1054" s="11">
        <f>IF(AND(ISNUMBER(C1054),ISNUMBER(E1054)),(E1054-C1054),"")</f>
        <v/>
      </c>
      <c r="H1054" s="11">
        <f>IF(AND(ISNUMBER(C1054),ISNUMBER(F1054)),(F1054-C1054),"")</f>
        <v/>
      </c>
    </row>
    <row r="1055">
      <c r="A1055" s="3" t="inlineStr">
        <is>
          <t>1032208</t>
        </is>
      </c>
      <c r="B1055" s="3" t="inlineStr">
        <is>
          <t>621</t>
        </is>
      </c>
      <c r="C1055" s="10" t="n">
        <v>45688.40158564815</v>
      </c>
      <c r="D1055" s="3" t="inlineStr">
        <is>
          <t>OBT310125155632-Pitten (Hamburger)</t>
        </is>
      </c>
      <c r="E1055" s="10" t="n">
        <v>45688.66425925926</v>
      </c>
      <c r="F1055" s="10" t="n"/>
      <c r="G1055" s="11">
        <f>IF(AND(ISNUMBER(C1055),ISNUMBER(E1055)),(E1055-C1055),"")</f>
        <v/>
      </c>
      <c r="H1055" s="11">
        <f>IF(AND(ISNUMBER(C1055),ISNUMBER(F1055)),(F1055-C1055),"")</f>
        <v/>
      </c>
    </row>
    <row r="1056">
      <c r="A1056" s="3" t="inlineStr">
        <is>
          <t>1032301</t>
        </is>
      </c>
      <c r="B1056" s="3" t="inlineStr">
        <is>
          <t>627</t>
        </is>
      </c>
      <c r="C1056" s="10" t="n">
        <v>45688.45378472222</v>
      </c>
      <c r="D1056" s="3" t="inlineStr">
        <is>
          <t>OBT310125105654-Wien Kledering</t>
        </is>
      </c>
      <c r="E1056" s="10" t="n">
        <v>45688.45618055556</v>
      </c>
      <c r="F1056" s="10" t="n"/>
      <c r="G1056" s="11">
        <f>IF(AND(ISNUMBER(C1056),ISNUMBER(E1056)),(E1056-C1056),"")</f>
        <v/>
      </c>
      <c r="H1056" s="11">
        <f>IF(AND(ISNUMBER(C1056),ISNUMBER(F1056)),(F1056-C1056),"")</f>
        <v/>
      </c>
    </row>
    <row r="1057">
      <c r="A1057" s="3" t="inlineStr">
        <is>
          <t>1032302</t>
        </is>
      </c>
      <c r="B1057" s="3" t="inlineStr">
        <is>
          <t>617</t>
        </is>
      </c>
      <c r="C1057" s="10" t="n">
        <v>45688.45523148148</v>
      </c>
      <c r="D1057" s="3" t="inlineStr">
        <is>
          <t>OBT310125110109-St. Veit an der Glan</t>
        </is>
      </c>
      <c r="E1057" s="10" t="n">
        <v>45688.45913194444</v>
      </c>
      <c r="F1057" s="10" t="n"/>
      <c r="G1057" s="11">
        <f>IF(AND(ISNUMBER(C1057),ISNUMBER(E1057)),(E1057-C1057),"")</f>
        <v/>
      </c>
      <c r="H1057" s="11">
        <f>IF(AND(ISNUMBER(C1057),ISNUMBER(F1057)),(F1057-C1057),"")</f>
        <v/>
      </c>
    </row>
    <row r="1058">
      <c r="A1058" s="3" t="inlineStr">
        <is>
          <t>1032303</t>
        </is>
      </c>
      <c r="B1058" s="3" t="inlineStr">
        <is>
          <t>607</t>
        </is>
      </c>
      <c r="C1058" s="10" t="n">
        <v>45688.45701388889</v>
      </c>
      <c r="D1058" s="3" t="inlineStr">
        <is>
          <t>OBT310125124603-Wien Kledering</t>
        </is>
      </c>
      <c r="E1058" s="10" t="n">
        <v>45688.53197916667</v>
      </c>
      <c r="F1058" s="10" t="n"/>
      <c r="G1058" s="11">
        <f>IF(AND(ISNUMBER(C1058),ISNUMBER(E1058)),(E1058-C1058),"")</f>
        <v/>
      </c>
      <c r="H1058" s="11">
        <f>IF(AND(ISNUMBER(C1058),ISNUMBER(F1058)),(F1058-C1058),"")</f>
        <v/>
      </c>
    </row>
    <row r="1059">
      <c r="A1059" s="3" t="inlineStr">
        <is>
          <t>1032401</t>
        </is>
      </c>
      <c r="B1059" s="3" t="inlineStr">
        <is>
          <t>607</t>
        </is>
      </c>
      <c r="C1059" s="10" t="n">
        <v>45688.52841435185</v>
      </c>
      <c r="D1059" s="3" t="inlineStr">
        <is>
          <t>OBT310125124603-Wien Kledering</t>
        </is>
      </c>
      <c r="E1059" s="10" t="n">
        <v>45688.53197916667</v>
      </c>
      <c r="F1059" s="10" t="n"/>
      <c r="G1059" s="11">
        <f>IF(AND(ISNUMBER(C1059),ISNUMBER(E1059)),(E1059-C1059),"")</f>
        <v/>
      </c>
      <c r="H1059" s="11">
        <f>IF(AND(ISNUMBER(C1059),ISNUMBER(F1059)),(F1059-C1059),"")</f>
        <v/>
      </c>
    </row>
    <row r="1060">
      <c r="A1060" s="3" t="inlineStr">
        <is>
          <t>1032501</t>
        </is>
      </c>
      <c r="B1060" s="3" t="inlineStr">
        <is>
          <t>615</t>
        </is>
      </c>
      <c r="C1060" s="10" t="n">
        <v>45688.60025462963</v>
      </c>
      <c r="D1060" s="3" t="inlineStr">
        <is>
          <t>OBT310125142730-Wien Kledering</t>
        </is>
      </c>
      <c r="E1060" s="10" t="n">
        <v>45688.60243055555</v>
      </c>
      <c r="F1060" s="10" t="n"/>
      <c r="G1060" s="11">
        <f>IF(AND(ISNUMBER(C1060),ISNUMBER(E1060)),(E1060-C1060),"")</f>
        <v/>
      </c>
      <c r="H1060" s="11">
        <f>IF(AND(ISNUMBER(C1060),ISNUMBER(F1060)),(F1060-C1060),"")</f>
        <v/>
      </c>
    </row>
    <row r="1061">
      <c r="A1061" s="3" t="inlineStr">
        <is>
          <t>1032601</t>
        </is>
      </c>
      <c r="B1061" s="3" t="inlineStr">
        <is>
          <t>629</t>
        </is>
      </c>
      <c r="C1061" s="10" t="n">
        <v>45688.64299768519</v>
      </c>
      <c r="D1061" s="3" t="inlineStr">
        <is>
          <t>OBT310125160801-Other sidings north</t>
        </is>
      </c>
      <c r="E1061" s="10" t="n">
        <v>45688.67223379629</v>
      </c>
      <c r="F1061" s="10" t="n"/>
      <c r="G1061" s="11">
        <f>IF(AND(ISNUMBER(C1061),ISNUMBER(E1061)),(E1061-C1061),"")</f>
        <v/>
      </c>
      <c r="H1061" s="11">
        <f>IF(AND(ISNUMBER(C1061),ISNUMBER(F1061)),(F1061-C1061),"")</f>
        <v/>
      </c>
    </row>
    <row r="1062">
      <c r="A1062" s="3" t="inlineStr">
        <is>
          <t>1032603</t>
        </is>
      </c>
      <c r="B1062" s="3" t="inlineStr">
        <is>
          <t>621</t>
        </is>
      </c>
      <c r="C1062" s="10" t="n">
        <v>45688.64689814814</v>
      </c>
      <c r="D1062" s="3" t="inlineStr">
        <is>
          <t>OBT310125155632-Pitten (Hamburger)</t>
        </is>
      </c>
      <c r="E1062" s="10" t="n">
        <v>45688.66425925926</v>
      </c>
      <c r="F1062" s="10" t="n"/>
      <c r="G1062" s="11">
        <f>IF(AND(ISNUMBER(C1062),ISNUMBER(E1062)),(E1062-C1062),"")</f>
        <v/>
      </c>
      <c r="H1062" s="11">
        <f>IF(AND(ISNUMBER(C1062),ISNUMBER(F1062)),(F1062-C1062),"")</f>
        <v/>
      </c>
    </row>
    <row r="1063">
      <c r="A1063" s="3" t="inlineStr">
        <is>
          <t>1032604</t>
        </is>
      </c>
      <c r="B1063" s="3" t="inlineStr">
        <is>
          <t>623</t>
        </is>
      </c>
      <c r="C1063" s="10" t="n">
        <v>45688.64864583333</v>
      </c>
      <c r="D1063" s="3" t="inlineStr">
        <is>
          <t>OBT310125161451-Steinabrückl/Wöllersdorf</t>
        </is>
      </c>
      <c r="E1063" s="10" t="n">
        <v>45688.67697916667</v>
      </c>
      <c r="F1063" s="10" t="n"/>
      <c r="G1063" s="11">
        <f>IF(AND(ISNUMBER(C1063),ISNUMBER(E1063)),(E1063-C1063),"")</f>
        <v/>
      </c>
      <c r="H1063" s="11">
        <f>IF(AND(ISNUMBER(C1063),ISNUMBER(F1063)),(F1063-C1063),"")</f>
        <v/>
      </c>
    </row>
    <row r="1064">
      <c r="A1064" s="3" t="inlineStr">
        <is>
          <t>1032607</t>
        </is>
      </c>
      <c r="B1064" s="3" t="inlineStr">
        <is>
          <t>621</t>
        </is>
      </c>
      <c r="C1064" s="10" t="n">
        <v>45688.6541087963</v>
      </c>
      <c r="D1064" s="3" t="inlineStr">
        <is>
          <t>OBT310125155632-Pitten (Hamburger)</t>
        </is>
      </c>
      <c r="E1064" s="10" t="n">
        <v>45688.66425925926</v>
      </c>
      <c r="F1064" s="10" t="n"/>
      <c r="G1064" s="11">
        <f>IF(AND(ISNUMBER(C1064),ISNUMBER(E1064)),(E1064-C1064),"")</f>
        <v/>
      </c>
      <c r="H1064" s="11">
        <f>IF(AND(ISNUMBER(C1064),ISNUMBER(F1064)),(F1064-C1064),"")</f>
        <v/>
      </c>
    </row>
    <row r="1065">
      <c r="A1065" s="3" t="inlineStr">
        <is>
          <t>1032701</t>
        </is>
      </c>
      <c r="B1065" s="3" t="inlineStr">
        <is>
          <t>621</t>
        </is>
      </c>
      <c r="C1065" s="10" t="n">
        <v>45688.6603587963</v>
      </c>
      <c r="D1065" s="3" t="inlineStr">
        <is>
          <t>OBT310125155632-Pitten (Hamburger)</t>
        </is>
      </c>
      <c r="E1065" s="10" t="n">
        <v>45688.66425925926</v>
      </c>
      <c r="F1065" s="10" t="n"/>
      <c r="G1065" s="11">
        <f>IF(AND(ISNUMBER(C1065),ISNUMBER(E1065)),(E1065-C1065),"")</f>
        <v/>
      </c>
      <c r="H1065" s="11">
        <f>IF(AND(ISNUMBER(C1065),ISNUMBER(F1065)),(F1065-C1065),"")</f>
        <v/>
      </c>
    </row>
    <row r="1066">
      <c r="A1066" s="3" t="inlineStr">
        <is>
          <t>1032702</t>
        </is>
      </c>
      <c r="B1066" s="3" t="inlineStr">
        <is>
          <t>611</t>
        </is>
      </c>
      <c r="C1066" s="10" t="n">
        <v>45688.66172453704</v>
      </c>
      <c r="D1066" s="3" t="inlineStr">
        <is>
          <t>OBT310125155832-Neudörfl (FunderMax)</t>
        </is>
      </c>
      <c r="E1066" s="10" t="n">
        <v>45688.66564814815</v>
      </c>
      <c r="F1066" s="10" t="n"/>
      <c r="G1066" s="11">
        <f>IF(AND(ISNUMBER(C1066),ISNUMBER(E1066)),(E1066-C1066),"")</f>
        <v/>
      </c>
      <c r="H1066" s="11">
        <f>IF(AND(ISNUMBER(C1066),ISNUMBER(F1066)),(F1066-C1066),"")</f>
        <v/>
      </c>
    </row>
    <row r="1067">
      <c r="A1067" s="3" t="inlineStr">
        <is>
          <t>1032705</t>
        </is>
      </c>
      <c r="B1067" s="3" t="inlineStr">
        <is>
          <t>629</t>
        </is>
      </c>
      <c r="C1067" s="10" t="n">
        <v>45688.66657407407</v>
      </c>
      <c r="D1067" s="3" t="inlineStr">
        <is>
          <t>OBT310125160801-Other sidings north</t>
        </is>
      </c>
      <c r="E1067" s="10" t="n">
        <v>45688.67223379629</v>
      </c>
      <c r="F1067" s="10" t="n"/>
      <c r="G1067" s="11">
        <f>IF(AND(ISNUMBER(C1067),ISNUMBER(E1067)),(E1067-C1067),"")</f>
        <v/>
      </c>
      <c r="H1067" s="11">
        <f>IF(AND(ISNUMBER(C1067),ISNUMBER(F1067)),(F1067-C1067),"")</f>
        <v/>
      </c>
    </row>
    <row r="1068">
      <c r="A1068" s="3" t="inlineStr">
        <is>
          <t>1032706</t>
        </is>
      </c>
      <c r="B1068" s="3" t="inlineStr">
        <is>
          <t>621</t>
        </is>
      </c>
      <c r="C1068" s="10" t="n">
        <v>45688.66856481481</v>
      </c>
      <c r="D1068" s="3" t="inlineStr">
        <is>
          <t>OBT310125203626-Pitten (Hamburger)</t>
        </is>
      </c>
      <c r="E1068" s="10" t="n">
        <v>45688.85863425926</v>
      </c>
      <c r="F1068" s="10" t="n"/>
      <c r="G1068" s="11">
        <f>IF(AND(ISNUMBER(C1068),ISNUMBER(E1068)),(E1068-C1068),"")</f>
        <v/>
      </c>
      <c r="H1068" s="11">
        <f>IF(AND(ISNUMBER(C1068),ISNUMBER(F1068)),(F1068-C1068),"")</f>
        <v/>
      </c>
    </row>
    <row r="1069">
      <c r="A1069" s="3" t="inlineStr">
        <is>
          <t>1032707</t>
        </is>
      </c>
      <c r="B1069" s="3" t="inlineStr">
        <is>
          <t>623</t>
        </is>
      </c>
      <c r="C1069" s="10" t="n">
        <v>45688.67028935185</v>
      </c>
      <c r="D1069" s="3" t="inlineStr">
        <is>
          <t>OBT310125161451-Steinabrückl/Wöllersdorf</t>
        </is>
      </c>
      <c r="E1069" s="10" t="n">
        <v>45688.67697916667</v>
      </c>
      <c r="F1069" s="10" t="n"/>
      <c r="G1069" s="11">
        <f>IF(AND(ISNUMBER(C1069),ISNUMBER(E1069)),(E1069-C1069),"")</f>
        <v/>
      </c>
      <c r="H1069" s="11">
        <f>IF(AND(ISNUMBER(C1069),ISNUMBER(F1069)),(F1069-C1069),"")</f>
        <v/>
      </c>
    </row>
    <row r="1070">
      <c r="A1070" s="3" t="inlineStr">
        <is>
          <t>1032709</t>
        </is>
      </c>
      <c r="B1070" s="3" t="inlineStr">
        <is>
          <t>621</t>
        </is>
      </c>
      <c r="C1070" s="10" t="n">
        <v>45688.67229166667</v>
      </c>
      <c r="D1070" s="3" t="inlineStr">
        <is>
          <t>OBT310125203626-Pitten (Hamburger)</t>
        </is>
      </c>
      <c r="E1070" s="10" t="n">
        <v>45688.85863425926</v>
      </c>
      <c r="F1070" s="10" t="n"/>
      <c r="G1070" s="11">
        <f>IF(AND(ISNUMBER(C1070),ISNUMBER(E1070)),(E1070-C1070),"")</f>
        <v/>
      </c>
      <c r="H1070" s="11">
        <f>IF(AND(ISNUMBER(C1070),ISNUMBER(F1070)),(F1070-C1070),"")</f>
        <v/>
      </c>
    </row>
    <row r="1071">
      <c r="A1071" s="3" t="inlineStr">
        <is>
          <t>1032711</t>
        </is>
      </c>
      <c r="B1071" s="3" t="inlineStr">
        <is>
          <t>609</t>
        </is>
      </c>
      <c r="C1071" s="10" t="n">
        <v>45688.67579861111</v>
      </c>
      <c r="D1071" s="3" t="inlineStr">
        <is>
          <t>OBT310125162356-Other sidings south</t>
        </is>
      </c>
      <c r="E1071" s="10" t="n">
        <v>45688.68328703703</v>
      </c>
      <c r="F1071" s="10" t="n"/>
      <c r="G1071" s="11">
        <f>IF(AND(ISNUMBER(C1071),ISNUMBER(E1071)),(E1071-C1071),"")</f>
        <v/>
      </c>
      <c r="H1071" s="11">
        <f>IF(AND(ISNUMBER(C1071),ISNUMBER(F1071)),(F1071-C1071),"")</f>
        <v/>
      </c>
    </row>
    <row r="1072">
      <c r="A1072" s="3" t="inlineStr">
        <is>
          <t>1032901</t>
        </is>
      </c>
      <c r="B1072" s="3" t="inlineStr">
        <is>
          <t>613</t>
        </is>
      </c>
      <c r="C1072" s="10" t="n">
        <v>45688.74016203704</v>
      </c>
      <c r="D1072" s="3" t="inlineStr">
        <is>
          <t>OBT310125174917-Wien Kledering</t>
        </is>
      </c>
      <c r="E1072" s="10" t="n">
        <v>45688.74255787037</v>
      </c>
      <c r="F1072" s="10" t="n"/>
      <c r="G1072" s="11">
        <f>IF(AND(ISNUMBER(C1072),ISNUMBER(E1072)),(E1072-C1072),"")</f>
        <v/>
      </c>
      <c r="H1072" s="11">
        <f>IF(AND(ISNUMBER(C1072),ISNUMBER(F1072)),(F1072-C1072),"")</f>
        <v/>
      </c>
    </row>
    <row r="1073">
      <c r="A1073" s="3" t="inlineStr">
        <is>
          <t>1033001</t>
        </is>
      </c>
      <c r="B1073" s="3" t="inlineStr">
        <is>
          <t>627</t>
        </is>
      </c>
      <c r="C1073" s="10" t="n">
        <v>45688.74900462963</v>
      </c>
      <c r="D1073" s="3" t="inlineStr">
        <is>
          <t>OBT310125180201-Wien Kledering</t>
        </is>
      </c>
      <c r="E1073" s="10" t="n">
        <v>45688.75140046296</v>
      </c>
      <c r="F1073" s="10" t="n"/>
      <c r="G1073" s="11">
        <f>IF(AND(ISNUMBER(C1073),ISNUMBER(E1073)),(E1073-C1073),"")</f>
        <v/>
      </c>
      <c r="H1073" s="11">
        <f>IF(AND(ISNUMBER(C1073),ISNUMBER(F1073)),(F1073-C1073),"")</f>
        <v/>
      </c>
    </row>
    <row r="1074">
      <c r="A1074" s="3" t="inlineStr">
        <is>
          <t>1033101</t>
        </is>
      </c>
      <c r="B1074" s="3" t="inlineStr">
        <is>
          <t>606</t>
        </is>
      </c>
      <c r="C1074" s="10" t="n">
        <v>45688.853125</v>
      </c>
      <c r="D1074" s="3" t="inlineStr">
        <is>
          <t>OBT310125203154-Wr. Neustadt (Hödlmayr)</t>
        </is>
      </c>
      <c r="E1074" s="10" t="n">
        <v>45688.85548611111</v>
      </c>
      <c r="F1074" s="10" t="n"/>
      <c r="G1074" s="11">
        <f>IF(AND(ISNUMBER(C1074),ISNUMBER(E1074)),(E1074-C1074),"")</f>
        <v/>
      </c>
      <c r="H1074" s="11">
        <f>IF(AND(ISNUMBER(C1074),ISNUMBER(F1074)),(F1074-C1074),"")</f>
        <v/>
      </c>
    </row>
    <row r="1075">
      <c r="A1075" s="3" t="inlineStr">
        <is>
          <t>1033102</t>
        </is>
      </c>
      <c r="B1075" s="3" t="inlineStr">
        <is>
          <t>621</t>
        </is>
      </c>
      <c r="C1075" s="10" t="n">
        <v>45688.8550925926</v>
      </c>
      <c r="D1075" s="3" t="inlineStr">
        <is>
          <t>OBT310125203626-Pitten (Hamburger)</t>
        </is>
      </c>
      <c r="E1075" s="10" t="n">
        <v>45688.85863425926</v>
      </c>
      <c r="F1075" s="10" t="n"/>
      <c r="G1075" s="11">
        <f>IF(AND(ISNUMBER(C1075),ISNUMBER(E1075)),(E1075-C1075),"")</f>
        <v/>
      </c>
      <c r="H1075" s="11">
        <f>IF(AND(ISNUMBER(C1075),ISNUMBER(F1075)),(F1075-C1075),"")</f>
        <v/>
      </c>
    </row>
    <row r="1076">
      <c r="A1076" s="3" t="inlineStr">
        <is>
          <t>1033104</t>
        </is>
      </c>
      <c r="B1076" s="3" t="inlineStr">
        <is>
          <t>629</t>
        </is>
      </c>
      <c r="C1076" s="10" t="n">
        <v>45688.85862268518</v>
      </c>
      <c r="D1076" s="3" t="inlineStr">
        <is>
          <t>OBT310125204436-Other sidings south</t>
        </is>
      </c>
      <c r="E1076" s="10" t="n">
        <v>45688.86430555556</v>
      </c>
      <c r="F1076" s="10" t="n"/>
      <c r="G1076" s="11">
        <f>IF(AND(ISNUMBER(C1076),ISNUMBER(E1076)),(E1076-C1076),"")</f>
        <v/>
      </c>
      <c r="H1076" s="11">
        <f>IF(AND(ISNUMBER(C1076),ISNUMBER(F1076)),(F1076-C1076),"")</f>
        <v/>
      </c>
    </row>
    <row r="1077">
      <c r="A1077" s="3" t="inlineStr">
        <is>
          <t>1033105</t>
        </is>
      </c>
      <c r="B1077" s="3" t="inlineStr">
        <is>
          <t>629</t>
        </is>
      </c>
      <c r="C1077" s="10" t="n">
        <v>45688.86075231482</v>
      </c>
      <c r="D1077" s="3" t="inlineStr">
        <is>
          <t>OBT310125204436-Other sidings south</t>
        </is>
      </c>
      <c r="E1077" s="10" t="n">
        <v>45688.86430555556</v>
      </c>
      <c r="F1077" s="10" t="n"/>
      <c r="G1077" s="11">
        <f>IF(AND(ISNUMBER(C1077),ISNUMBER(E1077)),(E1077-C1077),"")</f>
        <v/>
      </c>
      <c r="H1077" s="11">
        <f>IF(AND(ISNUMBER(C1077),ISNUMBER(F1077)),(F1077-C1077),"")</f>
        <v/>
      </c>
    </row>
  </sheetData>
  <autoFilter ref="A1:H10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2026-10-22T14:09:06Z</dcterms:created>
  <dcterms:modified xmlns:dcterms="http://purl.org/dc/terms/" xmlns:xsi="http://www.w3.org/2001/XMLSchema-instance" xsi:type="dcterms:W3CDTF">2026-10-22T14:09:09Z</dcterms:modified>
</cp:coreProperties>
</file>